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e1774164fa8606/"/>
    </mc:Choice>
  </mc:AlternateContent>
  <xr:revisionPtr revIDLastSave="88" documentId="11_31802F1733C7A0836B02CE998F682C9D7A7B838F" xr6:coauthVersionLast="47" xr6:coauthVersionMax="47" xr10:uidLastSave="{734DA525-5570-45B5-BDE7-2D802D12554A}"/>
  <bookViews>
    <workbookView xWindow="-120" yWindow="-120" windowWidth="29040" windowHeight="1599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Sheet1!$A$10:$CU$10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A623" i="1" l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AX623" i="1"/>
  <c r="AW623" i="1"/>
  <c r="AU623" i="1"/>
  <c r="AR623" i="1"/>
  <c r="AP623" i="1"/>
  <c r="AO623" i="1"/>
  <c r="AN623" i="1"/>
  <c r="AM623" i="1"/>
  <c r="AL623" i="1"/>
  <c r="AK623" i="1"/>
  <c r="AJ623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AX622" i="1"/>
  <c r="AW622" i="1"/>
  <c r="AU622" i="1"/>
  <c r="AR622" i="1"/>
  <c r="AP622" i="1"/>
  <c r="AO622" i="1"/>
  <c r="AN622" i="1"/>
  <c r="AM622" i="1"/>
  <c r="AL622" i="1"/>
  <c r="AK622" i="1"/>
  <c r="AJ622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AX621" i="1"/>
  <c r="AW621" i="1"/>
  <c r="AU621" i="1"/>
  <c r="AR621" i="1"/>
  <c r="AP621" i="1"/>
  <c r="AO621" i="1"/>
  <c r="AN621" i="1"/>
  <c r="AM621" i="1"/>
  <c r="AL621" i="1"/>
  <c r="AK621" i="1"/>
  <c r="AJ621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AX620" i="1"/>
  <c r="AW620" i="1"/>
  <c r="AU620" i="1"/>
  <c r="AR620" i="1"/>
  <c r="AP620" i="1"/>
  <c r="AO620" i="1"/>
  <c r="AN620" i="1"/>
  <c r="AM620" i="1"/>
  <c r="AL620" i="1"/>
  <c r="AK620" i="1"/>
  <c r="AJ620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AX619" i="1"/>
  <c r="AW619" i="1"/>
  <c r="AU619" i="1"/>
  <c r="AR619" i="1"/>
  <c r="AP619" i="1"/>
  <c r="AO619" i="1"/>
  <c r="AN619" i="1"/>
  <c r="AM619" i="1"/>
  <c r="AL619" i="1"/>
  <c r="AK619" i="1"/>
  <c r="AJ619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AX618" i="1"/>
  <c r="AW618" i="1"/>
  <c r="AU618" i="1"/>
  <c r="AR618" i="1"/>
  <c r="AP618" i="1"/>
  <c r="AO618" i="1"/>
  <c r="AN618" i="1"/>
  <c r="AM618" i="1"/>
  <c r="AL618" i="1"/>
  <c r="AK618" i="1"/>
  <c r="AJ618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AX617" i="1"/>
  <c r="AW617" i="1"/>
  <c r="AU617" i="1"/>
  <c r="AR617" i="1"/>
  <c r="AP617" i="1"/>
  <c r="AO617" i="1"/>
  <c r="AN617" i="1"/>
  <c r="AM617" i="1"/>
  <c r="AL617" i="1"/>
  <c r="AK617" i="1"/>
  <c r="AJ617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AX616" i="1"/>
  <c r="AW616" i="1"/>
  <c r="AU616" i="1"/>
  <c r="AR616" i="1"/>
  <c r="AP616" i="1"/>
  <c r="AO616" i="1"/>
  <c r="AN616" i="1"/>
  <c r="AM616" i="1"/>
  <c r="AL616" i="1"/>
  <c r="AK616" i="1"/>
  <c r="AJ616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AX615" i="1"/>
  <c r="AW615" i="1"/>
  <c r="AU615" i="1"/>
  <c r="AR615" i="1"/>
  <c r="AP615" i="1"/>
  <c r="AO615" i="1"/>
  <c r="AN615" i="1"/>
  <c r="AM615" i="1"/>
  <c r="AL615" i="1"/>
  <c r="AK615" i="1"/>
  <c r="AJ615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AX614" i="1"/>
  <c r="AW614" i="1"/>
  <c r="AU614" i="1"/>
  <c r="AR614" i="1"/>
  <c r="AP614" i="1"/>
  <c r="AO614" i="1"/>
  <c r="AN614" i="1"/>
  <c r="AM614" i="1"/>
  <c r="AL614" i="1"/>
  <c r="AK614" i="1"/>
  <c r="AJ614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AX613" i="1"/>
  <c r="AW613" i="1"/>
  <c r="AU613" i="1"/>
  <c r="AR613" i="1"/>
  <c r="AP613" i="1"/>
  <c r="AO613" i="1"/>
  <c r="AN613" i="1"/>
  <c r="AM613" i="1"/>
  <c r="AL613" i="1"/>
  <c r="AK613" i="1"/>
  <c r="AJ613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AX612" i="1"/>
  <c r="AW612" i="1"/>
  <c r="AU612" i="1"/>
  <c r="AR612" i="1"/>
  <c r="AP612" i="1"/>
  <c r="AO612" i="1"/>
  <c r="AN612" i="1"/>
  <c r="AM612" i="1"/>
  <c r="AL612" i="1"/>
  <c r="AK612" i="1"/>
  <c r="AJ612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AX611" i="1"/>
  <c r="AW611" i="1"/>
  <c r="AU611" i="1"/>
  <c r="AR611" i="1"/>
  <c r="AP611" i="1"/>
  <c r="AO611" i="1"/>
  <c r="AN611" i="1"/>
  <c r="AM611" i="1"/>
  <c r="AL611" i="1"/>
  <c r="AK611" i="1"/>
  <c r="AJ611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AX610" i="1"/>
  <c r="AW610" i="1"/>
  <c r="AU610" i="1"/>
  <c r="AR610" i="1"/>
  <c r="AP610" i="1"/>
  <c r="AO610" i="1"/>
  <c r="AN610" i="1"/>
  <c r="AM610" i="1"/>
  <c r="AL610" i="1"/>
  <c r="AK610" i="1"/>
  <c r="AJ610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AX609" i="1"/>
  <c r="AW609" i="1"/>
  <c r="AU609" i="1"/>
  <c r="AR609" i="1"/>
  <c r="AP609" i="1"/>
  <c r="AO609" i="1"/>
  <c r="AN609" i="1"/>
  <c r="AM609" i="1"/>
  <c r="AL609" i="1"/>
  <c r="AK609" i="1"/>
  <c r="AJ609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AX608" i="1"/>
  <c r="AW608" i="1"/>
  <c r="AU608" i="1"/>
  <c r="AR608" i="1"/>
  <c r="AP608" i="1"/>
  <c r="AO608" i="1"/>
  <c r="AN608" i="1"/>
  <c r="AM608" i="1"/>
  <c r="AL608" i="1"/>
  <c r="AK608" i="1"/>
  <c r="AJ608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AX607" i="1"/>
  <c r="AW607" i="1"/>
  <c r="AU607" i="1"/>
  <c r="AR607" i="1"/>
  <c r="AP607" i="1"/>
  <c r="AO607" i="1"/>
  <c r="AN607" i="1"/>
  <c r="AM607" i="1"/>
  <c r="AL607" i="1"/>
  <c r="AK607" i="1"/>
  <c r="AJ607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AX606" i="1"/>
  <c r="AW606" i="1"/>
  <c r="AU606" i="1"/>
  <c r="AR606" i="1"/>
  <c r="AP606" i="1"/>
  <c r="AO606" i="1"/>
  <c r="AN606" i="1"/>
  <c r="AM606" i="1"/>
  <c r="AL606" i="1"/>
  <c r="AK606" i="1"/>
  <c r="AJ606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AX605" i="1"/>
  <c r="AW605" i="1"/>
  <c r="AU605" i="1"/>
  <c r="AR605" i="1"/>
  <c r="AP605" i="1"/>
  <c r="AO605" i="1"/>
  <c r="AN605" i="1"/>
  <c r="AM605" i="1"/>
  <c r="AL605" i="1"/>
  <c r="AK605" i="1"/>
  <c r="AJ605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AX604" i="1"/>
  <c r="AW604" i="1"/>
  <c r="AU604" i="1"/>
  <c r="AR604" i="1"/>
  <c r="AP604" i="1"/>
  <c r="AO604" i="1"/>
  <c r="AN604" i="1"/>
  <c r="AM604" i="1"/>
  <c r="AL604" i="1"/>
  <c r="AK604" i="1"/>
  <c r="AJ604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AX603" i="1"/>
  <c r="AW603" i="1"/>
  <c r="AU603" i="1"/>
  <c r="AR603" i="1"/>
  <c r="AP603" i="1"/>
  <c r="AO603" i="1"/>
  <c r="AN603" i="1"/>
  <c r="AM603" i="1"/>
  <c r="AL603" i="1"/>
  <c r="AK603" i="1"/>
  <c r="AJ603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BO602" i="1"/>
  <c r="BN602" i="1"/>
  <c r="BM602" i="1"/>
  <c r="BL602" i="1"/>
  <c r="BK602" i="1"/>
  <c r="BJ602" i="1"/>
  <c r="AX602" i="1"/>
  <c r="AW602" i="1"/>
  <c r="AU602" i="1"/>
  <c r="AR602" i="1"/>
  <c r="AP602" i="1"/>
  <c r="AO602" i="1"/>
  <c r="AN602" i="1"/>
  <c r="AM602" i="1"/>
  <c r="AL602" i="1"/>
  <c r="AK602" i="1"/>
  <c r="AJ602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BO601" i="1"/>
  <c r="BN601" i="1"/>
  <c r="BM601" i="1"/>
  <c r="BL601" i="1"/>
  <c r="BK601" i="1"/>
  <c r="BJ601" i="1"/>
  <c r="AX601" i="1"/>
  <c r="AW601" i="1"/>
  <c r="AU601" i="1"/>
  <c r="AR601" i="1"/>
  <c r="AP601" i="1"/>
  <c r="AO601" i="1"/>
  <c r="AN601" i="1"/>
  <c r="AM601" i="1"/>
  <c r="AL601" i="1"/>
  <c r="AK601" i="1"/>
  <c r="AJ601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BO600" i="1"/>
  <c r="BN600" i="1"/>
  <c r="BM600" i="1"/>
  <c r="BL600" i="1"/>
  <c r="BK600" i="1"/>
  <c r="BJ600" i="1"/>
  <c r="AX600" i="1"/>
  <c r="AW600" i="1"/>
  <c r="AU600" i="1"/>
  <c r="AR600" i="1"/>
  <c r="AP600" i="1"/>
  <c r="AO600" i="1"/>
  <c r="AN600" i="1"/>
  <c r="AM600" i="1"/>
  <c r="AL600" i="1"/>
  <c r="AK600" i="1"/>
  <c r="AJ600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AX599" i="1"/>
  <c r="AW599" i="1"/>
  <c r="AU599" i="1"/>
  <c r="AR599" i="1"/>
  <c r="AP599" i="1"/>
  <c r="AO599" i="1"/>
  <c r="AN599" i="1"/>
  <c r="AM599" i="1"/>
  <c r="AL599" i="1"/>
  <c r="AK599" i="1"/>
  <c r="AJ599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AX598" i="1"/>
  <c r="AW598" i="1"/>
  <c r="AU598" i="1"/>
  <c r="AR598" i="1"/>
  <c r="AP598" i="1"/>
  <c r="AO598" i="1"/>
  <c r="AN598" i="1"/>
  <c r="AM598" i="1"/>
  <c r="AL598" i="1"/>
  <c r="AK598" i="1"/>
  <c r="AJ598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AX597" i="1"/>
  <c r="AW597" i="1"/>
  <c r="AU597" i="1"/>
  <c r="AR597" i="1"/>
  <c r="AP597" i="1"/>
  <c r="AO597" i="1"/>
  <c r="AN597" i="1"/>
  <c r="AM597" i="1"/>
  <c r="AL597" i="1"/>
  <c r="AK597" i="1"/>
  <c r="AJ597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AX596" i="1"/>
  <c r="AW596" i="1"/>
  <c r="AU596" i="1"/>
  <c r="AR596" i="1"/>
  <c r="AP596" i="1"/>
  <c r="AO596" i="1"/>
  <c r="AN596" i="1"/>
  <c r="AM596" i="1"/>
  <c r="AL596" i="1"/>
  <c r="AK596" i="1"/>
  <c r="AJ596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AX595" i="1"/>
  <c r="AW595" i="1"/>
  <c r="AU595" i="1"/>
  <c r="AR595" i="1"/>
  <c r="AP595" i="1"/>
  <c r="AO595" i="1"/>
  <c r="AN595" i="1"/>
  <c r="AM595" i="1"/>
  <c r="AL595" i="1"/>
  <c r="AK595" i="1"/>
  <c r="AJ595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AX594" i="1"/>
  <c r="AW594" i="1"/>
  <c r="AU594" i="1"/>
  <c r="AR594" i="1"/>
  <c r="AP594" i="1"/>
  <c r="AO594" i="1"/>
  <c r="AN594" i="1"/>
  <c r="AM594" i="1"/>
  <c r="AL594" i="1"/>
  <c r="AK594" i="1"/>
  <c r="AJ594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AX593" i="1"/>
  <c r="AW593" i="1"/>
  <c r="AU593" i="1"/>
  <c r="AR593" i="1"/>
  <c r="AP593" i="1"/>
  <c r="AO593" i="1"/>
  <c r="AN593" i="1"/>
  <c r="AM593" i="1"/>
  <c r="AL593" i="1"/>
  <c r="AK593" i="1"/>
  <c r="AJ593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AX592" i="1"/>
  <c r="AW592" i="1"/>
  <c r="AU592" i="1"/>
  <c r="AR592" i="1"/>
  <c r="AP592" i="1"/>
  <c r="AO592" i="1"/>
  <c r="AN592" i="1"/>
  <c r="AM592" i="1"/>
  <c r="AL592" i="1"/>
  <c r="AK592" i="1"/>
  <c r="AJ592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AX591" i="1"/>
  <c r="AW591" i="1"/>
  <c r="AU591" i="1"/>
  <c r="AR591" i="1"/>
  <c r="AP591" i="1"/>
  <c r="AO591" i="1"/>
  <c r="AN591" i="1"/>
  <c r="AM591" i="1"/>
  <c r="AL591" i="1"/>
  <c r="AK591" i="1"/>
  <c r="AJ591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AX590" i="1"/>
  <c r="AW590" i="1"/>
  <c r="AU590" i="1"/>
  <c r="AR590" i="1"/>
  <c r="AP590" i="1"/>
  <c r="AO590" i="1"/>
  <c r="AN590" i="1"/>
  <c r="AM590" i="1"/>
  <c r="AL590" i="1"/>
  <c r="AK590" i="1"/>
  <c r="AJ590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AX589" i="1"/>
  <c r="AW589" i="1"/>
  <c r="AU589" i="1"/>
  <c r="AR589" i="1"/>
  <c r="AP589" i="1"/>
  <c r="AO589" i="1"/>
  <c r="AN589" i="1"/>
  <c r="AM589" i="1"/>
  <c r="AL589" i="1"/>
  <c r="AK589" i="1"/>
  <c r="AJ589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AX588" i="1"/>
  <c r="AW588" i="1"/>
  <c r="AU588" i="1"/>
  <c r="AR588" i="1"/>
  <c r="AP588" i="1"/>
  <c r="AO588" i="1"/>
  <c r="AN588" i="1"/>
  <c r="AM588" i="1"/>
  <c r="AL588" i="1"/>
  <c r="AK588" i="1"/>
  <c r="AJ588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AX587" i="1"/>
  <c r="AW587" i="1"/>
  <c r="AU587" i="1"/>
  <c r="AR587" i="1"/>
  <c r="AP587" i="1"/>
  <c r="AO587" i="1"/>
  <c r="AN587" i="1"/>
  <c r="AM587" i="1"/>
  <c r="AL587" i="1"/>
  <c r="AK587" i="1"/>
  <c r="AJ587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AX586" i="1"/>
  <c r="AW586" i="1"/>
  <c r="AU586" i="1"/>
  <c r="AR586" i="1"/>
  <c r="AP586" i="1"/>
  <c r="AO586" i="1"/>
  <c r="AN586" i="1"/>
  <c r="AM586" i="1"/>
  <c r="AL586" i="1"/>
  <c r="AK586" i="1"/>
  <c r="AJ586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AX585" i="1"/>
  <c r="AW585" i="1"/>
  <c r="AU585" i="1"/>
  <c r="AR585" i="1"/>
  <c r="AP585" i="1"/>
  <c r="AO585" i="1"/>
  <c r="AN585" i="1"/>
  <c r="AM585" i="1"/>
  <c r="AL585" i="1"/>
  <c r="AK585" i="1"/>
  <c r="AJ585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AX584" i="1"/>
  <c r="AW584" i="1"/>
  <c r="AU584" i="1"/>
  <c r="AR584" i="1"/>
  <c r="AP584" i="1"/>
  <c r="AO584" i="1"/>
  <c r="AN584" i="1"/>
  <c r="AM584" i="1"/>
  <c r="AL584" i="1"/>
  <c r="AK584" i="1"/>
  <c r="AJ584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AX583" i="1"/>
  <c r="AW583" i="1"/>
  <c r="AU583" i="1"/>
  <c r="AR583" i="1"/>
  <c r="AP583" i="1"/>
  <c r="AO583" i="1"/>
  <c r="AN583" i="1"/>
  <c r="AM583" i="1"/>
  <c r="AL583" i="1"/>
  <c r="AK583" i="1"/>
  <c r="AJ583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AX582" i="1"/>
  <c r="AW582" i="1"/>
  <c r="AU582" i="1"/>
  <c r="AR582" i="1"/>
  <c r="AP582" i="1"/>
  <c r="AO582" i="1"/>
  <c r="AN582" i="1"/>
  <c r="AM582" i="1"/>
  <c r="AL582" i="1"/>
  <c r="AK582" i="1"/>
  <c r="AJ582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AX581" i="1"/>
  <c r="AW581" i="1"/>
  <c r="AU581" i="1"/>
  <c r="AR581" i="1"/>
  <c r="AP581" i="1"/>
  <c r="AO581" i="1"/>
  <c r="AN581" i="1"/>
  <c r="AM581" i="1"/>
  <c r="AL581" i="1"/>
  <c r="AK581" i="1"/>
  <c r="AJ581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AX580" i="1"/>
  <c r="AW580" i="1"/>
  <c r="AU580" i="1"/>
  <c r="AR580" i="1"/>
  <c r="AP580" i="1"/>
  <c r="AO580" i="1"/>
  <c r="AN580" i="1"/>
  <c r="AM580" i="1"/>
  <c r="AL580" i="1"/>
  <c r="AK580" i="1"/>
  <c r="AJ580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AX579" i="1"/>
  <c r="AW579" i="1"/>
  <c r="AU579" i="1"/>
  <c r="AR579" i="1"/>
  <c r="AP579" i="1"/>
  <c r="AO579" i="1"/>
  <c r="AN579" i="1"/>
  <c r="AM579" i="1"/>
  <c r="AL579" i="1"/>
  <c r="AK579" i="1"/>
  <c r="AJ579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BO578" i="1"/>
  <c r="BN578" i="1"/>
  <c r="BM578" i="1"/>
  <c r="BL578" i="1"/>
  <c r="BK578" i="1"/>
  <c r="BJ578" i="1"/>
  <c r="AX578" i="1"/>
  <c r="AW578" i="1"/>
  <c r="AU578" i="1"/>
  <c r="AR578" i="1"/>
  <c r="AP578" i="1"/>
  <c r="AO578" i="1"/>
  <c r="AN578" i="1"/>
  <c r="AM578" i="1"/>
  <c r="AL578" i="1"/>
  <c r="AK578" i="1"/>
  <c r="AJ578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BO577" i="1"/>
  <c r="BN577" i="1"/>
  <c r="BM577" i="1"/>
  <c r="BL577" i="1"/>
  <c r="BK577" i="1"/>
  <c r="BJ577" i="1"/>
  <c r="AX577" i="1"/>
  <c r="AW577" i="1"/>
  <c r="AU577" i="1"/>
  <c r="AR577" i="1"/>
  <c r="AP577" i="1"/>
  <c r="AO577" i="1"/>
  <c r="AN577" i="1"/>
  <c r="AM577" i="1"/>
  <c r="AL577" i="1"/>
  <c r="AK577" i="1"/>
  <c r="AJ577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BO576" i="1"/>
  <c r="BN576" i="1"/>
  <c r="BM576" i="1"/>
  <c r="BL576" i="1"/>
  <c r="BK576" i="1"/>
  <c r="BJ576" i="1"/>
  <c r="AX576" i="1"/>
  <c r="AW576" i="1"/>
  <c r="AU576" i="1"/>
  <c r="AR576" i="1"/>
  <c r="AP576" i="1"/>
  <c r="AO576" i="1"/>
  <c r="AN576" i="1"/>
  <c r="AM576" i="1"/>
  <c r="AL576" i="1"/>
  <c r="AK576" i="1"/>
  <c r="AJ576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AX575" i="1"/>
  <c r="AW575" i="1"/>
  <c r="AU575" i="1"/>
  <c r="AR575" i="1"/>
  <c r="AP575" i="1"/>
  <c r="AO575" i="1"/>
  <c r="AN575" i="1"/>
  <c r="AM575" i="1"/>
  <c r="AL575" i="1"/>
  <c r="AK575" i="1"/>
  <c r="AJ575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AX574" i="1"/>
  <c r="AW574" i="1"/>
  <c r="AU574" i="1"/>
  <c r="AR574" i="1"/>
  <c r="AP574" i="1"/>
  <c r="AO574" i="1"/>
  <c r="AN574" i="1"/>
  <c r="AM574" i="1"/>
  <c r="AL574" i="1"/>
  <c r="AK574" i="1"/>
  <c r="AJ574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AX573" i="1"/>
  <c r="AW573" i="1"/>
  <c r="AU573" i="1"/>
  <c r="AR573" i="1"/>
  <c r="AP573" i="1"/>
  <c r="AO573" i="1"/>
  <c r="AN573" i="1"/>
  <c r="AM573" i="1"/>
  <c r="AL573" i="1"/>
  <c r="AK573" i="1"/>
  <c r="AJ573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AX572" i="1"/>
  <c r="AW572" i="1"/>
  <c r="AU572" i="1"/>
  <c r="AR572" i="1"/>
  <c r="AP572" i="1"/>
  <c r="AO572" i="1"/>
  <c r="AN572" i="1"/>
  <c r="AM572" i="1"/>
  <c r="AL572" i="1"/>
  <c r="AK572" i="1"/>
  <c r="AJ572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AX571" i="1"/>
  <c r="AW571" i="1"/>
  <c r="AU571" i="1"/>
  <c r="AR571" i="1"/>
  <c r="AP571" i="1"/>
  <c r="AO571" i="1"/>
  <c r="AN571" i="1"/>
  <c r="AM571" i="1"/>
  <c r="AL571" i="1"/>
  <c r="AK571" i="1"/>
  <c r="AJ571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AX570" i="1"/>
  <c r="AW570" i="1"/>
  <c r="AU570" i="1"/>
  <c r="AR570" i="1"/>
  <c r="AP570" i="1"/>
  <c r="AO570" i="1"/>
  <c r="AN570" i="1"/>
  <c r="AM570" i="1"/>
  <c r="AL570" i="1"/>
  <c r="AK570" i="1"/>
  <c r="AJ570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AX569" i="1"/>
  <c r="AW569" i="1"/>
  <c r="AU569" i="1"/>
  <c r="AR569" i="1"/>
  <c r="AP569" i="1"/>
  <c r="AO569" i="1"/>
  <c r="AN569" i="1"/>
  <c r="AM569" i="1"/>
  <c r="AL569" i="1"/>
  <c r="AK569" i="1"/>
  <c r="AJ569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AX568" i="1"/>
  <c r="AW568" i="1"/>
  <c r="AU568" i="1"/>
  <c r="AR568" i="1"/>
  <c r="AP568" i="1"/>
  <c r="AO568" i="1"/>
  <c r="AN568" i="1"/>
  <c r="AM568" i="1"/>
  <c r="AL568" i="1"/>
  <c r="AK568" i="1"/>
  <c r="AJ568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AX567" i="1"/>
  <c r="AW567" i="1"/>
  <c r="AU567" i="1"/>
  <c r="AR567" i="1"/>
  <c r="AP567" i="1"/>
  <c r="AO567" i="1"/>
  <c r="AN567" i="1"/>
  <c r="AM567" i="1"/>
  <c r="AL567" i="1"/>
  <c r="AK567" i="1"/>
  <c r="AJ567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AX566" i="1"/>
  <c r="AW566" i="1"/>
  <c r="AU566" i="1"/>
  <c r="AR566" i="1"/>
  <c r="AP566" i="1"/>
  <c r="AO566" i="1"/>
  <c r="AN566" i="1"/>
  <c r="AM566" i="1"/>
  <c r="AL566" i="1"/>
  <c r="AK566" i="1"/>
  <c r="AJ566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AX565" i="1"/>
  <c r="AW565" i="1"/>
  <c r="AU565" i="1"/>
  <c r="AR565" i="1"/>
  <c r="AP565" i="1"/>
  <c r="AO565" i="1"/>
  <c r="AN565" i="1"/>
  <c r="AM565" i="1"/>
  <c r="AL565" i="1"/>
  <c r="AK565" i="1"/>
  <c r="AJ565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AX564" i="1"/>
  <c r="AW564" i="1"/>
  <c r="AU564" i="1"/>
  <c r="AR564" i="1"/>
  <c r="AP564" i="1"/>
  <c r="AO564" i="1"/>
  <c r="AN564" i="1"/>
  <c r="AM564" i="1"/>
  <c r="AL564" i="1"/>
  <c r="AK564" i="1"/>
  <c r="AJ564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AX563" i="1"/>
  <c r="AW563" i="1"/>
  <c r="AU563" i="1"/>
  <c r="AR563" i="1"/>
  <c r="AP563" i="1"/>
  <c r="AO563" i="1"/>
  <c r="AN563" i="1"/>
  <c r="AM563" i="1"/>
  <c r="AL563" i="1"/>
  <c r="AK563" i="1"/>
  <c r="AJ563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AX562" i="1"/>
  <c r="AW562" i="1"/>
  <c r="AU562" i="1"/>
  <c r="AR562" i="1"/>
  <c r="AP562" i="1"/>
  <c r="AO562" i="1"/>
  <c r="AN562" i="1"/>
  <c r="AM562" i="1"/>
  <c r="AL562" i="1"/>
  <c r="AK562" i="1"/>
  <c r="AJ562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AX561" i="1"/>
  <c r="AW561" i="1"/>
  <c r="AU561" i="1"/>
  <c r="AR561" i="1"/>
  <c r="AP561" i="1"/>
  <c r="AO561" i="1"/>
  <c r="AN561" i="1"/>
  <c r="AM561" i="1"/>
  <c r="AL561" i="1"/>
  <c r="AK561" i="1"/>
  <c r="AJ561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AX560" i="1"/>
  <c r="AW560" i="1"/>
  <c r="AU560" i="1"/>
  <c r="AR560" i="1"/>
  <c r="AP560" i="1"/>
  <c r="AO560" i="1"/>
  <c r="AN560" i="1"/>
  <c r="AM560" i="1"/>
  <c r="AL560" i="1"/>
  <c r="AK560" i="1"/>
  <c r="AJ560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AX559" i="1"/>
  <c r="AW559" i="1"/>
  <c r="AU559" i="1"/>
  <c r="AR559" i="1"/>
  <c r="AP559" i="1"/>
  <c r="AO559" i="1"/>
  <c r="AN559" i="1"/>
  <c r="AM559" i="1"/>
  <c r="AL559" i="1"/>
  <c r="AK559" i="1"/>
  <c r="AJ559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AX558" i="1"/>
  <c r="AW558" i="1"/>
  <c r="AU558" i="1"/>
  <c r="AR558" i="1"/>
  <c r="AP558" i="1"/>
  <c r="AO558" i="1"/>
  <c r="AN558" i="1"/>
  <c r="AM558" i="1"/>
  <c r="AL558" i="1"/>
  <c r="AK558" i="1"/>
  <c r="AJ558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AX557" i="1"/>
  <c r="AW557" i="1"/>
  <c r="AU557" i="1"/>
  <c r="AR557" i="1"/>
  <c r="AP557" i="1"/>
  <c r="AO557" i="1"/>
  <c r="AN557" i="1"/>
  <c r="AM557" i="1"/>
  <c r="AL557" i="1"/>
  <c r="AK557" i="1"/>
  <c r="AJ557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AX556" i="1"/>
  <c r="AW556" i="1"/>
  <c r="AU556" i="1"/>
  <c r="AR556" i="1"/>
  <c r="AP556" i="1"/>
  <c r="AO556" i="1"/>
  <c r="AN556" i="1"/>
  <c r="AM556" i="1"/>
  <c r="AL556" i="1"/>
  <c r="AK556" i="1"/>
  <c r="AJ556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AX555" i="1"/>
  <c r="AW555" i="1"/>
  <c r="AU555" i="1"/>
  <c r="AR555" i="1"/>
  <c r="AP555" i="1"/>
  <c r="AO555" i="1"/>
  <c r="AN555" i="1"/>
  <c r="AM555" i="1"/>
  <c r="AL555" i="1"/>
  <c r="AK555" i="1"/>
  <c r="AJ555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BO554" i="1"/>
  <c r="BN554" i="1"/>
  <c r="BM554" i="1"/>
  <c r="BL554" i="1"/>
  <c r="BK554" i="1"/>
  <c r="BJ554" i="1"/>
  <c r="AX554" i="1"/>
  <c r="AW554" i="1"/>
  <c r="AU554" i="1"/>
  <c r="AR554" i="1"/>
  <c r="AP554" i="1"/>
  <c r="AO554" i="1"/>
  <c r="AN554" i="1"/>
  <c r="AM554" i="1"/>
  <c r="AL554" i="1"/>
  <c r="AK554" i="1"/>
  <c r="AJ554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AX553" i="1"/>
  <c r="AW553" i="1"/>
  <c r="AU553" i="1"/>
  <c r="AR553" i="1"/>
  <c r="AP553" i="1"/>
  <c r="AO553" i="1"/>
  <c r="AN553" i="1"/>
  <c r="AM553" i="1"/>
  <c r="AL553" i="1"/>
  <c r="AK553" i="1"/>
  <c r="AJ553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BO552" i="1"/>
  <c r="BN552" i="1"/>
  <c r="BM552" i="1"/>
  <c r="BL552" i="1"/>
  <c r="BK552" i="1"/>
  <c r="BJ552" i="1"/>
  <c r="AX552" i="1"/>
  <c r="AW552" i="1"/>
  <c r="AU552" i="1"/>
  <c r="AR552" i="1"/>
  <c r="AP552" i="1"/>
  <c r="AO552" i="1"/>
  <c r="AN552" i="1"/>
  <c r="AM552" i="1"/>
  <c r="AL552" i="1"/>
  <c r="AK552" i="1"/>
  <c r="AJ552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AX551" i="1"/>
  <c r="AW551" i="1"/>
  <c r="AU551" i="1"/>
  <c r="AR551" i="1"/>
  <c r="AP551" i="1"/>
  <c r="AO551" i="1"/>
  <c r="AN551" i="1"/>
  <c r="AM551" i="1"/>
  <c r="AL551" i="1"/>
  <c r="AK551" i="1"/>
  <c r="AJ551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AX550" i="1"/>
  <c r="AW550" i="1"/>
  <c r="AU550" i="1"/>
  <c r="AR550" i="1"/>
  <c r="AP550" i="1"/>
  <c r="AO550" i="1"/>
  <c r="AN550" i="1"/>
  <c r="AM550" i="1"/>
  <c r="AL550" i="1"/>
  <c r="AK550" i="1"/>
  <c r="AJ550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AX549" i="1"/>
  <c r="AW549" i="1"/>
  <c r="AU549" i="1"/>
  <c r="AR549" i="1"/>
  <c r="AP549" i="1"/>
  <c r="AO549" i="1"/>
  <c r="AN549" i="1"/>
  <c r="AM549" i="1"/>
  <c r="AL549" i="1"/>
  <c r="AK549" i="1"/>
  <c r="AJ549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AX548" i="1"/>
  <c r="AW548" i="1"/>
  <c r="AU548" i="1"/>
  <c r="AR548" i="1"/>
  <c r="AP548" i="1"/>
  <c r="AO548" i="1"/>
  <c r="AN548" i="1"/>
  <c r="AM548" i="1"/>
  <c r="AL548" i="1"/>
  <c r="AK548" i="1"/>
  <c r="AJ548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AX547" i="1"/>
  <c r="AW547" i="1"/>
  <c r="AU547" i="1"/>
  <c r="AR547" i="1"/>
  <c r="AP547" i="1"/>
  <c r="AO547" i="1"/>
  <c r="AN547" i="1"/>
  <c r="AM547" i="1"/>
  <c r="AL547" i="1"/>
  <c r="AK547" i="1"/>
  <c r="AJ547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AX546" i="1"/>
  <c r="AW546" i="1"/>
  <c r="AU546" i="1"/>
  <c r="AR546" i="1"/>
  <c r="AP546" i="1"/>
  <c r="AO546" i="1"/>
  <c r="AN546" i="1"/>
  <c r="AM546" i="1"/>
  <c r="AL546" i="1"/>
  <c r="AK546" i="1"/>
  <c r="AJ546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AX545" i="1"/>
  <c r="AW545" i="1"/>
  <c r="AU545" i="1"/>
  <c r="AR545" i="1"/>
  <c r="AP545" i="1"/>
  <c r="AO545" i="1"/>
  <c r="AN545" i="1"/>
  <c r="AM545" i="1"/>
  <c r="AL545" i="1"/>
  <c r="AK545" i="1"/>
  <c r="AJ545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AX544" i="1"/>
  <c r="AW544" i="1"/>
  <c r="AU544" i="1"/>
  <c r="AR544" i="1"/>
  <c r="AP544" i="1"/>
  <c r="AO544" i="1"/>
  <c r="AN544" i="1"/>
  <c r="AM544" i="1"/>
  <c r="AL544" i="1"/>
  <c r="AK544" i="1"/>
  <c r="AJ544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AX543" i="1"/>
  <c r="AW543" i="1"/>
  <c r="AU543" i="1"/>
  <c r="AR543" i="1"/>
  <c r="AP543" i="1"/>
  <c r="AO543" i="1"/>
  <c r="AN543" i="1"/>
  <c r="AM543" i="1"/>
  <c r="AL543" i="1"/>
  <c r="AK543" i="1"/>
  <c r="AJ543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AX542" i="1"/>
  <c r="AW542" i="1"/>
  <c r="AU542" i="1"/>
  <c r="AR542" i="1"/>
  <c r="AP542" i="1"/>
  <c r="AO542" i="1"/>
  <c r="AN542" i="1"/>
  <c r="AM542" i="1"/>
  <c r="AL542" i="1"/>
  <c r="AK542" i="1"/>
  <c r="AJ542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AX541" i="1"/>
  <c r="AW541" i="1"/>
  <c r="AU541" i="1"/>
  <c r="AR541" i="1"/>
  <c r="AP541" i="1"/>
  <c r="AO541" i="1"/>
  <c r="AN541" i="1"/>
  <c r="AM541" i="1"/>
  <c r="AL541" i="1"/>
  <c r="AK541" i="1"/>
  <c r="AJ541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AX540" i="1"/>
  <c r="AW540" i="1"/>
  <c r="AU540" i="1"/>
  <c r="AR540" i="1"/>
  <c r="AP540" i="1"/>
  <c r="AO540" i="1"/>
  <c r="AN540" i="1"/>
  <c r="AM540" i="1"/>
  <c r="AL540" i="1"/>
  <c r="AK540" i="1"/>
  <c r="AJ540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AX539" i="1"/>
  <c r="AW539" i="1"/>
  <c r="AU539" i="1"/>
  <c r="AR539" i="1"/>
  <c r="AP539" i="1"/>
  <c r="AO539" i="1"/>
  <c r="AN539" i="1"/>
  <c r="AM539" i="1"/>
  <c r="AL539" i="1"/>
  <c r="AK539" i="1"/>
  <c r="AJ539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AX538" i="1"/>
  <c r="AW538" i="1"/>
  <c r="AU538" i="1"/>
  <c r="AR538" i="1"/>
  <c r="AP538" i="1"/>
  <c r="AO538" i="1"/>
  <c r="AN538" i="1"/>
  <c r="AM538" i="1"/>
  <c r="AL538" i="1"/>
  <c r="AK538" i="1"/>
  <c r="AJ538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AX537" i="1"/>
  <c r="AW537" i="1"/>
  <c r="AU537" i="1"/>
  <c r="AR537" i="1"/>
  <c r="AP537" i="1"/>
  <c r="AO537" i="1"/>
  <c r="AN537" i="1"/>
  <c r="AM537" i="1"/>
  <c r="AL537" i="1"/>
  <c r="AK537" i="1"/>
  <c r="AJ537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AX536" i="1"/>
  <c r="AW536" i="1"/>
  <c r="AU536" i="1"/>
  <c r="AR536" i="1"/>
  <c r="AP536" i="1"/>
  <c r="AO536" i="1"/>
  <c r="AN536" i="1"/>
  <c r="AM536" i="1"/>
  <c r="AL536" i="1"/>
  <c r="AK536" i="1"/>
  <c r="AJ536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AX535" i="1"/>
  <c r="AW535" i="1"/>
  <c r="AU535" i="1"/>
  <c r="AR535" i="1"/>
  <c r="AP535" i="1"/>
  <c r="AO535" i="1"/>
  <c r="AN535" i="1"/>
  <c r="AM535" i="1"/>
  <c r="AL535" i="1"/>
  <c r="AK535" i="1"/>
  <c r="AJ535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AX534" i="1"/>
  <c r="AW534" i="1"/>
  <c r="AU534" i="1"/>
  <c r="AR534" i="1"/>
  <c r="AP534" i="1"/>
  <c r="AO534" i="1"/>
  <c r="AN534" i="1"/>
  <c r="AM534" i="1"/>
  <c r="AL534" i="1"/>
  <c r="AK534" i="1"/>
  <c r="AJ534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AX533" i="1"/>
  <c r="AW533" i="1"/>
  <c r="AU533" i="1"/>
  <c r="AR533" i="1"/>
  <c r="AP533" i="1"/>
  <c r="AO533" i="1"/>
  <c r="AN533" i="1"/>
  <c r="AM533" i="1"/>
  <c r="AL533" i="1"/>
  <c r="AK533" i="1"/>
  <c r="AJ533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AX532" i="1"/>
  <c r="AW532" i="1"/>
  <c r="AU532" i="1"/>
  <c r="AR532" i="1"/>
  <c r="AP532" i="1"/>
  <c r="AO532" i="1"/>
  <c r="AN532" i="1"/>
  <c r="AM532" i="1"/>
  <c r="AL532" i="1"/>
  <c r="AK532" i="1"/>
  <c r="AJ532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AX531" i="1"/>
  <c r="AW531" i="1"/>
  <c r="AU531" i="1"/>
  <c r="AR531" i="1"/>
  <c r="AP531" i="1"/>
  <c r="AO531" i="1"/>
  <c r="AN531" i="1"/>
  <c r="AM531" i="1"/>
  <c r="AL531" i="1"/>
  <c r="AK531" i="1"/>
  <c r="AJ531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BO530" i="1"/>
  <c r="BN530" i="1"/>
  <c r="BM530" i="1"/>
  <c r="BL530" i="1"/>
  <c r="BK530" i="1"/>
  <c r="BJ530" i="1"/>
  <c r="AX530" i="1"/>
  <c r="AW530" i="1"/>
  <c r="AU530" i="1"/>
  <c r="AR530" i="1"/>
  <c r="AP530" i="1"/>
  <c r="AO530" i="1"/>
  <c r="AN530" i="1"/>
  <c r="AM530" i="1"/>
  <c r="AL530" i="1"/>
  <c r="AK530" i="1"/>
  <c r="AJ530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BO529" i="1"/>
  <c r="BN529" i="1"/>
  <c r="BM529" i="1"/>
  <c r="BL529" i="1"/>
  <c r="BK529" i="1"/>
  <c r="BJ529" i="1"/>
  <c r="AX529" i="1"/>
  <c r="AW529" i="1"/>
  <c r="AU529" i="1"/>
  <c r="AR529" i="1"/>
  <c r="AP529" i="1"/>
  <c r="AO529" i="1"/>
  <c r="AN529" i="1"/>
  <c r="AM529" i="1"/>
  <c r="AL529" i="1"/>
  <c r="AK529" i="1"/>
  <c r="AJ529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BO528" i="1"/>
  <c r="BN528" i="1"/>
  <c r="BM528" i="1"/>
  <c r="BL528" i="1"/>
  <c r="BK528" i="1"/>
  <c r="BJ528" i="1"/>
  <c r="AX528" i="1"/>
  <c r="AW528" i="1"/>
  <c r="AU528" i="1"/>
  <c r="AR528" i="1"/>
  <c r="AP528" i="1"/>
  <c r="AO528" i="1"/>
  <c r="AN528" i="1"/>
  <c r="AM528" i="1"/>
  <c r="AL528" i="1"/>
  <c r="AK528" i="1"/>
  <c r="AJ528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AX527" i="1"/>
  <c r="AW527" i="1"/>
  <c r="AU527" i="1"/>
  <c r="AR527" i="1"/>
  <c r="AP527" i="1"/>
  <c r="AO527" i="1"/>
  <c r="AN527" i="1"/>
  <c r="AM527" i="1"/>
  <c r="AL527" i="1"/>
  <c r="AK527" i="1"/>
  <c r="AJ527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AX526" i="1"/>
  <c r="AW526" i="1"/>
  <c r="AU526" i="1"/>
  <c r="AR526" i="1"/>
  <c r="AP526" i="1"/>
  <c r="AO526" i="1"/>
  <c r="AN526" i="1"/>
  <c r="AM526" i="1"/>
  <c r="AL526" i="1"/>
  <c r="AK526" i="1"/>
  <c r="AJ526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AX525" i="1"/>
  <c r="AW525" i="1"/>
  <c r="AU525" i="1"/>
  <c r="AR525" i="1"/>
  <c r="AP525" i="1"/>
  <c r="AO525" i="1"/>
  <c r="AN525" i="1"/>
  <c r="AM525" i="1"/>
  <c r="AL525" i="1"/>
  <c r="AK525" i="1"/>
  <c r="AJ525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AX524" i="1"/>
  <c r="AW524" i="1"/>
  <c r="AU524" i="1"/>
  <c r="AR524" i="1"/>
  <c r="AP524" i="1"/>
  <c r="AO524" i="1"/>
  <c r="AN524" i="1"/>
  <c r="AM524" i="1"/>
  <c r="AL524" i="1"/>
  <c r="AK524" i="1"/>
  <c r="AJ524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AX523" i="1"/>
  <c r="AW523" i="1"/>
  <c r="AU523" i="1"/>
  <c r="AR523" i="1"/>
  <c r="AP523" i="1"/>
  <c r="AO523" i="1"/>
  <c r="AN523" i="1"/>
  <c r="AM523" i="1"/>
  <c r="AL523" i="1"/>
  <c r="AK523" i="1"/>
  <c r="AJ523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AX522" i="1"/>
  <c r="AW522" i="1"/>
  <c r="AU522" i="1"/>
  <c r="AR522" i="1"/>
  <c r="AP522" i="1"/>
  <c r="AO522" i="1"/>
  <c r="AN522" i="1"/>
  <c r="AM522" i="1"/>
  <c r="AL522" i="1"/>
  <c r="AK522" i="1"/>
  <c r="AJ522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AX521" i="1"/>
  <c r="AW521" i="1"/>
  <c r="AU521" i="1"/>
  <c r="AR521" i="1"/>
  <c r="AP521" i="1"/>
  <c r="AO521" i="1"/>
  <c r="AN521" i="1"/>
  <c r="AM521" i="1"/>
  <c r="AL521" i="1"/>
  <c r="AK521" i="1"/>
  <c r="AJ521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AX520" i="1"/>
  <c r="AW520" i="1"/>
  <c r="AU520" i="1"/>
  <c r="AR520" i="1"/>
  <c r="AP520" i="1"/>
  <c r="AO520" i="1"/>
  <c r="AN520" i="1"/>
  <c r="AM520" i="1"/>
  <c r="AL520" i="1"/>
  <c r="AK520" i="1"/>
  <c r="AJ520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AX519" i="1"/>
  <c r="AW519" i="1"/>
  <c r="AU519" i="1"/>
  <c r="AR519" i="1"/>
  <c r="AP519" i="1"/>
  <c r="AO519" i="1"/>
  <c r="AN519" i="1"/>
  <c r="AM519" i="1"/>
  <c r="AL519" i="1"/>
  <c r="AK519" i="1"/>
  <c r="AJ519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AX518" i="1"/>
  <c r="AW518" i="1"/>
  <c r="AU518" i="1"/>
  <c r="AR518" i="1"/>
  <c r="AP518" i="1"/>
  <c r="AO518" i="1"/>
  <c r="AN518" i="1"/>
  <c r="AM518" i="1"/>
  <c r="AL518" i="1"/>
  <c r="AK518" i="1"/>
  <c r="AJ518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AX517" i="1"/>
  <c r="AW517" i="1"/>
  <c r="AU517" i="1"/>
  <c r="AR517" i="1"/>
  <c r="AP517" i="1"/>
  <c r="AO517" i="1"/>
  <c r="AN517" i="1"/>
  <c r="AM517" i="1"/>
  <c r="AL517" i="1"/>
  <c r="AK517" i="1"/>
  <c r="AJ517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AX516" i="1"/>
  <c r="AW516" i="1"/>
  <c r="AU516" i="1"/>
  <c r="AR516" i="1"/>
  <c r="AP516" i="1"/>
  <c r="AO516" i="1"/>
  <c r="AN516" i="1"/>
  <c r="AM516" i="1"/>
  <c r="AL516" i="1"/>
  <c r="AK516" i="1"/>
  <c r="AJ516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AX515" i="1"/>
  <c r="AW515" i="1"/>
  <c r="AU515" i="1"/>
  <c r="AR515" i="1"/>
  <c r="AP515" i="1"/>
  <c r="AO515" i="1"/>
  <c r="AN515" i="1"/>
  <c r="AM515" i="1"/>
  <c r="AL515" i="1"/>
  <c r="AK515" i="1"/>
  <c r="AJ515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AX514" i="1"/>
  <c r="AW514" i="1"/>
  <c r="AU514" i="1"/>
  <c r="AR514" i="1"/>
  <c r="AP514" i="1"/>
  <c r="AO514" i="1"/>
  <c r="AN514" i="1"/>
  <c r="AM514" i="1"/>
  <c r="AL514" i="1"/>
  <c r="AK514" i="1"/>
  <c r="AJ514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AX513" i="1"/>
  <c r="AW513" i="1"/>
  <c r="AU513" i="1"/>
  <c r="AR513" i="1"/>
  <c r="AP513" i="1"/>
  <c r="AO513" i="1"/>
  <c r="AN513" i="1"/>
  <c r="AM513" i="1"/>
  <c r="AL513" i="1"/>
  <c r="AK513" i="1"/>
  <c r="AJ513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AX512" i="1"/>
  <c r="AW512" i="1"/>
  <c r="AU512" i="1"/>
  <c r="AR512" i="1"/>
  <c r="AP512" i="1"/>
  <c r="AO512" i="1"/>
  <c r="AN512" i="1"/>
  <c r="AM512" i="1"/>
  <c r="AL512" i="1"/>
  <c r="AK512" i="1"/>
  <c r="AJ512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AX511" i="1"/>
  <c r="AW511" i="1"/>
  <c r="AU511" i="1"/>
  <c r="AR511" i="1"/>
  <c r="AP511" i="1"/>
  <c r="AO511" i="1"/>
  <c r="AN511" i="1"/>
  <c r="AM511" i="1"/>
  <c r="AL511" i="1"/>
  <c r="AK511" i="1"/>
  <c r="AJ511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AX510" i="1"/>
  <c r="AW510" i="1"/>
  <c r="AU510" i="1"/>
  <c r="AR510" i="1"/>
  <c r="AP510" i="1"/>
  <c r="AO510" i="1"/>
  <c r="AN510" i="1"/>
  <c r="AM510" i="1"/>
  <c r="AL510" i="1"/>
  <c r="AK510" i="1"/>
  <c r="AJ510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AX509" i="1"/>
  <c r="AW509" i="1"/>
  <c r="AU509" i="1"/>
  <c r="AR509" i="1"/>
  <c r="AP509" i="1"/>
  <c r="AO509" i="1"/>
  <c r="AN509" i="1"/>
  <c r="AM509" i="1"/>
  <c r="AL509" i="1"/>
  <c r="AK509" i="1"/>
  <c r="AJ509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AX508" i="1"/>
  <c r="AW508" i="1"/>
  <c r="AU508" i="1"/>
  <c r="AR508" i="1"/>
  <c r="AP508" i="1"/>
  <c r="AO508" i="1"/>
  <c r="AN508" i="1"/>
  <c r="AM508" i="1"/>
  <c r="AL508" i="1"/>
  <c r="AK508" i="1"/>
  <c r="AJ508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AX507" i="1"/>
  <c r="AW507" i="1"/>
  <c r="AU507" i="1"/>
  <c r="AR507" i="1"/>
  <c r="AP507" i="1"/>
  <c r="AO507" i="1"/>
  <c r="AN507" i="1"/>
  <c r="AM507" i="1"/>
  <c r="AL507" i="1"/>
  <c r="AK507" i="1"/>
  <c r="AJ507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BO506" i="1"/>
  <c r="BN506" i="1"/>
  <c r="BM506" i="1"/>
  <c r="BL506" i="1"/>
  <c r="BK506" i="1"/>
  <c r="BJ506" i="1"/>
  <c r="AX506" i="1"/>
  <c r="AW506" i="1"/>
  <c r="AU506" i="1"/>
  <c r="AR506" i="1"/>
  <c r="AP506" i="1"/>
  <c r="AO506" i="1"/>
  <c r="AN506" i="1"/>
  <c r="AM506" i="1"/>
  <c r="AL506" i="1"/>
  <c r="AK506" i="1"/>
  <c r="AJ506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BO505" i="1"/>
  <c r="BN505" i="1"/>
  <c r="BM505" i="1"/>
  <c r="BL505" i="1"/>
  <c r="BK505" i="1"/>
  <c r="BJ505" i="1"/>
  <c r="AX505" i="1"/>
  <c r="AW505" i="1"/>
  <c r="AU505" i="1"/>
  <c r="AR505" i="1"/>
  <c r="AP505" i="1"/>
  <c r="AO505" i="1"/>
  <c r="AN505" i="1"/>
  <c r="AM505" i="1"/>
  <c r="AL505" i="1"/>
  <c r="AK505" i="1"/>
  <c r="AJ505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BO504" i="1"/>
  <c r="BN504" i="1"/>
  <c r="BM504" i="1"/>
  <c r="BL504" i="1"/>
  <c r="BK504" i="1"/>
  <c r="BJ504" i="1"/>
  <c r="AX504" i="1"/>
  <c r="AW504" i="1"/>
  <c r="AU504" i="1"/>
  <c r="AR504" i="1"/>
  <c r="AP504" i="1"/>
  <c r="AO504" i="1"/>
  <c r="AN504" i="1"/>
  <c r="AM504" i="1"/>
  <c r="AL504" i="1"/>
  <c r="AK504" i="1"/>
  <c r="AJ504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AX503" i="1"/>
  <c r="AW503" i="1"/>
  <c r="AU503" i="1"/>
  <c r="AR503" i="1"/>
  <c r="AP503" i="1"/>
  <c r="AO503" i="1"/>
  <c r="AN503" i="1"/>
  <c r="AM503" i="1"/>
  <c r="AL503" i="1"/>
  <c r="AK503" i="1"/>
  <c r="AJ503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AX502" i="1"/>
  <c r="AW502" i="1"/>
  <c r="AU502" i="1"/>
  <c r="AR502" i="1"/>
  <c r="AP502" i="1"/>
  <c r="AO502" i="1"/>
  <c r="AN502" i="1"/>
  <c r="AM502" i="1"/>
  <c r="AL502" i="1"/>
  <c r="AK502" i="1"/>
  <c r="AJ502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AX501" i="1"/>
  <c r="AW501" i="1"/>
  <c r="AU501" i="1"/>
  <c r="AR501" i="1"/>
  <c r="AP501" i="1"/>
  <c r="AO501" i="1"/>
  <c r="AN501" i="1"/>
  <c r="AM501" i="1"/>
  <c r="AL501" i="1"/>
  <c r="AK501" i="1"/>
  <c r="AJ501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AX500" i="1"/>
  <c r="AW500" i="1"/>
  <c r="AU500" i="1"/>
  <c r="AR500" i="1"/>
  <c r="AP500" i="1"/>
  <c r="AO500" i="1"/>
  <c r="AN500" i="1"/>
  <c r="AM500" i="1"/>
  <c r="AL500" i="1"/>
  <c r="AK500" i="1"/>
  <c r="AJ500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AX499" i="1"/>
  <c r="AW499" i="1"/>
  <c r="AU499" i="1"/>
  <c r="AR499" i="1"/>
  <c r="AP499" i="1"/>
  <c r="AO499" i="1"/>
  <c r="AN499" i="1"/>
  <c r="AM499" i="1"/>
  <c r="AL499" i="1"/>
  <c r="AK499" i="1"/>
  <c r="AJ499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AX498" i="1"/>
  <c r="AW498" i="1"/>
  <c r="AU498" i="1"/>
  <c r="AR498" i="1"/>
  <c r="AP498" i="1"/>
  <c r="AO498" i="1"/>
  <c r="AN498" i="1"/>
  <c r="AM498" i="1"/>
  <c r="AL498" i="1"/>
  <c r="AK498" i="1"/>
  <c r="AJ498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AX497" i="1"/>
  <c r="AW497" i="1"/>
  <c r="AU497" i="1"/>
  <c r="AR497" i="1"/>
  <c r="AP497" i="1"/>
  <c r="AO497" i="1"/>
  <c r="AN497" i="1"/>
  <c r="AM497" i="1"/>
  <c r="AL497" i="1"/>
  <c r="AK497" i="1"/>
  <c r="AJ497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AX496" i="1"/>
  <c r="AW496" i="1"/>
  <c r="AU496" i="1"/>
  <c r="AR496" i="1"/>
  <c r="AP496" i="1"/>
  <c r="AO496" i="1"/>
  <c r="AN496" i="1"/>
  <c r="AM496" i="1"/>
  <c r="AL496" i="1"/>
  <c r="AK496" i="1"/>
  <c r="AJ496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AX495" i="1"/>
  <c r="AW495" i="1"/>
  <c r="AU495" i="1"/>
  <c r="AR495" i="1"/>
  <c r="AP495" i="1"/>
  <c r="AO495" i="1"/>
  <c r="AN495" i="1"/>
  <c r="AM495" i="1"/>
  <c r="AL495" i="1"/>
  <c r="AK495" i="1"/>
  <c r="AJ495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AX494" i="1"/>
  <c r="AW494" i="1"/>
  <c r="AU494" i="1"/>
  <c r="AR494" i="1"/>
  <c r="AP494" i="1"/>
  <c r="AO494" i="1"/>
  <c r="AN494" i="1"/>
  <c r="AM494" i="1"/>
  <c r="AL494" i="1"/>
  <c r="AK494" i="1"/>
  <c r="AJ494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AX493" i="1"/>
  <c r="AW493" i="1"/>
  <c r="AU493" i="1"/>
  <c r="AR493" i="1"/>
  <c r="AP493" i="1"/>
  <c r="AO493" i="1"/>
  <c r="AN493" i="1"/>
  <c r="AM493" i="1"/>
  <c r="AL493" i="1"/>
  <c r="AK493" i="1"/>
  <c r="AJ493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AX492" i="1"/>
  <c r="AW492" i="1"/>
  <c r="AU492" i="1"/>
  <c r="AR492" i="1"/>
  <c r="AP492" i="1"/>
  <c r="AO492" i="1"/>
  <c r="AN492" i="1"/>
  <c r="AM492" i="1"/>
  <c r="AL492" i="1"/>
  <c r="AK492" i="1"/>
  <c r="AJ492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AX491" i="1"/>
  <c r="AW491" i="1"/>
  <c r="AU491" i="1"/>
  <c r="AR491" i="1"/>
  <c r="AP491" i="1"/>
  <c r="AO491" i="1"/>
  <c r="AN491" i="1"/>
  <c r="AM491" i="1"/>
  <c r="AL491" i="1"/>
  <c r="AK491" i="1"/>
  <c r="AJ491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AX490" i="1"/>
  <c r="AW490" i="1"/>
  <c r="AU490" i="1"/>
  <c r="AR490" i="1"/>
  <c r="AP490" i="1"/>
  <c r="AO490" i="1"/>
  <c r="AN490" i="1"/>
  <c r="AM490" i="1"/>
  <c r="AL490" i="1"/>
  <c r="AK490" i="1"/>
  <c r="AJ490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AX489" i="1"/>
  <c r="AW489" i="1"/>
  <c r="AU489" i="1"/>
  <c r="AR489" i="1"/>
  <c r="AP489" i="1"/>
  <c r="AO489" i="1"/>
  <c r="AN489" i="1"/>
  <c r="AM489" i="1"/>
  <c r="AL489" i="1"/>
  <c r="AK489" i="1"/>
  <c r="AJ489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AX488" i="1"/>
  <c r="AW488" i="1"/>
  <c r="AU488" i="1"/>
  <c r="AR488" i="1"/>
  <c r="AP488" i="1"/>
  <c r="AO488" i="1"/>
  <c r="AN488" i="1"/>
  <c r="AM488" i="1"/>
  <c r="AL488" i="1"/>
  <c r="AK488" i="1"/>
  <c r="AJ488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AX487" i="1"/>
  <c r="AW487" i="1"/>
  <c r="AU487" i="1"/>
  <c r="AR487" i="1"/>
  <c r="AP487" i="1"/>
  <c r="AO487" i="1"/>
  <c r="AN487" i="1"/>
  <c r="AM487" i="1"/>
  <c r="AL487" i="1"/>
  <c r="AK487" i="1"/>
  <c r="AJ487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AX486" i="1"/>
  <c r="AW486" i="1"/>
  <c r="AU486" i="1"/>
  <c r="AR486" i="1"/>
  <c r="AP486" i="1"/>
  <c r="AO486" i="1"/>
  <c r="AN486" i="1"/>
  <c r="AM486" i="1"/>
  <c r="AL486" i="1"/>
  <c r="AK486" i="1"/>
  <c r="AJ486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AX485" i="1"/>
  <c r="AW485" i="1"/>
  <c r="AU485" i="1"/>
  <c r="AR485" i="1"/>
  <c r="AP485" i="1"/>
  <c r="AO485" i="1"/>
  <c r="AN485" i="1"/>
  <c r="AM485" i="1"/>
  <c r="AL485" i="1"/>
  <c r="AK485" i="1"/>
  <c r="AJ485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AX484" i="1"/>
  <c r="AW484" i="1"/>
  <c r="AU484" i="1"/>
  <c r="AR484" i="1"/>
  <c r="AP484" i="1"/>
  <c r="AO484" i="1"/>
  <c r="AN484" i="1"/>
  <c r="AM484" i="1"/>
  <c r="AL484" i="1"/>
  <c r="AK484" i="1"/>
  <c r="AJ484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AX483" i="1"/>
  <c r="AW483" i="1"/>
  <c r="AU483" i="1"/>
  <c r="AR483" i="1"/>
  <c r="AP483" i="1"/>
  <c r="AO483" i="1"/>
  <c r="AN483" i="1"/>
  <c r="AM483" i="1"/>
  <c r="AL483" i="1"/>
  <c r="AK483" i="1"/>
  <c r="AJ483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BO482" i="1"/>
  <c r="BN482" i="1"/>
  <c r="BM482" i="1"/>
  <c r="BL482" i="1"/>
  <c r="BK482" i="1"/>
  <c r="BJ482" i="1"/>
  <c r="AX482" i="1"/>
  <c r="AW482" i="1"/>
  <c r="AU482" i="1"/>
  <c r="AR482" i="1"/>
  <c r="AP482" i="1"/>
  <c r="AO482" i="1"/>
  <c r="AN482" i="1"/>
  <c r="AM482" i="1"/>
  <c r="AL482" i="1"/>
  <c r="AK482" i="1"/>
  <c r="AJ482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BO481" i="1"/>
  <c r="BN481" i="1"/>
  <c r="BM481" i="1"/>
  <c r="BL481" i="1"/>
  <c r="BK481" i="1"/>
  <c r="BJ481" i="1"/>
  <c r="AX481" i="1"/>
  <c r="AW481" i="1"/>
  <c r="AU481" i="1"/>
  <c r="AR481" i="1"/>
  <c r="AP481" i="1"/>
  <c r="AO481" i="1"/>
  <c r="AN481" i="1"/>
  <c r="AM481" i="1"/>
  <c r="AL481" i="1"/>
  <c r="AK481" i="1"/>
  <c r="AJ481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BO480" i="1"/>
  <c r="BN480" i="1"/>
  <c r="BM480" i="1"/>
  <c r="BL480" i="1"/>
  <c r="BK480" i="1"/>
  <c r="BJ480" i="1"/>
  <c r="AX480" i="1"/>
  <c r="AW480" i="1"/>
  <c r="AU480" i="1"/>
  <c r="AR480" i="1"/>
  <c r="AP480" i="1"/>
  <c r="AO480" i="1"/>
  <c r="AN480" i="1"/>
  <c r="AM480" i="1"/>
  <c r="AL480" i="1"/>
  <c r="AK480" i="1"/>
  <c r="AJ480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AX479" i="1"/>
  <c r="AW479" i="1"/>
  <c r="AU479" i="1"/>
  <c r="AR479" i="1"/>
  <c r="AP479" i="1"/>
  <c r="AO479" i="1"/>
  <c r="AN479" i="1"/>
  <c r="AM479" i="1"/>
  <c r="AL479" i="1"/>
  <c r="AK479" i="1"/>
  <c r="AJ479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AX478" i="1"/>
  <c r="AW478" i="1"/>
  <c r="AU478" i="1"/>
  <c r="AR478" i="1"/>
  <c r="AP478" i="1"/>
  <c r="AO478" i="1"/>
  <c r="AN478" i="1"/>
  <c r="AM478" i="1"/>
  <c r="AL478" i="1"/>
  <c r="AK478" i="1"/>
  <c r="AJ478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AX477" i="1"/>
  <c r="AW477" i="1"/>
  <c r="AU477" i="1"/>
  <c r="AR477" i="1"/>
  <c r="AP477" i="1"/>
  <c r="AO477" i="1"/>
  <c r="AN477" i="1"/>
  <c r="AM477" i="1"/>
  <c r="AL477" i="1"/>
  <c r="AK477" i="1"/>
  <c r="AJ477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AX476" i="1"/>
  <c r="AW476" i="1"/>
  <c r="AU476" i="1"/>
  <c r="AR476" i="1"/>
  <c r="AP476" i="1"/>
  <c r="AO476" i="1"/>
  <c r="AN476" i="1"/>
  <c r="AM476" i="1"/>
  <c r="AL476" i="1"/>
  <c r="AK476" i="1"/>
  <c r="AJ476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AX475" i="1"/>
  <c r="AW475" i="1"/>
  <c r="AU475" i="1"/>
  <c r="AR475" i="1"/>
  <c r="AP475" i="1"/>
  <c r="AO475" i="1"/>
  <c r="AN475" i="1"/>
  <c r="AM475" i="1"/>
  <c r="AL475" i="1"/>
  <c r="AK475" i="1"/>
  <c r="AJ475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AX474" i="1"/>
  <c r="AW474" i="1"/>
  <c r="AU474" i="1"/>
  <c r="AR474" i="1"/>
  <c r="AP474" i="1"/>
  <c r="AO474" i="1"/>
  <c r="AN474" i="1"/>
  <c r="AM474" i="1"/>
  <c r="AL474" i="1"/>
  <c r="AK474" i="1"/>
  <c r="AJ474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AX473" i="1"/>
  <c r="AW473" i="1"/>
  <c r="AU473" i="1"/>
  <c r="AR473" i="1"/>
  <c r="AP473" i="1"/>
  <c r="AO473" i="1"/>
  <c r="AN473" i="1"/>
  <c r="AM473" i="1"/>
  <c r="AL473" i="1"/>
  <c r="AK473" i="1"/>
  <c r="AJ473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AX472" i="1"/>
  <c r="AW472" i="1"/>
  <c r="AU472" i="1"/>
  <c r="AR472" i="1"/>
  <c r="AP472" i="1"/>
  <c r="AO472" i="1"/>
  <c r="AN472" i="1"/>
  <c r="AM472" i="1"/>
  <c r="AL472" i="1"/>
  <c r="AK472" i="1"/>
  <c r="AJ472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AX471" i="1"/>
  <c r="AW471" i="1"/>
  <c r="AU471" i="1"/>
  <c r="AR471" i="1"/>
  <c r="AP471" i="1"/>
  <c r="AO471" i="1"/>
  <c r="AN471" i="1"/>
  <c r="AM471" i="1"/>
  <c r="AL471" i="1"/>
  <c r="AK471" i="1"/>
  <c r="AJ471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AX470" i="1"/>
  <c r="AW470" i="1"/>
  <c r="AU470" i="1"/>
  <c r="AR470" i="1"/>
  <c r="AP470" i="1"/>
  <c r="AO470" i="1"/>
  <c r="AN470" i="1"/>
  <c r="AM470" i="1"/>
  <c r="AL470" i="1"/>
  <c r="AK470" i="1"/>
  <c r="AJ470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AX469" i="1"/>
  <c r="AW469" i="1"/>
  <c r="AU469" i="1"/>
  <c r="AR469" i="1"/>
  <c r="AP469" i="1"/>
  <c r="AO469" i="1"/>
  <c r="AN469" i="1"/>
  <c r="AM469" i="1"/>
  <c r="AL469" i="1"/>
  <c r="AK469" i="1"/>
  <c r="AJ469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AX468" i="1"/>
  <c r="AW468" i="1"/>
  <c r="AU468" i="1"/>
  <c r="AR468" i="1"/>
  <c r="AP468" i="1"/>
  <c r="AO468" i="1"/>
  <c r="AN468" i="1"/>
  <c r="AM468" i="1"/>
  <c r="AL468" i="1"/>
  <c r="AK468" i="1"/>
  <c r="AJ468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AX467" i="1"/>
  <c r="AW467" i="1"/>
  <c r="AU467" i="1"/>
  <c r="AR467" i="1"/>
  <c r="AP467" i="1"/>
  <c r="AO467" i="1"/>
  <c r="AN467" i="1"/>
  <c r="AM467" i="1"/>
  <c r="AL467" i="1"/>
  <c r="AK467" i="1"/>
  <c r="AJ467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AX466" i="1"/>
  <c r="AW466" i="1"/>
  <c r="AU466" i="1"/>
  <c r="AR466" i="1"/>
  <c r="AP466" i="1"/>
  <c r="AO466" i="1"/>
  <c r="AN466" i="1"/>
  <c r="AM466" i="1"/>
  <c r="AL466" i="1"/>
  <c r="AK466" i="1"/>
  <c r="AJ466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AX465" i="1"/>
  <c r="AW465" i="1"/>
  <c r="AU465" i="1"/>
  <c r="AR465" i="1"/>
  <c r="AP465" i="1"/>
  <c r="AO465" i="1"/>
  <c r="AN465" i="1"/>
  <c r="AM465" i="1"/>
  <c r="AL465" i="1"/>
  <c r="AK465" i="1"/>
  <c r="AJ465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AX464" i="1"/>
  <c r="AW464" i="1"/>
  <c r="AU464" i="1"/>
  <c r="AR464" i="1"/>
  <c r="AP464" i="1"/>
  <c r="AO464" i="1"/>
  <c r="AN464" i="1"/>
  <c r="AM464" i="1"/>
  <c r="AL464" i="1"/>
  <c r="AK464" i="1"/>
  <c r="AJ464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AX463" i="1"/>
  <c r="AW463" i="1"/>
  <c r="AU463" i="1"/>
  <c r="AR463" i="1"/>
  <c r="AP463" i="1"/>
  <c r="AO463" i="1"/>
  <c r="AN463" i="1"/>
  <c r="AM463" i="1"/>
  <c r="AL463" i="1"/>
  <c r="AK463" i="1"/>
  <c r="AJ463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AX462" i="1"/>
  <c r="AW462" i="1"/>
  <c r="AU462" i="1"/>
  <c r="AR462" i="1"/>
  <c r="AP462" i="1"/>
  <c r="AO462" i="1"/>
  <c r="AN462" i="1"/>
  <c r="AM462" i="1"/>
  <c r="AL462" i="1"/>
  <c r="AK462" i="1"/>
  <c r="AJ462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AX461" i="1"/>
  <c r="AW461" i="1"/>
  <c r="AU461" i="1"/>
  <c r="AR461" i="1"/>
  <c r="AP461" i="1"/>
  <c r="AO461" i="1"/>
  <c r="AN461" i="1"/>
  <c r="AM461" i="1"/>
  <c r="AL461" i="1"/>
  <c r="AK461" i="1"/>
  <c r="AJ461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AX460" i="1"/>
  <c r="AW460" i="1"/>
  <c r="AU460" i="1"/>
  <c r="AR460" i="1"/>
  <c r="AP460" i="1"/>
  <c r="AO460" i="1"/>
  <c r="AN460" i="1"/>
  <c r="AM460" i="1"/>
  <c r="AL460" i="1"/>
  <c r="AK460" i="1"/>
  <c r="AJ460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AX459" i="1"/>
  <c r="AW459" i="1"/>
  <c r="AU459" i="1"/>
  <c r="AR459" i="1"/>
  <c r="AP459" i="1"/>
  <c r="AO459" i="1"/>
  <c r="AN459" i="1"/>
  <c r="AM459" i="1"/>
  <c r="AL459" i="1"/>
  <c r="AK459" i="1"/>
  <c r="AJ459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AX458" i="1"/>
  <c r="AW458" i="1"/>
  <c r="AU458" i="1"/>
  <c r="AR458" i="1"/>
  <c r="AP458" i="1"/>
  <c r="AO458" i="1"/>
  <c r="AN458" i="1"/>
  <c r="AM458" i="1"/>
  <c r="AL458" i="1"/>
  <c r="AK458" i="1"/>
  <c r="AJ458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AX457" i="1"/>
  <c r="AW457" i="1"/>
  <c r="AU457" i="1"/>
  <c r="AR457" i="1"/>
  <c r="AP457" i="1"/>
  <c r="AO457" i="1"/>
  <c r="AN457" i="1"/>
  <c r="AM457" i="1"/>
  <c r="AL457" i="1"/>
  <c r="AK457" i="1"/>
  <c r="AJ457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AX456" i="1"/>
  <c r="AW456" i="1"/>
  <c r="AU456" i="1"/>
  <c r="AR456" i="1"/>
  <c r="AP456" i="1"/>
  <c r="AO456" i="1"/>
  <c r="AN456" i="1"/>
  <c r="AM456" i="1"/>
  <c r="AL456" i="1"/>
  <c r="AK456" i="1"/>
  <c r="AJ456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AX455" i="1"/>
  <c r="AW455" i="1"/>
  <c r="AU455" i="1"/>
  <c r="AR455" i="1"/>
  <c r="AP455" i="1"/>
  <c r="AO455" i="1"/>
  <c r="AN455" i="1"/>
  <c r="AM455" i="1"/>
  <c r="AL455" i="1"/>
  <c r="AK455" i="1"/>
  <c r="AJ455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AX454" i="1"/>
  <c r="AW454" i="1"/>
  <c r="AU454" i="1"/>
  <c r="AR454" i="1"/>
  <c r="AP454" i="1"/>
  <c r="AO454" i="1"/>
  <c r="AN454" i="1"/>
  <c r="AM454" i="1"/>
  <c r="AL454" i="1"/>
  <c r="AK454" i="1"/>
  <c r="AJ454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AX453" i="1"/>
  <c r="AW453" i="1"/>
  <c r="AU453" i="1"/>
  <c r="AR453" i="1"/>
  <c r="AP453" i="1"/>
  <c r="AO453" i="1"/>
  <c r="AN453" i="1"/>
  <c r="AM453" i="1"/>
  <c r="AL453" i="1"/>
  <c r="AK453" i="1"/>
  <c r="AJ453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AX452" i="1"/>
  <c r="AW452" i="1"/>
  <c r="AU452" i="1"/>
  <c r="AR452" i="1"/>
  <c r="AP452" i="1"/>
  <c r="AO452" i="1"/>
  <c r="AN452" i="1"/>
  <c r="AM452" i="1"/>
  <c r="AL452" i="1"/>
  <c r="AK452" i="1"/>
  <c r="AJ452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AX451" i="1"/>
  <c r="AW451" i="1"/>
  <c r="AU451" i="1"/>
  <c r="AR451" i="1"/>
  <c r="AP451" i="1"/>
  <c r="AO451" i="1"/>
  <c r="AN451" i="1"/>
  <c r="AM451" i="1"/>
  <c r="AL451" i="1"/>
  <c r="AK451" i="1"/>
  <c r="AJ451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AX450" i="1"/>
  <c r="AW450" i="1"/>
  <c r="AU450" i="1"/>
  <c r="AR450" i="1"/>
  <c r="AP450" i="1"/>
  <c r="AO450" i="1"/>
  <c r="AN450" i="1"/>
  <c r="AM450" i="1"/>
  <c r="AL450" i="1"/>
  <c r="AK450" i="1"/>
  <c r="AJ450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AX449" i="1"/>
  <c r="AW449" i="1"/>
  <c r="AU449" i="1"/>
  <c r="AR449" i="1"/>
  <c r="AP449" i="1"/>
  <c r="AO449" i="1"/>
  <c r="AN449" i="1"/>
  <c r="AM449" i="1"/>
  <c r="AL449" i="1"/>
  <c r="AK449" i="1"/>
  <c r="AJ449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AX448" i="1"/>
  <c r="AW448" i="1"/>
  <c r="AU448" i="1"/>
  <c r="AR448" i="1"/>
  <c r="AP448" i="1"/>
  <c r="AO448" i="1"/>
  <c r="AN448" i="1"/>
  <c r="AM448" i="1"/>
  <c r="AL448" i="1"/>
  <c r="AK448" i="1"/>
  <c r="AJ448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AX447" i="1"/>
  <c r="AW447" i="1"/>
  <c r="AU447" i="1"/>
  <c r="AR447" i="1"/>
  <c r="AP447" i="1"/>
  <c r="AO447" i="1"/>
  <c r="AN447" i="1"/>
  <c r="AM447" i="1"/>
  <c r="AL447" i="1"/>
  <c r="AK447" i="1"/>
  <c r="AJ447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AX446" i="1"/>
  <c r="AW446" i="1"/>
  <c r="AU446" i="1"/>
  <c r="AR446" i="1"/>
  <c r="AP446" i="1"/>
  <c r="AO446" i="1"/>
  <c r="AN446" i="1"/>
  <c r="AM446" i="1"/>
  <c r="AL446" i="1"/>
  <c r="AK446" i="1"/>
  <c r="AJ446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AX445" i="1"/>
  <c r="AW445" i="1"/>
  <c r="AU445" i="1"/>
  <c r="AR445" i="1"/>
  <c r="AP445" i="1"/>
  <c r="AO445" i="1"/>
  <c r="AN445" i="1"/>
  <c r="AM445" i="1"/>
  <c r="AL445" i="1"/>
  <c r="AK445" i="1"/>
  <c r="AJ445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AX444" i="1"/>
  <c r="AW444" i="1"/>
  <c r="AU444" i="1"/>
  <c r="AR444" i="1"/>
  <c r="AP444" i="1"/>
  <c r="AO444" i="1"/>
  <c r="AN444" i="1"/>
  <c r="AM444" i="1"/>
  <c r="AL444" i="1"/>
  <c r="AK444" i="1"/>
  <c r="AJ444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AX443" i="1"/>
  <c r="AW443" i="1"/>
  <c r="AU443" i="1"/>
  <c r="AR443" i="1"/>
  <c r="AP443" i="1"/>
  <c r="AO443" i="1"/>
  <c r="AN443" i="1"/>
  <c r="AM443" i="1"/>
  <c r="AL443" i="1"/>
  <c r="AK443" i="1"/>
  <c r="AJ443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AX442" i="1"/>
  <c r="AW442" i="1"/>
  <c r="AU442" i="1"/>
  <c r="AR442" i="1"/>
  <c r="AP442" i="1"/>
  <c r="AO442" i="1"/>
  <c r="AN442" i="1"/>
  <c r="AM442" i="1"/>
  <c r="AL442" i="1"/>
  <c r="AK442" i="1"/>
  <c r="AJ442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AX441" i="1"/>
  <c r="AW441" i="1"/>
  <c r="AU441" i="1"/>
  <c r="AR441" i="1"/>
  <c r="AP441" i="1"/>
  <c r="AO441" i="1"/>
  <c r="AN441" i="1"/>
  <c r="AM441" i="1"/>
  <c r="AL441" i="1"/>
  <c r="AK441" i="1"/>
  <c r="AJ441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AX440" i="1"/>
  <c r="AW440" i="1"/>
  <c r="AU440" i="1"/>
  <c r="AR440" i="1"/>
  <c r="AP440" i="1"/>
  <c r="AO440" i="1"/>
  <c r="AN440" i="1"/>
  <c r="AM440" i="1"/>
  <c r="AL440" i="1"/>
  <c r="AK440" i="1"/>
  <c r="AJ440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AX439" i="1"/>
  <c r="AW439" i="1"/>
  <c r="AU439" i="1"/>
  <c r="AR439" i="1"/>
  <c r="AP439" i="1"/>
  <c r="AO439" i="1"/>
  <c r="AN439" i="1"/>
  <c r="AM439" i="1"/>
  <c r="AL439" i="1"/>
  <c r="AK439" i="1"/>
  <c r="AJ439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AX438" i="1"/>
  <c r="AW438" i="1"/>
  <c r="AU438" i="1"/>
  <c r="AR438" i="1"/>
  <c r="AP438" i="1"/>
  <c r="AO438" i="1"/>
  <c r="AN438" i="1"/>
  <c r="AM438" i="1"/>
  <c r="AL438" i="1"/>
  <c r="AK438" i="1"/>
  <c r="AJ438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AX437" i="1"/>
  <c r="AW437" i="1"/>
  <c r="AU437" i="1"/>
  <c r="AR437" i="1"/>
  <c r="AP437" i="1"/>
  <c r="AO437" i="1"/>
  <c r="AN437" i="1"/>
  <c r="AM437" i="1"/>
  <c r="AL437" i="1"/>
  <c r="AK437" i="1"/>
  <c r="AJ437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AX436" i="1"/>
  <c r="AW436" i="1"/>
  <c r="AU436" i="1"/>
  <c r="AR436" i="1"/>
  <c r="AP436" i="1"/>
  <c r="AO436" i="1"/>
  <c r="AN436" i="1"/>
  <c r="AM436" i="1"/>
  <c r="AL436" i="1"/>
  <c r="AK436" i="1"/>
  <c r="AJ436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AX435" i="1"/>
  <c r="AW435" i="1"/>
  <c r="AU435" i="1"/>
  <c r="AR435" i="1"/>
  <c r="AP435" i="1"/>
  <c r="AO435" i="1"/>
  <c r="AN435" i="1"/>
  <c r="AM435" i="1"/>
  <c r="AL435" i="1"/>
  <c r="AK435" i="1"/>
  <c r="AJ435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AX434" i="1"/>
  <c r="AW434" i="1"/>
  <c r="AU434" i="1"/>
  <c r="AR434" i="1"/>
  <c r="AP434" i="1"/>
  <c r="AO434" i="1"/>
  <c r="AN434" i="1"/>
  <c r="AM434" i="1"/>
  <c r="AL434" i="1"/>
  <c r="AK434" i="1"/>
  <c r="AJ434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AX433" i="1"/>
  <c r="AW433" i="1"/>
  <c r="AU433" i="1"/>
  <c r="AR433" i="1"/>
  <c r="AP433" i="1"/>
  <c r="AO433" i="1"/>
  <c r="AN433" i="1"/>
  <c r="AM433" i="1"/>
  <c r="AL433" i="1"/>
  <c r="AK433" i="1"/>
  <c r="AJ433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AX432" i="1"/>
  <c r="AW432" i="1"/>
  <c r="AU432" i="1"/>
  <c r="AR432" i="1"/>
  <c r="AP432" i="1"/>
  <c r="AO432" i="1"/>
  <c r="AN432" i="1"/>
  <c r="AM432" i="1"/>
  <c r="AL432" i="1"/>
  <c r="AK432" i="1"/>
  <c r="AJ432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AX431" i="1"/>
  <c r="AW431" i="1"/>
  <c r="AU431" i="1"/>
  <c r="AR431" i="1"/>
  <c r="AP431" i="1"/>
  <c r="AO431" i="1"/>
  <c r="AN431" i="1"/>
  <c r="AM431" i="1"/>
  <c r="AL431" i="1"/>
  <c r="AK431" i="1"/>
  <c r="AJ431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AX430" i="1"/>
  <c r="AW430" i="1"/>
  <c r="AU430" i="1"/>
  <c r="AR430" i="1"/>
  <c r="AP430" i="1"/>
  <c r="AO430" i="1"/>
  <c r="AN430" i="1"/>
  <c r="AM430" i="1"/>
  <c r="AL430" i="1"/>
  <c r="AK430" i="1"/>
  <c r="AJ430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AX429" i="1"/>
  <c r="AW429" i="1"/>
  <c r="AU429" i="1"/>
  <c r="AR429" i="1"/>
  <c r="AP429" i="1"/>
  <c r="AO429" i="1"/>
  <c r="AN429" i="1"/>
  <c r="AM429" i="1"/>
  <c r="AL429" i="1"/>
  <c r="AK429" i="1"/>
  <c r="AJ429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AX428" i="1"/>
  <c r="AW428" i="1"/>
  <c r="AU428" i="1"/>
  <c r="AR428" i="1"/>
  <c r="AP428" i="1"/>
  <c r="AO428" i="1"/>
  <c r="AN428" i="1"/>
  <c r="AM428" i="1"/>
  <c r="AL428" i="1"/>
  <c r="AK428" i="1"/>
  <c r="AJ428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AX427" i="1"/>
  <c r="AW427" i="1"/>
  <c r="AU427" i="1"/>
  <c r="AR427" i="1"/>
  <c r="AP427" i="1"/>
  <c r="AO427" i="1"/>
  <c r="AN427" i="1"/>
  <c r="AM427" i="1"/>
  <c r="AL427" i="1"/>
  <c r="AK427" i="1"/>
  <c r="AJ427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AX426" i="1"/>
  <c r="AW426" i="1"/>
  <c r="AU426" i="1"/>
  <c r="AR426" i="1"/>
  <c r="AP426" i="1"/>
  <c r="AO426" i="1"/>
  <c r="AN426" i="1"/>
  <c r="AM426" i="1"/>
  <c r="AL426" i="1"/>
  <c r="AK426" i="1"/>
  <c r="AJ426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AX425" i="1"/>
  <c r="AW425" i="1"/>
  <c r="AU425" i="1"/>
  <c r="AR425" i="1"/>
  <c r="AP425" i="1"/>
  <c r="AO425" i="1"/>
  <c r="AN425" i="1"/>
  <c r="AM425" i="1"/>
  <c r="AL425" i="1"/>
  <c r="AK425" i="1"/>
  <c r="AJ425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AX424" i="1"/>
  <c r="AW424" i="1"/>
  <c r="AU424" i="1"/>
  <c r="AR424" i="1"/>
  <c r="AP424" i="1"/>
  <c r="AO424" i="1"/>
  <c r="AN424" i="1"/>
  <c r="AM424" i="1"/>
  <c r="AL424" i="1"/>
  <c r="AK424" i="1"/>
  <c r="AJ424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AX423" i="1"/>
  <c r="AW423" i="1"/>
  <c r="AU423" i="1"/>
  <c r="AR423" i="1"/>
  <c r="AP423" i="1"/>
  <c r="AO423" i="1"/>
  <c r="AN423" i="1"/>
  <c r="AM423" i="1"/>
  <c r="AL423" i="1"/>
  <c r="AK423" i="1"/>
  <c r="AJ423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AX422" i="1"/>
  <c r="AW422" i="1"/>
  <c r="AU422" i="1"/>
  <c r="AR422" i="1"/>
  <c r="AP422" i="1"/>
  <c r="AO422" i="1"/>
  <c r="AN422" i="1"/>
  <c r="AM422" i="1"/>
  <c r="AL422" i="1"/>
  <c r="AK422" i="1"/>
  <c r="AJ422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AX421" i="1"/>
  <c r="AW421" i="1"/>
  <c r="AU421" i="1"/>
  <c r="AR421" i="1"/>
  <c r="AP421" i="1"/>
  <c r="AO421" i="1"/>
  <c r="AN421" i="1"/>
  <c r="AM421" i="1"/>
  <c r="AL421" i="1"/>
  <c r="AK421" i="1"/>
  <c r="AJ421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AX420" i="1"/>
  <c r="AW420" i="1"/>
  <c r="AU420" i="1"/>
  <c r="AR420" i="1"/>
  <c r="AP420" i="1"/>
  <c r="AO420" i="1"/>
  <c r="AN420" i="1"/>
  <c r="AM420" i="1"/>
  <c r="AL420" i="1"/>
  <c r="AK420" i="1"/>
  <c r="AJ420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AX419" i="1"/>
  <c r="AW419" i="1"/>
  <c r="AU419" i="1"/>
  <c r="AR419" i="1"/>
  <c r="AP419" i="1"/>
  <c r="AO419" i="1"/>
  <c r="AN419" i="1"/>
  <c r="AM419" i="1"/>
  <c r="AL419" i="1"/>
  <c r="AK419" i="1"/>
  <c r="AJ419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AX418" i="1"/>
  <c r="AW418" i="1"/>
  <c r="AU418" i="1"/>
  <c r="AR418" i="1"/>
  <c r="AP418" i="1"/>
  <c r="AO418" i="1"/>
  <c r="AN418" i="1"/>
  <c r="AM418" i="1"/>
  <c r="AL418" i="1"/>
  <c r="AK418" i="1"/>
  <c r="AJ418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AX417" i="1"/>
  <c r="AW417" i="1"/>
  <c r="AU417" i="1"/>
  <c r="AR417" i="1"/>
  <c r="AP417" i="1"/>
  <c r="AO417" i="1"/>
  <c r="AN417" i="1"/>
  <c r="AM417" i="1"/>
  <c r="AL417" i="1"/>
  <c r="AK417" i="1"/>
  <c r="AJ417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AX416" i="1"/>
  <c r="AW416" i="1"/>
  <c r="AU416" i="1"/>
  <c r="AR416" i="1"/>
  <c r="AP416" i="1"/>
  <c r="AO416" i="1"/>
  <c r="AN416" i="1"/>
  <c r="AM416" i="1"/>
  <c r="AL416" i="1"/>
  <c r="AK416" i="1"/>
  <c r="AJ416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AX415" i="1"/>
  <c r="AW415" i="1"/>
  <c r="AU415" i="1"/>
  <c r="AR415" i="1"/>
  <c r="AP415" i="1"/>
  <c r="AO415" i="1"/>
  <c r="AN415" i="1"/>
  <c r="AM415" i="1"/>
  <c r="AL415" i="1"/>
  <c r="AK415" i="1"/>
  <c r="AJ415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AX414" i="1"/>
  <c r="AW414" i="1"/>
  <c r="AU414" i="1"/>
  <c r="AR414" i="1"/>
  <c r="AP414" i="1"/>
  <c r="AO414" i="1"/>
  <c r="AN414" i="1"/>
  <c r="AM414" i="1"/>
  <c r="AL414" i="1"/>
  <c r="AK414" i="1"/>
  <c r="AJ414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AX413" i="1"/>
  <c r="AW413" i="1"/>
  <c r="AU413" i="1"/>
  <c r="AR413" i="1"/>
  <c r="AP413" i="1"/>
  <c r="AO413" i="1"/>
  <c r="AN413" i="1"/>
  <c r="AM413" i="1"/>
  <c r="AL413" i="1"/>
  <c r="AK413" i="1"/>
  <c r="AJ413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AX412" i="1"/>
  <c r="AW412" i="1"/>
  <c r="AU412" i="1"/>
  <c r="AR412" i="1"/>
  <c r="AP412" i="1"/>
  <c r="AO412" i="1"/>
  <c r="AN412" i="1"/>
  <c r="AM412" i="1"/>
  <c r="AL412" i="1"/>
  <c r="AK412" i="1"/>
  <c r="AJ412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AX411" i="1"/>
  <c r="AW411" i="1"/>
  <c r="AU411" i="1"/>
  <c r="AR411" i="1"/>
  <c r="AP411" i="1"/>
  <c r="AO411" i="1"/>
  <c r="AN411" i="1"/>
  <c r="AM411" i="1"/>
  <c r="AL411" i="1"/>
  <c r="AK411" i="1"/>
  <c r="AJ411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AX410" i="1"/>
  <c r="AW410" i="1"/>
  <c r="AU410" i="1"/>
  <c r="AR410" i="1"/>
  <c r="AP410" i="1"/>
  <c r="AO410" i="1"/>
  <c r="AN410" i="1"/>
  <c r="AM410" i="1"/>
  <c r="AL410" i="1"/>
  <c r="AK410" i="1"/>
  <c r="AJ410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AX409" i="1"/>
  <c r="AW409" i="1"/>
  <c r="AU409" i="1"/>
  <c r="AR409" i="1"/>
  <c r="AP409" i="1"/>
  <c r="AO409" i="1"/>
  <c r="AN409" i="1"/>
  <c r="AM409" i="1"/>
  <c r="AL409" i="1"/>
  <c r="AK409" i="1"/>
  <c r="AJ409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AX408" i="1"/>
  <c r="AW408" i="1"/>
  <c r="AU408" i="1"/>
  <c r="AR408" i="1"/>
  <c r="AP408" i="1"/>
  <c r="AO408" i="1"/>
  <c r="AN408" i="1"/>
  <c r="AM408" i="1"/>
  <c r="AL408" i="1"/>
  <c r="AK408" i="1"/>
  <c r="AJ408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AX407" i="1"/>
  <c r="AW407" i="1"/>
  <c r="AU407" i="1"/>
  <c r="AR407" i="1"/>
  <c r="AP407" i="1"/>
  <c r="AO407" i="1"/>
  <c r="AN407" i="1"/>
  <c r="AM407" i="1"/>
  <c r="AL407" i="1"/>
  <c r="AK407" i="1"/>
  <c r="AJ407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AX406" i="1"/>
  <c r="AW406" i="1"/>
  <c r="AU406" i="1"/>
  <c r="AR406" i="1"/>
  <c r="AP406" i="1"/>
  <c r="AO406" i="1"/>
  <c r="AN406" i="1"/>
  <c r="AM406" i="1"/>
  <c r="AL406" i="1"/>
  <c r="AK406" i="1"/>
  <c r="AJ406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AX405" i="1"/>
  <c r="AW405" i="1"/>
  <c r="AU405" i="1"/>
  <c r="AR405" i="1"/>
  <c r="AP405" i="1"/>
  <c r="AO405" i="1"/>
  <c r="AN405" i="1"/>
  <c r="AM405" i="1"/>
  <c r="AL405" i="1"/>
  <c r="AK405" i="1"/>
  <c r="AJ405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AX404" i="1"/>
  <c r="AW404" i="1"/>
  <c r="AU404" i="1"/>
  <c r="AR404" i="1"/>
  <c r="AP404" i="1"/>
  <c r="AO404" i="1"/>
  <c r="AN404" i="1"/>
  <c r="AM404" i="1"/>
  <c r="AL404" i="1"/>
  <c r="AK404" i="1"/>
  <c r="AJ404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AX403" i="1"/>
  <c r="AW403" i="1"/>
  <c r="AU403" i="1"/>
  <c r="AR403" i="1"/>
  <c r="AP403" i="1"/>
  <c r="AO403" i="1"/>
  <c r="AN403" i="1"/>
  <c r="AM403" i="1"/>
  <c r="AL403" i="1"/>
  <c r="AK403" i="1"/>
  <c r="AJ403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AX402" i="1"/>
  <c r="AW402" i="1"/>
  <c r="AU402" i="1"/>
  <c r="AR402" i="1"/>
  <c r="AP402" i="1"/>
  <c r="AO402" i="1"/>
  <c r="AN402" i="1"/>
  <c r="AM402" i="1"/>
  <c r="AL402" i="1"/>
  <c r="AK402" i="1"/>
  <c r="AJ402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AX401" i="1"/>
  <c r="AW401" i="1"/>
  <c r="AU401" i="1"/>
  <c r="AR401" i="1"/>
  <c r="AP401" i="1"/>
  <c r="AO401" i="1"/>
  <c r="AN401" i="1"/>
  <c r="AM401" i="1"/>
  <c r="AL401" i="1"/>
  <c r="AK401" i="1"/>
  <c r="AJ401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AX400" i="1"/>
  <c r="AW400" i="1"/>
  <c r="AU400" i="1"/>
  <c r="AR400" i="1"/>
  <c r="AP400" i="1"/>
  <c r="AO400" i="1"/>
  <c r="AN400" i="1"/>
  <c r="AM400" i="1"/>
  <c r="AL400" i="1"/>
  <c r="AK400" i="1"/>
  <c r="AJ400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AX399" i="1"/>
  <c r="AW399" i="1"/>
  <c r="AU399" i="1"/>
  <c r="AR399" i="1"/>
  <c r="AP399" i="1"/>
  <c r="AO399" i="1"/>
  <c r="AN399" i="1"/>
  <c r="AM399" i="1"/>
  <c r="AL399" i="1"/>
  <c r="AK399" i="1"/>
  <c r="AJ399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AX398" i="1"/>
  <c r="AW398" i="1"/>
  <c r="AU398" i="1"/>
  <c r="AR398" i="1"/>
  <c r="AP398" i="1"/>
  <c r="AO398" i="1"/>
  <c r="AN398" i="1"/>
  <c r="AM398" i="1"/>
  <c r="AL398" i="1"/>
  <c r="AK398" i="1"/>
  <c r="AJ398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AX397" i="1"/>
  <c r="AW397" i="1"/>
  <c r="AU397" i="1"/>
  <c r="AR397" i="1"/>
  <c r="AP397" i="1"/>
  <c r="AO397" i="1"/>
  <c r="AN397" i="1"/>
  <c r="AM397" i="1"/>
  <c r="AL397" i="1"/>
  <c r="AK397" i="1"/>
  <c r="AJ397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AX396" i="1"/>
  <c r="AW396" i="1"/>
  <c r="AU396" i="1"/>
  <c r="AR396" i="1"/>
  <c r="AP396" i="1"/>
  <c r="AO396" i="1"/>
  <c r="AN396" i="1"/>
  <c r="AM396" i="1"/>
  <c r="AL396" i="1"/>
  <c r="AK396" i="1"/>
  <c r="AJ396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AX395" i="1"/>
  <c r="AW395" i="1"/>
  <c r="AU395" i="1"/>
  <c r="AR395" i="1"/>
  <c r="AP395" i="1"/>
  <c r="AO395" i="1"/>
  <c r="AN395" i="1"/>
  <c r="AM395" i="1"/>
  <c r="AL395" i="1"/>
  <c r="AK395" i="1"/>
  <c r="AJ395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AX394" i="1"/>
  <c r="AW394" i="1"/>
  <c r="AU394" i="1"/>
  <c r="AR394" i="1"/>
  <c r="AP394" i="1"/>
  <c r="AO394" i="1"/>
  <c r="AN394" i="1"/>
  <c r="AM394" i="1"/>
  <c r="AL394" i="1"/>
  <c r="AK394" i="1"/>
  <c r="AJ394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AX393" i="1"/>
  <c r="AW393" i="1"/>
  <c r="AU393" i="1"/>
  <c r="AR393" i="1"/>
  <c r="AP393" i="1"/>
  <c r="AO393" i="1"/>
  <c r="AN393" i="1"/>
  <c r="AM393" i="1"/>
  <c r="AL393" i="1"/>
  <c r="AK393" i="1"/>
  <c r="AJ393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AX392" i="1"/>
  <c r="AW392" i="1"/>
  <c r="AU392" i="1"/>
  <c r="AR392" i="1"/>
  <c r="AP392" i="1"/>
  <c r="AO392" i="1"/>
  <c r="AN392" i="1"/>
  <c r="AM392" i="1"/>
  <c r="AL392" i="1"/>
  <c r="AK392" i="1"/>
  <c r="AJ392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AX391" i="1"/>
  <c r="AW391" i="1"/>
  <c r="AU391" i="1"/>
  <c r="AR391" i="1"/>
  <c r="AP391" i="1"/>
  <c r="AO391" i="1"/>
  <c r="AN391" i="1"/>
  <c r="AM391" i="1"/>
  <c r="AL391" i="1"/>
  <c r="AK391" i="1"/>
  <c r="AJ391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AX390" i="1"/>
  <c r="AW390" i="1"/>
  <c r="AU390" i="1"/>
  <c r="AR390" i="1"/>
  <c r="AP390" i="1"/>
  <c r="AO390" i="1"/>
  <c r="AN390" i="1"/>
  <c r="AM390" i="1"/>
  <c r="AL390" i="1"/>
  <c r="AK390" i="1"/>
  <c r="AJ390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AX389" i="1"/>
  <c r="AW389" i="1"/>
  <c r="AU389" i="1"/>
  <c r="AR389" i="1"/>
  <c r="AP389" i="1"/>
  <c r="AO389" i="1"/>
  <c r="AN389" i="1"/>
  <c r="AM389" i="1"/>
  <c r="AL389" i="1"/>
  <c r="AK389" i="1"/>
  <c r="AJ389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AX388" i="1"/>
  <c r="AW388" i="1"/>
  <c r="AU388" i="1"/>
  <c r="AR388" i="1"/>
  <c r="AP388" i="1"/>
  <c r="AO388" i="1"/>
  <c r="AN388" i="1"/>
  <c r="AM388" i="1"/>
  <c r="AL388" i="1"/>
  <c r="AK388" i="1"/>
  <c r="AJ388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AX387" i="1"/>
  <c r="AW387" i="1"/>
  <c r="AU387" i="1"/>
  <c r="AR387" i="1"/>
  <c r="AP387" i="1"/>
  <c r="AO387" i="1"/>
  <c r="AN387" i="1"/>
  <c r="AM387" i="1"/>
  <c r="AL387" i="1"/>
  <c r="AK387" i="1"/>
  <c r="AJ387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AX386" i="1"/>
  <c r="AW386" i="1"/>
  <c r="AU386" i="1"/>
  <c r="AR386" i="1"/>
  <c r="AP386" i="1"/>
  <c r="AO386" i="1"/>
  <c r="AN386" i="1"/>
  <c r="AM386" i="1"/>
  <c r="AL386" i="1"/>
  <c r="AK386" i="1"/>
  <c r="AJ386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AX385" i="1"/>
  <c r="AW385" i="1"/>
  <c r="AU385" i="1"/>
  <c r="AR385" i="1"/>
  <c r="AP385" i="1"/>
  <c r="AO385" i="1"/>
  <c r="AN385" i="1"/>
  <c r="AM385" i="1"/>
  <c r="AL385" i="1"/>
  <c r="AK385" i="1"/>
  <c r="AJ385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AX384" i="1"/>
  <c r="AW384" i="1"/>
  <c r="AU384" i="1"/>
  <c r="AR384" i="1"/>
  <c r="AP384" i="1"/>
  <c r="AO384" i="1"/>
  <c r="AN384" i="1"/>
  <c r="AM384" i="1"/>
  <c r="AL384" i="1"/>
  <c r="AK384" i="1"/>
  <c r="AJ384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AX383" i="1"/>
  <c r="AW383" i="1"/>
  <c r="AU383" i="1"/>
  <c r="AR383" i="1"/>
  <c r="AP383" i="1"/>
  <c r="AO383" i="1"/>
  <c r="AN383" i="1"/>
  <c r="AM383" i="1"/>
  <c r="AL383" i="1"/>
  <c r="AK383" i="1"/>
  <c r="AJ383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AX382" i="1"/>
  <c r="AW382" i="1"/>
  <c r="AU382" i="1"/>
  <c r="AR382" i="1"/>
  <c r="AP382" i="1"/>
  <c r="AO382" i="1"/>
  <c r="AN382" i="1"/>
  <c r="AM382" i="1"/>
  <c r="AL382" i="1"/>
  <c r="AK382" i="1"/>
  <c r="AJ382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AX381" i="1"/>
  <c r="AW381" i="1"/>
  <c r="AU381" i="1"/>
  <c r="AR381" i="1"/>
  <c r="AP381" i="1"/>
  <c r="AO381" i="1"/>
  <c r="AN381" i="1"/>
  <c r="AM381" i="1"/>
  <c r="AL381" i="1"/>
  <c r="AK381" i="1"/>
  <c r="AJ381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AX380" i="1"/>
  <c r="AW380" i="1"/>
  <c r="AU380" i="1"/>
  <c r="AR380" i="1"/>
  <c r="AP380" i="1"/>
  <c r="AO380" i="1"/>
  <c r="AN380" i="1"/>
  <c r="AM380" i="1"/>
  <c r="AL380" i="1"/>
  <c r="AK380" i="1"/>
  <c r="AJ380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AX379" i="1"/>
  <c r="AW379" i="1"/>
  <c r="AU379" i="1"/>
  <c r="AR379" i="1"/>
  <c r="AP379" i="1"/>
  <c r="AO379" i="1"/>
  <c r="AN379" i="1"/>
  <c r="AM379" i="1"/>
  <c r="AL379" i="1"/>
  <c r="AK379" i="1"/>
  <c r="AJ379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AX378" i="1"/>
  <c r="AW378" i="1"/>
  <c r="AU378" i="1"/>
  <c r="AR378" i="1"/>
  <c r="AP378" i="1"/>
  <c r="AO378" i="1"/>
  <c r="AN378" i="1"/>
  <c r="AM378" i="1"/>
  <c r="AL378" i="1"/>
  <c r="AK378" i="1"/>
  <c r="AJ378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AX377" i="1"/>
  <c r="AW377" i="1"/>
  <c r="AU377" i="1"/>
  <c r="AR377" i="1"/>
  <c r="AP377" i="1"/>
  <c r="AO377" i="1"/>
  <c r="AN377" i="1"/>
  <c r="AM377" i="1"/>
  <c r="AL377" i="1"/>
  <c r="AK377" i="1"/>
  <c r="AJ377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AX376" i="1"/>
  <c r="AW376" i="1"/>
  <c r="AU376" i="1"/>
  <c r="AR376" i="1"/>
  <c r="AP376" i="1"/>
  <c r="AO376" i="1"/>
  <c r="AN376" i="1"/>
  <c r="AM376" i="1"/>
  <c r="AL376" i="1"/>
  <c r="AK376" i="1"/>
  <c r="AJ376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AX375" i="1"/>
  <c r="AW375" i="1"/>
  <c r="AU375" i="1"/>
  <c r="AR375" i="1"/>
  <c r="AP375" i="1"/>
  <c r="AO375" i="1"/>
  <c r="AN375" i="1"/>
  <c r="AM375" i="1"/>
  <c r="AL375" i="1"/>
  <c r="AK375" i="1"/>
  <c r="AJ375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AX374" i="1"/>
  <c r="AW374" i="1"/>
  <c r="AU374" i="1"/>
  <c r="AR374" i="1"/>
  <c r="AP374" i="1"/>
  <c r="AO374" i="1"/>
  <c r="AN374" i="1"/>
  <c r="AM374" i="1"/>
  <c r="AL374" i="1"/>
  <c r="AK374" i="1"/>
  <c r="AJ374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AX373" i="1"/>
  <c r="AW373" i="1"/>
  <c r="AU373" i="1"/>
  <c r="AR373" i="1"/>
  <c r="AP373" i="1"/>
  <c r="AO373" i="1"/>
  <c r="AN373" i="1"/>
  <c r="AM373" i="1"/>
  <c r="AL373" i="1"/>
  <c r="AK373" i="1"/>
  <c r="AJ373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AX372" i="1"/>
  <c r="AW372" i="1"/>
  <c r="AU372" i="1"/>
  <c r="AR372" i="1"/>
  <c r="AP372" i="1"/>
  <c r="AO372" i="1"/>
  <c r="AN372" i="1"/>
  <c r="AM372" i="1"/>
  <c r="AL372" i="1"/>
  <c r="AK372" i="1"/>
  <c r="AJ372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AX371" i="1"/>
  <c r="AW371" i="1"/>
  <c r="AU371" i="1"/>
  <c r="AR371" i="1"/>
  <c r="AP371" i="1"/>
  <c r="AO371" i="1"/>
  <c r="AN371" i="1"/>
  <c r="AM371" i="1"/>
  <c r="AL371" i="1"/>
  <c r="AK371" i="1"/>
  <c r="AJ371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AX370" i="1"/>
  <c r="AW370" i="1"/>
  <c r="AU370" i="1"/>
  <c r="AR370" i="1"/>
  <c r="AP370" i="1"/>
  <c r="AO370" i="1"/>
  <c r="AN370" i="1"/>
  <c r="AM370" i="1"/>
  <c r="AL370" i="1"/>
  <c r="AK370" i="1"/>
  <c r="AJ370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AX369" i="1"/>
  <c r="AW369" i="1"/>
  <c r="AU369" i="1"/>
  <c r="AR369" i="1"/>
  <c r="AP369" i="1"/>
  <c r="AO369" i="1"/>
  <c r="AN369" i="1"/>
  <c r="AM369" i="1"/>
  <c r="AL369" i="1"/>
  <c r="AK369" i="1"/>
  <c r="AJ369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AX368" i="1"/>
  <c r="AW368" i="1"/>
  <c r="AU368" i="1"/>
  <c r="AR368" i="1"/>
  <c r="AP368" i="1"/>
  <c r="AO368" i="1"/>
  <c r="AN368" i="1"/>
  <c r="AM368" i="1"/>
  <c r="AL368" i="1"/>
  <c r="AK368" i="1"/>
  <c r="AJ368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AX367" i="1"/>
  <c r="AW367" i="1"/>
  <c r="AU367" i="1"/>
  <c r="AR367" i="1"/>
  <c r="AP367" i="1"/>
  <c r="AO367" i="1"/>
  <c r="AN367" i="1"/>
  <c r="AM367" i="1"/>
  <c r="AL367" i="1"/>
  <c r="AK367" i="1"/>
  <c r="AJ367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AX366" i="1"/>
  <c r="AW366" i="1"/>
  <c r="AU366" i="1"/>
  <c r="AR366" i="1"/>
  <c r="AP366" i="1"/>
  <c r="AO366" i="1"/>
  <c r="AN366" i="1"/>
  <c r="AM366" i="1"/>
  <c r="AL366" i="1"/>
  <c r="AK366" i="1"/>
  <c r="AJ366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AX365" i="1"/>
  <c r="AW365" i="1"/>
  <c r="AU365" i="1"/>
  <c r="AR365" i="1"/>
  <c r="AP365" i="1"/>
  <c r="AO365" i="1"/>
  <c r="AN365" i="1"/>
  <c r="AM365" i="1"/>
  <c r="AL365" i="1"/>
  <c r="AK365" i="1"/>
  <c r="AJ365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AX364" i="1"/>
  <c r="AW364" i="1"/>
  <c r="AU364" i="1"/>
  <c r="AR364" i="1"/>
  <c r="AP364" i="1"/>
  <c r="AO364" i="1"/>
  <c r="AN364" i="1"/>
  <c r="AM364" i="1"/>
  <c r="AL364" i="1"/>
  <c r="AK364" i="1"/>
  <c r="AJ364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AX363" i="1"/>
  <c r="AW363" i="1"/>
  <c r="AU363" i="1"/>
  <c r="AR363" i="1"/>
  <c r="AP363" i="1"/>
  <c r="AO363" i="1"/>
  <c r="AN363" i="1"/>
  <c r="AM363" i="1"/>
  <c r="AL363" i="1"/>
  <c r="AK363" i="1"/>
  <c r="AJ363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AX362" i="1"/>
  <c r="AW362" i="1"/>
  <c r="AU362" i="1"/>
  <c r="AR362" i="1"/>
  <c r="AP362" i="1"/>
  <c r="AO362" i="1"/>
  <c r="AN362" i="1"/>
  <c r="AM362" i="1"/>
  <c r="AL362" i="1"/>
  <c r="AK362" i="1"/>
  <c r="AJ362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AX361" i="1"/>
  <c r="AW361" i="1"/>
  <c r="AU361" i="1"/>
  <c r="AR361" i="1"/>
  <c r="AP361" i="1"/>
  <c r="AO361" i="1"/>
  <c r="AN361" i="1"/>
  <c r="AM361" i="1"/>
  <c r="AL361" i="1"/>
  <c r="AK361" i="1"/>
  <c r="AJ361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AX360" i="1"/>
  <c r="AW360" i="1"/>
  <c r="AU360" i="1"/>
  <c r="AR360" i="1"/>
  <c r="AP360" i="1"/>
  <c r="AO360" i="1"/>
  <c r="AN360" i="1"/>
  <c r="AM360" i="1"/>
  <c r="AL360" i="1"/>
  <c r="AK360" i="1"/>
  <c r="AJ360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AX359" i="1"/>
  <c r="AW359" i="1"/>
  <c r="AU359" i="1"/>
  <c r="AR359" i="1"/>
  <c r="AP359" i="1"/>
  <c r="AO359" i="1"/>
  <c r="AN359" i="1"/>
  <c r="AM359" i="1"/>
  <c r="AL359" i="1"/>
  <c r="AK359" i="1"/>
  <c r="AJ359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AX358" i="1"/>
  <c r="AW358" i="1"/>
  <c r="AU358" i="1"/>
  <c r="AR358" i="1"/>
  <c r="AP358" i="1"/>
  <c r="AO358" i="1"/>
  <c r="AN358" i="1"/>
  <c r="AM358" i="1"/>
  <c r="AL358" i="1"/>
  <c r="AK358" i="1"/>
  <c r="AJ358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AX357" i="1"/>
  <c r="AW357" i="1"/>
  <c r="AU357" i="1"/>
  <c r="AR357" i="1"/>
  <c r="AP357" i="1"/>
  <c r="AO357" i="1"/>
  <c r="AN357" i="1"/>
  <c r="AM357" i="1"/>
  <c r="AL357" i="1"/>
  <c r="AK357" i="1"/>
  <c r="AJ357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AX356" i="1"/>
  <c r="AW356" i="1"/>
  <c r="AU356" i="1"/>
  <c r="AR356" i="1"/>
  <c r="AP356" i="1"/>
  <c r="AO356" i="1"/>
  <c r="AN356" i="1"/>
  <c r="AM356" i="1"/>
  <c r="AL356" i="1"/>
  <c r="AK356" i="1"/>
  <c r="AJ356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AX355" i="1"/>
  <c r="AW355" i="1"/>
  <c r="AU355" i="1"/>
  <c r="AR355" i="1"/>
  <c r="AP355" i="1"/>
  <c r="AO355" i="1"/>
  <c r="AN355" i="1"/>
  <c r="AM355" i="1"/>
  <c r="AL355" i="1"/>
  <c r="AK355" i="1"/>
  <c r="AJ355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AX354" i="1"/>
  <c r="AW354" i="1"/>
  <c r="AU354" i="1"/>
  <c r="AR354" i="1"/>
  <c r="AP354" i="1"/>
  <c r="AO354" i="1"/>
  <c r="AN354" i="1"/>
  <c r="AM354" i="1"/>
  <c r="AL354" i="1"/>
  <c r="AK354" i="1"/>
  <c r="AJ354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AX353" i="1"/>
  <c r="AW353" i="1"/>
  <c r="AU353" i="1"/>
  <c r="AR353" i="1"/>
  <c r="AP353" i="1"/>
  <c r="AO353" i="1"/>
  <c r="AN353" i="1"/>
  <c r="AM353" i="1"/>
  <c r="AL353" i="1"/>
  <c r="AK353" i="1"/>
  <c r="AJ353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AX352" i="1"/>
  <c r="AW352" i="1"/>
  <c r="AU352" i="1"/>
  <c r="AR352" i="1"/>
  <c r="AP352" i="1"/>
  <c r="AO352" i="1"/>
  <c r="AN352" i="1"/>
  <c r="AM352" i="1"/>
  <c r="AL352" i="1"/>
  <c r="AK352" i="1"/>
  <c r="AJ352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AX351" i="1"/>
  <c r="AW351" i="1"/>
  <c r="AU351" i="1"/>
  <c r="AR351" i="1"/>
  <c r="AP351" i="1"/>
  <c r="AO351" i="1"/>
  <c r="AN351" i="1"/>
  <c r="AM351" i="1"/>
  <c r="AL351" i="1"/>
  <c r="AK351" i="1"/>
  <c r="AJ351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AX350" i="1"/>
  <c r="AW350" i="1"/>
  <c r="AU350" i="1"/>
  <c r="AR350" i="1"/>
  <c r="AP350" i="1"/>
  <c r="AO350" i="1"/>
  <c r="AN350" i="1"/>
  <c r="AM350" i="1"/>
  <c r="AL350" i="1"/>
  <c r="AK350" i="1"/>
  <c r="AJ350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AX349" i="1"/>
  <c r="AW349" i="1"/>
  <c r="AU349" i="1"/>
  <c r="AR349" i="1"/>
  <c r="AP349" i="1"/>
  <c r="AO349" i="1"/>
  <c r="AN349" i="1"/>
  <c r="AM349" i="1"/>
  <c r="AL349" i="1"/>
  <c r="AK349" i="1"/>
  <c r="AJ349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AX348" i="1"/>
  <c r="AW348" i="1"/>
  <c r="AU348" i="1"/>
  <c r="AR348" i="1"/>
  <c r="AP348" i="1"/>
  <c r="AO348" i="1"/>
  <c r="AN348" i="1"/>
  <c r="AM348" i="1"/>
  <c r="AL348" i="1"/>
  <c r="AK348" i="1"/>
  <c r="AJ348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AX347" i="1"/>
  <c r="AW347" i="1"/>
  <c r="AU347" i="1"/>
  <c r="AR347" i="1"/>
  <c r="AP347" i="1"/>
  <c r="AO347" i="1"/>
  <c r="AN347" i="1"/>
  <c r="AM347" i="1"/>
  <c r="AL347" i="1"/>
  <c r="AK347" i="1"/>
  <c r="AJ347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AX346" i="1"/>
  <c r="AW346" i="1"/>
  <c r="AU346" i="1"/>
  <c r="AR346" i="1"/>
  <c r="AP346" i="1"/>
  <c r="AO346" i="1"/>
  <c r="AN346" i="1"/>
  <c r="AM346" i="1"/>
  <c r="AL346" i="1"/>
  <c r="AK346" i="1"/>
  <c r="AJ346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AX345" i="1"/>
  <c r="AW345" i="1"/>
  <c r="AU345" i="1"/>
  <c r="AR345" i="1"/>
  <c r="AP345" i="1"/>
  <c r="AO345" i="1"/>
  <c r="AN345" i="1"/>
  <c r="AM345" i="1"/>
  <c r="AL345" i="1"/>
  <c r="AK345" i="1"/>
  <c r="AJ345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AX344" i="1"/>
  <c r="AW344" i="1"/>
  <c r="AU344" i="1"/>
  <c r="AR344" i="1"/>
  <c r="AP344" i="1"/>
  <c r="AO344" i="1"/>
  <c r="AN344" i="1"/>
  <c r="AM344" i="1"/>
  <c r="AL344" i="1"/>
  <c r="AK344" i="1"/>
  <c r="AJ344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AX343" i="1"/>
  <c r="AW343" i="1"/>
  <c r="AU343" i="1"/>
  <c r="AR343" i="1"/>
  <c r="AP343" i="1"/>
  <c r="AO343" i="1"/>
  <c r="AN343" i="1"/>
  <c r="AM343" i="1"/>
  <c r="AL343" i="1"/>
  <c r="AK343" i="1"/>
  <c r="AJ343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AX342" i="1"/>
  <c r="AW342" i="1"/>
  <c r="AU342" i="1"/>
  <c r="AR342" i="1"/>
  <c r="AP342" i="1"/>
  <c r="AO342" i="1"/>
  <c r="AN342" i="1"/>
  <c r="AM342" i="1"/>
  <c r="AL342" i="1"/>
  <c r="AK342" i="1"/>
  <c r="AJ342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AX341" i="1"/>
  <c r="AW341" i="1"/>
  <c r="AU341" i="1"/>
  <c r="AR341" i="1"/>
  <c r="AP341" i="1"/>
  <c r="AO341" i="1"/>
  <c r="AN341" i="1"/>
  <c r="AM341" i="1"/>
  <c r="AL341" i="1"/>
  <c r="AK341" i="1"/>
  <c r="AJ341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AX340" i="1"/>
  <c r="AW340" i="1"/>
  <c r="AU340" i="1"/>
  <c r="AR340" i="1"/>
  <c r="AP340" i="1"/>
  <c r="AO340" i="1"/>
  <c r="AN340" i="1"/>
  <c r="AM340" i="1"/>
  <c r="AL340" i="1"/>
  <c r="AK340" i="1"/>
  <c r="AJ340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AX339" i="1"/>
  <c r="AW339" i="1"/>
  <c r="AU339" i="1"/>
  <c r="AR339" i="1"/>
  <c r="AP339" i="1"/>
  <c r="AO339" i="1"/>
  <c r="AN339" i="1"/>
  <c r="AM339" i="1"/>
  <c r="AL339" i="1"/>
  <c r="AK339" i="1"/>
  <c r="AJ339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AX338" i="1"/>
  <c r="AW338" i="1"/>
  <c r="AU338" i="1"/>
  <c r="AR338" i="1"/>
  <c r="AP338" i="1"/>
  <c r="AO338" i="1"/>
  <c r="AN338" i="1"/>
  <c r="AM338" i="1"/>
  <c r="AL338" i="1"/>
  <c r="AK338" i="1"/>
  <c r="AJ338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AX337" i="1"/>
  <c r="AW337" i="1"/>
  <c r="AU337" i="1"/>
  <c r="AR337" i="1"/>
  <c r="AP337" i="1"/>
  <c r="AO337" i="1"/>
  <c r="AN337" i="1"/>
  <c r="AM337" i="1"/>
  <c r="AL337" i="1"/>
  <c r="AK337" i="1"/>
  <c r="AJ337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AX336" i="1"/>
  <c r="AW336" i="1"/>
  <c r="AU336" i="1"/>
  <c r="AR336" i="1"/>
  <c r="AP336" i="1"/>
  <c r="AO336" i="1"/>
  <c r="AN336" i="1"/>
  <c r="AM336" i="1"/>
  <c r="AL336" i="1"/>
  <c r="AK336" i="1"/>
  <c r="AJ336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AX335" i="1"/>
  <c r="AW335" i="1"/>
  <c r="AU335" i="1"/>
  <c r="AR335" i="1"/>
  <c r="AP335" i="1"/>
  <c r="AO335" i="1"/>
  <c r="AN335" i="1"/>
  <c r="AM335" i="1"/>
  <c r="AL335" i="1"/>
  <c r="AK335" i="1"/>
  <c r="AJ335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AX334" i="1"/>
  <c r="AW334" i="1"/>
  <c r="AU334" i="1"/>
  <c r="AR334" i="1"/>
  <c r="AP334" i="1"/>
  <c r="AO334" i="1"/>
  <c r="AN334" i="1"/>
  <c r="AM334" i="1"/>
  <c r="AL334" i="1"/>
  <c r="AK334" i="1"/>
  <c r="AJ334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AX333" i="1"/>
  <c r="AW333" i="1"/>
  <c r="AU333" i="1"/>
  <c r="AR333" i="1"/>
  <c r="AP333" i="1"/>
  <c r="AO333" i="1"/>
  <c r="AN333" i="1"/>
  <c r="AM333" i="1"/>
  <c r="AL333" i="1"/>
  <c r="AK333" i="1"/>
  <c r="AJ333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AX332" i="1"/>
  <c r="AW332" i="1"/>
  <c r="AU332" i="1"/>
  <c r="AR332" i="1"/>
  <c r="AP332" i="1"/>
  <c r="AO332" i="1"/>
  <c r="AN332" i="1"/>
  <c r="AM332" i="1"/>
  <c r="AL332" i="1"/>
  <c r="AK332" i="1"/>
  <c r="AJ332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AX331" i="1"/>
  <c r="AW331" i="1"/>
  <c r="AU331" i="1"/>
  <c r="AR331" i="1"/>
  <c r="AP331" i="1"/>
  <c r="AO331" i="1"/>
  <c r="AN331" i="1"/>
  <c r="AM331" i="1"/>
  <c r="AL331" i="1"/>
  <c r="AK331" i="1"/>
  <c r="AJ331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AX330" i="1"/>
  <c r="AW330" i="1"/>
  <c r="AU330" i="1"/>
  <c r="AR330" i="1"/>
  <c r="AP330" i="1"/>
  <c r="AO330" i="1"/>
  <c r="AN330" i="1"/>
  <c r="AM330" i="1"/>
  <c r="AL330" i="1"/>
  <c r="AK330" i="1"/>
  <c r="AJ330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AX329" i="1"/>
  <c r="AW329" i="1"/>
  <c r="AU329" i="1"/>
  <c r="AR329" i="1"/>
  <c r="AP329" i="1"/>
  <c r="AO329" i="1"/>
  <c r="AN329" i="1"/>
  <c r="AM329" i="1"/>
  <c r="AL329" i="1"/>
  <c r="AK329" i="1"/>
  <c r="AJ329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AX328" i="1"/>
  <c r="AW328" i="1"/>
  <c r="AU328" i="1"/>
  <c r="AR328" i="1"/>
  <c r="AP328" i="1"/>
  <c r="AO328" i="1"/>
  <c r="AN328" i="1"/>
  <c r="AM328" i="1"/>
  <c r="AL328" i="1"/>
  <c r="AK328" i="1"/>
  <c r="AJ328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AX327" i="1"/>
  <c r="AW327" i="1"/>
  <c r="AU327" i="1"/>
  <c r="AR327" i="1"/>
  <c r="AP327" i="1"/>
  <c r="AO327" i="1"/>
  <c r="AN327" i="1"/>
  <c r="AM327" i="1"/>
  <c r="AL327" i="1"/>
  <c r="AK327" i="1"/>
  <c r="AJ327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AX326" i="1"/>
  <c r="AW326" i="1"/>
  <c r="AU326" i="1"/>
  <c r="AR326" i="1"/>
  <c r="AP326" i="1"/>
  <c r="AO326" i="1"/>
  <c r="AN326" i="1"/>
  <c r="AM326" i="1"/>
  <c r="AL326" i="1"/>
  <c r="AK326" i="1"/>
  <c r="AJ326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AX325" i="1"/>
  <c r="AW325" i="1"/>
  <c r="AU325" i="1"/>
  <c r="AR325" i="1"/>
  <c r="AP325" i="1"/>
  <c r="AO325" i="1"/>
  <c r="AN325" i="1"/>
  <c r="AM325" i="1"/>
  <c r="AL325" i="1"/>
  <c r="AK325" i="1"/>
  <c r="AJ325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AX324" i="1"/>
  <c r="AW324" i="1"/>
  <c r="AU324" i="1"/>
  <c r="AR324" i="1"/>
  <c r="AP324" i="1"/>
  <c r="AO324" i="1"/>
  <c r="AN324" i="1"/>
  <c r="AM324" i="1"/>
  <c r="AL324" i="1"/>
  <c r="AK324" i="1"/>
  <c r="AJ324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AX323" i="1"/>
  <c r="AW323" i="1"/>
  <c r="AU323" i="1"/>
  <c r="AR323" i="1"/>
  <c r="AP323" i="1"/>
  <c r="AO323" i="1"/>
  <c r="AN323" i="1"/>
  <c r="AM323" i="1"/>
  <c r="AL323" i="1"/>
  <c r="AK323" i="1"/>
  <c r="AJ323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AX322" i="1"/>
  <c r="AW322" i="1"/>
  <c r="AU322" i="1"/>
  <c r="AR322" i="1"/>
  <c r="AP322" i="1"/>
  <c r="AO322" i="1"/>
  <c r="AN322" i="1"/>
  <c r="AM322" i="1"/>
  <c r="AL322" i="1"/>
  <c r="AK322" i="1"/>
  <c r="AJ322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AX321" i="1"/>
  <c r="AW321" i="1"/>
  <c r="AU321" i="1"/>
  <c r="AR321" i="1"/>
  <c r="AP321" i="1"/>
  <c r="AO321" i="1"/>
  <c r="AN321" i="1"/>
  <c r="AM321" i="1"/>
  <c r="AL321" i="1"/>
  <c r="AK321" i="1"/>
  <c r="AJ321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AX320" i="1"/>
  <c r="AW320" i="1"/>
  <c r="AU320" i="1"/>
  <c r="AR320" i="1"/>
  <c r="AP320" i="1"/>
  <c r="AO320" i="1"/>
  <c r="AN320" i="1"/>
  <c r="AM320" i="1"/>
  <c r="AL320" i="1"/>
  <c r="AK320" i="1"/>
  <c r="AJ320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AX319" i="1"/>
  <c r="AW319" i="1"/>
  <c r="AU319" i="1"/>
  <c r="AR319" i="1"/>
  <c r="AP319" i="1"/>
  <c r="AO319" i="1"/>
  <c r="AN319" i="1"/>
  <c r="AM319" i="1"/>
  <c r="AL319" i="1"/>
  <c r="AK319" i="1"/>
  <c r="AJ319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AX318" i="1"/>
  <c r="AW318" i="1"/>
  <c r="AU318" i="1"/>
  <c r="AR318" i="1"/>
  <c r="AP318" i="1"/>
  <c r="AO318" i="1"/>
  <c r="AN318" i="1"/>
  <c r="AM318" i="1"/>
  <c r="AL318" i="1"/>
  <c r="AK318" i="1"/>
  <c r="AJ318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AX317" i="1"/>
  <c r="AW317" i="1"/>
  <c r="AU317" i="1"/>
  <c r="AR317" i="1"/>
  <c r="AP317" i="1"/>
  <c r="AO317" i="1"/>
  <c r="AN317" i="1"/>
  <c r="AM317" i="1"/>
  <c r="AL317" i="1"/>
  <c r="AK317" i="1"/>
  <c r="AJ317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AX316" i="1"/>
  <c r="AW316" i="1"/>
  <c r="AU316" i="1"/>
  <c r="AR316" i="1"/>
  <c r="AP316" i="1"/>
  <c r="AO316" i="1"/>
  <c r="AN316" i="1"/>
  <c r="AM316" i="1"/>
  <c r="AL316" i="1"/>
  <c r="AK316" i="1"/>
  <c r="AJ316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AX315" i="1"/>
  <c r="AW315" i="1"/>
  <c r="AU315" i="1"/>
  <c r="AR315" i="1"/>
  <c r="AP315" i="1"/>
  <c r="AO315" i="1"/>
  <c r="AN315" i="1"/>
  <c r="AM315" i="1"/>
  <c r="AL315" i="1"/>
  <c r="AK315" i="1"/>
  <c r="AJ315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AX314" i="1"/>
  <c r="AW314" i="1"/>
  <c r="AU314" i="1"/>
  <c r="AR314" i="1"/>
  <c r="AP314" i="1"/>
  <c r="AO314" i="1"/>
  <c r="AN314" i="1"/>
  <c r="AM314" i="1"/>
  <c r="AL314" i="1"/>
  <c r="AK314" i="1"/>
  <c r="AJ314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AX313" i="1"/>
  <c r="AW313" i="1"/>
  <c r="AU313" i="1"/>
  <c r="AR313" i="1"/>
  <c r="AP313" i="1"/>
  <c r="AO313" i="1"/>
  <c r="AN313" i="1"/>
  <c r="AM313" i="1"/>
  <c r="AL313" i="1"/>
  <c r="AK313" i="1"/>
  <c r="AJ313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AX312" i="1"/>
  <c r="AW312" i="1"/>
  <c r="AU312" i="1"/>
  <c r="AR312" i="1"/>
  <c r="AP312" i="1"/>
  <c r="AO312" i="1"/>
  <c r="AN312" i="1"/>
  <c r="AM312" i="1"/>
  <c r="AL312" i="1"/>
  <c r="AK312" i="1"/>
  <c r="AJ312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AX311" i="1"/>
  <c r="AW311" i="1"/>
  <c r="AU311" i="1"/>
  <c r="AR311" i="1"/>
  <c r="AP311" i="1"/>
  <c r="AO311" i="1"/>
  <c r="AN311" i="1"/>
  <c r="AM311" i="1"/>
  <c r="AL311" i="1"/>
  <c r="AK311" i="1"/>
  <c r="AJ311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AX310" i="1"/>
  <c r="AW310" i="1"/>
  <c r="AU310" i="1"/>
  <c r="AR310" i="1"/>
  <c r="AP310" i="1"/>
  <c r="AO310" i="1"/>
  <c r="AN310" i="1"/>
  <c r="AM310" i="1"/>
  <c r="AL310" i="1"/>
  <c r="AK310" i="1"/>
  <c r="AJ310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AX309" i="1"/>
  <c r="AW309" i="1"/>
  <c r="AU309" i="1"/>
  <c r="AR309" i="1"/>
  <c r="AP309" i="1"/>
  <c r="AO309" i="1"/>
  <c r="AN309" i="1"/>
  <c r="AM309" i="1"/>
  <c r="AL309" i="1"/>
  <c r="AK309" i="1"/>
  <c r="AJ309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AX308" i="1"/>
  <c r="AW308" i="1"/>
  <c r="AU308" i="1"/>
  <c r="AR308" i="1"/>
  <c r="AP308" i="1"/>
  <c r="AO308" i="1"/>
  <c r="AN308" i="1"/>
  <c r="AM308" i="1"/>
  <c r="AL308" i="1"/>
  <c r="AK308" i="1"/>
  <c r="AJ308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AX307" i="1"/>
  <c r="AW307" i="1"/>
  <c r="AU307" i="1"/>
  <c r="AR307" i="1"/>
  <c r="AP307" i="1"/>
  <c r="AO307" i="1"/>
  <c r="AN307" i="1"/>
  <c r="AM307" i="1"/>
  <c r="AL307" i="1"/>
  <c r="AK307" i="1"/>
  <c r="AJ307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AX306" i="1"/>
  <c r="AW306" i="1"/>
  <c r="AU306" i="1"/>
  <c r="AR306" i="1"/>
  <c r="AP306" i="1"/>
  <c r="AO306" i="1"/>
  <c r="AN306" i="1"/>
  <c r="AM306" i="1"/>
  <c r="AL306" i="1"/>
  <c r="AK306" i="1"/>
  <c r="AJ306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AX305" i="1"/>
  <c r="AW305" i="1"/>
  <c r="AU305" i="1"/>
  <c r="AR305" i="1"/>
  <c r="AP305" i="1"/>
  <c r="AO305" i="1"/>
  <c r="AN305" i="1"/>
  <c r="AM305" i="1"/>
  <c r="AL305" i="1"/>
  <c r="AK305" i="1"/>
  <c r="AJ305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AX304" i="1"/>
  <c r="AW304" i="1"/>
  <c r="AU304" i="1"/>
  <c r="AR304" i="1"/>
  <c r="AP304" i="1"/>
  <c r="AO304" i="1"/>
  <c r="AN304" i="1"/>
  <c r="AM304" i="1"/>
  <c r="AL304" i="1"/>
  <c r="AK304" i="1"/>
  <c r="AJ304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AX303" i="1"/>
  <c r="AW303" i="1"/>
  <c r="AU303" i="1"/>
  <c r="AR303" i="1"/>
  <c r="AP303" i="1"/>
  <c r="AO303" i="1"/>
  <c r="AN303" i="1"/>
  <c r="AM303" i="1"/>
  <c r="AL303" i="1"/>
  <c r="AK303" i="1"/>
  <c r="AJ303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AX302" i="1"/>
  <c r="AW302" i="1"/>
  <c r="AU302" i="1"/>
  <c r="AR302" i="1"/>
  <c r="AP302" i="1"/>
  <c r="AO302" i="1"/>
  <c r="AN302" i="1"/>
  <c r="AM302" i="1"/>
  <c r="AL302" i="1"/>
  <c r="AK302" i="1"/>
  <c r="AJ302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AX301" i="1"/>
  <c r="AW301" i="1"/>
  <c r="AU301" i="1"/>
  <c r="AR301" i="1"/>
  <c r="AP301" i="1"/>
  <c r="AO301" i="1"/>
  <c r="AN301" i="1"/>
  <c r="AM301" i="1"/>
  <c r="AL301" i="1"/>
  <c r="AK301" i="1"/>
  <c r="AJ301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AX300" i="1"/>
  <c r="AW300" i="1"/>
  <c r="AU300" i="1"/>
  <c r="AR300" i="1"/>
  <c r="AP300" i="1"/>
  <c r="AO300" i="1"/>
  <c r="AN300" i="1"/>
  <c r="AM300" i="1"/>
  <c r="AL300" i="1"/>
  <c r="AK300" i="1"/>
  <c r="AJ300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AX299" i="1"/>
  <c r="AW299" i="1"/>
  <c r="AU299" i="1"/>
  <c r="AR299" i="1"/>
  <c r="AP299" i="1"/>
  <c r="AO299" i="1"/>
  <c r="AN299" i="1"/>
  <c r="AM299" i="1"/>
  <c r="AL299" i="1"/>
  <c r="AK299" i="1"/>
  <c r="AJ299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AX298" i="1"/>
  <c r="AW298" i="1"/>
  <c r="AU298" i="1"/>
  <c r="AR298" i="1"/>
  <c r="AP298" i="1"/>
  <c r="AO298" i="1"/>
  <c r="AN298" i="1"/>
  <c r="AM298" i="1"/>
  <c r="AL298" i="1"/>
  <c r="AK298" i="1"/>
  <c r="AJ298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AX297" i="1"/>
  <c r="AW297" i="1"/>
  <c r="AU297" i="1"/>
  <c r="AR297" i="1"/>
  <c r="AP297" i="1"/>
  <c r="AO297" i="1"/>
  <c r="AN297" i="1"/>
  <c r="AM297" i="1"/>
  <c r="AL297" i="1"/>
  <c r="AK297" i="1"/>
  <c r="AJ297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AX296" i="1"/>
  <c r="AW296" i="1"/>
  <c r="AU296" i="1"/>
  <c r="AR296" i="1"/>
  <c r="AP296" i="1"/>
  <c r="AO296" i="1"/>
  <c r="AN296" i="1"/>
  <c r="AM296" i="1"/>
  <c r="AL296" i="1"/>
  <c r="AK296" i="1"/>
  <c r="AJ296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AX295" i="1"/>
  <c r="AW295" i="1"/>
  <c r="AU295" i="1"/>
  <c r="AR295" i="1"/>
  <c r="AP295" i="1"/>
  <c r="AO295" i="1"/>
  <c r="AN295" i="1"/>
  <c r="AM295" i="1"/>
  <c r="AL295" i="1"/>
  <c r="AK295" i="1"/>
  <c r="AJ295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AX294" i="1"/>
  <c r="AW294" i="1"/>
  <c r="AU294" i="1"/>
  <c r="AR294" i="1"/>
  <c r="AP294" i="1"/>
  <c r="AO294" i="1"/>
  <c r="AN294" i="1"/>
  <c r="AM294" i="1"/>
  <c r="AL294" i="1"/>
  <c r="AK294" i="1"/>
  <c r="AJ294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AX293" i="1"/>
  <c r="AW293" i="1"/>
  <c r="AU293" i="1"/>
  <c r="AR293" i="1"/>
  <c r="AP293" i="1"/>
  <c r="AO293" i="1"/>
  <c r="AN293" i="1"/>
  <c r="AM293" i="1"/>
  <c r="AL293" i="1"/>
  <c r="AK293" i="1"/>
  <c r="AJ293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AX292" i="1"/>
  <c r="AW292" i="1"/>
  <c r="AU292" i="1"/>
  <c r="AR292" i="1"/>
  <c r="AP292" i="1"/>
  <c r="AO292" i="1"/>
  <c r="AN292" i="1"/>
  <c r="AM292" i="1"/>
  <c r="AL292" i="1"/>
  <c r="AK292" i="1"/>
  <c r="AJ292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AX291" i="1"/>
  <c r="AW291" i="1"/>
  <c r="AU291" i="1"/>
  <c r="AR291" i="1"/>
  <c r="AP291" i="1"/>
  <c r="AO291" i="1"/>
  <c r="AN291" i="1"/>
  <c r="AM291" i="1"/>
  <c r="AL291" i="1"/>
  <c r="AK291" i="1"/>
  <c r="AJ291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AX290" i="1"/>
  <c r="AW290" i="1"/>
  <c r="AU290" i="1"/>
  <c r="AR290" i="1"/>
  <c r="AP290" i="1"/>
  <c r="AO290" i="1"/>
  <c r="AN290" i="1"/>
  <c r="AM290" i="1"/>
  <c r="AL290" i="1"/>
  <c r="AK290" i="1"/>
  <c r="AJ290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AX289" i="1"/>
  <c r="AW289" i="1"/>
  <c r="AU289" i="1"/>
  <c r="AR289" i="1"/>
  <c r="AP289" i="1"/>
  <c r="AO289" i="1"/>
  <c r="AN289" i="1"/>
  <c r="AM289" i="1"/>
  <c r="AL289" i="1"/>
  <c r="AK289" i="1"/>
  <c r="AJ289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AX288" i="1"/>
  <c r="AW288" i="1"/>
  <c r="AU288" i="1"/>
  <c r="AR288" i="1"/>
  <c r="AP288" i="1"/>
  <c r="AO288" i="1"/>
  <c r="AN288" i="1"/>
  <c r="AM288" i="1"/>
  <c r="AL288" i="1"/>
  <c r="AK288" i="1"/>
  <c r="AJ288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AX287" i="1"/>
  <c r="AW287" i="1"/>
  <c r="AU287" i="1"/>
  <c r="AR287" i="1"/>
  <c r="AP287" i="1"/>
  <c r="AO287" i="1"/>
  <c r="AN287" i="1"/>
  <c r="AM287" i="1"/>
  <c r="AL287" i="1"/>
  <c r="AK287" i="1"/>
  <c r="AJ287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AX286" i="1"/>
  <c r="AW286" i="1"/>
  <c r="AU286" i="1"/>
  <c r="AR286" i="1"/>
  <c r="AP286" i="1"/>
  <c r="AO286" i="1"/>
  <c r="AN286" i="1"/>
  <c r="AM286" i="1"/>
  <c r="AL286" i="1"/>
  <c r="AK286" i="1"/>
  <c r="AJ286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AX285" i="1"/>
  <c r="AW285" i="1"/>
  <c r="AU285" i="1"/>
  <c r="AR285" i="1"/>
  <c r="AP285" i="1"/>
  <c r="AO285" i="1"/>
  <c r="AN285" i="1"/>
  <c r="AM285" i="1"/>
  <c r="AL285" i="1"/>
  <c r="AK285" i="1"/>
  <c r="AJ285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AX284" i="1"/>
  <c r="AW284" i="1"/>
  <c r="AU284" i="1"/>
  <c r="AR284" i="1"/>
  <c r="AP284" i="1"/>
  <c r="AO284" i="1"/>
  <c r="AN284" i="1"/>
  <c r="AM284" i="1"/>
  <c r="AL284" i="1"/>
  <c r="AK284" i="1"/>
  <c r="AJ284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AX283" i="1"/>
  <c r="AW283" i="1"/>
  <c r="AU283" i="1"/>
  <c r="AR283" i="1"/>
  <c r="AP283" i="1"/>
  <c r="AO283" i="1"/>
  <c r="AN283" i="1"/>
  <c r="AM283" i="1"/>
  <c r="AL283" i="1"/>
  <c r="AK283" i="1"/>
  <c r="AJ283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AX282" i="1"/>
  <c r="AW282" i="1"/>
  <c r="AU282" i="1"/>
  <c r="AR282" i="1"/>
  <c r="AP282" i="1"/>
  <c r="AO282" i="1"/>
  <c r="AN282" i="1"/>
  <c r="AM282" i="1"/>
  <c r="AL282" i="1"/>
  <c r="AK282" i="1"/>
  <c r="AJ282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AX281" i="1"/>
  <c r="AW281" i="1"/>
  <c r="AU281" i="1"/>
  <c r="AR281" i="1"/>
  <c r="AP281" i="1"/>
  <c r="AO281" i="1"/>
  <c r="AN281" i="1"/>
  <c r="AM281" i="1"/>
  <c r="AL281" i="1"/>
  <c r="AK281" i="1"/>
  <c r="AJ281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AX280" i="1"/>
  <c r="AW280" i="1"/>
  <c r="AU280" i="1"/>
  <c r="AR280" i="1"/>
  <c r="AP280" i="1"/>
  <c r="AO280" i="1"/>
  <c r="AN280" i="1"/>
  <c r="AM280" i="1"/>
  <c r="AL280" i="1"/>
  <c r="AK280" i="1"/>
  <c r="AJ280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AX279" i="1"/>
  <c r="AW279" i="1"/>
  <c r="AU279" i="1"/>
  <c r="AR279" i="1"/>
  <c r="AP279" i="1"/>
  <c r="AO279" i="1"/>
  <c r="AN279" i="1"/>
  <c r="AM279" i="1"/>
  <c r="AL279" i="1"/>
  <c r="AK279" i="1"/>
  <c r="AJ279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AX278" i="1"/>
  <c r="AW278" i="1"/>
  <c r="AU278" i="1"/>
  <c r="AR278" i="1"/>
  <c r="AP278" i="1"/>
  <c r="AO278" i="1"/>
  <c r="AN278" i="1"/>
  <c r="AM278" i="1"/>
  <c r="AL278" i="1"/>
  <c r="AK278" i="1"/>
  <c r="AJ278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AX277" i="1"/>
  <c r="AW277" i="1"/>
  <c r="AU277" i="1"/>
  <c r="AR277" i="1"/>
  <c r="AP277" i="1"/>
  <c r="AO277" i="1"/>
  <c r="AN277" i="1"/>
  <c r="AM277" i="1"/>
  <c r="AL277" i="1"/>
  <c r="AK277" i="1"/>
  <c r="AJ277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AX276" i="1"/>
  <c r="AW276" i="1"/>
  <c r="AU276" i="1"/>
  <c r="AR276" i="1"/>
  <c r="AP276" i="1"/>
  <c r="AO276" i="1"/>
  <c r="AN276" i="1"/>
  <c r="AM276" i="1"/>
  <c r="AL276" i="1"/>
  <c r="AK276" i="1"/>
  <c r="AJ276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AX275" i="1"/>
  <c r="AW275" i="1"/>
  <c r="AU275" i="1"/>
  <c r="AR275" i="1"/>
  <c r="AP275" i="1"/>
  <c r="AO275" i="1"/>
  <c r="AN275" i="1"/>
  <c r="AM275" i="1"/>
  <c r="AL275" i="1"/>
  <c r="AK275" i="1"/>
  <c r="AJ275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AX274" i="1"/>
  <c r="AW274" i="1"/>
  <c r="AU274" i="1"/>
  <c r="AR274" i="1"/>
  <c r="AP274" i="1"/>
  <c r="AO274" i="1"/>
  <c r="AN274" i="1"/>
  <c r="AM274" i="1"/>
  <c r="AL274" i="1"/>
  <c r="AK274" i="1"/>
  <c r="AJ274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AX273" i="1"/>
  <c r="AW273" i="1"/>
  <c r="AU273" i="1"/>
  <c r="AR273" i="1"/>
  <c r="AP273" i="1"/>
  <c r="AO273" i="1"/>
  <c r="AN273" i="1"/>
  <c r="AM273" i="1"/>
  <c r="AL273" i="1"/>
  <c r="AK273" i="1"/>
  <c r="AJ273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AX272" i="1"/>
  <c r="AW272" i="1"/>
  <c r="AU272" i="1"/>
  <c r="AR272" i="1"/>
  <c r="AP272" i="1"/>
  <c r="AO272" i="1"/>
  <c r="AN272" i="1"/>
  <c r="AM272" i="1"/>
  <c r="AL272" i="1"/>
  <c r="AK272" i="1"/>
  <c r="AJ272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AX271" i="1"/>
  <c r="AW271" i="1"/>
  <c r="AU271" i="1"/>
  <c r="AR271" i="1"/>
  <c r="AP271" i="1"/>
  <c r="AO271" i="1"/>
  <c r="AN271" i="1"/>
  <c r="AM271" i="1"/>
  <c r="AL271" i="1"/>
  <c r="AK271" i="1"/>
  <c r="AJ271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AX270" i="1"/>
  <c r="AW270" i="1"/>
  <c r="AU270" i="1"/>
  <c r="AR270" i="1"/>
  <c r="AP270" i="1"/>
  <c r="AO270" i="1"/>
  <c r="AN270" i="1"/>
  <c r="AM270" i="1"/>
  <c r="AL270" i="1"/>
  <c r="AK270" i="1"/>
  <c r="AJ270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AX269" i="1"/>
  <c r="AW269" i="1"/>
  <c r="AU269" i="1"/>
  <c r="AR269" i="1"/>
  <c r="AP269" i="1"/>
  <c r="AO269" i="1"/>
  <c r="AN269" i="1"/>
  <c r="AM269" i="1"/>
  <c r="AL269" i="1"/>
  <c r="AK269" i="1"/>
  <c r="AJ269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AX268" i="1"/>
  <c r="AW268" i="1"/>
  <c r="AU268" i="1"/>
  <c r="AR268" i="1"/>
  <c r="AP268" i="1"/>
  <c r="AO268" i="1"/>
  <c r="AN268" i="1"/>
  <c r="AM268" i="1"/>
  <c r="AL268" i="1"/>
  <c r="AK268" i="1"/>
  <c r="AJ268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AX267" i="1"/>
  <c r="AW267" i="1"/>
  <c r="AU267" i="1"/>
  <c r="AR267" i="1"/>
  <c r="AP267" i="1"/>
  <c r="AO267" i="1"/>
  <c r="AN267" i="1"/>
  <c r="AM267" i="1"/>
  <c r="AL267" i="1"/>
  <c r="AK267" i="1"/>
  <c r="AJ267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AX266" i="1"/>
  <c r="AW266" i="1"/>
  <c r="AU266" i="1"/>
  <c r="AR266" i="1"/>
  <c r="AP266" i="1"/>
  <c r="AO266" i="1"/>
  <c r="AN266" i="1"/>
  <c r="AM266" i="1"/>
  <c r="AL266" i="1"/>
  <c r="AK266" i="1"/>
  <c r="AJ266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AX265" i="1"/>
  <c r="AW265" i="1"/>
  <c r="AU265" i="1"/>
  <c r="AR265" i="1"/>
  <c r="AP265" i="1"/>
  <c r="AO265" i="1"/>
  <c r="AN265" i="1"/>
  <c r="AM265" i="1"/>
  <c r="AL265" i="1"/>
  <c r="AK265" i="1"/>
  <c r="AJ265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AX264" i="1"/>
  <c r="AW264" i="1"/>
  <c r="AU264" i="1"/>
  <c r="AR264" i="1"/>
  <c r="AP264" i="1"/>
  <c r="AO264" i="1"/>
  <c r="AN264" i="1"/>
  <c r="AM264" i="1"/>
  <c r="AL264" i="1"/>
  <c r="AK264" i="1"/>
  <c r="AJ264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AX263" i="1"/>
  <c r="AW263" i="1"/>
  <c r="AU263" i="1"/>
  <c r="AR263" i="1"/>
  <c r="AP263" i="1"/>
  <c r="AO263" i="1"/>
  <c r="AN263" i="1"/>
  <c r="AM263" i="1"/>
  <c r="AL263" i="1"/>
  <c r="AK263" i="1"/>
  <c r="AJ263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AX262" i="1"/>
  <c r="AW262" i="1"/>
  <c r="AU262" i="1"/>
  <c r="AR262" i="1"/>
  <c r="AP262" i="1"/>
  <c r="AO262" i="1"/>
  <c r="AN262" i="1"/>
  <c r="AM262" i="1"/>
  <c r="AL262" i="1"/>
  <c r="AK262" i="1"/>
  <c r="AJ262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AX261" i="1"/>
  <c r="AW261" i="1"/>
  <c r="AU261" i="1"/>
  <c r="AR261" i="1"/>
  <c r="AP261" i="1"/>
  <c r="AO261" i="1"/>
  <c r="AN261" i="1"/>
  <c r="AM261" i="1"/>
  <c r="AL261" i="1"/>
  <c r="AK261" i="1"/>
  <c r="AJ261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AX260" i="1"/>
  <c r="AW260" i="1"/>
  <c r="AU260" i="1"/>
  <c r="AR260" i="1"/>
  <c r="AP260" i="1"/>
  <c r="AO260" i="1"/>
  <c r="AN260" i="1"/>
  <c r="AM260" i="1"/>
  <c r="AL260" i="1"/>
  <c r="AK260" i="1"/>
  <c r="AJ260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AX259" i="1"/>
  <c r="AW259" i="1"/>
  <c r="AU259" i="1"/>
  <c r="AR259" i="1"/>
  <c r="AP259" i="1"/>
  <c r="AO259" i="1"/>
  <c r="AN259" i="1"/>
  <c r="AM259" i="1"/>
  <c r="AL259" i="1"/>
  <c r="AK259" i="1"/>
  <c r="AJ259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AX258" i="1"/>
  <c r="AW258" i="1"/>
  <c r="AU258" i="1"/>
  <c r="AR258" i="1"/>
  <c r="AP258" i="1"/>
  <c r="AO258" i="1"/>
  <c r="AN258" i="1"/>
  <c r="AM258" i="1"/>
  <c r="AL258" i="1"/>
  <c r="AK258" i="1"/>
  <c r="AJ258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AX257" i="1"/>
  <c r="AW257" i="1"/>
  <c r="AU257" i="1"/>
  <c r="AR257" i="1"/>
  <c r="AP257" i="1"/>
  <c r="AO257" i="1"/>
  <c r="AN257" i="1"/>
  <c r="AM257" i="1"/>
  <c r="AL257" i="1"/>
  <c r="AK257" i="1"/>
  <c r="AJ257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AX256" i="1"/>
  <c r="AW256" i="1"/>
  <c r="AU256" i="1"/>
  <c r="AR256" i="1"/>
  <c r="AP256" i="1"/>
  <c r="AO256" i="1"/>
  <c r="AN256" i="1"/>
  <c r="AM256" i="1"/>
  <c r="AL256" i="1"/>
  <c r="AK256" i="1"/>
  <c r="AJ256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AX255" i="1"/>
  <c r="AW255" i="1"/>
  <c r="AU255" i="1"/>
  <c r="AR255" i="1"/>
  <c r="AP255" i="1"/>
  <c r="AO255" i="1"/>
  <c r="AN255" i="1"/>
  <c r="AM255" i="1"/>
  <c r="AL255" i="1"/>
  <c r="AK255" i="1"/>
  <c r="AJ255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AX254" i="1"/>
  <c r="AW254" i="1"/>
  <c r="AU254" i="1"/>
  <c r="AR254" i="1"/>
  <c r="AP254" i="1"/>
  <c r="AO254" i="1"/>
  <c r="AN254" i="1"/>
  <c r="AM254" i="1"/>
  <c r="AL254" i="1"/>
  <c r="AK254" i="1"/>
  <c r="AJ254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AX253" i="1"/>
  <c r="AW253" i="1"/>
  <c r="AU253" i="1"/>
  <c r="AR253" i="1"/>
  <c r="AP253" i="1"/>
  <c r="AO253" i="1"/>
  <c r="AN253" i="1"/>
  <c r="AM253" i="1"/>
  <c r="AL253" i="1"/>
  <c r="AK253" i="1"/>
  <c r="AJ253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AX252" i="1"/>
  <c r="AW252" i="1"/>
  <c r="AU252" i="1"/>
  <c r="AR252" i="1"/>
  <c r="AP252" i="1"/>
  <c r="AO252" i="1"/>
  <c r="AN252" i="1"/>
  <c r="AM252" i="1"/>
  <c r="AL252" i="1"/>
  <c r="AK252" i="1"/>
  <c r="AJ252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AX251" i="1"/>
  <c r="AW251" i="1"/>
  <c r="AU251" i="1"/>
  <c r="AR251" i="1"/>
  <c r="AP251" i="1"/>
  <c r="AO251" i="1"/>
  <c r="AN251" i="1"/>
  <c r="AM251" i="1"/>
  <c r="AL251" i="1"/>
  <c r="AK251" i="1"/>
  <c r="AJ251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AX250" i="1"/>
  <c r="AW250" i="1"/>
  <c r="AU250" i="1"/>
  <c r="AR250" i="1"/>
  <c r="AP250" i="1"/>
  <c r="AO250" i="1"/>
  <c r="AN250" i="1"/>
  <c r="AM250" i="1"/>
  <c r="AL250" i="1"/>
  <c r="AK250" i="1"/>
  <c r="AJ250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AX249" i="1"/>
  <c r="AW249" i="1"/>
  <c r="AU249" i="1"/>
  <c r="AR249" i="1"/>
  <c r="AP249" i="1"/>
  <c r="AO249" i="1"/>
  <c r="AN249" i="1"/>
  <c r="AM249" i="1"/>
  <c r="AL249" i="1"/>
  <c r="AK249" i="1"/>
  <c r="AJ249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AX248" i="1"/>
  <c r="AW248" i="1"/>
  <c r="AU248" i="1"/>
  <c r="AR248" i="1"/>
  <c r="AP248" i="1"/>
  <c r="AO248" i="1"/>
  <c r="AN248" i="1"/>
  <c r="AM248" i="1"/>
  <c r="AL248" i="1"/>
  <c r="AK248" i="1"/>
  <c r="AJ248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AX247" i="1"/>
  <c r="AW247" i="1"/>
  <c r="AU247" i="1"/>
  <c r="AR247" i="1"/>
  <c r="AP247" i="1"/>
  <c r="AO247" i="1"/>
  <c r="AN247" i="1"/>
  <c r="AM247" i="1"/>
  <c r="AL247" i="1"/>
  <c r="AK247" i="1"/>
  <c r="AJ247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AX246" i="1"/>
  <c r="AW246" i="1"/>
  <c r="AU246" i="1"/>
  <c r="AR246" i="1"/>
  <c r="AP246" i="1"/>
  <c r="AO246" i="1"/>
  <c r="AN246" i="1"/>
  <c r="AM246" i="1"/>
  <c r="AL246" i="1"/>
  <c r="AK246" i="1"/>
  <c r="AJ246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AX245" i="1"/>
  <c r="AW245" i="1"/>
  <c r="AU245" i="1"/>
  <c r="AR245" i="1"/>
  <c r="AP245" i="1"/>
  <c r="AO245" i="1"/>
  <c r="AN245" i="1"/>
  <c r="AM245" i="1"/>
  <c r="AL245" i="1"/>
  <c r="AK245" i="1"/>
  <c r="AJ245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AX244" i="1"/>
  <c r="AW244" i="1"/>
  <c r="AU244" i="1"/>
  <c r="AR244" i="1"/>
  <c r="AP244" i="1"/>
  <c r="AO244" i="1"/>
  <c r="AN244" i="1"/>
  <c r="AM244" i="1"/>
  <c r="AL244" i="1"/>
  <c r="AK244" i="1"/>
  <c r="AJ244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AX243" i="1"/>
  <c r="AW243" i="1"/>
  <c r="AU243" i="1"/>
  <c r="AR243" i="1"/>
  <c r="AP243" i="1"/>
  <c r="AO243" i="1"/>
  <c r="AN243" i="1"/>
  <c r="AM243" i="1"/>
  <c r="AL243" i="1"/>
  <c r="AK243" i="1"/>
  <c r="AJ243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AX242" i="1"/>
  <c r="AW242" i="1"/>
  <c r="AU242" i="1"/>
  <c r="AR242" i="1"/>
  <c r="AP242" i="1"/>
  <c r="AO242" i="1"/>
  <c r="AN242" i="1"/>
  <c r="AM242" i="1"/>
  <c r="AL242" i="1"/>
  <c r="AK242" i="1"/>
  <c r="AJ242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AX241" i="1"/>
  <c r="AW241" i="1"/>
  <c r="AU241" i="1"/>
  <c r="AR241" i="1"/>
  <c r="AP241" i="1"/>
  <c r="AO241" i="1"/>
  <c r="AN241" i="1"/>
  <c r="AM241" i="1"/>
  <c r="AL241" i="1"/>
  <c r="AK241" i="1"/>
  <c r="AJ241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AX240" i="1"/>
  <c r="AW240" i="1"/>
  <c r="AU240" i="1"/>
  <c r="AR240" i="1"/>
  <c r="AP240" i="1"/>
  <c r="AO240" i="1"/>
  <c r="AN240" i="1"/>
  <c r="AM240" i="1"/>
  <c r="AL240" i="1"/>
  <c r="AK240" i="1"/>
  <c r="AJ240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AX239" i="1"/>
  <c r="AW239" i="1"/>
  <c r="AU239" i="1"/>
  <c r="AR239" i="1"/>
  <c r="AP239" i="1"/>
  <c r="AO239" i="1"/>
  <c r="AN239" i="1"/>
  <c r="AM239" i="1"/>
  <c r="AL239" i="1"/>
  <c r="AK239" i="1"/>
  <c r="AJ239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AX238" i="1"/>
  <c r="AW238" i="1"/>
  <c r="AU238" i="1"/>
  <c r="AR238" i="1"/>
  <c r="AP238" i="1"/>
  <c r="AO238" i="1"/>
  <c r="AN238" i="1"/>
  <c r="AM238" i="1"/>
  <c r="AL238" i="1"/>
  <c r="AK238" i="1"/>
  <c r="AJ238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AX237" i="1"/>
  <c r="AW237" i="1"/>
  <c r="AU237" i="1"/>
  <c r="AR237" i="1"/>
  <c r="AP237" i="1"/>
  <c r="AO237" i="1"/>
  <c r="AN237" i="1"/>
  <c r="AM237" i="1"/>
  <c r="AL237" i="1"/>
  <c r="AK237" i="1"/>
  <c r="AJ237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AX236" i="1"/>
  <c r="AW236" i="1"/>
  <c r="AU236" i="1"/>
  <c r="AR236" i="1"/>
  <c r="AP236" i="1"/>
  <c r="AO236" i="1"/>
  <c r="AN236" i="1"/>
  <c r="AM236" i="1"/>
  <c r="AL236" i="1"/>
  <c r="AK236" i="1"/>
  <c r="AJ236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AX235" i="1"/>
  <c r="AW235" i="1"/>
  <c r="AU235" i="1"/>
  <c r="AR235" i="1"/>
  <c r="AP235" i="1"/>
  <c r="AO235" i="1"/>
  <c r="AN235" i="1"/>
  <c r="AM235" i="1"/>
  <c r="AL235" i="1"/>
  <c r="AK235" i="1"/>
  <c r="AJ235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AX234" i="1"/>
  <c r="AW234" i="1"/>
  <c r="AU234" i="1"/>
  <c r="AR234" i="1"/>
  <c r="AP234" i="1"/>
  <c r="AO234" i="1"/>
  <c r="AN234" i="1"/>
  <c r="AM234" i="1"/>
  <c r="AL234" i="1"/>
  <c r="AK234" i="1"/>
  <c r="AJ234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AX233" i="1"/>
  <c r="AW233" i="1"/>
  <c r="AU233" i="1"/>
  <c r="AR233" i="1"/>
  <c r="AP233" i="1"/>
  <c r="AO233" i="1"/>
  <c r="AN233" i="1"/>
  <c r="AM233" i="1"/>
  <c r="AL233" i="1"/>
  <c r="AK233" i="1"/>
  <c r="AJ233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AX232" i="1"/>
  <c r="AW232" i="1"/>
  <c r="AU232" i="1"/>
  <c r="AR232" i="1"/>
  <c r="AP232" i="1"/>
  <c r="AO232" i="1"/>
  <c r="AN232" i="1"/>
  <c r="AM232" i="1"/>
  <c r="AL232" i="1"/>
  <c r="AK232" i="1"/>
  <c r="AJ232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AX231" i="1"/>
  <c r="AW231" i="1"/>
  <c r="AU231" i="1"/>
  <c r="AR231" i="1"/>
  <c r="AP231" i="1"/>
  <c r="AO231" i="1"/>
  <c r="AN231" i="1"/>
  <c r="AM231" i="1"/>
  <c r="AL231" i="1"/>
  <c r="AK231" i="1"/>
  <c r="AJ231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AX230" i="1"/>
  <c r="AW230" i="1"/>
  <c r="AU230" i="1"/>
  <c r="AR230" i="1"/>
  <c r="AP230" i="1"/>
  <c r="AO230" i="1"/>
  <c r="AN230" i="1"/>
  <c r="AM230" i="1"/>
  <c r="AL230" i="1"/>
  <c r="AK230" i="1"/>
  <c r="AJ230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AX229" i="1"/>
  <c r="AW229" i="1"/>
  <c r="AU229" i="1"/>
  <c r="AR229" i="1"/>
  <c r="AP229" i="1"/>
  <c r="AO229" i="1"/>
  <c r="AN229" i="1"/>
  <c r="AM229" i="1"/>
  <c r="AL229" i="1"/>
  <c r="AK229" i="1"/>
  <c r="AJ229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AX228" i="1"/>
  <c r="AW228" i="1"/>
  <c r="AU228" i="1"/>
  <c r="AR228" i="1"/>
  <c r="AP228" i="1"/>
  <c r="AO228" i="1"/>
  <c r="AN228" i="1"/>
  <c r="AM228" i="1"/>
  <c r="AL228" i="1"/>
  <c r="AK228" i="1"/>
  <c r="AJ228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AX227" i="1"/>
  <c r="AW227" i="1"/>
  <c r="AU227" i="1"/>
  <c r="AR227" i="1"/>
  <c r="AP227" i="1"/>
  <c r="AO227" i="1"/>
  <c r="AN227" i="1"/>
  <c r="AM227" i="1"/>
  <c r="AL227" i="1"/>
  <c r="AK227" i="1"/>
  <c r="AJ227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AX226" i="1"/>
  <c r="AW226" i="1"/>
  <c r="AU226" i="1"/>
  <c r="AR226" i="1"/>
  <c r="AP226" i="1"/>
  <c r="AO226" i="1"/>
  <c r="AN226" i="1"/>
  <c r="AM226" i="1"/>
  <c r="AL226" i="1"/>
  <c r="AK226" i="1"/>
  <c r="AJ226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AX225" i="1"/>
  <c r="AW225" i="1"/>
  <c r="AU225" i="1"/>
  <c r="AR225" i="1"/>
  <c r="AP225" i="1"/>
  <c r="AO225" i="1"/>
  <c r="AN225" i="1"/>
  <c r="AM225" i="1"/>
  <c r="AL225" i="1"/>
  <c r="AK225" i="1"/>
  <c r="AJ225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AX224" i="1"/>
  <c r="AW224" i="1"/>
  <c r="AU224" i="1"/>
  <c r="AR224" i="1"/>
  <c r="AP224" i="1"/>
  <c r="AO224" i="1"/>
  <c r="AN224" i="1"/>
  <c r="AM224" i="1"/>
  <c r="AL224" i="1"/>
  <c r="AK224" i="1"/>
  <c r="AJ224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AX223" i="1"/>
  <c r="AW223" i="1"/>
  <c r="AU223" i="1"/>
  <c r="AR223" i="1"/>
  <c r="AP223" i="1"/>
  <c r="AO223" i="1"/>
  <c r="AN223" i="1"/>
  <c r="AM223" i="1"/>
  <c r="AL223" i="1"/>
  <c r="AK223" i="1"/>
  <c r="AJ223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AX222" i="1"/>
  <c r="AW222" i="1"/>
  <c r="AU222" i="1"/>
  <c r="AR222" i="1"/>
  <c r="AP222" i="1"/>
  <c r="AO222" i="1"/>
  <c r="AN222" i="1"/>
  <c r="AM222" i="1"/>
  <c r="AL222" i="1"/>
  <c r="AK222" i="1"/>
  <c r="AJ222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AX221" i="1"/>
  <c r="AW221" i="1"/>
  <c r="AU221" i="1"/>
  <c r="AR221" i="1"/>
  <c r="AP221" i="1"/>
  <c r="AO221" i="1"/>
  <c r="AN221" i="1"/>
  <c r="AM221" i="1"/>
  <c r="AL221" i="1"/>
  <c r="AK221" i="1"/>
  <c r="AJ221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AX220" i="1"/>
  <c r="AW220" i="1"/>
  <c r="AU220" i="1"/>
  <c r="AR220" i="1"/>
  <c r="AP220" i="1"/>
  <c r="AO220" i="1"/>
  <c r="AN220" i="1"/>
  <c r="AM220" i="1"/>
  <c r="AL220" i="1"/>
  <c r="AK220" i="1"/>
  <c r="AJ220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AX219" i="1"/>
  <c r="AW219" i="1"/>
  <c r="AU219" i="1"/>
  <c r="AR219" i="1"/>
  <c r="AP219" i="1"/>
  <c r="AO219" i="1"/>
  <c r="AN219" i="1"/>
  <c r="AM219" i="1"/>
  <c r="AL219" i="1"/>
  <c r="AK219" i="1"/>
  <c r="AJ219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AX218" i="1"/>
  <c r="AW218" i="1"/>
  <c r="AU218" i="1"/>
  <c r="AR218" i="1"/>
  <c r="AP218" i="1"/>
  <c r="AO218" i="1"/>
  <c r="AN218" i="1"/>
  <c r="AM218" i="1"/>
  <c r="AL218" i="1"/>
  <c r="AK218" i="1"/>
  <c r="AJ218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AX217" i="1"/>
  <c r="AW217" i="1"/>
  <c r="AU217" i="1"/>
  <c r="AR217" i="1"/>
  <c r="AP217" i="1"/>
  <c r="AO217" i="1"/>
  <c r="AN217" i="1"/>
  <c r="AM217" i="1"/>
  <c r="AL217" i="1"/>
  <c r="AK217" i="1"/>
  <c r="AJ217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AX216" i="1"/>
  <c r="AW216" i="1"/>
  <c r="AU216" i="1"/>
  <c r="AR216" i="1"/>
  <c r="AP216" i="1"/>
  <c r="AO216" i="1"/>
  <c r="AN216" i="1"/>
  <c r="AM216" i="1"/>
  <c r="AL216" i="1"/>
  <c r="AK216" i="1"/>
  <c r="AJ216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AX215" i="1"/>
  <c r="AW215" i="1"/>
  <c r="AU215" i="1"/>
  <c r="AR215" i="1"/>
  <c r="AP215" i="1"/>
  <c r="AO215" i="1"/>
  <c r="AN215" i="1"/>
  <c r="AM215" i="1"/>
  <c r="AL215" i="1"/>
  <c r="AK215" i="1"/>
  <c r="AJ215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AX214" i="1"/>
  <c r="AW214" i="1"/>
  <c r="AU214" i="1"/>
  <c r="AR214" i="1"/>
  <c r="AP214" i="1"/>
  <c r="AO214" i="1"/>
  <c r="AN214" i="1"/>
  <c r="AM214" i="1"/>
  <c r="AL214" i="1"/>
  <c r="AK214" i="1"/>
  <c r="AJ214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AX213" i="1"/>
  <c r="AW213" i="1"/>
  <c r="AU213" i="1"/>
  <c r="AR213" i="1"/>
  <c r="AP213" i="1"/>
  <c r="AO213" i="1"/>
  <c r="AN213" i="1"/>
  <c r="AM213" i="1"/>
  <c r="AL213" i="1"/>
  <c r="AK213" i="1"/>
  <c r="AJ213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AX212" i="1"/>
  <c r="AW212" i="1"/>
  <c r="AU212" i="1"/>
  <c r="AR212" i="1"/>
  <c r="AP212" i="1"/>
  <c r="AO212" i="1"/>
  <c r="AN212" i="1"/>
  <c r="AM212" i="1"/>
  <c r="AL212" i="1"/>
  <c r="AK212" i="1"/>
  <c r="AJ212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AX211" i="1"/>
  <c r="AW211" i="1"/>
  <c r="AU211" i="1"/>
  <c r="AR211" i="1"/>
  <c r="AP211" i="1"/>
  <c r="AO211" i="1"/>
  <c r="AN211" i="1"/>
  <c r="AM211" i="1"/>
  <c r="AL211" i="1"/>
  <c r="AK211" i="1"/>
  <c r="AJ211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AX210" i="1"/>
  <c r="AW210" i="1"/>
  <c r="AU210" i="1"/>
  <c r="AR210" i="1"/>
  <c r="AP210" i="1"/>
  <c r="AO210" i="1"/>
  <c r="AN210" i="1"/>
  <c r="AM210" i="1"/>
  <c r="AL210" i="1"/>
  <c r="AK210" i="1"/>
  <c r="AJ210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AX209" i="1"/>
  <c r="AW209" i="1"/>
  <c r="AU209" i="1"/>
  <c r="AR209" i="1"/>
  <c r="AP209" i="1"/>
  <c r="AO209" i="1"/>
  <c r="AN209" i="1"/>
  <c r="AM209" i="1"/>
  <c r="AL209" i="1"/>
  <c r="AK209" i="1"/>
  <c r="AJ209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AX208" i="1"/>
  <c r="AW208" i="1"/>
  <c r="AU208" i="1"/>
  <c r="AR208" i="1"/>
  <c r="AP208" i="1"/>
  <c r="AO208" i="1"/>
  <c r="AN208" i="1"/>
  <c r="AM208" i="1"/>
  <c r="AL208" i="1"/>
  <c r="AK208" i="1"/>
  <c r="AJ208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AX207" i="1"/>
  <c r="AW207" i="1"/>
  <c r="AU207" i="1"/>
  <c r="AR207" i="1"/>
  <c r="AP207" i="1"/>
  <c r="AO207" i="1"/>
  <c r="AN207" i="1"/>
  <c r="AM207" i="1"/>
  <c r="AL207" i="1"/>
  <c r="AK207" i="1"/>
  <c r="AJ207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AX206" i="1"/>
  <c r="AW206" i="1"/>
  <c r="AU206" i="1"/>
  <c r="AR206" i="1"/>
  <c r="AP206" i="1"/>
  <c r="AO206" i="1"/>
  <c r="AN206" i="1"/>
  <c r="AM206" i="1"/>
  <c r="AL206" i="1"/>
  <c r="AK206" i="1"/>
  <c r="AJ206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AX205" i="1"/>
  <c r="AW205" i="1"/>
  <c r="AU205" i="1"/>
  <c r="AR205" i="1"/>
  <c r="AP205" i="1"/>
  <c r="AO205" i="1"/>
  <c r="AN205" i="1"/>
  <c r="AM205" i="1"/>
  <c r="AL205" i="1"/>
  <c r="AK205" i="1"/>
  <c r="AJ205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AX204" i="1"/>
  <c r="AW204" i="1"/>
  <c r="AU204" i="1"/>
  <c r="AR204" i="1"/>
  <c r="AP204" i="1"/>
  <c r="AO204" i="1"/>
  <c r="AN204" i="1"/>
  <c r="AM204" i="1"/>
  <c r="AL204" i="1"/>
  <c r="AK204" i="1"/>
  <c r="AJ204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AX203" i="1"/>
  <c r="AW203" i="1"/>
  <c r="AU203" i="1"/>
  <c r="AR203" i="1"/>
  <c r="AP203" i="1"/>
  <c r="AO203" i="1"/>
  <c r="AN203" i="1"/>
  <c r="AM203" i="1"/>
  <c r="AL203" i="1"/>
  <c r="AK203" i="1"/>
  <c r="AJ203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AX202" i="1"/>
  <c r="AW202" i="1"/>
  <c r="AU202" i="1"/>
  <c r="AR202" i="1"/>
  <c r="AP202" i="1"/>
  <c r="AO202" i="1"/>
  <c r="AN202" i="1"/>
  <c r="AM202" i="1"/>
  <c r="AL202" i="1"/>
  <c r="AK202" i="1"/>
  <c r="AJ202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AX201" i="1"/>
  <c r="AW201" i="1"/>
  <c r="AU201" i="1"/>
  <c r="AR201" i="1"/>
  <c r="AP201" i="1"/>
  <c r="AO201" i="1"/>
  <c r="AN201" i="1"/>
  <c r="AM201" i="1"/>
  <c r="AL201" i="1"/>
  <c r="AK201" i="1"/>
  <c r="AJ201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AX200" i="1"/>
  <c r="AW200" i="1"/>
  <c r="AU200" i="1"/>
  <c r="AR200" i="1"/>
  <c r="AP200" i="1"/>
  <c r="AO200" i="1"/>
  <c r="AN200" i="1"/>
  <c r="AM200" i="1"/>
  <c r="AL200" i="1"/>
  <c r="AK200" i="1"/>
  <c r="AJ200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AX199" i="1"/>
  <c r="AW199" i="1"/>
  <c r="AU199" i="1"/>
  <c r="AR199" i="1"/>
  <c r="AP199" i="1"/>
  <c r="AO199" i="1"/>
  <c r="AN199" i="1"/>
  <c r="AM199" i="1"/>
  <c r="AL199" i="1"/>
  <c r="AK199" i="1"/>
  <c r="AJ199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AX198" i="1"/>
  <c r="AW198" i="1"/>
  <c r="AU198" i="1"/>
  <c r="AR198" i="1"/>
  <c r="AP198" i="1"/>
  <c r="AO198" i="1"/>
  <c r="AN198" i="1"/>
  <c r="AM198" i="1"/>
  <c r="AL198" i="1"/>
  <c r="AK198" i="1"/>
  <c r="AJ198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AX197" i="1"/>
  <c r="AW197" i="1"/>
  <c r="AU197" i="1"/>
  <c r="AR197" i="1"/>
  <c r="AP197" i="1"/>
  <c r="AO197" i="1"/>
  <c r="AN197" i="1"/>
  <c r="AM197" i="1"/>
  <c r="AL197" i="1"/>
  <c r="AK197" i="1"/>
  <c r="AJ197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AX196" i="1"/>
  <c r="AW196" i="1"/>
  <c r="AU196" i="1"/>
  <c r="AR196" i="1"/>
  <c r="AP196" i="1"/>
  <c r="AO196" i="1"/>
  <c r="AN196" i="1"/>
  <c r="AM196" i="1"/>
  <c r="AL196" i="1"/>
  <c r="AK196" i="1"/>
  <c r="AJ196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AX195" i="1"/>
  <c r="AW195" i="1"/>
  <c r="AU195" i="1"/>
  <c r="AR195" i="1"/>
  <c r="AP195" i="1"/>
  <c r="AO195" i="1"/>
  <c r="AN195" i="1"/>
  <c r="AM195" i="1"/>
  <c r="AL195" i="1"/>
  <c r="AK195" i="1"/>
  <c r="AJ195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AX194" i="1"/>
  <c r="AW194" i="1"/>
  <c r="AU194" i="1"/>
  <c r="AR194" i="1"/>
  <c r="AP194" i="1"/>
  <c r="AO194" i="1"/>
  <c r="AN194" i="1"/>
  <c r="AM194" i="1"/>
  <c r="AL194" i="1"/>
  <c r="AK194" i="1"/>
  <c r="AJ194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AX193" i="1"/>
  <c r="AW193" i="1"/>
  <c r="AU193" i="1"/>
  <c r="AR193" i="1"/>
  <c r="AP193" i="1"/>
  <c r="AO193" i="1"/>
  <c r="AN193" i="1"/>
  <c r="AM193" i="1"/>
  <c r="AL193" i="1"/>
  <c r="AK193" i="1"/>
  <c r="AJ193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AX192" i="1"/>
  <c r="AW192" i="1"/>
  <c r="AU192" i="1"/>
  <c r="AR192" i="1"/>
  <c r="AP192" i="1"/>
  <c r="AO192" i="1"/>
  <c r="AN192" i="1"/>
  <c r="AM192" i="1"/>
  <c r="AL192" i="1"/>
  <c r="AK192" i="1"/>
  <c r="AJ192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AX191" i="1"/>
  <c r="AW191" i="1"/>
  <c r="AU191" i="1"/>
  <c r="AR191" i="1"/>
  <c r="AP191" i="1"/>
  <c r="AO191" i="1"/>
  <c r="AN191" i="1"/>
  <c r="AM191" i="1"/>
  <c r="AL191" i="1"/>
  <c r="AK191" i="1"/>
  <c r="AJ191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AX190" i="1"/>
  <c r="AW190" i="1"/>
  <c r="AU190" i="1"/>
  <c r="AR190" i="1"/>
  <c r="AP190" i="1"/>
  <c r="AO190" i="1"/>
  <c r="AN190" i="1"/>
  <c r="AM190" i="1"/>
  <c r="AL190" i="1"/>
  <c r="AK190" i="1"/>
  <c r="AJ190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AX189" i="1"/>
  <c r="AW189" i="1"/>
  <c r="AU189" i="1"/>
  <c r="AR189" i="1"/>
  <c r="AP189" i="1"/>
  <c r="AO189" i="1"/>
  <c r="AN189" i="1"/>
  <c r="AM189" i="1"/>
  <c r="AL189" i="1"/>
  <c r="AK189" i="1"/>
  <c r="AJ189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AX188" i="1"/>
  <c r="AW188" i="1"/>
  <c r="AU188" i="1"/>
  <c r="AR188" i="1"/>
  <c r="AP188" i="1"/>
  <c r="AO188" i="1"/>
  <c r="AN188" i="1"/>
  <c r="AM188" i="1"/>
  <c r="AL188" i="1"/>
  <c r="AK188" i="1"/>
  <c r="AJ188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AX187" i="1"/>
  <c r="AW187" i="1"/>
  <c r="AU187" i="1"/>
  <c r="AR187" i="1"/>
  <c r="AP187" i="1"/>
  <c r="AO187" i="1"/>
  <c r="AN187" i="1"/>
  <c r="AM187" i="1"/>
  <c r="AL187" i="1"/>
  <c r="AK187" i="1"/>
  <c r="AJ187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AX186" i="1"/>
  <c r="AW186" i="1"/>
  <c r="AU186" i="1"/>
  <c r="AR186" i="1"/>
  <c r="AP186" i="1"/>
  <c r="AO186" i="1"/>
  <c r="AN186" i="1"/>
  <c r="AM186" i="1"/>
  <c r="AL186" i="1"/>
  <c r="AK186" i="1"/>
  <c r="AJ186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AX185" i="1"/>
  <c r="AW185" i="1"/>
  <c r="AU185" i="1"/>
  <c r="AR185" i="1"/>
  <c r="AP185" i="1"/>
  <c r="AO185" i="1"/>
  <c r="AN185" i="1"/>
  <c r="AM185" i="1"/>
  <c r="AL185" i="1"/>
  <c r="AK185" i="1"/>
  <c r="AJ185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AX184" i="1"/>
  <c r="AW184" i="1"/>
  <c r="AU184" i="1"/>
  <c r="AR184" i="1"/>
  <c r="AP184" i="1"/>
  <c r="AO184" i="1"/>
  <c r="AN184" i="1"/>
  <c r="AM184" i="1"/>
  <c r="AL184" i="1"/>
  <c r="AK184" i="1"/>
  <c r="AJ184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AX183" i="1"/>
  <c r="AW183" i="1"/>
  <c r="AU183" i="1"/>
  <c r="AR183" i="1"/>
  <c r="AP183" i="1"/>
  <c r="AO183" i="1"/>
  <c r="AN183" i="1"/>
  <c r="AM183" i="1"/>
  <c r="AL183" i="1"/>
  <c r="AK183" i="1"/>
  <c r="AJ183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AX182" i="1"/>
  <c r="AW182" i="1"/>
  <c r="AU182" i="1"/>
  <c r="AR182" i="1"/>
  <c r="AP182" i="1"/>
  <c r="AO182" i="1"/>
  <c r="AN182" i="1"/>
  <c r="AM182" i="1"/>
  <c r="AL182" i="1"/>
  <c r="AK182" i="1"/>
  <c r="AJ182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AX181" i="1"/>
  <c r="AW181" i="1"/>
  <c r="AU181" i="1"/>
  <c r="AR181" i="1"/>
  <c r="AP181" i="1"/>
  <c r="AO181" i="1"/>
  <c r="AN181" i="1"/>
  <c r="AM181" i="1"/>
  <c r="AL181" i="1"/>
  <c r="AK181" i="1"/>
  <c r="AJ181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AX180" i="1"/>
  <c r="AW180" i="1"/>
  <c r="AU180" i="1"/>
  <c r="AR180" i="1"/>
  <c r="AP180" i="1"/>
  <c r="AO180" i="1"/>
  <c r="AN180" i="1"/>
  <c r="AM180" i="1"/>
  <c r="AL180" i="1"/>
  <c r="AK180" i="1"/>
  <c r="AJ180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AX179" i="1"/>
  <c r="AW179" i="1"/>
  <c r="AU179" i="1"/>
  <c r="AR179" i="1"/>
  <c r="AP179" i="1"/>
  <c r="AO179" i="1"/>
  <c r="AN179" i="1"/>
  <c r="AM179" i="1"/>
  <c r="AL179" i="1"/>
  <c r="AK179" i="1"/>
  <c r="AJ179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AX178" i="1"/>
  <c r="AW178" i="1"/>
  <c r="AU178" i="1"/>
  <c r="AR178" i="1"/>
  <c r="AP178" i="1"/>
  <c r="AO178" i="1"/>
  <c r="AN178" i="1"/>
  <c r="AM178" i="1"/>
  <c r="AL178" i="1"/>
  <c r="AK178" i="1"/>
  <c r="AJ178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AX177" i="1"/>
  <c r="AW177" i="1"/>
  <c r="AU177" i="1"/>
  <c r="AR177" i="1"/>
  <c r="AP177" i="1"/>
  <c r="AO177" i="1"/>
  <c r="AN177" i="1"/>
  <c r="AM177" i="1"/>
  <c r="AL177" i="1"/>
  <c r="AK177" i="1"/>
  <c r="AJ177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AX176" i="1"/>
  <c r="AW176" i="1"/>
  <c r="AU176" i="1"/>
  <c r="AR176" i="1"/>
  <c r="AP176" i="1"/>
  <c r="AO176" i="1"/>
  <c r="AN176" i="1"/>
  <c r="AM176" i="1"/>
  <c r="AL176" i="1"/>
  <c r="AK176" i="1"/>
  <c r="AJ176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AX175" i="1"/>
  <c r="AW175" i="1"/>
  <c r="AU175" i="1"/>
  <c r="AR175" i="1"/>
  <c r="AP175" i="1"/>
  <c r="AO175" i="1"/>
  <c r="AN175" i="1"/>
  <c r="AM175" i="1"/>
  <c r="AL175" i="1"/>
  <c r="AK175" i="1"/>
  <c r="AJ175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AX174" i="1"/>
  <c r="AW174" i="1"/>
  <c r="AU174" i="1"/>
  <c r="AR174" i="1"/>
  <c r="AP174" i="1"/>
  <c r="AO174" i="1"/>
  <c r="AN174" i="1"/>
  <c r="AM174" i="1"/>
  <c r="AL174" i="1"/>
  <c r="AK174" i="1"/>
  <c r="AJ174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AX173" i="1"/>
  <c r="AW173" i="1"/>
  <c r="AU173" i="1"/>
  <c r="AR173" i="1"/>
  <c r="AP173" i="1"/>
  <c r="AO173" i="1"/>
  <c r="AN173" i="1"/>
  <c r="AM173" i="1"/>
  <c r="AL173" i="1"/>
  <c r="AK173" i="1"/>
  <c r="AJ173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AX172" i="1"/>
  <c r="AW172" i="1"/>
  <c r="AU172" i="1"/>
  <c r="AR172" i="1"/>
  <c r="AP172" i="1"/>
  <c r="AO172" i="1"/>
  <c r="AN172" i="1"/>
  <c r="AM172" i="1"/>
  <c r="AL172" i="1"/>
  <c r="AK172" i="1"/>
  <c r="AJ172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AX171" i="1"/>
  <c r="AW171" i="1"/>
  <c r="AU171" i="1"/>
  <c r="AR171" i="1"/>
  <c r="AP171" i="1"/>
  <c r="AO171" i="1"/>
  <c r="AN171" i="1"/>
  <c r="AM171" i="1"/>
  <c r="AL171" i="1"/>
  <c r="AK171" i="1"/>
  <c r="AJ171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AX170" i="1"/>
  <c r="AW170" i="1"/>
  <c r="AU170" i="1"/>
  <c r="AR170" i="1"/>
  <c r="AP170" i="1"/>
  <c r="AO170" i="1"/>
  <c r="AN170" i="1"/>
  <c r="AM170" i="1"/>
  <c r="AL170" i="1"/>
  <c r="AK170" i="1"/>
  <c r="AJ170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AX169" i="1"/>
  <c r="AW169" i="1"/>
  <c r="AU169" i="1"/>
  <c r="AR169" i="1"/>
  <c r="AP169" i="1"/>
  <c r="AO169" i="1"/>
  <c r="AN169" i="1"/>
  <c r="AM169" i="1"/>
  <c r="AL169" i="1"/>
  <c r="AK169" i="1"/>
  <c r="AJ169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AX168" i="1"/>
  <c r="AW168" i="1"/>
  <c r="AU168" i="1"/>
  <c r="AR168" i="1"/>
  <c r="AP168" i="1"/>
  <c r="AO168" i="1"/>
  <c r="AN168" i="1"/>
  <c r="AM168" i="1"/>
  <c r="AL168" i="1"/>
  <c r="AK168" i="1"/>
  <c r="AJ168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AX167" i="1"/>
  <c r="AW167" i="1"/>
  <c r="AU167" i="1"/>
  <c r="AR167" i="1"/>
  <c r="AP167" i="1"/>
  <c r="AO167" i="1"/>
  <c r="AN167" i="1"/>
  <c r="AM167" i="1"/>
  <c r="AL167" i="1"/>
  <c r="AK167" i="1"/>
  <c r="AJ167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AX166" i="1"/>
  <c r="AW166" i="1"/>
  <c r="AU166" i="1"/>
  <c r="AR166" i="1"/>
  <c r="AP166" i="1"/>
  <c r="AO166" i="1"/>
  <c r="AN166" i="1"/>
  <c r="AM166" i="1"/>
  <c r="AL166" i="1"/>
  <c r="AK166" i="1"/>
  <c r="AJ166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AX165" i="1"/>
  <c r="AW165" i="1"/>
  <c r="AU165" i="1"/>
  <c r="AR165" i="1"/>
  <c r="AP165" i="1"/>
  <c r="AO165" i="1"/>
  <c r="AN165" i="1"/>
  <c r="AM165" i="1"/>
  <c r="AL165" i="1"/>
  <c r="AK165" i="1"/>
  <c r="AJ165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AX164" i="1"/>
  <c r="AW164" i="1"/>
  <c r="AU164" i="1"/>
  <c r="AR164" i="1"/>
  <c r="AP164" i="1"/>
  <c r="AO164" i="1"/>
  <c r="AN164" i="1"/>
  <c r="AM164" i="1"/>
  <c r="AL164" i="1"/>
  <c r="AK164" i="1"/>
  <c r="AJ164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AX163" i="1"/>
  <c r="AW163" i="1"/>
  <c r="AU163" i="1"/>
  <c r="AR163" i="1"/>
  <c r="AP163" i="1"/>
  <c r="AO163" i="1"/>
  <c r="AN163" i="1"/>
  <c r="AM163" i="1"/>
  <c r="AL163" i="1"/>
  <c r="AK163" i="1"/>
  <c r="AJ163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AX162" i="1"/>
  <c r="AW162" i="1"/>
  <c r="AU162" i="1"/>
  <c r="AR162" i="1"/>
  <c r="AP162" i="1"/>
  <c r="AO162" i="1"/>
  <c r="AN162" i="1"/>
  <c r="AM162" i="1"/>
  <c r="AL162" i="1"/>
  <c r="AK162" i="1"/>
  <c r="AJ162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AX161" i="1"/>
  <c r="AW161" i="1"/>
  <c r="AU161" i="1"/>
  <c r="AR161" i="1"/>
  <c r="AP161" i="1"/>
  <c r="AO161" i="1"/>
  <c r="AN161" i="1"/>
  <c r="AM161" i="1"/>
  <c r="AL161" i="1"/>
  <c r="AK161" i="1"/>
  <c r="AJ161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AX160" i="1"/>
  <c r="AW160" i="1"/>
  <c r="AU160" i="1"/>
  <c r="AR160" i="1"/>
  <c r="AP160" i="1"/>
  <c r="AO160" i="1"/>
  <c r="AN160" i="1"/>
  <c r="AM160" i="1"/>
  <c r="AL160" i="1"/>
  <c r="AK160" i="1"/>
  <c r="AJ160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AX159" i="1"/>
  <c r="AW159" i="1"/>
  <c r="AU159" i="1"/>
  <c r="AR159" i="1"/>
  <c r="AP159" i="1"/>
  <c r="AO159" i="1"/>
  <c r="AN159" i="1"/>
  <c r="AM159" i="1"/>
  <c r="AL159" i="1"/>
  <c r="AK159" i="1"/>
  <c r="AJ159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AX158" i="1"/>
  <c r="AW158" i="1"/>
  <c r="AU158" i="1"/>
  <c r="AR158" i="1"/>
  <c r="AP158" i="1"/>
  <c r="AO158" i="1"/>
  <c r="AN158" i="1"/>
  <c r="AM158" i="1"/>
  <c r="AL158" i="1"/>
  <c r="AK158" i="1"/>
  <c r="AJ158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AX157" i="1"/>
  <c r="AW157" i="1"/>
  <c r="AU157" i="1"/>
  <c r="AR157" i="1"/>
  <c r="AP157" i="1"/>
  <c r="AO157" i="1"/>
  <c r="AN157" i="1"/>
  <c r="AM157" i="1"/>
  <c r="AL157" i="1"/>
  <c r="AK157" i="1"/>
  <c r="AJ157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AX156" i="1"/>
  <c r="AW156" i="1"/>
  <c r="AU156" i="1"/>
  <c r="AR156" i="1"/>
  <c r="AP156" i="1"/>
  <c r="AO156" i="1"/>
  <c r="AN156" i="1"/>
  <c r="AM156" i="1"/>
  <c r="AL156" i="1"/>
  <c r="AK156" i="1"/>
  <c r="AJ156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AX155" i="1"/>
  <c r="AW155" i="1"/>
  <c r="AU155" i="1"/>
  <c r="AR155" i="1"/>
  <c r="AP155" i="1"/>
  <c r="AO155" i="1"/>
  <c r="AN155" i="1"/>
  <c r="AM155" i="1"/>
  <c r="AL155" i="1"/>
  <c r="AK155" i="1"/>
  <c r="AJ155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AX154" i="1"/>
  <c r="AW154" i="1"/>
  <c r="AU154" i="1"/>
  <c r="AR154" i="1"/>
  <c r="AP154" i="1"/>
  <c r="AO154" i="1"/>
  <c r="AN154" i="1"/>
  <c r="AM154" i="1"/>
  <c r="AL154" i="1"/>
  <c r="AK154" i="1"/>
  <c r="AJ154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AX153" i="1"/>
  <c r="AW153" i="1"/>
  <c r="AU153" i="1"/>
  <c r="AR153" i="1"/>
  <c r="AP153" i="1"/>
  <c r="AO153" i="1"/>
  <c r="AN153" i="1"/>
  <c r="AM153" i="1"/>
  <c r="AL153" i="1"/>
  <c r="AK153" i="1"/>
  <c r="AJ153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AX152" i="1"/>
  <c r="AW152" i="1"/>
  <c r="AU152" i="1"/>
  <c r="AR152" i="1"/>
  <c r="AP152" i="1"/>
  <c r="AO152" i="1"/>
  <c r="AN152" i="1"/>
  <c r="AM152" i="1"/>
  <c r="AL152" i="1"/>
  <c r="AK152" i="1"/>
  <c r="AJ152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AX151" i="1"/>
  <c r="AW151" i="1"/>
  <c r="AU151" i="1"/>
  <c r="AR151" i="1"/>
  <c r="AP151" i="1"/>
  <c r="AO151" i="1"/>
  <c r="AN151" i="1"/>
  <c r="AM151" i="1"/>
  <c r="AL151" i="1"/>
  <c r="AK151" i="1"/>
  <c r="AJ151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AX150" i="1"/>
  <c r="AW150" i="1"/>
  <c r="AU150" i="1"/>
  <c r="AR150" i="1"/>
  <c r="AP150" i="1"/>
  <c r="AO150" i="1"/>
  <c r="AN150" i="1"/>
  <c r="AM150" i="1"/>
  <c r="AL150" i="1"/>
  <c r="AK150" i="1"/>
  <c r="AJ150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AX149" i="1"/>
  <c r="AW149" i="1"/>
  <c r="AU149" i="1"/>
  <c r="AR149" i="1"/>
  <c r="AP149" i="1"/>
  <c r="AO149" i="1"/>
  <c r="AN149" i="1"/>
  <c r="AM149" i="1"/>
  <c r="AL149" i="1"/>
  <c r="AK149" i="1"/>
  <c r="AJ149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AX148" i="1"/>
  <c r="AW148" i="1"/>
  <c r="AU148" i="1"/>
  <c r="AR148" i="1"/>
  <c r="AP148" i="1"/>
  <c r="AO148" i="1"/>
  <c r="AN148" i="1"/>
  <c r="AM148" i="1"/>
  <c r="AL148" i="1"/>
  <c r="AK148" i="1"/>
  <c r="AJ148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AX147" i="1"/>
  <c r="AW147" i="1"/>
  <c r="AU147" i="1"/>
  <c r="AR147" i="1"/>
  <c r="AP147" i="1"/>
  <c r="AO147" i="1"/>
  <c r="AN147" i="1"/>
  <c r="AM147" i="1"/>
  <c r="AL147" i="1"/>
  <c r="AK147" i="1"/>
  <c r="AJ147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AX146" i="1"/>
  <c r="AW146" i="1"/>
  <c r="AU146" i="1"/>
  <c r="AR146" i="1"/>
  <c r="AP146" i="1"/>
  <c r="AO146" i="1"/>
  <c r="AN146" i="1"/>
  <c r="AM146" i="1"/>
  <c r="AL146" i="1"/>
  <c r="AK146" i="1"/>
  <c r="AJ146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AX145" i="1"/>
  <c r="AW145" i="1"/>
  <c r="AU145" i="1"/>
  <c r="AR145" i="1"/>
  <c r="AP145" i="1"/>
  <c r="AO145" i="1"/>
  <c r="AN145" i="1"/>
  <c r="AM145" i="1"/>
  <c r="AL145" i="1"/>
  <c r="AK145" i="1"/>
  <c r="AJ145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AX144" i="1"/>
  <c r="AW144" i="1"/>
  <c r="AU144" i="1"/>
  <c r="AR144" i="1"/>
  <c r="AP144" i="1"/>
  <c r="AO144" i="1"/>
  <c r="AN144" i="1"/>
  <c r="AM144" i="1"/>
  <c r="AL144" i="1"/>
  <c r="AK144" i="1"/>
  <c r="AJ144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AX143" i="1"/>
  <c r="AW143" i="1"/>
  <c r="AU143" i="1"/>
  <c r="AR143" i="1"/>
  <c r="AP143" i="1"/>
  <c r="AO143" i="1"/>
  <c r="AN143" i="1"/>
  <c r="AM143" i="1"/>
  <c r="AL143" i="1"/>
  <c r="AK143" i="1"/>
  <c r="AJ143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AX142" i="1"/>
  <c r="AW142" i="1"/>
  <c r="AU142" i="1"/>
  <c r="AR142" i="1"/>
  <c r="AP142" i="1"/>
  <c r="AO142" i="1"/>
  <c r="AN142" i="1"/>
  <c r="AM142" i="1"/>
  <c r="AL142" i="1"/>
  <c r="AK142" i="1"/>
  <c r="AJ142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AX141" i="1"/>
  <c r="AW141" i="1"/>
  <c r="AU141" i="1"/>
  <c r="AR141" i="1"/>
  <c r="AP141" i="1"/>
  <c r="AO141" i="1"/>
  <c r="AN141" i="1"/>
  <c r="AM141" i="1"/>
  <c r="AL141" i="1"/>
  <c r="AK141" i="1"/>
  <c r="AJ141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AX140" i="1"/>
  <c r="AW140" i="1"/>
  <c r="AU140" i="1"/>
  <c r="AR140" i="1"/>
  <c r="AP140" i="1"/>
  <c r="AO140" i="1"/>
  <c r="AN140" i="1"/>
  <c r="AM140" i="1"/>
  <c r="AL140" i="1"/>
  <c r="AK140" i="1"/>
  <c r="AJ140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AX139" i="1"/>
  <c r="AW139" i="1"/>
  <c r="AU139" i="1"/>
  <c r="AR139" i="1"/>
  <c r="AP139" i="1"/>
  <c r="AO139" i="1"/>
  <c r="AN139" i="1"/>
  <c r="AM139" i="1"/>
  <c r="AL139" i="1"/>
  <c r="AK139" i="1"/>
  <c r="AJ139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AX138" i="1"/>
  <c r="AW138" i="1"/>
  <c r="AU138" i="1"/>
  <c r="AR138" i="1"/>
  <c r="AP138" i="1"/>
  <c r="AO138" i="1"/>
  <c r="AN138" i="1"/>
  <c r="AM138" i="1"/>
  <c r="AL138" i="1"/>
  <c r="AK138" i="1"/>
  <c r="AJ138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AX137" i="1"/>
  <c r="AW137" i="1"/>
  <c r="AU137" i="1"/>
  <c r="AR137" i="1"/>
  <c r="AP137" i="1"/>
  <c r="AO137" i="1"/>
  <c r="AN137" i="1"/>
  <c r="AM137" i="1"/>
  <c r="AL137" i="1"/>
  <c r="AK137" i="1"/>
  <c r="AJ137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AX136" i="1"/>
  <c r="AW136" i="1"/>
  <c r="AU136" i="1"/>
  <c r="AR136" i="1"/>
  <c r="AP136" i="1"/>
  <c r="AO136" i="1"/>
  <c r="AN136" i="1"/>
  <c r="AM136" i="1"/>
  <c r="AL136" i="1"/>
  <c r="AK136" i="1"/>
  <c r="AJ136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AX135" i="1"/>
  <c r="AW135" i="1"/>
  <c r="AU135" i="1"/>
  <c r="AR135" i="1"/>
  <c r="AP135" i="1"/>
  <c r="AO135" i="1"/>
  <c r="AN135" i="1"/>
  <c r="AM135" i="1"/>
  <c r="AL135" i="1"/>
  <c r="AK135" i="1"/>
  <c r="AJ135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AX134" i="1"/>
  <c r="AW134" i="1"/>
  <c r="AU134" i="1"/>
  <c r="AR134" i="1"/>
  <c r="AP134" i="1"/>
  <c r="AO134" i="1"/>
  <c r="AN134" i="1"/>
  <c r="AM134" i="1"/>
  <c r="AL134" i="1"/>
  <c r="AK134" i="1"/>
  <c r="AJ134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AX133" i="1"/>
  <c r="AW133" i="1"/>
  <c r="AU133" i="1"/>
  <c r="AR133" i="1"/>
  <c r="AP133" i="1"/>
  <c r="AO133" i="1"/>
  <c r="AN133" i="1"/>
  <c r="AM133" i="1"/>
  <c r="AL133" i="1"/>
  <c r="AK133" i="1"/>
  <c r="AJ133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AX132" i="1"/>
  <c r="AW132" i="1"/>
  <c r="AU132" i="1"/>
  <c r="AR132" i="1"/>
  <c r="AP132" i="1"/>
  <c r="AO132" i="1"/>
  <c r="AN132" i="1"/>
  <c r="AM132" i="1"/>
  <c r="AL132" i="1"/>
  <c r="AK132" i="1"/>
  <c r="AJ132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AX131" i="1"/>
  <c r="AW131" i="1"/>
  <c r="AU131" i="1"/>
  <c r="AR131" i="1"/>
  <c r="AP131" i="1"/>
  <c r="AO131" i="1"/>
  <c r="AN131" i="1"/>
  <c r="AM131" i="1"/>
  <c r="AL131" i="1"/>
  <c r="AK131" i="1"/>
  <c r="AJ131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AX130" i="1"/>
  <c r="AW130" i="1"/>
  <c r="AU130" i="1"/>
  <c r="AR130" i="1"/>
  <c r="AP130" i="1"/>
  <c r="AO130" i="1"/>
  <c r="AN130" i="1"/>
  <c r="AM130" i="1"/>
  <c r="AL130" i="1"/>
  <c r="AK130" i="1"/>
  <c r="AJ130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AX129" i="1"/>
  <c r="AW129" i="1"/>
  <c r="AU129" i="1"/>
  <c r="AR129" i="1"/>
  <c r="AP129" i="1"/>
  <c r="AO129" i="1"/>
  <c r="AN129" i="1"/>
  <c r="AM129" i="1"/>
  <c r="AL129" i="1"/>
  <c r="AK129" i="1"/>
  <c r="AJ129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AX128" i="1"/>
  <c r="AW128" i="1"/>
  <c r="AU128" i="1"/>
  <c r="AR128" i="1"/>
  <c r="AP128" i="1"/>
  <c r="AO128" i="1"/>
  <c r="AN128" i="1"/>
  <c r="AM128" i="1"/>
  <c r="AL128" i="1"/>
  <c r="AK128" i="1"/>
  <c r="AJ128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AX127" i="1"/>
  <c r="AW127" i="1"/>
  <c r="AU127" i="1"/>
  <c r="AR127" i="1"/>
  <c r="AP127" i="1"/>
  <c r="AO127" i="1"/>
  <c r="AN127" i="1"/>
  <c r="AM127" i="1"/>
  <c r="AL127" i="1"/>
  <c r="AK127" i="1"/>
  <c r="AJ127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AX126" i="1"/>
  <c r="AW126" i="1"/>
  <c r="AU126" i="1"/>
  <c r="AR126" i="1"/>
  <c r="AP126" i="1"/>
  <c r="AO126" i="1"/>
  <c r="AN126" i="1"/>
  <c r="AM126" i="1"/>
  <c r="AL126" i="1"/>
  <c r="AK126" i="1"/>
  <c r="AJ126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AX125" i="1"/>
  <c r="AW125" i="1"/>
  <c r="AU125" i="1"/>
  <c r="AR125" i="1"/>
  <c r="AP125" i="1"/>
  <c r="AO125" i="1"/>
  <c r="AN125" i="1"/>
  <c r="AM125" i="1"/>
  <c r="AL125" i="1"/>
  <c r="AK125" i="1"/>
  <c r="AJ125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AX124" i="1"/>
  <c r="AW124" i="1"/>
  <c r="AU124" i="1"/>
  <c r="AR124" i="1"/>
  <c r="AP124" i="1"/>
  <c r="AO124" i="1"/>
  <c r="AN124" i="1"/>
  <c r="AM124" i="1"/>
  <c r="AL124" i="1"/>
  <c r="AK124" i="1"/>
  <c r="AJ124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AX123" i="1"/>
  <c r="AW123" i="1"/>
  <c r="AU123" i="1"/>
  <c r="AR123" i="1"/>
  <c r="AP123" i="1"/>
  <c r="AO123" i="1"/>
  <c r="AN123" i="1"/>
  <c r="AM123" i="1"/>
  <c r="AL123" i="1"/>
  <c r="AK123" i="1"/>
  <c r="AJ123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AX122" i="1"/>
  <c r="AW122" i="1"/>
  <c r="AU122" i="1"/>
  <c r="AR122" i="1"/>
  <c r="AP122" i="1"/>
  <c r="AO122" i="1"/>
  <c r="AN122" i="1"/>
  <c r="AM122" i="1"/>
  <c r="AL122" i="1"/>
  <c r="AK122" i="1"/>
  <c r="AJ122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AX121" i="1"/>
  <c r="AW121" i="1"/>
  <c r="AU121" i="1"/>
  <c r="AR121" i="1"/>
  <c r="AP121" i="1"/>
  <c r="AO121" i="1"/>
  <c r="AN121" i="1"/>
  <c r="AM121" i="1"/>
  <c r="AL121" i="1"/>
  <c r="AK121" i="1"/>
  <c r="AJ121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AX120" i="1"/>
  <c r="AW120" i="1"/>
  <c r="AU120" i="1"/>
  <c r="AR120" i="1"/>
  <c r="AP120" i="1"/>
  <c r="AO120" i="1"/>
  <c r="AN120" i="1"/>
  <c r="AM120" i="1"/>
  <c r="AL120" i="1"/>
  <c r="AK120" i="1"/>
  <c r="AJ120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AX119" i="1"/>
  <c r="AW119" i="1"/>
  <c r="AU119" i="1"/>
  <c r="AR119" i="1"/>
  <c r="AP119" i="1"/>
  <c r="AO119" i="1"/>
  <c r="AN119" i="1"/>
  <c r="AM119" i="1"/>
  <c r="AL119" i="1"/>
  <c r="AK119" i="1"/>
  <c r="AJ119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AX118" i="1"/>
  <c r="AW118" i="1"/>
  <c r="AU118" i="1"/>
  <c r="AR118" i="1"/>
  <c r="AP118" i="1"/>
  <c r="AO118" i="1"/>
  <c r="AN118" i="1"/>
  <c r="AM118" i="1"/>
  <c r="AL118" i="1"/>
  <c r="AK118" i="1"/>
  <c r="AJ118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AX117" i="1"/>
  <c r="AW117" i="1"/>
  <c r="AU117" i="1"/>
  <c r="AR117" i="1"/>
  <c r="AP117" i="1"/>
  <c r="AO117" i="1"/>
  <c r="AN117" i="1"/>
  <c r="AM117" i="1"/>
  <c r="AL117" i="1"/>
  <c r="AK117" i="1"/>
  <c r="AJ117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AX116" i="1"/>
  <c r="AW116" i="1"/>
  <c r="AU116" i="1"/>
  <c r="AR116" i="1"/>
  <c r="AP116" i="1"/>
  <c r="AO116" i="1"/>
  <c r="AN116" i="1"/>
  <c r="AM116" i="1"/>
  <c r="AL116" i="1"/>
  <c r="AK116" i="1"/>
  <c r="AJ116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AX115" i="1"/>
  <c r="AW115" i="1"/>
  <c r="AU115" i="1"/>
  <c r="AR115" i="1"/>
  <c r="AP115" i="1"/>
  <c r="AO115" i="1"/>
  <c r="AN115" i="1"/>
  <c r="AM115" i="1"/>
  <c r="AL115" i="1"/>
  <c r="AK115" i="1"/>
  <c r="AJ115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AX114" i="1"/>
  <c r="AW114" i="1"/>
  <c r="AU114" i="1"/>
  <c r="AR114" i="1"/>
  <c r="AP114" i="1"/>
  <c r="AO114" i="1"/>
  <c r="AN114" i="1"/>
  <c r="AM114" i="1"/>
  <c r="AL114" i="1"/>
  <c r="AK114" i="1"/>
  <c r="AJ114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AX113" i="1"/>
  <c r="AW113" i="1"/>
  <c r="AU113" i="1"/>
  <c r="AR113" i="1"/>
  <c r="AP113" i="1"/>
  <c r="AO113" i="1"/>
  <c r="AN113" i="1"/>
  <c r="AM113" i="1"/>
  <c r="AL113" i="1"/>
  <c r="AK113" i="1"/>
  <c r="AJ113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AX112" i="1"/>
  <c r="AW112" i="1"/>
  <c r="AU112" i="1"/>
  <c r="AR112" i="1"/>
  <c r="AP112" i="1"/>
  <c r="AO112" i="1"/>
  <c r="AN112" i="1"/>
  <c r="AM112" i="1"/>
  <c r="AL112" i="1"/>
  <c r="AK112" i="1"/>
  <c r="AJ112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AX111" i="1"/>
  <c r="AW111" i="1"/>
  <c r="AU111" i="1"/>
  <c r="AR111" i="1"/>
  <c r="AP111" i="1"/>
  <c r="AO111" i="1"/>
  <c r="AN111" i="1"/>
  <c r="AM111" i="1"/>
  <c r="AL111" i="1"/>
  <c r="AK111" i="1"/>
  <c r="AJ111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AX110" i="1"/>
  <c r="AW110" i="1"/>
  <c r="AU110" i="1"/>
  <c r="AR110" i="1"/>
  <c r="AP110" i="1"/>
  <c r="AO110" i="1"/>
  <c r="AN110" i="1"/>
  <c r="AM110" i="1"/>
  <c r="AL110" i="1"/>
  <c r="AK110" i="1"/>
  <c r="AJ110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AX109" i="1"/>
  <c r="AW109" i="1"/>
  <c r="AU109" i="1"/>
  <c r="AR109" i="1"/>
  <c r="AP109" i="1"/>
  <c r="AO109" i="1"/>
  <c r="AN109" i="1"/>
  <c r="AM109" i="1"/>
  <c r="AL109" i="1"/>
  <c r="AK109" i="1"/>
  <c r="AJ109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AX108" i="1"/>
  <c r="AW108" i="1"/>
  <c r="AU108" i="1"/>
  <c r="AR108" i="1"/>
  <c r="AP108" i="1"/>
  <c r="AO108" i="1"/>
  <c r="AN108" i="1"/>
  <c r="AM108" i="1"/>
  <c r="AL108" i="1"/>
  <c r="AK108" i="1"/>
  <c r="AJ108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AX107" i="1"/>
  <c r="AW107" i="1"/>
  <c r="AU107" i="1"/>
  <c r="AR107" i="1"/>
  <c r="AP107" i="1"/>
  <c r="AO107" i="1"/>
  <c r="AN107" i="1"/>
  <c r="AM107" i="1"/>
  <c r="AL107" i="1"/>
  <c r="AK107" i="1"/>
  <c r="AJ107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AX106" i="1"/>
  <c r="AW106" i="1"/>
  <c r="AU106" i="1"/>
  <c r="AR106" i="1"/>
  <c r="AP106" i="1"/>
  <c r="AO106" i="1"/>
  <c r="AN106" i="1"/>
  <c r="AM106" i="1"/>
  <c r="AL106" i="1"/>
  <c r="AK106" i="1"/>
  <c r="AJ106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AX105" i="1"/>
  <c r="AW105" i="1"/>
  <c r="AU105" i="1"/>
  <c r="AR105" i="1"/>
  <c r="AP105" i="1"/>
  <c r="AO105" i="1"/>
  <c r="AN105" i="1"/>
  <c r="AM105" i="1"/>
  <c r="AL105" i="1"/>
  <c r="AK105" i="1"/>
  <c r="AJ105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AX104" i="1"/>
  <c r="AW104" i="1"/>
  <c r="AU104" i="1"/>
  <c r="AR104" i="1"/>
  <c r="AP104" i="1"/>
  <c r="AO104" i="1"/>
  <c r="AN104" i="1"/>
  <c r="AM104" i="1"/>
  <c r="AL104" i="1"/>
  <c r="AK104" i="1"/>
  <c r="AJ104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AX103" i="1"/>
  <c r="AW103" i="1"/>
  <c r="AU103" i="1"/>
  <c r="AR103" i="1"/>
  <c r="AP103" i="1"/>
  <c r="AO103" i="1"/>
  <c r="AN103" i="1"/>
  <c r="AM103" i="1"/>
  <c r="AL103" i="1"/>
  <c r="AK103" i="1"/>
  <c r="AJ103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AX102" i="1"/>
  <c r="AW102" i="1"/>
  <c r="AU102" i="1"/>
  <c r="AR102" i="1"/>
  <c r="AP102" i="1"/>
  <c r="AO102" i="1"/>
  <c r="AN102" i="1"/>
  <c r="AM102" i="1"/>
  <c r="AL102" i="1"/>
  <c r="AK102" i="1"/>
  <c r="AJ102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AX101" i="1"/>
  <c r="AW101" i="1"/>
  <c r="AU101" i="1"/>
  <c r="AR101" i="1"/>
  <c r="AP101" i="1"/>
  <c r="AO101" i="1"/>
  <c r="AN101" i="1"/>
  <c r="AM101" i="1"/>
  <c r="AL101" i="1"/>
  <c r="AK101" i="1"/>
  <c r="AJ101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AX100" i="1"/>
  <c r="AW100" i="1"/>
  <c r="AU100" i="1"/>
  <c r="AR100" i="1"/>
  <c r="AP100" i="1"/>
  <c r="AO100" i="1"/>
  <c r="AN100" i="1"/>
  <c r="AM100" i="1"/>
  <c r="AL100" i="1"/>
  <c r="AK100" i="1"/>
  <c r="AJ100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AX99" i="1"/>
  <c r="AW99" i="1"/>
  <c r="AU99" i="1"/>
  <c r="AR99" i="1"/>
  <c r="AP99" i="1"/>
  <c r="AO99" i="1"/>
  <c r="AN99" i="1"/>
  <c r="AM99" i="1"/>
  <c r="AL99" i="1"/>
  <c r="AK99" i="1"/>
  <c r="AJ99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AX98" i="1"/>
  <c r="AW98" i="1"/>
  <c r="AU98" i="1"/>
  <c r="AR98" i="1"/>
  <c r="AP98" i="1"/>
  <c r="AO98" i="1"/>
  <c r="AN98" i="1"/>
  <c r="AM98" i="1"/>
  <c r="AL98" i="1"/>
  <c r="AK98" i="1"/>
  <c r="AJ98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AX97" i="1"/>
  <c r="AW97" i="1"/>
  <c r="AU97" i="1"/>
  <c r="AR97" i="1"/>
  <c r="AP97" i="1"/>
  <c r="AO97" i="1"/>
  <c r="AN97" i="1"/>
  <c r="AM97" i="1"/>
  <c r="AL97" i="1"/>
  <c r="AK97" i="1"/>
  <c r="AJ97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AX96" i="1"/>
  <c r="AW96" i="1"/>
  <c r="AU96" i="1"/>
  <c r="AR96" i="1"/>
  <c r="AP96" i="1"/>
  <c r="AO96" i="1"/>
  <c r="AN96" i="1"/>
  <c r="AM96" i="1"/>
  <c r="AL96" i="1"/>
  <c r="AK96" i="1"/>
  <c r="AJ96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AX95" i="1"/>
  <c r="AW95" i="1"/>
  <c r="AU95" i="1"/>
  <c r="AR95" i="1"/>
  <c r="AP95" i="1"/>
  <c r="AO95" i="1"/>
  <c r="AN95" i="1"/>
  <c r="AM95" i="1"/>
  <c r="AL95" i="1"/>
  <c r="AK95" i="1"/>
  <c r="AJ95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AX94" i="1"/>
  <c r="AW94" i="1"/>
  <c r="AU94" i="1"/>
  <c r="AR94" i="1"/>
  <c r="AP94" i="1"/>
  <c r="AO94" i="1"/>
  <c r="AN94" i="1"/>
  <c r="AM94" i="1"/>
  <c r="AL94" i="1"/>
  <c r="AK94" i="1"/>
  <c r="AJ94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AX93" i="1"/>
  <c r="AW93" i="1"/>
  <c r="AU93" i="1"/>
  <c r="AR93" i="1"/>
  <c r="AP93" i="1"/>
  <c r="AO93" i="1"/>
  <c r="AN93" i="1"/>
  <c r="AM93" i="1"/>
  <c r="AL93" i="1"/>
  <c r="AK93" i="1"/>
  <c r="AJ93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AX92" i="1"/>
  <c r="AW92" i="1"/>
  <c r="AU92" i="1"/>
  <c r="AR92" i="1"/>
  <c r="AP92" i="1"/>
  <c r="AO92" i="1"/>
  <c r="AN92" i="1"/>
  <c r="AM92" i="1"/>
  <c r="AL92" i="1"/>
  <c r="AK92" i="1"/>
  <c r="AJ92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AX91" i="1"/>
  <c r="AW91" i="1"/>
  <c r="AU91" i="1"/>
  <c r="AR91" i="1"/>
  <c r="AP91" i="1"/>
  <c r="AO91" i="1"/>
  <c r="AN91" i="1"/>
  <c r="AM91" i="1"/>
  <c r="AL91" i="1"/>
  <c r="AK91" i="1"/>
  <c r="AJ91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AX90" i="1"/>
  <c r="AW90" i="1"/>
  <c r="AU90" i="1"/>
  <c r="AR90" i="1"/>
  <c r="AP90" i="1"/>
  <c r="AO90" i="1"/>
  <c r="AN90" i="1"/>
  <c r="AM90" i="1"/>
  <c r="AL90" i="1"/>
  <c r="AK90" i="1"/>
  <c r="AJ90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AX89" i="1"/>
  <c r="AW89" i="1"/>
  <c r="AU89" i="1"/>
  <c r="AR89" i="1"/>
  <c r="AP89" i="1"/>
  <c r="AO89" i="1"/>
  <c r="AN89" i="1"/>
  <c r="AM89" i="1"/>
  <c r="AL89" i="1"/>
  <c r="AK89" i="1"/>
  <c r="AJ89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AX88" i="1"/>
  <c r="AW88" i="1"/>
  <c r="AU88" i="1"/>
  <c r="AR88" i="1"/>
  <c r="AP88" i="1"/>
  <c r="AO88" i="1"/>
  <c r="AN88" i="1"/>
  <c r="AM88" i="1"/>
  <c r="AL88" i="1"/>
  <c r="AK88" i="1"/>
  <c r="AJ88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AX87" i="1"/>
  <c r="AW87" i="1"/>
  <c r="AU87" i="1"/>
  <c r="AR87" i="1"/>
  <c r="AP87" i="1"/>
  <c r="AO87" i="1"/>
  <c r="AN87" i="1"/>
  <c r="AM87" i="1"/>
  <c r="AL87" i="1"/>
  <c r="AK87" i="1"/>
  <c r="AJ87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AX86" i="1"/>
  <c r="AW86" i="1"/>
  <c r="AU86" i="1"/>
  <c r="AR86" i="1"/>
  <c r="AP86" i="1"/>
  <c r="AO86" i="1"/>
  <c r="AN86" i="1"/>
  <c r="AM86" i="1"/>
  <c r="AL86" i="1"/>
  <c r="AK86" i="1"/>
  <c r="AJ86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AX85" i="1"/>
  <c r="AW85" i="1"/>
  <c r="AU85" i="1"/>
  <c r="AR85" i="1"/>
  <c r="AP85" i="1"/>
  <c r="AO85" i="1"/>
  <c r="AN85" i="1"/>
  <c r="AM85" i="1"/>
  <c r="AL85" i="1"/>
  <c r="AK85" i="1"/>
  <c r="AJ85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AX84" i="1"/>
  <c r="AW84" i="1"/>
  <c r="AU84" i="1"/>
  <c r="AR84" i="1"/>
  <c r="AP84" i="1"/>
  <c r="AO84" i="1"/>
  <c r="AN84" i="1"/>
  <c r="AM84" i="1"/>
  <c r="AL84" i="1"/>
  <c r="AK84" i="1"/>
  <c r="AJ84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AX83" i="1"/>
  <c r="AW83" i="1"/>
  <c r="AU83" i="1"/>
  <c r="AR83" i="1"/>
  <c r="AP83" i="1"/>
  <c r="AO83" i="1"/>
  <c r="AN83" i="1"/>
  <c r="AM83" i="1"/>
  <c r="AL83" i="1"/>
  <c r="AK83" i="1"/>
  <c r="AJ83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AX82" i="1"/>
  <c r="AW82" i="1"/>
  <c r="AU82" i="1"/>
  <c r="AR82" i="1"/>
  <c r="AP82" i="1"/>
  <c r="AO82" i="1"/>
  <c r="AN82" i="1"/>
  <c r="AM82" i="1"/>
  <c r="AL82" i="1"/>
  <c r="AK82" i="1"/>
  <c r="AJ82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AX81" i="1"/>
  <c r="AW81" i="1"/>
  <c r="AU81" i="1"/>
  <c r="AR81" i="1"/>
  <c r="AP81" i="1"/>
  <c r="AO81" i="1"/>
  <c r="AN81" i="1"/>
  <c r="AM81" i="1"/>
  <c r="AL81" i="1"/>
  <c r="AK81" i="1"/>
  <c r="AJ81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AX80" i="1"/>
  <c r="AW80" i="1"/>
  <c r="AU80" i="1"/>
  <c r="AR80" i="1"/>
  <c r="AP80" i="1"/>
  <c r="AO80" i="1"/>
  <c r="AN80" i="1"/>
  <c r="AM80" i="1"/>
  <c r="AL80" i="1"/>
  <c r="AK80" i="1"/>
  <c r="AJ80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AX79" i="1"/>
  <c r="AW79" i="1"/>
  <c r="AU79" i="1"/>
  <c r="AR79" i="1"/>
  <c r="AP79" i="1"/>
  <c r="AO79" i="1"/>
  <c r="AN79" i="1"/>
  <c r="AM79" i="1"/>
  <c r="AL79" i="1"/>
  <c r="AK79" i="1"/>
  <c r="AJ79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AX78" i="1"/>
  <c r="AW78" i="1"/>
  <c r="AU78" i="1"/>
  <c r="AR78" i="1"/>
  <c r="AP78" i="1"/>
  <c r="AO78" i="1"/>
  <c r="AN78" i="1"/>
  <c r="AM78" i="1"/>
  <c r="AL78" i="1"/>
  <c r="AK78" i="1"/>
  <c r="AJ78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AX77" i="1"/>
  <c r="AW77" i="1"/>
  <c r="AU77" i="1"/>
  <c r="AR77" i="1"/>
  <c r="AP77" i="1"/>
  <c r="AO77" i="1"/>
  <c r="AN77" i="1"/>
  <c r="AM77" i="1"/>
  <c r="AL77" i="1"/>
  <c r="AK77" i="1"/>
  <c r="AJ77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AX76" i="1"/>
  <c r="AW76" i="1"/>
  <c r="AU76" i="1"/>
  <c r="AR76" i="1"/>
  <c r="AP76" i="1"/>
  <c r="AO76" i="1"/>
  <c r="AN76" i="1"/>
  <c r="AM76" i="1"/>
  <c r="AL76" i="1"/>
  <c r="AK76" i="1"/>
  <c r="AJ76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AX75" i="1"/>
  <c r="AW75" i="1"/>
  <c r="AU75" i="1"/>
  <c r="AR75" i="1"/>
  <c r="AP75" i="1"/>
  <c r="AO75" i="1"/>
  <c r="AN75" i="1"/>
  <c r="AM75" i="1"/>
  <c r="AL75" i="1"/>
  <c r="AK75" i="1"/>
  <c r="AJ75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AX74" i="1"/>
  <c r="AW74" i="1"/>
  <c r="AU74" i="1"/>
  <c r="AR74" i="1"/>
  <c r="AP74" i="1"/>
  <c r="AO74" i="1"/>
  <c r="AN74" i="1"/>
  <c r="AM74" i="1"/>
  <c r="AL74" i="1"/>
  <c r="AK74" i="1"/>
  <c r="AJ74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AX73" i="1"/>
  <c r="AW73" i="1"/>
  <c r="AU73" i="1"/>
  <c r="AR73" i="1"/>
  <c r="AP73" i="1"/>
  <c r="AO73" i="1"/>
  <c r="AN73" i="1"/>
  <c r="AM73" i="1"/>
  <c r="AL73" i="1"/>
  <c r="AK73" i="1"/>
  <c r="AJ73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AX72" i="1"/>
  <c r="AW72" i="1"/>
  <c r="AU72" i="1"/>
  <c r="AR72" i="1"/>
  <c r="AP72" i="1"/>
  <c r="AO72" i="1"/>
  <c r="AN72" i="1"/>
  <c r="AM72" i="1"/>
  <c r="AL72" i="1"/>
  <c r="AK72" i="1"/>
  <c r="AJ72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AX71" i="1"/>
  <c r="AW71" i="1"/>
  <c r="AU71" i="1"/>
  <c r="AR71" i="1"/>
  <c r="AP71" i="1"/>
  <c r="AO71" i="1"/>
  <c r="AN71" i="1"/>
  <c r="AM71" i="1"/>
  <c r="AL71" i="1"/>
  <c r="AK71" i="1"/>
  <c r="AJ71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AX70" i="1"/>
  <c r="AW70" i="1"/>
  <c r="AU70" i="1"/>
  <c r="AR70" i="1"/>
  <c r="AP70" i="1"/>
  <c r="AO70" i="1"/>
  <c r="AN70" i="1"/>
  <c r="AM70" i="1"/>
  <c r="AL70" i="1"/>
  <c r="AK70" i="1"/>
  <c r="AJ70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AX69" i="1"/>
  <c r="AW69" i="1"/>
  <c r="AU69" i="1"/>
  <c r="AR69" i="1"/>
  <c r="AP69" i="1"/>
  <c r="AO69" i="1"/>
  <c r="AN69" i="1"/>
  <c r="AM69" i="1"/>
  <c r="AL69" i="1"/>
  <c r="AK69" i="1"/>
  <c r="AJ69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AX68" i="1"/>
  <c r="AW68" i="1"/>
  <c r="AU68" i="1"/>
  <c r="AR68" i="1"/>
  <c r="AP68" i="1"/>
  <c r="AO68" i="1"/>
  <c r="AN68" i="1"/>
  <c r="AM68" i="1"/>
  <c r="AL68" i="1"/>
  <c r="AK68" i="1"/>
  <c r="AJ68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AX67" i="1"/>
  <c r="AW67" i="1"/>
  <c r="AU67" i="1"/>
  <c r="AR67" i="1"/>
  <c r="AP67" i="1"/>
  <c r="AO67" i="1"/>
  <c r="AN67" i="1"/>
  <c r="AM67" i="1"/>
  <c r="AL67" i="1"/>
  <c r="AK67" i="1"/>
  <c r="AJ67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AX66" i="1"/>
  <c r="AW66" i="1"/>
  <c r="AU66" i="1"/>
  <c r="AR66" i="1"/>
  <c r="AP66" i="1"/>
  <c r="AO66" i="1"/>
  <c r="AN66" i="1"/>
  <c r="AM66" i="1"/>
  <c r="AL66" i="1"/>
  <c r="AK66" i="1"/>
  <c r="AJ66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AX65" i="1"/>
  <c r="AW65" i="1"/>
  <c r="AU65" i="1"/>
  <c r="AR65" i="1"/>
  <c r="AP65" i="1"/>
  <c r="AO65" i="1"/>
  <c r="AN65" i="1"/>
  <c r="AM65" i="1"/>
  <c r="AL65" i="1"/>
  <c r="AK65" i="1"/>
  <c r="AJ65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AX64" i="1"/>
  <c r="AW64" i="1"/>
  <c r="AU64" i="1"/>
  <c r="AR64" i="1"/>
  <c r="AP64" i="1"/>
  <c r="AO64" i="1"/>
  <c r="AN64" i="1"/>
  <c r="AM64" i="1"/>
  <c r="AL64" i="1"/>
  <c r="AK64" i="1"/>
  <c r="AJ64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AX63" i="1"/>
  <c r="AW63" i="1"/>
  <c r="AU63" i="1"/>
  <c r="AR63" i="1"/>
  <c r="AP63" i="1"/>
  <c r="AO63" i="1"/>
  <c r="AN63" i="1"/>
  <c r="AM63" i="1"/>
  <c r="AL63" i="1"/>
  <c r="AK63" i="1"/>
  <c r="AJ63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AX62" i="1"/>
  <c r="AW62" i="1"/>
  <c r="AU62" i="1"/>
  <c r="AR62" i="1"/>
  <c r="AP62" i="1"/>
  <c r="AO62" i="1"/>
  <c r="AN62" i="1"/>
  <c r="AM62" i="1"/>
  <c r="AL62" i="1"/>
  <c r="AK62" i="1"/>
  <c r="AJ62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AX61" i="1"/>
  <c r="AW61" i="1"/>
  <c r="AU61" i="1"/>
  <c r="AR61" i="1"/>
  <c r="AP61" i="1"/>
  <c r="AO61" i="1"/>
  <c r="AN61" i="1"/>
  <c r="AM61" i="1"/>
  <c r="AL61" i="1"/>
  <c r="AK61" i="1"/>
  <c r="AJ61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AX60" i="1"/>
  <c r="AW60" i="1"/>
  <c r="AU60" i="1"/>
  <c r="AR60" i="1"/>
  <c r="AP60" i="1"/>
  <c r="AO60" i="1"/>
  <c r="AN60" i="1"/>
  <c r="AM60" i="1"/>
  <c r="AL60" i="1"/>
  <c r="AK60" i="1"/>
  <c r="AJ60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AX59" i="1"/>
  <c r="AW59" i="1"/>
  <c r="AU59" i="1"/>
  <c r="AR59" i="1"/>
  <c r="AP59" i="1"/>
  <c r="AO59" i="1"/>
  <c r="AN59" i="1"/>
  <c r="AM59" i="1"/>
  <c r="AL59" i="1"/>
  <c r="AK59" i="1"/>
  <c r="AJ59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AX58" i="1"/>
  <c r="AW58" i="1"/>
  <c r="AU58" i="1"/>
  <c r="AR58" i="1"/>
  <c r="AP58" i="1"/>
  <c r="AO58" i="1"/>
  <c r="AN58" i="1"/>
  <c r="AM58" i="1"/>
  <c r="AL58" i="1"/>
  <c r="AK58" i="1"/>
  <c r="AJ58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AX57" i="1"/>
  <c r="AW57" i="1"/>
  <c r="AU57" i="1"/>
  <c r="AR57" i="1"/>
  <c r="AP57" i="1"/>
  <c r="AO57" i="1"/>
  <c r="AN57" i="1"/>
  <c r="AM57" i="1"/>
  <c r="AL57" i="1"/>
  <c r="AK57" i="1"/>
  <c r="AJ57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AX56" i="1"/>
  <c r="AW56" i="1"/>
  <c r="AU56" i="1"/>
  <c r="AR56" i="1"/>
  <c r="AP56" i="1"/>
  <c r="AO56" i="1"/>
  <c r="AN56" i="1"/>
  <c r="AM56" i="1"/>
  <c r="AL56" i="1"/>
  <c r="AK56" i="1"/>
  <c r="AJ56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AX55" i="1"/>
  <c r="AW55" i="1"/>
  <c r="AU55" i="1"/>
  <c r="AR55" i="1"/>
  <c r="AP55" i="1"/>
  <c r="AO55" i="1"/>
  <c r="AN55" i="1"/>
  <c r="AM55" i="1"/>
  <c r="AL55" i="1"/>
  <c r="AK55" i="1"/>
  <c r="AJ55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AX54" i="1"/>
  <c r="AW54" i="1"/>
  <c r="AU54" i="1"/>
  <c r="AR54" i="1"/>
  <c r="AP54" i="1"/>
  <c r="AO54" i="1"/>
  <c r="AN54" i="1"/>
  <c r="AM54" i="1"/>
  <c r="AL54" i="1"/>
  <c r="AK54" i="1"/>
  <c r="AJ54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AX53" i="1"/>
  <c r="AW53" i="1"/>
  <c r="AU53" i="1"/>
  <c r="AR53" i="1"/>
  <c r="AP53" i="1"/>
  <c r="AO53" i="1"/>
  <c r="AN53" i="1"/>
  <c r="AM53" i="1"/>
  <c r="AL53" i="1"/>
  <c r="AK53" i="1"/>
  <c r="AJ53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AX52" i="1"/>
  <c r="AW52" i="1"/>
  <c r="AU52" i="1"/>
  <c r="AR52" i="1"/>
  <c r="AP52" i="1"/>
  <c r="AO52" i="1"/>
  <c r="AN52" i="1"/>
  <c r="AM52" i="1"/>
  <c r="AL52" i="1"/>
  <c r="AK52" i="1"/>
  <c r="AJ52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AX51" i="1"/>
  <c r="AW51" i="1"/>
  <c r="AU51" i="1"/>
  <c r="AR51" i="1"/>
  <c r="AP51" i="1"/>
  <c r="AO51" i="1"/>
  <c r="AN51" i="1"/>
  <c r="AM51" i="1"/>
  <c r="AL51" i="1"/>
  <c r="AK51" i="1"/>
  <c r="AJ51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AX50" i="1"/>
  <c r="AW50" i="1"/>
  <c r="AU50" i="1"/>
  <c r="AR50" i="1"/>
  <c r="AP50" i="1"/>
  <c r="AO50" i="1"/>
  <c r="AN50" i="1"/>
  <c r="AM50" i="1"/>
  <c r="AL50" i="1"/>
  <c r="AK50" i="1"/>
  <c r="AJ50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AX49" i="1"/>
  <c r="AW49" i="1"/>
  <c r="AU49" i="1"/>
  <c r="AR49" i="1"/>
  <c r="AP49" i="1"/>
  <c r="AO49" i="1"/>
  <c r="AN49" i="1"/>
  <c r="AM49" i="1"/>
  <c r="AL49" i="1"/>
  <c r="AK49" i="1"/>
  <c r="AJ49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AX48" i="1"/>
  <c r="AW48" i="1"/>
  <c r="AU48" i="1"/>
  <c r="AR48" i="1"/>
  <c r="AP48" i="1"/>
  <c r="AO48" i="1"/>
  <c r="AN48" i="1"/>
  <c r="AM48" i="1"/>
  <c r="AL48" i="1"/>
  <c r="AK48" i="1"/>
  <c r="AJ48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AX47" i="1"/>
  <c r="AW47" i="1"/>
  <c r="AU47" i="1"/>
  <c r="AR47" i="1"/>
  <c r="AP47" i="1"/>
  <c r="AO47" i="1"/>
  <c r="AN47" i="1"/>
  <c r="AM47" i="1"/>
  <c r="AL47" i="1"/>
  <c r="AK47" i="1"/>
  <c r="AJ47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AX46" i="1"/>
  <c r="AW46" i="1"/>
  <c r="AU46" i="1"/>
  <c r="AR46" i="1"/>
  <c r="AP46" i="1"/>
  <c r="AO46" i="1"/>
  <c r="AN46" i="1"/>
  <c r="AM46" i="1"/>
  <c r="AL46" i="1"/>
  <c r="AK46" i="1"/>
  <c r="AJ46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AX45" i="1"/>
  <c r="AW45" i="1"/>
  <c r="AU45" i="1"/>
  <c r="AR45" i="1"/>
  <c r="AP45" i="1"/>
  <c r="AO45" i="1"/>
  <c r="AN45" i="1"/>
  <c r="AM45" i="1"/>
  <c r="AL45" i="1"/>
  <c r="AK45" i="1"/>
  <c r="AJ45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AX44" i="1"/>
  <c r="AW44" i="1"/>
  <c r="AU44" i="1"/>
  <c r="AR44" i="1"/>
  <c r="AP44" i="1"/>
  <c r="AO44" i="1"/>
  <c r="AN44" i="1"/>
  <c r="AM44" i="1"/>
  <c r="AL44" i="1"/>
  <c r="AK44" i="1"/>
  <c r="AJ44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AX43" i="1"/>
  <c r="AW43" i="1"/>
  <c r="AU43" i="1"/>
  <c r="AR43" i="1"/>
  <c r="AP43" i="1"/>
  <c r="AO43" i="1"/>
  <c r="AN43" i="1"/>
  <c r="AM43" i="1"/>
  <c r="AL43" i="1"/>
  <c r="AK43" i="1"/>
  <c r="AJ43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AX42" i="1"/>
  <c r="AW42" i="1"/>
  <c r="AU42" i="1"/>
  <c r="AR42" i="1"/>
  <c r="AP42" i="1"/>
  <c r="AO42" i="1"/>
  <c r="AN42" i="1"/>
  <c r="AM42" i="1"/>
  <c r="AL42" i="1"/>
  <c r="AK42" i="1"/>
  <c r="AJ42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AX41" i="1"/>
  <c r="AW41" i="1"/>
  <c r="AU41" i="1"/>
  <c r="AR41" i="1"/>
  <c r="AP41" i="1"/>
  <c r="AO41" i="1"/>
  <c r="AN41" i="1"/>
  <c r="AM41" i="1"/>
  <c r="AL41" i="1"/>
  <c r="AK41" i="1"/>
  <c r="AJ41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AX40" i="1"/>
  <c r="AW40" i="1"/>
  <c r="AU40" i="1"/>
  <c r="AR40" i="1"/>
  <c r="AP40" i="1"/>
  <c r="AO40" i="1"/>
  <c r="AN40" i="1"/>
  <c r="AM40" i="1"/>
  <c r="AL40" i="1"/>
  <c r="AK40" i="1"/>
  <c r="AJ40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AX39" i="1"/>
  <c r="AW39" i="1"/>
  <c r="AU39" i="1"/>
  <c r="AR39" i="1"/>
  <c r="AP39" i="1"/>
  <c r="AO39" i="1"/>
  <c r="AN39" i="1"/>
  <c r="AM39" i="1"/>
  <c r="AL39" i="1"/>
  <c r="AK39" i="1"/>
  <c r="AJ39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AX38" i="1"/>
  <c r="AW38" i="1"/>
  <c r="AU38" i="1"/>
  <c r="AR38" i="1"/>
  <c r="AP38" i="1"/>
  <c r="AO38" i="1"/>
  <c r="AN38" i="1"/>
  <c r="AM38" i="1"/>
  <c r="AL38" i="1"/>
  <c r="AK38" i="1"/>
  <c r="AJ38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AX37" i="1"/>
  <c r="AW37" i="1"/>
  <c r="AU37" i="1"/>
  <c r="AR37" i="1"/>
  <c r="AP37" i="1"/>
  <c r="AO37" i="1"/>
  <c r="AN37" i="1"/>
  <c r="AM37" i="1"/>
  <c r="AL37" i="1"/>
  <c r="AK37" i="1"/>
  <c r="AJ37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AX36" i="1"/>
  <c r="AW36" i="1"/>
  <c r="AU36" i="1"/>
  <c r="AR36" i="1"/>
  <c r="AP36" i="1"/>
  <c r="AO36" i="1"/>
  <c r="AN36" i="1"/>
  <c r="AM36" i="1"/>
  <c r="AL36" i="1"/>
  <c r="AK36" i="1"/>
  <c r="AJ36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AX35" i="1"/>
  <c r="AW35" i="1"/>
  <c r="AU35" i="1"/>
  <c r="AR35" i="1"/>
  <c r="AP35" i="1"/>
  <c r="AO35" i="1"/>
  <c r="AN35" i="1"/>
  <c r="AM35" i="1"/>
  <c r="AL35" i="1"/>
  <c r="AK35" i="1"/>
  <c r="AJ35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AX34" i="1"/>
  <c r="AW34" i="1"/>
  <c r="AU34" i="1"/>
  <c r="AR34" i="1"/>
  <c r="AP34" i="1"/>
  <c r="AO34" i="1"/>
  <c r="AN34" i="1"/>
  <c r="AM34" i="1"/>
  <c r="AL34" i="1"/>
  <c r="AK34" i="1"/>
  <c r="AJ34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AX33" i="1"/>
  <c r="AW33" i="1"/>
  <c r="AU33" i="1"/>
  <c r="AR33" i="1"/>
  <c r="AP33" i="1"/>
  <c r="AO33" i="1"/>
  <c r="AN33" i="1"/>
  <c r="AM33" i="1"/>
  <c r="AL33" i="1"/>
  <c r="AK33" i="1"/>
  <c r="AJ33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AX32" i="1"/>
  <c r="AW32" i="1"/>
  <c r="AU32" i="1"/>
  <c r="AR32" i="1"/>
  <c r="AP32" i="1"/>
  <c r="AO32" i="1"/>
  <c r="AN32" i="1"/>
  <c r="AM32" i="1"/>
  <c r="AL32" i="1"/>
  <c r="AK32" i="1"/>
  <c r="AJ32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AX31" i="1"/>
  <c r="AW31" i="1"/>
  <c r="AU31" i="1"/>
  <c r="AR31" i="1"/>
  <c r="AP31" i="1"/>
  <c r="AO31" i="1"/>
  <c r="AN31" i="1"/>
  <c r="AM31" i="1"/>
  <c r="AL31" i="1"/>
  <c r="AK31" i="1"/>
  <c r="AJ31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AX30" i="1"/>
  <c r="AW30" i="1"/>
  <c r="AU30" i="1"/>
  <c r="AR30" i="1"/>
  <c r="AP30" i="1"/>
  <c r="AO30" i="1"/>
  <c r="AN30" i="1"/>
  <c r="AM30" i="1"/>
  <c r="AL30" i="1"/>
  <c r="AK30" i="1"/>
  <c r="AJ30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AX29" i="1"/>
  <c r="AW29" i="1"/>
  <c r="AU29" i="1"/>
  <c r="AR29" i="1"/>
  <c r="AP29" i="1"/>
  <c r="AO29" i="1"/>
  <c r="AN29" i="1"/>
  <c r="AM29" i="1"/>
  <c r="AL29" i="1"/>
  <c r="AK29" i="1"/>
  <c r="AJ29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AX28" i="1"/>
  <c r="AW28" i="1"/>
  <c r="AU28" i="1"/>
  <c r="AR28" i="1"/>
  <c r="AP28" i="1"/>
  <c r="AO28" i="1"/>
  <c r="AN28" i="1"/>
  <c r="AM28" i="1"/>
  <c r="AL28" i="1"/>
  <c r="AK28" i="1"/>
  <c r="AJ28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AX27" i="1"/>
  <c r="AW27" i="1"/>
  <c r="AU27" i="1"/>
  <c r="AR27" i="1"/>
  <c r="AP27" i="1"/>
  <c r="AO27" i="1"/>
  <c r="AN27" i="1"/>
  <c r="AM27" i="1"/>
  <c r="AL27" i="1"/>
  <c r="AK27" i="1"/>
  <c r="AJ27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AX26" i="1"/>
  <c r="AW26" i="1"/>
  <c r="AU26" i="1"/>
  <c r="AR26" i="1"/>
  <c r="AP26" i="1"/>
  <c r="AO26" i="1"/>
  <c r="AN26" i="1"/>
  <c r="AM26" i="1"/>
  <c r="AL26" i="1"/>
  <c r="AK26" i="1"/>
  <c r="AJ26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AX25" i="1"/>
  <c r="AW25" i="1"/>
  <c r="AU25" i="1"/>
  <c r="AR25" i="1"/>
  <c r="AP25" i="1"/>
  <c r="AO25" i="1"/>
  <c r="AN25" i="1"/>
  <c r="AM25" i="1"/>
  <c r="AL25" i="1"/>
  <c r="AK25" i="1"/>
  <c r="AJ25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AX24" i="1"/>
  <c r="AW24" i="1"/>
  <c r="AU24" i="1"/>
  <c r="AR24" i="1"/>
  <c r="AP24" i="1"/>
  <c r="AO24" i="1"/>
  <c r="AN24" i="1"/>
  <c r="AM24" i="1"/>
  <c r="AL24" i="1"/>
  <c r="AK24" i="1"/>
  <c r="AJ24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AX23" i="1"/>
  <c r="AW23" i="1"/>
  <c r="AU23" i="1"/>
  <c r="AR23" i="1"/>
  <c r="AP23" i="1"/>
  <c r="AO23" i="1"/>
  <c r="AN23" i="1"/>
  <c r="AM23" i="1"/>
  <c r="AL23" i="1"/>
  <c r="AK23" i="1"/>
  <c r="AJ23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AX22" i="1"/>
  <c r="AW22" i="1"/>
  <c r="AU22" i="1"/>
  <c r="AR22" i="1"/>
  <c r="AP22" i="1"/>
  <c r="AO22" i="1"/>
  <c r="AN22" i="1"/>
  <c r="AM22" i="1"/>
  <c r="AL22" i="1"/>
  <c r="AK22" i="1"/>
  <c r="AJ22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AX21" i="1"/>
  <c r="AW21" i="1"/>
  <c r="AU21" i="1"/>
  <c r="AR21" i="1"/>
  <c r="AP21" i="1"/>
  <c r="AO21" i="1"/>
  <c r="AN21" i="1"/>
  <c r="AM21" i="1"/>
  <c r="AL21" i="1"/>
  <c r="AK21" i="1"/>
  <c r="AJ21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AX20" i="1"/>
  <c r="AW20" i="1"/>
  <c r="AU20" i="1"/>
  <c r="AR20" i="1"/>
  <c r="AP20" i="1"/>
  <c r="AO20" i="1"/>
  <c r="AN20" i="1"/>
  <c r="AM20" i="1"/>
  <c r="AL20" i="1"/>
  <c r="AK20" i="1"/>
  <c r="AJ20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AX19" i="1"/>
  <c r="AW19" i="1"/>
  <c r="AU19" i="1"/>
  <c r="AR19" i="1"/>
  <c r="AP19" i="1"/>
  <c r="AO19" i="1"/>
  <c r="AN19" i="1"/>
  <c r="AM19" i="1"/>
  <c r="AL19" i="1"/>
  <c r="AK19" i="1"/>
  <c r="AJ19" i="1"/>
  <c r="CT75" i="1"/>
  <c r="R75" i="1"/>
  <c r="Q75" i="1"/>
  <c r="P75" i="1"/>
  <c r="O75" i="1"/>
  <c r="H75" i="1"/>
  <c r="L75" i="1" s="1"/>
  <c r="CT74" i="1"/>
  <c r="R74" i="1"/>
  <c r="Q74" i="1"/>
  <c r="P74" i="1"/>
  <c r="O74" i="1"/>
  <c r="L74" i="1"/>
  <c r="K74" i="1"/>
  <c r="BC74" i="1" s="1"/>
  <c r="H74" i="1"/>
  <c r="N74" i="1" s="1"/>
  <c r="CT73" i="1"/>
  <c r="R73" i="1"/>
  <c r="Q73" i="1"/>
  <c r="P73" i="1"/>
  <c r="O73" i="1"/>
  <c r="N73" i="1"/>
  <c r="K73" i="1"/>
  <c r="BE73" i="1" s="1"/>
  <c r="H73" i="1"/>
  <c r="L73" i="1" s="1"/>
  <c r="CT72" i="1"/>
  <c r="R72" i="1"/>
  <c r="Q72" i="1"/>
  <c r="P72" i="1"/>
  <c r="O72" i="1"/>
  <c r="N72" i="1"/>
  <c r="L72" i="1"/>
  <c r="K72" i="1"/>
  <c r="BG72" i="1" s="1"/>
  <c r="H72" i="1"/>
  <c r="CT71" i="1"/>
  <c r="R71" i="1"/>
  <c r="Q71" i="1"/>
  <c r="P71" i="1"/>
  <c r="O71" i="1"/>
  <c r="N71" i="1"/>
  <c r="K71" i="1"/>
  <c r="BI71" i="1" s="1"/>
  <c r="H71" i="1"/>
  <c r="L71" i="1" s="1"/>
  <c r="CT70" i="1"/>
  <c r="R70" i="1"/>
  <c r="Q70" i="1"/>
  <c r="P70" i="1"/>
  <c r="O70" i="1"/>
  <c r="N70" i="1"/>
  <c r="H70" i="1"/>
  <c r="K70" i="1" s="1"/>
  <c r="CT69" i="1"/>
  <c r="R69" i="1"/>
  <c r="Q69" i="1"/>
  <c r="P69" i="1"/>
  <c r="O69" i="1"/>
  <c r="L69" i="1"/>
  <c r="H69" i="1"/>
  <c r="CT68" i="1"/>
  <c r="R68" i="1"/>
  <c r="Q68" i="1"/>
  <c r="P68" i="1"/>
  <c r="O68" i="1"/>
  <c r="H68" i="1"/>
  <c r="CT67" i="1"/>
  <c r="R67" i="1"/>
  <c r="Q67" i="1"/>
  <c r="P67" i="1"/>
  <c r="O67" i="1"/>
  <c r="M67" i="1"/>
  <c r="L67" i="1"/>
  <c r="H67" i="1"/>
  <c r="K67" i="1" s="1"/>
  <c r="BI67" i="1" s="1"/>
  <c r="CT66" i="1"/>
  <c r="R66" i="1"/>
  <c r="Q66" i="1"/>
  <c r="P66" i="1"/>
  <c r="O66" i="1"/>
  <c r="M66" i="1"/>
  <c r="L66" i="1"/>
  <c r="H66" i="1"/>
  <c r="K66" i="1" s="1"/>
  <c r="BC66" i="1" s="1"/>
  <c r="CT65" i="1"/>
  <c r="R65" i="1"/>
  <c r="Q65" i="1"/>
  <c r="P65" i="1"/>
  <c r="O65" i="1"/>
  <c r="H65" i="1"/>
  <c r="K65" i="1" s="1"/>
  <c r="BE65" i="1" s="1"/>
  <c r="CT64" i="1"/>
  <c r="R64" i="1"/>
  <c r="Q64" i="1"/>
  <c r="P64" i="1"/>
  <c r="O64" i="1"/>
  <c r="H64" i="1"/>
  <c r="L64" i="1" s="1"/>
  <c r="CT63" i="1"/>
  <c r="R63" i="1"/>
  <c r="Q63" i="1"/>
  <c r="P63" i="1"/>
  <c r="O63" i="1"/>
  <c r="K63" i="1"/>
  <c r="BI63" i="1" s="1"/>
  <c r="H63" i="1"/>
  <c r="N63" i="1" s="1"/>
  <c r="CT62" i="1"/>
  <c r="R62" i="1"/>
  <c r="Q62" i="1"/>
  <c r="P62" i="1"/>
  <c r="O62" i="1"/>
  <c r="N62" i="1"/>
  <c r="H62" i="1"/>
  <c r="K62" i="1" s="1"/>
  <c r="CT61" i="1"/>
  <c r="R61" i="1"/>
  <c r="Q61" i="1"/>
  <c r="P61" i="1"/>
  <c r="O61" i="1"/>
  <c r="H61" i="1"/>
  <c r="L61" i="1" s="1"/>
  <c r="CT60" i="1"/>
  <c r="R60" i="1"/>
  <c r="Q60" i="1"/>
  <c r="P60" i="1"/>
  <c r="O60" i="1"/>
  <c r="H60" i="1"/>
  <c r="L60" i="1" s="1"/>
  <c r="CT59" i="1"/>
  <c r="R59" i="1"/>
  <c r="Q59" i="1"/>
  <c r="P59" i="1"/>
  <c r="O59" i="1"/>
  <c r="H59" i="1"/>
  <c r="L59" i="1" s="1"/>
  <c r="CT58" i="1"/>
  <c r="R58" i="1"/>
  <c r="Q58" i="1"/>
  <c r="P58" i="1"/>
  <c r="O58" i="1"/>
  <c r="L58" i="1"/>
  <c r="K58" i="1"/>
  <c r="BC58" i="1" s="1"/>
  <c r="H58" i="1"/>
  <c r="N58" i="1" s="1"/>
  <c r="CT57" i="1"/>
  <c r="R57" i="1"/>
  <c r="Q57" i="1"/>
  <c r="P57" i="1"/>
  <c r="O57" i="1"/>
  <c r="N57" i="1"/>
  <c r="K57" i="1"/>
  <c r="BE57" i="1" s="1"/>
  <c r="H57" i="1"/>
  <c r="L57" i="1" s="1"/>
  <c r="CT56" i="1"/>
  <c r="R56" i="1"/>
  <c r="Q56" i="1"/>
  <c r="P56" i="1"/>
  <c r="O56" i="1"/>
  <c r="N56" i="1"/>
  <c r="L56" i="1"/>
  <c r="K56" i="1"/>
  <c r="BG56" i="1" s="1"/>
  <c r="H56" i="1"/>
  <c r="CT55" i="1"/>
  <c r="R55" i="1"/>
  <c r="Q55" i="1"/>
  <c r="P55" i="1"/>
  <c r="O55" i="1"/>
  <c r="N55" i="1"/>
  <c r="L55" i="1"/>
  <c r="H55" i="1"/>
  <c r="CT54" i="1"/>
  <c r="R54" i="1"/>
  <c r="Q54" i="1"/>
  <c r="P54" i="1"/>
  <c r="O54" i="1"/>
  <c r="H54" i="1"/>
  <c r="N54" i="1" s="1"/>
  <c r="CT53" i="1"/>
  <c r="R53" i="1"/>
  <c r="Q53" i="1"/>
  <c r="P53" i="1"/>
  <c r="O53" i="1"/>
  <c r="H53" i="1"/>
  <c r="CT52" i="1"/>
  <c r="R52" i="1"/>
  <c r="Q52" i="1"/>
  <c r="P52" i="1"/>
  <c r="O52" i="1"/>
  <c r="L52" i="1"/>
  <c r="H52" i="1"/>
  <c r="CT51" i="1"/>
  <c r="R51" i="1"/>
  <c r="Q51" i="1"/>
  <c r="P51" i="1"/>
  <c r="O51" i="1"/>
  <c r="N51" i="1"/>
  <c r="M51" i="1"/>
  <c r="H51" i="1"/>
  <c r="CT50" i="1"/>
  <c r="R50" i="1"/>
  <c r="Q50" i="1"/>
  <c r="P50" i="1"/>
  <c r="O50" i="1"/>
  <c r="N50" i="1"/>
  <c r="M50" i="1"/>
  <c r="H50" i="1"/>
  <c r="K50" i="1" s="1"/>
  <c r="BC50" i="1" s="1"/>
  <c r="CT49" i="1"/>
  <c r="R49" i="1"/>
  <c r="Q49" i="1"/>
  <c r="P49" i="1"/>
  <c r="O49" i="1"/>
  <c r="M49" i="1"/>
  <c r="H49" i="1"/>
  <c r="K49" i="1" s="1"/>
  <c r="BE49" i="1" s="1"/>
  <c r="CT48" i="1"/>
  <c r="R48" i="1"/>
  <c r="Q48" i="1"/>
  <c r="P48" i="1"/>
  <c r="O48" i="1"/>
  <c r="M48" i="1"/>
  <c r="H48" i="1"/>
  <c r="K48" i="1" s="1"/>
  <c r="BG48" i="1" s="1"/>
  <c r="CT47" i="1"/>
  <c r="R47" i="1"/>
  <c r="Q47" i="1"/>
  <c r="P47" i="1"/>
  <c r="O47" i="1"/>
  <c r="M47" i="1"/>
  <c r="H47" i="1"/>
  <c r="K47" i="1" s="1"/>
  <c r="BI47" i="1" s="1"/>
  <c r="CT46" i="1"/>
  <c r="R46" i="1"/>
  <c r="Q46" i="1"/>
  <c r="P46" i="1"/>
  <c r="O46" i="1"/>
  <c r="M46" i="1"/>
  <c r="H46" i="1"/>
  <c r="K46" i="1" s="1"/>
  <c r="BC46" i="1" s="1"/>
  <c r="CT105" i="1"/>
  <c r="R105" i="1"/>
  <c r="Q105" i="1"/>
  <c r="P105" i="1"/>
  <c r="O105" i="1"/>
  <c r="H105" i="1"/>
  <c r="N105" i="1" s="1"/>
  <c r="CT104" i="1"/>
  <c r="R104" i="1"/>
  <c r="Q104" i="1"/>
  <c r="P104" i="1"/>
  <c r="O104" i="1"/>
  <c r="H104" i="1"/>
  <c r="N104" i="1" s="1"/>
  <c r="CT103" i="1"/>
  <c r="R103" i="1"/>
  <c r="Q103" i="1"/>
  <c r="P103" i="1"/>
  <c r="O103" i="1"/>
  <c r="N103" i="1"/>
  <c r="H103" i="1"/>
  <c r="CT102" i="1"/>
  <c r="R102" i="1"/>
  <c r="Q102" i="1"/>
  <c r="P102" i="1"/>
  <c r="O102" i="1"/>
  <c r="H102" i="1"/>
  <c r="CT101" i="1"/>
  <c r="R101" i="1"/>
  <c r="Q101" i="1"/>
  <c r="P101" i="1"/>
  <c r="O101" i="1"/>
  <c r="H101" i="1"/>
  <c r="CT100" i="1"/>
  <c r="R100" i="1"/>
  <c r="Q100" i="1"/>
  <c r="P100" i="1"/>
  <c r="O100" i="1"/>
  <c r="H100" i="1"/>
  <c r="K100" i="1" s="1"/>
  <c r="BG100" i="1" s="1"/>
  <c r="CT99" i="1"/>
  <c r="R99" i="1"/>
  <c r="Q99" i="1"/>
  <c r="P99" i="1"/>
  <c r="O99" i="1"/>
  <c r="H99" i="1"/>
  <c r="CT98" i="1"/>
  <c r="R98" i="1"/>
  <c r="Q98" i="1"/>
  <c r="P98" i="1"/>
  <c r="O98" i="1"/>
  <c r="H98" i="1"/>
  <c r="K98" i="1" s="1"/>
  <c r="BC98" i="1" s="1"/>
  <c r="CT97" i="1"/>
  <c r="R97" i="1"/>
  <c r="Q97" i="1"/>
  <c r="P97" i="1"/>
  <c r="O97" i="1"/>
  <c r="H97" i="1"/>
  <c r="K97" i="1" s="1"/>
  <c r="BE97" i="1" s="1"/>
  <c r="CT96" i="1"/>
  <c r="R96" i="1"/>
  <c r="Q96" i="1"/>
  <c r="P96" i="1"/>
  <c r="O96" i="1"/>
  <c r="H96" i="1"/>
  <c r="CT95" i="1"/>
  <c r="R95" i="1"/>
  <c r="Q95" i="1"/>
  <c r="P95" i="1"/>
  <c r="O95" i="1"/>
  <c r="H95" i="1"/>
  <c r="N95" i="1" s="1"/>
  <c r="CT94" i="1"/>
  <c r="R94" i="1"/>
  <c r="Q94" i="1"/>
  <c r="P94" i="1"/>
  <c r="O94" i="1"/>
  <c r="H94" i="1"/>
  <c r="CT93" i="1"/>
  <c r="R93" i="1"/>
  <c r="Q93" i="1"/>
  <c r="P93" i="1"/>
  <c r="O93" i="1"/>
  <c r="H93" i="1"/>
  <c r="L93" i="1" s="1"/>
  <c r="CT92" i="1"/>
  <c r="R92" i="1"/>
  <c r="Q92" i="1"/>
  <c r="P92" i="1"/>
  <c r="O92" i="1"/>
  <c r="H92" i="1"/>
  <c r="L92" i="1" s="1"/>
  <c r="CT91" i="1"/>
  <c r="R91" i="1"/>
  <c r="Q91" i="1"/>
  <c r="P91" i="1"/>
  <c r="O91" i="1"/>
  <c r="N91" i="1"/>
  <c r="H91" i="1"/>
  <c r="K91" i="1" s="1"/>
  <c r="CT90" i="1"/>
  <c r="R90" i="1"/>
  <c r="Q90" i="1"/>
  <c r="P90" i="1"/>
  <c r="O90" i="1"/>
  <c r="H90" i="1"/>
  <c r="L90" i="1" s="1"/>
  <c r="CT89" i="1"/>
  <c r="R89" i="1"/>
  <c r="Q89" i="1"/>
  <c r="P89" i="1"/>
  <c r="O89" i="1"/>
  <c r="H89" i="1"/>
  <c r="K89" i="1" s="1"/>
  <c r="BE89" i="1" s="1"/>
  <c r="CT88" i="1"/>
  <c r="R88" i="1"/>
  <c r="Q88" i="1"/>
  <c r="P88" i="1"/>
  <c r="O88" i="1"/>
  <c r="K88" i="1"/>
  <c r="BG88" i="1" s="1"/>
  <c r="H88" i="1"/>
  <c r="CT87" i="1"/>
  <c r="R87" i="1"/>
  <c r="Q87" i="1"/>
  <c r="P87" i="1"/>
  <c r="O87" i="1"/>
  <c r="H87" i="1"/>
  <c r="L87" i="1" s="1"/>
  <c r="CT86" i="1"/>
  <c r="R86" i="1"/>
  <c r="Q86" i="1"/>
  <c r="P86" i="1"/>
  <c r="O86" i="1"/>
  <c r="H86" i="1"/>
  <c r="K86" i="1" s="1"/>
  <c r="BC86" i="1" s="1"/>
  <c r="CT85" i="1"/>
  <c r="R85" i="1"/>
  <c r="Q85" i="1"/>
  <c r="P85" i="1"/>
  <c r="O85" i="1"/>
  <c r="H85" i="1"/>
  <c r="N85" i="1" s="1"/>
  <c r="CT84" i="1"/>
  <c r="R84" i="1"/>
  <c r="Q84" i="1"/>
  <c r="P84" i="1"/>
  <c r="O84" i="1"/>
  <c r="K84" i="1"/>
  <c r="BG84" i="1" s="1"/>
  <c r="H84" i="1"/>
  <c r="N84" i="1" s="1"/>
  <c r="CT83" i="1"/>
  <c r="R83" i="1"/>
  <c r="Q83" i="1"/>
  <c r="P83" i="1"/>
  <c r="O83" i="1"/>
  <c r="H83" i="1"/>
  <c r="M83" i="1" s="1"/>
  <c r="CT82" i="1"/>
  <c r="R82" i="1"/>
  <c r="Q82" i="1"/>
  <c r="P82" i="1"/>
  <c r="O82" i="1"/>
  <c r="H82" i="1"/>
  <c r="N82" i="1" s="1"/>
  <c r="CT81" i="1"/>
  <c r="R81" i="1"/>
  <c r="Q81" i="1"/>
  <c r="P81" i="1"/>
  <c r="O81" i="1"/>
  <c r="H81" i="1"/>
  <c r="N81" i="1" s="1"/>
  <c r="CT80" i="1"/>
  <c r="R80" i="1"/>
  <c r="Q80" i="1"/>
  <c r="P80" i="1"/>
  <c r="O80" i="1"/>
  <c r="H80" i="1"/>
  <c r="N80" i="1" s="1"/>
  <c r="CT79" i="1"/>
  <c r="R79" i="1"/>
  <c r="Q79" i="1"/>
  <c r="P79" i="1"/>
  <c r="O79" i="1"/>
  <c r="H79" i="1"/>
  <c r="N79" i="1" s="1"/>
  <c r="CT78" i="1"/>
  <c r="R78" i="1"/>
  <c r="Q78" i="1"/>
  <c r="P78" i="1"/>
  <c r="O78" i="1"/>
  <c r="L78" i="1"/>
  <c r="H78" i="1"/>
  <c r="N78" i="1" s="1"/>
  <c r="CT77" i="1"/>
  <c r="R77" i="1"/>
  <c r="Q77" i="1"/>
  <c r="P77" i="1"/>
  <c r="O77" i="1"/>
  <c r="H77" i="1"/>
  <c r="N77" i="1" s="1"/>
  <c r="CT76" i="1"/>
  <c r="R76" i="1"/>
  <c r="Q76" i="1"/>
  <c r="P76" i="1"/>
  <c r="O76" i="1"/>
  <c r="H76" i="1"/>
  <c r="N76" i="1" s="1"/>
  <c r="AE76" i="1" s="1"/>
  <c r="CT135" i="1"/>
  <c r="R135" i="1"/>
  <c r="Q135" i="1"/>
  <c r="P135" i="1"/>
  <c r="O135" i="1"/>
  <c r="H135" i="1"/>
  <c r="N135" i="1" s="1"/>
  <c r="CT134" i="1"/>
  <c r="R134" i="1"/>
  <c r="Q134" i="1"/>
  <c r="P134" i="1"/>
  <c r="O134" i="1"/>
  <c r="H134" i="1"/>
  <c r="N134" i="1" s="1"/>
  <c r="CT133" i="1"/>
  <c r="R133" i="1"/>
  <c r="Q133" i="1"/>
  <c r="P133" i="1"/>
  <c r="O133" i="1"/>
  <c r="H133" i="1"/>
  <c r="L133" i="1" s="1"/>
  <c r="CT132" i="1"/>
  <c r="R132" i="1"/>
  <c r="Q132" i="1"/>
  <c r="P132" i="1"/>
  <c r="O132" i="1"/>
  <c r="H132" i="1"/>
  <c r="CT131" i="1"/>
  <c r="R131" i="1"/>
  <c r="Q131" i="1"/>
  <c r="P131" i="1"/>
  <c r="O131" i="1"/>
  <c r="H131" i="1"/>
  <c r="CT130" i="1"/>
  <c r="R130" i="1"/>
  <c r="Q130" i="1"/>
  <c r="P130" i="1"/>
  <c r="O130" i="1"/>
  <c r="H130" i="1"/>
  <c r="K130" i="1" s="1"/>
  <c r="BC130" i="1" s="1"/>
  <c r="CT129" i="1"/>
  <c r="R129" i="1"/>
  <c r="Q129" i="1"/>
  <c r="P129" i="1"/>
  <c r="O129" i="1"/>
  <c r="M129" i="1"/>
  <c r="H129" i="1"/>
  <c r="CT128" i="1"/>
  <c r="R128" i="1"/>
  <c r="Q128" i="1"/>
  <c r="P128" i="1"/>
  <c r="O128" i="1"/>
  <c r="H128" i="1"/>
  <c r="K128" i="1" s="1"/>
  <c r="BG128" i="1" s="1"/>
  <c r="CT127" i="1"/>
  <c r="R127" i="1"/>
  <c r="Q127" i="1"/>
  <c r="P127" i="1"/>
  <c r="O127" i="1"/>
  <c r="H127" i="1"/>
  <c r="K127" i="1" s="1"/>
  <c r="BI127" i="1" s="1"/>
  <c r="CT126" i="1"/>
  <c r="R126" i="1"/>
  <c r="Q126" i="1"/>
  <c r="P126" i="1"/>
  <c r="O126" i="1"/>
  <c r="H126" i="1"/>
  <c r="N126" i="1" s="1"/>
  <c r="CT125" i="1"/>
  <c r="R125" i="1"/>
  <c r="Q125" i="1"/>
  <c r="P125" i="1"/>
  <c r="O125" i="1"/>
  <c r="H125" i="1"/>
  <c r="K125" i="1" s="1"/>
  <c r="BE125" i="1" s="1"/>
  <c r="CT124" i="1"/>
  <c r="R124" i="1"/>
  <c r="Q124" i="1"/>
  <c r="P124" i="1"/>
  <c r="O124" i="1"/>
  <c r="H124" i="1"/>
  <c r="K124" i="1" s="1"/>
  <c r="BG124" i="1" s="1"/>
  <c r="CT123" i="1"/>
  <c r="R123" i="1"/>
  <c r="Q123" i="1"/>
  <c r="P123" i="1"/>
  <c r="O123" i="1"/>
  <c r="H123" i="1"/>
  <c r="K123" i="1" s="1"/>
  <c r="BI123" i="1" s="1"/>
  <c r="CT122" i="1"/>
  <c r="R122" i="1"/>
  <c r="Q122" i="1"/>
  <c r="P122" i="1"/>
  <c r="O122" i="1"/>
  <c r="H122" i="1"/>
  <c r="CT121" i="1"/>
  <c r="R121" i="1"/>
  <c r="Q121" i="1"/>
  <c r="P121" i="1"/>
  <c r="O121" i="1"/>
  <c r="H121" i="1"/>
  <c r="CT120" i="1"/>
  <c r="R120" i="1"/>
  <c r="Q120" i="1"/>
  <c r="P120" i="1"/>
  <c r="O120" i="1"/>
  <c r="N120" i="1"/>
  <c r="H120" i="1"/>
  <c r="K120" i="1" s="1"/>
  <c r="BG120" i="1" s="1"/>
  <c r="CT119" i="1"/>
  <c r="R119" i="1"/>
  <c r="Q119" i="1"/>
  <c r="P119" i="1"/>
  <c r="O119" i="1"/>
  <c r="H119" i="1"/>
  <c r="CT118" i="1"/>
  <c r="R118" i="1"/>
  <c r="Q118" i="1"/>
  <c r="P118" i="1"/>
  <c r="O118" i="1"/>
  <c r="H118" i="1"/>
  <c r="K118" i="1" s="1"/>
  <c r="BC118" i="1" s="1"/>
  <c r="CT117" i="1"/>
  <c r="R117" i="1"/>
  <c r="Q117" i="1"/>
  <c r="P117" i="1"/>
  <c r="O117" i="1"/>
  <c r="H117" i="1"/>
  <c r="M117" i="1" s="1"/>
  <c r="CT116" i="1"/>
  <c r="R116" i="1"/>
  <c r="Q116" i="1"/>
  <c r="P116" i="1"/>
  <c r="O116" i="1"/>
  <c r="H116" i="1"/>
  <c r="N116" i="1" s="1"/>
  <c r="CT115" i="1"/>
  <c r="R115" i="1"/>
  <c r="Q115" i="1"/>
  <c r="P115" i="1"/>
  <c r="O115" i="1"/>
  <c r="H115" i="1"/>
  <c r="CT114" i="1"/>
  <c r="R114" i="1"/>
  <c r="Q114" i="1"/>
  <c r="P114" i="1"/>
  <c r="O114" i="1"/>
  <c r="H114" i="1"/>
  <c r="CT113" i="1"/>
  <c r="R113" i="1"/>
  <c r="Q113" i="1"/>
  <c r="P113" i="1"/>
  <c r="O113" i="1"/>
  <c r="N113" i="1"/>
  <c r="H113" i="1"/>
  <c r="L113" i="1" s="1"/>
  <c r="CT112" i="1"/>
  <c r="R112" i="1"/>
  <c r="Q112" i="1"/>
  <c r="P112" i="1"/>
  <c r="O112" i="1"/>
  <c r="H112" i="1"/>
  <c r="N112" i="1" s="1"/>
  <c r="CT111" i="1"/>
  <c r="R111" i="1"/>
  <c r="Q111" i="1"/>
  <c r="P111" i="1"/>
  <c r="O111" i="1"/>
  <c r="H111" i="1"/>
  <c r="CT110" i="1"/>
  <c r="R110" i="1"/>
  <c r="Q110" i="1"/>
  <c r="P110" i="1"/>
  <c r="O110" i="1"/>
  <c r="H110" i="1"/>
  <c r="N110" i="1" s="1"/>
  <c r="CT109" i="1"/>
  <c r="R109" i="1"/>
  <c r="Q109" i="1"/>
  <c r="P109" i="1"/>
  <c r="O109" i="1"/>
  <c r="H109" i="1"/>
  <c r="K109" i="1" s="1"/>
  <c r="BE109" i="1" s="1"/>
  <c r="CT108" i="1"/>
  <c r="R108" i="1"/>
  <c r="Q108" i="1"/>
  <c r="P108" i="1"/>
  <c r="O108" i="1"/>
  <c r="H108" i="1"/>
  <c r="CT107" i="1"/>
  <c r="R107" i="1"/>
  <c r="Q107" i="1"/>
  <c r="P107" i="1"/>
  <c r="O107" i="1"/>
  <c r="H107" i="1"/>
  <c r="N107" i="1" s="1"/>
  <c r="CT106" i="1"/>
  <c r="R106" i="1"/>
  <c r="Q106" i="1"/>
  <c r="P106" i="1"/>
  <c r="O106" i="1"/>
  <c r="H106" i="1"/>
  <c r="CT165" i="1"/>
  <c r="R165" i="1"/>
  <c r="Q165" i="1"/>
  <c r="P165" i="1"/>
  <c r="O165" i="1"/>
  <c r="H165" i="1"/>
  <c r="N165" i="1" s="1"/>
  <c r="CT164" i="1"/>
  <c r="R164" i="1"/>
  <c r="Q164" i="1"/>
  <c r="P164" i="1"/>
  <c r="O164" i="1"/>
  <c r="H164" i="1"/>
  <c r="N164" i="1" s="1"/>
  <c r="CT163" i="1"/>
  <c r="R163" i="1"/>
  <c r="Q163" i="1"/>
  <c r="P163" i="1"/>
  <c r="O163" i="1"/>
  <c r="H163" i="1"/>
  <c r="M163" i="1" s="1"/>
  <c r="CT162" i="1"/>
  <c r="R162" i="1"/>
  <c r="Q162" i="1"/>
  <c r="P162" i="1"/>
  <c r="O162" i="1"/>
  <c r="N162" i="1"/>
  <c r="H162" i="1"/>
  <c r="K162" i="1" s="1"/>
  <c r="CT161" i="1"/>
  <c r="R161" i="1"/>
  <c r="Q161" i="1"/>
  <c r="P161" i="1"/>
  <c r="O161" i="1"/>
  <c r="H161" i="1"/>
  <c r="L161" i="1" s="1"/>
  <c r="CT160" i="1"/>
  <c r="R160" i="1"/>
  <c r="Q160" i="1"/>
  <c r="P160" i="1"/>
  <c r="O160" i="1"/>
  <c r="H160" i="1"/>
  <c r="CT159" i="1"/>
  <c r="R159" i="1"/>
  <c r="Q159" i="1"/>
  <c r="P159" i="1"/>
  <c r="O159" i="1"/>
  <c r="H159" i="1"/>
  <c r="M159" i="1" s="1"/>
  <c r="CT158" i="1"/>
  <c r="R158" i="1"/>
  <c r="Q158" i="1"/>
  <c r="P158" i="1"/>
  <c r="O158" i="1"/>
  <c r="H158" i="1"/>
  <c r="CT157" i="1"/>
  <c r="R157" i="1"/>
  <c r="Q157" i="1"/>
  <c r="P157" i="1"/>
  <c r="O157" i="1"/>
  <c r="H157" i="1"/>
  <c r="N157" i="1" s="1"/>
  <c r="CT156" i="1"/>
  <c r="R156" i="1"/>
  <c r="Q156" i="1"/>
  <c r="P156" i="1"/>
  <c r="O156" i="1"/>
  <c r="H156" i="1"/>
  <c r="K156" i="1" s="1"/>
  <c r="CT155" i="1"/>
  <c r="R155" i="1"/>
  <c r="Q155" i="1"/>
  <c r="P155" i="1"/>
  <c r="O155" i="1"/>
  <c r="H155" i="1"/>
  <c r="K155" i="1" s="1"/>
  <c r="CT154" i="1"/>
  <c r="R154" i="1"/>
  <c r="Q154" i="1"/>
  <c r="P154" i="1"/>
  <c r="O154" i="1"/>
  <c r="H154" i="1"/>
  <c r="CT153" i="1"/>
  <c r="R153" i="1"/>
  <c r="Q153" i="1"/>
  <c r="P153" i="1"/>
  <c r="O153" i="1"/>
  <c r="H153" i="1"/>
  <c r="CT152" i="1"/>
  <c r="R152" i="1"/>
  <c r="Q152" i="1"/>
  <c r="P152" i="1"/>
  <c r="O152" i="1"/>
  <c r="H152" i="1"/>
  <c r="CT151" i="1"/>
  <c r="R151" i="1"/>
  <c r="Q151" i="1"/>
  <c r="P151" i="1"/>
  <c r="O151" i="1"/>
  <c r="H151" i="1"/>
  <c r="N151" i="1" s="1"/>
  <c r="CT150" i="1"/>
  <c r="R150" i="1"/>
  <c r="Q150" i="1"/>
  <c r="P150" i="1"/>
  <c r="O150" i="1"/>
  <c r="H150" i="1"/>
  <c r="N150" i="1" s="1"/>
  <c r="CT149" i="1"/>
  <c r="R149" i="1"/>
  <c r="Q149" i="1"/>
  <c r="P149" i="1"/>
  <c r="O149" i="1"/>
  <c r="H149" i="1"/>
  <c r="CT148" i="1"/>
  <c r="R148" i="1"/>
  <c r="Q148" i="1"/>
  <c r="P148" i="1"/>
  <c r="O148" i="1"/>
  <c r="L148" i="1"/>
  <c r="K148" i="1"/>
  <c r="BG148" i="1" s="1"/>
  <c r="H148" i="1"/>
  <c r="N148" i="1" s="1"/>
  <c r="CT147" i="1"/>
  <c r="R147" i="1"/>
  <c r="Q147" i="1"/>
  <c r="P147" i="1"/>
  <c r="O147" i="1"/>
  <c r="H147" i="1"/>
  <c r="N147" i="1" s="1"/>
  <c r="CT146" i="1"/>
  <c r="R146" i="1"/>
  <c r="Q146" i="1"/>
  <c r="P146" i="1"/>
  <c r="O146" i="1"/>
  <c r="H146" i="1"/>
  <c r="L146" i="1" s="1"/>
  <c r="CT145" i="1"/>
  <c r="R145" i="1"/>
  <c r="Q145" i="1"/>
  <c r="P145" i="1"/>
  <c r="O145" i="1"/>
  <c r="H145" i="1"/>
  <c r="N145" i="1" s="1"/>
  <c r="CT144" i="1"/>
  <c r="R144" i="1"/>
  <c r="Q144" i="1"/>
  <c r="P144" i="1"/>
  <c r="O144" i="1"/>
  <c r="H144" i="1"/>
  <c r="L144" i="1" s="1"/>
  <c r="CT143" i="1"/>
  <c r="R143" i="1"/>
  <c r="Q143" i="1"/>
  <c r="P143" i="1"/>
  <c r="O143" i="1"/>
  <c r="H143" i="1"/>
  <c r="N143" i="1" s="1"/>
  <c r="CT142" i="1"/>
  <c r="R142" i="1"/>
  <c r="Q142" i="1"/>
  <c r="P142" i="1"/>
  <c r="O142" i="1"/>
  <c r="H142" i="1"/>
  <c r="N142" i="1" s="1"/>
  <c r="CT141" i="1"/>
  <c r="R141" i="1"/>
  <c r="Q141" i="1"/>
  <c r="P141" i="1"/>
  <c r="O141" i="1"/>
  <c r="H141" i="1"/>
  <c r="N141" i="1" s="1"/>
  <c r="CT140" i="1"/>
  <c r="R140" i="1"/>
  <c r="Q140" i="1"/>
  <c r="P140" i="1"/>
  <c r="O140" i="1"/>
  <c r="H140" i="1"/>
  <c r="N140" i="1" s="1"/>
  <c r="CT139" i="1"/>
  <c r="R139" i="1"/>
  <c r="Q139" i="1"/>
  <c r="P139" i="1"/>
  <c r="O139" i="1"/>
  <c r="H139" i="1"/>
  <c r="N139" i="1" s="1"/>
  <c r="CT138" i="1"/>
  <c r="R138" i="1"/>
  <c r="Q138" i="1"/>
  <c r="P138" i="1"/>
  <c r="O138" i="1"/>
  <c r="H138" i="1"/>
  <c r="N138" i="1" s="1"/>
  <c r="CT137" i="1"/>
  <c r="R137" i="1"/>
  <c r="Q137" i="1"/>
  <c r="P137" i="1"/>
  <c r="O137" i="1"/>
  <c r="H137" i="1"/>
  <c r="N137" i="1" s="1"/>
  <c r="CT136" i="1"/>
  <c r="R136" i="1"/>
  <c r="Q136" i="1"/>
  <c r="P136" i="1"/>
  <c r="O136" i="1"/>
  <c r="H136" i="1"/>
  <c r="N136" i="1" s="1"/>
  <c r="AE136" i="1" s="1"/>
  <c r="CT195" i="1"/>
  <c r="R195" i="1"/>
  <c r="Q195" i="1"/>
  <c r="P195" i="1"/>
  <c r="O195" i="1"/>
  <c r="H195" i="1"/>
  <c r="N195" i="1" s="1"/>
  <c r="CT194" i="1"/>
  <c r="R194" i="1"/>
  <c r="Q194" i="1"/>
  <c r="P194" i="1"/>
  <c r="O194" i="1"/>
  <c r="H194" i="1"/>
  <c r="N194" i="1" s="1"/>
  <c r="CT193" i="1"/>
  <c r="R193" i="1"/>
  <c r="Q193" i="1"/>
  <c r="P193" i="1"/>
  <c r="O193" i="1"/>
  <c r="H193" i="1"/>
  <c r="M193" i="1" s="1"/>
  <c r="CT192" i="1"/>
  <c r="R192" i="1"/>
  <c r="Q192" i="1"/>
  <c r="P192" i="1"/>
  <c r="O192" i="1"/>
  <c r="H192" i="1"/>
  <c r="CT191" i="1"/>
  <c r="R191" i="1"/>
  <c r="Q191" i="1"/>
  <c r="P191" i="1"/>
  <c r="O191" i="1"/>
  <c r="H191" i="1"/>
  <c r="CT190" i="1"/>
  <c r="R190" i="1"/>
  <c r="Q190" i="1"/>
  <c r="P190" i="1"/>
  <c r="O190" i="1"/>
  <c r="H190" i="1"/>
  <c r="L190" i="1" s="1"/>
  <c r="CT189" i="1"/>
  <c r="R189" i="1"/>
  <c r="Q189" i="1"/>
  <c r="P189" i="1"/>
  <c r="O189" i="1"/>
  <c r="H189" i="1"/>
  <c r="CT188" i="1"/>
  <c r="R188" i="1"/>
  <c r="Q188" i="1"/>
  <c r="P188" i="1"/>
  <c r="O188" i="1"/>
  <c r="N188" i="1"/>
  <c r="H188" i="1"/>
  <c r="K188" i="1" s="1"/>
  <c r="CT187" i="1"/>
  <c r="R187" i="1"/>
  <c r="Q187" i="1"/>
  <c r="P187" i="1"/>
  <c r="O187" i="1"/>
  <c r="H187" i="1"/>
  <c r="K187" i="1" s="1"/>
  <c r="CT186" i="1"/>
  <c r="R186" i="1"/>
  <c r="Q186" i="1"/>
  <c r="P186" i="1"/>
  <c r="O186" i="1"/>
  <c r="H186" i="1"/>
  <c r="N186" i="1" s="1"/>
  <c r="CT185" i="1"/>
  <c r="R185" i="1"/>
  <c r="Q185" i="1"/>
  <c r="P185" i="1"/>
  <c r="O185" i="1"/>
  <c r="H185" i="1"/>
  <c r="M185" i="1" s="1"/>
  <c r="CT184" i="1"/>
  <c r="R184" i="1"/>
  <c r="Q184" i="1"/>
  <c r="P184" i="1"/>
  <c r="O184" i="1"/>
  <c r="H184" i="1"/>
  <c r="M184" i="1" s="1"/>
  <c r="CT183" i="1"/>
  <c r="R183" i="1"/>
  <c r="Q183" i="1"/>
  <c r="P183" i="1"/>
  <c r="O183" i="1"/>
  <c r="H183" i="1"/>
  <c r="N183" i="1" s="1"/>
  <c r="CT182" i="1"/>
  <c r="R182" i="1"/>
  <c r="Q182" i="1"/>
  <c r="P182" i="1"/>
  <c r="O182" i="1"/>
  <c r="H182" i="1"/>
  <c r="M182" i="1" s="1"/>
  <c r="CT181" i="1"/>
  <c r="R181" i="1"/>
  <c r="Q181" i="1"/>
  <c r="P181" i="1"/>
  <c r="O181" i="1"/>
  <c r="H181" i="1"/>
  <c r="M181" i="1" s="1"/>
  <c r="CT180" i="1"/>
  <c r="R180" i="1"/>
  <c r="Q180" i="1"/>
  <c r="P180" i="1"/>
  <c r="O180" i="1"/>
  <c r="H180" i="1"/>
  <c r="M180" i="1" s="1"/>
  <c r="CT179" i="1"/>
  <c r="R179" i="1"/>
  <c r="Q179" i="1"/>
  <c r="P179" i="1"/>
  <c r="O179" i="1"/>
  <c r="H179" i="1"/>
  <c r="M179" i="1" s="1"/>
  <c r="CT178" i="1"/>
  <c r="R178" i="1"/>
  <c r="Q178" i="1"/>
  <c r="P178" i="1"/>
  <c r="O178" i="1"/>
  <c r="H178" i="1"/>
  <c r="K178" i="1" s="1"/>
  <c r="CT177" i="1"/>
  <c r="R177" i="1"/>
  <c r="Q177" i="1"/>
  <c r="P177" i="1"/>
  <c r="O177" i="1"/>
  <c r="H177" i="1"/>
  <c r="M177" i="1" s="1"/>
  <c r="CT176" i="1"/>
  <c r="R176" i="1"/>
  <c r="Q176" i="1"/>
  <c r="P176" i="1"/>
  <c r="O176" i="1"/>
  <c r="H176" i="1"/>
  <c r="M176" i="1" s="1"/>
  <c r="CT175" i="1"/>
  <c r="R175" i="1"/>
  <c r="Q175" i="1"/>
  <c r="P175" i="1"/>
  <c r="O175" i="1"/>
  <c r="H175" i="1"/>
  <c r="K175" i="1" s="1"/>
  <c r="CT174" i="1"/>
  <c r="R174" i="1"/>
  <c r="Q174" i="1"/>
  <c r="P174" i="1"/>
  <c r="O174" i="1"/>
  <c r="H174" i="1"/>
  <c r="N174" i="1" s="1"/>
  <c r="CT173" i="1"/>
  <c r="R173" i="1"/>
  <c r="Q173" i="1"/>
  <c r="P173" i="1"/>
  <c r="O173" i="1"/>
  <c r="H173" i="1"/>
  <c r="N173" i="1" s="1"/>
  <c r="CT172" i="1"/>
  <c r="R172" i="1"/>
  <c r="Q172" i="1"/>
  <c r="P172" i="1"/>
  <c r="O172" i="1"/>
  <c r="H172" i="1"/>
  <c r="N172" i="1" s="1"/>
  <c r="CT171" i="1"/>
  <c r="R171" i="1"/>
  <c r="Q171" i="1"/>
  <c r="P171" i="1"/>
  <c r="O171" i="1"/>
  <c r="H171" i="1"/>
  <c r="N171" i="1" s="1"/>
  <c r="CT170" i="1"/>
  <c r="R170" i="1"/>
  <c r="Q170" i="1"/>
  <c r="P170" i="1"/>
  <c r="O170" i="1"/>
  <c r="H170" i="1"/>
  <c r="N170" i="1" s="1"/>
  <c r="CT169" i="1"/>
  <c r="R169" i="1"/>
  <c r="Q169" i="1"/>
  <c r="P169" i="1"/>
  <c r="O169" i="1"/>
  <c r="H169" i="1"/>
  <c r="N169" i="1" s="1"/>
  <c r="CT168" i="1"/>
  <c r="R168" i="1"/>
  <c r="Q168" i="1"/>
  <c r="P168" i="1"/>
  <c r="O168" i="1"/>
  <c r="H168" i="1"/>
  <c r="N168" i="1" s="1"/>
  <c r="CT167" i="1"/>
  <c r="R167" i="1"/>
  <c r="Q167" i="1"/>
  <c r="P167" i="1"/>
  <c r="O167" i="1"/>
  <c r="H167" i="1"/>
  <c r="M167" i="1" s="1"/>
  <c r="CT166" i="1"/>
  <c r="R166" i="1"/>
  <c r="Q166" i="1"/>
  <c r="P166" i="1"/>
  <c r="O166" i="1"/>
  <c r="H166" i="1"/>
  <c r="K166" i="1" s="1"/>
  <c r="CT225" i="1"/>
  <c r="R225" i="1"/>
  <c r="Q225" i="1"/>
  <c r="P225" i="1"/>
  <c r="O225" i="1"/>
  <c r="H225" i="1"/>
  <c r="N225" i="1" s="1"/>
  <c r="CT224" i="1"/>
  <c r="R224" i="1"/>
  <c r="Q224" i="1"/>
  <c r="P224" i="1"/>
  <c r="O224" i="1"/>
  <c r="H224" i="1"/>
  <c r="N224" i="1" s="1"/>
  <c r="CT223" i="1"/>
  <c r="R223" i="1"/>
  <c r="Q223" i="1"/>
  <c r="P223" i="1"/>
  <c r="O223" i="1"/>
  <c r="H223" i="1"/>
  <c r="N223" i="1" s="1"/>
  <c r="CT222" i="1"/>
  <c r="R222" i="1"/>
  <c r="Q222" i="1"/>
  <c r="P222" i="1"/>
  <c r="O222" i="1"/>
  <c r="H222" i="1"/>
  <c r="K222" i="1" s="1"/>
  <c r="CT221" i="1"/>
  <c r="R221" i="1"/>
  <c r="Q221" i="1"/>
  <c r="P221" i="1"/>
  <c r="O221" i="1"/>
  <c r="H221" i="1"/>
  <c r="L221" i="1" s="1"/>
  <c r="CT220" i="1"/>
  <c r="R220" i="1"/>
  <c r="Q220" i="1"/>
  <c r="P220" i="1"/>
  <c r="O220" i="1"/>
  <c r="H220" i="1"/>
  <c r="CT219" i="1"/>
  <c r="R219" i="1"/>
  <c r="Q219" i="1"/>
  <c r="P219" i="1"/>
  <c r="O219" i="1"/>
  <c r="H219" i="1"/>
  <c r="N219" i="1" s="1"/>
  <c r="CT218" i="1"/>
  <c r="R218" i="1"/>
  <c r="Q218" i="1"/>
  <c r="P218" i="1"/>
  <c r="O218" i="1"/>
  <c r="H218" i="1"/>
  <c r="N218" i="1" s="1"/>
  <c r="CT217" i="1"/>
  <c r="R217" i="1"/>
  <c r="Q217" i="1"/>
  <c r="P217" i="1"/>
  <c r="O217" i="1"/>
  <c r="H217" i="1"/>
  <c r="M217" i="1" s="1"/>
  <c r="CT216" i="1"/>
  <c r="R216" i="1"/>
  <c r="Q216" i="1"/>
  <c r="P216" i="1"/>
  <c r="O216" i="1"/>
  <c r="H216" i="1"/>
  <c r="K216" i="1" s="1"/>
  <c r="CT215" i="1"/>
  <c r="R215" i="1"/>
  <c r="Q215" i="1"/>
  <c r="P215" i="1"/>
  <c r="O215" i="1"/>
  <c r="H215" i="1"/>
  <c r="K215" i="1" s="1"/>
  <c r="CT214" i="1"/>
  <c r="R214" i="1"/>
  <c r="Q214" i="1"/>
  <c r="P214" i="1"/>
  <c r="O214" i="1"/>
  <c r="H214" i="1"/>
  <c r="CT213" i="1"/>
  <c r="R213" i="1"/>
  <c r="Q213" i="1"/>
  <c r="P213" i="1"/>
  <c r="O213" i="1"/>
  <c r="H213" i="1"/>
  <c r="M213" i="1" s="1"/>
  <c r="CT212" i="1"/>
  <c r="R212" i="1"/>
  <c r="Q212" i="1"/>
  <c r="P212" i="1"/>
  <c r="O212" i="1"/>
  <c r="H212" i="1"/>
  <c r="L212" i="1" s="1"/>
  <c r="CT211" i="1"/>
  <c r="R211" i="1"/>
  <c r="Q211" i="1"/>
  <c r="P211" i="1"/>
  <c r="O211" i="1"/>
  <c r="H211" i="1"/>
  <c r="N211" i="1" s="1"/>
  <c r="CT210" i="1"/>
  <c r="R210" i="1"/>
  <c r="Q210" i="1"/>
  <c r="P210" i="1"/>
  <c r="O210" i="1"/>
  <c r="H210" i="1"/>
  <c r="N210" i="1" s="1"/>
  <c r="CT209" i="1"/>
  <c r="R209" i="1"/>
  <c r="Q209" i="1"/>
  <c r="P209" i="1"/>
  <c r="O209" i="1"/>
  <c r="H209" i="1"/>
  <c r="N209" i="1" s="1"/>
  <c r="CT208" i="1"/>
  <c r="R208" i="1"/>
  <c r="Q208" i="1"/>
  <c r="P208" i="1"/>
  <c r="O208" i="1"/>
  <c r="L208" i="1"/>
  <c r="K208" i="1"/>
  <c r="H208" i="1"/>
  <c r="N208" i="1" s="1"/>
  <c r="CT207" i="1"/>
  <c r="R207" i="1"/>
  <c r="Q207" i="1"/>
  <c r="P207" i="1"/>
  <c r="O207" i="1"/>
  <c r="H207" i="1"/>
  <c r="N207" i="1" s="1"/>
  <c r="CT206" i="1"/>
  <c r="R206" i="1"/>
  <c r="Q206" i="1"/>
  <c r="P206" i="1"/>
  <c r="O206" i="1"/>
  <c r="H206" i="1"/>
  <c r="N206" i="1" s="1"/>
  <c r="CT205" i="1"/>
  <c r="R205" i="1"/>
  <c r="Q205" i="1"/>
  <c r="P205" i="1"/>
  <c r="O205" i="1"/>
  <c r="H205" i="1"/>
  <c r="N205" i="1" s="1"/>
  <c r="CT204" i="1"/>
  <c r="R204" i="1"/>
  <c r="Q204" i="1"/>
  <c r="P204" i="1"/>
  <c r="O204" i="1"/>
  <c r="H204" i="1"/>
  <c r="N204" i="1" s="1"/>
  <c r="CT203" i="1"/>
  <c r="R203" i="1"/>
  <c r="Q203" i="1"/>
  <c r="P203" i="1"/>
  <c r="O203" i="1"/>
  <c r="H203" i="1"/>
  <c r="N203" i="1" s="1"/>
  <c r="CT202" i="1"/>
  <c r="R202" i="1"/>
  <c r="Q202" i="1"/>
  <c r="P202" i="1"/>
  <c r="O202" i="1"/>
  <c r="H202" i="1"/>
  <c r="K202" i="1" s="1"/>
  <c r="CT201" i="1"/>
  <c r="R201" i="1"/>
  <c r="Q201" i="1"/>
  <c r="P201" i="1"/>
  <c r="O201" i="1"/>
  <c r="H201" i="1"/>
  <c r="K201" i="1" s="1"/>
  <c r="CT200" i="1"/>
  <c r="R200" i="1"/>
  <c r="Q200" i="1"/>
  <c r="P200" i="1"/>
  <c r="O200" i="1"/>
  <c r="H200" i="1"/>
  <c r="N200" i="1" s="1"/>
  <c r="CT199" i="1"/>
  <c r="R199" i="1"/>
  <c r="Q199" i="1"/>
  <c r="P199" i="1"/>
  <c r="O199" i="1"/>
  <c r="H199" i="1"/>
  <c r="N199" i="1" s="1"/>
  <c r="CT198" i="1"/>
  <c r="R198" i="1"/>
  <c r="Q198" i="1"/>
  <c r="P198" i="1"/>
  <c r="O198" i="1"/>
  <c r="H198" i="1"/>
  <c r="K198" i="1" s="1"/>
  <c r="CT197" i="1"/>
  <c r="R197" i="1"/>
  <c r="Q197" i="1"/>
  <c r="P197" i="1"/>
  <c r="O197" i="1"/>
  <c r="H197" i="1"/>
  <c r="L197" i="1" s="1"/>
  <c r="CT196" i="1"/>
  <c r="R196" i="1"/>
  <c r="Q196" i="1"/>
  <c r="P196" i="1"/>
  <c r="O196" i="1"/>
  <c r="H196" i="1"/>
  <c r="CT255" i="1"/>
  <c r="R255" i="1"/>
  <c r="Q255" i="1"/>
  <c r="P255" i="1"/>
  <c r="O255" i="1"/>
  <c r="H255" i="1"/>
  <c r="N255" i="1" s="1"/>
  <c r="CT254" i="1"/>
  <c r="R254" i="1"/>
  <c r="Q254" i="1"/>
  <c r="P254" i="1"/>
  <c r="O254" i="1"/>
  <c r="H254" i="1"/>
  <c r="N254" i="1" s="1"/>
  <c r="CT253" i="1"/>
  <c r="R253" i="1"/>
  <c r="Q253" i="1"/>
  <c r="P253" i="1"/>
  <c r="O253" i="1"/>
  <c r="H253" i="1"/>
  <c r="M253" i="1" s="1"/>
  <c r="CT252" i="1"/>
  <c r="R252" i="1"/>
  <c r="Q252" i="1"/>
  <c r="P252" i="1"/>
  <c r="O252" i="1"/>
  <c r="H252" i="1"/>
  <c r="K252" i="1" s="1"/>
  <c r="CT251" i="1"/>
  <c r="R251" i="1"/>
  <c r="Q251" i="1"/>
  <c r="P251" i="1"/>
  <c r="O251" i="1"/>
  <c r="H251" i="1"/>
  <c r="CT250" i="1"/>
  <c r="R250" i="1"/>
  <c r="Q250" i="1"/>
  <c r="P250" i="1"/>
  <c r="O250" i="1"/>
  <c r="H250" i="1"/>
  <c r="K250" i="1" s="1"/>
  <c r="CT249" i="1"/>
  <c r="R249" i="1"/>
  <c r="Q249" i="1"/>
  <c r="P249" i="1"/>
  <c r="O249" i="1"/>
  <c r="H249" i="1"/>
  <c r="K249" i="1" s="1"/>
  <c r="CT248" i="1"/>
  <c r="R248" i="1"/>
  <c r="Q248" i="1"/>
  <c r="P248" i="1"/>
  <c r="O248" i="1"/>
  <c r="H248" i="1"/>
  <c r="K248" i="1" s="1"/>
  <c r="CT247" i="1"/>
  <c r="R247" i="1"/>
  <c r="Q247" i="1"/>
  <c r="P247" i="1"/>
  <c r="O247" i="1"/>
  <c r="H247" i="1"/>
  <c r="K247" i="1" s="1"/>
  <c r="CT246" i="1"/>
  <c r="R246" i="1"/>
  <c r="Q246" i="1"/>
  <c r="P246" i="1"/>
  <c r="O246" i="1"/>
  <c r="H246" i="1"/>
  <c r="K246" i="1" s="1"/>
  <c r="CT245" i="1"/>
  <c r="R245" i="1"/>
  <c r="Q245" i="1"/>
  <c r="P245" i="1"/>
  <c r="O245" i="1"/>
  <c r="H245" i="1"/>
  <c r="K245" i="1" s="1"/>
  <c r="CT244" i="1"/>
  <c r="R244" i="1"/>
  <c r="Q244" i="1"/>
  <c r="P244" i="1"/>
  <c r="O244" i="1"/>
  <c r="H244" i="1"/>
  <c r="K244" i="1" s="1"/>
  <c r="CT243" i="1"/>
  <c r="R243" i="1"/>
  <c r="Q243" i="1"/>
  <c r="P243" i="1"/>
  <c r="O243" i="1"/>
  <c r="H243" i="1"/>
  <c r="K243" i="1" s="1"/>
  <c r="CT242" i="1"/>
  <c r="R242" i="1"/>
  <c r="Q242" i="1"/>
  <c r="P242" i="1"/>
  <c r="O242" i="1"/>
  <c r="H242" i="1"/>
  <c r="K242" i="1" s="1"/>
  <c r="CT241" i="1"/>
  <c r="R241" i="1"/>
  <c r="Q241" i="1"/>
  <c r="P241" i="1"/>
  <c r="O241" i="1"/>
  <c r="H241" i="1"/>
  <c r="K241" i="1" s="1"/>
  <c r="CT240" i="1"/>
  <c r="R240" i="1"/>
  <c r="Q240" i="1"/>
  <c r="P240" i="1"/>
  <c r="O240" i="1"/>
  <c r="H240" i="1"/>
  <c r="L240" i="1" s="1"/>
  <c r="CT239" i="1"/>
  <c r="R239" i="1"/>
  <c r="Q239" i="1"/>
  <c r="P239" i="1"/>
  <c r="O239" i="1"/>
  <c r="H239" i="1"/>
  <c r="N239" i="1" s="1"/>
  <c r="CT238" i="1"/>
  <c r="R238" i="1"/>
  <c r="Q238" i="1"/>
  <c r="P238" i="1"/>
  <c r="O238" i="1"/>
  <c r="H238" i="1"/>
  <c r="CT237" i="1"/>
  <c r="R237" i="1"/>
  <c r="Q237" i="1"/>
  <c r="P237" i="1"/>
  <c r="O237" i="1"/>
  <c r="H237" i="1"/>
  <c r="K237" i="1" s="1"/>
  <c r="CT236" i="1"/>
  <c r="R236" i="1"/>
  <c r="Q236" i="1"/>
  <c r="P236" i="1"/>
  <c r="O236" i="1"/>
  <c r="H236" i="1"/>
  <c r="K236" i="1" s="1"/>
  <c r="CT235" i="1"/>
  <c r="R235" i="1"/>
  <c r="Q235" i="1"/>
  <c r="P235" i="1"/>
  <c r="O235" i="1"/>
  <c r="H235" i="1"/>
  <c r="K235" i="1" s="1"/>
  <c r="CT234" i="1"/>
  <c r="R234" i="1"/>
  <c r="Q234" i="1"/>
  <c r="P234" i="1"/>
  <c r="O234" i="1"/>
  <c r="H234" i="1"/>
  <c r="K234" i="1" s="1"/>
  <c r="CT233" i="1"/>
  <c r="R233" i="1"/>
  <c r="Q233" i="1"/>
  <c r="P233" i="1"/>
  <c r="O233" i="1"/>
  <c r="H233" i="1"/>
  <c r="K233" i="1" s="1"/>
  <c r="CT232" i="1"/>
  <c r="R232" i="1"/>
  <c r="Q232" i="1"/>
  <c r="P232" i="1"/>
  <c r="O232" i="1"/>
  <c r="H232" i="1"/>
  <c r="K232" i="1" s="1"/>
  <c r="CT231" i="1"/>
  <c r="R231" i="1"/>
  <c r="Q231" i="1"/>
  <c r="P231" i="1"/>
  <c r="O231" i="1"/>
  <c r="H231" i="1"/>
  <c r="K231" i="1" s="1"/>
  <c r="CT230" i="1"/>
  <c r="R230" i="1"/>
  <c r="Q230" i="1"/>
  <c r="P230" i="1"/>
  <c r="O230" i="1"/>
  <c r="H230" i="1"/>
  <c r="K230" i="1" s="1"/>
  <c r="CT229" i="1"/>
  <c r="R229" i="1"/>
  <c r="Q229" i="1"/>
  <c r="P229" i="1"/>
  <c r="O229" i="1"/>
  <c r="H229" i="1"/>
  <c r="N229" i="1" s="1"/>
  <c r="CT228" i="1"/>
  <c r="R228" i="1"/>
  <c r="Q228" i="1"/>
  <c r="P228" i="1"/>
  <c r="O228" i="1"/>
  <c r="H228" i="1"/>
  <c r="N228" i="1" s="1"/>
  <c r="CT227" i="1"/>
  <c r="R227" i="1"/>
  <c r="Q227" i="1"/>
  <c r="P227" i="1"/>
  <c r="O227" i="1"/>
  <c r="H227" i="1"/>
  <c r="N227" i="1" s="1"/>
  <c r="CT226" i="1"/>
  <c r="R226" i="1"/>
  <c r="Q226" i="1"/>
  <c r="P226" i="1"/>
  <c r="O226" i="1"/>
  <c r="H226" i="1"/>
  <c r="N226" i="1" s="1"/>
  <c r="CT285" i="1"/>
  <c r="R285" i="1"/>
  <c r="Q285" i="1"/>
  <c r="P285" i="1"/>
  <c r="O285" i="1"/>
  <c r="H285" i="1"/>
  <c r="N285" i="1" s="1"/>
  <c r="CT284" i="1"/>
  <c r="R284" i="1"/>
  <c r="Q284" i="1"/>
  <c r="P284" i="1"/>
  <c r="O284" i="1"/>
  <c r="H284" i="1"/>
  <c r="CT283" i="1"/>
  <c r="R283" i="1"/>
  <c r="Q283" i="1"/>
  <c r="P283" i="1"/>
  <c r="O283" i="1"/>
  <c r="H283" i="1"/>
  <c r="CT282" i="1"/>
  <c r="R282" i="1"/>
  <c r="Q282" i="1"/>
  <c r="P282" i="1"/>
  <c r="O282" i="1"/>
  <c r="H282" i="1"/>
  <c r="K282" i="1" s="1"/>
  <c r="CT281" i="1"/>
  <c r="R281" i="1"/>
  <c r="Q281" i="1"/>
  <c r="P281" i="1"/>
  <c r="O281" i="1"/>
  <c r="H281" i="1"/>
  <c r="K281" i="1" s="1"/>
  <c r="CT280" i="1"/>
  <c r="R280" i="1"/>
  <c r="Q280" i="1"/>
  <c r="P280" i="1"/>
  <c r="O280" i="1"/>
  <c r="H280" i="1"/>
  <c r="L280" i="1" s="1"/>
  <c r="CT279" i="1"/>
  <c r="R279" i="1"/>
  <c r="Q279" i="1"/>
  <c r="P279" i="1"/>
  <c r="O279" i="1"/>
  <c r="H279" i="1"/>
  <c r="M279" i="1" s="1"/>
  <c r="CT278" i="1"/>
  <c r="R278" i="1"/>
  <c r="Q278" i="1"/>
  <c r="P278" i="1"/>
  <c r="O278" i="1"/>
  <c r="H278" i="1"/>
  <c r="N278" i="1" s="1"/>
  <c r="CT277" i="1"/>
  <c r="R277" i="1"/>
  <c r="Q277" i="1"/>
  <c r="P277" i="1"/>
  <c r="O277" i="1"/>
  <c r="H277" i="1"/>
  <c r="M277" i="1" s="1"/>
  <c r="CT276" i="1"/>
  <c r="R276" i="1"/>
  <c r="Q276" i="1"/>
  <c r="P276" i="1"/>
  <c r="O276" i="1"/>
  <c r="H276" i="1"/>
  <c r="CT275" i="1"/>
  <c r="R275" i="1"/>
  <c r="Q275" i="1"/>
  <c r="P275" i="1"/>
  <c r="O275" i="1"/>
  <c r="H275" i="1"/>
  <c r="CT274" i="1"/>
  <c r="R274" i="1"/>
  <c r="Q274" i="1"/>
  <c r="P274" i="1"/>
  <c r="O274" i="1"/>
  <c r="H274" i="1"/>
  <c r="L274" i="1" s="1"/>
  <c r="CT273" i="1"/>
  <c r="R273" i="1"/>
  <c r="Q273" i="1"/>
  <c r="P273" i="1"/>
  <c r="O273" i="1"/>
  <c r="H273" i="1"/>
  <c r="CT272" i="1"/>
  <c r="R272" i="1"/>
  <c r="Q272" i="1"/>
  <c r="P272" i="1"/>
  <c r="O272" i="1"/>
  <c r="H272" i="1"/>
  <c r="CT271" i="1"/>
  <c r="R271" i="1"/>
  <c r="Q271" i="1"/>
  <c r="P271" i="1"/>
  <c r="O271" i="1"/>
  <c r="H271" i="1"/>
  <c r="L271" i="1" s="1"/>
  <c r="CT270" i="1"/>
  <c r="R270" i="1"/>
  <c r="Q270" i="1"/>
  <c r="P270" i="1"/>
  <c r="O270" i="1"/>
  <c r="H270" i="1"/>
  <c r="L270" i="1" s="1"/>
  <c r="CT269" i="1"/>
  <c r="R269" i="1"/>
  <c r="Q269" i="1"/>
  <c r="P269" i="1"/>
  <c r="O269" i="1"/>
  <c r="H269" i="1"/>
  <c r="L269" i="1" s="1"/>
  <c r="CT268" i="1"/>
  <c r="R268" i="1"/>
  <c r="Q268" i="1"/>
  <c r="P268" i="1"/>
  <c r="O268" i="1"/>
  <c r="H268" i="1"/>
  <c r="N268" i="1" s="1"/>
  <c r="CT267" i="1"/>
  <c r="R267" i="1"/>
  <c r="Q267" i="1"/>
  <c r="P267" i="1"/>
  <c r="O267" i="1"/>
  <c r="H267" i="1"/>
  <c r="N267" i="1" s="1"/>
  <c r="CT266" i="1"/>
  <c r="R266" i="1"/>
  <c r="Q266" i="1"/>
  <c r="P266" i="1"/>
  <c r="O266" i="1"/>
  <c r="H266" i="1"/>
  <c r="N266" i="1" s="1"/>
  <c r="CT265" i="1"/>
  <c r="R265" i="1"/>
  <c r="Q265" i="1"/>
  <c r="P265" i="1"/>
  <c r="O265" i="1"/>
  <c r="H265" i="1"/>
  <c r="N265" i="1" s="1"/>
  <c r="CT264" i="1"/>
  <c r="R264" i="1"/>
  <c r="Q264" i="1"/>
  <c r="P264" i="1"/>
  <c r="O264" i="1"/>
  <c r="H264" i="1"/>
  <c r="N264" i="1" s="1"/>
  <c r="CT263" i="1"/>
  <c r="R263" i="1"/>
  <c r="Q263" i="1"/>
  <c r="P263" i="1"/>
  <c r="O263" i="1"/>
  <c r="H263" i="1"/>
  <c r="L263" i="1" s="1"/>
  <c r="CT262" i="1"/>
  <c r="R262" i="1"/>
  <c r="Q262" i="1"/>
  <c r="P262" i="1"/>
  <c r="O262" i="1"/>
  <c r="H262" i="1"/>
  <c r="N262" i="1" s="1"/>
  <c r="CT261" i="1"/>
  <c r="R261" i="1"/>
  <c r="Q261" i="1"/>
  <c r="P261" i="1"/>
  <c r="O261" i="1"/>
  <c r="H261" i="1"/>
  <c r="N261" i="1" s="1"/>
  <c r="CT260" i="1"/>
  <c r="R260" i="1"/>
  <c r="Q260" i="1"/>
  <c r="P260" i="1"/>
  <c r="O260" i="1"/>
  <c r="H260" i="1"/>
  <c r="N260" i="1" s="1"/>
  <c r="CT259" i="1"/>
  <c r="R259" i="1"/>
  <c r="Q259" i="1"/>
  <c r="P259" i="1"/>
  <c r="O259" i="1"/>
  <c r="H259" i="1"/>
  <c r="N259" i="1" s="1"/>
  <c r="CT258" i="1"/>
  <c r="R258" i="1"/>
  <c r="Q258" i="1"/>
  <c r="P258" i="1"/>
  <c r="O258" i="1"/>
  <c r="H258" i="1"/>
  <c r="L258" i="1" s="1"/>
  <c r="CT257" i="1"/>
  <c r="R257" i="1"/>
  <c r="Q257" i="1"/>
  <c r="P257" i="1"/>
  <c r="O257" i="1"/>
  <c r="H257" i="1"/>
  <c r="N257" i="1" s="1"/>
  <c r="CT256" i="1"/>
  <c r="R256" i="1"/>
  <c r="Q256" i="1"/>
  <c r="P256" i="1"/>
  <c r="O256" i="1"/>
  <c r="H256" i="1"/>
  <c r="N256" i="1" s="1"/>
  <c r="AE256" i="1" s="1"/>
  <c r="CT315" i="1"/>
  <c r="R315" i="1"/>
  <c r="Q315" i="1"/>
  <c r="P315" i="1"/>
  <c r="O315" i="1"/>
  <c r="H315" i="1"/>
  <c r="N315" i="1" s="1"/>
  <c r="CT314" i="1"/>
  <c r="R314" i="1"/>
  <c r="Q314" i="1"/>
  <c r="P314" i="1"/>
  <c r="O314" i="1"/>
  <c r="H314" i="1"/>
  <c r="N314" i="1" s="1"/>
  <c r="CT313" i="1"/>
  <c r="R313" i="1"/>
  <c r="Q313" i="1"/>
  <c r="P313" i="1"/>
  <c r="O313" i="1"/>
  <c r="H313" i="1"/>
  <c r="L313" i="1" s="1"/>
  <c r="CT312" i="1"/>
  <c r="R312" i="1"/>
  <c r="Q312" i="1"/>
  <c r="P312" i="1"/>
  <c r="O312" i="1"/>
  <c r="H312" i="1"/>
  <c r="L312" i="1" s="1"/>
  <c r="CT311" i="1"/>
  <c r="R311" i="1"/>
  <c r="Q311" i="1"/>
  <c r="P311" i="1"/>
  <c r="O311" i="1"/>
  <c r="H311" i="1"/>
  <c r="CT310" i="1"/>
  <c r="R310" i="1"/>
  <c r="Q310" i="1"/>
  <c r="P310" i="1"/>
  <c r="O310" i="1"/>
  <c r="H310" i="1"/>
  <c r="K310" i="1" s="1"/>
  <c r="CT309" i="1"/>
  <c r="R309" i="1"/>
  <c r="Q309" i="1"/>
  <c r="P309" i="1"/>
  <c r="O309" i="1"/>
  <c r="H309" i="1"/>
  <c r="M309" i="1" s="1"/>
  <c r="CT308" i="1"/>
  <c r="R308" i="1"/>
  <c r="Q308" i="1"/>
  <c r="P308" i="1"/>
  <c r="O308" i="1"/>
  <c r="H308" i="1"/>
  <c r="K308" i="1" s="1"/>
  <c r="CT307" i="1"/>
  <c r="R307" i="1"/>
  <c r="Q307" i="1"/>
  <c r="P307" i="1"/>
  <c r="O307" i="1"/>
  <c r="H307" i="1"/>
  <c r="K307" i="1" s="1"/>
  <c r="CT306" i="1"/>
  <c r="R306" i="1"/>
  <c r="Q306" i="1"/>
  <c r="P306" i="1"/>
  <c r="O306" i="1"/>
  <c r="H306" i="1"/>
  <c r="N306" i="1" s="1"/>
  <c r="CT305" i="1"/>
  <c r="R305" i="1"/>
  <c r="Q305" i="1"/>
  <c r="P305" i="1"/>
  <c r="O305" i="1"/>
  <c r="H305" i="1"/>
  <c r="CT304" i="1"/>
  <c r="R304" i="1"/>
  <c r="Q304" i="1"/>
  <c r="P304" i="1"/>
  <c r="O304" i="1"/>
  <c r="H304" i="1"/>
  <c r="K304" i="1" s="1"/>
  <c r="CT303" i="1"/>
  <c r="R303" i="1"/>
  <c r="Q303" i="1"/>
  <c r="P303" i="1"/>
  <c r="O303" i="1"/>
  <c r="H303" i="1"/>
  <c r="N303" i="1" s="1"/>
  <c r="CT302" i="1"/>
  <c r="R302" i="1"/>
  <c r="Q302" i="1"/>
  <c r="P302" i="1"/>
  <c r="O302" i="1"/>
  <c r="H302" i="1"/>
  <c r="N302" i="1" s="1"/>
  <c r="CT301" i="1"/>
  <c r="R301" i="1"/>
  <c r="Q301" i="1"/>
  <c r="P301" i="1"/>
  <c r="O301" i="1"/>
  <c r="H301" i="1"/>
  <c r="CT300" i="1"/>
  <c r="R300" i="1"/>
  <c r="Q300" i="1"/>
  <c r="P300" i="1"/>
  <c r="O300" i="1"/>
  <c r="H300" i="1"/>
  <c r="CT299" i="1"/>
  <c r="R299" i="1"/>
  <c r="Q299" i="1"/>
  <c r="P299" i="1"/>
  <c r="O299" i="1"/>
  <c r="H299" i="1"/>
  <c r="N299" i="1" s="1"/>
  <c r="CT298" i="1"/>
  <c r="R298" i="1"/>
  <c r="Q298" i="1"/>
  <c r="P298" i="1"/>
  <c r="O298" i="1"/>
  <c r="H298" i="1"/>
  <c r="K298" i="1" s="1"/>
  <c r="CT297" i="1"/>
  <c r="R297" i="1"/>
  <c r="Q297" i="1"/>
  <c r="P297" i="1"/>
  <c r="O297" i="1"/>
  <c r="H297" i="1"/>
  <c r="M297" i="1" s="1"/>
  <c r="CT296" i="1"/>
  <c r="R296" i="1"/>
  <c r="Q296" i="1"/>
  <c r="P296" i="1"/>
  <c r="O296" i="1"/>
  <c r="H296" i="1"/>
  <c r="N296" i="1" s="1"/>
  <c r="CT295" i="1"/>
  <c r="R295" i="1"/>
  <c r="Q295" i="1"/>
  <c r="P295" i="1"/>
  <c r="O295" i="1"/>
  <c r="H295" i="1"/>
  <c r="K295" i="1" s="1"/>
  <c r="CT294" i="1"/>
  <c r="R294" i="1"/>
  <c r="Q294" i="1"/>
  <c r="P294" i="1"/>
  <c r="O294" i="1"/>
  <c r="H294" i="1"/>
  <c r="N294" i="1" s="1"/>
  <c r="CT293" i="1"/>
  <c r="R293" i="1"/>
  <c r="Q293" i="1"/>
  <c r="P293" i="1"/>
  <c r="O293" i="1"/>
  <c r="H293" i="1"/>
  <c r="N293" i="1" s="1"/>
  <c r="CT292" i="1"/>
  <c r="R292" i="1"/>
  <c r="Q292" i="1"/>
  <c r="P292" i="1"/>
  <c r="O292" i="1"/>
  <c r="H292" i="1"/>
  <c r="N292" i="1" s="1"/>
  <c r="CT291" i="1"/>
  <c r="R291" i="1"/>
  <c r="Q291" i="1"/>
  <c r="P291" i="1"/>
  <c r="O291" i="1"/>
  <c r="H291" i="1"/>
  <c r="K291" i="1" s="1"/>
  <c r="CT290" i="1"/>
  <c r="R290" i="1"/>
  <c r="Q290" i="1"/>
  <c r="P290" i="1"/>
  <c r="O290" i="1"/>
  <c r="H290" i="1"/>
  <c r="L290" i="1" s="1"/>
  <c r="CT289" i="1"/>
  <c r="R289" i="1"/>
  <c r="Q289" i="1"/>
  <c r="P289" i="1"/>
  <c r="O289" i="1"/>
  <c r="H289" i="1"/>
  <c r="N289" i="1" s="1"/>
  <c r="CT288" i="1"/>
  <c r="R288" i="1"/>
  <c r="Q288" i="1"/>
  <c r="P288" i="1"/>
  <c r="O288" i="1"/>
  <c r="H288" i="1"/>
  <c r="M288" i="1" s="1"/>
  <c r="CT287" i="1"/>
  <c r="R287" i="1"/>
  <c r="Q287" i="1"/>
  <c r="P287" i="1"/>
  <c r="O287" i="1"/>
  <c r="H287" i="1"/>
  <c r="N287" i="1" s="1"/>
  <c r="CT286" i="1"/>
  <c r="R286" i="1"/>
  <c r="Q286" i="1"/>
  <c r="P286" i="1"/>
  <c r="O286" i="1"/>
  <c r="H286" i="1"/>
  <c r="N286" i="1" s="1"/>
  <c r="CT345" i="1"/>
  <c r="R345" i="1"/>
  <c r="Q345" i="1"/>
  <c r="P345" i="1"/>
  <c r="O345" i="1"/>
  <c r="H345" i="1"/>
  <c r="L345" i="1" s="1"/>
  <c r="CT344" i="1"/>
  <c r="R344" i="1"/>
  <c r="Q344" i="1"/>
  <c r="P344" i="1"/>
  <c r="O344" i="1"/>
  <c r="H344" i="1"/>
  <c r="N344" i="1" s="1"/>
  <c r="CT343" i="1"/>
  <c r="R343" i="1"/>
  <c r="Q343" i="1"/>
  <c r="P343" i="1"/>
  <c r="O343" i="1"/>
  <c r="H343" i="1"/>
  <c r="L343" i="1" s="1"/>
  <c r="CT342" i="1"/>
  <c r="R342" i="1"/>
  <c r="Q342" i="1"/>
  <c r="P342" i="1"/>
  <c r="O342" i="1"/>
  <c r="H342" i="1"/>
  <c r="L342" i="1" s="1"/>
  <c r="CT341" i="1"/>
  <c r="R341" i="1"/>
  <c r="Q341" i="1"/>
  <c r="P341" i="1"/>
  <c r="O341" i="1"/>
  <c r="H341" i="1"/>
  <c r="L341" i="1" s="1"/>
  <c r="CT340" i="1"/>
  <c r="R340" i="1"/>
  <c r="Q340" i="1"/>
  <c r="P340" i="1"/>
  <c r="O340" i="1"/>
  <c r="H340" i="1"/>
  <c r="K340" i="1" s="1"/>
  <c r="CT339" i="1"/>
  <c r="R339" i="1"/>
  <c r="Q339" i="1"/>
  <c r="P339" i="1"/>
  <c r="O339" i="1"/>
  <c r="H339" i="1"/>
  <c r="L339" i="1" s="1"/>
  <c r="CT338" i="1"/>
  <c r="R338" i="1"/>
  <c r="Q338" i="1"/>
  <c r="P338" i="1"/>
  <c r="O338" i="1"/>
  <c r="H338" i="1"/>
  <c r="N338" i="1" s="1"/>
  <c r="CT337" i="1"/>
  <c r="R337" i="1"/>
  <c r="Q337" i="1"/>
  <c r="P337" i="1"/>
  <c r="O337" i="1"/>
  <c r="H337" i="1"/>
  <c r="L337" i="1" s="1"/>
  <c r="CT336" i="1"/>
  <c r="R336" i="1"/>
  <c r="Q336" i="1"/>
  <c r="P336" i="1"/>
  <c r="O336" i="1"/>
  <c r="H336" i="1"/>
  <c r="N336" i="1" s="1"/>
  <c r="CT335" i="1"/>
  <c r="R335" i="1"/>
  <c r="Q335" i="1"/>
  <c r="P335" i="1"/>
  <c r="O335" i="1"/>
  <c r="H335" i="1"/>
  <c r="L335" i="1" s="1"/>
  <c r="CT334" i="1"/>
  <c r="R334" i="1"/>
  <c r="Q334" i="1"/>
  <c r="P334" i="1"/>
  <c r="O334" i="1"/>
  <c r="H334" i="1"/>
  <c r="N334" i="1" s="1"/>
  <c r="CT333" i="1"/>
  <c r="R333" i="1"/>
  <c r="Q333" i="1"/>
  <c r="P333" i="1"/>
  <c r="O333" i="1"/>
  <c r="H333" i="1"/>
  <c r="L333" i="1" s="1"/>
  <c r="CT332" i="1"/>
  <c r="R332" i="1"/>
  <c r="Q332" i="1"/>
  <c r="P332" i="1"/>
  <c r="O332" i="1"/>
  <c r="H332" i="1"/>
  <c r="L332" i="1" s="1"/>
  <c r="CT331" i="1"/>
  <c r="R331" i="1"/>
  <c r="Q331" i="1"/>
  <c r="P331" i="1"/>
  <c r="O331" i="1"/>
  <c r="H331" i="1"/>
  <c r="CT330" i="1"/>
  <c r="R330" i="1"/>
  <c r="Q330" i="1"/>
  <c r="P330" i="1"/>
  <c r="O330" i="1"/>
  <c r="H330" i="1"/>
  <c r="L330" i="1" s="1"/>
  <c r="CT329" i="1"/>
  <c r="R329" i="1"/>
  <c r="Q329" i="1"/>
  <c r="P329" i="1"/>
  <c r="O329" i="1"/>
  <c r="H329" i="1"/>
  <c r="CT328" i="1"/>
  <c r="R328" i="1"/>
  <c r="Q328" i="1"/>
  <c r="P328" i="1"/>
  <c r="O328" i="1"/>
  <c r="H328" i="1"/>
  <c r="L328" i="1" s="1"/>
  <c r="CT327" i="1"/>
  <c r="R327" i="1"/>
  <c r="Q327" i="1"/>
  <c r="P327" i="1"/>
  <c r="O327" i="1"/>
  <c r="H327" i="1"/>
  <c r="K327" i="1" s="1"/>
  <c r="CT326" i="1"/>
  <c r="R326" i="1"/>
  <c r="Q326" i="1"/>
  <c r="P326" i="1"/>
  <c r="O326" i="1"/>
  <c r="H326" i="1"/>
  <c r="CT325" i="1"/>
  <c r="R325" i="1"/>
  <c r="Q325" i="1"/>
  <c r="P325" i="1"/>
  <c r="O325" i="1"/>
  <c r="H325" i="1"/>
  <c r="M325" i="1" s="1"/>
  <c r="CT324" i="1"/>
  <c r="R324" i="1"/>
  <c r="Q324" i="1"/>
  <c r="P324" i="1"/>
  <c r="O324" i="1"/>
  <c r="H324" i="1"/>
  <c r="CT323" i="1"/>
  <c r="R323" i="1"/>
  <c r="Q323" i="1"/>
  <c r="P323" i="1"/>
  <c r="O323" i="1"/>
  <c r="H323" i="1"/>
  <c r="N323" i="1" s="1"/>
  <c r="CT322" i="1"/>
  <c r="R322" i="1"/>
  <c r="Q322" i="1"/>
  <c r="P322" i="1"/>
  <c r="O322" i="1"/>
  <c r="H322" i="1"/>
  <c r="L322" i="1" s="1"/>
  <c r="CT321" i="1"/>
  <c r="R321" i="1"/>
  <c r="Q321" i="1"/>
  <c r="P321" i="1"/>
  <c r="O321" i="1"/>
  <c r="H321" i="1"/>
  <c r="N321" i="1" s="1"/>
  <c r="CT320" i="1"/>
  <c r="R320" i="1"/>
  <c r="Q320" i="1"/>
  <c r="P320" i="1"/>
  <c r="O320" i="1"/>
  <c r="H320" i="1"/>
  <c r="L320" i="1" s="1"/>
  <c r="CT319" i="1"/>
  <c r="R319" i="1"/>
  <c r="Q319" i="1"/>
  <c r="P319" i="1"/>
  <c r="O319" i="1"/>
  <c r="H319" i="1"/>
  <c r="N319" i="1" s="1"/>
  <c r="CT318" i="1"/>
  <c r="R318" i="1"/>
  <c r="Q318" i="1"/>
  <c r="P318" i="1"/>
  <c r="O318" i="1"/>
  <c r="H318" i="1"/>
  <c r="CT317" i="1"/>
  <c r="R317" i="1"/>
  <c r="Q317" i="1"/>
  <c r="P317" i="1"/>
  <c r="O317" i="1"/>
  <c r="H317" i="1"/>
  <c r="N317" i="1" s="1"/>
  <c r="CT316" i="1"/>
  <c r="R316" i="1"/>
  <c r="Q316" i="1"/>
  <c r="P316" i="1"/>
  <c r="O316" i="1"/>
  <c r="H316" i="1"/>
  <c r="M316" i="1" s="1"/>
  <c r="CT375" i="1"/>
  <c r="R375" i="1"/>
  <c r="Q375" i="1"/>
  <c r="P375" i="1"/>
  <c r="O375" i="1"/>
  <c r="H375" i="1"/>
  <c r="N375" i="1" s="1"/>
  <c r="CT374" i="1"/>
  <c r="R374" i="1"/>
  <c r="Q374" i="1"/>
  <c r="P374" i="1"/>
  <c r="O374" i="1"/>
  <c r="H374" i="1"/>
  <c r="CT373" i="1"/>
  <c r="R373" i="1"/>
  <c r="Q373" i="1"/>
  <c r="P373" i="1"/>
  <c r="O373" i="1"/>
  <c r="H373" i="1"/>
  <c r="N373" i="1" s="1"/>
  <c r="CT372" i="1"/>
  <c r="R372" i="1"/>
  <c r="Q372" i="1"/>
  <c r="P372" i="1"/>
  <c r="O372" i="1"/>
  <c r="H372" i="1"/>
  <c r="CT371" i="1"/>
  <c r="R371" i="1"/>
  <c r="Q371" i="1"/>
  <c r="P371" i="1"/>
  <c r="O371" i="1"/>
  <c r="H371" i="1"/>
  <c r="K371" i="1" s="1"/>
  <c r="CT370" i="1"/>
  <c r="R370" i="1"/>
  <c r="Q370" i="1"/>
  <c r="P370" i="1"/>
  <c r="O370" i="1"/>
  <c r="H370" i="1"/>
  <c r="M370" i="1" s="1"/>
  <c r="CT369" i="1"/>
  <c r="R369" i="1"/>
  <c r="Q369" i="1"/>
  <c r="P369" i="1"/>
  <c r="O369" i="1"/>
  <c r="H369" i="1"/>
  <c r="K369" i="1" s="1"/>
  <c r="CT368" i="1"/>
  <c r="R368" i="1"/>
  <c r="Q368" i="1"/>
  <c r="P368" i="1"/>
  <c r="O368" i="1"/>
  <c r="H368" i="1"/>
  <c r="CT367" i="1"/>
  <c r="R367" i="1"/>
  <c r="Q367" i="1"/>
  <c r="P367" i="1"/>
  <c r="O367" i="1"/>
  <c r="H367" i="1"/>
  <c r="K367" i="1" s="1"/>
  <c r="CT366" i="1"/>
  <c r="R366" i="1"/>
  <c r="Q366" i="1"/>
  <c r="P366" i="1"/>
  <c r="O366" i="1"/>
  <c r="H366" i="1"/>
  <c r="CT365" i="1"/>
  <c r="R365" i="1"/>
  <c r="Q365" i="1"/>
  <c r="P365" i="1"/>
  <c r="O365" i="1"/>
  <c r="H365" i="1"/>
  <c r="K365" i="1" s="1"/>
  <c r="CT364" i="1"/>
  <c r="R364" i="1"/>
  <c r="Q364" i="1"/>
  <c r="P364" i="1"/>
  <c r="O364" i="1"/>
  <c r="H364" i="1"/>
  <c r="K364" i="1" s="1"/>
  <c r="CT363" i="1"/>
  <c r="R363" i="1"/>
  <c r="Q363" i="1"/>
  <c r="P363" i="1"/>
  <c r="O363" i="1"/>
  <c r="H363" i="1"/>
  <c r="K363" i="1" s="1"/>
  <c r="CT362" i="1"/>
  <c r="R362" i="1"/>
  <c r="Q362" i="1"/>
  <c r="P362" i="1"/>
  <c r="O362" i="1"/>
  <c r="H362" i="1"/>
  <c r="CT361" i="1"/>
  <c r="R361" i="1"/>
  <c r="Q361" i="1"/>
  <c r="P361" i="1"/>
  <c r="O361" i="1"/>
  <c r="H361" i="1"/>
  <c r="L361" i="1" s="1"/>
  <c r="CT360" i="1"/>
  <c r="R360" i="1"/>
  <c r="Q360" i="1"/>
  <c r="P360" i="1"/>
  <c r="O360" i="1"/>
  <c r="H360" i="1"/>
  <c r="CT359" i="1"/>
  <c r="R359" i="1"/>
  <c r="Q359" i="1"/>
  <c r="P359" i="1"/>
  <c r="O359" i="1"/>
  <c r="H359" i="1"/>
  <c r="M359" i="1" s="1"/>
  <c r="CT358" i="1"/>
  <c r="R358" i="1"/>
  <c r="Q358" i="1"/>
  <c r="P358" i="1"/>
  <c r="O358" i="1"/>
  <c r="H358" i="1"/>
  <c r="M358" i="1" s="1"/>
  <c r="CT357" i="1"/>
  <c r="R357" i="1"/>
  <c r="Q357" i="1"/>
  <c r="P357" i="1"/>
  <c r="O357" i="1"/>
  <c r="H357" i="1"/>
  <c r="CT356" i="1"/>
  <c r="R356" i="1"/>
  <c r="Q356" i="1"/>
  <c r="P356" i="1"/>
  <c r="O356" i="1"/>
  <c r="H356" i="1"/>
  <c r="L356" i="1" s="1"/>
  <c r="CT355" i="1"/>
  <c r="R355" i="1"/>
  <c r="Q355" i="1"/>
  <c r="P355" i="1"/>
  <c r="O355" i="1"/>
  <c r="H355" i="1"/>
  <c r="N355" i="1" s="1"/>
  <c r="CT354" i="1"/>
  <c r="R354" i="1"/>
  <c r="Q354" i="1"/>
  <c r="P354" i="1"/>
  <c r="O354" i="1"/>
  <c r="H354" i="1"/>
  <c r="N354" i="1" s="1"/>
  <c r="CT353" i="1"/>
  <c r="R353" i="1"/>
  <c r="Q353" i="1"/>
  <c r="P353" i="1"/>
  <c r="O353" i="1"/>
  <c r="H353" i="1"/>
  <c r="K353" i="1" s="1"/>
  <c r="CT352" i="1"/>
  <c r="R352" i="1"/>
  <c r="Q352" i="1"/>
  <c r="P352" i="1"/>
  <c r="O352" i="1"/>
  <c r="H352" i="1"/>
  <c r="K352" i="1" s="1"/>
  <c r="CT351" i="1"/>
  <c r="R351" i="1"/>
  <c r="Q351" i="1"/>
  <c r="P351" i="1"/>
  <c r="O351" i="1"/>
  <c r="H351" i="1"/>
  <c r="CT350" i="1"/>
  <c r="R350" i="1"/>
  <c r="Q350" i="1"/>
  <c r="P350" i="1"/>
  <c r="O350" i="1"/>
  <c r="H350" i="1"/>
  <c r="N350" i="1" s="1"/>
  <c r="CT349" i="1"/>
  <c r="R349" i="1"/>
  <c r="Q349" i="1"/>
  <c r="P349" i="1"/>
  <c r="O349" i="1"/>
  <c r="H349" i="1"/>
  <c r="N349" i="1" s="1"/>
  <c r="CT348" i="1"/>
  <c r="R348" i="1"/>
  <c r="Q348" i="1"/>
  <c r="P348" i="1"/>
  <c r="O348" i="1"/>
  <c r="H348" i="1"/>
  <c r="N348" i="1" s="1"/>
  <c r="CT347" i="1"/>
  <c r="R347" i="1"/>
  <c r="Q347" i="1"/>
  <c r="P347" i="1"/>
  <c r="O347" i="1"/>
  <c r="H347" i="1"/>
  <c r="K347" i="1" s="1"/>
  <c r="CT346" i="1"/>
  <c r="R346" i="1"/>
  <c r="Q346" i="1"/>
  <c r="P346" i="1"/>
  <c r="O346" i="1"/>
  <c r="H346" i="1"/>
  <c r="N346" i="1" s="1"/>
  <c r="CT405" i="1"/>
  <c r="R405" i="1"/>
  <c r="Q405" i="1"/>
  <c r="P405" i="1"/>
  <c r="O405" i="1"/>
  <c r="H405" i="1"/>
  <c r="N405" i="1" s="1"/>
  <c r="CT404" i="1"/>
  <c r="R404" i="1"/>
  <c r="Q404" i="1"/>
  <c r="P404" i="1"/>
  <c r="O404" i="1"/>
  <c r="H404" i="1"/>
  <c r="CT403" i="1"/>
  <c r="R403" i="1"/>
  <c r="Q403" i="1"/>
  <c r="P403" i="1"/>
  <c r="O403" i="1"/>
  <c r="H403" i="1"/>
  <c r="L403" i="1" s="1"/>
  <c r="CT402" i="1"/>
  <c r="R402" i="1"/>
  <c r="Q402" i="1"/>
  <c r="P402" i="1"/>
  <c r="O402" i="1"/>
  <c r="H402" i="1"/>
  <c r="CT401" i="1"/>
  <c r="R401" i="1"/>
  <c r="Q401" i="1"/>
  <c r="P401" i="1"/>
  <c r="O401" i="1"/>
  <c r="H401" i="1"/>
  <c r="K401" i="1" s="1"/>
  <c r="CT400" i="1"/>
  <c r="R400" i="1"/>
  <c r="Q400" i="1"/>
  <c r="P400" i="1"/>
  <c r="O400" i="1"/>
  <c r="H400" i="1"/>
  <c r="M400" i="1" s="1"/>
  <c r="CT399" i="1"/>
  <c r="R399" i="1"/>
  <c r="Q399" i="1"/>
  <c r="P399" i="1"/>
  <c r="O399" i="1"/>
  <c r="H399" i="1"/>
  <c r="M399" i="1" s="1"/>
  <c r="CT398" i="1"/>
  <c r="R398" i="1"/>
  <c r="Q398" i="1"/>
  <c r="P398" i="1"/>
  <c r="O398" i="1"/>
  <c r="H398" i="1"/>
  <c r="N398" i="1" s="1"/>
  <c r="CT397" i="1"/>
  <c r="R397" i="1"/>
  <c r="Q397" i="1"/>
  <c r="P397" i="1"/>
  <c r="O397" i="1"/>
  <c r="H397" i="1"/>
  <c r="K397" i="1" s="1"/>
  <c r="CT396" i="1"/>
  <c r="R396" i="1"/>
  <c r="Q396" i="1"/>
  <c r="P396" i="1"/>
  <c r="O396" i="1"/>
  <c r="H396" i="1"/>
  <c r="K396" i="1" s="1"/>
  <c r="CT395" i="1"/>
  <c r="R395" i="1"/>
  <c r="Q395" i="1"/>
  <c r="P395" i="1"/>
  <c r="O395" i="1"/>
  <c r="H395" i="1"/>
  <c r="K395" i="1" s="1"/>
  <c r="CT394" i="1"/>
  <c r="R394" i="1"/>
  <c r="Q394" i="1"/>
  <c r="P394" i="1"/>
  <c r="O394" i="1"/>
  <c r="H394" i="1"/>
  <c r="CT393" i="1"/>
  <c r="R393" i="1"/>
  <c r="Q393" i="1"/>
  <c r="P393" i="1"/>
  <c r="O393" i="1"/>
  <c r="H393" i="1"/>
  <c r="K393" i="1" s="1"/>
  <c r="CT392" i="1"/>
  <c r="R392" i="1"/>
  <c r="Q392" i="1"/>
  <c r="P392" i="1"/>
  <c r="O392" i="1"/>
  <c r="H392" i="1"/>
  <c r="K392" i="1" s="1"/>
  <c r="CT391" i="1"/>
  <c r="R391" i="1"/>
  <c r="Q391" i="1"/>
  <c r="P391" i="1"/>
  <c r="O391" i="1"/>
  <c r="H391" i="1"/>
  <c r="CT390" i="1"/>
  <c r="R390" i="1"/>
  <c r="Q390" i="1"/>
  <c r="P390" i="1"/>
  <c r="O390" i="1"/>
  <c r="H390" i="1"/>
  <c r="CT389" i="1"/>
  <c r="R389" i="1"/>
  <c r="Q389" i="1"/>
  <c r="P389" i="1"/>
  <c r="O389" i="1"/>
  <c r="H389" i="1"/>
  <c r="M389" i="1" s="1"/>
  <c r="CT388" i="1"/>
  <c r="R388" i="1"/>
  <c r="Q388" i="1"/>
  <c r="P388" i="1"/>
  <c r="O388" i="1"/>
  <c r="H388" i="1"/>
  <c r="K388" i="1" s="1"/>
  <c r="CT387" i="1"/>
  <c r="R387" i="1"/>
  <c r="Q387" i="1"/>
  <c r="P387" i="1"/>
  <c r="O387" i="1"/>
  <c r="H387" i="1"/>
  <c r="L387" i="1" s="1"/>
  <c r="CT386" i="1"/>
  <c r="R386" i="1"/>
  <c r="Q386" i="1"/>
  <c r="P386" i="1"/>
  <c r="O386" i="1"/>
  <c r="H386" i="1"/>
  <c r="N386" i="1" s="1"/>
  <c r="CT385" i="1"/>
  <c r="R385" i="1"/>
  <c r="Q385" i="1"/>
  <c r="P385" i="1"/>
  <c r="O385" i="1"/>
  <c r="H385" i="1"/>
  <c r="N385" i="1" s="1"/>
  <c r="CT384" i="1"/>
  <c r="R384" i="1"/>
  <c r="Q384" i="1"/>
  <c r="P384" i="1"/>
  <c r="O384" i="1"/>
  <c r="H384" i="1"/>
  <c r="N384" i="1" s="1"/>
  <c r="CT383" i="1"/>
  <c r="R383" i="1"/>
  <c r="Q383" i="1"/>
  <c r="P383" i="1"/>
  <c r="O383" i="1"/>
  <c r="H383" i="1"/>
  <c r="N383" i="1" s="1"/>
  <c r="CT382" i="1"/>
  <c r="R382" i="1"/>
  <c r="Q382" i="1"/>
  <c r="P382" i="1"/>
  <c r="O382" i="1"/>
  <c r="H382" i="1"/>
  <c r="N382" i="1" s="1"/>
  <c r="CT381" i="1"/>
  <c r="R381" i="1"/>
  <c r="Q381" i="1"/>
  <c r="P381" i="1"/>
  <c r="O381" i="1"/>
  <c r="H381" i="1"/>
  <c r="N381" i="1" s="1"/>
  <c r="CT380" i="1"/>
  <c r="R380" i="1"/>
  <c r="Q380" i="1"/>
  <c r="P380" i="1"/>
  <c r="O380" i="1"/>
  <c r="H380" i="1"/>
  <c r="N380" i="1" s="1"/>
  <c r="CT379" i="1"/>
  <c r="R379" i="1"/>
  <c r="Q379" i="1"/>
  <c r="P379" i="1"/>
  <c r="O379" i="1"/>
  <c r="H379" i="1"/>
  <c r="N379" i="1" s="1"/>
  <c r="CT378" i="1"/>
  <c r="R378" i="1"/>
  <c r="Q378" i="1"/>
  <c r="P378" i="1"/>
  <c r="O378" i="1"/>
  <c r="H378" i="1"/>
  <c r="N378" i="1" s="1"/>
  <c r="CT377" i="1"/>
  <c r="R377" i="1"/>
  <c r="Q377" i="1"/>
  <c r="P377" i="1"/>
  <c r="O377" i="1"/>
  <c r="H377" i="1"/>
  <c r="N377" i="1" s="1"/>
  <c r="CT376" i="1"/>
  <c r="R376" i="1"/>
  <c r="Q376" i="1"/>
  <c r="P376" i="1"/>
  <c r="O376" i="1"/>
  <c r="H376" i="1"/>
  <c r="N376" i="1" s="1"/>
  <c r="CT435" i="1"/>
  <c r="R435" i="1"/>
  <c r="Q435" i="1"/>
  <c r="P435" i="1"/>
  <c r="O435" i="1"/>
  <c r="H435" i="1"/>
  <c r="L435" i="1" s="1"/>
  <c r="CT434" i="1"/>
  <c r="R434" i="1"/>
  <c r="Q434" i="1"/>
  <c r="P434" i="1"/>
  <c r="O434" i="1"/>
  <c r="H434" i="1"/>
  <c r="N434" i="1" s="1"/>
  <c r="CT433" i="1"/>
  <c r="R433" i="1"/>
  <c r="Q433" i="1"/>
  <c r="P433" i="1"/>
  <c r="O433" i="1"/>
  <c r="H433" i="1"/>
  <c r="L433" i="1" s="1"/>
  <c r="CT432" i="1"/>
  <c r="R432" i="1"/>
  <c r="Q432" i="1"/>
  <c r="P432" i="1"/>
  <c r="O432" i="1"/>
  <c r="H432" i="1"/>
  <c r="L432" i="1" s="1"/>
  <c r="CT431" i="1"/>
  <c r="R431" i="1"/>
  <c r="Q431" i="1"/>
  <c r="P431" i="1"/>
  <c r="O431" i="1"/>
  <c r="H431" i="1"/>
  <c r="L431" i="1" s="1"/>
  <c r="CT430" i="1"/>
  <c r="R430" i="1"/>
  <c r="Q430" i="1"/>
  <c r="P430" i="1"/>
  <c r="O430" i="1"/>
  <c r="H430" i="1"/>
  <c r="L430" i="1" s="1"/>
  <c r="CT429" i="1"/>
  <c r="R429" i="1"/>
  <c r="Q429" i="1"/>
  <c r="P429" i="1"/>
  <c r="O429" i="1"/>
  <c r="H429" i="1"/>
  <c r="L429" i="1" s="1"/>
  <c r="CT428" i="1"/>
  <c r="R428" i="1"/>
  <c r="Q428" i="1"/>
  <c r="P428" i="1"/>
  <c r="O428" i="1"/>
  <c r="H428" i="1"/>
  <c r="CT427" i="1"/>
  <c r="R427" i="1"/>
  <c r="Q427" i="1"/>
  <c r="P427" i="1"/>
  <c r="O427" i="1"/>
  <c r="H427" i="1"/>
  <c r="N427" i="1" s="1"/>
  <c r="CT426" i="1"/>
  <c r="R426" i="1"/>
  <c r="Q426" i="1"/>
  <c r="P426" i="1"/>
  <c r="O426" i="1"/>
  <c r="H426" i="1"/>
  <c r="N426" i="1" s="1"/>
  <c r="CT425" i="1"/>
  <c r="R425" i="1"/>
  <c r="Q425" i="1"/>
  <c r="P425" i="1"/>
  <c r="O425" i="1"/>
  <c r="H425" i="1"/>
  <c r="L425" i="1" s="1"/>
  <c r="CT424" i="1"/>
  <c r="R424" i="1"/>
  <c r="Q424" i="1"/>
  <c r="P424" i="1"/>
  <c r="O424" i="1"/>
  <c r="H424" i="1"/>
  <c r="N424" i="1" s="1"/>
  <c r="CT423" i="1"/>
  <c r="R423" i="1"/>
  <c r="Q423" i="1"/>
  <c r="P423" i="1"/>
  <c r="O423" i="1"/>
  <c r="H423" i="1"/>
  <c r="N423" i="1" s="1"/>
  <c r="CT422" i="1"/>
  <c r="R422" i="1"/>
  <c r="Q422" i="1"/>
  <c r="P422" i="1"/>
  <c r="O422" i="1"/>
  <c r="H422" i="1"/>
  <c r="N422" i="1" s="1"/>
  <c r="CT421" i="1"/>
  <c r="R421" i="1"/>
  <c r="Q421" i="1"/>
  <c r="P421" i="1"/>
  <c r="O421" i="1"/>
  <c r="H421" i="1"/>
  <c r="L421" i="1" s="1"/>
  <c r="CT420" i="1"/>
  <c r="R420" i="1"/>
  <c r="Q420" i="1"/>
  <c r="P420" i="1"/>
  <c r="O420" i="1"/>
  <c r="H420" i="1"/>
  <c r="N420" i="1" s="1"/>
  <c r="CT419" i="1"/>
  <c r="R419" i="1"/>
  <c r="Q419" i="1"/>
  <c r="P419" i="1"/>
  <c r="O419" i="1"/>
  <c r="H419" i="1"/>
  <c r="L419" i="1" s="1"/>
  <c r="CT418" i="1"/>
  <c r="R418" i="1"/>
  <c r="Q418" i="1"/>
  <c r="P418" i="1"/>
  <c r="O418" i="1"/>
  <c r="H418" i="1"/>
  <c r="CT417" i="1"/>
  <c r="R417" i="1"/>
  <c r="Q417" i="1"/>
  <c r="P417" i="1"/>
  <c r="O417" i="1"/>
  <c r="H417" i="1"/>
  <c r="N417" i="1" s="1"/>
  <c r="CT416" i="1"/>
  <c r="R416" i="1"/>
  <c r="Q416" i="1"/>
  <c r="P416" i="1"/>
  <c r="O416" i="1"/>
  <c r="H416" i="1"/>
  <c r="N416" i="1" s="1"/>
  <c r="CT415" i="1"/>
  <c r="R415" i="1"/>
  <c r="Q415" i="1"/>
  <c r="P415" i="1"/>
  <c r="O415" i="1"/>
  <c r="H415" i="1"/>
  <c r="K415" i="1" s="1"/>
  <c r="CT414" i="1"/>
  <c r="R414" i="1"/>
  <c r="Q414" i="1"/>
  <c r="P414" i="1"/>
  <c r="O414" i="1"/>
  <c r="H414" i="1"/>
  <c r="N414" i="1" s="1"/>
  <c r="CT413" i="1"/>
  <c r="R413" i="1"/>
  <c r="Q413" i="1"/>
  <c r="P413" i="1"/>
  <c r="O413" i="1"/>
  <c r="H413" i="1"/>
  <c r="K413" i="1" s="1"/>
  <c r="CT412" i="1"/>
  <c r="R412" i="1"/>
  <c r="Q412" i="1"/>
  <c r="P412" i="1"/>
  <c r="O412" i="1"/>
  <c r="H412" i="1"/>
  <c r="L412" i="1" s="1"/>
  <c r="CT411" i="1"/>
  <c r="R411" i="1"/>
  <c r="Q411" i="1"/>
  <c r="P411" i="1"/>
  <c r="O411" i="1"/>
  <c r="H411" i="1"/>
  <c r="L411" i="1" s="1"/>
  <c r="CT410" i="1"/>
  <c r="R410" i="1"/>
  <c r="Q410" i="1"/>
  <c r="P410" i="1"/>
  <c r="O410" i="1"/>
  <c r="H410" i="1"/>
  <c r="L410" i="1" s="1"/>
  <c r="CT409" i="1"/>
  <c r="R409" i="1"/>
  <c r="Q409" i="1"/>
  <c r="P409" i="1"/>
  <c r="O409" i="1"/>
  <c r="H409" i="1"/>
  <c r="CT408" i="1"/>
  <c r="R408" i="1"/>
  <c r="Q408" i="1"/>
  <c r="P408" i="1"/>
  <c r="O408" i="1"/>
  <c r="H408" i="1"/>
  <c r="L408" i="1" s="1"/>
  <c r="CT407" i="1"/>
  <c r="R407" i="1"/>
  <c r="Q407" i="1"/>
  <c r="P407" i="1"/>
  <c r="O407" i="1"/>
  <c r="H407" i="1"/>
  <c r="K407" i="1" s="1"/>
  <c r="CT406" i="1"/>
  <c r="R406" i="1"/>
  <c r="Q406" i="1"/>
  <c r="P406" i="1"/>
  <c r="O406" i="1"/>
  <c r="H406" i="1"/>
  <c r="K406" i="1" s="1"/>
  <c r="CT465" i="1"/>
  <c r="R465" i="1"/>
  <c r="Q465" i="1"/>
  <c r="P465" i="1"/>
  <c r="O465" i="1"/>
  <c r="H465" i="1"/>
  <c r="N465" i="1" s="1"/>
  <c r="CT464" i="1"/>
  <c r="R464" i="1"/>
  <c r="Q464" i="1"/>
  <c r="P464" i="1"/>
  <c r="O464" i="1"/>
  <c r="H464" i="1"/>
  <c r="N464" i="1" s="1"/>
  <c r="CT463" i="1"/>
  <c r="R463" i="1"/>
  <c r="Q463" i="1"/>
  <c r="P463" i="1"/>
  <c r="O463" i="1"/>
  <c r="H463" i="1"/>
  <c r="M463" i="1" s="1"/>
  <c r="CT462" i="1"/>
  <c r="R462" i="1"/>
  <c r="Q462" i="1"/>
  <c r="P462" i="1"/>
  <c r="O462" i="1"/>
  <c r="H462" i="1"/>
  <c r="M462" i="1" s="1"/>
  <c r="CT461" i="1"/>
  <c r="R461" i="1"/>
  <c r="Q461" i="1"/>
  <c r="P461" i="1"/>
  <c r="O461" i="1"/>
  <c r="H461" i="1"/>
  <c r="K461" i="1" s="1"/>
  <c r="CT460" i="1"/>
  <c r="R460" i="1"/>
  <c r="Q460" i="1"/>
  <c r="P460" i="1"/>
  <c r="O460" i="1"/>
  <c r="H460" i="1"/>
  <c r="CT459" i="1"/>
  <c r="R459" i="1"/>
  <c r="Q459" i="1"/>
  <c r="P459" i="1"/>
  <c r="O459" i="1"/>
  <c r="H459" i="1"/>
  <c r="CT458" i="1"/>
  <c r="R458" i="1"/>
  <c r="Q458" i="1"/>
  <c r="P458" i="1"/>
  <c r="O458" i="1"/>
  <c r="H458" i="1"/>
  <c r="N458" i="1" s="1"/>
  <c r="CT457" i="1"/>
  <c r="R457" i="1"/>
  <c r="Q457" i="1"/>
  <c r="P457" i="1"/>
  <c r="O457" i="1"/>
  <c r="H457" i="1"/>
  <c r="N457" i="1" s="1"/>
  <c r="CT456" i="1"/>
  <c r="R456" i="1"/>
  <c r="Q456" i="1"/>
  <c r="P456" i="1"/>
  <c r="O456" i="1"/>
  <c r="H456" i="1"/>
  <c r="M456" i="1" s="1"/>
  <c r="CT455" i="1"/>
  <c r="R455" i="1"/>
  <c r="Q455" i="1"/>
  <c r="P455" i="1"/>
  <c r="O455" i="1"/>
  <c r="H455" i="1"/>
  <c r="K455" i="1" s="1"/>
  <c r="CT454" i="1"/>
  <c r="R454" i="1"/>
  <c r="Q454" i="1"/>
  <c r="P454" i="1"/>
  <c r="O454" i="1"/>
  <c r="H454" i="1"/>
  <c r="K454" i="1" s="1"/>
  <c r="CT453" i="1"/>
  <c r="R453" i="1"/>
  <c r="Q453" i="1"/>
  <c r="P453" i="1"/>
  <c r="O453" i="1"/>
  <c r="H453" i="1"/>
  <c r="K453" i="1" s="1"/>
  <c r="CT452" i="1"/>
  <c r="R452" i="1"/>
  <c r="Q452" i="1"/>
  <c r="P452" i="1"/>
  <c r="O452" i="1"/>
  <c r="H452" i="1"/>
  <c r="K452" i="1" s="1"/>
  <c r="CT451" i="1"/>
  <c r="R451" i="1"/>
  <c r="Q451" i="1"/>
  <c r="P451" i="1"/>
  <c r="O451" i="1"/>
  <c r="H451" i="1"/>
  <c r="K451" i="1" s="1"/>
  <c r="CT450" i="1"/>
  <c r="R450" i="1"/>
  <c r="Q450" i="1"/>
  <c r="P450" i="1"/>
  <c r="O450" i="1"/>
  <c r="H450" i="1"/>
  <c r="CT449" i="1"/>
  <c r="R449" i="1"/>
  <c r="Q449" i="1"/>
  <c r="P449" i="1"/>
  <c r="O449" i="1"/>
  <c r="H449" i="1"/>
  <c r="N449" i="1" s="1"/>
  <c r="CT448" i="1"/>
  <c r="R448" i="1"/>
  <c r="Q448" i="1"/>
  <c r="P448" i="1"/>
  <c r="O448" i="1"/>
  <c r="H448" i="1"/>
  <c r="K448" i="1" s="1"/>
  <c r="CT447" i="1"/>
  <c r="R447" i="1"/>
  <c r="Q447" i="1"/>
  <c r="P447" i="1"/>
  <c r="O447" i="1"/>
  <c r="H447" i="1"/>
  <c r="M447" i="1" s="1"/>
  <c r="CT446" i="1"/>
  <c r="R446" i="1"/>
  <c r="Q446" i="1"/>
  <c r="P446" i="1"/>
  <c r="O446" i="1"/>
  <c r="H446" i="1"/>
  <c r="K446" i="1" s="1"/>
  <c r="CT445" i="1"/>
  <c r="R445" i="1"/>
  <c r="Q445" i="1"/>
  <c r="P445" i="1"/>
  <c r="O445" i="1"/>
  <c r="H445" i="1"/>
  <c r="N445" i="1" s="1"/>
  <c r="CT444" i="1"/>
  <c r="R444" i="1"/>
  <c r="Q444" i="1"/>
  <c r="P444" i="1"/>
  <c r="O444" i="1"/>
  <c r="H444" i="1"/>
  <c r="N444" i="1" s="1"/>
  <c r="CT443" i="1"/>
  <c r="R443" i="1"/>
  <c r="Q443" i="1"/>
  <c r="P443" i="1"/>
  <c r="O443" i="1"/>
  <c r="H443" i="1"/>
  <c r="N443" i="1" s="1"/>
  <c r="CT442" i="1"/>
  <c r="R442" i="1"/>
  <c r="Q442" i="1"/>
  <c r="P442" i="1"/>
  <c r="O442" i="1"/>
  <c r="H442" i="1"/>
  <c r="N442" i="1" s="1"/>
  <c r="CT441" i="1"/>
  <c r="R441" i="1"/>
  <c r="Q441" i="1"/>
  <c r="P441" i="1"/>
  <c r="O441" i="1"/>
  <c r="H441" i="1"/>
  <c r="N441" i="1" s="1"/>
  <c r="CT440" i="1"/>
  <c r="R440" i="1"/>
  <c r="Q440" i="1"/>
  <c r="P440" i="1"/>
  <c r="O440" i="1"/>
  <c r="H440" i="1"/>
  <c r="N440" i="1" s="1"/>
  <c r="CT439" i="1"/>
  <c r="R439" i="1"/>
  <c r="Q439" i="1"/>
  <c r="P439" i="1"/>
  <c r="O439" i="1"/>
  <c r="H439" i="1"/>
  <c r="N439" i="1" s="1"/>
  <c r="CT438" i="1"/>
  <c r="R438" i="1"/>
  <c r="Q438" i="1"/>
  <c r="P438" i="1"/>
  <c r="O438" i="1"/>
  <c r="H438" i="1"/>
  <c r="N438" i="1" s="1"/>
  <c r="CT437" i="1"/>
  <c r="R437" i="1"/>
  <c r="Q437" i="1"/>
  <c r="P437" i="1"/>
  <c r="O437" i="1"/>
  <c r="H437" i="1"/>
  <c r="N437" i="1" s="1"/>
  <c r="CT436" i="1"/>
  <c r="R436" i="1"/>
  <c r="Q436" i="1"/>
  <c r="P436" i="1"/>
  <c r="O436" i="1"/>
  <c r="H436" i="1"/>
  <c r="N436" i="1" s="1"/>
  <c r="CT495" i="1"/>
  <c r="R495" i="1"/>
  <c r="Q495" i="1"/>
  <c r="P495" i="1"/>
  <c r="O495" i="1"/>
  <c r="H495" i="1"/>
  <c r="N495" i="1" s="1"/>
  <c r="CT494" i="1"/>
  <c r="R494" i="1"/>
  <c r="Q494" i="1"/>
  <c r="P494" i="1"/>
  <c r="O494" i="1"/>
  <c r="H494" i="1"/>
  <c r="CT493" i="1"/>
  <c r="R493" i="1"/>
  <c r="Q493" i="1"/>
  <c r="P493" i="1"/>
  <c r="O493" i="1"/>
  <c r="H493" i="1"/>
  <c r="CT492" i="1"/>
  <c r="R492" i="1"/>
  <c r="Q492" i="1"/>
  <c r="P492" i="1"/>
  <c r="O492" i="1"/>
  <c r="H492" i="1"/>
  <c r="CT491" i="1"/>
  <c r="R491" i="1"/>
  <c r="Q491" i="1"/>
  <c r="P491" i="1"/>
  <c r="O491" i="1"/>
  <c r="H491" i="1"/>
  <c r="K491" i="1" s="1"/>
  <c r="CT490" i="1"/>
  <c r="R490" i="1"/>
  <c r="Q490" i="1"/>
  <c r="P490" i="1"/>
  <c r="O490" i="1"/>
  <c r="H490" i="1"/>
  <c r="CT489" i="1"/>
  <c r="R489" i="1"/>
  <c r="Q489" i="1"/>
  <c r="P489" i="1"/>
  <c r="O489" i="1"/>
  <c r="H489" i="1"/>
  <c r="CT488" i="1"/>
  <c r="R488" i="1"/>
  <c r="Q488" i="1"/>
  <c r="P488" i="1"/>
  <c r="O488" i="1"/>
  <c r="H488" i="1"/>
  <c r="N488" i="1" s="1"/>
  <c r="CT487" i="1"/>
  <c r="R487" i="1"/>
  <c r="Q487" i="1"/>
  <c r="P487" i="1"/>
  <c r="O487" i="1"/>
  <c r="H487" i="1"/>
  <c r="K487" i="1" s="1"/>
  <c r="CT486" i="1"/>
  <c r="R486" i="1"/>
  <c r="Q486" i="1"/>
  <c r="P486" i="1"/>
  <c r="O486" i="1"/>
  <c r="H486" i="1"/>
  <c r="CT485" i="1"/>
  <c r="R485" i="1"/>
  <c r="Q485" i="1"/>
  <c r="P485" i="1"/>
  <c r="O485" i="1"/>
  <c r="H485" i="1"/>
  <c r="L485" i="1" s="1"/>
  <c r="CT484" i="1"/>
  <c r="R484" i="1"/>
  <c r="Q484" i="1"/>
  <c r="P484" i="1"/>
  <c r="O484" i="1"/>
  <c r="H484" i="1"/>
  <c r="N484" i="1" s="1"/>
  <c r="CT483" i="1"/>
  <c r="R483" i="1"/>
  <c r="Q483" i="1"/>
  <c r="P483" i="1"/>
  <c r="O483" i="1"/>
  <c r="H483" i="1"/>
  <c r="L483" i="1" s="1"/>
  <c r="CT482" i="1"/>
  <c r="R482" i="1"/>
  <c r="Q482" i="1"/>
  <c r="P482" i="1"/>
  <c r="O482" i="1"/>
  <c r="H482" i="1"/>
  <c r="N482" i="1" s="1"/>
  <c r="CT481" i="1"/>
  <c r="R481" i="1"/>
  <c r="Q481" i="1"/>
  <c r="P481" i="1"/>
  <c r="O481" i="1"/>
  <c r="H481" i="1"/>
  <c r="L481" i="1" s="1"/>
  <c r="CT480" i="1"/>
  <c r="R480" i="1"/>
  <c r="Q480" i="1"/>
  <c r="P480" i="1"/>
  <c r="O480" i="1"/>
  <c r="H480" i="1"/>
  <c r="L480" i="1" s="1"/>
  <c r="CT479" i="1"/>
  <c r="R479" i="1"/>
  <c r="Q479" i="1"/>
  <c r="P479" i="1"/>
  <c r="O479" i="1"/>
  <c r="H479" i="1"/>
  <c r="K479" i="1" s="1"/>
  <c r="CT478" i="1"/>
  <c r="R478" i="1"/>
  <c r="Q478" i="1"/>
  <c r="P478" i="1"/>
  <c r="O478" i="1"/>
  <c r="H478" i="1"/>
  <c r="L478" i="1" s="1"/>
  <c r="CT477" i="1"/>
  <c r="R477" i="1"/>
  <c r="Q477" i="1"/>
  <c r="P477" i="1"/>
  <c r="O477" i="1"/>
  <c r="H477" i="1"/>
  <c r="N477" i="1" s="1"/>
  <c r="CT476" i="1"/>
  <c r="R476" i="1"/>
  <c r="Q476" i="1"/>
  <c r="P476" i="1"/>
  <c r="O476" i="1"/>
  <c r="H476" i="1"/>
  <c r="L476" i="1" s="1"/>
  <c r="CT475" i="1"/>
  <c r="R475" i="1"/>
  <c r="Q475" i="1"/>
  <c r="P475" i="1"/>
  <c r="O475" i="1"/>
  <c r="H475" i="1"/>
  <c r="L475" i="1" s="1"/>
  <c r="CT474" i="1"/>
  <c r="R474" i="1"/>
  <c r="Q474" i="1"/>
  <c r="P474" i="1"/>
  <c r="O474" i="1"/>
  <c r="H474" i="1"/>
  <c r="L474" i="1" s="1"/>
  <c r="CT473" i="1"/>
  <c r="R473" i="1"/>
  <c r="Q473" i="1"/>
  <c r="P473" i="1"/>
  <c r="O473" i="1"/>
  <c r="H473" i="1"/>
  <c r="N473" i="1" s="1"/>
  <c r="CT472" i="1"/>
  <c r="R472" i="1"/>
  <c r="Q472" i="1"/>
  <c r="P472" i="1"/>
  <c r="O472" i="1"/>
  <c r="H472" i="1"/>
  <c r="N472" i="1" s="1"/>
  <c r="CT471" i="1"/>
  <c r="R471" i="1"/>
  <c r="Q471" i="1"/>
  <c r="P471" i="1"/>
  <c r="O471" i="1"/>
  <c r="H471" i="1"/>
  <c r="N471" i="1" s="1"/>
  <c r="CT470" i="1"/>
  <c r="R470" i="1"/>
  <c r="Q470" i="1"/>
  <c r="P470" i="1"/>
  <c r="O470" i="1"/>
  <c r="H470" i="1"/>
  <c r="N470" i="1" s="1"/>
  <c r="CT469" i="1"/>
  <c r="R469" i="1"/>
  <c r="Q469" i="1"/>
  <c r="P469" i="1"/>
  <c r="O469" i="1"/>
  <c r="H469" i="1"/>
  <c r="N469" i="1" s="1"/>
  <c r="CT468" i="1"/>
  <c r="R468" i="1"/>
  <c r="Q468" i="1"/>
  <c r="P468" i="1"/>
  <c r="O468" i="1"/>
  <c r="H468" i="1"/>
  <c r="L468" i="1" s="1"/>
  <c r="CT467" i="1"/>
  <c r="R467" i="1"/>
  <c r="Q467" i="1"/>
  <c r="P467" i="1"/>
  <c r="O467" i="1"/>
  <c r="H467" i="1"/>
  <c r="K467" i="1" s="1"/>
  <c r="CT466" i="1"/>
  <c r="R466" i="1"/>
  <c r="Q466" i="1"/>
  <c r="P466" i="1"/>
  <c r="O466" i="1"/>
  <c r="H466" i="1"/>
  <c r="K466" i="1" s="1"/>
  <c r="CT525" i="1"/>
  <c r="R525" i="1"/>
  <c r="Q525" i="1"/>
  <c r="P525" i="1"/>
  <c r="O525" i="1"/>
  <c r="H525" i="1"/>
  <c r="N525" i="1" s="1"/>
  <c r="CT524" i="1"/>
  <c r="R524" i="1"/>
  <c r="Q524" i="1"/>
  <c r="P524" i="1"/>
  <c r="O524" i="1"/>
  <c r="H524" i="1"/>
  <c r="L524" i="1" s="1"/>
  <c r="CT523" i="1"/>
  <c r="R523" i="1"/>
  <c r="Q523" i="1"/>
  <c r="P523" i="1"/>
  <c r="O523" i="1"/>
  <c r="H523" i="1"/>
  <c r="K523" i="1" s="1"/>
  <c r="CT522" i="1"/>
  <c r="R522" i="1"/>
  <c r="Q522" i="1"/>
  <c r="P522" i="1"/>
  <c r="O522" i="1"/>
  <c r="H522" i="1"/>
  <c r="K522" i="1" s="1"/>
  <c r="CT521" i="1"/>
  <c r="R521" i="1"/>
  <c r="Q521" i="1"/>
  <c r="P521" i="1"/>
  <c r="O521" i="1"/>
  <c r="H521" i="1"/>
  <c r="CT520" i="1"/>
  <c r="R520" i="1"/>
  <c r="Q520" i="1"/>
  <c r="P520" i="1"/>
  <c r="O520" i="1"/>
  <c r="H520" i="1"/>
  <c r="K520" i="1" s="1"/>
  <c r="CT519" i="1"/>
  <c r="R519" i="1"/>
  <c r="Q519" i="1"/>
  <c r="P519" i="1"/>
  <c r="O519" i="1"/>
  <c r="H519" i="1"/>
  <c r="K519" i="1" s="1"/>
  <c r="CT518" i="1"/>
  <c r="R518" i="1"/>
  <c r="Q518" i="1"/>
  <c r="P518" i="1"/>
  <c r="O518" i="1"/>
  <c r="H518" i="1"/>
  <c r="K518" i="1" s="1"/>
  <c r="CT517" i="1"/>
  <c r="R517" i="1"/>
  <c r="Q517" i="1"/>
  <c r="P517" i="1"/>
  <c r="O517" i="1"/>
  <c r="H517" i="1"/>
  <c r="K517" i="1" s="1"/>
  <c r="CT516" i="1"/>
  <c r="R516" i="1"/>
  <c r="Q516" i="1"/>
  <c r="P516" i="1"/>
  <c r="O516" i="1"/>
  <c r="H516" i="1"/>
  <c r="K516" i="1" s="1"/>
  <c r="CT515" i="1"/>
  <c r="R515" i="1"/>
  <c r="Q515" i="1"/>
  <c r="P515" i="1"/>
  <c r="O515" i="1"/>
  <c r="H515" i="1"/>
  <c r="K515" i="1" s="1"/>
  <c r="CT514" i="1"/>
  <c r="R514" i="1"/>
  <c r="Q514" i="1"/>
  <c r="P514" i="1"/>
  <c r="O514" i="1"/>
  <c r="H514" i="1"/>
  <c r="K514" i="1" s="1"/>
  <c r="CT513" i="1"/>
  <c r="R513" i="1"/>
  <c r="Q513" i="1"/>
  <c r="P513" i="1"/>
  <c r="O513" i="1"/>
  <c r="H513" i="1"/>
  <c r="K513" i="1" s="1"/>
  <c r="CT512" i="1"/>
  <c r="R512" i="1"/>
  <c r="Q512" i="1"/>
  <c r="P512" i="1"/>
  <c r="O512" i="1"/>
  <c r="H512" i="1"/>
  <c r="L512" i="1" s="1"/>
  <c r="CT511" i="1"/>
  <c r="R511" i="1"/>
  <c r="Q511" i="1"/>
  <c r="P511" i="1"/>
  <c r="O511" i="1"/>
  <c r="H511" i="1"/>
  <c r="N511" i="1" s="1"/>
  <c r="CT510" i="1"/>
  <c r="R510" i="1"/>
  <c r="Q510" i="1"/>
  <c r="P510" i="1"/>
  <c r="O510" i="1"/>
  <c r="H510" i="1"/>
  <c r="K510" i="1" s="1"/>
  <c r="CT509" i="1"/>
  <c r="R509" i="1"/>
  <c r="Q509" i="1"/>
  <c r="P509" i="1"/>
  <c r="O509" i="1"/>
  <c r="H509" i="1"/>
  <c r="N509" i="1" s="1"/>
  <c r="CT508" i="1"/>
  <c r="R508" i="1"/>
  <c r="Q508" i="1"/>
  <c r="P508" i="1"/>
  <c r="O508" i="1"/>
  <c r="H508" i="1"/>
  <c r="N508" i="1" s="1"/>
  <c r="CT507" i="1"/>
  <c r="R507" i="1"/>
  <c r="Q507" i="1"/>
  <c r="P507" i="1"/>
  <c r="O507" i="1"/>
  <c r="H507" i="1"/>
  <c r="K507" i="1" s="1"/>
  <c r="CT506" i="1"/>
  <c r="R506" i="1"/>
  <c r="Q506" i="1"/>
  <c r="P506" i="1"/>
  <c r="O506" i="1"/>
  <c r="H506" i="1"/>
  <c r="N506" i="1" s="1"/>
  <c r="CT505" i="1"/>
  <c r="R505" i="1"/>
  <c r="Q505" i="1"/>
  <c r="P505" i="1"/>
  <c r="O505" i="1"/>
  <c r="H505" i="1"/>
  <c r="L505" i="1" s="1"/>
  <c r="CT504" i="1"/>
  <c r="R504" i="1"/>
  <c r="Q504" i="1"/>
  <c r="P504" i="1"/>
  <c r="O504" i="1"/>
  <c r="H504" i="1"/>
  <c r="K504" i="1" s="1"/>
  <c r="CT503" i="1"/>
  <c r="R503" i="1"/>
  <c r="Q503" i="1"/>
  <c r="P503" i="1"/>
  <c r="O503" i="1"/>
  <c r="H503" i="1"/>
  <c r="N503" i="1" s="1"/>
  <c r="CT502" i="1"/>
  <c r="R502" i="1"/>
  <c r="Q502" i="1"/>
  <c r="P502" i="1"/>
  <c r="O502" i="1"/>
  <c r="H502" i="1"/>
  <c r="N502" i="1" s="1"/>
  <c r="CT501" i="1"/>
  <c r="R501" i="1"/>
  <c r="Q501" i="1"/>
  <c r="P501" i="1"/>
  <c r="O501" i="1"/>
  <c r="H501" i="1"/>
  <c r="K501" i="1" s="1"/>
  <c r="CT500" i="1"/>
  <c r="R500" i="1"/>
  <c r="Q500" i="1"/>
  <c r="P500" i="1"/>
  <c r="O500" i="1"/>
  <c r="H500" i="1"/>
  <c r="K500" i="1" s="1"/>
  <c r="CT499" i="1"/>
  <c r="R499" i="1"/>
  <c r="Q499" i="1"/>
  <c r="P499" i="1"/>
  <c r="O499" i="1"/>
  <c r="H499" i="1"/>
  <c r="N499" i="1" s="1"/>
  <c r="CT498" i="1"/>
  <c r="R498" i="1"/>
  <c r="Q498" i="1"/>
  <c r="P498" i="1"/>
  <c r="O498" i="1"/>
  <c r="H498" i="1"/>
  <c r="L498" i="1" s="1"/>
  <c r="CT497" i="1"/>
  <c r="R497" i="1"/>
  <c r="Q497" i="1"/>
  <c r="P497" i="1"/>
  <c r="O497" i="1"/>
  <c r="H497" i="1"/>
  <c r="N497" i="1" s="1"/>
  <c r="CT496" i="1"/>
  <c r="R496" i="1"/>
  <c r="Q496" i="1"/>
  <c r="P496" i="1"/>
  <c r="O496" i="1"/>
  <c r="H496" i="1"/>
  <c r="K496" i="1" s="1"/>
  <c r="CT555" i="1"/>
  <c r="R555" i="1"/>
  <c r="Q555" i="1"/>
  <c r="P555" i="1"/>
  <c r="O555" i="1"/>
  <c r="H555" i="1"/>
  <c r="N555" i="1" s="1"/>
  <c r="CT554" i="1"/>
  <c r="R554" i="1"/>
  <c r="Q554" i="1"/>
  <c r="P554" i="1"/>
  <c r="O554" i="1"/>
  <c r="H554" i="1"/>
  <c r="N554" i="1" s="1"/>
  <c r="CT553" i="1"/>
  <c r="R553" i="1"/>
  <c r="Q553" i="1"/>
  <c r="P553" i="1"/>
  <c r="O553" i="1"/>
  <c r="H553" i="1"/>
  <c r="L553" i="1" s="1"/>
  <c r="CT552" i="1"/>
  <c r="R552" i="1"/>
  <c r="Q552" i="1"/>
  <c r="P552" i="1"/>
  <c r="O552" i="1"/>
  <c r="H552" i="1"/>
  <c r="K552" i="1" s="1"/>
  <c r="CT551" i="1"/>
  <c r="R551" i="1"/>
  <c r="Q551" i="1"/>
  <c r="P551" i="1"/>
  <c r="O551" i="1"/>
  <c r="H551" i="1"/>
  <c r="L551" i="1" s="1"/>
  <c r="CT550" i="1"/>
  <c r="R550" i="1"/>
  <c r="Q550" i="1"/>
  <c r="P550" i="1"/>
  <c r="O550" i="1"/>
  <c r="H550" i="1"/>
  <c r="CT549" i="1"/>
  <c r="R549" i="1"/>
  <c r="Q549" i="1"/>
  <c r="P549" i="1"/>
  <c r="O549" i="1"/>
  <c r="H549" i="1"/>
  <c r="CT548" i="1"/>
  <c r="R548" i="1"/>
  <c r="Q548" i="1"/>
  <c r="P548" i="1"/>
  <c r="O548" i="1"/>
  <c r="H548" i="1"/>
  <c r="N548" i="1" s="1"/>
  <c r="CT547" i="1"/>
  <c r="R547" i="1"/>
  <c r="Q547" i="1"/>
  <c r="P547" i="1"/>
  <c r="O547" i="1"/>
  <c r="H547" i="1"/>
  <c r="M547" i="1" s="1"/>
  <c r="CT546" i="1"/>
  <c r="R546" i="1"/>
  <c r="Q546" i="1"/>
  <c r="P546" i="1"/>
  <c r="O546" i="1"/>
  <c r="H546" i="1"/>
  <c r="N546" i="1" s="1"/>
  <c r="CT545" i="1"/>
  <c r="R545" i="1"/>
  <c r="Q545" i="1"/>
  <c r="P545" i="1"/>
  <c r="O545" i="1"/>
  <c r="H545" i="1"/>
  <c r="N545" i="1" s="1"/>
  <c r="CT544" i="1"/>
  <c r="R544" i="1"/>
  <c r="Q544" i="1"/>
  <c r="P544" i="1"/>
  <c r="O544" i="1"/>
  <c r="H544" i="1"/>
  <c r="N544" i="1" s="1"/>
  <c r="CT543" i="1"/>
  <c r="R543" i="1"/>
  <c r="Q543" i="1"/>
  <c r="P543" i="1"/>
  <c r="O543" i="1"/>
  <c r="H543" i="1"/>
  <c r="K543" i="1" s="1"/>
  <c r="CT542" i="1"/>
  <c r="R542" i="1"/>
  <c r="Q542" i="1"/>
  <c r="P542" i="1"/>
  <c r="O542" i="1"/>
  <c r="H542" i="1"/>
  <c r="N542" i="1" s="1"/>
  <c r="CT541" i="1"/>
  <c r="R541" i="1"/>
  <c r="Q541" i="1"/>
  <c r="P541" i="1"/>
  <c r="O541" i="1"/>
  <c r="H541" i="1"/>
  <c r="N541" i="1" s="1"/>
  <c r="CT540" i="1"/>
  <c r="R540" i="1"/>
  <c r="Q540" i="1"/>
  <c r="P540" i="1"/>
  <c r="O540" i="1"/>
  <c r="H540" i="1"/>
  <c r="N540" i="1" s="1"/>
  <c r="CT539" i="1"/>
  <c r="R539" i="1"/>
  <c r="Q539" i="1"/>
  <c r="P539" i="1"/>
  <c r="O539" i="1"/>
  <c r="H539" i="1"/>
  <c r="N539" i="1" s="1"/>
  <c r="CT538" i="1"/>
  <c r="R538" i="1"/>
  <c r="Q538" i="1"/>
  <c r="P538" i="1"/>
  <c r="O538" i="1"/>
  <c r="H538" i="1"/>
  <c r="N538" i="1" s="1"/>
  <c r="CT537" i="1"/>
  <c r="R537" i="1"/>
  <c r="Q537" i="1"/>
  <c r="P537" i="1"/>
  <c r="O537" i="1"/>
  <c r="H537" i="1"/>
  <c r="N537" i="1" s="1"/>
  <c r="CT536" i="1"/>
  <c r="R536" i="1"/>
  <c r="Q536" i="1"/>
  <c r="P536" i="1"/>
  <c r="O536" i="1"/>
  <c r="H536" i="1"/>
  <c r="N536" i="1" s="1"/>
  <c r="CT535" i="1"/>
  <c r="R535" i="1"/>
  <c r="Q535" i="1"/>
  <c r="P535" i="1"/>
  <c r="O535" i="1"/>
  <c r="H535" i="1"/>
  <c r="N535" i="1" s="1"/>
  <c r="CT534" i="1"/>
  <c r="R534" i="1"/>
  <c r="Q534" i="1"/>
  <c r="P534" i="1"/>
  <c r="O534" i="1"/>
  <c r="H534" i="1"/>
  <c r="N534" i="1" s="1"/>
  <c r="CT533" i="1"/>
  <c r="R533" i="1"/>
  <c r="Q533" i="1"/>
  <c r="P533" i="1"/>
  <c r="O533" i="1"/>
  <c r="H533" i="1"/>
  <c r="N533" i="1" s="1"/>
  <c r="CT532" i="1"/>
  <c r="R532" i="1"/>
  <c r="Q532" i="1"/>
  <c r="P532" i="1"/>
  <c r="O532" i="1"/>
  <c r="H532" i="1"/>
  <c r="N532" i="1" s="1"/>
  <c r="CT531" i="1"/>
  <c r="R531" i="1"/>
  <c r="Q531" i="1"/>
  <c r="P531" i="1"/>
  <c r="O531" i="1"/>
  <c r="H531" i="1"/>
  <c r="M531" i="1" s="1"/>
  <c r="CT530" i="1"/>
  <c r="R530" i="1"/>
  <c r="Q530" i="1"/>
  <c r="P530" i="1"/>
  <c r="O530" i="1"/>
  <c r="H530" i="1"/>
  <c r="K530" i="1" s="1"/>
  <c r="CT529" i="1"/>
  <c r="R529" i="1"/>
  <c r="Q529" i="1"/>
  <c r="P529" i="1"/>
  <c r="O529" i="1"/>
  <c r="H529" i="1"/>
  <c r="K529" i="1" s="1"/>
  <c r="CT528" i="1"/>
  <c r="R528" i="1"/>
  <c r="Q528" i="1"/>
  <c r="P528" i="1"/>
  <c r="O528" i="1"/>
  <c r="H528" i="1"/>
  <c r="K528" i="1" s="1"/>
  <c r="CT527" i="1"/>
  <c r="R527" i="1"/>
  <c r="Q527" i="1"/>
  <c r="P527" i="1"/>
  <c r="O527" i="1"/>
  <c r="H527" i="1"/>
  <c r="K527" i="1" s="1"/>
  <c r="CT526" i="1"/>
  <c r="R526" i="1"/>
  <c r="Q526" i="1"/>
  <c r="P526" i="1"/>
  <c r="O526" i="1"/>
  <c r="H526" i="1"/>
  <c r="N526" i="1" s="1"/>
  <c r="CT585" i="1"/>
  <c r="R585" i="1"/>
  <c r="Q585" i="1"/>
  <c r="P585" i="1"/>
  <c r="O585" i="1"/>
  <c r="H585" i="1"/>
  <c r="N585" i="1" s="1"/>
  <c r="CT584" i="1"/>
  <c r="R584" i="1"/>
  <c r="Q584" i="1"/>
  <c r="P584" i="1"/>
  <c r="O584" i="1"/>
  <c r="H584" i="1"/>
  <c r="N584" i="1" s="1"/>
  <c r="CT583" i="1"/>
  <c r="R583" i="1"/>
  <c r="Q583" i="1"/>
  <c r="P583" i="1"/>
  <c r="O583" i="1"/>
  <c r="H583" i="1"/>
  <c r="M583" i="1" s="1"/>
  <c r="CT582" i="1"/>
  <c r="R582" i="1"/>
  <c r="Q582" i="1"/>
  <c r="P582" i="1"/>
  <c r="O582" i="1"/>
  <c r="H582" i="1"/>
  <c r="K582" i="1" s="1"/>
  <c r="CT581" i="1"/>
  <c r="R581" i="1"/>
  <c r="Q581" i="1"/>
  <c r="P581" i="1"/>
  <c r="O581" i="1"/>
  <c r="H581" i="1"/>
  <c r="K581" i="1" s="1"/>
  <c r="CT580" i="1"/>
  <c r="R580" i="1"/>
  <c r="Q580" i="1"/>
  <c r="P580" i="1"/>
  <c r="O580" i="1"/>
  <c r="H580" i="1"/>
  <c r="L580" i="1" s="1"/>
  <c r="CT579" i="1"/>
  <c r="R579" i="1"/>
  <c r="Q579" i="1"/>
  <c r="P579" i="1"/>
  <c r="O579" i="1"/>
  <c r="H579" i="1"/>
  <c r="M579" i="1" s="1"/>
  <c r="CT578" i="1"/>
  <c r="R578" i="1"/>
  <c r="Q578" i="1"/>
  <c r="P578" i="1"/>
  <c r="O578" i="1"/>
  <c r="H578" i="1"/>
  <c r="N578" i="1" s="1"/>
  <c r="CT577" i="1"/>
  <c r="R577" i="1"/>
  <c r="Q577" i="1"/>
  <c r="P577" i="1"/>
  <c r="O577" i="1"/>
  <c r="H577" i="1"/>
  <c r="N577" i="1" s="1"/>
  <c r="CT576" i="1"/>
  <c r="R576" i="1"/>
  <c r="Q576" i="1"/>
  <c r="P576" i="1"/>
  <c r="O576" i="1"/>
  <c r="H576" i="1"/>
  <c r="M576" i="1" s="1"/>
  <c r="CT575" i="1"/>
  <c r="R575" i="1"/>
  <c r="Q575" i="1"/>
  <c r="P575" i="1"/>
  <c r="O575" i="1"/>
  <c r="H575" i="1"/>
  <c r="N575" i="1" s="1"/>
  <c r="CT574" i="1"/>
  <c r="R574" i="1"/>
  <c r="Q574" i="1"/>
  <c r="P574" i="1"/>
  <c r="O574" i="1"/>
  <c r="H574" i="1"/>
  <c r="N574" i="1" s="1"/>
  <c r="CT573" i="1"/>
  <c r="R573" i="1"/>
  <c r="Q573" i="1"/>
  <c r="P573" i="1"/>
  <c r="O573" i="1"/>
  <c r="H573" i="1"/>
  <c r="N573" i="1" s="1"/>
  <c r="CT572" i="1"/>
  <c r="R572" i="1"/>
  <c r="Q572" i="1"/>
  <c r="P572" i="1"/>
  <c r="O572" i="1"/>
  <c r="H572" i="1"/>
  <c r="N572" i="1" s="1"/>
  <c r="CT571" i="1"/>
  <c r="R571" i="1"/>
  <c r="Q571" i="1"/>
  <c r="P571" i="1"/>
  <c r="O571" i="1"/>
  <c r="H571" i="1"/>
  <c r="N571" i="1" s="1"/>
  <c r="CT570" i="1"/>
  <c r="R570" i="1"/>
  <c r="Q570" i="1"/>
  <c r="P570" i="1"/>
  <c r="O570" i="1"/>
  <c r="H570" i="1"/>
  <c r="N570" i="1" s="1"/>
  <c r="CT569" i="1"/>
  <c r="R569" i="1"/>
  <c r="Q569" i="1"/>
  <c r="P569" i="1"/>
  <c r="O569" i="1"/>
  <c r="H569" i="1"/>
  <c r="N569" i="1" s="1"/>
  <c r="CT568" i="1"/>
  <c r="R568" i="1"/>
  <c r="Q568" i="1"/>
  <c r="P568" i="1"/>
  <c r="O568" i="1"/>
  <c r="H568" i="1"/>
  <c r="N568" i="1" s="1"/>
  <c r="CT567" i="1"/>
  <c r="R567" i="1"/>
  <c r="Q567" i="1"/>
  <c r="P567" i="1"/>
  <c r="O567" i="1"/>
  <c r="H567" i="1"/>
  <c r="N567" i="1" s="1"/>
  <c r="CT566" i="1"/>
  <c r="R566" i="1"/>
  <c r="Q566" i="1"/>
  <c r="P566" i="1"/>
  <c r="O566" i="1"/>
  <c r="H566" i="1"/>
  <c r="M566" i="1" s="1"/>
  <c r="CT565" i="1"/>
  <c r="R565" i="1"/>
  <c r="Q565" i="1"/>
  <c r="P565" i="1"/>
  <c r="O565" i="1"/>
  <c r="H565" i="1"/>
  <c r="K565" i="1" s="1"/>
  <c r="CT564" i="1"/>
  <c r="R564" i="1"/>
  <c r="Q564" i="1"/>
  <c r="P564" i="1"/>
  <c r="O564" i="1"/>
  <c r="H564" i="1"/>
  <c r="M564" i="1" s="1"/>
  <c r="CT563" i="1"/>
  <c r="R563" i="1"/>
  <c r="Q563" i="1"/>
  <c r="P563" i="1"/>
  <c r="O563" i="1"/>
  <c r="H563" i="1"/>
  <c r="K563" i="1" s="1"/>
  <c r="CT562" i="1"/>
  <c r="R562" i="1"/>
  <c r="Q562" i="1"/>
  <c r="P562" i="1"/>
  <c r="O562" i="1"/>
  <c r="H562" i="1"/>
  <c r="K562" i="1" s="1"/>
  <c r="CT561" i="1"/>
  <c r="R561" i="1"/>
  <c r="Q561" i="1"/>
  <c r="P561" i="1"/>
  <c r="O561" i="1"/>
  <c r="H561" i="1"/>
  <c r="N561" i="1" s="1"/>
  <c r="CT560" i="1"/>
  <c r="R560" i="1"/>
  <c r="Q560" i="1"/>
  <c r="P560" i="1"/>
  <c r="O560" i="1"/>
  <c r="H560" i="1"/>
  <c r="N560" i="1" s="1"/>
  <c r="CT559" i="1"/>
  <c r="R559" i="1"/>
  <c r="Q559" i="1"/>
  <c r="P559" i="1"/>
  <c r="O559" i="1"/>
  <c r="H559" i="1"/>
  <c r="N559" i="1" s="1"/>
  <c r="CT558" i="1"/>
  <c r="R558" i="1"/>
  <c r="Q558" i="1"/>
  <c r="P558" i="1"/>
  <c r="O558" i="1"/>
  <c r="H558" i="1"/>
  <c r="N558" i="1" s="1"/>
  <c r="CT557" i="1"/>
  <c r="R557" i="1"/>
  <c r="Q557" i="1"/>
  <c r="P557" i="1"/>
  <c r="O557" i="1"/>
  <c r="H557" i="1"/>
  <c r="CT556" i="1"/>
  <c r="R556" i="1"/>
  <c r="Q556" i="1"/>
  <c r="P556" i="1"/>
  <c r="O556" i="1"/>
  <c r="H556" i="1"/>
  <c r="N556" i="1" s="1"/>
  <c r="CT615" i="1"/>
  <c r="R615" i="1"/>
  <c r="Q615" i="1"/>
  <c r="P615" i="1"/>
  <c r="O615" i="1"/>
  <c r="H615" i="1"/>
  <c r="N615" i="1" s="1"/>
  <c r="CT614" i="1"/>
  <c r="R614" i="1"/>
  <c r="Q614" i="1"/>
  <c r="P614" i="1"/>
  <c r="O614" i="1"/>
  <c r="H614" i="1"/>
  <c r="N614" i="1" s="1"/>
  <c r="CT613" i="1"/>
  <c r="R613" i="1"/>
  <c r="Q613" i="1"/>
  <c r="P613" i="1"/>
  <c r="O613" i="1"/>
  <c r="H613" i="1"/>
  <c r="L613" i="1" s="1"/>
  <c r="CT612" i="1"/>
  <c r="R612" i="1"/>
  <c r="Q612" i="1"/>
  <c r="P612" i="1"/>
  <c r="O612" i="1"/>
  <c r="H612" i="1"/>
  <c r="N612" i="1" s="1"/>
  <c r="CT611" i="1"/>
  <c r="R611" i="1"/>
  <c r="Q611" i="1"/>
  <c r="P611" i="1"/>
  <c r="O611" i="1"/>
  <c r="H611" i="1"/>
  <c r="N611" i="1" s="1"/>
  <c r="CT610" i="1"/>
  <c r="R610" i="1"/>
  <c r="Q610" i="1"/>
  <c r="P610" i="1"/>
  <c r="O610" i="1"/>
  <c r="H610" i="1"/>
  <c r="K610" i="1" s="1"/>
  <c r="CT609" i="1"/>
  <c r="R609" i="1"/>
  <c r="Q609" i="1"/>
  <c r="P609" i="1"/>
  <c r="O609" i="1"/>
  <c r="H609" i="1"/>
  <c r="K609" i="1" s="1"/>
  <c r="CT608" i="1"/>
  <c r="R608" i="1"/>
  <c r="Q608" i="1"/>
  <c r="P608" i="1"/>
  <c r="O608" i="1"/>
  <c r="H608" i="1"/>
  <c r="K608" i="1" s="1"/>
  <c r="CT607" i="1"/>
  <c r="R607" i="1"/>
  <c r="Q607" i="1"/>
  <c r="P607" i="1"/>
  <c r="O607" i="1"/>
  <c r="H607" i="1"/>
  <c r="K607" i="1" s="1"/>
  <c r="CT606" i="1"/>
  <c r="R606" i="1"/>
  <c r="Q606" i="1"/>
  <c r="P606" i="1"/>
  <c r="O606" i="1"/>
  <c r="H606" i="1"/>
  <c r="K606" i="1" s="1"/>
  <c r="CT605" i="1"/>
  <c r="R605" i="1"/>
  <c r="Q605" i="1"/>
  <c r="P605" i="1"/>
  <c r="O605" i="1"/>
  <c r="H605" i="1"/>
  <c r="K605" i="1" s="1"/>
  <c r="CT604" i="1"/>
  <c r="R604" i="1"/>
  <c r="Q604" i="1"/>
  <c r="P604" i="1"/>
  <c r="O604" i="1"/>
  <c r="H604" i="1"/>
  <c r="K604" i="1" s="1"/>
  <c r="CT603" i="1"/>
  <c r="R603" i="1"/>
  <c r="Q603" i="1"/>
  <c r="P603" i="1"/>
  <c r="O603" i="1"/>
  <c r="H603" i="1"/>
  <c r="L603" i="1" s="1"/>
  <c r="CT602" i="1"/>
  <c r="R602" i="1"/>
  <c r="Q602" i="1"/>
  <c r="P602" i="1"/>
  <c r="O602" i="1"/>
  <c r="H602" i="1"/>
  <c r="N602" i="1" s="1"/>
  <c r="CT601" i="1"/>
  <c r="R601" i="1"/>
  <c r="Q601" i="1"/>
  <c r="P601" i="1"/>
  <c r="O601" i="1"/>
  <c r="H601" i="1"/>
  <c r="N601" i="1" s="1"/>
  <c r="CT600" i="1"/>
  <c r="R600" i="1"/>
  <c r="Q600" i="1"/>
  <c r="P600" i="1"/>
  <c r="O600" i="1"/>
  <c r="H600" i="1"/>
  <c r="K600" i="1" s="1"/>
  <c r="CT599" i="1"/>
  <c r="R599" i="1"/>
  <c r="Q599" i="1"/>
  <c r="P599" i="1"/>
  <c r="O599" i="1"/>
  <c r="H599" i="1"/>
  <c r="K599" i="1" s="1"/>
  <c r="CT598" i="1"/>
  <c r="R598" i="1"/>
  <c r="Q598" i="1"/>
  <c r="P598" i="1"/>
  <c r="O598" i="1"/>
  <c r="H598" i="1"/>
  <c r="K598" i="1" s="1"/>
  <c r="CT597" i="1"/>
  <c r="R597" i="1"/>
  <c r="Q597" i="1"/>
  <c r="P597" i="1"/>
  <c r="O597" i="1"/>
  <c r="H597" i="1"/>
  <c r="K597" i="1" s="1"/>
  <c r="CT596" i="1"/>
  <c r="R596" i="1"/>
  <c r="Q596" i="1"/>
  <c r="P596" i="1"/>
  <c r="O596" i="1"/>
  <c r="H596" i="1"/>
  <c r="K596" i="1" s="1"/>
  <c r="CT595" i="1"/>
  <c r="R595" i="1"/>
  <c r="Q595" i="1"/>
  <c r="P595" i="1"/>
  <c r="O595" i="1"/>
  <c r="H595" i="1"/>
  <c r="K595" i="1" s="1"/>
  <c r="CT594" i="1"/>
  <c r="R594" i="1"/>
  <c r="Q594" i="1"/>
  <c r="P594" i="1"/>
  <c r="O594" i="1"/>
  <c r="H594" i="1"/>
  <c r="CT593" i="1"/>
  <c r="R593" i="1"/>
  <c r="Q593" i="1"/>
  <c r="P593" i="1"/>
  <c r="O593" i="1"/>
  <c r="H593" i="1"/>
  <c r="K593" i="1" s="1"/>
  <c r="CT592" i="1"/>
  <c r="R592" i="1"/>
  <c r="Q592" i="1"/>
  <c r="P592" i="1"/>
  <c r="O592" i="1"/>
  <c r="H592" i="1"/>
  <c r="L592" i="1" s="1"/>
  <c r="CT591" i="1"/>
  <c r="R591" i="1"/>
  <c r="Q591" i="1"/>
  <c r="P591" i="1"/>
  <c r="O591" i="1"/>
  <c r="H591" i="1"/>
  <c r="N591" i="1" s="1"/>
  <c r="CT590" i="1"/>
  <c r="R590" i="1"/>
  <c r="Q590" i="1"/>
  <c r="P590" i="1"/>
  <c r="O590" i="1"/>
  <c r="H590" i="1"/>
  <c r="K590" i="1" s="1"/>
  <c r="CT589" i="1"/>
  <c r="R589" i="1"/>
  <c r="Q589" i="1"/>
  <c r="P589" i="1"/>
  <c r="O589" i="1"/>
  <c r="H589" i="1"/>
  <c r="K589" i="1" s="1"/>
  <c r="CT588" i="1"/>
  <c r="R588" i="1"/>
  <c r="Q588" i="1"/>
  <c r="P588" i="1"/>
  <c r="O588" i="1"/>
  <c r="H588" i="1"/>
  <c r="K588" i="1" s="1"/>
  <c r="CT587" i="1"/>
  <c r="R587" i="1"/>
  <c r="Q587" i="1"/>
  <c r="P587" i="1"/>
  <c r="O587" i="1"/>
  <c r="H587" i="1"/>
  <c r="K587" i="1" s="1"/>
  <c r="CT586" i="1"/>
  <c r="R586" i="1"/>
  <c r="Q586" i="1"/>
  <c r="P586" i="1"/>
  <c r="O586" i="1"/>
  <c r="H586" i="1"/>
  <c r="K586" i="1" s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R35" i="1"/>
  <c r="Q35" i="1"/>
  <c r="P35" i="1"/>
  <c r="O35" i="1"/>
  <c r="H35" i="1"/>
  <c r="L35" i="1" s="1"/>
  <c r="R34" i="1"/>
  <c r="Q34" i="1"/>
  <c r="P34" i="1"/>
  <c r="O34" i="1"/>
  <c r="H34" i="1"/>
  <c r="K34" i="1" s="1"/>
  <c r="BC34" i="1" s="1"/>
  <c r="R33" i="1"/>
  <c r="Q33" i="1"/>
  <c r="P33" i="1"/>
  <c r="O33" i="1"/>
  <c r="H33" i="1"/>
  <c r="K33" i="1" s="1"/>
  <c r="BE33" i="1" s="1"/>
  <c r="R32" i="1"/>
  <c r="Q32" i="1"/>
  <c r="P32" i="1"/>
  <c r="O32" i="1"/>
  <c r="H32" i="1"/>
  <c r="L32" i="1" s="1"/>
  <c r="R27" i="1"/>
  <c r="Q27" i="1"/>
  <c r="P27" i="1"/>
  <c r="O27" i="1"/>
  <c r="H27" i="1"/>
  <c r="M27" i="1" s="1"/>
  <c r="R26" i="1"/>
  <c r="Q26" i="1"/>
  <c r="P26" i="1"/>
  <c r="O26" i="1"/>
  <c r="H26" i="1"/>
  <c r="M26" i="1" s="1"/>
  <c r="R25" i="1"/>
  <c r="Q25" i="1"/>
  <c r="P25" i="1"/>
  <c r="O25" i="1"/>
  <c r="H25" i="1"/>
  <c r="M25" i="1" s="1"/>
  <c r="R24" i="1"/>
  <c r="Q24" i="1"/>
  <c r="P24" i="1"/>
  <c r="O24" i="1"/>
  <c r="H24" i="1"/>
  <c r="M24" i="1" s="1"/>
  <c r="R23" i="1"/>
  <c r="Q23" i="1"/>
  <c r="P23" i="1"/>
  <c r="O23" i="1"/>
  <c r="H23" i="1"/>
  <c r="M23" i="1" s="1"/>
  <c r="R22" i="1"/>
  <c r="Q22" i="1"/>
  <c r="P22" i="1"/>
  <c r="O22" i="1"/>
  <c r="H22" i="1"/>
  <c r="M22" i="1" s="1"/>
  <c r="R21" i="1"/>
  <c r="Q21" i="1"/>
  <c r="P21" i="1"/>
  <c r="O21" i="1"/>
  <c r="H21" i="1"/>
  <c r="M21" i="1" s="1"/>
  <c r="R20" i="1"/>
  <c r="Q20" i="1"/>
  <c r="P20" i="1"/>
  <c r="O20" i="1"/>
  <c r="H20" i="1"/>
  <c r="M20" i="1" s="1"/>
  <c r="R19" i="1"/>
  <c r="Q19" i="1"/>
  <c r="P19" i="1"/>
  <c r="O19" i="1"/>
  <c r="H19" i="1"/>
  <c r="L19" i="1" s="1"/>
  <c r="AR18" i="1"/>
  <c r="AO18" i="1"/>
  <c r="R18" i="1"/>
  <c r="AX18" i="1" s="1"/>
  <c r="Q18" i="1"/>
  <c r="AW18" i="1" s="1"/>
  <c r="P18" i="1"/>
  <c r="O18" i="1"/>
  <c r="AU18" i="1" s="1"/>
  <c r="H18" i="1"/>
  <c r="L18" i="1" s="1"/>
  <c r="AR17" i="1"/>
  <c r="AO17" i="1"/>
  <c r="R17" i="1"/>
  <c r="AX17" i="1" s="1"/>
  <c r="Q17" i="1"/>
  <c r="AW17" i="1" s="1"/>
  <c r="P17" i="1"/>
  <c r="O17" i="1"/>
  <c r="AU17" i="1" s="1"/>
  <c r="H17" i="1"/>
  <c r="L17" i="1" s="1"/>
  <c r="AR16" i="1"/>
  <c r="AO16" i="1"/>
  <c r="R16" i="1"/>
  <c r="AX16" i="1" s="1"/>
  <c r="Q16" i="1"/>
  <c r="AW16" i="1" s="1"/>
  <c r="P16" i="1"/>
  <c r="O16" i="1"/>
  <c r="AU16" i="1" s="1"/>
  <c r="H16" i="1"/>
  <c r="L16" i="1" s="1"/>
  <c r="AR15" i="1"/>
  <c r="AO15" i="1"/>
  <c r="R15" i="1"/>
  <c r="AX15" i="1" s="1"/>
  <c r="Q15" i="1"/>
  <c r="AW15" i="1" s="1"/>
  <c r="P15" i="1"/>
  <c r="O15" i="1"/>
  <c r="AU15" i="1" s="1"/>
  <c r="H15" i="1"/>
  <c r="L15" i="1" s="1"/>
  <c r="AR14" i="1"/>
  <c r="AO14" i="1"/>
  <c r="R14" i="1"/>
  <c r="AX14" i="1" s="1"/>
  <c r="Q14" i="1"/>
  <c r="AW14" i="1" s="1"/>
  <c r="P14" i="1"/>
  <c r="O14" i="1"/>
  <c r="AU14" i="1" s="1"/>
  <c r="H14" i="1"/>
  <c r="L14" i="1" s="1"/>
  <c r="AR13" i="1"/>
  <c r="AO13" i="1"/>
  <c r="R13" i="1"/>
  <c r="AX13" i="1" s="1"/>
  <c r="Q13" i="1"/>
  <c r="AW13" i="1" s="1"/>
  <c r="P13" i="1"/>
  <c r="O13" i="1"/>
  <c r="AU13" i="1" s="1"/>
  <c r="H13" i="1"/>
  <c r="L13" i="1" s="1"/>
  <c r="AR12" i="1"/>
  <c r="AO12" i="1"/>
  <c r="R12" i="1"/>
  <c r="AX12" i="1" s="1"/>
  <c r="Q12" i="1"/>
  <c r="AW12" i="1" s="1"/>
  <c r="P12" i="1"/>
  <c r="O12" i="1"/>
  <c r="AU12" i="1" s="1"/>
  <c r="H12" i="1"/>
  <c r="L12" i="1" s="1"/>
  <c r="CF625" i="1"/>
  <c r="CE625" i="1"/>
  <c r="CD625" i="1"/>
  <c r="CC625" i="1"/>
  <c r="CB625" i="1"/>
  <c r="J625" i="1"/>
  <c r="I625" i="1"/>
  <c r="CT624" i="1"/>
  <c r="AR624" i="1"/>
  <c r="AO624" i="1"/>
  <c r="R624" i="1"/>
  <c r="AX624" i="1" s="1"/>
  <c r="Q624" i="1"/>
  <c r="AW624" i="1" s="1"/>
  <c r="P624" i="1"/>
  <c r="O624" i="1"/>
  <c r="AU624" i="1" s="1"/>
  <c r="H624" i="1"/>
  <c r="K624" i="1" s="1"/>
  <c r="CT623" i="1"/>
  <c r="R623" i="1"/>
  <c r="Q623" i="1"/>
  <c r="P623" i="1"/>
  <c r="O623" i="1"/>
  <c r="H623" i="1"/>
  <c r="N623" i="1" s="1"/>
  <c r="CT622" i="1"/>
  <c r="R622" i="1"/>
  <c r="Q622" i="1"/>
  <c r="P622" i="1"/>
  <c r="O622" i="1"/>
  <c r="H622" i="1"/>
  <c r="L622" i="1" s="1"/>
  <c r="CT621" i="1"/>
  <c r="R621" i="1"/>
  <c r="Q621" i="1"/>
  <c r="P621" i="1"/>
  <c r="O621" i="1"/>
  <c r="H621" i="1"/>
  <c r="CT620" i="1"/>
  <c r="R620" i="1"/>
  <c r="Q620" i="1"/>
  <c r="P620" i="1"/>
  <c r="O620" i="1"/>
  <c r="H620" i="1"/>
  <c r="CT619" i="1"/>
  <c r="R619" i="1"/>
  <c r="Q619" i="1"/>
  <c r="P619" i="1"/>
  <c r="O619" i="1"/>
  <c r="H619" i="1"/>
  <c r="K619" i="1" s="1"/>
  <c r="CT618" i="1"/>
  <c r="R618" i="1"/>
  <c r="Q618" i="1"/>
  <c r="P618" i="1"/>
  <c r="O618" i="1"/>
  <c r="H618" i="1"/>
  <c r="CT617" i="1"/>
  <c r="R617" i="1"/>
  <c r="Q617" i="1"/>
  <c r="P617" i="1"/>
  <c r="O617" i="1"/>
  <c r="H617" i="1"/>
  <c r="K617" i="1" s="1"/>
  <c r="CT616" i="1"/>
  <c r="R616" i="1"/>
  <c r="Q616" i="1"/>
  <c r="P616" i="1"/>
  <c r="O616" i="1"/>
  <c r="H616" i="1"/>
  <c r="N616" i="1" s="1"/>
  <c r="CT45" i="1"/>
  <c r="R45" i="1"/>
  <c r="Q45" i="1"/>
  <c r="P45" i="1"/>
  <c r="O45" i="1"/>
  <c r="H45" i="1"/>
  <c r="N45" i="1" s="1"/>
  <c r="CT44" i="1"/>
  <c r="R44" i="1"/>
  <c r="Q44" i="1"/>
  <c r="P44" i="1"/>
  <c r="O44" i="1"/>
  <c r="H44" i="1"/>
  <c r="L44" i="1" s="1"/>
  <c r="CT43" i="1"/>
  <c r="R43" i="1"/>
  <c r="Q43" i="1"/>
  <c r="P43" i="1"/>
  <c r="O43" i="1"/>
  <c r="H43" i="1"/>
  <c r="L43" i="1" s="1"/>
  <c r="CT42" i="1"/>
  <c r="R42" i="1"/>
  <c r="Q42" i="1"/>
  <c r="P42" i="1"/>
  <c r="O42" i="1"/>
  <c r="H42" i="1"/>
  <c r="CT41" i="1"/>
  <c r="R41" i="1"/>
  <c r="Q41" i="1"/>
  <c r="P41" i="1"/>
  <c r="O41" i="1"/>
  <c r="H41" i="1"/>
  <c r="N41" i="1" s="1"/>
  <c r="CT40" i="1"/>
  <c r="R40" i="1"/>
  <c r="Q40" i="1"/>
  <c r="P40" i="1"/>
  <c r="O40" i="1"/>
  <c r="H40" i="1"/>
  <c r="K40" i="1" s="1"/>
  <c r="BG40" i="1" s="1"/>
  <c r="CT39" i="1"/>
  <c r="R39" i="1"/>
  <c r="Q39" i="1"/>
  <c r="P39" i="1"/>
  <c r="O39" i="1"/>
  <c r="H39" i="1"/>
  <c r="M39" i="1" s="1"/>
  <c r="CT38" i="1"/>
  <c r="R38" i="1"/>
  <c r="Q38" i="1"/>
  <c r="P38" i="1"/>
  <c r="O38" i="1"/>
  <c r="H38" i="1"/>
  <c r="L38" i="1" s="1"/>
  <c r="CT37" i="1"/>
  <c r="R37" i="1"/>
  <c r="Q37" i="1"/>
  <c r="P37" i="1"/>
  <c r="O37" i="1"/>
  <c r="H37" i="1"/>
  <c r="N37" i="1" s="1"/>
  <c r="CT36" i="1"/>
  <c r="R36" i="1"/>
  <c r="Q36" i="1"/>
  <c r="P36" i="1"/>
  <c r="O36" i="1"/>
  <c r="H36" i="1"/>
  <c r="N36" i="1" s="1"/>
  <c r="CT35" i="1"/>
  <c r="CT34" i="1"/>
  <c r="CT33" i="1"/>
  <c r="CT32" i="1"/>
  <c r="CT31" i="1"/>
  <c r="R31" i="1"/>
  <c r="Q31" i="1"/>
  <c r="P31" i="1"/>
  <c r="O31" i="1"/>
  <c r="H31" i="1"/>
  <c r="N31" i="1" s="1"/>
  <c r="CT30" i="1"/>
  <c r="R30" i="1"/>
  <c r="Q30" i="1"/>
  <c r="P30" i="1"/>
  <c r="O30" i="1"/>
  <c r="H30" i="1"/>
  <c r="CT29" i="1"/>
  <c r="R29" i="1"/>
  <c r="Q29" i="1"/>
  <c r="P29" i="1"/>
  <c r="O29" i="1"/>
  <c r="H29" i="1"/>
  <c r="N29" i="1" s="1"/>
  <c r="CT28" i="1"/>
  <c r="R28" i="1"/>
  <c r="Q28" i="1"/>
  <c r="P28" i="1"/>
  <c r="O28" i="1"/>
  <c r="H28" i="1"/>
  <c r="N28" i="1" s="1"/>
  <c r="CT11" i="1"/>
  <c r="AR11" i="1"/>
  <c r="AO11" i="1"/>
  <c r="R11" i="1"/>
  <c r="AX11" i="1" s="1"/>
  <c r="Q11" i="1"/>
  <c r="AW11" i="1" s="1"/>
  <c r="P11" i="1"/>
  <c r="O11" i="1"/>
  <c r="AU11" i="1" s="1"/>
  <c r="H11" i="1"/>
  <c r="L11" i="1" s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AX8" i="1"/>
  <c r="AX9" i="1" s="1"/>
  <c r="AW8" i="1"/>
  <c r="AW9" i="1" s="1"/>
  <c r="AV8" i="1"/>
  <c r="AV9" i="1" s="1"/>
  <c r="AU8" i="1"/>
  <c r="AU9" i="1" s="1"/>
  <c r="AS8" i="1"/>
  <c r="AS9" i="1" s="1"/>
  <c r="AN8" i="1"/>
  <c r="AM8" i="1"/>
  <c r="AL8" i="1"/>
  <c r="AK8" i="1"/>
  <c r="AJ8" i="1"/>
  <c r="BW6" i="1"/>
  <c r="BV6" i="1"/>
  <c r="BT6" i="1"/>
  <c r="BS6" i="1"/>
  <c r="BR6" i="1"/>
  <c r="BQ6" i="1"/>
  <c r="AX5" i="1"/>
  <c r="AR5" i="1"/>
  <c r="BE178" i="1" l="1"/>
  <c r="AS178" i="1"/>
  <c r="BC178" i="1"/>
  <c r="BI178" i="1"/>
  <c r="BA178" i="1"/>
  <c r="BG178" i="1"/>
  <c r="AZ178" i="1"/>
  <c r="AT178" i="1"/>
  <c r="BI91" i="1"/>
  <c r="BA91" i="1"/>
  <c r="BG91" i="1"/>
  <c r="AZ91" i="1"/>
  <c r="AT91" i="1"/>
  <c r="BE91" i="1"/>
  <c r="AS91" i="1"/>
  <c r="BC91" i="1"/>
  <c r="BC70" i="1"/>
  <c r="BI70" i="1"/>
  <c r="BA70" i="1"/>
  <c r="BG70" i="1"/>
  <c r="AZ70" i="1"/>
  <c r="AT70" i="1"/>
  <c r="BE70" i="1"/>
  <c r="AS70" i="1"/>
  <c r="BC62" i="1"/>
  <c r="BI62" i="1"/>
  <c r="BA62" i="1"/>
  <c r="BG62" i="1"/>
  <c r="AZ62" i="1"/>
  <c r="AT62" i="1"/>
  <c r="BE62" i="1"/>
  <c r="AS62" i="1"/>
  <c r="BG586" i="1"/>
  <c r="AZ586" i="1"/>
  <c r="AT586" i="1"/>
  <c r="BE586" i="1"/>
  <c r="AS586" i="1"/>
  <c r="BC586" i="1"/>
  <c r="BI586" i="1"/>
  <c r="BA586" i="1"/>
  <c r="BC588" i="1"/>
  <c r="BI588" i="1"/>
  <c r="BA588" i="1"/>
  <c r="BG588" i="1"/>
  <c r="AZ588" i="1"/>
  <c r="AT588" i="1"/>
  <c r="BE588" i="1"/>
  <c r="AS588" i="1"/>
  <c r="BG590" i="1"/>
  <c r="AZ590" i="1"/>
  <c r="AT590" i="1"/>
  <c r="BE590" i="1"/>
  <c r="AS590" i="1"/>
  <c r="BC590" i="1"/>
  <c r="BI590" i="1"/>
  <c r="BA590" i="1"/>
  <c r="BC596" i="1"/>
  <c r="BI596" i="1"/>
  <c r="BA596" i="1"/>
  <c r="BG596" i="1"/>
  <c r="AZ596" i="1"/>
  <c r="AT596" i="1"/>
  <c r="BE596" i="1"/>
  <c r="AS596" i="1"/>
  <c r="BG598" i="1"/>
  <c r="AZ598" i="1"/>
  <c r="AT598" i="1"/>
  <c r="BE598" i="1"/>
  <c r="AS598" i="1"/>
  <c r="BC598" i="1"/>
  <c r="BI598" i="1"/>
  <c r="BA598" i="1"/>
  <c r="BC600" i="1"/>
  <c r="BI600" i="1"/>
  <c r="BA600" i="1"/>
  <c r="BG600" i="1"/>
  <c r="AZ600" i="1"/>
  <c r="AT600" i="1"/>
  <c r="BE600" i="1"/>
  <c r="AS600" i="1"/>
  <c r="BC604" i="1"/>
  <c r="BI604" i="1"/>
  <c r="BA604" i="1"/>
  <c r="BG604" i="1"/>
  <c r="AZ604" i="1"/>
  <c r="AT604" i="1"/>
  <c r="BE604" i="1"/>
  <c r="AS604" i="1"/>
  <c r="BG606" i="1"/>
  <c r="AZ606" i="1"/>
  <c r="AT606" i="1"/>
  <c r="BE606" i="1"/>
  <c r="AS606" i="1"/>
  <c r="BC606" i="1"/>
  <c r="BI606" i="1"/>
  <c r="BA606" i="1"/>
  <c r="BC608" i="1"/>
  <c r="BI608" i="1"/>
  <c r="BA608" i="1"/>
  <c r="BG608" i="1"/>
  <c r="AZ608" i="1"/>
  <c r="AT608" i="1"/>
  <c r="BE608" i="1"/>
  <c r="AS608" i="1"/>
  <c r="BG610" i="1"/>
  <c r="AZ610" i="1"/>
  <c r="AT610" i="1"/>
  <c r="BE610" i="1"/>
  <c r="AS610" i="1"/>
  <c r="BC610" i="1"/>
  <c r="BI610" i="1"/>
  <c r="BA610" i="1"/>
  <c r="BE562" i="1"/>
  <c r="AS562" i="1"/>
  <c r="BI562" i="1"/>
  <c r="BA562" i="1"/>
  <c r="BG562" i="1"/>
  <c r="BC562" i="1"/>
  <c r="AZ562" i="1"/>
  <c r="AT562" i="1"/>
  <c r="BG582" i="1"/>
  <c r="AZ582" i="1"/>
  <c r="AT582" i="1"/>
  <c r="BE582" i="1"/>
  <c r="AS582" i="1"/>
  <c r="BC582" i="1"/>
  <c r="BI582" i="1"/>
  <c r="BA582" i="1"/>
  <c r="BC528" i="1"/>
  <c r="BG528" i="1"/>
  <c r="AZ528" i="1"/>
  <c r="AT528" i="1"/>
  <c r="BI528" i="1"/>
  <c r="BE528" i="1"/>
  <c r="BA528" i="1"/>
  <c r="AS528" i="1"/>
  <c r="BG530" i="1"/>
  <c r="AZ530" i="1"/>
  <c r="AT530" i="1"/>
  <c r="BC530" i="1"/>
  <c r="BE530" i="1"/>
  <c r="BA530" i="1"/>
  <c r="AS530" i="1"/>
  <c r="BI530" i="1"/>
  <c r="BI552" i="1"/>
  <c r="BA552" i="1"/>
  <c r="BE552" i="1"/>
  <c r="AS552" i="1"/>
  <c r="BC552" i="1"/>
  <c r="AZ552" i="1"/>
  <c r="AT552" i="1"/>
  <c r="BG552" i="1"/>
  <c r="BC496" i="1"/>
  <c r="BI496" i="1"/>
  <c r="BA496" i="1"/>
  <c r="BG496" i="1"/>
  <c r="AZ496" i="1"/>
  <c r="AT496" i="1"/>
  <c r="BE496" i="1"/>
  <c r="AS496" i="1"/>
  <c r="BC500" i="1"/>
  <c r="BI500" i="1"/>
  <c r="BA500" i="1"/>
  <c r="BG500" i="1"/>
  <c r="AZ500" i="1"/>
  <c r="AT500" i="1"/>
  <c r="BE500" i="1"/>
  <c r="AS500" i="1"/>
  <c r="BC504" i="1"/>
  <c r="BI504" i="1"/>
  <c r="BA504" i="1"/>
  <c r="BG504" i="1"/>
  <c r="AZ504" i="1"/>
  <c r="AT504" i="1"/>
  <c r="BE504" i="1"/>
  <c r="AS504" i="1"/>
  <c r="BG510" i="1"/>
  <c r="AZ510" i="1"/>
  <c r="AT510" i="1"/>
  <c r="BE510" i="1"/>
  <c r="AS510" i="1"/>
  <c r="BC510" i="1"/>
  <c r="BI510" i="1"/>
  <c r="BA510" i="1"/>
  <c r="BG514" i="1"/>
  <c r="AZ514" i="1"/>
  <c r="AT514" i="1"/>
  <c r="BE514" i="1"/>
  <c r="AS514" i="1"/>
  <c r="BC514" i="1"/>
  <c r="BI514" i="1"/>
  <c r="BA514" i="1"/>
  <c r="BC516" i="1"/>
  <c r="BI516" i="1"/>
  <c r="BA516" i="1"/>
  <c r="BG516" i="1"/>
  <c r="AZ516" i="1"/>
  <c r="AT516" i="1"/>
  <c r="BE516" i="1"/>
  <c r="AS516" i="1"/>
  <c r="BG518" i="1"/>
  <c r="AZ518" i="1"/>
  <c r="AT518" i="1"/>
  <c r="BE518" i="1"/>
  <c r="AS518" i="1"/>
  <c r="BC518" i="1"/>
  <c r="BI518" i="1"/>
  <c r="BA518" i="1"/>
  <c r="BC520" i="1"/>
  <c r="BI520" i="1"/>
  <c r="BA520" i="1"/>
  <c r="BG520" i="1"/>
  <c r="AZ520" i="1"/>
  <c r="AT520" i="1"/>
  <c r="BE520" i="1"/>
  <c r="AS520" i="1"/>
  <c r="BG522" i="1"/>
  <c r="AZ522" i="1"/>
  <c r="AT522" i="1"/>
  <c r="BE522" i="1"/>
  <c r="AS522" i="1"/>
  <c r="BC522" i="1"/>
  <c r="BI522" i="1"/>
  <c r="BA522" i="1"/>
  <c r="BE466" i="1"/>
  <c r="AS466" i="1"/>
  <c r="BC466" i="1"/>
  <c r="BI466" i="1"/>
  <c r="BA466" i="1"/>
  <c r="BG466" i="1"/>
  <c r="AZ466" i="1"/>
  <c r="AT466" i="1"/>
  <c r="BE446" i="1"/>
  <c r="AS446" i="1"/>
  <c r="BC446" i="1"/>
  <c r="BI446" i="1"/>
  <c r="BA446" i="1"/>
  <c r="BG446" i="1"/>
  <c r="AZ446" i="1"/>
  <c r="AT446" i="1"/>
  <c r="BI448" i="1"/>
  <c r="BA448" i="1"/>
  <c r="BG448" i="1"/>
  <c r="AZ448" i="1"/>
  <c r="AT448" i="1"/>
  <c r="BE448" i="1"/>
  <c r="AS448" i="1"/>
  <c r="BC448" i="1"/>
  <c r="BI452" i="1"/>
  <c r="BA452" i="1"/>
  <c r="BG452" i="1"/>
  <c r="AZ452" i="1"/>
  <c r="AT452" i="1"/>
  <c r="BE452" i="1"/>
  <c r="AS452" i="1"/>
  <c r="BC452" i="1"/>
  <c r="BE454" i="1"/>
  <c r="AS454" i="1"/>
  <c r="BC454" i="1"/>
  <c r="BI454" i="1"/>
  <c r="BA454" i="1"/>
  <c r="BG454" i="1"/>
  <c r="AZ454" i="1"/>
  <c r="AT454" i="1"/>
  <c r="BE406" i="1"/>
  <c r="AS406" i="1"/>
  <c r="BC406" i="1"/>
  <c r="BI406" i="1"/>
  <c r="BA406" i="1"/>
  <c r="BG406" i="1"/>
  <c r="AZ406" i="1"/>
  <c r="AT406" i="1"/>
  <c r="BG388" i="1"/>
  <c r="AZ388" i="1"/>
  <c r="AT388" i="1"/>
  <c r="BE388" i="1"/>
  <c r="AS388" i="1"/>
  <c r="BC388" i="1"/>
  <c r="BI388" i="1"/>
  <c r="BA388" i="1"/>
  <c r="BG392" i="1"/>
  <c r="AZ392" i="1"/>
  <c r="AT392" i="1"/>
  <c r="BE392" i="1"/>
  <c r="AS392" i="1"/>
  <c r="BC392" i="1"/>
  <c r="BI392" i="1"/>
  <c r="BA392" i="1"/>
  <c r="BG396" i="1"/>
  <c r="AZ396" i="1"/>
  <c r="AT396" i="1"/>
  <c r="BE396" i="1"/>
  <c r="AS396" i="1"/>
  <c r="BC396" i="1"/>
  <c r="BI396" i="1"/>
  <c r="BA396" i="1"/>
  <c r="BG352" i="1"/>
  <c r="AZ352" i="1"/>
  <c r="AT352" i="1"/>
  <c r="BE352" i="1"/>
  <c r="AS352" i="1"/>
  <c r="BC352" i="1"/>
  <c r="BI352" i="1"/>
  <c r="BA352" i="1"/>
  <c r="BG364" i="1"/>
  <c r="AZ364" i="1"/>
  <c r="AT364" i="1"/>
  <c r="BE364" i="1"/>
  <c r="AS364" i="1"/>
  <c r="BC364" i="1"/>
  <c r="BI364" i="1"/>
  <c r="BA364" i="1"/>
  <c r="BG340" i="1"/>
  <c r="AZ340" i="1"/>
  <c r="AT340" i="1"/>
  <c r="BE340" i="1"/>
  <c r="AS340" i="1"/>
  <c r="BC340" i="1"/>
  <c r="BI340" i="1"/>
  <c r="BA340" i="1"/>
  <c r="BG298" i="1"/>
  <c r="AZ298" i="1"/>
  <c r="AT298" i="1"/>
  <c r="BE298" i="1"/>
  <c r="AS298" i="1"/>
  <c r="BC298" i="1"/>
  <c r="BI298" i="1"/>
  <c r="BA298" i="1"/>
  <c r="BC304" i="1"/>
  <c r="BI304" i="1"/>
  <c r="BA304" i="1"/>
  <c r="BG304" i="1"/>
  <c r="AZ304" i="1"/>
  <c r="AT304" i="1"/>
  <c r="BE304" i="1"/>
  <c r="AS304" i="1"/>
  <c r="BC308" i="1"/>
  <c r="BI308" i="1"/>
  <c r="BA308" i="1"/>
  <c r="BG308" i="1"/>
  <c r="AZ308" i="1"/>
  <c r="AT308" i="1"/>
  <c r="BE308" i="1"/>
  <c r="AS308" i="1"/>
  <c r="BG310" i="1"/>
  <c r="AZ310" i="1"/>
  <c r="AT310" i="1"/>
  <c r="BE310" i="1"/>
  <c r="AS310" i="1"/>
  <c r="BC310" i="1"/>
  <c r="BI310" i="1"/>
  <c r="BA310" i="1"/>
  <c r="BG282" i="1"/>
  <c r="AZ282" i="1"/>
  <c r="AT282" i="1"/>
  <c r="BE282" i="1"/>
  <c r="AS282" i="1"/>
  <c r="BC282" i="1"/>
  <c r="BI282" i="1"/>
  <c r="BA282" i="1"/>
  <c r="BE230" i="1"/>
  <c r="AS230" i="1"/>
  <c r="BC230" i="1"/>
  <c r="BI230" i="1"/>
  <c r="BA230" i="1"/>
  <c r="BG230" i="1"/>
  <c r="AZ230" i="1"/>
  <c r="AT230" i="1"/>
  <c r="BI232" i="1"/>
  <c r="BA232" i="1"/>
  <c r="BG232" i="1"/>
  <c r="AZ232" i="1"/>
  <c r="AT232" i="1"/>
  <c r="BE232" i="1"/>
  <c r="AS232" i="1"/>
  <c r="BC232" i="1"/>
  <c r="BE234" i="1"/>
  <c r="AS234" i="1"/>
  <c r="BC234" i="1"/>
  <c r="BI234" i="1"/>
  <c r="BA234" i="1"/>
  <c r="BG234" i="1"/>
  <c r="AZ234" i="1"/>
  <c r="AT234" i="1"/>
  <c r="BC236" i="1"/>
  <c r="BI236" i="1"/>
  <c r="BA236" i="1"/>
  <c r="BG236" i="1"/>
  <c r="AZ236" i="1"/>
  <c r="AT236" i="1"/>
  <c r="BE236" i="1"/>
  <c r="AS236" i="1"/>
  <c r="BG242" i="1"/>
  <c r="AZ242" i="1"/>
  <c r="AT242" i="1"/>
  <c r="BE242" i="1"/>
  <c r="AS242" i="1"/>
  <c r="BC242" i="1"/>
  <c r="BI242" i="1"/>
  <c r="BA242" i="1"/>
  <c r="BC244" i="1"/>
  <c r="BI244" i="1"/>
  <c r="BA244" i="1"/>
  <c r="BG244" i="1"/>
  <c r="AZ244" i="1"/>
  <c r="AT244" i="1"/>
  <c r="BE244" i="1"/>
  <c r="AS244" i="1"/>
  <c r="BG246" i="1"/>
  <c r="AZ246" i="1"/>
  <c r="AT246" i="1"/>
  <c r="BE246" i="1"/>
  <c r="AS246" i="1"/>
  <c r="BC246" i="1"/>
  <c r="BI246" i="1"/>
  <c r="BA246" i="1"/>
  <c r="BC248" i="1"/>
  <c r="BI248" i="1"/>
  <c r="BA248" i="1"/>
  <c r="BG248" i="1"/>
  <c r="AZ248" i="1"/>
  <c r="AT248" i="1"/>
  <c r="BE248" i="1"/>
  <c r="AS248" i="1"/>
  <c r="BG250" i="1"/>
  <c r="AZ250" i="1"/>
  <c r="AT250" i="1"/>
  <c r="BE250" i="1"/>
  <c r="AS250" i="1"/>
  <c r="BC250" i="1"/>
  <c r="BI250" i="1"/>
  <c r="BA250" i="1"/>
  <c r="BC252" i="1"/>
  <c r="BI252" i="1"/>
  <c r="BA252" i="1"/>
  <c r="BG252" i="1"/>
  <c r="AZ252" i="1"/>
  <c r="AT252" i="1"/>
  <c r="BE252" i="1"/>
  <c r="AS252" i="1"/>
  <c r="BE198" i="1"/>
  <c r="AS198" i="1"/>
  <c r="BC198" i="1"/>
  <c r="BI198" i="1"/>
  <c r="BA198" i="1"/>
  <c r="BG198" i="1"/>
  <c r="AZ198" i="1"/>
  <c r="AT198" i="1"/>
  <c r="BE202" i="1"/>
  <c r="AS202" i="1"/>
  <c r="BC202" i="1"/>
  <c r="BI202" i="1"/>
  <c r="BA202" i="1"/>
  <c r="BG202" i="1"/>
  <c r="AZ202" i="1"/>
  <c r="AT202" i="1"/>
  <c r="BC215" i="1"/>
  <c r="BI215" i="1"/>
  <c r="BA215" i="1"/>
  <c r="BG215" i="1"/>
  <c r="AZ215" i="1"/>
  <c r="AT215" i="1"/>
  <c r="BE215" i="1"/>
  <c r="AS215" i="1"/>
  <c r="BC175" i="1"/>
  <c r="BI175" i="1"/>
  <c r="BA175" i="1"/>
  <c r="BG175" i="1"/>
  <c r="AZ175" i="1"/>
  <c r="AT175" i="1"/>
  <c r="BE175" i="1"/>
  <c r="AS175" i="1"/>
  <c r="BC155" i="1"/>
  <c r="BI155" i="1"/>
  <c r="BA155" i="1"/>
  <c r="BG155" i="1"/>
  <c r="AZ155" i="1"/>
  <c r="AT155" i="1"/>
  <c r="BE155" i="1"/>
  <c r="AS155" i="1"/>
  <c r="N109" i="1"/>
  <c r="M127" i="1"/>
  <c r="L89" i="1"/>
  <c r="N90" i="1"/>
  <c r="L91" i="1"/>
  <c r="L46" i="1"/>
  <c r="L47" i="1"/>
  <c r="L48" i="1"/>
  <c r="L49" i="1"/>
  <c r="L50" i="1"/>
  <c r="N60" i="1"/>
  <c r="N61" i="1"/>
  <c r="L62" i="1"/>
  <c r="L70" i="1"/>
  <c r="AT33" i="1"/>
  <c r="AZ33" i="1"/>
  <c r="BG33" i="1"/>
  <c r="AS34" i="1"/>
  <c r="BE34" i="1"/>
  <c r="BA40" i="1"/>
  <c r="BI40" i="1"/>
  <c r="AS46" i="1"/>
  <c r="BE46" i="1"/>
  <c r="BC47" i="1"/>
  <c r="BA48" i="1"/>
  <c r="BI48" i="1"/>
  <c r="AT49" i="1"/>
  <c r="AZ49" i="1"/>
  <c r="BG49" i="1"/>
  <c r="AS50" i="1"/>
  <c r="BE50" i="1"/>
  <c r="BA56" i="1"/>
  <c r="BI56" i="1"/>
  <c r="AT57" i="1"/>
  <c r="AZ57" i="1"/>
  <c r="BG57" i="1"/>
  <c r="AS58" i="1"/>
  <c r="BE58" i="1"/>
  <c r="BC63" i="1"/>
  <c r="AT65" i="1"/>
  <c r="AZ65" i="1"/>
  <c r="BG65" i="1"/>
  <c r="AS66" i="1"/>
  <c r="BE66" i="1"/>
  <c r="BC67" i="1"/>
  <c r="BC71" i="1"/>
  <c r="BA72" i="1"/>
  <c r="BI72" i="1"/>
  <c r="AT73" i="1"/>
  <c r="AZ73" i="1"/>
  <c r="BG73" i="1"/>
  <c r="AS74" i="1"/>
  <c r="BE74" i="1"/>
  <c r="BA84" i="1"/>
  <c r="BI84" i="1"/>
  <c r="AS86" i="1"/>
  <c r="BE86" i="1"/>
  <c r="BA88" i="1"/>
  <c r="BI88" i="1"/>
  <c r="AT89" i="1"/>
  <c r="AZ89" i="1"/>
  <c r="BG89" i="1"/>
  <c r="AT97" i="1"/>
  <c r="AZ97" i="1"/>
  <c r="BG97" i="1"/>
  <c r="AS98" i="1"/>
  <c r="BE98" i="1"/>
  <c r="BA100" i="1"/>
  <c r="BI100" i="1"/>
  <c r="AT109" i="1"/>
  <c r="AZ109" i="1"/>
  <c r="BG109" i="1"/>
  <c r="AS118" i="1"/>
  <c r="BE118" i="1"/>
  <c r="BA120" i="1"/>
  <c r="BI120" i="1"/>
  <c r="BC123" i="1"/>
  <c r="BA124" i="1"/>
  <c r="BI124" i="1"/>
  <c r="AT125" i="1"/>
  <c r="AZ125" i="1"/>
  <c r="BG125" i="1"/>
  <c r="BC127" i="1"/>
  <c r="BA128" i="1"/>
  <c r="BI128" i="1"/>
  <c r="AS130" i="1"/>
  <c r="BE130" i="1"/>
  <c r="BA148" i="1"/>
  <c r="BI148" i="1"/>
  <c r="BI617" i="1"/>
  <c r="BA617" i="1"/>
  <c r="BG617" i="1"/>
  <c r="AZ617" i="1"/>
  <c r="AT617" i="1"/>
  <c r="BE617" i="1"/>
  <c r="AS617" i="1"/>
  <c r="BC617" i="1"/>
  <c r="BE619" i="1"/>
  <c r="AS619" i="1"/>
  <c r="BC619" i="1"/>
  <c r="BI619" i="1"/>
  <c r="BA619" i="1"/>
  <c r="BG619" i="1"/>
  <c r="AZ619" i="1"/>
  <c r="AT619" i="1"/>
  <c r="BI208" i="1"/>
  <c r="BA208" i="1"/>
  <c r="BG208" i="1"/>
  <c r="AZ208" i="1"/>
  <c r="AT208" i="1"/>
  <c r="BE208" i="1"/>
  <c r="AS208" i="1"/>
  <c r="BC208" i="1"/>
  <c r="BC187" i="1"/>
  <c r="BI187" i="1"/>
  <c r="BA187" i="1"/>
  <c r="BG187" i="1"/>
  <c r="AZ187" i="1"/>
  <c r="AT187" i="1"/>
  <c r="BE187" i="1"/>
  <c r="AS187" i="1"/>
  <c r="BA33" i="1"/>
  <c r="BI33" i="1"/>
  <c r="AT34" i="1"/>
  <c r="AZ34" i="1"/>
  <c r="BG34" i="1"/>
  <c r="BC40" i="1"/>
  <c r="AT46" i="1"/>
  <c r="AZ46" i="1"/>
  <c r="BG46" i="1"/>
  <c r="AS47" i="1"/>
  <c r="BE47" i="1"/>
  <c r="BC48" i="1"/>
  <c r="BA49" i="1"/>
  <c r="BI49" i="1"/>
  <c r="AT50" i="1"/>
  <c r="AZ50" i="1"/>
  <c r="BG50" i="1"/>
  <c r="BC56" i="1"/>
  <c r="BA57" i="1"/>
  <c r="BI57" i="1"/>
  <c r="AT58" i="1"/>
  <c r="AZ58" i="1"/>
  <c r="BG58" i="1"/>
  <c r="AS63" i="1"/>
  <c r="BE63" i="1"/>
  <c r="BA65" i="1"/>
  <c r="BI65" i="1"/>
  <c r="AT66" i="1"/>
  <c r="AZ66" i="1"/>
  <c r="BG66" i="1"/>
  <c r="AS67" i="1"/>
  <c r="BE67" i="1"/>
  <c r="AS71" i="1"/>
  <c r="BE71" i="1"/>
  <c r="BC72" i="1"/>
  <c r="BA73" i="1"/>
  <c r="BI73" i="1"/>
  <c r="AT74" i="1"/>
  <c r="AZ74" i="1"/>
  <c r="BG74" i="1"/>
  <c r="BC84" i="1"/>
  <c r="AT86" i="1"/>
  <c r="AZ86" i="1"/>
  <c r="BG86" i="1"/>
  <c r="BC88" i="1"/>
  <c r="BA89" i="1"/>
  <c r="BI89" i="1"/>
  <c r="BA97" i="1"/>
  <c r="BI97" i="1"/>
  <c r="AT98" i="1"/>
  <c r="AZ98" i="1"/>
  <c r="BG98" i="1"/>
  <c r="BC100" i="1"/>
  <c r="BA109" i="1"/>
  <c r="BI109" i="1"/>
  <c r="AT118" i="1"/>
  <c r="AZ118" i="1"/>
  <c r="BG118" i="1"/>
  <c r="BC120" i="1"/>
  <c r="AS123" i="1"/>
  <c r="BE123" i="1"/>
  <c r="BC124" i="1"/>
  <c r="BA125" i="1"/>
  <c r="BI125" i="1"/>
  <c r="AS127" i="1"/>
  <c r="BE127" i="1"/>
  <c r="BC128" i="1"/>
  <c r="AT130" i="1"/>
  <c r="AZ130" i="1"/>
  <c r="BG130" i="1"/>
  <c r="BC148" i="1"/>
  <c r="BE587" i="1"/>
  <c r="AS587" i="1"/>
  <c r="BC587" i="1"/>
  <c r="BI587" i="1"/>
  <c r="BA587" i="1"/>
  <c r="BG587" i="1"/>
  <c r="AZ587" i="1"/>
  <c r="AT587" i="1"/>
  <c r="BI589" i="1"/>
  <c r="BA589" i="1"/>
  <c r="BG589" i="1"/>
  <c r="AZ589" i="1"/>
  <c r="AT589" i="1"/>
  <c r="BE589" i="1"/>
  <c r="AS589" i="1"/>
  <c r="BC589" i="1"/>
  <c r="BI593" i="1"/>
  <c r="BA593" i="1"/>
  <c r="BG593" i="1"/>
  <c r="AZ593" i="1"/>
  <c r="AT593" i="1"/>
  <c r="BE593" i="1"/>
  <c r="AS593" i="1"/>
  <c r="BC593" i="1"/>
  <c r="BE595" i="1"/>
  <c r="AS595" i="1"/>
  <c r="BC595" i="1"/>
  <c r="BI595" i="1"/>
  <c r="BA595" i="1"/>
  <c r="BG595" i="1"/>
  <c r="AZ595" i="1"/>
  <c r="AT595" i="1"/>
  <c r="BI597" i="1"/>
  <c r="BA597" i="1"/>
  <c r="BG597" i="1"/>
  <c r="AZ597" i="1"/>
  <c r="AT597" i="1"/>
  <c r="BE597" i="1"/>
  <c r="AS597" i="1"/>
  <c r="BC597" i="1"/>
  <c r="BE599" i="1"/>
  <c r="AS599" i="1"/>
  <c r="BC599" i="1"/>
  <c r="BI599" i="1"/>
  <c r="BA599" i="1"/>
  <c r="BG599" i="1"/>
  <c r="AZ599" i="1"/>
  <c r="AT599" i="1"/>
  <c r="BI605" i="1"/>
  <c r="BA605" i="1"/>
  <c r="BG605" i="1"/>
  <c r="AZ605" i="1"/>
  <c r="AT605" i="1"/>
  <c r="BE605" i="1"/>
  <c r="AS605" i="1"/>
  <c r="BC605" i="1"/>
  <c r="BE607" i="1"/>
  <c r="AS607" i="1"/>
  <c r="BC607" i="1"/>
  <c r="BI607" i="1"/>
  <c r="BA607" i="1"/>
  <c r="BG607" i="1"/>
  <c r="AZ607" i="1"/>
  <c r="AT607" i="1"/>
  <c r="BI609" i="1"/>
  <c r="BA609" i="1"/>
  <c r="BG609" i="1"/>
  <c r="AZ609" i="1"/>
  <c r="AT609" i="1"/>
  <c r="BE609" i="1"/>
  <c r="AS609" i="1"/>
  <c r="BC609" i="1"/>
  <c r="BC563" i="1"/>
  <c r="BG563" i="1"/>
  <c r="AZ563" i="1"/>
  <c r="AT563" i="1"/>
  <c r="BI563" i="1"/>
  <c r="BE563" i="1"/>
  <c r="BA563" i="1"/>
  <c r="AS563" i="1"/>
  <c r="BG565" i="1"/>
  <c r="AZ565" i="1"/>
  <c r="AT565" i="1"/>
  <c r="BC565" i="1"/>
  <c r="BA565" i="1"/>
  <c r="AS565" i="1"/>
  <c r="BI565" i="1"/>
  <c r="BE565" i="1"/>
  <c r="BE581" i="1"/>
  <c r="AS581" i="1"/>
  <c r="BA581" i="1"/>
  <c r="BI581" i="1"/>
  <c r="AZ581" i="1"/>
  <c r="AT581" i="1"/>
  <c r="BG581" i="1"/>
  <c r="BC581" i="1"/>
  <c r="BE527" i="1"/>
  <c r="AS527" i="1"/>
  <c r="BC527" i="1"/>
  <c r="BI527" i="1"/>
  <c r="BA527" i="1"/>
  <c r="BG527" i="1"/>
  <c r="AZ527" i="1"/>
  <c r="AT527" i="1"/>
  <c r="BI529" i="1"/>
  <c r="BA529" i="1"/>
  <c r="BE529" i="1"/>
  <c r="AS529" i="1"/>
  <c r="BG529" i="1"/>
  <c r="BC529" i="1"/>
  <c r="AZ529" i="1"/>
  <c r="AT529" i="1"/>
  <c r="BG543" i="1"/>
  <c r="AZ543" i="1"/>
  <c r="AT543" i="1"/>
  <c r="BE543" i="1"/>
  <c r="AS543" i="1"/>
  <c r="BC543" i="1"/>
  <c r="BI543" i="1"/>
  <c r="BA543" i="1"/>
  <c r="BI501" i="1"/>
  <c r="BA501" i="1"/>
  <c r="BG501" i="1"/>
  <c r="AZ501" i="1"/>
  <c r="AT501" i="1"/>
  <c r="BE501" i="1"/>
  <c r="AS501" i="1"/>
  <c r="BC501" i="1"/>
  <c r="BE507" i="1"/>
  <c r="AS507" i="1"/>
  <c r="BC507" i="1"/>
  <c r="BI507" i="1"/>
  <c r="BA507" i="1"/>
  <c r="BG507" i="1"/>
  <c r="AZ507" i="1"/>
  <c r="AT507" i="1"/>
  <c r="BI513" i="1"/>
  <c r="BA513" i="1"/>
  <c r="BG513" i="1"/>
  <c r="AZ513" i="1"/>
  <c r="AT513" i="1"/>
  <c r="BE513" i="1"/>
  <c r="AS513" i="1"/>
  <c r="BC513" i="1"/>
  <c r="BE515" i="1"/>
  <c r="AS515" i="1"/>
  <c r="BC515" i="1"/>
  <c r="BI515" i="1"/>
  <c r="BA515" i="1"/>
  <c r="BG515" i="1"/>
  <c r="AZ515" i="1"/>
  <c r="AT515" i="1"/>
  <c r="BI517" i="1"/>
  <c r="BA517" i="1"/>
  <c r="BG517" i="1"/>
  <c r="AZ517" i="1"/>
  <c r="AT517" i="1"/>
  <c r="BE517" i="1"/>
  <c r="AS517" i="1"/>
  <c r="BC517" i="1"/>
  <c r="BE519" i="1"/>
  <c r="AS519" i="1"/>
  <c r="BC519" i="1"/>
  <c r="BI519" i="1"/>
  <c r="BA519" i="1"/>
  <c r="BG519" i="1"/>
  <c r="AZ519" i="1"/>
  <c r="AT519" i="1"/>
  <c r="BE523" i="1"/>
  <c r="AS523" i="1"/>
  <c r="BC523" i="1"/>
  <c r="BI523" i="1"/>
  <c r="BA523" i="1"/>
  <c r="BG523" i="1"/>
  <c r="AZ523" i="1"/>
  <c r="AT523" i="1"/>
  <c r="BC467" i="1"/>
  <c r="BI467" i="1"/>
  <c r="BA467" i="1"/>
  <c r="BG467" i="1"/>
  <c r="AZ467" i="1"/>
  <c r="AT467" i="1"/>
  <c r="BE467" i="1"/>
  <c r="AS467" i="1"/>
  <c r="BC479" i="1"/>
  <c r="BI479" i="1"/>
  <c r="BA479" i="1"/>
  <c r="BG479" i="1"/>
  <c r="AZ479" i="1"/>
  <c r="AT479" i="1"/>
  <c r="BE479" i="1"/>
  <c r="AS479" i="1"/>
  <c r="BE487" i="1"/>
  <c r="AS487" i="1"/>
  <c r="BI487" i="1"/>
  <c r="BA487" i="1"/>
  <c r="BG487" i="1"/>
  <c r="BC487" i="1"/>
  <c r="AZ487" i="1"/>
  <c r="AT487" i="1"/>
  <c r="BE491" i="1"/>
  <c r="AS491" i="1"/>
  <c r="BC491" i="1"/>
  <c r="BI491" i="1"/>
  <c r="BA491" i="1"/>
  <c r="BG491" i="1"/>
  <c r="AZ491" i="1"/>
  <c r="AT491" i="1"/>
  <c r="BC451" i="1"/>
  <c r="BI451" i="1"/>
  <c r="BA451" i="1"/>
  <c r="BG451" i="1"/>
  <c r="AZ451" i="1"/>
  <c r="AT451" i="1"/>
  <c r="BE451" i="1"/>
  <c r="AS451" i="1"/>
  <c r="BG453" i="1"/>
  <c r="AZ453" i="1"/>
  <c r="AT453" i="1"/>
  <c r="BE453" i="1"/>
  <c r="AS453" i="1"/>
  <c r="BC453" i="1"/>
  <c r="BI453" i="1"/>
  <c r="BA453" i="1"/>
  <c r="BC455" i="1"/>
  <c r="BI455" i="1"/>
  <c r="BA455" i="1"/>
  <c r="BG455" i="1"/>
  <c r="AZ455" i="1"/>
  <c r="AT455" i="1"/>
  <c r="BE455" i="1"/>
  <c r="AS455" i="1"/>
  <c r="BG461" i="1"/>
  <c r="AZ461" i="1"/>
  <c r="AT461" i="1"/>
  <c r="BE461" i="1"/>
  <c r="AS461" i="1"/>
  <c r="BC461" i="1"/>
  <c r="BI461" i="1"/>
  <c r="BA461" i="1"/>
  <c r="BC407" i="1"/>
  <c r="BI407" i="1"/>
  <c r="BA407" i="1"/>
  <c r="BG407" i="1"/>
  <c r="AZ407" i="1"/>
  <c r="AT407" i="1"/>
  <c r="BE407" i="1"/>
  <c r="AS407" i="1"/>
  <c r="BG413" i="1"/>
  <c r="AZ413" i="1"/>
  <c r="AT413" i="1"/>
  <c r="BE413" i="1"/>
  <c r="AS413" i="1"/>
  <c r="BC413" i="1"/>
  <c r="BI413" i="1"/>
  <c r="BA413" i="1"/>
  <c r="BC415" i="1"/>
  <c r="BI415" i="1"/>
  <c r="BA415" i="1"/>
  <c r="BG415" i="1"/>
  <c r="AZ415" i="1"/>
  <c r="AT415" i="1"/>
  <c r="BE415" i="1"/>
  <c r="AS415" i="1"/>
  <c r="BE393" i="1"/>
  <c r="AS393" i="1"/>
  <c r="BC393" i="1"/>
  <c r="BI393" i="1"/>
  <c r="BA393" i="1"/>
  <c r="BG393" i="1"/>
  <c r="AZ393" i="1"/>
  <c r="AT393" i="1"/>
  <c r="BI395" i="1"/>
  <c r="BA395" i="1"/>
  <c r="BG395" i="1"/>
  <c r="AZ395" i="1"/>
  <c r="AT395" i="1"/>
  <c r="BE395" i="1"/>
  <c r="AS395" i="1"/>
  <c r="BC395" i="1"/>
  <c r="BE397" i="1"/>
  <c r="AS397" i="1"/>
  <c r="BC397" i="1"/>
  <c r="BI397" i="1"/>
  <c r="BA397" i="1"/>
  <c r="BG397" i="1"/>
  <c r="AZ397" i="1"/>
  <c r="AT397" i="1"/>
  <c r="BE401" i="1"/>
  <c r="AS401" i="1"/>
  <c r="BC401" i="1"/>
  <c r="BI401" i="1"/>
  <c r="BA401" i="1"/>
  <c r="BG401" i="1"/>
  <c r="AZ401" i="1"/>
  <c r="AT401" i="1"/>
  <c r="BI347" i="1"/>
  <c r="BA347" i="1"/>
  <c r="BG347" i="1"/>
  <c r="AZ347" i="1"/>
  <c r="AT347" i="1"/>
  <c r="BE347" i="1"/>
  <c r="AS347" i="1"/>
  <c r="BC347" i="1"/>
  <c r="BE353" i="1"/>
  <c r="AS353" i="1"/>
  <c r="BC353" i="1"/>
  <c r="BI353" i="1"/>
  <c r="BA353" i="1"/>
  <c r="BG353" i="1"/>
  <c r="AZ353" i="1"/>
  <c r="AT353" i="1"/>
  <c r="BI363" i="1"/>
  <c r="BA363" i="1"/>
  <c r="BG363" i="1"/>
  <c r="AZ363" i="1"/>
  <c r="AT363" i="1"/>
  <c r="BE363" i="1"/>
  <c r="AS363" i="1"/>
  <c r="BC363" i="1"/>
  <c r="BE365" i="1"/>
  <c r="AS365" i="1"/>
  <c r="BC365" i="1"/>
  <c r="BI365" i="1"/>
  <c r="BA365" i="1"/>
  <c r="BG365" i="1"/>
  <c r="AZ365" i="1"/>
  <c r="AT365" i="1"/>
  <c r="BI367" i="1"/>
  <c r="BA367" i="1"/>
  <c r="BG367" i="1"/>
  <c r="AZ367" i="1"/>
  <c r="AT367" i="1"/>
  <c r="BE367" i="1"/>
  <c r="AS367" i="1"/>
  <c r="BC367" i="1"/>
  <c r="BE369" i="1"/>
  <c r="AS369" i="1"/>
  <c r="BC369" i="1"/>
  <c r="BI369" i="1"/>
  <c r="BA369" i="1"/>
  <c r="BG369" i="1"/>
  <c r="AZ369" i="1"/>
  <c r="AT369" i="1"/>
  <c r="BI371" i="1"/>
  <c r="BA371" i="1"/>
  <c r="BG371" i="1"/>
  <c r="AZ371" i="1"/>
  <c r="AT371" i="1"/>
  <c r="BE371" i="1"/>
  <c r="AS371" i="1"/>
  <c r="BC371" i="1"/>
  <c r="BI327" i="1"/>
  <c r="BA327" i="1"/>
  <c r="BG327" i="1"/>
  <c r="AZ327" i="1"/>
  <c r="AT327" i="1"/>
  <c r="BE327" i="1"/>
  <c r="AS327" i="1"/>
  <c r="BC327" i="1"/>
  <c r="BE291" i="1"/>
  <c r="AS291" i="1"/>
  <c r="BC291" i="1"/>
  <c r="BI291" i="1"/>
  <c r="BA291" i="1"/>
  <c r="BG291" i="1"/>
  <c r="AZ291" i="1"/>
  <c r="AT291" i="1"/>
  <c r="BE295" i="1"/>
  <c r="AS295" i="1"/>
  <c r="BC295" i="1"/>
  <c r="BI295" i="1"/>
  <c r="BA295" i="1"/>
  <c r="BG295" i="1"/>
  <c r="AZ295" i="1"/>
  <c r="AT295" i="1"/>
  <c r="BE307" i="1"/>
  <c r="AS307" i="1"/>
  <c r="BC307" i="1"/>
  <c r="BI307" i="1"/>
  <c r="BA307" i="1"/>
  <c r="BG307" i="1"/>
  <c r="AZ307" i="1"/>
  <c r="AT307" i="1"/>
  <c r="BI281" i="1"/>
  <c r="BA281" i="1"/>
  <c r="BG281" i="1"/>
  <c r="AZ281" i="1"/>
  <c r="AT281" i="1"/>
  <c r="BE281" i="1"/>
  <c r="AS281" i="1"/>
  <c r="BC281" i="1"/>
  <c r="BC231" i="1"/>
  <c r="BI231" i="1"/>
  <c r="BA231" i="1"/>
  <c r="BG231" i="1"/>
  <c r="AZ231" i="1"/>
  <c r="AT231" i="1"/>
  <c r="BE231" i="1"/>
  <c r="AS231" i="1"/>
  <c r="BG233" i="1"/>
  <c r="AZ233" i="1"/>
  <c r="AT233" i="1"/>
  <c r="BE233" i="1"/>
  <c r="AS233" i="1"/>
  <c r="BC233" i="1"/>
  <c r="BI233" i="1"/>
  <c r="BA233" i="1"/>
  <c r="BE235" i="1"/>
  <c r="AS235" i="1"/>
  <c r="BC235" i="1"/>
  <c r="BI235" i="1"/>
  <c r="BA235" i="1"/>
  <c r="BG235" i="1"/>
  <c r="AZ235" i="1"/>
  <c r="AT235" i="1"/>
  <c r="BI237" i="1"/>
  <c r="BA237" i="1"/>
  <c r="BG237" i="1"/>
  <c r="AZ237" i="1"/>
  <c r="AT237" i="1"/>
  <c r="BE237" i="1"/>
  <c r="AS237" i="1"/>
  <c r="BC237" i="1"/>
  <c r="BI241" i="1"/>
  <c r="BA241" i="1"/>
  <c r="BG241" i="1"/>
  <c r="AZ241" i="1"/>
  <c r="AT241" i="1"/>
  <c r="BE241" i="1"/>
  <c r="AS241" i="1"/>
  <c r="BC241" i="1"/>
  <c r="BE243" i="1"/>
  <c r="AS243" i="1"/>
  <c r="BC243" i="1"/>
  <c r="BI243" i="1"/>
  <c r="BA243" i="1"/>
  <c r="BG243" i="1"/>
  <c r="AZ243" i="1"/>
  <c r="AT243" i="1"/>
  <c r="BI245" i="1"/>
  <c r="BA245" i="1"/>
  <c r="BG245" i="1"/>
  <c r="AZ245" i="1"/>
  <c r="AT245" i="1"/>
  <c r="BE245" i="1"/>
  <c r="AS245" i="1"/>
  <c r="BC245" i="1"/>
  <c r="BE247" i="1"/>
  <c r="AS247" i="1"/>
  <c r="BC247" i="1"/>
  <c r="BI247" i="1"/>
  <c r="BA247" i="1"/>
  <c r="BG247" i="1"/>
  <c r="AZ247" i="1"/>
  <c r="AT247" i="1"/>
  <c r="BI249" i="1"/>
  <c r="BA249" i="1"/>
  <c r="BG249" i="1"/>
  <c r="AZ249" i="1"/>
  <c r="AT249" i="1"/>
  <c r="BE249" i="1"/>
  <c r="AS249" i="1"/>
  <c r="BC249" i="1"/>
  <c r="BG201" i="1"/>
  <c r="AZ201" i="1"/>
  <c r="AT201" i="1"/>
  <c r="BE201" i="1"/>
  <c r="AS201" i="1"/>
  <c r="BC201" i="1"/>
  <c r="BI201" i="1"/>
  <c r="BA201" i="1"/>
  <c r="BI216" i="1"/>
  <c r="BA216" i="1"/>
  <c r="BG216" i="1"/>
  <c r="AZ216" i="1"/>
  <c r="AT216" i="1"/>
  <c r="BE216" i="1"/>
  <c r="AS216" i="1"/>
  <c r="BC216" i="1"/>
  <c r="BE222" i="1"/>
  <c r="AS222" i="1"/>
  <c r="BC222" i="1"/>
  <c r="BI222" i="1"/>
  <c r="BA222" i="1"/>
  <c r="BG222" i="1"/>
  <c r="AZ222" i="1"/>
  <c r="AT222" i="1"/>
  <c r="BE166" i="1"/>
  <c r="AS166" i="1"/>
  <c r="BC166" i="1"/>
  <c r="BI166" i="1"/>
  <c r="BA166" i="1"/>
  <c r="BG166" i="1"/>
  <c r="AZ166" i="1"/>
  <c r="AT166" i="1"/>
  <c r="BI156" i="1"/>
  <c r="BA156" i="1"/>
  <c r="BG156" i="1"/>
  <c r="AZ156" i="1"/>
  <c r="AT156" i="1"/>
  <c r="BE156" i="1"/>
  <c r="AS156" i="1"/>
  <c r="BC156" i="1"/>
  <c r="N133" i="1"/>
  <c r="L80" i="1"/>
  <c r="L95" i="1"/>
  <c r="N100" i="1"/>
  <c r="K59" i="1"/>
  <c r="K60" i="1"/>
  <c r="L65" i="1"/>
  <c r="K75" i="1"/>
  <c r="BC33" i="1"/>
  <c r="BA34" i="1"/>
  <c r="BI34" i="1"/>
  <c r="AS40" i="1"/>
  <c r="BE40" i="1"/>
  <c r="BA46" i="1"/>
  <c r="BI46" i="1"/>
  <c r="AT47" i="1"/>
  <c r="AZ47" i="1"/>
  <c r="BG47" i="1"/>
  <c r="AS48" i="1"/>
  <c r="BE48" i="1"/>
  <c r="BC49" i="1"/>
  <c r="BA50" i="1"/>
  <c r="BI50" i="1"/>
  <c r="AS56" i="1"/>
  <c r="BE56" i="1"/>
  <c r="BC57" i="1"/>
  <c r="BA58" i="1"/>
  <c r="BI58" i="1"/>
  <c r="AT63" i="1"/>
  <c r="AZ63" i="1"/>
  <c r="BG63" i="1"/>
  <c r="BC65" i="1"/>
  <c r="BA66" i="1"/>
  <c r="BI66" i="1"/>
  <c r="AT67" i="1"/>
  <c r="AZ67" i="1"/>
  <c r="BG67" i="1"/>
  <c r="AT71" i="1"/>
  <c r="AZ71" i="1"/>
  <c r="BG71" i="1"/>
  <c r="AS72" i="1"/>
  <c r="BE72" i="1"/>
  <c r="BC73" i="1"/>
  <c r="BA74" i="1"/>
  <c r="BI74" i="1"/>
  <c r="AS84" i="1"/>
  <c r="BE84" i="1"/>
  <c r="BA86" i="1"/>
  <c r="BI86" i="1"/>
  <c r="AS88" i="1"/>
  <c r="BE88" i="1"/>
  <c r="BC89" i="1"/>
  <c r="BC97" i="1"/>
  <c r="BA98" i="1"/>
  <c r="BI98" i="1"/>
  <c r="AS100" i="1"/>
  <c r="BE100" i="1"/>
  <c r="BC109" i="1"/>
  <c r="BA118" i="1"/>
  <c r="BI118" i="1"/>
  <c r="AS120" i="1"/>
  <c r="BE120" i="1"/>
  <c r="AT123" i="1"/>
  <c r="AZ123" i="1"/>
  <c r="BG123" i="1"/>
  <c r="AS124" i="1"/>
  <c r="BE124" i="1"/>
  <c r="BC125" i="1"/>
  <c r="AT127" i="1"/>
  <c r="AZ127" i="1"/>
  <c r="BG127" i="1"/>
  <c r="AS128" i="1"/>
  <c r="BE128" i="1"/>
  <c r="BA130" i="1"/>
  <c r="BI130" i="1"/>
  <c r="AS148" i="1"/>
  <c r="BE148" i="1"/>
  <c r="BI188" i="1"/>
  <c r="BA188" i="1"/>
  <c r="BG188" i="1"/>
  <c r="AZ188" i="1"/>
  <c r="AT188" i="1"/>
  <c r="BE188" i="1"/>
  <c r="AS188" i="1"/>
  <c r="BC188" i="1"/>
  <c r="N156" i="1"/>
  <c r="BE162" i="1"/>
  <c r="AS162" i="1"/>
  <c r="BC162" i="1"/>
  <c r="BI162" i="1"/>
  <c r="BA162" i="1"/>
  <c r="BG162" i="1"/>
  <c r="AZ162" i="1"/>
  <c r="AT162" i="1"/>
  <c r="L127" i="1"/>
  <c r="L82" i="1"/>
  <c r="K90" i="1"/>
  <c r="L97" i="1"/>
  <c r="N59" i="1"/>
  <c r="K61" i="1"/>
  <c r="N67" i="1"/>
  <c r="N75" i="1"/>
  <c r="AS33" i="1"/>
  <c r="AT40" i="1"/>
  <c r="AZ40" i="1"/>
  <c r="BA47" i="1"/>
  <c r="AT48" i="1"/>
  <c r="AZ48" i="1"/>
  <c r="AS49" i="1"/>
  <c r="AT56" i="1"/>
  <c r="AZ56" i="1"/>
  <c r="AS57" i="1"/>
  <c r="BA63" i="1"/>
  <c r="AS65" i="1"/>
  <c r="BA67" i="1"/>
  <c r="BA71" i="1"/>
  <c r="AT72" i="1"/>
  <c r="AZ72" i="1"/>
  <c r="AS73" i="1"/>
  <c r="AT84" i="1"/>
  <c r="AZ84" i="1"/>
  <c r="AT88" i="1"/>
  <c r="AZ88" i="1"/>
  <c r="AS89" i="1"/>
  <c r="AS97" i="1"/>
  <c r="AT100" i="1"/>
  <c r="AZ100" i="1"/>
  <c r="AS109" i="1"/>
  <c r="AT120" i="1"/>
  <c r="AZ120" i="1"/>
  <c r="BA123" i="1"/>
  <c r="AT124" i="1"/>
  <c r="AZ124" i="1"/>
  <c r="AS125" i="1"/>
  <c r="BA127" i="1"/>
  <c r="AT128" i="1"/>
  <c r="AZ128" i="1"/>
  <c r="AT148" i="1"/>
  <c r="AZ148" i="1"/>
  <c r="L79" i="1"/>
  <c r="N87" i="1"/>
  <c r="N89" i="1"/>
  <c r="N93" i="1"/>
  <c r="M97" i="1"/>
  <c r="M103" i="1"/>
  <c r="L103" i="1"/>
  <c r="N127" i="1"/>
  <c r="L76" i="1"/>
  <c r="L77" i="1"/>
  <c r="L81" i="1"/>
  <c r="L84" i="1"/>
  <c r="K87" i="1"/>
  <c r="K92" i="1"/>
  <c r="K93" i="1"/>
  <c r="L98" i="1"/>
  <c r="K335" i="1"/>
  <c r="L186" i="1"/>
  <c r="M143" i="1"/>
  <c r="L159" i="1"/>
  <c r="L118" i="1"/>
  <c r="M126" i="1"/>
  <c r="N167" i="1"/>
  <c r="M186" i="1"/>
  <c r="K147" i="1"/>
  <c r="L156" i="1"/>
  <c r="N118" i="1"/>
  <c r="L125" i="1"/>
  <c r="L252" i="1"/>
  <c r="M222" i="1"/>
  <c r="L175" i="1"/>
  <c r="M137" i="1"/>
  <c r="M156" i="1"/>
  <c r="L162" i="1"/>
  <c r="M109" i="1"/>
  <c r="M120" i="1"/>
  <c r="L124" i="1"/>
  <c r="N92" i="1"/>
  <c r="N98" i="1"/>
  <c r="K102" i="1"/>
  <c r="L102" i="1"/>
  <c r="K52" i="1"/>
  <c r="M52" i="1"/>
  <c r="K53" i="1"/>
  <c r="M53" i="1"/>
  <c r="N46" i="1"/>
  <c r="N47" i="1"/>
  <c r="N48" i="1"/>
  <c r="N49" i="1"/>
  <c r="K51" i="1"/>
  <c r="N52" i="1"/>
  <c r="L53" i="1"/>
  <c r="K54" i="1"/>
  <c r="M54" i="1"/>
  <c r="L51" i="1"/>
  <c r="N53" i="1"/>
  <c r="L54" i="1"/>
  <c r="K55" i="1"/>
  <c r="M55" i="1"/>
  <c r="M56" i="1"/>
  <c r="M58" i="1"/>
  <c r="M60" i="1"/>
  <c r="M62" i="1"/>
  <c r="L63" i="1"/>
  <c r="K64" i="1"/>
  <c r="M64" i="1"/>
  <c r="N64" i="1"/>
  <c r="M57" i="1"/>
  <c r="M59" i="1"/>
  <c r="M61" i="1"/>
  <c r="M63" i="1"/>
  <c r="K68" i="1"/>
  <c r="M68" i="1"/>
  <c r="M65" i="1"/>
  <c r="N66" i="1"/>
  <c r="L68" i="1"/>
  <c r="K69" i="1"/>
  <c r="M69" i="1"/>
  <c r="N69" i="1"/>
  <c r="N65" i="1"/>
  <c r="N68" i="1"/>
  <c r="M70" i="1"/>
  <c r="M72" i="1"/>
  <c r="M74" i="1"/>
  <c r="M71" i="1"/>
  <c r="M73" i="1"/>
  <c r="M75" i="1"/>
  <c r="K169" i="1"/>
  <c r="K177" i="1"/>
  <c r="K181" i="1"/>
  <c r="M139" i="1"/>
  <c r="K141" i="1"/>
  <c r="M144" i="1"/>
  <c r="L228" i="1"/>
  <c r="N201" i="1"/>
  <c r="L171" i="1"/>
  <c r="L177" i="1"/>
  <c r="K137" i="1"/>
  <c r="K140" i="1"/>
  <c r="L141" i="1"/>
  <c r="M204" i="1"/>
  <c r="L222" i="1"/>
  <c r="M174" i="1"/>
  <c r="M183" i="1"/>
  <c r="L188" i="1"/>
  <c r="L137" i="1"/>
  <c r="L140" i="1"/>
  <c r="M141" i="1"/>
  <c r="N146" i="1"/>
  <c r="M110" i="1"/>
  <c r="K132" i="1"/>
  <c r="L132" i="1"/>
  <c r="AG76" i="1"/>
  <c r="AF76" i="1"/>
  <c r="AD76" i="1"/>
  <c r="L109" i="1"/>
  <c r="K121" i="1"/>
  <c r="N121" i="1"/>
  <c r="M121" i="1"/>
  <c r="K122" i="1"/>
  <c r="N122" i="1"/>
  <c r="M133" i="1"/>
  <c r="K76" i="1"/>
  <c r="K77" i="1"/>
  <c r="K78" i="1"/>
  <c r="K79" i="1"/>
  <c r="K80" i="1"/>
  <c r="K81" i="1"/>
  <c r="K82" i="1"/>
  <c r="K83" i="1"/>
  <c r="K85" i="1"/>
  <c r="M86" i="1"/>
  <c r="L86" i="1"/>
  <c r="M88" i="1"/>
  <c r="L88" i="1"/>
  <c r="L83" i="1"/>
  <c r="M84" i="1"/>
  <c r="L85" i="1"/>
  <c r="M76" i="1"/>
  <c r="M77" i="1"/>
  <c r="M78" i="1"/>
  <c r="M79" i="1"/>
  <c r="M80" i="1"/>
  <c r="M81" i="1"/>
  <c r="M82" i="1"/>
  <c r="N86" i="1"/>
  <c r="N88" i="1"/>
  <c r="L120" i="1"/>
  <c r="N130" i="1"/>
  <c r="N83" i="1"/>
  <c r="M85" i="1"/>
  <c r="M87" i="1"/>
  <c r="M89" i="1"/>
  <c r="M91" i="1"/>
  <c r="M94" i="1"/>
  <c r="L94" i="1"/>
  <c r="N94" i="1"/>
  <c r="K94" i="1"/>
  <c r="M90" i="1"/>
  <c r="M92" i="1"/>
  <c r="M96" i="1"/>
  <c r="L96" i="1"/>
  <c r="N96" i="1"/>
  <c r="K96" i="1"/>
  <c r="K95" i="1"/>
  <c r="M93" i="1"/>
  <c r="M95" i="1"/>
  <c r="K99" i="1"/>
  <c r="L99" i="1"/>
  <c r="N97" i="1"/>
  <c r="M99" i="1"/>
  <c r="N99" i="1"/>
  <c r="K101" i="1"/>
  <c r="L101" i="1"/>
  <c r="N101" i="1"/>
  <c r="M101" i="1"/>
  <c r="M98" i="1"/>
  <c r="L100" i="1"/>
  <c r="N102" i="1"/>
  <c r="K103" i="1"/>
  <c r="L105" i="1"/>
  <c r="M100" i="1"/>
  <c r="M104" i="1"/>
  <c r="K104" i="1"/>
  <c r="M102" i="1"/>
  <c r="L104" i="1"/>
  <c r="M105" i="1"/>
  <c r="K105" i="1"/>
  <c r="K108" i="1"/>
  <c r="N108" i="1"/>
  <c r="M108" i="1"/>
  <c r="K136" i="1"/>
  <c r="K138" i="1"/>
  <c r="K142" i="1"/>
  <c r="N163" i="1"/>
  <c r="K106" i="1"/>
  <c r="L106" i="1"/>
  <c r="L108" i="1"/>
  <c r="K111" i="1"/>
  <c r="M111" i="1"/>
  <c r="N111" i="1"/>
  <c r="L111" i="1"/>
  <c r="M229" i="1"/>
  <c r="N197" i="1"/>
  <c r="L166" i="1"/>
  <c r="K168" i="1"/>
  <c r="L170" i="1"/>
  <c r="K173" i="1"/>
  <c r="K179" i="1"/>
  <c r="M245" i="1"/>
  <c r="K204" i="1"/>
  <c r="K207" i="1"/>
  <c r="M166" i="1"/>
  <c r="L167" i="1"/>
  <c r="L168" i="1"/>
  <c r="M170" i="1"/>
  <c r="K174" i="1"/>
  <c r="L176" i="1"/>
  <c r="K183" i="1"/>
  <c r="K184" i="1"/>
  <c r="K199" i="1"/>
  <c r="L204" i="1"/>
  <c r="L207" i="1"/>
  <c r="M168" i="1"/>
  <c r="L174" i="1"/>
  <c r="L183" i="1"/>
  <c r="K186" i="1"/>
  <c r="L136" i="1"/>
  <c r="L138" i="1"/>
  <c r="K139" i="1"/>
  <c r="M140" i="1"/>
  <c r="L142" i="1"/>
  <c r="K143" i="1"/>
  <c r="K144" i="1"/>
  <c r="K145" i="1"/>
  <c r="K146" i="1"/>
  <c r="L151" i="1"/>
  <c r="M106" i="1"/>
  <c r="M136" i="1"/>
  <c r="M138" i="1"/>
  <c r="L139" i="1"/>
  <c r="M142" i="1"/>
  <c r="L143" i="1"/>
  <c r="L155" i="1"/>
  <c r="M162" i="1"/>
  <c r="N106" i="1"/>
  <c r="K107" i="1"/>
  <c r="M107" i="1"/>
  <c r="L107" i="1"/>
  <c r="K114" i="1"/>
  <c r="M114" i="1"/>
  <c r="N114" i="1"/>
  <c r="L114" i="1"/>
  <c r="K115" i="1"/>
  <c r="M115" i="1"/>
  <c r="K117" i="1"/>
  <c r="L117" i="1"/>
  <c r="N117" i="1"/>
  <c r="K119" i="1"/>
  <c r="N119" i="1"/>
  <c r="M119" i="1"/>
  <c r="L119" i="1"/>
  <c r="K110" i="1"/>
  <c r="K112" i="1"/>
  <c r="M112" i="1"/>
  <c r="L115" i="1"/>
  <c r="K116" i="1"/>
  <c r="M116" i="1"/>
  <c r="L110" i="1"/>
  <c r="L112" i="1"/>
  <c r="K113" i="1"/>
  <c r="M113" i="1"/>
  <c r="N115" i="1"/>
  <c r="L116" i="1"/>
  <c r="M125" i="1"/>
  <c r="L123" i="1"/>
  <c r="M124" i="1"/>
  <c r="N125" i="1"/>
  <c r="K126" i="1"/>
  <c r="L126" i="1"/>
  <c r="L122" i="1"/>
  <c r="M123" i="1"/>
  <c r="N124" i="1"/>
  <c r="M118" i="1"/>
  <c r="L121" i="1"/>
  <c r="M122" i="1"/>
  <c r="N123" i="1"/>
  <c r="L128" i="1"/>
  <c r="N129" i="1"/>
  <c r="M128" i="1"/>
  <c r="K131" i="1"/>
  <c r="L131" i="1"/>
  <c r="N131" i="1"/>
  <c r="M131" i="1"/>
  <c r="N128" i="1"/>
  <c r="K129" i="1"/>
  <c r="L129" i="1"/>
  <c r="L130" i="1"/>
  <c r="N132" i="1"/>
  <c r="K133" i="1"/>
  <c r="L135" i="1"/>
  <c r="M130" i="1"/>
  <c r="M134" i="1"/>
  <c r="K134" i="1"/>
  <c r="M132" i="1"/>
  <c r="L134" i="1"/>
  <c r="M135" i="1"/>
  <c r="K135" i="1"/>
  <c r="L223" i="1"/>
  <c r="M169" i="1"/>
  <c r="K170" i="1"/>
  <c r="K171" i="1"/>
  <c r="M172" i="1"/>
  <c r="L173" i="1"/>
  <c r="N175" i="1"/>
  <c r="M175" i="1"/>
  <c r="N176" i="1"/>
  <c r="K176" i="1"/>
  <c r="N179" i="1"/>
  <c r="L179" i="1"/>
  <c r="N185" i="1"/>
  <c r="L185" i="1"/>
  <c r="N193" i="1"/>
  <c r="K263" i="1"/>
  <c r="M248" i="1"/>
  <c r="L202" i="1"/>
  <c r="K203" i="1"/>
  <c r="K206" i="1"/>
  <c r="K210" i="1"/>
  <c r="M211" i="1"/>
  <c r="K213" i="1"/>
  <c r="N282" i="1"/>
  <c r="N241" i="1"/>
  <c r="L253" i="1"/>
  <c r="L198" i="1"/>
  <c r="K200" i="1"/>
  <c r="N202" i="1"/>
  <c r="K205" i="1"/>
  <c r="L206" i="1"/>
  <c r="M207" i="1"/>
  <c r="L210" i="1"/>
  <c r="K212" i="1"/>
  <c r="M223" i="1"/>
  <c r="M173" i="1"/>
  <c r="N178" i="1"/>
  <c r="M178" i="1"/>
  <c r="K185" i="1"/>
  <c r="N187" i="1"/>
  <c r="L187" i="1"/>
  <c r="K190" i="1"/>
  <c r="N190" i="1"/>
  <c r="AG136" i="1"/>
  <c r="AF136" i="1"/>
  <c r="AD136" i="1"/>
  <c r="L205" i="1"/>
  <c r="M210" i="1"/>
  <c r="M212" i="1"/>
  <c r="M171" i="1"/>
  <c r="K172" i="1"/>
  <c r="N180" i="1"/>
  <c r="L180" i="1"/>
  <c r="N182" i="1"/>
  <c r="K182" i="1"/>
  <c r="L169" i="1"/>
  <c r="L172" i="1"/>
  <c r="L178" i="1"/>
  <c r="K180" i="1"/>
  <c r="N181" i="1"/>
  <c r="L181" i="1"/>
  <c r="L182" i="1"/>
  <c r="N184" i="1"/>
  <c r="L184" i="1"/>
  <c r="M187" i="1"/>
  <c r="M190" i="1"/>
  <c r="L193" i="1"/>
  <c r="M152" i="1"/>
  <c r="K152" i="1"/>
  <c r="M145" i="1"/>
  <c r="M147" i="1"/>
  <c r="M149" i="1"/>
  <c r="K149" i="1"/>
  <c r="L152" i="1"/>
  <c r="M153" i="1"/>
  <c r="K153" i="1"/>
  <c r="L149" i="1"/>
  <c r="M150" i="1"/>
  <c r="K150" i="1"/>
  <c r="N152" i="1"/>
  <c r="L153" i="1"/>
  <c r="K154" i="1"/>
  <c r="N154" i="1"/>
  <c r="M154" i="1"/>
  <c r="L154" i="1"/>
  <c r="N144" i="1"/>
  <c r="L145" i="1"/>
  <c r="M146" i="1"/>
  <c r="L147" i="1"/>
  <c r="M148" i="1"/>
  <c r="N149" i="1"/>
  <c r="L150" i="1"/>
  <c r="M151" i="1"/>
  <c r="K151" i="1"/>
  <c r="N153" i="1"/>
  <c r="M155" i="1"/>
  <c r="K157" i="1"/>
  <c r="M158" i="1"/>
  <c r="N158" i="1"/>
  <c r="L158" i="1"/>
  <c r="N155" i="1"/>
  <c r="L157" i="1"/>
  <c r="K158" i="1"/>
  <c r="K160" i="1"/>
  <c r="M160" i="1"/>
  <c r="N160" i="1"/>
  <c r="L160" i="1"/>
  <c r="M157" i="1"/>
  <c r="N159" i="1"/>
  <c r="K161" i="1"/>
  <c r="N161" i="1"/>
  <c r="M161" i="1"/>
  <c r="K159" i="1"/>
  <c r="L165" i="1"/>
  <c r="K163" i="1"/>
  <c r="M164" i="1"/>
  <c r="K164" i="1"/>
  <c r="L163" i="1"/>
  <c r="L164" i="1"/>
  <c r="M165" i="1"/>
  <c r="K165" i="1"/>
  <c r="K209" i="1"/>
  <c r="L215" i="1"/>
  <c r="M216" i="1"/>
  <c r="N198" i="1"/>
  <c r="L200" i="1"/>
  <c r="M205" i="1"/>
  <c r="M206" i="1"/>
  <c r="M208" i="1"/>
  <c r="L209" i="1"/>
  <c r="K211" i="1"/>
  <c r="M215" i="1"/>
  <c r="K219" i="1"/>
  <c r="L347" i="1"/>
  <c r="M267" i="1"/>
  <c r="K279" i="1"/>
  <c r="N237" i="1"/>
  <c r="M246" i="1"/>
  <c r="N347" i="1"/>
  <c r="N304" i="1"/>
  <c r="L279" i="1"/>
  <c r="L226" i="1"/>
  <c r="K229" i="1"/>
  <c r="L230" i="1"/>
  <c r="N232" i="1"/>
  <c r="L241" i="1"/>
  <c r="M243" i="1"/>
  <c r="M247" i="1"/>
  <c r="N327" i="1"/>
  <c r="M226" i="1"/>
  <c r="K228" i="1"/>
  <c r="L229" i="1"/>
  <c r="M230" i="1"/>
  <c r="M241" i="1"/>
  <c r="M244" i="1"/>
  <c r="M209" i="1"/>
  <c r="L211" i="1"/>
  <c r="N215" i="1"/>
  <c r="N166" i="1"/>
  <c r="K167" i="1"/>
  <c r="N177" i="1"/>
  <c r="K189" i="1"/>
  <c r="N189" i="1"/>
  <c r="M189" i="1"/>
  <c r="L189" i="1"/>
  <c r="K191" i="1"/>
  <c r="L191" i="1"/>
  <c r="M191" i="1"/>
  <c r="N191" i="1"/>
  <c r="K192" i="1"/>
  <c r="M192" i="1"/>
  <c r="N192" i="1"/>
  <c r="L192" i="1"/>
  <c r="M188" i="1"/>
  <c r="K193" i="1"/>
  <c r="L195" i="1"/>
  <c r="M194" i="1"/>
  <c r="K194" i="1"/>
  <c r="L194" i="1"/>
  <c r="M195" i="1"/>
  <c r="K195" i="1"/>
  <c r="N248" i="1"/>
  <c r="L250" i="1"/>
  <c r="M196" i="1"/>
  <c r="K197" i="1"/>
  <c r="M281" i="1"/>
  <c r="L282" i="1"/>
  <c r="K227" i="1"/>
  <c r="L231" i="1"/>
  <c r="M233" i="1"/>
  <c r="N250" i="1"/>
  <c r="N196" i="1"/>
  <c r="L317" i="1"/>
  <c r="K296" i="1"/>
  <c r="K262" i="1"/>
  <c r="K266" i="1"/>
  <c r="K278" i="1"/>
  <c r="L281" i="1"/>
  <c r="M317" i="1"/>
  <c r="K332" i="1"/>
  <c r="L340" i="1"/>
  <c r="K345" i="1"/>
  <c r="K290" i="1"/>
  <c r="L296" i="1"/>
  <c r="K259" i="1"/>
  <c r="L262" i="1"/>
  <c r="L266" i="1"/>
  <c r="K267" i="1"/>
  <c r="K270" i="1"/>
  <c r="L278" i="1"/>
  <c r="L370" i="1"/>
  <c r="M321" i="1"/>
  <c r="N332" i="1"/>
  <c r="N342" i="1"/>
  <c r="N345" i="1"/>
  <c r="N290" i="1"/>
  <c r="L259" i="1"/>
  <c r="M262" i="1"/>
  <c r="M266" i="1"/>
  <c r="L267" i="1"/>
  <c r="M278" i="1"/>
  <c r="M282" i="1"/>
  <c r="K226" i="1"/>
  <c r="L227" i="1"/>
  <c r="M228" i="1"/>
  <c r="L232" i="1"/>
  <c r="N233" i="1"/>
  <c r="L235" i="1"/>
  <c r="L236" i="1"/>
  <c r="L237" i="1"/>
  <c r="L243" i="1"/>
  <c r="L244" i="1"/>
  <c r="L245" i="1"/>
  <c r="L246" i="1"/>
  <c r="L247" i="1"/>
  <c r="L248" i="1"/>
  <c r="K196" i="1"/>
  <c r="M197" i="1"/>
  <c r="M199" i="1"/>
  <c r="L199" i="1"/>
  <c r="M227" i="1"/>
  <c r="M232" i="1"/>
  <c r="M236" i="1"/>
  <c r="M237" i="1"/>
  <c r="L255" i="1"/>
  <c r="L196" i="1"/>
  <c r="M201" i="1"/>
  <c r="M203" i="1"/>
  <c r="M198" i="1"/>
  <c r="M200" i="1"/>
  <c r="L201" i="1"/>
  <c r="M202" i="1"/>
  <c r="L203" i="1"/>
  <c r="K214" i="1"/>
  <c r="N214" i="1"/>
  <c r="M214" i="1"/>
  <c r="L214" i="1"/>
  <c r="N212" i="1"/>
  <c r="N213" i="1"/>
  <c r="N216" i="1"/>
  <c r="L213" i="1"/>
  <c r="L216" i="1"/>
  <c r="N217" i="1"/>
  <c r="M218" i="1"/>
  <c r="K217" i="1"/>
  <c r="K218" i="1"/>
  <c r="K220" i="1"/>
  <c r="L220" i="1"/>
  <c r="M220" i="1"/>
  <c r="L217" i="1"/>
  <c r="L218" i="1"/>
  <c r="L219" i="1"/>
  <c r="M219" i="1"/>
  <c r="N220" i="1"/>
  <c r="K221" i="1"/>
  <c r="M221" i="1"/>
  <c r="N221" i="1"/>
  <c r="L225" i="1"/>
  <c r="M224" i="1"/>
  <c r="K224" i="1"/>
  <c r="N222" i="1"/>
  <c r="K223" i="1"/>
  <c r="L224" i="1"/>
  <c r="M225" i="1"/>
  <c r="K225" i="1"/>
  <c r="N313" i="1"/>
  <c r="M256" i="1"/>
  <c r="M257" i="1"/>
  <c r="M258" i="1"/>
  <c r="M260" i="1"/>
  <c r="L261" i="1"/>
  <c r="M263" i="1"/>
  <c r="L264" i="1"/>
  <c r="L265" i="1"/>
  <c r="M268" i="1"/>
  <c r="N270" i="1"/>
  <c r="M270" i="1"/>
  <c r="AF226" i="1"/>
  <c r="AD226" i="1"/>
  <c r="AG226" i="1"/>
  <c r="AE226" i="1"/>
  <c r="M261" i="1"/>
  <c r="M264" i="1"/>
  <c r="M265" i="1"/>
  <c r="N272" i="1"/>
  <c r="M272" i="1"/>
  <c r="L272" i="1"/>
  <c r="M384" i="1"/>
  <c r="K341" i="1"/>
  <c r="K292" i="1"/>
  <c r="K321" i="1"/>
  <c r="L327" i="1"/>
  <c r="K338" i="1"/>
  <c r="K342" i="1"/>
  <c r="L292" i="1"/>
  <c r="M299" i="1"/>
  <c r="N309" i="1"/>
  <c r="N448" i="1"/>
  <c r="K317" i="1"/>
  <c r="L321" i="1"/>
  <c r="M327" i="1"/>
  <c r="K334" i="1"/>
  <c r="N291" i="1"/>
  <c r="M298" i="1"/>
  <c r="N310" i="1"/>
  <c r="K260" i="1"/>
  <c r="K268" i="1"/>
  <c r="N269" i="1"/>
  <c r="M269" i="1"/>
  <c r="N271" i="1"/>
  <c r="M271" i="1"/>
  <c r="K272" i="1"/>
  <c r="L273" i="1"/>
  <c r="K273" i="1"/>
  <c r="K275" i="1"/>
  <c r="L275" i="1"/>
  <c r="M313" i="1"/>
  <c r="L256" i="1"/>
  <c r="L257" i="1"/>
  <c r="M259" i="1"/>
  <c r="L260" i="1"/>
  <c r="K261" i="1"/>
  <c r="K264" i="1"/>
  <c r="K265" i="1"/>
  <c r="L268" i="1"/>
  <c r="K269" i="1"/>
  <c r="K271" i="1"/>
  <c r="M273" i="1"/>
  <c r="M276" i="1"/>
  <c r="L276" i="1"/>
  <c r="N277" i="1"/>
  <c r="L277" i="1"/>
  <c r="K277" i="1"/>
  <c r="N230" i="1"/>
  <c r="N231" i="1"/>
  <c r="L233" i="1"/>
  <c r="M234" i="1"/>
  <c r="N235" i="1"/>
  <c r="K238" i="1"/>
  <c r="L238" i="1"/>
  <c r="N234" i="1"/>
  <c r="M238" i="1"/>
  <c r="N238" i="1"/>
  <c r="K239" i="1"/>
  <c r="M239" i="1"/>
  <c r="M231" i="1"/>
  <c r="L234" i="1"/>
  <c r="M235" i="1"/>
  <c r="N236" i="1"/>
  <c r="L239" i="1"/>
  <c r="K240" i="1"/>
  <c r="N240" i="1"/>
  <c r="M240" i="1"/>
  <c r="L242" i="1"/>
  <c r="M242" i="1"/>
  <c r="N242" i="1"/>
  <c r="N243" i="1"/>
  <c r="N244" i="1"/>
  <c r="N245" i="1"/>
  <c r="N246" i="1"/>
  <c r="N247" i="1"/>
  <c r="L249" i="1"/>
  <c r="M249" i="1"/>
  <c r="K251" i="1"/>
  <c r="L251" i="1"/>
  <c r="N251" i="1"/>
  <c r="M251" i="1"/>
  <c r="N249" i="1"/>
  <c r="N252" i="1"/>
  <c r="K253" i="1"/>
  <c r="M250" i="1"/>
  <c r="M254" i="1"/>
  <c r="K254" i="1"/>
  <c r="M252" i="1"/>
  <c r="N253" i="1"/>
  <c r="L254" i="1"/>
  <c r="M255" i="1"/>
  <c r="K255" i="1"/>
  <c r="K333" i="1"/>
  <c r="K336" i="1"/>
  <c r="N343" i="1"/>
  <c r="K289" i="1"/>
  <c r="K293" i="1"/>
  <c r="K294" i="1"/>
  <c r="N298" i="1"/>
  <c r="K473" i="1"/>
  <c r="K356" i="1"/>
  <c r="K325" i="1"/>
  <c r="L473" i="1"/>
  <c r="N421" i="1"/>
  <c r="M369" i="1"/>
  <c r="N371" i="1"/>
  <c r="K319" i="1"/>
  <c r="K323" i="1"/>
  <c r="L325" i="1"/>
  <c r="L286" i="1"/>
  <c r="L294" i="1"/>
  <c r="M306" i="1"/>
  <c r="L307" i="1"/>
  <c r="L479" i="1"/>
  <c r="L369" i="1"/>
  <c r="L371" i="1"/>
  <c r="M473" i="1"/>
  <c r="L399" i="1"/>
  <c r="L365" i="1"/>
  <c r="L373" i="1"/>
  <c r="M319" i="1"/>
  <c r="M323" i="1"/>
  <c r="N328" i="1"/>
  <c r="K337" i="1"/>
  <c r="N341" i="1"/>
  <c r="L298" i="1"/>
  <c r="N307" i="1"/>
  <c r="M310" i="1"/>
  <c r="AG256" i="1"/>
  <c r="AD256" i="1"/>
  <c r="AF256" i="1"/>
  <c r="K256" i="1"/>
  <c r="K257" i="1"/>
  <c r="K258" i="1"/>
  <c r="N258" i="1"/>
  <c r="N263" i="1"/>
  <c r="K274" i="1"/>
  <c r="N274" i="1"/>
  <c r="M274" i="1"/>
  <c r="N275" i="1"/>
  <c r="K276" i="1"/>
  <c r="N273" i="1"/>
  <c r="M275" i="1"/>
  <c r="N276" i="1"/>
  <c r="K280" i="1"/>
  <c r="M280" i="1"/>
  <c r="N280" i="1"/>
  <c r="K283" i="1"/>
  <c r="L283" i="1"/>
  <c r="N283" i="1"/>
  <c r="M283" i="1"/>
  <c r="M284" i="1"/>
  <c r="K284" i="1"/>
  <c r="L284" i="1"/>
  <c r="N284" i="1"/>
  <c r="N279" i="1"/>
  <c r="L285" i="1"/>
  <c r="N281" i="1"/>
  <c r="M285" i="1"/>
  <c r="K285" i="1"/>
  <c r="L316" i="1"/>
  <c r="L331" i="1"/>
  <c r="K331" i="1"/>
  <c r="AG286" i="1"/>
  <c r="AF286" i="1"/>
  <c r="AE286" i="1"/>
  <c r="AD286" i="1"/>
  <c r="N320" i="1"/>
  <c r="M320" i="1"/>
  <c r="K320" i="1"/>
  <c r="N331" i="1"/>
  <c r="N389" i="1"/>
  <c r="K354" i="1"/>
  <c r="L352" i="1"/>
  <c r="K362" i="1"/>
  <c r="L362" i="1"/>
  <c r="K408" i="1"/>
  <c r="K410" i="1"/>
  <c r="L377" i="1"/>
  <c r="M401" i="1"/>
  <c r="L349" i="1"/>
  <c r="N352" i="1"/>
  <c r="L354" i="1"/>
  <c r="K355" i="1"/>
  <c r="M362" i="1"/>
  <c r="N368" i="1"/>
  <c r="M368" i="1"/>
  <c r="N318" i="1"/>
  <c r="K318" i="1"/>
  <c r="M318" i="1"/>
  <c r="N324" i="1"/>
  <c r="M324" i="1"/>
  <c r="K324" i="1"/>
  <c r="N408" i="1"/>
  <c r="M393" i="1"/>
  <c r="N397" i="1"/>
  <c r="N362" i="1"/>
  <c r="N316" i="1"/>
  <c r="K316" i="1"/>
  <c r="L318" i="1"/>
  <c r="N322" i="1"/>
  <c r="K322" i="1"/>
  <c r="M322" i="1"/>
  <c r="L324" i="1"/>
  <c r="K326" i="1"/>
  <c r="L326" i="1"/>
  <c r="L319" i="1"/>
  <c r="L323" i="1"/>
  <c r="N333" i="1"/>
  <c r="N335" i="1"/>
  <c r="N337" i="1"/>
  <c r="N340" i="1"/>
  <c r="K344" i="1"/>
  <c r="K286" i="1"/>
  <c r="K287" i="1"/>
  <c r="K288" i="1"/>
  <c r="M289" i="1"/>
  <c r="M291" i="1"/>
  <c r="M293" i="1"/>
  <c r="M295" i="1"/>
  <c r="L344" i="1"/>
  <c r="L287" i="1"/>
  <c r="L288" i="1"/>
  <c r="K297" i="1"/>
  <c r="K300" i="1"/>
  <c r="M300" i="1"/>
  <c r="N300" i="1"/>
  <c r="K343" i="1"/>
  <c r="M286" i="1"/>
  <c r="M287" i="1"/>
  <c r="L289" i="1"/>
  <c r="M290" i="1"/>
  <c r="L291" i="1"/>
  <c r="M292" i="1"/>
  <c r="L293" i="1"/>
  <c r="M294" i="1"/>
  <c r="L295" i="1"/>
  <c r="M296" i="1"/>
  <c r="L297" i="1"/>
  <c r="K299" i="1"/>
  <c r="L299" i="1"/>
  <c r="L300" i="1"/>
  <c r="K301" i="1"/>
  <c r="M301" i="1"/>
  <c r="N301" i="1"/>
  <c r="L301" i="1"/>
  <c r="N288" i="1"/>
  <c r="N295" i="1"/>
  <c r="N297" i="1"/>
  <c r="K302" i="1"/>
  <c r="M302" i="1"/>
  <c r="L302" i="1"/>
  <c r="L303" i="1"/>
  <c r="K303" i="1"/>
  <c r="M303" i="1"/>
  <c r="L304" i="1"/>
  <c r="N305" i="1"/>
  <c r="M304" i="1"/>
  <c r="L306" i="1"/>
  <c r="K306" i="1"/>
  <c r="L305" i="1"/>
  <c r="K305" i="1"/>
  <c r="M305" i="1"/>
  <c r="M308" i="1"/>
  <c r="M307" i="1"/>
  <c r="N308" i="1"/>
  <c r="K309" i="1"/>
  <c r="L309" i="1"/>
  <c r="K311" i="1"/>
  <c r="L311" i="1"/>
  <c r="M311" i="1"/>
  <c r="N311" i="1"/>
  <c r="K312" i="1"/>
  <c r="M312" i="1"/>
  <c r="N312" i="1"/>
  <c r="L308" i="1"/>
  <c r="L310" i="1"/>
  <c r="K313" i="1"/>
  <c r="L315" i="1"/>
  <c r="M314" i="1"/>
  <c r="K314" i="1"/>
  <c r="L314" i="1"/>
  <c r="M315" i="1"/>
  <c r="K315" i="1"/>
  <c r="N353" i="1"/>
  <c r="AF316" i="1"/>
  <c r="AD316" i="1"/>
  <c r="AG316" i="1"/>
  <c r="AE316" i="1"/>
  <c r="K349" i="1"/>
  <c r="K358" i="1"/>
  <c r="N358" i="1"/>
  <c r="K366" i="1"/>
  <c r="L366" i="1"/>
  <c r="N366" i="1"/>
  <c r="M366" i="1"/>
  <c r="K444" i="1"/>
  <c r="L406" i="1"/>
  <c r="L413" i="1"/>
  <c r="L386" i="1"/>
  <c r="L395" i="1"/>
  <c r="M436" i="1"/>
  <c r="M444" i="1"/>
  <c r="M452" i="1"/>
  <c r="M406" i="1"/>
  <c r="N419" i="1"/>
  <c r="K435" i="1"/>
  <c r="L381" i="1"/>
  <c r="K384" i="1"/>
  <c r="M386" i="1"/>
  <c r="M398" i="1"/>
  <c r="N351" i="1"/>
  <c r="L351" i="1"/>
  <c r="L380" i="1"/>
  <c r="L384" i="1"/>
  <c r="M387" i="1"/>
  <c r="L393" i="1"/>
  <c r="K399" i="1"/>
  <c r="K351" i="1"/>
  <c r="L358" i="1"/>
  <c r="K359" i="1"/>
  <c r="N359" i="1"/>
  <c r="N363" i="1"/>
  <c r="K368" i="1"/>
  <c r="N325" i="1"/>
  <c r="N326" i="1"/>
  <c r="L368" i="1"/>
  <c r="M329" i="1"/>
  <c r="N329" i="1"/>
  <c r="K329" i="1"/>
  <c r="M330" i="1"/>
  <c r="N330" i="1"/>
  <c r="K330" i="1"/>
  <c r="M326" i="1"/>
  <c r="M328" i="1"/>
  <c r="K328" i="1"/>
  <c r="L329" i="1"/>
  <c r="M332" i="1"/>
  <c r="M334" i="1"/>
  <c r="M336" i="1"/>
  <c r="M338" i="1"/>
  <c r="M331" i="1"/>
  <c r="M333" i="1"/>
  <c r="L334" i="1"/>
  <c r="M335" i="1"/>
  <c r="L336" i="1"/>
  <c r="M337" i="1"/>
  <c r="L338" i="1"/>
  <c r="K339" i="1"/>
  <c r="M339" i="1"/>
  <c r="N339" i="1"/>
  <c r="M340" i="1"/>
  <c r="M342" i="1"/>
  <c r="M344" i="1"/>
  <c r="M341" i="1"/>
  <c r="M343" i="1"/>
  <c r="M345" i="1"/>
  <c r="AF346" i="1"/>
  <c r="AG346" i="1"/>
  <c r="AE346" i="1"/>
  <c r="AD346" i="1"/>
  <c r="M385" i="1"/>
  <c r="N388" i="1"/>
  <c r="N396" i="1"/>
  <c r="L398" i="1"/>
  <c r="L508" i="1"/>
  <c r="M438" i="1"/>
  <c r="L415" i="1"/>
  <c r="L401" i="1"/>
  <c r="M346" i="1"/>
  <c r="M348" i="1"/>
  <c r="M350" i="1"/>
  <c r="K357" i="1"/>
  <c r="N357" i="1"/>
  <c r="L357" i="1"/>
  <c r="M357" i="1"/>
  <c r="L423" i="1"/>
  <c r="M445" i="1"/>
  <c r="N412" i="1"/>
  <c r="L420" i="1"/>
  <c r="K425" i="1"/>
  <c r="K432" i="1"/>
  <c r="L376" i="1"/>
  <c r="K436" i="1"/>
  <c r="L452" i="1"/>
  <c r="N407" i="1"/>
  <c r="K417" i="1"/>
  <c r="N425" i="1"/>
  <c r="N432" i="1"/>
  <c r="L434" i="1"/>
  <c r="L379" i="1"/>
  <c r="K385" i="1"/>
  <c r="L388" i="1"/>
  <c r="L392" i="1"/>
  <c r="L396" i="1"/>
  <c r="K346" i="1"/>
  <c r="K348" i="1"/>
  <c r="K350" i="1"/>
  <c r="M353" i="1"/>
  <c r="L353" i="1"/>
  <c r="M355" i="1"/>
  <c r="L355" i="1"/>
  <c r="K431" i="1"/>
  <c r="L378" i="1"/>
  <c r="L382" i="1"/>
  <c r="L385" i="1"/>
  <c r="K386" i="1"/>
  <c r="K387" i="1"/>
  <c r="M388" i="1"/>
  <c r="M392" i="1"/>
  <c r="N393" i="1"/>
  <c r="M396" i="1"/>
  <c r="K398" i="1"/>
  <c r="N401" i="1"/>
  <c r="L346" i="1"/>
  <c r="M347" i="1"/>
  <c r="L348" i="1"/>
  <c r="M349" i="1"/>
  <c r="L350" i="1"/>
  <c r="M351" i="1"/>
  <c r="M352" i="1"/>
  <c r="M354" i="1"/>
  <c r="M356" i="1"/>
  <c r="K360" i="1"/>
  <c r="M360" i="1"/>
  <c r="L360" i="1"/>
  <c r="N360" i="1"/>
  <c r="K361" i="1"/>
  <c r="N361" i="1"/>
  <c r="M361" i="1"/>
  <c r="N356" i="1"/>
  <c r="M363" i="1"/>
  <c r="N364" i="1"/>
  <c r="M367" i="1"/>
  <c r="N367" i="1"/>
  <c r="L364" i="1"/>
  <c r="M365" i="1"/>
  <c r="L359" i="1"/>
  <c r="L363" i="1"/>
  <c r="M364" i="1"/>
  <c r="N365" i="1"/>
  <c r="L367" i="1"/>
  <c r="K372" i="1"/>
  <c r="L372" i="1"/>
  <c r="N372" i="1"/>
  <c r="M372" i="1"/>
  <c r="M374" i="1"/>
  <c r="K374" i="1"/>
  <c r="L374" i="1"/>
  <c r="N374" i="1"/>
  <c r="K370" i="1"/>
  <c r="N370" i="1"/>
  <c r="L375" i="1"/>
  <c r="M371" i="1"/>
  <c r="K373" i="1"/>
  <c r="N369" i="1"/>
  <c r="M373" i="1"/>
  <c r="M375" i="1"/>
  <c r="K375" i="1"/>
  <c r="L407" i="1"/>
  <c r="L418" i="1"/>
  <c r="K418" i="1"/>
  <c r="N418" i="1"/>
  <c r="M538" i="1"/>
  <c r="L470" i="1"/>
  <c r="N481" i="1"/>
  <c r="L446" i="1"/>
  <c r="L451" i="1"/>
  <c r="K458" i="1"/>
  <c r="L440" i="1"/>
  <c r="M470" i="1"/>
  <c r="K442" i="1"/>
  <c r="L443" i="1"/>
  <c r="K445" i="1"/>
  <c r="M458" i="1"/>
  <c r="L459" i="1"/>
  <c r="K459" i="1"/>
  <c r="K462" i="1"/>
  <c r="N462" i="1"/>
  <c r="M466" i="1"/>
  <c r="K438" i="1"/>
  <c r="L439" i="1"/>
  <c r="M442" i="1"/>
  <c r="L445" i="1"/>
  <c r="L448" i="1"/>
  <c r="M459" i="1"/>
  <c r="L462" i="1"/>
  <c r="K409" i="1"/>
  <c r="N409" i="1"/>
  <c r="L409" i="1"/>
  <c r="N411" i="1"/>
  <c r="K411" i="1"/>
  <c r="AG376" i="1"/>
  <c r="AF376" i="1"/>
  <c r="AE376" i="1"/>
  <c r="AD376" i="1"/>
  <c r="N410" i="1"/>
  <c r="L417" i="1"/>
  <c r="K419" i="1"/>
  <c r="K420" i="1"/>
  <c r="K423" i="1"/>
  <c r="N430" i="1"/>
  <c r="K434" i="1"/>
  <c r="K376" i="1"/>
  <c r="K377" i="1"/>
  <c r="K378" i="1"/>
  <c r="K379" i="1"/>
  <c r="K380" i="1"/>
  <c r="K381" i="1"/>
  <c r="K382" i="1"/>
  <c r="K383" i="1"/>
  <c r="L383" i="1"/>
  <c r="K427" i="1"/>
  <c r="K430" i="1"/>
  <c r="N431" i="1"/>
  <c r="K433" i="1"/>
  <c r="N435" i="1"/>
  <c r="M376" i="1"/>
  <c r="M377" i="1"/>
  <c r="M378" i="1"/>
  <c r="M379" i="1"/>
  <c r="M380" i="1"/>
  <c r="M381" i="1"/>
  <c r="M382" i="1"/>
  <c r="M383" i="1"/>
  <c r="L427" i="1"/>
  <c r="N433" i="1"/>
  <c r="N387" i="1"/>
  <c r="K390" i="1"/>
  <c r="M390" i="1"/>
  <c r="L390" i="1"/>
  <c r="N390" i="1"/>
  <c r="K391" i="1"/>
  <c r="N391" i="1"/>
  <c r="M391" i="1"/>
  <c r="K394" i="1"/>
  <c r="M394" i="1"/>
  <c r="L394" i="1"/>
  <c r="N394" i="1"/>
  <c r="K389" i="1"/>
  <c r="L389" i="1"/>
  <c r="L391" i="1"/>
  <c r="M397" i="1"/>
  <c r="N392" i="1"/>
  <c r="M395" i="1"/>
  <c r="N395" i="1"/>
  <c r="L397" i="1"/>
  <c r="L400" i="1"/>
  <c r="K402" i="1"/>
  <c r="L402" i="1"/>
  <c r="M402" i="1"/>
  <c r="K400" i="1"/>
  <c r="N400" i="1"/>
  <c r="N402" i="1"/>
  <c r="K403" i="1"/>
  <c r="M403" i="1"/>
  <c r="N403" i="1"/>
  <c r="M404" i="1"/>
  <c r="K404" i="1"/>
  <c r="L404" i="1"/>
  <c r="N404" i="1"/>
  <c r="L405" i="1"/>
  <c r="N399" i="1"/>
  <c r="M405" i="1"/>
  <c r="K405" i="1"/>
  <c r="N475" i="1"/>
  <c r="K481" i="1"/>
  <c r="N491" i="1"/>
  <c r="L436" i="1"/>
  <c r="M437" i="1"/>
  <c r="L438" i="1"/>
  <c r="K439" i="1"/>
  <c r="K440" i="1"/>
  <c r="M441" i="1"/>
  <c r="L442" i="1"/>
  <c r="K443" i="1"/>
  <c r="L444" i="1"/>
  <c r="M446" i="1"/>
  <c r="M448" i="1"/>
  <c r="L453" i="1"/>
  <c r="L455" i="1"/>
  <c r="L456" i="1"/>
  <c r="K457" i="1"/>
  <c r="N406" i="1"/>
  <c r="M407" i="1"/>
  <c r="M409" i="1"/>
  <c r="M411" i="1"/>
  <c r="M413" i="1"/>
  <c r="L414" i="1"/>
  <c r="M415" i="1"/>
  <c r="L416" i="1"/>
  <c r="N453" i="1"/>
  <c r="L457" i="1"/>
  <c r="K437" i="1"/>
  <c r="M439" i="1"/>
  <c r="M440" i="1"/>
  <c r="K441" i="1"/>
  <c r="M443" i="1"/>
  <c r="M457" i="1"/>
  <c r="L458" i="1"/>
  <c r="L461" i="1"/>
  <c r="N463" i="1"/>
  <c r="M408" i="1"/>
  <c r="M410" i="1"/>
  <c r="M412" i="1"/>
  <c r="M414" i="1"/>
  <c r="M416" i="1"/>
  <c r="L579" i="1"/>
  <c r="M546" i="1"/>
  <c r="N504" i="1"/>
  <c r="M534" i="1"/>
  <c r="K506" i="1"/>
  <c r="M524" i="1"/>
  <c r="K469" i="1"/>
  <c r="K471" i="1"/>
  <c r="K475" i="1"/>
  <c r="K488" i="1"/>
  <c r="K538" i="1"/>
  <c r="N524" i="1"/>
  <c r="L467" i="1"/>
  <c r="K470" i="1"/>
  <c r="K476" i="1"/>
  <c r="K480" i="1"/>
  <c r="K482" i="1"/>
  <c r="L491" i="1"/>
  <c r="L437" i="1"/>
  <c r="L441" i="1"/>
  <c r="K412" i="1"/>
  <c r="N413" i="1"/>
  <c r="K414" i="1"/>
  <c r="N415" i="1"/>
  <c r="K416" i="1"/>
  <c r="M417" i="1"/>
  <c r="M418" i="1"/>
  <c r="M420" i="1"/>
  <c r="M428" i="1"/>
  <c r="N428" i="1"/>
  <c r="L428" i="1"/>
  <c r="K428" i="1"/>
  <c r="M419" i="1"/>
  <c r="M421" i="1"/>
  <c r="M422" i="1"/>
  <c r="L422" i="1"/>
  <c r="M424" i="1"/>
  <c r="L424" i="1"/>
  <c r="M426" i="1"/>
  <c r="L426" i="1"/>
  <c r="K421" i="1"/>
  <c r="K422" i="1"/>
  <c r="K424" i="1"/>
  <c r="K426" i="1"/>
  <c r="M423" i="1"/>
  <c r="M425" i="1"/>
  <c r="M427" i="1"/>
  <c r="K429" i="1"/>
  <c r="M429" i="1"/>
  <c r="N429" i="1"/>
  <c r="M430" i="1"/>
  <c r="M432" i="1"/>
  <c r="M434" i="1"/>
  <c r="M431" i="1"/>
  <c r="M433" i="1"/>
  <c r="M435" i="1"/>
  <c r="N483" i="1"/>
  <c r="N487" i="1"/>
  <c r="K490" i="1"/>
  <c r="L490" i="1"/>
  <c r="M490" i="1"/>
  <c r="N515" i="1"/>
  <c r="N518" i="1"/>
  <c r="M519" i="1"/>
  <c r="L525" i="1"/>
  <c r="M467" i="1"/>
  <c r="M468" i="1"/>
  <c r="L469" i="1"/>
  <c r="L471" i="1"/>
  <c r="K472" i="1"/>
  <c r="K474" i="1"/>
  <c r="N476" i="1"/>
  <c r="K477" i="1"/>
  <c r="N479" i="1"/>
  <c r="L567" i="1"/>
  <c r="L527" i="1"/>
  <c r="L531" i="1"/>
  <c r="K535" i="1"/>
  <c r="L547" i="1"/>
  <c r="L501" i="1"/>
  <c r="K502" i="1"/>
  <c r="L511" i="1"/>
  <c r="L515" i="1"/>
  <c r="L518" i="1"/>
  <c r="M567" i="1"/>
  <c r="K575" i="1"/>
  <c r="M527" i="1"/>
  <c r="K534" i="1"/>
  <c r="L535" i="1"/>
  <c r="K541" i="1"/>
  <c r="N501" i="1"/>
  <c r="N505" i="1"/>
  <c r="L507" i="1"/>
  <c r="M511" i="1"/>
  <c r="M568" i="1"/>
  <c r="M575" i="1"/>
  <c r="N527" i="1"/>
  <c r="L534" i="1"/>
  <c r="M535" i="1"/>
  <c r="L543" i="1"/>
  <c r="N498" i="1"/>
  <c r="N500" i="1"/>
  <c r="N507" i="1"/>
  <c r="N468" i="1"/>
  <c r="M469" i="1"/>
  <c r="M471" i="1"/>
  <c r="L472" i="1"/>
  <c r="N474" i="1"/>
  <c r="L477" i="1"/>
  <c r="K478" i="1"/>
  <c r="K483" i="1"/>
  <c r="K484" i="1"/>
  <c r="K485" i="1"/>
  <c r="AG436" i="1"/>
  <c r="AE436" i="1"/>
  <c r="AF436" i="1"/>
  <c r="AD436" i="1"/>
  <c r="L466" i="1"/>
  <c r="M472" i="1"/>
  <c r="N478" i="1"/>
  <c r="N480" i="1"/>
  <c r="N485" i="1"/>
  <c r="K489" i="1"/>
  <c r="M489" i="1"/>
  <c r="L489" i="1"/>
  <c r="M488" i="1"/>
  <c r="L447" i="1"/>
  <c r="K493" i="1"/>
  <c r="L493" i="1"/>
  <c r="K449" i="1"/>
  <c r="M449" i="1"/>
  <c r="L449" i="1"/>
  <c r="L488" i="1"/>
  <c r="N494" i="1"/>
  <c r="L494" i="1"/>
  <c r="K447" i="1"/>
  <c r="N447" i="1"/>
  <c r="K450" i="1"/>
  <c r="L450" i="1"/>
  <c r="N450" i="1"/>
  <c r="M450" i="1"/>
  <c r="N446" i="1"/>
  <c r="N451" i="1"/>
  <c r="M454" i="1"/>
  <c r="N455" i="1"/>
  <c r="K456" i="1"/>
  <c r="M453" i="1"/>
  <c r="N454" i="1"/>
  <c r="M451" i="1"/>
  <c r="N452" i="1"/>
  <c r="L454" i="1"/>
  <c r="M455" i="1"/>
  <c r="N456" i="1"/>
  <c r="K460" i="1"/>
  <c r="M460" i="1"/>
  <c r="N460" i="1"/>
  <c r="L460" i="1"/>
  <c r="N459" i="1"/>
  <c r="L465" i="1"/>
  <c r="M461" i="1"/>
  <c r="K463" i="1"/>
  <c r="M464" i="1"/>
  <c r="K464" i="1"/>
  <c r="N461" i="1"/>
  <c r="L463" i="1"/>
  <c r="L464" i="1"/>
  <c r="M465" i="1"/>
  <c r="K465" i="1"/>
  <c r="K566" i="1"/>
  <c r="M569" i="1"/>
  <c r="L556" i="1"/>
  <c r="L566" i="1"/>
  <c r="K568" i="1"/>
  <c r="M577" i="1"/>
  <c r="N529" i="1"/>
  <c r="M539" i="1"/>
  <c r="L544" i="1"/>
  <c r="M605" i="1"/>
  <c r="L560" i="1"/>
  <c r="L568" i="1"/>
  <c r="K579" i="1"/>
  <c r="L540" i="1"/>
  <c r="M553" i="1"/>
  <c r="L517" i="1"/>
  <c r="L520" i="1"/>
  <c r="M552" i="1"/>
  <c r="N553" i="1"/>
  <c r="L496" i="1"/>
  <c r="K498" i="1"/>
  <c r="K499" i="1"/>
  <c r="K503" i="1"/>
  <c r="K509" i="1"/>
  <c r="N520" i="1"/>
  <c r="L522" i="1"/>
  <c r="L523" i="1"/>
  <c r="N466" i="1"/>
  <c r="N467" i="1"/>
  <c r="L529" i="1"/>
  <c r="K536" i="1"/>
  <c r="K539" i="1"/>
  <c r="K544" i="1"/>
  <c r="L548" i="1"/>
  <c r="M496" i="1"/>
  <c r="L499" i="1"/>
  <c r="L503" i="1"/>
  <c r="K505" i="1"/>
  <c r="K508" i="1"/>
  <c r="L509" i="1"/>
  <c r="L513" i="1"/>
  <c r="L514" i="1"/>
  <c r="M518" i="1"/>
  <c r="K468" i="1"/>
  <c r="M475" i="1"/>
  <c r="M477" i="1"/>
  <c r="M479" i="1"/>
  <c r="M481" i="1"/>
  <c r="L482" i="1"/>
  <c r="M484" i="1"/>
  <c r="L484" i="1"/>
  <c r="M486" i="1"/>
  <c r="N486" i="1"/>
  <c r="L486" i="1"/>
  <c r="K486" i="1"/>
  <c r="M474" i="1"/>
  <c r="M476" i="1"/>
  <c r="M478" i="1"/>
  <c r="M480" i="1"/>
  <c r="M482" i="1"/>
  <c r="M483" i="1"/>
  <c r="M485" i="1"/>
  <c r="M487" i="1"/>
  <c r="L487" i="1"/>
  <c r="K492" i="1"/>
  <c r="N492" i="1"/>
  <c r="M492" i="1"/>
  <c r="L492" i="1"/>
  <c r="N489" i="1"/>
  <c r="N490" i="1"/>
  <c r="M493" i="1"/>
  <c r="L495" i="1"/>
  <c r="N493" i="1"/>
  <c r="K494" i="1"/>
  <c r="M491" i="1"/>
  <c r="M494" i="1"/>
  <c r="M495" i="1"/>
  <c r="K495" i="1"/>
  <c r="M574" i="1"/>
  <c r="L577" i="1"/>
  <c r="N531" i="1"/>
  <c r="L532" i="1"/>
  <c r="L533" i="1"/>
  <c r="M536" i="1"/>
  <c r="L537" i="1"/>
  <c r="M541" i="1"/>
  <c r="L542" i="1"/>
  <c r="M544" i="1"/>
  <c r="L545" i="1"/>
  <c r="K546" i="1"/>
  <c r="L552" i="1"/>
  <c r="L497" i="1"/>
  <c r="M498" i="1"/>
  <c r="M532" i="1"/>
  <c r="M533" i="1"/>
  <c r="M537" i="1"/>
  <c r="L538" i="1"/>
  <c r="L539" i="1"/>
  <c r="K540" i="1"/>
  <c r="M542" i="1"/>
  <c r="M543" i="1"/>
  <c r="M545" i="1"/>
  <c r="L546" i="1"/>
  <c r="K547" i="1"/>
  <c r="K548" i="1"/>
  <c r="M611" i="1"/>
  <c r="L589" i="1"/>
  <c r="L570" i="1"/>
  <c r="L572" i="1"/>
  <c r="N44" i="1"/>
  <c r="M589" i="1"/>
  <c r="L614" i="1"/>
  <c r="L559" i="1"/>
  <c r="L563" i="1"/>
  <c r="L565" i="1"/>
  <c r="K574" i="1"/>
  <c r="K578" i="1"/>
  <c r="M497" i="1"/>
  <c r="M565" i="1"/>
  <c r="K567" i="1"/>
  <c r="K569" i="1"/>
  <c r="L571" i="1"/>
  <c r="L574" i="1"/>
  <c r="K577" i="1"/>
  <c r="M578" i="1"/>
  <c r="L581" i="1"/>
  <c r="K526" i="1"/>
  <c r="K532" i="1"/>
  <c r="K533" i="1"/>
  <c r="L536" i="1"/>
  <c r="K537" i="1"/>
  <c r="M540" i="1"/>
  <c r="L541" i="1"/>
  <c r="K542" i="1"/>
  <c r="K545" i="1"/>
  <c r="N496" i="1"/>
  <c r="K497" i="1"/>
  <c r="M500" i="1"/>
  <c r="M502" i="1"/>
  <c r="M504" i="1"/>
  <c r="M499" i="1"/>
  <c r="L500" i="1"/>
  <c r="M501" i="1"/>
  <c r="L502" i="1"/>
  <c r="M503" i="1"/>
  <c r="L504" i="1"/>
  <c r="M505" i="1"/>
  <c r="M506" i="1"/>
  <c r="L506" i="1"/>
  <c r="M507" i="1"/>
  <c r="M508" i="1"/>
  <c r="M509" i="1"/>
  <c r="M510" i="1"/>
  <c r="K511" i="1"/>
  <c r="N510" i="1"/>
  <c r="L510" i="1"/>
  <c r="K512" i="1"/>
  <c r="N512" i="1"/>
  <c r="M512" i="1"/>
  <c r="M513" i="1"/>
  <c r="N514" i="1"/>
  <c r="L516" i="1"/>
  <c r="M517" i="1"/>
  <c r="N513" i="1"/>
  <c r="M516" i="1"/>
  <c r="N517" i="1"/>
  <c r="L519" i="1"/>
  <c r="M515" i="1"/>
  <c r="N516" i="1"/>
  <c r="K521" i="1"/>
  <c r="N521" i="1"/>
  <c r="M521" i="1"/>
  <c r="L521" i="1"/>
  <c r="M514" i="1"/>
  <c r="N519" i="1"/>
  <c r="M523" i="1"/>
  <c r="M522" i="1"/>
  <c r="N523" i="1"/>
  <c r="K524" i="1"/>
  <c r="N522" i="1"/>
  <c r="M520" i="1"/>
  <c r="M525" i="1"/>
  <c r="K525" i="1"/>
  <c r="L604" i="1"/>
  <c r="L606" i="1"/>
  <c r="M609" i="1"/>
  <c r="M11" i="1"/>
  <c r="M37" i="1"/>
  <c r="L617" i="1"/>
  <c r="L588" i="1"/>
  <c r="L590" i="1"/>
  <c r="L600" i="1"/>
  <c r="L558" i="1"/>
  <c r="AM9" i="1"/>
  <c r="L29" i="1"/>
  <c r="M18" i="1"/>
  <c r="M586" i="1"/>
  <c r="M590" i="1"/>
  <c r="M592" i="1"/>
  <c r="L596" i="1"/>
  <c r="L599" i="1"/>
  <c r="M600" i="1"/>
  <c r="BS9" i="1"/>
  <c r="M29" i="1"/>
  <c r="L624" i="1"/>
  <c r="M12" i="1"/>
  <c r="M13" i="1"/>
  <c r="N590" i="1"/>
  <c r="N593" i="1"/>
  <c r="L595" i="1"/>
  <c r="M596" i="1"/>
  <c r="N597" i="1"/>
  <c r="N599" i="1"/>
  <c r="N604" i="1"/>
  <c r="N606" i="1"/>
  <c r="N557" i="1"/>
  <c r="L557" i="1"/>
  <c r="K564" i="1"/>
  <c r="L564" i="1"/>
  <c r="AD526" i="1"/>
  <c r="AG526" i="1"/>
  <c r="AF526" i="1"/>
  <c r="AE526" i="1"/>
  <c r="M570" i="1"/>
  <c r="M571" i="1"/>
  <c r="M572" i="1"/>
  <c r="K573" i="1"/>
  <c r="L575" i="1"/>
  <c r="K576" i="1"/>
  <c r="L578" i="1"/>
  <c r="N582" i="1"/>
  <c r="N583" i="1"/>
  <c r="L526" i="1"/>
  <c r="L528" i="1"/>
  <c r="M529" i="1"/>
  <c r="N530" i="1"/>
  <c r="K531" i="1"/>
  <c r="L573" i="1"/>
  <c r="M526" i="1"/>
  <c r="M528" i="1"/>
  <c r="M563" i="1"/>
  <c r="L569" i="1"/>
  <c r="K570" i="1"/>
  <c r="K571" i="1"/>
  <c r="K572" i="1"/>
  <c r="M573" i="1"/>
  <c r="L582" i="1"/>
  <c r="N528" i="1"/>
  <c r="L530" i="1"/>
  <c r="M582" i="1"/>
  <c r="M530" i="1"/>
  <c r="K549" i="1"/>
  <c r="N543" i="1"/>
  <c r="N547" i="1"/>
  <c r="M548" i="1"/>
  <c r="N549" i="1"/>
  <c r="K550" i="1"/>
  <c r="L550" i="1"/>
  <c r="M550" i="1"/>
  <c r="L549" i="1"/>
  <c r="M549" i="1"/>
  <c r="N550" i="1"/>
  <c r="K551" i="1"/>
  <c r="M551" i="1"/>
  <c r="N551" i="1"/>
  <c r="L555" i="1"/>
  <c r="M554" i="1"/>
  <c r="K554" i="1"/>
  <c r="N552" i="1"/>
  <c r="K553" i="1"/>
  <c r="L554" i="1"/>
  <c r="M555" i="1"/>
  <c r="K555" i="1"/>
  <c r="N617" i="1"/>
  <c r="L623" i="1"/>
  <c r="M15" i="1"/>
  <c r="M16" i="1"/>
  <c r="N586" i="1"/>
  <c r="L593" i="1"/>
  <c r="L597" i="1"/>
  <c r="N610" i="1"/>
  <c r="K556" i="1"/>
  <c r="K557" i="1"/>
  <c r="K558" i="1"/>
  <c r="K559" i="1"/>
  <c r="K560" i="1"/>
  <c r="K561" i="1"/>
  <c r="L562" i="1"/>
  <c r="L561" i="1"/>
  <c r="M562" i="1"/>
  <c r="N38" i="1"/>
  <c r="L28" i="1"/>
  <c r="M28" i="1"/>
  <c r="K37" i="1"/>
  <c r="L39" i="1"/>
  <c r="M44" i="1"/>
  <c r="L26" i="1"/>
  <c r="M32" i="1"/>
  <c r="L34" i="1"/>
  <c r="L586" i="1"/>
  <c r="M599" i="1"/>
  <c r="L608" i="1"/>
  <c r="L610" i="1"/>
  <c r="M556" i="1"/>
  <c r="M557" i="1"/>
  <c r="M558" i="1"/>
  <c r="M559" i="1"/>
  <c r="M560" i="1"/>
  <c r="M561" i="1"/>
  <c r="N562" i="1"/>
  <c r="N608" i="1"/>
  <c r="M610" i="1"/>
  <c r="N563" i="1"/>
  <c r="N564" i="1"/>
  <c r="N565" i="1"/>
  <c r="N566" i="1"/>
  <c r="N576" i="1"/>
  <c r="L576" i="1"/>
  <c r="K580" i="1"/>
  <c r="M580" i="1"/>
  <c r="N580" i="1"/>
  <c r="N579" i="1"/>
  <c r="L585" i="1"/>
  <c r="M581" i="1"/>
  <c r="K583" i="1"/>
  <c r="M584" i="1"/>
  <c r="K584" i="1"/>
  <c r="N581" i="1"/>
  <c r="L583" i="1"/>
  <c r="L584" i="1"/>
  <c r="M585" i="1"/>
  <c r="K585" i="1"/>
  <c r="N30" i="1"/>
  <c r="M30" i="1"/>
  <c r="L30" i="1"/>
  <c r="K30" i="1"/>
  <c r="AL9" i="1"/>
  <c r="BJ9" i="1"/>
  <c r="BR9" i="1"/>
  <c r="BZ9" i="1"/>
  <c r="M31" i="1"/>
  <c r="M36" i="1"/>
  <c r="M38" i="1"/>
  <c r="M40" i="1"/>
  <c r="N619" i="1"/>
  <c r="M622" i="1"/>
  <c r="M17" i="1"/>
  <c r="M34" i="1"/>
  <c r="N40" i="1"/>
  <c r="N622" i="1"/>
  <c r="L619" i="1"/>
  <c r="M14" i="1"/>
  <c r="M19" i="1"/>
  <c r="L20" i="1"/>
  <c r="L21" i="1"/>
  <c r="L22" i="1"/>
  <c r="L23" i="1"/>
  <c r="L24" i="1"/>
  <c r="L25" i="1"/>
  <c r="K26" i="1"/>
  <c r="L33" i="1"/>
  <c r="M35" i="1"/>
  <c r="BK9" i="1"/>
  <c r="BK624" i="1" s="1"/>
  <c r="CA9" i="1"/>
  <c r="K31" i="1"/>
  <c r="BS11" i="1"/>
  <c r="K28" i="1"/>
  <c r="K29" i="1"/>
  <c r="L31" i="1"/>
  <c r="K36" i="1"/>
  <c r="L40" i="1"/>
  <c r="M619" i="1"/>
  <c r="BS12" i="1"/>
  <c r="BS17" i="1"/>
  <c r="L27" i="1"/>
  <c r="M33" i="1"/>
  <c r="L587" i="1"/>
  <c r="M588" i="1"/>
  <c r="N589" i="1"/>
  <c r="L591" i="1"/>
  <c r="K592" i="1"/>
  <c r="N592" i="1"/>
  <c r="K594" i="1"/>
  <c r="L594" i="1"/>
  <c r="N594" i="1"/>
  <c r="M594" i="1"/>
  <c r="M587" i="1"/>
  <c r="N588" i="1"/>
  <c r="N587" i="1"/>
  <c r="K591" i="1"/>
  <c r="M591" i="1"/>
  <c r="N595" i="1"/>
  <c r="M598" i="1"/>
  <c r="K601" i="1"/>
  <c r="L601" i="1"/>
  <c r="M593" i="1"/>
  <c r="M597" i="1"/>
  <c r="N598" i="1"/>
  <c r="M601" i="1"/>
  <c r="K602" i="1"/>
  <c r="M602" i="1"/>
  <c r="M595" i="1"/>
  <c r="N596" i="1"/>
  <c r="L598" i="1"/>
  <c r="N600" i="1"/>
  <c r="L602" i="1"/>
  <c r="K603" i="1"/>
  <c r="N603" i="1"/>
  <c r="M603" i="1"/>
  <c r="M607" i="1"/>
  <c r="K611" i="1"/>
  <c r="L611" i="1"/>
  <c r="L605" i="1"/>
  <c r="M606" i="1"/>
  <c r="N607" i="1"/>
  <c r="L609" i="1"/>
  <c r="K612" i="1"/>
  <c r="M612" i="1"/>
  <c r="M604" i="1"/>
  <c r="N605" i="1"/>
  <c r="L607" i="1"/>
  <c r="M608" i="1"/>
  <c r="N609" i="1"/>
  <c r="L612" i="1"/>
  <c r="K613" i="1"/>
  <c r="N613" i="1"/>
  <c r="M613" i="1"/>
  <c r="L615" i="1"/>
  <c r="K614" i="1"/>
  <c r="M614" i="1"/>
  <c r="M615" i="1"/>
  <c r="K615" i="1"/>
  <c r="N35" i="1"/>
  <c r="K35" i="1"/>
  <c r="N34" i="1"/>
  <c r="N33" i="1"/>
  <c r="K32" i="1"/>
  <c r="N32" i="1"/>
  <c r="N27" i="1"/>
  <c r="K27" i="1"/>
  <c r="N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K18" i="1"/>
  <c r="N18" i="1"/>
  <c r="K17" i="1"/>
  <c r="N17" i="1"/>
  <c r="N16" i="1"/>
  <c r="K16" i="1"/>
  <c r="N15" i="1"/>
  <c r="K15" i="1"/>
  <c r="N14" i="1"/>
  <c r="K14" i="1"/>
  <c r="K13" i="1"/>
  <c r="N13" i="1"/>
  <c r="N12" i="1"/>
  <c r="K12" i="1"/>
  <c r="AW625" i="1"/>
  <c r="AX625" i="1"/>
  <c r="BO9" i="1"/>
  <c r="BW9" i="1"/>
  <c r="BZ624" i="1"/>
  <c r="BN9" i="1"/>
  <c r="BV9" i="1"/>
  <c r="AJ9" i="1"/>
  <c r="AN9" i="1"/>
  <c r="BL9" i="1"/>
  <c r="BP9" i="1"/>
  <c r="BT9" i="1"/>
  <c r="BX9" i="1"/>
  <c r="H625" i="1"/>
  <c r="N11" i="1"/>
  <c r="AK9" i="1"/>
  <c r="BM9" i="1"/>
  <c r="BQ9" i="1"/>
  <c r="BU9" i="1"/>
  <c r="BY9" i="1"/>
  <c r="K11" i="1"/>
  <c r="AR625" i="1"/>
  <c r="K42" i="1"/>
  <c r="M42" i="1"/>
  <c r="L36" i="1"/>
  <c r="L37" i="1"/>
  <c r="K38" i="1"/>
  <c r="L42" i="1"/>
  <c r="K43" i="1"/>
  <c r="M43" i="1"/>
  <c r="N43" i="1"/>
  <c r="K41" i="1"/>
  <c r="L41" i="1"/>
  <c r="N42" i="1"/>
  <c r="K39" i="1"/>
  <c r="N39" i="1"/>
  <c r="M41" i="1"/>
  <c r="K44" i="1"/>
  <c r="L616" i="1"/>
  <c r="K620" i="1"/>
  <c r="M620" i="1"/>
  <c r="N620" i="1"/>
  <c r="L620" i="1"/>
  <c r="K618" i="1"/>
  <c r="N618" i="1"/>
  <c r="M618" i="1"/>
  <c r="L618" i="1"/>
  <c r="K45" i="1"/>
  <c r="M45" i="1"/>
  <c r="L45" i="1"/>
  <c r="K616" i="1"/>
  <c r="M616" i="1"/>
  <c r="K621" i="1"/>
  <c r="N621" i="1"/>
  <c r="L621" i="1"/>
  <c r="M617" i="1"/>
  <c r="M621" i="1"/>
  <c r="BI624" i="1"/>
  <c r="BA624" i="1"/>
  <c r="BG624" i="1"/>
  <c r="AZ624" i="1"/>
  <c r="BE624" i="1"/>
  <c r="AT624" i="1"/>
  <c r="BC624" i="1"/>
  <c r="K622" i="1"/>
  <c r="K623" i="1"/>
  <c r="M623" i="1"/>
  <c r="AS624" i="1"/>
  <c r="M624" i="1"/>
  <c r="N624" i="1"/>
  <c r="BC616" i="1" l="1"/>
  <c r="BI616" i="1"/>
  <c r="BA616" i="1"/>
  <c r="BG616" i="1"/>
  <c r="AZ616" i="1"/>
  <c r="AT616" i="1"/>
  <c r="BE616" i="1"/>
  <c r="AS616" i="1"/>
  <c r="BI39" i="1"/>
  <c r="BA39" i="1"/>
  <c r="BG39" i="1"/>
  <c r="AZ39" i="1"/>
  <c r="AT39" i="1"/>
  <c r="BE39" i="1"/>
  <c r="AS39" i="1"/>
  <c r="BC39" i="1"/>
  <c r="BC38" i="1"/>
  <c r="BI38" i="1"/>
  <c r="BA38" i="1"/>
  <c r="BG38" i="1"/>
  <c r="AZ38" i="1"/>
  <c r="AT38" i="1"/>
  <c r="BE38" i="1"/>
  <c r="AS38" i="1"/>
  <c r="BC42" i="1"/>
  <c r="BI42" i="1"/>
  <c r="BA42" i="1"/>
  <c r="BG42" i="1"/>
  <c r="AZ42" i="1"/>
  <c r="AT42" i="1"/>
  <c r="BE42" i="1"/>
  <c r="AS42" i="1"/>
  <c r="BI27" i="1"/>
  <c r="BA27" i="1"/>
  <c r="BG27" i="1"/>
  <c r="AZ27" i="1"/>
  <c r="AT27" i="1"/>
  <c r="BE27" i="1"/>
  <c r="AS27" i="1"/>
  <c r="BC27" i="1"/>
  <c r="BE615" i="1"/>
  <c r="AS615" i="1"/>
  <c r="BC615" i="1"/>
  <c r="BI615" i="1"/>
  <c r="BA615" i="1"/>
  <c r="BG615" i="1"/>
  <c r="AZ615" i="1"/>
  <c r="AT615" i="1"/>
  <c r="BG602" i="1"/>
  <c r="AZ602" i="1"/>
  <c r="AT602" i="1"/>
  <c r="BE602" i="1"/>
  <c r="AS602" i="1"/>
  <c r="BC602" i="1"/>
  <c r="BI602" i="1"/>
  <c r="BA602" i="1"/>
  <c r="BE29" i="1"/>
  <c r="AS29" i="1"/>
  <c r="BC29" i="1"/>
  <c r="BI29" i="1"/>
  <c r="BA29" i="1"/>
  <c r="BG29" i="1"/>
  <c r="AZ29" i="1"/>
  <c r="AT29" i="1"/>
  <c r="BC26" i="1"/>
  <c r="BI26" i="1"/>
  <c r="BA26" i="1"/>
  <c r="BG26" i="1"/>
  <c r="AZ26" i="1"/>
  <c r="AT26" i="1"/>
  <c r="BE26" i="1"/>
  <c r="AS26" i="1"/>
  <c r="BC30" i="1"/>
  <c r="BI30" i="1"/>
  <c r="BA30" i="1"/>
  <c r="BG30" i="1"/>
  <c r="AZ30" i="1"/>
  <c r="AT30" i="1"/>
  <c r="BE30" i="1"/>
  <c r="AS30" i="1"/>
  <c r="BI585" i="1"/>
  <c r="BA585" i="1"/>
  <c r="BG585" i="1"/>
  <c r="AZ585" i="1"/>
  <c r="AT585" i="1"/>
  <c r="BE585" i="1"/>
  <c r="AS585" i="1"/>
  <c r="BC585" i="1"/>
  <c r="BE558" i="1"/>
  <c r="AS558" i="1"/>
  <c r="BI558" i="1"/>
  <c r="BA558" i="1"/>
  <c r="BG558" i="1"/>
  <c r="BC558" i="1"/>
  <c r="AZ558" i="1"/>
  <c r="AT558" i="1"/>
  <c r="BE554" i="1"/>
  <c r="AS554" i="1"/>
  <c r="BI554" i="1"/>
  <c r="BA554" i="1"/>
  <c r="BG554" i="1"/>
  <c r="BC554" i="1"/>
  <c r="AZ554" i="1"/>
  <c r="AT554" i="1"/>
  <c r="BC549" i="1"/>
  <c r="BE549" i="1"/>
  <c r="BA549" i="1"/>
  <c r="BI549" i="1"/>
  <c r="AZ549" i="1"/>
  <c r="AT549" i="1"/>
  <c r="BG549" i="1"/>
  <c r="AS549" i="1"/>
  <c r="BC571" i="1"/>
  <c r="BG571" i="1"/>
  <c r="AZ571" i="1"/>
  <c r="AT571" i="1"/>
  <c r="BI571" i="1"/>
  <c r="BE571" i="1"/>
  <c r="BA571" i="1"/>
  <c r="AS571" i="1"/>
  <c r="BC532" i="1"/>
  <c r="BG532" i="1"/>
  <c r="AZ532" i="1"/>
  <c r="AT532" i="1"/>
  <c r="BI532" i="1"/>
  <c r="BE532" i="1"/>
  <c r="BA532" i="1"/>
  <c r="AS532" i="1"/>
  <c r="BG577" i="1"/>
  <c r="AZ577" i="1"/>
  <c r="AT577" i="1"/>
  <c r="BE577" i="1"/>
  <c r="AS577" i="1"/>
  <c r="BC577" i="1"/>
  <c r="BA577" i="1"/>
  <c r="BI577" i="1"/>
  <c r="BC567" i="1"/>
  <c r="BG567" i="1"/>
  <c r="AZ567" i="1"/>
  <c r="AT567" i="1"/>
  <c r="BI567" i="1"/>
  <c r="BE567" i="1"/>
  <c r="BA567" i="1"/>
  <c r="AS567" i="1"/>
  <c r="BE574" i="1"/>
  <c r="AS574" i="1"/>
  <c r="BI574" i="1"/>
  <c r="BA574" i="1"/>
  <c r="BG574" i="1"/>
  <c r="BC574" i="1"/>
  <c r="AZ574" i="1"/>
  <c r="AT574" i="1"/>
  <c r="BG547" i="1"/>
  <c r="AZ547" i="1"/>
  <c r="AT547" i="1"/>
  <c r="BE547" i="1"/>
  <c r="AS547" i="1"/>
  <c r="BC547" i="1"/>
  <c r="BI547" i="1"/>
  <c r="BA547" i="1"/>
  <c r="BI468" i="1"/>
  <c r="BA468" i="1"/>
  <c r="BG468" i="1"/>
  <c r="AZ468" i="1"/>
  <c r="AT468" i="1"/>
  <c r="BE468" i="1"/>
  <c r="AS468" i="1"/>
  <c r="BC468" i="1"/>
  <c r="BE539" i="1"/>
  <c r="AS539" i="1"/>
  <c r="BI539" i="1"/>
  <c r="BA539" i="1"/>
  <c r="AZ539" i="1"/>
  <c r="AT539" i="1"/>
  <c r="BG539" i="1"/>
  <c r="BC539" i="1"/>
  <c r="BI509" i="1"/>
  <c r="BA509" i="1"/>
  <c r="BG509" i="1"/>
  <c r="AZ509" i="1"/>
  <c r="AT509" i="1"/>
  <c r="BE509" i="1"/>
  <c r="AS509" i="1"/>
  <c r="BC509" i="1"/>
  <c r="BG465" i="1"/>
  <c r="AZ465" i="1"/>
  <c r="AT465" i="1"/>
  <c r="BE465" i="1"/>
  <c r="AS465" i="1"/>
  <c r="BC465" i="1"/>
  <c r="BI465" i="1"/>
  <c r="BA465" i="1"/>
  <c r="BC447" i="1"/>
  <c r="BI447" i="1"/>
  <c r="BA447" i="1"/>
  <c r="BG447" i="1"/>
  <c r="AZ447" i="1"/>
  <c r="AT447" i="1"/>
  <c r="BE447" i="1"/>
  <c r="AS447" i="1"/>
  <c r="BI493" i="1"/>
  <c r="BA493" i="1"/>
  <c r="BG493" i="1"/>
  <c r="AZ493" i="1"/>
  <c r="AT493" i="1"/>
  <c r="BE493" i="1"/>
  <c r="AS493" i="1"/>
  <c r="BC493" i="1"/>
  <c r="BI484" i="1"/>
  <c r="BA484" i="1"/>
  <c r="BG484" i="1"/>
  <c r="AZ484" i="1"/>
  <c r="AT484" i="1"/>
  <c r="BE484" i="1"/>
  <c r="AS484" i="1"/>
  <c r="BC484" i="1"/>
  <c r="BG534" i="1"/>
  <c r="AZ534" i="1"/>
  <c r="AT534" i="1"/>
  <c r="BC534" i="1"/>
  <c r="BE534" i="1"/>
  <c r="BA534" i="1"/>
  <c r="AS534" i="1"/>
  <c r="BI534" i="1"/>
  <c r="BG429" i="1"/>
  <c r="AZ429" i="1"/>
  <c r="AT429" i="1"/>
  <c r="BE429" i="1"/>
  <c r="AS429" i="1"/>
  <c r="BC429" i="1"/>
  <c r="BI429" i="1"/>
  <c r="BA429" i="1"/>
  <c r="BE426" i="1"/>
  <c r="AS426" i="1"/>
  <c r="BC426" i="1"/>
  <c r="BI426" i="1"/>
  <c r="BA426" i="1"/>
  <c r="BG426" i="1"/>
  <c r="AZ426" i="1"/>
  <c r="AT426" i="1"/>
  <c r="BI428" i="1"/>
  <c r="BA428" i="1"/>
  <c r="BG428" i="1"/>
  <c r="AZ428" i="1"/>
  <c r="AT428" i="1"/>
  <c r="BE428" i="1"/>
  <c r="AS428" i="1"/>
  <c r="BC428" i="1"/>
  <c r="BI480" i="1"/>
  <c r="BA480" i="1"/>
  <c r="BG480" i="1"/>
  <c r="AZ480" i="1"/>
  <c r="AT480" i="1"/>
  <c r="BE480" i="1"/>
  <c r="AS480" i="1"/>
  <c r="BC480" i="1"/>
  <c r="BC471" i="1"/>
  <c r="BI471" i="1"/>
  <c r="BA471" i="1"/>
  <c r="BG471" i="1"/>
  <c r="AZ471" i="1"/>
  <c r="AT471" i="1"/>
  <c r="BE471" i="1"/>
  <c r="AS471" i="1"/>
  <c r="BG457" i="1"/>
  <c r="AZ457" i="1"/>
  <c r="AT457" i="1"/>
  <c r="BE457" i="1"/>
  <c r="AS457" i="1"/>
  <c r="BC457" i="1"/>
  <c r="BI457" i="1"/>
  <c r="BA457" i="1"/>
  <c r="BG481" i="1"/>
  <c r="AZ481" i="1"/>
  <c r="AT481" i="1"/>
  <c r="BE481" i="1"/>
  <c r="AS481" i="1"/>
  <c r="BC481" i="1"/>
  <c r="BI481" i="1"/>
  <c r="BA481" i="1"/>
  <c r="BE404" i="1"/>
  <c r="BC404" i="1"/>
  <c r="AZ404" i="1"/>
  <c r="AT404" i="1"/>
  <c r="BI404" i="1"/>
  <c r="AS404" i="1"/>
  <c r="BG404" i="1"/>
  <c r="BA404" i="1"/>
  <c r="BI403" i="1"/>
  <c r="BA403" i="1"/>
  <c r="BG403" i="1"/>
  <c r="AZ403" i="1"/>
  <c r="AT403" i="1"/>
  <c r="BE403" i="1"/>
  <c r="AS403" i="1"/>
  <c r="BC403" i="1"/>
  <c r="BI383" i="1"/>
  <c r="BA383" i="1"/>
  <c r="BG383" i="1"/>
  <c r="AZ383" i="1"/>
  <c r="AT383" i="1"/>
  <c r="BE383" i="1"/>
  <c r="AS383" i="1"/>
  <c r="BC383" i="1"/>
  <c r="BI379" i="1"/>
  <c r="BA379" i="1"/>
  <c r="BG379" i="1"/>
  <c r="AZ379" i="1"/>
  <c r="AT379" i="1"/>
  <c r="BE379" i="1"/>
  <c r="AS379" i="1"/>
  <c r="BC379" i="1"/>
  <c r="BE434" i="1"/>
  <c r="AS434" i="1"/>
  <c r="BC434" i="1"/>
  <c r="BI434" i="1"/>
  <c r="BA434" i="1"/>
  <c r="BG434" i="1"/>
  <c r="AZ434" i="1"/>
  <c r="AT434" i="1"/>
  <c r="BC419" i="1"/>
  <c r="BI419" i="1"/>
  <c r="BA419" i="1"/>
  <c r="BG419" i="1"/>
  <c r="AZ419" i="1"/>
  <c r="AT419" i="1"/>
  <c r="BE419" i="1"/>
  <c r="AS419" i="1"/>
  <c r="BI375" i="1"/>
  <c r="BA375" i="1"/>
  <c r="BG375" i="1"/>
  <c r="AZ375" i="1"/>
  <c r="AT375" i="1"/>
  <c r="BE375" i="1"/>
  <c r="AS375" i="1"/>
  <c r="BC375" i="1"/>
  <c r="BE373" i="1"/>
  <c r="AS373" i="1"/>
  <c r="BC373" i="1"/>
  <c r="BI373" i="1"/>
  <c r="BA373" i="1"/>
  <c r="BG373" i="1"/>
  <c r="AZ373" i="1"/>
  <c r="AT373" i="1"/>
  <c r="BC370" i="1"/>
  <c r="BI370" i="1"/>
  <c r="BA370" i="1"/>
  <c r="BG370" i="1"/>
  <c r="AZ370" i="1"/>
  <c r="AT370" i="1"/>
  <c r="BE370" i="1"/>
  <c r="AS370" i="1"/>
  <c r="BG372" i="1"/>
  <c r="AZ372" i="1"/>
  <c r="AT372" i="1"/>
  <c r="BE372" i="1"/>
  <c r="AS372" i="1"/>
  <c r="BC372" i="1"/>
  <c r="BI372" i="1"/>
  <c r="BA372" i="1"/>
  <c r="BC386" i="1"/>
  <c r="BI386" i="1"/>
  <c r="BA386" i="1"/>
  <c r="BG386" i="1"/>
  <c r="AZ386" i="1"/>
  <c r="AT386" i="1"/>
  <c r="BE386" i="1"/>
  <c r="AS386" i="1"/>
  <c r="BC431" i="1"/>
  <c r="BI431" i="1"/>
  <c r="BA431" i="1"/>
  <c r="BG431" i="1"/>
  <c r="AZ431" i="1"/>
  <c r="AT431" i="1"/>
  <c r="BE431" i="1"/>
  <c r="AS431" i="1"/>
  <c r="BG417" i="1"/>
  <c r="AZ417" i="1"/>
  <c r="AT417" i="1"/>
  <c r="BE417" i="1"/>
  <c r="AS417" i="1"/>
  <c r="BC417" i="1"/>
  <c r="BI417" i="1"/>
  <c r="BA417" i="1"/>
  <c r="BI351" i="1"/>
  <c r="BA351" i="1"/>
  <c r="BG351" i="1"/>
  <c r="AZ351" i="1"/>
  <c r="AT351" i="1"/>
  <c r="BE351" i="1"/>
  <c r="AS351" i="1"/>
  <c r="BC351" i="1"/>
  <c r="BC435" i="1"/>
  <c r="BI435" i="1"/>
  <c r="BA435" i="1"/>
  <c r="BG435" i="1"/>
  <c r="AZ435" i="1"/>
  <c r="AT435" i="1"/>
  <c r="BE435" i="1"/>
  <c r="AS435" i="1"/>
  <c r="BC358" i="1"/>
  <c r="BI358" i="1"/>
  <c r="BA358" i="1"/>
  <c r="BG358" i="1"/>
  <c r="AZ358" i="1"/>
  <c r="AT358" i="1"/>
  <c r="BE358" i="1"/>
  <c r="AS358" i="1"/>
  <c r="BI309" i="1"/>
  <c r="BA309" i="1"/>
  <c r="BG309" i="1"/>
  <c r="AZ309" i="1"/>
  <c r="AT309" i="1"/>
  <c r="BE309" i="1"/>
  <c r="AS309" i="1"/>
  <c r="BC309" i="1"/>
  <c r="BI301" i="1"/>
  <c r="BA301" i="1"/>
  <c r="BG301" i="1"/>
  <c r="AZ301" i="1"/>
  <c r="AT301" i="1"/>
  <c r="BE301" i="1"/>
  <c r="AS301" i="1"/>
  <c r="BC301" i="1"/>
  <c r="BE287" i="1"/>
  <c r="AS287" i="1"/>
  <c r="BC287" i="1"/>
  <c r="BI287" i="1"/>
  <c r="BA287" i="1"/>
  <c r="BG287" i="1"/>
  <c r="AZ287" i="1"/>
  <c r="AT287" i="1"/>
  <c r="BC316" i="1"/>
  <c r="BI316" i="1"/>
  <c r="BA316" i="1"/>
  <c r="BG316" i="1"/>
  <c r="AZ316" i="1"/>
  <c r="AT316" i="1"/>
  <c r="BE316" i="1"/>
  <c r="AS316" i="1"/>
  <c r="BC362" i="1"/>
  <c r="BI362" i="1"/>
  <c r="BA362" i="1"/>
  <c r="BG362" i="1"/>
  <c r="AZ362" i="1"/>
  <c r="AT362" i="1"/>
  <c r="BE362" i="1"/>
  <c r="AS362" i="1"/>
  <c r="BI331" i="1"/>
  <c r="BA331" i="1"/>
  <c r="BG331" i="1"/>
  <c r="AZ331" i="1"/>
  <c r="AT331" i="1"/>
  <c r="BE331" i="1"/>
  <c r="AS331" i="1"/>
  <c r="BC331" i="1"/>
  <c r="BE319" i="1"/>
  <c r="AS319" i="1"/>
  <c r="BC319" i="1"/>
  <c r="BI319" i="1"/>
  <c r="BA319" i="1"/>
  <c r="BG319" i="1"/>
  <c r="AZ319" i="1"/>
  <c r="AT319" i="1"/>
  <c r="BG254" i="1"/>
  <c r="AZ254" i="1"/>
  <c r="AT254" i="1"/>
  <c r="BE254" i="1"/>
  <c r="AS254" i="1"/>
  <c r="BC254" i="1"/>
  <c r="BI254" i="1"/>
  <c r="BA254" i="1"/>
  <c r="BI277" i="1"/>
  <c r="BA277" i="1"/>
  <c r="BG277" i="1"/>
  <c r="AZ277" i="1"/>
  <c r="AT277" i="1"/>
  <c r="BE277" i="1"/>
  <c r="AS277" i="1"/>
  <c r="BC277" i="1"/>
  <c r="BC338" i="1"/>
  <c r="BI338" i="1"/>
  <c r="BA338" i="1"/>
  <c r="BG338" i="1"/>
  <c r="AZ338" i="1"/>
  <c r="AT338" i="1"/>
  <c r="BE338" i="1"/>
  <c r="AS338" i="1"/>
  <c r="BE341" i="1"/>
  <c r="AS341" i="1"/>
  <c r="BC341" i="1"/>
  <c r="BI341" i="1"/>
  <c r="BA341" i="1"/>
  <c r="BG341" i="1"/>
  <c r="AZ341" i="1"/>
  <c r="AT341" i="1"/>
  <c r="BG225" i="1"/>
  <c r="AZ225" i="1"/>
  <c r="AT225" i="1"/>
  <c r="BE225" i="1"/>
  <c r="AS225" i="1"/>
  <c r="BC225" i="1"/>
  <c r="BI225" i="1"/>
  <c r="BA225" i="1"/>
  <c r="BG217" i="1"/>
  <c r="AZ217" i="1"/>
  <c r="AT217" i="1"/>
  <c r="BE217" i="1"/>
  <c r="AS217" i="1"/>
  <c r="BC217" i="1"/>
  <c r="BI217" i="1"/>
  <c r="BA217" i="1"/>
  <c r="BI196" i="1"/>
  <c r="BA196" i="1"/>
  <c r="BG196" i="1"/>
  <c r="AZ196" i="1"/>
  <c r="AT196" i="1"/>
  <c r="BE196" i="1"/>
  <c r="AS196" i="1"/>
  <c r="BC196" i="1"/>
  <c r="BG270" i="1"/>
  <c r="AZ270" i="1"/>
  <c r="AT270" i="1"/>
  <c r="BE270" i="1"/>
  <c r="AS270" i="1"/>
  <c r="BC270" i="1"/>
  <c r="BI270" i="1"/>
  <c r="BA270" i="1"/>
  <c r="BE259" i="1"/>
  <c r="AS259" i="1"/>
  <c r="BC259" i="1"/>
  <c r="BI259" i="1"/>
  <c r="BA259" i="1"/>
  <c r="BG259" i="1"/>
  <c r="AZ259" i="1"/>
  <c r="AT259" i="1"/>
  <c r="BG278" i="1"/>
  <c r="AZ278" i="1"/>
  <c r="AT278" i="1"/>
  <c r="BE278" i="1"/>
  <c r="AS278" i="1"/>
  <c r="BC278" i="1"/>
  <c r="BI278" i="1"/>
  <c r="BA278" i="1"/>
  <c r="BG197" i="1"/>
  <c r="AZ197" i="1"/>
  <c r="AT197" i="1"/>
  <c r="BE197" i="1"/>
  <c r="AS197" i="1"/>
  <c r="BC197" i="1"/>
  <c r="BI197" i="1"/>
  <c r="BA197" i="1"/>
  <c r="BC195" i="1"/>
  <c r="BI195" i="1"/>
  <c r="BA195" i="1"/>
  <c r="BG195" i="1"/>
  <c r="AZ195" i="1"/>
  <c r="AT195" i="1"/>
  <c r="BE195" i="1"/>
  <c r="AS195" i="1"/>
  <c r="BC219" i="1"/>
  <c r="BI219" i="1"/>
  <c r="BA219" i="1"/>
  <c r="BG219" i="1"/>
  <c r="AZ219" i="1"/>
  <c r="AT219" i="1"/>
  <c r="BE219" i="1"/>
  <c r="AS219" i="1"/>
  <c r="BG165" i="1"/>
  <c r="AZ165" i="1"/>
  <c r="AT165" i="1"/>
  <c r="BE165" i="1"/>
  <c r="AS165" i="1"/>
  <c r="BC165" i="1"/>
  <c r="BI165" i="1"/>
  <c r="BA165" i="1"/>
  <c r="BI164" i="1"/>
  <c r="BA164" i="1"/>
  <c r="BG164" i="1"/>
  <c r="AZ164" i="1"/>
  <c r="AT164" i="1"/>
  <c r="BE164" i="1"/>
  <c r="AS164" i="1"/>
  <c r="BC164" i="1"/>
  <c r="BC159" i="1"/>
  <c r="BI159" i="1"/>
  <c r="BA159" i="1"/>
  <c r="BG159" i="1"/>
  <c r="AZ159" i="1"/>
  <c r="AT159" i="1"/>
  <c r="BE159" i="1"/>
  <c r="AS159" i="1"/>
  <c r="BG157" i="1"/>
  <c r="AZ157" i="1"/>
  <c r="AT157" i="1"/>
  <c r="BE157" i="1"/>
  <c r="AS157" i="1"/>
  <c r="BC157" i="1"/>
  <c r="BI157" i="1"/>
  <c r="BA157" i="1"/>
  <c r="BE149" i="1"/>
  <c r="BC149" i="1"/>
  <c r="BI149" i="1"/>
  <c r="AS149" i="1"/>
  <c r="BG149" i="1"/>
  <c r="BA149" i="1"/>
  <c r="AZ149" i="1"/>
  <c r="AT149" i="1"/>
  <c r="BI152" i="1"/>
  <c r="BA152" i="1"/>
  <c r="BG152" i="1"/>
  <c r="AZ152" i="1"/>
  <c r="AT152" i="1"/>
  <c r="BE152" i="1"/>
  <c r="AS152" i="1"/>
  <c r="BC152" i="1"/>
  <c r="BE210" i="1"/>
  <c r="AS210" i="1"/>
  <c r="BC210" i="1"/>
  <c r="BI210" i="1"/>
  <c r="BA210" i="1"/>
  <c r="BG210" i="1"/>
  <c r="AZ210" i="1"/>
  <c r="AT210" i="1"/>
  <c r="BI143" i="1"/>
  <c r="BA143" i="1"/>
  <c r="BG143" i="1"/>
  <c r="AZ143" i="1"/>
  <c r="AT143" i="1"/>
  <c r="BE143" i="1"/>
  <c r="AS143" i="1"/>
  <c r="BC143" i="1"/>
  <c r="BC199" i="1"/>
  <c r="BI199" i="1"/>
  <c r="BA199" i="1"/>
  <c r="BG199" i="1"/>
  <c r="AZ199" i="1"/>
  <c r="AT199" i="1"/>
  <c r="BE199" i="1"/>
  <c r="AS199" i="1"/>
  <c r="BE174" i="1"/>
  <c r="AS174" i="1"/>
  <c r="BC174" i="1"/>
  <c r="BI174" i="1"/>
  <c r="BA174" i="1"/>
  <c r="BG174" i="1"/>
  <c r="AZ174" i="1"/>
  <c r="AT174" i="1"/>
  <c r="BC179" i="1"/>
  <c r="BI179" i="1"/>
  <c r="BA179" i="1"/>
  <c r="BG179" i="1"/>
  <c r="AZ179" i="1"/>
  <c r="AT179" i="1"/>
  <c r="BE179" i="1"/>
  <c r="AS179" i="1"/>
  <c r="BC138" i="1"/>
  <c r="BI138" i="1"/>
  <c r="BA138" i="1"/>
  <c r="BG138" i="1"/>
  <c r="AZ138" i="1"/>
  <c r="AT138" i="1"/>
  <c r="BE138" i="1"/>
  <c r="AS138" i="1"/>
  <c r="BG108" i="1"/>
  <c r="AZ108" i="1"/>
  <c r="AT108" i="1"/>
  <c r="BE108" i="1"/>
  <c r="AS108" i="1"/>
  <c r="BC108" i="1"/>
  <c r="BI108" i="1"/>
  <c r="BA108" i="1"/>
  <c r="BE101" i="1"/>
  <c r="AS101" i="1"/>
  <c r="BC101" i="1"/>
  <c r="BI101" i="1"/>
  <c r="BA101" i="1"/>
  <c r="BG101" i="1"/>
  <c r="AZ101" i="1"/>
  <c r="AT101" i="1"/>
  <c r="BI95" i="1"/>
  <c r="BA95" i="1"/>
  <c r="BG95" i="1"/>
  <c r="AZ95" i="1"/>
  <c r="AT95" i="1"/>
  <c r="BE95" i="1"/>
  <c r="AS95" i="1"/>
  <c r="BC95" i="1"/>
  <c r="BC82" i="1"/>
  <c r="BI82" i="1"/>
  <c r="BA82" i="1"/>
  <c r="BG82" i="1"/>
  <c r="AZ82" i="1"/>
  <c r="AT82" i="1"/>
  <c r="BE82" i="1"/>
  <c r="AS82" i="1"/>
  <c r="BC78" i="1"/>
  <c r="BI78" i="1"/>
  <c r="BA78" i="1"/>
  <c r="BG78" i="1"/>
  <c r="AZ78" i="1"/>
  <c r="AT78" i="1"/>
  <c r="BE78" i="1"/>
  <c r="AS78" i="1"/>
  <c r="BE121" i="1"/>
  <c r="AS121" i="1"/>
  <c r="BC121" i="1"/>
  <c r="BI121" i="1"/>
  <c r="BA121" i="1"/>
  <c r="BG121" i="1"/>
  <c r="AZ121" i="1"/>
  <c r="AT121" i="1"/>
  <c r="BG177" i="1"/>
  <c r="AZ177" i="1"/>
  <c r="AT177" i="1"/>
  <c r="BE177" i="1"/>
  <c r="AS177" i="1"/>
  <c r="BC177" i="1"/>
  <c r="BI177" i="1"/>
  <c r="BA177" i="1"/>
  <c r="BE69" i="1"/>
  <c r="AS69" i="1"/>
  <c r="BC69" i="1"/>
  <c r="BI69" i="1"/>
  <c r="BA69" i="1"/>
  <c r="BG69" i="1"/>
  <c r="AZ69" i="1"/>
  <c r="AT69" i="1"/>
  <c r="BG64" i="1"/>
  <c r="AZ64" i="1"/>
  <c r="AT64" i="1"/>
  <c r="BE64" i="1"/>
  <c r="AS64" i="1"/>
  <c r="BC64" i="1"/>
  <c r="BI64" i="1"/>
  <c r="BA64" i="1"/>
  <c r="BC54" i="1"/>
  <c r="BI54" i="1"/>
  <c r="BA54" i="1"/>
  <c r="BG54" i="1"/>
  <c r="AZ54" i="1"/>
  <c r="AT54" i="1"/>
  <c r="BE54" i="1"/>
  <c r="AS54" i="1"/>
  <c r="BI147" i="1"/>
  <c r="BA147" i="1"/>
  <c r="BG147" i="1"/>
  <c r="AZ147" i="1"/>
  <c r="AT147" i="1"/>
  <c r="BE147" i="1"/>
  <c r="AS147" i="1"/>
  <c r="BC147" i="1"/>
  <c r="BI335" i="1"/>
  <c r="BA335" i="1"/>
  <c r="BG335" i="1"/>
  <c r="AZ335" i="1"/>
  <c r="AT335" i="1"/>
  <c r="BE335" i="1"/>
  <c r="AS335" i="1"/>
  <c r="BC335" i="1"/>
  <c r="BI87" i="1"/>
  <c r="BA87" i="1"/>
  <c r="BG87" i="1"/>
  <c r="AZ87" i="1"/>
  <c r="AT87" i="1"/>
  <c r="BE87" i="1"/>
  <c r="AS87" i="1"/>
  <c r="BC87" i="1"/>
  <c r="BE61" i="1"/>
  <c r="AS61" i="1"/>
  <c r="BC61" i="1"/>
  <c r="BI61" i="1"/>
  <c r="BA61" i="1"/>
  <c r="BG61" i="1"/>
  <c r="AZ61" i="1"/>
  <c r="AT61" i="1"/>
  <c r="BI75" i="1"/>
  <c r="BA75" i="1"/>
  <c r="BG75" i="1"/>
  <c r="AZ75" i="1"/>
  <c r="AT75" i="1"/>
  <c r="BE75" i="1"/>
  <c r="AS75" i="1"/>
  <c r="BC75" i="1"/>
  <c r="BI19" i="1"/>
  <c r="BA19" i="1"/>
  <c r="BG19" i="1"/>
  <c r="AZ19" i="1"/>
  <c r="AT19" i="1"/>
  <c r="BE19" i="1"/>
  <c r="AS19" i="1"/>
  <c r="BC19" i="1"/>
  <c r="BE21" i="1"/>
  <c r="AS21" i="1"/>
  <c r="BC21" i="1"/>
  <c r="BI21" i="1"/>
  <c r="BA21" i="1"/>
  <c r="BG21" i="1"/>
  <c r="AZ21" i="1"/>
  <c r="AT21" i="1"/>
  <c r="BI23" i="1"/>
  <c r="BA23" i="1"/>
  <c r="BG23" i="1"/>
  <c r="AZ23" i="1"/>
  <c r="AT23" i="1"/>
  <c r="BE23" i="1"/>
  <c r="AS23" i="1"/>
  <c r="BC23" i="1"/>
  <c r="BE25" i="1"/>
  <c r="AS25" i="1"/>
  <c r="BC25" i="1"/>
  <c r="BI25" i="1"/>
  <c r="BA25" i="1"/>
  <c r="BG25" i="1"/>
  <c r="AZ25" i="1"/>
  <c r="AT25" i="1"/>
  <c r="BE611" i="1"/>
  <c r="AS611" i="1"/>
  <c r="BC611" i="1"/>
  <c r="BI611" i="1"/>
  <c r="BA611" i="1"/>
  <c r="BG611" i="1"/>
  <c r="AZ611" i="1"/>
  <c r="AT611" i="1"/>
  <c r="BE603" i="1"/>
  <c r="AS603" i="1"/>
  <c r="BC603" i="1"/>
  <c r="BI603" i="1"/>
  <c r="BA603" i="1"/>
  <c r="BG603" i="1"/>
  <c r="AZ603" i="1"/>
  <c r="AT603" i="1"/>
  <c r="BG594" i="1"/>
  <c r="AZ594" i="1"/>
  <c r="AT594" i="1"/>
  <c r="BE594" i="1"/>
  <c r="AS594" i="1"/>
  <c r="BC594" i="1"/>
  <c r="BI594" i="1"/>
  <c r="BA594" i="1"/>
  <c r="BG28" i="1"/>
  <c r="AZ28" i="1"/>
  <c r="AT28" i="1"/>
  <c r="BE28" i="1"/>
  <c r="AS28" i="1"/>
  <c r="BC28" i="1"/>
  <c r="BI28" i="1"/>
  <c r="BA28" i="1"/>
  <c r="BC584" i="1"/>
  <c r="BI584" i="1"/>
  <c r="BA584" i="1"/>
  <c r="BG584" i="1"/>
  <c r="AZ584" i="1"/>
  <c r="AT584" i="1"/>
  <c r="BE584" i="1"/>
  <c r="AS584" i="1"/>
  <c r="BI580" i="1"/>
  <c r="BA580" i="1"/>
  <c r="BG580" i="1"/>
  <c r="AZ580" i="1"/>
  <c r="AT580" i="1"/>
  <c r="BE580" i="1"/>
  <c r="AS580" i="1"/>
  <c r="BC580" i="1"/>
  <c r="BG561" i="1"/>
  <c r="AZ561" i="1"/>
  <c r="AT561" i="1"/>
  <c r="BC561" i="1"/>
  <c r="BA561" i="1"/>
  <c r="AS561" i="1"/>
  <c r="BI561" i="1"/>
  <c r="BE561" i="1"/>
  <c r="BG557" i="1"/>
  <c r="AZ557" i="1"/>
  <c r="AT557" i="1"/>
  <c r="BC557" i="1"/>
  <c r="BA557" i="1"/>
  <c r="AS557" i="1"/>
  <c r="BI557" i="1"/>
  <c r="BE557" i="1"/>
  <c r="BC551" i="1"/>
  <c r="BG551" i="1"/>
  <c r="AZ551" i="1"/>
  <c r="AT551" i="1"/>
  <c r="BI551" i="1"/>
  <c r="BE551" i="1"/>
  <c r="BA551" i="1"/>
  <c r="AS551" i="1"/>
  <c r="BE570" i="1"/>
  <c r="AS570" i="1"/>
  <c r="BI570" i="1"/>
  <c r="BA570" i="1"/>
  <c r="BG570" i="1"/>
  <c r="BC570" i="1"/>
  <c r="AZ570" i="1"/>
  <c r="AT570" i="1"/>
  <c r="BG573" i="1"/>
  <c r="AZ573" i="1"/>
  <c r="AT573" i="1"/>
  <c r="BC573" i="1"/>
  <c r="BA573" i="1"/>
  <c r="AS573" i="1"/>
  <c r="BI573" i="1"/>
  <c r="BE573" i="1"/>
  <c r="BI525" i="1"/>
  <c r="BA525" i="1"/>
  <c r="BG525" i="1"/>
  <c r="AZ525" i="1"/>
  <c r="AT525" i="1"/>
  <c r="BE525" i="1"/>
  <c r="AS525" i="1"/>
  <c r="BC525" i="1"/>
  <c r="BC524" i="1"/>
  <c r="BI524" i="1"/>
  <c r="BA524" i="1"/>
  <c r="BG524" i="1"/>
  <c r="AZ524" i="1"/>
  <c r="AT524" i="1"/>
  <c r="BE524" i="1"/>
  <c r="AS524" i="1"/>
  <c r="BC545" i="1"/>
  <c r="BI545" i="1"/>
  <c r="BA545" i="1"/>
  <c r="BG545" i="1"/>
  <c r="AZ545" i="1"/>
  <c r="AT545" i="1"/>
  <c r="BE545" i="1"/>
  <c r="AS545" i="1"/>
  <c r="BI537" i="1"/>
  <c r="BA537" i="1"/>
  <c r="BE537" i="1"/>
  <c r="AS537" i="1"/>
  <c r="BG537" i="1"/>
  <c r="BC537" i="1"/>
  <c r="AZ537" i="1"/>
  <c r="AT537" i="1"/>
  <c r="BG526" i="1"/>
  <c r="AZ526" i="1"/>
  <c r="AT526" i="1"/>
  <c r="BE526" i="1"/>
  <c r="AS526" i="1"/>
  <c r="BC526" i="1"/>
  <c r="BI526" i="1"/>
  <c r="BA526" i="1"/>
  <c r="BC540" i="1"/>
  <c r="BI540" i="1"/>
  <c r="BG540" i="1"/>
  <c r="AZ540" i="1"/>
  <c r="AT540" i="1"/>
  <c r="BE540" i="1"/>
  <c r="BA540" i="1"/>
  <c r="AS540" i="1"/>
  <c r="BG486" i="1"/>
  <c r="AZ486" i="1"/>
  <c r="AT486" i="1"/>
  <c r="BC486" i="1"/>
  <c r="BA486" i="1"/>
  <c r="AS486" i="1"/>
  <c r="BI486" i="1"/>
  <c r="BE486" i="1"/>
  <c r="BC508" i="1"/>
  <c r="BI508" i="1"/>
  <c r="BA508" i="1"/>
  <c r="BG508" i="1"/>
  <c r="AZ508" i="1"/>
  <c r="AT508" i="1"/>
  <c r="BE508" i="1"/>
  <c r="AS508" i="1"/>
  <c r="BC536" i="1"/>
  <c r="BG536" i="1"/>
  <c r="AZ536" i="1"/>
  <c r="AT536" i="1"/>
  <c r="BI536" i="1"/>
  <c r="BE536" i="1"/>
  <c r="BA536" i="1"/>
  <c r="AS536" i="1"/>
  <c r="BE503" i="1"/>
  <c r="AS503" i="1"/>
  <c r="BC503" i="1"/>
  <c r="BI503" i="1"/>
  <c r="BA503" i="1"/>
  <c r="BG503" i="1"/>
  <c r="AZ503" i="1"/>
  <c r="AT503" i="1"/>
  <c r="BI464" i="1"/>
  <c r="BA464" i="1"/>
  <c r="BG464" i="1"/>
  <c r="AZ464" i="1"/>
  <c r="AT464" i="1"/>
  <c r="BE464" i="1"/>
  <c r="AS464" i="1"/>
  <c r="BC464" i="1"/>
  <c r="BI489" i="1"/>
  <c r="BA489" i="1"/>
  <c r="BE489" i="1"/>
  <c r="AS489" i="1"/>
  <c r="BC489" i="1"/>
  <c r="AZ489" i="1"/>
  <c r="AT489" i="1"/>
  <c r="BG489" i="1"/>
  <c r="BC483" i="1"/>
  <c r="BI483" i="1"/>
  <c r="BA483" i="1"/>
  <c r="BG483" i="1"/>
  <c r="AZ483" i="1"/>
  <c r="AT483" i="1"/>
  <c r="BE483" i="1"/>
  <c r="AS483" i="1"/>
  <c r="BE474" i="1"/>
  <c r="AS474" i="1"/>
  <c r="BC474" i="1"/>
  <c r="BI474" i="1"/>
  <c r="BA474" i="1"/>
  <c r="BG474" i="1"/>
  <c r="AZ474" i="1"/>
  <c r="AT474" i="1"/>
  <c r="BG490" i="1"/>
  <c r="AZ490" i="1"/>
  <c r="AT490" i="1"/>
  <c r="BC490" i="1"/>
  <c r="BA490" i="1"/>
  <c r="AS490" i="1"/>
  <c r="BI490" i="1"/>
  <c r="BE490" i="1"/>
  <c r="BI424" i="1"/>
  <c r="BA424" i="1"/>
  <c r="BG424" i="1"/>
  <c r="AZ424" i="1"/>
  <c r="AT424" i="1"/>
  <c r="BE424" i="1"/>
  <c r="AS424" i="1"/>
  <c r="BC424" i="1"/>
  <c r="BE414" i="1"/>
  <c r="AS414" i="1"/>
  <c r="BC414" i="1"/>
  <c r="BI414" i="1"/>
  <c r="BA414" i="1"/>
  <c r="BG414" i="1"/>
  <c r="AZ414" i="1"/>
  <c r="AT414" i="1"/>
  <c r="BI476" i="1"/>
  <c r="BA476" i="1"/>
  <c r="BG476" i="1"/>
  <c r="AZ476" i="1"/>
  <c r="AT476" i="1"/>
  <c r="BE476" i="1"/>
  <c r="AS476" i="1"/>
  <c r="BC476" i="1"/>
  <c r="BG538" i="1"/>
  <c r="AZ538" i="1"/>
  <c r="AT538" i="1"/>
  <c r="BC538" i="1"/>
  <c r="BE538" i="1"/>
  <c r="BA538" i="1"/>
  <c r="AS538" i="1"/>
  <c r="BI538" i="1"/>
  <c r="BG469" i="1"/>
  <c r="AZ469" i="1"/>
  <c r="AT469" i="1"/>
  <c r="BE469" i="1"/>
  <c r="AS469" i="1"/>
  <c r="BC469" i="1"/>
  <c r="BI469" i="1"/>
  <c r="BA469" i="1"/>
  <c r="BG437" i="1"/>
  <c r="AZ437" i="1"/>
  <c r="AT437" i="1"/>
  <c r="BE437" i="1"/>
  <c r="AS437" i="1"/>
  <c r="BC437" i="1"/>
  <c r="BI437" i="1"/>
  <c r="BA437" i="1"/>
  <c r="BE430" i="1"/>
  <c r="AS430" i="1"/>
  <c r="BC430" i="1"/>
  <c r="BI430" i="1"/>
  <c r="BA430" i="1"/>
  <c r="BG430" i="1"/>
  <c r="AZ430" i="1"/>
  <c r="AT430" i="1"/>
  <c r="BC382" i="1"/>
  <c r="BI382" i="1"/>
  <c r="BA382" i="1"/>
  <c r="BG382" i="1"/>
  <c r="AZ382" i="1"/>
  <c r="AT382" i="1"/>
  <c r="BE382" i="1"/>
  <c r="AS382" i="1"/>
  <c r="BC378" i="1"/>
  <c r="BI378" i="1"/>
  <c r="BA378" i="1"/>
  <c r="BG378" i="1"/>
  <c r="AZ378" i="1"/>
  <c r="AT378" i="1"/>
  <c r="BE378" i="1"/>
  <c r="AS378" i="1"/>
  <c r="BE462" i="1"/>
  <c r="AS462" i="1"/>
  <c r="BC462" i="1"/>
  <c r="BI462" i="1"/>
  <c r="BA462" i="1"/>
  <c r="BG462" i="1"/>
  <c r="AZ462" i="1"/>
  <c r="AT462" i="1"/>
  <c r="BG445" i="1"/>
  <c r="AZ445" i="1"/>
  <c r="AT445" i="1"/>
  <c r="BE445" i="1"/>
  <c r="AS445" i="1"/>
  <c r="BC445" i="1"/>
  <c r="BI445" i="1"/>
  <c r="BA445" i="1"/>
  <c r="BE418" i="1"/>
  <c r="AS418" i="1"/>
  <c r="BC418" i="1"/>
  <c r="BI418" i="1"/>
  <c r="BA418" i="1"/>
  <c r="BG418" i="1"/>
  <c r="AZ418" i="1"/>
  <c r="AT418" i="1"/>
  <c r="BC350" i="1"/>
  <c r="BI350" i="1"/>
  <c r="BA350" i="1"/>
  <c r="BG350" i="1"/>
  <c r="AZ350" i="1"/>
  <c r="AT350" i="1"/>
  <c r="BE350" i="1"/>
  <c r="AS350" i="1"/>
  <c r="BI432" i="1"/>
  <c r="BA432" i="1"/>
  <c r="BG432" i="1"/>
  <c r="AZ432" i="1"/>
  <c r="AT432" i="1"/>
  <c r="BE432" i="1"/>
  <c r="AS432" i="1"/>
  <c r="BC432" i="1"/>
  <c r="BE329" i="1"/>
  <c r="AS329" i="1"/>
  <c r="BC329" i="1"/>
  <c r="BI329" i="1"/>
  <c r="BA329" i="1"/>
  <c r="BG329" i="1"/>
  <c r="AZ329" i="1"/>
  <c r="AT329" i="1"/>
  <c r="BI399" i="1"/>
  <c r="BA399" i="1"/>
  <c r="BG399" i="1"/>
  <c r="AZ399" i="1"/>
  <c r="AT399" i="1"/>
  <c r="BE399" i="1"/>
  <c r="AS399" i="1"/>
  <c r="BC399" i="1"/>
  <c r="BE349" i="1"/>
  <c r="AS349" i="1"/>
  <c r="BC349" i="1"/>
  <c r="BI349" i="1"/>
  <c r="BA349" i="1"/>
  <c r="BG349" i="1"/>
  <c r="AZ349" i="1"/>
  <c r="AT349" i="1"/>
  <c r="BI313" i="1"/>
  <c r="BA313" i="1"/>
  <c r="BG313" i="1"/>
  <c r="AZ313" i="1"/>
  <c r="AT313" i="1"/>
  <c r="BE313" i="1"/>
  <c r="AS313" i="1"/>
  <c r="BC313" i="1"/>
  <c r="BI305" i="1"/>
  <c r="BA305" i="1"/>
  <c r="BG305" i="1"/>
  <c r="AZ305" i="1"/>
  <c r="AT305" i="1"/>
  <c r="BE305" i="1"/>
  <c r="AS305" i="1"/>
  <c r="BC305" i="1"/>
  <c r="BE303" i="1"/>
  <c r="AS303" i="1"/>
  <c r="BC303" i="1"/>
  <c r="BI303" i="1"/>
  <c r="BA303" i="1"/>
  <c r="BG303" i="1"/>
  <c r="AZ303" i="1"/>
  <c r="AT303" i="1"/>
  <c r="BG302" i="1"/>
  <c r="AZ302" i="1"/>
  <c r="AT302" i="1"/>
  <c r="BE302" i="1"/>
  <c r="AS302" i="1"/>
  <c r="BC302" i="1"/>
  <c r="BI302" i="1"/>
  <c r="BA302" i="1"/>
  <c r="BG286" i="1"/>
  <c r="AZ286" i="1"/>
  <c r="AT286" i="1"/>
  <c r="BE286" i="1"/>
  <c r="AS286" i="1"/>
  <c r="BC286" i="1"/>
  <c r="BI286" i="1"/>
  <c r="BA286" i="1"/>
  <c r="BC322" i="1"/>
  <c r="BI322" i="1"/>
  <c r="BA322" i="1"/>
  <c r="BG322" i="1"/>
  <c r="AZ322" i="1"/>
  <c r="AT322" i="1"/>
  <c r="BE322" i="1"/>
  <c r="AS322" i="1"/>
  <c r="BE410" i="1"/>
  <c r="AS410" i="1"/>
  <c r="BC410" i="1"/>
  <c r="BI410" i="1"/>
  <c r="BA410" i="1"/>
  <c r="BG410" i="1"/>
  <c r="AZ410" i="1"/>
  <c r="AT410" i="1"/>
  <c r="BG320" i="1"/>
  <c r="AZ320" i="1"/>
  <c r="AT320" i="1"/>
  <c r="BE320" i="1"/>
  <c r="AS320" i="1"/>
  <c r="BC320" i="1"/>
  <c r="BI320" i="1"/>
  <c r="BA320" i="1"/>
  <c r="BG258" i="1"/>
  <c r="AZ258" i="1"/>
  <c r="AT258" i="1"/>
  <c r="BE258" i="1"/>
  <c r="AS258" i="1"/>
  <c r="BC258" i="1"/>
  <c r="BI258" i="1"/>
  <c r="BA258" i="1"/>
  <c r="BE325" i="1"/>
  <c r="AS325" i="1"/>
  <c r="BC325" i="1"/>
  <c r="BI325" i="1"/>
  <c r="BA325" i="1"/>
  <c r="BG325" i="1"/>
  <c r="AZ325" i="1"/>
  <c r="AT325" i="1"/>
  <c r="BG294" i="1"/>
  <c r="AZ294" i="1"/>
  <c r="AT294" i="1"/>
  <c r="BE294" i="1"/>
  <c r="AS294" i="1"/>
  <c r="BC294" i="1"/>
  <c r="BI294" i="1"/>
  <c r="BA294" i="1"/>
  <c r="BG336" i="1"/>
  <c r="AZ336" i="1"/>
  <c r="AT336" i="1"/>
  <c r="BE336" i="1"/>
  <c r="AS336" i="1"/>
  <c r="BC336" i="1"/>
  <c r="BI336" i="1"/>
  <c r="BA336" i="1"/>
  <c r="BE251" i="1"/>
  <c r="AS251" i="1"/>
  <c r="BC251" i="1"/>
  <c r="BI251" i="1"/>
  <c r="BA251" i="1"/>
  <c r="BG251" i="1"/>
  <c r="AZ251" i="1"/>
  <c r="AT251" i="1"/>
  <c r="BE239" i="1"/>
  <c r="AS239" i="1"/>
  <c r="BC239" i="1"/>
  <c r="BI239" i="1"/>
  <c r="BA239" i="1"/>
  <c r="BG239" i="1"/>
  <c r="AZ239" i="1"/>
  <c r="AT239" i="1"/>
  <c r="BI265" i="1"/>
  <c r="BA265" i="1"/>
  <c r="BG265" i="1"/>
  <c r="AZ265" i="1"/>
  <c r="AT265" i="1"/>
  <c r="BE265" i="1"/>
  <c r="AS265" i="1"/>
  <c r="BC265" i="1"/>
  <c r="BC272" i="1"/>
  <c r="BI272" i="1"/>
  <c r="BA272" i="1"/>
  <c r="BG272" i="1"/>
  <c r="AZ272" i="1"/>
  <c r="AT272" i="1"/>
  <c r="BE272" i="1"/>
  <c r="AS272" i="1"/>
  <c r="BI224" i="1"/>
  <c r="BA224" i="1"/>
  <c r="BG224" i="1"/>
  <c r="AZ224" i="1"/>
  <c r="AT224" i="1"/>
  <c r="BE224" i="1"/>
  <c r="AS224" i="1"/>
  <c r="BC224" i="1"/>
  <c r="BE267" i="1"/>
  <c r="AS267" i="1"/>
  <c r="BC267" i="1"/>
  <c r="BI267" i="1"/>
  <c r="BA267" i="1"/>
  <c r="BG267" i="1"/>
  <c r="AZ267" i="1"/>
  <c r="AT267" i="1"/>
  <c r="BG332" i="1"/>
  <c r="AZ332" i="1"/>
  <c r="AT332" i="1"/>
  <c r="BE332" i="1"/>
  <c r="AS332" i="1"/>
  <c r="BC332" i="1"/>
  <c r="BI332" i="1"/>
  <c r="BA332" i="1"/>
  <c r="BG266" i="1"/>
  <c r="AZ266" i="1"/>
  <c r="AT266" i="1"/>
  <c r="BE266" i="1"/>
  <c r="AS266" i="1"/>
  <c r="BC266" i="1"/>
  <c r="BI266" i="1"/>
  <c r="BA266" i="1"/>
  <c r="BC227" i="1"/>
  <c r="BI227" i="1"/>
  <c r="BA227" i="1"/>
  <c r="BG227" i="1"/>
  <c r="AZ227" i="1"/>
  <c r="AT227" i="1"/>
  <c r="BE227" i="1"/>
  <c r="AS227" i="1"/>
  <c r="BC167" i="1"/>
  <c r="BI167" i="1"/>
  <c r="BA167" i="1"/>
  <c r="BG167" i="1"/>
  <c r="AZ167" i="1"/>
  <c r="AT167" i="1"/>
  <c r="BE167" i="1"/>
  <c r="AS167" i="1"/>
  <c r="BE279" i="1"/>
  <c r="AS279" i="1"/>
  <c r="BC279" i="1"/>
  <c r="BI279" i="1"/>
  <c r="BA279" i="1"/>
  <c r="BG279" i="1"/>
  <c r="AZ279" i="1"/>
  <c r="AT279" i="1"/>
  <c r="BI160" i="1"/>
  <c r="BA160" i="1"/>
  <c r="BG160" i="1"/>
  <c r="AZ160" i="1"/>
  <c r="AT160" i="1"/>
  <c r="BE160" i="1"/>
  <c r="AS160" i="1"/>
  <c r="BC160" i="1"/>
  <c r="BG153" i="1"/>
  <c r="AZ153" i="1"/>
  <c r="AT153" i="1"/>
  <c r="BE153" i="1"/>
  <c r="AS153" i="1"/>
  <c r="BC153" i="1"/>
  <c r="BI153" i="1"/>
  <c r="BA153" i="1"/>
  <c r="BI200" i="1"/>
  <c r="BA200" i="1"/>
  <c r="BG200" i="1"/>
  <c r="AZ200" i="1"/>
  <c r="AT200" i="1"/>
  <c r="BE200" i="1"/>
  <c r="AS200" i="1"/>
  <c r="BC200" i="1"/>
  <c r="BE206" i="1"/>
  <c r="AS206" i="1"/>
  <c r="BC206" i="1"/>
  <c r="BI206" i="1"/>
  <c r="BA206" i="1"/>
  <c r="BG206" i="1"/>
  <c r="AZ206" i="1"/>
  <c r="AT206" i="1"/>
  <c r="BE263" i="1"/>
  <c r="AS263" i="1"/>
  <c r="BC263" i="1"/>
  <c r="BI263" i="1"/>
  <c r="BA263" i="1"/>
  <c r="BG263" i="1"/>
  <c r="AZ263" i="1"/>
  <c r="AT263" i="1"/>
  <c r="BC171" i="1"/>
  <c r="BI171" i="1"/>
  <c r="BA171" i="1"/>
  <c r="BG171" i="1"/>
  <c r="AZ171" i="1"/>
  <c r="AT171" i="1"/>
  <c r="BE171" i="1"/>
  <c r="AS171" i="1"/>
  <c r="BI135" i="1"/>
  <c r="BA135" i="1"/>
  <c r="BG135" i="1"/>
  <c r="AZ135" i="1"/>
  <c r="AT135" i="1"/>
  <c r="BE135" i="1"/>
  <c r="AS135" i="1"/>
  <c r="BC135" i="1"/>
  <c r="BC134" i="1"/>
  <c r="BI134" i="1"/>
  <c r="BA134" i="1"/>
  <c r="BG134" i="1"/>
  <c r="AZ134" i="1"/>
  <c r="AT134" i="1"/>
  <c r="BE134" i="1"/>
  <c r="AS134" i="1"/>
  <c r="BE133" i="1"/>
  <c r="AS133" i="1"/>
  <c r="BC133" i="1"/>
  <c r="BI133" i="1"/>
  <c r="BA133" i="1"/>
  <c r="BG133" i="1"/>
  <c r="AZ133" i="1"/>
  <c r="AT133" i="1"/>
  <c r="BE129" i="1"/>
  <c r="AS129" i="1"/>
  <c r="BC129" i="1"/>
  <c r="BI129" i="1"/>
  <c r="BA129" i="1"/>
  <c r="BG129" i="1"/>
  <c r="AZ129" i="1"/>
  <c r="AT129" i="1"/>
  <c r="BG112" i="1"/>
  <c r="AZ112" i="1"/>
  <c r="AT112" i="1"/>
  <c r="BE112" i="1"/>
  <c r="AS112" i="1"/>
  <c r="BC112" i="1"/>
  <c r="BI112" i="1"/>
  <c r="BA112" i="1"/>
  <c r="BE117" i="1"/>
  <c r="AS117" i="1"/>
  <c r="BC117" i="1"/>
  <c r="BI117" i="1"/>
  <c r="BA117" i="1"/>
  <c r="BG117" i="1"/>
  <c r="AZ117" i="1"/>
  <c r="AT117" i="1"/>
  <c r="BC146" i="1"/>
  <c r="BI146" i="1"/>
  <c r="BA146" i="1"/>
  <c r="BG146" i="1"/>
  <c r="AZ146" i="1"/>
  <c r="AT146" i="1"/>
  <c r="BE146" i="1"/>
  <c r="AS146" i="1"/>
  <c r="BI184" i="1"/>
  <c r="BA184" i="1"/>
  <c r="BG184" i="1"/>
  <c r="AZ184" i="1"/>
  <c r="AT184" i="1"/>
  <c r="BE184" i="1"/>
  <c r="AS184" i="1"/>
  <c r="BC184" i="1"/>
  <c r="BC207" i="1"/>
  <c r="BI207" i="1"/>
  <c r="BA207" i="1"/>
  <c r="BG207" i="1"/>
  <c r="AZ207" i="1"/>
  <c r="AT207" i="1"/>
  <c r="BE207" i="1"/>
  <c r="AS207" i="1"/>
  <c r="BG173" i="1"/>
  <c r="AZ173" i="1"/>
  <c r="AT173" i="1"/>
  <c r="BE173" i="1"/>
  <c r="AS173" i="1"/>
  <c r="BC173" i="1"/>
  <c r="BI173" i="1"/>
  <c r="BA173" i="1"/>
  <c r="BC106" i="1"/>
  <c r="BI106" i="1"/>
  <c r="BA106" i="1"/>
  <c r="BG106" i="1"/>
  <c r="AZ106" i="1"/>
  <c r="AT106" i="1"/>
  <c r="BE106" i="1"/>
  <c r="AS106" i="1"/>
  <c r="BG136" i="1"/>
  <c r="AZ136" i="1"/>
  <c r="AT136" i="1"/>
  <c r="BE136" i="1"/>
  <c r="AS136" i="1"/>
  <c r="BC136" i="1"/>
  <c r="BI136" i="1"/>
  <c r="BA136" i="1"/>
  <c r="BE105" i="1"/>
  <c r="AS105" i="1"/>
  <c r="BC105" i="1"/>
  <c r="BI105" i="1"/>
  <c r="BA105" i="1"/>
  <c r="BG105" i="1"/>
  <c r="AZ105" i="1"/>
  <c r="AT105" i="1"/>
  <c r="BG104" i="1"/>
  <c r="AZ104" i="1"/>
  <c r="AT104" i="1"/>
  <c r="BE104" i="1"/>
  <c r="AS104" i="1"/>
  <c r="BC104" i="1"/>
  <c r="BI104" i="1"/>
  <c r="BA104" i="1"/>
  <c r="BI103" i="1"/>
  <c r="BA103" i="1"/>
  <c r="BG103" i="1"/>
  <c r="AZ103" i="1"/>
  <c r="AT103" i="1"/>
  <c r="BE103" i="1"/>
  <c r="AS103" i="1"/>
  <c r="BC103" i="1"/>
  <c r="BI99" i="1"/>
  <c r="BA99" i="1"/>
  <c r="BG99" i="1"/>
  <c r="AZ99" i="1"/>
  <c r="AT99" i="1"/>
  <c r="BE99" i="1"/>
  <c r="AS99" i="1"/>
  <c r="BC99" i="1"/>
  <c r="BG96" i="1"/>
  <c r="AZ96" i="1"/>
  <c r="AT96" i="1"/>
  <c r="BE96" i="1"/>
  <c r="AS96" i="1"/>
  <c r="BC96" i="1"/>
  <c r="BI96" i="1"/>
  <c r="BA96" i="1"/>
  <c r="BE81" i="1"/>
  <c r="AS81" i="1"/>
  <c r="BC81" i="1"/>
  <c r="BI81" i="1"/>
  <c r="BA81" i="1"/>
  <c r="BG81" i="1"/>
  <c r="AZ81" i="1"/>
  <c r="AT81" i="1"/>
  <c r="BE77" i="1"/>
  <c r="AS77" i="1"/>
  <c r="BC77" i="1"/>
  <c r="BI77" i="1"/>
  <c r="BA77" i="1"/>
  <c r="BG77" i="1"/>
  <c r="AZ77" i="1"/>
  <c r="AT77" i="1"/>
  <c r="BC122" i="1"/>
  <c r="BI122" i="1"/>
  <c r="BA122" i="1"/>
  <c r="BG122" i="1"/>
  <c r="AZ122" i="1"/>
  <c r="AT122" i="1"/>
  <c r="BE122" i="1"/>
  <c r="AS122" i="1"/>
  <c r="BE141" i="1"/>
  <c r="AS141" i="1"/>
  <c r="BC141" i="1"/>
  <c r="BI141" i="1"/>
  <c r="BA141" i="1"/>
  <c r="BG141" i="1"/>
  <c r="AZ141" i="1"/>
  <c r="AT141" i="1"/>
  <c r="BG169" i="1"/>
  <c r="AZ169" i="1"/>
  <c r="AT169" i="1"/>
  <c r="BE169" i="1"/>
  <c r="AS169" i="1"/>
  <c r="BC169" i="1"/>
  <c r="BI169" i="1"/>
  <c r="BA169" i="1"/>
  <c r="BG68" i="1"/>
  <c r="AZ68" i="1"/>
  <c r="AT68" i="1"/>
  <c r="BE68" i="1"/>
  <c r="AS68" i="1"/>
  <c r="BC68" i="1"/>
  <c r="BI68" i="1"/>
  <c r="BA68" i="1"/>
  <c r="BE53" i="1"/>
  <c r="AS53" i="1"/>
  <c r="BC53" i="1"/>
  <c r="BI53" i="1"/>
  <c r="BA53" i="1"/>
  <c r="BG53" i="1"/>
  <c r="AZ53" i="1"/>
  <c r="AT53" i="1"/>
  <c r="BC102" i="1"/>
  <c r="BI102" i="1"/>
  <c r="BA102" i="1"/>
  <c r="BG102" i="1"/>
  <c r="AZ102" i="1"/>
  <c r="AT102" i="1"/>
  <c r="BE102" i="1"/>
  <c r="AS102" i="1"/>
  <c r="BI35" i="1"/>
  <c r="BA35" i="1"/>
  <c r="BG35" i="1"/>
  <c r="AZ35" i="1"/>
  <c r="AT35" i="1"/>
  <c r="BE35" i="1"/>
  <c r="AS35" i="1"/>
  <c r="BC35" i="1"/>
  <c r="BI601" i="1"/>
  <c r="BA601" i="1"/>
  <c r="BG601" i="1"/>
  <c r="AZ601" i="1"/>
  <c r="AT601" i="1"/>
  <c r="BE601" i="1"/>
  <c r="AS601" i="1"/>
  <c r="BC601" i="1"/>
  <c r="BE591" i="1"/>
  <c r="AS591" i="1"/>
  <c r="BC591" i="1"/>
  <c r="BI591" i="1"/>
  <c r="BA591" i="1"/>
  <c r="BG591" i="1"/>
  <c r="AZ591" i="1"/>
  <c r="AT591" i="1"/>
  <c r="BG36" i="1"/>
  <c r="AZ36" i="1"/>
  <c r="AT36" i="1"/>
  <c r="BE36" i="1"/>
  <c r="AS36" i="1"/>
  <c r="BC36" i="1"/>
  <c r="BI36" i="1"/>
  <c r="BA36" i="1"/>
  <c r="BE37" i="1"/>
  <c r="AS37" i="1"/>
  <c r="BC37" i="1"/>
  <c r="BI37" i="1"/>
  <c r="BA37" i="1"/>
  <c r="BG37" i="1"/>
  <c r="AZ37" i="1"/>
  <c r="AT37" i="1"/>
  <c r="BI560" i="1"/>
  <c r="BA560" i="1"/>
  <c r="BE560" i="1"/>
  <c r="AS560" i="1"/>
  <c r="BC560" i="1"/>
  <c r="AZ560" i="1"/>
  <c r="AT560" i="1"/>
  <c r="BG560" i="1"/>
  <c r="BI556" i="1"/>
  <c r="BA556" i="1"/>
  <c r="BE556" i="1"/>
  <c r="AS556" i="1"/>
  <c r="BC556" i="1"/>
  <c r="AZ556" i="1"/>
  <c r="AT556" i="1"/>
  <c r="BG556" i="1"/>
  <c r="BG553" i="1"/>
  <c r="AZ553" i="1"/>
  <c r="AT553" i="1"/>
  <c r="BC553" i="1"/>
  <c r="BA553" i="1"/>
  <c r="AS553" i="1"/>
  <c r="BI553" i="1"/>
  <c r="BE553" i="1"/>
  <c r="BI564" i="1"/>
  <c r="BA564" i="1"/>
  <c r="BE564" i="1"/>
  <c r="AS564" i="1"/>
  <c r="BC564" i="1"/>
  <c r="AZ564" i="1"/>
  <c r="AT564" i="1"/>
  <c r="BG564" i="1"/>
  <c r="BI521" i="1"/>
  <c r="BA521" i="1"/>
  <c r="BG521" i="1"/>
  <c r="AZ521" i="1"/>
  <c r="AT521" i="1"/>
  <c r="BE521" i="1"/>
  <c r="AS521" i="1"/>
  <c r="BC521" i="1"/>
  <c r="BE511" i="1"/>
  <c r="AS511" i="1"/>
  <c r="BC511" i="1"/>
  <c r="BI511" i="1"/>
  <c r="BA511" i="1"/>
  <c r="BG511" i="1"/>
  <c r="AZ511" i="1"/>
  <c r="AT511" i="1"/>
  <c r="BI542" i="1"/>
  <c r="BA542" i="1"/>
  <c r="BG542" i="1"/>
  <c r="AZ542" i="1"/>
  <c r="AT542" i="1"/>
  <c r="BE542" i="1"/>
  <c r="AS542" i="1"/>
  <c r="BC542" i="1"/>
  <c r="BI546" i="1"/>
  <c r="BA546" i="1"/>
  <c r="BG546" i="1"/>
  <c r="AZ546" i="1"/>
  <c r="AT546" i="1"/>
  <c r="BE546" i="1"/>
  <c r="AS546" i="1"/>
  <c r="BC546" i="1"/>
  <c r="BE495" i="1"/>
  <c r="AS495" i="1"/>
  <c r="BC495" i="1"/>
  <c r="BI495" i="1"/>
  <c r="BA495" i="1"/>
  <c r="BG495" i="1"/>
  <c r="AZ495" i="1"/>
  <c r="AT495" i="1"/>
  <c r="BG494" i="1"/>
  <c r="AZ494" i="1"/>
  <c r="AT494" i="1"/>
  <c r="BE494" i="1"/>
  <c r="AS494" i="1"/>
  <c r="BC494" i="1"/>
  <c r="BI494" i="1"/>
  <c r="BA494" i="1"/>
  <c r="BI505" i="1"/>
  <c r="BA505" i="1"/>
  <c r="BG505" i="1"/>
  <c r="AZ505" i="1"/>
  <c r="AT505" i="1"/>
  <c r="BE505" i="1"/>
  <c r="AS505" i="1"/>
  <c r="BC505" i="1"/>
  <c r="BE499" i="1"/>
  <c r="AS499" i="1"/>
  <c r="BC499" i="1"/>
  <c r="BI499" i="1"/>
  <c r="BA499" i="1"/>
  <c r="BG499" i="1"/>
  <c r="AZ499" i="1"/>
  <c r="AT499" i="1"/>
  <c r="BI460" i="1"/>
  <c r="BA460" i="1"/>
  <c r="BG460" i="1"/>
  <c r="AZ460" i="1"/>
  <c r="AT460" i="1"/>
  <c r="BE460" i="1"/>
  <c r="AS460" i="1"/>
  <c r="BC460" i="1"/>
  <c r="BI456" i="1"/>
  <c r="BA456" i="1"/>
  <c r="BG456" i="1"/>
  <c r="AZ456" i="1"/>
  <c r="AT456" i="1"/>
  <c r="BE456" i="1"/>
  <c r="AS456" i="1"/>
  <c r="BC456" i="1"/>
  <c r="BE450" i="1"/>
  <c r="AS450" i="1"/>
  <c r="BC450" i="1"/>
  <c r="BI450" i="1"/>
  <c r="BA450" i="1"/>
  <c r="BG450" i="1"/>
  <c r="AZ450" i="1"/>
  <c r="AT450" i="1"/>
  <c r="BG449" i="1"/>
  <c r="AZ449" i="1"/>
  <c r="AT449" i="1"/>
  <c r="BE449" i="1"/>
  <c r="AS449" i="1"/>
  <c r="BC449" i="1"/>
  <c r="BI449" i="1"/>
  <c r="BA449" i="1"/>
  <c r="BE478" i="1"/>
  <c r="AS478" i="1"/>
  <c r="BC478" i="1"/>
  <c r="BI478" i="1"/>
  <c r="BA478" i="1"/>
  <c r="BG478" i="1"/>
  <c r="AZ478" i="1"/>
  <c r="AT478" i="1"/>
  <c r="BI541" i="1"/>
  <c r="BA541" i="1"/>
  <c r="BG541" i="1"/>
  <c r="AZ541" i="1"/>
  <c r="AT541" i="1"/>
  <c r="BE541" i="1"/>
  <c r="AS541" i="1"/>
  <c r="BC541" i="1"/>
  <c r="BC575" i="1"/>
  <c r="BG575" i="1"/>
  <c r="AZ575" i="1"/>
  <c r="AT575" i="1"/>
  <c r="BI575" i="1"/>
  <c r="BE575" i="1"/>
  <c r="BA575" i="1"/>
  <c r="AS575" i="1"/>
  <c r="BE535" i="1"/>
  <c r="AS535" i="1"/>
  <c r="BI535" i="1"/>
  <c r="BA535" i="1"/>
  <c r="AZ535" i="1"/>
  <c r="AT535" i="1"/>
  <c r="BG535" i="1"/>
  <c r="BC535" i="1"/>
  <c r="BI472" i="1"/>
  <c r="BA472" i="1"/>
  <c r="BG472" i="1"/>
  <c r="AZ472" i="1"/>
  <c r="AT472" i="1"/>
  <c r="BE472" i="1"/>
  <c r="AS472" i="1"/>
  <c r="BC472" i="1"/>
  <c r="BE422" i="1"/>
  <c r="AS422" i="1"/>
  <c r="BC422" i="1"/>
  <c r="BI422" i="1"/>
  <c r="BA422" i="1"/>
  <c r="BG422" i="1"/>
  <c r="AZ422" i="1"/>
  <c r="AT422" i="1"/>
  <c r="BE470" i="1"/>
  <c r="AS470" i="1"/>
  <c r="BC470" i="1"/>
  <c r="BI470" i="1"/>
  <c r="BA470" i="1"/>
  <c r="BG470" i="1"/>
  <c r="AZ470" i="1"/>
  <c r="AT470" i="1"/>
  <c r="BC488" i="1"/>
  <c r="BG488" i="1"/>
  <c r="AZ488" i="1"/>
  <c r="AT488" i="1"/>
  <c r="BI488" i="1"/>
  <c r="BE488" i="1"/>
  <c r="BA488" i="1"/>
  <c r="AS488" i="1"/>
  <c r="BG441" i="1"/>
  <c r="AZ441" i="1"/>
  <c r="AT441" i="1"/>
  <c r="BE441" i="1"/>
  <c r="AS441" i="1"/>
  <c r="BC441" i="1"/>
  <c r="BI441" i="1"/>
  <c r="BA441" i="1"/>
  <c r="BI440" i="1"/>
  <c r="BA440" i="1"/>
  <c r="BG440" i="1"/>
  <c r="AZ440" i="1"/>
  <c r="AT440" i="1"/>
  <c r="BE440" i="1"/>
  <c r="AS440" i="1"/>
  <c r="BC440" i="1"/>
  <c r="BG405" i="1"/>
  <c r="AZ405" i="1"/>
  <c r="AT405" i="1"/>
  <c r="BE405" i="1"/>
  <c r="AS405" i="1"/>
  <c r="BC405" i="1"/>
  <c r="BI405" i="1"/>
  <c r="BA405" i="1"/>
  <c r="BC402" i="1"/>
  <c r="BI402" i="1"/>
  <c r="BA402" i="1"/>
  <c r="BG402" i="1"/>
  <c r="AZ402" i="1"/>
  <c r="AT402" i="1"/>
  <c r="BE402" i="1"/>
  <c r="AS402" i="1"/>
  <c r="BI391" i="1"/>
  <c r="BA391" i="1"/>
  <c r="BG391" i="1"/>
  <c r="AZ391" i="1"/>
  <c r="AT391" i="1"/>
  <c r="BE391" i="1"/>
  <c r="AS391" i="1"/>
  <c r="BC391" i="1"/>
  <c r="BC390" i="1"/>
  <c r="BI390" i="1"/>
  <c r="BA390" i="1"/>
  <c r="BG390" i="1"/>
  <c r="AZ390" i="1"/>
  <c r="AT390" i="1"/>
  <c r="BE390" i="1"/>
  <c r="AS390" i="1"/>
  <c r="BC427" i="1"/>
  <c r="BI427" i="1"/>
  <c r="BA427" i="1"/>
  <c r="BG427" i="1"/>
  <c r="AZ427" i="1"/>
  <c r="AT427" i="1"/>
  <c r="BE427" i="1"/>
  <c r="AS427" i="1"/>
  <c r="BE381" i="1"/>
  <c r="AS381" i="1"/>
  <c r="BC381" i="1"/>
  <c r="BI381" i="1"/>
  <c r="BA381" i="1"/>
  <c r="BG381" i="1"/>
  <c r="AZ381" i="1"/>
  <c r="AT381" i="1"/>
  <c r="BE377" i="1"/>
  <c r="AS377" i="1"/>
  <c r="BC377" i="1"/>
  <c r="BI377" i="1"/>
  <c r="BA377" i="1"/>
  <c r="BG377" i="1"/>
  <c r="AZ377" i="1"/>
  <c r="AT377" i="1"/>
  <c r="BC423" i="1"/>
  <c r="BI423" i="1"/>
  <c r="BA423" i="1"/>
  <c r="BG423" i="1"/>
  <c r="AZ423" i="1"/>
  <c r="AT423" i="1"/>
  <c r="BE423" i="1"/>
  <c r="AS423" i="1"/>
  <c r="BE438" i="1"/>
  <c r="AS438" i="1"/>
  <c r="BC438" i="1"/>
  <c r="BI438" i="1"/>
  <c r="BA438" i="1"/>
  <c r="BG438" i="1"/>
  <c r="AZ438" i="1"/>
  <c r="AT438" i="1"/>
  <c r="BC459" i="1"/>
  <c r="BI459" i="1"/>
  <c r="BA459" i="1"/>
  <c r="BG459" i="1"/>
  <c r="AZ459" i="1"/>
  <c r="AT459" i="1"/>
  <c r="BE459" i="1"/>
  <c r="AS459" i="1"/>
  <c r="BE458" i="1"/>
  <c r="AS458" i="1"/>
  <c r="BC458" i="1"/>
  <c r="BI458" i="1"/>
  <c r="BA458" i="1"/>
  <c r="BG458" i="1"/>
  <c r="AZ458" i="1"/>
  <c r="AT458" i="1"/>
  <c r="BC398" i="1"/>
  <c r="BI398" i="1"/>
  <c r="BA398" i="1"/>
  <c r="BG398" i="1"/>
  <c r="AZ398" i="1"/>
  <c r="AT398" i="1"/>
  <c r="BE398" i="1"/>
  <c r="AS398" i="1"/>
  <c r="BG348" i="1"/>
  <c r="AZ348" i="1"/>
  <c r="AT348" i="1"/>
  <c r="BE348" i="1"/>
  <c r="AS348" i="1"/>
  <c r="BC348" i="1"/>
  <c r="BI348" i="1"/>
  <c r="BA348" i="1"/>
  <c r="BG425" i="1"/>
  <c r="AZ425" i="1"/>
  <c r="AT425" i="1"/>
  <c r="BE425" i="1"/>
  <c r="AS425" i="1"/>
  <c r="BC425" i="1"/>
  <c r="BI425" i="1"/>
  <c r="BA425" i="1"/>
  <c r="BE357" i="1"/>
  <c r="AS357" i="1"/>
  <c r="BC357" i="1"/>
  <c r="BI357" i="1"/>
  <c r="BA357" i="1"/>
  <c r="BG357" i="1"/>
  <c r="AZ357" i="1"/>
  <c r="AT357" i="1"/>
  <c r="BI339" i="1"/>
  <c r="BA339" i="1"/>
  <c r="BG339" i="1"/>
  <c r="AZ339" i="1"/>
  <c r="AT339" i="1"/>
  <c r="BE339" i="1"/>
  <c r="AS339" i="1"/>
  <c r="BC339" i="1"/>
  <c r="BC330" i="1"/>
  <c r="BI330" i="1"/>
  <c r="BA330" i="1"/>
  <c r="BG330" i="1"/>
  <c r="AZ330" i="1"/>
  <c r="AT330" i="1"/>
  <c r="BE330" i="1"/>
  <c r="AS330" i="1"/>
  <c r="BI359" i="1"/>
  <c r="BA359" i="1"/>
  <c r="BG359" i="1"/>
  <c r="AZ359" i="1"/>
  <c r="AT359" i="1"/>
  <c r="BE359" i="1"/>
  <c r="AS359" i="1"/>
  <c r="BC359" i="1"/>
  <c r="BG384" i="1"/>
  <c r="AZ384" i="1"/>
  <c r="AT384" i="1"/>
  <c r="BE384" i="1"/>
  <c r="AS384" i="1"/>
  <c r="BC384" i="1"/>
  <c r="BI384" i="1"/>
  <c r="BA384" i="1"/>
  <c r="BI444" i="1"/>
  <c r="BA444" i="1"/>
  <c r="BG444" i="1"/>
  <c r="AZ444" i="1"/>
  <c r="AT444" i="1"/>
  <c r="BE444" i="1"/>
  <c r="AS444" i="1"/>
  <c r="BC444" i="1"/>
  <c r="BC366" i="1"/>
  <c r="BI366" i="1"/>
  <c r="BA366" i="1"/>
  <c r="BG366" i="1"/>
  <c r="AZ366" i="1"/>
  <c r="AT366" i="1"/>
  <c r="BE366" i="1"/>
  <c r="AS366" i="1"/>
  <c r="BG314" i="1"/>
  <c r="AZ314" i="1"/>
  <c r="AT314" i="1"/>
  <c r="BE314" i="1"/>
  <c r="AS314" i="1"/>
  <c r="BC314" i="1"/>
  <c r="BI314" i="1"/>
  <c r="BA314" i="1"/>
  <c r="BC312" i="1"/>
  <c r="BI312" i="1"/>
  <c r="BA312" i="1"/>
  <c r="BG312" i="1"/>
  <c r="AZ312" i="1"/>
  <c r="AT312" i="1"/>
  <c r="BE312" i="1"/>
  <c r="AS312" i="1"/>
  <c r="BE311" i="1"/>
  <c r="AS311" i="1"/>
  <c r="BC311" i="1"/>
  <c r="BI311" i="1"/>
  <c r="BA311" i="1"/>
  <c r="BG311" i="1"/>
  <c r="AZ311" i="1"/>
  <c r="AT311" i="1"/>
  <c r="BC300" i="1"/>
  <c r="BI300" i="1"/>
  <c r="BA300" i="1"/>
  <c r="BG300" i="1"/>
  <c r="AZ300" i="1"/>
  <c r="AT300" i="1"/>
  <c r="BE300" i="1"/>
  <c r="AS300" i="1"/>
  <c r="BG344" i="1"/>
  <c r="AZ344" i="1"/>
  <c r="AT344" i="1"/>
  <c r="BE344" i="1"/>
  <c r="AS344" i="1"/>
  <c r="BC344" i="1"/>
  <c r="BI344" i="1"/>
  <c r="BA344" i="1"/>
  <c r="BC326" i="1"/>
  <c r="BI326" i="1"/>
  <c r="BA326" i="1"/>
  <c r="BG326" i="1"/>
  <c r="AZ326" i="1"/>
  <c r="AT326" i="1"/>
  <c r="BE326" i="1"/>
  <c r="AS326" i="1"/>
  <c r="BG324" i="1"/>
  <c r="AZ324" i="1"/>
  <c r="AT324" i="1"/>
  <c r="BE324" i="1"/>
  <c r="AS324" i="1"/>
  <c r="BC324" i="1"/>
  <c r="BI324" i="1"/>
  <c r="BA324" i="1"/>
  <c r="BG318" i="1"/>
  <c r="AZ318" i="1"/>
  <c r="AT318" i="1"/>
  <c r="BE318" i="1"/>
  <c r="AS318" i="1"/>
  <c r="BC318" i="1"/>
  <c r="BI318" i="1"/>
  <c r="BA318" i="1"/>
  <c r="BI408" i="1"/>
  <c r="BA408" i="1"/>
  <c r="BG408" i="1"/>
  <c r="AZ408" i="1"/>
  <c r="AT408" i="1"/>
  <c r="BE408" i="1"/>
  <c r="AS408" i="1"/>
  <c r="BC408" i="1"/>
  <c r="BC354" i="1"/>
  <c r="BI354" i="1"/>
  <c r="BA354" i="1"/>
  <c r="BG354" i="1"/>
  <c r="AZ354" i="1"/>
  <c r="AT354" i="1"/>
  <c r="BE354" i="1"/>
  <c r="AS354" i="1"/>
  <c r="BC284" i="1"/>
  <c r="BI284" i="1"/>
  <c r="BA284" i="1"/>
  <c r="BG284" i="1"/>
  <c r="AZ284" i="1"/>
  <c r="AT284" i="1"/>
  <c r="BE284" i="1"/>
  <c r="AS284" i="1"/>
  <c r="BC280" i="1"/>
  <c r="BI280" i="1"/>
  <c r="BA280" i="1"/>
  <c r="BG280" i="1"/>
  <c r="AZ280" i="1"/>
  <c r="AT280" i="1"/>
  <c r="BE280" i="1"/>
  <c r="AS280" i="1"/>
  <c r="BC276" i="1"/>
  <c r="BI276" i="1"/>
  <c r="BA276" i="1"/>
  <c r="BG276" i="1"/>
  <c r="AZ276" i="1"/>
  <c r="AT276" i="1"/>
  <c r="BE276" i="1"/>
  <c r="AS276" i="1"/>
  <c r="BG274" i="1"/>
  <c r="AZ274" i="1"/>
  <c r="AT274" i="1"/>
  <c r="BE274" i="1"/>
  <c r="AS274" i="1"/>
  <c r="BC274" i="1"/>
  <c r="BI274" i="1"/>
  <c r="BA274" i="1"/>
  <c r="BI257" i="1"/>
  <c r="BA257" i="1"/>
  <c r="BG257" i="1"/>
  <c r="AZ257" i="1"/>
  <c r="AT257" i="1"/>
  <c r="BE257" i="1"/>
  <c r="AS257" i="1"/>
  <c r="BC257" i="1"/>
  <c r="BG356" i="1"/>
  <c r="AZ356" i="1"/>
  <c r="AT356" i="1"/>
  <c r="BE356" i="1"/>
  <c r="AS356" i="1"/>
  <c r="BC356" i="1"/>
  <c r="BI356" i="1"/>
  <c r="BA356" i="1"/>
  <c r="BI293" i="1"/>
  <c r="BA293" i="1"/>
  <c r="BG293" i="1"/>
  <c r="AZ293" i="1"/>
  <c r="AT293" i="1"/>
  <c r="BE293" i="1"/>
  <c r="AS293" i="1"/>
  <c r="BC293" i="1"/>
  <c r="BE333" i="1"/>
  <c r="AS333" i="1"/>
  <c r="BC333" i="1"/>
  <c r="BI333" i="1"/>
  <c r="BA333" i="1"/>
  <c r="BG333" i="1"/>
  <c r="AZ333" i="1"/>
  <c r="AT333" i="1"/>
  <c r="BC240" i="1"/>
  <c r="BI240" i="1"/>
  <c r="BA240" i="1"/>
  <c r="BG240" i="1"/>
  <c r="AZ240" i="1"/>
  <c r="AT240" i="1"/>
  <c r="BE240" i="1"/>
  <c r="AS240" i="1"/>
  <c r="BG238" i="1"/>
  <c r="AZ238" i="1"/>
  <c r="AT238" i="1"/>
  <c r="BE238" i="1"/>
  <c r="AS238" i="1"/>
  <c r="BC238" i="1"/>
  <c r="BI238" i="1"/>
  <c r="BA238" i="1"/>
  <c r="BE271" i="1"/>
  <c r="AS271" i="1"/>
  <c r="BC271" i="1"/>
  <c r="BI271" i="1"/>
  <c r="BA271" i="1"/>
  <c r="BG271" i="1"/>
  <c r="AZ271" i="1"/>
  <c r="AT271" i="1"/>
  <c r="BC264" i="1"/>
  <c r="BI264" i="1"/>
  <c r="BA264" i="1"/>
  <c r="BG264" i="1"/>
  <c r="AZ264" i="1"/>
  <c r="AT264" i="1"/>
  <c r="BE264" i="1"/>
  <c r="AS264" i="1"/>
  <c r="BE275" i="1"/>
  <c r="AS275" i="1"/>
  <c r="BC275" i="1"/>
  <c r="BI275" i="1"/>
  <c r="BA275" i="1"/>
  <c r="BG275" i="1"/>
  <c r="AZ275" i="1"/>
  <c r="AT275" i="1"/>
  <c r="BC268" i="1"/>
  <c r="BI268" i="1"/>
  <c r="BA268" i="1"/>
  <c r="BG268" i="1"/>
  <c r="AZ268" i="1"/>
  <c r="AT268" i="1"/>
  <c r="BE268" i="1"/>
  <c r="AS268" i="1"/>
  <c r="BI317" i="1"/>
  <c r="BA317" i="1"/>
  <c r="BG317" i="1"/>
  <c r="AZ317" i="1"/>
  <c r="AT317" i="1"/>
  <c r="BE317" i="1"/>
  <c r="AS317" i="1"/>
  <c r="BC317" i="1"/>
  <c r="BE321" i="1"/>
  <c r="AS321" i="1"/>
  <c r="BC321" i="1"/>
  <c r="BI321" i="1"/>
  <c r="BA321" i="1"/>
  <c r="BG321" i="1"/>
  <c r="AZ321" i="1"/>
  <c r="AT321" i="1"/>
  <c r="BG221" i="1"/>
  <c r="AZ221" i="1"/>
  <c r="AT221" i="1"/>
  <c r="BE221" i="1"/>
  <c r="AS221" i="1"/>
  <c r="BC221" i="1"/>
  <c r="BI221" i="1"/>
  <c r="BA221" i="1"/>
  <c r="BI220" i="1"/>
  <c r="BA220" i="1"/>
  <c r="BG220" i="1"/>
  <c r="AZ220" i="1"/>
  <c r="AT220" i="1"/>
  <c r="BE220" i="1"/>
  <c r="AS220" i="1"/>
  <c r="BC220" i="1"/>
  <c r="BE226" i="1"/>
  <c r="AS226" i="1"/>
  <c r="BC226" i="1"/>
  <c r="BI226" i="1"/>
  <c r="BA226" i="1"/>
  <c r="BG226" i="1"/>
  <c r="AZ226" i="1"/>
  <c r="AT226" i="1"/>
  <c r="BG290" i="1"/>
  <c r="AZ290" i="1"/>
  <c r="AT290" i="1"/>
  <c r="BE290" i="1"/>
  <c r="AS290" i="1"/>
  <c r="BC290" i="1"/>
  <c r="BI290" i="1"/>
  <c r="BA290" i="1"/>
  <c r="BG262" i="1"/>
  <c r="AZ262" i="1"/>
  <c r="AT262" i="1"/>
  <c r="BE262" i="1"/>
  <c r="AS262" i="1"/>
  <c r="BC262" i="1"/>
  <c r="BI262" i="1"/>
  <c r="BA262" i="1"/>
  <c r="BG193" i="1"/>
  <c r="AZ193" i="1"/>
  <c r="AT193" i="1"/>
  <c r="BE193" i="1"/>
  <c r="AS193" i="1"/>
  <c r="BC193" i="1"/>
  <c r="BI193" i="1"/>
  <c r="BA193" i="1"/>
  <c r="BI228" i="1"/>
  <c r="BA228" i="1"/>
  <c r="BG228" i="1"/>
  <c r="AZ228" i="1"/>
  <c r="AT228" i="1"/>
  <c r="BE228" i="1"/>
  <c r="AS228" i="1"/>
  <c r="BC228" i="1"/>
  <c r="BG229" i="1"/>
  <c r="AZ229" i="1"/>
  <c r="AT229" i="1"/>
  <c r="BE229" i="1"/>
  <c r="AS229" i="1"/>
  <c r="BC229" i="1"/>
  <c r="BI229" i="1"/>
  <c r="BA229" i="1"/>
  <c r="BC211" i="1"/>
  <c r="BI211" i="1"/>
  <c r="BA211" i="1"/>
  <c r="BG211" i="1"/>
  <c r="AZ211" i="1"/>
  <c r="AT211" i="1"/>
  <c r="BE211" i="1"/>
  <c r="AS211" i="1"/>
  <c r="BC163" i="1"/>
  <c r="BI163" i="1"/>
  <c r="BA163" i="1"/>
  <c r="BG163" i="1"/>
  <c r="AZ163" i="1"/>
  <c r="AT163" i="1"/>
  <c r="BE163" i="1"/>
  <c r="AS163" i="1"/>
  <c r="BE158" i="1"/>
  <c r="AS158" i="1"/>
  <c r="BC158" i="1"/>
  <c r="BI158" i="1"/>
  <c r="BA158" i="1"/>
  <c r="BG158" i="1"/>
  <c r="AZ158" i="1"/>
  <c r="AT158" i="1"/>
  <c r="BE150" i="1"/>
  <c r="AS150" i="1"/>
  <c r="BC150" i="1"/>
  <c r="BI150" i="1"/>
  <c r="BA150" i="1"/>
  <c r="BG150" i="1"/>
  <c r="AZ150" i="1"/>
  <c r="AT150" i="1"/>
  <c r="BI180" i="1"/>
  <c r="BA180" i="1"/>
  <c r="BG180" i="1"/>
  <c r="AZ180" i="1"/>
  <c r="AT180" i="1"/>
  <c r="BE180" i="1"/>
  <c r="AS180" i="1"/>
  <c r="BC180" i="1"/>
  <c r="BE182" i="1"/>
  <c r="AS182" i="1"/>
  <c r="BC182" i="1"/>
  <c r="BI182" i="1"/>
  <c r="BA182" i="1"/>
  <c r="BG182" i="1"/>
  <c r="AZ182" i="1"/>
  <c r="AT182" i="1"/>
  <c r="BI172" i="1"/>
  <c r="BA172" i="1"/>
  <c r="BG172" i="1"/>
  <c r="AZ172" i="1"/>
  <c r="AT172" i="1"/>
  <c r="BE172" i="1"/>
  <c r="AS172" i="1"/>
  <c r="BC172" i="1"/>
  <c r="BG185" i="1"/>
  <c r="AZ185" i="1"/>
  <c r="AT185" i="1"/>
  <c r="BE185" i="1"/>
  <c r="AS185" i="1"/>
  <c r="BC185" i="1"/>
  <c r="BI185" i="1"/>
  <c r="BA185" i="1"/>
  <c r="BG213" i="1"/>
  <c r="AZ213" i="1"/>
  <c r="AT213" i="1"/>
  <c r="BE213" i="1"/>
  <c r="AS213" i="1"/>
  <c r="BC213" i="1"/>
  <c r="BI213" i="1"/>
  <c r="BA213" i="1"/>
  <c r="BC203" i="1"/>
  <c r="BI203" i="1"/>
  <c r="BA203" i="1"/>
  <c r="BG203" i="1"/>
  <c r="AZ203" i="1"/>
  <c r="AT203" i="1"/>
  <c r="BE203" i="1"/>
  <c r="AS203" i="1"/>
  <c r="BE170" i="1"/>
  <c r="AS170" i="1"/>
  <c r="BC170" i="1"/>
  <c r="BI170" i="1"/>
  <c r="BA170" i="1"/>
  <c r="BG170" i="1"/>
  <c r="AZ170" i="1"/>
  <c r="AT170" i="1"/>
  <c r="BI131" i="1"/>
  <c r="BA131" i="1"/>
  <c r="BG131" i="1"/>
  <c r="AZ131" i="1"/>
  <c r="AT131" i="1"/>
  <c r="BE131" i="1"/>
  <c r="AS131" i="1"/>
  <c r="BC131" i="1"/>
  <c r="BC126" i="1"/>
  <c r="BI126" i="1"/>
  <c r="BA126" i="1"/>
  <c r="BG126" i="1"/>
  <c r="AZ126" i="1"/>
  <c r="AT126" i="1"/>
  <c r="BE126" i="1"/>
  <c r="AS126" i="1"/>
  <c r="BE113" i="1"/>
  <c r="AS113" i="1"/>
  <c r="BC113" i="1"/>
  <c r="BI113" i="1"/>
  <c r="BA113" i="1"/>
  <c r="BG113" i="1"/>
  <c r="AZ113" i="1"/>
  <c r="AT113" i="1"/>
  <c r="BG116" i="1"/>
  <c r="AZ116" i="1"/>
  <c r="AT116" i="1"/>
  <c r="BE116" i="1"/>
  <c r="AS116" i="1"/>
  <c r="BC116" i="1"/>
  <c r="BI116" i="1"/>
  <c r="BA116" i="1"/>
  <c r="BC110" i="1"/>
  <c r="BI110" i="1"/>
  <c r="BA110" i="1"/>
  <c r="BG110" i="1"/>
  <c r="AZ110" i="1"/>
  <c r="AT110" i="1"/>
  <c r="BE110" i="1"/>
  <c r="AS110" i="1"/>
  <c r="BI119" i="1"/>
  <c r="BA119" i="1"/>
  <c r="BG119" i="1"/>
  <c r="AZ119" i="1"/>
  <c r="AT119" i="1"/>
  <c r="BE119" i="1"/>
  <c r="AS119" i="1"/>
  <c r="BC119" i="1"/>
  <c r="BI107" i="1"/>
  <c r="BA107" i="1"/>
  <c r="BG107" i="1"/>
  <c r="AZ107" i="1"/>
  <c r="AT107" i="1"/>
  <c r="BE107" i="1"/>
  <c r="AS107" i="1"/>
  <c r="BC107" i="1"/>
  <c r="BE145" i="1"/>
  <c r="AS145" i="1"/>
  <c r="BC145" i="1"/>
  <c r="BI145" i="1"/>
  <c r="BA145" i="1"/>
  <c r="BG145" i="1"/>
  <c r="AZ145" i="1"/>
  <c r="AT145" i="1"/>
  <c r="BE186" i="1"/>
  <c r="AS186" i="1"/>
  <c r="BC186" i="1"/>
  <c r="BI186" i="1"/>
  <c r="BA186" i="1"/>
  <c r="BG186" i="1"/>
  <c r="AZ186" i="1"/>
  <c r="AT186" i="1"/>
  <c r="BC183" i="1"/>
  <c r="BI183" i="1"/>
  <c r="BA183" i="1"/>
  <c r="BG183" i="1"/>
  <c r="AZ183" i="1"/>
  <c r="AT183" i="1"/>
  <c r="BE183" i="1"/>
  <c r="AS183" i="1"/>
  <c r="BI204" i="1"/>
  <c r="BA204" i="1"/>
  <c r="BG204" i="1"/>
  <c r="AZ204" i="1"/>
  <c r="AT204" i="1"/>
  <c r="BE204" i="1"/>
  <c r="AS204" i="1"/>
  <c r="BC204" i="1"/>
  <c r="BI111" i="1"/>
  <c r="BA111" i="1"/>
  <c r="BG111" i="1"/>
  <c r="AZ111" i="1"/>
  <c r="AT111" i="1"/>
  <c r="BE111" i="1"/>
  <c r="AS111" i="1"/>
  <c r="BC111" i="1"/>
  <c r="BE85" i="1"/>
  <c r="AS85" i="1"/>
  <c r="BC85" i="1"/>
  <c r="BI85" i="1"/>
  <c r="BA85" i="1"/>
  <c r="BG85" i="1"/>
  <c r="AZ85" i="1"/>
  <c r="AT85" i="1"/>
  <c r="BG80" i="1"/>
  <c r="AZ80" i="1"/>
  <c r="AT80" i="1"/>
  <c r="BE80" i="1"/>
  <c r="AS80" i="1"/>
  <c r="BC80" i="1"/>
  <c r="BI80" i="1"/>
  <c r="BA80" i="1"/>
  <c r="BG76" i="1"/>
  <c r="AZ76" i="1"/>
  <c r="AT76" i="1"/>
  <c r="BE76" i="1"/>
  <c r="AS76" i="1"/>
  <c r="BC76" i="1"/>
  <c r="BI76" i="1"/>
  <c r="BA76" i="1"/>
  <c r="BG132" i="1"/>
  <c r="AZ132" i="1"/>
  <c r="AT132" i="1"/>
  <c r="BE132" i="1"/>
  <c r="AS132" i="1"/>
  <c r="BC132" i="1"/>
  <c r="BI132" i="1"/>
  <c r="BA132" i="1"/>
  <c r="BG140" i="1"/>
  <c r="AZ140" i="1"/>
  <c r="AT140" i="1"/>
  <c r="BE140" i="1"/>
  <c r="AS140" i="1"/>
  <c r="BC140" i="1"/>
  <c r="BI140" i="1"/>
  <c r="BA140" i="1"/>
  <c r="BE93" i="1"/>
  <c r="AS93" i="1"/>
  <c r="BC93" i="1"/>
  <c r="BI93" i="1"/>
  <c r="BA93" i="1"/>
  <c r="BG93" i="1"/>
  <c r="AZ93" i="1"/>
  <c r="AT93" i="1"/>
  <c r="BG60" i="1"/>
  <c r="AZ60" i="1"/>
  <c r="AT60" i="1"/>
  <c r="BE60" i="1"/>
  <c r="AS60" i="1"/>
  <c r="BC60" i="1"/>
  <c r="BI60" i="1"/>
  <c r="BA60" i="1"/>
  <c r="BE623" i="1"/>
  <c r="AS623" i="1"/>
  <c r="BC623" i="1"/>
  <c r="BI623" i="1"/>
  <c r="BA623" i="1"/>
  <c r="BG623" i="1"/>
  <c r="AZ623" i="1"/>
  <c r="AT623" i="1"/>
  <c r="BG44" i="1"/>
  <c r="AZ44" i="1"/>
  <c r="AT44" i="1"/>
  <c r="BE44" i="1"/>
  <c r="AS44" i="1"/>
  <c r="BC44" i="1"/>
  <c r="BI44" i="1"/>
  <c r="BA44" i="1"/>
  <c r="BG622" i="1"/>
  <c r="AZ622" i="1"/>
  <c r="AT622" i="1"/>
  <c r="BE622" i="1"/>
  <c r="AS622" i="1"/>
  <c r="BC622" i="1"/>
  <c r="BI622" i="1"/>
  <c r="BA622" i="1"/>
  <c r="BI621" i="1"/>
  <c r="BA621" i="1"/>
  <c r="BG621" i="1"/>
  <c r="AZ621" i="1"/>
  <c r="AT621" i="1"/>
  <c r="BE621" i="1"/>
  <c r="AS621" i="1"/>
  <c r="BC621" i="1"/>
  <c r="BI43" i="1"/>
  <c r="BA43" i="1"/>
  <c r="BG43" i="1"/>
  <c r="AZ43" i="1"/>
  <c r="AT43" i="1"/>
  <c r="BE43" i="1"/>
  <c r="AS43" i="1"/>
  <c r="BC43" i="1"/>
  <c r="BE45" i="1"/>
  <c r="AS45" i="1"/>
  <c r="BC45" i="1"/>
  <c r="BI45" i="1"/>
  <c r="BA45" i="1"/>
  <c r="BG45" i="1"/>
  <c r="AZ45" i="1"/>
  <c r="AT45" i="1"/>
  <c r="BG618" i="1"/>
  <c r="AZ618" i="1"/>
  <c r="AT618" i="1"/>
  <c r="BE618" i="1"/>
  <c r="AS618" i="1"/>
  <c r="BC618" i="1"/>
  <c r="BI618" i="1"/>
  <c r="BA618" i="1"/>
  <c r="BC620" i="1"/>
  <c r="BI620" i="1"/>
  <c r="BA620" i="1"/>
  <c r="BG620" i="1"/>
  <c r="AZ620" i="1"/>
  <c r="AT620" i="1"/>
  <c r="BE620" i="1"/>
  <c r="AS620" i="1"/>
  <c r="BE41" i="1"/>
  <c r="AS41" i="1"/>
  <c r="BC41" i="1"/>
  <c r="BI41" i="1"/>
  <c r="BA41" i="1"/>
  <c r="BG41" i="1"/>
  <c r="AZ41" i="1"/>
  <c r="AT41" i="1"/>
  <c r="BG20" i="1"/>
  <c r="AZ20" i="1"/>
  <c r="AT20" i="1"/>
  <c r="BE20" i="1"/>
  <c r="AS20" i="1"/>
  <c r="BC20" i="1"/>
  <c r="BI20" i="1"/>
  <c r="BA20" i="1"/>
  <c r="BC22" i="1"/>
  <c r="BI22" i="1"/>
  <c r="BA22" i="1"/>
  <c r="BG22" i="1"/>
  <c r="AZ22" i="1"/>
  <c r="AT22" i="1"/>
  <c r="BE22" i="1"/>
  <c r="AS22" i="1"/>
  <c r="BG24" i="1"/>
  <c r="AZ24" i="1"/>
  <c r="AT24" i="1"/>
  <c r="BE24" i="1"/>
  <c r="AS24" i="1"/>
  <c r="BC24" i="1"/>
  <c r="BI24" i="1"/>
  <c r="BA24" i="1"/>
  <c r="BG32" i="1"/>
  <c r="AZ32" i="1"/>
  <c r="AT32" i="1"/>
  <c r="BE32" i="1"/>
  <c r="AS32" i="1"/>
  <c r="BC32" i="1"/>
  <c r="BI32" i="1"/>
  <c r="BA32" i="1"/>
  <c r="BG614" i="1"/>
  <c r="AZ614" i="1"/>
  <c r="AT614" i="1"/>
  <c r="BE614" i="1"/>
  <c r="AS614" i="1"/>
  <c r="BC614" i="1"/>
  <c r="BI614" i="1"/>
  <c r="BA614" i="1"/>
  <c r="BI613" i="1"/>
  <c r="BA613" i="1"/>
  <c r="BG613" i="1"/>
  <c r="AZ613" i="1"/>
  <c r="AT613" i="1"/>
  <c r="BE613" i="1"/>
  <c r="AS613" i="1"/>
  <c r="BC613" i="1"/>
  <c r="BC612" i="1"/>
  <c r="BI612" i="1"/>
  <c r="BA612" i="1"/>
  <c r="BG612" i="1"/>
  <c r="AZ612" i="1"/>
  <c r="AT612" i="1"/>
  <c r="BE612" i="1"/>
  <c r="AS612" i="1"/>
  <c r="BC592" i="1"/>
  <c r="BI592" i="1"/>
  <c r="BA592" i="1"/>
  <c r="BG592" i="1"/>
  <c r="AZ592" i="1"/>
  <c r="AT592" i="1"/>
  <c r="BE592" i="1"/>
  <c r="AS592" i="1"/>
  <c r="BI31" i="1"/>
  <c r="BA31" i="1"/>
  <c r="BG31" i="1"/>
  <c r="AZ31" i="1"/>
  <c r="AT31" i="1"/>
  <c r="BE31" i="1"/>
  <c r="AS31" i="1"/>
  <c r="BC31" i="1"/>
  <c r="BE583" i="1"/>
  <c r="AS583" i="1"/>
  <c r="BC583" i="1"/>
  <c r="BI583" i="1"/>
  <c r="BA583" i="1"/>
  <c r="BG583" i="1"/>
  <c r="AZ583" i="1"/>
  <c r="AT583" i="1"/>
  <c r="BC559" i="1"/>
  <c r="BG559" i="1"/>
  <c r="AZ559" i="1"/>
  <c r="AT559" i="1"/>
  <c r="BI559" i="1"/>
  <c r="BE559" i="1"/>
  <c r="BA559" i="1"/>
  <c r="AS559" i="1"/>
  <c r="BC555" i="1"/>
  <c r="BG555" i="1"/>
  <c r="AZ555" i="1"/>
  <c r="AT555" i="1"/>
  <c r="BI555" i="1"/>
  <c r="BE555" i="1"/>
  <c r="BA555" i="1"/>
  <c r="AS555" i="1"/>
  <c r="BE550" i="1"/>
  <c r="AS550" i="1"/>
  <c r="BI550" i="1"/>
  <c r="BA550" i="1"/>
  <c r="BG550" i="1"/>
  <c r="BC550" i="1"/>
  <c r="AZ550" i="1"/>
  <c r="AT550" i="1"/>
  <c r="BI572" i="1"/>
  <c r="BA572" i="1"/>
  <c r="BE572" i="1"/>
  <c r="AS572" i="1"/>
  <c r="BC572" i="1"/>
  <c r="AZ572" i="1"/>
  <c r="AT572" i="1"/>
  <c r="BG572" i="1"/>
  <c r="BE531" i="1"/>
  <c r="AS531" i="1"/>
  <c r="BI531" i="1"/>
  <c r="BA531" i="1"/>
  <c r="AZ531" i="1"/>
  <c r="AT531" i="1"/>
  <c r="BG531" i="1"/>
  <c r="BC531" i="1"/>
  <c r="BI576" i="1"/>
  <c r="BA576" i="1"/>
  <c r="BG576" i="1"/>
  <c r="AZ576" i="1"/>
  <c r="AT576" i="1"/>
  <c r="BE576" i="1"/>
  <c r="AS576" i="1"/>
  <c r="BC576" i="1"/>
  <c r="BC512" i="1"/>
  <c r="BI512" i="1"/>
  <c r="BA512" i="1"/>
  <c r="BG512" i="1"/>
  <c r="AZ512" i="1"/>
  <c r="AT512" i="1"/>
  <c r="BE512" i="1"/>
  <c r="AS512" i="1"/>
  <c r="BI497" i="1"/>
  <c r="BA497" i="1"/>
  <c r="BG497" i="1"/>
  <c r="AZ497" i="1"/>
  <c r="AT497" i="1"/>
  <c r="BE497" i="1"/>
  <c r="AS497" i="1"/>
  <c r="BC497" i="1"/>
  <c r="BI533" i="1"/>
  <c r="BA533" i="1"/>
  <c r="BE533" i="1"/>
  <c r="AS533" i="1"/>
  <c r="BG533" i="1"/>
  <c r="BC533" i="1"/>
  <c r="AZ533" i="1"/>
  <c r="AT533" i="1"/>
  <c r="BG569" i="1"/>
  <c r="AZ569" i="1"/>
  <c r="AT569" i="1"/>
  <c r="BC569" i="1"/>
  <c r="BA569" i="1"/>
  <c r="AS569" i="1"/>
  <c r="BI569" i="1"/>
  <c r="BE569" i="1"/>
  <c r="BE578" i="1"/>
  <c r="AS578" i="1"/>
  <c r="BC578" i="1"/>
  <c r="BI578" i="1"/>
  <c r="BA578" i="1"/>
  <c r="AZ578" i="1"/>
  <c r="AT578" i="1"/>
  <c r="BG578" i="1"/>
  <c r="BE548" i="1"/>
  <c r="AS548" i="1"/>
  <c r="BC548" i="1"/>
  <c r="BI548" i="1"/>
  <c r="BA548" i="1"/>
  <c r="BG548" i="1"/>
  <c r="AZ548" i="1"/>
  <c r="AT548" i="1"/>
  <c r="BC492" i="1"/>
  <c r="BI492" i="1"/>
  <c r="BA492" i="1"/>
  <c r="BG492" i="1"/>
  <c r="AZ492" i="1"/>
  <c r="AT492" i="1"/>
  <c r="BE492" i="1"/>
  <c r="AS492" i="1"/>
  <c r="BE544" i="1"/>
  <c r="AS544" i="1"/>
  <c r="BC544" i="1"/>
  <c r="BI544" i="1"/>
  <c r="BA544" i="1"/>
  <c r="BG544" i="1"/>
  <c r="AZ544" i="1"/>
  <c r="AT544" i="1"/>
  <c r="BG498" i="1"/>
  <c r="AZ498" i="1"/>
  <c r="AT498" i="1"/>
  <c r="BE498" i="1"/>
  <c r="AS498" i="1"/>
  <c r="BC498" i="1"/>
  <c r="BI498" i="1"/>
  <c r="BA498" i="1"/>
  <c r="BC579" i="1"/>
  <c r="BI579" i="1"/>
  <c r="BA579" i="1"/>
  <c r="BG579" i="1"/>
  <c r="AZ579" i="1"/>
  <c r="AT579" i="1"/>
  <c r="BE579" i="1"/>
  <c r="AS579" i="1"/>
  <c r="BI568" i="1"/>
  <c r="BA568" i="1"/>
  <c r="BE568" i="1"/>
  <c r="AS568" i="1"/>
  <c r="BC568" i="1"/>
  <c r="AZ568" i="1"/>
  <c r="AT568" i="1"/>
  <c r="BG568" i="1"/>
  <c r="BE566" i="1"/>
  <c r="AS566" i="1"/>
  <c r="BI566" i="1"/>
  <c r="BA566" i="1"/>
  <c r="BG566" i="1"/>
  <c r="BC566" i="1"/>
  <c r="AZ566" i="1"/>
  <c r="AT566" i="1"/>
  <c r="BC463" i="1"/>
  <c r="BI463" i="1"/>
  <c r="BA463" i="1"/>
  <c r="BG463" i="1"/>
  <c r="AZ463" i="1"/>
  <c r="AT463" i="1"/>
  <c r="BE463" i="1"/>
  <c r="AS463" i="1"/>
  <c r="BG485" i="1"/>
  <c r="AZ485" i="1"/>
  <c r="AT485" i="1"/>
  <c r="BE485" i="1"/>
  <c r="AS485" i="1"/>
  <c r="BC485" i="1"/>
  <c r="BI485" i="1"/>
  <c r="BA485" i="1"/>
  <c r="BG502" i="1"/>
  <c r="AZ502" i="1"/>
  <c r="AT502" i="1"/>
  <c r="BE502" i="1"/>
  <c r="AS502" i="1"/>
  <c r="BC502" i="1"/>
  <c r="BI502" i="1"/>
  <c r="BA502" i="1"/>
  <c r="BG477" i="1"/>
  <c r="AZ477" i="1"/>
  <c r="AT477" i="1"/>
  <c r="BE477" i="1"/>
  <c r="AS477" i="1"/>
  <c r="BC477" i="1"/>
  <c r="BI477" i="1"/>
  <c r="BA477" i="1"/>
  <c r="BG421" i="1"/>
  <c r="AZ421" i="1"/>
  <c r="AT421" i="1"/>
  <c r="BE421" i="1"/>
  <c r="AS421" i="1"/>
  <c r="BC421" i="1"/>
  <c r="BI421" i="1"/>
  <c r="BA421" i="1"/>
  <c r="BI416" i="1"/>
  <c r="BA416" i="1"/>
  <c r="BG416" i="1"/>
  <c r="AZ416" i="1"/>
  <c r="AT416" i="1"/>
  <c r="BE416" i="1"/>
  <c r="AS416" i="1"/>
  <c r="BC416" i="1"/>
  <c r="BI412" i="1"/>
  <c r="BA412" i="1"/>
  <c r="BG412" i="1"/>
  <c r="AZ412" i="1"/>
  <c r="AT412" i="1"/>
  <c r="BE412" i="1"/>
  <c r="AS412" i="1"/>
  <c r="BC412" i="1"/>
  <c r="BE482" i="1"/>
  <c r="AS482" i="1"/>
  <c r="BC482" i="1"/>
  <c r="BI482" i="1"/>
  <c r="BA482" i="1"/>
  <c r="BG482" i="1"/>
  <c r="AZ482" i="1"/>
  <c r="AT482" i="1"/>
  <c r="BC475" i="1"/>
  <c r="BI475" i="1"/>
  <c r="BA475" i="1"/>
  <c r="BG475" i="1"/>
  <c r="AZ475" i="1"/>
  <c r="AT475" i="1"/>
  <c r="BE475" i="1"/>
  <c r="AS475" i="1"/>
  <c r="BG506" i="1"/>
  <c r="AZ506" i="1"/>
  <c r="AT506" i="1"/>
  <c r="BE506" i="1"/>
  <c r="AS506" i="1"/>
  <c r="BC506" i="1"/>
  <c r="BI506" i="1"/>
  <c r="BA506" i="1"/>
  <c r="BC443" i="1"/>
  <c r="BI443" i="1"/>
  <c r="BA443" i="1"/>
  <c r="BG443" i="1"/>
  <c r="AZ443" i="1"/>
  <c r="AT443" i="1"/>
  <c r="BE443" i="1"/>
  <c r="AS443" i="1"/>
  <c r="BC439" i="1"/>
  <c r="BI439" i="1"/>
  <c r="BA439" i="1"/>
  <c r="BG439" i="1"/>
  <c r="AZ439" i="1"/>
  <c r="AT439" i="1"/>
  <c r="BE439" i="1"/>
  <c r="AS439" i="1"/>
  <c r="BG400" i="1"/>
  <c r="AZ400" i="1"/>
  <c r="AT400" i="1"/>
  <c r="BE400" i="1"/>
  <c r="AS400" i="1"/>
  <c r="BC400" i="1"/>
  <c r="BI400" i="1"/>
  <c r="BA400" i="1"/>
  <c r="BE389" i="1"/>
  <c r="AS389" i="1"/>
  <c r="BC389" i="1"/>
  <c r="BI389" i="1"/>
  <c r="BA389" i="1"/>
  <c r="BG389" i="1"/>
  <c r="AZ389" i="1"/>
  <c r="AT389" i="1"/>
  <c r="BC394" i="1"/>
  <c r="BI394" i="1"/>
  <c r="BA394" i="1"/>
  <c r="BG394" i="1"/>
  <c r="AZ394" i="1"/>
  <c r="AT394" i="1"/>
  <c r="BE394" i="1"/>
  <c r="AS394" i="1"/>
  <c r="BG433" i="1"/>
  <c r="AZ433" i="1"/>
  <c r="AT433" i="1"/>
  <c r="BE433" i="1"/>
  <c r="AS433" i="1"/>
  <c r="BC433" i="1"/>
  <c r="BI433" i="1"/>
  <c r="BA433" i="1"/>
  <c r="BG380" i="1"/>
  <c r="AZ380" i="1"/>
  <c r="AT380" i="1"/>
  <c r="BE380" i="1"/>
  <c r="AS380" i="1"/>
  <c r="BC380" i="1"/>
  <c r="BI380" i="1"/>
  <c r="BA380" i="1"/>
  <c r="BG376" i="1"/>
  <c r="AZ376" i="1"/>
  <c r="AT376" i="1"/>
  <c r="BE376" i="1"/>
  <c r="AS376" i="1"/>
  <c r="BC376" i="1"/>
  <c r="BI376" i="1"/>
  <c r="BA376" i="1"/>
  <c r="BI420" i="1"/>
  <c r="BA420" i="1"/>
  <c r="BG420" i="1"/>
  <c r="AZ420" i="1"/>
  <c r="AT420" i="1"/>
  <c r="BE420" i="1"/>
  <c r="AS420" i="1"/>
  <c r="BC420" i="1"/>
  <c r="BC411" i="1"/>
  <c r="BI411" i="1"/>
  <c r="BA411" i="1"/>
  <c r="BG411" i="1"/>
  <c r="AZ411" i="1"/>
  <c r="AT411" i="1"/>
  <c r="BE411" i="1"/>
  <c r="AS411" i="1"/>
  <c r="BG409" i="1"/>
  <c r="AZ409" i="1"/>
  <c r="AT409" i="1"/>
  <c r="BE409" i="1"/>
  <c r="AS409" i="1"/>
  <c r="BC409" i="1"/>
  <c r="BI409" i="1"/>
  <c r="BA409" i="1"/>
  <c r="BE442" i="1"/>
  <c r="AS442" i="1"/>
  <c r="BC442" i="1"/>
  <c r="BI442" i="1"/>
  <c r="BA442" i="1"/>
  <c r="BG442" i="1"/>
  <c r="AZ442" i="1"/>
  <c r="AT442" i="1"/>
  <c r="BC374" i="1"/>
  <c r="BI374" i="1"/>
  <c r="BA374" i="1"/>
  <c r="BG374" i="1"/>
  <c r="AZ374" i="1"/>
  <c r="AT374" i="1"/>
  <c r="BE374" i="1"/>
  <c r="AS374" i="1"/>
  <c r="BE361" i="1"/>
  <c r="AS361" i="1"/>
  <c r="BC361" i="1"/>
  <c r="BI361" i="1"/>
  <c r="BA361" i="1"/>
  <c r="BG361" i="1"/>
  <c r="AZ361" i="1"/>
  <c r="AT361" i="1"/>
  <c r="BG360" i="1"/>
  <c r="AZ360" i="1"/>
  <c r="AT360" i="1"/>
  <c r="BE360" i="1"/>
  <c r="AS360" i="1"/>
  <c r="BC360" i="1"/>
  <c r="BI360" i="1"/>
  <c r="BA360" i="1"/>
  <c r="BI387" i="1"/>
  <c r="BA387" i="1"/>
  <c r="BG387" i="1"/>
  <c r="AZ387" i="1"/>
  <c r="AT387" i="1"/>
  <c r="BE387" i="1"/>
  <c r="AS387" i="1"/>
  <c r="BC387" i="1"/>
  <c r="BC346" i="1"/>
  <c r="BI346" i="1"/>
  <c r="BA346" i="1"/>
  <c r="BG346" i="1"/>
  <c r="AZ346" i="1"/>
  <c r="AT346" i="1"/>
  <c r="BE346" i="1"/>
  <c r="AS346" i="1"/>
  <c r="BE385" i="1"/>
  <c r="AS385" i="1"/>
  <c r="BC385" i="1"/>
  <c r="BI385" i="1"/>
  <c r="BA385" i="1"/>
  <c r="BG385" i="1"/>
  <c r="AZ385" i="1"/>
  <c r="AT385" i="1"/>
  <c r="BI436" i="1"/>
  <c r="BA436" i="1"/>
  <c r="BG436" i="1"/>
  <c r="AZ436" i="1"/>
  <c r="AT436" i="1"/>
  <c r="BE436" i="1"/>
  <c r="AS436" i="1"/>
  <c r="BC436" i="1"/>
  <c r="BG328" i="1"/>
  <c r="AZ328" i="1"/>
  <c r="AT328" i="1"/>
  <c r="BE328" i="1"/>
  <c r="AS328" i="1"/>
  <c r="BC328" i="1"/>
  <c r="BI328" i="1"/>
  <c r="BA328" i="1"/>
  <c r="BG368" i="1"/>
  <c r="AZ368" i="1"/>
  <c r="AT368" i="1"/>
  <c r="BE368" i="1"/>
  <c r="AS368" i="1"/>
  <c r="BC368" i="1"/>
  <c r="BI368" i="1"/>
  <c r="BA368" i="1"/>
  <c r="BE315" i="1"/>
  <c r="AS315" i="1"/>
  <c r="BC315" i="1"/>
  <c r="BI315" i="1"/>
  <c r="BA315" i="1"/>
  <c r="BG315" i="1"/>
  <c r="AZ315" i="1"/>
  <c r="AT315" i="1"/>
  <c r="BG306" i="1"/>
  <c r="AZ306" i="1"/>
  <c r="AT306" i="1"/>
  <c r="BE306" i="1"/>
  <c r="AS306" i="1"/>
  <c r="BC306" i="1"/>
  <c r="BI306" i="1"/>
  <c r="BA306" i="1"/>
  <c r="BE299" i="1"/>
  <c r="AS299" i="1"/>
  <c r="BC299" i="1"/>
  <c r="BI299" i="1"/>
  <c r="BA299" i="1"/>
  <c r="BG299" i="1"/>
  <c r="AZ299" i="1"/>
  <c r="AT299" i="1"/>
  <c r="BI343" i="1"/>
  <c r="BA343" i="1"/>
  <c r="BG343" i="1"/>
  <c r="AZ343" i="1"/>
  <c r="AT343" i="1"/>
  <c r="BE343" i="1"/>
  <c r="AS343" i="1"/>
  <c r="BC343" i="1"/>
  <c r="BI297" i="1"/>
  <c r="BA297" i="1"/>
  <c r="BG297" i="1"/>
  <c r="AZ297" i="1"/>
  <c r="AT297" i="1"/>
  <c r="BE297" i="1"/>
  <c r="AS297" i="1"/>
  <c r="BC297" i="1"/>
  <c r="BC288" i="1"/>
  <c r="BI288" i="1"/>
  <c r="BA288" i="1"/>
  <c r="BG288" i="1"/>
  <c r="AZ288" i="1"/>
  <c r="AT288" i="1"/>
  <c r="BE288" i="1"/>
  <c r="AS288" i="1"/>
  <c r="BI355" i="1"/>
  <c r="BA355" i="1"/>
  <c r="BG355" i="1"/>
  <c r="AZ355" i="1"/>
  <c r="AT355" i="1"/>
  <c r="BE355" i="1"/>
  <c r="AS355" i="1"/>
  <c r="BC355" i="1"/>
  <c r="BI285" i="1"/>
  <c r="BA285" i="1"/>
  <c r="BG285" i="1"/>
  <c r="AZ285" i="1"/>
  <c r="AT285" i="1"/>
  <c r="BE285" i="1"/>
  <c r="AS285" i="1"/>
  <c r="BC285" i="1"/>
  <c r="BE283" i="1"/>
  <c r="AS283" i="1"/>
  <c r="BC283" i="1"/>
  <c r="BI283" i="1"/>
  <c r="BA283" i="1"/>
  <c r="BG283" i="1"/>
  <c r="AZ283" i="1"/>
  <c r="AT283" i="1"/>
  <c r="BC256" i="1"/>
  <c r="BI256" i="1"/>
  <c r="BA256" i="1"/>
  <c r="BG256" i="1"/>
  <c r="AZ256" i="1"/>
  <c r="AT256" i="1"/>
  <c r="BE256" i="1"/>
  <c r="AS256" i="1"/>
  <c r="BE337" i="1"/>
  <c r="AS337" i="1"/>
  <c r="BC337" i="1"/>
  <c r="BI337" i="1"/>
  <c r="BA337" i="1"/>
  <c r="BG337" i="1"/>
  <c r="AZ337" i="1"/>
  <c r="AT337" i="1"/>
  <c r="BI323" i="1"/>
  <c r="BA323" i="1"/>
  <c r="BG323" i="1"/>
  <c r="AZ323" i="1"/>
  <c r="AT323" i="1"/>
  <c r="BE323" i="1"/>
  <c r="AS323" i="1"/>
  <c r="BC323" i="1"/>
  <c r="BG473" i="1"/>
  <c r="AZ473" i="1"/>
  <c r="AT473" i="1"/>
  <c r="BE473" i="1"/>
  <c r="AS473" i="1"/>
  <c r="BC473" i="1"/>
  <c r="BI473" i="1"/>
  <c r="BA473" i="1"/>
  <c r="BI289" i="1"/>
  <c r="BA289" i="1"/>
  <c r="BG289" i="1"/>
  <c r="AZ289" i="1"/>
  <c r="AT289" i="1"/>
  <c r="BE289" i="1"/>
  <c r="AS289" i="1"/>
  <c r="BC289" i="1"/>
  <c r="BE255" i="1"/>
  <c r="AS255" i="1"/>
  <c r="BC255" i="1"/>
  <c r="BI255" i="1"/>
  <c r="BA255" i="1"/>
  <c r="BG255" i="1"/>
  <c r="AZ255" i="1"/>
  <c r="AT255" i="1"/>
  <c r="BI253" i="1"/>
  <c r="BA253" i="1"/>
  <c r="BG253" i="1"/>
  <c r="AZ253" i="1"/>
  <c r="AT253" i="1"/>
  <c r="BE253" i="1"/>
  <c r="AS253" i="1"/>
  <c r="BC253" i="1"/>
  <c r="BI269" i="1"/>
  <c r="BA269" i="1"/>
  <c r="BG269" i="1"/>
  <c r="AZ269" i="1"/>
  <c r="AT269" i="1"/>
  <c r="BE269" i="1"/>
  <c r="AS269" i="1"/>
  <c r="BC269" i="1"/>
  <c r="BI261" i="1"/>
  <c r="BA261" i="1"/>
  <c r="BG261" i="1"/>
  <c r="AZ261" i="1"/>
  <c r="AT261" i="1"/>
  <c r="BE261" i="1"/>
  <c r="AS261" i="1"/>
  <c r="BC261" i="1"/>
  <c r="BI273" i="1"/>
  <c r="BA273" i="1"/>
  <c r="BG273" i="1"/>
  <c r="AZ273" i="1"/>
  <c r="AT273" i="1"/>
  <c r="BE273" i="1"/>
  <c r="AS273" i="1"/>
  <c r="BC273" i="1"/>
  <c r="BC260" i="1"/>
  <c r="BI260" i="1"/>
  <c r="BA260" i="1"/>
  <c r="BG260" i="1"/>
  <c r="AZ260" i="1"/>
  <c r="AT260" i="1"/>
  <c r="BE260" i="1"/>
  <c r="AS260" i="1"/>
  <c r="BC334" i="1"/>
  <c r="BI334" i="1"/>
  <c r="BA334" i="1"/>
  <c r="BG334" i="1"/>
  <c r="AZ334" i="1"/>
  <c r="AT334" i="1"/>
  <c r="BE334" i="1"/>
  <c r="AS334" i="1"/>
  <c r="BC342" i="1"/>
  <c r="BI342" i="1"/>
  <c r="BA342" i="1"/>
  <c r="BG342" i="1"/>
  <c r="AZ342" i="1"/>
  <c r="AT342" i="1"/>
  <c r="BE342" i="1"/>
  <c r="AS342" i="1"/>
  <c r="BC292" i="1"/>
  <c r="BI292" i="1"/>
  <c r="BA292" i="1"/>
  <c r="BG292" i="1"/>
  <c r="AZ292" i="1"/>
  <c r="AT292" i="1"/>
  <c r="BE292" i="1"/>
  <c r="AS292" i="1"/>
  <c r="BC223" i="1"/>
  <c r="BI223" i="1"/>
  <c r="BA223" i="1"/>
  <c r="BG223" i="1"/>
  <c r="AZ223" i="1"/>
  <c r="AT223" i="1"/>
  <c r="BE223" i="1"/>
  <c r="AS223" i="1"/>
  <c r="BE218" i="1"/>
  <c r="AS218" i="1"/>
  <c r="BC218" i="1"/>
  <c r="BI218" i="1"/>
  <c r="BA218" i="1"/>
  <c r="BG218" i="1"/>
  <c r="AZ218" i="1"/>
  <c r="AT218" i="1"/>
  <c r="BE214" i="1"/>
  <c r="AS214" i="1"/>
  <c r="BC214" i="1"/>
  <c r="BI214" i="1"/>
  <c r="BA214" i="1"/>
  <c r="BG214" i="1"/>
  <c r="AZ214" i="1"/>
  <c r="AT214" i="1"/>
  <c r="BE345" i="1"/>
  <c r="AS345" i="1"/>
  <c r="BC345" i="1"/>
  <c r="BI345" i="1"/>
  <c r="BA345" i="1"/>
  <c r="BG345" i="1"/>
  <c r="AZ345" i="1"/>
  <c r="AT345" i="1"/>
  <c r="BC296" i="1"/>
  <c r="BI296" i="1"/>
  <c r="BA296" i="1"/>
  <c r="BG296" i="1"/>
  <c r="AZ296" i="1"/>
  <c r="AT296" i="1"/>
  <c r="BE296" i="1"/>
  <c r="AS296" i="1"/>
  <c r="BE194" i="1"/>
  <c r="AS194" i="1"/>
  <c r="BC194" i="1"/>
  <c r="BI194" i="1"/>
  <c r="BA194" i="1"/>
  <c r="BG194" i="1"/>
  <c r="AZ194" i="1"/>
  <c r="AT194" i="1"/>
  <c r="BI192" i="1"/>
  <c r="BA192" i="1"/>
  <c r="BG192" i="1"/>
  <c r="AZ192" i="1"/>
  <c r="AT192" i="1"/>
  <c r="BE192" i="1"/>
  <c r="AS192" i="1"/>
  <c r="BC192" i="1"/>
  <c r="BC191" i="1"/>
  <c r="BI191" i="1"/>
  <c r="BA191" i="1"/>
  <c r="BG191" i="1"/>
  <c r="AZ191" i="1"/>
  <c r="AT191" i="1"/>
  <c r="BE191" i="1"/>
  <c r="AS191" i="1"/>
  <c r="BG189" i="1"/>
  <c r="AZ189" i="1"/>
  <c r="AT189" i="1"/>
  <c r="BE189" i="1"/>
  <c r="AS189" i="1"/>
  <c r="BC189" i="1"/>
  <c r="BI189" i="1"/>
  <c r="BA189" i="1"/>
  <c r="BG209" i="1"/>
  <c r="AZ209" i="1"/>
  <c r="AT209" i="1"/>
  <c r="BE209" i="1"/>
  <c r="AS209" i="1"/>
  <c r="BC209" i="1"/>
  <c r="BI209" i="1"/>
  <c r="BA209" i="1"/>
  <c r="BG161" i="1"/>
  <c r="AZ161" i="1"/>
  <c r="AT161" i="1"/>
  <c r="BE161" i="1"/>
  <c r="AS161" i="1"/>
  <c r="BC161" i="1"/>
  <c r="BI161" i="1"/>
  <c r="BA161" i="1"/>
  <c r="BC151" i="1"/>
  <c r="BI151" i="1"/>
  <c r="BA151" i="1"/>
  <c r="BG151" i="1"/>
  <c r="AZ151" i="1"/>
  <c r="AT151" i="1"/>
  <c r="BE151" i="1"/>
  <c r="AS151" i="1"/>
  <c r="BE154" i="1"/>
  <c r="AS154" i="1"/>
  <c r="BC154" i="1"/>
  <c r="BI154" i="1"/>
  <c r="BA154" i="1"/>
  <c r="BG154" i="1"/>
  <c r="AZ154" i="1"/>
  <c r="AT154" i="1"/>
  <c r="BE190" i="1"/>
  <c r="AS190" i="1"/>
  <c r="BC190" i="1"/>
  <c r="BI190" i="1"/>
  <c r="BA190" i="1"/>
  <c r="BG190" i="1"/>
  <c r="AZ190" i="1"/>
  <c r="AT190" i="1"/>
  <c r="BI212" i="1"/>
  <c r="BA212" i="1"/>
  <c r="BG212" i="1"/>
  <c r="AZ212" i="1"/>
  <c r="AT212" i="1"/>
  <c r="BE212" i="1"/>
  <c r="AS212" i="1"/>
  <c r="BC212" i="1"/>
  <c r="BG205" i="1"/>
  <c r="AZ205" i="1"/>
  <c r="AT205" i="1"/>
  <c r="BE205" i="1"/>
  <c r="AS205" i="1"/>
  <c r="BC205" i="1"/>
  <c r="BI205" i="1"/>
  <c r="BA205" i="1"/>
  <c r="BI176" i="1"/>
  <c r="BA176" i="1"/>
  <c r="BG176" i="1"/>
  <c r="AZ176" i="1"/>
  <c r="AT176" i="1"/>
  <c r="BE176" i="1"/>
  <c r="AS176" i="1"/>
  <c r="BC176" i="1"/>
  <c r="BI115" i="1"/>
  <c r="BA115" i="1"/>
  <c r="BG115" i="1"/>
  <c r="AZ115" i="1"/>
  <c r="AT115" i="1"/>
  <c r="BE115" i="1"/>
  <c r="AS115" i="1"/>
  <c r="BC115" i="1"/>
  <c r="BC114" i="1"/>
  <c r="BI114" i="1"/>
  <c r="BA114" i="1"/>
  <c r="BG114" i="1"/>
  <c r="AZ114" i="1"/>
  <c r="AT114" i="1"/>
  <c r="BE114" i="1"/>
  <c r="AS114" i="1"/>
  <c r="BG144" i="1"/>
  <c r="AZ144" i="1"/>
  <c r="AT144" i="1"/>
  <c r="BE144" i="1"/>
  <c r="AS144" i="1"/>
  <c r="BC144" i="1"/>
  <c r="BI144" i="1"/>
  <c r="BA144" i="1"/>
  <c r="BI139" i="1"/>
  <c r="BA139" i="1"/>
  <c r="BG139" i="1"/>
  <c r="AZ139" i="1"/>
  <c r="AT139" i="1"/>
  <c r="BE139" i="1"/>
  <c r="AS139" i="1"/>
  <c r="BC139" i="1"/>
  <c r="BI168" i="1"/>
  <c r="BA168" i="1"/>
  <c r="BG168" i="1"/>
  <c r="AZ168" i="1"/>
  <c r="AT168" i="1"/>
  <c r="BE168" i="1"/>
  <c r="AS168" i="1"/>
  <c r="BC168" i="1"/>
  <c r="BC142" i="1"/>
  <c r="BI142" i="1"/>
  <c r="BA142" i="1"/>
  <c r="BG142" i="1"/>
  <c r="AZ142" i="1"/>
  <c r="AT142" i="1"/>
  <c r="BE142" i="1"/>
  <c r="AS142" i="1"/>
  <c r="BC94" i="1"/>
  <c r="BI94" i="1"/>
  <c r="BA94" i="1"/>
  <c r="BG94" i="1"/>
  <c r="AZ94" i="1"/>
  <c r="AT94" i="1"/>
  <c r="BE94" i="1"/>
  <c r="AS94" i="1"/>
  <c r="BI83" i="1"/>
  <c r="BA83" i="1"/>
  <c r="BG83" i="1"/>
  <c r="AZ83" i="1"/>
  <c r="AT83" i="1"/>
  <c r="BE83" i="1"/>
  <c r="AS83" i="1"/>
  <c r="BC83" i="1"/>
  <c r="BI79" i="1"/>
  <c r="BA79" i="1"/>
  <c r="BG79" i="1"/>
  <c r="AZ79" i="1"/>
  <c r="AT79" i="1"/>
  <c r="BE79" i="1"/>
  <c r="AS79" i="1"/>
  <c r="BC79" i="1"/>
  <c r="BE137" i="1"/>
  <c r="AS137" i="1"/>
  <c r="BC137" i="1"/>
  <c r="BI137" i="1"/>
  <c r="BA137" i="1"/>
  <c r="BG137" i="1"/>
  <c r="AZ137" i="1"/>
  <c r="AT137" i="1"/>
  <c r="BG181" i="1"/>
  <c r="AZ181" i="1"/>
  <c r="AT181" i="1"/>
  <c r="BE181" i="1"/>
  <c r="AS181" i="1"/>
  <c r="BC181" i="1"/>
  <c r="BI181" i="1"/>
  <c r="BA181" i="1"/>
  <c r="BI55" i="1"/>
  <c r="BA55" i="1"/>
  <c r="BG55" i="1"/>
  <c r="AZ55" i="1"/>
  <c r="AT55" i="1"/>
  <c r="BE55" i="1"/>
  <c r="AS55" i="1"/>
  <c r="BC55" i="1"/>
  <c r="BI51" i="1"/>
  <c r="BA51" i="1"/>
  <c r="BG51" i="1"/>
  <c r="AZ51" i="1"/>
  <c r="AT51" i="1"/>
  <c r="BE51" i="1"/>
  <c r="AS51" i="1"/>
  <c r="BC51" i="1"/>
  <c r="BG52" i="1"/>
  <c r="AZ52" i="1"/>
  <c r="AT52" i="1"/>
  <c r="BE52" i="1"/>
  <c r="AS52" i="1"/>
  <c r="BC52" i="1"/>
  <c r="BI52" i="1"/>
  <c r="BA52" i="1"/>
  <c r="BG92" i="1"/>
  <c r="AZ92" i="1"/>
  <c r="AT92" i="1"/>
  <c r="BE92" i="1"/>
  <c r="AS92" i="1"/>
  <c r="BC92" i="1"/>
  <c r="BI92" i="1"/>
  <c r="BA92" i="1"/>
  <c r="BC90" i="1"/>
  <c r="BI90" i="1"/>
  <c r="BA90" i="1"/>
  <c r="BG90" i="1"/>
  <c r="AZ90" i="1"/>
  <c r="AT90" i="1"/>
  <c r="BE90" i="1"/>
  <c r="AS90" i="1"/>
  <c r="BI59" i="1"/>
  <c r="BA59" i="1"/>
  <c r="BG59" i="1"/>
  <c r="AZ59" i="1"/>
  <c r="AT59" i="1"/>
  <c r="BE59" i="1"/>
  <c r="AS59" i="1"/>
  <c r="BC59" i="1"/>
  <c r="BR624" i="1"/>
  <c r="AD46" i="1"/>
  <c r="AG46" i="1"/>
  <c r="AE46" i="1"/>
  <c r="AF46" i="1"/>
  <c r="AM16" i="1"/>
  <c r="AM13" i="1"/>
  <c r="CA624" i="1"/>
  <c r="AD106" i="1"/>
  <c r="AF106" i="1"/>
  <c r="AG106" i="1"/>
  <c r="AE106" i="1"/>
  <c r="AL624" i="1"/>
  <c r="AM18" i="1"/>
  <c r="AM17" i="1"/>
  <c r="AM624" i="1"/>
  <c r="AM15" i="1"/>
  <c r="AM12" i="1"/>
  <c r="BR11" i="1"/>
  <c r="AM11" i="1"/>
  <c r="AM14" i="1"/>
  <c r="AD166" i="1"/>
  <c r="AE166" i="1"/>
  <c r="AG166" i="1"/>
  <c r="AF166" i="1"/>
  <c r="AE196" i="1"/>
  <c r="AD196" i="1"/>
  <c r="AG196" i="1"/>
  <c r="AF196" i="1"/>
  <c r="AL18" i="1"/>
  <c r="BM11" i="1"/>
  <c r="AF406" i="1"/>
  <c r="AE406" i="1"/>
  <c r="AD406" i="1"/>
  <c r="AG406" i="1"/>
  <c r="BW11" i="1"/>
  <c r="AL14" i="1"/>
  <c r="AL13" i="1"/>
  <c r="BZ14" i="1"/>
  <c r="AE466" i="1"/>
  <c r="AD466" i="1"/>
  <c r="AG466" i="1"/>
  <c r="AF466" i="1"/>
  <c r="CA17" i="1"/>
  <c r="BJ624" i="1"/>
  <c r="AJ11" i="1"/>
  <c r="BS624" i="1"/>
  <c r="BS15" i="1"/>
  <c r="BS13" i="1"/>
  <c r="BJ16" i="1"/>
  <c r="AF496" i="1"/>
  <c r="AG496" i="1"/>
  <c r="AE496" i="1"/>
  <c r="AD496" i="1"/>
  <c r="BU11" i="1"/>
  <c r="BK12" i="1"/>
  <c r="BS16" i="1"/>
  <c r="BS14" i="1"/>
  <c r="BS18" i="1"/>
  <c r="BZ13" i="1"/>
  <c r="BJ15" i="1"/>
  <c r="BJ12" i="1"/>
  <c r="BY11" i="1"/>
  <c r="BJ13" i="1"/>
  <c r="AL17" i="1"/>
  <c r="AN11" i="1"/>
  <c r="BQ11" i="1"/>
  <c r="BL13" i="1"/>
  <c r="BZ11" i="1"/>
  <c r="AL11" i="1"/>
  <c r="BP11" i="1"/>
  <c r="CA12" i="1"/>
  <c r="BK11" i="1"/>
  <c r="BZ15" i="1"/>
  <c r="BZ12" i="1"/>
  <c r="BZ18" i="1"/>
  <c r="BJ17" i="1"/>
  <c r="BJ18" i="1"/>
  <c r="AL16" i="1"/>
  <c r="BY624" i="1"/>
  <c r="BK17" i="1"/>
  <c r="BZ17" i="1"/>
  <c r="BJ14" i="1"/>
  <c r="AL12" i="1"/>
  <c r="BM18" i="1"/>
  <c r="BM17" i="1"/>
  <c r="BM15" i="1"/>
  <c r="BM13" i="1"/>
  <c r="BM12" i="1"/>
  <c r="BM14" i="1"/>
  <c r="BM16" i="1"/>
  <c r="BP18" i="1"/>
  <c r="BN11" i="1"/>
  <c r="BN13" i="1"/>
  <c r="BN12" i="1"/>
  <c r="BN14" i="1"/>
  <c r="BN16" i="1"/>
  <c r="BN18" i="1"/>
  <c r="BN17" i="1"/>
  <c r="BN15" i="1"/>
  <c r="BT16" i="1"/>
  <c r="BW12" i="1"/>
  <c r="CA11" i="1"/>
  <c r="CA18" i="1"/>
  <c r="AN18" i="1"/>
  <c r="BT15" i="1"/>
  <c r="BP14" i="1"/>
  <c r="AN13" i="1"/>
  <c r="BX18" i="1"/>
  <c r="BW15" i="1"/>
  <c r="BT17" i="1"/>
  <c r="AN16" i="1"/>
  <c r="BO13" i="1"/>
  <c r="BY14" i="1"/>
  <c r="BY17" i="1"/>
  <c r="BY16" i="1"/>
  <c r="BY18" i="1"/>
  <c r="BY12" i="1"/>
  <c r="BY15" i="1"/>
  <c r="BY13" i="1"/>
  <c r="AK18" i="1"/>
  <c r="AK13" i="1"/>
  <c r="AK14" i="1"/>
  <c r="AK12" i="1"/>
  <c r="AK17" i="1"/>
  <c r="AK16" i="1"/>
  <c r="AK15" i="1"/>
  <c r="BL17" i="1"/>
  <c r="BO17" i="1"/>
  <c r="BP16" i="1"/>
  <c r="AN14" i="1"/>
  <c r="BK18" i="1"/>
  <c r="AJ18" i="1"/>
  <c r="BO16" i="1"/>
  <c r="BP15" i="1"/>
  <c r="BL14" i="1"/>
  <c r="AJ13" i="1"/>
  <c r="BL18" i="1"/>
  <c r="BO14" i="1"/>
  <c r="BP17" i="1"/>
  <c r="AJ15" i="1"/>
  <c r="BK13" i="1"/>
  <c r="BU624" i="1"/>
  <c r="BU15" i="1"/>
  <c r="BU13" i="1"/>
  <c r="BU12" i="1"/>
  <c r="BU14" i="1"/>
  <c r="BU18" i="1"/>
  <c r="BU17" i="1"/>
  <c r="BU16" i="1"/>
  <c r="BT11" i="1"/>
  <c r="BX17" i="1"/>
  <c r="BX12" i="1"/>
  <c r="BX13" i="1"/>
  <c r="AN15" i="1"/>
  <c r="AN17" i="1"/>
  <c r="BO11" i="1"/>
  <c r="BW18" i="1"/>
  <c r="BW13" i="1"/>
  <c r="BW14" i="1"/>
  <c r="BL16" i="1"/>
  <c r="AJ14" i="1"/>
  <c r="BO12" i="1"/>
  <c r="CA16" i="1"/>
  <c r="BK16" i="1"/>
  <c r="BL15" i="1"/>
  <c r="AN12" i="1"/>
  <c r="BK15" i="1"/>
  <c r="BK14" i="1"/>
  <c r="CA13" i="1"/>
  <c r="BP12" i="1"/>
  <c r="BQ16" i="1"/>
  <c r="BQ15" i="1"/>
  <c r="BQ18" i="1"/>
  <c r="BQ17" i="1"/>
  <c r="BQ14" i="1"/>
  <c r="BQ13" i="1"/>
  <c r="BQ12" i="1"/>
  <c r="BT12" i="1"/>
  <c r="BT13" i="1"/>
  <c r="BT18" i="1"/>
  <c r="BT14" i="1"/>
  <c r="AJ17" i="1"/>
  <c r="AJ16" i="1"/>
  <c r="AJ12" i="1"/>
  <c r="BV11" i="1"/>
  <c r="BV17" i="1"/>
  <c r="BV15" i="1"/>
  <c r="BV18" i="1"/>
  <c r="BV12" i="1"/>
  <c r="BV14" i="1"/>
  <c r="BV13" i="1"/>
  <c r="BV16" i="1"/>
  <c r="BO15" i="1"/>
  <c r="BW17" i="1"/>
  <c r="BX16" i="1"/>
  <c r="BW16" i="1"/>
  <c r="BX15" i="1"/>
  <c r="BX14" i="1"/>
  <c r="CA15" i="1"/>
  <c r="CA14" i="1"/>
  <c r="BP13" i="1"/>
  <c r="BO18" i="1"/>
  <c r="BL12" i="1"/>
  <c r="BZ16" i="1"/>
  <c r="BR14" i="1"/>
  <c r="BR12" i="1"/>
  <c r="BR13" i="1"/>
  <c r="BJ11" i="1"/>
  <c r="AL15" i="1"/>
  <c r="BR15" i="1"/>
  <c r="BR17" i="1"/>
  <c r="BR18" i="1"/>
  <c r="BR16" i="1"/>
  <c r="BC18" i="1"/>
  <c r="AS18" i="1"/>
  <c r="BG18" i="1"/>
  <c r="AZ18" i="1"/>
  <c r="BE18" i="1"/>
  <c r="BI18" i="1"/>
  <c r="BA18" i="1"/>
  <c r="AT18" i="1"/>
  <c r="BC17" i="1"/>
  <c r="AS17" i="1"/>
  <c r="AZ17" i="1"/>
  <c r="BI17" i="1"/>
  <c r="BA17" i="1"/>
  <c r="BG17" i="1"/>
  <c r="BE17" i="1"/>
  <c r="AT17" i="1"/>
  <c r="BC16" i="1"/>
  <c r="AS16" i="1"/>
  <c r="BI16" i="1"/>
  <c r="BA16" i="1"/>
  <c r="BG16" i="1"/>
  <c r="AZ16" i="1"/>
  <c r="BE16" i="1"/>
  <c r="AT16" i="1"/>
  <c r="BC15" i="1"/>
  <c r="AS15" i="1"/>
  <c r="BI15" i="1"/>
  <c r="BA15" i="1"/>
  <c r="BG15" i="1"/>
  <c r="AZ15" i="1"/>
  <c r="BE15" i="1"/>
  <c r="AT15" i="1"/>
  <c r="BC14" i="1"/>
  <c r="AS14" i="1"/>
  <c r="BE14" i="1"/>
  <c r="AT14" i="1"/>
  <c r="BI14" i="1"/>
  <c r="BA14" i="1"/>
  <c r="BG14" i="1"/>
  <c r="AZ14" i="1"/>
  <c r="BC13" i="1"/>
  <c r="AS13" i="1"/>
  <c r="AZ13" i="1"/>
  <c r="BI13" i="1"/>
  <c r="BA13" i="1"/>
  <c r="BG13" i="1"/>
  <c r="BE13" i="1"/>
  <c r="AT13" i="1"/>
  <c r="BC12" i="1"/>
  <c r="AS12" i="1"/>
  <c r="BI12" i="1"/>
  <c r="BA12" i="1"/>
  <c r="BE12" i="1"/>
  <c r="BG12" i="1"/>
  <c r="AZ12" i="1"/>
  <c r="AT12" i="1"/>
  <c r="AK11" i="1"/>
  <c r="BM624" i="1"/>
  <c r="BX11" i="1"/>
  <c r="AJ624" i="1"/>
  <c r="AD11" i="1"/>
  <c r="AG11" i="1"/>
  <c r="AF11" i="1"/>
  <c r="AE11" i="1"/>
  <c r="BQ624" i="1"/>
  <c r="BL624" i="1"/>
  <c r="BT624" i="1"/>
  <c r="BI11" i="1"/>
  <c r="BA11" i="1"/>
  <c r="BG11" i="1"/>
  <c r="AZ11" i="1"/>
  <c r="BE11" i="1"/>
  <c r="BC11" i="1"/>
  <c r="AS11" i="1"/>
  <c r="AT11" i="1"/>
  <c r="AV11" i="1"/>
  <c r="AK624" i="1"/>
  <c r="BL11" i="1"/>
  <c r="AN624" i="1"/>
  <c r="BX624" i="1"/>
  <c r="BP624" i="1"/>
  <c r="BV624" i="1"/>
  <c r="BW624" i="1"/>
  <c r="BN624" i="1"/>
  <c r="BO624" i="1"/>
  <c r="BS625" i="1" l="1"/>
  <c r="BR625" i="1"/>
  <c r="BK625" i="1"/>
  <c r="CA625" i="1"/>
  <c r="AF12" i="1"/>
  <c r="AF13" i="1" s="1"/>
  <c r="AF14" i="1" s="1"/>
  <c r="AF15" i="1" s="1"/>
  <c r="BZ625" i="1"/>
  <c r="BJ625" i="1"/>
  <c r="AE12" i="1"/>
  <c r="AG12" i="1"/>
  <c r="AD12" i="1"/>
  <c r="AV12" i="1"/>
  <c r="BW625" i="1"/>
  <c r="BU625" i="1"/>
  <c r="BM625" i="1"/>
  <c r="BP625" i="1"/>
  <c r="BV625" i="1"/>
  <c r="BO625" i="1"/>
  <c r="BN625" i="1"/>
  <c r="BQ625" i="1"/>
  <c r="BT625" i="1"/>
  <c r="BY625" i="1"/>
  <c r="BI625" i="1"/>
  <c r="BC625" i="1"/>
  <c r="AZ625" i="1"/>
  <c r="BG625" i="1"/>
  <c r="BL625" i="1"/>
  <c r="BE625" i="1"/>
  <c r="BA625" i="1"/>
  <c r="BX625" i="1"/>
  <c r="AE13" i="1" l="1"/>
  <c r="AD13" i="1"/>
  <c r="AF556" i="1"/>
  <c r="AG13" i="1"/>
  <c r="AG14" i="1" s="1"/>
  <c r="AV13" i="1"/>
  <c r="AD14" i="1"/>
  <c r="AF16" i="1"/>
  <c r="AE14" i="1" l="1"/>
  <c r="AE15" i="1" s="1"/>
  <c r="AV14" i="1"/>
  <c r="AV15" i="1" s="1"/>
  <c r="AG15" i="1"/>
  <c r="AD15" i="1"/>
  <c r="AF17" i="1"/>
  <c r="AS625" i="1"/>
  <c r="AU625" i="1"/>
  <c r="AV16" i="1" l="1"/>
  <c r="AV17" i="1" s="1"/>
  <c r="AD16" i="1"/>
  <c r="AG556" i="1"/>
  <c r="AG16" i="1"/>
  <c r="AE16" i="1"/>
  <c r="AE556" i="1"/>
  <c r="AD556" i="1"/>
  <c r="AF18" i="1"/>
  <c r="AM625" i="1"/>
  <c r="AV18" i="1" l="1"/>
  <c r="AE17" i="1"/>
  <c r="AE18" i="1" s="1"/>
  <c r="AD17" i="1"/>
  <c r="AG17" i="1"/>
  <c r="AF19" i="1"/>
  <c r="AT625" i="1"/>
  <c r="AN625" i="1"/>
  <c r="AV19" i="1" l="1"/>
  <c r="AD18" i="1"/>
  <c r="AD19" i="1" s="1"/>
  <c r="AD20" i="1" s="1"/>
  <c r="AF20" i="1"/>
  <c r="AF21" i="1" s="1"/>
  <c r="AG18" i="1"/>
  <c r="AE19" i="1"/>
  <c r="AL625" i="1"/>
  <c r="AV20" i="1" l="1"/>
  <c r="AD21" i="1"/>
  <c r="AF22" i="1"/>
  <c r="AF23" i="1" s="1"/>
  <c r="AF24" i="1" s="1"/>
  <c r="AG19" i="1"/>
  <c r="AE20" i="1"/>
  <c r="AE21" i="1" s="1"/>
  <c r="AE22" i="1" s="1"/>
  <c r="AE23" i="1" s="1"/>
  <c r="AE24" i="1" s="1"/>
  <c r="AE25" i="1" s="1"/>
  <c r="AE26" i="1" s="1"/>
  <c r="AE27" i="1" s="1"/>
  <c r="AD22" i="1"/>
  <c r="AD23" i="1" s="1"/>
  <c r="AD24" i="1" s="1"/>
  <c r="AD25" i="1" s="1"/>
  <c r="AD26" i="1" s="1"/>
  <c r="AD27" i="1" s="1"/>
  <c r="AD28" i="1"/>
  <c r="AV21" i="1" l="1"/>
  <c r="AV22" i="1" s="1"/>
  <c r="AV23" i="1" s="1"/>
  <c r="AV24" i="1" s="1"/>
  <c r="AF25" i="1"/>
  <c r="AF26" i="1" s="1"/>
  <c r="AF27" i="1" s="1"/>
  <c r="AG20" i="1"/>
  <c r="AG28" i="1" s="1"/>
  <c r="AE28" i="1"/>
  <c r="AE29" i="1" s="1"/>
  <c r="AE30" i="1" s="1"/>
  <c r="AE31" i="1" s="1"/>
  <c r="AD29" i="1"/>
  <c r="AD30" i="1" s="1"/>
  <c r="AD31" i="1" s="1"/>
  <c r="AF28" i="1"/>
  <c r="AV25" i="1" l="1"/>
  <c r="AV26" i="1" s="1"/>
  <c r="AG21" i="1"/>
  <c r="AD32" i="1"/>
  <c r="AD33" i="1" s="1"/>
  <c r="AD34" i="1" s="1"/>
  <c r="AD35" i="1" s="1"/>
  <c r="AE32" i="1"/>
  <c r="AE33" i="1" s="1"/>
  <c r="AE34" i="1" s="1"/>
  <c r="AE35" i="1" s="1"/>
  <c r="AF29" i="1"/>
  <c r="AF30" i="1" s="1"/>
  <c r="AF31" i="1" s="1"/>
  <c r="AV27" i="1" l="1"/>
  <c r="AV28" i="1" s="1"/>
  <c r="AG22" i="1"/>
  <c r="AG23" i="1" s="1"/>
  <c r="AG24" i="1" s="1"/>
  <c r="AG25" i="1" s="1"/>
  <c r="AG26" i="1" s="1"/>
  <c r="AG27" i="1" s="1"/>
  <c r="AF32" i="1"/>
  <c r="AF33" i="1" s="1"/>
  <c r="AF34" i="1" s="1"/>
  <c r="AF35" i="1" s="1"/>
  <c r="AE36" i="1"/>
  <c r="AD36" i="1"/>
  <c r="AV29" i="1" l="1"/>
  <c r="AG29" i="1"/>
  <c r="AG30" i="1" s="1"/>
  <c r="AG31" i="1" s="1"/>
  <c r="AD37" i="1"/>
  <c r="AE37" i="1"/>
  <c r="AF36" i="1"/>
  <c r="AF37" i="1" s="1"/>
  <c r="AF38" i="1" s="1"/>
  <c r="AF39" i="1" s="1"/>
  <c r="AF40" i="1" s="1"/>
  <c r="AF41" i="1" s="1"/>
  <c r="AF42" i="1" s="1"/>
  <c r="AF43" i="1" s="1"/>
  <c r="AF44" i="1" s="1"/>
  <c r="AF45" i="1" s="1"/>
  <c r="AJ625" i="1"/>
  <c r="AV30" i="1" l="1"/>
  <c r="AF47" i="1"/>
  <c r="AF48" i="1" s="1"/>
  <c r="AF49" i="1" s="1"/>
  <c r="AF50" i="1" s="1"/>
  <c r="AG32" i="1"/>
  <c r="AG33" i="1" s="1"/>
  <c r="AG34" i="1" s="1"/>
  <c r="AG35" i="1" s="1"/>
  <c r="AF616" i="1"/>
  <c r="AF586" i="1"/>
  <c r="AD38" i="1"/>
  <c r="AE38" i="1"/>
  <c r="AV31" i="1" l="1"/>
  <c r="AV32" i="1" s="1"/>
  <c r="AF58" i="1"/>
  <c r="AF51" i="1"/>
  <c r="AF52" i="1" s="1"/>
  <c r="AF53" i="1" s="1"/>
  <c r="AF54" i="1" s="1"/>
  <c r="AF55" i="1" s="1"/>
  <c r="AF56" i="1" s="1"/>
  <c r="AF57" i="1" s="1"/>
  <c r="AG36" i="1"/>
  <c r="AD39" i="1"/>
  <c r="AE39" i="1"/>
  <c r="AV33" i="1" l="1"/>
  <c r="AV34" i="1" s="1"/>
  <c r="AV35" i="1" s="1"/>
  <c r="AF59" i="1"/>
  <c r="AG37" i="1"/>
  <c r="AG38" i="1" s="1"/>
  <c r="AG39" i="1" s="1"/>
  <c r="AG40" i="1" s="1"/>
  <c r="AG41" i="1" s="1"/>
  <c r="AG42" i="1" s="1"/>
  <c r="AG43" i="1" s="1"/>
  <c r="AG44" i="1" s="1"/>
  <c r="AG45" i="1" s="1"/>
  <c r="AE40" i="1"/>
  <c r="AD40" i="1"/>
  <c r="AV36" i="1" l="1"/>
  <c r="AV37" i="1" s="1"/>
  <c r="AF60" i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G47" i="1"/>
  <c r="AG48" i="1" s="1"/>
  <c r="AG49" i="1" s="1"/>
  <c r="AG50" i="1" s="1"/>
  <c r="AG616" i="1"/>
  <c r="AG586" i="1"/>
  <c r="AD41" i="1"/>
  <c r="AD42" i="1" s="1"/>
  <c r="AD43" i="1" s="1"/>
  <c r="AD44" i="1" s="1"/>
  <c r="AD45" i="1" s="1"/>
  <c r="AE41" i="1"/>
  <c r="AV38" i="1" l="1"/>
  <c r="AG58" i="1"/>
  <c r="AG51" i="1"/>
  <c r="AG52" i="1" s="1"/>
  <c r="AG53" i="1" s="1"/>
  <c r="AG54" i="1" s="1"/>
  <c r="AG55" i="1" s="1"/>
  <c r="AG56" i="1" s="1"/>
  <c r="AG57" i="1" s="1"/>
  <c r="AF77" i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D47" i="1"/>
  <c r="AD48" i="1" s="1"/>
  <c r="AD49" i="1" s="1"/>
  <c r="AD50" i="1" s="1"/>
  <c r="AD616" i="1"/>
  <c r="AD586" i="1"/>
  <c r="AE42" i="1"/>
  <c r="AK625" i="1"/>
  <c r="AV39" i="1" l="1"/>
  <c r="AF88" i="1"/>
  <c r="AD51" i="1"/>
  <c r="AD52" i="1" s="1"/>
  <c r="AD53" i="1" s="1"/>
  <c r="AD54" i="1" s="1"/>
  <c r="AD55" i="1" s="1"/>
  <c r="AD56" i="1" s="1"/>
  <c r="AD57" i="1" s="1"/>
  <c r="AD58" i="1"/>
  <c r="AG59" i="1"/>
  <c r="AE43" i="1"/>
  <c r="AE44" i="1" s="1"/>
  <c r="AE45" i="1" s="1"/>
  <c r="AV40" i="1" l="1"/>
  <c r="AG60" i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G75" i="1" s="1"/>
  <c r="AD59" i="1"/>
  <c r="AF89" i="1"/>
  <c r="AE47" i="1"/>
  <c r="AE48" i="1" s="1"/>
  <c r="AE49" i="1" s="1"/>
  <c r="AE50" i="1" s="1"/>
  <c r="AE616" i="1"/>
  <c r="AE586" i="1"/>
  <c r="AV41" i="1" l="1"/>
  <c r="AD60" i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D72" i="1" s="1"/>
  <c r="AD73" i="1" s="1"/>
  <c r="AD74" i="1" s="1"/>
  <c r="AD75" i="1" s="1"/>
  <c r="AE58" i="1"/>
  <c r="AE51" i="1"/>
  <c r="AG77" i="1"/>
  <c r="AG78" i="1" s="1"/>
  <c r="AG79" i="1" s="1"/>
  <c r="AG80" i="1" s="1"/>
  <c r="AF90" i="1"/>
  <c r="AV42" i="1" l="1"/>
  <c r="AF91" i="1"/>
  <c r="AG81" i="1"/>
  <c r="AG88" i="1"/>
  <c r="AD77" i="1"/>
  <c r="AD78" i="1" s="1"/>
  <c r="AD79" i="1" s="1"/>
  <c r="AD80" i="1" s="1"/>
  <c r="AD88" i="1" s="1"/>
  <c r="AE52" i="1"/>
  <c r="AV43" i="1" l="1"/>
  <c r="AF92" i="1"/>
  <c r="AE53" i="1"/>
  <c r="AD81" i="1"/>
  <c r="AD82" i="1" s="1"/>
  <c r="AD83" i="1" s="1"/>
  <c r="AD84" i="1" s="1"/>
  <c r="AD85" i="1" s="1"/>
  <c r="AD86" i="1" s="1"/>
  <c r="AD87" i="1" s="1"/>
  <c r="AD89" i="1" s="1"/>
  <c r="AD90" i="1" s="1"/>
  <c r="AD91" i="1" s="1"/>
  <c r="AD92" i="1" s="1"/>
  <c r="AD93" i="1" s="1"/>
  <c r="AD94" i="1" s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G82" i="1"/>
  <c r="AV44" i="1" l="1"/>
  <c r="AF93" i="1"/>
  <c r="AG83" i="1"/>
  <c r="AE54" i="1"/>
  <c r="AD107" i="1"/>
  <c r="AD108" i="1" s="1"/>
  <c r="AD109" i="1" s="1"/>
  <c r="AD110" i="1" s="1"/>
  <c r="AV45" i="1" l="1"/>
  <c r="AG84" i="1"/>
  <c r="AD111" i="1"/>
  <c r="AD112" i="1" s="1"/>
  <c r="AD113" i="1" s="1"/>
  <c r="AD114" i="1" s="1"/>
  <c r="AF94" i="1"/>
  <c r="AE55" i="1"/>
  <c r="AD118" i="1"/>
  <c r="AO625" i="1"/>
  <c r="AO1" i="1" s="1"/>
  <c r="AV46" i="1" l="1"/>
  <c r="AD115" i="1"/>
  <c r="AD116" i="1" s="1"/>
  <c r="AD117" i="1" s="1"/>
  <c r="AF95" i="1"/>
  <c r="AG85" i="1"/>
  <c r="AE56" i="1"/>
  <c r="AV47" i="1" l="1"/>
  <c r="AG86" i="1"/>
  <c r="AE57" i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D119" i="1"/>
  <c r="AF96" i="1"/>
  <c r="AV48" i="1" l="1"/>
  <c r="AF97" i="1"/>
  <c r="AD120" i="1"/>
  <c r="AG87" i="1"/>
  <c r="AE77" i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V49" i="1" l="1"/>
  <c r="AG89" i="1"/>
  <c r="AE88" i="1"/>
  <c r="AE89" i="1" s="1"/>
  <c r="AD121" i="1"/>
  <c r="AF98" i="1"/>
  <c r="AV50" i="1" l="1"/>
  <c r="AE90" i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D122" i="1"/>
  <c r="AF99" i="1"/>
  <c r="AF100" i="1" s="1"/>
  <c r="AF101" i="1" s="1"/>
  <c r="AF102" i="1" s="1"/>
  <c r="AF103" i="1" s="1"/>
  <c r="AF104" i="1" s="1"/>
  <c r="AF105" i="1" s="1"/>
  <c r="AF107" i="1" s="1"/>
  <c r="AF108" i="1" s="1"/>
  <c r="AF109" i="1" s="1"/>
  <c r="AF110" i="1" s="1"/>
  <c r="AG90" i="1"/>
  <c r="AV51" i="1" l="1"/>
  <c r="AE107" i="1"/>
  <c r="AE108" i="1" s="1"/>
  <c r="AE109" i="1" s="1"/>
  <c r="AE110" i="1" s="1"/>
  <c r="AE118" i="1" s="1"/>
  <c r="AD123" i="1"/>
  <c r="AF118" i="1"/>
  <c r="AF111" i="1"/>
  <c r="AF112" i="1" s="1"/>
  <c r="AF113" i="1" s="1"/>
  <c r="AF114" i="1" s="1"/>
  <c r="AF115" i="1" s="1"/>
  <c r="AF116" i="1" s="1"/>
  <c r="AF117" i="1" s="1"/>
  <c r="AG91" i="1"/>
  <c r="AV52" i="1" l="1"/>
  <c r="AE111" i="1"/>
  <c r="AD124" i="1"/>
  <c r="AG92" i="1"/>
  <c r="AF119" i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7" i="1" s="1"/>
  <c r="AF138" i="1" s="1"/>
  <c r="AF139" i="1" s="1"/>
  <c r="AF140" i="1" s="1"/>
  <c r="AV53" i="1" l="1"/>
  <c r="AE112" i="1"/>
  <c r="AF141" i="1"/>
  <c r="AF142" i="1" s="1"/>
  <c r="AF143" i="1" s="1"/>
  <c r="AF144" i="1" s="1"/>
  <c r="AF145" i="1" s="1"/>
  <c r="AF146" i="1" s="1"/>
  <c r="AF147" i="1" s="1"/>
  <c r="AF148" i="1"/>
  <c r="AG93" i="1"/>
  <c r="AD125" i="1"/>
  <c r="AV54" i="1" l="1"/>
  <c r="AE113" i="1"/>
  <c r="AE114" i="1" s="1"/>
  <c r="AE115" i="1" s="1"/>
  <c r="AE116" i="1" s="1"/>
  <c r="AE117" i="1" s="1"/>
  <c r="AD126" i="1"/>
  <c r="AG94" i="1"/>
  <c r="AF149" i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7" i="1" s="1"/>
  <c r="AF168" i="1" s="1"/>
  <c r="AF169" i="1" s="1"/>
  <c r="AF170" i="1" s="1"/>
  <c r="AV55" i="1" l="1"/>
  <c r="AE119" i="1"/>
  <c r="AE120" i="1" s="1"/>
  <c r="AF178" i="1"/>
  <c r="AF171" i="1"/>
  <c r="AF172" i="1" s="1"/>
  <c r="AF173" i="1" s="1"/>
  <c r="AF174" i="1" s="1"/>
  <c r="AF175" i="1" s="1"/>
  <c r="AF176" i="1" s="1"/>
  <c r="AF177" i="1" s="1"/>
  <c r="AD127" i="1"/>
  <c r="AG95" i="1"/>
  <c r="AV56" i="1" l="1"/>
  <c r="AE121" i="1"/>
  <c r="AF179" i="1"/>
  <c r="AG96" i="1"/>
  <c r="AD128" i="1"/>
  <c r="AV57" i="1" l="1"/>
  <c r="AE122" i="1"/>
  <c r="AE123" i="1" s="1"/>
  <c r="AE124" i="1" s="1"/>
  <c r="AE125" i="1" s="1"/>
  <c r="AG97" i="1"/>
  <c r="AD129" i="1"/>
  <c r="AF180" i="1"/>
  <c r="AV58" i="1" l="1"/>
  <c r="AE126" i="1"/>
  <c r="AE127" i="1" s="1"/>
  <c r="AE128" i="1" s="1"/>
  <c r="AF181" i="1"/>
  <c r="AD130" i="1"/>
  <c r="AG98" i="1"/>
  <c r="AV59" i="1" l="1"/>
  <c r="AE129" i="1"/>
  <c r="AE130" i="1" s="1"/>
  <c r="AD131" i="1"/>
  <c r="AF182" i="1"/>
  <c r="AG99" i="1"/>
  <c r="AV60" i="1" l="1"/>
  <c r="AF183" i="1"/>
  <c r="AD132" i="1"/>
  <c r="AG100" i="1"/>
  <c r="AE131" i="1"/>
  <c r="AV61" i="1" l="1"/>
  <c r="AG101" i="1"/>
  <c r="AD133" i="1"/>
  <c r="AF184" i="1"/>
  <c r="AE132" i="1"/>
  <c r="AE133" i="1" s="1"/>
  <c r="AE134" i="1" s="1"/>
  <c r="AE135" i="1" s="1"/>
  <c r="AE137" i="1" s="1"/>
  <c r="AE138" i="1" s="1"/>
  <c r="AE139" i="1" s="1"/>
  <c r="AE140" i="1" s="1"/>
  <c r="AV62" i="1" l="1"/>
  <c r="AG102" i="1"/>
  <c r="AD134" i="1"/>
  <c r="AF185" i="1"/>
  <c r="AE141" i="1"/>
  <c r="AE142" i="1" s="1"/>
  <c r="AE143" i="1" s="1"/>
  <c r="AE144" i="1" s="1"/>
  <c r="AE145" i="1" s="1"/>
  <c r="AE146" i="1" s="1"/>
  <c r="AE147" i="1" s="1"/>
  <c r="AE148" i="1"/>
  <c r="AV63" i="1" l="1"/>
  <c r="AF186" i="1"/>
  <c r="AG103" i="1"/>
  <c r="AD135" i="1"/>
  <c r="AE149" i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7" i="1" s="1"/>
  <c r="AE168" i="1" s="1"/>
  <c r="AE169" i="1" s="1"/>
  <c r="AE170" i="1" s="1"/>
  <c r="AV64" i="1" l="1"/>
  <c r="AD137" i="1"/>
  <c r="AF187" i="1"/>
  <c r="AG104" i="1"/>
  <c r="AE178" i="1"/>
  <c r="AE171" i="1"/>
  <c r="AE172" i="1" s="1"/>
  <c r="AE173" i="1" s="1"/>
  <c r="AE174" i="1" s="1"/>
  <c r="AE175" i="1" s="1"/>
  <c r="AE176" i="1" s="1"/>
  <c r="AE177" i="1" s="1"/>
  <c r="AV65" i="1" l="1"/>
  <c r="AF188" i="1"/>
  <c r="AD138" i="1"/>
  <c r="AG105" i="1"/>
  <c r="AE179" i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7" i="1" s="1"/>
  <c r="AE198" i="1" s="1"/>
  <c r="AE199" i="1" s="1"/>
  <c r="AE200" i="1" s="1"/>
  <c r="AV66" i="1" l="1"/>
  <c r="AD139" i="1"/>
  <c r="AF189" i="1"/>
  <c r="AG107" i="1"/>
  <c r="AE208" i="1"/>
  <c r="AE201" i="1"/>
  <c r="AE202" i="1" s="1"/>
  <c r="AE203" i="1" s="1"/>
  <c r="AE204" i="1" s="1"/>
  <c r="AE205" i="1" s="1"/>
  <c r="AE206" i="1" s="1"/>
  <c r="AE207" i="1" s="1"/>
  <c r="AV67" i="1" l="1"/>
  <c r="AG108" i="1"/>
  <c r="AG109" i="1" s="1"/>
  <c r="AG110" i="1" s="1"/>
  <c r="AF190" i="1"/>
  <c r="AD140" i="1"/>
  <c r="AE209" i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7" i="1" s="1"/>
  <c r="AE228" i="1" s="1"/>
  <c r="AE229" i="1" s="1"/>
  <c r="AE230" i="1" s="1"/>
  <c r="AV68" i="1" l="1"/>
  <c r="AD141" i="1"/>
  <c r="AD148" i="1"/>
  <c r="AF191" i="1"/>
  <c r="AG118" i="1"/>
  <c r="AG111" i="1"/>
  <c r="AE238" i="1"/>
  <c r="AE231" i="1"/>
  <c r="AE232" i="1" s="1"/>
  <c r="AE233" i="1" s="1"/>
  <c r="AE234" i="1" s="1"/>
  <c r="AE235" i="1" s="1"/>
  <c r="AE236" i="1" s="1"/>
  <c r="AE237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7" i="1" s="1"/>
  <c r="AE258" i="1" s="1"/>
  <c r="AE259" i="1" s="1"/>
  <c r="AE260" i="1" s="1"/>
  <c r="AV69" i="1" l="1"/>
  <c r="AF192" i="1"/>
  <c r="AD142" i="1"/>
  <c r="AG112" i="1"/>
  <c r="AE268" i="1"/>
  <c r="AE261" i="1"/>
  <c r="AE262" i="1" s="1"/>
  <c r="AE263" i="1" s="1"/>
  <c r="AE264" i="1" s="1"/>
  <c r="AE265" i="1" s="1"/>
  <c r="AE266" i="1" s="1"/>
  <c r="AE267" i="1" s="1"/>
  <c r="AV70" i="1" l="1"/>
  <c r="AF193" i="1"/>
  <c r="AG113" i="1"/>
  <c r="AD143" i="1"/>
  <c r="AE269" i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7" i="1" s="1"/>
  <c r="AE288" i="1" s="1"/>
  <c r="AE289" i="1" s="1"/>
  <c r="AE290" i="1" s="1"/>
  <c r="AV71" i="1" l="1"/>
  <c r="AD144" i="1"/>
  <c r="AF194" i="1"/>
  <c r="AG114" i="1"/>
  <c r="AE298" i="1"/>
  <c r="AE291" i="1"/>
  <c r="AE292" i="1" s="1"/>
  <c r="AE293" i="1" s="1"/>
  <c r="AE294" i="1" s="1"/>
  <c r="AE295" i="1" s="1"/>
  <c r="AE296" i="1" s="1"/>
  <c r="AE297" i="1" s="1"/>
  <c r="AV72" i="1" l="1"/>
  <c r="AG115" i="1"/>
  <c r="AF195" i="1"/>
  <c r="AD145" i="1"/>
  <c r="AE299" i="1"/>
  <c r="AE300" i="1" s="1"/>
  <c r="AE301" i="1" s="1"/>
  <c r="AE302" i="1" s="1"/>
  <c r="AE303" i="1" s="1"/>
  <c r="AE304" i="1" s="1"/>
  <c r="AE305" i="1" s="1"/>
  <c r="AE306" i="1" s="1"/>
  <c r="AV73" i="1" l="1"/>
  <c r="AD146" i="1"/>
  <c r="AF197" i="1"/>
  <c r="AG116" i="1"/>
  <c r="AE307" i="1"/>
  <c r="AE308" i="1" s="1"/>
  <c r="AV74" i="1" l="1"/>
  <c r="AD147" i="1"/>
  <c r="AG117" i="1"/>
  <c r="AF198" i="1"/>
  <c r="AE309" i="1"/>
  <c r="AE310" i="1" s="1"/>
  <c r="AV75" i="1" l="1"/>
  <c r="AF199" i="1"/>
  <c r="AG119" i="1"/>
  <c r="AD149" i="1"/>
  <c r="AE311" i="1"/>
  <c r="AV76" i="1" l="1"/>
  <c r="AF200" i="1"/>
  <c r="AG120" i="1"/>
  <c r="AG121" i="1" s="1"/>
  <c r="AG122" i="1" s="1"/>
  <c r="AG123" i="1" s="1"/>
  <c r="AG124" i="1" s="1"/>
  <c r="AG125" i="1" s="1"/>
  <c r="AG126" i="1" s="1"/>
  <c r="AG127" i="1" s="1"/>
  <c r="AG128" i="1" s="1"/>
  <c r="AG129" i="1" s="1"/>
  <c r="AG130" i="1" s="1"/>
  <c r="AG131" i="1" s="1"/>
  <c r="AG132" i="1" s="1"/>
  <c r="AG133" i="1" s="1"/>
  <c r="AG134" i="1" s="1"/>
  <c r="AG135" i="1" s="1"/>
  <c r="AG137" i="1" s="1"/>
  <c r="AG138" i="1" s="1"/>
  <c r="AG139" i="1" s="1"/>
  <c r="AG140" i="1" s="1"/>
  <c r="AD150" i="1"/>
  <c r="AE312" i="1"/>
  <c r="AV77" i="1" l="1"/>
  <c r="AG141" i="1"/>
  <c r="AG142" i="1" s="1"/>
  <c r="AG143" i="1" s="1"/>
  <c r="AG144" i="1" s="1"/>
  <c r="AG145" i="1" s="1"/>
  <c r="AG146" i="1" s="1"/>
  <c r="AG147" i="1" s="1"/>
  <c r="AG148" i="1"/>
  <c r="AF201" i="1"/>
  <c r="AF202" i="1" s="1"/>
  <c r="AF203" i="1" s="1"/>
  <c r="AF208" i="1"/>
  <c r="AD151" i="1"/>
  <c r="AD152" i="1" s="1"/>
  <c r="AD153" i="1" s="1"/>
  <c r="AD154" i="1" s="1"/>
  <c r="AD155" i="1" s="1"/>
  <c r="AD156" i="1" s="1"/>
  <c r="AD157" i="1" s="1"/>
  <c r="AD158" i="1" s="1"/>
  <c r="AD159" i="1" s="1"/>
  <c r="AD160" i="1" s="1"/>
  <c r="AD161" i="1" s="1"/>
  <c r="AD162" i="1" s="1"/>
  <c r="AD163" i="1" s="1"/>
  <c r="AD164" i="1" s="1"/>
  <c r="AD165" i="1" s="1"/>
  <c r="AD167" i="1" s="1"/>
  <c r="AD168" i="1" s="1"/>
  <c r="AD169" i="1" s="1"/>
  <c r="AD170" i="1" s="1"/>
  <c r="AE313" i="1"/>
  <c r="AV78" i="1" l="1"/>
  <c r="AD178" i="1"/>
  <c r="AD171" i="1"/>
  <c r="AD172" i="1" s="1"/>
  <c r="AD173" i="1" s="1"/>
  <c r="AD174" i="1" s="1"/>
  <c r="AD175" i="1" s="1"/>
  <c r="AD176" i="1" s="1"/>
  <c r="AD177" i="1" s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193" i="1" s="1"/>
  <c r="AD194" i="1" s="1"/>
  <c r="AD195" i="1" s="1"/>
  <c r="AD197" i="1" s="1"/>
  <c r="AD198" i="1" s="1"/>
  <c r="AD199" i="1" s="1"/>
  <c r="AD200" i="1" s="1"/>
  <c r="AG149" i="1"/>
  <c r="AF204" i="1"/>
  <c r="AE314" i="1"/>
  <c r="AV79" i="1" l="1"/>
  <c r="AD201" i="1"/>
  <c r="AD202" i="1" s="1"/>
  <c r="AD203" i="1" s="1"/>
  <c r="AD204" i="1" s="1"/>
  <c r="AD205" i="1" s="1"/>
  <c r="AD206" i="1" s="1"/>
  <c r="AD207" i="1" s="1"/>
  <c r="AD209" i="1" s="1"/>
  <c r="AD210" i="1" s="1"/>
  <c r="AD211" i="1" s="1"/>
  <c r="AD212" i="1" s="1"/>
  <c r="AD213" i="1" s="1"/>
  <c r="AD214" i="1" s="1"/>
  <c r="AD215" i="1" s="1"/>
  <c r="AD216" i="1" s="1"/>
  <c r="AD217" i="1" s="1"/>
  <c r="AD218" i="1" s="1"/>
  <c r="AD219" i="1" s="1"/>
  <c r="AD220" i="1" s="1"/>
  <c r="AD221" i="1" s="1"/>
  <c r="AD222" i="1" s="1"/>
  <c r="AD223" i="1" s="1"/>
  <c r="AD224" i="1" s="1"/>
  <c r="AD225" i="1" s="1"/>
  <c r="AD227" i="1" s="1"/>
  <c r="AD228" i="1" s="1"/>
  <c r="AD229" i="1" s="1"/>
  <c r="AD230" i="1" s="1"/>
  <c r="AD208" i="1"/>
  <c r="AG150" i="1"/>
  <c r="AF205" i="1"/>
  <c r="AE315" i="1"/>
  <c r="AV80" i="1" l="1"/>
  <c r="AG151" i="1"/>
  <c r="AF206" i="1"/>
  <c r="AF207" i="1" s="1"/>
  <c r="AD238" i="1"/>
  <c r="AD231" i="1"/>
  <c r="AD232" i="1" s="1"/>
  <c r="AD233" i="1" s="1"/>
  <c r="AD234" i="1" s="1"/>
  <c r="AD235" i="1" s="1"/>
  <c r="AD236" i="1" s="1"/>
  <c r="AD237" i="1" s="1"/>
  <c r="AD239" i="1" s="1"/>
  <c r="AD240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53" i="1" s="1"/>
  <c r="AD254" i="1" s="1"/>
  <c r="AD255" i="1" s="1"/>
  <c r="AD257" i="1" s="1"/>
  <c r="AD258" i="1" s="1"/>
  <c r="AD259" i="1" s="1"/>
  <c r="AD260" i="1" s="1"/>
  <c r="AE317" i="1"/>
  <c r="AV81" i="1" l="1"/>
  <c r="AD268" i="1"/>
  <c r="AD261" i="1"/>
  <c r="AD262" i="1" s="1"/>
  <c r="AD263" i="1" s="1"/>
  <c r="AD264" i="1" s="1"/>
  <c r="AD265" i="1" s="1"/>
  <c r="AD266" i="1" s="1"/>
  <c r="AD267" i="1" s="1"/>
  <c r="AF209" i="1"/>
  <c r="AG152" i="1"/>
  <c r="AE318" i="1"/>
  <c r="AV82" i="1" l="1"/>
  <c r="AF210" i="1"/>
  <c r="AD269" i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7" i="1" s="1"/>
  <c r="AD288" i="1" s="1"/>
  <c r="AD289" i="1" s="1"/>
  <c r="AD290" i="1" s="1"/>
  <c r="AG153" i="1"/>
  <c r="AE319" i="1"/>
  <c r="AV83" i="1" l="1"/>
  <c r="AG154" i="1"/>
  <c r="AD298" i="1"/>
  <c r="AD291" i="1"/>
  <c r="AD292" i="1" s="1"/>
  <c r="AD293" i="1" s="1"/>
  <c r="AD294" i="1" s="1"/>
  <c r="AD295" i="1" s="1"/>
  <c r="AD296" i="1" s="1"/>
  <c r="AD297" i="1" s="1"/>
  <c r="AF211" i="1"/>
  <c r="AE320" i="1"/>
  <c r="AV84" i="1" l="1"/>
  <c r="AD299" i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7" i="1" s="1"/>
  <c r="AD318" i="1" s="1"/>
  <c r="AD319" i="1" s="1"/>
  <c r="AD320" i="1" s="1"/>
  <c r="AF212" i="1"/>
  <c r="AG155" i="1"/>
  <c r="AE328" i="1"/>
  <c r="AE321" i="1"/>
  <c r="AV85" i="1" l="1"/>
  <c r="AG156" i="1"/>
  <c r="AD321" i="1"/>
  <c r="AD322" i="1" s="1"/>
  <c r="AD323" i="1" s="1"/>
  <c r="AD324" i="1" s="1"/>
  <c r="AD325" i="1" s="1"/>
  <c r="AD326" i="1" s="1"/>
  <c r="AD327" i="1" s="1"/>
  <c r="AD328" i="1"/>
  <c r="AF213" i="1"/>
  <c r="AE322" i="1"/>
  <c r="AV86" i="1" l="1"/>
  <c r="AG157" i="1"/>
  <c r="AF214" i="1"/>
  <c r="AD329" i="1"/>
  <c r="AD330" i="1" s="1"/>
  <c r="AD331" i="1" s="1"/>
  <c r="AE323" i="1"/>
  <c r="AV87" i="1" l="1"/>
  <c r="AD332" i="1"/>
  <c r="AF215" i="1"/>
  <c r="AG158" i="1"/>
  <c r="AE324" i="1"/>
  <c r="AD333" i="1" l="1"/>
  <c r="AV88" i="1"/>
  <c r="AG159" i="1"/>
  <c r="AF216" i="1"/>
  <c r="AE325" i="1"/>
  <c r="AD334" i="1" l="1"/>
  <c r="AV89" i="1"/>
  <c r="AG160" i="1"/>
  <c r="AF217" i="1"/>
  <c r="AE326" i="1"/>
  <c r="AD335" i="1" l="1"/>
  <c r="AV90" i="1"/>
  <c r="AF218" i="1"/>
  <c r="AG161" i="1"/>
  <c r="AE327" i="1"/>
  <c r="AD336" i="1" l="1"/>
  <c r="AV91" i="1"/>
  <c r="AG162" i="1"/>
  <c r="AF219" i="1"/>
  <c r="AE329" i="1"/>
  <c r="AD337" i="1" l="1"/>
  <c r="AV92" i="1"/>
  <c r="AG163" i="1"/>
  <c r="AF220" i="1"/>
  <c r="AE330" i="1"/>
  <c r="AD338" i="1" l="1"/>
  <c r="AD339" i="1" s="1"/>
  <c r="AV93" i="1"/>
  <c r="AF221" i="1"/>
  <c r="AG164" i="1"/>
  <c r="AE331" i="1"/>
  <c r="AD340" i="1" l="1"/>
  <c r="AV94" i="1"/>
  <c r="AG165" i="1"/>
  <c r="AF222" i="1"/>
  <c r="AE332" i="1"/>
  <c r="AD341" i="1" l="1"/>
  <c r="AV95" i="1"/>
  <c r="AF223" i="1"/>
  <c r="AG167" i="1"/>
  <c r="AE333" i="1"/>
  <c r="AD342" i="1" l="1"/>
  <c r="AD343" i="1" s="1"/>
  <c r="AV96" i="1"/>
  <c r="AG168" i="1"/>
  <c r="AF224" i="1"/>
  <c r="AE334" i="1"/>
  <c r="AD344" i="1" l="1"/>
  <c r="AV97" i="1"/>
  <c r="AG169" i="1"/>
  <c r="AF225" i="1"/>
  <c r="AE335" i="1"/>
  <c r="AD345" i="1" l="1"/>
  <c r="AD347" i="1" s="1"/>
  <c r="AV98" i="1"/>
  <c r="AF227" i="1"/>
  <c r="AG170" i="1"/>
  <c r="AE336" i="1"/>
  <c r="AD348" i="1" l="1"/>
  <c r="AD349" i="1" s="1"/>
  <c r="AD350" i="1" s="1"/>
  <c r="AD358" i="1" s="1"/>
  <c r="AV99" i="1"/>
  <c r="AF228" i="1"/>
  <c r="AG178" i="1"/>
  <c r="AG171" i="1"/>
  <c r="AE337" i="1"/>
  <c r="AD351" i="1" l="1"/>
  <c r="AD352" i="1" s="1"/>
  <c r="AD353" i="1" s="1"/>
  <c r="AD354" i="1" s="1"/>
  <c r="AD355" i="1" s="1"/>
  <c r="AD356" i="1" s="1"/>
  <c r="AD357" i="1" s="1"/>
  <c r="AV100" i="1"/>
  <c r="AF229" i="1"/>
  <c r="AG172" i="1"/>
  <c r="AE338" i="1"/>
  <c r="AD359" i="1" l="1"/>
  <c r="AD360" i="1" s="1"/>
  <c r="AV101" i="1"/>
  <c r="AF230" i="1"/>
  <c r="AG173" i="1"/>
  <c r="AE339" i="1"/>
  <c r="AD361" i="1" l="1"/>
  <c r="AD362" i="1" s="1"/>
  <c r="AV102" i="1"/>
  <c r="AG174" i="1"/>
  <c r="AF238" i="1"/>
  <c r="AF231" i="1"/>
  <c r="AE340" i="1"/>
  <c r="AD363" i="1" l="1"/>
  <c r="AD364" i="1" s="1"/>
  <c r="AV103" i="1"/>
  <c r="AF232" i="1"/>
  <c r="AG175" i="1"/>
  <c r="AE341" i="1"/>
  <c r="AD365" i="1" l="1"/>
  <c r="AD366" i="1" s="1"/>
  <c r="AV104" i="1"/>
  <c r="AG176" i="1"/>
  <c r="AF233" i="1"/>
  <c r="AE342" i="1"/>
  <c r="AD367" i="1" l="1"/>
  <c r="AD368" i="1" s="1"/>
  <c r="AV105" i="1"/>
  <c r="AF234" i="1"/>
  <c r="AG177" i="1"/>
  <c r="AE343" i="1"/>
  <c r="AD369" i="1" l="1"/>
  <c r="AD370" i="1" s="1"/>
  <c r="AD371" i="1" s="1"/>
  <c r="AD372" i="1" s="1"/>
  <c r="AD373" i="1" s="1"/>
  <c r="AD374" i="1" s="1"/>
  <c r="AD375" i="1" s="1"/>
  <c r="AD377" i="1" s="1"/>
  <c r="AD378" i="1" s="1"/>
  <c r="AD379" i="1" s="1"/>
  <c r="AD380" i="1" s="1"/>
  <c r="AV106" i="1"/>
  <c r="AF235" i="1"/>
  <c r="AG179" i="1"/>
  <c r="AE344" i="1"/>
  <c r="AV107" i="1" l="1"/>
  <c r="AF236" i="1"/>
  <c r="AG180" i="1"/>
  <c r="AE345" i="1"/>
  <c r="AD388" i="1"/>
  <c r="AD381" i="1"/>
  <c r="AV108" i="1" l="1"/>
  <c r="AF237" i="1"/>
  <c r="AG181" i="1"/>
  <c r="AE347" i="1"/>
  <c r="AD382" i="1"/>
  <c r="AD383" i="1" s="1"/>
  <c r="AD384" i="1" s="1"/>
  <c r="AD385" i="1" s="1"/>
  <c r="AD386" i="1" s="1"/>
  <c r="AD387" i="1" s="1"/>
  <c r="AV109" i="1" l="1"/>
  <c r="AF239" i="1"/>
  <c r="AG182" i="1"/>
  <c r="AE348" i="1"/>
  <c r="AD389" i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7" i="1" s="1"/>
  <c r="AD408" i="1" s="1"/>
  <c r="AD409" i="1" s="1"/>
  <c r="AD410" i="1" s="1"/>
  <c r="AV110" i="1" l="1"/>
  <c r="AF240" i="1"/>
  <c r="AG183" i="1"/>
  <c r="AE349" i="1"/>
  <c r="AD411" i="1"/>
  <c r="AD412" i="1" s="1"/>
  <c r="AD413" i="1" s="1"/>
  <c r="AD414" i="1" s="1"/>
  <c r="AD415" i="1" s="1"/>
  <c r="AD416" i="1" s="1"/>
  <c r="AD417" i="1" s="1"/>
  <c r="AD418" i="1"/>
  <c r="AV111" i="1" l="1"/>
  <c r="AG184" i="1"/>
  <c r="AF241" i="1"/>
  <c r="AE350" i="1"/>
  <c r="AD419" i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34" i="1" s="1"/>
  <c r="AD435" i="1" s="1"/>
  <c r="AD437" i="1" s="1"/>
  <c r="AD438" i="1" s="1"/>
  <c r="AD439" i="1" s="1"/>
  <c r="AD440" i="1" s="1"/>
  <c r="AV112" i="1" l="1"/>
  <c r="AG185" i="1"/>
  <c r="AF242" i="1"/>
  <c r="AE351" i="1"/>
  <c r="AE358" i="1"/>
  <c r="AD448" i="1"/>
  <c r="AD441" i="1"/>
  <c r="AD442" i="1" s="1"/>
  <c r="AD443" i="1" s="1"/>
  <c r="AD444" i="1" s="1"/>
  <c r="AD445" i="1" s="1"/>
  <c r="AD446" i="1" s="1"/>
  <c r="AD447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462" i="1" s="1"/>
  <c r="AD463" i="1" s="1"/>
  <c r="AD464" i="1" s="1"/>
  <c r="AD465" i="1" s="1"/>
  <c r="AD467" i="1" s="1"/>
  <c r="AD468" i="1" s="1"/>
  <c r="AD469" i="1" s="1"/>
  <c r="AD470" i="1" s="1"/>
  <c r="AV113" i="1" l="1"/>
  <c r="AG186" i="1"/>
  <c r="AF243" i="1"/>
  <c r="AE352" i="1"/>
  <c r="AD471" i="1"/>
  <c r="AD472" i="1" s="1"/>
  <c r="AD473" i="1" s="1"/>
  <c r="AD474" i="1" s="1"/>
  <c r="AD475" i="1" s="1"/>
  <c r="AD476" i="1" s="1"/>
  <c r="AD477" i="1" s="1"/>
  <c r="AD478" i="1"/>
  <c r="AV114" i="1" l="1"/>
  <c r="AF244" i="1"/>
  <c r="AG187" i="1"/>
  <c r="AE353" i="1"/>
  <c r="AD479" i="1"/>
  <c r="AD480" i="1" s="1"/>
  <c r="AD481" i="1" s="1"/>
  <c r="AD482" i="1" s="1"/>
  <c r="AD483" i="1" s="1"/>
  <c r="AD484" i="1" s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7" i="1" s="1"/>
  <c r="AD498" i="1" s="1"/>
  <c r="AD499" i="1" s="1"/>
  <c r="AD500" i="1" s="1"/>
  <c r="AV115" i="1" l="1"/>
  <c r="AG188" i="1"/>
  <c r="AF245" i="1"/>
  <c r="AE354" i="1"/>
  <c r="AD501" i="1"/>
  <c r="AD502" i="1" s="1"/>
  <c r="AD503" i="1" s="1"/>
  <c r="AD504" i="1" s="1"/>
  <c r="AD505" i="1" s="1"/>
  <c r="AD506" i="1" s="1"/>
  <c r="AD507" i="1" s="1"/>
  <c r="AD508" i="1"/>
  <c r="AV116" i="1" l="1"/>
  <c r="AF246" i="1"/>
  <c r="AG189" i="1"/>
  <c r="AE355" i="1"/>
  <c r="AE356" i="1" s="1"/>
  <c r="AE357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7" i="1" s="1"/>
  <c r="AE378" i="1" s="1"/>
  <c r="AE379" i="1" s="1"/>
  <c r="AE380" i="1" s="1"/>
  <c r="AD509" i="1"/>
  <c r="AD510" i="1" s="1"/>
  <c r="AD511" i="1" s="1"/>
  <c r="AD512" i="1" s="1"/>
  <c r="AD513" i="1" s="1"/>
  <c r="AD514" i="1" s="1"/>
  <c r="AD515" i="1" s="1"/>
  <c r="AD516" i="1" s="1"/>
  <c r="AD517" i="1" s="1"/>
  <c r="AD518" i="1" s="1"/>
  <c r="AD519" i="1" s="1"/>
  <c r="AD520" i="1" s="1"/>
  <c r="AD521" i="1" s="1"/>
  <c r="AD522" i="1" s="1"/>
  <c r="AD523" i="1" s="1"/>
  <c r="AD524" i="1" s="1"/>
  <c r="AD525" i="1" s="1"/>
  <c r="AD527" i="1" s="1"/>
  <c r="AD528" i="1" s="1"/>
  <c r="AD529" i="1" s="1"/>
  <c r="AD530" i="1" s="1"/>
  <c r="AV117" i="1" l="1"/>
  <c r="AG190" i="1"/>
  <c r="AF247" i="1"/>
  <c r="AE381" i="1"/>
  <c r="AE382" i="1" s="1"/>
  <c r="AE383" i="1" s="1"/>
  <c r="AE384" i="1" s="1"/>
  <c r="AE385" i="1" s="1"/>
  <c r="AE386" i="1" s="1"/>
  <c r="AE387" i="1" s="1"/>
  <c r="AE388" i="1"/>
  <c r="AD531" i="1"/>
  <c r="AD532" i="1" s="1"/>
  <c r="AD533" i="1" s="1"/>
  <c r="AD534" i="1" s="1"/>
  <c r="AD535" i="1" s="1"/>
  <c r="AD536" i="1" s="1"/>
  <c r="AD537" i="1" s="1"/>
  <c r="AD538" i="1"/>
  <c r="AV118" i="1" l="1"/>
  <c r="AF248" i="1"/>
  <c r="AG191" i="1"/>
  <c r="AE389" i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7" i="1" s="1"/>
  <c r="AE408" i="1" s="1"/>
  <c r="AE409" i="1" s="1"/>
  <c r="AE410" i="1" s="1"/>
  <c r="AD539" i="1"/>
  <c r="AD540" i="1" s="1"/>
  <c r="AD541" i="1" s="1"/>
  <c r="AD542" i="1" s="1"/>
  <c r="AD543" i="1" s="1"/>
  <c r="AD544" i="1" s="1"/>
  <c r="AD545" i="1" s="1"/>
  <c r="AD546" i="1" s="1"/>
  <c r="AD547" i="1" s="1"/>
  <c r="AD548" i="1" s="1"/>
  <c r="AD549" i="1" s="1"/>
  <c r="AD550" i="1" s="1"/>
  <c r="AD551" i="1" s="1"/>
  <c r="AD552" i="1" s="1"/>
  <c r="AD553" i="1" s="1"/>
  <c r="AD554" i="1" s="1"/>
  <c r="AD555" i="1" s="1"/>
  <c r="AD557" i="1" s="1"/>
  <c r="AD558" i="1" s="1"/>
  <c r="AD559" i="1" s="1"/>
  <c r="AD560" i="1" s="1"/>
  <c r="AV119" i="1" l="1"/>
  <c r="AG192" i="1"/>
  <c r="AF249" i="1"/>
  <c r="AE418" i="1"/>
  <c r="AE411" i="1"/>
  <c r="AE412" i="1" s="1"/>
  <c r="AE413" i="1" s="1"/>
  <c r="AE414" i="1" s="1"/>
  <c r="AE415" i="1" s="1"/>
  <c r="AE416" i="1" s="1"/>
  <c r="AE417" i="1" s="1"/>
  <c r="AD561" i="1"/>
  <c r="AD562" i="1" s="1"/>
  <c r="AD563" i="1" s="1"/>
  <c r="AD564" i="1" s="1"/>
  <c r="AD565" i="1" s="1"/>
  <c r="AD566" i="1" s="1"/>
  <c r="AD567" i="1" s="1"/>
  <c r="AD568" i="1"/>
  <c r="AV120" i="1" l="1"/>
  <c r="AF250" i="1"/>
  <c r="AF251" i="1" s="1"/>
  <c r="AF252" i="1" s="1"/>
  <c r="AF253" i="1" s="1"/>
  <c r="AF254" i="1" s="1"/>
  <c r="AF255" i="1" s="1"/>
  <c r="AF257" i="1" s="1"/>
  <c r="AF258" i="1" s="1"/>
  <c r="AF259" i="1" s="1"/>
  <c r="AF260" i="1" s="1"/>
  <c r="AG193" i="1"/>
  <c r="AE419" i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7" i="1" s="1"/>
  <c r="AE438" i="1" s="1"/>
  <c r="AE439" i="1" s="1"/>
  <c r="AE440" i="1" s="1"/>
  <c r="AD569" i="1"/>
  <c r="AD570" i="1" s="1"/>
  <c r="AD571" i="1" s="1"/>
  <c r="AD572" i="1" s="1"/>
  <c r="AD573" i="1" s="1"/>
  <c r="AD574" i="1" s="1"/>
  <c r="AD575" i="1" s="1"/>
  <c r="AD576" i="1" s="1"/>
  <c r="AD577" i="1" s="1"/>
  <c r="AD578" i="1" s="1"/>
  <c r="AD579" i="1" s="1"/>
  <c r="AD580" i="1" s="1"/>
  <c r="AD581" i="1" s="1"/>
  <c r="AD582" i="1" s="1"/>
  <c r="AD583" i="1" s="1"/>
  <c r="AD584" i="1" s="1"/>
  <c r="AD585" i="1" s="1"/>
  <c r="AD587" i="1" s="1"/>
  <c r="AD588" i="1" s="1"/>
  <c r="AD589" i="1" s="1"/>
  <c r="AD590" i="1" s="1"/>
  <c r="AV121" i="1" l="1"/>
  <c r="AF261" i="1"/>
  <c r="AF262" i="1" s="1"/>
  <c r="AF263" i="1" s="1"/>
  <c r="AF264" i="1" s="1"/>
  <c r="AF265" i="1" s="1"/>
  <c r="AF266" i="1" s="1"/>
  <c r="AF267" i="1" s="1"/>
  <c r="AF269" i="1" s="1"/>
  <c r="AF270" i="1" s="1"/>
  <c r="AF271" i="1" s="1"/>
  <c r="AF272" i="1" s="1"/>
  <c r="AF273" i="1" s="1"/>
  <c r="AF274" i="1" s="1"/>
  <c r="AF275" i="1" s="1"/>
  <c r="AF276" i="1" s="1"/>
  <c r="AF277" i="1" s="1"/>
  <c r="AF278" i="1" s="1"/>
  <c r="AF279" i="1" s="1"/>
  <c r="AF280" i="1" s="1"/>
  <c r="AF281" i="1" s="1"/>
  <c r="AF282" i="1" s="1"/>
  <c r="AF283" i="1" s="1"/>
  <c r="AF284" i="1" s="1"/>
  <c r="AF285" i="1" s="1"/>
  <c r="AF287" i="1" s="1"/>
  <c r="AF288" i="1" s="1"/>
  <c r="AF289" i="1" s="1"/>
  <c r="AF290" i="1" s="1"/>
  <c r="AF268" i="1"/>
  <c r="AG194" i="1"/>
  <c r="AE441" i="1"/>
  <c r="AE442" i="1" s="1"/>
  <c r="AE443" i="1" s="1"/>
  <c r="AE444" i="1" s="1"/>
  <c r="AE445" i="1" s="1"/>
  <c r="AE446" i="1" s="1"/>
  <c r="AE447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7" i="1" s="1"/>
  <c r="AE468" i="1" s="1"/>
  <c r="AE469" i="1" s="1"/>
  <c r="AE470" i="1" s="1"/>
  <c r="AE448" i="1"/>
  <c r="AD598" i="1"/>
  <c r="AD591" i="1"/>
  <c r="AD592" i="1" s="1"/>
  <c r="AD593" i="1" s="1"/>
  <c r="AD594" i="1" s="1"/>
  <c r="AD595" i="1" s="1"/>
  <c r="AD596" i="1" s="1"/>
  <c r="AD597" i="1" s="1"/>
  <c r="AV122" i="1" l="1"/>
  <c r="AF291" i="1"/>
  <c r="AF292" i="1" s="1"/>
  <c r="AF293" i="1" s="1"/>
  <c r="AF294" i="1" s="1"/>
  <c r="AF295" i="1" s="1"/>
  <c r="AF296" i="1" s="1"/>
  <c r="AF297" i="1" s="1"/>
  <c r="AF298" i="1"/>
  <c r="AG195" i="1"/>
  <c r="AE478" i="1"/>
  <c r="AE471" i="1"/>
  <c r="AE472" i="1" s="1"/>
  <c r="AE473" i="1" s="1"/>
  <c r="AE474" i="1" s="1"/>
  <c r="AE475" i="1" s="1"/>
  <c r="AE476" i="1" s="1"/>
  <c r="AE477" i="1" s="1"/>
  <c r="AD599" i="1"/>
  <c r="AD600" i="1" s="1"/>
  <c r="AD601" i="1" s="1"/>
  <c r="AD602" i="1" s="1"/>
  <c r="AD603" i="1" s="1"/>
  <c r="AD604" i="1" s="1"/>
  <c r="AD605" i="1" s="1"/>
  <c r="AD606" i="1" s="1"/>
  <c r="AD607" i="1" s="1"/>
  <c r="AD608" i="1" s="1"/>
  <c r="AD609" i="1" s="1"/>
  <c r="AD610" i="1" s="1"/>
  <c r="AD611" i="1" s="1"/>
  <c r="AD612" i="1" s="1"/>
  <c r="AD613" i="1" s="1"/>
  <c r="AD614" i="1" s="1"/>
  <c r="AD615" i="1" s="1"/>
  <c r="AD617" i="1" s="1"/>
  <c r="AD618" i="1" s="1"/>
  <c r="AD619" i="1" s="1"/>
  <c r="AD620" i="1" s="1"/>
  <c r="AD621" i="1" s="1"/>
  <c r="AD622" i="1" s="1"/>
  <c r="AV123" i="1" l="1"/>
  <c r="AG197" i="1"/>
  <c r="AF299" i="1"/>
  <c r="AF300" i="1" s="1"/>
  <c r="AF301" i="1" s="1"/>
  <c r="AF302" i="1" s="1"/>
  <c r="AF303" i="1" s="1"/>
  <c r="AF304" i="1" s="1"/>
  <c r="AF305" i="1" s="1"/>
  <c r="AF306" i="1" s="1"/>
  <c r="AF307" i="1" s="1"/>
  <c r="AF308" i="1" s="1"/>
  <c r="AF309" i="1" s="1"/>
  <c r="AF310" i="1" s="1"/>
  <c r="AF311" i="1" s="1"/>
  <c r="AF312" i="1" s="1"/>
  <c r="AF313" i="1" s="1"/>
  <c r="AF314" i="1" s="1"/>
  <c r="AF315" i="1" s="1"/>
  <c r="AF317" i="1" s="1"/>
  <c r="AF318" i="1" s="1"/>
  <c r="AF319" i="1" s="1"/>
  <c r="AF320" i="1" s="1"/>
  <c r="AE479" i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7" i="1" s="1"/>
  <c r="AE498" i="1" s="1"/>
  <c r="AE499" i="1" s="1"/>
  <c r="AE500" i="1" s="1"/>
  <c r="AD624" i="1"/>
  <c r="AD623" i="1"/>
  <c r="AV124" i="1" l="1"/>
  <c r="AF328" i="1"/>
  <c r="AF321" i="1"/>
  <c r="AF322" i="1" s="1"/>
  <c r="AF323" i="1" s="1"/>
  <c r="AF324" i="1" s="1"/>
  <c r="AF325" i="1" s="1"/>
  <c r="AF326" i="1" s="1"/>
  <c r="AF327" i="1" s="1"/>
  <c r="AG198" i="1"/>
  <c r="AE508" i="1"/>
  <c r="AE501" i="1"/>
  <c r="AE502" i="1" s="1"/>
  <c r="AE503" i="1" s="1"/>
  <c r="AE504" i="1" s="1"/>
  <c r="AE505" i="1" s="1"/>
  <c r="AE506" i="1" s="1"/>
  <c r="AE507" i="1" s="1"/>
  <c r="AO5" i="1"/>
  <c r="AV125" i="1" l="1"/>
  <c r="AF329" i="1"/>
  <c r="AF330" i="1" s="1"/>
  <c r="AF331" i="1" s="1"/>
  <c r="AF332" i="1" s="1"/>
  <c r="AF333" i="1" s="1"/>
  <c r="AF334" i="1" s="1"/>
  <c r="AF335" i="1" s="1"/>
  <c r="AF336" i="1" s="1"/>
  <c r="AF337" i="1" s="1"/>
  <c r="AF338" i="1" s="1"/>
  <c r="AF339" i="1" s="1"/>
  <c r="AF340" i="1" s="1"/>
  <c r="AF341" i="1" s="1"/>
  <c r="AF342" i="1" s="1"/>
  <c r="AF343" i="1" s="1"/>
  <c r="AF344" i="1" s="1"/>
  <c r="AF345" i="1" s="1"/>
  <c r="AF347" i="1" s="1"/>
  <c r="AF348" i="1" s="1"/>
  <c r="AF349" i="1" s="1"/>
  <c r="AF350" i="1" s="1"/>
  <c r="AG199" i="1"/>
  <c r="AE509" i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7" i="1" s="1"/>
  <c r="AE528" i="1" s="1"/>
  <c r="AE529" i="1" s="1"/>
  <c r="AE530" i="1" s="1"/>
  <c r="AV126" i="1" l="1"/>
  <c r="AG200" i="1"/>
  <c r="AF358" i="1"/>
  <c r="AF351" i="1"/>
  <c r="AF352" i="1" s="1"/>
  <c r="AF353" i="1" s="1"/>
  <c r="AF354" i="1" s="1"/>
  <c r="AF355" i="1" s="1"/>
  <c r="AF356" i="1" s="1"/>
  <c r="AF357" i="1" s="1"/>
  <c r="AE538" i="1"/>
  <c r="AE531" i="1"/>
  <c r="AE532" i="1" s="1"/>
  <c r="AE533" i="1" s="1"/>
  <c r="AE534" i="1" s="1"/>
  <c r="AE535" i="1" s="1"/>
  <c r="AE536" i="1" s="1"/>
  <c r="AE537" i="1" s="1"/>
  <c r="AV127" i="1" l="1"/>
  <c r="AF359" i="1"/>
  <c r="AF360" i="1" s="1"/>
  <c r="AF361" i="1" s="1"/>
  <c r="AF362" i="1" s="1"/>
  <c r="AF363" i="1" s="1"/>
  <c r="AF364" i="1" s="1"/>
  <c r="AF365" i="1" s="1"/>
  <c r="AF366" i="1" s="1"/>
  <c r="AF367" i="1" s="1"/>
  <c r="AF368" i="1" s="1"/>
  <c r="AF369" i="1" s="1"/>
  <c r="AF370" i="1" s="1"/>
  <c r="AF371" i="1" s="1"/>
  <c r="AF372" i="1" s="1"/>
  <c r="AF373" i="1" s="1"/>
  <c r="AF374" i="1" s="1"/>
  <c r="AF375" i="1" s="1"/>
  <c r="AF377" i="1" s="1"/>
  <c r="AF378" i="1" s="1"/>
  <c r="AF379" i="1" s="1"/>
  <c r="AF380" i="1" s="1"/>
  <c r="AG208" i="1"/>
  <c r="AG201" i="1"/>
  <c r="AE539" i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7" i="1" s="1"/>
  <c r="AE558" i="1" s="1"/>
  <c r="AE559" i="1" s="1"/>
  <c r="AE560" i="1" s="1"/>
  <c r="AV128" i="1" l="1"/>
  <c r="AF388" i="1"/>
  <c r="AF381" i="1"/>
  <c r="AF382" i="1" s="1"/>
  <c r="AF383" i="1" s="1"/>
  <c r="AF384" i="1" s="1"/>
  <c r="AF385" i="1" s="1"/>
  <c r="AF386" i="1" s="1"/>
  <c r="AF387" i="1" s="1"/>
  <c r="AG202" i="1"/>
  <c r="AE561" i="1"/>
  <c r="AE562" i="1" s="1"/>
  <c r="AE563" i="1" s="1"/>
  <c r="AE564" i="1" s="1"/>
  <c r="AE565" i="1" s="1"/>
  <c r="AE566" i="1" s="1"/>
  <c r="AE567" i="1" s="1"/>
  <c r="AE568" i="1"/>
  <c r="AV129" i="1" l="1"/>
  <c r="AF389" i="1"/>
  <c r="AF390" i="1" s="1"/>
  <c r="AF391" i="1" s="1"/>
  <c r="AF392" i="1" s="1"/>
  <c r="AF393" i="1" s="1"/>
  <c r="AF394" i="1" s="1"/>
  <c r="AF395" i="1" s="1"/>
  <c r="AF396" i="1" s="1"/>
  <c r="AF397" i="1" s="1"/>
  <c r="AF398" i="1" s="1"/>
  <c r="AF399" i="1" s="1"/>
  <c r="AF400" i="1" s="1"/>
  <c r="AF401" i="1" s="1"/>
  <c r="AF402" i="1" s="1"/>
  <c r="AF403" i="1" s="1"/>
  <c r="AF404" i="1" s="1"/>
  <c r="AF405" i="1" s="1"/>
  <c r="AF407" i="1" s="1"/>
  <c r="AF408" i="1" s="1"/>
  <c r="AF409" i="1" s="1"/>
  <c r="AF410" i="1" s="1"/>
  <c r="AG203" i="1"/>
  <c r="AE569" i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7" i="1" s="1"/>
  <c r="AE588" i="1" s="1"/>
  <c r="AE589" i="1" s="1"/>
  <c r="AE590" i="1" s="1"/>
  <c r="AV130" i="1" l="1"/>
  <c r="AG204" i="1"/>
  <c r="AF411" i="1"/>
  <c r="AF412" i="1" s="1"/>
  <c r="AF413" i="1" s="1"/>
  <c r="AF414" i="1" s="1"/>
  <c r="AF415" i="1" s="1"/>
  <c r="AF416" i="1" s="1"/>
  <c r="AF417" i="1" s="1"/>
  <c r="AF418" i="1"/>
  <c r="AE598" i="1"/>
  <c r="AE591" i="1"/>
  <c r="AE592" i="1" s="1"/>
  <c r="AE593" i="1" s="1"/>
  <c r="AE594" i="1" s="1"/>
  <c r="AE595" i="1" s="1"/>
  <c r="AE596" i="1" s="1"/>
  <c r="AE597" i="1" s="1"/>
  <c r="AV131" i="1" l="1"/>
  <c r="AF419" i="1"/>
  <c r="AF420" i="1" s="1"/>
  <c r="AF421" i="1" s="1"/>
  <c r="AF422" i="1" s="1"/>
  <c r="AF423" i="1" s="1"/>
  <c r="AF424" i="1" s="1"/>
  <c r="AF425" i="1" s="1"/>
  <c r="AF426" i="1" s="1"/>
  <c r="AF427" i="1" s="1"/>
  <c r="AF428" i="1" s="1"/>
  <c r="AF429" i="1" s="1"/>
  <c r="AF430" i="1" s="1"/>
  <c r="AF431" i="1" s="1"/>
  <c r="AF432" i="1" s="1"/>
  <c r="AF433" i="1" s="1"/>
  <c r="AF434" i="1" s="1"/>
  <c r="AF435" i="1" s="1"/>
  <c r="AF437" i="1" s="1"/>
  <c r="AF438" i="1" s="1"/>
  <c r="AF439" i="1" s="1"/>
  <c r="AF440" i="1" s="1"/>
  <c r="AG205" i="1"/>
  <c r="AG206" i="1" s="1"/>
  <c r="AG207" i="1" s="1"/>
  <c r="AE599" i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7" i="1" s="1"/>
  <c r="AE618" i="1" s="1"/>
  <c r="AE619" i="1" s="1"/>
  <c r="AE620" i="1" s="1"/>
  <c r="AE621" i="1" s="1"/>
  <c r="AE622" i="1" s="1"/>
  <c r="AG209" i="1" l="1"/>
  <c r="AG210" i="1" s="1"/>
  <c r="AG211" i="1" s="1"/>
  <c r="AG212" i="1" s="1"/>
  <c r="AG213" i="1" s="1"/>
  <c r="AG214" i="1" s="1"/>
  <c r="AG215" i="1" s="1"/>
  <c r="AG216" i="1" s="1"/>
  <c r="AG217" i="1" s="1"/>
  <c r="AG218" i="1" s="1"/>
  <c r="AG219" i="1" s="1"/>
  <c r="AG220" i="1" s="1"/>
  <c r="AG221" i="1" s="1"/>
  <c r="AG222" i="1" s="1"/>
  <c r="AG223" i="1" s="1"/>
  <c r="AG224" i="1" s="1"/>
  <c r="AG225" i="1" s="1"/>
  <c r="AG227" i="1" s="1"/>
  <c r="AG228" i="1" s="1"/>
  <c r="AG229" i="1" s="1"/>
  <c r="AG230" i="1" s="1"/>
  <c r="AV132" i="1"/>
  <c r="AF448" i="1"/>
  <c r="AF441" i="1"/>
  <c r="AF442" i="1" s="1"/>
  <c r="AF443" i="1" s="1"/>
  <c r="AF444" i="1" s="1"/>
  <c r="AF445" i="1" s="1"/>
  <c r="AF446" i="1" s="1"/>
  <c r="AF447" i="1" s="1"/>
  <c r="AF449" i="1" s="1"/>
  <c r="AF450" i="1" s="1"/>
  <c r="AF451" i="1" s="1"/>
  <c r="AF452" i="1" s="1"/>
  <c r="AF453" i="1" s="1"/>
  <c r="AF454" i="1" s="1"/>
  <c r="AF455" i="1" s="1"/>
  <c r="AF456" i="1" s="1"/>
  <c r="AF457" i="1" s="1"/>
  <c r="AF458" i="1" s="1"/>
  <c r="AF459" i="1" s="1"/>
  <c r="AF460" i="1" s="1"/>
  <c r="AF461" i="1" s="1"/>
  <c r="AF462" i="1" s="1"/>
  <c r="AF463" i="1" s="1"/>
  <c r="AF464" i="1" s="1"/>
  <c r="AF465" i="1" s="1"/>
  <c r="AF467" i="1" s="1"/>
  <c r="AF468" i="1" s="1"/>
  <c r="AF469" i="1" s="1"/>
  <c r="AF470" i="1" s="1"/>
  <c r="AE624" i="1"/>
  <c r="AE623" i="1"/>
  <c r="AG238" i="1" l="1"/>
  <c r="AG231" i="1"/>
  <c r="AG232" i="1" s="1"/>
  <c r="AG233" i="1" s="1"/>
  <c r="AG234" i="1" s="1"/>
  <c r="AG235" i="1" s="1"/>
  <c r="AG236" i="1" s="1"/>
  <c r="AG237" i="1" s="1"/>
  <c r="AV133" i="1"/>
  <c r="AF478" i="1"/>
  <c r="AF471" i="1"/>
  <c r="AF472" i="1" s="1"/>
  <c r="AF473" i="1" s="1"/>
  <c r="AF474" i="1" s="1"/>
  <c r="AF475" i="1" s="1"/>
  <c r="AF476" i="1" s="1"/>
  <c r="AF477" i="1" s="1"/>
  <c r="AP5" i="1"/>
  <c r="AG239" i="1" l="1"/>
  <c r="AG240" i="1" s="1"/>
  <c r="AG241" i="1" s="1"/>
  <c r="AG242" i="1" s="1"/>
  <c r="AG243" i="1" s="1"/>
  <c r="AG244" i="1" s="1"/>
  <c r="AG245" i="1" s="1"/>
  <c r="AG246" i="1" s="1"/>
  <c r="AG247" i="1" s="1"/>
  <c r="AG248" i="1" s="1"/>
  <c r="AG249" i="1" s="1"/>
  <c r="AG250" i="1" s="1"/>
  <c r="AG251" i="1" s="1"/>
  <c r="AG252" i="1" s="1"/>
  <c r="AG253" i="1" s="1"/>
  <c r="AG254" i="1" s="1"/>
  <c r="AG255" i="1" s="1"/>
  <c r="AG257" i="1" s="1"/>
  <c r="AG258" i="1" s="1"/>
  <c r="AG259" i="1" s="1"/>
  <c r="AG260" i="1" s="1"/>
  <c r="AV134" i="1"/>
  <c r="AF479" i="1"/>
  <c r="AF480" i="1" s="1"/>
  <c r="AF481" i="1" s="1"/>
  <c r="AF482" i="1" s="1"/>
  <c r="AF483" i="1" s="1"/>
  <c r="AF484" i="1" s="1"/>
  <c r="AF485" i="1" s="1"/>
  <c r="AF486" i="1" s="1"/>
  <c r="AF487" i="1" s="1"/>
  <c r="AF488" i="1" s="1"/>
  <c r="AF489" i="1" s="1"/>
  <c r="AF490" i="1" s="1"/>
  <c r="AF491" i="1" s="1"/>
  <c r="AF492" i="1" s="1"/>
  <c r="AF493" i="1" s="1"/>
  <c r="AF494" i="1" s="1"/>
  <c r="AF495" i="1" s="1"/>
  <c r="AF497" i="1" s="1"/>
  <c r="AF498" i="1" s="1"/>
  <c r="AF499" i="1" s="1"/>
  <c r="AF500" i="1" s="1"/>
  <c r="AP11" i="1"/>
  <c r="AG268" i="1" l="1"/>
  <c r="AG261" i="1"/>
  <c r="AG262" i="1" s="1"/>
  <c r="AG263" i="1" s="1"/>
  <c r="AG264" i="1" s="1"/>
  <c r="AG265" i="1" s="1"/>
  <c r="AG266" i="1" s="1"/>
  <c r="AG267" i="1" s="1"/>
  <c r="AV135" i="1"/>
  <c r="AF501" i="1"/>
  <c r="AF502" i="1" s="1"/>
  <c r="AF503" i="1" s="1"/>
  <c r="AF504" i="1" s="1"/>
  <c r="AF505" i="1" s="1"/>
  <c r="AF506" i="1" s="1"/>
  <c r="AF507" i="1" s="1"/>
  <c r="AF508" i="1"/>
  <c r="AP12" i="1"/>
  <c r="AP13" i="1"/>
  <c r="AG269" i="1" l="1"/>
  <c r="AG270" i="1" s="1"/>
  <c r="AG271" i="1" s="1"/>
  <c r="AG272" i="1" s="1"/>
  <c r="AG273" i="1" s="1"/>
  <c r="AG274" i="1" s="1"/>
  <c r="AG275" i="1" s="1"/>
  <c r="AG276" i="1" s="1"/>
  <c r="AG277" i="1" s="1"/>
  <c r="AG278" i="1" s="1"/>
  <c r="AG279" i="1" s="1"/>
  <c r="AG280" i="1" s="1"/>
  <c r="AG281" i="1" s="1"/>
  <c r="AG282" i="1" s="1"/>
  <c r="AG283" i="1" s="1"/>
  <c r="AG284" i="1" s="1"/>
  <c r="AG285" i="1" s="1"/>
  <c r="AG287" i="1" s="1"/>
  <c r="AG288" i="1" s="1"/>
  <c r="AG289" i="1" s="1"/>
  <c r="AG290" i="1" s="1"/>
  <c r="AV136" i="1"/>
  <c r="AF509" i="1"/>
  <c r="AF510" i="1" s="1"/>
  <c r="AF511" i="1" s="1"/>
  <c r="AF512" i="1" s="1"/>
  <c r="AF513" i="1" s="1"/>
  <c r="AF514" i="1" s="1"/>
  <c r="AF515" i="1" s="1"/>
  <c r="AF516" i="1" s="1"/>
  <c r="AF517" i="1" s="1"/>
  <c r="AF518" i="1" s="1"/>
  <c r="AF519" i="1" s="1"/>
  <c r="AF520" i="1" s="1"/>
  <c r="AF521" i="1" s="1"/>
  <c r="AF522" i="1" s="1"/>
  <c r="AF523" i="1" s="1"/>
  <c r="AF524" i="1" s="1"/>
  <c r="AF525" i="1" s="1"/>
  <c r="AF527" i="1" s="1"/>
  <c r="AF528" i="1" s="1"/>
  <c r="AF529" i="1" s="1"/>
  <c r="AF530" i="1" s="1"/>
  <c r="AP14" i="1"/>
  <c r="AG291" i="1" l="1"/>
  <c r="AG292" i="1" s="1"/>
  <c r="AG293" i="1" s="1"/>
  <c r="AG294" i="1" s="1"/>
  <c r="AG295" i="1" s="1"/>
  <c r="AG296" i="1" s="1"/>
  <c r="AG297" i="1" s="1"/>
  <c r="AG298" i="1"/>
  <c r="AV137" i="1"/>
  <c r="AP15" i="1"/>
  <c r="AF538" i="1"/>
  <c r="AF531" i="1"/>
  <c r="AF532" i="1" s="1"/>
  <c r="AF533" i="1" s="1"/>
  <c r="AF534" i="1" s="1"/>
  <c r="AF535" i="1" s="1"/>
  <c r="AF536" i="1" s="1"/>
  <c r="AF537" i="1" s="1"/>
  <c r="AP16" i="1"/>
  <c r="AP17" i="1"/>
  <c r="AG299" i="1" l="1"/>
  <c r="AG300" i="1" s="1"/>
  <c r="AG301" i="1" s="1"/>
  <c r="AG302" i="1" s="1"/>
  <c r="AG303" i="1" s="1"/>
  <c r="AG304" i="1" s="1"/>
  <c r="AG305" i="1" s="1"/>
  <c r="AG306" i="1" s="1"/>
  <c r="AG307" i="1" s="1"/>
  <c r="AG308" i="1" s="1"/>
  <c r="AG309" i="1" s="1"/>
  <c r="AG310" i="1" s="1"/>
  <c r="AG311" i="1" s="1"/>
  <c r="AG312" i="1" s="1"/>
  <c r="AG313" i="1" s="1"/>
  <c r="AG314" i="1" s="1"/>
  <c r="AG315" i="1" s="1"/>
  <c r="AG317" i="1" s="1"/>
  <c r="AG318" i="1" s="1"/>
  <c r="AG319" i="1" s="1"/>
  <c r="AG320" i="1" s="1"/>
  <c r="AV138" i="1"/>
  <c r="AF539" i="1"/>
  <c r="AF540" i="1" s="1"/>
  <c r="AF541" i="1" s="1"/>
  <c r="AF542" i="1" s="1"/>
  <c r="AF543" i="1" s="1"/>
  <c r="AF544" i="1" s="1"/>
  <c r="AF545" i="1" s="1"/>
  <c r="AF546" i="1" s="1"/>
  <c r="AF547" i="1" s="1"/>
  <c r="AF548" i="1" s="1"/>
  <c r="AF549" i="1" s="1"/>
  <c r="AF550" i="1" s="1"/>
  <c r="AF551" i="1" s="1"/>
  <c r="AF552" i="1" s="1"/>
  <c r="AF553" i="1" s="1"/>
  <c r="AF554" i="1" s="1"/>
  <c r="AF555" i="1" s="1"/>
  <c r="AF557" i="1" s="1"/>
  <c r="AF558" i="1" s="1"/>
  <c r="AF559" i="1" s="1"/>
  <c r="AF560" i="1" s="1"/>
  <c r="AP18" i="1"/>
  <c r="AG328" i="1" l="1"/>
  <c r="AG321" i="1"/>
  <c r="AG322" i="1" s="1"/>
  <c r="AG323" i="1" s="1"/>
  <c r="AG324" i="1" s="1"/>
  <c r="AG325" i="1" s="1"/>
  <c r="AG326" i="1" s="1"/>
  <c r="AG327" i="1" s="1"/>
  <c r="AV139" i="1"/>
  <c r="AF561" i="1"/>
  <c r="AF562" i="1" s="1"/>
  <c r="AF563" i="1" s="1"/>
  <c r="AF564" i="1" s="1"/>
  <c r="AF565" i="1" s="1"/>
  <c r="AF566" i="1" s="1"/>
  <c r="AF567" i="1" s="1"/>
  <c r="AF568" i="1"/>
  <c r="AG329" i="1" l="1"/>
  <c r="AG330" i="1" s="1"/>
  <c r="AG331" i="1" s="1"/>
  <c r="AG332" i="1" s="1"/>
  <c r="AG333" i="1" s="1"/>
  <c r="AG334" i="1" s="1"/>
  <c r="AG335" i="1" s="1"/>
  <c r="AG336" i="1" s="1"/>
  <c r="AG337" i="1" s="1"/>
  <c r="AG338" i="1" s="1"/>
  <c r="AG339" i="1" s="1"/>
  <c r="AG340" i="1" s="1"/>
  <c r="AG341" i="1" s="1"/>
  <c r="AG342" i="1" s="1"/>
  <c r="AG343" i="1" s="1"/>
  <c r="AG344" i="1" s="1"/>
  <c r="AG345" i="1" s="1"/>
  <c r="AG347" i="1" s="1"/>
  <c r="AG348" i="1" s="1"/>
  <c r="AG349" i="1" s="1"/>
  <c r="AG350" i="1" s="1"/>
  <c r="AV140" i="1"/>
  <c r="AF569" i="1"/>
  <c r="AF570" i="1" s="1"/>
  <c r="AF571" i="1" s="1"/>
  <c r="AF572" i="1" s="1"/>
  <c r="AF573" i="1" s="1"/>
  <c r="AF574" i="1" s="1"/>
  <c r="AF575" i="1" s="1"/>
  <c r="AF576" i="1" s="1"/>
  <c r="AF577" i="1" s="1"/>
  <c r="AF578" i="1" s="1"/>
  <c r="AF579" i="1" s="1"/>
  <c r="AF580" i="1" s="1"/>
  <c r="AF581" i="1" s="1"/>
  <c r="AF582" i="1" s="1"/>
  <c r="AF583" i="1" s="1"/>
  <c r="AF584" i="1" s="1"/>
  <c r="AF585" i="1" s="1"/>
  <c r="AF587" i="1" s="1"/>
  <c r="AF588" i="1" s="1"/>
  <c r="AF589" i="1" s="1"/>
  <c r="AF590" i="1" s="1"/>
  <c r="AG358" i="1" l="1"/>
  <c r="AG351" i="1"/>
  <c r="AG352" i="1" s="1"/>
  <c r="AG353" i="1" s="1"/>
  <c r="AG354" i="1" s="1"/>
  <c r="AG355" i="1" s="1"/>
  <c r="AG356" i="1" s="1"/>
  <c r="AG357" i="1" s="1"/>
  <c r="AV141" i="1"/>
  <c r="AF598" i="1"/>
  <c r="AF591" i="1"/>
  <c r="AF592" i="1" s="1"/>
  <c r="AF593" i="1" s="1"/>
  <c r="AF594" i="1" s="1"/>
  <c r="AF595" i="1" s="1"/>
  <c r="AF596" i="1" s="1"/>
  <c r="AF597" i="1" s="1"/>
  <c r="AF599" i="1" l="1"/>
  <c r="AF600" i="1" s="1"/>
  <c r="AF601" i="1" s="1"/>
  <c r="AF602" i="1" s="1"/>
  <c r="AF603" i="1" s="1"/>
  <c r="AF604" i="1" s="1"/>
  <c r="AF605" i="1" s="1"/>
  <c r="AF606" i="1" s="1"/>
  <c r="AF607" i="1" s="1"/>
  <c r="AF608" i="1" s="1"/>
  <c r="AF609" i="1" s="1"/>
  <c r="AF610" i="1" s="1"/>
  <c r="AF611" i="1" s="1"/>
  <c r="AF612" i="1" s="1"/>
  <c r="AF613" i="1" s="1"/>
  <c r="AF614" i="1" s="1"/>
  <c r="AF615" i="1" s="1"/>
  <c r="AF617" i="1" s="1"/>
  <c r="AF618" i="1" s="1"/>
  <c r="AF619" i="1" s="1"/>
  <c r="AF620" i="1" s="1"/>
  <c r="AF621" i="1" s="1"/>
  <c r="AF622" i="1" s="1"/>
  <c r="AG359" i="1"/>
  <c r="AG360" i="1" s="1"/>
  <c r="AG361" i="1" s="1"/>
  <c r="AG362" i="1" s="1"/>
  <c r="AG363" i="1" s="1"/>
  <c r="AG364" i="1" s="1"/>
  <c r="AG365" i="1" s="1"/>
  <c r="AG366" i="1" s="1"/>
  <c r="AG367" i="1" s="1"/>
  <c r="AG368" i="1" s="1"/>
  <c r="AG369" i="1" s="1"/>
  <c r="AG370" i="1" s="1"/>
  <c r="AG371" i="1" s="1"/>
  <c r="AG372" i="1" s="1"/>
  <c r="AG373" i="1" s="1"/>
  <c r="AG374" i="1" s="1"/>
  <c r="AG375" i="1" s="1"/>
  <c r="AG377" i="1" s="1"/>
  <c r="AG378" i="1" s="1"/>
  <c r="AG379" i="1" s="1"/>
  <c r="AG380" i="1" s="1"/>
  <c r="AV142" i="1"/>
  <c r="AF623" i="1" l="1"/>
  <c r="AG381" i="1"/>
  <c r="AG382" i="1" s="1"/>
  <c r="AG383" i="1" s="1"/>
  <c r="AG384" i="1" s="1"/>
  <c r="AG385" i="1" s="1"/>
  <c r="AG386" i="1" s="1"/>
  <c r="AG387" i="1" s="1"/>
  <c r="AG388" i="1"/>
  <c r="AF624" i="1"/>
  <c r="AV143" i="1"/>
  <c r="AQ5" i="1" l="1"/>
  <c r="AQ11" i="1" s="1"/>
  <c r="CG11" i="1" s="1"/>
  <c r="CH11" i="1" s="1"/>
  <c r="CI11" i="1" s="1"/>
  <c r="AG389" i="1"/>
  <c r="AG390" i="1" s="1"/>
  <c r="AG391" i="1" s="1"/>
  <c r="AG392" i="1" s="1"/>
  <c r="AG393" i="1" s="1"/>
  <c r="AG394" i="1" s="1"/>
  <c r="AG395" i="1" s="1"/>
  <c r="AG396" i="1" s="1"/>
  <c r="AG397" i="1" s="1"/>
  <c r="AG398" i="1" s="1"/>
  <c r="AG399" i="1" s="1"/>
  <c r="AG400" i="1" s="1"/>
  <c r="AG401" i="1" s="1"/>
  <c r="AG402" i="1" s="1"/>
  <c r="AG403" i="1" s="1"/>
  <c r="AG404" i="1" s="1"/>
  <c r="AG405" i="1" s="1"/>
  <c r="AG407" i="1" s="1"/>
  <c r="AG408" i="1" s="1"/>
  <c r="AG409" i="1" s="1"/>
  <c r="AG410" i="1" s="1"/>
  <c r="AV144" i="1"/>
  <c r="AQ12" i="1" l="1"/>
  <c r="AG411" i="1"/>
  <c r="AG412" i="1" s="1"/>
  <c r="AG413" i="1" s="1"/>
  <c r="AG414" i="1" s="1"/>
  <c r="AG415" i="1" s="1"/>
  <c r="AG416" i="1" s="1"/>
  <c r="AG417" i="1" s="1"/>
  <c r="AG419" i="1" s="1"/>
  <c r="AG420" i="1" s="1"/>
  <c r="AG421" i="1" s="1"/>
  <c r="AG422" i="1" s="1"/>
  <c r="AG423" i="1" s="1"/>
  <c r="AG424" i="1" s="1"/>
  <c r="AG425" i="1" s="1"/>
  <c r="AG426" i="1" s="1"/>
  <c r="AG427" i="1" s="1"/>
  <c r="AG428" i="1" s="1"/>
  <c r="AG429" i="1" s="1"/>
  <c r="AG430" i="1" s="1"/>
  <c r="AG431" i="1" s="1"/>
  <c r="AG432" i="1" s="1"/>
  <c r="AG433" i="1" s="1"/>
  <c r="AG434" i="1" s="1"/>
  <c r="AG435" i="1" s="1"/>
  <c r="AG437" i="1" s="1"/>
  <c r="AG438" i="1" s="1"/>
  <c r="AG439" i="1" s="1"/>
  <c r="AG440" i="1" s="1"/>
  <c r="AG418" i="1"/>
  <c r="AV145" i="1"/>
  <c r="AQ13" i="1"/>
  <c r="CP11" i="1"/>
  <c r="CO11" i="1"/>
  <c r="CR11" i="1" s="1"/>
  <c r="CU11" i="1"/>
  <c r="CG12" i="1"/>
  <c r="CH12" i="1" s="1"/>
  <c r="CI12" i="1" s="1"/>
  <c r="AG441" i="1" l="1"/>
  <c r="AG442" i="1" s="1"/>
  <c r="AG443" i="1" s="1"/>
  <c r="AG444" i="1" s="1"/>
  <c r="AG445" i="1" s="1"/>
  <c r="AG446" i="1" s="1"/>
  <c r="AG447" i="1" s="1"/>
  <c r="AG448" i="1"/>
  <c r="AV146" i="1"/>
  <c r="CG13" i="1"/>
  <c r="CH13" i="1" s="1"/>
  <c r="CI13" i="1" s="1"/>
  <c r="CP12" i="1"/>
  <c r="CU12" i="1"/>
  <c r="CO12" i="1"/>
  <c r="CR12" i="1" s="1"/>
  <c r="AQ14" i="1"/>
  <c r="AG449" i="1" l="1"/>
  <c r="AG450" i="1" s="1"/>
  <c r="AG451" i="1" s="1"/>
  <c r="AG452" i="1" s="1"/>
  <c r="AG453" i="1" s="1"/>
  <c r="AG454" i="1" s="1"/>
  <c r="AG455" i="1" s="1"/>
  <c r="AG456" i="1" s="1"/>
  <c r="AG457" i="1" s="1"/>
  <c r="AG458" i="1" s="1"/>
  <c r="AG459" i="1" s="1"/>
  <c r="AG460" i="1" s="1"/>
  <c r="AG461" i="1" s="1"/>
  <c r="AG462" i="1" s="1"/>
  <c r="AG463" i="1" s="1"/>
  <c r="AG464" i="1" s="1"/>
  <c r="AG465" i="1" s="1"/>
  <c r="AG467" i="1" s="1"/>
  <c r="AG468" i="1" s="1"/>
  <c r="AG469" i="1" s="1"/>
  <c r="AG470" i="1" s="1"/>
  <c r="AV147" i="1"/>
  <c r="CG14" i="1"/>
  <c r="CH14" i="1" s="1"/>
  <c r="CI14" i="1" s="1"/>
  <c r="AQ15" i="1"/>
  <c r="CU13" i="1"/>
  <c r="CP13" i="1"/>
  <c r="CO13" i="1"/>
  <c r="CR13" i="1" s="1"/>
  <c r="AQ16" i="1"/>
  <c r="CG16" i="1" s="1"/>
  <c r="CH16" i="1" s="1"/>
  <c r="CI16" i="1" s="1"/>
  <c r="AG478" i="1" l="1"/>
  <c r="AG471" i="1"/>
  <c r="AG472" i="1" s="1"/>
  <c r="AG473" i="1" s="1"/>
  <c r="AG474" i="1" s="1"/>
  <c r="AG475" i="1" s="1"/>
  <c r="AG476" i="1" s="1"/>
  <c r="AG477" i="1" s="1"/>
  <c r="AV148" i="1"/>
  <c r="CO16" i="1"/>
  <c r="CR16" i="1" s="1"/>
  <c r="CU16" i="1"/>
  <c r="CP16" i="1"/>
  <c r="AQ17" i="1"/>
  <c r="CG15" i="1"/>
  <c r="CH15" i="1" s="1"/>
  <c r="CI15" i="1" s="1"/>
  <c r="CP14" i="1"/>
  <c r="CO14" i="1"/>
  <c r="CR14" i="1" s="1"/>
  <c r="CU14" i="1"/>
  <c r="AG479" i="1" l="1"/>
  <c r="AG480" i="1" s="1"/>
  <c r="AG481" i="1" s="1"/>
  <c r="AG482" i="1" s="1"/>
  <c r="AG483" i="1" s="1"/>
  <c r="AG484" i="1" s="1"/>
  <c r="AG485" i="1" s="1"/>
  <c r="AG486" i="1" s="1"/>
  <c r="AG487" i="1" s="1"/>
  <c r="AG488" i="1" s="1"/>
  <c r="AG489" i="1" s="1"/>
  <c r="AG490" i="1" s="1"/>
  <c r="AG491" i="1" s="1"/>
  <c r="AG492" i="1" s="1"/>
  <c r="AG493" i="1" s="1"/>
  <c r="AG494" i="1" s="1"/>
  <c r="AG495" i="1" s="1"/>
  <c r="AG497" i="1" s="1"/>
  <c r="AG498" i="1" s="1"/>
  <c r="AG499" i="1" s="1"/>
  <c r="AG500" i="1" s="1"/>
  <c r="AV149" i="1"/>
  <c r="CG17" i="1"/>
  <c r="CH17" i="1" s="1"/>
  <c r="CI17" i="1" s="1"/>
  <c r="AQ18" i="1"/>
  <c r="CU15" i="1"/>
  <c r="CO15" i="1"/>
  <c r="CR15" i="1" s="1"/>
  <c r="CP15" i="1"/>
  <c r="AG501" i="1" l="1"/>
  <c r="AG502" i="1" s="1"/>
  <c r="AG503" i="1" s="1"/>
  <c r="AG504" i="1" s="1"/>
  <c r="AG505" i="1" s="1"/>
  <c r="AG506" i="1" s="1"/>
  <c r="AG507" i="1" s="1"/>
  <c r="AG509" i="1" s="1"/>
  <c r="AG510" i="1" s="1"/>
  <c r="AG511" i="1" s="1"/>
  <c r="AG512" i="1" s="1"/>
  <c r="AG513" i="1" s="1"/>
  <c r="AG514" i="1" s="1"/>
  <c r="AG515" i="1" s="1"/>
  <c r="AG516" i="1" s="1"/>
  <c r="AG517" i="1" s="1"/>
  <c r="AG518" i="1" s="1"/>
  <c r="AG519" i="1" s="1"/>
  <c r="AG520" i="1" s="1"/>
  <c r="AG521" i="1" s="1"/>
  <c r="AG522" i="1" s="1"/>
  <c r="AG523" i="1" s="1"/>
  <c r="AG524" i="1" s="1"/>
  <c r="AG525" i="1" s="1"/>
  <c r="AG527" i="1" s="1"/>
  <c r="AG528" i="1" s="1"/>
  <c r="AG529" i="1" s="1"/>
  <c r="AG530" i="1" s="1"/>
  <c r="AQ19" i="1"/>
  <c r="AG508" i="1"/>
  <c r="AV150" i="1"/>
  <c r="CG18" i="1"/>
  <c r="CH18" i="1" s="1"/>
  <c r="CI18" i="1" s="1"/>
  <c r="CU17" i="1"/>
  <c r="CP17" i="1"/>
  <c r="CO17" i="1"/>
  <c r="CR17" i="1" s="1"/>
  <c r="AG538" i="1" l="1"/>
  <c r="AG531" i="1"/>
  <c r="AG532" i="1" s="1"/>
  <c r="AG533" i="1" s="1"/>
  <c r="AG534" i="1" s="1"/>
  <c r="AG535" i="1" s="1"/>
  <c r="AG536" i="1" s="1"/>
  <c r="AG537" i="1" s="1"/>
  <c r="CG19" i="1"/>
  <c r="CH19" i="1" s="1"/>
  <c r="CI19" i="1" s="1"/>
  <c r="AQ20" i="1"/>
  <c r="AV151" i="1"/>
  <c r="CP18" i="1"/>
  <c r="CO18" i="1"/>
  <c r="CR18" i="1" s="1"/>
  <c r="CU18" i="1"/>
  <c r="CG20" i="1" l="1"/>
  <c r="CH20" i="1" s="1"/>
  <c r="CI20" i="1" s="1"/>
  <c r="AQ21" i="1"/>
  <c r="AG539" i="1"/>
  <c r="AG540" i="1" s="1"/>
  <c r="AG541" i="1" s="1"/>
  <c r="AG542" i="1" s="1"/>
  <c r="AG543" i="1" s="1"/>
  <c r="AG544" i="1" s="1"/>
  <c r="AG545" i="1" s="1"/>
  <c r="AG546" i="1" s="1"/>
  <c r="AG547" i="1" s="1"/>
  <c r="AG548" i="1" s="1"/>
  <c r="AG549" i="1" s="1"/>
  <c r="AG550" i="1" s="1"/>
  <c r="AG551" i="1" s="1"/>
  <c r="AG552" i="1" s="1"/>
  <c r="AG553" i="1" s="1"/>
  <c r="AG554" i="1" s="1"/>
  <c r="AG555" i="1" s="1"/>
  <c r="AG557" i="1" s="1"/>
  <c r="AG558" i="1" s="1"/>
  <c r="AG559" i="1" s="1"/>
  <c r="AG560" i="1" s="1"/>
  <c r="CO19" i="1"/>
  <c r="CR19" i="1" s="1"/>
  <c r="CU19" i="1"/>
  <c r="CP19" i="1"/>
  <c r="AV152" i="1"/>
  <c r="AG561" i="1" l="1"/>
  <c r="AG562" i="1" s="1"/>
  <c r="AG563" i="1" s="1"/>
  <c r="AG564" i="1" s="1"/>
  <c r="AG565" i="1" s="1"/>
  <c r="AG566" i="1" s="1"/>
  <c r="AG567" i="1" s="1"/>
  <c r="AG568" i="1"/>
  <c r="CG21" i="1"/>
  <c r="CH21" i="1" s="1"/>
  <c r="CI21" i="1" s="1"/>
  <c r="AQ22" i="1"/>
  <c r="CO20" i="1"/>
  <c r="CR20" i="1" s="1"/>
  <c r="CU20" i="1"/>
  <c r="CP20" i="1"/>
  <c r="AV153" i="1"/>
  <c r="AG569" i="1" l="1"/>
  <c r="AG570" i="1" s="1"/>
  <c r="AG571" i="1" s="1"/>
  <c r="AG572" i="1" s="1"/>
  <c r="AG573" i="1" s="1"/>
  <c r="AG574" i="1" s="1"/>
  <c r="AG575" i="1" s="1"/>
  <c r="AG576" i="1" s="1"/>
  <c r="AG577" i="1" s="1"/>
  <c r="AG578" i="1" s="1"/>
  <c r="AG579" i="1" s="1"/>
  <c r="AG580" i="1" s="1"/>
  <c r="AG581" i="1" s="1"/>
  <c r="AG582" i="1" s="1"/>
  <c r="AG583" i="1" s="1"/>
  <c r="AG584" i="1" s="1"/>
  <c r="AG585" i="1" s="1"/>
  <c r="AG587" i="1" s="1"/>
  <c r="AG588" i="1" s="1"/>
  <c r="AG589" i="1" s="1"/>
  <c r="AG590" i="1" s="1"/>
  <c r="CG22" i="1"/>
  <c r="CH22" i="1" s="1"/>
  <c r="CI22" i="1" s="1"/>
  <c r="AQ23" i="1"/>
  <c r="CP21" i="1"/>
  <c r="CO21" i="1"/>
  <c r="CR21" i="1" s="1"/>
  <c r="CU21" i="1"/>
  <c r="AV154" i="1"/>
  <c r="AG598" i="1" l="1"/>
  <c r="CO22" i="1"/>
  <c r="CR22" i="1" s="1"/>
  <c r="CU22" i="1"/>
  <c r="CP22" i="1"/>
  <c r="AG591" i="1"/>
  <c r="AG592" i="1" s="1"/>
  <c r="AG593" i="1" s="1"/>
  <c r="AG594" i="1" s="1"/>
  <c r="AG595" i="1" s="1"/>
  <c r="AG596" i="1" s="1"/>
  <c r="AG597" i="1" s="1"/>
  <c r="CG23" i="1"/>
  <c r="CH23" i="1" s="1"/>
  <c r="CI23" i="1" s="1"/>
  <c r="AQ24" i="1"/>
  <c r="AV155" i="1"/>
  <c r="CG24" i="1" l="1"/>
  <c r="CH24" i="1" s="1"/>
  <c r="CI24" i="1" s="1"/>
  <c r="AQ25" i="1"/>
  <c r="CO23" i="1"/>
  <c r="CR23" i="1" s="1"/>
  <c r="CU23" i="1"/>
  <c r="CP23" i="1"/>
  <c r="AG599" i="1"/>
  <c r="AG600" i="1" s="1"/>
  <c r="AG601" i="1" s="1"/>
  <c r="AG602" i="1" s="1"/>
  <c r="AG603" i="1" s="1"/>
  <c r="AG604" i="1" s="1"/>
  <c r="AG605" i="1" s="1"/>
  <c r="AG606" i="1" s="1"/>
  <c r="AG607" i="1" s="1"/>
  <c r="AG608" i="1" s="1"/>
  <c r="AG609" i="1" s="1"/>
  <c r="AG610" i="1" s="1"/>
  <c r="AG611" i="1" s="1"/>
  <c r="AG612" i="1" s="1"/>
  <c r="AG613" i="1" s="1"/>
  <c r="AG614" i="1" s="1"/>
  <c r="AG615" i="1" s="1"/>
  <c r="AG617" i="1" s="1"/>
  <c r="AG618" i="1" s="1"/>
  <c r="AG619" i="1" s="1"/>
  <c r="AG620" i="1" s="1"/>
  <c r="AG621" i="1" s="1"/>
  <c r="AG622" i="1" s="1"/>
  <c r="AV156" i="1"/>
  <c r="AG624" i="1" l="1"/>
  <c r="AG623" i="1"/>
  <c r="CG25" i="1"/>
  <c r="CH25" i="1" s="1"/>
  <c r="CI25" i="1" s="1"/>
  <c r="AQ26" i="1"/>
  <c r="CO24" i="1"/>
  <c r="CR24" i="1" s="1"/>
  <c r="CU24" i="1"/>
  <c r="CP24" i="1"/>
  <c r="AV157" i="1"/>
  <c r="CP25" i="1" l="1"/>
  <c r="CU25" i="1"/>
  <c r="CO25" i="1"/>
  <c r="CR25" i="1" s="1"/>
  <c r="CG26" i="1"/>
  <c r="CH26" i="1" s="1"/>
  <c r="CI26" i="1" s="1"/>
  <c r="AQ27" i="1"/>
  <c r="AV158" i="1"/>
  <c r="CU26" i="1" l="1"/>
  <c r="CP26" i="1"/>
  <c r="CO26" i="1"/>
  <c r="CR26" i="1" s="1"/>
  <c r="CG27" i="1"/>
  <c r="CH27" i="1" s="1"/>
  <c r="CI27" i="1" s="1"/>
  <c r="AQ28" i="1"/>
  <c r="AV159" i="1"/>
  <c r="CG28" i="1" l="1"/>
  <c r="CH28" i="1" s="1"/>
  <c r="CI28" i="1" s="1"/>
  <c r="AQ29" i="1"/>
  <c r="CP27" i="1"/>
  <c r="CO27" i="1"/>
  <c r="CR27" i="1" s="1"/>
  <c r="CU27" i="1"/>
  <c r="AV160" i="1"/>
  <c r="CG29" i="1" l="1"/>
  <c r="CH29" i="1" s="1"/>
  <c r="CI29" i="1" s="1"/>
  <c r="AQ30" i="1"/>
  <c r="CP28" i="1"/>
  <c r="CO28" i="1"/>
  <c r="CR28" i="1" s="1"/>
  <c r="CU28" i="1"/>
  <c r="AV161" i="1"/>
  <c r="CG30" i="1" l="1"/>
  <c r="CH30" i="1" s="1"/>
  <c r="CI30" i="1" s="1"/>
  <c r="AQ31" i="1"/>
  <c r="CO29" i="1"/>
  <c r="CR29" i="1" s="1"/>
  <c r="CP29" i="1"/>
  <c r="CU29" i="1"/>
  <c r="AV162" i="1"/>
  <c r="CG31" i="1" l="1"/>
  <c r="CH31" i="1" s="1"/>
  <c r="CI31" i="1" s="1"/>
  <c r="AQ32" i="1"/>
  <c r="CP30" i="1"/>
  <c r="CO30" i="1"/>
  <c r="CR30" i="1" s="1"/>
  <c r="CU30" i="1"/>
  <c r="AV163" i="1"/>
  <c r="CG32" i="1" l="1"/>
  <c r="CH32" i="1" s="1"/>
  <c r="CI32" i="1" s="1"/>
  <c r="AQ33" i="1"/>
  <c r="CO31" i="1"/>
  <c r="CR31" i="1" s="1"/>
  <c r="CU31" i="1"/>
  <c r="CP31" i="1"/>
  <c r="AV164" i="1"/>
  <c r="CG33" i="1" l="1"/>
  <c r="CH33" i="1" s="1"/>
  <c r="CI33" i="1" s="1"/>
  <c r="AQ34" i="1"/>
  <c r="CU32" i="1"/>
  <c r="CP32" i="1"/>
  <c r="CO32" i="1"/>
  <c r="CR32" i="1" s="1"/>
  <c r="AV165" i="1"/>
  <c r="CG34" i="1" l="1"/>
  <c r="CH34" i="1" s="1"/>
  <c r="CI34" i="1" s="1"/>
  <c r="AQ35" i="1"/>
  <c r="CP33" i="1"/>
  <c r="CO33" i="1"/>
  <c r="CR33" i="1" s="1"/>
  <c r="CU33" i="1"/>
  <c r="AV166" i="1"/>
  <c r="CG35" i="1" l="1"/>
  <c r="CH35" i="1" s="1"/>
  <c r="CI35" i="1" s="1"/>
  <c r="AQ36" i="1"/>
  <c r="CU34" i="1"/>
  <c r="CP34" i="1"/>
  <c r="CO34" i="1"/>
  <c r="CR34" i="1" s="1"/>
  <c r="AV167" i="1"/>
  <c r="CG36" i="1" l="1"/>
  <c r="CH36" i="1" s="1"/>
  <c r="CI36" i="1" s="1"/>
  <c r="AQ37" i="1"/>
  <c r="CP35" i="1"/>
  <c r="CO35" i="1"/>
  <c r="CR35" i="1" s="1"/>
  <c r="CU35" i="1"/>
  <c r="AV168" i="1"/>
  <c r="CG37" i="1" l="1"/>
  <c r="CH37" i="1" s="1"/>
  <c r="CI37" i="1" s="1"/>
  <c r="AQ38" i="1"/>
  <c r="CO36" i="1"/>
  <c r="CR36" i="1" s="1"/>
  <c r="CP36" i="1"/>
  <c r="CU36" i="1"/>
  <c r="AV169" i="1"/>
  <c r="CG38" i="1" l="1"/>
  <c r="CH38" i="1" s="1"/>
  <c r="CI38" i="1" s="1"/>
  <c r="AQ39" i="1"/>
  <c r="CO37" i="1"/>
  <c r="CR37" i="1" s="1"/>
  <c r="CU37" i="1"/>
  <c r="CP37" i="1"/>
  <c r="AV170" i="1"/>
  <c r="CG39" i="1" l="1"/>
  <c r="CH39" i="1" s="1"/>
  <c r="CI39" i="1" s="1"/>
  <c r="AQ40" i="1"/>
  <c r="CP38" i="1"/>
  <c r="CU38" i="1"/>
  <c r="CO38" i="1"/>
  <c r="CR38" i="1" s="1"/>
  <c r="AV171" i="1"/>
  <c r="AP624" i="1"/>
  <c r="CG40" i="1" l="1"/>
  <c r="CH40" i="1" s="1"/>
  <c r="CI40" i="1" s="1"/>
  <c r="AQ41" i="1"/>
  <c r="CP39" i="1"/>
  <c r="CO39" i="1"/>
  <c r="CR39" i="1" s="1"/>
  <c r="CU39" i="1"/>
  <c r="AV172" i="1"/>
  <c r="CG41" i="1" l="1"/>
  <c r="CH41" i="1" s="1"/>
  <c r="CI41" i="1" s="1"/>
  <c r="AQ42" i="1"/>
  <c r="CO40" i="1"/>
  <c r="CR40" i="1" s="1"/>
  <c r="CP40" i="1"/>
  <c r="CU40" i="1"/>
  <c r="AV173" i="1"/>
  <c r="CG42" i="1" l="1"/>
  <c r="CH42" i="1" s="1"/>
  <c r="CI42" i="1" s="1"/>
  <c r="AQ43" i="1"/>
  <c r="CP41" i="1"/>
  <c r="CU41" i="1"/>
  <c r="CO41" i="1"/>
  <c r="CR41" i="1" s="1"/>
  <c r="AV174" i="1"/>
  <c r="CG43" i="1" l="1"/>
  <c r="CH43" i="1" s="1"/>
  <c r="CI43" i="1" s="1"/>
  <c r="AQ44" i="1"/>
  <c r="CU42" i="1"/>
  <c r="CO42" i="1"/>
  <c r="CR42" i="1" s="1"/>
  <c r="CP42" i="1"/>
  <c r="AV175" i="1"/>
  <c r="CG44" i="1" l="1"/>
  <c r="CH44" i="1" s="1"/>
  <c r="CI44" i="1" s="1"/>
  <c r="AQ45" i="1"/>
  <c r="CU43" i="1"/>
  <c r="CO43" i="1"/>
  <c r="CR43" i="1" s="1"/>
  <c r="CP43" i="1"/>
  <c r="AV176" i="1"/>
  <c r="CG45" i="1" l="1"/>
  <c r="CH45" i="1" s="1"/>
  <c r="AQ46" i="1"/>
  <c r="CO44" i="1"/>
  <c r="CR44" i="1" s="1"/>
  <c r="CP44" i="1"/>
  <c r="CU44" i="1"/>
  <c r="AV177" i="1"/>
  <c r="CI45" i="1"/>
  <c r="CG46" i="1" l="1"/>
  <c r="CH46" i="1" s="1"/>
  <c r="CI46" i="1" s="1"/>
  <c r="AQ47" i="1"/>
  <c r="AV178" i="1"/>
  <c r="CP45" i="1"/>
  <c r="CU45" i="1"/>
  <c r="CO45" i="1"/>
  <c r="CR45" i="1" s="1"/>
  <c r="CG47" i="1" l="1"/>
  <c r="CH47" i="1" s="1"/>
  <c r="CI47" i="1" s="1"/>
  <c r="AQ48" i="1"/>
  <c r="CU46" i="1"/>
  <c r="CO46" i="1"/>
  <c r="CR46" i="1" s="1"/>
  <c r="CP46" i="1"/>
  <c r="AV179" i="1"/>
  <c r="CG48" i="1" l="1"/>
  <c r="CH48" i="1" s="1"/>
  <c r="CI48" i="1" s="1"/>
  <c r="AQ49" i="1"/>
  <c r="CO47" i="1"/>
  <c r="CR47" i="1" s="1"/>
  <c r="CP47" i="1"/>
  <c r="CU47" i="1"/>
  <c r="AV180" i="1"/>
  <c r="CG49" i="1" l="1"/>
  <c r="CH49" i="1" s="1"/>
  <c r="CI49" i="1" s="1"/>
  <c r="AQ50" i="1"/>
  <c r="CU48" i="1"/>
  <c r="CO48" i="1"/>
  <c r="CR48" i="1" s="1"/>
  <c r="CP48" i="1"/>
  <c r="AV181" i="1"/>
  <c r="CG50" i="1" l="1"/>
  <c r="CH50" i="1" s="1"/>
  <c r="CI50" i="1" s="1"/>
  <c r="AQ51" i="1"/>
  <c r="CO49" i="1"/>
  <c r="CR49" i="1" s="1"/>
  <c r="CP49" i="1"/>
  <c r="CU49" i="1"/>
  <c r="AV182" i="1"/>
  <c r="CG51" i="1" l="1"/>
  <c r="CH51" i="1" s="1"/>
  <c r="CI51" i="1" s="1"/>
  <c r="AQ52" i="1"/>
  <c r="CO50" i="1"/>
  <c r="CR50" i="1" s="1"/>
  <c r="CU50" i="1"/>
  <c r="CP50" i="1"/>
  <c r="AV183" i="1"/>
  <c r="CG52" i="1" l="1"/>
  <c r="CH52" i="1" s="1"/>
  <c r="CI52" i="1" s="1"/>
  <c r="AQ53" i="1"/>
  <c r="CO51" i="1"/>
  <c r="CR51" i="1" s="1"/>
  <c r="CP51" i="1"/>
  <c r="CU51" i="1"/>
  <c r="AV184" i="1"/>
  <c r="CG53" i="1" l="1"/>
  <c r="CH53" i="1" s="1"/>
  <c r="CI53" i="1" s="1"/>
  <c r="AQ54" i="1"/>
  <c r="CU52" i="1"/>
  <c r="CO52" i="1"/>
  <c r="CR52" i="1" s="1"/>
  <c r="CP52" i="1"/>
  <c r="AV185" i="1"/>
  <c r="CG54" i="1" l="1"/>
  <c r="CH54" i="1" s="1"/>
  <c r="CI54" i="1" s="1"/>
  <c r="AQ55" i="1"/>
  <c r="CU53" i="1"/>
  <c r="CO53" i="1"/>
  <c r="CR53" i="1" s="1"/>
  <c r="CP53" i="1"/>
  <c r="AV186" i="1"/>
  <c r="CG55" i="1" l="1"/>
  <c r="CH55" i="1" s="1"/>
  <c r="CI55" i="1" s="1"/>
  <c r="AQ56" i="1"/>
  <c r="CO54" i="1"/>
  <c r="CR54" i="1" s="1"/>
  <c r="CP54" i="1"/>
  <c r="CU54" i="1"/>
  <c r="AV187" i="1"/>
  <c r="CG56" i="1" l="1"/>
  <c r="CH56" i="1" s="1"/>
  <c r="CI56" i="1" s="1"/>
  <c r="AQ57" i="1"/>
  <c r="CP55" i="1"/>
  <c r="CU55" i="1"/>
  <c r="CO55" i="1"/>
  <c r="CR55" i="1" s="1"/>
  <c r="AV188" i="1"/>
  <c r="CG57" i="1" l="1"/>
  <c r="CH57" i="1" s="1"/>
  <c r="CI57" i="1" s="1"/>
  <c r="AQ58" i="1"/>
  <c r="CO56" i="1"/>
  <c r="CR56" i="1" s="1"/>
  <c r="CP56" i="1"/>
  <c r="CU56" i="1"/>
  <c r="AV189" i="1"/>
  <c r="CG58" i="1" l="1"/>
  <c r="CH58" i="1" s="1"/>
  <c r="CI58" i="1" s="1"/>
  <c r="AQ59" i="1"/>
  <c r="CU57" i="1"/>
  <c r="CP57" i="1"/>
  <c r="CO57" i="1"/>
  <c r="CR57" i="1" s="1"/>
  <c r="AV190" i="1"/>
  <c r="CG59" i="1" l="1"/>
  <c r="CH59" i="1" s="1"/>
  <c r="CI59" i="1" s="1"/>
  <c r="AQ60" i="1"/>
  <c r="CP58" i="1"/>
  <c r="CO58" i="1"/>
  <c r="CR58" i="1" s="1"/>
  <c r="CU58" i="1"/>
  <c r="AV191" i="1"/>
  <c r="CG60" i="1" l="1"/>
  <c r="CH60" i="1" s="1"/>
  <c r="CI60" i="1" s="1"/>
  <c r="AQ61" i="1"/>
  <c r="CU59" i="1"/>
  <c r="CO59" i="1"/>
  <c r="CR59" i="1" s="1"/>
  <c r="CP59" i="1"/>
  <c r="AV192" i="1"/>
  <c r="CG61" i="1" l="1"/>
  <c r="CH61" i="1" s="1"/>
  <c r="CI61" i="1" s="1"/>
  <c r="AQ62" i="1"/>
  <c r="CO60" i="1"/>
  <c r="CR60" i="1" s="1"/>
  <c r="CP60" i="1"/>
  <c r="CU60" i="1"/>
  <c r="AV193" i="1"/>
  <c r="CG62" i="1" l="1"/>
  <c r="CH62" i="1" s="1"/>
  <c r="CI62" i="1" s="1"/>
  <c r="AQ63" i="1"/>
  <c r="CO61" i="1"/>
  <c r="CR61" i="1" s="1"/>
  <c r="CP61" i="1"/>
  <c r="CU61" i="1"/>
  <c r="AV194" i="1"/>
  <c r="CG63" i="1" l="1"/>
  <c r="CH63" i="1" s="1"/>
  <c r="CI63" i="1" s="1"/>
  <c r="AQ64" i="1"/>
  <c r="CU62" i="1"/>
  <c r="CO62" i="1"/>
  <c r="CR62" i="1" s="1"/>
  <c r="CP62" i="1"/>
  <c r="AV195" i="1"/>
  <c r="CG64" i="1" l="1"/>
  <c r="CH64" i="1" s="1"/>
  <c r="CI64" i="1" s="1"/>
  <c r="AQ65" i="1"/>
  <c r="CP63" i="1"/>
  <c r="CU63" i="1"/>
  <c r="CO63" i="1"/>
  <c r="CR63" i="1" s="1"/>
  <c r="AV196" i="1"/>
  <c r="CG65" i="1" l="1"/>
  <c r="CH65" i="1" s="1"/>
  <c r="CI65" i="1" s="1"/>
  <c r="AQ66" i="1"/>
  <c r="CP64" i="1"/>
  <c r="CO64" i="1"/>
  <c r="CR64" i="1" s="1"/>
  <c r="CU64" i="1"/>
  <c r="AV197" i="1"/>
  <c r="CG66" i="1" l="1"/>
  <c r="CH66" i="1" s="1"/>
  <c r="CI66" i="1" s="1"/>
  <c r="AQ67" i="1"/>
  <c r="CO65" i="1"/>
  <c r="CR65" i="1" s="1"/>
  <c r="CP65" i="1"/>
  <c r="CU65" i="1"/>
  <c r="AV198" i="1"/>
  <c r="CG67" i="1" l="1"/>
  <c r="CH67" i="1" s="1"/>
  <c r="CI67" i="1" s="1"/>
  <c r="AQ68" i="1"/>
  <c r="CP66" i="1"/>
  <c r="CO66" i="1"/>
  <c r="CR66" i="1" s="1"/>
  <c r="CU66" i="1"/>
  <c r="AV199" i="1"/>
  <c r="CG68" i="1" l="1"/>
  <c r="CH68" i="1" s="1"/>
  <c r="CI68" i="1" s="1"/>
  <c r="AQ69" i="1"/>
  <c r="CO67" i="1"/>
  <c r="CR67" i="1" s="1"/>
  <c r="CU67" i="1"/>
  <c r="CP67" i="1"/>
  <c r="AV200" i="1"/>
  <c r="CG69" i="1" l="1"/>
  <c r="CH69" i="1" s="1"/>
  <c r="CI69" i="1" s="1"/>
  <c r="AQ70" i="1"/>
  <c r="CU68" i="1"/>
  <c r="CO68" i="1"/>
  <c r="CR68" i="1" s="1"/>
  <c r="CP68" i="1"/>
  <c r="AV201" i="1"/>
  <c r="CG70" i="1" l="1"/>
  <c r="CH70" i="1" s="1"/>
  <c r="CI70" i="1" s="1"/>
  <c r="AQ71" i="1"/>
  <c r="CO69" i="1"/>
  <c r="CR69" i="1" s="1"/>
  <c r="CP69" i="1"/>
  <c r="CU69" i="1"/>
  <c r="AV202" i="1"/>
  <c r="CG71" i="1" l="1"/>
  <c r="CH71" i="1" s="1"/>
  <c r="CI71" i="1" s="1"/>
  <c r="AQ72" i="1"/>
  <c r="CP70" i="1"/>
  <c r="CU70" i="1"/>
  <c r="CO70" i="1"/>
  <c r="CR70" i="1" s="1"/>
  <c r="AV203" i="1"/>
  <c r="CG72" i="1" l="1"/>
  <c r="CH72" i="1" s="1"/>
  <c r="CI72" i="1" s="1"/>
  <c r="AQ73" i="1"/>
  <c r="CO71" i="1"/>
  <c r="CR71" i="1" s="1"/>
  <c r="CP71" i="1"/>
  <c r="CU71" i="1"/>
  <c r="AV204" i="1"/>
  <c r="CG73" i="1" l="1"/>
  <c r="CH73" i="1" s="1"/>
  <c r="CI73" i="1" s="1"/>
  <c r="AQ74" i="1"/>
  <c r="CO72" i="1"/>
  <c r="CR72" i="1" s="1"/>
  <c r="CP72" i="1"/>
  <c r="CU72" i="1"/>
  <c r="AV205" i="1"/>
  <c r="CG74" i="1" l="1"/>
  <c r="CH74" i="1" s="1"/>
  <c r="CI74" i="1" s="1"/>
  <c r="AQ75" i="1"/>
  <c r="CO73" i="1"/>
  <c r="CR73" i="1" s="1"/>
  <c r="CP73" i="1"/>
  <c r="CU73" i="1"/>
  <c r="AV206" i="1"/>
  <c r="CG75" i="1" l="1"/>
  <c r="CH75" i="1" s="1"/>
  <c r="CI75" i="1" s="1"/>
  <c r="AQ76" i="1"/>
  <c r="CP74" i="1"/>
  <c r="CU74" i="1"/>
  <c r="CO74" i="1"/>
  <c r="CR74" i="1" s="1"/>
  <c r="AV207" i="1"/>
  <c r="AP625" i="1"/>
  <c r="AP1" i="1" s="1"/>
  <c r="CG76" i="1" l="1"/>
  <c r="CH76" i="1" s="1"/>
  <c r="CI76" i="1" s="1"/>
  <c r="AQ77" i="1"/>
  <c r="CU75" i="1"/>
  <c r="CO75" i="1"/>
  <c r="CR75" i="1" s="1"/>
  <c r="CP75" i="1"/>
  <c r="AV208" i="1"/>
  <c r="CG77" i="1" l="1"/>
  <c r="CH77" i="1" s="1"/>
  <c r="CI77" i="1" s="1"/>
  <c r="AQ78" i="1"/>
  <c r="CO76" i="1"/>
  <c r="CR76" i="1" s="1"/>
  <c r="CU76" i="1"/>
  <c r="CP76" i="1"/>
  <c r="AV209" i="1"/>
  <c r="CG78" i="1" l="1"/>
  <c r="CH78" i="1" s="1"/>
  <c r="CI78" i="1" s="1"/>
  <c r="AQ79" i="1"/>
  <c r="CO77" i="1"/>
  <c r="CR77" i="1" s="1"/>
  <c r="CU77" i="1"/>
  <c r="CP77" i="1"/>
  <c r="AV210" i="1"/>
  <c r="CG79" i="1" l="1"/>
  <c r="CH79" i="1" s="1"/>
  <c r="CI79" i="1" s="1"/>
  <c r="AQ80" i="1"/>
  <c r="CU78" i="1"/>
  <c r="CP78" i="1"/>
  <c r="CO78" i="1"/>
  <c r="CR78" i="1" s="1"/>
  <c r="AV211" i="1"/>
  <c r="CG80" i="1" l="1"/>
  <c r="CH80" i="1" s="1"/>
  <c r="CI80" i="1" s="1"/>
  <c r="AQ81" i="1"/>
  <c r="CP79" i="1"/>
  <c r="CO79" i="1"/>
  <c r="CR79" i="1" s="1"/>
  <c r="CU79" i="1"/>
  <c r="AV212" i="1"/>
  <c r="CG81" i="1" l="1"/>
  <c r="CH81" i="1" s="1"/>
  <c r="CI81" i="1" s="1"/>
  <c r="AQ82" i="1"/>
  <c r="CO80" i="1"/>
  <c r="CR80" i="1" s="1"/>
  <c r="CU80" i="1"/>
  <c r="CP80" i="1"/>
  <c r="AV213" i="1"/>
  <c r="CG82" i="1" l="1"/>
  <c r="CH82" i="1" s="1"/>
  <c r="CI82" i="1" s="1"/>
  <c r="AQ83" i="1"/>
  <c r="CO81" i="1"/>
  <c r="CR81" i="1" s="1"/>
  <c r="CP81" i="1"/>
  <c r="CU81" i="1"/>
  <c r="AV214" i="1"/>
  <c r="CG83" i="1" l="1"/>
  <c r="CH83" i="1" s="1"/>
  <c r="CI83" i="1" s="1"/>
  <c r="AQ84" i="1"/>
  <c r="CP82" i="1"/>
  <c r="CO82" i="1"/>
  <c r="CR82" i="1" s="1"/>
  <c r="CU82" i="1"/>
  <c r="AV215" i="1"/>
  <c r="CG84" i="1" l="1"/>
  <c r="CH84" i="1" s="1"/>
  <c r="CI84" i="1" s="1"/>
  <c r="AQ85" i="1"/>
  <c r="CO83" i="1"/>
  <c r="CR83" i="1" s="1"/>
  <c r="CU83" i="1"/>
  <c r="CP83" i="1"/>
  <c r="AV216" i="1"/>
  <c r="CG85" i="1" l="1"/>
  <c r="CH85" i="1" s="1"/>
  <c r="CI85" i="1" s="1"/>
  <c r="AQ86" i="1"/>
  <c r="CO84" i="1"/>
  <c r="CR84" i="1" s="1"/>
  <c r="CP84" i="1"/>
  <c r="CU84" i="1"/>
  <c r="AV217" i="1"/>
  <c r="CG86" i="1" l="1"/>
  <c r="CH86" i="1" s="1"/>
  <c r="CI86" i="1" s="1"/>
  <c r="AQ87" i="1"/>
  <c r="CP85" i="1"/>
  <c r="CU85" i="1"/>
  <c r="CO85" i="1"/>
  <c r="CR85" i="1" s="1"/>
  <c r="AV218" i="1"/>
  <c r="CG87" i="1" l="1"/>
  <c r="CH87" i="1" s="1"/>
  <c r="CI87" i="1" s="1"/>
  <c r="AQ88" i="1"/>
  <c r="CP86" i="1"/>
  <c r="CO86" i="1"/>
  <c r="CR86" i="1" s="1"/>
  <c r="CU86" i="1"/>
  <c r="AV219" i="1"/>
  <c r="CG88" i="1" l="1"/>
  <c r="CH88" i="1" s="1"/>
  <c r="CI88" i="1" s="1"/>
  <c r="AQ89" i="1"/>
  <c r="CP87" i="1"/>
  <c r="CO87" i="1"/>
  <c r="CR87" i="1" s="1"/>
  <c r="CU87" i="1"/>
  <c r="AV220" i="1"/>
  <c r="CG89" i="1" l="1"/>
  <c r="CH89" i="1" s="1"/>
  <c r="CI89" i="1" s="1"/>
  <c r="AQ90" i="1"/>
  <c r="CO88" i="1"/>
  <c r="CR88" i="1" s="1"/>
  <c r="CP88" i="1"/>
  <c r="CU88" i="1"/>
  <c r="AV221" i="1"/>
  <c r="CG90" i="1" l="1"/>
  <c r="CH90" i="1" s="1"/>
  <c r="CI90" i="1" s="1"/>
  <c r="AQ91" i="1"/>
  <c r="CP89" i="1"/>
  <c r="CU89" i="1"/>
  <c r="CO89" i="1"/>
  <c r="CR89" i="1" s="1"/>
  <c r="AV222" i="1"/>
  <c r="CG91" i="1" l="1"/>
  <c r="CH91" i="1" s="1"/>
  <c r="CI91" i="1" s="1"/>
  <c r="AQ92" i="1"/>
  <c r="CP90" i="1"/>
  <c r="CO90" i="1"/>
  <c r="CR90" i="1" s="1"/>
  <c r="CU90" i="1"/>
  <c r="AV223" i="1"/>
  <c r="CG92" i="1" l="1"/>
  <c r="CH92" i="1" s="1"/>
  <c r="CI92" i="1" s="1"/>
  <c r="AQ93" i="1"/>
  <c r="CO91" i="1"/>
  <c r="CR91" i="1" s="1"/>
  <c r="CU91" i="1"/>
  <c r="CP91" i="1"/>
  <c r="AV224" i="1"/>
  <c r="CG93" i="1" l="1"/>
  <c r="CH93" i="1" s="1"/>
  <c r="CI93" i="1" s="1"/>
  <c r="AQ94" i="1"/>
  <c r="CU92" i="1"/>
  <c r="CO92" i="1"/>
  <c r="CR92" i="1" s="1"/>
  <c r="CP92" i="1"/>
  <c r="AV225" i="1"/>
  <c r="CG94" i="1" l="1"/>
  <c r="CH94" i="1" s="1"/>
  <c r="CI94" i="1" s="1"/>
  <c r="AQ95" i="1"/>
  <c r="CO93" i="1"/>
  <c r="CR93" i="1" s="1"/>
  <c r="CU93" i="1"/>
  <c r="CP93" i="1"/>
  <c r="AV226" i="1"/>
  <c r="CG95" i="1" l="1"/>
  <c r="CH95" i="1" s="1"/>
  <c r="CI95" i="1" s="1"/>
  <c r="AQ96" i="1"/>
  <c r="CO94" i="1"/>
  <c r="CR94" i="1" s="1"/>
  <c r="CP94" i="1"/>
  <c r="CU94" i="1"/>
  <c r="AV227" i="1"/>
  <c r="CG96" i="1" l="1"/>
  <c r="CH96" i="1" s="1"/>
  <c r="CI96" i="1" s="1"/>
  <c r="AQ97" i="1"/>
  <c r="CU95" i="1"/>
  <c r="CO95" i="1"/>
  <c r="CR95" i="1" s="1"/>
  <c r="CP95" i="1"/>
  <c r="AV228" i="1"/>
  <c r="CG97" i="1" l="1"/>
  <c r="CH97" i="1" s="1"/>
  <c r="CI97" i="1" s="1"/>
  <c r="AQ98" i="1"/>
  <c r="CO96" i="1"/>
  <c r="CR96" i="1" s="1"/>
  <c r="CP96" i="1"/>
  <c r="CU96" i="1"/>
  <c r="AV229" i="1"/>
  <c r="CG98" i="1" l="1"/>
  <c r="CH98" i="1" s="1"/>
  <c r="CI98" i="1" s="1"/>
  <c r="AQ99" i="1"/>
  <c r="CU97" i="1"/>
  <c r="CP97" i="1"/>
  <c r="CO97" i="1"/>
  <c r="CR97" i="1" s="1"/>
  <c r="AV230" i="1"/>
  <c r="CG99" i="1" l="1"/>
  <c r="CH99" i="1" s="1"/>
  <c r="CI99" i="1" s="1"/>
  <c r="AQ100" i="1"/>
  <c r="CU98" i="1"/>
  <c r="CP98" i="1"/>
  <c r="CO98" i="1"/>
  <c r="CR98" i="1" s="1"/>
  <c r="AV231" i="1"/>
  <c r="CG100" i="1" l="1"/>
  <c r="CH100" i="1" s="1"/>
  <c r="CI100" i="1" s="1"/>
  <c r="AQ101" i="1"/>
  <c r="CP99" i="1"/>
  <c r="CU99" i="1"/>
  <c r="CO99" i="1"/>
  <c r="CR99" i="1" s="1"/>
  <c r="AV232" i="1"/>
  <c r="CG101" i="1" l="1"/>
  <c r="CH101" i="1" s="1"/>
  <c r="CI101" i="1" s="1"/>
  <c r="AQ102" i="1"/>
  <c r="CP100" i="1"/>
  <c r="CO100" i="1"/>
  <c r="CR100" i="1" s="1"/>
  <c r="CU100" i="1"/>
  <c r="AV233" i="1"/>
  <c r="CG102" i="1" l="1"/>
  <c r="CH102" i="1" s="1"/>
  <c r="CI102" i="1" s="1"/>
  <c r="AQ103" i="1"/>
  <c r="CO101" i="1"/>
  <c r="CR101" i="1" s="1"/>
  <c r="CP101" i="1"/>
  <c r="CU101" i="1"/>
  <c r="AV234" i="1"/>
  <c r="CG103" i="1" l="1"/>
  <c r="CH103" i="1" s="1"/>
  <c r="CI103" i="1" s="1"/>
  <c r="AQ104" i="1"/>
  <c r="CO102" i="1"/>
  <c r="CR102" i="1" s="1"/>
  <c r="CU102" i="1"/>
  <c r="CP102" i="1"/>
  <c r="AV235" i="1"/>
  <c r="CG104" i="1" l="1"/>
  <c r="CH104" i="1" s="1"/>
  <c r="CI104" i="1" s="1"/>
  <c r="AQ105" i="1"/>
  <c r="CP103" i="1"/>
  <c r="CU103" i="1"/>
  <c r="CO103" i="1"/>
  <c r="CR103" i="1" s="1"/>
  <c r="AV236" i="1"/>
  <c r="CG105" i="1" l="1"/>
  <c r="CH105" i="1" s="1"/>
  <c r="CI105" i="1" s="1"/>
  <c r="AQ106" i="1"/>
  <c r="CO104" i="1"/>
  <c r="CR104" i="1" s="1"/>
  <c r="CP104" i="1"/>
  <c r="CU104" i="1"/>
  <c r="AV237" i="1"/>
  <c r="CG106" i="1" l="1"/>
  <c r="CH106" i="1" s="1"/>
  <c r="CI106" i="1" s="1"/>
  <c r="AQ107" i="1"/>
  <c r="CO105" i="1"/>
  <c r="CR105" i="1" s="1"/>
  <c r="CP105" i="1"/>
  <c r="CU105" i="1"/>
  <c r="AV238" i="1"/>
  <c r="CG107" i="1" l="1"/>
  <c r="CH107" i="1" s="1"/>
  <c r="CI107" i="1" s="1"/>
  <c r="AQ108" i="1"/>
  <c r="CU106" i="1"/>
  <c r="CP106" i="1"/>
  <c r="CO106" i="1"/>
  <c r="CR106" i="1" s="1"/>
  <c r="AV239" i="1"/>
  <c r="CG108" i="1" l="1"/>
  <c r="CH108" i="1" s="1"/>
  <c r="CI108" i="1" s="1"/>
  <c r="AQ109" i="1"/>
  <c r="CU107" i="1"/>
  <c r="CP107" i="1"/>
  <c r="CO107" i="1"/>
  <c r="CR107" i="1" s="1"/>
  <c r="AV240" i="1"/>
  <c r="CG109" i="1" l="1"/>
  <c r="CH109" i="1" s="1"/>
  <c r="CI109" i="1" s="1"/>
  <c r="AQ110" i="1"/>
  <c r="CO108" i="1"/>
  <c r="CR108" i="1" s="1"/>
  <c r="CP108" i="1"/>
  <c r="CU108" i="1"/>
  <c r="AV241" i="1"/>
  <c r="CG110" i="1" l="1"/>
  <c r="CH110" i="1" s="1"/>
  <c r="CI110" i="1" s="1"/>
  <c r="AQ111" i="1"/>
  <c r="CP109" i="1"/>
  <c r="CO109" i="1"/>
  <c r="CR109" i="1" s="1"/>
  <c r="CU109" i="1"/>
  <c r="AV242" i="1"/>
  <c r="CG111" i="1" l="1"/>
  <c r="CH111" i="1" s="1"/>
  <c r="CI111" i="1" s="1"/>
  <c r="AQ112" i="1"/>
  <c r="CP110" i="1"/>
  <c r="CU110" i="1"/>
  <c r="CO110" i="1"/>
  <c r="CR110" i="1" s="1"/>
  <c r="AV243" i="1"/>
  <c r="CG112" i="1" l="1"/>
  <c r="CH112" i="1" s="1"/>
  <c r="CI112" i="1" s="1"/>
  <c r="AQ113" i="1"/>
  <c r="CO111" i="1"/>
  <c r="CR111" i="1" s="1"/>
  <c r="CP111" i="1"/>
  <c r="CU111" i="1"/>
  <c r="AV244" i="1"/>
  <c r="CG113" i="1" l="1"/>
  <c r="CH113" i="1" s="1"/>
  <c r="CI113" i="1" s="1"/>
  <c r="AQ114" i="1"/>
  <c r="CO112" i="1"/>
  <c r="CR112" i="1" s="1"/>
  <c r="CP112" i="1"/>
  <c r="CU112" i="1"/>
  <c r="AV245" i="1"/>
  <c r="CG114" i="1" l="1"/>
  <c r="CH114" i="1" s="1"/>
  <c r="CI114" i="1" s="1"/>
  <c r="AQ115" i="1"/>
  <c r="CP113" i="1"/>
  <c r="CU113" i="1"/>
  <c r="CO113" i="1"/>
  <c r="CR113" i="1" s="1"/>
  <c r="AV246" i="1"/>
  <c r="CG115" i="1" l="1"/>
  <c r="CH115" i="1" s="1"/>
  <c r="CI115" i="1" s="1"/>
  <c r="AQ116" i="1"/>
  <c r="CO114" i="1"/>
  <c r="CR114" i="1" s="1"/>
  <c r="CP114" i="1"/>
  <c r="CU114" i="1"/>
  <c r="AV247" i="1"/>
  <c r="CG116" i="1" l="1"/>
  <c r="CH116" i="1" s="1"/>
  <c r="CI116" i="1" s="1"/>
  <c r="AQ117" i="1"/>
  <c r="CO115" i="1"/>
  <c r="CR115" i="1" s="1"/>
  <c r="CP115" i="1"/>
  <c r="CU115" i="1"/>
  <c r="AV248" i="1"/>
  <c r="CG117" i="1" l="1"/>
  <c r="CH117" i="1" s="1"/>
  <c r="CI117" i="1" s="1"/>
  <c r="AQ118" i="1"/>
  <c r="CO116" i="1"/>
  <c r="CR116" i="1" s="1"/>
  <c r="CU116" i="1"/>
  <c r="CP116" i="1"/>
  <c r="AV249" i="1"/>
  <c r="CG118" i="1" l="1"/>
  <c r="CH118" i="1" s="1"/>
  <c r="CI118" i="1" s="1"/>
  <c r="AQ119" i="1"/>
  <c r="CO117" i="1"/>
  <c r="CR117" i="1" s="1"/>
  <c r="CP117" i="1"/>
  <c r="CU117" i="1"/>
  <c r="AV250" i="1"/>
  <c r="CG119" i="1" l="1"/>
  <c r="CH119" i="1" s="1"/>
  <c r="CI119" i="1" s="1"/>
  <c r="AQ120" i="1"/>
  <c r="CU118" i="1"/>
  <c r="CP118" i="1"/>
  <c r="CO118" i="1"/>
  <c r="CR118" i="1" s="1"/>
  <c r="AV251" i="1"/>
  <c r="CG120" i="1" l="1"/>
  <c r="CH120" i="1" s="1"/>
  <c r="CI120" i="1" s="1"/>
  <c r="AQ121" i="1"/>
  <c r="CO119" i="1"/>
  <c r="CR119" i="1" s="1"/>
  <c r="CP119" i="1"/>
  <c r="CU119" i="1"/>
  <c r="AV252" i="1"/>
  <c r="CG121" i="1" l="1"/>
  <c r="CH121" i="1" s="1"/>
  <c r="CI121" i="1" s="1"/>
  <c r="AQ122" i="1"/>
  <c r="CO120" i="1"/>
  <c r="CR120" i="1" s="1"/>
  <c r="CU120" i="1"/>
  <c r="CP120" i="1"/>
  <c r="AV253" i="1"/>
  <c r="CG122" i="1" l="1"/>
  <c r="CH122" i="1" s="1"/>
  <c r="CI122" i="1" s="1"/>
  <c r="AQ123" i="1"/>
  <c r="CP121" i="1"/>
  <c r="CO121" i="1"/>
  <c r="CR121" i="1" s="1"/>
  <c r="CU121" i="1"/>
  <c r="AV254" i="1"/>
  <c r="CG123" i="1" l="1"/>
  <c r="CH123" i="1" s="1"/>
  <c r="CI123" i="1" s="1"/>
  <c r="AQ124" i="1"/>
  <c r="CO122" i="1"/>
  <c r="CR122" i="1" s="1"/>
  <c r="CU122" i="1"/>
  <c r="CP122" i="1"/>
  <c r="AV255" i="1"/>
  <c r="CG124" i="1" l="1"/>
  <c r="CH124" i="1" s="1"/>
  <c r="CI124" i="1" s="1"/>
  <c r="AQ125" i="1"/>
  <c r="CO123" i="1"/>
  <c r="CR123" i="1" s="1"/>
  <c r="CP123" i="1"/>
  <c r="CU123" i="1"/>
  <c r="AV256" i="1"/>
  <c r="CG125" i="1" l="1"/>
  <c r="CH125" i="1" s="1"/>
  <c r="CI125" i="1" s="1"/>
  <c r="AQ126" i="1"/>
  <c r="CP124" i="1"/>
  <c r="CO124" i="1"/>
  <c r="CR124" i="1" s="1"/>
  <c r="CU124" i="1"/>
  <c r="AV257" i="1"/>
  <c r="CG126" i="1" l="1"/>
  <c r="CH126" i="1" s="1"/>
  <c r="CI126" i="1" s="1"/>
  <c r="AQ127" i="1"/>
  <c r="CP125" i="1"/>
  <c r="CO125" i="1"/>
  <c r="CR125" i="1" s="1"/>
  <c r="CU125" i="1"/>
  <c r="AV258" i="1"/>
  <c r="CG127" i="1" l="1"/>
  <c r="CH127" i="1" s="1"/>
  <c r="CI127" i="1" s="1"/>
  <c r="AQ128" i="1"/>
  <c r="CO126" i="1"/>
  <c r="CR126" i="1" s="1"/>
  <c r="CP126" i="1"/>
  <c r="CU126" i="1"/>
  <c r="AV259" i="1"/>
  <c r="CG128" i="1" l="1"/>
  <c r="CH128" i="1" s="1"/>
  <c r="CI128" i="1" s="1"/>
  <c r="AQ129" i="1"/>
  <c r="CO127" i="1"/>
  <c r="CR127" i="1" s="1"/>
  <c r="CU127" i="1"/>
  <c r="CP127" i="1"/>
  <c r="AV260" i="1"/>
  <c r="CG129" i="1" l="1"/>
  <c r="CH129" i="1" s="1"/>
  <c r="CI129" i="1" s="1"/>
  <c r="AQ130" i="1"/>
  <c r="CP128" i="1"/>
  <c r="CO128" i="1"/>
  <c r="CR128" i="1" s="1"/>
  <c r="CU128" i="1"/>
  <c r="AV261" i="1"/>
  <c r="CG130" i="1" l="1"/>
  <c r="CH130" i="1" s="1"/>
  <c r="CI130" i="1" s="1"/>
  <c r="AQ131" i="1"/>
  <c r="CP129" i="1"/>
  <c r="CO129" i="1"/>
  <c r="CR129" i="1" s="1"/>
  <c r="CU129" i="1"/>
  <c r="AV262" i="1"/>
  <c r="CG131" i="1" l="1"/>
  <c r="CH131" i="1" s="1"/>
  <c r="CI131" i="1" s="1"/>
  <c r="AQ132" i="1"/>
  <c r="CO130" i="1"/>
  <c r="CR130" i="1" s="1"/>
  <c r="CP130" i="1"/>
  <c r="CU130" i="1"/>
  <c r="AV263" i="1"/>
  <c r="CG132" i="1" l="1"/>
  <c r="CH132" i="1" s="1"/>
  <c r="CI132" i="1" s="1"/>
  <c r="AQ133" i="1"/>
  <c r="CO131" i="1"/>
  <c r="CR131" i="1" s="1"/>
  <c r="CP131" i="1"/>
  <c r="CU131" i="1"/>
  <c r="AV264" i="1"/>
  <c r="CG133" i="1" l="1"/>
  <c r="CH133" i="1" s="1"/>
  <c r="CI133" i="1" s="1"/>
  <c r="AQ134" i="1"/>
  <c r="CU132" i="1"/>
  <c r="CO132" i="1"/>
  <c r="CR132" i="1" s="1"/>
  <c r="CP132" i="1"/>
  <c r="AV265" i="1"/>
  <c r="CG134" i="1" l="1"/>
  <c r="CH134" i="1" s="1"/>
  <c r="CI134" i="1" s="1"/>
  <c r="AQ135" i="1"/>
  <c r="CP133" i="1"/>
  <c r="CU133" i="1"/>
  <c r="CO133" i="1"/>
  <c r="CR133" i="1" s="1"/>
  <c r="AV266" i="1"/>
  <c r="CG135" i="1" l="1"/>
  <c r="CH135" i="1" s="1"/>
  <c r="CI135" i="1" s="1"/>
  <c r="AQ136" i="1"/>
  <c r="CP134" i="1"/>
  <c r="CO134" i="1"/>
  <c r="CR134" i="1" s="1"/>
  <c r="CU134" i="1"/>
  <c r="AV267" i="1"/>
  <c r="CG136" i="1" l="1"/>
  <c r="CH136" i="1" s="1"/>
  <c r="CI136" i="1" s="1"/>
  <c r="AQ137" i="1"/>
  <c r="CO135" i="1"/>
  <c r="CR135" i="1" s="1"/>
  <c r="CP135" i="1"/>
  <c r="CU135" i="1"/>
  <c r="AV268" i="1"/>
  <c r="CG137" i="1" l="1"/>
  <c r="CH137" i="1" s="1"/>
  <c r="CI137" i="1" s="1"/>
  <c r="AQ138" i="1"/>
  <c r="CP136" i="1"/>
  <c r="CU136" i="1"/>
  <c r="CO136" i="1"/>
  <c r="CR136" i="1" s="1"/>
  <c r="AV269" i="1"/>
  <c r="CG138" i="1" l="1"/>
  <c r="CH138" i="1" s="1"/>
  <c r="CI138" i="1" s="1"/>
  <c r="AQ139" i="1"/>
  <c r="CO137" i="1"/>
  <c r="CR137" i="1" s="1"/>
  <c r="CP137" i="1"/>
  <c r="CU137" i="1"/>
  <c r="AV270" i="1"/>
  <c r="CG139" i="1" l="1"/>
  <c r="CH139" i="1" s="1"/>
  <c r="CI139" i="1" s="1"/>
  <c r="AQ140" i="1"/>
  <c r="CO138" i="1"/>
  <c r="CR138" i="1" s="1"/>
  <c r="CP138" i="1"/>
  <c r="CU138" i="1"/>
  <c r="AV271" i="1"/>
  <c r="CG140" i="1" l="1"/>
  <c r="CH140" i="1" s="1"/>
  <c r="CI140" i="1" s="1"/>
  <c r="AQ141" i="1"/>
  <c r="CO139" i="1"/>
  <c r="CR139" i="1" s="1"/>
  <c r="CP139" i="1"/>
  <c r="CU139" i="1"/>
  <c r="AV272" i="1"/>
  <c r="CG141" i="1" l="1"/>
  <c r="CH141" i="1" s="1"/>
  <c r="CI141" i="1" s="1"/>
  <c r="AQ142" i="1"/>
  <c r="CU140" i="1"/>
  <c r="CO140" i="1"/>
  <c r="CR140" i="1" s="1"/>
  <c r="CP140" i="1"/>
  <c r="AV273" i="1"/>
  <c r="CG142" i="1" l="1"/>
  <c r="CH142" i="1" s="1"/>
  <c r="CI142" i="1" s="1"/>
  <c r="AQ143" i="1"/>
  <c r="CO141" i="1"/>
  <c r="CR141" i="1" s="1"/>
  <c r="CP141" i="1"/>
  <c r="CU141" i="1"/>
  <c r="AV274" i="1"/>
  <c r="CG143" i="1" l="1"/>
  <c r="CH143" i="1" s="1"/>
  <c r="CI143" i="1" s="1"/>
  <c r="AQ144" i="1"/>
  <c r="CU142" i="1"/>
  <c r="CP142" i="1"/>
  <c r="CO142" i="1"/>
  <c r="CR142" i="1" s="1"/>
  <c r="AV275" i="1"/>
  <c r="CG144" i="1" l="1"/>
  <c r="CH144" i="1" s="1"/>
  <c r="CI144" i="1" s="1"/>
  <c r="AQ145" i="1"/>
  <c r="CP143" i="1"/>
  <c r="CO143" i="1"/>
  <c r="CR143" i="1" s="1"/>
  <c r="CU143" i="1"/>
  <c r="AV276" i="1"/>
  <c r="CG145" i="1" l="1"/>
  <c r="CH145" i="1" s="1"/>
  <c r="CI145" i="1" s="1"/>
  <c r="AQ146" i="1"/>
  <c r="CP144" i="1"/>
  <c r="CU144" i="1"/>
  <c r="CO144" i="1"/>
  <c r="CR144" i="1" s="1"/>
  <c r="AV277" i="1"/>
  <c r="CG146" i="1" l="1"/>
  <c r="CH146" i="1" s="1"/>
  <c r="CI146" i="1" s="1"/>
  <c r="AQ147" i="1"/>
  <c r="CO145" i="1"/>
  <c r="CR145" i="1" s="1"/>
  <c r="CP145" i="1"/>
  <c r="CU145" i="1"/>
  <c r="AV278" i="1"/>
  <c r="CG147" i="1" l="1"/>
  <c r="CH147" i="1" s="1"/>
  <c r="CI147" i="1" s="1"/>
  <c r="AQ148" i="1"/>
  <c r="CO146" i="1"/>
  <c r="CR146" i="1" s="1"/>
  <c r="CP146" i="1"/>
  <c r="CU146" i="1"/>
  <c r="AV279" i="1"/>
  <c r="CG148" i="1" l="1"/>
  <c r="CH148" i="1" s="1"/>
  <c r="CI148" i="1" s="1"/>
  <c r="AQ149" i="1"/>
  <c r="CO147" i="1"/>
  <c r="CR147" i="1" s="1"/>
  <c r="CP147" i="1"/>
  <c r="CU147" i="1"/>
  <c r="AV280" i="1"/>
  <c r="CG149" i="1" l="1"/>
  <c r="CH149" i="1" s="1"/>
  <c r="CI149" i="1" s="1"/>
  <c r="AQ150" i="1"/>
  <c r="CU148" i="1"/>
  <c r="CO148" i="1"/>
  <c r="CR148" i="1" s="1"/>
  <c r="CP148" i="1"/>
  <c r="AV281" i="1"/>
  <c r="CG150" i="1" l="1"/>
  <c r="CH150" i="1" s="1"/>
  <c r="CI150" i="1" s="1"/>
  <c r="AQ151" i="1"/>
  <c r="CO149" i="1"/>
  <c r="CR149" i="1" s="1"/>
  <c r="CP149" i="1"/>
  <c r="CU149" i="1"/>
  <c r="AV282" i="1"/>
  <c r="CG151" i="1" l="1"/>
  <c r="CH151" i="1" s="1"/>
  <c r="CI151" i="1" s="1"/>
  <c r="AQ152" i="1"/>
  <c r="CO150" i="1"/>
  <c r="CR150" i="1" s="1"/>
  <c r="CP150" i="1"/>
  <c r="CU150" i="1"/>
  <c r="AV283" i="1"/>
  <c r="CG152" i="1" l="1"/>
  <c r="CH152" i="1" s="1"/>
  <c r="CI152" i="1" s="1"/>
  <c r="AQ153" i="1"/>
  <c r="CO151" i="1"/>
  <c r="CR151" i="1" s="1"/>
  <c r="CP151" i="1"/>
  <c r="CU151" i="1"/>
  <c r="AV284" i="1"/>
  <c r="CG153" i="1" l="1"/>
  <c r="CH153" i="1" s="1"/>
  <c r="CI153" i="1" s="1"/>
  <c r="AQ154" i="1"/>
  <c r="CU152" i="1"/>
  <c r="CO152" i="1"/>
  <c r="CR152" i="1" s="1"/>
  <c r="CP152" i="1"/>
  <c r="AV285" i="1"/>
  <c r="CG154" i="1" l="1"/>
  <c r="CH154" i="1" s="1"/>
  <c r="CI154" i="1" s="1"/>
  <c r="AQ155" i="1"/>
  <c r="CO153" i="1"/>
  <c r="CR153" i="1" s="1"/>
  <c r="CU153" i="1"/>
  <c r="CP153" i="1"/>
  <c r="AV286" i="1"/>
  <c r="CG155" i="1" l="1"/>
  <c r="CH155" i="1" s="1"/>
  <c r="CI155" i="1" s="1"/>
  <c r="AQ156" i="1"/>
  <c r="CO154" i="1"/>
  <c r="CR154" i="1" s="1"/>
  <c r="CP154" i="1"/>
  <c r="CU154" i="1"/>
  <c r="AV287" i="1"/>
  <c r="CG156" i="1" l="1"/>
  <c r="CH156" i="1" s="1"/>
  <c r="CI156" i="1" s="1"/>
  <c r="AQ157" i="1"/>
  <c r="CU155" i="1"/>
  <c r="CO155" i="1"/>
  <c r="CR155" i="1" s="1"/>
  <c r="CP155" i="1"/>
  <c r="AV288" i="1"/>
  <c r="CG157" i="1" l="1"/>
  <c r="CH157" i="1" s="1"/>
  <c r="CI157" i="1" s="1"/>
  <c r="AQ158" i="1"/>
  <c r="CU156" i="1"/>
  <c r="CP156" i="1"/>
  <c r="CO156" i="1"/>
  <c r="CR156" i="1" s="1"/>
  <c r="AV289" i="1"/>
  <c r="CG158" i="1" l="1"/>
  <c r="CH158" i="1" s="1"/>
  <c r="CI158" i="1" s="1"/>
  <c r="AQ159" i="1"/>
  <c r="CP157" i="1"/>
  <c r="CU157" i="1"/>
  <c r="CO157" i="1"/>
  <c r="CR157" i="1" s="1"/>
  <c r="AV290" i="1"/>
  <c r="CG159" i="1" l="1"/>
  <c r="CH159" i="1" s="1"/>
  <c r="CI159" i="1" s="1"/>
  <c r="AQ160" i="1"/>
  <c r="CO158" i="1"/>
  <c r="CR158" i="1" s="1"/>
  <c r="CP158" i="1"/>
  <c r="CU158" i="1"/>
  <c r="AV291" i="1"/>
  <c r="CG160" i="1" l="1"/>
  <c r="CH160" i="1" s="1"/>
  <c r="CI160" i="1" s="1"/>
  <c r="AQ161" i="1"/>
  <c r="CP159" i="1"/>
  <c r="CO159" i="1"/>
  <c r="CR159" i="1" s="1"/>
  <c r="CU159" i="1"/>
  <c r="AV292" i="1"/>
  <c r="CG161" i="1" l="1"/>
  <c r="CH161" i="1" s="1"/>
  <c r="CI161" i="1" s="1"/>
  <c r="AQ162" i="1"/>
  <c r="CU160" i="1"/>
  <c r="CO160" i="1"/>
  <c r="CR160" i="1" s="1"/>
  <c r="CP160" i="1"/>
  <c r="AV293" i="1"/>
  <c r="CG162" i="1" l="1"/>
  <c r="CH162" i="1" s="1"/>
  <c r="CI162" i="1" s="1"/>
  <c r="AQ163" i="1"/>
  <c r="CP161" i="1"/>
  <c r="CU161" i="1"/>
  <c r="CO161" i="1"/>
  <c r="CR161" i="1" s="1"/>
  <c r="AV294" i="1"/>
  <c r="CG163" i="1" l="1"/>
  <c r="CH163" i="1" s="1"/>
  <c r="CI163" i="1" s="1"/>
  <c r="AQ164" i="1"/>
  <c r="CU162" i="1"/>
  <c r="CP162" i="1"/>
  <c r="CO162" i="1"/>
  <c r="CR162" i="1" s="1"/>
  <c r="AV295" i="1"/>
  <c r="CG164" i="1" l="1"/>
  <c r="CH164" i="1" s="1"/>
  <c r="CI164" i="1" s="1"/>
  <c r="AQ165" i="1"/>
  <c r="CP163" i="1"/>
  <c r="CU163" i="1"/>
  <c r="CO163" i="1"/>
  <c r="CR163" i="1" s="1"/>
  <c r="AV296" i="1"/>
  <c r="CG165" i="1" l="1"/>
  <c r="CH165" i="1" s="1"/>
  <c r="CI165" i="1" s="1"/>
  <c r="AQ166" i="1"/>
  <c r="CU164" i="1"/>
  <c r="CO164" i="1"/>
  <c r="CR164" i="1" s="1"/>
  <c r="CP164" i="1"/>
  <c r="AV297" i="1"/>
  <c r="CG166" i="1" l="1"/>
  <c r="CH166" i="1" s="1"/>
  <c r="CI166" i="1" s="1"/>
  <c r="AQ167" i="1"/>
  <c r="CP165" i="1"/>
  <c r="CO165" i="1"/>
  <c r="CR165" i="1" s="1"/>
  <c r="CU165" i="1"/>
  <c r="AV298" i="1"/>
  <c r="CG167" i="1" l="1"/>
  <c r="CH167" i="1" s="1"/>
  <c r="CI167" i="1" s="1"/>
  <c r="AQ168" i="1"/>
  <c r="CP166" i="1"/>
  <c r="CO166" i="1"/>
  <c r="CR166" i="1" s="1"/>
  <c r="CU166" i="1"/>
  <c r="AV299" i="1"/>
  <c r="CG168" i="1" l="1"/>
  <c r="CH168" i="1" s="1"/>
  <c r="CI168" i="1" s="1"/>
  <c r="AQ169" i="1"/>
  <c r="CU167" i="1"/>
  <c r="CP167" i="1"/>
  <c r="CO167" i="1"/>
  <c r="CR167" i="1" s="1"/>
  <c r="AV300" i="1"/>
  <c r="CG169" i="1" l="1"/>
  <c r="CH169" i="1" s="1"/>
  <c r="CI169" i="1" s="1"/>
  <c r="AQ170" i="1"/>
  <c r="CP168" i="1"/>
  <c r="CU168" i="1"/>
  <c r="CO168" i="1"/>
  <c r="CR168" i="1" s="1"/>
  <c r="AV301" i="1"/>
  <c r="CG170" i="1" l="1"/>
  <c r="CH170" i="1" s="1"/>
  <c r="CI170" i="1" s="1"/>
  <c r="AQ171" i="1"/>
  <c r="CO169" i="1"/>
  <c r="CR169" i="1" s="1"/>
  <c r="CU169" i="1"/>
  <c r="CP169" i="1"/>
  <c r="AV302" i="1"/>
  <c r="CG171" i="1" l="1"/>
  <c r="CH171" i="1" s="1"/>
  <c r="CI171" i="1" s="1"/>
  <c r="AQ172" i="1"/>
  <c r="CO170" i="1"/>
  <c r="CR170" i="1" s="1"/>
  <c r="CP170" i="1"/>
  <c r="CU170" i="1"/>
  <c r="AV303" i="1"/>
  <c r="CG172" i="1" l="1"/>
  <c r="CH172" i="1" s="1"/>
  <c r="CI172" i="1" s="1"/>
  <c r="AQ173" i="1"/>
  <c r="CU171" i="1"/>
  <c r="CO171" i="1"/>
  <c r="CR171" i="1" s="1"/>
  <c r="CP171" i="1"/>
  <c r="AV304" i="1"/>
  <c r="CG173" i="1" l="1"/>
  <c r="CH173" i="1" s="1"/>
  <c r="CI173" i="1" s="1"/>
  <c r="AQ174" i="1"/>
  <c r="CO172" i="1"/>
  <c r="CR172" i="1" s="1"/>
  <c r="CU172" i="1"/>
  <c r="CP172" i="1"/>
  <c r="AV305" i="1"/>
  <c r="CG174" i="1" l="1"/>
  <c r="CH174" i="1" s="1"/>
  <c r="CI174" i="1" s="1"/>
  <c r="AQ175" i="1"/>
  <c r="CO173" i="1"/>
  <c r="CR173" i="1" s="1"/>
  <c r="CU173" i="1"/>
  <c r="CP173" i="1"/>
  <c r="AV306" i="1"/>
  <c r="CG175" i="1" l="1"/>
  <c r="CH175" i="1" s="1"/>
  <c r="CI175" i="1" s="1"/>
  <c r="AQ176" i="1"/>
  <c r="CP174" i="1"/>
  <c r="CO174" i="1"/>
  <c r="CR174" i="1" s="1"/>
  <c r="CU174" i="1"/>
  <c r="AV307" i="1"/>
  <c r="CG176" i="1" l="1"/>
  <c r="CH176" i="1" s="1"/>
  <c r="CI176" i="1" s="1"/>
  <c r="AQ177" i="1"/>
  <c r="CO175" i="1"/>
  <c r="CR175" i="1" s="1"/>
  <c r="CP175" i="1"/>
  <c r="CU175" i="1"/>
  <c r="AV308" i="1"/>
  <c r="CG177" i="1" l="1"/>
  <c r="CH177" i="1" s="1"/>
  <c r="CI177" i="1" s="1"/>
  <c r="AQ178" i="1"/>
  <c r="CO176" i="1"/>
  <c r="CR176" i="1" s="1"/>
  <c r="CU176" i="1"/>
  <c r="CP176" i="1"/>
  <c r="AV309" i="1"/>
  <c r="CG178" i="1" l="1"/>
  <c r="CH178" i="1" s="1"/>
  <c r="CI178" i="1" s="1"/>
  <c r="AQ179" i="1"/>
  <c r="CP177" i="1"/>
  <c r="CO177" i="1"/>
  <c r="CR177" i="1" s="1"/>
  <c r="CU177" i="1"/>
  <c r="AV310" i="1"/>
  <c r="CG179" i="1" l="1"/>
  <c r="CH179" i="1" s="1"/>
  <c r="CI179" i="1" s="1"/>
  <c r="AQ180" i="1"/>
  <c r="CU178" i="1"/>
  <c r="CP178" i="1"/>
  <c r="CO178" i="1"/>
  <c r="CR178" i="1" s="1"/>
  <c r="AV311" i="1"/>
  <c r="CG180" i="1" l="1"/>
  <c r="CH180" i="1" s="1"/>
  <c r="CI180" i="1" s="1"/>
  <c r="AQ181" i="1"/>
  <c r="CO179" i="1"/>
  <c r="CR179" i="1" s="1"/>
  <c r="CP179" i="1"/>
  <c r="CU179" i="1"/>
  <c r="AV312" i="1"/>
  <c r="CG181" i="1" l="1"/>
  <c r="CH181" i="1" s="1"/>
  <c r="CI181" i="1" s="1"/>
  <c r="AQ182" i="1"/>
  <c r="CO180" i="1"/>
  <c r="CR180" i="1" s="1"/>
  <c r="CP180" i="1"/>
  <c r="CU180" i="1"/>
  <c r="AV313" i="1"/>
  <c r="CG182" i="1" l="1"/>
  <c r="CH182" i="1" s="1"/>
  <c r="CI182" i="1" s="1"/>
  <c r="AQ183" i="1"/>
  <c r="CU181" i="1"/>
  <c r="CO181" i="1"/>
  <c r="CR181" i="1" s="1"/>
  <c r="CP181" i="1"/>
  <c r="AV314" i="1"/>
  <c r="CG183" i="1" l="1"/>
  <c r="CH183" i="1" s="1"/>
  <c r="CI183" i="1" s="1"/>
  <c r="AQ184" i="1"/>
  <c r="CP182" i="1"/>
  <c r="CO182" i="1"/>
  <c r="CR182" i="1" s="1"/>
  <c r="CU182" i="1"/>
  <c r="AV315" i="1"/>
  <c r="CG184" i="1" l="1"/>
  <c r="CH184" i="1" s="1"/>
  <c r="CI184" i="1" s="1"/>
  <c r="AQ185" i="1"/>
  <c r="CU183" i="1"/>
  <c r="CO183" i="1"/>
  <c r="CR183" i="1" s="1"/>
  <c r="CP183" i="1"/>
  <c r="AV316" i="1"/>
  <c r="CG185" i="1" l="1"/>
  <c r="CH185" i="1" s="1"/>
  <c r="CI185" i="1" s="1"/>
  <c r="AQ186" i="1"/>
  <c r="CO184" i="1"/>
  <c r="CR184" i="1" s="1"/>
  <c r="CP184" i="1"/>
  <c r="CU184" i="1"/>
  <c r="AV317" i="1"/>
  <c r="CG186" i="1" l="1"/>
  <c r="CH186" i="1" s="1"/>
  <c r="CI186" i="1" s="1"/>
  <c r="AQ187" i="1"/>
  <c r="CP185" i="1"/>
  <c r="CO185" i="1"/>
  <c r="CR185" i="1" s="1"/>
  <c r="CU185" i="1"/>
  <c r="AV318" i="1"/>
  <c r="CG187" i="1" l="1"/>
  <c r="CH187" i="1" s="1"/>
  <c r="CI187" i="1" s="1"/>
  <c r="AQ188" i="1"/>
  <c r="CU186" i="1"/>
  <c r="CP186" i="1"/>
  <c r="CO186" i="1"/>
  <c r="CR186" i="1" s="1"/>
  <c r="AV319" i="1"/>
  <c r="CG188" i="1" l="1"/>
  <c r="CH188" i="1" s="1"/>
  <c r="CI188" i="1" s="1"/>
  <c r="AQ189" i="1"/>
  <c r="CP187" i="1"/>
  <c r="CU187" i="1"/>
  <c r="CO187" i="1"/>
  <c r="CR187" i="1" s="1"/>
  <c r="AV320" i="1"/>
  <c r="CG189" i="1" l="1"/>
  <c r="CH189" i="1" s="1"/>
  <c r="CI189" i="1" s="1"/>
  <c r="AQ190" i="1"/>
  <c r="CU188" i="1"/>
  <c r="CO188" i="1"/>
  <c r="CR188" i="1" s="1"/>
  <c r="CP188" i="1"/>
  <c r="AV321" i="1"/>
  <c r="CG190" i="1" l="1"/>
  <c r="CH190" i="1" s="1"/>
  <c r="CI190" i="1" s="1"/>
  <c r="AQ191" i="1"/>
  <c r="CO189" i="1"/>
  <c r="CR189" i="1" s="1"/>
  <c r="CP189" i="1"/>
  <c r="CU189" i="1"/>
  <c r="AV322" i="1"/>
  <c r="CG191" i="1" l="1"/>
  <c r="CH191" i="1" s="1"/>
  <c r="CI191" i="1" s="1"/>
  <c r="AQ192" i="1"/>
  <c r="CO190" i="1"/>
  <c r="CR190" i="1" s="1"/>
  <c r="CP190" i="1"/>
  <c r="CU190" i="1"/>
  <c r="AV323" i="1"/>
  <c r="CG192" i="1" l="1"/>
  <c r="CH192" i="1" s="1"/>
  <c r="CI192" i="1" s="1"/>
  <c r="AQ193" i="1"/>
  <c r="CU191" i="1"/>
  <c r="CP191" i="1"/>
  <c r="CO191" i="1"/>
  <c r="CR191" i="1" s="1"/>
  <c r="AV324" i="1"/>
  <c r="CG193" i="1" l="1"/>
  <c r="CH193" i="1" s="1"/>
  <c r="CI193" i="1" s="1"/>
  <c r="AQ194" i="1"/>
  <c r="CO192" i="1"/>
  <c r="CR192" i="1" s="1"/>
  <c r="CP192" i="1"/>
  <c r="CU192" i="1"/>
  <c r="AV325" i="1"/>
  <c r="CG194" i="1" l="1"/>
  <c r="CH194" i="1" s="1"/>
  <c r="CI194" i="1" s="1"/>
  <c r="AQ195" i="1"/>
  <c r="CP193" i="1"/>
  <c r="CU193" i="1"/>
  <c r="CO193" i="1"/>
  <c r="CR193" i="1" s="1"/>
  <c r="AV326" i="1"/>
  <c r="CG195" i="1" l="1"/>
  <c r="CH195" i="1" s="1"/>
  <c r="CI195" i="1" s="1"/>
  <c r="AQ196" i="1"/>
  <c r="CU194" i="1"/>
  <c r="CP194" i="1"/>
  <c r="CO194" i="1"/>
  <c r="CR194" i="1" s="1"/>
  <c r="AV327" i="1"/>
  <c r="CG196" i="1" l="1"/>
  <c r="CH196" i="1" s="1"/>
  <c r="CI196" i="1" s="1"/>
  <c r="AQ197" i="1"/>
  <c r="CO195" i="1"/>
  <c r="CR195" i="1" s="1"/>
  <c r="CU195" i="1"/>
  <c r="CP195" i="1"/>
  <c r="AV328" i="1"/>
  <c r="CG197" i="1" l="1"/>
  <c r="CH197" i="1" s="1"/>
  <c r="CI197" i="1" s="1"/>
  <c r="AQ198" i="1"/>
  <c r="CU196" i="1"/>
  <c r="CP196" i="1"/>
  <c r="CO196" i="1"/>
  <c r="CR196" i="1" s="1"/>
  <c r="AV329" i="1"/>
  <c r="CG198" i="1" l="1"/>
  <c r="CH198" i="1" s="1"/>
  <c r="CI198" i="1" s="1"/>
  <c r="AQ199" i="1"/>
  <c r="CU197" i="1"/>
  <c r="CP197" i="1"/>
  <c r="CO197" i="1"/>
  <c r="CR197" i="1" s="1"/>
  <c r="AV330" i="1"/>
  <c r="CG199" i="1" l="1"/>
  <c r="CH199" i="1" s="1"/>
  <c r="CI199" i="1" s="1"/>
  <c r="AQ200" i="1"/>
  <c r="CO198" i="1"/>
  <c r="CR198" i="1" s="1"/>
  <c r="CP198" i="1"/>
  <c r="CU198" i="1"/>
  <c r="AV331" i="1"/>
  <c r="CG200" i="1" l="1"/>
  <c r="CH200" i="1" s="1"/>
  <c r="CI200" i="1" s="1"/>
  <c r="AQ201" i="1"/>
  <c r="CU199" i="1"/>
  <c r="CO199" i="1"/>
  <c r="CR199" i="1" s="1"/>
  <c r="CP199" i="1"/>
  <c r="AV332" i="1"/>
  <c r="CG201" i="1" l="1"/>
  <c r="CH201" i="1" s="1"/>
  <c r="CI201" i="1" s="1"/>
  <c r="AQ202" i="1"/>
  <c r="CO200" i="1"/>
  <c r="CR200" i="1" s="1"/>
  <c r="CP200" i="1"/>
  <c r="CU200" i="1"/>
  <c r="AV333" i="1"/>
  <c r="CG202" i="1" l="1"/>
  <c r="CH202" i="1" s="1"/>
  <c r="CI202" i="1" s="1"/>
  <c r="AQ203" i="1"/>
  <c r="CU201" i="1"/>
  <c r="CP201" i="1"/>
  <c r="CO201" i="1"/>
  <c r="CR201" i="1" s="1"/>
  <c r="AV334" i="1"/>
  <c r="CG203" i="1" l="1"/>
  <c r="CH203" i="1" s="1"/>
  <c r="CI203" i="1" s="1"/>
  <c r="AQ204" i="1"/>
  <c r="CP202" i="1"/>
  <c r="CU202" i="1"/>
  <c r="CO202" i="1"/>
  <c r="CR202" i="1" s="1"/>
  <c r="AV335" i="1"/>
  <c r="CG204" i="1" l="1"/>
  <c r="CH204" i="1" s="1"/>
  <c r="CI204" i="1" s="1"/>
  <c r="AQ205" i="1"/>
  <c r="CP203" i="1"/>
  <c r="CO203" i="1"/>
  <c r="CR203" i="1" s="1"/>
  <c r="CU203" i="1"/>
  <c r="AV336" i="1"/>
  <c r="CG205" i="1" l="1"/>
  <c r="CH205" i="1" s="1"/>
  <c r="CI205" i="1" s="1"/>
  <c r="AQ206" i="1"/>
  <c r="CO204" i="1"/>
  <c r="CR204" i="1" s="1"/>
  <c r="CP204" i="1"/>
  <c r="CU204" i="1"/>
  <c r="AV337" i="1"/>
  <c r="CG206" i="1" l="1"/>
  <c r="CH206" i="1" s="1"/>
  <c r="CI206" i="1" s="1"/>
  <c r="AQ207" i="1"/>
  <c r="CP205" i="1"/>
  <c r="CO205" i="1"/>
  <c r="CR205" i="1" s="1"/>
  <c r="CU205" i="1"/>
  <c r="AV338" i="1"/>
  <c r="CG207" i="1" l="1"/>
  <c r="CH207" i="1" s="1"/>
  <c r="CI207" i="1" s="1"/>
  <c r="AQ208" i="1"/>
  <c r="CO206" i="1"/>
  <c r="CR206" i="1" s="1"/>
  <c r="CP206" i="1"/>
  <c r="CU206" i="1"/>
  <c r="AV339" i="1"/>
  <c r="CG208" i="1" l="1"/>
  <c r="CH208" i="1" s="1"/>
  <c r="CI208" i="1" s="1"/>
  <c r="AQ209" i="1"/>
  <c r="CO207" i="1"/>
  <c r="CR207" i="1" s="1"/>
  <c r="CU207" i="1"/>
  <c r="CP207" i="1"/>
  <c r="AV340" i="1"/>
  <c r="CG209" i="1" l="1"/>
  <c r="CH209" i="1" s="1"/>
  <c r="CI209" i="1" s="1"/>
  <c r="AQ210" i="1"/>
  <c r="CP208" i="1"/>
  <c r="CU208" i="1"/>
  <c r="CO208" i="1"/>
  <c r="CR208" i="1" s="1"/>
  <c r="AV341" i="1"/>
  <c r="CG210" i="1" l="1"/>
  <c r="CH210" i="1" s="1"/>
  <c r="CI210" i="1" s="1"/>
  <c r="AQ211" i="1"/>
  <c r="CO209" i="1"/>
  <c r="CR209" i="1" s="1"/>
  <c r="CU209" i="1"/>
  <c r="CP209" i="1"/>
  <c r="AV342" i="1"/>
  <c r="CG211" i="1" l="1"/>
  <c r="CH211" i="1" s="1"/>
  <c r="CI211" i="1" s="1"/>
  <c r="AQ212" i="1"/>
  <c r="CU210" i="1"/>
  <c r="CO210" i="1"/>
  <c r="CR210" i="1" s="1"/>
  <c r="CP210" i="1"/>
  <c r="AV343" i="1"/>
  <c r="CG212" i="1" l="1"/>
  <c r="CH212" i="1" s="1"/>
  <c r="CI212" i="1" s="1"/>
  <c r="AQ213" i="1"/>
  <c r="CO211" i="1"/>
  <c r="CR211" i="1" s="1"/>
  <c r="CU211" i="1"/>
  <c r="CP211" i="1"/>
  <c r="AV344" i="1"/>
  <c r="CG213" i="1" l="1"/>
  <c r="CH213" i="1" s="1"/>
  <c r="CI213" i="1" s="1"/>
  <c r="AQ214" i="1"/>
  <c r="CU212" i="1"/>
  <c r="CO212" i="1"/>
  <c r="CR212" i="1" s="1"/>
  <c r="CP212" i="1"/>
  <c r="AV345" i="1"/>
  <c r="CG214" i="1" l="1"/>
  <c r="CH214" i="1" s="1"/>
  <c r="CI214" i="1" s="1"/>
  <c r="AQ215" i="1"/>
  <c r="CO213" i="1"/>
  <c r="CR213" i="1" s="1"/>
  <c r="CU213" i="1"/>
  <c r="CP213" i="1"/>
  <c r="AV346" i="1"/>
  <c r="CG215" i="1" l="1"/>
  <c r="CH215" i="1" s="1"/>
  <c r="CI215" i="1" s="1"/>
  <c r="AQ216" i="1"/>
  <c r="CU214" i="1"/>
  <c r="CP214" i="1"/>
  <c r="CO214" i="1"/>
  <c r="CR214" i="1" s="1"/>
  <c r="AV347" i="1"/>
  <c r="CG216" i="1" l="1"/>
  <c r="CH216" i="1" s="1"/>
  <c r="CI216" i="1" s="1"/>
  <c r="AQ217" i="1"/>
  <c r="CU215" i="1"/>
  <c r="CO215" i="1"/>
  <c r="CR215" i="1" s="1"/>
  <c r="CP215" i="1"/>
  <c r="AV348" i="1"/>
  <c r="CG217" i="1" l="1"/>
  <c r="CH217" i="1" s="1"/>
  <c r="CI217" i="1" s="1"/>
  <c r="AQ218" i="1"/>
  <c r="CO216" i="1"/>
  <c r="CR216" i="1" s="1"/>
  <c r="CP216" i="1"/>
  <c r="CU216" i="1"/>
  <c r="AV349" i="1"/>
  <c r="CG218" i="1" l="1"/>
  <c r="CH218" i="1" s="1"/>
  <c r="CI218" i="1" s="1"/>
  <c r="AQ219" i="1"/>
  <c r="CO217" i="1"/>
  <c r="CR217" i="1" s="1"/>
  <c r="CP217" i="1"/>
  <c r="CU217" i="1"/>
  <c r="AV350" i="1"/>
  <c r="CG219" i="1" l="1"/>
  <c r="CH219" i="1" s="1"/>
  <c r="CI219" i="1" s="1"/>
  <c r="AQ220" i="1"/>
  <c r="CP218" i="1"/>
  <c r="CO218" i="1"/>
  <c r="CR218" i="1" s="1"/>
  <c r="CU218" i="1"/>
  <c r="AV351" i="1"/>
  <c r="CG220" i="1" l="1"/>
  <c r="CH220" i="1" s="1"/>
  <c r="CI220" i="1" s="1"/>
  <c r="AQ221" i="1"/>
  <c r="CO219" i="1"/>
  <c r="CR219" i="1" s="1"/>
  <c r="CP219" i="1"/>
  <c r="CU219" i="1"/>
  <c r="AV352" i="1"/>
  <c r="CG221" i="1" l="1"/>
  <c r="CH221" i="1" s="1"/>
  <c r="CI221" i="1" s="1"/>
  <c r="AQ222" i="1"/>
  <c r="CO220" i="1"/>
  <c r="CR220" i="1" s="1"/>
  <c r="CP220" i="1"/>
  <c r="CU220" i="1"/>
  <c r="AV353" i="1"/>
  <c r="CG222" i="1" l="1"/>
  <c r="CH222" i="1" s="1"/>
  <c r="CI222" i="1" s="1"/>
  <c r="AQ223" i="1"/>
  <c r="CO221" i="1"/>
  <c r="CR221" i="1" s="1"/>
  <c r="CP221" i="1"/>
  <c r="CU221" i="1"/>
  <c r="AV354" i="1"/>
  <c r="CG223" i="1" l="1"/>
  <c r="CH223" i="1" s="1"/>
  <c r="CI223" i="1" s="1"/>
  <c r="AQ224" i="1"/>
  <c r="CO222" i="1"/>
  <c r="CR222" i="1" s="1"/>
  <c r="CU222" i="1"/>
  <c r="CP222" i="1"/>
  <c r="AV355" i="1"/>
  <c r="CG224" i="1" l="1"/>
  <c r="CH224" i="1" s="1"/>
  <c r="CI224" i="1" s="1"/>
  <c r="AQ225" i="1"/>
  <c r="CO223" i="1"/>
  <c r="CR223" i="1" s="1"/>
  <c r="CU223" i="1"/>
  <c r="CP223" i="1"/>
  <c r="AV356" i="1"/>
  <c r="CG225" i="1" l="1"/>
  <c r="CH225" i="1" s="1"/>
  <c r="CI225" i="1" s="1"/>
  <c r="AQ226" i="1"/>
  <c r="CO224" i="1"/>
  <c r="CR224" i="1" s="1"/>
  <c r="CP224" i="1"/>
  <c r="CU224" i="1"/>
  <c r="AV357" i="1"/>
  <c r="CG226" i="1" l="1"/>
  <c r="CH226" i="1" s="1"/>
  <c r="CI226" i="1" s="1"/>
  <c r="AQ227" i="1"/>
  <c r="CO225" i="1"/>
  <c r="CR225" i="1" s="1"/>
  <c r="CP225" i="1"/>
  <c r="CU225" i="1"/>
  <c r="AV358" i="1"/>
  <c r="CG227" i="1" l="1"/>
  <c r="CH227" i="1" s="1"/>
  <c r="CI227" i="1" s="1"/>
  <c r="AQ228" i="1"/>
  <c r="CP226" i="1"/>
  <c r="CO226" i="1"/>
  <c r="CR226" i="1" s="1"/>
  <c r="CU226" i="1"/>
  <c r="AV359" i="1"/>
  <c r="CG228" i="1" l="1"/>
  <c r="CH228" i="1" s="1"/>
  <c r="CI228" i="1" s="1"/>
  <c r="AQ229" i="1"/>
  <c r="CO227" i="1"/>
  <c r="CR227" i="1" s="1"/>
  <c r="CP227" i="1"/>
  <c r="CU227" i="1"/>
  <c r="AV360" i="1"/>
  <c r="CG229" i="1" l="1"/>
  <c r="CH229" i="1" s="1"/>
  <c r="CI229" i="1" s="1"/>
  <c r="AQ230" i="1"/>
  <c r="CO228" i="1"/>
  <c r="CR228" i="1" s="1"/>
  <c r="CP228" i="1"/>
  <c r="CU228" i="1"/>
  <c r="AV361" i="1"/>
  <c r="CG230" i="1" l="1"/>
  <c r="CH230" i="1" s="1"/>
  <c r="CI230" i="1" s="1"/>
  <c r="AQ231" i="1"/>
  <c r="CO229" i="1"/>
  <c r="CR229" i="1" s="1"/>
  <c r="CP229" i="1"/>
  <c r="CU229" i="1"/>
  <c r="AV362" i="1"/>
  <c r="CG231" i="1" l="1"/>
  <c r="CH231" i="1" s="1"/>
  <c r="CI231" i="1" s="1"/>
  <c r="AQ232" i="1"/>
  <c r="CU230" i="1"/>
  <c r="CO230" i="1"/>
  <c r="CR230" i="1" s="1"/>
  <c r="CP230" i="1"/>
  <c r="AV363" i="1"/>
  <c r="CG232" i="1" l="1"/>
  <c r="CH232" i="1" s="1"/>
  <c r="CI232" i="1" s="1"/>
  <c r="AQ233" i="1"/>
  <c r="CO231" i="1"/>
  <c r="CR231" i="1" s="1"/>
  <c r="CP231" i="1"/>
  <c r="CU231" i="1"/>
  <c r="AV364" i="1"/>
  <c r="CG233" i="1" l="1"/>
  <c r="CH233" i="1" s="1"/>
  <c r="CI233" i="1" s="1"/>
  <c r="AQ234" i="1"/>
  <c r="CP232" i="1"/>
  <c r="CO232" i="1"/>
  <c r="CR232" i="1" s="1"/>
  <c r="CU232" i="1"/>
  <c r="AV365" i="1"/>
  <c r="CG234" i="1" l="1"/>
  <c r="CH234" i="1" s="1"/>
  <c r="CI234" i="1" s="1"/>
  <c r="AQ235" i="1"/>
  <c r="CP233" i="1"/>
  <c r="CO233" i="1"/>
  <c r="CR233" i="1" s="1"/>
  <c r="CU233" i="1"/>
  <c r="AV366" i="1"/>
  <c r="CG235" i="1" l="1"/>
  <c r="CH235" i="1" s="1"/>
  <c r="CI235" i="1" s="1"/>
  <c r="AQ236" i="1"/>
  <c r="CU234" i="1"/>
  <c r="CP234" i="1"/>
  <c r="CO234" i="1"/>
  <c r="CR234" i="1" s="1"/>
  <c r="AV367" i="1"/>
  <c r="CG236" i="1" l="1"/>
  <c r="CH236" i="1" s="1"/>
  <c r="CI236" i="1" s="1"/>
  <c r="AQ237" i="1"/>
  <c r="CP235" i="1"/>
  <c r="CO235" i="1"/>
  <c r="CR235" i="1" s="1"/>
  <c r="CU235" i="1"/>
  <c r="AV368" i="1"/>
  <c r="CG237" i="1" l="1"/>
  <c r="CH237" i="1" s="1"/>
  <c r="CI237" i="1" s="1"/>
  <c r="AQ238" i="1"/>
  <c r="CO236" i="1"/>
  <c r="CR236" i="1" s="1"/>
  <c r="CP236" i="1"/>
  <c r="CU236" i="1"/>
  <c r="AV369" i="1"/>
  <c r="CG238" i="1" l="1"/>
  <c r="CH238" i="1" s="1"/>
  <c r="CI238" i="1" s="1"/>
  <c r="AQ239" i="1"/>
  <c r="CO237" i="1"/>
  <c r="CR237" i="1" s="1"/>
  <c r="CU237" i="1"/>
  <c r="CP237" i="1"/>
  <c r="AV370" i="1"/>
  <c r="CG239" i="1" l="1"/>
  <c r="CH239" i="1" s="1"/>
  <c r="CI239" i="1" s="1"/>
  <c r="AQ240" i="1"/>
  <c r="CP238" i="1"/>
  <c r="CO238" i="1"/>
  <c r="CR238" i="1" s="1"/>
  <c r="CU238" i="1"/>
  <c r="AV371" i="1"/>
  <c r="CG240" i="1" l="1"/>
  <c r="CH240" i="1" s="1"/>
  <c r="CI240" i="1" s="1"/>
  <c r="AQ241" i="1"/>
  <c r="CP239" i="1"/>
  <c r="CO239" i="1"/>
  <c r="CR239" i="1" s="1"/>
  <c r="CU239" i="1"/>
  <c r="AV372" i="1"/>
  <c r="CG241" i="1" l="1"/>
  <c r="CH241" i="1" s="1"/>
  <c r="CI241" i="1" s="1"/>
  <c r="AQ242" i="1"/>
  <c r="CO240" i="1"/>
  <c r="CR240" i="1" s="1"/>
  <c r="CP240" i="1"/>
  <c r="CU240" i="1"/>
  <c r="AV373" i="1"/>
  <c r="CG242" i="1" l="1"/>
  <c r="CH242" i="1" s="1"/>
  <c r="CI242" i="1" s="1"/>
  <c r="AQ243" i="1"/>
  <c r="CU241" i="1"/>
  <c r="CO241" i="1"/>
  <c r="CR241" i="1" s="1"/>
  <c r="CP241" i="1"/>
  <c r="AV374" i="1"/>
  <c r="CG243" i="1" l="1"/>
  <c r="CH243" i="1" s="1"/>
  <c r="CI243" i="1" s="1"/>
  <c r="AQ244" i="1"/>
  <c r="CO242" i="1"/>
  <c r="CR242" i="1" s="1"/>
  <c r="CU242" i="1"/>
  <c r="CP242" i="1"/>
  <c r="AV375" i="1"/>
  <c r="CG244" i="1" l="1"/>
  <c r="CH244" i="1" s="1"/>
  <c r="CI244" i="1" s="1"/>
  <c r="AQ245" i="1"/>
  <c r="CU243" i="1"/>
  <c r="CO243" i="1"/>
  <c r="CR243" i="1" s="1"/>
  <c r="CP243" i="1"/>
  <c r="AV376" i="1"/>
  <c r="CG245" i="1" l="1"/>
  <c r="CH245" i="1" s="1"/>
  <c r="CI245" i="1" s="1"/>
  <c r="AQ246" i="1"/>
  <c r="CP244" i="1"/>
  <c r="CU244" i="1"/>
  <c r="CO244" i="1"/>
  <c r="CR244" i="1" s="1"/>
  <c r="AV377" i="1"/>
  <c r="CG246" i="1" l="1"/>
  <c r="CH246" i="1" s="1"/>
  <c r="CI246" i="1" s="1"/>
  <c r="AQ247" i="1"/>
  <c r="CO245" i="1"/>
  <c r="CR245" i="1" s="1"/>
  <c r="CP245" i="1"/>
  <c r="CU245" i="1"/>
  <c r="AV378" i="1"/>
  <c r="CG247" i="1" l="1"/>
  <c r="CH247" i="1" s="1"/>
  <c r="CI247" i="1" s="1"/>
  <c r="AQ248" i="1"/>
  <c r="CO246" i="1"/>
  <c r="CR246" i="1" s="1"/>
  <c r="CU246" i="1"/>
  <c r="CP246" i="1"/>
  <c r="AV379" i="1"/>
  <c r="CG248" i="1" l="1"/>
  <c r="CH248" i="1" s="1"/>
  <c r="CI248" i="1" s="1"/>
  <c r="AQ249" i="1"/>
  <c r="CO247" i="1"/>
  <c r="CR247" i="1" s="1"/>
  <c r="CP247" i="1"/>
  <c r="CU247" i="1"/>
  <c r="AV380" i="1"/>
  <c r="CG249" i="1" l="1"/>
  <c r="CH249" i="1" s="1"/>
  <c r="CI249" i="1" s="1"/>
  <c r="AQ250" i="1"/>
  <c r="CO248" i="1"/>
  <c r="CR248" i="1" s="1"/>
  <c r="CU248" i="1"/>
  <c r="CP248" i="1"/>
  <c r="AV381" i="1"/>
  <c r="CG250" i="1" l="1"/>
  <c r="CH250" i="1" s="1"/>
  <c r="CI250" i="1" s="1"/>
  <c r="AQ251" i="1"/>
  <c r="CU249" i="1"/>
  <c r="CO249" i="1"/>
  <c r="CR249" i="1" s="1"/>
  <c r="CP249" i="1"/>
  <c r="AV382" i="1"/>
  <c r="CG251" i="1" l="1"/>
  <c r="CH251" i="1" s="1"/>
  <c r="CI251" i="1" s="1"/>
  <c r="AQ252" i="1"/>
  <c r="CP250" i="1"/>
  <c r="CO250" i="1"/>
  <c r="CR250" i="1" s="1"/>
  <c r="CU250" i="1"/>
  <c r="AV383" i="1"/>
  <c r="CG252" i="1" l="1"/>
  <c r="CH252" i="1" s="1"/>
  <c r="CI252" i="1" s="1"/>
  <c r="AQ253" i="1"/>
  <c r="CO251" i="1"/>
  <c r="CR251" i="1" s="1"/>
  <c r="CP251" i="1"/>
  <c r="CU251" i="1"/>
  <c r="AV384" i="1"/>
  <c r="CG253" i="1" l="1"/>
  <c r="CH253" i="1" s="1"/>
  <c r="CI253" i="1" s="1"/>
  <c r="AQ254" i="1"/>
  <c r="CP252" i="1"/>
  <c r="CO252" i="1"/>
  <c r="CR252" i="1" s="1"/>
  <c r="CU252" i="1"/>
  <c r="AV385" i="1"/>
  <c r="CG254" i="1" l="1"/>
  <c r="CH254" i="1" s="1"/>
  <c r="CI254" i="1" s="1"/>
  <c r="AQ255" i="1"/>
  <c r="CU253" i="1"/>
  <c r="CP253" i="1"/>
  <c r="CO253" i="1"/>
  <c r="CR253" i="1" s="1"/>
  <c r="AV386" i="1"/>
  <c r="CG255" i="1" l="1"/>
  <c r="CH255" i="1" s="1"/>
  <c r="CI255" i="1" s="1"/>
  <c r="AQ256" i="1"/>
  <c r="CU254" i="1"/>
  <c r="CO254" i="1"/>
  <c r="CR254" i="1" s="1"/>
  <c r="CP254" i="1"/>
  <c r="AV387" i="1"/>
  <c r="CG256" i="1" l="1"/>
  <c r="CH256" i="1" s="1"/>
  <c r="CI256" i="1" s="1"/>
  <c r="AQ257" i="1"/>
  <c r="CO255" i="1"/>
  <c r="CR255" i="1" s="1"/>
  <c r="CP255" i="1"/>
  <c r="CU255" i="1"/>
  <c r="AV388" i="1"/>
  <c r="CG257" i="1" l="1"/>
  <c r="CH257" i="1" s="1"/>
  <c r="CI257" i="1" s="1"/>
  <c r="AQ258" i="1"/>
  <c r="CP256" i="1"/>
  <c r="CO256" i="1"/>
  <c r="CR256" i="1" s="1"/>
  <c r="CU256" i="1"/>
  <c r="AV389" i="1"/>
  <c r="CG258" i="1" l="1"/>
  <c r="CH258" i="1" s="1"/>
  <c r="CI258" i="1" s="1"/>
  <c r="AQ259" i="1"/>
  <c r="CO257" i="1"/>
  <c r="CR257" i="1" s="1"/>
  <c r="CP257" i="1"/>
  <c r="CU257" i="1"/>
  <c r="AV390" i="1"/>
  <c r="CG259" i="1" l="1"/>
  <c r="CH259" i="1" s="1"/>
  <c r="CI259" i="1" s="1"/>
  <c r="AQ260" i="1"/>
  <c r="CO258" i="1"/>
  <c r="CR258" i="1" s="1"/>
  <c r="CP258" i="1"/>
  <c r="CU258" i="1"/>
  <c r="AV391" i="1"/>
  <c r="CG260" i="1" l="1"/>
  <c r="CH260" i="1" s="1"/>
  <c r="CI260" i="1" s="1"/>
  <c r="AQ261" i="1"/>
  <c r="CO259" i="1"/>
  <c r="CR259" i="1" s="1"/>
  <c r="CP259" i="1"/>
  <c r="CU259" i="1"/>
  <c r="AV392" i="1"/>
  <c r="CG261" i="1" l="1"/>
  <c r="CH261" i="1" s="1"/>
  <c r="CI261" i="1" s="1"/>
  <c r="AQ262" i="1"/>
  <c r="CU260" i="1"/>
  <c r="CP260" i="1"/>
  <c r="CO260" i="1"/>
  <c r="CR260" i="1" s="1"/>
  <c r="AV393" i="1"/>
  <c r="CG262" i="1" l="1"/>
  <c r="CH262" i="1" s="1"/>
  <c r="CI262" i="1" s="1"/>
  <c r="AQ263" i="1"/>
  <c r="CO261" i="1"/>
  <c r="CR261" i="1" s="1"/>
  <c r="CP261" i="1"/>
  <c r="CU261" i="1"/>
  <c r="AV394" i="1"/>
  <c r="CG263" i="1" l="1"/>
  <c r="CH263" i="1" s="1"/>
  <c r="CI263" i="1" s="1"/>
  <c r="AQ264" i="1"/>
  <c r="CO262" i="1"/>
  <c r="CR262" i="1" s="1"/>
  <c r="CP262" i="1"/>
  <c r="CU262" i="1"/>
  <c r="AV395" i="1"/>
  <c r="CG264" i="1" l="1"/>
  <c r="CH264" i="1" s="1"/>
  <c r="CI264" i="1" s="1"/>
  <c r="AQ265" i="1"/>
  <c r="CO263" i="1"/>
  <c r="CR263" i="1" s="1"/>
  <c r="CU263" i="1"/>
  <c r="CP263" i="1"/>
  <c r="AV396" i="1"/>
  <c r="CG265" i="1" l="1"/>
  <c r="CH265" i="1" s="1"/>
  <c r="CI265" i="1" s="1"/>
  <c r="AQ266" i="1"/>
  <c r="CP264" i="1"/>
  <c r="CO264" i="1"/>
  <c r="CR264" i="1" s="1"/>
  <c r="CU264" i="1"/>
  <c r="AV397" i="1"/>
  <c r="CO265" i="1" l="1"/>
  <c r="CR265" i="1" s="1"/>
  <c r="CP265" i="1"/>
  <c r="CU265" i="1"/>
  <c r="CG266" i="1"/>
  <c r="CH266" i="1" s="1"/>
  <c r="CI266" i="1" s="1"/>
  <c r="AQ267" i="1"/>
  <c r="AV398" i="1"/>
  <c r="CG267" i="1" l="1"/>
  <c r="CH267" i="1" s="1"/>
  <c r="CI267" i="1" s="1"/>
  <c r="AQ268" i="1"/>
  <c r="CU266" i="1"/>
  <c r="CP266" i="1"/>
  <c r="CO266" i="1"/>
  <c r="CR266" i="1" s="1"/>
  <c r="AV399" i="1"/>
  <c r="CG268" i="1" l="1"/>
  <c r="CH268" i="1" s="1"/>
  <c r="CI268" i="1" s="1"/>
  <c r="AQ269" i="1"/>
  <c r="CP267" i="1"/>
  <c r="CO267" i="1"/>
  <c r="CR267" i="1" s="1"/>
  <c r="CU267" i="1"/>
  <c r="AV400" i="1"/>
  <c r="CG269" i="1" l="1"/>
  <c r="CH269" i="1" s="1"/>
  <c r="CI269" i="1" s="1"/>
  <c r="AQ270" i="1"/>
  <c r="CP268" i="1"/>
  <c r="CU268" i="1"/>
  <c r="CO268" i="1"/>
  <c r="CR268" i="1" s="1"/>
  <c r="AV401" i="1"/>
  <c r="CG270" i="1" l="1"/>
  <c r="CH270" i="1" s="1"/>
  <c r="CI270" i="1" s="1"/>
  <c r="AQ271" i="1"/>
  <c r="CP269" i="1"/>
  <c r="CO269" i="1"/>
  <c r="CR269" i="1" s="1"/>
  <c r="CU269" i="1"/>
  <c r="AV402" i="1"/>
  <c r="CG271" i="1" l="1"/>
  <c r="CH271" i="1" s="1"/>
  <c r="CI271" i="1" s="1"/>
  <c r="AQ272" i="1"/>
  <c r="CU270" i="1"/>
  <c r="CP270" i="1"/>
  <c r="CO270" i="1"/>
  <c r="CR270" i="1" s="1"/>
  <c r="AV403" i="1"/>
  <c r="CG272" i="1" l="1"/>
  <c r="CH272" i="1" s="1"/>
  <c r="CI272" i="1" s="1"/>
  <c r="AQ273" i="1"/>
  <c r="CU271" i="1"/>
  <c r="CP271" i="1"/>
  <c r="CO271" i="1"/>
  <c r="CR271" i="1" s="1"/>
  <c r="AV404" i="1"/>
  <c r="CG273" i="1" l="1"/>
  <c r="CH273" i="1" s="1"/>
  <c r="CI273" i="1" s="1"/>
  <c r="AQ274" i="1"/>
  <c r="CU272" i="1"/>
  <c r="CO272" i="1"/>
  <c r="CR272" i="1" s="1"/>
  <c r="CP272" i="1"/>
  <c r="AV405" i="1"/>
  <c r="CG274" i="1" l="1"/>
  <c r="CH274" i="1" s="1"/>
  <c r="CI274" i="1" s="1"/>
  <c r="AQ275" i="1"/>
  <c r="CP273" i="1"/>
  <c r="CO273" i="1"/>
  <c r="CR273" i="1" s="1"/>
  <c r="CU273" i="1"/>
  <c r="AV406" i="1"/>
  <c r="CG275" i="1" l="1"/>
  <c r="CH275" i="1" s="1"/>
  <c r="CI275" i="1" s="1"/>
  <c r="AQ276" i="1"/>
  <c r="CO274" i="1"/>
  <c r="CR274" i="1" s="1"/>
  <c r="CU274" i="1"/>
  <c r="CP274" i="1"/>
  <c r="AV407" i="1"/>
  <c r="CG276" i="1" l="1"/>
  <c r="CH276" i="1" s="1"/>
  <c r="CI276" i="1" s="1"/>
  <c r="AQ277" i="1"/>
  <c r="CO275" i="1"/>
  <c r="CR275" i="1" s="1"/>
  <c r="CU275" i="1"/>
  <c r="CP275" i="1"/>
  <c r="AV408" i="1"/>
  <c r="CG277" i="1" l="1"/>
  <c r="CH277" i="1" s="1"/>
  <c r="CI277" i="1" s="1"/>
  <c r="AQ278" i="1"/>
  <c r="CO276" i="1"/>
  <c r="CR276" i="1" s="1"/>
  <c r="CU276" i="1"/>
  <c r="CP276" i="1"/>
  <c r="AV409" i="1"/>
  <c r="CG278" i="1" l="1"/>
  <c r="CH278" i="1" s="1"/>
  <c r="CI278" i="1" s="1"/>
  <c r="AQ279" i="1"/>
  <c r="CU277" i="1"/>
  <c r="CP277" i="1"/>
  <c r="CO277" i="1"/>
  <c r="CR277" i="1" s="1"/>
  <c r="AV410" i="1"/>
  <c r="CG279" i="1" l="1"/>
  <c r="CH279" i="1" s="1"/>
  <c r="CI279" i="1" s="1"/>
  <c r="AQ280" i="1"/>
  <c r="CP278" i="1"/>
  <c r="CO278" i="1"/>
  <c r="CR278" i="1" s="1"/>
  <c r="CU278" i="1"/>
  <c r="AV411" i="1"/>
  <c r="CG280" i="1" l="1"/>
  <c r="CH280" i="1" s="1"/>
  <c r="CI280" i="1" s="1"/>
  <c r="AQ281" i="1"/>
  <c r="CO279" i="1"/>
  <c r="CR279" i="1" s="1"/>
  <c r="CP279" i="1"/>
  <c r="CU279" i="1"/>
  <c r="AV412" i="1"/>
  <c r="CG281" i="1" l="1"/>
  <c r="CH281" i="1" s="1"/>
  <c r="CI281" i="1" s="1"/>
  <c r="AQ282" i="1"/>
  <c r="CP280" i="1"/>
  <c r="CU280" i="1"/>
  <c r="CO280" i="1"/>
  <c r="CR280" i="1" s="1"/>
  <c r="AV413" i="1"/>
  <c r="CG282" i="1" l="1"/>
  <c r="CH282" i="1" s="1"/>
  <c r="CI282" i="1" s="1"/>
  <c r="AQ283" i="1"/>
  <c r="CO281" i="1"/>
  <c r="CR281" i="1" s="1"/>
  <c r="CU281" i="1"/>
  <c r="CP281" i="1"/>
  <c r="AV414" i="1"/>
  <c r="CG283" i="1" l="1"/>
  <c r="CH283" i="1" s="1"/>
  <c r="CI283" i="1" s="1"/>
  <c r="AQ284" i="1"/>
  <c r="CU282" i="1"/>
  <c r="CO282" i="1"/>
  <c r="CR282" i="1" s="1"/>
  <c r="CP282" i="1"/>
  <c r="AV415" i="1"/>
  <c r="CG284" i="1" l="1"/>
  <c r="CH284" i="1" s="1"/>
  <c r="CI284" i="1" s="1"/>
  <c r="AQ285" i="1"/>
  <c r="CO283" i="1"/>
  <c r="CR283" i="1" s="1"/>
  <c r="CP283" i="1"/>
  <c r="CU283" i="1"/>
  <c r="AV416" i="1"/>
  <c r="CG285" i="1" l="1"/>
  <c r="CH285" i="1" s="1"/>
  <c r="CI285" i="1" s="1"/>
  <c r="AQ286" i="1"/>
  <c r="CU284" i="1"/>
  <c r="CO284" i="1"/>
  <c r="CR284" i="1" s="1"/>
  <c r="CP284" i="1"/>
  <c r="AV417" i="1"/>
  <c r="CG286" i="1" l="1"/>
  <c r="CH286" i="1" s="1"/>
  <c r="CI286" i="1" s="1"/>
  <c r="AQ287" i="1"/>
  <c r="CP285" i="1"/>
  <c r="CO285" i="1"/>
  <c r="CR285" i="1" s="1"/>
  <c r="CU285" i="1"/>
  <c r="AV418" i="1"/>
  <c r="CG287" i="1" l="1"/>
  <c r="CH287" i="1" s="1"/>
  <c r="CI287" i="1" s="1"/>
  <c r="AQ288" i="1"/>
  <c r="CO286" i="1"/>
  <c r="CR286" i="1" s="1"/>
  <c r="CP286" i="1"/>
  <c r="CU286" i="1"/>
  <c r="AV419" i="1"/>
  <c r="CG288" i="1" l="1"/>
  <c r="CH288" i="1" s="1"/>
  <c r="CI288" i="1" s="1"/>
  <c r="AQ289" i="1"/>
  <c r="CO287" i="1"/>
  <c r="CR287" i="1" s="1"/>
  <c r="CP287" i="1"/>
  <c r="CU287" i="1"/>
  <c r="AV420" i="1"/>
  <c r="CG289" i="1" l="1"/>
  <c r="CH289" i="1" s="1"/>
  <c r="CI289" i="1" s="1"/>
  <c r="AQ290" i="1"/>
  <c r="CU288" i="1"/>
  <c r="CP288" i="1"/>
  <c r="CO288" i="1"/>
  <c r="CR288" i="1" s="1"/>
  <c r="AV421" i="1"/>
  <c r="CG290" i="1" l="1"/>
  <c r="CH290" i="1" s="1"/>
  <c r="CI290" i="1" s="1"/>
  <c r="AQ291" i="1"/>
  <c r="CP289" i="1"/>
  <c r="CO289" i="1"/>
  <c r="CR289" i="1" s="1"/>
  <c r="CU289" i="1"/>
  <c r="AV422" i="1"/>
  <c r="CG291" i="1" l="1"/>
  <c r="CH291" i="1" s="1"/>
  <c r="CI291" i="1" s="1"/>
  <c r="AQ292" i="1"/>
  <c r="CO290" i="1"/>
  <c r="CR290" i="1" s="1"/>
  <c r="CP290" i="1"/>
  <c r="CU290" i="1"/>
  <c r="AV423" i="1"/>
  <c r="CG292" i="1" l="1"/>
  <c r="CH292" i="1" s="1"/>
  <c r="CI292" i="1" s="1"/>
  <c r="AQ293" i="1"/>
  <c r="CP291" i="1"/>
  <c r="CU291" i="1"/>
  <c r="CO291" i="1"/>
  <c r="CR291" i="1" s="1"/>
  <c r="AV424" i="1"/>
  <c r="CG293" i="1" l="1"/>
  <c r="CH293" i="1" s="1"/>
  <c r="CI293" i="1" s="1"/>
  <c r="AQ294" i="1"/>
  <c r="CP292" i="1"/>
  <c r="CO292" i="1"/>
  <c r="CR292" i="1" s="1"/>
  <c r="CU292" i="1"/>
  <c r="AV425" i="1"/>
  <c r="CG294" i="1" l="1"/>
  <c r="CH294" i="1" s="1"/>
  <c r="CI294" i="1" s="1"/>
  <c r="AQ295" i="1"/>
  <c r="CU293" i="1"/>
  <c r="CO293" i="1"/>
  <c r="CR293" i="1" s="1"/>
  <c r="CP293" i="1"/>
  <c r="AV426" i="1"/>
  <c r="CG295" i="1" l="1"/>
  <c r="CH295" i="1" s="1"/>
  <c r="CI295" i="1" s="1"/>
  <c r="AQ296" i="1"/>
  <c r="CU294" i="1"/>
  <c r="CO294" i="1"/>
  <c r="CR294" i="1" s="1"/>
  <c r="CP294" i="1"/>
  <c r="AV427" i="1"/>
  <c r="CG296" i="1" l="1"/>
  <c r="CH296" i="1" s="1"/>
  <c r="CI296" i="1" s="1"/>
  <c r="AQ297" i="1"/>
  <c r="CO295" i="1"/>
  <c r="CR295" i="1" s="1"/>
  <c r="CU295" i="1"/>
  <c r="CP295" i="1"/>
  <c r="AV428" i="1"/>
  <c r="CO296" i="1" l="1"/>
  <c r="CR296" i="1" s="1"/>
  <c r="CP296" i="1"/>
  <c r="CU296" i="1"/>
  <c r="CG297" i="1"/>
  <c r="CH297" i="1" s="1"/>
  <c r="CI297" i="1" s="1"/>
  <c r="AQ298" i="1"/>
  <c r="AV429" i="1"/>
  <c r="CG298" i="1" l="1"/>
  <c r="CH298" i="1" s="1"/>
  <c r="CI298" i="1" s="1"/>
  <c r="AQ299" i="1"/>
  <c r="CU297" i="1"/>
  <c r="CP297" i="1"/>
  <c r="CO297" i="1"/>
  <c r="CR297" i="1" s="1"/>
  <c r="AV430" i="1"/>
  <c r="CG299" i="1" l="1"/>
  <c r="CH299" i="1" s="1"/>
  <c r="CI299" i="1" s="1"/>
  <c r="AQ300" i="1"/>
  <c r="CU298" i="1"/>
  <c r="CP298" i="1"/>
  <c r="CO298" i="1"/>
  <c r="CR298" i="1" s="1"/>
  <c r="AV431" i="1"/>
  <c r="CG300" i="1" l="1"/>
  <c r="CH300" i="1" s="1"/>
  <c r="CI300" i="1" s="1"/>
  <c r="AQ301" i="1"/>
  <c r="CO299" i="1"/>
  <c r="CR299" i="1" s="1"/>
  <c r="CP299" i="1"/>
  <c r="CU299" i="1"/>
  <c r="AV432" i="1"/>
  <c r="CG301" i="1" l="1"/>
  <c r="CH301" i="1" s="1"/>
  <c r="CI301" i="1" s="1"/>
  <c r="AQ302" i="1"/>
  <c r="CO300" i="1"/>
  <c r="CR300" i="1" s="1"/>
  <c r="CU300" i="1"/>
  <c r="CP300" i="1"/>
  <c r="AV433" i="1"/>
  <c r="CG302" i="1" l="1"/>
  <c r="CH302" i="1" s="1"/>
  <c r="CI302" i="1" s="1"/>
  <c r="AQ303" i="1"/>
  <c r="CO301" i="1"/>
  <c r="CR301" i="1" s="1"/>
  <c r="CP301" i="1"/>
  <c r="CU301" i="1"/>
  <c r="AV434" i="1"/>
  <c r="CG303" i="1" l="1"/>
  <c r="CH303" i="1" s="1"/>
  <c r="CI303" i="1" s="1"/>
  <c r="AQ304" i="1"/>
  <c r="CU302" i="1"/>
  <c r="CP302" i="1"/>
  <c r="CO302" i="1"/>
  <c r="CR302" i="1" s="1"/>
  <c r="AV435" i="1"/>
  <c r="CG304" i="1" l="1"/>
  <c r="CH304" i="1" s="1"/>
  <c r="CI304" i="1" s="1"/>
  <c r="AQ305" i="1"/>
  <c r="CO303" i="1"/>
  <c r="CR303" i="1" s="1"/>
  <c r="CP303" i="1"/>
  <c r="CU303" i="1"/>
  <c r="AV436" i="1"/>
  <c r="CG305" i="1" l="1"/>
  <c r="CH305" i="1" s="1"/>
  <c r="CI305" i="1" s="1"/>
  <c r="AQ306" i="1"/>
  <c r="CU304" i="1"/>
  <c r="CO304" i="1"/>
  <c r="CR304" i="1" s="1"/>
  <c r="CP304" i="1"/>
  <c r="AV437" i="1"/>
  <c r="CG306" i="1" l="1"/>
  <c r="CH306" i="1" s="1"/>
  <c r="CI306" i="1" s="1"/>
  <c r="AQ307" i="1"/>
  <c r="CU305" i="1"/>
  <c r="CO305" i="1"/>
  <c r="CR305" i="1" s="1"/>
  <c r="CP305" i="1"/>
  <c r="AV438" i="1"/>
  <c r="CG307" i="1" l="1"/>
  <c r="CH307" i="1" s="1"/>
  <c r="CI307" i="1" s="1"/>
  <c r="AQ308" i="1"/>
  <c r="CU306" i="1"/>
  <c r="CO306" i="1"/>
  <c r="CR306" i="1" s="1"/>
  <c r="CP306" i="1"/>
  <c r="AV439" i="1"/>
  <c r="CG308" i="1" l="1"/>
  <c r="CH308" i="1" s="1"/>
  <c r="CI308" i="1" s="1"/>
  <c r="AQ309" i="1"/>
  <c r="CO307" i="1"/>
  <c r="CR307" i="1" s="1"/>
  <c r="CP307" i="1"/>
  <c r="CU307" i="1"/>
  <c r="AV440" i="1"/>
  <c r="CG309" i="1" l="1"/>
  <c r="CH309" i="1" s="1"/>
  <c r="CI309" i="1" s="1"/>
  <c r="AQ310" i="1"/>
  <c r="CU308" i="1"/>
  <c r="CO308" i="1"/>
  <c r="CR308" i="1" s="1"/>
  <c r="CP308" i="1"/>
  <c r="AV441" i="1"/>
  <c r="CG310" i="1" l="1"/>
  <c r="CH310" i="1" s="1"/>
  <c r="CI310" i="1" s="1"/>
  <c r="AQ311" i="1"/>
  <c r="CP309" i="1"/>
  <c r="CO309" i="1"/>
  <c r="CR309" i="1" s="1"/>
  <c r="CU309" i="1"/>
  <c r="AV442" i="1"/>
  <c r="CG311" i="1" l="1"/>
  <c r="CH311" i="1" s="1"/>
  <c r="CI311" i="1" s="1"/>
  <c r="AQ312" i="1"/>
  <c r="CU310" i="1"/>
  <c r="CP310" i="1"/>
  <c r="CO310" i="1"/>
  <c r="CR310" i="1" s="1"/>
  <c r="AV443" i="1"/>
  <c r="CG312" i="1" l="1"/>
  <c r="CH312" i="1" s="1"/>
  <c r="CI312" i="1" s="1"/>
  <c r="AQ313" i="1"/>
  <c r="CP311" i="1"/>
  <c r="CU311" i="1"/>
  <c r="CO311" i="1"/>
  <c r="CR311" i="1" s="1"/>
  <c r="AV444" i="1"/>
  <c r="CG313" i="1" l="1"/>
  <c r="CH313" i="1" s="1"/>
  <c r="CI313" i="1" s="1"/>
  <c r="AQ314" i="1"/>
  <c r="CO312" i="1"/>
  <c r="CR312" i="1" s="1"/>
  <c r="CP312" i="1"/>
  <c r="CU312" i="1"/>
  <c r="AV445" i="1"/>
  <c r="CG314" i="1" l="1"/>
  <c r="CH314" i="1" s="1"/>
  <c r="CI314" i="1" s="1"/>
  <c r="AQ315" i="1"/>
  <c r="CO313" i="1"/>
  <c r="CR313" i="1" s="1"/>
  <c r="CP313" i="1"/>
  <c r="CU313" i="1"/>
  <c r="AV446" i="1"/>
  <c r="CG315" i="1" l="1"/>
  <c r="CH315" i="1" s="1"/>
  <c r="CI315" i="1" s="1"/>
  <c r="AQ316" i="1"/>
  <c r="CP314" i="1"/>
  <c r="CU314" i="1"/>
  <c r="CO314" i="1"/>
  <c r="CR314" i="1" s="1"/>
  <c r="AV447" i="1"/>
  <c r="CG316" i="1" l="1"/>
  <c r="CH316" i="1" s="1"/>
  <c r="CI316" i="1" s="1"/>
  <c r="AQ317" i="1"/>
  <c r="CO315" i="1"/>
  <c r="CR315" i="1" s="1"/>
  <c r="CP315" i="1"/>
  <c r="CU315" i="1"/>
  <c r="AV448" i="1"/>
  <c r="CG317" i="1" l="1"/>
  <c r="CH317" i="1" s="1"/>
  <c r="CI317" i="1" s="1"/>
  <c r="AQ318" i="1"/>
  <c r="CP316" i="1"/>
  <c r="CO316" i="1"/>
  <c r="CR316" i="1" s="1"/>
  <c r="CU316" i="1"/>
  <c r="AV449" i="1"/>
  <c r="CG318" i="1" l="1"/>
  <c r="CH318" i="1" s="1"/>
  <c r="CI318" i="1" s="1"/>
  <c r="AQ319" i="1"/>
  <c r="CP317" i="1"/>
  <c r="CO317" i="1"/>
  <c r="CR317" i="1" s="1"/>
  <c r="CU317" i="1"/>
  <c r="AV450" i="1"/>
  <c r="CG319" i="1" l="1"/>
  <c r="CH319" i="1" s="1"/>
  <c r="CI319" i="1" s="1"/>
  <c r="AQ320" i="1"/>
  <c r="CP318" i="1"/>
  <c r="CU318" i="1"/>
  <c r="CO318" i="1"/>
  <c r="CR318" i="1" s="1"/>
  <c r="AV451" i="1"/>
  <c r="CG320" i="1" l="1"/>
  <c r="CH320" i="1" s="1"/>
  <c r="CI320" i="1" s="1"/>
  <c r="AQ321" i="1"/>
  <c r="CU319" i="1"/>
  <c r="CO319" i="1"/>
  <c r="CR319" i="1" s="1"/>
  <c r="CP319" i="1"/>
  <c r="AV452" i="1"/>
  <c r="CG321" i="1" l="1"/>
  <c r="CH321" i="1" s="1"/>
  <c r="CI321" i="1" s="1"/>
  <c r="AQ322" i="1"/>
  <c r="CU320" i="1"/>
  <c r="CP320" i="1"/>
  <c r="CO320" i="1"/>
  <c r="CR320" i="1" s="1"/>
  <c r="AV453" i="1"/>
  <c r="CG322" i="1" l="1"/>
  <c r="CH322" i="1" s="1"/>
  <c r="CI322" i="1" s="1"/>
  <c r="AQ323" i="1"/>
  <c r="CU321" i="1"/>
  <c r="CO321" i="1"/>
  <c r="CR321" i="1" s="1"/>
  <c r="CP321" i="1"/>
  <c r="AV454" i="1"/>
  <c r="CG323" i="1" l="1"/>
  <c r="CH323" i="1" s="1"/>
  <c r="CI323" i="1" s="1"/>
  <c r="AQ324" i="1"/>
  <c r="CP322" i="1"/>
  <c r="CU322" i="1"/>
  <c r="CO322" i="1"/>
  <c r="CR322" i="1" s="1"/>
  <c r="AV455" i="1"/>
  <c r="CG324" i="1" l="1"/>
  <c r="CH324" i="1" s="1"/>
  <c r="CI324" i="1" s="1"/>
  <c r="AQ325" i="1"/>
  <c r="CO323" i="1"/>
  <c r="CR323" i="1" s="1"/>
  <c r="CP323" i="1"/>
  <c r="CU323" i="1"/>
  <c r="AV456" i="1"/>
  <c r="CG325" i="1" l="1"/>
  <c r="CH325" i="1" s="1"/>
  <c r="CI325" i="1" s="1"/>
  <c r="AQ326" i="1"/>
  <c r="CU324" i="1"/>
  <c r="CO324" i="1"/>
  <c r="CR324" i="1" s="1"/>
  <c r="CP324" i="1"/>
  <c r="AV457" i="1"/>
  <c r="CG326" i="1" l="1"/>
  <c r="CH326" i="1" s="1"/>
  <c r="CI326" i="1" s="1"/>
  <c r="AQ327" i="1"/>
  <c r="CP325" i="1"/>
  <c r="CU325" i="1"/>
  <c r="CO325" i="1"/>
  <c r="CR325" i="1" s="1"/>
  <c r="AV458" i="1"/>
  <c r="CG327" i="1" l="1"/>
  <c r="CH327" i="1" s="1"/>
  <c r="CI327" i="1" s="1"/>
  <c r="AQ328" i="1"/>
  <c r="CU326" i="1"/>
  <c r="CP326" i="1"/>
  <c r="CO326" i="1"/>
  <c r="CR326" i="1" s="1"/>
  <c r="AV459" i="1"/>
  <c r="CG328" i="1" l="1"/>
  <c r="CH328" i="1" s="1"/>
  <c r="CI328" i="1" s="1"/>
  <c r="AQ329" i="1"/>
  <c r="CP327" i="1"/>
  <c r="CU327" i="1"/>
  <c r="CO327" i="1"/>
  <c r="CR327" i="1" s="1"/>
  <c r="AV460" i="1"/>
  <c r="CG329" i="1" l="1"/>
  <c r="CH329" i="1" s="1"/>
  <c r="CI329" i="1" s="1"/>
  <c r="AQ330" i="1"/>
  <c r="CP328" i="1"/>
  <c r="CU328" i="1"/>
  <c r="CO328" i="1"/>
  <c r="CR328" i="1" s="1"/>
  <c r="AV461" i="1"/>
  <c r="CG330" i="1" l="1"/>
  <c r="CH330" i="1" s="1"/>
  <c r="CI330" i="1" s="1"/>
  <c r="AQ331" i="1"/>
  <c r="CO329" i="1"/>
  <c r="CR329" i="1" s="1"/>
  <c r="CP329" i="1"/>
  <c r="CU329" i="1"/>
  <c r="AV462" i="1"/>
  <c r="CG331" i="1" l="1"/>
  <c r="CH331" i="1" s="1"/>
  <c r="CI331" i="1" s="1"/>
  <c r="AQ332" i="1"/>
  <c r="CP330" i="1"/>
  <c r="CU330" i="1"/>
  <c r="CO330" i="1"/>
  <c r="CR330" i="1" s="1"/>
  <c r="AV463" i="1"/>
  <c r="CG332" i="1" l="1"/>
  <c r="CH332" i="1" s="1"/>
  <c r="CI332" i="1" s="1"/>
  <c r="AQ333" i="1"/>
  <c r="CO331" i="1"/>
  <c r="CR331" i="1" s="1"/>
  <c r="CP331" i="1"/>
  <c r="CU331" i="1"/>
  <c r="AV464" i="1"/>
  <c r="CG333" i="1" l="1"/>
  <c r="CH333" i="1" s="1"/>
  <c r="CI333" i="1" s="1"/>
  <c r="AQ334" i="1"/>
  <c r="CU332" i="1"/>
  <c r="CO332" i="1"/>
  <c r="CR332" i="1" s="1"/>
  <c r="CP332" i="1"/>
  <c r="AV465" i="1"/>
  <c r="CG334" i="1" l="1"/>
  <c r="CH334" i="1" s="1"/>
  <c r="CI334" i="1" s="1"/>
  <c r="AQ335" i="1"/>
  <c r="CO333" i="1"/>
  <c r="CR333" i="1" s="1"/>
  <c r="CP333" i="1"/>
  <c r="CU333" i="1"/>
  <c r="AV466" i="1"/>
  <c r="CG335" i="1" l="1"/>
  <c r="CH335" i="1" s="1"/>
  <c r="CI335" i="1" s="1"/>
  <c r="AQ336" i="1"/>
  <c r="CO334" i="1"/>
  <c r="CR334" i="1" s="1"/>
  <c r="CP334" i="1"/>
  <c r="CU334" i="1"/>
  <c r="AV467" i="1"/>
  <c r="CG336" i="1" l="1"/>
  <c r="CH336" i="1" s="1"/>
  <c r="CI336" i="1" s="1"/>
  <c r="AQ337" i="1"/>
  <c r="CO335" i="1"/>
  <c r="CR335" i="1" s="1"/>
  <c r="CP335" i="1"/>
  <c r="CU335" i="1"/>
  <c r="AV468" i="1"/>
  <c r="CG337" i="1" l="1"/>
  <c r="CH337" i="1" s="1"/>
  <c r="CI337" i="1" s="1"/>
  <c r="AQ338" i="1"/>
  <c r="CP336" i="1"/>
  <c r="CO336" i="1"/>
  <c r="CR336" i="1" s="1"/>
  <c r="CU336" i="1"/>
  <c r="AV469" i="1"/>
  <c r="CG338" i="1" l="1"/>
  <c r="CH338" i="1" s="1"/>
  <c r="CI338" i="1" s="1"/>
  <c r="AQ339" i="1"/>
  <c r="CP337" i="1"/>
  <c r="CU337" i="1"/>
  <c r="CO337" i="1"/>
  <c r="CR337" i="1" s="1"/>
  <c r="AV470" i="1"/>
  <c r="CG339" i="1" l="1"/>
  <c r="CH339" i="1" s="1"/>
  <c r="CI339" i="1" s="1"/>
  <c r="AQ340" i="1"/>
  <c r="CO338" i="1"/>
  <c r="CR338" i="1" s="1"/>
  <c r="CU338" i="1"/>
  <c r="CP338" i="1"/>
  <c r="AV471" i="1"/>
  <c r="CG340" i="1" l="1"/>
  <c r="CH340" i="1" s="1"/>
  <c r="CI340" i="1" s="1"/>
  <c r="AQ341" i="1"/>
  <c r="CP339" i="1"/>
  <c r="CO339" i="1"/>
  <c r="CR339" i="1" s="1"/>
  <c r="CU339" i="1"/>
  <c r="AV472" i="1"/>
  <c r="CG341" i="1" l="1"/>
  <c r="CH341" i="1" s="1"/>
  <c r="CI341" i="1" s="1"/>
  <c r="AQ342" i="1"/>
  <c r="CO340" i="1"/>
  <c r="CR340" i="1" s="1"/>
  <c r="CP340" i="1"/>
  <c r="CU340" i="1"/>
  <c r="AV473" i="1"/>
  <c r="CG342" i="1" l="1"/>
  <c r="CH342" i="1" s="1"/>
  <c r="CI342" i="1" s="1"/>
  <c r="AQ343" i="1"/>
  <c r="CU341" i="1"/>
  <c r="CO341" i="1"/>
  <c r="CR341" i="1" s="1"/>
  <c r="CP341" i="1"/>
  <c r="AV474" i="1"/>
  <c r="CG343" i="1" l="1"/>
  <c r="CH343" i="1" s="1"/>
  <c r="CI343" i="1" s="1"/>
  <c r="AQ344" i="1"/>
  <c r="CU342" i="1"/>
  <c r="CP342" i="1"/>
  <c r="CO342" i="1"/>
  <c r="CR342" i="1" s="1"/>
  <c r="AV475" i="1"/>
  <c r="CG344" i="1" l="1"/>
  <c r="CH344" i="1" s="1"/>
  <c r="CI344" i="1" s="1"/>
  <c r="AQ345" i="1"/>
  <c r="CU343" i="1"/>
  <c r="CO343" i="1"/>
  <c r="CR343" i="1" s="1"/>
  <c r="CP343" i="1"/>
  <c r="AV476" i="1"/>
  <c r="CG345" i="1" l="1"/>
  <c r="CH345" i="1" s="1"/>
  <c r="CI345" i="1" s="1"/>
  <c r="AQ346" i="1"/>
  <c r="CO344" i="1"/>
  <c r="CR344" i="1" s="1"/>
  <c r="CP344" i="1"/>
  <c r="CU344" i="1"/>
  <c r="AV477" i="1"/>
  <c r="CG346" i="1" l="1"/>
  <c r="CH346" i="1" s="1"/>
  <c r="CI346" i="1" s="1"/>
  <c r="AQ347" i="1"/>
  <c r="CU345" i="1"/>
  <c r="CO345" i="1"/>
  <c r="CR345" i="1" s="1"/>
  <c r="CP345" i="1"/>
  <c r="AV478" i="1"/>
  <c r="CG347" i="1" l="1"/>
  <c r="CH347" i="1" s="1"/>
  <c r="CI347" i="1" s="1"/>
  <c r="AQ348" i="1"/>
  <c r="CO346" i="1"/>
  <c r="CR346" i="1" s="1"/>
  <c r="CP346" i="1"/>
  <c r="CU346" i="1"/>
  <c r="AV479" i="1"/>
  <c r="CG348" i="1" l="1"/>
  <c r="CH348" i="1" s="1"/>
  <c r="CI348" i="1" s="1"/>
  <c r="AQ349" i="1"/>
  <c r="CU347" i="1"/>
  <c r="CP347" i="1"/>
  <c r="CO347" i="1"/>
  <c r="CR347" i="1" s="1"/>
  <c r="AV480" i="1"/>
  <c r="CG349" i="1" l="1"/>
  <c r="CH349" i="1" s="1"/>
  <c r="CI349" i="1" s="1"/>
  <c r="AQ350" i="1"/>
  <c r="CP348" i="1"/>
  <c r="CU348" i="1"/>
  <c r="CO348" i="1"/>
  <c r="CR348" i="1" s="1"/>
  <c r="AV481" i="1"/>
  <c r="CG350" i="1" l="1"/>
  <c r="CH350" i="1" s="1"/>
  <c r="CI350" i="1" s="1"/>
  <c r="AQ351" i="1"/>
  <c r="CO349" i="1"/>
  <c r="CR349" i="1" s="1"/>
  <c r="CP349" i="1"/>
  <c r="CU349" i="1"/>
  <c r="AV482" i="1"/>
  <c r="CG351" i="1" l="1"/>
  <c r="CH351" i="1" s="1"/>
  <c r="CI351" i="1" s="1"/>
  <c r="AQ352" i="1"/>
  <c r="CP350" i="1"/>
  <c r="CU350" i="1"/>
  <c r="CO350" i="1"/>
  <c r="CR350" i="1" s="1"/>
  <c r="AV483" i="1"/>
  <c r="CG352" i="1" l="1"/>
  <c r="CH352" i="1" s="1"/>
  <c r="CI352" i="1" s="1"/>
  <c r="AQ353" i="1"/>
  <c r="CO351" i="1"/>
  <c r="CR351" i="1" s="1"/>
  <c r="CP351" i="1"/>
  <c r="CU351" i="1"/>
  <c r="AV484" i="1"/>
  <c r="CG353" i="1" l="1"/>
  <c r="CH353" i="1" s="1"/>
  <c r="CI353" i="1" s="1"/>
  <c r="AQ354" i="1"/>
  <c r="CO352" i="1"/>
  <c r="CR352" i="1" s="1"/>
  <c r="CP352" i="1"/>
  <c r="CU352" i="1"/>
  <c r="AV485" i="1"/>
  <c r="CG354" i="1" l="1"/>
  <c r="CH354" i="1" s="1"/>
  <c r="CI354" i="1" s="1"/>
  <c r="AQ355" i="1"/>
  <c r="CU353" i="1"/>
  <c r="CO353" i="1"/>
  <c r="CR353" i="1" s="1"/>
  <c r="CP353" i="1"/>
  <c r="AV486" i="1"/>
  <c r="CG355" i="1" l="1"/>
  <c r="CH355" i="1" s="1"/>
  <c r="CI355" i="1" s="1"/>
  <c r="AQ356" i="1"/>
  <c r="CO354" i="1"/>
  <c r="CR354" i="1" s="1"/>
  <c r="CP354" i="1"/>
  <c r="CU354" i="1"/>
  <c r="AV487" i="1"/>
  <c r="CG356" i="1" l="1"/>
  <c r="CH356" i="1" s="1"/>
  <c r="CI356" i="1" s="1"/>
  <c r="AQ357" i="1"/>
  <c r="CO355" i="1"/>
  <c r="CR355" i="1" s="1"/>
  <c r="CP355" i="1"/>
  <c r="CU355" i="1"/>
  <c r="AV488" i="1"/>
  <c r="CG357" i="1" l="1"/>
  <c r="CH357" i="1" s="1"/>
  <c r="CI357" i="1" s="1"/>
  <c r="AQ358" i="1"/>
  <c r="CU356" i="1"/>
  <c r="CO356" i="1"/>
  <c r="CR356" i="1" s="1"/>
  <c r="CP356" i="1"/>
  <c r="AV489" i="1"/>
  <c r="CG358" i="1" l="1"/>
  <c r="CH358" i="1" s="1"/>
  <c r="CI358" i="1" s="1"/>
  <c r="AQ359" i="1"/>
  <c r="CO357" i="1"/>
  <c r="CR357" i="1" s="1"/>
  <c r="CP357" i="1"/>
  <c r="CU357" i="1"/>
  <c r="AV490" i="1"/>
  <c r="CG359" i="1" l="1"/>
  <c r="CH359" i="1" s="1"/>
  <c r="CI359" i="1" s="1"/>
  <c r="AQ360" i="1"/>
  <c r="CO358" i="1"/>
  <c r="CR358" i="1" s="1"/>
  <c r="CP358" i="1"/>
  <c r="CU358" i="1"/>
  <c r="AV491" i="1"/>
  <c r="CG360" i="1" l="1"/>
  <c r="CH360" i="1" s="1"/>
  <c r="CI360" i="1" s="1"/>
  <c r="AQ361" i="1"/>
  <c r="CP359" i="1"/>
  <c r="CO359" i="1"/>
  <c r="CR359" i="1" s="1"/>
  <c r="CU359" i="1"/>
  <c r="AV492" i="1"/>
  <c r="CG361" i="1" l="1"/>
  <c r="CH361" i="1" s="1"/>
  <c r="CI361" i="1" s="1"/>
  <c r="AQ362" i="1"/>
  <c r="CU360" i="1"/>
  <c r="CO360" i="1"/>
  <c r="CR360" i="1" s="1"/>
  <c r="CP360" i="1"/>
  <c r="AV493" i="1"/>
  <c r="CG362" i="1" l="1"/>
  <c r="CH362" i="1" s="1"/>
  <c r="CI362" i="1" s="1"/>
  <c r="AQ363" i="1"/>
  <c r="CP361" i="1"/>
  <c r="CU361" i="1"/>
  <c r="CO361" i="1"/>
  <c r="CR361" i="1" s="1"/>
  <c r="AV494" i="1"/>
  <c r="CG363" i="1" l="1"/>
  <c r="CH363" i="1" s="1"/>
  <c r="CI363" i="1" s="1"/>
  <c r="AQ364" i="1"/>
  <c r="CP362" i="1"/>
  <c r="CO362" i="1"/>
  <c r="CR362" i="1" s="1"/>
  <c r="CU362" i="1"/>
  <c r="AV495" i="1"/>
  <c r="CG364" i="1" l="1"/>
  <c r="CH364" i="1" s="1"/>
  <c r="CI364" i="1" s="1"/>
  <c r="AQ365" i="1"/>
  <c r="CU363" i="1"/>
  <c r="CP363" i="1"/>
  <c r="CO363" i="1"/>
  <c r="CR363" i="1" s="1"/>
  <c r="AV496" i="1"/>
  <c r="CG365" i="1" l="1"/>
  <c r="CH365" i="1" s="1"/>
  <c r="CI365" i="1" s="1"/>
  <c r="AQ366" i="1"/>
  <c r="CP364" i="1"/>
  <c r="CO364" i="1"/>
  <c r="CR364" i="1" s="1"/>
  <c r="CU364" i="1"/>
  <c r="AV497" i="1"/>
  <c r="CG366" i="1" l="1"/>
  <c r="CH366" i="1" s="1"/>
  <c r="CI366" i="1" s="1"/>
  <c r="AQ367" i="1"/>
  <c r="CO365" i="1"/>
  <c r="CR365" i="1" s="1"/>
  <c r="CP365" i="1"/>
  <c r="CU365" i="1"/>
  <c r="AV498" i="1"/>
  <c r="CG367" i="1" l="1"/>
  <c r="CH367" i="1" s="1"/>
  <c r="CI367" i="1" s="1"/>
  <c r="AQ368" i="1"/>
  <c r="CU366" i="1"/>
  <c r="CO366" i="1"/>
  <c r="CR366" i="1" s="1"/>
  <c r="CP366" i="1"/>
  <c r="AV499" i="1"/>
  <c r="CG368" i="1" l="1"/>
  <c r="CH368" i="1" s="1"/>
  <c r="CI368" i="1" s="1"/>
  <c r="AQ369" i="1"/>
  <c r="CU367" i="1"/>
  <c r="CP367" i="1"/>
  <c r="CO367" i="1"/>
  <c r="CR367" i="1" s="1"/>
  <c r="AV500" i="1"/>
  <c r="CG369" i="1" l="1"/>
  <c r="CH369" i="1" s="1"/>
  <c r="CI369" i="1" s="1"/>
  <c r="AQ370" i="1"/>
  <c r="CP368" i="1"/>
  <c r="CU368" i="1"/>
  <c r="CO368" i="1"/>
  <c r="CR368" i="1" s="1"/>
  <c r="AV501" i="1"/>
  <c r="CG370" i="1" l="1"/>
  <c r="CH370" i="1" s="1"/>
  <c r="CI370" i="1" s="1"/>
  <c r="AQ371" i="1"/>
  <c r="CP369" i="1"/>
  <c r="CO369" i="1"/>
  <c r="CR369" i="1" s="1"/>
  <c r="CU369" i="1"/>
  <c r="AV502" i="1"/>
  <c r="CG371" i="1" l="1"/>
  <c r="CH371" i="1" s="1"/>
  <c r="CI371" i="1" s="1"/>
  <c r="AQ372" i="1"/>
  <c r="CO370" i="1"/>
  <c r="CR370" i="1" s="1"/>
  <c r="CP370" i="1"/>
  <c r="CU370" i="1"/>
  <c r="AV503" i="1"/>
  <c r="CG372" i="1" l="1"/>
  <c r="CH372" i="1" s="1"/>
  <c r="CI372" i="1" s="1"/>
  <c r="AQ373" i="1"/>
  <c r="CP371" i="1"/>
  <c r="CO371" i="1"/>
  <c r="CR371" i="1" s="1"/>
  <c r="CU371" i="1"/>
  <c r="AV504" i="1"/>
  <c r="CG373" i="1" l="1"/>
  <c r="CH373" i="1" s="1"/>
  <c r="CI373" i="1" s="1"/>
  <c r="AQ374" i="1"/>
  <c r="CP372" i="1"/>
  <c r="CO372" i="1"/>
  <c r="CR372" i="1" s="1"/>
  <c r="CU372" i="1"/>
  <c r="AV505" i="1"/>
  <c r="CG374" i="1" l="1"/>
  <c r="CH374" i="1" s="1"/>
  <c r="CI374" i="1" s="1"/>
  <c r="AQ375" i="1"/>
  <c r="CP373" i="1"/>
  <c r="CU373" i="1"/>
  <c r="CO373" i="1"/>
  <c r="CR373" i="1" s="1"/>
  <c r="AV506" i="1"/>
  <c r="CG375" i="1" l="1"/>
  <c r="CH375" i="1" s="1"/>
  <c r="CI375" i="1" s="1"/>
  <c r="AQ376" i="1"/>
  <c r="CP374" i="1"/>
  <c r="CO374" i="1"/>
  <c r="CR374" i="1" s="1"/>
  <c r="CU374" i="1"/>
  <c r="AV507" i="1"/>
  <c r="CG376" i="1" l="1"/>
  <c r="CH376" i="1" s="1"/>
  <c r="CI376" i="1" s="1"/>
  <c r="AQ377" i="1"/>
  <c r="CO375" i="1"/>
  <c r="CR375" i="1" s="1"/>
  <c r="CP375" i="1"/>
  <c r="CU375" i="1"/>
  <c r="AV508" i="1"/>
  <c r="CG377" i="1" l="1"/>
  <c r="CH377" i="1" s="1"/>
  <c r="CI377" i="1" s="1"/>
  <c r="AQ378" i="1"/>
  <c r="CP376" i="1"/>
  <c r="CO376" i="1"/>
  <c r="CR376" i="1" s="1"/>
  <c r="CU376" i="1"/>
  <c r="AV509" i="1"/>
  <c r="CG378" i="1" l="1"/>
  <c r="CH378" i="1" s="1"/>
  <c r="CI378" i="1" s="1"/>
  <c r="AQ379" i="1"/>
  <c r="CP377" i="1"/>
  <c r="CU377" i="1"/>
  <c r="CO377" i="1"/>
  <c r="CR377" i="1" s="1"/>
  <c r="AV510" i="1"/>
  <c r="CG379" i="1" l="1"/>
  <c r="CH379" i="1" s="1"/>
  <c r="CI379" i="1" s="1"/>
  <c r="AQ380" i="1"/>
  <c r="CP378" i="1"/>
  <c r="CO378" i="1"/>
  <c r="CR378" i="1" s="1"/>
  <c r="CU378" i="1"/>
  <c r="AV511" i="1"/>
  <c r="CG380" i="1" l="1"/>
  <c r="CH380" i="1" s="1"/>
  <c r="CI380" i="1" s="1"/>
  <c r="AQ381" i="1"/>
  <c r="CO379" i="1"/>
  <c r="CR379" i="1" s="1"/>
  <c r="CU379" i="1"/>
  <c r="CP379" i="1"/>
  <c r="AV512" i="1"/>
  <c r="CG381" i="1" l="1"/>
  <c r="CH381" i="1" s="1"/>
  <c r="CI381" i="1" s="1"/>
  <c r="AQ382" i="1"/>
  <c r="CP380" i="1"/>
  <c r="CO380" i="1"/>
  <c r="CR380" i="1" s="1"/>
  <c r="CU380" i="1"/>
  <c r="AV513" i="1"/>
  <c r="CG382" i="1" l="1"/>
  <c r="CH382" i="1" s="1"/>
  <c r="CI382" i="1" s="1"/>
  <c r="AQ383" i="1"/>
  <c r="CU381" i="1"/>
  <c r="CP381" i="1"/>
  <c r="CO381" i="1"/>
  <c r="CR381" i="1" s="1"/>
  <c r="AV514" i="1"/>
  <c r="CG383" i="1" l="1"/>
  <c r="CH383" i="1" s="1"/>
  <c r="CI383" i="1" s="1"/>
  <c r="AQ384" i="1"/>
  <c r="CU382" i="1"/>
  <c r="CP382" i="1"/>
  <c r="CO382" i="1"/>
  <c r="CR382" i="1" s="1"/>
  <c r="AV515" i="1"/>
  <c r="CG384" i="1" l="1"/>
  <c r="CH384" i="1" s="1"/>
  <c r="CI384" i="1" s="1"/>
  <c r="AQ385" i="1"/>
  <c r="CP383" i="1"/>
  <c r="CO383" i="1"/>
  <c r="CR383" i="1" s="1"/>
  <c r="CU383" i="1"/>
  <c r="AV516" i="1"/>
  <c r="CG385" i="1" l="1"/>
  <c r="CH385" i="1" s="1"/>
  <c r="CI385" i="1" s="1"/>
  <c r="AQ386" i="1"/>
  <c r="CP384" i="1"/>
  <c r="CO384" i="1"/>
  <c r="CR384" i="1" s="1"/>
  <c r="CU384" i="1"/>
  <c r="AV517" i="1"/>
  <c r="CG386" i="1" l="1"/>
  <c r="CH386" i="1" s="1"/>
  <c r="CI386" i="1" s="1"/>
  <c r="AQ387" i="1"/>
  <c r="CO385" i="1"/>
  <c r="CR385" i="1" s="1"/>
  <c r="CU385" i="1"/>
  <c r="CP385" i="1"/>
  <c r="AV518" i="1"/>
  <c r="CG387" i="1" l="1"/>
  <c r="CH387" i="1" s="1"/>
  <c r="CI387" i="1" s="1"/>
  <c r="AQ388" i="1"/>
  <c r="CO386" i="1"/>
  <c r="CR386" i="1" s="1"/>
  <c r="CP386" i="1"/>
  <c r="CU386" i="1"/>
  <c r="AV519" i="1"/>
  <c r="CG388" i="1" l="1"/>
  <c r="CH388" i="1" s="1"/>
  <c r="CI388" i="1" s="1"/>
  <c r="AQ389" i="1"/>
  <c r="CO387" i="1"/>
  <c r="CR387" i="1" s="1"/>
  <c r="CP387" i="1"/>
  <c r="CU387" i="1"/>
  <c r="AV520" i="1"/>
  <c r="CG389" i="1" l="1"/>
  <c r="CH389" i="1" s="1"/>
  <c r="CI389" i="1" s="1"/>
  <c r="AQ390" i="1"/>
  <c r="CU388" i="1"/>
  <c r="CO388" i="1"/>
  <c r="CR388" i="1" s="1"/>
  <c r="CP388" i="1"/>
  <c r="AV521" i="1"/>
  <c r="CG390" i="1" l="1"/>
  <c r="CH390" i="1" s="1"/>
  <c r="CI390" i="1" s="1"/>
  <c r="AQ391" i="1"/>
  <c r="CU389" i="1"/>
  <c r="CO389" i="1"/>
  <c r="CR389" i="1" s="1"/>
  <c r="CP389" i="1"/>
  <c r="AV522" i="1"/>
  <c r="CG391" i="1" l="1"/>
  <c r="CH391" i="1" s="1"/>
  <c r="CI391" i="1" s="1"/>
  <c r="AQ392" i="1"/>
  <c r="CO390" i="1"/>
  <c r="CR390" i="1" s="1"/>
  <c r="CU390" i="1"/>
  <c r="CP390" i="1"/>
  <c r="AV523" i="1"/>
  <c r="CG392" i="1" l="1"/>
  <c r="CH392" i="1" s="1"/>
  <c r="CI392" i="1" s="1"/>
  <c r="AQ393" i="1"/>
  <c r="CO391" i="1"/>
  <c r="CR391" i="1" s="1"/>
  <c r="CU391" i="1"/>
  <c r="CP391" i="1"/>
  <c r="AV524" i="1"/>
  <c r="CG393" i="1" l="1"/>
  <c r="CH393" i="1" s="1"/>
  <c r="CI393" i="1" s="1"/>
  <c r="AQ394" i="1"/>
  <c r="CP392" i="1"/>
  <c r="CO392" i="1"/>
  <c r="CR392" i="1" s="1"/>
  <c r="CU392" i="1"/>
  <c r="AV525" i="1"/>
  <c r="CG394" i="1" l="1"/>
  <c r="CH394" i="1" s="1"/>
  <c r="CI394" i="1" s="1"/>
  <c r="AQ395" i="1"/>
  <c r="CO393" i="1"/>
  <c r="CR393" i="1" s="1"/>
  <c r="CP393" i="1"/>
  <c r="CU393" i="1"/>
  <c r="AV526" i="1"/>
  <c r="CG395" i="1" l="1"/>
  <c r="CH395" i="1" s="1"/>
  <c r="CI395" i="1" s="1"/>
  <c r="AQ396" i="1"/>
  <c r="CO394" i="1"/>
  <c r="CR394" i="1" s="1"/>
  <c r="CP394" i="1"/>
  <c r="CU394" i="1"/>
  <c r="AV527" i="1"/>
  <c r="CG396" i="1" l="1"/>
  <c r="CH396" i="1" s="1"/>
  <c r="CI396" i="1" s="1"/>
  <c r="AQ397" i="1"/>
  <c r="CP395" i="1"/>
  <c r="CO395" i="1"/>
  <c r="CR395" i="1" s="1"/>
  <c r="CU395" i="1"/>
  <c r="AV528" i="1"/>
  <c r="CG397" i="1" l="1"/>
  <c r="CH397" i="1" s="1"/>
  <c r="CI397" i="1" s="1"/>
  <c r="AQ398" i="1"/>
  <c r="CP396" i="1"/>
  <c r="CO396" i="1"/>
  <c r="CR396" i="1" s="1"/>
  <c r="CU396" i="1"/>
  <c r="AV529" i="1"/>
  <c r="CG398" i="1" l="1"/>
  <c r="CH398" i="1" s="1"/>
  <c r="CI398" i="1" s="1"/>
  <c r="AQ399" i="1"/>
  <c r="CO397" i="1"/>
  <c r="CR397" i="1" s="1"/>
  <c r="CP397" i="1"/>
  <c r="CU397" i="1"/>
  <c r="AV530" i="1"/>
  <c r="CG399" i="1" l="1"/>
  <c r="CH399" i="1" s="1"/>
  <c r="CI399" i="1" s="1"/>
  <c r="AQ400" i="1"/>
  <c r="CP398" i="1"/>
  <c r="CU398" i="1"/>
  <c r="CO398" i="1"/>
  <c r="CR398" i="1" s="1"/>
  <c r="AV531" i="1"/>
  <c r="CG400" i="1" l="1"/>
  <c r="CH400" i="1" s="1"/>
  <c r="CI400" i="1" s="1"/>
  <c r="AQ401" i="1"/>
  <c r="CP399" i="1"/>
  <c r="CU399" i="1"/>
  <c r="CO399" i="1"/>
  <c r="CR399" i="1" s="1"/>
  <c r="AV532" i="1"/>
  <c r="CG401" i="1" l="1"/>
  <c r="CH401" i="1" s="1"/>
  <c r="CI401" i="1" s="1"/>
  <c r="AQ402" i="1"/>
  <c r="CO400" i="1"/>
  <c r="CR400" i="1" s="1"/>
  <c r="CU400" i="1"/>
  <c r="CP400" i="1"/>
  <c r="AV533" i="1"/>
  <c r="CG402" i="1" l="1"/>
  <c r="CH402" i="1" s="1"/>
  <c r="CI402" i="1" s="1"/>
  <c r="AQ403" i="1"/>
  <c r="CP401" i="1"/>
  <c r="CO401" i="1"/>
  <c r="CR401" i="1" s="1"/>
  <c r="CU401" i="1"/>
  <c r="AV534" i="1"/>
  <c r="CG403" i="1" l="1"/>
  <c r="CH403" i="1" s="1"/>
  <c r="CI403" i="1" s="1"/>
  <c r="AQ404" i="1"/>
  <c r="CU402" i="1"/>
  <c r="CO402" i="1"/>
  <c r="CR402" i="1" s="1"/>
  <c r="CP402" i="1"/>
  <c r="AV535" i="1"/>
  <c r="CG404" i="1" l="1"/>
  <c r="CH404" i="1" s="1"/>
  <c r="CI404" i="1" s="1"/>
  <c r="AQ405" i="1"/>
  <c r="CP403" i="1"/>
  <c r="CO403" i="1"/>
  <c r="CR403" i="1" s="1"/>
  <c r="CU403" i="1"/>
  <c r="AV536" i="1"/>
  <c r="CG405" i="1" l="1"/>
  <c r="CH405" i="1" s="1"/>
  <c r="CI405" i="1" s="1"/>
  <c r="AQ406" i="1"/>
  <c r="CP404" i="1"/>
  <c r="CO404" i="1"/>
  <c r="CR404" i="1" s="1"/>
  <c r="CU404" i="1"/>
  <c r="AV537" i="1"/>
  <c r="CG406" i="1" l="1"/>
  <c r="CH406" i="1" s="1"/>
  <c r="CI406" i="1" s="1"/>
  <c r="AQ407" i="1"/>
  <c r="CO405" i="1"/>
  <c r="CR405" i="1" s="1"/>
  <c r="CP405" i="1"/>
  <c r="CU405" i="1"/>
  <c r="AV538" i="1"/>
  <c r="CG407" i="1" l="1"/>
  <c r="CH407" i="1" s="1"/>
  <c r="CI407" i="1" s="1"/>
  <c r="AQ408" i="1"/>
  <c r="CO406" i="1"/>
  <c r="CR406" i="1" s="1"/>
  <c r="CP406" i="1"/>
  <c r="CU406" i="1"/>
  <c r="AV539" i="1"/>
  <c r="CG408" i="1" l="1"/>
  <c r="CH408" i="1" s="1"/>
  <c r="CI408" i="1" s="1"/>
  <c r="AQ409" i="1"/>
  <c r="CP407" i="1"/>
  <c r="CO407" i="1"/>
  <c r="CR407" i="1" s="1"/>
  <c r="CU407" i="1"/>
  <c r="AV540" i="1"/>
  <c r="CG409" i="1" l="1"/>
  <c r="CH409" i="1" s="1"/>
  <c r="CI409" i="1" s="1"/>
  <c r="AQ410" i="1"/>
  <c r="CO408" i="1"/>
  <c r="CR408" i="1" s="1"/>
  <c r="CU408" i="1"/>
  <c r="CP408" i="1"/>
  <c r="AV541" i="1"/>
  <c r="CG410" i="1" l="1"/>
  <c r="CH410" i="1" s="1"/>
  <c r="CI410" i="1" s="1"/>
  <c r="AQ411" i="1"/>
  <c r="CP409" i="1"/>
  <c r="CO409" i="1"/>
  <c r="CR409" i="1" s="1"/>
  <c r="CU409" i="1"/>
  <c r="AV542" i="1"/>
  <c r="CG411" i="1" l="1"/>
  <c r="CH411" i="1" s="1"/>
  <c r="CI411" i="1" s="1"/>
  <c r="AQ412" i="1"/>
  <c r="CP410" i="1"/>
  <c r="CO410" i="1"/>
  <c r="CR410" i="1" s="1"/>
  <c r="CU410" i="1"/>
  <c r="AV543" i="1"/>
  <c r="CG412" i="1" l="1"/>
  <c r="CH412" i="1" s="1"/>
  <c r="CI412" i="1" s="1"/>
  <c r="AQ413" i="1"/>
  <c r="CO411" i="1"/>
  <c r="CR411" i="1" s="1"/>
  <c r="CP411" i="1"/>
  <c r="CU411" i="1"/>
  <c r="AV544" i="1"/>
  <c r="CG413" i="1" l="1"/>
  <c r="CH413" i="1" s="1"/>
  <c r="CI413" i="1" s="1"/>
  <c r="AQ414" i="1"/>
  <c r="CO412" i="1"/>
  <c r="CR412" i="1" s="1"/>
  <c r="CP412" i="1"/>
  <c r="CU412" i="1"/>
  <c r="AV545" i="1"/>
  <c r="CG414" i="1" l="1"/>
  <c r="CH414" i="1" s="1"/>
  <c r="CI414" i="1" s="1"/>
  <c r="AQ415" i="1"/>
  <c r="CP413" i="1"/>
  <c r="CO413" i="1"/>
  <c r="CR413" i="1" s="1"/>
  <c r="CU413" i="1"/>
  <c r="AV546" i="1"/>
  <c r="CG415" i="1" l="1"/>
  <c r="CH415" i="1" s="1"/>
  <c r="CI415" i="1" s="1"/>
  <c r="AQ416" i="1"/>
  <c r="CP414" i="1"/>
  <c r="CO414" i="1"/>
  <c r="CR414" i="1" s="1"/>
  <c r="CU414" i="1"/>
  <c r="AV547" i="1"/>
  <c r="CG416" i="1" l="1"/>
  <c r="CH416" i="1" s="1"/>
  <c r="CI416" i="1" s="1"/>
  <c r="AQ417" i="1"/>
  <c r="CU415" i="1"/>
  <c r="CO415" i="1"/>
  <c r="CR415" i="1" s="1"/>
  <c r="CP415" i="1"/>
  <c r="AV548" i="1"/>
  <c r="CG417" i="1" l="1"/>
  <c r="CH417" i="1" s="1"/>
  <c r="CI417" i="1" s="1"/>
  <c r="AQ418" i="1"/>
  <c r="CO416" i="1"/>
  <c r="CR416" i="1" s="1"/>
  <c r="CP416" i="1"/>
  <c r="CU416" i="1"/>
  <c r="AV549" i="1"/>
  <c r="CG418" i="1" l="1"/>
  <c r="CH418" i="1" s="1"/>
  <c r="CI418" i="1" s="1"/>
  <c r="AQ419" i="1"/>
  <c r="CO417" i="1"/>
  <c r="CR417" i="1" s="1"/>
  <c r="CP417" i="1"/>
  <c r="CU417" i="1"/>
  <c r="AV550" i="1"/>
  <c r="CG419" i="1" l="1"/>
  <c r="CH419" i="1" s="1"/>
  <c r="CI419" i="1" s="1"/>
  <c r="AQ420" i="1"/>
  <c r="CO418" i="1"/>
  <c r="CR418" i="1" s="1"/>
  <c r="CP418" i="1"/>
  <c r="CU418" i="1"/>
  <c r="AV551" i="1"/>
  <c r="CG420" i="1" l="1"/>
  <c r="CH420" i="1" s="1"/>
  <c r="CI420" i="1" s="1"/>
  <c r="AQ421" i="1"/>
  <c r="CP419" i="1"/>
  <c r="CO419" i="1"/>
  <c r="CR419" i="1" s="1"/>
  <c r="CU419" i="1"/>
  <c r="AV552" i="1"/>
  <c r="CG421" i="1" l="1"/>
  <c r="CH421" i="1" s="1"/>
  <c r="CI421" i="1" s="1"/>
  <c r="AQ422" i="1"/>
  <c r="CU420" i="1"/>
  <c r="CO420" i="1"/>
  <c r="CR420" i="1" s="1"/>
  <c r="CP420" i="1"/>
  <c r="AV553" i="1"/>
  <c r="CG422" i="1" l="1"/>
  <c r="CH422" i="1" s="1"/>
  <c r="CI422" i="1" s="1"/>
  <c r="AQ423" i="1"/>
  <c r="CP421" i="1"/>
  <c r="CO421" i="1"/>
  <c r="CR421" i="1" s="1"/>
  <c r="CU421" i="1"/>
  <c r="AV554" i="1"/>
  <c r="CG423" i="1" l="1"/>
  <c r="CH423" i="1" s="1"/>
  <c r="CI423" i="1" s="1"/>
  <c r="AQ424" i="1"/>
  <c r="CP422" i="1"/>
  <c r="CU422" i="1"/>
  <c r="CO422" i="1"/>
  <c r="CR422" i="1" s="1"/>
  <c r="AV555" i="1"/>
  <c r="CG424" i="1" l="1"/>
  <c r="CH424" i="1" s="1"/>
  <c r="CI424" i="1" s="1"/>
  <c r="AQ425" i="1"/>
  <c r="CU423" i="1"/>
  <c r="CP423" i="1"/>
  <c r="CO423" i="1"/>
  <c r="CR423" i="1" s="1"/>
  <c r="AV556" i="1"/>
  <c r="CG425" i="1" l="1"/>
  <c r="CH425" i="1" s="1"/>
  <c r="CI425" i="1" s="1"/>
  <c r="AQ426" i="1"/>
  <c r="CO424" i="1"/>
  <c r="CR424" i="1" s="1"/>
  <c r="CU424" i="1"/>
  <c r="CP424" i="1"/>
  <c r="AV557" i="1"/>
  <c r="CG426" i="1" l="1"/>
  <c r="CH426" i="1" s="1"/>
  <c r="CI426" i="1" s="1"/>
  <c r="AQ427" i="1"/>
  <c r="CP425" i="1"/>
  <c r="CU425" i="1"/>
  <c r="CO425" i="1"/>
  <c r="CR425" i="1" s="1"/>
  <c r="AV558" i="1"/>
  <c r="CG427" i="1" l="1"/>
  <c r="CH427" i="1" s="1"/>
  <c r="CI427" i="1" s="1"/>
  <c r="AQ428" i="1"/>
  <c r="CP426" i="1"/>
  <c r="CO426" i="1"/>
  <c r="CR426" i="1" s="1"/>
  <c r="CU426" i="1"/>
  <c r="AV559" i="1"/>
  <c r="CG428" i="1" l="1"/>
  <c r="CH428" i="1" s="1"/>
  <c r="CI428" i="1" s="1"/>
  <c r="AQ429" i="1"/>
  <c r="CO427" i="1"/>
  <c r="CR427" i="1" s="1"/>
  <c r="CP427" i="1"/>
  <c r="CU427" i="1"/>
  <c r="AV560" i="1"/>
  <c r="CG429" i="1" l="1"/>
  <c r="CH429" i="1" s="1"/>
  <c r="CI429" i="1" s="1"/>
  <c r="AQ430" i="1"/>
  <c r="CU428" i="1"/>
  <c r="CO428" i="1"/>
  <c r="CR428" i="1" s="1"/>
  <c r="CP428" i="1"/>
  <c r="AV561" i="1"/>
  <c r="CG430" i="1" l="1"/>
  <c r="CH430" i="1" s="1"/>
  <c r="CI430" i="1" s="1"/>
  <c r="AQ431" i="1"/>
  <c r="CU429" i="1"/>
  <c r="CP429" i="1"/>
  <c r="CO429" i="1"/>
  <c r="CR429" i="1" s="1"/>
  <c r="AV562" i="1"/>
  <c r="CG431" i="1" l="1"/>
  <c r="CH431" i="1" s="1"/>
  <c r="CI431" i="1" s="1"/>
  <c r="AQ432" i="1"/>
  <c r="CU430" i="1"/>
  <c r="CP430" i="1"/>
  <c r="CO430" i="1"/>
  <c r="CR430" i="1" s="1"/>
  <c r="AV563" i="1"/>
  <c r="CG432" i="1" l="1"/>
  <c r="CH432" i="1" s="1"/>
  <c r="CI432" i="1" s="1"/>
  <c r="AQ433" i="1"/>
  <c r="CO431" i="1"/>
  <c r="CR431" i="1" s="1"/>
  <c r="CU431" i="1"/>
  <c r="CP431" i="1"/>
  <c r="AV564" i="1"/>
  <c r="CG433" i="1" l="1"/>
  <c r="CH433" i="1" s="1"/>
  <c r="CI433" i="1" s="1"/>
  <c r="AQ434" i="1"/>
  <c r="CP432" i="1"/>
  <c r="CU432" i="1"/>
  <c r="CO432" i="1"/>
  <c r="CR432" i="1" s="1"/>
  <c r="AV565" i="1"/>
  <c r="CG434" i="1" l="1"/>
  <c r="CH434" i="1" s="1"/>
  <c r="CI434" i="1" s="1"/>
  <c r="AQ435" i="1"/>
  <c r="CP433" i="1"/>
  <c r="CO433" i="1"/>
  <c r="CR433" i="1" s="1"/>
  <c r="CU433" i="1"/>
  <c r="AV566" i="1"/>
  <c r="CG435" i="1" l="1"/>
  <c r="CH435" i="1" s="1"/>
  <c r="CI435" i="1" s="1"/>
  <c r="AQ436" i="1"/>
  <c r="CU434" i="1"/>
  <c r="CO434" i="1"/>
  <c r="CR434" i="1" s="1"/>
  <c r="CP434" i="1"/>
  <c r="AV567" i="1"/>
  <c r="CG436" i="1" l="1"/>
  <c r="CH436" i="1" s="1"/>
  <c r="CI436" i="1" s="1"/>
  <c r="AQ437" i="1"/>
  <c r="CO435" i="1"/>
  <c r="CR435" i="1" s="1"/>
  <c r="CU435" i="1"/>
  <c r="CP435" i="1"/>
  <c r="AV568" i="1"/>
  <c r="CG437" i="1" l="1"/>
  <c r="CH437" i="1" s="1"/>
  <c r="CI437" i="1" s="1"/>
  <c r="AQ438" i="1"/>
  <c r="CP436" i="1"/>
  <c r="CO436" i="1"/>
  <c r="CR436" i="1" s="1"/>
  <c r="CU436" i="1"/>
  <c r="AV569" i="1"/>
  <c r="CG438" i="1" l="1"/>
  <c r="CH438" i="1" s="1"/>
  <c r="CI438" i="1" s="1"/>
  <c r="AQ439" i="1"/>
  <c r="CP437" i="1"/>
  <c r="CO437" i="1"/>
  <c r="CR437" i="1" s="1"/>
  <c r="CU437" i="1"/>
  <c r="AV570" i="1"/>
  <c r="CG439" i="1" l="1"/>
  <c r="CH439" i="1" s="1"/>
  <c r="CI439" i="1" s="1"/>
  <c r="AQ440" i="1"/>
  <c r="CO438" i="1"/>
  <c r="CR438" i="1" s="1"/>
  <c r="CP438" i="1"/>
  <c r="CU438" i="1"/>
  <c r="AV571" i="1"/>
  <c r="CG440" i="1" l="1"/>
  <c r="CH440" i="1" s="1"/>
  <c r="CI440" i="1" s="1"/>
  <c r="AQ441" i="1"/>
  <c r="CO439" i="1"/>
  <c r="CR439" i="1" s="1"/>
  <c r="CP439" i="1"/>
  <c r="CU439" i="1"/>
  <c r="AV572" i="1"/>
  <c r="CG441" i="1" l="1"/>
  <c r="CH441" i="1" s="1"/>
  <c r="CI441" i="1" s="1"/>
  <c r="AQ442" i="1"/>
  <c r="CP440" i="1"/>
  <c r="CO440" i="1"/>
  <c r="CR440" i="1" s="1"/>
  <c r="CU440" i="1"/>
  <c r="AV573" i="1"/>
  <c r="CG442" i="1" l="1"/>
  <c r="CH442" i="1" s="1"/>
  <c r="CI442" i="1" s="1"/>
  <c r="AQ443" i="1"/>
  <c r="CU441" i="1"/>
  <c r="CO441" i="1"/>
  <c r="CR441" i="1" s="1"/>
  <c r="CP441" i="1"/>
  <c r="AV574" i="1"/>
  <c r="CG443" i="1" l="1"/>
  <c r="CH443" i="1" s="1"/>
  <c r="CI443" i="1" s="1"/>
  <c r="AQ444" i="1"/>
  <c r="CP442" i="1"/>
  <c r="CO442" i="1"/>
  <c r="CR442" i="1" s="1"/>
  <c r="CU442" i="1"/>
  <c r="AV575" i="1"/>
  <c r="CG444" i="1" l="1"/>
  <c r="CH444" i="1" s="1"/>
  <c r="CI444" i="1" s="1"/>
  <c r="AQ445" i="1"/>
  <c r="CP443" i="1"/>
  <c r="CO443" i="1"/>
  <c r="CR443" i="1" s="1"/>
  <c r="CU443" i="1"/>
  <c r="AV576" i="1"/>
  <c r="CG445" i="1" l="1"/>
  <c r="CH445" i="1" s="1"/>
  <c r="CI445" i="1" s="1"/>
  <c r="AQ446" i="1"/>
  <c r="CU444" i="1"/>
  <c r="CP444" i="1"/>
  <c r="CO444" i="1"/>
  <c r="CR444" i="1" s="1"/>
  <c r="AV577" i="1"/>
  <c r="CG446" i="1" l="1"/>
  <c r="CH446" i="1" s="1"/>
  <c r="CI446" i="1" s="1"/>
  <c r="AQ447" i="1"/>
  <c r="CP445" i="1"/>
  <c r="CU445" i="1"/>
  <c r="CO445" i="1"/>
  <c r="CR445" i="1" s="1"/>
  <c r="AV578" i="1"/>
  <c r="CG447" i="1" l="1"/>
  <c r="CH447" i="1" s="1"/>
  <c r="CI447" i="1" s="1"/>
  <c r="AQ448" i="1"/>
  <c r="CP446" i="1"/>
  <c r="CO446" i="1"/>
  <c r="CR446" i="1" s="1"/>
  <c r="CU446" i="1"/>
  <c r="AV579" i="1"/>
  <c r="CG448" i="1" l="1"/>
  <c r="CH448" i="1" s="1"/>
  <c r="CI448" i="1" s="1"/>
  <c r="AQ449" i="1"/>
  <c r="CP447" i="1"/>
  <c r="CU447" i="1"/>
  <c r="CO447" i="1"/>
  <c r="CR447" i="1" s="1"/>
  <c r="AV580" i="1"/>
  <c r="CG449" i="1" l="1"/>
  <c r="CH449" i="1" s="1"/>
  <c r="CI449" i="1" s="1"/>
  <c r="AQ450" i="1"/>
  <c r="CP448" i="1"/>
  <c r="CO448" i="1"/>
  <c r="CR448" i="1" s="1"/>
  <c r="CU448" i="1"/>
  <c r="AV581" i="1"/>
  <c r="CG450" i="1" l="1"/>
  <c r="CH450" i="1" s="1"/>
  <c r="CI450" i="1" s="1"/>
  <c r="AQ451" i="1"/>
  <c r="CO449" i="1"/>
  <c r="CR449" i="1" s="1"/>
  <c r="CU449" i="1"/>
  <c r="CP449" i="1"/>
  <c r="AV582" i="1"/>
  <c r="CG451" i="1" l="1"/>
  <c r="CH451" i="1" s="1"/>
  <c r="CI451" i="1" s="1"/>
  <c r="AQ452" i="1"/>
  <c r="CO450" i="1"/>
  <c r="CR450" i="1" s="1"/>
  <c r="CP450" i="1"/>
  <c r="CU450" i="1"/>
  <c r="AV583" i="1"/>
  <c r="CG452" i="1" l="1"/>
  <c r="CH452" i="1" s="1"/>
  <c r="CI452" i="1" s="1"/>
  <c r="AQ453" i="1"/>
  <c r="CP451" i="1"/>
  <c r="CO451" i="1"/>
  <c r="CR451" i="1" s="1"/>
  <c r="CU451" i="1"/>
  <c r="AV584" i="1"/>
  <c r="CG453" i="1" l="1"/>
  <c r="CH453" i="1" s="1"/>
  <c r="CI453" i="1" s="1"/>
  <c r="AQ454" i="1"/>
  <c r="CO452" i="1"/>
  <c r="CR452" i="1" s="1"/>
  <c r="CU452" i="1"/>
  <c r="CP452" i="1"/>
  <c r="AV585" i="1"/>
  <c r="CG454" i="1" l="1"/>
  <c r="CH454" i="1" s="1"/>
  <c r="CI454" i="1" s="1"/>
  <c r="AQ455" i="1"/>
  <c r="CP453" i="1"/>
  <c r="CU453" i="1"/>
  <c r="CO453" i="1"/>
  <c r="CR453" i="1" s="1"/>
  <c r="AV586" i="1"/>
  <c r="CG455" i="1" l="1"/>
  <c r="CH455" i="1" s="1"/>
  <c r="CI455" i="1" s="1"/>
  <c r="AQ456" i="1"/>
  <c r="CO454" i="1"/>
  <c r="CR454" i="1" s="1"/>
  <c r="CP454" i="1"/>
  <c r="CU454" i="1"/>
  <c r="AV587" i="1"/>
  <c r="CG456" i="1" l="1"/>
  <c r="CH456" i="1" s="1"/>
  <c r="CI456" i="1" s="1"/>
  <c r="AQ457" i="1"/>
  <c r="CO455" i="1"/>
  <c r="CR455" i="1" s="1"/>
  <c r="CU455" i="1"/>
  <c r="CP455" i="1"/>
  <c r="AV588" i="1"/>
  <c r="CG457" i="1" l="1"/>
  <c r="CH457" i="1" s="1"/>
  <c r="CI457" i="1" s="1"/>
  <c r="AQ458" i="1"/>
  <c r="CU456" i="1"/>
  <c r="CP456" i="1"/>
  <c r="CO456" i="1"/>
  <c r="CR456" i="1" s="1"/>
  <c r="AV589" i="1"/>
  <c r="CG458" i="1" l="1"/>
  <c r="CH458" i="1" s="1"/>
  <c r="CI458" i="1" s="1"/>
  <c r="AQ459" i="1"/>
  <c r="CU457" i="1"/>
  <c r="CO457" i="1"/>
  <c r="CR457" i="1" s="1"/>
  <c r="CP457" i="1"/>
  <c r="AV590" i="1"/>
  <c r="CG459" i="1" l="1"/>
  <c r="CH459" i="1" s="1"/>
  <c r="CI459" i="1" s="1"/>
  <c r="AQ460" i="1"/>
  <c r="CP458" i="1"/>
  <c r="CU458" i="1"/>
  <c r="CO458" i="1"/>
  <c r="CR458" i="1" s="1"/>
  <c r="AV591" i="1"/>
  <c r="CG460" i="1" l="1"/>
  <c r="CH460" i="1" s="1"/>
  <c r="CI460" i="1" s="1"/>
  <c r="AQ461" i="1"/>
  <c r="CU459" i="1"/>
  <c r="CP459" i="1"/>
  <c r="CO459" i="1"/>
  <c r="CR459" i="1" s="1"/>
  <c r="AV592" i="1"/>
  <c r="CG461" i="1" l="1"/>
  <c r="CH461" i="1" s="1"/>
  <c r="CI461" i="1" s="1"/>
  <c r="AQ462" i="1"/>
  <c r="CU460" i="1"/>
  <c r="CP460" i="1"/>
  <c r="CO460" i="1"/>
  <c r="CR460" i="1" s="1"/>
  <c r="AV593" i="1"/>
  <c r="CG462" i="1" l="1"/>
  <c r="CH462" i="1" s="1"/>
  <c r="CI462" i="1" s="1"/>
  <c r="AQ463" i="1"/>
  <c r="CP461" i="1"/>
  <c r="CO461" i="1"/>
  <c r="CR461" i="1" s="1"/>
  <c r="CU461" i="1"/>
  <c r="AV594" i="1"/>
  <c r="CG463" i="1" l="1"/>
  <c r="CH463" i="1" s="1"/>
  <c r="CI463" i="1" s="1"/>
  <c r="AQ464" i="1"/>
  <c r="CO462" i="1"/>
  <c r="CR462" i="1" s="1"/>
  <c r="CP462" i="1"/>
  <c r="CU462" i="1"/>
  <c r="AV595" i="1"/>
  <c r="CG464" i="1" l="1"/>
  <c r="CH464" i="1" s="1"/>
  <c r="CI464" i="1" s="1"/>
  <c r="AQ465" i="1"/>
  <c r="CO463" i="1"/>
  <c r="CR463" i="1" s="1"/>
  <c r="CP463" i="1"/>
  <c r="CU463" i="1"/>
  <c r="AV596" i="1"/>
  <c r="CG465" i="1" l="1"/>
  <c r="CH465" i="1" s="1"/>
  <c r="CI465" i="1" s="1"/>
  <c r="AQ466" i="1"/>
  <c r="CO464" i="1"/>
  <c r="CR464" i="1" s="1"/>
  <c r="CU464" i="1"/>
  <c r="CP464" i="1"/>
  <c r="AV597" i="1"/>
  <c r="CG466" i="1" l="1"/>
  <c r="CH466" i="1" s="1"/>
  <c r="CI466" i="1" s="1"/>
  <c r="AQ467" i="1"/>
  <c r="CO465" i="1"/>
  <c r="CR465" i="1" s="1"/>
  <c r="CP465" i="1"/>
  <c r="CU465" i="1"/>
  <c r="AV598" i="1"/>
  <c r="CG467" i="1" l="1"/>
  <c r="CH467" i="1" s="1"/>
  <c r="CI467" i="1" s="1"/>
  <c r="AQ468" i="1"/>
  <c r="CU466" i="1"/>
  <c r="CP466" i="1"/>
  <c r="CO466" i="1"/>
  <c r="CR466" i="1" s="1"/>
  <c r="AV599" i="1"/>
  <c r="CG468" i="1" l="1"/>
  <c r="CH468" i="1" s="1"/>
  <c r="CI468" i="1" s="1"/>
  <c r="AQ469" i="1"/>
  <c r="CO467" i="1"/>
  <c r="CR467" i="1" s="1"/>
  <c r="CP467" i="1"/>
  <c r="CU467" i="1"/>
  <c r="AV600" i="1"/>
  <c r="CG469" i="1" l="1"/>
  <c r="CH469" i="1" s="1"/>
  <c r="CI469" i="1" s="1"/>
  <c r="AQ470" i="1"/>
  <c r="CP468" i="1"/>
  <c r="CO468" i="1"/>
  <c r="CR468" i="1" s="1"/>
  <c r="CU468" i="1"/>
  <c r="AV601" i="1"/>
  <c r="CG470" i="1" l="1"/>
  <c r="CH470" i="1" s="1"/>
  <c r="CI470" i="1" s="1"/>
  <c r="AQ471" i="1"/>
  <c r="CO469" i="1"/>
  <c r="CR469" i="1" s="1"/>
  <c r="CU469" i="1"/>
  <c r="CP469" i="1"/>
  <c r="AV602" i="1"/>
  <c r="CG471" i="1" l="1"/>
  <c r="CH471" i="1" s="1"/>
  <c r="CI471" i="1" s="1"/>
  <c r="AQ472" i="1"/>
  <c r="CP470" i="1"/>
  <c r="CO470" i="1"/>
  <c r="CR470" i="1" s="1"/>
  <c r="CU470" i="1"/>
  <c r="AV603" i="1"/>
  <c r="CG472" i="1" l="1"/>
  <c r="CH472" i="1" s="1"/>
  <c r="CI472" i="1" s="1"/>
  <c r="AQ473" i="1"/>
  <c r="CP471" i="1"/>
  <c r="CO471" i="1"/>
  <c r="CR471" i="1" s="1"/>
  <c r="CU471" i="1"/>
  <c r="AV604" i="1"/>
  <c r="CG473" i="1" l="1"/>
  <c r="CH473" i="1" s="1"/>
  <c r="CI473" i="1" s="1"/>
  <c r="AQ474" i="1"/>
  <c r="CP472" i="1"/>
  <c r="CU472" i="1"/>
  <c r="CO472" i="1"/>
  <c r="CR472" i="1" s="1"/>
  <c r="AV605" i="1"/>
  <c r="CG474" i="1" l="1"/>
  <c r="CH474" i="1" s="1"/>
  <c r="CI474" i="1" s="1"/>
  <c r="AQ475" i="1"/>
  <c r="CP473" i="1"/>
  <c r="CU473" i="1"/>
  <c r="CO473" i="1"/>
  <c r="CR473" i="1" s="1"/>
  <c r="AV606" i="1"/>
  <c r="CG475" i="1" l="1"/>
  <c r="CH475" i="1" s="1"/>
  <c r="CI475" i="1" s="1"/>
  <c r="AQ476" i="1"/>
  <c r="CO474" i="1"/>
  <c r="CR474" i="1" s="1"/>
  <c r="CU474" i="1"/>
  <c r="CP474" i="1"/>
  <c r="AV607" i="1"/>
  <c r="CG476" i="1" l="1"/>
  <c r="CH476" i="1" s="1"/>
  <c r="CI476" i="1" s="1"/>
  <c r="AQ477" i="1"/>
  <c r="CU475" i="1"/>
  <c r="CO475" i="1"/>
  <c r="CR475" i="1" s="1"/>
  <c r="CP475" i="1"/>
  <c r="AV608" i="1"/>
  <c r="CG477" i="1" l="1"/>
  <c r="CH477" i="1" s="1"/>
  <c r="CI477" i="1" s="1"/>
  <c r="AQ478" i="1"/>
  <c r="CO476" i="1"/>
  <c r="CR476" i="1" s="1"/>
  <c r="CU476" i="1"/>
  <c r="CP476" i="1"/>
  <c r="AV609" i="1"/>
  <c r="CG478" i="1" l="1"/>
  <c r="CH478" i="1" s="1"/>
  <c r="CI478" i="1" s="1"/>
  <c r="AQ479" i="1"/>
  <c r="CO477" i="1"/>
  <c r="CR477" i="1" s="1"/>
  <c r="CP477" i="1"/>
  <c r="CU477" i="1"/>
  <c r="AV610" i="1"/>
  <c r="CG479" i="1" l="1"/>
  <c r="CH479" i="1" s="1"/>
  <c r="CI479" i="1" s="1"/>
  <c r="AQ480" i="1"/>
  <c r="CP478" i="1"/>
  <c r="CU478" i="1"/>
  <c r="CO478" i="1"/>
  <c r="CR478" i="1" s="1"/>
  <c r="AV611" i="1"/>
  <c r="CG480" i="1" l="1"/>
  <c r="CH480" i="1" s="1"/>
  <c r="CI480" i="1" s="1"/>
  <c r="AQ481" i="1"/>
  <c r="CU479" i="1"/>
  <c r="CO479" i="1"/>
  <c r="CR479" i="1" s="1"/>
  <c r="CP479" i="1"/>
  <c r="AV612" i="1"/>
  <c r="CG481" i="1" l="1"/>
  <c r="CH481" i="1" s="1"/>
  <c r="CI481" i="1" s="1"/>
  <c r="AQ482" i="1"/>
  <c r="CU480" i="1"/>
  <c r="CP480" i="1"/>
  <c r="CO480" i="1"/>
  <c r="CR480" i="1" s="1"/>
  <c r="AV613" i="1"/>
  <c r="CG482" i="1" l="1"/>
  <c r="CH482" i="1" s="1"/>
  <c r="CI482" i="1" s="1"/>
  <c r="AQ483" i="1"/>
  <c r="CP481" i="1"/>
  <c r="CO481" i="1"/>
  <c r="CR481" i="1" s="1"/>
  <c r="CU481" i="1"/>
  <c r="AV614" i="1"/>
  <c r="CG483" i="1" l="1"/>
  <c r="CH483" i="1" s="1"/>
  <c r="CI483" i="1" s="1"/>
  <c r="AQ484" i="1"/>
  <c r="CO482" i="1"/>
  <c r="CR482" i="1" s="1"/>
  <c r="CP482" i="1"/>
  <c r="CU482" i="1"/>
  <c r="AV615" i="1"/>
  <c r="CG484" i="1" l="1"/>
  <c r="CH484" i="1" s="1"/>
  <c r="CI484" i="1" s="1"/>
  <c r="AQ485" i="1"/>
  <c r="CO483" i="1"/>
  <c r="CR483" i="1" s="1"/>
  <c r="CP483" i="1"/>
  <c r="CU483" i="1"/>
  <c r="AV616" i="1"/>
  <c r="CG485" i="1" l="1"/>
  <c r="CH485" i="1" s="1"/>
  <c r="CI485" i="1" s="1"/>
  <c r="AQ486" i="1"/>
  <c r="CU484" i="1"/>
  <c r="CO484" i="1"/>
  <c r="CR484" i="1" s="1"/>
  <c r="CP484" i="1"/>
  <c r="AV617" i="1"/>
  <c r="CG486" i="1" l="1"/>
  <c r="CH486" i="1" s="1"/>
  <c r="CI486" i="1" s="1"/>
  <c r="AQ487" i="1"/>
  <c r="CP485" i="1"/>
  <c r="CU485" i="1"/>
  <c r="CO485" i="1"/>
  <c r="CR485" i="1" s="1"/>
  <c r="AV618" i="1"/>
  <c r="CG487" i="1" l="1"/>
  <c r="CH487" i="1" s="1"/>
  <c r="CI487" i="1" s="1"/>
  <c r="AQ488" i="1"/>
  <c r="CU486" i="1"/>
  <c r="CO486" i="1"/>
  <c r="CR486" i="1" s="1"/>
  <c r="CP486" i="1"/>
  <c r="AV619" i="1"/>
  <c r="CG488" i="1" l="1"/>
  <c r="CH488" i="1" s="1"/>
  <c r="CI488" i="1" s="1"/>
  <c r="AQ489" i="1"/>
  <c r="CP487" i="1"/>
  <c r="CO487" i="1"/>
  <c r="CR487" i="1" s="1"/>
  <c r="CU487" i="1"/>
  <c r="AV620" i="1"/>
  <c r="CG489" i="1" l="1"/>
  <c r="CH489" i="1" s="1"/>
  <c r="CI489" i="1" s="1"/>
  <c r="AQ490" i="1"/>
  <c r="CP488" i="1"/>
  <c r="CO488" i="1"/>
  <c r="CR488" i="1" s="1"/>
  <c r="CU488" i="1"/>
  <c r="AV621" i="1"/>
  <c r="CG490" i="1" l="1"/>
  <c r="CH490" i="1" s="1"/>
  <c r="CI490" i="1" s="1"/>
  <c r="AQ491" i="1"/>
  <c r="CP489" i="1"/>
  <c r="CO489" i="1"/>
  <c r="CR489" i="1" s="1"/>
  <c r="CU489" i="1"/>
  <c r="AV622" i="1"/>
  <c r="CG491" i="1" l="1"/>
  <c r="CH491" i="1" s="1"/>
  <c r="CI491" i="1" s="1"/>
  <c r="AQ492" i="1"/>
  <c r="CO490" i="1"/>
  <c r="CR490" i="1" s="1"/>
  <c r="CU490" i="1"/>
  <c r="CP490" i="1"/>
  <c r="AV623" i="1"/>
  <c r="CG492" i="1" l="1"/>
  <c r="CH492" i="1" s="1"/>
  <c r="CI492" i="1" s="1"/>
  <c r="AQ493" i="1"/>
  <c r="CP491" i="1"/>
  <c r="CU491" i="1"/>
  <c r="CO491" i="1"/>
  <c r="CR491" i="1" s="1"/>
  <c r="AV624" i="1"/>
  <c r="CG493" i="1" l="1"/>
  <c r="CH493" i="1" s="1"/>
  <c r="CI493" i="1" s="1"/>
  <c r="AQ494" i="1"/>
  <c r="CP492" i="1"/>
  <c r="CO492" i="1"/>
  <c r="CR492" i="1" s="1"/>
  <c r="CU492" i="1"/>
  <c r="AV625" i="1"/>
  <c r="CG494" i="1" l="1"/>
  <c r="CH494" i="1" s="1"/>
  <c r="CI494" i="1" s="1"/>
  <c r="AQ495" i="1"/>
  <c r="CU493" i="1"/>
  <c r="CP493" i="1"/>
  <c r="CO493" i="1"/>
  <c r="CR493" i="1" s="1"/>
  <c r="CG495" i="1" l="1"/>
  <c r="AQ496" i="1"/>
  <c r="CU494" i="1"/>
  <c r="CP494" i="1"/>
  <c r="CO494" i="1"/>
  <c r="CR494" i="1" s="1"/>
  <c r="CG496" i="1" l="1"/>
  <c r="CH496" i="1" s="1"/>
  <c r="CI496" i="1" s="1"/>
  <c r="AQ497" i="1"/>
  <c r="CH495" i="1"/>
  <c r="CI495" i="1" l="1"/>
  <c r="CG497" i="1"/>
  <c r="AQ498" i="1"/>
  <c r="CP496" i="1"/>
  <c r="CU496" i="1"/>
  <c r="CO496" i="1"/>
  <c r="CR496" i="1" s="1"/>
  <c r="CG498" i="1" l="1"/>
  <c r="CH498" i="1" s="1"/>
  <c r="CI498" i="1" s="1"/>
  <c r="AQ499" i="1"/>
  <c r="CH497" i="1"/>
  <c r="CU495" i="1"/>
  <c r="CO495" i="1"/>
  <c r="CR495" i="1" s="1"/>
  <c r="CP495" i="1"/>
  <c r="CI497" i="1" l="1"/>
  <c r="CG499" i="1"/>
  <c r="AQ500" i="1"/>
  <c r="CU498" i="1"/>
  <c r="CP498" i="1"/>
  <c r="CO498" i="1"/>
  <c r="CR498" i="1" s="1"/>
  <c r="CG500" i="1" l="1"/>
  <c r="CH500" i="1" s="1"/>
  <c r="CI500" i="1" s="1"/>
  <c r="AQ501" i="1"/>
  <c r="CH499" i="1"/>
  <c r="CU497" i="1"/>
  <c r="CO497" i="1"/>
  <c r="CR497" i="1" s="1"/>
  <c r="CP497" i="1"/>
  <c r="CI499" i="1" l="1"/>
  <c r="CG501" i="1"/>
  <c r="AQ502" i="1"/>
  <c r="CP500" i="1"/>
  <c r="CU500" i="1"/>
  <c r="CO500" i="1"/>
  <c r="CR500" i="1" s="1"/>
  <c r="CG502" i="1" l="1"/>
  <c r="CH502" i="1" s="1"/>
  <c r="CI502" i="1" s="1"/>
  <c r="AQ503" i="1"/>
  <c r="CH501" i="1"/>
  <c r="CU499" i="1"/>
  <c r="CO499" i="1"/>
  <c r="CR499" i="1" s="1"/>
  <c r="CP499" i="1"/>
  <c r="CI501" i="1" l="1"/>
  <c r="CG503" i="1"/>
  <c r="AQ504" i="1"/>
  <c r="CO502" i="1"/>
  <c r="CR502" i="1" s="1"/>
  <c r="CU502" i="1"/>
  <c r="CP502" i="1"/>
  <c r="CG504" i="1" l="1"/>
  <c r="CH504" i="1" s="1"/>
  <c r="CI504" i="1" s="1"/>
  <c r="AQ505" i="1"/>
  <c r="CH503" i="1"/>
  <c r="CP501" i="1"/>
  <c r="CO501" i="1"/>
  <c r="CR501" i="1" s="1"/>
  <c r="CU501" i="1"/>
  <c r="CI503" i="1" l="1"/>
  <c r="CG505" i="1"/>
  <c r="CH505" i="1" s="1"/>
  <c r="CI505" i="1" s="1"/>
  <c r="AQ506" i="1"/>
  <c r="CO504" i="1"/>
  <c r="CR504" i="1" s="1"/>
  <c r="CP504" i="1"/>
  <c r="CU504" i="1"/>
  <c r="CG506" i="1" l="1"/>
  <c r="CH506" i="1" s="1"/>
  <c r="CI506" i="1" s="1"/>
  <c r="AQ507" i="1"/>
  <c r="CP505" i="1"/>
  <c r="CO505" i="1"/>
  <c r="CR505" i="1" s="1"/>
  <c r="CU505" i="1"/>
  <c r="CP503" i="1"/>
  <c r="CU503" i="1"/>
  <c r="CO503" i="1"/>
  <c r="CR503" i="1" s="1"/>
  <c r="CG507" i="1" l="1"/>
  <c r="CH507" i="1" s="1"/>
  <c r="CI507" i="1" s="1"/>
  <c r="AQ508" i="1"/>
  <c r="CP506" i="1"/>
  <c r="CU506" i="1"/>
  <c r="CO506" i="1"/>
  <c r="CR506" i="1" s="1"/>
  <c r="CG508" i="1" l="1"/>
  <c r="CH508" i="1" s="1"/>
  <c r="CI508" i="1" s="1"/>
  <c r="AQ509" i="1"/>
  <c r="CU507" i="1"/>
  <c r="CP507" i="1"/>
  <c r="CO507" i="1"/>
  <c r="CR507" i="1" s="1"/>
  <c r="CG509" i="1" l="1"/>
  <c r="CH509" i="1" s="1"/>
  <c r="CI509" i="1" s="1"/>
  <c r="AQ510" i="1"/>
  <c r="CP508" i="1"/>
  <c r="CO508" i="1"/>
  <c r="CR508" i="1" s="1"/>
  <c r="CU508" i="1"/>
  <c r="CG510" i="1" l="1"/>
  <c r="CH510" i="1" s="1"/>
  <c r="CI510" i="1" s="1"/>
  <c r="AQ511" i="1"/>
  <c r="CO509" i="1"/>
  <c r="CR509" i="1" s="1"/>
  <c r="CP509" i="1"/>
  <c r="CU509" i="1"/>
  <c r="CG511" i="1" l="1"/>
  <c r="CH511" i="1" s="1"/>
  <c r="CI511" i="1" s="1"/>
  <c r="AQ512" i="1"/>
  <c r="CP510" i="1"/>
  <c r="CU510" i="1"/>
  <c r="CO510" i="1"/>
  <c r="CR510" i="1" s="1"/>
  <c r="CG512" i="1" l="1"/>
  <c r="CH512" i="1" s="1"/>
  <c r="CI512" i="1" s="1"/>
  <c r="AQ513" i="1"/>
  <c r="CO511" i="1"/>
  <c r="CR511" i="1" s="1"/>
  <c r="CP511" i="1"/>
  <c r="CU511" i="1"/>
  <c r="CG513" i="1" l="1"/>
  <c r="CH513" i="1" s="1"/>
  <c r="CI513" i="1" s="1"/>
  <c r="AQ514" i="1"/>
  <c r="CU512" i="1"/>
  <c r="CO512" i="1"/>
  <c r="CR512" i="1" s="1"/>
  <c r="CP512" i="1"/>
  <c r="CG514" i="1" l="1"/>
  <c r="CH514" i="1" s="1"/>
  <c r="CI514" i="1" s="1"/>
  <c r="AQ515" i="1"/>
  <c r="CO513" i="1"/>
  <c r="CR513" i="1" s="1"/>
  <c r="CU513" i="1"/>
  <c r="CP513" i="1"/>
  <c r="CG515" i="1" l="1"/>
  <c r="CH515" i="1" s="1"/>
  <c r="CI515" i="1" s="1"/>
  <c r="AQ516" i="1"/>
  <c r="CU514" i="1"/>
  <c r="CP514" i="1"/>
  <c r="CO514" i="1"/>
  <c r="CR514" i="1" s="1"/>
  <c r="CG516" i="1" l="1"/>
  <c r="CH516" i="1" s="1"/>
  <c r="CI516" i="1" s="1"/>
  <c r="AQ517" i="1"/>
  <c r="CP515" i="1"/>
  <c r="CO515" i="1"/>
  <c r="CR515" i="1" s="1"/>
  <c r="CU515" i="1"/>
  <c r="CG517" i="1" l="1"/>
  <c r="CH517" i="1" s="1"/>
  <c r="CI517" i="1" s="1"/>
  <c r="AQ518" i="1"/>
  <c r="CP516" i="1"/>
  <c r="CU516" i="1"/>
  <c r="CO516" i="1"/>
  <c r="CR516" i="1" s="1"/>
  <c r="CG518" i="1" l="1"/>
  <c r="CH518" i="1" s="1"/>
  <c r="CI518" i="1" s="1"/>
  <c r="AQ519" i="1"/>
  <c r="CU517" i="1"/>
  <c r="CO517" i="1"/>
  <c r="CR517" i="1" s="1"/>
  <c r="CP517" i="1"/>
  <c r="CG519" i="1" l="1"/>
  <c r="CH519" i="1" s="1"/>
  <c r="CI519" i="1" s="1"/>
  <c r="AQ520" i="1"/>
  <c r="CO518" i="1"/>
  <c r="CR518" i="1" s="1"/>
  <c r="CU518" i="1"/>
  <c r="CP518" i="1"/>
  <c r="CG520" i="1" l="1"/>
  <c r="CH520" i="1" s="1"/>
  <c r="CI520" i="1" s="1"/>
  <c r="AQ521" i="1"/>
  <c r="CP519" i="1"/>
  <c r="CU519" i="1"/>
  <c r="CO519" i="1"/>
  <c r="CR519" i="1" s="1"/>
  <c r="CG521" i="1" l="1"/>
  <c r="CH521" i="1" s="1"/>
  <c r="CI521" i="1" s="1"/>
  <c r="AQ522" i="1"/>
  <c r="CU520" i="1"/>
  <c r="CP520" i="1"/>
  <c r="CO520" i="1"/>
  <c r="CR520" i="1" s="1"/>
  <c r="CG522" i="1" l="1"/>
  <c r="CH522" i="1" s="1"/>
  <c r="CI522" i="1" s="1"/>
  <c r="AQ523" i="1"/>
  <c r="CU521" i="1"/>
  <c r="CP521" i="1"/>
  <c r="CO521" i="1"/>
  <c r="CR521" i="1" s="1"/>
  <c r="CG523" i="1" l="1"/>
  <c r="CH523" i="1" s="1"/>
  <c r="CI523" i="1" s="1"/>
  <c r="AQ524" i="1"/>
  <c r="CO522" i="1"/>
  <c r="CR522" i="1" s="1"/>
  <c r="CP522" i="1"/>
  <c r="CU522" i="1"/>
  <c r="CG524" i="1" l="1"/>
  <c r="CH524" i="1" s="1"/>
  <c r="CI524" i="1" s="1"/>
  <c r="AQ525" i="1"/>
  <c r="CO523" i="1"/>
  <c r="CR523" i="1" s="1"/>
  <c r="CU523" i="1"/>
  <c r="CP523" i="1"/>
  <c r="CG525" i="1" l="1"/>
  <c r="CH525" i="1" s="1"/>
  <c r="CI525" i="1" s="1"/>
  <c r="AQ526" i="1"/>
  <c r="CP524" i="1"/>
  <c r="CO524" i="1"/>
  <c r="CR524" i="1" s="1"/>
  <c r="CU524" i="1"/>
  <c r="CG526" i="1" l="1"/>
  <c r="CH526" i="1" s="1"/>
  <c r="CI526" i="1" s="1"/>
  <c r="AQ527" i="1"/>
  <c r="CP525" i="1"/>
  <c r="CU525" i="1"/>
  <c r="CO525" i="1"/>
  <c r="CR525" i="1" s="1"/>
  <c r="CG527" i="1" l="1"/>
  <c r="CH527" i="1" s="1"/>
  <c r="CI527" i="1" s="1"/>
  <c r="AQ528" i="1"/>
  <c r="CO526" i="1"/>
  <c r="CR526" i="1" s="1"/>
  <c r="CP526" i="1"/>
  <c r="CU526" i="1"/>
  <c r="CG528" i="1" l="1"/>
  <c r="CH528" i="1" s="1"/>
  <c r="CI528" i="1" s="1"/>
  <c r="AQ529" i="1"/>
  <c r="CO527" i="1"/>
  <c r="CR527" i="1" s="1"/>
  <c r="CU527" i="1"/>
  <c r="CP527" i="1"/>
  <c r="CG529" i="1" l="1"/>
  <c r="CH529" i="1" s="1"/>
  <c r="CI529" i="1" s="1"/>
  <c r="AQ530" i="1"/>
  <c r="CP528" i="1"/>
  <c r="CO528" i="1"/>
  <c r="CR528" i="1" s="1"/>
  <c r="CU528" i="1"/>
  <c r="CG530" i="1" l="1"/>
  <c r="CH530" i="1" s="1"/>
  <c r="CI530" i="1" s="1"/>
  <c r="AQ531" i="1"/>
  <c r="CU529" i="1"/>
  <c r="CO529" i="1"/>
  <c r="CR529" i="1" s="1"/>
  <c r="CP529" i="1"/>
  <c r="CG531" i="1" l="1"/>
  <c r="CH531" i="1" s="1"/>
  <c r="CI531" i="1" s="1"/>
  <c r="AQ532" i="1"/>
  <c r="CO530" i="1"/>
  <c r="CR530" i="1" s="1"/>
  <c r="CU530" i="1"/>
  <c r="CP530" i="1"/>
  <c r="CG532" i="1" l="1"/>
  <c r="CH532" i="1" s="1"/>
  <c r="CI532" i="1" s="1"/>
  <c r="AQ533" i="1"/>
  <c r="CO531" i="1"/>
  <c r="CR531" i="1" s="1"/>
  <c r="CP531" i="1"/>
  <c r="CU531" i="1"/>
  <c r="CG533" i="1" l="1"/>
  <c r="CH533" i="1" s="1"/>
  <c r="CI533" i="1" s="1"/>
  <c r="AQ534" i="1"/>
  <c r="CU532" i="1"/>
  <c r="CP532" i="1"/>
  <c r="CO532" i="1"/>
  <c r="CR532" i="1" s="1"/>
  <c r="CG534" i="1" l="1"/>
  <c r="CH534" i="1" s="1"/>
  <c r="CI534" i="1" s="1"/>
  <c r="AQ535" i="1"/>
  <c r="CO533" i="1"/>
  <c r="CR533" i="1" s="1"/>
  <c r="CU533" i="1"/>
  <c r="CP533" i="1"/>
  <c r="CG535" i="1" l="1"/>
  <c r="CH535" i="1" s="1"/>
  <c r="CI535" i="1" s="1"/>
  <c r="AQ536" i="1"/>
  <c r="CP534" i="1"/>
  <c r="CU534" i="1"/>
  <c r="CO534" i="1"/>
  <c r="CR534" i="1" s="1"/>
  <c r="CG536" i="1" l="1"/>
  <c r="CH536" i="1" s="1"/>
  <c r="CI536" i="1" s="1"/>
  <c r="AQ537" i="1"/>
  <c r="CO535" i="1"/>
  <c r="CR535" i="1" s="1"/>
  <c r="CP535" i="1"/>
  <c r="CU535" i="1"/>
  <c r="CG537" i="1" l="1"/>
  <c r="CH537" i="1" s="1"/>
  <c r="CI537" i="1" s="1"/>
  <c r="AQ538" i="1"/>
  <c r="CP536" i="1"/>
  <c r="CO536" i="1"/>
  <c r="CR536" i="1" s="1"/>
  <c r="CU536" i="1"/>
  <c r="CG538" i="1" l="1"/>
  <c r="CH538" i="1" s="1"/>
  <c r="CI538" i="1" s="1"/>
  <c r="AQ539" i="1"/>
  <c r="CO537" i="1"/>
  <c r="CR537" i="1" s="1"/>
  <c r="CP537" i="1"/>
  <c r="CU537" i="1"/>
  <c r="CG539" i="1" l="1"/>
  <c r="CH539" i="1" s="1"/>
  <c r="CI539" i="1" s="1"/>
  <c r="AQ540" i="1"/>
  <c r="CP538" i="1"/>
  <c r="CU538" i="1"/>
  <c r="CO538" i="1"/>
  <c r="CR538" i="1" s="1"/>
  <c r="CG540" i="1" l="1"/>
  <c r="CH540" i="1" s="1"/>
  <c r="CI540" i="1" s="1"/>
  <c r="AQ541" i="1"/>
  <c r="CU539" i="1"/>
  <c r="CO539" i="1"/>
  <c r="CR539" i="1" s="1"/>
  <c r="CP539" i="1"/>
  <c r="CG541" i="1" l="1"/>
  <c r="CH541" i="1" s="1"/>
  <c r="CI541" i="1" s="1"/>
  <c r="AQ542" i="1"/>
  <c r="CP540" i="1"/>
  <c r="CO540" i="1"/>
  <c r="CR540" i="1" s="1"/>
  <c r="CU540" i="1"/>
  <c r="CG542" i="1" l="1"/>
  <c r="CH542" i="1" s="1"/>
  <c r="CI542" i="1" s="1"/>
  <c r="AQ543" i="1"/>
  <c r="CP541" i="1"/>
  <c r="CO541" i="1"/>
  <c r="CR541" i="1" s="1"/>
  <c r="CU541" i="1"/>
  <c r="CG543" i="1" l="1"/>
  <c r="CH543" i="1" s="1"/>
  <c r="CI543" i="1" s="1"/>
  <c r="AQ544" i="1"/>
  <c r="CO542" i="1"/>
  <c r="CR542" i="1" s="1"/>
  <c r="CU542" i="1"/>
  <c r="CP542" i="1"/>
  <c r="CG544" i="1" l="1"/>
  <c r="CH544" i="1" s="1"/>
  <c r="CI544" i="1" s="1"/>
  <c r="AQ545" i="1"/>
  <c r="CU543" i="1"/>
  <c r="CP543" i="1"/>
  <c r="CO543" i="1"/>
  <c r="CR543" i="1" s="1"/>
  <c r="CG545" i="1" l="1"/>
  <c r="CH545" i="1" s="1"/>
  <c r="CI545" i="1" s="1"/>
  <c r="AQ546" i="1"/>
  <c r="CU544" i="1"/>
  <c r="CO544" i="1"/>
  <c r="CR544" i="1" s="1"/>
  <c r="CP544" i="1"/>
  <c r="CG546" i="1" l="1"/>
  <c r="CH546" i="1" s="1"/>
  <c r="CI546" i="1" s="1"/>
  <c r="AQ547" i="1"/>
  <c r="CO545" i="1"/>
  <c r="CR545" i="1" s="1"/>
  <c r="CP545" i="1"/>
  <c r="CU545" i="1"/>
  <c r="CG547" i="1" l="1"/>
  <c r="CH547" i="1" s="1"/>
  <c r="CI547" i="1" s="1"/>
  <c r="AQ548" i="1"/>
  <c r="CP546" i="1"/>
  <c r="CO546" i="1"/>
  <c r="CR546" i="1" s="1"/>
  <c r="CU546" i="1"/>
  <c r="CG548" i="1" l="1"/>
  <c r="CH548" i="1" s="1"/>
  <c r="CI548" i="1" s="1"/>
  <c r="AQ549" i="1"/>
  <c r="CP547" i="1"/>
  <c r="CO547" i="1"/>
  <c r="CR547" i="1" s="1"/>
  <c r="CU547" i="1"/>
  <c r="CG549" i="1" l="1"/>
  <c r="CH549" i="1" s="1"/>
  <c r="CI549" i="1" s="1"/>
  <c r="AQ550" i="1"/>
  <c r="CO548" i="1"/>
  <c r="CR548" i="1" s="1"/>
  <c r="CU548" i="1"/>
  <c r="CP548" i="1"/>
  <c r="CG550" i="1" l="1"/>
  <c r="CH550" i="1" s="1"/>
  <c r="CI550" i="1" s="1"/>
  <c r="AQ551" i="1"/>
  <c r="CO549" i="1"/>
  <c r="CR549" i="1" s="1"/>
  <c r="CU549" i="1"/>
  <c r="CP549" i="1"/>
  <c r="CG551" i="1" l="1"/>
  <c r="CH551" i="1" s="1"/>
  <c r="CI551" i="1" s="1"/>
  <c r="AQ552" i="1"/>
  <c r="CP550" i="1"/>
  <c r="CU550" i="1"/>
  <c r="CO550" i="1"/>
  <c r="CR550" i="1" s="1"/>
  <c r="CG552" i="1" l="1"/>
  <c r="CH552" i="1" s="1"/>
  <c r="CI552" i="1" s="1"/>
  <c r="AQ553" i="1"/>
  <c r="CO551" i="1"/>
  <c r="CR551" i="1" s="1"/>
  <c r="CU551" i="1"/>
  <c r="CP551" i="1"/>
  <c r="CG553" i="1" l="1"/>
  <c r="CH553" i="1" s="1"/>
  <c r="CI553" i="1" s="1"/>
  <c r="AQ554" i="1"/>
  <c r="CO552" i="1"/>
  <c r="CR552" i="1" s="1"/>
  <c r="CU552" i="1"/>
  <c r="CP552" i="1"/>
  <c r="CG554" i="1" l="1"/>
  <c r="CH554" i="1" s="1"/>
  <c r="CI554" i="1" s="1"/>
  <c r="AQ555" i="1"/>
  <c r="CP553" i="1"/>
  <c r="CO553" i="1"/>
  <c r="CR553" i="1" s="1"/>
  <c r="CU553" i="1"/>
  <c r="CG555" i="1" l="1"/>
  <c r="CH555" i="1" s="1"/>
  <c r="CI555" i="1" s="1"/>
  <c r="AQ556" i="1"/>
  <c r="CO554" i="1"/>
  <c r="CR554" i="1" s="1"/>
  <c r="CU554" i="1"/>
  <c r="CP554" i="1"/>
  <c r="CG556" i="1" l="1"/>
  <c r="CH556" i="1" s="1"/>
  <c r="CI556" i="1" s="1"/>
  <c r="AQ557" i="1"/>
  <c r="CO555" i="1"/>
  <c r="CR555" i="1" s="1"/>
  <c r="CP555" i="1"/>
  <c r="CU555" i="1"/>
  <c r="CG557" i="1" l="1"/>
  <c r="CH557" i="1" s="1"/>
  <c r="CI557" i="1" s="1"/>
  <c r="AQ558" i="1"/>
  <c r="CP556" i="1"/>
  <c r="CO556" i="1"/>
  <c r="CR556" i="1" s="1"/>
  <c r="CU556" i="1"/>
  <c r="CG558" i="1" l="1"/>
  <c r="CH558" i="1" s="1"/>
  <c r="CI558" i="1" s="1"/>
  <c r="AQ559" i="1"/>
  <c r="CP557" i="1"/>
  <c r="CO557" i="1"/>
  <c r="CR557" i="1" s="1"/>
  <c r="CU557" i="1"/>
  <c r="CG559" i="1" l="1"/>
  <c r="CH559" i="1" s="1"/>
  <c r="CI559" i="1" s="1"/>
  <c r="AQ560" i="1"/>
  <c r="CO558" i="1"/>
  <c r="CR558" i="1" s="1"/>
  <c r="CU558" i="1"/>
  <c r="CP558" i="1"/>
  <c r="CG560" i="1" l="1"/>
  <c r="CH560" i="1" s="1"/>
  <c r="CI560" i="1" s="1"/>
  <c r="AQ561" i="1"/>
  <c r="CP559" i="1"/>
  <c r="CU559" i="1"/>
  <c r="CO559" i="1"/>
  <c r="CR559" i="1" s="1"/>
  <c r="CG561" i="1" l="1"/>
  <c r="CH561" i="1" s="1"/>
  <c r="CI561" i="1" s="1"/>
  <c r="AQ562" i="1"/>
  <c r="CP560" i="1"/>
  <c r="CU560" i="1"/>
  <c r="CO560" i="1"/>
  <c r="CR560" i="1" s="1"/>
  <c r="CG562" i="1" l="1"/>
  <c r="CH562" i="1" s="1"/>
  <c r="CI562" i="1" s="1"/>
  <c r="AQ563" i="1"/>
  <c r="CU561" i="1"/>
  <c r="CO561" i="1"/>
  <c r="CR561" i="1" s="1"/>
  <c r="CP561" i="1"/>
  <c r="CG563" i="1" l="1"/>
  <c r="CH563" i="1" s="1"/>
  <c r="CI563" i="1" s="1"/>
  <c r="AQ564" i="1"/>
  <c r="CO562" i="1"/>
  <c r="CR562" i="1" s="1"/>
  <c r="CP562" i="1"/>
  <c r="CU562" i="1"/>
  <c r="CG564" i="1" l="1"/>
  <c r="CH564" i="1" s="1"/>
  <c r="CI564" i="1" s="1"/>
  <c r="AQ565" i="1"/>
  <c r="CO563" i="1"/>
  <c r="CR563" i="1" s="1"/>
  <c r="CU563" i="1"/>
  <c r="CP563" i="1"/>
  <c r="CG565" i="1" l="1"/>
  <c r="CH565" i="1" s="1"/>
  <c r="CI565" i="1" s="1"/>
  <c r="AQ566" i="1"/>
  <c r="CU564" i="1"/>
  <c r="CP564" i="1"/>
  <c r="CO564" i="1"/>
  <c r="CR564" i="1" s="1"/>
  <c r="CG566" i="1" l="1"/>
  <c r="CH566" i="1" s="1"/>
  <c r="CI566" i="1" s="1"/>
  <c r="AQ567" i="1"/>
  <c r="CP565" i="1"/>
  <c r="CU565" i="1"/>
  <c r="CO565" i="1"/>
  <c r="CR565" i="1" s="1"/>
  <c r="CG567" i="1" l="1"/>
  <c r="CH567" i="1" s="1"/>
  <c r="CI567" i="1" s="1"/>
  <c r="AQ568" i="1"/>
  <c r="CO566" i="1"/>
  <c r="CR566" i="1" s="1"/>
  <c r="CU566" i="1"/>
  <c r="CP566" i="1"/>
  <c r="CG568" i="1" l="1"/>
  <c r="CH568" i="1" s="1"/>
  <c r="CI568" i="1" s="1"/>
  <c r="AQ569" i="1"/>
  <c r="CP567" i="1"/>
  <c r="CO567" i="1"/>
  <c r="CR567" i="1" s="1"/>
  <c r="CU567" i="1"/>
  <c r="CG569" i="1" l="1"/>
  <c r="CH569" i="1" s="1"/>
  <c r="CI569" i="1" s="1"/>
  <c r="AQ570" i="1"/>
  <c r="CO568" i="1"/>
  <c r="CR568" i="1" s="1"/>
  <c r="CP568" i="1"/>
  <c r="CU568" i="1"/>
  <c r="CG570" i="1" l="1"/>
  <c r="CH570" i="1" s="1"/>
  <c r="CI570" i="1" s="1"/>
  <c r="AQ571" i="1"/>
  <c r="CO569" i="1"/>
  <c r="CR569" i="1" s="1"/>
  <c r="CP569" i="1"/>
  <c r="CU569" i="1"/>
  <c r="CG571" i="1" l="1"/>
  <c r="CH571" i="1" s="1"/>
  <c r="CI571" i="1" s="1"/>
  <c r="AQ572" i="1"/>
  <c r="CO570" i="1"/>
  <c r="CR570" i="1" s="1"/>
  <c r="CU570" i="1"/>
  <c r="CP570" i="1"/>
  <c r="CG572" i="1" l="1"/>
  <c r="CH572" i="1" s="1"/>
  <c r="CI572" i="1" s="1"/>
  <c r="AQ573" i="1"/>
  <c r="CP571" i="1"/>
  <c r="CO571" i="1"/>
  <c r="CR571" i="1" s="1"/>
  <c r="CU571" i="1"/>
  <c r="CG573" i="1" l="1"/>
  <c r="CH573" i="1" s="1"/>
  <c r="CI573" i="1" s="1"/>
  <c r="AQ574" i="1"/>
  <c r="CP572" i="1"/>
  <c r="CU572" i="1"/>
  <c r="CO572" i="1"/>
  <c r="CR572" i="1" s="1"/>
  <c r="CG574" i="1" l="1"/>
  <c r="CH574" i="1" s="1"/>
  <c r="CI574" i="1" s="1"/>
  <c r="AQ575" i="1"/>
  <c r="CP573" i="1"/>
  <c r="CO573" i="1"/>
  <c r="CR573" i="1" s="1"/>
  <c r="CU573" i="1"/>
  <c r="CG575" i="1" l="1"/>
  <c r="CH575" i="1" s="1"/>
  <c r="CI575" i="1" s="1"/>
  <c r="AQ576" i="1"/>
  <c r="CP574" i="1"/>
  <c r="CO574" i="1"/>
  <c r="CR574" i="1" s="1"/>
  <c r="CU574" i="1"/>
  <c r="CG576" i="1" l="1"/>
  <c r="CH576" i="1" s="1"/>
  <c r="CI576" i="1" s="1"/>
  <c r="AQ577" i="1"/>
  <c r="CU575" i="1"/>
  <c r="CP575" i="1"/>
  <c r="CO575" i="1"/>
  <c r="CR575" i="1" s="1"/>
  <c r="CG577" i="1" l="1"/>
  <c r="CH577" i="1" s="1"/>
  <c r="CI577" i="1" s="1"/>
  <c r="AQ578" i="1"/>
  <c r="CU576" i="1"/>
  <c r="CO576" i="1"/>
  <c r="CR576" i="1" s="1"/>
  <c r="CP576" i="1"/>
  <c r="CG578" i="1" l="1"/>
  <c r="CH578" i="1" s="1"/>
  <c r="CI578" i="1" s="1"/>
  <c r="AQ579" i="1"/>
  <c r="CU577" i="1"/>
  <c r="CO577" i="1"/>
  <c r="CR577" i="1" s="1"/>
  <c r="CP577" i="1"/>
  <c r="CG579" i="1" l="1"/>
  <c r="CH579" i="1" s="1"/>
  <c r="CI579" i="1" s="1"/>
  <c r="AQ580" i="1"/>
  <c r="CP578" i="1"/>
  <c r="CO578" i="1"/>
  <c r="CR578" i="1" s="1"/>
  <c r="CU578" i="1"/>
  <c r="CG580" i="1" l="1"/>
  <c r="CH580" i="1" s="1"/>
  <c r="CI580" i="1" s="1"/>
  <c r="AQ581" i="1"/>
  <c r="CU579" i="1"/>
  <c r="CO579" i="1"/>
  <c r="CR579" i="1" s="1"/>
  <c r="CP579" i="1"/>
  <c r="CG581" i="1" l="1"/>
  <c r="CH581" i="1" s="1"/>
  <c r="CI581" i="1" s="1"/>
  <c r="AQ582" i="1"/>
  <c r="CU580" i="1"/>
  <c r="CP580" i="1"/>
  <c r="CO580" i="1"/>
  <c r="CR580" i="1" s="1"/>
  <c r="CG582" i="1" l="1"/>
  <c r="CH582" i="1" s="1"/>
  <c r="CI582" i="1" s="1"/>
  <c r="AQ583" i="1"/>
  <c r="CU581" i="1"/>
  <c r="CP581" i="1"/>
  <c r="CO581" i="1"/>
  <c r="CR581" i="1" s="1"/>
  <c r="CG583" i="1" l="1"/>
  <c r="CH583" i="1" s="1"/>
  <c r="CI583" i="1" s="1"/>
  <c r="AQ584" i="1"/>
  <c r="CU582" i="1"/>
  <c r="CP582" i="1"/>
  <c r="CO582" i="1"/>
  <c r="CR582" i="1" s="1"/>
  <c r="CG584" i="1" l="1"/>
  <c r="CH584" i="1" s="1"/>
  <c r="CI584" i="1" s="1"/>
  <c r="AQ585" i="1"/>
  <c r="CU583" i="1"/>
  <c r="CP583" i="1"/>
  <c r="CO583" i="1"/>
  <c r="CR583" i="1" s="1"/>
  <c r="CG585" i="1" l="1"/>
  <c r="CH585" i="1" s="1"/>
  <c r="CI585" i="1" s="1"/>
  <c r="AQ586" i="1"/>
  <c r="CO584" i="1"/>
  <c r="CR584" i="1" s="1"/>
  <c r="CU584" i="1"/>
  <c r="CP584" i="1"/>
  <c r="CG586" i="1" l="1"/>
  <c r="CH586" i="1" s="1"/>
  <c r="CI586" i="1" s="1"/>
  <c r="AQ587" i="1"/>
  <c r="CP585" i="1"/>
  <c r="CO585" i="1"/>
  <c r="CR585" i="1" s="1"/>
  <c r="CU585" i="1"/>
  <c r="CG587" i="1" l="1"/>
  <c r="CH587" i="1" s="1"/>
  <c r="CI587" i="1" s="1"/>
  <c r="AQ588" i="1"/>
  <c r="CO586" i="1"/>
  <c r="CR586" i="1" s="1"/>
  <c r="CP586" i="1"/>
  <c r="CU586" i="1"/>
  <c r="CG588" i="1" l="1"/>
  <c r="CH588" i="1" s="1"/>
  <c r="CI588" i="1" s="1"/>
  <c r="AQ589" i="1"/>
  <c r="CU587" i="1"/>
  <c r="CO587" i="1"/>
  <c r="CR587" i="1" s="1"/>
  <c r="CP587" i="1"/>
  <c r="CG589" i="1" l="1"/>
  <c r="CH589" i="1" s="1"/>
  <c r="CI589" i="1" s="1"/>
  <c r="AQ590" i="1"/>
  <c r="CO588" i="1"/>
  <c r="CR588" i="1" s="1"/>
  <c r="CU588" i="1"/>
  <c r="CP588" i="1"/>
  <c r="CG590" i="1" l="1"/>
  <c r="CH590" i="1" s="1"/>
  <c r="CI590" i="1" s="1"/>
  <c r="AQ591" i="1"/>
  <c r="CU589" i="1"/>
  <c r="CP589" i="1"/>
  <c r="CO589" i="1"/>
  <c r="CR589" i="1" s="1"/>
  <c r="CG591" i="1" l="1"/>
  <c r="CH591" i="1" s="1"/>
  <c r="CI591" i="1" s="1"/>
  <c r="AQ592" i="1"/>
  <c r="CU590" i="1"/>
  <c r="CO590" i="1"/>
  <c r="CR590" i="1" s="1"/>
  <c r="CP590" i="1"/>
  <c r="CG592" i="1" l="1"/>
  <c r="CH592" i="1" s="1"/>
  <c r="CI592" i="1" s="1"/>
  <c r="AQ593" i="1"/>
  <c r="CP591" i="1"/>
  <c r="CO591" i="1"/>
  <c r="CR591" i="1" s="1"/>
  <c r="CU591" i="1"/>
  <c r="CG593" i="1" l="1"/>
  <c r="CH593" i="1" s="1"/>
  <c r="CI593" i="1" s="1"/>
  <c r="AQ594" i="1"/>
  <c r="CO592" i="1"/>
  <c r="CR592" i="1" s="1"/>
  <c r="CU592" i="1"/>
  <c r="CP592" i="1"/>
  <c r="CG594" i="1" l="1"/>
  <c r="CH594" i="1" s="1"/>
  <c r="CI594" i="1" s="1"/>
  <c r="AQ595" i="1"/>
  <c r="CP593" i="1"/>
  <c r="CU593" i="1"/>
  <c r="CO593" i="1"/>
  <c r="CR593" i="1" s="1"/>
  <c r="CG595" i="1" l="1"/>
  <c r="CH595" i="1" s="1"/>
  <c r="CI595" i="1" s="1"/>
  <c r="AQ596" i="1"/>
  <c r="CO594" i="1"/>
  <c r="CR594" i="1" s="1"/>
  <c r="CP594" i="1"/>
  <c r="CU594" i="1"/>
  <c r="CG596" i="1" l="1"/>
  <c r="CH596" i="1" s="1"/>
  <c r="CI596" i="1" s="1"/>
  <c r="AQ597" i="1"/>
  <c r="CO595" i="1"/>
  <c r="CR595" i="1" s="1"/>
  <c r="CP595" i="1"/>
  <c r="CU595" i="1"/>
  <c r="CG597" i="1" l="1"/>
  <c r="CH597" i="1" s="1"/>
  <c r="CI597" i="1" s="1"/>
  <c r="AQ598" i="1"/>
  <c r="CU596" i="1"/>
  <c r="CO596" i="1"/>
  <c r="CR596" i="1" s="1"/>
  <c r="CP596" i="1"/>
  <c r="CG598" i="1" l="1"/>
  <c r="CH598" i="1" s="1"/>
  <c r="CI598" i="1" s="1"/>
  <c r="AQ599" i="1"/>
  <c r="CO597" i="1"/>
  <c r="CR597" i="1" s="1"/>
  <c r="CU597" i="1"/>
  <c r="CP597" i="1"/>
  <c r="CG599" i="1" l="1"/>
  <c r="CH599" i="1" s="1"/>
  <c r="CI599" i="1" s="1"/>
  <c r="AQ600" i="1"/>
  <c r="CP598" i="1"/>
  <c r="CU598" i="1"/>
  <c r="CO598" i="1"/>
  <c r="CR598" i="1" s="1"/>
  <c r="CG600" i="1" l="1"/>
  <c r="CH600" i="1" s="1"/>
  <c r="CI600" i="1" s="1"/>
  <c r="AQ601" i="1"/>
  <c r="CU599" i="1"/>
  <c r="CO599" i="1"/>
  <c r="CR599" i="1" s="1"/>
  <c r="CP599" i="1"/>
  <c r="CG601" i="1" l="1"/>
  <c r="CH601" i="1" s="1"/>
  <c r="CI601" i="1" s="1"/>
  <c r="AQ602" i="1"/>
  <c r="CO600" i="1"/>
  <c r="CR600" i="1" s="1"/>
  <c r="CU600" i="1"/>
  <c r="CP600" i="1"/>
  <c r="CG602" i="1" l="1"/>
  <c r="CH602" i="1" s="1"/>
  <c r="CI602" i="1" s="1"/>
  <c r="AQ603" i="1"/>
  <c r="CU601" i="1"/>
  <c r="CO601" i="1"/>
  <c r="CR601" i="1" s="1"/>
  <c r="CP601" i="1"/>
  <c r="CG603" i="1" l="1"/>
  <c r="CH603" i="1" s="1"/>
  <c r="CI603" i="1" s="1"/>
  <c r="AQ604" i="1"/>
  <c r="CP602" i="1"/>
  <c r="CO602" i="1"/>
  <c r="CR602" i="1" s="1"/>
  <c r="CU602" i="1"/>
  <c r="CG604" i="1" l="1"/>
  <c r="CH604" i="1" s="1"/>
  <c r="CI604" i="1" s="1"/>
  <c r="AQ605" i="1"/>
  <c r="CO603" i="1"/>
  <c r="CR603" i="1" s="1"/>
  <c r="CP603" i="1"/>
  <c r="CU603" i="1"/>
  <c r="CG605" i="1" l="1"/>
  <c r="CH605" i="1" s="1"/>
  <c r="CI605" i="1" s="1"/>
  <c r="AQ606" i="1"/>
  <c r="CP604" i="1"/>
  <c r="CU604" i="1"/>
  <c r="CO604" i="1"/>
  <c r="CR604" i="1" s="1"/>
  <c r="CG606" i="1" l="1"/>
  <c r="CH606" i="1" s="1"/>
  <c r="CI606" i="1" s="1"/>
  <c r="AQ607" i="1"/>
  <c r="CO605" i="1"/>
  <c r="CR605" i="1" s="1"/>
  <c r="CP605" i="1"/>
  <c r="CU605" i="1"/>
  <c r="CG607" i="1" l="1"/>
  <c r="CH607" i="1" s="1"/>
  <c r="CI607" i="1" s="1"/>
  <c r="AQ608" i="1"/>
  <c r="CU606" i="1"/>
  <c r="CO606" i="1"/>
  <c r="CR606" i="1" s="1"/>
  <c r="CP606" i="1"/>
  <c r="CG608" i="1" l="1"/>
  <c r="CH608" i="1" s="1"/>
  <c r="CI608" i="1" s="1"/>
  <c r="AQ609" i="1"/>
  <c r="CO607" i="1"/>
  <c r="CR607" i="1" s="1"/>
  <c r="CU607" i="1"/>
  <c r="CP607" i="1"/>
  <c r="CG609" i="1" l="1"/>
  <c r="CH609" i="1" s="1"/>
  <c r="CI609" i="1" s="1"/>
  <c r="AQ610" i="1"/>
  <c r="CU608" i="1"/>
  <c r="CO608" i="1"/>
  <c r="CR608" i="1" s="1"/>
  <c r="CP608" i="1"/>
  <c r="CG610" i="1" l="1"/>
  <c r="CH610" i="1" s="1"/>
  <c r="CI610" i="1" s="1"/>
  <c r="AQ611" i="1"/>
  <c r="CU609" i="1"/>
  <c r="CP609" i="1"/>
  <c r="CO609" i="1"/>
  <c r="CR609" i="1" s="1"/>
  <c r="CG611" i="1" l="1"/>
  <c r="CH611" i="1" s="1"/>
  <c r="CI611" i="1" s="1"/>
  <c r="AQ612" i="1"/>
  <c r="CP610" i="1"/>
  <c r="CU610" i="1"/>
  <c r="CO610" i="1"/>
  <c r="CR610" i="1" s="1"/>
  <c r="CG612" i="1" l="1"/>
  <c r="CH612" i="1" s="1"/>
  <c r="CI612" i="1" s="1"/>
  <c r="AQ613" i="1"/>
  <c r="CO611" i="1"/>
  <c r="CR611" i="1" s="1"/>
  <c r="CP611" i="1"/>
  <c r="CU611" i="1"/>
  <c r="CG613" i="1" l="1"/>
  <c r="CH613" i="1" s="1"/>
  <c r="CI613" i="1" s="1"/>
  <c r="AQ614" i="1"/>
  <c r="CP612" i="1"/>
  <c r="CO612" i="1"/>
  <c r="CR612" i="1" s="1"/>
  <c r="CU612" i="1"/>
  <c r="CG614" i="1" l="1"/>
  <c r="CH614" i="1" s="1"/>
  <c r="CI614" i="1" s="1"/>
  <c r="AQ615" i="1"/>
  <c r="CP613" i="1"/>
  <c r="CU613" i="1"/>
  <c r="CO613" i="1"/>
  <c r="CR613" i="1" s="1"/>
  <c r="CG615" i="1" l="1"/>
  <c r="CH615" i="1" s="1"/>
  <c r="CI615" i="1" s="1"/>
  <c r="AQ616" i="1"/>
  <c r="CU614" i="1"/>
  <c r="CP614" i="1"/>
  <c r="CO614" i="1"/>
  <c r="CR614" i="1" s="1"/>
  <c r="CG616" i="1" l="1"/>
  <c r="CH616" i="1" s="1"/>
  <c r="CI616" i="1" s="1"/>
  <c r="AQ617" i="1"/>
  <c r="CU615" i="1"/>
  <c r="CO615" i="1"/>
  <c r="CR615" i="1" s="1"/>
  <c r="CP615" i="1"/>
  <c r="CG617" i="1" l="1"/>
  <c r="CH617" i="1" s="1"/>
  <c r="CI617" i="1" s="1"/>
  <c r="AQ618" i="1"/>
  <c r="CO616" i="1"/>
  <c r="CR616" i="1" s="1"/>
  <c r="CU616" i="1"/>
  <c r="CP616" i="1"/>
  <c r="CG618" i="1" l="1"/>
  <c r="CH618" i="1" s="1"/>
  <c r="CI618" i="1" s="1"/>
  <c r="AQ619" i="1"/>
  <c r="CP617" i="1"/>
  <c r="CU617" i="1"/>
  <c r="CO617" i="1"/>
  <c r="CR617" i="1" s="1"/>
  <c r="CG619" i="1" l="1"/>
  <c r="CH619" i="1" s="1"/>
  <c r="CI619" i="1" s="1"/>
  <c r="AQ620" i="1"/>
  <c r="CU618" i="1"/>
  <c r="CP618" i="1"/>
  <c r="CO618" i="1"/>
  <c r="CR618" i="1" s="1"/>
  <c r="CG620" i="1" l="1"/>
  <c r="CH620" i="1" s="1"/>
  <c r="CI620" i="1" s="1"/>
  <c r="AQ621" i="1"/>
  <c r="CU619" i="1"/>
  <c r="CP619" i="1"/>
  <c r="CO619" i="1"/>
  <c r="CR619" i="1" s="1"/>
  <c r="CG621" i="1" l="1"/>
  <c r="CH621" i="1" s="1"/>
  <c r="CI621" i="1" s="1"/>
  <c r="AQ622" i="1"/>
  <c r="CU620" i="1"/>
  <c r="CP620" i="1"/>
  <c r="CO620" i="1"/>
  <c r="CR620" i="1" s="1"/>
  <c r="CG622" i="1" l="1"/>
  <c r="CH622" i="1" s="1"/>
  <c r="CI622" i="1" s="1"/>
  <c r="AQ623" i="1"/>
  <c r="CP621" i="1"/>
  <c r="CU621" i="1"/>
  <c r="CO621" i="1"/>
  <c r="CR621" i="1" s="1"/>
  <c r="CG623" i="1" l="1"/>
  <c r="CH623" i="1" s="1"/>
  <c r="CI623" i="1" s="1"/>
  <c r="AQ624" i="1"/>
  <c r="CP622" i="1"/>
  <c r="CU622" i="1"/>
  <c r="CO622" i="1"/>
  <c r="CR622" i="1" s="1"/>
  <c r="CG624" i="1" l="1"/>
  <c r="AQ625" i="1"/>
  <c r="CO623" i="1"/>
  <c r="CR623" i="1" s="1"/>
  <c r="CU623" i="1"/>
  <c r="CP623" i="1"/>
  <c r="CH624" i="1" l="1"/>
  <c r="CG625" i="1"/>
  <c r="CI624" i="1" l="1"/>
  <c r="CH625" i="1"/>
  <c r="CP624" i="1" l="1"/>
  <c r="CU624" i="1"/>
  <c r="CO624" i="1"/>
  <c r="CR624" i="1" s="1"/>
  <c r="CR625" i="1" s="1"/>
</calcChain>
</file>

<file path=xl/sharedStrings.xml><?xml version="1.0" encoding="utf-8"?>
<sst xmlns="http://schemas.openxmlformats.org/spreadsheetml/2006/main" count="6301" uniqueCount="88">
  <si>
    <t>楽天ポイント集計Excel</t>
  </si>
  <si>
    <t>年</t>
  </si>
  <si>
    <t>月</t>
  </si>
  <si>
    <t>ダイヤモンド会員</t>
  </si>
  <si>
    <t>Rakuten UN-LIMIT VII</t>
  </si>
  <si>
    <t>購入データ入力</t>
  </si>
  <si>
    <t>条件入力欄</t>
  </si>
  <si>
    <t>個別②</t>
  </si>
  <si>
    <t>基本</t>
  </si>
  <si>
    <t>SPU</t>
  </si>
  <si>
    <t>マラソン</t>
  </si>
  <si>
    <t>ポイントアップ祭り</t>
  </si>
  <si>
    <r>
      <rPr>
        <b/>
        <sz val="11"/>
        <color theme="1"/>
        <rFont val="游ゴシック"/>
        <family val="2"/>
        <scheme val="minor"/>
      </rPr>
      <t>個別</t>
    </r>
    <r>
      <rPr>
        <b/>
        <sz val="11"/>
        <color theme="1"/>
        <rFont val="游ゴシック"/>
        <family val="3"/>
        <charset val="128"/>
      </rPr>
      <t>①</t>
    </r>
  </si>
  <si>
    <t>ポイント</t>
  </si>
  <si>
    <t>特定日</t>
  </si>
  <si>
    <t>購入年月日</t>
  </si>
  <si>
    <t>購入先</t>
  </si>
  <si>
    <t>商品名</t>
  </si>
  <si>
    <t>商品名(型番)</t>
    <rPh sb="4" eb="6">
      <t>カタバン</t>
    </rPh>
    <phoneticPr fontId="5"/>
  </si>
  <si>
    <t>URL</t>
  </si>
  <si>
    <t>単価</t>
  </si>
  <si>
    <t>個数</t>
  </si>
  <si>
    <t>価格</t>
  </si>
  <si>
    <t>値引</t>
  </si>
  <si>
    <t>送料</t>
  </si>
  <si>
    <t>ポイント計算ベース100円
税込</t>
  </si>
  <si>
    <t>ポイント計算ベース200円
税抜</t>
  </si>
  <si>
    <t>請求額</t>
  </si>
  <si>
    <t>火・木 プレミアムカードデー</t>
  </si>
  <si>
    <t>5の日</t>
  </si>
  <si>
    <t>ワンダフル</t>
  </si>
  <si>
    <t>18日</t>
  </si>
  <si>
    <t>イーグルス等</t>
  </si>
  <si>
    <t>ママ割</t>
  </si>
  <si>
    <t>マイカー割</t>
  </si>
  <si>
    <t>リピート</t>
  </si>
  <si>
    <t>直前</t>
  </si>
  <si>
    <t>39ショップ</t>
  </si>
  <si>
    <r>
      <rPr>
        <b/>
        <sz val="9"/>
        <color theme="0"/>
        <rFont val="游ゴシック"/>
        <family val="2"/>
        <scheme val="minor"/>
      </rPr>
      <t>マラソン判定</t>
    </r>
    <r>
      <rPr>
        <b/>
        <sz val="9"/>
        <color theme="0"/>
        <rFont val="游ゴシック"/>
        <family val="3"/>
        <charset val="128"/>
      </rPr>
      <t>①</t>
    </r>
  </si>
  <si>
    <t>マラソン判定②</t>
  </si>
  <si>
    <t>マラソン判定③</t>
  </si>
  <si>
    <t>マラソン判定④</t>
  </si>
  <si>
    <t>店舗</t>
  </si>
  <si>
    <t>基本還元率</t>
  </si>
  <si>
    <t>楽天モバイル＋会員ランク特典</t>
  </si>
  <si>
    <t>楽天カード
通常分</t>
  </si>
  <si>
    <t>楽天カード
特典分</t>
  </si>
  <si>
    <t>楽天銀行＋楽天カード（引落）</t>
  </si>
  <si>
    <t>マラソン①</t>
  </si>
  <si>
    <t>マラソン②</t>
  </si>
  <si>
    <t>マラソン③</t>
  </si>
  <si>
    <t>イーグルス他</t>
  </si>
  <si>
    <t>スーパーDEAL</t>
  </si>
  <si>
    <t>カード</t>
  </si>
  <si>
    <t xml:space="preserve"> </t>
  </si>
  <si>
    <t>楽天モバイルキャリア決済</t>
  </si>
  <si>
    <t>楽天ひかり</t>
  </si>
  <si>
    <t>楽天プレミアムカード特典分</t>
  </si>
  <si>
    <t>楽天銀行＋楽天カード(給与等)</t>
  </si>
  <si>
    <t>楽天証券
投資信託</t>
  </si>
  <si>
    <t>楽天証券
米国株式</t>
  </si>
  <si>
    <t>楽天ウォレット</t>
  </si>
  <si>
    <t>楽天トラベル</t>
  </si>
  <si>
    <t>楽天市場アプリ</t>
  </si>
  <si>
    <t>楽天ブックス</t>
  </si>
  <si>
    <t>楽天kobo</t>
  </si>
  <si>
    <t>Rakuten Pasha</t>
  </si>
  <si>
    <t>Rakuten Fashionアプリ</t>
  </si>
  <si>
    <t>楽天ビューティ</t>
  </si>
  <si>
    <t>リピート割</t>
  </si>
  <si>
    <t>合計ポイント</t>
  </si>
  <si>
    <t>実質購入金額</t>
  </si>
  <si>
    <t>実質購入単価</t>
  </si>
  <si>
    <t>ASIN</t>
    <phoneticPr fontId="5"/>
  </si>
  <si>
    <t>Amazon等販売先URL</t>
  </si>
  <si>
    <t>出品価格</t>
  </si>
  <si>
    <t>"入金
予定[円/個]"</t>
  </si>
  <si>
    <t>予定利益/個</t>
  </si>
  <si>
    <t>予定総利益</t>
  </si>
  <si>
    <t>SKU例</t>
  </si>
  <si>
    <t>倍率</t>
  </si>
  <si>
    <t>-</t>
  </si>
  <si>
    <t>上限</t>
  </si>
  <si>
    <t>判定</t>
  </si>
  <si>
    <t>○</t>
  </si>
  <si>
    <t>✕</t>
  </si>
  <si>
    <t>開始</t>
  </si>
  <si>
    <t>終了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</si>
</sst>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&quot;倍&quot;"/>
  </numFmts>
  <fonts count="1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</font>
    <font>
      <b/>
      <sz val="9"/>
      <color theme="0"/>
      <name val="游ゴシック"/>
      <family val="2"/>
      <scheme val="minor"/>
    </font>
    <font>
      <b/>
      <sz val="8"/>
      <color theme="0"/>
      <name val="游ゴシック"/>
      <family val="2"/>
      <scheme val="minor"/>
    </font>
    <font>
      <b/>
      <sz val="9"/>
      <color theme="0"/>
      <name val="游ゴシック"/>
      <family val="3"/>
      <charset val="128"/>
    </font>
    <font>
      <b/>
      <sz val="11"/>
      <color theme="0"/>
      <name val="游ゴシック"/>
      <family val="2"/>
      <scheme val="minor"/>
    </font>
    <font>
      <u/>
      <sz val="11"/>
      <color theme="10"/>
      <name val="游ゴシック"/>
      <family val="3"/>
      <charset val="128"/>
      <scheme val="minor"/>
    </font>
    <font>
      <u/>
      <sz val="11"/>
      <color rgb="FF800080"/>
      <name val="游ゴシック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6459852900784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/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/>
      <top style="thin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hair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uble">
        <color auto="1"/>
      </bottom>
      <diagonal/>
    </border>
    <border>
      <left/>
      <right style="dotted">
        <color auto="1"/>
      </right>
      <top style="hair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/>
      <bottom style="double">
        <color auto="1"/>
      </bottom>
      <diagonal/>
    </border>
    <border>
      <left style="dotted">
        <color auto="1"/>
      </left>
      <right/>
      <top style="hair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hair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uble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ck">
        <color auto="1"/>
      </bottom>
      <diagonal/>
    </border>
    <border>
      <left/>
      <right style="dotted">
        <color auto="1"/>
      </right>
      <top style="double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99">
    <xf numFmtId="0" fontId="0" fillId="0" borderId="0" xfId="0"/>
    <xf numFmtId="0" fontId="4" fillId="0" borderId="0" xfId="2" applyFont="1">
      <alignment vertical="center"/>
    </xf>
    <xf numFmtId="0" fontId="4" fillId="2" borderId="0" xfId="2" applyFont="1" applyFill="1">
      <alignment vertical="center"/>
    </xf>
    <xf numFmtId="0" fontId="4" fillId="0" borderId="0" xfId="2" applyFont="1" applyAlignment="1">
      <alignment horizontal="right" vertical="center"/>
    </xf>
    <xf numFmtId="38" fontId="4" fillId="0" borderId="0" xfId="2" applyNumberFormat="1" applyFont="1">
      <alignment vertical="center"/>
    </xf>
    <xf numFmtId="176" fontId="4" fillId="0" borderId="0" xfId="2" applyNumberFormat="1" applyFont="1">
      <alignment vertical="center"/>
    </xf>
    <xf numFmtId="0" fontId="7" fillId="3" borderId="1" xfId="2" applyFont="1" applyFill="1" applyBorder="1" applyAlignment="1">
      <alignment vertical="center" wrapText="1"/>
    </xf>
    <xf numFmtId="0" fontId="7" fillId="3" borderId="2" xfId="2" applyFont="1" applyFill="1" applyBorder="1" applyAlignment="1">
      <alignment vertical="center" wrapText="1"/>
    </xf>
    <xf numFmtId="0" fontId="8" fillId="3" borderId="2" xfId="2" applyFont="1" applyFill="1" applyBorder="1" applyAlignment="1">
      <alignment vertical="center" wrapText="1"/>
    </xf>
    <xf numFmtId="0" fontId="7" fillId="4" borderId="3" xfId="2" applyFont="1" applyFill="1" applyBorder="1" applyAlignment="1">
      <alignment vertical="center" wrapText="1"/>
    </xf>
    <xf numFmtId="0" fontId="7" fillId="4" borderId="2" xfId="2" applyFont="1" applyFill="1" applyBorder="1" applyAlignment="1">
      <alignment vertical="center" wrapText="1"/>
    </xf>
    <xf numFmtId="0" fontId="7" fillId="5" borderId="2" xfId="2" applyFont="1" applyFill="1" applyBorder="1" applyAlignment="1">
      <alignment vertical="center" wrapText="1"/>
    </xf>
    <xf numFmtId="0" fontId="7" fillId="6" borderId="2" xfId="2" applyFont="1" applyFill="1" applyBorder="1" applyAlignment="1">
      <alignment horizontal="centerContinuous" vertical="center" wrapText="1"/>
    </xf>
    <xf numFmtId="0" fontId="7" fillId="7" borderId="2" xfId="2" applyFont="1" applyFill="1" applyBorder="1">
      <alignment vertical="center"/>
    </xf>
    <xf numFmtId="0" fontId="7" fillId="8" borderId="2" xfId="2" applyFont="1" applyFill="1" applyBorder="1" applyAlignment="1">
      <alignment vertical="center" wrapText="1"/>
    </xf>
    <xf numFmtId="0" fontId="7" fillId="7" borderId="2" xfId="2" applyFont="1" applyFill="1" applyBorder="1" applyAlignment="1">
      <alignment vertical="center" wrapText="1"/>
    </xf>
    <xf numFmtId="0" fontId="7" fillId="9" borderId="2" xfId="2" applyFont="1" applyFill="1" applyBorder="1" applyAlignment="1">
      <alignment vertical="center" wrapText="1"/>
    </xf>
    <xf numFmtId="0" fontId="7" fillId="10" borderId="2" xfId="2" applyFont="1" applyFill="1" applyBorder="1" applyAlignment="1">
      <alignment vertical="center" wrapText="1"/>
    </xf>
    <xf numFmtId="0" fontId="7" fillId="11" borderId="2" xfId="2" applyFont="1" applyFill="1" applyBorder="1" applyAlignment="1">
      <alignment vertical="center" wrapText="1"/>
    </xf>
    <xf numFmtId="0" fontId="7" fillId="12" borderId="2" xfId="2" applyFont="1" applyFill="1" applyBorder="1" applyAlignment="1">
      <alignment vertical="center" wrapText="1"/>
    </xf>
    <xf numFmtId="0" fontId="7" fillId="5" borderId="4" xfId="2" applyFont="1" applyFill="1" applyBorder="1" applyAlignment="1">
      <alignment vertical="center" wrapText="1"/>
    </xf>
    <xf numFmtId="0" fontId="4" fillId="0" borderId="0" xfId="2" applyFont="1" applyAlignment="1">
      <alignment vertical="center" wrapText="1"/>
    </xf>
    <xf numFmtId="0" fontId="3" fillId="0" borderId="0" xfId="2">
      <alignment vertical="center"/>
    </xf>
    <xf numFmtId="176" fontId="4" fillId="0" borderId="0" xfId="2" applyNumberFormat="1" applyFont="1" applyAlignment="1">
      <alignment vertical="center" wrapText="1"/>
    </xf>
    <xf numFmtId="0" fontId="4" fillId="0" borderId="5" xfId="2" applyFont="1" applyBorder="1">
      <alignment vertical="center"/>
    </xf>
    <xf numFmtId="0" fontId="4" fillId="0" borderId="6" xfId="2" applyFont="1" applyBorder="1">
      <alignment vertical="center"/>
    </xf>
    <xf numFmtId="0" fontId="4" fillId="0" borderId="7" xfId="2" applyFont="1" applyBorder="1">
      <alignment vertical="center"/>
    </xf>
    <xf numFmtId="0" fontId="4" fillId="0" borderId="8" xfId="2" applyFont="1" applyBorder="1">
      <alignment vertical="center"/>
    </xf>
    <xf numFmtId="0" fontId="4" fillId="0" borderId="9" xfId="2" applyFont="1" applyBorder="1">
      <alignment vertical="center"/>
    </xf>
    <xf numFmtId="0" fontId="4" fillId="13" borderId="10" xfId="2" applyFont="1" applyFill="1" applyBorder="1" applyAlignment="1">
      <alignment vertical="center" shrinkToFit="1"/>
    </xf>
    <xf numFmtId="0" fontId="4" fillId="13" borderId="10" xfId="2" applyFont="1" applyFill="1" applyBorder="1" applyAlignment="1">
      <alignment vertical="center" wrapText="1" shrinkToFit="1"/>
    </xf>
    <xf numFmtId="0" fontId="4" fillId="13" borderId="10" xfId="2" applyFont="1" applyFill="1" applyBorder="1" applyAlignment="1">
      <alignment horizontal="right" vertical="center" shrinkToFit="1"/>
    </xf>
    <xf numFmtId="0" fontId="4" fillId="0" borderId="11" xfId="2" applyFont="1" applyBorder="1">
      <alignment vertical="center"/>
    </xf>
    <xf numFmtId="0" fontId="4" fillId="0" borderId="12" xfId="2" applyFont="1" applyBorder="1">
      <alignment vertical="center"/>
    </xf>
    <xf numFmtId="0" fontId="4" fillId="0" borderId="13" xfId="2" applyFont="1" applyBorder="1">
      <alignment vertical="center"/>
    </xf>
    <xf numFmtId="0" fontId="4" fillId="0" borderId="14" xfId="2" applyFont="1" applyBorder="1">
      <alignment vertical="center"/>
    </xf>
    <xf numFmtId="0" fontId="4" fillId="0" borderId="15" xfId="2" applyFont="1" applyBorder="1">
      <alignment vertical="center"/>
    </xf>
    <xf numFmtId="0" fontId="4" fillId="0" borderId="16" xfId="2" applyFont="1" applyBorder="1">
      <alignment vertical="center"/>
    </xf>
    <xf numFmtId="38" fontId="4" fillId="13" borderId="17" xfId="1" applyFont="1" applyFill="1" applyBorder="1" applyAlignment="1">
      <alignment vertical="center" shrinkToFit="1"/>
    </xf>
    <xf numFmtId="38" fontId="4" fillId="13" borderId="17" xfId="1" applyFont="1" applyFill="1" applyBorder="1" applyAlignment="1">
      <alignment horizontal="right" vertical="center" shrinkToFit="1"/>
    </xf>
    <xf numFmtId="0" fontId="4" fillId="13" borderId="17" xfId="2" applyFont="1" applyFill="1" applyBorder="1" applyAlignment="1">
      <alignment vertical="center" shrinkToFit="1"/>
    </xf>
    <xf numFmtId="0" fontId="4" fillId="0" borderId="18" xfId="2" applyFont="1" applyBorder="1">
      <alignment vertical="center"/>
    </xf>
    <xf numFmtId="0" fontId="4" fillId="2" borderId="17" xfId="2" applyFont="1" applyFill="1" applyBorder="1" applyAlignment="1">
      <alignment horizontal="center" vertical="center" shrinkToFit="1"/>
    </xf>
    <xf numFmtId="0" fontId="4" fillId="0" borderId="17" xfId="2" applyFont="1" applyBorder="1" applyAlignment="1">
      <alignment vertical="center" shrinkToFit="1"/>
    </xf>
    <xf numFmtId="58" fontId="4" fillId="13" borderId="17" xfId="2" applyNumberFormat="1" applyFont="1" applyFill="1" applyBorder="1" applyAlignment="1">
      <alignment vertical="center" shrinkToFit="1"/>
    </xf>
    <xf numFmtId="58" fontId="4" fillId="2" borderId="17" xfId="2" applyNumberFormat="1" applyFont="1" applyFill="1" applyBorder="1" applyAlignment="1">
      <alignment vertical="center" shrinkToFit="1"/>
    </xf>
    <xf numFmtId="0" fontId="4" fillId="0" borderId="19" xfId="2" applyFont="1" applyBorder="1">
      <alignment vertical="center"/>
    </xf>
    <xf numFmtId="0" fontId="4" fillId="0" borderId="20" xfId="2" applyFont="1" applyBorder="1">
      <alignment vertical="center"/>
    </xf>
    <xf numFmtId="0" fontId="4" fillId="0" borderId="21" xfId="2" applyFont="1" applyBorder="1">
      <alignment vertical="center"/>
    </xf>
    <xf numFmtId="0" fontId="4" fillId="0" borderId="22" xfId="2" applyFont="1" applyBorder="1">
      <alignment vertical="center"/>
    </xf>
    <xf numFmtId="0" fontId="4" fillId="0" borderId="23" xfId="2" applyFont="1" applyBorder="1">
      <alignment vertical="center"/>
    </xf>
    <xf numFmtId="58" fontId="4" fillId="13" borderId="24" xfId="2" applyNumberFormat="1" applyFont="1" applyFill="1" applyBorder="1" applyAlignment="1">
      <alignment vertical="center" shrinkToFit="1"/>
    </xf>
    <xf numFmtId="58" fontId="4" fillId="2" borderId="24" xfId="2" applyNumberFormat="1" applyFont="1" applyFill="1" applyBorder="1" applyAlignment="1">
      <alignment vertical="center" shrinkToFit="1"/>
    </xf>
    <xf numFmtId="0" fontId="4" fillId="0" borderId="25" xfId="2" applyFont="1" applyBorder="1">
      <alignment vertical="center"/>
    </xf>
    <xf numFmtId="0" fontId="10" fillId="0" borderId="26" xfId="2" applyFont="1" applyBorder="1">
      <alignment vertical="center"/>
    </xf>
    <xf numFmtId="0" fontId="10" fillId="0" borderId="27" xfId="2" applyFont="1" applyBorder="1">
      <alignment vertical="center"/>
    </xf>
    <xf numFmtId="0" fontId="4" fillId="0" borderId="28" xfId="2" applyFont="1" applyBorder="1">
      <alignment vertical="center"/>
    </xf>
    <xf numFmtId="0" fontId="4" fillId="0" borderId="27" xfId="2" applyFont="1" applyBorder="1">
      <alignment vertical="center"/>
    </xf>
    <xf numFmtId="0" fontId="10" fillId="0" borderId="27" xfId="2" applyFont="1" applyBorder="1" applyAlignment="1">
      <alignment vertical="center" shrinkToFit="1"/>
    </xf>
    <xf numFmtId="0" fontId="4" fillId="0" borderId="27" xfId="2" applyFont="1" applyBorder="1" applyAlignment="1">
      <alignment vertical="center" shrinkToFit="1"/>
    </xf>
    <xf numFmtId="0" fontId="4" fillId="0" borderId="29" xfId="2" applyFont="1" applyBorder="1">
      <alignment vertical="center"/>
    </xf>
    <xf numFmtId="58" fontId="4" fillId="2" borderId="30" xfId="2" applyNumberFormat="1" applyFont="1" applyFill="1" applyBorder="1">
      <alignment vertical="center"/>
    </xf>
    <xf numFmtId="0" fontId="4" fillId="2" borderId="17" xfId="2" applyFont="1" applyFill="1" applyBorder="1">
      <alignment vertical="center"/>
    </xf>
    <xf numFmtId="0" fontId="2" fillId="2" borderId="17" xfId="3" applyFill="1" applyBorder="1">
      <alignment vertical="center"/>
    </xf>
    <xf numFmtId="38" fontId="4" fillId="2" borderId="17" xfId="1" applyFont="1" applyFill="1" applyBorder="1">
      <alignment vertical="center"/>
    </xf>
    <xf numFmtId="38" fontId="4" fillId="13" borderId="17" xfId="1" applyFont="1" applyFill="1" applyBorder="1">
      <alignment vertical="center"/>
    </xf>
    <xf numFmtId="0" fontId="4" fillId="2" borderId="31" xfId="2" applyFont="1" applyFill="1" applyBorder="1" applyAlignment="1">
      <alignment horizontal="center" vertical="center"/>
    </xf>
    <xf numFmtId="0" fontId="4" fillId="13" borderId="17" xfId="2" applyFont="1" applyFill="1" applyBorder="1" applyAlignment="1">
      <alignment horizontal="center" vertical="center"/>
    </xf>
    <xf numFmtId="177" fontId="4" fillId="2" borderId="17" xfId="2" applyNumberFormat="1" applyFont="1" applyFill="1" applyBorder="1" applyAlignment="1">
      <alignment horizontal="center" vertical="center"/>
    </xf>
    <xf numFmtId="0" fontId="4" fillId="2" borderId="17" xfId="2" applyFont="1" applyFill="1" applyBorder="1" applyAlignment="1">
      <alignment horizontal="center" vertical="center"/>
    </xf>
    <xf numFmtId="177" fontId="4" fillId="2" borderId="17" xfId="2" applyNumberFormat="1" applyFont="1" applyFill="1" applyBorder="1">
      <alignment vertical="center"/>
    </xf>
    <xf numFmtId="38" fontId="4" fillId="13" borderId="32" xfId="1" applyFont="1" applyFill="1" applyBorder="1">
      <alignment vertical="center"/>
    </xf>
    <xf numFmtId="0" fontId="2" fillId="2" borderId="0" xfId="3" applyFill="1">
      <alignment vertical="center"/>
    </xf>
    <xf numFmtId="0" fontId="4" fillId="14" borderId="0" xfId="2" applyFont="1" applyFill="1">
      <alignment vertical="center"/>
    </xf>
    <xf numFmtId="0" fontId="11" fillId="2" borderId="17" xfId="4" applyFill="1" applyBorder="1">
      <alignment vertical="center"/>
    </xf>
    <xf numFmtId="0" fontId="11" fillId="2" borderId="0" xfId="4" applyFill="1">
      <alignment vertical="center"/>
    </xf>
    <xf numFmtId="0" fontId="2" fillId="2" borderId="17" xfId="3" applyFill="1" applyBorder="1" applyAlignment="1">
      <alignment vertical="center"/>
    </xf>
    <xf numFmtId="0" fontId="12" fillId="2" borderId="17" xfId="3" applyFont="1" applyFill="1" applyBorder="1">
      <alignment vertical="center"/>
    </xf>
    <xf numFmtId="38" fontId="4" fillId="2" borderId="17" xfId="2" applyNumberFormat="1" applyFont="1" applyFill="1" applyBorder="1">
      <alignment vertical="center"/>
    </xf>
    <xf numFmtId="0" fontId="12" fillId="2" borderId="0" xfId="3" applyFont="1" applyFill="1">
      <alignment vertical="center"/>
    </xf>
    <xf numFmtId="58" fontId="4" fillId="2" borderId="33" xfId="2" applyNumberFormat="1" applyFont="1" applyFill="1" applyBorder="1">
      <alignment vertical="center"/>
    </xf>
    <xf numFmtId="0" fontId="4" fillId="2" borderId="34" xfId="2" applyFont="1" applyFill="1" applyBorder="1">
      <alignment vertical="center"/>
    </xf>
    <xf numFmtId="38" fontId="4" fillId="2" borderId="34" xfId="2" applyNumberFormat="1" applyFont="1" applyFill="1" applyBorder="1">
      <alignment vertical="center"/>
    </xf>
    <xf numFmtId="38" fontId="4" fillId="13" borderId="34" xfId="1" applyFont="1" applyFill="1" applyBorder="1">
      <alignment vertical="center"/>
    </xf>
    <xf numFmtId="0" fontId="4" fillId="13" borderId="34" xfId="2" applyFont="1" applyFill="1" applyBorder="1" applyAlignment="1">
      <alignment horizontal="center" vertical="center"/>
    </xf>
    <xf numFmtId="177" fontId="4" fillId="2" borderId="34" xfId="2" applyNumberFormat="1" applyFont="1" applyFill="1" applyBorder="1" applyAlignment="1">
      <alignment horizontal="center" vertical="center"/>
    </xf>
    <xf numFmtId="0" fontId="4" fillId="2" borderId="34" xfId="2" applyFont="1" applyFill="1" applyBorder="1" applyAlignment="1">
      <alignment horizontal="center" vertical="center"/>
    </xf>
    <xf numFmtId="38" fontId="4" fillId="13" borderId="34" xfId="1" applyFont="1" applyFill="1" applyBorder="1" applyAlignment="1">
      <alignment vertical="center" shrinkToFit="1"/>
    </xf>
    <xf numFmtId="177" fontId="4" fillId="2" borderId="34" xfId="2" applyNumberFormat="1" applyFont="1" applyFill="1" applyBorder="1">
      <alignment vertical="center"/>
    </xf>
    <xf numFmtId="0" fontId="4" fillId="0" borderId="35" xfId="2" applyFont="1" applyBorder="1">
      <alignment vertical="center"/>
    </xf>
    <xf numFmtId="0" fontId="4" fillId="0" borderId="36" xfId="2" applyFont="1" applyBorder="1">
      <alignment vertical="center"/>
    </xf>
    <xf numFmtId="38" fontId="4" fillId="0" borderId="36" xfId="2" applyNumberFormat="1" applyFont="1" applyBorder="1">
      <alignment vertical="center"/>
    </xf>
    <xf numFmtId="38" fontId="4" fillId="0" borderId="36" xfId="1" applyFont="1" applyFill="1" applyBorder="1">
      <alignment vertical="center"/>
    </xf>
    <xf numFmtId="0" fontId="4" fillId="0" borderId="37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177" fontId="4" fillId="0" borderId="36" xfId="2" applyNumberFormat="1" applyFont="1" applyBorder="1" applyAlignment="1">
      <alignment horizontal="center" vertical="center"/>
    </xf>
    <xf numFmtId="38" fontId="4" fillId="0" borderId="36" xfId="1" applyFont="1" applyFill="1" applyBorder="1" applyAlignment="1">
      <alignment vertical="center" shrinkToFit="1"/>
    </xf>
    <xf numFmtId="177" fontId="4" fillId="0" borderId="36" xfId="2" applyNumberFormat="1" applyFont="1" applyBorder="1">
      <alignment vertical="center"/>
    </xf>
    <xf numFmtId="38" fontId="4" fillId="0" borderId="38" xfId="1" applyFont="1" applyFill="1" applyBorder="1">
      <alignment vertical="center"/>
    </xf>
  </cellXfs>
  <cellStyles count="5">
    <cellStyle name="Hyperlink" xfId="4" xr:uid="{6594FC0A-6FAF-4156-8633-D9C3E05CB638}"/>
    <cellStyle name="ハイパーリンク 2" xfId="3" xr:uid="{B72B1DD7-2923-4E8E-A1B5-0E7949D5D9AF}"/>
    <cellStyle name="桁区切り" xfId="1" builtinId="6"/>
    <cellStyle name="標準" xfId="0" builtinId="0"/>
    <cellStyle name="標準 2" xfId="2" xr:uid="{D6FD499A-86B4-46CD-8896-CAD009084181}"/>
  </cellStyles>
  <dxfs count="3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C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fe1774164fa8606/&#27005;&#22825;&#12509;&#12452;&#12531;&#12488;&#38598;&#35336;&#29992;.xlsx" TargetMode="External"/><Relationship Id="rId1" Type="http://schemas.openxmlformats.org/officeDocument/2006/relationships/externalLinkPath" Target="&#27005;&#22825;&#12509;&#12452;&#12531;&#12488;&#38598;&#35336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zuki\OneDrive\&#22312;&#24235;&#31649;&#29702;&#65404;&#65392;&#65412;.xlsx" TargetMode="External"/><Relationship Id="rId1" Type="http://schemas.openxmlformats.org/officeDocument/2006/relationships/externalLinkPath" Target="file:///C:\Users\suzuki\OneDrive\&#22312;&#24235;&#31649;&#29702;&#65404;&#65392;&#65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マスタ"/>
      <sheetName val="楽天ポイント"/>
      <sheetName val="25.7"/>
      <sheetName val="25.8"/>
      <sheetName val="25.10"/>
      <sheetName val="25.11"/>
      <sheetName val="25.12"/>
      <sheetName val="26.1"/>
      <sheetName val="26.2"/>
      <sheetName val="26.3"/>
      <sheetName val="26.4"/>
      <sheetName val="26.4b"/>
      <sheetName val="26.5"/>
      <sheetName val="26.6"/>
    </sheetNames>
    <sheetDataSet>
      <sheetData sheetId="0">
        <row r="1">
          <cell r="B1" t="str">
            <v>ダイヤモンド会員</v>
          </cell>
          <cell r="C1">
            <v>15000</v>
          </cell>
          <cell r="D1">
            <v>3</v>
          </cell>
        </row>
        <row r="2">
          <cell r="B2" t="str">
            <v>プラチナ会員</v>
          </cell>
          <cell r="C2">
            <v>12000</v>
          </cell>
          <cell r="D2">
            <v>2</v>
          </cell>
        </row>
        <row r="3">
          <cell r="B3" t="str">
            <v>ゴールド会員</v>
          </cell>
          <cell r="C3">
            <v>9000</v>
          </cell>
          <cell r="D3">
            <v>1</v>
          </cell>
        </row>
        <row r="4">
          <cell r="B4" t="str">
            <v>シルバー会員</v>
          </cell>
          <cell r="C4">
            <v>7000</v>
          </cell>
          <cell r="D4">
            <v>0</v>
          </cell>
        </row>
        <row r="5">
          <cell r="B5" t="str">
            <v>その他</v>
          </cell>
          <cell r="C5">
            <v>5000</v>
          </cell>
          <cell r="D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マスタ"/>
      <sheetName val="入出庫"/>
      <sheetName val="在庫残高ｼｰﾄ"/>
    </sheetNames>
    <sheetDataSet>
      <sheetData sheetId="0">
        <row r="1">
          <cell r="A1" t="str">
            <v>SKU</v>
          </cell>
          <cell r="C1" t="str">
            <v>商品番号</v>
          </cell>
        </row>
        <row r="2">
          <cell r="A2" t="str">
            <v>20251013_5065-3809-27.0</v>
          </cell>
          <cell r="C2" t="str">
            <v>DZ7534-100-27.0</v>
          </cell>
        </row>
        <row r="3">
          <cell r="A3" t="str">
            <v>20251013_5065-3809-26.5</v>
          </cell>
          <cell r="C3" t="str">
            <v>DZ7534-100-26.5</v>
          </cell>
        </row>
        <row r="4">
          <cell r="A4" t="str">
            <v>20251013_5065-3809-26.0</v>
          </cell>
          <cell r="C4" t="str">
            <v>DZ7534-100-26.0</v>
          </cell>
        </row>
        <row r="5">
          <cell r="A5" t="str">
            <v>20251013_3652-2814-1</v>
          </cell>
          <cell r="C5" t="str">
            <v>DD0204-100-27.0</v>
          </cell>
        </row>
        <row r="6">
          <cell r="A6" t="str">
            <v>20251013_3652-2814-2</v>
          </cell>
          <cell r="C6" t="str">
            <v>DD0204-100-26.5</v>
          </cell>
        </row>
        <row r="7">
          <cell r="A7" t="str">
            <v>20251013_6215-4673</v>
          </cell>
          <cell r="C7" t="str">
            <v>DM1123-004-27.0</v>
          </cell>
        </row>
        <row r="8">
          <cell r="A8" t="str">
            <v>20251013_8965-6906-2</v>
          </cell>
          <cell r="C8" t="str">
            <v>DR5540-002-24.5</v>
          </cell>
        </row>
        <row r="9">
          <cell r="A9" t="str">
            <v>20251013_6990-4938-24.5</v>
          </cell>
          <cell r="C9" t="str">
            <v>DR5540-006-24.5</v>
          </cell>
        </row>
        <row r="10">
          <cell r="A10" t="str">
            <v>20251013_6990-4938-25.0</v>
          </cell>
          <cell r="C10" t="str">
            <v>DR5540-006-25.0</v>
          </cell>
        </row>
        <row r="11">
          <cell r="A11" t="str">
            <v>CV-FWT5-L45O</v>
          </cell>
          <cell r="C11" t="str">
            <v>DR5540-006-24.0</v>
          </cell>
        </row>
        <row r="12">
          <cell r="A12" t="str">
            <v>20251013_8965-6906-25.0</v>
          </cell>
          <cell r="C12" t="str">
            <v>DR5540-002-25.0</v>
          </cell>
        </row>
        <row r="13">
          <cell r="A13" t="str">
            <v>20251013_8965-6906</v>
          </cell>
          <cell r="C13" t="str">
            <v>DR5540-002-24.0</v>
          </cell>
        </row>
        <row r="14">
          <cell r="A14" t="str">
            <v>20251013_6590-4519-25.0</v>
          </cell>
          <cell r="C14" t="str">
            <v>DR5540-102-25.0</v>
          </cell>
        </row>
        <row r="15">
          <cell r="A15" t="str">
            <v>20251209_4400-3988-24.0</v>
          </cell>
          <cell r="C15" t="str">
            <v>AH5222-100-24.0</v>
          </cell>
        </row>
        <row r="16">
          <cell r="A16" t="str">
            <v>20251209_4400-3988-23.5</v>
          </cell>
          <cell r="C16" t="str">
            <v>AH5222-100-23.5</v>
          </cell>
        </row>
        <row r="17">
          <cell r="A17" t="str">
            <v>20251209_4136-3449-26.5</v>
          </cell>
          <cell r="C17" t="str">
            <v>HJ9198-003-26.5</v>
          </cell>
        </row>
        <row r="18">
          <cell r="A18" t="str">
            <v>20251209_4136-3451-26.0</v>
          </cell>
          <cell r="C18" t="str">
            <v>HJ9198-003-26.0</v>
          </cell>
        </row>
        <row r="19">
          <cell r="A19" t="str">
            <v>20251209_4489-3703-24.5</v>
          </cell>
          <cell r="C19" t="str">
            <v>FB2208-002-24.5</v>
          </cell>
        </row>
        <row r="20">
          <cell r="A20" t="str">
            <v>20251209_4290-3654-27.0</v>
          </cell>
          <cell r="C20" t="str">
            <v>FB2207-001-27.0</v>
          </cell>
        </row>
        <row r="21">
          <cell r="A21" t="str">
            <v>20251225_5500-5035-24.0</v>
          </cell>
          <cell r="C21" t="str">
            <v>DV4023-003-24.0</v>
          </cell>
        </row>
        <row r="22">
          <cell r="A22" t="str">
            <v>20251225_1000-770</v>
          </cell>
          <cell r="C22" t="str">
            <v>4Y50R20863</v>
          </cell>
        </row>
        <row r="23">
          <cell r="A23" t="str">
            <v>20251225_4290-3576-27.0</v>
          </cell>
          <cell r="C23" t="str">
            <v>FB2207-400-27.0</v>
          </cell>
        </row>
        <row r="24">
          <cell r="A24" t="str">
            <v>20251225_4290-3576-26.5</v>
          </cell>
          <cell r="C24" t="str">
            <v>FB2207-400-26.5</v>
          </cell>
        </row>
        <row r="25">
          <cell r="A25" t="str">
            <v>20251225_4290-3576-26.0</v>
          </cell>
          <cell r="C25" t="str">
            <v>FB2207-400-26.0</v>
          </cell>
        </row>
        <row r="26">
          <cell r="A26" t="str">
            <v>20251225_4290-3543-25.5</v>
          </cell>
          <cell r="C26" t="str">
            <v>FB2207-400-25.5</v>
          </cell>
        </row>
        <row r="27">
          <cell r="A27" t="str">
            <v>20251225_4290-3421-25.0</v>
          </cell>
          <cell r="C27" t="str">
            <v>FB2207-400-25.0</v>
          </cell>
        </row>
        <row r="28">
          <cell r="A28" t="str">
            <v>20251225_5196-4474-24.0</v>
          </cell>
          <cell r="C28" t="str">
            <v>DH3158-101-24.0</v>
          </cell>
        </row>
        <row r="29">
          <cell r="A29" t="str">
            <v>20251225_8775-7646</v>
          </cell>
          <cell r="C29" t="str">
            <v>FD7544-010</v>
          </cell>
        </row>
        <row r="30">
          <cell r="A30" t="str">
            <v>20251225_6499-5005-27.0</v>
          </cell>
          <cell r="C30" t="str">
            <v>FJ9509-001-27.0</v>
          </cell>
        </row>
        <row r="31">
          <cell r="A31" t="str">
            <v>20251225_6499-5005-26.5</v>
          </cell>
          <cell r="C31" t="str">
            <v>FJ9509-001-26.5</v>
          </cell>
        </row>
        <row r="32">
          <cell r="A32" t="str">
            <v>20251225_6499-5230-26.0</v>
          </cell>
          <cell r="C32" t="str">
            <v>FJ9509-001-26.0</v>
          </cell>
        </row>
        <row r="33">
          <cell r="A33" t="str">
            <v>20251225_6318-5204-27.0</v>
          </cell>
          <cell r="C33" t="str">
            <v>HM9862-001-27.0</v>
          </cell>
        </row>
        <row r="34">
          <cell r="A34" t="str">
            <v>20251225_6318-5096-26.5</v>
          </cell>
          <cell r="C34" t="str">
            <v>HM9862-001-26.5</v>
          </cell>
        </row>
        <row r="35">
          <cell r="A35" t="str">
            <v>20251225_6318-5096-26.0</v>
          </cell>
          <cell r="C35" t="str">
            <v>HM9862-001-26.0</v>
          </cell>
        </row>
        <row r="36">
          <cell r="A36" t="str">
            <v>20251225_10114-7790</v>
          </cell>
          <cell r="C36" t="str">
            <v>TMJ24</v>
          </cell>
        </row>
        <row r="37">
          <cell r="A37" t="str">
            <v>20251225_5990-4396-25.5</v>
          </cell>
          <cell r="C37" t="str">
            <v>DZ7534-100-25.5</v>
          </cell>
        </row>
        <row r="38">
          <cell r="A38" t="str">
            <v>20251225_7491-5496-25.5</v>
          </cell>
          <cell r="C38" t="str">
            <v>FN7304-100-25.5</v>
          </cell>
        </row>
        <row r="39">
          <cell r="A39" t="str">
            <v>20251225_4489-3866-23.5</v>
          </cell>
          <cell r="C39" t="str">
            <v>FB2208-002-23.5</v>
          </cell>
        </row>
        <row r="40">
          <cell r="A40" t="str">
            <v>20251225_5272-4684-26.5</v>
          </cell>
          <cell r="C40" t="str">
            <v>HM4751-445-26.5</v>
          </cell>
        </row>
        <row r="41">
          <cell r="A41" t="str">
            <v>20251225_5272-4684-26.0</v>
          </cell>
          <cell r="C41" t="str">
            <v>HM4751-445-26.0</v>
          </cell>
        </row>
        <row r="42">
          <cell r="A42" t="str">
            <v>20251225_12980-11529-27.0</v>
          </cell>
          <cell r="C42" t="str">
            <v>FQ8714-004-27.0</v>
          </cell>
        </row>
        <row r="43">
          <cell r="A43" t="str">
            <v>20251225_5500-4735-25.5</v>
          </cell>
          <cell r="C43" t="str">
            <v>FV6040-001-25.5</v>
          </cell>
        </row>
        <row r="44">
          <cell r="A44" t="str">
            <v>20251225_4076-3509-27.5</v>
          </cell>
          <cell r="C44" t="str">
            <v>FB2207-001-27.5</v>
          </cell>
        </row>
        <row r="45">
          <cell r="A45" t="str">
            <v>20251225_4337-3854-24.5</v>
          </cell>
          <cell r="C45" t="str">
            <v>DD9291-002-24.5</v>
          </cell>
        </row>
        <row r="46">
          <cell r="A46" t="str">
            <v>20251225_4337-3854-24.0</v>
          </cell>
          <cell r="C46" t="str">
            <v>DD9291-002-24.0</v>
          </cell>
        </row>
        <row r="47">
          <cell r="A47" t="str">
            <v>20260117_5891-5084-25.5</v>
          </cell>
          <cell r="C47" t="str">
            <v>909096-111-25.5</v>
          </cell>
        </row>
        <row r="48">
          <cell r="A48" t="str">
            <v>20260117_5891-5084-26.5</v>
          </cell>
          <cell r="C48" t="str">
            <v>909096-111-26.5</v>
          </cell>
        </row>
        <row r="49">
          <cell r="A49" t="str">
            <v>20260117_13980-4771-26.5</v>
          </cell>
          <cell r="C49" t="str">
            <v>DN3577-101-26.5</v>
          </cell>
        </row>
        <row r="50">
          <cell r="A50" t="str">
            <v>20260117_9900-3490-24.0</v>
          </cell>
          <cell r="C50" t="str">
            <v>DX9176-100-24.0</v>
          </cell>
        </row>
        <row r="51">
          <cell r="A51" t="str">
            <v>20260117_7425-4844-27.0</v>
          </cell>
          <cell r="C51" t="str">
            <v>355152-140-27.0</v>
          </cell>
        </row>
        <row r="52">
          <cell r="A52" t="str">
            <v>20260117_7623-5427-24.0</v>
          </cell>
          <cell r="C52" t="str">
            <v>CD5432-141-24.0</v>
          </cell>
        </row>
        <row r="53">
          <cell r="A53" t="str">
            <v>20260117_7260-4745-26.0</v>
          </cell>
          <cell r="C53" t="str">
            <v>FN7304-001-26.0</v>
          </cell>
        </row>
        <row r="54">
          <cell r="A54" t="str">
            <v>20260117_5504-3591-24.0</v>
          </cell>
          <cell r="C54" t="str">
            <v>DH3158-100-24.0</v>
          </cell>
        </row>
        <row r="55">
          <cell r="A55" t="str">
            <v>20260117_10999-3916-25.5</v>
          </cell>
          <cell r="C55" t="str">
            <v>DZ7534-102-25.5</v>
          </cell>
        </row>
        <row r="56">
          <cell r="A56" t="str">
            <v>20260117_6352-5460-27.0</v>
          </cell>
          <cell r="C56" t="str">
            <v>FQ1833-100-27.0</v>
          </cell>
        </row>
        <row r="57">
          <cell r="A57" t="str">
            <v>20260117_4190-2870-25.5</v>
          </cell>
          <cell r="C57" t="str">
            <v>HJ9198-002-25.5</v>
          </cell>
        </row>
        <row r="58">
          <cell r="A58" t="str">
            <v>20260117_5770-3936-25.0</v>
          </cell>
          <cell r="C58" t="str">
            <v>HQ3512-100-25.0</v>
          </cell>
        </row>
        <row r="59">
          <cell r="A59" t="str">
            <v>20260211_3980-3319-26.5</v>
          </cell>
          <cell r="C59" t="str">
            <v>HQ2414-003-26.5</v>
          </cell>
        </row>
        <row r="60">
          <cell r="A60" t="str">
            <v>20260211_5990-3870-25.5</v>
          </cell>
          <cell r="C60" t="str">
            <v>909096-008-25.5</v>
          </cell>
        </row>
        <row r="61">
          <cell r="A61" t="str">
            <v>20260211_5990-3870-26.5</v>
          </cell>
          <cell r="C61" t="str">
            <v>909096-008-26.5</v>
          </cell>
        </row>
        <row r="62">
          <cell r="A62" t="str">
            <v>20260211_10980-3097-26.0</v>
          </cell>
          <cell r="C62" t="str">
            <v>909096-003-26.0</v>
          </cell>
        </row>
        <row r="63">
          <cell r="A63" t="str">
            <v>20260211_5566-4581-26.0</v>
          </cell>
          <cell r="C63" t="str">
            <v>FJ9509-402-26.0</v>
          </cell>
        </row>
        <row r="64">
          <cell r="A64" t="str">
            <v>20260211_6589-4906-28.0</v>
          </cell>
          <cell r="C64" t="str">
            <v>HJ9135-445-28.0</v>
          </cell>
        </row>
        <row r="65">
          <cell r="A65" t="str">
            <v>20260211_4079-3281-24.0</v>
          </cell>
          <cell r="C65" t="str">
            <v>HF1233-105-24.0</v>
          </cell>
        </row>
        <row r="66">
          <cell r="A66" t="str">
            <v>20260211_5990-3870b-26.5</v>
          </cell>
          <cell r="C66" t="str">
            <v>FQ3681-303-26.5</v>
          </cell>
        </row>
        <row r="67">
          <cell r="A67" t="str">
            <v>20260223_5005-4162-25.5</v>
          </cell>
          <cell r="C67" t="str">
            <v>FB8501-001-25.5</v>
          </cell>
        </row>
        <row r="68">
          <cell r="A68" t="str">
            <v>20260223_5450-4538-25.5</v>
          </cell>
          <cell r="C68" t="str">
            <v>CD1515-004-25.5</v>
          </cell>
        </row>
        <row r="69">
          <cell r="A69" t="str">
            <v>20260223_6040-4105-23.0</v>
          </cell>
          <cell r="C69" t="str">
            <v>CD5432-132-23.0</v>
          </cell>
        </row>
        <row r="70">
          <cell r="A70" t="str">
            <v>20260223_11460-3819-24.5</v>
          </cell>
          <cell r="C70" t="str">
            <v>DX9176-103-24.5</v>
          </cell>
        </row>
        <row r="71">
          <cell r="A71" t="str">
            <v>20260223_5790-4261-27.0</v>
          </cell>
          <cell r="C71" t="str">
            <v>FV6040-401-27.0</v>
          </cell>
        </row>
        <row r="72">
          <cell r="A72" t="str">
            <v>20260223_11580-3939-25.5</v>
          </cell>
          <cell r="C72" t="str">
            <v>FV6040-401-25.5</v>
          </cell>
        </row>
        <row r="73">
          <cell r="A73" t="str">
            <v>20260223_8247-2804-24.5</v>
          </cell>
          <cell r="C73" t="str">
            <v>FZ6734-100-24.5</v>
          </cell>
        </row>
        <row r="74">
          <cell r="A74" t="str">
            <v>20260223_8246-2804-25.0</v>
          </cell>
          <cell r="C74" t="str">
            <v>FZ6734-100-25.0</v>
          </cell>
        </row>
        <row r="75">
          <cell r="A75" t="str">
            <v>20260223_4070-3183-24.5</v>
          </cell>
          <cell r="C75" t="str">
            <v>HJ8485-001-24.5</v>
          </cell>
        </row>
        <row r="76">
          <cell r="A76" t="str">
            <v>20260223_12180-4143-24.0</v>
          </cell>
          <cell r="C76" t="str">
            <v>HQ3512-100-24.0</v>
          </cell>
        </row>
        <row r="77">
          <cell r="A77" t="str">
            <v>20260309_13960-3165-23.0</v>
          </cell>
          <cell r="C77" t="str">
            <v>CD5432-121-23.0</v>
          </cell>
        </row>
        <row r="78">
          <cell r="A78" t="str">
            <v>20260309_13960-3165-24.0</v>
          </cell>
          <cell r="C78" t="str">
            <v>CD5432-121-24.0</v>
          </cell>
        </row>
        <row r="79">
          <cell r="A79" t="str">
            <v>20260309_10760-3085-27.0</v>
          </cell>
          <cell r="C79" t="str">
            <v>FZ5486-101-27.0</v>
          </cell>
        </row>
        <row r="80">
          <cell r="A80" t="str">
            <v>20260309_8300-3283-26.0</v>
          </cell>
          <cell r="C80" t="str">
            <v>fb2207-001-26.0</v>
          </cell>
        </row>
        <row r="81">
          <cell r="A81" t="str">
            <v>20260309_8300-3283-26.5</v>
          </cell>
          <cell r="C81" t="str">
            <v>fb2207-001-26.5</v>
          </cell>
        </row>
        <row r="82">
          <cell r="A82" t="str">
            <v>20260309_8046-2608-23.5</v>
          </cell>
          <cell r="C82" t="str">
            <v>HJ8485-001-23.5</v>
          </cell>
        </row>
        <row r="83">
          <cell r="A83" t="str">
            <v>20260309_8493-2811-24.0</v>
          </cell>
          <cell r="C83" t="str">
            <v>HJ8485-001-24.0</v>
          </cell>
        </row>
        <row r="84">
          <cell r="A84" t="str">
            <v>20260309_8493-2815-25.0</v>
          </cell>
          <cell r="C84" t="str">
            <v>HJ8485-001-25.0</v>
          </cell>
        </row>
        <row r="85">
          <cell r="A85" t="str">
            <v>20260311_4620-3830-29.0</v>
          </cell>
          <cell r="C85" t="str">
            <v>HQ2414-001-29.0</v>
          </cell>
        </row>
        <row r="86">
          <cell r="A86" t="str">
            <v>20260413_5780-5086-24.0</v>
          </cell>
          <cell r="C86" t="str">
            <v>BQ4212-100-24.0</v>
          </cell>
        </row>
        <row r="87">
          <cell r="A87" t="str">
            <v>20260413_3231-2330-26.0</v>
          </cell>
          <cell r="C87" t="str">
            <v>DJ5635-040-26.0</v>
          </cell>
        </row>
        <row r="88">
          <cell r="A88" t="str">
            <v>20260413_7990-3810-26.5</v>
          </cell>
          <cell r="C88" t="str">
            <v>CD1515-004-26.5</v>
          </cell>
        </row>
        <row r="89">
          <cell r="A89" t="str">
            <v>20260413_5960-4017-23.0</v>
          </cell>
          <cell r="C89" t="str">
            <v>CD5432-003-23.0</v>
          </cell>
        </row>
        <row r="90">
          <cell r="A90" t="str">
            <v>20260413_5960-4017-23.5</v>
          </cell>
          <cell r="C90" t="str">
            <v>CD5432-003-23.5</v>
          </cell>
        </row>
        <row r="91">
          <cell r="A91" t="str">
            <v>20260413_12528-4209-24.0</v>
          </cell>
          <cell r="C91" t="str">
            <v>CD5432-003-24.0</v>
          </cell>
        </row>
        <row r="92">
          <cell r="A92" t="str">
            <v>20260413_6264-4226-24.5</v>
          </cell>
          <cell r="C92" t="str">
            <v>CD5432-003-24.5</v>
          </cell>
        </row>
        <row r="93">
          <cell r="A93" t="str">
            <v>20260413_7990-3810-24.0</v>
          </cell>
          <cell r="C93" t="str">
            <v>CD5432-101-24.0</v>
          </cell>
        </row>
        <row r="94">
          <cell r="A94" t="str">
            <v>20260413_6770-4565-23.5</v>
          </cell>
          <cell r="C94" t="str">
            <v>CD5432-121-23.5</v>
          </cell>
        </row>
        <row r="95">
          <cell r="A95" t="str">
            <v>20260413_12580-4234-25.5</v>
          </cell>
          <cell r="C95" t="str">
            <v>DH2987-100-25.5</v>
          </cell>
        </row>
        <row r="96">
          <cell r="A96" t="str">
            <v>20260413_14660-3667-25.0</v>
          </cell>
          <cell r="C96" t="str">
            <v>FN7304-001-25.0</v>
          </cell>
        </row>
        <row r="97">
          <cell r="A97" t="str">
            <v>20260413_5470-3841-26.0</v>
          </cell>
          <cell r="C97" t="str">
            <v>HJ9198-002-26.0</v>
          </cell>
        </row>
        <row r="98">
          <cell r="A98" t="str">
            <v>20260413_3861-2714-28.0</v>
          </cell>
          <cell r="C98" t="str">
            <v>HJ9198-003-28.0</v>
          </cell>
        </row>
        <row r="99">
          <cell r="A99" t="str">
            <v>20260413_7829-2762-24.0</v>
          </cell>
          <cell r="C99" t="str">
            <v>HQ2415-001-24.0</v>
          </cell>
        </row>
        <row r="100">
          <cell r="A100" t="str">
            <v>20260413_7829-2776-24.5</v>
          </cell>
          <cell r="C100" t="str">
            <v>HQ2415-001-24.5</v>
          </cell>
        </row>
        <row r="101">
          <cell r="A101" t="str">
            <v>20260520_10799-3744-24.0</v>
          </cell>
          <cell r="C101" t="str">
            <v>CW4554-001-24.0</v>
          </cell>
        </row>
        <row r="102">
          <cell r="A102" t="str">
            <v>20260520_5886-4905-25.5</v>
          </cell>
          <cell r="C102" t="str">
            <v>FV6040-003-25.5</v>
          </cell>
        </row>
        <row r="103">
          <cell r="A103" t="str">
            <v>20260520_15275-2512-24.5</v>
          </cell>
          <cell r="C103" t="str">
            <v>HJ8485-101-24.5</v>
          </cell>
        </row>
        <row r="104">
          <cell r="A104" t="str">
            <v>20260520_8082-3524-27.0</v>
          </cell>
          <cell r="C104" t="str">
            <v>HQ1996-001-27.0</v>
          </cell>
        </row>
        <row r="105">
          <cell r="A105" t="str">
            <v>20260520_15275-2512-26.0</v>
          </cell>
          <cell r="C105" t="str">
            <v>HQ2414-001-26.0</v>
          </cell>
        </row>
        <row r="106">
          <cell r="A106" t="str">
            <v>20260520_10183-2520-23.0</v>
          </cell>
          <cell r="C106" t="str">
            <v>HQ2415-001-23.0</v>
          </cell>
        </row>
        <row r="107">
          <cell r="A107" t="str">
            <v>20260520_5092-2545-23.5</v>
          </cell>
          <cell r="C107" t="str">
            <v>HQ2415-001-23.5</v>
          </cell>
        </row>
        <row r="108">
          <cell r="A108" t="str">
            <v>20260520_13980-3598-26.0</v>
          </cell>
          <cell r="C108" t="str">
            <v>IO9565-400-26.0</v>
          </cell>
        </row>
        <row r="109">
          <cell r="A109" t="str">
            <v>20260520_13980-3641-26.5</v>
          </cell>
          <cell r="C109" t="str">
            <v>IO9565-400-26.5</v>
          </cell>
        </row>
        <row r="110">
          <cell r="A110" t="str">
            <v>20260520_13980-3641-27.0</v>
          </cell>
          <cell r="C110" t="str">
            <v>IO9565-400-27.0</v>
          </cell>
        </row>
        <row r="111">
          <cell r="A111" t="str">
            <v>20260520_7392-3251-24.0</v>
          </cell>
          <cell r="C111" t="str">
            <v>dj6038-002-24.0</v>
          </cell>
        </row>
        <row r="112">
          <cell r="A112" t="str">
            <v>20260609_7180-7038-24.0</v>
          </cell>
          <cell r="C112" t="str">
            <v>511417-136-24.0</v>
          </cell>
        </row>
        <row r="113">
          <cell r="A113" t="str">
            <v>20260610_5005-2362-25.0</v>
          </cell>
          <cell r="C113" t="str">
            <v>HJ9198-003-25.0</v>
          </cell>
        </row>
        <row r="114">
          <cell r="A114" t="str">
            <v>20260610_6380-1522</v>
          </cell>
          <cell r="C114" t="str">
            <v>DM3978-010</v>
          </cell>
        </row>
        <row r="115">
          <cell r="A115" t="str">
            <v>20260610_11870-2663-28.0</v>
          </cell>
          <cell r="C115" t="str">
            <v>DC1460-007-28.0</v>
          </cell>
        </row>
        <row r="116">
          <cell r="A116" t="str">
            <v>20260610_10980-3845-23.5</v>
          </cell>
          <cell r="C116" t="str">
            <v>DH3158-100-23.5</v>
          </cell>
        </row>
        <row r="117">
          <cell r="A117" t="str">
            <v>20260610_4110-2874-28.0</v>
          </cell>
          <cell r="C117" t="str">
            <v>HQ2414-003-28.0</v>
          </cell>
        </row>
        <row r="118">
          <cell r="A118" t="str">
            <v>20260610_8220-2873-27.5</v>
          </cell>
          <cell r="C118" t="str">
            <v>HQ2414-003-27.5</v>
          </cell>
        </row>
        <row r="119">
          <cell r="A119" t="str">
            <v>20260610_4250-2983-26.0</v>
          </cell>
          <cell r="C119" t="str">
            <v>HQ1996-001-26.0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26"/>
  <sheetViews>
    <sheetView tabSelected="1" topLeftCell="C1" zoomScaleNormal="100" workbookViewId="0">
      <selection activeCell="B5" sqref="B5"/>
    </sheetView>
  </sheetViews>
  <sheetFormatPr defaultRowHeight="18.75" x14ac:dyDescent="0.4"/>
  <cols>
    <col min="1" max="1" width="15.625" customWidth="1"/>
    <col min="2" max="2" width="15.875" customWidth="1"/>
    <col min="3" max="3" width="15" customWidth="1"/>
    <col min="4" max="4" width="18.875" bestFit="1" customWidth="1"/>
    <col min="7" max="7" width="4.5" bestFit="1" customWidth="1"/>
    <col min="10" max="10" width="4.5" bestFit="1" customWidth="1"/>
    <col min="11" max="13" width="0" hidden="1" customWidth="1"/>
    <col min="15" max="24" width="4.625" customWidth="1"/>
    <col min="25" max="34" width="0" hidden="1" customWidth="1"/>
    <col min="35" max="35" width="6.5" customWidth="1"/>
    <col min="51" max="52" width="0" hidden="1" customWidth="1"/>
    <col min="54" max="84" width="0" hidden="1" customWidth="1"/>
  </cols>
  <sheetData>
    <row r="1" spans="1:99" x14ac:dyDescent="0.4">
      <c r="A1" s="1" t="s">
        <v>0</v>
      </c>
      <c r="B1" s="1"/>
      <c r="C1" s="1"/>
      <c r="D1" s="1"/>
      <c r="E1" s="1"/>
      <c r="F1" s="2">
        <v>2026</v>
      </c>
      <c r="G1" s="1" t="s">
        <v>1</v>
      </c>
      <c r="H1" s="2">
        <v>6</v>
      </c>
      <c r="I1" s="1" t="s">
        <v>2</v>
      </c>
      <c r="J1" s="1"/>
      <c r="K1" s="1"/>
      <c r="L1" s="1"/>
      <c r="M1" s="1"/>
      <c r="N1" s="1"/>
      <c r="O1" s="2" t="s">
        <v>3</v>
      </c>
      <c r="P1" s="2"/>
      <c r="Q1" s="3"/>
      <c r="R1" s="3"/>
      <c r="S1" s="1"/>
      <c r="T1" s="1"/>
      <c r="U1" s="1"/>
      <c r="V1" s="1"/>
      <c r="W1" s="1"/>
      <c r="X1" s="2" t="s">
        <v>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4">
        <f>+AO625</f>
        <v>0</v>
      </c>
      <c r="AP1" s="4">
        <f>+AP625</f>
        <v>0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5"/>
      <c r="CQ1" s="1"/>
      <c r="CR1" s="1"/>
      <c r="CS1" s="1"/>
      <c r="CT1" s="1"/>
      <c r="CU1" s="1"/>
    </row>
    <row r="2" spans="1:99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5"/>
      <c r="CQ2" s="1"/>
      <c r="CR2" s="1"/>
      <c r="CS2" s="1"/>
      <c r="CT2" s="1"/>
      <c r="CU2" s="1"/>
    </row>
    <row r="3" spans="1:99" ht="19.5" thickBot="1" x14ac:dyDescent="0.45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 t="s">
        <v>7</v>
      </c>
      <c r="AJ3" s="1" t="s">
        <v>8</v>
      </c>
      <c r="AK3" s="1" t="s">
        <v>9</v>
      </c>
      <c r="AL3" s="1" t="s">
        <v>8</v>
      </c>
      <c r="AM3" s="1" t="s">
        <v>9</v>
      </c>
      <c r="AN3" s="1" t="s">
        <v>9</v>
      </c>
      <c r="AO3" s="1" t="s">
        <v>10</v>
      </c>
      <c r="AP3" s="1" t="s">
        <v>10</v>
      </c>
      <c r="AQ3" s="1" t="s">
        <v>10</v>
      </c>
      <c r="AR3" s="1" t="s">
        <v>11</v>
      </c>
      <c r="AS3" s="1" t="s">
        <v>12</v>
      </c>
      <c r="AT3" s="1" t="s">
        <v>12</v>
      </c>
      <c r="AU3" s="1" t="s">
        <v>13</v>
      </c>
      <c r="AV3" s="1" t="s">
        <v>14</v>
      </c>
      <c r="AW3" s="1" t="s">
        <v>14</v>
      </c>
      <c r="AX3" s="1" t="s">
        <v>14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12</v>
      </c>
      <c r="BY3" s="1" t="s">
        <v>12</v>
      </c>
      <c r="BZ3" s="1" t="s">
        <v>12</v>
      </c>
      <c r="CA3" s="1" t="s">
        <v>12</v>
      </c>
      <c r="CB3" s="1" t="s">
        <v>12</v>
      </c>
      <c r="CC3" s="1" t="s">
        <v>12</v>
      </c>
      <c r="CD3" s="1" t="s">
        <v>12</v>
      </c>
      <c r="CE3" s="1" t="s">
        <v>12</v>
      </c>
      <c r="CF3" s="1" t="s">
        <v>12</v>
      </c>
      <c r="CG3" s="1"/>
      <c r="CH3" s="1"/>
      <c r="CI3" s="1"/>
      <c r="CJ3" s="1"/>
      <c r="CK3" s="1"/>
      <c r="CL3" s="1"/>
      <c r="CM3" s="1"/>
      <c r="CN3" s="1"/>
      <c r="CO3" s="1"/>
      <c r="CP3" s="5"/>
      <c r="CQ3" s="1"/>
      <c r="CR3" s="1"/>
      <c r="CS3" s="1"/>
      <c r="CT3" s="1"/>
      <c r="CU3" s="1"/>
    </row>
    <row r="4" spans="1:99" ht="111" thickTop="1" x14ac:dyDescent="0.4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8" t="s">
        <v>25</v>
      </c>
      <c r="L4" s="8" t="s">
        <v>25</v>
      </c>
      <c r="M4" s="8" t="s">
        <v>26</v>
      </c>
      <c r="N4" s="7" t="s">
        <v>27</v>
      </c>
      <c r="O4" s="9" t="s">
        <v>28</v>
      </c>
      <c r="P4" s="10" t="s">
        <v>29</v>
      </c>
      <c r="Q4" s="10" t="s">
        <v>30</v>
      </c>
      <c r="R4" s="10" t="s">
        <v>31</v>
      </c>
      <c r="S4" s="10" t="s">
        <v>32</v>
      </c>
      <c r="T4" s="10" t="s">
        <v>33</v>
      </c>
      <c r="U4" s="10" t="s">
        <v>34</v>
      </c>
      <c r="V4" s="10" t="s">
        <v>35</v>
      </c>
      <c r="W4" s="10" t="s">
        <v>36</v>
      </c>
      <c r="X4" s="10" t="s">
        <v>37</v>
      </c>
      <c r="Y4" s="10"/>
      <c r="Z4" s="10"/>
      <c r="AA4" s="10"/>
      <c r="AB4" s="10"/>
      <c r="AC4" s="10"/>
      <c r="AD4" s="11" t="s">
        <v>38</v>
      </c>
      <c r="AE4" s="11" t="s">
        <v>39</v>
      </c>
      <c r="AF4" s="11" t="s">
        <v>40</v>
      </c>
      <c r="AG4" s="11" t="s">
        <v>41</v>
      </c>
      <c r="AH4" s="11"/>
      <c r="AI4" s="12" t="s">
        <v>42</v>
      </c>
      <c r="AJ4" s="13" t="s">
        <v>43</v>
      </c>
      <c r="AK4" s="14" t="s">
        <v>44</v>
      </c>
      <c r="AL4" s="15" t="s">
        <v>45</v>
      </c>
      <c r="AM4" s="14" t="s">
        <v>46</v>
      </c>
      <c r="AN4" s="14" t="s">
        <v>47</v>
      </c>
      <c r="AO4" s="16" t="s">
        <v>48</v>
      </c>
      <c r="AP4" s="16" t="s">
        <v>49</v>
      </c>
      <c r="AQ4" s="16" t="s">
        <v>50</v>
      </c>
      <c r="AR4" s="16" t="s">
        <v>11</v>
      </c>
      <c r="AS4" s="17" t="s">
        <v>51</v>
      </c>
      <c r="AT4" s="17" t="s">
        <v>37</v>
      </c>
      <c r="AU4" s="18" t="s">
        <v>28</v>
      </c>
      <c r="AV4" s="19" t="s">
        <v>29</v>
      </c>
      <c r="AW4" s="19" t="s">
        <v>30</v>
      </c>
      <c r="AX4" s="19" t="s">
        <v>31</v>
      </c>
      <c r="AY4" s="12" t="s">
        <v>52</v>
      </c>
      <c r="AZ4" s="12"/>
      <c r="BA4" s="12" t="s">
        <v>42</v>
      </c>
      <c r="BB4" s="12" t="s">
        <v>53</v>
      </c>
      <c r="BC4" s="12"/>
      <c r="BD4" s="12" t="s">
        <v>54</v>
      </c>
      <c r="BE4" s="12"/>
      <c r="BF4" s="12" t="s">
        <v>54</v>
      </c>
      <c r="BG4" s="12"/>
      <c r="BH4" s="12" t="s">
        <v>54</v>
      </c>
      <c r="BI4" s="12"/>
      <c r="BJ4" s="14" t="s">
        <v>55</v>
      </c>
      <c r="BK4" s="14" t="s">
        <v>56</v>
      </c>
      <c r="BL4" s="14" t="s">
        <v>57</v>
      </c>
      <c r="BM4" s="14" t="s">
        <v>58</v>
      </c>
      <c r="BN4" s="14" t="s">
        <v>59</v>
      </c>
      <c r="BO4" s="14" t="s">
        <v>60</v>
      </c>
      <c r="BP4" s="14" t="s">
        <v>61</v>
      </c>
      <c r="BQ4" s="14" t="s">
        <v>62</v>
      </c>
      <c r="BR4" s="14" t="s">
        <v>63</v>
      </c>
      <c r="BS4" s="14" t="s">
        <v>64</v>
      </c>
      <c r="BT4" s="14" t="s">
        <v>65</v>
      </c>
      <c r="BU4" s="14" t="s">
        <v>66</v>
      </c>
      <c r="BV4" s="14" t="s">
        <v>67</v>
      </c>
      <c r="BW4" s="14" t="s">
        <v>68</v>
      </c>
      <c r="BX4" s="17" t="s">
        <v>33</v>
      </c>
      <c r="BY4" s="17" t="s">
        <v>34</v>
      </c>
      <c r="BZ4" s="17" t="s">
        <v>69</v>
      </c>
      <c r="CA4" s="17" t="s">
        <v>36</v>
      </c>
      <c r="CB4" s="17"/>
      <c r="CC4" s="17"/>
      <c r="CD4" s="17"/>
      <c r="CE4" s="17"/>
      <c r="CF4" s="17"/>
      <c r="CG4" s="11" t="s">
        <v>70</v>
      </c>
      <c r="CH4" s="20" t="s">
        <v>71</v>
      </c>
      <c r="CI4" s="21" t="s">
        <v>72</v>
      </c>
      <c r="CJ4" s="21"/>
      <c r="CK4" s="21" t="s">
        <v>73</v>
      </c>
      <c r="CL4" s="21" t="s">
        <v>74</v>
      </c>
      <c r="CM4" s="22" t="s">
        <v>75</v>
      </c>
      <c r="CN4" s="21" t="s">
        <v>76</v>
      </c>
      <c r="CO4" s="21" t="s">
        <v>77</v>
      </c>
      <c r="CP4" s="23"/>
      <c r="CQ4" s="21"/>
      <c r="CR4" s="21" t="s">
        <v>78</v>
      </c>
      <c r="CS4" s="21"/>
      <c r="CT4" s="21"/>
      <c r="CU4" s="21" t="s">
        <v>79</v>
      </c>
    </row>
    <row r="5" spans="1:99" x14ac:dyDescent="0.4">
      <c r="A5" s="24" t="s">
        <v>80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6"/>
      <c r="P5" s="25"/>
      <c r="Q5" s="25"/>
      <c r="R5" s="25"/>
      <c r="S5" s="25"/>
      <c r="T5" s="25"/>
      <c r="U5" s="25"/>
      <c r="V5" s="25"/>
      <c r="W5" s="25"/>
      <c r="X5" s="25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/>
      <c r="AJ5" s="29">
        <v>1</v>
      </c>
      <c r="AK5" s="29">
        <v>3</v>
      </c>
      <c r="AL5" s="29">
        <v>1</v>
      </c>
      <c r="AM5" s="29">
        <v>1</v>
      </c>
      <c r="AN5" s="29">
        <v>0.3</v>
      </c>
      <c r="AO5" s="29">
        <f>+IF(COUNTA(AD$11:AD$624)-COUNTBLANK(AD$11:AD$624)-1&gt;=9,9,IF(COUNTA(AD$11:AD$624)-COUNTBLANK(AD$11:AD$624)-1&lt;0,0,COUNTA(AD$11:AD$624)-COUNTBLANK(AD$11:AD$624)-1))</f>
        <v>0</v>
      </c>
      <c r="AP5" s="29">
        <f>+IF(COUNTA(AE$11:AE$624)-COUNTBLANK(AE$11:AE$624)-1&gt;=9,9,IF(COUNTA(AE$11:AE$624)-COUNTBLANK(AE$11:AE$624)-1&lt;0,0,COUNTA(AE$11:AE$624)-COUNTBLANK(AE$11:AE$624)-1))</f>
        <v>0</v>
      </c>
      <c r="AQ5" s="29">
        <f>+IF(COUNTA(AF$11:AF$624)-COUNTBLANK(AF$11:AF$624)-1&gt;=9,9,IF(COUNTA(AF$11:AF$624)-COUNTBLANK(AF$11:AF$624)-1&lt;0,0,COUNTA(AF$11:AF$624)-COUNTBLANK(AF$11:AF$624)-1))</f>
        <v>0</v>
      </c>
      <c r="AR5" s="30" t="str">
        <f>IF(SUMIFS($H$11:$H$624,$A$11:$A$624,"&gt;="&amp;$AR$8,$A$11:$A$624,"&lt;="&amp;$AR$9)+SUMIFS($I$11:$I$624,$A$11:$A$624,"&gt;="&amp;$AR$8,$A$11:$A$624,"&lt;="&amp;$AR$9)&gt;=45000,6,IF(SUMIFS($H$11:$H$624,$A$11:$A$624,"&gt;="&amp;$AR$8,$A$11:$A$624,"&lt;="&amp;$AR$9)+SUMIFS($I$11:$I$624,$A$11:$A$624,"&gt;="&amp;$AR$8,$A$11:$A$624,"&lt;="&amp;$AR$9)&gt;=30000,4,IF(SUMIFS($H$11:$H$624,$A$11:$A$624,"&gt;="&amp;$AR$8,$A$11:$A$624,"&lt;="&amp;$AR$9)+SUMIFS($I$11:$I$624,$A$11:$A$624,"&gt;="&amp;$AR$8,$A$11:$A$624,"&lt;="&amp;$AR$9)&gt;=10000,2,IF(SUMIFS($H$11:$H$624,$A$11:$A$624,"&gt;="&amp;$AR$8,$A$11:$A$624,"&lt;="&amp;$AR$9)+SUMIFS($I$11:$I$624,$A$11:$A$624,"&gt;="&amp;$AR$8,$A$11:$A$624,"&lt;="&amp;$AR$9)&gt;=5000,1,""))))</f>
        <v/>
      </c>
      <c r="AS5" s="31" t="s">
        <v>81</v>
      </c>
      <c r="AT5" s="29">
        <v>1</v>
      </c>
      <c r="AU5" s="29">
        <v>1</v>
      </c>
      <c r="AV5" s="29">
        <v>2</v>
      </c>
      <c r="AW5" s="29">
        <v>3</v>
      </c>
      <c r="AX5" s="29">
        <f>VLOOKUP($O$1,[1]マスタ!$B$1:$D$5,3,0)</f>
        <v>3</v>
      </c>
      <c r="AY5" s="28"/>
      <c r="AZ5" s="26"/>
      <c r="BA5" s="26"/>
      <c r="BB5" s="28"/>
      <c r="BC5" s="26"/>
      <c r="BD5" s="28"/>
      <c r="BE5" s="26"/>
      <c r="BF5" s="28"/>
      <c r="BG5" s="26"/>
      <c r="BH5" s="28"/>
      <c r="BI5" s="26"/>
      <c r="BJ5" s="29">
        <v>0.5</v>
      </c>
      <c r="BK5" s="29">
        <v>1</v>
      </c>
      <c r="BL5" s="29">
        <v>2</v>
      </c>
      <c r="BM5" s="29">
        <v>0.5</v>
      </c>
      <c r="BN5" s="29">
        <v>0.5</v>
      </c>
      <c r="BO5" s="29">
        <v>0.5</v>
      </c>
      <c r="BP5" s="29">
        <v>0.5</v>
      </c>
      <c r="BQ5" s="29">
        <v>1</v>
      </c>
      <c r="BR5" s="29">
        <v>0.5</v>
      </c>
      <c r="BS5" s="29">
        <v>0.5</v>
      </c>
      <c r="BT5" s="29">
        <v>0.5</v>
      </c>
      <c r="BU5" s="29">
        <v>0.5</v>
      </c>
      <c r="BV5" s="29">
        <v>0.5</v>
      </c>
      <c r="BW5" s="29">
        <v>0.5</v>
      </c>
      <c r="BX5" s="29">
        <v>1</v>
      </c>
      <c r="BY5" s="29">
        <v>2</v>
      </c>
      <c r="BZ5" s="29">
        <v>1</v>
      </c>
      <c r="CA5" s="29">
        <v>1</v>
      </c>
      <c r="CB5" s="29"/>
      <c r="CC5" s="29"/>
      <c r="CD5" s="29"/>
      <c r="CE5" s="29"/>
      <c r="CF5" s="29"/>
      <c r="CG5" s="25"/>
      <c r="CH5" s="32"/>
      <c r="CI5" s="1"/>
      <c r="CJ5" s="1"/>
      <c r="CK5" s="1"/>
      <c r="CL5" s="1"/>
      <c r="CM5" s="1"/>
      <c r="CN5" s="1"/>
      <c r="CO5" s="1"/>
      <c r="CP5" s="5"/>
      <c r="CQ5" s="1"/>
      <c r="CR5" s="1"/>
      <c r="CS5" s="1"/>
      <c r="CT5" s="1"/>
      <c r="CU5" s="1"/>
    </row>
    <row r="6" spans="1:99" x14ac:dyDescent="0.4">
      <c r="A6" s="33" t="s">
        <v>82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5"/>
      <c r="P6" s="34"/>
      <c r="Q6" s="34"/>
      <c r="R6" s="34"/>
      <c r="S6" s="34"/>
      <c r="T6" s="34"/>
      <c r="U6" s="34"/>
      <c r="V6" s="34"/>
      <c r="W6" s="34"/>
      <c r="X6" s="34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/>
      <c r="AJ6" s="38">
        <v>99999999</v>
      </c>
      <c r="AK6" s="38">
        <v>2000</v>
      </c>
      <c r="AL6" s="38">
        <v>99999999</v>
      </c>
      <c r="AM6" s="38">
        <v>5000</v>
      </c>
      <c r="AN6" s="38">
        <v>1000</v>
      </c>
      <c r="AO6" s="38">
        <v>7000</v>
      </c>
      <c r="AP6" s="38">
        <v>7000</v>
      </c>
      <c r="AQ6" s="38">
        <v>7000</v>
      </c>
      <c r="AR6" s="38">
        <v>5000</v>
      </c>
      <c r="AS6" s="39" t="s">
        <v>81</v>
      </c>
      <c r="AT6" s="38">
        <v>3000</v>
      </c>
      <c r="AU6" s="38">
        <v>10000</v>
      </c>
      <c r="AV6" s="38">
        <v>3000</v>
      </c>
      <c r="AW6" s="38">
        <v>1000</v>
      </c>
      <c r="AX6" s="38">
        <v>1000</v>
      </c>
      <c r="AY6" s="37"/>
      <c r="AZ6" s="35"/>
      <c r="BA6" s="35"/>
      <c r="BB6" s="37"/>
      <c r="BC6" s="35"/>
      <c r="BD6" s="37"/>
      <c r="BE6" s="35"/>
      <c r="BF6" s="37"/>
      <c r="BG6" s="35"/>
      <c r="BH6" s="37"/>
      <c r="BI6" s="35"/>
      <c r="BJ6" s="38">
        <v>5000</v>
      </c>
      <c r="BK6" s="38">
        <v>5000</v>
      </c>
      <c r="BL6" s="38">
        <v>15000</v>
      </c>
      <c r="BM6" s="38">
        <v>5000</v>
      </c>
      <c r="BN6" s="38">
        <v>5000</v>
      </c>
      <c r="BO6" s="38">
        <v>5000</v>
      </c>
      <c r="BP6" s="38">
        <v>5000</v>
      </c>
      <c r="BQ6" s="38" t="e">
        <f>+SUMIFS([1]マスタ!$C$1:$C$5,[1]マスタ!$B$1:$B$5,$O$1)</f>
        <v>#VALUE!</v>
      </c>
      <c r="BR6" s="38" t="e">
        <f>+SUMIFS([1]マスタ!$C$1:$C$5,[1]マスタ!$B$1:$B$5,$O$1)</f>
        <v>#VALUE!</v>
      </c>
      <c r="BS6" s="38" t="e">
        <f>+SUMIFS([1]マスタ!$C$1:$C$5,[1]マスタ!$B$1:$B$5,$O$1)</f>
        <v>#VALUE!</v>
      </c>
      <c r="BT6" s="38" t="e">
        <f>+SUMIFS([1]マスタ!$C$1:$C$5,[1]マスタ!$B$1:$B$5,$O$1)</f>
        <v>#VALUE!</v>
      </c>
      <c r="BU6" s="38">
        <v>5000</v>
      </c>
      <c r="BV6" s="38" t="e">
        <f>+SUMIFS([1]マスタ!$C$1:$C$5,[1]マスタ!$B$1:$B$5,$O$1)</f>
        <v>#VALUE!</v>
      </c>
      <c r="BW6" s="38" t="e">
        <f>+SUMIFS([1]マスタ!$C$1:$C$5,[1]マスタ!$B$1:$B$5,$O$1)</f>
        <v>#VALUE!</v>
      </c>
      <c r="BX6" s="38">
        <v>1000</v>
      </c>
      <c r="BY6" s="38">
        <v>1000</v>
      </c>
      <c r="BZ6" s="38">
        <v>1000</v>
      </c>
      <c r="CA6" s="38">
        <v>1000</v>
      </c>
      <c r="CB6" s="40"/>
      <c r="CC6" s="40"/>
      <c r="CD6" s="40"/>
      <c r="CE6" s="40"/>
      <c r="CF6" s="40"/>
      <c r="CG6" s="34"/>
      <c r="CH6" s="41"/>
      <c r="CI6" s="1"/>
      <c r="CJ6" s="1"/>
      <c r="CK6" s="1"/>
      <c r="CL6" s="1"/>
      <c r="CM6" s="1"/>
      <c r="CN6" s="1"/>
      <c r="CO6" s="1"/>
      <c r="CP6" s="5"/>
      <c r="CQ6" s="1"/>
      <c r="CR6" s="1"/>
      <c r="CS6" s="1"/>
      <c r="CT6" s="1"/>
      <c r="CU6" s="1"/>
    </row>
    <row r="7" spans="1:99" x14ac:dyDescent="0.4">
      <c r="A7" s="33" t="s">
        <v>83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5"/>
      <c r="P7" s="34"/>
      <c r="Q7" s="34"/>
      <c r="R7" s="34"/>
      <c r="S7" s="34"/>
      <c r="T7" s="34"/>
      <c r="U7" s="34"/>
      <c r="V7" s="34"/>
      <c r="W7" s="34"/>
      <c r="X7" s="34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/>
      <c r="AJ7" s="42" t="s">
        <v>84</v>
      </c>
      <c r="AK7" s="42" t="s">
        <v>84</v>
      </c>
      <c r="AL7" s="42" t="s">
        <v>84</v>
      </c>
      <c r="AM7" s="42" t="s">
        <v>84</v>
      </c>
      <c r="AN7" s="42" t="s">
        <v>84</v>
      </c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37"/>
      <c r="AZ7" s="35"/>
      <c r="BA7" s="35"/>
      <c r="BB7" s="37"/>
      <c r="BC7" s="35"/>
      <c r="BD7" s="37"/>
      <c r="BE7" s="35"/>
      <c r="BF7" s="37"/>
      <c r="BG7" s="35"/>
      <c r="BH7" s="37"/>
      <c r="BI7" s="35"/>
      <c r="BJ7" s="42" t="s">
        <v>85</v>
      </c>
      <c r="BK7" s="42" t="s">
        <v>85</v>
      </c>
      <c r="BL7" s="42" t="s">
        <v>85</v>
      </c>
      <c r="BM7" s="42" t="s">
        <v>85</v>
      </c>
      <c r="BN7" s="42" t="s">
        <v>85</v>
      </c>
      <c r="BO7" s="42" t="s">
        <v>85</v>
      </c>
      <c r="BP7" s="42" t="s">
        <v>85</v>
      </c>
      <c r="BQ7" s="42" t="s">
        <v>85</v>
      </c>
      <c r="BR7" s="42" t="s">
        <v>85</v>
      </c>
      <c r="BS7" s="42" t="s">
        <v>85</v>
      </c>
      <c r="BT7" s="42" t="s">
        <v>85</v>
      </c>
      <c r="BU7" s="42" t="s">
        <v>85</v>
      </c>
      <c r="BV7" s="42" t="s">
        <v>85</v>
      </c>
      <c r="BW7" s="42" t="s">
        <v>85</v>
      </c>
      <c r="BX7" s="43"/>
      <c r="BY7" s="43"/>
      <c r="BZ7" s="43"/>
      <c r="CA7" s="43"/>
      <c r="CB7" s="43"/>
      <c r="CC7" s="43"/>
      <c r="CD7" s="43"/>
      <c r="CE7" s="43"/>
      <c r="CF7" s="43"/>
      <c r="CG7" s="34"/>
      <c r="CH7" s="41"/>
      <c r="CI7" s="1"/>
      <c r="CJ7" s="1"/>
      <c r="CK7" s="1"/>
      <c r="CL7" s="1"/>
      <c r="CM7" s="1"/>
      <c r="CN7" s="1"/>
      <c r="CO7" s="1"/>
      <c r="CP7" s="5"/>
      <c r="CQ7" s="1"/>
      <c r="CR7" s="1"/>
      <c r="CS7" s="1"/>
      <c r="CT7" s="1"/>
      <c r="CU7" s="1"/>
    </row>
    <row r="8" spans="1:99" x14ac:dyDescent="0.4">
      <c r="A8" s="33" t="s">
        <v>86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5"/>
      <c r="P8" s="34"/>
      <c r="Q8" s="34"/>
      <c r="R8" s="34"/>
      <c r="S8" s="34"/>
      <c r="T8" s="34"/>
      <c r="U8" s="34"/>
      <c r="V8" s="34"/>
      <c r="W8" s="34"/>
      <c r="X8" s="34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7"/>
      <c r="AJ8" s="44">
        <f>+DATE($F$1,$H$1,1)</f>
        <v>46174</v>
      </c>
      <c r="AK8" s="44">
        <f>+DATE($F$1,$H$1,1)</f>
        <v>46174</v>
      </c>
      <c r="AL8" s="44">
        <f>+DATE($F$1,$H$1,1)</f>
        <v>46174</v>
      </c>
      <c r="AM8" s="44">
        <f>+DATE($F$1,$H$1,1)</f>
        <v>46174</v>
      </c>
      <c r="AN8" s="44">
        <f>+DATE($F$1,$H$1,1)</f>
        <v>46174</v>
      </c>
      <c r="AO8" s="45">
        <v>46177</v>
      </c>
      <c r="AP8" s="45">
        <v>46193</v>
      </c>
      <c r="AQ8" s="45"/>
      <c r="AR8" s="45">
        <v>46023</v>
      </c>
      <c r="AS8" s="44">
        <f>+DATE($F$1,$H$1,1)</f>
        <v>46174</v>
      </c>
      <c r="AT8" s="45">
        <v>46177</v>
      </c>
      <c r="AU8" s="44">
        <f>+DATE($F$1,$H$1,1)</f>
        <v>46174</v>
      </c>
      <c r="AV8" s="44">
        <f>+DATE($F$1,$H$1,1)</f>
        <v>46174</v>
      </c>
      <c r="AW8" s="44">
        <f>+DATE($F$1,$H$1,1)</f>
        <v>46174</v>
      </c>
      <c r="AX8" s="44">
        <f>+DATE($F$1,$H$1,1)</f>
        <v>46174</v>
      </c>
      <c r="AY8" s="37"/>
      <c r="AZ8" s="35"/>
      <c r="BA8" s="35"/>
      <c r="BB8" s="37"/>
      <c r="BC8" s="35"/>
      <c r="BD8" s="37"/>
      <c r="BE8" s="35"/>
      <c r="BF8" s="37"/>
      <c r="BG8" s="35"/>
      <c r="BH8" s="37"/>
      <c r="BI8" s="35"/>
      <c r="BJ8" s="44">
        <f t="shared" ref="BJ8:CA8" si="0">+DATE($F$1,$H$1,1)</f>
        <v>46174</v>
      </c>
      <c r="BK8" s="44">
        <f t="shared" si="0"/>
        <v>46174</v>
      </c>
      <c r="BL8" s="44">
        <f t="shared" si="0"/>
        <v>46174</v>
      </c>
      <c r="BM8" s="44">
        <f t="shared" si="0"/>
        <v>46174</v>
      </c>
      <c r="BN8" s="44">
        <f t="shared" si="0"/>
        <v>46174</v>
      </c>
      <c r="BO8" s="44">
        <f t="shared" si="0"/>
        <v>46174</v>
      </c>
      <c r="BP8" s="44">
        <f t="shared" si="0"/>
        <v>46174</v>
      </c>
      <c r="BQ8" s="44">
        <f t="shared" si="0"/>
        <v>46174</v>
      </c>
      <c r="BR8" s="44">
        <f t="shared" si="0"/>
        <v>46174</v>
      </c>
      <c r="BS8" s="44">
        <f t="shared" si="0"/>
        <v>46174</v>
      </c>
      <c r="BT8" s="44">
        <f t="shared" si="0"/>
        <v>46174</v>
      </c>
      <c r="BU8" s="44">
        <f t="shared" si="0"/>
        <v>46174</v>
      </c>
      <c r="BV8" s="44">
        <f t="shared" si="0"/>
        <v>46174</v>
      </c>
      <c r="BW8" s="44">
        <f t="shared" si="0"/>
        <v>46174</v>
      </c>
      <c r="BX8" s="44">
        <f t="shared" si="0"/>
        <v>46174</v>
      </c>
      <c r="BY8" s="44">
        <f t="shared" si="0"/>
        <v>46174</v>
      </c>
      <c r="BZ8" s="44">
        <f t="shared" si="0"/>
        <v>46174</v>
      </c>
      <c r="CA8" s="44">
        <f t="shared" si="0"/>
        <v>46174</v>
      </c>
      <c r="CB8" s="45"/>
      <c r="CC8" s="45"/>
      <c r="CD8" s="45"/>
      <c r="CE8" s="45"/>
      <c r="CF8" s="45"/>
      <c r="CG8" s="34"/>
      <c r="CH8" s="41"/>
      <c r="CI8" s="1"/>
      <c r="CJ8" s="1"/>
      <c r="CK8" s="1"/>
      <c r="CL8" s="1"/>
      <c r="CM8" s="1"/>
      <c r="CN8" s="1"/>
      <c r="CO8" s="1"/>
      <c r="CP8" s="5"/>
      <c r="CQ8" s="1"/>
      <c r="CR8" s="1"/>
      <c r="CS8" s="1"/>
      <c r="CT8" s="1"/>
      <c r="CU8" s="1"/>
    </row>
    <row r="9" spans="1:99" ht="19.5" thickBot="1" x14ac:dyDescent="0.45">
      <c r="A9" s="46" t="s">
        <v>87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47"/>
      <c r="Q9" s="47"/>
      <c r="R9" s="47"/>
      <c r="S9" s="47"/>
      <c r="T9" s="47"/>
      <c r="U9" s="47"/>
      <c r="V9" s="47"/>
      <c r="W9" s="47"/>
      <c r="X9" s="47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50"/>
      <c r="AJ9" s="51">
        <f t="shared" ref="AJ9:AN9" si="1">+EOMONTH(AJ8,0)</f>
        <v>46203</v>
      </c>
      <c r="AK9" s="51">
        <f t="shared" si="1"/>
        <v>46203</v>
      </c>
      <c r="AL9" s="51">
        <f t="shared" si="1"/>
        <v>46203</v>
      </c>
      <c r="AM9" s="51">
        <f t="shared" si="1"/>
        <v>46203</v>
      </c>
      <c r="AN9" s="51">
        <f t="shared" si="1"/>
        <v>46203</v>
      </c>
      <c r="AO9" s="52">
        <v>46184</v>
      </c>
      <c r="AP9" s="52">
        <v>46199</v>
      </c>
      <c r="AQ9" s="52"/>
      <c r="AR9" s="52">
        <v>46027</v>
      </c>
      <c r="AS9" s="51">
        <f t="shared" ref="AS9:AX9" si="2">+EOMONTH(AS8,0)</f>
        <v>46203</v>
      </c>
      <c r="AT9" s="52">
        <v>46184</v>
      </c>
      <c r="AU9" s="51">
        <f t="shared" si="2"/>
        <v>46203</v>
      </c>
      <c r="AV9" s="51">
        <f t="shared" si="2"/>
        <v>46203</v>
      </c>
      <c r="AW9" s="51">
        <f t="shared" si="2"/>
        <v>46203</v>
      </c>
      <c r="AX9" s="51">
        <f t="shared" si="2"/>
        <v>46203</v>
      </c>
      <c r="AY9" s="50"/>
      <c r="AZ9" s="48"/>
      <c r="BA9" s="48"/>
      <c r="BB9" s="50"/>
      <c r="BC9" s="48"/>
      <c r="BD9" s="50"/>
      <c r="BE9" s="48"/>
      <c r="BF9" s="50"/>
      <c r="BG9" s="48"/>
      <c r="BH9" s="50"/>
      <c r="BI9" s="48"/>
      <c r="BJ9" s="51">
        <f t="shared" ref="BJ9:CA9" si="3">+EOMONTH(BJ8,0)</f>
        <v>46203</v>
      </c>
      <c r="BK9" s="51">
        <f t="shared" si="3"/>
        <v>46203</v>
      </c>
      <c r="BL9" s="51">
        <f t="shared" si="3"/>
        <v>46203</v>
      </c>
      <c r="BM9" s="51">
        <f t="shared" si="3"/>
        <v>46203</v>
      </c>
      <c r="BN9" s="51">
        <f t="shared" si="3"/>
        <v>46203</v>
      </c>
      <c r="BO9" s="51">
        <f t="shared" si="3"/>
        <v>46203</v>
      </c>
      <c r="BP9" s="51">
        <f t="shared" si="3"/>
        <v>46203</v>
      </c>
      <c r="BQ9" s="51">
        <f t="shared" si="3"/>
        <v>46203</v>
      </c>
      <c r="BR9" s="51">
        <f t="shared" si="3"/>
        <v>46203</v>
      </c>
      <c r="BS9" s="51">
        <f t="shared" si="3"/>
        <v>46203</v>
      </c>
      <c r="BT9" s="51">
        <f t="shared" si="3"/>
        <v>46203</v>
      </c>
      <c r="BU9" s="51">
        <f t="shared" si="3"/>
        <v>46203</v>
      </c>
      <c r="BV9" s="51">
        <f t="shared" si="3"/>
        <v>46203</v>
      </c>
      <c r="BW9" s="51">
        <f t="shared" si="3"/>
        <v>46203</v>
      </c>
      <c r="BX9" s="51">
        <f t="shared" si="3"/>
        <v>46203</v>
      </c>
      <c r="BY9" s="51">
        <f t="shared" si="3"/>
        <v>46203</v>
      </c>
      <c r="BZ9" s="51">
        <f t="shared" si="3"/>
        <v>46203</v>
      </c>
      <c r="CA9" s="51">
        <f t="shared" si="3"/>
        <v>46203</v>
      </c>
      <c r="CB9" s="52"/>
      <c r="CC9" s="52"/>
      <c r="CD9" s="52"/>
      <c r="CE9" s="52"/>
      <c r="CF9" s="52"/>
      <c r="CG9" s="47"/>
      <c r="CH9" s="53"/>
      <c r="CI9" s="1"/>
      <c r="CJ9" s="1"/>
      <c r="CK9" s="1"/>
      <c r="CL9" s="1"/>
      <c r="CM9" s="1"/>
      <c r="CN9" s="1"/>
      <c r="CO9" s="1"/>
      <c r="CP9" s="5"/>
      <c r="CQ9" s="1"/>
      <c r="CR9" s="1"/>
      <c r="CS9" s="1"/>
      <c r="CT9" s="1"/>
      <c r="CU9" s="1"/>
    </row>
    <row r="10" spans="1:99" ht="19.5" thickTop="1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9"/>
      <c r="AU10" s="58"/>
      <c r="AV10" s="58"/>
      <c r="AW10" s="58"/>
      <c r="AX10" s="58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9"/>
      <c r="BZ10" s="59"/>
      <c r="CA10" s="59"/>
      <c r="CB10" s="59"/>
      <c r="CC10" s="59"/>
      <c r="CD10" s="59"/>
      <c r="CE10" s="59"/>
      <c r="CF10" s="59"/>
      <c r="CG10" s="57"/>
      <c r="CH10" s="60"/>
      <c r="CI10" s="1"/>
      <c r="CJ10" s="1"/>
      <c r="CK10" s="1"/>
      <c r="CL10" s="1"/>
      <c r="CM10" s="1"/>
      <c r="CN10" s="1"/>
      <c r="CO10" s="1"/>
      <c r="CP10" s="5"/>
      <c r="CQ10" s="1"/>
      <c r="CR10" s="1"/>
      <c r="CS10" s="1"/>
      <c r="CT10" s="1"/>
      <c r="CU10" s="1"/>
    </row>
    <row r="11" spans="1:99" x14ac:dyDescent="0.4">
      <c r="A11" s="61"/>
      <c r="B11" s="62"/>
      <c r="C11" s="62"/>
      <c r="D11" s="62"/>
      <c r="E11" s="63"/>
      <c r="F11" s="62"/>
      <c r="G11" s="62">
        <v>1</v>
      </c>
      <c r="H11" s="64">
        <f t="shared" ref="H11:H624" si="4">+F11*G11</f>
        <v>0</v>
      </c>
      <c r="I11" s="64"/>
      <c r="J11" s="64"/>
      <c r="K11" s="65">
        <f t="shared" ref="K11:K27" si="5">+ROUNDDOWN((H11+I11)/100,0)*100</f>
        <v>0</v>
      </c>
      <c r="L11" s="65">
        <f t="shared" ref="L11:L624" si="6">+ROUNDDOWN((H11+I11)/1.1/100,0)*100</f>
        <v>0</v>
      </c>
      <c r="M11" s="65">
        <f t="shared" ref="M11:M624" si="7">+ROUNDDOWN((H11+I11)/1.1/200,0)*200</f>
        <v>0</v>
      </c>
      <c r="N11" s="65">
        <f t="shared" ref="N11:N624" si="8">+H11+I11+J11</f>
        <v>0</v>
      </c>
      <c r="O11" s="66" t="str">
        <f t="shared" ref="O11:O624" si="9">IF(OR(WEEKDAY($A11,2)=2,WEEKDAY($A11,2)=4),"○","✕")</f>
        <v>✕</v>
      </c>
      <c r="P11" s="67" t="str">
        <f t="shared" ref="P11:P624" si="10">+IF(MOD(TEXT($A11,"DD"),5)=0,"○","✕")</f>
        <v>○</v>
      </c>
      <c r="Q11" s="67" t="str">
        <f t="shared" ref="Q11:Q27" si="11">+IF((TEXT($A11,"DD")+0)=1,"○","✕")</f>
        <v>✕</v>
      </c>
      <c r="R11" s="67" t="str">
        <f t="shared" ref="R11:R624" si="12">+IF((TEXT($A11,"DD")+0)=18,"○","✕")</f>
        <v>✕</v>
      </c>
      <c r="S11" s="68">
        <v>0</v>
      </c>
      <c r="T11" s="69" t="s">
        <v>85</v>
      </c>
      <c r="U11" s="69" t="s">
        <v>85</v>
      </c>
      <c r="V11" s="69" t="s">
        <v>85</v>
      </c>
      <c r="W11" s="69" t="s">
        <v>85</v>
      </c>
      <c r="X11" s="69" t="s">
        <v>84</v>
      </c>
      <c r="Y11" s="69" t="s">
        <v>85</v>
      </c>
      <c r="Z11" s="69" t="s">
        <v>85</v>
      </c>
      <c r="AA11" s="69" t="s">
        <v>85</v>
      </c>
      <c r="AB11" s="69" t="s">
        <v>85</v>
      </c>
      <c r="AC11" s="69" t="s">
        <v>85</v>
      </c>
      <c r="AD11" s="38" t="str">
        <f>+IF(ISERROR(VLOOKUP($B11,AD$10:AD10,1,0)),IF(AND($N11&gt;=1000,$A11&gt;=AO$8,$A11&lt;=AO$9),$B11,""),"")</f>
        <v/>
      </c>
      <c r="AE11" s="38" t="str">
        <f>+IF(ISERROR(VLOOKUP($B11,AE$10:AE10,1,0)),IF(AND($N11&gt;=1000,$A11&gt;=AP$8,$A11&lt;=AP$9),$B11,""),"")</f>
        <v/>
      </c>
      <c r="AF11" s="38" t="str">
        <f>+IF(ISERROR(VLOOKUP($B11,AF$10:AF10,1,0)),IF(AND($N11&gt;=1000,$A11&gt;=AQ$8,$A11&lt;=AQ$9),$B11,""),"")</f>
        <v/>
      </c>
      <c r="AG11" s="38" t="str">
        <f>+IF(ISERROR(VLOOKUP($B11,AG$10:AG10,1,0)),IF(AND($N11&gt;=1000,$A11&gt;=AR$8,$A11&lt;=AR$9),$B11,""),"")</f>
        <v/>
      </c>
      <c r="AH11" s="38"/>
      <c r="AI11" s="70">
        <v>0</v>
      </c>
      <c r="AJ11" s="38">
        <f>IF(AND(AJ$7="○",$A11&gt;=AJ$8,$A11&lt;=AJ$9),IF(SUM(AJ$10:AJ10)-ROUNDDOWN($K11*AJ$5/100,0)&lt;-AJ$6,-AJ$6-SUM(AJ$10:AJ10),-ROUNDDOWN($K11*AJ$5/100,0)),0)</f>
        <v>0</v>
      </c>
      <c r="AK11" s="38">
        <f>IF(AND(AK$7="○",$A11&gt;=AK$8,$A11&lt;=AK$9),IF(SUM(AK$10:AK10)-ROUNDDOWN($L11*AK$5/100,0)&lt;-AK$6,-AK$6-SUM(AK$10:AK10),-ROUNDDOWN($L11*AK$5/100,0)),0)</f>
        <v>0</v>
      </c>
      <c r="AL11" s="38">
        <f>IF(AND(AL$7="○",$A11&gt;=AL$8,$A11&lt;=AL$9),IF(SUM(AL$10:AL10)-ROUNDDOWN($N11*AL$5/100,0)&lt;-AL$6,-AL$6-SUM(AL$10:AL10),-ROUNDDOWN($N11*AL$5/100,0)),0)</f>
        <v>0</v>
      </c>
      <c r="AM11" s="38">
        <f>IF(AND(AM$7="○",$A11&gt;=AM$8,$A11&lt;=AM$9),IF(SUM(AM$10:AM10)-ROUNDDOWN($L11*AM$5/100,0)&lt;-AM$6,-AM$6-SUM(AM$10:AM10),-ROUNDDOWN($L11*AM$5/100,0)),0)</f>
        <v>0</v>
      </c>
      <c r="AN11" s="38">
        <f>IF(AND(AN$7="○",$A11&gt;=AN$8,$A11&lt;=AN$9),IF(SUM(AN$10:AN10)-ROUNDDOWN($M11*AN$5/100,0)&lt;-AN$6,-AN$6-SUM(AN$10:AN10),-ROUNDDOWN($M11*AN$5/100,0)),0)</f>
        <v>0</v>
      </c>
      <c r="AO11" s="38">
        <f>IF(AND($A11&gt;=AO$8,$A11&lt;=AO$9),IF(SUM(AO$10:AO10)-ROUNDDOWN($K11*AO$5/100,0)&lt;-AO$6,-AO$6-SUM(AO$10:AO10),-ROUNDDOWN($K11*AO$5/100,0)),0)</f>
        <v>0</v>
      </c>
      <c r="AP11" s="38">
        <f>IF(AND($A11&gt;=AP$8,$A11&lt;=AP$9),IF(SUM(AP$10:AP10)-ROUNDDOWN($K11*AP$5/100,0)&lt;-AP$6,-AP$6-SUM(AP$10:AP10),-ROUNDDOWN($K11*AP$5/100,0)),0)</f>
        <v>0</v>
      </c>
      <c r="AQ11" s="38">
        <f>IF(AND($A11&gt;=AQ$8,$A11&lt;=AQ$9),IF(SUM(AQ$10:AQ10)-ROUNDDOWN($K11*AQ$5/100,0)&lt;-AQ$6,-AQ$6-SUM(AQ$10:AQ10),-ROUNDDOWN($K11*AQ$5/100,0)),0)</f>
        <v>0</v>
      </c>
      <c r="AR11" s="38">
        <f>IF(AND($A11&gt;=AR$8,$A11&lt;=AR$9),IF(SUM(AR$10:AR10)-ROUNDDOWN($K11*AR$5/100,0)&lt;-AR$6,-AR$6-SUM(AR$10:AR10),-ROUNDDOWN($K11*AR$5/100,0)),0)</f>
        <v>0</v>
      </c>
      <c r="AS11" s="38">
        <f>IF(SUMIFS(AS$10:AS10,$A$10:$A10,$A11)-ROUNDDOWN($K11*$S11/100,0)&lt;-$S11*1000,-$S11*1000-SUMIFS(AS$10:AS10,$A$10:$A10,$A11),-ROUNDDOWN($K11*$S11/100,0))</f>
        <v>0</v>
      </c>
      <c r="AT11" s="38">
        <f>IF(AND(X11="○",$A11&gt;=AT$8,$A11&lt;=AT$9,K11&gt;=3980),IF(SUM(AT$10:AT10)-ROUNDDOWN($K11*AT$5/100,0)&lt;-AT$6,-AT$6-SUM(AT$10:AT10),-ROUNDDOWN($K11*AT$5/100,0)),0)</f>
        <v>0</v>
      </c>
      <c r="AU11" s="38">
        <f>IF(O11="○",IF(SUM(AU$10:AU10)-ROUNDDOWN($K11*AU$5/100,0)&lt;-AU$6,-AU$6-SUM(AU$10:AU10),-ROUNDDOWN($K11*AU$5/100,0)),0)</f>
        <v>0</v>
      </c>
      <c r="AV11" s="38">
        <f>IF(P11="○",IF(SUM(AV$10:AV10)-ROUNDDOWN($K11*AV$5/100,0)&lt;-AV$6,-AV$6-SUM(AV$10:AV10),-ROUNDDOWN($K11*AV$5/100,0)),0)</f>
        <v>0</v>
      </c>
      <c r="AW11" s="38">
        <f>IF(Q11="○",IF(SUM(AW$10:AW10)-ROUNDDOWN($K11*AW$5/100,0)&lt;-AW$6,-AW$6-SUM(AW$10:AW10),-ROUNDDOWN($K11*AW$5/100,0)),0)</f>
        <v>0</v>
      </c>
      <c r="AX11" s="38">
        <f>IF(R11="○",IF(SUM(AX$10:AX10)-ROUNDDOWN($K11*AX$5/100,0)&lt;-AX$6,-AX$6-SUM(AX$10:AX10),-ROUNDDOWN($K11*AX$5/100,0)),0)</f>
        <v>0</v>
      </c>
      <c r="AY11" s="70">
        <v>0</v>
      </c>
      <c r="AZ11" s="65">
        <f t="shared" ref="AZ11:BE11" si="13">-ROUNDDOWN($K11*AY11/100,0)</f>
        <v>0</v>
      </c>
      <c r="BA11" s="65">
        <f t="shared" ref="BA11:BA624" si="14">-ROUNDDOWN($K11*AI11/100,0)</f>
        <v>0</v>
      </c>
      <c r="BB11" s="70"/>
      <c r="BC11" s="65">
        <f t="shared" si="13"/>
        <v>0</v>
      </c>
      <c r="BD11" s="70">
        <v>0</v>
      </c>
      <c r="BE11" s="65">
        <f t="shared" si="13"/>
        <v>0</v>
      </c>
      <c r="BF11" s="70">
        <v>0</v>
      </c>
      <c r="BG11" s="65">
        <f t="shared" ref="BG11:BG624" si="15">-ROUNDDOWN($K11*BF11/100,0)</f>
        <v>0</v>
      </c>
      <c r="BH11" s="70">
        <v>0</v>
      </c>
      <c r="BI11" s="65">
        <f t="shared" ref="BI11:BI624" si="16">-ROUNDDOWN($K11*BH11/100,0)</f>
        <v>0</v>
      </c>
      <c r="BJ11" s="38">
        <f>IF(AND(BJ$7="○",$A11&gt;=BJ$8,$A11&lt;=BJ$9),IF(SUM(BJ$10:BJ10)-ROUNDDOWN($M11*BJ$5/100,0)&lt;-BJ$6,-BJ$6-SUM(BJ$10:BJ10),-ROUNDDOWN($M11*BJ$5/100,0)),0)</f>
        <v>0</v>
      </c>
      <c r="BK11" s="38">
        <f>IF(AND(BK$7="○",$A11&gt;=BK$8,$A11&lt;=BK$9),IF(SUM(BK$10:BK10)-ROUNDDOWN($L11*BK$5/100,0)&lt;-BK$6,-BK$6-SUM(BK$10:BK10),-ROUNDDOWN($L11*BK$5/100,0)),0)</f>
        <v>0</v>
      </c>
      <c r="BL11" s="38">
        <f>IF(AND(BL$7="○",$A11&gt;=BL$8,$A11&lt;=BL$9),IF(SUM(BL$10:BL10)-ROUNDDOWN($L11*BL$5/100,0)&lt;-BL$6,-BL$6-SUM(BL$10:BL10),-ROUNDDOWN($L11*BL$5/100,0)),0)</f>
        <v>0</v>
      </c>
      <c r="BM11" s="38">
        <f>IF(AND(BM$7="○",$A11&gt;=BM$8,$A11&lt;=BM$9),IF(SUM(BM$10:BM10)-ROUNDDOWN($M11*BM$5/100,0)&lt;-BM$6,-BM$6-SUM(BM$10:BM10),-ROUNDDOWN($M11*BM$5/100,0)),0)</f>
        <v>0</v>
      </c>
      <c r="BN11" s="38">
        <f>IF(AND(BN$7="○",$A11&gt;=BN$8,$A11&lt;=BN$9),IF(SUM(BN$10:BN10)-ROUNDDOWN($M11*BN$5/100,0)&lt;-BN$6,-BN$6-SUM(BN$10:BN10),-ROUNDDOWN($M11*BN$5/100,0)),0)</f>
        <v>0</v>
      </c>
      <c r="BO11" s="38">
        <f>IF(AND(BO$7="○",$A11&gt;=BO$8,$A11&lt;=BO$9),IF(SUM(BO$10:BO10)-ROUNDDOWN($M11*BO$5/100,0)&lt;-BO$6,-BO$6-SUM(BO$10:BO10),-ROUNDDOWN($M11*BO$5/100,0)),0)</f>
        <v>0</v>
      </c>
      <c r="BP11" s="38">
        <f>IF(AND(BP$7="○",$A11&gt;=BP$8,$A11&lt;=BP$9),IF(SUM(BP$10:BP10)-ROUNDDOWN($M11*BP$5/100,0)&lt;-BP$6,-BP$6-SUM(BP$10:BP10),-ROUNDDOWN($M11*BP$5/100,0)),0)</f>
        <v>0</v>
      </c>
      <c r="BQ11" s="38">
        <f>IF(AND(BQ$7="○",$A11&gt;=BQ$8,$A11&lt;=BQ$9),IF(SUM(BQ$10:BQ10)-ROUNDDOWN($L11*BQ$5/100,0)&lt;-BQ$6,-BQ$6-SUM(BQ$10:BQ10),-ROUNDDOWN($L11*BQ$5/100,0)),0)</f>
        <v>0</v>
      </c>
      <c r="BR11" s="38">
        <f>IF(AND(BR$7="○",$A11&gt;=BR$8,$A11&lt;=BR$9),IF(SUM(BR$10:BR10)-ROUNDDOWN($M11*BR$5/100,0)&lt;-BR$6,-BR$6-SUM(BR$10:BR10),-ROUNDDOWN($M11*BR$5/100,0)),0)</f>
        <v>0</v>
      </c>
      <c r="BS11" s="38">
        <f>IF(AND(BS$7="○",$A11&gt;=BS$8,$A11&lt;=BS$9),IF(SUM(BS$10:BS10)-ROUNDDOWN($M11*BS$5/100,0)&lt;-BS$6,-BS$6-SUM(BS$10:BS10),-ROUNDDOWN($M11*BS$5/100,0)),0)</f>
        <v>0</v>
      </c>
      <c r="BT11" s="38">
        <f>IF(AND(BT$7="○",$A11&gt;=BT$8,$A11&lt;=BT$9),IF(SUM(BT$10:BT10)-ROUNDDOWN($M11*BT$5/100,0)&lt;-BT$6,-BT$6-SUM(BT$10:BT10),-ROUNDDOWN($M11*BT$5/100,0)),0)</f>
        <v>0</v>
      </c>
      <c r="BU11" s="38">
        <f>IF(AND(BU$7="○",$A11&gt;=BU$8,$A11&lt;=BU$9),IF(SUM(BU$10:BU10)-ROUNDDOWN($M11*BU$5/100,0)&lt;-BU$6,-BU$6-SUM(BU$10:BU10),-ROUNDDOWN($M11*BU$5/100,0)),0)</f>
        <v>0</v>
      </c>
      <c r="BV11" s="38">
        <f>IF(AND(BV$7="○",$A11&gt;=BV$8,$A11&lt;=BV$9),IF(SUM(BV$10:BV10)-ROUNDDOWN($M11*BV$5/100,0)&lt;-BV$6,-BV$6-SUM(BV$10:BV10),-ROUNDDOWN($M11*BV$5/100,0)),0)</f>
        <v>0</v>
      </c>
      <c r="BW11" s="38">
        <f>IF(AND(BW$7="○",$A11&gt;=BW$8,$A11&lt;=BW$9),IF(SUM(BW$10:BW10)-ROUNDDOWN($M11*BW$5/100,0)&lt;-BW$6,-BW$6-SUM(BW$10:BW10),-ROUNDDOWN($M11*BW$5/100,0)),0)</f>
        <v>0</v>
      </c>
      <c r="BX11" s="38">
        <f>IF(AND(T11="○",$A11&gt;=BX$8,$A11&lt;=BX$9),IF(SUM(BX$10:BX10)-ROUNDDOWN($K11*BX$5/100,0)&lt;-BX$6,-BX$6-SUM(BX$10:BX10),-ROUNDDOWN($K11*BX$5/100,0)),0)</f>
        <v>0</v>
      </c>
      <c r="BY11" s="38">
        <f>IF(AND(U11="○",$A11&gt;=BY$8,$A11&lt;=BY$9),IF(SUM(BY$10:BY10)-ROUNDDOWN($K11*BY$5/100,0)&lt;-BY$6,-BY$6-SUM(BY$10:BY10),-ROUNDDOWN($K11*BY$5/100,0)),0)</f>
        <v>0</v>
      </c>
      <c r="BZ11" s="38">
        <f>IF(AND(V11="○",$A11&gt;=BZ$8,$A11&lt;=BZ$9),IF(SUM(BZ$10:BZ10)-ROUNDDOWN($K11*BZ$5/100,0)&lt;-BZ$6,-BZ$6-SUM(BZ$10:BZ10),-ROUNDDOWN($K11*BZ$5/100,0)),0)</f>
        <v>0</v>
      </c>
      <c r="CA11" s="38">
        <f>IF(AND(W11="○",$A11&gt;=CA$8,$A11&lt;=CA$9),IF(SUM(CA$10:CA10)-ROUNDDOWN($K11*CA$5/100,0)&lt;-CA$6,-CA$6-SUM(CA$10:CA10),-ROUNDDOWN($K11*CA$5/100,0)),0)</f>
        <v>0</v>
      </c>
      <c r="CB11" s="38"/>
      <c r="CC11" s="38"/>
      <c r="CD11" s="38"/>
      <c r="CE11" s="38"/>
      <c r="CF11" s="38"/>
      <c r="CG11" s="65">
        <f t="shared" ref="CG11:CG624" si="17">+SUM(AJ11:CF11,BC11,BE11,AZ11,BA11,BG11,BI11)</f>
        <v>0</v>
      </c>
      <c r="CH11" s="71">
        <f t="shared" ref="CH11:CH624" si="18">+CG11+N11</f>
        <v>0</v>
      </c>
      <c r="CI11" s="1">
        <f t="shared" ref="CI11:CI624" si="19">IFERROR(ROUNDDOWN((CH11/G11),0),0)</f>
        <v>0</v>
      </c>
      <c r="CJ11" s="1"/>
      <c r="CK11" s="72"/>
      <c r="CL11" s="72"/>
      <c r="CM11" s="2"/>
      <c r="CN11" s="2"/>
      <c r="CO11" s="73">
        <f t="shared" ref="CO11:CO624" si="20">IFERROR(CN11-CI11,0)</f>
        <v>0</v>
      </c>
      <c r="CP11" s="5">
        <f t="shared" ref="CP11:CP624" si="21">IFERROR(CN11/CI11,0)</f>
        <v>0</v>
      </c>
      <c r="CQ11" s="1"/>
      <c r="CR11" s="1">
        <f t="shared" ref="CR11:CR624" si="22">+CO11*G11</f>
        <v>0</v>
      </c>
      <c r="CS11" s="1"/>
      <c r="CT11" s="1" t="e">
        <f>INDEX([2]マスタ!$A:$A,MATCH(D11,[2]マスタ!$C:$C,0))</f>
        <v>#N/A</v>
      </c>
      <c r="CU11" s="1" t="str">
        <f t="shared" ref="CU11:CU624" ca="1" si="23">IFERROR(TEXT(TODAY(),"yyyymmdd")&amp;"_"&amp;ROUNDDOWN(H11+I11,0)&amp;"-"&amp;ROUNDDOWN(CI11,0),"")</f>
        <v>20260620_0-0</v>
      </c>
    </row>
    <row r="12" spans="1:99" x14ac:dyDescent="0.4">
      <c r="A12" s="61"/>
      <c r="B12" s="62"/>
      <c r="C12" s="62"/>
      <c r="D12" s="62"/>
      <c r="E12" s="74"/>
      <c r="F12" s="62"/>
      <c r="G12" s="62">
        <v>1</v>
      </c>
      <c r="H12" s="64">
        <f t="shared" ref="H12:H27" si="24">+F12*G12</f>
        <v>0</v>
      </c>
      <c r="I12" s="64"/>
      <c r="J12" s="64"/>
      <c r="K12" s="65">
        <f t="shared" si="5"/>
        <v>0</v>
      </c>
      <c r="L12" s="65">
        <f t="shared" ref="L12:L27" si="25">+ROUNDDOWN((H12+I12)/1.1/100,0)*100</f>
        <v>0</v>
      </c>
      <c r="M12" s="65">
        <f t="shared" ref="M12:M27" si="26">+ROUNDDOWN((H12+I12)/1.1/200,0)*200</f>
        <v>0</v>
      </c>
      <c r="N12" s="65">
        <f t="shared" ref="N12:N27" si="27">+H12+I12+J12</f>
        <v>0</v>
      </c>
      <c r="O12" s="66" t="str">
        <f t="shared" si="9"/>
        <v>✕</v>
      </c>
      <c r="P12" s="67" t="str">
        <f t="shared" si="10"/>
        <v>○</v>
      </c>
      <c r="Q12" s="67" t="str">
        <f t="shared" si="11"/>
        <v>✕</v>
      </c>
      <c r="R12" s="67" t="str">
        <f t="shared" si="12"/>
        <v>✕</v>
      </c>
      <c r="S12" s="68">
        <v>0</v>
      </c>
      <c r="T12" s="69" t="s">
        <v>85</v>
      </c>
      <c r="U12" s="69" t="s">
        <v>85</v>
      </c>
      <c r="V12" s="69" t="s">
        <v>85</v>
      </c>
      <c r="W12" s="69" t="s">
        <v>85</v>
      </c>
      <c r="X12" s="69" t="s">
        <v>84</v>
      </c>
      <c r="Y12" s="69" t="s">
        <v>85</v>
      </c>
      <c r="Z12" s="69" t="s">
        <v>85</v>
      </c>
      <c r="AA12" s="69" t="s">
        <v>85</v>
      </c>
      <c r="AB12" s="69" t="s">
        <v>85</v>
      </c>
      <c r="AC12" s="69" t="s">
        <v>85</v>
      </c>
      <c r="AD12" s="38" t="str">
        <f>+IF(ISERROR(VLOOKUP($B12,AD$10:AD11,1,0)),IF(AND($N12&gt;=1000,$A12&gt;=AO$8,$A12&lt;=AO$9),$B12,""),"")</f>
        <v/>
      </c>
      <c r="AE12" s="38" t="str">
        <f>+IF(ISERROR(VLOOKUP($B12,AE$10:AE11,1,0)),IF(AND($N12&gt;=1000,$A12&gt;=AP$8,$A12&lt;=AP$9),$B12,""),"")</f>
        <v/>
      </c>
      <c r="AF12" s="38" t="str">
        <f>+IF(ISERROR(VLOOKUP($B12,AF$10:AF11,1,0)),IF(AND($N12&gt;=1000,$A12&gt;=AQ$8,$A12&lt;=AQ$9),$B12,""),"")</f>
        <v/>
      </c>
      <c r="AG12" s="38" t="str">
        <f>+IF(ISERROR(VLOOKUP($B12,AG$10:AG11,1,0)),IF(AND($N12&gt;=1000,$A12&gt;=AR$8,$A12&lt;=AR$9),$B12,""),"")</f>
        <v/>
      </c>
      <c r="AH12" s="38"/>
      <c r="AI12" s="70">
        <v>0</v>
      </c>
      <c r="AJ12" s="38">
        <f>IF(AND(AJ$7="○",$A12&gt;=AJ$8,$A12&lt;=AJ$9),IF(SUM(AJ$10:AJ11)-ROUNDDOWN($K12*AJ$5/100,0)&lt;-AJ$6,-AJ$6-SUM(AJ$10:AJ11),-ROUNDDOWN($K12*AJ$5/100,0)),0)</f>
        <v>0</v>
      </c>
      <c r="AK12" s="38">
        <f>IF(AND(AK$7="○",$A12&gt;=AK$8,$A12&lt;=AK$9),IF(SUM(AK$10:AK11)-ROUNDDOWN($L12*AK$5/100,0)&lt;-AK$6,-AK$6-SUM(AK$10:AK11),-ROUNDDOWN($L12*AK$5/100,0)),0)</f>
        <v>0</v>
      </c>
      <c r="AL12" s="38">
        <f>IF(AND(AL$7="○",$A12&gt;=AL$8,$A12&lt;=AL$9),IF(SUM(AL$10:AL11)-ROUNDDOWN($N12*AL$5/100,0)&lt;-AL$6,-AL$6-SUM(AL$10:AL11),-ROUNDDOWN($N12*AL$5/100,0)),0)</f>
        <v>0</v>
      </c>
      <c r="AM12" s="38">
        <f>IF(AND(AM$7="○",$A12&gt;=AM$8,$A12&lt;=AM$9),IF(SUM(AM$10:AM11)-ROUNDDOWN($L12*AM$5/100,0)&lt;-AM$6,-AM$6-SUM(AM$10:AM11),-ROUNDDOWN($L12*AM$5/100,0)),0)</f>
        <v>0</v>
      </c>
      <c r="AN12" s="38">
        <f>IF(AND(AN$7="○",$A12&gt;=AN$8,$A12&lt;=AN$9),IF(SUM(AN$10:AN11)-ROUNDDOWN($M12*AN$5/100,0)&lt;-AN$6,-AN$6-SUM(AN$10:AN11),-ROUNDDOWN($M12*AN$5/100,0)),0)</f>
        <v>0</v>
      </c>
      <c r="AO12" s="38">
        <f>IF(AND($A12&gt;=AO$8,$A12&lt;=AO$9),IF(SUM(AO$10:AO11)-ROUNDDOWN($K12*AO$5/100,0)&lt;-AO$6,-AO$6-SUM(AO$10:AO11),-ROUNDDOWN($K12*AO$5/100,0)),0)</f>
        <v>0</v>
      </c>
      <c r="AP12" s="38">
        <f>IF(AND($A12&gt;=AP$8,$A12&lt;=AP$9),IF(SUM(AP$10:AP11)-ROUNDDOWN($K12*AP$5/100,0)&lt;-AP$6,-AP$6-SUM(AP$10:AP11),-ROUNDDOWN($K12*AP$5/100,0)),0)</f>
        <v>0</v>
      </c>
      <c r="AQ12" s="38">
        <f>IF(AND($A12&gt;=AQ$8,$A12&lt;=AQ$9),IF(SUM(AQ$10:AQ11)-ROUNDDOWN($K12*AQ$5/100,0)&lt;-AQ$6,-AQ$6-SUM(AQ$10:AQ11),-ROUNDDOWN($K12*AQ$5/100,0)),0)</f>
        <v>0</v>
      </c>
      <c r="AR12" s="38">
        <f>IF(AND($A12&gt;=AR$8,$A12&lt;=AR$9),IF(SUM(AR$10:AR11)-ROUNDDOWN($K12*AR$5/100,0)&lt;-AR$6,-AR$6-SUM(AR$10:AR11),-ROUNDDOWN($K12*AR$5/100,0)),0)</f>
        <v>0</v>
      </c>
      <c r="AS12" s="38">
        <f>IF(SUMIFS(AS$10:AS11,$A$10:$A11,$A12)-ROUNDDOWN($K12*$S12/100,0)&lt;-$S12*1000,-$S12*1000-SUMIFS(AS$10:AS11,$A$10:$A11,$A12),-ROUNDDOWN($K12*$S12/100,0))</f>
        <v>0</v>
      </c>
      <c r="AT12" s="38">
        <f>IF(AND(X12="○",$A12&gt;=AT$8,$A12&lt;=AT$9,K12&gt;=3980),IF(SUM(AT$10:AT11)-ROUNDDOWN($K12*AT$5/100,0)&lt;-AT$6,-AT$6-SUM(AT$10:AT11),-ROUNDDOWN($K12*AT$5/100,0)),0)</f>
        <v>0</v>
      </c>
      <c r="AU12" s="38">
        <f>IF(O12="○",IF(SUM(AU$10:AU11)-ROUNDDOWN($K12*AU$5/100,0)&lt;-AU$6,-AU$6-SUM(AU$10:AU11),-ROUNDDOWN($K12*AU$5/100,0)),0)</f>
        <v>0</v>
      </c>
      <c r="AV12" s="38">
        <f>IF(P12="○",IF(SUM(AV$10:AV11)-ROUNDDOWN($K12*AV$5/100,0)&lt;-AV$6,-AV$6-SUM(AV$10:AV11),-ROUNDDOWN($K12*AV$5/100,0)),0)</f>
        <v>0</v>
      </c>
      <c r="AW12" s="38">
        <f>IF(Q12="○",IF(SUM(AW$10:AW11)-ROUNDDOWN($K12*AW$5/100,0)&lt;-AW$6,-AW$6-SUM(AW$10:AW11),-ROUNDDOWN($K12*AW$5/100,0)),0)</f>
        <v>0</v>
      </c>
      <c r="AX12" s="38">
        <f>IF(R12="○",IF(SUM(AX$10:AX11)-ROUNDDOWN($K12*AX$5/100,0)&lt;-AX$6,-AX$6-SUM(AX$10:AX11),-ROUNDDOWN($K12*AX$5/100,0)),0)</f>
        <v>0</v>
      </c>
      <c r="AY12" s="70">
        <v>0</v>
      </c>
      <c r="AZ12" s="65">
        <f t="shared" ref="AZ12:AZ27" si="28">-ROUNDDOWN($K12*AY12/100,0)</f>
        <v>0</v>
      </c>
      <c r="BA12" s="65">
        <f t="shared" ref="BA12:BA27" si="29">-ROUNDDOWN($K12*AI12/100,0)</f>
        <v>0</v>
      </c>
      <c r="BB12" s="70"/>
      <c r="BC12" s="65">
        <f t="shared" ref="BC12:BC27" si="30">-ROUNDDOWN($K12*BB12/100,0)</f>
        <v>0</v>
      </c>
      <c r="BD12" s="70">
        <v>0</v>
      </c>
      <c r="BE12" s="65">
        <f t="shared" ref="BE12:BE27" si="31">-ROUNDDOWN($K12*BD12/100,0)</f>
        <v>0</v>
      </c>
      <c r="BF12" s="70">
        <v>0</v>
      </c>
      <c r="BG12" s="65">
        <f t="shared" ref="BG12:BG27" si="32">-ROUNDDOWN($K12*BF12/100,0)</f>
        <v>0</v>
      </c>
      <c r="BH12" s="70">
        <v>0</v>
      </c>
      <c r="BI12" s="65">
        <f t="shared" ref="BI12:BI27" si="33">-ROUNDDOWN($K12*BH12/100,0)</f>
        <v>0</v>
      </c>
      <c r="BJ12" s="38">
        <f>IF(AND(BJ$7="○",$A12&gt;=BJ$8,$A12&lt;=BJ$9),IF(SUM(BJ$10:BJ11)-ROUNDDOWN($M12*BJ$5/100,0)&lt;-BJ$6,-BJ$6-SUM(BJ$10:BJ11),-ROUNDDOWN($M12*BJ$5/100,0)),0)</f>
        <v>0</v>
      </c>
      <c r="BK12" s="38">
        <f>IF(AND(BK$7="○",$A12&gt;=BK$8,$A12&lt;=BK$9),IF(SUM(BK$10:BK11)-ROUNDDOWN($L12*BK$5/100,0)&lt;-BK$6,-BK$6-SUM(BK$10:BK11),-ROUNDDOWN($L12*BK$5/100,0)),0)</f>
        <v>0</v>
      </c>
      <c r="BL12" s="38">
        <f>IF(AND(BL$7="○",$A12&gt;=BL$8,$A12&lt;=BL$9),IF(SUM(BL$10:BL11)-ROUNDDOWN($L12*BL$5/100,0)&lt;-BL$6,-BL$6-SUM(BL$10:BL11),-ROUNDDOWN($L12*BL$5/100,0)),0)</f>
        <v>0</v>
      </c>
      <c r="BM12" s="38">
        <f>IF(AND(BM$7="○",$A12&gt;=BM$8,$A12&lt;=BM$9),IF(SUM(BM$10:BM11)-ROUNDDOWN($M12*BM$5/100,0)&lt;-BM$6,-BM$6-SUM(BM$10:BM11),-ROUNDDOWN($M12*BM$5/100,0)),0)</f>
        <v>0</v>
      </c>
      <c r="BN12" s="38">
        <f>IF(AND(BN$7="○",$A12&gt;=BN$8,$A12&lt;=BN$9),IF(SUM(BN$10:BN11)-ROUNDDOWN($M12*BN$5/100,0)&lt;-BN$6,-BN$6-SUM(BN$10:BN11),-ROUNDDOWN($M12*BN$5/100,0)),0)</f>
        <v>0</v>
      </c>
      <c r="BO12" s="38">
        <f>IF(AND(BO$7="○",$A12&gt;=BO$8,$A12&lt;=BO$9),IF(SUM(BO$10:BO11)-ROUNDDOWN($M12*BO$5/100,0)&lt;-BO$6,-BO$6-SUM(BO$10:BO11),-ROUNDDOWN($M12*BO$5/100,0)),0)</f>
        <v>0</v>
      </c>
      <c r="BP12" s="38">
        <f>IF(AND(BP$7="○",$A12&gt;=BP$8,$A12&lt;=BP$9),IF(SUM(BP$10:BP11)-ROUNDDOWN($M12*BP$5/100,0)&lt;-BP$6,-BP$6-SUM(BP$10:BP11),-ROUNDDOWN($M12*BP$5/100,0)),0)</f>
        <v>0</v>
      </c>
      <c r="BQ12" s="38">
        <f>IF(AND(BQ$7="○",$A12&gt;=BQ$8,$A12&lt;=BQ$9),IF(SUM(BQ$10:BQ11)-ROUNDDOWN($L12*BQ$5/100,0)&lt;-BQ$6,-BQ$6-SUM(BQ$10:BQ11),-ROUNDDOWN($L12*BQ$5/100,0)),0)</f>
        <v>0</v>
      </c>
      <c r="BR12" s="38">
        <f>IF(AND(BR$7="○",$A12&gt;=BR$8,$A12&lt;=BR$9),IF(SUM(BR$10:BR11)-ROUNDDOWN($M12*BR$5/100,0)&lt;-BR$6,-BR$6-SUM(BR$10:BR11),-ROUNDDOWN($M12*BR$5/100,0)),0)</f>
        <v>0</v>
      </c>
      <c r="BS12" s="38">
        <f>IF(AND(BS$7="○",$A12&gt;=BS$8,$A12&lt;=BS$9),IF(SUM(BS$10:BS11)-ROUNDDOWN($M12*BS$5/100,0)&lt;-BS$6,-BS$6-SUM(BS$10:BS11),-ROUNDDOWN($M12*BS$5/100,0)),0)</f>
        <v>0</v>
      </c>
      <c r="BT12" s="38">
        <f>IF(AND(BT$7="○",$A12&gt;=BT$8,$A12&lt;=BT$9),IF(SUM(BT$10:BT11)-ROUNDDOWN($M12*BT$5/100,0)&lt;-BT$6,-BT$6-SUM(BT$10:BT11),-ROUNDDOWN($M12*BT$5/100,0)),0)</f>
        <v>0</v>
      </c>
      <c r="BU12" s="38">
        <f>IF(AND(BU$7="○",$A12&gt;=BU$8,$A12&lt;=BU$9),IF(SUM(BU$10:BU11)-ROUNDDOWN($M12*BU$5/100,0)&lt;-BU$6,-BU$6-SUM(BU$10:BU11),-ROUNDDOWN($M12*BU$5/100,0)),0)</f>
        <v>0</v>
      </c>
      <c r="BV12" s="38">
        <f>IF(AND(BV$7="○",$A12&gt;=BV$8,$A12&lt;=BV$9),IF(SUM(BV$10:BV11)-ROUNDDOWN($M12*BV$5/100,0)&lt;-BV$6,-BV$6-SUM(BV$10:BV11),-ROUNDDOWN($M12*BV$5/100,0)),0)</f>
        <v>0</v>
      </c>
      <c r="BW12" s="38">
        <f>IF(AND(BW$7="○",$A12&gt;=BW$8,$A12&lt;=BW$9),IF(SUM(BW$10:BW11)-ROUNDDOWN($M12*BW$5/100,0)&lt;-BW$6,-BW$6-SUM(BW$10:BW11),-ROUNDDOWN($M12*BW$5/100,0)),0)</f>
        <v>0</v>
      </c>
      <c r="BX12" s="38">
        <f>IF(AND(T12="○",$A12&gt;=BX$8,$A12&lt;=BX$9),IF(SUM(BX$10:BX11)-ROUNDDOWN($K12*BX$5/100,0)&lt;-BX$6,-BX$6-SUM(BX$10:BX11),-ROUNDDOWN($K12*BX$5/100,0)),0)</f>
        <v>0</v>
      </c>
      <c r="BY12" s="38">
        <f>IF(AND(U12="○",$A12&gt;=BY$8,$A12&lt;=BY$9),IF(SUM(BY$10:BY11)-ROUNDDOWN($K12*BY$5/100,0)&lt;-BY$6,-BY$6-SUM(BY$10:BY11),-ROUNDDOWN($K12*BY$5/100,0)),0)</f>
        <v>0</v>
      </c>
      <c r="BZ12" s="38">
        <f>IF(AND(V12="○",$A12&gt;=BZ$8,$A12&lt;=BZ$9),IF(SUM(BZ$10:BZ11)-ROUNDDOWN($K12*BZ$5/100,0)&lt;-BZ$6,-BZ$6-SUM(BZ$10:BZ11),-ROUNDDOWN($K12*BZ$5/100,0)),0)</f>
        <v>0</v>
      </c>
      <c r="CA12" s="38">
        <f>IF(AND(W12="○",$A12&gt;=CA$8,$A12&lt;=CA$9),IF(SUM(CA$10:CA11)-ROUNDDOWN($K12*CA$5/100,0)&lt;-CA$6,-CA$6-SUM(CA$10:CA11),-ROUNDDOWN($K12*CA$5/100,0)),0)</f>
        <v>0</v>
      </c>
      <c r="CB12" s="38"/>
      <c r="CC12" s="38"/>
      <c r="CD12" s="38"/>
      <c r="CE12" s="38"/>
      <c r="CF12" s="38"/>
      <c r="CG12" s="65">
        <f t="shared" ref="CG12:CG27" si="34">+SUM(AJ12:CF12,BC12,BE12,AZ12,BA12,BG12,BI12)</f>
        <v>0</v>
      </c>
      <c r="CH12" s="71">
        <f t="shared" ref="CH12:CH27" si="35">+CG12+N12</f>
        <v>0</v>
      </c>
      <c r="CI12" s="1">
        <f t="shared" ref="CI12:CI27" si="36">IFERROR(ROUNDDOWN((CH12/G12),0),0)</f>
        <v>0</v>
      </c>
      <c r="CJ12" s="1"/>
      <c r="CK12" s="72"/>
      <c r="CL12" s="72"/>
      <c r="CM12" s="2"/>
      <c r="CN12" s="2"/>
      <c r="CO12" s="73">
        <f t="shared" ref="CO12:CO27" si="37">IFERROR(CN12-CI12,0)</f>
        <v>0</v>
      </c>
      <c r="CP12" s="5">
        <f t="shared" ref="CP12:CP27" si="38">IFERROR(CN12/CI12,0)</f>
        <v>0</v>
      </c>
      <c r="CQ12" s="1"/>
      <c r="CR12" s="1">
        <f t="shared" ref="CR12:CR27" si="39">+CO12*G12</f>
        <v>0</v>
      </c>
      <c r="CS12" s="1"/>
      <c r="CT12" s="1" t="e">
        <f>INDEX([2]マスタ!$A:$A,MATCH(D12,[2]マスタ!$C:$C,0))</f>
        <v>#N/A</v>
      </c>
      <c r="CU12" s="1" t="str">
        <f t="shared" ref="CU12:CU27" ca="1" si="40">IFERROR(TEXT(TODAY(),"yyyymmdd")&amp;"_"&amp;ROUNDDOWN(H12+I12,0)&amp;"-"&amp;ROUNDDOWN(CI12,0),"")</f>
        <v>20260620_0-0</v>
      </c>
    </row>
    <row r="13" spans="1:99" x14ac:dyDescent="0.4">
      <c r="A13" s="61"/>
      <c r="B13" s="62"/>
      <c r="C13" s="62"/>
      <c r="D13" s="62"/>
      <c r="E13" s="74"/>
      <c r="F13" s="62"/>
      <c r="G13" s="62">
        <v>1</v>
      </c>
      <c r="H13" s="64">
        <f t="shared" si="24"/>
        <v>0</v>
      </c>
      <c r="I13" s="64"/>
      <c r="J13" s="64"/>
      <c r="K13" s="65">
        <f t="shared" si="5"/>
        <v>0</v>
      </c>
      <c r="L13" s="65">
        <f t="shared" si="25"/>
        <v>0</v>
      </c>
      <c r="M13" s="65">
        <f t="shared" si="26"/>
        <v>0</v>
      </c>
      <c r="N13" s="65">
        <f t="shared" si="27"/>
        <v>0</v>
      </c>
      <c r="O13" s="66" t="str">
        <f t="shared" si="9"/>
        <v>✕</v>
      </c>
      <c r="P13" s="67" t="str">
        <f t="shared" si="10"/>
        <v>○</v>
      </c>
      <c r="Q13" s="67" t="str">
        <f t="shared" si="11"/>
        <v>✕</v>
      </c>
      <c r="R13" s="67" t="str">
        <f t="shared" si="12"/>
        <v>✕</v>
      </c>
      <c r="S13" s="68">
        <v>0</v>
      </c>
      <c r="T13" s="69" t="s">
        <v>85</v>
      </c>
      <c r="U13" s="69" t="s">
        <v>85</v>
      </c>
      <c r="V13" s="69" t="s">
        <v>85</v>
      </c>
      <c r="W13" s="69" t="s">
        <v>85</v>
      </c>
      <c r="X13" s="69" t="s">
        <v>84</v>
      </c>
      <c r="Y13" s="69" t="s">
        <v>85</v>
      </c>
      <c r="Z13" s="69" t="s">
        <v>85</v>
      </c>
      <c r="AA13" s="69" t="s">
        <v>85</v>
      </c>
      <c r="AB13" s="69" t="s">
        <v>85</v>
      </c>
      <c r="AC13" s="69" t="s">
        <v>85</v>
      </c>
      <c r="AD13" s="38" t="str">
        <f>+IF(ISERROR(VLOOKUP($B13,AD$10:AD12,1,0)),IF(AND($N13&gt;=1000,$A13&gt;=AO$8,$A13&lt;=AO$9),$B13,""),"")</f>
        <v/>
      </c>
      <c r="AE13" s="38" t="str">
        <f>+IF(ISERROR(VLOOKUP($B13,AE$10:AE12,1,0)),IF(AND($N13&gt;=1000,$A13&gt;=AP$8,$A13&lt;=AP$9),$B13,""),"")</f>
        <v/>
      </c>
      <c r="AF13" s="38" t="str">
        <f>+IF(ISERROR(VLOOKUP($B13,AF$10:AF12,1,0)),IF(AND($N13&gt;=1000,$A13&gt;=AQ$8,$A13&lt;=AQ$9),$B13,""),"")</f>
        <v/>
      </c>
      <c r="AG13" s="38" t="str">
        <f>+IF(ISERROR(VLOOKUP($B13,AG$10:AG12,1,0)),IF(AND($N13&gt;=1000,$A13&gt;=AR$8,$A13&lt;=AR$9),$B13,""),"")</f>
        <v/>
      </c>
      <c r="AH13" s="38"/>
      <c r="AI13" s="70">
        <v>0</v>
      </c>
      <c r="AJ13" s="38">
        <f>IF(AND(AJ$7="○",$A13&gt;=AJ$8,$A13&lt;=AJ$9),IF(SUM(AJ$10:AJ12)-ROUNDDOWN($K13*AJ$5/100,0)&lt;-AJ$6,-AJ$6-SUM(AJ$10:AJ12),-ROUNDDOWN($K13*AJ$5/100,0)),0)</f>
        <v>0</v>
      </c>
      <c r="AK13" s="38">
        <f>IF(AND(AK$7="○",$A13&gt;=AK$8,$A13&lt;=AK$9),IF(SUM(AK$10:AK12)-ROUNDDOWN($L13*AK$5/100,0)&lt;-AK$6,-AK$6-SUM(AK$10:AK12),-ROUNDDOWN($L13*AK$5/100,0)),0)</f>
        <v>0</v>
      </c>
      <c r="AL13" s="38">
        <f>IF(AND(AL$7="○",$A13&gt;=AL$8,$A13&lt;=AL$9),IF(SUM(AL$10:AL12)-ROUNDDOWN($N13*AL$5/100,0)&lt;-AL$6,-AL$6-SUM(AL$10:AL12),-ROUNDDOWN($N13*AL$5/100,0)),0)</f>
        <v>0</v>
      </c>
      <c r="AM13" s="38">
        <f>IF(AND(AM$7="○",$A13&gt;=AM$8,$A13&lt;=AM$9),IF(SUM(AM$10:AM12)-ROUNDDOWN($L13*AM$5/100,0)&lt;-AM$6,-AM$6-SUM(AM$10:AM12),-ROUNDDOWN($L13*AM$5/100,0)),0)</f>
        <v>0</v>
      </c>
      <c r="AN13" s="38">
        <f>IF(AND(AN$7="○",$A13&gt;=AN$8,$A13&lt;=AN$9),IF(SUM(AN$10:AN12)-ROUNDDOWN($M13*AN$5/100,0)&lt;-AN$6,-AN$6-SUM(AN$10:AN12),-ROUNDDOWN($M13*AN$5/100,0)),0)</f>
        <v>0</v>
      </c>
      <c r="AO13" s="38">
        <f>IF(AND($A13&gt;=AO$8,$A13&lt;=AO$9),IF(SUM(AO$10:AO12)-ROUNDDOWN($K13*AO$5/100,0)&lt;-AO$6,-AO$6-SUM(AO$10:AO12),-ROUNDDOWN($K13*AO$5/100,0)),0)</f>
        <v>0</v>
      </c>
      <c r="AP13" s="38">
        <f>IF(AND($A13&gt;=AP$8,$A13&lt;=AP$9),IF(SUM(AP$10:AP12)-ROUNDDOWN($K13*AP$5/100,0)&lt;-AP$6,-AP$6-SUM(AP$10:AP12),-ROUNDDOWN($K13*AP$5/100,0)),0)</f>
        <v>0</v>
      </c>
      <c r="AQ13" s="38">
        <f>IF(AND($A13&gt;=AQ$8,$A13&lt;=AQ$9),IF(SUM(AQ$10:AQ12)-ROUNDDOWN($K13*AQ$5/100,0)&lt;-AQ$6,-AQ$6-SUM(AQ$10:AQ12),-ROUNDDOWN($K13*AQ$5/100,0)),0)</f>
        <v>0</v>
      </c>
      <c r="AR13" s="38">
        <f>IF(AND($A13&gt;=AR$8,$A13&lt;=AR$9),IF(SUM(AR$10:AR12)-ROUNDDOWN($K13*AR$5/100,0)&lt;-AR$6,-AR$6-SUM(AR$10:AR12),-ROUNDDOWN($K13*AR$5/100,0)),0)</f>
        <v>0</v>
      </c>
      <c r="AS13" s="38">
        <f>IF(SUMIFS(AS$10:AS12,$A$10:$A12,$A13)-ROUNDDOWN($K13*$S13/100,0)&lt;-$S13*1000,-$S13*1000-SUMIFS(AS$10:AS12,$A$10:$A12,$A13),-ROUNDDOWN($K13*$S13/100,0))</f>
        <v>0</v>
      </c>
      <c r="AT13" s="38">
        <f>IF(AND(X13="○",$A13&gt;=AT$8,$A13&lt;=AT$9,K13&gt;=3980),IF(SUM(AT$10:AT12)-ROUNDDOWN($K13*AT$5/100,0)&lt;-AT$6,-AT$6-SUM(AT$10:AT12),-ROUNDDOWN($K13*AT$5/100,0)),0)</f>
        <v>0</v>
      </c>
      <c r="AU13" s="38">
        <f>IF(O13="○",IF(SUM(AU$10:AU12)-ROUNDDOWN($K13*AU$5/100,0)&lt;-AU$6,-AU$6-SUM(AU$10:AU12),-ROUNDDOWN($K13*AU$5/100,0)),0)</f>
        <v>0</v>
      </c>
      <c r="AV13" s="38">
        <f>IF(P13="○",IF(SUM(AV$10:AV12)-ROUNDDOWN($K13*AV$5/100,0)&lt;-AV$6,-AV$6-SUM(AV$10:AV12),-ROUNDDOWN($K13*AV$5/100,0)),0)</f>
        <v>0</v>
      </c>
      <c r="AW13" s="38">
        <f>IF(Q13="○",IF(SUM(AW$10:AW12)-ROUNDDOWN($K13*AW$5/100,0)&lt;-AW$6,-AW$6-SUM(AW$10:AW12),-ROUNDDOWN($K13*AW$5/100,0)),0)</f>
        <v>0</v>
      </c>
      <c r="AX13" s="38">
        <f>IF(R13="○",IF(SUM(AX$10:AX12)-ROUNDDOWN($K13*AX$5/100,0)&lt;-AX$6,-AX$6-SUM(AX$10:AX12),-ROUNDDOWN($K13*AX$5/100,0)),0)</f>
        <v>0</v>
      </c>
      <c r="AY13" s="70">
        <v>0</v>
      </c>
      <c r="AZ13" s="65">
        <f t="shared" si="28"/>
        <v>0</v>
      </c>
      <c r="BA13" s="65">
        <f t="shared" si="29"/>
        <v>0</v>
      </c>
      <c r="BB13" s="70"/>
      <c r="BC13" s="65">
        <f t="shared" si="30"/>
        <v>0</v>
      </c>
      <c r="BD13" s="70">
        <v>0</v>
      </c>
      <c r="BE13" s="65">
        <f t="shared" si="31"/>
        <v>0</v>
      </c>
      <c r="BF13" s="70">
        <v>0</v>
      </c>
      <c r="BG13" s="65">
        <f t="shared" si="32"/>
        <v>0</v>
      </c>
      <c r="BH13" s="70">
        <v>0</v>
      </c>
      <c r="BI13" s="65">
        <f t="shared" si="33"/>
        <v>0</v>
      </c>
      <c r="BJ13" s="38">
        <f>IF(AND(BJ$7="○",$A13&gt;=BJ$8,$A13&lt;=BJ$9),IF(SUM(BJ$10:BJ12)-ROUNDDOWN($M13*BJ$5/100,0)&lt;-BJ$6,-BJ$6-SUM(BJ$10:BJ12),-ROUNDDOWN($M13*BJ$5/100,0)),0)</f>
        <v>0</v>
      </c>
      <c r="BK13" s="38">
        <f>IF(AND(BK$7="○",$A13&gt;=BK$8,$A13&lt;=BK$9),IF(SUM(BK$10:BK12)-ROUNDDOWN($L13*BK$5/100,0)&lt;-BK$6,-BK$6-SUM(BK$10:BK12),-ROUNDDOWN($L13*BK$5/100,0)),0)</f>
        <v>0</v>
      </c>
      <c r="BL13" s="38">
        <f>IF(AND(BL$7="○",$A13&gt;=BL$8,$A13&lt;=BL$9),IF(SUM(BL$10:BL12)-ROUNDDOWN($L13*BL$5/100,0)&lt;-BL$6,-BL$6-SUM(BL$10:BL12),-ROUNDDOWN($L13*BL$5/100,0)),0)</f>
        <v>0</v>
      </c>
      <c r="BM13" s="38">
        <f>IF(AND(BM$7="○",$A13&gt;=BM$8,$A13&lt;=BM$9),IF(SUM(BM$10:BM12)-ROUNDDOWN($M13*BM$5/100,0)&lt;-BM$6,-BM$6-SUM(BM$10:BM12),-ROUNDDOWN($M13*BM$5/100,0)),0)</f>
        <v>0</v>
      </c>
      <c r="BN13" s="38">
        <f>IF(AND(BN$7="○",$A13&gt;=BN$8,$A13&lt;=BN$9),IF(SUM(BN$10:BN12)-ROUNDDOWN($M13*BN$5/100,0)&lt;-BN$6,-BN$6-SUM(BN$10:BN12),-ROUNDDOWN($M13*BN$5/100,0)),0)</f>
        <v>0</v>
      </c>
      <c r="BO13" s="38">
        <f>IF(AND(BO$7="○",$A13&gt;=BO$8,$A13&lt;=BO$9),IF(SUM(BO$10:BO12)-ROUNDDOWN($M13*BO$5/100,0)&lt;-BO$6,-BO$6-SUM(BO$10:BO12),-ROUNDDOWN($M13*BO$5/100,0)),0)</f>
        <v>0</v>
      </c>
      <c r="BP13" s="38">
        <f>IF(AND(BP$7="○",$A13&gt;=BP$8,$A13&lt;=BP$9),IF(SUM(BP$10:BP12)-ROUNDDOWN($M13*BP$5/100,0)&lt;-BP$6,-BP$6-SUM(BP$10:BP12),-ROUNDDOWN($M13*BP$5/100,0)),0)</f>
        <v>0</v>
      </c>
      <c r="BQ13" s="38">
        <f>IF(AND(BQ$7="○",$A13&gt;=BQ$8,$A13&lt;=BQ$9),IF(SUM(BQ$10:BQ12)-ROUNDDOWN($L13*BQ$5/100,0)&lt;-BQ$6,-BQ$6-SUM(BQ$10:BQ12),-ROUNDDOWN($L13*BQ$5/100,0)),0)</f>
        <v>0</v>
      </c>
      <c r="BR13" s="38">
        <f>IF(AND(BR$7="○",$A13&gt;=BR$8,$A13&lt;=BR$9),IF(SUM(BR$10:BR12)-ROUNDDOWN($M13*BR$5/100,0)&lt;-BR$6,-BR$6-SUM(BR$10:BR12),-ROUNDDOWN($M13*BR$5/100,0)),0)</f>
        <v>0</v>
      </c>
      <c r="BS13" s="38">
        <f>IF(AND(BS$7="○",$A13&gt;=BS$8,$A13&lt;=BS$9),IF(SUM(BS$10:BS12)-ROUNDDOWN($M13*BS$5/100,0)&lt;-BS$6,-BS$6-SUM(BS$10:BS12),-ROUNDDOWN($M13*BS$5/100,0)),0)</f>
        <v>0</v>
      </c>
      <c r="BT13" s="38">
        <f>IF(AND(BT$7="○",$A13&gt;=BT$8,$A13&lt;=BT$9),IF(SUM(BT$10:BT12)-ROUNDDOWN($M13*BT$5/100,0)&lt;-BT$6,-BT$6-SUM(BT$10:BT12),-ROUNDDOWN($M13*BT$5/100,0)),0)</f>
        <v>0</v>
      </c>
      <c r="BU13" s="38">
        <f>IF(AND(BU$7="○",$A13&gt;=BU$8,$A13&lt;=BU$9),IF(SUM(BU$10:BU12)-ROUNDDOWN($M13*BU$5/100,0)&lt;-BU$6,-BU$6-SUM(BU$10:BU12),-ROUNDDOWN($M13*BU$5/100,0)),0)</f>
        <v>0</v>
      </c>
      <c r="BV13" s="38">
        <f>IF(AND(BV$7="○",$A13&gt;=BV$8,$A13&lt;=BV$9),IF(SUM(BV$10:BV12)-ROUNDDOWN($M13*BV$5/100,0)&lt;-BV$6,-BV$6-SUM(BV$10:BV12),-ROUNDDOWN($M13*BV$5/100,0)),0)</f>
        <v>0</v>
      </c>
      <c r="BW13" s="38">
        <f>IF(AND(BW$7="○",$A13&gt;=BW$8,$A13&lt;=BW$9),IF(SUM(BW$10:BW12)-ROUNDDOWN($M13*BW$5/100,0)&lt;-BW$6,-BW$6-SUM(BW$10:BW12),-ROUNDDOWN($M13*BW$5/100,0)),0)</f>
        <v>0</v>
      </c>
      <c r="BX13" s="38">
        <f>IF(AND(T13="○",$A13&gt;=BX$8,$A13&lt;=BX$9),IF(SUM(BX$10:BX12)-ROUNDDOWN($K13*BX$5/100,0)&lt;-BX$6,-BX$6-SUM(BX$10:BX12),-ROUNDDOWN($K13*BX$5/100,0)),0)</f>
        <v>0</v>
      </c>
      <c r="BY13" s="38">
        <f>IF(AND(U13="○",$A13&gt;=BY$8,$A13&lt;=BY$9),IF(SUM(BY$10:BY12)-ROUNDDOWN($K13*BY$5/100,0)&lt;-BY$6,-BY$6-SUM(BY$10:BY12),-ROUNDDOWN($K13*BY$5/100,0)),0)</f>
        <v>0</v>
      </c>
      <c r="BZ13" s="38">
        <f>IF(AND(V13="○",$A13&gt;=BZ$8,$A13&lt;=BZ$9),IF(SUM(BZ$10:BZ12)-ROUNDDOWN($K13*BZ$5/100,0)&lt;-BZ$6,-BZ$6-SUM(BZ$10:BZ12),-ROUNDDOWN($K13*BZ$5/100,0)),0)</f>
        <v>0</v>
      </c>
      <c r="CA13" s="38">
        <f>IF(AND(W13="○",$A13&gt;=CA$8,$A13&lt;=CA$9),IF(SUM(CA$10:CA12)-ROUNDDOWN($K13*CA$5/100,0)&lt;-CA$6,-CA$6-SUM(CA$10:CA12),-ROUNDDOWN($K13*CA$5/100,0)),0)</f>
        <v>0</v>
      </c>
      <c r="CB13" s="38"/>
      <c r="CC13" s="38"/>
      <c r="CD13" s="38"/>
      <c r="CE13" s="38"/>
      <c r="CF13" s="38"/>
      <c r="CG13" s="65">
        <f t="shared" si="34"/>
        <v>0</v>
      </c>
      <c r="CH13" s="71">
        <f t="shared" si="35"/>
        <v>0</v>
      </c>
      <c r="CI13" s="1">
        <f t="shared" si="36"/>
        <v>0</v>
      </c>
      <c r="CJ13" s="1"/>
      <c r="CK13" s="72"/>
      <c r="CL13" s="72"/>
      <c r="CM13" s="2"/>
      <c r="CN13" s="2"/>
      <c r="CO13" s="73">
        <f t="shared" si="37"/>
        <v>0</v>
      </c>
      <c r="CP13" s="5">
        <f t="shared" si="38"/>
        <v>0</v>
      </c>
      <c r="CQ13" s="1"/>
      <c r="CR13" s="1">
        <f t="shared" si="39"/>
        <v>0</v>
      </c>
      <c r="CS13" s="1"/>
      <c r="CT13" s="1" t="e">
        <f>INDEX([2]マスタ!$A:$A,MATCH(D13,[2]マスタ!$C:$C,0))</f>
        <v>#N/A</v>
      </c>
      <c r="CU13" s="1" t="str">
        <f t="shared" ca="1" si="40"/>
        <v>20260620_0-0</v>
      </c>
    </row>
    <row r="14" spans="1:99" x14ac:dyDescent="0.4">
      <c r="A14" s="61"/>
      <c r="B14" s="62"/>
      <c r="C14" s="62"/>
      <c r="D14" s="62"/>
      <c r="E14" s="74"/>
      <c r="F14" s="62"/>
      <c r="G14" s="62">
        <v>1</v>
      </c>
      <c r="H14" s="64">
        <f t="shared" si="24"/>
        <v>0</v>
      </c>
      <c r="I14" s="64"/>
      <c r="J14" s="64"/>
      <c r="K14" s="65">
        <f t="shared" si="5"/>
        <v>0</v>
      </c>
      <c r="L14" s="65">
        <f t="shared" si="25"/>
        <v>0</v>
      </c>
      <c r="M14" s="65">
        <f t="shared" si="26"/>
        <v>0</v>
      </c>
      <c r="N14" s="65">
        <f t="shared" si="27"/>
        <v>0</v>
      </c>
      <c r="O14" s="66" t="str">
        <f t="shared" si="9"/>
        <v>✕</v>
      </c>
      <c r="P14" s="67" t="str">
        <f t="shared" si="10"/>
        <v>○</v>
      </c>
      <c r="Q14" s="67" t="str">
        <f t="shared" si="11"/>
        <v>✕</v>
      </c>
      <c r="R14" s="67" t="str">
        <f t="shared" si="12"/>
        <v>✕</v>
      </c>
      <c r="S14" s="68">
        <v>0</v>
      </c>
      <c r="T14" s="69" t="s">
        <v>85</v>
      </c>
      <c r="U14" s="69" t="s">
        <v>85</v>
      </c>
      <c r="V14" s="69" t="s">
        <v>85</v>
      </c>
      <c r="W14" s="69" t="s">
        <v>85</v>
      </c>
      <c r="X14" s="69" t="s">
        <v>84</v>
      </c>
      <c r="Y14" s="69" t="s">
        <v>85</v>
      </c>
      <c r="Z14" s="69" t="s">
        <v>85</v>
      </c>
      <c r="AA14" s="69" t="s">
        <v>85</v>
      </c>
      <c r="AB14" s="69" t="s">
        <v>85</v>
      </c>
      <c r="AC14" s="69" t="s">
        <v>85</v>
      </c>
      <c r="AD14" s="38" t="str">
        <f>+IF(ISERROR(VLOOKUP($B14,AD$10:AD13,1,0)),IF(AND($N14&gt;=1000,$A14&gt;=AO$8,$A14&lt;=AO$9),$B14,""),"")</f>
        <v/>
      </c>
      <c r="AE14" s="38" t="str">
        <f>+IF(ISERROR(VLOOKUP($B14,AE$10:AE13,1,0)),IF(AND($N14&gt;=1000,$A14&gt;=AP$8,$A14&lt;=AP$9),$B14,""),"")</f>
        <v/>
      </c>
      <c r="AF14" s="38" t="str">
        <f>+IF(ISERROR(VLOOKUP($B14,AF$10:AF13,1,0)),IF(AND($N14&gt;=1000,$A14&gt;=AQ$8,$A14&lt;=AQ$9),$B14,""),"")</f>
        <v/>
      </c>
      <c r="AG14" s="38" t="str">
        <f>+IF(ISERROR(VLOOKUP($B14,AG$10:AG13,1,0)),IF(AND($N14&gt;=1000,$A14&gt;=AR$8,$A14&lt;=AR$9),$B14,""),"")</f>
        <v/>
      </c>
      <c r="AH14" s="38"/>
      <c r="AI14" s="70">
        <v>0</v>
      </c>
      <c r="AJ14" s="38">
        <f>IF(AND(AJ$7="○",$A14&gt;=AJ$8,$A14&lt;=AJ$9),IF(SUM(AJ$10:AJ13)-ROUNDDOWN($K14*AJ$5/100,0)&lt;-AJ$6,-AJ$6-SUM(AJ$10:AJ13),-ROUNDDOWN($K14*AJ$5/100,0)),0)</f>
        <v>0</v>
      </c>
      <c r="AK14" s="38">
        <f>IF(AND(AK$7="○",$A14&gt;=AK$8,$A14&lt;=AK$9),IF(SUM(AK$10:AK13)-ROUNDDOWN($L14*AK$5/100,0)&lt;-AK$6,-AK$6-SUM(AK$10:AK13),-ROUNDDOWN($L14*AK$5/100,0)),0)</f>
        <v>0</v>
      </c>
      <c r="AL14" s="38">
        <f>IF(AND(AL$7="○",$A14&gt;=AL$8,$A14&lt;=AL$9),IF(SUM(AL$10:AL13)-ROUNDDOWN($N14*AL$5/100,0)&lt;-AL$6,-AL$6-SUM(AL$10:AL13),-ROUNDDOWN($N14*AL$5/100,0)),0)</f>
        <v>0</v>
      </c>
      <c r="AM14" s="38">
        <f>IF(AND(AM$7="○",$A14&gt;=AM$8,$A14&lt;=AM$9),IF(SUM(AM$10:AM13)-ROUNDDOWN($L14*AM$5/100,0)&lt;-AM$6,-AM$6-SUM(AM$10:AM13),-ROUNDDOWN($L14*AM$5/100,0)),0)</f>
        <v>0</v>
      </c>
      <c r="AN14" s="38">
        <f>IF(AND(AN$7="○",$A14&gt;=AN$8,$A14&lt;=AN$9),IF(SUM(AN$10:AN13)-ROUNDDOWN($M14*AN$5/100,0)&lt;-AN$6,-AN$6-SUM(AN$10:AN13),-ROUNDDOWN($M14*AN$5/100,0)),0)</f>
        <v>0</v>
      </c>
      <c r="AO14" s="38">
        <f>IF(AND($A14&gt;=AO$8,$A14&lt;=AO$9),IF(SUM(AO$10:AO13)-ROUNDDOWN($K14*AO$5/100,0)&lt;-AO$6,-AO$6-SUM(AO$10:AO13),-ROUNDDOWN($K14*AO$5/100,0)),0)</f>
        <v>0</v>
      </c>
      <c r="AP14" s="38">
        <f>IF(AND($A14&gt;=AP$8,$A14&lt;=AP$9),IF(SUM(AP$10:AP13)-ROUNDDOWN($K14*AP$5/100,0)&lt;-AP$6,-AP$6-SUM(AP$10:AP13),-ROUNDDOWN($K14*AP$5/100,0)),0)</f>
        <v>0</v>
      </c>
      <c r="AQ14" s="38">
        <f>IF(AND($A14&gt;=AQ$8,$A14&lt;=AQ$9),IF(SUM(AQ$10:AQ13)-ROUNDDOWN($K14*AQ$5/100,0)&lt;-AQ$6,-AQ$6-SUM(AQ$10:AQ13),-ROUNDDOWN($K14*AQ$5/100,0)),0)</f>
        <v>0</v>
      </c>
      <c r="AR14" s="38">
        <f>IF(AND($A14&gt;=AR$8,$A14&lt;=AR$9),IF(SUM(AR$10:AR13)-ROUNDDOWN($K14*AR$5/100,0)&lt;-AR$6,-AR$6-SUM(AR$10:AR13),-ROUNDDOWN($K14*AR$5/100,0)),0)</f>
        <v>0</v>
      </c>
      <c r="AS14" s="38">
        <f>IF(SUMIFS(AS$10:AS13,$A$10:$A13,$A14)-ROUNDDOWN($K14*$S14/100,0)&lt;-$S14*1000,-$S14*1000-SUMIFS(AS$10:AS13,$A$10:$A13,$A14),-ROUNDDOWN($K14*$S14/100,0))</f>
        <v>0</v>
      </c>
      <c r="AT14" s="38">
        <f>IF(AND(X14="○",$A14&gt;=AT$8,$A14&lt;=AT$9,K14&gt;=3980),IF(SUM(AT$10:AT13)-ROUNDDOWN($K14*AT$5/100,0)&lt;-AT$6,-AT$6-SUM(AT$10:AT13),-ROUNDDOWN($K14*AT$5/100,0)),0)</f>
        <v>0</v>
      </c>
      <c r="AU14" s="38">
        <f>IF(O14="○",IF(SUM(AU$10:AU13)-ROUNDDOWN($K14*AU$5/100,0)&lt;-AU$6,-AU$6-SUM(AU$10:AU13),-ROUNDDOWN($K14*AU$5/100,0)),0)</f>
        <v>0</v>
      </c>
      <c r="AV14" s="38">
        <f>IF(P14="○",IF(SUM(AV$10:AV13)-ROUNDDOWN($K14*AV$5/100,0)&lt;-AV$6,-AV$6-SUM(AV$10:AV13),-ROUNDDOWN($K14*AV$5/100,0)),0)</f>
        <v>0</v>
      </c>
      <c r="AW14" s="38">
        <f>IF(Q14="○",IF(SUM(AW$10:AW13)-ROUNDDOWN($K14*AW$5/100,0)&lt;-AW$6,-AW$6-SUM(AW$10:AW13),-ROUNDDOWN($K14*AW$5/100,0)),0)</f>
        <v>0</v>
      </c>
      <c r="AX14" s="38">
        <f>IF(R14="○",IF(SUM(AX$10:AX13)-ROUNDDOWN($K14*AX$5/100,0)&lt;-AX$6,-AX$6-SUM(AX$10:AX13),-ROUNDDOWN($K14*AX$5/100,0)),0)</f>
        <v>0</v>
      </c>
      <c r="AY14" s="70">
        <v>0</v>
      </c>
      <c r="AZ14" s="65">
        <f t="shared" si="28"/>
        <v>0</v>
      </c>
      <c r="BA14" s="65">
        <f t="shared" si="29"/>
        <v>0</v>
      </c>
      <c r="BB14" s="70"/>
      <c r="BC14" s="65">
        <f t="shared" si="30"/>
        <v>0</v>
      </c>
      <c r="BD14" s="70">
        <v>0</v>
      </c>
      <c r="BE14" s="65">
        <f t="shared" si="31"/>
        <v>0</v>
      </c>
      <c r="BF14" s="70">
        <v>0</v>
      </c>
      <c r="BG14" s="65">
        <f t="shared" si="32"/>
        <v>0</v>
      </c>
      <c r="BH14" s="70">
        <v>0</v>
      </c>
      <c r="BI14" s="65">
        <f t="shared" si="33"/>
        <v>0</v>
      </c>
      <c r="BJ14" s="38">
        <f>IF(AND(BJ$7="○",$A14&gt;=BJ$8,$A14&lt;=BJ$9),IF(SUM(BJ$10:BJ13)-ROUNDDOWN($M14*BJ$5/100,0)&lt;-BJ$6,-BJ$6-SUM(BJ$10:BJ13),-ROUNDDOWN($M14*BJ$5/100,0)),0)</f>
        <v>0</v>
      </c>
      <c r="BK14" s="38">
        <f>IF(AND(BK$7="○",$A14&gt;=BK$8,$A14&lt;=BK$9),IF(SUM(BK$10:BK13)-ROUNDDOWN($L14*BK$5/100,0)&lt;-BK$6,-BK$6-SUM(BK$10:BK13),-ROUNDDOWN($L14*BK$5/100,0)),0)</f>
        <v>0</v>
      </c>
      <c r="BL14" s="38">
        <f>IF(AND(BL$7="○",$A14&gt;=BL$8,$A14&lt;=BL$9),IF(SUM(BL$10:BL13)-ROUNDDOWN($L14*BL$5/100,0)&lt;-BL$6,-BL$6-SUM(BL$10:BL13),-ROUNDDOWN($L14*BL$5/100,0)),0)</f>
        <v>0</v>
      </c>
      <c r="BM14" s="38">
        <f>IF(AND(BM$7="○",$A14&gt;=BM$8,$A14&lt;=BM$9),IF(SUM(BM$10:BM13)-ROUNDDOWN($M14*BM$5/100,0)&lt;-BM$6,-BM$6-SUM(BM$10:BM13),-ROUNDDOWN($M14*BM$5/100,0)),0)</f>
        <v>0</v>
      </c>
      <c r="BN14" s="38">
        <f>IF(AND(BN$7="○",$A14&gt;=BN$8,$A14&lt;=BN$9),IF(SUM(BN$10:BN13)-ROUNDDOWN($M14*BN$5/100,0)&lt;-BN$6,-BN$6-SUM(BN$10:BN13),-ROUNDDOWN($M14*BN$5/100,0)),0)</f>
        <v>0</v>
      </c>
      <c r="BO14" s="38">
        <f>IF(AND(BO$7="○",$A14&gt;=BO$8,$A14&lt;=BO$9),IF(SUM(BO$10:BO13)-ROUNDDOWN($M14*BO$5/100,0)&lt;-BO$6,-BO$6-SUM(BO$10:BO13),-ROUNDDOWN($M14*BO$5/100,0)),0)</f>
        <v>0</v>
      </c>
      <c r="BP14" s="38">
        <f>IF(AND(BP$7="○",$A14&gt;=BP$8,$A14&lt;=BP$9),IF(SUM(BP$10:BP13)-ROUNDDOWN($M14*BP$5/100,0)&lt;-BP$6,-BP$6-SUM(BP$10:BP13),-ROUNDDOWN($M14*BP$5/100,0)),0)</f>
        <v>0</v>
      </c>
      <c r="BQ14" s="38">
        <f>IF(AND(BQ$7="○",$A14&gt;=BQ$8,$A14&lt;=BQ$9),IF(SUM(BQ$10:BQ13)-ROUNDDOWN($L14*BQ$5/100,0)&lt;-BQ$6,-BQ$6-SUM(BQ$10:BQ13),-ROUNDDOWN($L14*BQ$5/100,0)),0)</f>
        <v>0</v>
      </c>
      <c r="BR14" s="38">
        <f>IF(AND(BR$7="○",$A14&gt;=BR$8,$A14&lt;=BR$9),IF(SUM(BR$10:BR13)-ROUNDDOWN($M14*BR$5/100,0)&lt;-BR$6,-BR$6-SUM(BR$10:BR13),-ROUNDDOWN($M14*BR$5/100,0)),0)</f>
        <v>0</v>
      </c>
      <c r="BS14" s="38">
        <f>IF(AND(BS$7="○",$A14&gt;=BS$8,$A14&lt;=BS$9),IF(SUM(BS$10:BS13)-ROUNDDOWN($M14*BS$5/100,0)&lt;-BS$6,-BS$6-SUM(BS$10:BS13),-ROUNDDOWN($M14*BS$5/100,0)),0)</f>
        <v>0</v>
      </c>
      <c r="BT14" s="38">
        <f>IF(AND(BT$7="○",$A14&gt;=BT$8,$A14&lt;=BT$9),IF(SUM(BT$10:BT13)-ROUNDDOWN($M14*BT$5/100,0)&lt;-BT$6,-BT$6-SUM(BT$10:BT13),-ROUNDDOWN($M14*BT$5/100,0)),0)</f>
        <v>0</v>
      </c>
      <c r="BU14" s="38">
        <f>IF(AND(BU$7="○",$A14&gt;=BU$8,$A14&lt;=BU$9),IF(SUM(BU$10:BU13)-ROUNDDOWN($M14*BU$5/100,0)&lt;-BU$6,-BU$6-SUM(BU$10:BU13),-ROUNDDOWN($M14*BU$5/100,0)),0)</f>
        <v>0</v>
      </c>
      <c r="BV14" s="38">
        <f>IF(AND(BV$7="○",$A14&gt;=BV$8,$A14&lt;=BV$9),IF(SUM(BV$10:BV13)-ROUNDDOWN($M14*BV$5/100,0)&lt;-BV$6,-BV$6-SUM(BV$10:BV13),-ROUNDDOWN($M14*BV$5/100,0)),0)</f>
        <v>0</v>
      </c>
      <c r="BW14" s="38">
        <f>IF(AND(BW$7="○",$A14&gt;=BW$8,$A14&lt;=BW$9),IF(SUM(BW$10:BW13)-ROUNDDOWN($M14*BW$5/100,0)&lt;-BW$6,-BW$6-SUM(BW$10:BW13),-ROUNDDOWN($M14*BW$5/100,0)),0)</f>
        <v>0</v>
      </c>
      <c r="BX14" s="38">
        <f>IF(AND(T14="○",$A14&gt;=BX$8,$A14&lt;=BX$9),IF(SUM(BX$10:BX13)-ROUNDDOWN($K14*BX$5/100,0)&lt;-BX$6,-BX$6-SUM(BX$10:BX13),-ROUNDDOWN($K14*BX$5/100,0)),0)</f>
        <v>0</v>
      </c>
      <c r="BY14" s="38">
        <f>IF(AND(U14="○",$A14&gt;=BY$8,$A14&lt;=BY$9),IF(SUM(BY$10:BY13)-ROUNDDOWN($K14*BY$5/100,0)&lt;-BY$6,-BY$6-SUM(BY$10:BY13),-ROUNDDOWN($K14*BY$5/100,0)),0)</f>
        <v>0</v>
      </c>
      <c r="BZ14" s="38">
        <f>IF(AND(V14="○",$A14&gt;=BZ$8,$A14&lt;=BZ$9),IF(SUM(BZ$10:BZ13)-ROUNDDOWN($K14*BZ$5/100,0)&lt;-BZ$6,-BZ$6-SUM(BZ$10:BZ13),-ROUNDDOWN($K14*BZ$5/100,0)),0)</f>
        <v>0</v>
      </c>
      <c r="CA14" s="38">
        <f>IF(AND(W14="○",$A14&gt;=CA$8,$A14&lt;=CA$9),IF(SUM(CA$10:CA13)-ROUNDDOWN($K14*CA$5/100,0)&lt;-CA$6,-CA$6-SUM(CA$10:CA13),-ROUNDDOWN($K14*CA$5/100,0)),0)</f>
        <v>0</v>
      </c>
      <c r="CB14" s="38"/>
      <c r="CC14" s="38"/>
      <c r="CD14" s="38"/>
      <c r="CE14" s="38"/>
      <c r="CF14" s="38"/>
      <c r="CG14" s="65">
        <f t="shared" si="34"/>
        <v>0</v>
      </c>
      <c r="CH14" s="71">
        <f t="shared" si="35"/>
        <v>0</v>
      </c>
      <c r="CI14" s="1">
        <f t="shared" si="36"/>
        <v>0</v>
      </c>
      <c r="CJ14" s="1"/>
      <c r="CK14" s="72"/>
      <c r="CL14" s="72"/>
      <c r="CM14" s="2"/>
      <c r="CN14" s="2"/>
      <c r="CO14" s="73">
        <f t="shared" si="37"/>
        <v>0</v>
      </c>
      <c r="CP14" s="5">
        <f t="shared" si="38"/>
        <v>0</v>
      </c>
      <c r="CQ14" s="1"/>
      <c r="CR14" s="1">
        <f t="shared" si="39"/>
        <v>0</v>
      </c>
      <c r="CS14" s="1"/>
      <c r="CT14" s="1" t="e">
        <f>INDEX([2]マスタ!$A:$A,MATCH(D14,[2]マスタ!$C:$C,0))</f>
        <v>#N/A</v>
      </c>
      <c r="CU14" s="1" t="str">
        <f t="shared" ca="1" si="40"/>
        <v>20260620_0-0</v>
      </c>
    </row>
    <row r="15" spans="1:99" x14ac:dyDescent="0.4">
      <c r="A15" s="61"/>
      <c r="B15" s="62"/>
      <c r="C15" s="62"/>
      <c r="D15" s="62"/>
      <c r="E15" s="74"/>
      <c r="F15" s="62"/>
      <c r="G15" s="62">
        <v>1</v>
      </c>
      <c r="H15" s="64">
        <f t="shared" si="24"/>
        <v>0</v>
      </c>
      <c r="I15" s="64"/>
      <c r="J15" s="64"/>
      <c r="K15" s="65">
        <f t="shared" si="5"/>
        <v>0</v>
      </c>
      <c r="L15" s="65">
        <f t="shared" si="25"/>
        <v>0</v>
      </c>
      <c r="M15" s="65">
        <f t="shared" si="26"/>
        <v>0</v>
      </c>
      <c r="N15" s="65">
        <f t="shared" si="27"/>
        <v>0</v>
      </c>
      <c r="O15" s="66" t="str">
        <f t="shared" si="9"/>
        <v>✕</v>
      </c>
      <c r="P15" s="67" t="str">
        <f t="shared" si="10"/>
        <v>○</v>
      </c>
      <c r="Q15" s="67" t="str">
        <f t="shared" si="11"/>
        <v>✕</v>
      </c>
      <c r="R15" s="67" t="str">
        <f t="shared" si="12"/>
        <v>✕</v>
      </c>
      <c r="S15" s="68">
        <v>0</v>
      </c>
      <c r="T15" s="69" t="s">
        <v>85</v>
      </c>
      <c r="U15" s="69" t="s">
        <v>85</v>
      </c>
      <c r="V15" s="69" t="s">
        <v>85</v>
      </c>
      <c r="W15" s="69" t="s">
        <v>85</v>
      </c>
      <c r="X15" s="69" t="s">
        <v>84</v>
      </c>
      <c r="Y15" s="69" t="s">
        <v>85</v>
      </c>
      <c r="Z15" s="69" t="s">
        <v>85</v>
      </c>
      <c r="AA15" s="69" t="s">
        <v>85</v>
      </c>
      <c r="AB15" s="69" t="s">
        <v>85</v>
      </c>
      <c r="AC15" s="69" t="s">
        <v>85</v>
      </c>
      <c r="AD15" s="38" t="str">
        <f>+IF(ISERROR(VLOOKUP($B15,AD$10:AD14,1,0)),IF(AND($N15&gt;=1000,$A15&gt;=AO$8,$A15&lt;=AO$9),$B15,""),"")</f>
        <v/>
      </c>
      <c r="AE15" s="38" t="str">
        <f>+IF(ISERROR(VLOOKUP($B15,AE$10:AE14,1,0)),IF(AND($N15&gt;=1000,$A15&gt;=AP$8,$A15&lt;=AP$9),$B15,""),"")</f>
        <v/>
      </c>
      <c r="AF15" s="38" t="str">
        <f>+IF(ISERROR(VLOOKUP($B15,AF$10:AF14,1,0)),IF(AND($N15&gt;=1000,$A15&gt;=AQ$8,$A15&lt;=AQ$9),$B15,""),"")</f>
        <v/>
      </c>
      <c r="AG15" s="38" t="str">
        <f>+IF(ISERROR(VLOOKUP($B15,AG$10:AG14,1,0)),IF(AND($N15&gt;=1000,$A15&gt;=AR$8,$A15&lt;=AR$9),$B15,""),"")</f>
        <v/>
      </c>
      <c r="AH15" s="38"/>
      <c r="AI15" s="70">
        <v>0</v>
      </c>
      <c r="AJ15" s="38">
        <f>IF(AND(AJ$7="○",$A15&gt;=AJ$8,$A15&lt;=AJ$9),IF(SUM(AJ$10:AJ14)-ROUNDDOWN($K15*AJ$5/100,0)&lt;-AJ$6,-AJ$6-SUM(AJ$10:AJ14),-ROUNDDOWN($K15*AJ$5/100,0)),0)</f>
        <v>0</v>
      </c>
      <c r="AK15" s="38">
        <f>IF(AND(AK$7="○",$A15&gt;=AK$8,$A15&lt;=AK$9),IF(SUM(AK$10:AK14)-ROUNDDOWN($L15*AK$5/100,0)&lt;-AK$6,-AK$6-SUM(AK$10:AK14),-ROUNDDOWN($L15*AK$5/100,0)),0)</f>
        <v>0</v>
      </c>
      <c r="AL15" s="38">
        <f>IF(AND(AL$7="○",$A15&gt;=AL$8,$A15&lt;=AL$9),IF(SUM(AL$10:AL14)-ROUNDDOWN($N15*AL$5/100,0)&lt;-AL$6,-AL$6-SUM(AL$10:AL14),-ROUNDDOWN($N15*AL$5/100,0)),0)</f>
        <v>0</v>
      </c>
      <c r="AM15" s="38">
        <f>IF(AND(AM$7="○",$A15&gt;=AM$8,$A15&lt;=AM$9),IF(SUM(AM$10:AM14)-ROUNDDOWN($L15*AM$5/100,0)&lt;-AM$6,-AM$6-SUM(AM$10:AM14),-ROUNDDOWN($L15*AM$5/100,0)),0)</f>
        <v>0</v>
      </c>
      <c r="AN15" s="38">
        <f>IF(AND(AN$7="○",$A15&gt;=AN$8,$A15&lt;=AN$9),IF(SUM(AN$10:AN14)-ROUNDDOWN($M15*AN$5/100,0)&lt;-AN$6,-AN$6-SUM(AN$10:AN14),-ROUNDDOWN($M15*AN$5/100,0)),0)</f>
        <v>0</v>
      </c>
      <c r="AO15" s="38">
        <f>IF(AND($A15&gt;=AO$8,$A15&lt;=AO$9),IF(SUM(AO$10:AO14)-ROUNDDOWN($K15*AO$5/100,0)&lt;-AO$6,-AO$6-SUM(AO$10:AO14),-ROUNDDOWN($K15*AO$5/100,0)),0)</f>
        <v>0</v>
      </c>
      <c r="AP15" s="38">
        <f>IF(AND($A15&gt;=AP$8,$A15&lt;=AP$9),IF(SUM(AP$10:AP14)-ROUNDDOWN($K15*AP$5/100,0)&lt;-AP$6,-AP$6-SUM(AP$10:AP14),-ROUNDDOWN($K15*AP$5/100,0)),0)</f>
        <v>0</v>
      </c>
      <c r="AQ15" s="38">
        <f>IF(AND($A15&gt;=AQ$8,$A15&lt;=AQ$9),IF(SUM(AQ$10:AQ14)-ROUNDDOWN($K15*AQ$5/100,0)&lt;-AQ$6,-AQ$6-SUM(AQ$10:AQ14),-ROUNDDOWN($K15*AQ$5/100,0)),0)</f>
        <v>0</v>
      </c>
      <c r="AR15" s="38">
        <f>IF(AND($A15&gt;=AR$8,$A15&lt;=AR$9),IF(SUM(AR$10:AR14)-ROUNDDOWN($K15*AR$5/100,0)&lt;-AR$6,-AR$6-SUM(AR$10:AR14),-ROUNDDOWN($K15*AR$5/100,0)),0)</f>
        <v>0</v>
      </c>
      <c r="AS15" s="38">
        <f>IF(SUMIFS(AS$10:AS14,$A$10:$A14,$A15)-ROUNDDOWN($K15*$S15/100,0)&lt;-$S15*1000,-$S15*1000-SUMIFS(AS$10:AS14,$A$10:$A14,$A15),-ROUNDDOWN($K15*$S15/100,0))</f>
        <v>0</v>
      </c>
      <c r="AT15" s="38">
        <f>IF(AND(X15="○",$A15&gt;=AT$8,$A15&lt;=AT$9,K15&gt;=3980),IF(SUM(AT$10:AT14)-ROUNDDOWN($K15*AT$5/100,0)&lt;-AT$6,-AT$6-SUM(AT$10:AT14),-ROUNDDOWN($K15*AT$5/100,0)),0)</f>
        <v>0</v>
      </c>
      <c r="AU15" s="38">
        <f>IF(O15="○",IF(SUM(AU$10:AU14)-ROUNDDOWN($K15*AU$5/100,0)&lt;-AU$6,-AU$6-SUM(AU$10:AU14),-ROUNDDOWN($K15*AU$5/100,0)),0)</f>
        <v>0</v>
      </c>
      <c r="AV15" s="38">
        <f>IF(P15="○",IF(SUM(AV$10:AV14)-ROUNDDOWN($K15*AV$5/100,0)&lt;-AV$6,-AV$6-SUM(AV$10:AV14),-ROUNDDOWN($K15*AV$5/100,0)),0)</f>
        <v>0</v>
      </c>
      <c r="AW15" s="38">
        <f>IF(Q15="○",IF(SUM(AW$10:AW14)-ROUNDDOWN($K15*AW$5/100,0)&lt;-AW$6,-AW$6-SUM(AW$10:AW14),-ROUNDDOWN($K15*AW$5/100,0)),0)</f>
        <v>0</v>
      </c>
      <c r="AX15" s="38">
        <f>IF(R15="○",IF(SUM(AX$10:AX14)-ROUNDDOWN($K15*AX$5/100,0)&lt;-AX$6,-AX$6-SUM(AX$10:AX14),-ROUNDDOWN($K15*AX$5/100,0)),0)</f>
        <v>0</v>
      </c>
      <c r="AY15" s="70">
        <v>0</v>
      </c>
      <c r="AZ15" s="65">
        <f t="shared" si="28"/>
        <v>0</v>
      </c>
      <c r="BA15" s="65">
        <f t="shared" si="29"/>
        <v>0</v>
      </c>
      <c r="BB15" s="70"/>
      <c r="BC15" s="65">
        <f t="shared" si="30"/>
        <v>0</v>
      </c>
      <c r="BD15" s="70">
        <v>0</v>
      </c>
      <c r="BE15" s="65">
        <f t="shared" si="31"/>
        <v>0</v>
      </c>
      <c r="BF15" s="70">
        <v>0</v>
      </c>
      <c r="BG15" s="65">
        <f t="shared" si="32"/>
        <v>0</v>
      </c>
      <c r="BH15" s="70">
        <v>0</v>
      </c>
      <c r="BI15" s="65">
        <f t="shared" si="33"/>
        <v>0</v>
      </c>
      <c r="BJ15" s="38">
        <f>IF(AND(BJ$7="○",$A15&gt;=BJ$8,$A15&lt;=BJ$9),IF(SUM(BJ$10:BJ14)-ROUNDDOWN($M15*BJ$5/100,0)&lt;-BJ$6,-BJ$6-SUM(BJ$10:BJ14),-ROUNDDOWN($M15*BJ$5/100,0)),0)</f>
        <v>0</v>
      </c>
      <c r="BK15" s="38">
        <f>IF(AND(BK$7="○",$A15&gt;=BK$8,$A15&lt;=BK$9),IF(SUM(BK$10:BK14)-ROUNDDOWN($L15*BK$5/100,0)&lt;-BK$6,-BK$6-SUM(BK$10:BK14),-ROUNDDOWN($L15*BK$5/100,0)),0)</f>
        <v>0</v>
      </c>
      <c r="BL15" s="38">
        <f>IF(AND(BL$7="○",$A15&gt;=BL$8,$A15&lt;=BL$9),IF(SUM(BL$10:BL14)-ROUNDDOWN($L15*BL$5/100,0)&lt;-BL$6,-BL$6-SUM(BL$10:BL14),-ROUNDDOWN($L15*BL$5/100,0)),0)</f>
        <v>0</v>
      </c>
      <c r="BM15" s="38">
        <f>IF(AND(BM$7="○",$A15&gt;=BM$8,$A15&lt;=BM$9),IF(SUM(BM$10:BM14)-ROUNDDOWN($M15*BM$5/100,0)&lt;-BM$6,-BM$6-SUM(BM$10:BM14),-ROUNDDOWN($M15*BM$5/100,0)),0)</f>
        <v>0</v>
      </c>
      <c r="BN15" s="38">
        <f>IF(AND(BN$7="○",$A15&gt;=BN$8,$A15&lt;=BN$9),IF(SUM(BN$10:BN14)-ROUNDDOWN($M15*BN$5/100,0)&lt;-BN$6,-BN$6-SUM(BN$10:BN14),-ROUNDDOWN($M15*BN$5/100,0)),0)</f>
        <v>0</v>
      </c>
      <c r="BO15" s="38">
        <f>IF(AND(BO$7="○",$A15&gt;=BO$8,$A15&lt;=BO$9),IF(SUM(BO$10:BO14)-ROUNDDOWN($M15*BO$5/100,0)&lt;-BO$6,-BO$6-SUM(BO$10:BO14),-ROUNDDOWN($M15*BO$5/100,0)),0)</f>
        <v>0</v>
      </c>
      <c r="BP15" s="38">
        <f>IF(AND(BP$7="○",$A15&gt;=BP$8,$A15&lt;=BP$9),IF(SUM(BP$10:BP14)-ROUNDDOWN($M15*BP$5/100,0)&lt;-BP$6,-BP$6-SUM(BP$10:BP14),-ROUNDDOWN($M15*BP$5/100,0)),0)</f>
        <v>0</v>
      </c>
      <c r="BQ15" s="38">
        <f>IF(AND(BQ$7="○",$A15&gt;=BQ$8,$A15&lt;=BQ$9),IF(SUM(BQ$10:BQ14)-ROUNDDOWN($L15*BQ$5/100,0)&lt;-BQ$6,-BQ$6-SUM(BQ$10:BQ14),-ROUNDDOWN($L15*BQ$5/100,0)),0)</f>
        <v>0</v>
      </c>
      <c r="BR15" s="38">
        <f>IF(AND(BR$7="○",$A15&gt;=BR$8,$A15&lt;=BR$9),IF(SUM(BR$10:BR14)-ROUNDDOWN($M15*BR$5/100,0)&lt;-BR$6,-BR$6-SUM(BR$10:BR14),-ROUNDDOWN($M15*BR$5/100,0)),0)</f>
        <v>0</v>
      </c>
      <c r="BS15" s="38">
        <f>IF(AND(BS$7="○",$A15&gt;=BS$8,$A15&lt;=BS$9),IF(SUM(BS$10:BS14)-ROUNDDOWN($M15*BS$5/100,0)&lt;-BS$6,-BS$6-SUM(BS$10:BS14),-ROUNDDOWN($M15*BS$5/100,0)),0)</f>
        <v>0</v>
      </c>
      <c r="BT15" s="38">
        <f>IF(AND(BT$7="○",$A15&gt;=BT$8,$A15&lt;=BT$9),IF(SUM(BT$10:BT14)-ROUNDDOWN($M15*BT$5/100,0)&lt;-BT$6,-BT$6-SUM(BT$10:BT14),-ROUNDDOWN($M15*BT$5/100,0)),0)</f>
        <v>0</v>
      </c>
      <c r="BU15" s="38">
        <f>IF(AND(BU$7="○",$A15&gt;=BU$8,$A15&lt;=BU$9),IF(SUM(BU$10:BU14)-ROUNDDOWN($M15*BU$5/100,0)&lt;-BU$6,-BU$6-SUM(BU$10:BU14),-ROUNDDOWN($M15*BU$5/100,0)),0)</f>
        <v>0</v>
      </c>
      <c r="BV15" s="38">
        <f>IF(AND(BV$7="○",$A15&gt;=BV$8,$A15&lt;=BV$9),IF(SUM(BV$10:BV14)-ROUNDDOWN($M15*BV$5/100,0)&lt;-BV$6,-BV$6-SUM(BV$10:BV14),-ROUNDDOWN($M15*BV$5/100,0)),0)</f>
        <v>0</v>
      </c>
      <c r="BW15" s="38">
        <f>IF(AND(BW$7="○",$A15&gt;=BW$8,$A15&lt;=BW$9),IF(SUM(BW$10:BW14)-ROUNDDOWN($M15*BW$5/100,0)&lt;-BW$6,-BW$6-SUM(BW$10:BW14),-ROUNDDOWN($M15*BW$5/100,0)),0)</f>
        <v>0</v>
      </c>
      <c r="BX15" s="38">
        <f>IF(AND(T15="○",$A15&gt;=BX$8,$A15&lt;=BX$9),IF(SUM(BX$10:BX14)-ROUNDDOWN($K15*BX$5/100,0)&lt;-BX$6,-BX$6-SUM(BX$10:BX14),-ROUNDDOWN($K15*BX$5/100,0)),0)</f>
        <v>0</v>
      </c>
      <c r="BY15" s="38">
        <f>IF(AND(U15="○",$A15&gt;=BY$8,$A15&lt;=BY$9),IF(SUM(BY$10:BY14)-ROUNDDOWN($K15*BY$5/100,0)&lt;-BY$6,-BY$6-SUM(BY$10:BY14),-ROUNDDOWN($K15*BY$5/100,0)),0)</f>
        <v>0</v>
      </c>
      <c r="BZ15" s="38">
        <f>IF(AND(V15="○",$A15&gt;=BZ$8,$A15&lt;=BZ$9),IF(SUM(BZ$10:BZ14)-ROUNDDOWN($K15*BZ$5/100,0)&lt;-BZ$6,-BZ$6-SUM(BZ$10:BZ14),-ROUNDDOWN($K15*BZ$5/100,0)),0)</f>
        <v>0</v>
      </c>
      <c r="CA15" s="38">
        <f>IF(AND(W15="○",$A15&gt;=CA$8,$A15&lt;=CA$9),IF(SUM(CA$10:CA14)-ROUNDDOWN($K15*CA$5/100,0)&lt;-CA$6,-CA$6-SUM(CA$10:CA14),-ROUNDDOWN($K15*CA$5/100,0)),0)</f>
        <v>0</v>
      </c>
      <c r="CB15" s="38"/>
      <c r="CC15" s="38"/>
      <c r="CD15" s="38"/>
      <c r="CE15" s="38"/>
      <c r="CF15" s="38"/>
      <c r="CG15" s="65">
        <f t="shared" si="34"/>
        <v>0</v>
      </c>
      <c r="CH15" s="71">
        <f t="shared" si="35"/>
        <v>0</v>
      </c>
      <c r="CI15" s="1">
        <f t="shared" si="36"/>
        <v>0</v>
      </c>
      <c r="CJ15" s="1"/>
      <c r="CK15" s="72"/>
      <c r="CL15" s="72"/>
      <c r="CM15" s="2"/>
      <c r="CN15" s="2"/>
      <c r="CO15" s="73">
        <f t="shared" si="37"/>
        <v>0</v>
      </c>
      <c r="CP15" s="5">
        <f t="shared" si="38"/>
        <v>0</v>
      </c>
      <c r="CQ15" s="1"/>
      <c r="CR15" s="1">
        <f t="shared" si="39"/>
        <v>0</v>
      </c>
      <c r="CS15" s="1"/>
      <c r="CT15" s="1" t="e">
        <f>INDEX([2]マスタ!$A:$A,MATCH(D15,[2]マスタ!$C:$C,0))</f>
        <v>#N/A</v>
      </c>
      <c r="CU15" s="1" t="str">
        <f t="shared" ca="1" si="40"/>
        <v>20260620_0-0</v>
      </c>
    </row>
    <row r="16" spans="1:99" x14ac:dyDescent="0.4">
      <c r="A16" s="61"/>
      <c r="B16" s="62"/>
      <c r="C16" s="62"/>
      <c r="D16" s="62"/>
      <c r="E16" s="74"/>
      <c r="F16" s="62"/>
      <c r="G16" s="62">
        <v>1</v>
      </c>
      <c r="H16" s="64">
        <f t="shared" si="24"/>
        <v>0</v>
      </c>
      <c r="I16" s="64"/>
      <c r="J16" s="64"/>
      <c r="K16" s="65">
        <f t="shared" si="5"/>
        <v>0</v>
      </c>
      <c r="L16" s="65">
        <f t="shared" si="25"/>
        <v>0</v>
      </c>
      <c r="M16" s="65">
        <f t="shared" si="26"/>
        <v>0</v>
      </c>
      <c r="N16" s="65">
        <f t="shared" si="27"/>
        <v>0</v>
      </c>
      <c r="O16" s="66" t="str">
        <f t="shared" si="9"/>
        <v>✕</v>
      </c>
      <c r="P16" s="67" t="str">
        <f t="shared" si="10"/>
        <v>○</v>
      </c>
      <c r="Q16" s="67" t="str">
        <f t="shared" si="11"/>
        <v>✕</v>
      </c>
      <c r="R16" s="67" t="str">
        <f t="shared" si="12"/>
        <v>✕</v>
      </c>
      <c r="S16" s="68">
        <v>0</v>
      </c>
      <c r="T16" s="69" t="s">
        <v>85</v>
      </c>
      <c r="U16" s="69" t="s">
        <v>85</v>
      </c>
      <c r="V16" s="69" t="s">
        <v>85</v>
      </c>
      <c r="W16" s="69" t="s">
        <v>85</v>
      </c>
      <c r="X16" s="69" t="s">
        <v>84</v>
      </c>
      <c r="Y16" s="69" t="s">
        <v>85</v>
      </c>
      <c r="Z16" s="69" t="s">
        <v>85</v>
      </c>
      <c r="AA16" s="69" t="s">
        <v>85</v>
      </c>
      <c r="AB16" s="69" t="s">
        <v>85</v>
      </c>
      <c r="AC16" s="69" t="s">
        <v>85</v>
      </c>
      <c r="AD16" s="38" t="str">
        <f>+IF(ISERROR(VLOOKUP($B16,AD$10:AD15,1,0)),IF(AND($N16&gt;=1000,$A16&gt;=AO$8,$A16&lt;=AO$9),$B16,""),"")</f>
        <v/>
      </c>
      <c r="AE16" s="38" t="str">
        <f>+IF(ISERROR(VLOOKUP($B16,AE$10:AE15,1,0)),IF(AND($N16&gt;=1000,$A16&gt;=AP$8,$A16&lt;=AP$9),$B16,""),"")</f>
        <v/>
      </c>
      <c r="AF16" s="38" t="str">
        <f>+IF(ISERROR(VLOOKUP($B16,AF$10:AF15,1,0)),IF(AND($N16&gt;=1000,$A16&gt;=AQ$8,$A16&lt;=AQ$9),$B16,""),"")</f>
        <v/>
      </c>
      <c r="AG16" s="38" t="str">
        <f>+IF(ISERROR(VLOOKUP($B16,AG$10:AG15,1,0)),IF(AND($N16&gt;=1000,$A16&gt;=AR$8,$A16&lt;=AR$9),$B16,""),"")</f>
        <v/>
      </c>
      <c r="AH16" s="38"/>
      <c r="AI16" s="70">
        <v>0</v>
      </c>
      <c r="AJ16" s="38">
        <f>IF(AND(AJ$7="○",$A16&gt;=AJ$8,$A16&lt;=AJ$9),IF(SUM(AJ$10:AJ15)-ROUNDDOWN($K16*AJ$5/100,0)&lt;-AJ$6,-AJ$6-SUM(AJ$10:AJ15),-ROUNDDOWN($K16*AJ$5/100,0)),0)</f>
        <v>0</v>
      </c>
      <c r="AK16" s="38">
        <f>IF(AND(AK$7="○",$A16&gt;=AK$8,$A16&lt;=AK$9),IF(SUM(AK$10:AK15)-ROUNDDOWN($L16*AK$5/100,0)&lt;-AK$6,-AK$6-SUM(AK$10:AK15),-ROUNDDOWN($L16*AK$5/100,0)),0)</f>
        <v>0</v>
      </c>
      <c r="AL16" s="38">
        <f>IF(AND(AL$7="○",$A16&gt;=AL$8,$A16&lt;=AL$9),IF(SUM(AL$10:AL15)-ROUNDDOWN($N16*AL$5/100,0)&lt;-AL$6,-AL$6-SUM(AL$10:AL15),-ROUNDDOWN($N16*AL$5/100,0)),0)</f>
        <v>0</v>
      </c>
      <c r="AM16" s="38">
        <f>IF(AND(AM$7="○",$A16&gt;=AM$8,$A16&lt;=AM$9),IF(SUM(AM$10:AM15)-ROUNDDOWN($L16*AM$5/100,0)&lt;-AM$6,-AM$6-SUM(AM$10:AM15),-ROUNDDOWN($L16*AM$5/100,0)),0)</f>
        <v>0</v>
      </c>
      <c r="AN16" s="38">
        <f>IF(AND(AN$7="○",$A16&gt;=AN$8,$A16&lt;=AN$9),IF(SUM(AN$10:AN15)-ROUNDDOWN($M16*AN$5/100,0)&lt;-AN$6,-AN$6-SUM(AN$10:AN15),-ROUNDDOWN($M16*AN$5/100,0)),0)</f>
        <v>0</v>
      </c>
      <c r="AO16" s="38">
        <f>IF(AND($A16&gt;=AO$8,$A16&lt;=AO$9),IF(SUM(AO$10:AO15)-ROUNDDOWN($K16*AO$5/100,0)&lt;-AO$6,-AO$6-SUM(AO$10:AO15),-ROUNDDOWN($K16*AO$5/100,0)),0)</f>
        <v>0</v>
      </c>
      <c r="AP16" s="38">
        <f>IF(AND($A16&gt;=AP$8,$A16&lt;=AP$9),IF(SUM(AP$10:AP15)-ROUNDDOWN($K16*AP$5/100,0)&lt;-AP$6,-AP$6-SUM(AP$10:AP15),-ROUNDDOWN($K16*AP$5/100,0)),0)</f>
        <v>0</v>
      </c>
      <c r="AQ16" s="38">
        <f>IF(AND($A16&gt;=AQ$8,$A16&lt;=AQ$9),IF(SUM(AQ$10:AQ15)-ROUNDDOWN($K16*AQ$5/100,0)&lt;-AQ$6,-AQ$6-SUM(AQ$10:AQ15),-ROUNDDOWN($K16*AQ$5/100,0)),0)</f>
        <v>0</v>
      </c>
      <c r="AR16" s="38">
        <f>IF(AND($A16&gt;=AR$8,$A16&lt;=AR$9),IF(SUM(AR$10:AR15)-ROUNDDOWN($K16*AR$5/100,0)&lt;-AR$6,-AR$6-SUM(AR$10:AR15),-ROUNDDOWN($K16*AR$5/100,0)),0)</f>
        <v>0</v>
      </c>
      <c r="AS16" s="38">
        <f>IF(SUMIFS(AS$10:AS15,$A$10:$A15,$A16)-ROUNDDOWN($K16*$S16/100,0)&lt;-$S16*1000,-$S16*1000-SUMIFS(AS$10:AS15,$A$10:$A15,$A16),-ROUNDDOWN($K16*$S16/100,0))</f>
        <v>0</v>
      </c>
      <c r="AT16" s="38">
        <f>IF(AND(X16="○",$A16&gt;=AT$8,$A16&lt;=AT$9,K16&gt;=3980),IF(SUM(AT$10:AT15)-ROUNDDOWN($K16*AT$5/100,0)&lt;-AT$6,-AT$6-SUM(AT$10:AT15),-ROUNDDOWN($K16*AT$5/100,0)),0)</f>
        <v>0</v>
      </c>
      <c r="AU16" s="38">
        <f>IF(O16="○",IF(SUM(AU$10:AU15)-ROUNDDOWN($K16*AU$5/100,0)&lt;-AU$6,-AU$6-SUM(AU$10:AU15),-ROUNDDOWN($K16*AU$5/100,0)),0)</f>
        <v>0</v>
      </c>
      <c r="AV16" s="38">
        <f>IF(P16="○",IF(SUM(AV$10:AV15)-ROUNDDOWN($K16*AV$5/100,0)&lt;-AV$6,-AV$6-SUM(AV$10:AV15),-ROUNDDOWN($K16*AV$5/100,0)),0)</f>
        <v>0</v>
      </c>
      <c r="AW16" s="38">
        <f>IF(Q16="○",IF(SUM(AW$10:AW15)-ROUNDDOWN($K16*AW$5/100,0)&lt;-AW$6,-AW$6-SUM(AW$10:AW15),-ROUNDDOWN($K16*AW$5/100,0)),0)</f>
        <v>0</v>
      </c>
      <c r="AX16" s="38">
        <f>IF(R16="○",IF(SUM(AX$10:AX15)-ROUNDDOWN($K16*AX$5/100,0)&lt;-AX$6,-AX$6-SUM(AX$10:AX15),-ROUNDDOWN($K16*AX$5/100,0)),0)</f>
        <v>0</v>
      </c>
      <c r="AY16" s="70">
        <v>0</v>
      </c>
      <c r="AZ16" s="65">
        <f t="shared" si="28"/>
        <v>0</v>
      </c>
      <c r="BA16" s="65">
        <f t="shared" si="29"/>
        <v>0</v>
      </c>
      <c r="BB16" s="70"/>
      <c r="BC16" s="65">
        <f t="shared" si="30"/>
        <v>0</v>
      </c>
      <c r="BD16" s="70">
        <v>0</v>
      </c>
      <c r="BE16" s="65">
        <f t="shared" si="31"/>
        <v>0</v>
      </c>
      <c r="BF16" s="70">
        <v>0</v>
      </c>
      <c r="BG16" s="65">
        <f t="shared" si="32"/>
        <v>0</v>
      </c>
      <c r="BH16" s="70">
        <v>0</v>
      </c>
      <c r="BI16" s="65">
        <f t="shared" si="33"/>
        <v>0</v>
      </c>
      <c r="BJ16" s="38">
        <f>IF(AND(BJ$7="○",$A16&gt;=BJ$8,$A16&lt;=BJ$9),IF(SUM(BJ$10:BJ15)-ROUNDDOWN($M16*BJ$5/100,0)&lt;-BJ$6,-BJ$6-SUM(BJ$10:BJ15),-ROUNDDOWN($M16*BJ$5/100,0)),0)</f>
        <v>0</v>
      </c>
      <c r="BK16" s="38">
        <f>IF(AND(BK$7="○",$A16&gt;=BK$8,$A16&lt;=BK$9),IF(SUM(BK$10:BK15)-ROUNDDOWN($L16*BK$5/100,0)&lt;-BK$6,-BK$6-SUM(BK$10:BK15),-ROUNDDOWN($L16*BK$5/100,0)),0)</f>
        <v>0</v>
      </c>
      <c r="BL16" s="38">
        <f>IF(AND(BL$7="○",$A16&gt;=BL$8,$A16&lt;=BL$9),IF(SUM(BL$10:BL15)-ROUNDDOWN($L16*BL$5/100,0)&lt;-BL$6,-BL$6-SUM(BL$10:BL15),-ROUNDDOWN($L16*BL$5/100,0)),0)</f>
        <v>0</v>
      </c>
      <c r="BM16" s="38">
        <f>IF(AND(BM$7="○",$A16&gt;=BM$8,$A16&lt;=BM$9),IF(SUM(BM$10:BM15)-ROUNDDOWN($M16*BM$5/100,0)&lt;-BM$6,-BM$6-SUM(BM$10:BM15),-ROUNDDOWN($M16*BM$5/100,0)),0)</f>
        <v>0</v>
      </c>
      <c r="BN16" s="38">
        <f>IF(AND(BN$7="○",$A16&gt;=BN$8,$A16&lt;=BN$9),IF(SUM(BN$10:BN15)-ROUNDDOWN($M16*BN$5/100,0)&lt;-BN$6,-BN$6-SUM(BN$10:BN15),-ROUNDDOWN($M16*BN$5/100,0)),0)</f>
        <v>0</v>
      </c>
      <c r="BO16" s="38">
        <f>IF(AND(BO$7="○",$A16&gt;=BO$8,$A16&lt;=BO$9),IF(SUM(BO$10:BO15)-ROUNDDOWN($M16*BO$5/100,0)&lt;-BO$6,-BO$6-SUM(BO$10:BO15),-ROUNDDOWN($M16*BO$5/100,0)),0)</f>
        <v>0</v>
      </c>
      <c r="BP16" s="38">
        <f>IF(AND(BP$7="○",$A16&gt;=BP$8,$A16&lt;=BP$9),IF(SUM(BP$10:BP15)-ROUNDDOWN($M16*BP$5/100,0)&lt;-BP$6,-BP$6-SUM(BP$10:BP15),-ROUNDDOWN($M16*BP$5/100,0)),0)</f>
        <v>0</v>
      </c>
      <c r="BQ16" s="38">
        <f>IF(AND(BQ$7="○",$A16&gt;=BQ$8,$A16&lt;=BQ$9),IF(SUM(BQ$10:BQ15)-ROUNDDOWN($L16*BQ$5/100,0)&lt;-BQ$6,-BQ$6-SUM(BQ$10:BQ15),-ROUNDDOWN($L16*BQ$5/100,0)),0)</f>
        <v>0</v>
      </c>
      <c r="BR16" s="38">
        <f>IF(AND(BR$7="○",$A16&gt;=BR$8,$A16&lt;=BR$9),IF(SUM(BR$10:BR15)-ROUNDDOWN($M16*BR$5/100,0)&lt;-BR$6,-BR$6-SUM(BR$10:BR15),-ROUNDDOWN($M16*BR$5/100,0)),0)</f>
        <v>0</v>
      </c>
      <c r="BS16" s="38">
        <f>IF(AND(BS$7="○",$A16&gt;=BS$8,$A16&lt;=BS$9),IF(SUM(BS$10:BS15)-ROUNDDOWN($M16*BS$5/100,0)&lt;-BS$6,-BS$6-SUM(BS$10:BS15),-ROUNDDOWN($M16*BS$5/100,0)),0)</f>
        <v>0</v>
      </c>
      <c r="BT16" s="38">
        <f>IF(AND(BT$7="○",$A16&gt;=BT$8,$A16&lt;=BT$9),IF(SUM(BT$10:BT15)-ROUNDDOWN($M16*BT$5/100,0)&lt;-BT$6,-BT$6-SUM(BT$10:BT15),-ROUNDDOWN($M16*BT$5/100,0)),0)</f>
        <v>0</v>
      </c>
      <c r="BU16" s="38">
        <f>IF(AND(BU$7="○",$A16&gt;=BU$8,$A16&lt;=BU$9),IF(SUM(BU$10:BU15)-ROUNDDOWN($M16*BU$5/100,0)&lt;-BU$6,-BU$6-SUM(BU$10:BU15),-ROUNDDOWN($M16*BU$5/100,0)),0)</f>
        <v>0</v>
      </c>
      <c r="BV16" s="38">
        <f>IF(AND(BV$7="○",$A16&gt;=BV$8,$A16&lt;=BV$9),IF(SUM(BV$10:BV15)-ROUNDDOWN($M16*BV$5/100,0)&lt;-BV$6,-BV$6-SUM(BV$10:BV15),-ROUNDDOWN($M16*BV$5/100,0)),0)</f>
        <v>0</v>
      </c>
      <c r="BW16" s="38">
        <f>IF(AND(BW$7="○",$A16&gt;=BW$8,$A16&lt;=BW$9),IF(SUM(BW$10:BW15)-ROUNDDOWN($M16*BW$5/100,0)&lt;-BW$6,-BW$6-SUM(BW$10:BW15),-ROUNDDOWN($M16*BW$5/100,0)),0)</f>
        <v>0</v>
      </c>
      <c r="BX16" s="38">
        <f>IF(AND(T16="○",$A16&gt;=BX$8,$A16&lt;=BX$9),IF(SUM(BX$10:BX15)-ROUNDDOWN($K16*BX$5/100,0)&lt;-BX$6,-BX$6-SUM(BX$10:BX15),-ROUNDDOWN($K16*BX$5/100,0)),0)</f>
        <v>0</v>
      </c>
      <c r="BY16" s="38">
        <f>IF(AND(U16="○",$A16&gt;=BY$8,$A16&lt;=BY$9),IF(SUM(BY$10:BY15)-ROUNDDOWN($K16*BY$5/100,0)&lt;-BY$6,-BY$6-SUM(BY$10:BY15),-ROUNDDOWN($K16*BY$5/100,0)),0)</f>
        <v>0</v>
      </c>
      <c r="BZ16" s="38">
        <f>IF(AND(V16="○",$A16&gt;=BZ$8,$A16&lt;=BZ$9),IF(SUM(BZ$10:BZ15)-ROUNDDOWN($K16*BZ$5/100,0)&lt;-BZ$6,-BZ$6-SUM(BZ$10:BZ15),-ROUNDDOWN($K16*BZ$5/100,0)),0)</f>
        <v>0</v>
      </c>
      <c r="CA16" s="38">
        <f>IF(AND(W16="○",$A16&gt;=CA$8,$A16&lt;=CA$9),IF(SUM(CA$10:CA15)-ROUNDDOWN($K16*CA$5/100,0)&lt;-CA$6,-CA$6-SUM(CA$10:CA15),-ROUNDDOWN($K16*CA$5/100,0)),0)</f>
        <v>0</v>
      </c>
      <c r="CB16" s="38"/>
      <c r="CC16" s="38"/>
      <c r="CD16" s="38"/>
      <c r="CE16" s="38"/>
      <c r="CF16" s="38"/>
      <c r="CG16" s="65">
        <f t="shared" si="34"/>
        <v>0</v>
      </c>
      <c r="CH16" s="71">
        <f t="shared" si="35"/>
        <v>0</v>
      </c>
      <c r="CI16" s="1">
        <f t="shared" si="36"/>
        <v>0</v>
      </c>
      <c r="CJ16" s="1"/>
      <c r="CK16" s="72"/>
      <c r="CL16" s="72"/>
      <c r="CM16" s="2"/>
      <c r="CN16" s="2"/>
      <c r="CO16" s="73">
        <f t="shared" si="37"/>
        <v>0</v>
      </c>
      <c r="CP16" s="5">
        <f t="shared" si="38"/>
        <v>0</v>
      </c>
      <c r="CQ16" s="1"/>
      <c r="CR16" s="1">
        <f t="shared" si="39"/>
        <v>0</v>
      </c>
      <c r="CS16" s="1"/>
      <c r="CT16" s="1" t="e">
        <f>INDEX([2]マスタ!$A:$A,MATCH(D16,[2]マスタ!$C:$C,0))</f>
        <v>#N/A</v>
      </c>
      <c r="CU16" s="1" t="str">
        <f t="shared" ca="1" si="40"/>
        <v>20260620_0-0</v>
      </c>
    </row>
    <row r="17" spans="1:99" x14ac:dyDescent="0.4">
      <c r="A17" s="61"/>
      <c r="B17" s="62"/>
      <c r="C17" s="62"/>
      <c r="D17" s="62"/>
      <c r="E17" s="76"/>
      <c r="F17" s="62"/>
      <c r="G17" s="62">
        <v>1</v>
      </c>
      <c r="H17" s="64">
        <f t="shared" si="24"/>
        <v>0</v>
      </c>
      <c r="I17" s="64"/>
      <c r="J17" s="64"/>
      <c r="K17" s="65">
        <f t="shared" si="5"/>
        <v>0</v>
      </c>
      <c r="L17" s="65">
        <f t="shared" si="25"/>
        <v>0</v>
      </c>
      <c r="M17" s="65">
        <f t="shared" si="26"/>
        <v>0</v>
      </c>
      <c r="N17" s="65">
        <f t="shared" si="27"/>
        <v>0</v>
      </c>
      <c r="O17" s="66" t="str">
        <f t="shared" si="9"/>
        <v>✕</v>
      </c>
      <c r="P17" s="67" t="str">
        <f t="shared" si="10"/>
        <v>○</v>
      </c>
      <c r="Q17" s="67" t="str">
        <f t="shared" si="11"/>
        <v>✕</v>
      </c>
      <c r="R17" s="67" t="str">
        <f t="shared" si="12"/>
        <v>✕</v>
      </c>
      <c r="S17" s="68">
        <v>0</v>
      </c>
      <c r="T17" s="69" t="s">
        <v>85</v>
      </c>
      <c r="U17" s="69" t="s">
        <v>85</v>
      </c>
      <c r="V17" s="69" t="s">
        <v>85</v>
      </c>
      <c r="W17" s="69" t="s">
        <v>85</v>
      </c>
      <c r="X17" s="69" t="s">
        <v>84</v>
      </c>
      <c r="Y17" s="69" t="s">
        <v>85</v>
      </c>
      <c r="Z17" s="69" t="s">
        <v>85</v>
      </c>
      <c r="AA17" s="69" t="s">
        <v>85</v>
      </c>
      <c r="AB17" s="69" t="s">
        <v>85</v>
      </c>
      <c r="AC17" s="69" t="s">
        <v>85</v>
      </c>
      <c r="AD17" s="38" t="str">
        <f>+IF(ISERROR(VLOOKUP($B17,AD$10:AD16,1,0)),IF(AND($N17&gt;=1000,$A17&gt;=AO$8,$A17&lt;=AO$9),$B17,""),"")</f>
        <v/>
      </c>
      <c r="AE17" s="38" t="str">
        <f>+IF(ISERROR(VLOOKUP($B17,AE$10:AE16,1,0)),IF(AND($N17&gt;=1000,$A17&gt;=AP$8,$A17&lt;=AP$9),$B17,""),"")</f>
        <v/>
      </c>
      <c r="AF17" s="38" t="str">
        <f>+IF(ISERROR(VLOOKUP($B17,AF$10:AF16,1,0)),IF(AND($N17&gt;=1000,$A17&gt;=AQ$8,$A17&lt;=AQ$9),$B17,""),"")</f>
        <v/>
      </c>
      <c r="AG17" s="38" t="str">
        <f>+IF(ISERROR(VLOOKUP($B17,AG$10:AG16,1,0)),IF(AND($N17&gt;=1000,$A17&gt;=AR$8,$A17&lt;=AR$9),$B17,""),"")</f>
        <v/>
      </c>
      <c r="AH17" s="38"/>
      <c r="AI17" s="70">
        <v>0</v>
      </c>
      <c r="AJ17" s="38">
        <f>IF(AND(AJ$7="○",$A17&gt;=AJ$8,$A17&lt;=AJ$9),IF(SUM(AJ$10:AJ16)-ROUNDDOWN($K17*AJ$5/100,0)&lt;-AJ$6,-AJ$6-SUM(AJ$10:AJ16),-ROUNDDOWN($K17*AJ$5/100,0)),0)</f>
        <v>0</v>
      </c>
      <c r="AK17" s="38">
        <f>IF(AND(AK$7="○",$A17&gt;=AK$8,$A17&lt;=AK$9),IF(SUM(AK$10:AK16)-ROUNDDOWN($L17*AK$5/100,0)&lt;-AK$6,-AK$6-SUM(AK$10:AK16),-ROUNDDOWN($L17*AK$5/100,0)),0)</f>
        <v>0</v>
      </c>
      <c r="AL17" s="38">
        <f>IF(AND(AL$7="○",$A17&gt;=AL$8,$A17&lt;=AL$9),IF(SUM(AL$10:AL16)-ROUNDDOWN($N17*AL$5/100,0)&lt;-AL$6,-AL$6-SUM(AL$10:AL16),-ROUNDDOWN($N17*AL$5/100,0)),0)</f>
        <v>0</v>
      </c>
      <c r="AM17" s="38">
        <f>IF(AND(AM$7="○",$A17&gt;=AM$8,$A17&lt;=AM$9),IF(SUM(AM$10:AM16)-ROUNDDOWN($L17*AM$5/100,0)&lt;-AM$6,-AM$6-SUM(AM$10:AM16),-ROUNDDOWN($L17*AM$5/100,0)),0)</f>
        <v>0</v>
      </c>
      <c r="AN17" s="38">
        <f>IF(AND(AN$7="○",$A17&gt;=AN$8,$A17&lt;=AN$9),IF(SUM(AN$10:AN16)-ROUNDDOWN($M17*AN$5/100,0)&lt;-AN$6,-AN$6-SUM(AN$10:AN16),-ROUNDDOWN($M17*AN$5/100,0)),0)</f>
        <v>0</v>
      </c>
      <c r="AO17" s="38">
        <f>IF(AND($A17&gt;=AO$8,$A17&lt;=AO$9),IF(SUM(AO$10:AO16)-ROUNDDOWN($K17*AO$5/100,0)&lt;-AO$6,-AO$6-SUM(AO$10:AO16),-ROUNDDOWN($K17*AO$5/100,0)),0)</f>
        <v>0</v>
      </c>
      <c r="AP17" s="38">
        <f>IF(AND($A17&gt;=AP$8,$A17&lt;=AP$9),IF(SUM(AP$10:AP16)-ROUNDDOWN($K17*AP$5/100,0)&lt;-AP$6,-AP$6-SUM(AP$10:AP16),-ROUNDDOWN($K17*AP$5/100,0)),0)</f>
        <v>0</v>
      </c>
      <c r="AQ17" s="38">
        <f>IF(AND($A17&gt;=AQ$8,$A17&lt;=AQ$9),IF(SUM(AQ$10:AQ16)-ROUNDDOWN($K17*AQ$5/100,0)&lt;-AQ$6,-AQ$6-SUM(AQ$10:AQ16),-ROUNDDOWN($K17*AQ$5/100,0)),0)</f>
        <v>0</v>
      </c>
      <c r="AR17" s="38">
        <f>IF(AND($A17&gt;=AR$8,$A17&lt;=AR$9),IF(SUM(AR$10:AR16)-ROUNDDOWN($K17*AR$5/100,0)&lt;-AR$6,-AR$6-SUM(AR$10:AR16),-ROUNDDOWN($K17*AR$5/100,0)),0)</f>
        <v>0</v>
      </c>
      <c r="AS17" s="38">
        <f>IF(SUMIFS(AS$10:AS16,$A$10:$A16,$A17)-ROUNDDOWN($K17*$S17/100,0)&lt;-$S17*1000,-$S17*1000-SUMIFS(AS$10:AS16,$A$10:$A16,$A17),-ROUNDDOWN($K17*$S17/100,0))</f>
        <v>0</v>
      </c>
      <c r="AT17" s="38">
        <f>IF(AND(X17="○",$A17&gt;=AT$8,$A17&lt;=AT$9,K17&gt;=3980),IF(SUM(AT$10:AT16)-ROUNDDOWN($K17*AT$5/100,0)&lt;-AT$6,-AT$6-SUM(AT$10:AT16),-ROUNDDOWN($K17*AT$5/100,0)),0)</f>
        <v>0</v>
      </c>
      <c r="AU17" s="38">
        <f>IF(O17="○",IF(SUM(AU$10:AU16)-ROUNDDOWN($K17*AU$5/100,0)&lt;-AU$6,-AU$6-SUM(AU$10:AU16),-ROUNDDOWN($K17*AU$5/100,0)),0)</f>
        <v>0</v>
      </c>
      <c r="AV17" s="38">
        <f>IF(P17="○",IF(SUM(AV$10:AV16)-ROUNDDOWN($K17*AV$5/100,0)&lt;-AV$6,-AV$6-SUM(AV$10:AV16),-ROUNDDOWN($K17*AV$5/100,0)),0)</f>
        <v>0</v>
      </c>
      <c r="AW17" s="38">
        <f>IF(Q17="○",IF(SUM(AW$10:AW16)-ROUNDDOWN($K17*AW$5/100,0)&lt;-AW$6,-AW$6-SUM(AW$10:AW16),-ROUNDDOWN($K17*AW$5/100,0)),0)</f>
        <v>0</v>
      </c>
      <c r="AX17" s="38">
        <f>IF(R17="○",IF(SUM(AX$10:AX16)-ROUNDDOWN($K17*AX$5/100,0)&lt;-AX$6,-AX$6-SUM(AX$10:AX16),-ROUNDDOWN($K17*AX$5/100,0)),0)</f>
        <v>0</v>
      </c>
      <c r="AY17" s="70">
        <v>0</v>
      </c>
      <c r="AZ17" s="65">
        <f t="shared" si="28"/>
        <v>0</v>
      </c>
      <c r="BA17" s="65">
        <f t="shared" si="29"/>
        <v>0</v>
      </c>
      <c r="BB17" s="70"/>
      <c r="BC17" s="65">
        <f t="shared" si="30"/>
        <v>0</v>
      </c>
      <c r="BD17" s="70">
        <v>0</v>
      </c>
      <c r="BE17" s="65">
        <f t="shared" si="31"/>
        <v>0</v>
      </c>
      <c r="BF17" s="70">
        <v>0</v>
      </c>
      <c r="BG17" s="65">
        <f t="shared" si="32"/>
        <v>0</v>
      </c>
      <c r="BH17" s="70">
        <v>0</v>
      </c>
      <c r="BI17" s="65">
        <f t="shared" si="33"/>
        <v>0</v>
      </c>
      <c r="BJ17" s="38">
        <f>IF(AND(BJ$7="○",$A17&gt;=BJ$8,$A17&lt;=BJ$9),IF(SUM(BJ$10:BJ16)-ROUNDDOWN($M17*BJ$5/100,0)&lt;-BJ$6,-BJ$6-SUM(BJ$10:BJ16),-ROUNDDOWN($M17*BJ$5/100,0)),0)</f>
        <v>0</v>
      </c>
      <c r="BK17" s="38">
        <f>IF(AND(BK$7="○",$A17&gt;=BK$8,$A17&lt;=BK$9),IF(SUM(BK$10:BK16)-ROUNDDOWN($L17*BK$5/100,0)&lt;-BK$6,-BK$6-SUM(BK$10:BK16),-ROUNDDOWN($L17*BK$5/100,0)),0)</f>
        <v>0</v>
      </c>
      <c r="BL17" s="38">
        <f>IF(AND(BL$7="○",$A17&gt;=BL$8,$A17&lt;=BL$9),IF(SUM(BL$10:BL16)-ROUNDDOWN($L17*BL$5/100,0)&lt;-BL$6,-BL$6-SUM(BL$10:BL16),-ROUNDDOWN($L17*BL$5/100,0)),0)</f>
        <v>0</v>
      </c>
      <c r="BM17" s="38">
        <f>IF(AND(BM$7="○",$A17&gt;=BM$8,$A17&lt;=BM$9),IF(SUM(BM$10:BM16)-ROUNDDOWN($M17*BM$5/100,0)&lt;-BM$6,-BM$6-SUM(BM$10:BM16),-ROUNDDOWN($M17*BM$5/100,0)),0)</f>
        <v>0</v>
      </c>
      <c r="BN17" s="38">
        <f>IF(AND(BN$7="○",$A17&gt;=BN$8,$A17&lt;=BN$9),IF(SUM(BN$10:BN16)-ROUNDDOWN($M17*BN$5/100,0)&lt;-BN$6,-BN$6-SUM(BN$10:BN16),-ROUNDDOWN($M17*BN$5/100,0)),0)</f>
        <v>0</v>
      </c>
      <c r="BO17" s="38">
        <f>IF(AND(BO$7="○",$A17&gt;=BO$8,$A17&lt;=BO$9),IF(SUM(BO$10:BO16)-ROUNDDOWN($M17*BO$5/100,0)&lt;-BO$6,-BO$6-SUM(BO$10:BO16),-ROUNDDOWN($M17*BO$5/100,0)),0)</f>
        <v>0</v>
      </c>
      <c r="BP17" s="38">
        <f>IF(AND(BP$7="○",$A17&gt;=BP$8,$A17&lt;=BP$9),IF(SUM(BP$10:BP16)-ROUNDDOWN($M17*BP$5/100,0)&lt;-BP$6,-BP$6-SUM(BP$10:BP16),-ROUNDDOWN($M17*BP$5/100,0)),0)</f>
        <v>0</v>
      </c>
      <c r="BQ17" s="38">
        <f>IF(AND(BQ$7="○",$A17&gt;=BQ$8,$A17&lt;=BQ$9),IF(SUM(BQ$10:BQ16)-ROUNDDOWN($L17*BQ$5/100,0)&lt;-BQ$6,-BQ$6-SUM(BQ$10:BQ16),-ROUNDDOWN($L17*BQ$5/100,0)),0)</f>
        <v>0</v>
      </c>
      <c r="BR17" s="38">
        <f>IF(AND(BR$7="○",$A17&gt;=BR$8,$A17&lt;=BR$9),IF(SUM(BR$10:BR16)-ROUNDDOWN($M17*BR$5/100,0)&lt;-BR$6,-BR$6-SUM(BR$10:BR16),-ROUNDDOWN($M17*BR$5/100,0)),0)</f>
        <v>0</v>
      </c>
      <c r="BS17" s="38">
        <f>IF(AND(BS$7="○",$A17&gt;=BS$8,$A17&lt;=BS$9),IF(SUM(BS$10:BS16)-ROUNDDOWN($M17*BS$5/100,0)&lt;-BS$6,-BS$6-SUM(BS$10:BS16),-ROUNDDOWN($M17*BS$5/100,0)),0)</f>
        <v>0</v>
      </c>
      <c r="BT17" s="38">
        <f>IF(AND(BT$7="○",$A17&gt;=BT$8,$A17&lt;=BT$9),IF(SUM(BT$10:BT16)-ROUNDDOWN($M17*BT$5/100,0)&lt;-BT$6,-BT$6-SUM(BT$10:BT16),-ROUNDDOWN($M17*BT$5/100,0)),0)</f>
        <v>0</v>
      </c>
      <c r="BU17" s="38">
        <f>IF(AND(BU$7="○",$A17&gt;=BU$8,$A17&lt;=BU$9),IF(SUM(BU$10:BU16)-ROUNDDOWN($M17*BU$5/100,0)&lt;-BU$6,-BU$6-SUM(BU$10:BU16),-ROUNDDOWN($M17*BU$5/100,0)),0)</f>
        <v>0</v>
      </c>
      <c r="BV17" s="38">
        <f>IF(AND(BV$7="○",$A17&gt;=BV$8,$A17&lt;=BV$9),IF(SUM(BV$10:BV16)-ROUNDDOWN($M17*BV$5/100,0)&lt;-BV$6,-BV$6-SUM(BV$10:BV16),-ROUNDDOWN($M17*BV$5/100,0)),0)</f>
        <v>0</v>
      </c>
      <c r="BW17" s="38">
        <f>IF(AND(BW$7="○",$A17&gt;=BW$8,$A17&lt;=BW$9),IF(SUM(BW$10:BW16)-ROUNDDOWN($M17*BW$5/100,0)&lt;-BW$6,-BW$6-SUM(BW$10:BW16),-ROUNDDOWN($M17*BW$5/100,0)),0)</f>
        <v>0</v>
      </c>
      <c r="BX17" s="38">
        <f>IF(AND(T17="○",$A17&gt;=BX$8,$A17&lt;=BX$9),IF(SUM(BX$10:BX16)-ROUNDDOWN($K17*BX$5/100,0)&lt;-BX$6,-BX$6-SUM(BX$10:BX16),-ROUNDDOWN($K17*BX$5/100,0)),0)</f>
        <v>0</v>
      </c>
      <c r="BY17" s="38">
        <f>IF(AND(U17="○",$A17&gt;=BY$8,$A17&lt;=BY$9),IF(SUM(BY$10:BY16)-ROUNDDOWN($K17*BY$5/100,0)&lt;-BY$6,-BY$6-SUM(BY$10:BY16),-ROUNDDOWN($K17*BY$5/100,0)),0)</f>
        <v>0</v>
      </c>
      <c r="BZ17" s="38">
        <f>IF(AND(V17="○",$A17&gt;=BZ$8,$A17&lt;=BZ$9),IF(SUM(BZ$10:BZ16)-ROUNDDOWN($K17*BZ$5/100,0)&lt;-BZ$6,-BZ$6-SUM(BZ$10:BZ16),-ROUNDDOWN($K17*BZ$5/100,0)),0)</f>
        <v>0</v>
      </c>
      <c r="CA17" s="38">
        <f>IF(AND(W17="○",$A17&gt;=CA$8,$A17&lt;=CA$9),IF(SUM(CA$10:CA16)-ROUNDDOWN($K17*CA$5/100,0)&lt;-CA$6,-CA$6-SUM(CA$10:CA16),-ROUNDDOWN($K17*CA$5/100,0)),0)</f>
        <v>0</v>
      </c>
      <c r="CB17" s="38"/>
      <c r="CC17" s="38"/>
      <c r="CD17" s="38"/>
      <c r="CE17" s="38"/>
      <c r="CF17" s="38"/>
      <c r="CG17" s="65">
        <f t="shared" si="34"/>
        <v>0</v>
      </c>
      <c r="CH17" s="71">
        <f t="shared" si="35"/>
        <v>0</v>
      </c>
      <c r="CI17" s="1">
        <f t="shared" si="36"/>
        <v>0</v>
      </c>
      <c r="CJ17" s="1"/>
      <c r="CK17" s="72"/>
      <c r="CL17" s="72"/>
      <c r="CM17" s="2"/>
      <c r="CN17" s="2"/>
      <c r="CO17" s="73">
        <f t="shared" si="37"/>
        <v>0</v>
      </c>
      <c r="CP17" s="5">
        <f t="shared" si="38"/>
        <v>0</v>
      </c>
      <c r="CQ17" s="1"/>
      <c r="CR17" s="1">
        <f t="shared" si="39"/>
        <v>0</v>
      </c>
      <c r="CS17" s="1"/>
      <c r="CT17" s="1" t="e">
        <f>INDEX([2]マスタ!$A:$A,MATCH(D17,[2]マスタ!$C:$C,0))</f>
        <v>#N/A</v>
      </c>
      <c r="CU17" s="1" t="str">
        <f t="shared" ca="1" si="40"/>
        <v>20260620_0-0</v>
      </c>
    </row>
    <row r="18" spans="1:99" x14ac:dyDescent="0.4">
      <c r="A18" s="61"/>
      <c r="B18" s="62"/>
      <c r="C18" s="62"/>
      <c r="D18" s="62"/>
      <c r="E18" s="63"/>
      <c r="F18" s="62"/>
      <c r="G18" s="62">
        <v>1</v>
      </c>
      <c r="H18" s="64">
        <f t="shared" si="24"/>
        <v>0</v>
      </c>
      <c r="I18" s="64"/>
      <c r="J18" s="64"/>
      <c r="K18" s="65">
        <f t="shared" si="5"/>
        <v>0</v>
      </c>
      <c r="L18" s="65">
        <f t="shared" si="25"/>
        <v>0</v>
      </c>
      <c r="M18" s="65">
        <f t="shared" si="26"/>
        <v>0</v>
      </c>
      <c r="N18" s="65">
        <f t="shared" si="27"/>
        <v>0</v>
      </c>
      <c r="O18" s="66" t="str">
        <f t="shared" si="9"/>
        <v>✕</v>
      </c>
      <c r="P18" s="67" t="str">
        <f t="shared" si="10"/>
        <v>○</v>
      </c>
      <c r="Q18" s="67" t="str">
        <f t="shared" si="11"/>
        <v>✕</v>
      </c>
      <c r="R18" s="67" t="str">
        <f t="shared" si="12"/>
        <v>✕</v>
      </c>
      <c r="S18" s="68">
        <v>0</v>
      </c>
      <c r="T18" s="69" t="s">
        <v>85</v>
      </c>
      <c r="U18" s="69" t="s">
        <v>85</v>
      </c>
      <c r="V18" s="69" t="s">
        <v>85</v>
      </c>
      <c r="W18" s="69" t="s">
        <v>85</v>
      </c>
      <c r="X18" s="69" t="s">
        <v>84</v>
      </c>
      <c r="Y18" s="69" t="s">
        <v>85</v>
      </c>
      <c r="Z18" s="69" t="s">
        <v>85</v>
      </c>
      <c r="AA18" s="69" t="s">
        <v>85</v>
      </c>
      <c r="AB18" s="69" t="s">
        <v>85</v>
      </c>
      <c r="AC18" s="69" t="s">
        <v>85</v>
      </c>
      <c r="AD18" s="38" t="str">
        <f>+IF(ISERROR(VLOOKUP($B18,AD$10:AD17,1,0)),IF(AND($N18&gt;=1000,$A18&gt;=AO$8,$A18&lt;=AO$9),$B18,""),"")</f>
        <v/>
      </c>
      <c r="AE18" s="38" t="str">
        <f>+IF(ISERROR(VLOOKUP($B18,AE$10:AE17,1,0)),IF(AND($N18&gt;=1000,$A18&gt;=AP$8,$A18&lt;=AP$9),$B18,""),"")</f>
        <v/>
      </c>
      <c r="AF18" s="38" t="str">
        <f>+IF(ISERROR(VLOOKUP($B18,AF$10:AF17,1,0)),IF(AND($N18&gt;=1000,$A18&gt;=AQ$8,$A18&lt;=AQ$9),$B18,""),"")</f>
        <v/>
      </c>
      <c r="AG18" s="38" t="str">
        <f>+IF(ISERROR(VLOOKUP($B18,AG$10:AG17,1,0)),IF(AND($N18&gt;=1000,$A18&gt;=AR$8,$A18&lt;=AR$9),$B18,""),"")</f>
        <v/>
      </c>
      <c r="AH18" s="38"/>
      <c r="AI18" s="70">
        <v>0</v>
      </c>
      <c r="AJ18" s="38">
        <f>IF(AND(AJ$7="○",$A18&gt;=AJ$8,$A18&lt;=AJ$9),IF(SUM(AJ$10:AJ17)-ROUNDDOWN($K18*AJ$5/100,0)&lt;-AJ$6,-AJ$6-SUM(AJ$10:AJ17),-ROUNDDOWN($K18*AJ$5/100,0)),0)</f>
        <v>0</v>
      </c>
      <c r="AK18" s="38">
        <f>IF(AND(AK$7="○",$A18&gt;=AK$8,$A18&lt;=AK$9),IF(SUM(AK$10:AK17)-ROUNDDOWN($L18*AK$5/100,0)&lt;-AK$6,-AK$6-SUM(AK$10:AK17),-ROUNDDOWN($L18*AK$5/100,0)),0)</f>
        <v>0</v>
      </c>
      <c r="AL18" s="38">
        <f>IF(AND(AL$7="○",$A18&gt;=AL$8,$A18&lt;=AL$9),IF(SUM(AL$10:AL17)-ROUNDDOWN($N18*AL$5/100,0)&lt;-AL$6,-AL$6-SUM(AL$10:AL17),-ROUNDDOWN($N18*AL$5/100,0)),0)</f>
        <v>0</v>
      </c>
      <c r="AM18" s="38">
        <f>IF(AND(AM$7="○",$A18&gt;=AM$8,$A18&lt;=AM$9),IF(SUM(AM$10:AM17)-ROUNDDOWN($L18*AM$5/100,0)&lt;-AM$6,-AM$6-SUM(AM$10:AM17),-ROUNDDOWN($L18*AM$5/100,0)),0)</f>
        <v>0</v>
      </c>
      <c r="AN18" s="38">
        <f>IF(AND(AN$7="○",$A18&gt;=AN$8,$A18&lt;=AN$9),IF(SUM(AN$10:AN17)-ROUNDDOWN($M18*AN$5/100,0)&lt;-AN$6,-AN$6-SUM(AN$10:AN17),-ROUNDDOWN($M18*AN$5/100,0)),0)</f>
        <v>0</v>
      </c>
      <c r="AO18" s="38">
        <f>IF(AND($A18&gt;=AO$8,$A18&lt;=AO$9),IF(SUM(AO$10:AO17)-ROUNDDOWN($K18*AO$5/100,0)&lt;-AO$6,-AO$6-SUM(AO$10:AO17),-ROUNDDOWN($K18*AO$5/100,0)),0)</f>
        <v>0</v>
      </c>
      <c r="AP18" s="38">
        <f>IF(AND($A18&gt;=AP$8,$A18&lt;=AP$9),IF(SUM(AP$10:AP17)-ROUNDDOWN($K18*AP$5/100,0)&lt;-AP$6,-AP$6-SUM(AP$10:AP17),-ROUNDDOWN($K18*AP$5/100,0)),0)</f>
        <v>0</v>
      </c>
      <c r="AQ18" s="38">
        <f>IF(AND($A18&gt;=AQ$8,$A18&lt;=AQ$9),IF(SUM(AQ$10:AQ17)-ROUNDDOWN($K18*AQ$5/100,0)&lt;-AQ$6,-AQ$6-SUM(AQ$10:AQ17),-ROUNDDOWN($K18*AQ$5/100,0)),0)</f>
        <v>0</v>
      </c>
      <c r="AR18" s="38">
        <f>IF(AND($A18&gt;=AR$8,$A18&lt;=AR$9),IF(SUM(AR$10:AR17)-ROUNDDOWN($K18*AR$5/100,0)&lt;-AR$6,-AR$6-SUM(AR$10:AR17),-ROUNDDOWN($K18*AR$5/100,0)),0)</f>
        <v>0</v>
      </c>
      <c r="AS18" s="38">
        <f>IF(SUMIFS(AS$10:AS17,$A$10:$A17,$A18)-ROUNDDOWN($K18*$S18/100,0)&lt;-$S18*1000,-$S18*1000-SUMIFS(AS$10:AS17,$A$10:$A17,$A18),-ROUNDDOWN($K18*$S18/100,0))</f>
        <v>0</v>
      </c>
      <c r="AT18" s="38">
        <f>IF(AND(X18="○",$A18&gt;=AT$8,$A18&lt;=AT$9,K18&gt;=3980),IF(SUM(AT$10:AT17)-ROUNDDOWN($K18*AT$5/100,0)&lt;-AT$6,-AT$6-SUM(AT$10:AT17),-ROUNDDOWN($K18*AT$5/100,0)),0)</f>
        <v>0</v>
      </c>
      <c r="AU18" s="38">
        <f>IF(O18="○",IF(SUM(AU$10:AU17)-ROUNDDOWN($K18*AU$5/100,0)&lt;-AU$6,-AU$6-SUM(AU$10:AU17),-ROUNDDOWN($K18*AU$5/100,0)),0)</f>
        <v>0</v>
      </c>
      <c r="AV18" s="38">
        <f>IF(P18="○",IF(SUM(AV$10:AV17)-ROUNDDOWN($K18*AV$5/100,0)&lt;-AV$6,-AV$6-SUM(AV$10:AV17),-ROUNDDOWN($K18*AV$5/100,0)),0)</f>
        <v>0</v>
      </c>
      <c r="AW18" s="38">
        <f>IF(Q18="○",IF(SUM(AW$10:AW17)-ROUNDDOWN($K18*AW$5/100,0)&lt;-AW$6,-AW$6-SUM(AW$10:AW17),-ROUNDDOWN($K18*AW$5/100,0)),0)</f>
        <v>0</v>
      </c>
      <c r="AX18" s="38">
        <f>IF(R18="○",IF(SUM(AX$10:AX17)-ROUNDDOWN($K18*AX$5/100,0)&lt;-AX$6,-AX$6-SUM(AX$10:AX17),-ROUNDDOWN($K18*AX$5/100,0)),0)</f>
        <v>0</v>
      </c>
      <c r="AY18" s="70">
        <v>0</v>
      </c>
      <c r="AZ18" s="65">
        <f t="shared" si="28"/>
        <v>0</v>
      </c>
      <c r="BA18" s="65">
        <f t="shared" si="29"/>
        <v>0</v>
      </c>
      <c r="BB18" s="70"/>
      <c r="BC18" s="65">
        <f t="shared" si="30"/>
        <v>0</v>
      </c>
      <c r="BD18" s="70">
        <v>0</v>
      </c>
      <c r="BE18" s="65">
        <f t="shared" si="31"/>
        <v>0</v>
      </c>
      <c r="BF18" s="70">
        <v>0</v>
      </c>
      <c r="BG18" s="65">
        <f t="shared" si="32"/>
        <v>0</v>
      </c>
      <c r="BH18" s="70">
        <v>0</v>
      </c>
      <c r="BI18" s="65">
        <f t="shared" si="33"/>
        <v>0</v>
      </c>
      <c r="BJ18" s="38">
        <f>IF(AND(BJ$7="○",$A18&gt;=BJ$8,$A18&lt;=BJ$9),IF(SUM(BJ$10:BJ17)-ROUNDDOWN($M18*BJ$5/100,0)&lt;-BJ$6,-BJ$6-SUM(BJ$10:BJ17),-ROUNDDOWN($M18*BJ$5/100,0)),0)</f>
        <v>0</v>
      </c>
      <c r="BK18" s="38">
        <f>IF(AND(BK$7="○",$A18&gt;=BK$8,$A18&lt;=BK$9),IF(SUM(BK$10:BK17)-ROUNDDOWN($L18*BK$5/100,0)&lt;-BK$6,-BK$6-SUM(BK$10:BK17),-ROUNDDOWN($L18*BK$5/100,0)),0)</f>
        <v>0</v>
      </c>
      <c r="BL18" s="38">
        <f>IF(AND(BL$7="○",$A18&gt;=BL$8,$A18&lt;=BL$9),IF(SUM(BL$10:BL17)-ROUNDDOWN($L18*BL$5/100,0)&lt;-BL$6,-BL$6-SUM(BL$10:BL17),-ROUNDDOWN($L18*BL$5/100,0)),0)</f>
        <v>0</v>
      </c>
      <c r="BM18" s="38">
        <f>IF(AND(BM$7="○",$A18&gt;=BM$8,$A18&lt;=BM$9),IF(SUM(BM$10:BM17)-ROUNDDOWN($M18*BM$5/100,0)&lt;-BM$6,-BM$6-SUM(BM$10:BM17),-ROUNDDOWN($M18*BM$5/100,0)),0)</f>
        <v>0</v>
      </c>
      <c r="BN18" s="38">
        <f>IF(AND(BN$7="○",$A18&gt;=BN$8,$A18&lt;=BN$9),IF(SUM(BN$10:BN17)-ROUNDDOWN($M18*BN$5/100,0)&lt;-BN$6,-BN$6-SUM(BN$10:BN17),-ROUNDDOWN($M18*BN$5/100,0)),0)</f>
        <v>0</v>
      </c>
      <c r="BO18" s="38">
        <f>IF(AND(BO$7="○",$A18&gt;=BO$8,$A18&lt;=BO$9),IF(SUM(BO$10:BO17)-ROUNDDOWN($M18*BO$5/100,0)&lt;-BO$6,-BO$6-SUM(BO$10:BO17),-ROUNDDOWN($M18*BO$5/100,0)),0)</f>
        <v>0</v>
      </c>
      <c r="BP18" s="38">
        <f>IF(AND(BP$7="○",$A18&gt;=BP$8,$A18&lt;=BP$9),IF(SUM(BP$10:BP17)-ROUNDDOWN($M18*BP$5/100,0)&lt;-BP$6,-BP$6-SUM(BP$10:BP17),-ROUNDDOWN($M18*BP$5/100,0)),0)</f>
        <v>0</v>
      </c>
      <c r="BQ18" s="38">
        <f>IF(AND(BQ$7="○",$A18&gt;=BQ$8,$A18&lt;=BQ$9),IF(SUM(BQ$10:BQ17)-ROUNDDOWN($L18*BQ$5/100,0)&lt;-BQ$6,-BQ$6-SUM(BQ$10:BQ17),-ROUNDDOWN($L18*BQ$5/100,0)),0)</f>
        <v>0</v>
      </c>
      <c r="BR18" s="38">
        <f>IF(AND(BR$7="○",$A18&gt;=BR$8,$A18&lt;=BR$9),IF(SUM(BR$10:BR17)-ROUNDDOWN($M18*BR$5/100,0)&lt;-BR$6,-BR$6-SUM(BR$10:BR17),-ROUNDDOWN($M18*BR$5/100,0)),0)</f>
        <v>0</v>
      </c>
      <c r="BS18" s="38">
        <f>IF(AND(BS$7="○",$A18&gt;=BS$8,$A18&lt;=BS$9),IF(SUM(BS$10:BS17)-ROUNDDOWN($M18*BS$5/100,0)&lt;-BS$6,-BS$6-SUM(BS$10:BS17),-ROUNDDOWN($M18*BS$5/100,0)),0)</f>
        <v>0</v>
      </c>
      <c r="BT18" s="38">
        <f>IF(AND(BT$7="○",$A18&gt;=BT$8,$A18&lt;=BT$9),IF(SUM(BT$10:BT17)-ROUNDDOWN($M18*BT$5/100,0)&lt;-BT$6,-BT$6-SUM(BT$10:BT17),-ROUNDDOWN($M18*BT$5/100,0)),0)</f>
        <v>0</v>
      </c>
      <c r="BU18" s="38">
        <f>IF(AND(BU$7="○",$A18&gt;=BU$8,$A18&lt;=BU$9),IF(SUM(BU$10:BU17)-ROUNDDOWN($M18*BU$5/100,0)&lt;-BU$6,-BU$6-SUM(BU$10:BU17),-ROUNDDOWN($M18*BU$5/100,0)),0)</f>
        <v>0</v>
      </c>
      <c r="BV18" s="38">
        <f>IF(AND(BV$7="○",$A18&gt;=BV$8,$A18&lt;=BV$9),IF(SUM(BV$10:BV17)-ROUNDDOWN($M18*BV$5/100,0)&lt;-BV$6,-BV$6-SUM(BV$10:BV17),-ROUNDDOWN($M18*BV$5/100,0)),0)</f>
        <v>0</v>
      </c>
      <c r="BW18" s="38">
        <f>IF(AND(BW$7="○",$A18&gt;=BW$8,$A18&lt;=BW$9),IF(SUM(BW$10:BW17)-ROUNDDOWN($M18*BW$5/100,0)&lt;-BW$6,-BW$6-SUM(BW$10:BW17),-ROUNDDOWN($M18*BW$5/100,0)),0)</f>
        <v>0</v>
      </c>
      <c r="BX18" s="38">
        <f>IF(AND(T18="○",$A18&gt;=BX$8,$A18&lt;=BX$9),IF(SUM(BX$10:BX17)-ROUNDDOWN($K18*BX$5/100,0)&lt;-BX$6,-BX$6-SUM(BX$10:BX17),-ROUNDDOWN($K18*BX$5/100,0)),0)</f>
        <v>0</v>
      </c>
      <c r="BY18" s="38">
        <f>IF(AND(U18="○",$A18&gt;=BY$8,$A18&lt;=BY$9),IF(SUM(BY$10:BY17)-ROUNDDOWN($K18*BY$5/100,0)&lt;-BY$6,-BY$6-SUM(BY$10:BY17),-ROUNDDOWN($K18*BY$5/100,0)),0)</f>
        <v>0</v>
      </c>
      <c r="BZ18" s="38">
        <f>IF(AND(V18="○",$A18&gt;=BZ$8,$A18&lt;=BZ$9),IF(SUM(BZ$10:BZ17)-ROUNDDOWN($K18*BZ$5/100,0)&lt;-BZ$6,-BZ$6-SUM(BZ$10:BZ17),-ROUNDDOWN($K18*BZ$5/100,0)),0)</f>
        <v>0</v>
      </c>
      <c r="CA18" s="38">
        <f>IF(AND(W18="○",$A18&gt;=CA$8,$A18&lt;=CA$9),IF(SUM(CA$10:CA17)-ROUNDDOWN($K18*CA$5/100,0)&lt;-CA$6,-CA$6-SUM(CA$10:CA17),-ROUNDDOWN($K18*CA$5/100,0)),0)</f>
        <v>0</v>
      </c>
      <c r="CB18" s="38"/>
      <c r="CC18" s="38"/>
      <c r="CD18" s="38"/>
      <c r="CE18" s="38"/>
      <c r="CF18" s="38"/>
      <c r="CG18" s="65">
        <f t="shared" si="34"/>
        <v>0</v>
      </c>
      <c r="CH18" s="71">
        <f t="shared" si="35"/>
        <v>0</v>
      </c>
      <c r="CI18" s="1">
        <f t="shared" si="36"/>
        <v>0</v>
      </c>
      <c r="CJ18" s="1"/>
      <c r="CK18" s="72"/>
      <c r="CL18" s="72"/>
      <c r="CM18" s="2"/>
      <c r="CN18" s="2"/>
      <c r="CO18" s="73">
        <f t="shared" si="37"/>
        <v>0</v>
      </c>
      <c r="CP18" s="5">
        <f t="shared" si="38"/>
        <v>0</v>
      </c>
      <c r="CQ18" s="1"/>
      <c r="CR18" s="1">
        <f t="shared" si="39"/>
        <v>0</v>
      </c>
      <c r="CS18" s="1"/>
      <c r="CT18" s="1" t="e">
        <f>INDEX([2]マスタ!$A:$A,MATCH(D18,[2]マスタ!$C:$C,0))</f>
        <v>#N/A</v>
      </c>
      <c r="CU18" s="1" t="str">
        <f t="shared" ca="1" si="40"/>
        <v>20260620_0-0</v>
      </c>
    </row>
    <row r="19" spans="1:99" x14ac:dyDescent="0.4">
      <c r="A19" s="61"/>
      <c r="B19" s="62"/>
      <c r="C19" s="62"/>
      <c r="D19" s="62"/>
      <c r="E19" s="74"/>
      <c r="F19" s="62"/>
      <c r="G19" s="62">
        <v>1</v>
      </c>
      <c r="H19" s="64">
        <f t="shared" si="24"/>
        <v>0</v>
      </c>
      <c r="I19" s="64"/>
      <c r="J19" s="64"/>
      <c r="K19" s="65">
        <f t="shared" si="5"/>
        <v>0</v>
      </c>
      <c r="L19" s="65">
        <f t="shared" si="25"/>
        <v>0</v>
      </c>
      <c r="M19" s="65">
        <f t="shared" si="26"/>
        <v>0</v>
      </c>
      <c r="N19" s="65">
        <f t="shared" si="27"/>
        <v>0</v>
      </c>
      <c r="O19" s="66" t="str">
        <f t="shared" si="9"/>
        <v>✕</v>
      </c>
      <c r="P19" s="67" t="str">
        <f t="shared" si="10"/>
        <v>○</v>
      </c>
      <c r="Q19" s="67" t="str">
        <f t="shared" si="11"/>
        <v>✕</v>
      </c>
      <c r="R19" s="67" t="str">
        <f t="shared" si="12"/>
        <v>✕</v>
      </c>
      <c r="S19" s="68">
        <v>0</v>
      </c>
      <c r="T19" s="69" t="s">
        <v>85</v>
      </c>
      <c r="U19" s="69" t="s">
        <v>85</v>
      </c>
      <c r="V19" s="69" t="s">
        <v>85</v>
      </c>
      <c r="W19" s="69" t="s">
        <v>85</v>
      </c>
      <c r="X19" s="69" t="s">
        <v>84</v>
      </c>
      <c r="Y19" s="69" t="s">
        <v>85</v>
      </c>
      <c r="Z19" s="69" t="s">
        <v>85</v>
      </c>
      <c r="AA19" s="69" t="s">
        <v>85</v>
      </c>
      <c r="AB19" s="69" t="s">
        <v>85</v>
      </c>
      <c r="AC19" s="69" t="s">
        <v>85</v>
      </c>
      <c r="AD19" s="38" t="str">
        <f>+IF(ISERROR(VLOOKUP($B19,AD$10:AD18,1,0)),IF(AND($N19&gt;=1000,$A19&gt;=AO$8,$A19&lt;=AO$9),$B19,""),"")</f>
        <v/>
      </c>
      <c r="AE19" s="38" t="str">
        <f>+IF(ISERROR(VLOOKUP($B19,AE$10:AE18,1,0)),IF(AND($N19&gt;=1000,$A19&gt;=AP$8,$A19&lt;=AP$9),$B19,""),"")</f>
        <v/>
      </c>
      <c r="AF19" s="38" t="str">
        <f>+IF(ISERROR(VLOOKUP($B19,AF$10:AF18,1,0)),IF(AND($N19&gt;=1000,$A19&gt;=AQ$8,$A19&lt;=AQ$9),$B19,""),"")</f>
        <v/>
      </c>
      <c r="AG19" s="38" t="str">
        <f>+IF(ISERROR(VLOOKUP($B19,AG$10:AG18,1,0)),IF(AND($N19&gt;=1000,$A19&gt;=AR$8,$A19&lt;=AR$9),$B19,""),"")</f>
        <v/>
      </c>
      <c r="AH19" s="38"/>
      <c r="AI19" s="70">
        <v>0</v>
      </c>
      <c r="AJ19" s="38">
        <f>IF(AND(AJ$7="○",$A19&gt;=AJ$8,$A19&lt;=AJ$9),IF(SUM(AJ$10:AJ18)-ROUNDDOWN($K19*AJ$5/100,0)&lt;-AJ$6,-AJ$6-SUM(AJ$10:AJ18),-ROUNDDOWN($K19*AJ$5/100,0)),0)</f>
        <v>0</v>
      </c>
      <c r="AK19" s="38">
        <f>IF(AND(AK$7="○",$A19&gt;=AK$8,$A19&lt;=AK$9),IF(SUM(AK$10:AK18)-ROUNDDOWN($L19*AK$5/100,0)&lt;-AK$6,-AK$6-SUM(AK$10:AK18),-ROUNDDOWN($L19*AK$5/100,0)),0)</f>
        <v>0</v>
      </c>
      <c r="AL19" s="38">
        <f>IF(AND(AL$7="○",$A19&gt;=AL$8,$A19&lt;=AL$9),IF(SUM(AL$10:AL18)-ROUNDDOWN($N19*AL$5/100,0)&lt;-AL$6,-AL$6-SUM(AL$10:AL18),-ROUNDDOWN($N19*AL$5/100,0)),0)</f>
        <v>0</v>
      </c>
      <c r="AM19" s="38">
        <f>IF(AND(AM$7="○",$A19&gt;=AM$8,$A19&lt;=AM$9),IF(SUM(AM$10:AM18)-ROUNDDOWN($L19*AM$5/100,0)&lt;-AM$6,-AM$6-SUM(AM$10:AM18),-ROUNDDOWN($L19*AM$5/100,0)),0)</f>
        <v>0</v>
      </c>
      <c r="AN19" s="38">
        <f>IF(AND(AN$7="○",$A19&gt;=AN$8,$A19&lt;=AN$9),IF(SUM(AN$10:AN18)-ROUNDDOWN($M19*AN$5/100,0)&lt;-AN$6,-AN$6-SUM(AN$10:AN18),-ROUNDDOWN($M19*AN$5/100,0)),0)</f>
        <v>0</v>
      </c>
      <c r="AO19" s="38">
        <f>IF(AND($A19&gt;=AO$8,$A19&lt;=AO$9),IF(SUM(AO$10:AO18)-ROUNDDOWN($K19*AO$5/100,0)&lt;-AO$6,-AO$6-SUM(AO$10:AO18),-ROUNDDOWN($K19*AO$5/100,0)),0)</f>
        <v>0</v>
      </c>
      <c r="AP19" s="38">
        <f>IF(AND($A19&gt;=AP$8,$A19&lt;=AP$9),IF(SUM(AP$10:AP18)-ROUNDDOWN($K19*AP$5/100,0)&lt;-AP$6,-AP$6-SUM(AP$10:AP18),-ROUNDDOWN($K19*AP$5/100,0)),0)</f>
        <v>0</v>
      </c>
      <c r="AQ19" s="38">
        <f>IF(AND($A19&gt;=AQ$8,$A19&lt;=AQ$9),IF(SUM(AQ$10:AQ18)-ROUNDDOWN($K19*AQ$5/100,0)&lt;-AQ$6,-AQ$6-SUM(AQ$10:AQ18),-ROUNDDOWN($K19*AQ$5/100,0)),0)</f>
        <v>0</v>
      </c>
      <c r="AR19" s="38">
        <f>IF(AND($A19&gt;=AR$8,$A19&lt;=AR$9),IF(SUM(AR$10:AR18)-ROUNDDOWN($K19*AR$5/100,0)&lt;-AR$6,-AR$6-SUM(AR$10:AR18),-ROUNDDOWN($K19*AR$5/100,0)),0)</f>
        <v>0</v>
      </c>
      <c r="AS19" s="38">
        <f>IF(SUMIFS(AS$10:AS18,$A$10:$A18,$A19)-ROUNDDOWN($K19*$S19/100,0)&lt;-$S19*1000,-$S19*1000-SUMIFS(AS$10:AS18,$A$10:$A18,$A19),-ROUNDDOWN($K19*$S19/100,0))</f>
        <v>0</v>
      </c>
      <c r="AT19" s="38">
        <f>IF(AND(X19="○",$A19&gt;=AT$8,$A19&lt;=AT$9,K19&gt;=3980),IF(SUM(AT$10:AT18)-ROUNDDOWN($K19*AT$5/100,0)&lt;-AT$6,-AT$6-SUM(AT$10:AT18),-ROUNDDOWN($K19*AT$5/100,0)),0)</f>
        <v>0</v>
      </c>
      <c r="AU19" s="38">
        <f>IF(O19="○",IF(SUM(AU$10:AU18)-ROUNDDOWN($K19*AU$5/100,0)&lt;-AU$6,-AU$6-SUM(AU$10:AU18),-ROUNDDOWN($K19*AU$5/100,0)),0)</f>
        <v>0</v>
      </c>
      <c r="AV19" s="38">
        <f>IF(P19="○",IF(SUM(AV$10:AV18)-ROUNDDOWN($K19*AV$5/100,0)&lt;-AV$6,-AV$6-SUM(AV$10:AV18),-ROUNDDOWN($K19*AV$5/100,0)),0)</f>
        <v>0</v>
      </c>
      <c r="AW19" s="38">
        <f>IF(Q19="○",IF(SUM(AW$10:AW18)-ROUNDDOWN($K19*AW$5/100,0)&lt;-AW$6,-AW$6-SUM(AW$10:AW18),-ROUNDDOWN($K19*AW$5/100,0)),0)</f>
        <v>0</v>
      </c>
      <c r="AX19" s="38">
        <f>IF(R19="○",IF(SUM(AX$10:AX18)-ROUNDDOWN($K19*AX$5/100,0)&lt;-AX$6,-AX$6-SUM(AX$10:AX18),-ROUNDDOWN($K19*AX$5/100,0)),0)</f>
        <v>0</v>
      </c>
      <c r="AY19" s="70">
        <v>0</v>
      </c>
      <c r="AZ19" s="65">
        <f t="shared" ref="AZ19:AZ82" si="41">-ROUNDDOWN($K19*AY19/100,0)</f>
        <v>0</v>
      </c>
      <c r="BA19" s="65">
        <f t="shared" ref="BA19:BA82" si="42">-ROUNDDOWN($K19*AI19/100,0)</f>
        <v>0</v>
      </c>
      <c r="BB19" s="70"/>
      <c r="BC19" s="65">
        <f t="shared" ref="BC19:BC82" si="43">-ROUNDDOWN($K19*BB19/100,0)</f>
        <v>0</v>
      </c>
      <c r="BD19" s="70">
        <v>0</v>
      </c>
      <c r="BE19" s="65">
        <f t="shared" ref="BE19:BE82" si="44">-ROUNDDOWN($K19*BD19/100,0)</f>
        <v>0</v>
      </c>
      <c r="BF19" s="70">
        <v>0</v>
      </c>
      <c r="BG19" s="65">
        <f t="shared" ref="BG19:BG82" si="45">-ROUNDDOWN($K19*BF19/100,0)</f>
        <v>0</v>
      </c>
      <c r="BH19" s="70">
        <v>0</v>
      </c>
      <c r="BI19" s="65">
        <f t="shared" ref="BI19:BI82" si="46">-ROUNDDOWN($K19*BH19/100,0)</f>
        <v>0</v>
      </c>
      <c r="BJ19" s="38">
        <f>IF(AND(BJ$7="○",$A19&gt;=BJ$8,$A19&lt;=BJ$9),IF(SUM(BJ$10:BJ18)-ROUNDDOWN($M19*BJ$5/100,0)&lt;-BJ$6,-BJ$6-SUM(BJ$10:BJ18),-ROUNDDOWN($M19*BJ$5/100,0)),0)</f>
        <v>0</v>
      </c>
      <c r="BK19" s="38">
        <f>IF(AND(BK$7="○",$A19&gt;=BK$8,$A19&lt;=BK$9),IF(SUM(BK$10:BK18)-ROUNDDOWN($L19*BK$5/100,0)&lt;-BK$6,-BK$6-SUM(BK$10:BK18),-ROUNDDOWN($L19*BK$5/100,0)),0)</f>
        <v>0</v>
      </c>
      <c r="BL19" s="38">
        <f>IF(AND(BL$7="○",$A19&gt;=BL$8,$A19&lt;=BL$9),IF(SUM(BL$10:BL18)-ROUNDDOWN($L19*BL$5/100,0)&lt;-BL$6,-BL$6-SUM(BL$10:BL18),-ROUNDDOWN($L19*BL$5/100,0)),0)</f>
        <v>0</v>
      </c>
      <c r="BM19" s="38">
        <f>IF(AND(BM$7="○",$A19&gt;=BM$8,$A19&lt;=BM$9),IF(SUM(BM$10:BM18)-ROUNDDOWN($M19*BM$5/100,0)&lt;-BM$6,-BM$6-SUM(BM$10:BM18),-ROUNDDOWN($M19*BM$5/100,0)),0)</f>
        <v>0</v>
      </c>
      <c r="BN19" s="38">
        <f>IF(AND(BN$7="○",$A19&gt;=BN$8,$A19&lt;=BN$9),IF(SUM(BN$10:BN18)-ROUNDDOWN($M19*BN$5/100,0)&lt;-BN$6,-BN$6-SUM(BN$10:BN18),-ROUNDDOWN($M19*BN$5/100,0)),0)</f>
        <v>0</v>
      </c>
      <c r="BO19" s="38">
        <f>IF(AND(BO$7="○",$A19&gt;=BO$8,$A19&lt;=BO$9),IF(SUM(BO$10:BO18)-ROUNDDOWN($M19*BO$5/100,0)&lt;-BO$6,-BO$6-SUM(BO$10:BO18),-ROUNDDOWN($M19*BO$5/100,0)),0)</f>
        <v>0</v>
      </c>
      <c r="BP19" s="38">
        <f>IF(AND(BP$7="○",$A19&gt;=BP$8,$A19&lt;=BP$9),IF(SUM(BP$10:BP18)-ROUNDDOWN($M19*BP$5/100,0)&lt;-BP$6,-BP$6-SUM(BP$10:BP18),-ROUNDDOWN($M19*BP$5/100,0)),0)</f>
        <v>0</v>
      </c>
      <c r="BQ19" s="38">
        <f>IF(AND(BQ$7="○",$A19&gt;=BQ$8,$A19&lt;=BQ$9),IF(SUM(BQ$10:BQ18)-ROUNDDOWN($L19*BQ$5/100,0)&lt;-BQ$6,-BQ$6-SUM(BQ$10:BQ18),-ROUNDDOWN($L19*BQ$5/100,0)),0)</f>
        <v>0</v>
      </c>
      <c r="BR19" s="38">
        <f>IF(AND(BR$7="○",$A19&gt;=BR$8,$A19&lt;=BR$9),IF(SUM(BR$10:BR18)-ROUNDDOWN($M19*BR$5/100,0)&lt;-BR$6,-BR$6-SUM(BR$10:BR18),-ROUNDDOWN($M19*BR$5/100,0)),0)</f>
        <v>0</v>
      </c>
      <c r="BS19" s="38">
        <f>IF(AND(BS$7="○",$A19&gt;=BS$8,$A19&lt;=BS$9),IF(SUM(BS$10:BS18)-ROUNDDOWN($M19*BS$5/100,0)&lt;-BS$6,-BS$6-SUM(BS$10:BS18),-ROUNDDOWN($M19*BS$5/100,0)),0)</f>
        <v>0</v>
      </c>
      <c r="BT19" s="38">
        <f>IF(AND(BT$7="○",$A19&gt;=BT$8,$A19&lt;=BT$9),IF(SUM(BT$10:BT18)-ROUNDDOWN($M19*BT$5/100,0)&lt;-BT$6,-BT$6-SUM(BT$10:BT18),-ROUNDDOWN($M19*BT$5/100,0)),0)</f>
        <v>0</v>
      </c>
      <c r="BU19" s="38">
        <f>IF(AND(BU$7="○",$A19&gt;=BU$8,$A19&lt;=BU$9),IF(SUM(BU$10:BU18)-ROUNDDOWN($M19*BU$5/100,0)&lt;-BU$6,-BU$6-SUM(BU$10:BU18),-ROUNDDOWN($M19*BU$5/100,0)),0)</f>
        <v>0</v>
      </c>
      <c r="BV19" s="38">
        <f>IF(AND(BV$7="○",$A19&gt;=BV$8,$A19&lt;=BV$9),IF(SUM(BV$10:BV18)-ROUNDDOWN($M19*BV$5/100,0)&lt;-BV$6,-BV$6-SUM(BV$10:BV18),-ROUNDDOWN($M19*BV$5/100,0)),0)</f>
        <v>0</v>
      </c>
      <c r="BW19" s="38">
        <f>IF(AND(BW$7="○",$A19&gt;=BW$8,$A19&lt;=BW$9),IF(SUM(BW$10:BW18)-ROUNDDOWN($M19*BW$5/100,0)&lt;-BW$6,-BW$6-SUM(BW$10:BW18),-ROUNDDOWN($M19*BW$5/100,0)),0)</f>
        <v>0</v>
      </c>
      <c r="BX19" s="38">
        <f>IF(AND(T19="○",$A19&gt;=BX$8,$A19&lt;=BX$9),IF(SUM(BX$10:BX18)-ROUNDDOWN($K19*BX$5/100,0)&lt;-BX$6,-BX$6-SUM(BX$10:BX18),-ROUNDDOWN($K19*BX$5/100,0)),0)</f>
        <v>0</v>
      </c>
      <c r="BY19" s="38">
        <f>IF(AND(U19="○",$A19&gt;=BY$8,$A19&lt;=BY$9),IF(SUM(BY$10:BY18)-ROUNDDOWN($K19*BY$5/100,0)&lt;-BY$6,-BY$6-SUM(BY$10:BY18),-ROUNDDOWN($K19*BY$5/100,0)),0)</f>
        <v>0</v>
      </c>
      <c r="BZ19" s="38">
        <f>IF(AND(V19="○",$A19&gt;=BZ$8,$A19&lt;=BZ$9),IF(SUM(BZ$10:BZ18)-ROUNDDOWN($K19*BZ$5/100,0)&lt;-BZ$6,-BZ$6-SUM(BZ$10:BZ18),-ROUNDDOWN($K19*BZ$5/100,0)),0)</f>
        <v>0</v>
      </c>
      <c r="CA19" s="38">
        <f>IF(AND(W19="○",$A19&gt;=CA$8,$A19&lt;=CA$9),IF(SUM(CA$10:CA18)-ROUNDDOWN($K19*CA$5/100,0)&lt;-CA$6,-CA$6-SUM(CA$10:CA18),-ROUNDDOWN($K19*CA$5/100,0)),0)</f>
        <v>0</v>
      </c>
      <c r="CB19" s="38"/>
      <c r="CC19" s="38"/>
      <c r="CD19" s="38"/>
      <c r="CE19" s="38"/>
      <c r="CF19" s="38"/>
      <c r="CG19" s="65">
        <f t="shared" ref="CG19:CG82" si="47">+SUM(AJ19:CF19,BC19,BE19,AZ19,BA19,BG19,BI19)</f>
        <v>0</v>
      </c>
      <c r="CH19" s="71">
        <f t="shared" ref="CH19:CH82" si="48">+CG19+N19</f>
        <v>0</v>
      </c>
      <c r="CI19" s="1">
        <f t="shared" si="36"/>
        <v>0</v>
      </c>
      <c r="CJ19" s="1"/>
      <c r="CK19" s="72"/>
      <c r="CL19" s="72"/>
      <c r="CM19" s="2"/>
      <c r="CN19" s="2"/>
      <c r="CO19" s="73">
        <f t="shared" si="37"/>
        <v>0</v>
      </c>
      <c r="CP19" s="5">
        <f t="shared" si="38"/>
        <v>0</v>
      </c>
      <c r="CQ19" s="1"/>
      <c r="CR19" s="1">
        <f t="shared" si="39"/>
        <v>0</v>
      </c>
      <c r="CS19" s="1"/>
      <c r="CT19" s="1" t="e">
        <f>INDEX([2]マスタ!$A:$A,MATCH(D19,[2]マスタ!$C:$C,0))</f>
        <v>#N/A</v>
      </c>
      <c r="CU19" s="1" t="str">
        <f t="shared" ca="1" si="40"/>
        <v>20260620_0-0</v>
      </c>
    </row>
    <row r="20" spans="1:99" x14ac:dyDescent="0.4">
      <c r="A20" s="61"/>
      <c r="B20" s="62"/>
      <c r="C20" s="62"/>
      <c r="D20" s="62"/>
      <c r="E20" s="74"/>
      <c r="F20" s="62"/>
      <c r="G20" s="62">
        <v>1</v>
      </c>
      <c r="H20" s="64">
        <f t="shared" si="24"/>
        <v>0</v>
      </c>
      <c r="I20" s="64"/>
      <c r="J20" s="64"/>
      <c r="K20" s="65">
        <f t="shared" si="5"/>
        <v>0</v>
      </c>
      <c r="L20" s="65">
        <f t="shared" si="25"/>
        <v>0</v>
      </c>
      <c r="M20" s="65">
        <f t="shared" si="26"/>
        <v>0</v>
      </c>
      <c r="N20" s="65">
        <f t="shared" si="27"/>
        <v>0</v>
      </c>
      <c r="O20" s="66" t="str">
        <f t="shared" si="9"/>
        <v>✕</v>
      </c>
      <c r="P20" s="67" t="str">
        <f t="shared" si="10"/>
        <v>○</v>
      </c>
      <c r="Q20" s="67" t="str">
        <f t="shared" si="11"/>
        <v>✕</v>
      </c>
      <c r="R20" s="67" t="str">
        <f t="shared" si="12"/>
        <v>✕</v>
      </c>
      <c r="S20" s="68">
        <v>0</v>
      </c>
      <c r="T20" s="69" t="s">
        <v>85</v>
      </c>
      <c r="U20" s="69" t="s">
        <v>85</v>
      </c>
      <c r="V20" s="69" t="s">
        <v>85</v>
      </c>
      <c r="W20" s="69" t="s">
        <v>85</v>
      </c>
      <c r="X20" s="69" t="s">
        <v>84</v>
      </c>
      <c r="Y20" s="69" t="s">
        <v>85</v>
      </c>
      <c r="Z20" s="69" t="s">
        <v>85</v>
      </c>
      <c r="AA20" s="69" t="s">
        <v>85</v>
      </c>
      <c r="AB20" s="69" t="s">
        <v>85</v>
      </c>
      <c r="AC20" s="69" t="s">
        <v>85</v>
      </c>
      <c r="AD20" s="38" t="str">
        <f>+IF(ISERROR(VLOOKUP($B20,AD$10:AD19,1,0)),IF(AND($N20&gt;=1000,$A20&gt;=AO$8,$A20&lt;=AO$9),$B20,""),"")</f>
        <v/>
      </c>
      <c r="AE20" s="38" t="str">
        <f>+IF(ISERROR(VLOOKUP($B20,AE$10:AE19,1,0)),IF(AND($N20&gt;=1000,$A20&gt;=AP$8,$A20&lt;=AP$9),$B20,""),"")</f>
        <v/>
      </c>
      <c r="AF20" s="38" t="str">
        <f>+IF(ISERROR(VLOOKUP($B20,AF$10:AF19,1,0)),IF(AND($N20&gt;=1000,$A20&gt;=AQ$8,$A20&lt;=AQ$9),$B20,""),"")</f>
        <v/>
      </c>
      <c r="AG20" s="38" t="str">
        <f>+IF(ISERROR(VLOOKUP($B20,AG$10:AG19,1,0)),IF(AND($N20&gt;=1000,$A20&gt;=AR$8,$A20&lt;=AR$9),$B20,""),"")</f>
        <v/>
      </c>
      <c r="AH20" s="38"/>
      <c r="AI20" s="70">
        <v>0</v>
      </c>
      <c r="AJ20" s="38">
        <f>IF(AND(AJ$7="○",$A20&gt;=AJ$8,$A20&lt;=AJ$9),IF(SUM(AJ$10:AJ19)-ROUNDDOWN($K20*AJ$5/100,0)&lt;-AJ$6,-AJ$6-SUM(AJ$10:AJ19),-ROUNDDOWN($K20*AJ$5/100,0)),0)</f>
        <v>0</v>
      </c>
      <c r="AK20" s="38">
        <f>IF(AND(AK$7="○",$A20&gt;=AK$8,$A20&lt;=AK$9),IF(SUM(AK$10:AK19)-ROUNDDOWN($L20*AK$5/100,0)&lt;-AK$6,-AK$6-SUM(AK$10:AK19),-ROUNDDOWN($L20*AK$5/100,0)),0)</f>
        <v>0</v>
      </c>
      <c r="AL20" s="38">
        <f>IF(AND(AL$7="○",$A20&gt;=AL$8,$A20&lt;=AL$9),IF(SUM(AL$10:AL19)-ROUNDDOWN($N20*AL$5/100,0)&lt;-AL$6,-AL$6-SUM(AL$10:AL19),-ROUNDDOWN($N20*AL$5/100,0)),0)</f>
        <v>0</v>
      </c>
      <c r="AM20" s="38">
        <f>IF(AND(AM$7="○",$A20&gt;=AM$8,$A20&lt;=AM$9),IF(SUM(AM$10:AM19)-ROUNDDOWN($L20*AM$5/100,0)&lt;-AM$6,-AM$6-SUM(AM$10:AM19),-ROUNDDOWN($L20*AM$5/100,0)),0)</f>
        <v>0</v>
      </c>
      <c r="AN20" s="38">
        <f>IF(AND(AN$7="○",$A20&gt;=AN$8,$A20&lt;=AN$9),IF(SUM(AN$10:AN19)-ROUNDDOWN($M20*AN$5/100,0)&lt;-AN$6,-AN$6-SUM(AN$10:AN19),-ROUNDDOWN($M20*AN$5/100,0)),0)</f>
        <v>0</v>
      </c>
      <c r="AO20" s="38">
        <f>IF(AND($A20&gt;=AO$8,$A20&lt;=AO$9),IF(SUM(AO$10:AO19)-ROUNDDOWN($K20*AO$5/100,0)&lt;-AO$6,-AO$6-SUM(AO$10:AO19),-ROUNDDOWN($K20*AO$5/100,0)),0)</f>
        <v>0</v>
      </c>
      <c r="AP20" s="38">
        <f>IF(AND($A20&gt;=AP$8,$A20&lt;=AP$9),IF(SUM(AP$10:AP19)-ROUNDDOWN($K20*AP$5/100,0)&lt;-AP$6,-AP$6-SUM(AP$10:AP19),-ROUNDDOWN($K20*AP$5/100,0)),0)</f>
        <v>0</v>
      </c>
      <c r="AQ20" s="38">
        <f>IF(AND($A20&gt;=AQ$8,$A20&lt;=AQ$9),IF(SUM(AQ$10:AQ19)-ROUNDDOWN($K20*AQ$5/100,0)&lt;-AQ$6,-AQ$6-SUM(AQ$10:AQ19),-ROUNDDOWN($K20*AQ$5/100,0)),0)</f>
        <v>0</v>
      </c>
      <c r="AR20" s="38">
        <f>IF(AND($A20&gt;=AR$8,$A20&lt;=AR$9),IF(SUM(AR$10:AR19)-ROUNDDOWN($K20*AR$5/100,0)&lt;-AR$6,-AR$6-SUM(AR$10:AR19),-ROUNDDOWN($K20*AR$5/100,0)),0)</f>
        <v>0</v>
      </c>
      <c r="AS20" s="38">
        <f>IF(SUMIFS(AS$10:AS19,$A$10:$A19,$A20)-ROUNDDOWN($K20*$S20/100,0)&lt;-$S20*1000,-$S20*1000-SUMIFS(AS$10:AS19,$A$10:$A19,$A20),-ROUNDDOWN($K20*$S20/100,0))</f>
        <v>0</v>
      </c>
      <c r="AT20" s="38">
        <f>IF(AND(X20="○",$A20&gt;=AT$8,$A20&lt;=AT$9,K20&gt;=3980),IF(SUM(AT$10:AT19)-ROUNDDOWN($K20*AT$5/100,0)&lt;-AT$6,-AT$6-SUM(AT$10:AT19),-ROUNDDOWN($K20*AT$5/100,0)),0)</f>
        <v>0</v>
      </c>
      <c r="AU20" s="38">
        <f>IF(O20="○",IF(SUM(AU$10:AU19)-ROUNDDOWN($K20*AU$5/100,0)&lt;-AU$6,-AU$6-SUM(AU$10:AU19),-ROUNDDOWN($K20*AU$5/100,0)),0)</f>
        <v>0</v>
      </c>
      <c r="AV20" s="38">
        <f>IF(P20="○",IF(SUM(AV$10:AV19)-ROUNDDOWN($K20*AV$5/100,0)&lt;-AV$6,-AV$6-SUM(AV$10:AV19),-ROUNDDOWN($K20*AV$5/100,0)),0)</f>
        <v>0</v>
      </c>
      <c r="AW20" s="38">
        <f>IF(Q20="○",IF(SUM(AW$10:AW19)-ROUNDDOWN($K20*AW$5/100,0)&lt;-AW$6,-AW$6-SUM(AW$10:AW19),-ROUNDDOWN($K20*AW$5/100,0)),0)</f>
        <v>0</v>
      </c>
      <c r="AX20" s="38">
        <f>IF(R20="○",IF(SUM(AX$10:AX19)-ROUNDDOWN($K20*AX$5/100,0)&lt;-AX$6,-AX$6-SUM(AX$10:AX19),-ROUNDDOWN($K20*AX$5/100,0)),0)</f>
        <v>0</v>
      </c>
      <c r="AY20" s="70">
        <v>0</v>
      </c>
      <c r="AZ20" s="65">
        <f t="shared" si="41"/>
        <v>0</v>
      </c>
      <c r="BA20" s="65">
        <f t="shared" si="42"/>
        <v>0</v>
      </c>
      <c r="BB20" s="70"/>
      <c r="BC20" s="65">
        <f t="shared" si="43"/>
        <v>0</v>
      </c>
      <c r="BD20" s="70">
        <v>0</v>
      </c>
      <c r="BE20" s="65">
        <f t="shared" si="44"/>
        <v>0</v>
      </c>
      <c r="BF20" s="70">
        <v>0</v>
      </c>
      <c r="BG20" s="65">
        <f t="shared" si="45"/>
        <v>0</v>
      </c>
      <c r="BH20" s="70">
        <v>0</v>
      </c>
      <c r="BI20" s="65">
        <f t="shared" si="46"/>
        <v>0</v>
      </c>
      <c r="BJ20" s="38">
        <f>IF(AND(BJ$7="○",$A20&gt;=BJ$8,$A20&lt;=BJ$9),IF(SUM(BJ$10:BJ19)-ROUNDDOWN($M20*BJ$5/100,0)&lt;-BJ$6,-BJ$6-SUM(BJ$10:BJ19),-ROUNDDOWN($M20*BJ$5/100,0)),0)</f>
        <v>0</v>
      </c>
      <c r="BK20" s="38">
        <f>IF(AND(BK$7="○",$A20&gt;=BK$8,$A20&lt;=BK$9),IF(SUM(BK$10:BK19)-ROUNDDOWN($L20*BK$5/100,0)&lt;-BK$6,-BK$6-SUM(BK$10:BK19),-ROUNDDOWN($L20*BK$5/100,0)),0)</f>
        <v>0</v>
      </c>
      <c r="BL20" s="38">
        <f>IF(AND(BL$7="○",$A20&gt;=BL$8,$A20&lt;=BL$9),IF(SUM(BL$10:BL19)-ROUNDDOWN($L20*BL$5/100,0)&lt;-BL$6,-BL$6-SUM(BL$10:BL19),-ROUNDDOWN($L20*BL$5/100,0)),0)</f>
        <v>0</v>
      </c>
      <c r="BM20" s="38">
        <f>IF(AND(BM$7="○",$A20&gt;=BM$8,$A20&lt;=BM$9),IF(SUM(BM$10:BM19)-ROUNDDOWN($M20*BM$5/100,0)&lt;-BM$6,-BM$6-SUM(BM$10:BM19),-ROUNDDOWN($M20*BM$5/100,0)),0)</f>
        <v>0</v>
      </c>
      <c r="BN20" s="38">
        <f>IF(AND(BN$7="○",$A20&gt;=BN$8,$A20&lt;=BN$9),IF(SUM(BN$10:BN19)-ROUNDDOWN($M20*BN$5/100,0)&lt;-BN$6,-BN$6-SUM(BN$10:BN19),-ROUNDDOWN($M20*BN$5/100,0)),0)</f>
        <v>0</v>
      </c>
      <c r="BO20" s="38">
        <f>IF(AND(BO$7="○",$A20&gt;=BO$8,$A20&lt;=BO$9),IF(SUM(BO$10:BO19)-ROUNDDOWN($M20*BO$5/100,0)&lt;-BO$6,-BO$6-SUM(BO$10:BO19),-ROUNDDOWN($M20*BO$5/100,0)),0)</f>
        <v>0</v>
      </c>
      <c r="BP20" s="38">
        <f>IF(AND(BP$7="○",$A20&gt;=BP$8,$A20&lt;=BP$9),IF(SUM(BP$10:BP19)-ROUNDDOWN($M20*BP$5/100,0)&lt;-BP$6,-BP$6-SUM(BP$10:BP19),-ROUNDDOWN($M20*BP$5/100,0)),0)</f>
        <v>0</v>
      </c>
      <c r="BQ20" s="38">
        <f>IF(AND(BQ$7="○",$A20&gt;=BQ$8,$A20&lt;=BQ$9),IF(SUM(BQ$10:BQ19)-ROUNDDOWN($L20*BQ$5/100,0)&lt;-BQ$6,-BQ$6-SUM(BQ$10:BQ19),-ROUNDDOWN($L20*BQ$5/100,0)),0)</f>
        <v>0</v>
      </c>
      <c r="BR20" s="38">
        <f>IF(AND(BR$7="○",$A20&gt;=BR$8,$A20&lt;=BR$9),IF(SUM(BR$10:BR19)-ROUNDDOWN($M20*BR$5/100,0)&lt;-BR$6,-BR$6-SUM(BR$10:BR19),-ROUNDDOWN($M20*BR$5/100,0)),0)</f>
        <v>0</v>
      </c>
      <c r="BS20" s="38">
        <f>IF(AND(BS$7="○",$A20&gt;=BS$8,$A20&lt;=BS$9),IF(SUM(BS$10:BS19)-ROUNDDOWN($M20*BS$5/100,0)&lt;-BS$6,-BS$6-SUM(BS$10:BS19),-ROUNDDOWN($M20*BS$5/100,0)),0)</f>
        <v>0</v>
      </c>
      <c r="BT20" s="38">
        <f>IF(AND(BT$7="○",$A20&gt;=BT$8,$A20&lt;=BT$9),IF(SUM(BT$10:BT19)-ROUNDDOWN($M20*BT$5/100,0)&lt;-BT$6,-BT$6-SUM(BT$10:BT19),-ROUNDDOWN($M20*BT$5/100,0)),0)</f>
        <v>0</v>
      </c>
      <c r="BU20" s="38">
        <f>IF(AND(BU$7="○",$A20&gt;=BU$8,$A20&lt;=BU$9),IF(SUM(BU$10:BU19)-ROUNDDOWN($M20*BU$5/100,0)&lt;-BU$6,-BU$6-SUM(BU$10:BU19),-ROUNDDOWN($M20*BU$5/100,0)),0)</f>
        <v>0</v>
      </c>
      <c r="BV20" s="38">
        <f>IF(AND(BV$7="○",$A20&gt;=BV$8,$A20&lt;=BV$9),IF(SUM(BV$10:BV19)-ROUNDDOWN($M20*BV$5/100,0)&lt;-BV$6,-BV$6-SUM(BV$10:BV19),-ROUNDDOWN($M20*BV$5/100,0)),0)</f>
        <v>0</v>
      </c>
      <c r="BW20" s="38">
        <f>IF(AND(BW$7="○",$A20&gt;=BW$8,$A20&lt;=BW$9),IF(SUM(BW$10:BW19)-ROUNDDOWN($M20*BW$5/100,0)&lt;-BW$6,-BW$6-SUM(BW$10:BW19),-ROUNDDOWN($M20*BW$5/100,0)),0)</f>
        <v>0</v>
      </c>
      <c r="BX20" s="38">
        <f>IF(AND(T20="○",$A20&gt;=BX$8,$A20&lt;=BX$9),IF(SUM(BX$10:BX19)-ROUNDDOWN($K20*BX$5/100,0)&lt;-BX$6,-BX$6-SUM(BX$10:BX19),-ROUNDDOWN($K20*BX$5/100,0)),0)</f>
        <v>0</v>
      </c>
      <c r="BY20" s="38">
        <f>IF(AND(U20="○",$A20&gt;=BY$8,$A20&lt;=BY$9),IF(SUM(BY$10:BY19)-ROUNDDOWN($K20*BY$5/100,0)&lt;-BY$6,-BY$6-SUM(BY$10:BY19),-ROUNDDOWN($K20*BY$5/100,0)),0)</f>
        <v>0</v>
      </c>
      <c r="BZ20" s="38">
        <f>IF(AND(V20="○",$A20&gt;=BZ$8,$A20&lt;=BZ$9),IF(SUM(BZ$10:BZ19)-ROUNDDOWN($K20*BZ$5/100,0)&lt;-BZ$6,-BZ$6-SUM(BZ$10:BZ19),-ROUNDDOWN($K20*BZ$5/100,0)),0)</f>
        <v>0</v>
      </c>
      <c r="CA20" s="38">
        <f>IF(AND(W20="○",$A20&gt;=CA$8,$A20&lt;=CA$9),IF(SUM(CA$10:CA19)-ROUNDDOWN($K20*CA$5/100,0)&lt;-CA$6,-CA$6-SUM(CA$10:CA19),-ROUNDDOWN($K20*CA$5/100,0)),0)</f>
        <v>0</v>
      </c>
      <c r="CB20" s="38"/>
      <c r="CC20" s="38"/>
      <c r="CD20" s="38"/>
      <c r="CE20" s="38"/>
      <c r="CF20" s="38"/>
      <c r="CG20" s="65">
        <f t="shared" si="47"/>
        <v>0</v>
      </c>
      <c r="CH20" s="71">
        <f t="shared" si="48"/>
        <v>0</v>
      </c>
      <c r="CI20" s="1">
        <f t="shared" si="36"/>
        <v>0</v>
      </c>
      <c r="CJ20" s="1"/>
      <c r="CK20" s="72"/>
      <c r="CL20" s="72"/>
      <c r="CM20" s="2"/>
      <c r="CN20" s="2"/>
      <c r="CO20" s="73">
        <f t="shared" si="37"/>
        <v>0</v>
      </c>
      <c r="CP20" s="5">
        <f t="shared" si="38"/>
        <v>0</v>
      </c>
      <c r="CQ20" s="1"/>
      <c r="CR20" s="1">
        <f t="shared" si="39"/>
        <v>0</v>
      </c>
      <c r="CS20" s="1"/>
      <c r="CT20" s="1" t="e">
        <f>INDEX([2]マスタ!$A:$A,MATCH(D20,[2]マスタ!$C:$C,0))</f>
        <v>#N/A</v>
      </c>
      <c r="CU20" s="1" t="str">
        <f t="shared" ca="1" si="40"/>
        <v>20260620_0-0</v>
      </c>
    </row>
    <row r="21" spans="1:99" x14ac:dyDescent="0.4">
      <c r="A21" s="61"/>
      <c r="B21" s="62"/>
      <c r="C21" s="62"/>
      <c r="D21" s="62"/>
      <c r="E21" s="74"/>
      <c r="F21" s="62"/>
      <c r="G21" s="62">
        <v>1</v>
      </c>
      <c r="H21" s="64">
        <f t="shared" si="24"/>
        <v>0</v>
      </c>
      <c r="I21" s="64"/>
      <c r="J21" s="64"/>
      <c r="K21" s="65">
        <f t="shared" si="5"/>
        <v>0</v>
      </c>
      <c r="L21" s="65">
        <f t="shared" si="25"/>
        <v>0</v>
      </c>
      <c r="M21" s="65">
        <f t="shared" si="26"/>
        <v>0</v>
      </c>
      <c r="N21" s="65">
        <f t="shared" si="27"/>
        <v>0</v>
      </c>
      <c r="O21" s="66" t="str">
        <f t="shared" si="9"/>
        <v>✕</v>
      </c>
      <c r="P21" s="67" t="str">
        <f t="shared" si="10"/>
        <v>○</v>
      </c>
      <c r="Q21" s="67" t="str">
        <f t="shared" si="11"/>
        <v>✕</v>
      </c>
      <c r="R21" s="67" t="str">
        <f t="shared" si="12"/>
        <v>✕</v>
      </c>
      <c r="S21" s="68">
        <v>0</v>
      </c>
      <c r="T21" s="69" t="s">
        <v>85</v>
      </c>
      <c r="U21" s="69" t="s">
        <v>85</v>
      </c>
      <c r="V21" s="69" t="s">
        <v>85</v>
      </c>
      <c r="W21" s="69" t="s">
        <v>85</v>
      </c>
      <c r="X21" s="69" t="s">
        <v>84</v>
      </c>
      <c r="Y21" s="69" t="s">
        <v>85</v>
      </c>
      <c r="Z21" s="69" t="s">
        <v>85</v>
      </c>
      <c r="AA21" s="69" t="s">
        <v>85</v>
      </c>
      <c r="AB21" s="69" t="s">
        <v>85</v>
      </c>
      <c r="AC21" s="69" t="s">
        <v>85</v>
      </c>
      <c r="AD21" s="38" t="str">
        <f>+IF(ISERROR(VLOOKUP($B21,AD$10:AD20,1,0)),IF(AND($N21&gt;=1000,$A21&gt;=AO$8,$A21&lt;=AO$9),$B21,""),"")</f>
        <v/>
      </c>
      <c r="AE21" s="38" t="str">
        <f>+IF(ISERROR(VLOOKUP($B21,AE$10:AE20,1,0)),IF(AND($N21&gt;=1000,$A21&gt;=AP$8,$A21&lt;=AP$9),$B21,""),"")</f>
        <v/>
      </c>
      <c r="AF21" s="38" t="str">
        <f>+IF(ISERROR(VLOOKUP($B21,AF$10:AF20,1,0)),IF(AND($N21&gt;=1000,$A21&gt;=AQ$8,$A21&lt;=AQ$9),$B21,""),"")</f>
        <v/>
      </c>
      <c r="AG21" s="38" t="str">
        <f>+IF(ISERROR(VLOOKUP($B21,AG$10:AG20,1,0)),IF(AND($N21&gt;=1000,$A21&gt;=AR$8,$A21&lt;=AR$9),$B21,""),"")</f>
        <v/>
      </c>
      <c r="AH21" s="38"/>
      <c r="AI21" s="70">
        <v>0</v>
      </c>
      <c r="AJ21" s="38">
        <f>IF(AND(AJ$7="○",$A21&gt;=AJ$8,$A21&lt;=AJ$9),IF(SUM(AJ$10:AJ20)-ROUNDDOWN($K21*AJ$5/100,0)&lt;-AJ$6,-AJ$6-SUM(AJ$10:AJ20),-ROUNDDOWN($K21*AJ$5/100,0)),0)</f>
        <v>0</v>
      </c>
      <c r="AK21" s="38">
        <f>IF(AND(AK$7="○",$A21&gt;=AK$8,$A21&lt;=AK$9),IF(SUM(AK$10:AK20)-ROUNDDOWN($L21*AK$5/100,0)&lt;-AK$6,-AK$6-SUM(AK$10:AK20),-ROUNDDOWN($L21*AK$5/100,0)),0)</f>
        <v>0</v>
      </c>
      <c r="AL21" s="38">
        <f>IF(AND(AL$7="○",$A21&gt;=AL$8,$A21&lt;=AL$9),IF(SUM(AL$10:AL20)-ROUNDDOWN($N21*AL$5/100,0)&lt;-AL$6,-AL$6-SUM(AL$10:AL20),-ROUNDDOWN($N21*AL$5/100,0)),0)</f>
        <v>0</v>
      </c>
      <c r="AM21" s="38">
        <f>IF(AND(AM$7="○",$A21&gt;=AM$8,$A21&lt;=AM$9),IF(SUM(AM$10:AM20)-ROUNDDOWN($L21*AM$5/100,0)&lt;-AM$6,-AM$6-SUM(AM$10:AM20),-ROUNDDOWN($L21*AM$5/100,0)),0)</f>
        <v>0</v>
      </c>
      <c r="AN21" s="38">
        <f>IF(AND(AN$7="○",$A21&gt;=AN$8,$A21&lt;=AN$9),IF(SUM(AN$10:AN20)-ROUNDDOWN($M21*AN$5/100,0)&lt;-AN$6,-AN$6-SUM(AN$10:AN20),-ROUNDDOWN($M21*AN$5/100,0)),0)</f>
        <v>0</v>
      </c>
      <c r="AO21" s="38">
        <f>IF(AND($A21&gt;=AO$8,$A21&lt;=AO$9),IF(SUM(AO$10:AO20)-ROUNDDOWN($K21*AO$5/100,0)&lt;-AO$6,-AO$6-SUM(AO$10:AO20),-ROUNDDOWN($K21*AO$5/100,0)),0)</f>
        <v>0</v>
      </c>
      <c r="AP21" s="38">
        <f>IF(AND($A21&gt;=AP$8,$A21&lt;=AP$9),IF(SUM(AP$10:AP20)-ROUNDDOWN($K21*AP$5/100,0)&lt;-AP$6,-AP$6-SUM(AP$10:AP20),-ROUNDDOWN($K21*AP$5/100,0)),0)</f>
        <v>0</v>
      </c>
      <c r="AQ21" s="38">
        <f>IF(AND($A21&gt;=AQ$8,$A21&lt;=AQ$9),IF(SUM(AQ$10:AQ20)-ROUNDDOWN($K21*AQ$5/100,0)&lt;-AQ$6,-AQ$6-SUM(AQ$10:AQ20),-ROUNDDOWN($K21*AQ$5/100,0)),0)</f>
        <v>0</v>
      </c>
      <c r="AR21" s="38">
        <f>IF(AND($A21&gt;=AR$8,$A21&lt;=AR$9),IF(SUM(AR$10:AR20)-ROUNDDOWN($K21*AR$5/100,0)&lt;-AR$6,-AR$6-SUM(AR$10:AR20),-ROUNDDOWN($K21*AR$5/100,0)),0)</f>
        <v>0</v>
      </c>
      <c r="AS21" s="38">
        <f>IF(SUMIFS(AS$10:AS20,$A$10:$A20,$A21)-ROUNDDOWN($K21*$S21/100,0)&lt;-$S21*1000,-$S21*1000-SUMIFS(AS$10:AS20,$A$10:$A20,$A21),-ROUNDDOWN($K21*$S21/100,0))</f>
        <v>0</v>
      </c>
      <c r="AT21" s="38">
        <f>IF(AND(X21="○",$A21&gt;=AT$8,$A21&lt;=AT$9,K21&gt;=3980),IF(SUM(AT$10:AT20)-ROUNDDOWN($K21*AT$5/100,0)&lt;-AT$6,-AT$6-SUM(AT$10:AT20),-ROUNDDOWN($K21*AT$5/100,0)),0)</f>
        <v>0</v>
      </c>
      <c r="AU21" s="38">
        <f>IF(O21="○",IF(SUM(AU$10:AU20)-ROUNDDOWN($K21*AU$5/100,0)&lt;-AU$6,-AU$6-SUM(AU$10:AU20),-ROUNDDOWN($K21*AU$5/100,0)),0)</f>
        <v>0</v>
      </c>
      <c r="AV21" s="38">
        <f>IF(P21="○",IF(SUM(AV$10:AV20)-ROUNDDOWN($K21*AV$5/100,0)&lt;-AV$6,-AV$6-SUM(AV$10:AV20),-ROUNDDOWN($K21*AV$5/100,0)),0)</f>
        <v>0</v>
      </c>
      <c r="AW21" s="38">
        <f>IF(Q21="○",IF(SUM(AW$10:AW20)-ROUNDDOWN($K21*AW$5/100,0)&lt;-AW$6,-AW$6-SUM(AW$10:AW20),-ROUNDDOWN($K21*AW$5/100,0)),0)</f>
        <v>0</v>
      </c>
      <c r="AX21" s="38">
        <f>IF(R21="○",IF(SUM(AX$10:AX20)-ROUNDDOWN($K21*AX$5/100,0)&lt;-AX$6,-AX$6-SUM(AX$10:AX20),-ROUNDDOWN($K21*AX$5/100,0)),0)</f>
        <v>0</v>
      </c>
      <c r="AY21" s="70">
        <v>0</v>
      </c>
      <c r="AZ21" s="65">
        <f t="shared" si="41"/>
        <v>0</v>
      </c>
      <c r="BA21" s="65">
        <f t="shared" si="42"/>
        <v>0</v>
      </c>
      <c r="BB21" s="70"/>
      <c r="BC21" s="65">
        <f t="shared" si="43"/>
        <v>0</v>
      </c>
      <c r="BD21" s="70">
        <v>0</v>
      </c>
      <c r="BE21" s="65">
        <f t="shared" si="44"/>
        <v>0</v>
      </c>
      <c r="BF21" s="70">
        <v>0</v>
      </c>
      <c r="BG21" s="65">
        <f t="shared" si="45"/>
        <v>0</v>
      </c>
      <c r="BH21" s="70">
        <v>0</v>
      </c>
      <c r="BI21" s="65">
        <f t="shared" si="46"/>
        <v>0</v>
      </c>
      <c r="BJ21" s="38">
        <f>IF(AND(BJ$7="○",$A21&gt;=BJ$8,$A21&lt;=BJ$9),IF(SUM(BJ$10:BJ20)-ROUNDDOWN($M21*BJ$5/100,0)&lt;-BJ$6,-BJ$6-SUM(BJ$10:BJ20),-ROUNDDOWN($M21*BJ$5/100,0)),0)</f>
        <v>0</v>
      </c>
      <c r="BK21" s="38">
        <f>IF(AND(BK$7="○",$A21&gt;=BK$8,$A21&lt;=BK$9),IF(SUM(BK$10:BK20)-ROUNDDOWN($L21*BK$5/100,0)&lt;-BK$6,-BK$6-SUM(BK$10:BK20),-ROUNDDOWN($L21*BK$5/100,0)),0)</f>
        <v>0</v>
      </c>
      <c r="BL21" s="38">
        <f>IF(AND(BL$7="○",$A21&gt;=BL$8,$A21&lt;=BL$9),IF(SUM(BL$10:BL20)-ROUNDDOWN($L21*BL$5/100,0)&lt;-BL$6,-BL$6-SUM(BL$10:BL20),-ROUNDDOWN($L21*BL$5/100,0)),0)</f>
        <v>0</v>
      </c>
      <c r="BM21" s="38">
        <f>IF(AND(BM$7="○",$A21&gt;=BM$8,$A21&lt;=BM$9),IF(SUM(BM$10:BM20)-ROUNDDOWN($M21*BM$5/100,0)&lt;-BM$6,-BM$6-SUM(BM$10:BM20),-ROUNDDOWN($M21*BM$5/100,0)),0)</f>
        <v>0</v>
      </c>
      <c r="BN21" s="38">
        <f>IF(AND(BN$7="○",$A21&gt;=BN$8,$A21&lt;=BN$9),IF(SUM(BN$10:BN20)-ROUNDDOWN($M21*BN$5/100,0)&lt;-BN$6,-BN$6-SUM(BN$10:BN20),-ROUNDDOWN($M21*BN$5/100,0)),0)</f>
        <v>0</v>
      </c>
      <c r="BO21" s="38">
        <f>IF(AND(BO$7="○",$A21&gt;=BO$8,$A21&lt;=BO$9),IF(SUM(BO$10:BO20)-ROUNDDOWN($M21*BO$5/100,0)&lt;-BO$6,-BO$6-SUM(BO$10:BO20),-ROUNDDOWN($M21*BO$5/100,0)),0)</f>
        <v>0</v>
      </c>
      <c r="BP21" s="38">
        <f>IF(AND(BP$7="○",$A21&gt;=BP$8,$A21&lt;=BP$9),IF(SUM(BP$10:BP20)-ROUNDDOWN($M21*BP$5/100,0)&lt;-BP$6,-BP$6-SUM(BP$10:BP20),-ROUNDDOWN($M21*BP$5/100,0)),0)</f>
        <v>0</v>
      </c>
      <c r="BQ21" s="38">
        <f>IF(AND(BQ$7="○",$A21&gt;=BQ$8,$A21&lt;=BQ$9),IF(SUM(BQ$10:BQ20)-ROUNDDOWN($L21*BQ$5/100,0)&lt;-BQ$6,-BQ$6-SUM(BQ$10:BQ20),-ROUNDDOWN($L21*BQ$5/100,0)),0)</f>
        <v>0</v>
      </c>
      <c r="BR21" s="38">
        <f>IF(AND(BR$7="○",$A21&gt;=BR$8,$A21&lt;=BR$9),IF(SUM(BR$10:BR20)-ROUNDDOWN($M21*BR$5/100,0)&lt;-BR$6,-BR$6-SUM(BR$10:BR20),-ROUNDDOWN($M21*BR$5/100,0)),0)</f>
        <v>0</v>
      </c>
      <c r="BS21" s="38">
        <f>IF(AND(BS$7="○",$A21&gt;=BS$8,$A21&lt;=BS$9),IF(SUM(BS$10:BS20)-ROUNDDOWN($M21*BS$5/100,0)&lt;-BS$6,-BS$6-SUM(BS$10:BS20),-ROUNDDOWN($M21*BS$5/100,0)),0)</f>
        <v>0</v>
      </c>
      <c r="BT21" s="38">
        <f>IF(AND(BT$7="○",$A21&gt;=BT$8,$A21&lt;=BT$9),IF(SUM(BT$10:BT20)-ROUNDDOWN($M21*BT$5/100,0)&lt;-BT$6,-BT$6-SUM(BT$10:BT20),-ROUNDDOWN($M21*BT$5/100,0)),0)</f>
        <v>0</v>
      </c>
      <c r="BU21" s="38">
        <f>IF(AND(BU$7="○",$A21&gt;=BU$8,$A21&lt;=BU$9),IF(SUM(BU$10:BU20)-ROUNDDOWN($M21*BU$5/100,0)&lt;-BU$6,-BU$6-SUM(BU$10:BU20),-ROUNDDOWN($M21*BU$5/100,0)),0)</f>
        <v>0</v>
      </c>
      <c r="BV21" s="38">
        <f>IF(AND(BV$7="○",$A21&gt;=BV$8,$A21&lt;=BV$9),IF(SUM(BV$10:BV20)-ROUNDDOWN($M21*BV$5/100,0)&lt;-BV$6,-BV$6-SUM(BV$10:BV20),-ROUNDDOWN($M21*BV$5/100,0)),0)</f>
        <v>0</v>
      </c>
      <c r="BW21" s="38">
        <f>IF(AND(BW$7="○",$A21&gt;=BW$8,$A21&lt;=BW$9),IF(SUM(BW$10:BW20)-ROUNDDOWN($M21*BW$5/100,0)&lt;-BW$6,-BW$6-SUM(BW$10:BW20),-ROUNDDOWN($M21*BW$5/100,0)),0)</f>
        <v>0</v>
      </c>
      <c r="BX21" s="38">
        <f>IF(AND(T21="○",$A21&gt;=BX$8,$A21&lt;=BX$9),IF(SUM(BX$10:BX20)-ROUNDDOWN($K21*BX$5/100,0)&lt;-BX$6,-BX$6-SUM(BX$10:BX20),-ROUNDDOWN($K21*BX$5/100,0)),0)</f>
        <v>0</v>
      </c>
      <c r="BY21" s="38">
        <f>IF(AND(U21="○",$A21&gt;=BY$8,$A21&lt;=BY$9),IF(SUM(BY$10:BY20)-ROUNDDOWN($K21*BY$5/100,0)&lt;-BY$6,-BY$6-SUM(BY$10:BY20),-ROUNDDOWN($K21*BY$5/100,0)),0)</f>
        <v>0</v>
      </c>
      <c r="BZ21" s="38">
        <f>IF(AND(V21="○",$A21&gt;=BZ$8,$A21&lt;=BZ$9),IF(SUM(BZ$10:BZ20)-ROUNDDOWN($K21*BZ$5/100,0)&lt;-BZ$6,-BZ$6-SUM(BZ$10:BZ20),-ROUNDDOWN($K21*BZ$5/100,0)),0)</f>
        <v>0</v>
      </c>
      <c r="CA21" s="38">
        <f>IF(AND(W21="○",$A21&gt;=CA$8,$A21&lt;=CA$9),IF(SUM(CA$10:CA20)-ROUNDDOWN($K21*CA$5/100,0)&lt;-CA$6,-CA$6-SUM(CA$10:CA20),-ROUNDDOWN($K21*CA$5/100,0)),0)</f>
        <v>0</v>
      </c>
      <c r="CB21" s="38"/>
      <c r="CC21" s="38"/>
      <c r="CD21" s="38"/>
      <c r="CE21" s="38"/>
      <c r="CF21" s="38"/>
      <c r="CG21" s="65">
        <f t="shared" si="47"/>
        <v>0</v>
      </c>
      <c r="CH21" s="71">
        <f t="shared" si="48"/>
        <v>0</v>
      </c>
      <c r="CI21" s="1">
        <f t="shared" si="36"/>
        <v>0</v>
      </c>
      <c r="CJ21" s="1"/>
      <c r="CK21" s="72"/>
      <c r="CL21" s="72"/>
      <c r="CM21" s="2"/>
      <c r="CN21" s="2"/>
      <c r="CO21" s="73">
        <f t="shared" si="37"/>
        <v>0</v>
      </c>
      <c r="CP21" s="5">
        <f t="shared" si="38"/>
        <v>0</v>
      </c>
      <c r="CQ21" s="1"/>
      <c r="CR21" s="1">
        <f t="shared" si="39"/>
        <v>0</v>
      </c>
      <c r="CS21" s="1"/>
      <c r="CT21" s="1" t="e">
        <f>INDEX([2]マスタ!$A:$A,MATCH(D21,[2]マスタ!$C:$C,0))</f>
        <v>#N/A</v>
      </c>
      <c r="CU21" s="1" t="str">
        <f t="shared" ca="1" si="40"/>
        <v>20260620_0-0</v>
      </c>
    </row>
    <row r="22" spans="1:99" x14ac:dyDescent="0.4">
      <c r="A22" s="61"/>
      <c r="B22" s="62"/>
      <c r="C22" s="62"/>
      <c r="D22" s="62"/>
      <c r="E22" s="74"/>
      <c r="F22" s="62"/>
      <c r="G22" s="62">
        <v>1</v>
      </c>
      <c r="H22" s="64">
        <f t="shared" si="24"/>
        <v>0</v>
      </c>
      <c r="I22" s="64"/>
      <c r="J22" s="64"/>
      <c r="K22" s="65">
        <f t="shared" si="5"/>
        <v>0</v>
      </c>
      <c r="L22" s="65">
        <f t="shared" si="25"/>
        <v>0</v>
      </c>
      <c r="M22" s="65">
        <f t="shared" si="26"/>
        <v>0</v>
      </c>
      <c r="N22" s="65">
        <f t="shared" si="27"/>
        <v>0</v>
      </c>
      <c r="O22" s="66" t="str">
        <f t="shared" si="9"/>
        <v>✕</v>
      </c>
      <c r="P22" s="67" t="str">
        <f t="shared" si="10"/>
        <v>○</v>
      </c>
      <c r="Q22" s="67" t="str">
        <f t="shared" si="11"/>
        <v>✕</v>
      </c>
      <c r="R22" s="67" t="str">
        <f t="shared" si="12"/>
        <v>✕</v>
      </c>
      <c r="S22" s="68">
        <v>0</v>
      </c>
      <c r="T22" s="69" t="s">
        <v>85</v>
      </c>
      <c r="U22" s="69" t="s">
        <v>85</v>
      </c>
      <c r="V22" s="69" t="s">
        <v>85</v>
      </c>
      <c r="W22" s="69" t="s">
        <v>85</v>
      </c>
      <c r="X22" s="69" t="s">
        <v>84</v>
      </c>
      <c r="Y22" s="69" t="s">
        <v>85</v>
      </c>
      <c r="Z22" s="69" t="s">
        <v>85</v>
      </c>
      <c r="AA22" s="69" t="s">
        <v>85</v>
      </c>
      <c r="AB22" s="69" t="s">
        <v>85</v>
      </c>
      <c r="AC22" s="69" t="s">
        <v>85</v>
      </c>
      <c r="AD22" s="38" t="str">
        <f>+IF(ISERROR(VLOOKUP($B22,AD$10:AD21,1,0)),IF(AND($N22&gt;=1000,$A22&gt;=AO$8,$A22&lt;=AO$9),$B22,""),"")</f>
        <v/>
      </c>
      <c r="AE22" s="38" t="str">
        <f>+IF(ISERROR(VLOOKUP($B22,AE$10:AE21,1,0)),IF(AND($N22&gt;=1000,$A22&gt;=AP$8,$A22&lt;=AP$9),$B22,""),"")</f>
        <v/>
      </c>
      <c r="AF22" s="38" t="str">
        <f>+IF(ISERROR(VLOOKUP($B22,AF$10:AF21,1,0)),IF(AND($N22&gt;=1000,$A22&gt;=AQ$8,$A22&lt;=AQ$9),$B22,""),"")</f>
        <v/>
      </c>
      <c r="AG22" s="38" t="str">
        <f>+IF(ISERROR(VLOOKUP($B22,AG$10:AG21,1,0)),IF(AND($N22&gt;=1000,$A22&gt;=AR$8,$A22&lt;=AR$9),$B22,""),"")</f>
        <v/>
      </c>
      <c r="AH22" s="38"/>
      <c r="AI22" s="70">
        <v>0</v>
      </c>
      <c r="AJ22" s="38">
        <f>IF(AND(AJ$7="○",$A22&gt;=AJ$8,$A22&lt;=AJ$9),IF(SUM(AJ$10:AJ21)-ROUNDDOWN($K22*AJ$5/100,0)&lt;-AJ$6,-AJ$6-SUM(AJ$10:AJ21),-ROUNDDOWN($K22*AJ$5/100,0)),0)</f>
        <v>0</v>
      </c>
      <c r="AK22" s="38">
        <f>IF(AND(AK$7="○",$A22&gt;=AK$8,$A22&lt;=AK$9),IF(SUM(AK$10:AK21)-ROUNDDOWN($L22*AK$5/100,0)&lt;-AK$6,-AK$6-SUM(AK$10:AK21),-ROUNDDOWN($L22*AK$5/100,0)),0)</f>
        <v>0</v>
      </c>
      <c r="AL22" s="38">
        <f>IF(AND(AL$7="○",$A22&gt;=AL$8,$A22&lt;=AL$9),IF(SUM(AL$10:AL21)-ROUNDDOWN($N22*AL$5/100,0)&lt;-AL$6,-AL$6-SUM(AL$10:AL21),-ROUNDDOWN($N22*AL$5/100,0)),0)</f>
        <v>0</v>
      </c>
      <c r="AM22" s="38">
        <f>IF(AND(AM$7="○",$A22&gt;=AM$8,$A22&lt;=AM$9),IF(SUM(AM$10:AM21)-ROUNDDOWN($L22*AM$5/100,0)&lt;-AM$6,-AM$6-SUM(AM$10:AM21),-ROUNDDOWN($L22*AM$5/100,0)),0)</f>
        <v>0</v>
      </c>
      <c r="AN22" s="38">
        <f>IF(AND(AN$7="○",$A22&gt;=AN$8,$A22&lt;=AN$9),IF(SUM(AN$10:AN21)-ROUNDDOWN($M22*AN$5/100,0)&lt;-AN$6,-AN$6-SUM(AN$10:AN21),-ROUNDDOWN($M22*AN$5/100,0)),0)</f>
        <v>0</v>
      </c>
      <c r="AO22" s="38">
        <f>IF(AND($A22&gt;=AO$8,$A22&lt;=AO$9),IF(SUM(AO$10:AO21)-ROUNDDOWN($K22*AO$5/100,0)&lt;-AO$6,-AO$6-SUM(AO$10:AO21),-ROUNDDOWN($K22*AO$5/100,0)),0)</f>
        <v>0</v>
      </c>
      <c r="AP22" s="38">
        <f>IF(AND($A22&gt;=AP$8,$A22&lt;=AP$9),IF(SUM(AP$10:AP21)-ROUNDDOWN($K22*AP$5/100,0)&lt;-AP$6,-AP$6-SUM(AP$10:AP21),-ROUNDDOWN($K22*AP$5/100,0)),0)</f>
        <v>0</v>
      </c>
      <c r="AQ22" s="38">
        <f>IF(AND($A22&gt;=AQ$8,$A22&lt;=AQ$9),IF(SUM(AQ$10:AQ21)-ROUNDDOWN($K22*AQ$5/100,0)&lt;-AQ$6,-AQ$6-SUM(AQ$10:AQ21),-ROUNDDOWN($K22*AQ$5/100,0)),0)</f>
        <v>0</v>
      </c>
      <c r="AR22" s="38">
        <f>IF(AND($A22&gt;=AR$8,$A22&lt;=AR$9),IF(SUM(AR$10:AR21)-ROUNDDOWN($K22*AR$5/100,0)&lt;-AR$6,-AR$6-SUM(AR$10:AR21),-ROUNDDOWN($K22*AR$5/100,0)),0)</f>
        <v>0</v>
      </c>
      <c r="AS22" s="38">
        <f>IF(SUMIFS(AS$10:AS21,$A$10:$A21,$A22)-ROUNDDOWN($K22*$S22/100,0)&lt;-$S22*1000,-$S22*1000-SUMIFS(AS$10:AS21,$A$10:$A21,$A22),-ROUNDDOWN($K22*$S22/100,0))</f>
        <v>0</v>
      </c>
      <c r="AT22" s="38">
        <f>IF(AND(X22="○",$A22&gt;=AT$8,$A22&lt;=AT$9,K22&gt;=3980),IF(SUM(AT$10:AT21)-ROUNDDOWN($K22*AT$5/100,0)&lt;-AT$6,-AT$6-SUM(AT$10:AT21),-ROUNDDOWN($K22*AT$5/100,0)),0)</f>
        <v>0</v>
      </c>
      <c r="AU22" s="38">
        <f>IF(O22="○",IF(SUM(AU$10:AU21)-ROUNDDOWN($K22*AU$5/100,0)&lt;-AU$6,-AU$6-SUM(AU$10:AU21),-ROUNDDOWN($K22*AU$5/100,0)),0)</f>
        <v>0</v>
      </c>
      <c r="AV22" s="38">
        <f>IF(P22="○",IF(SUM(AV$10:AV21)-ROUNDDOWN($K22*AV$5/100,0)&lt;-AV$6,-AV$6-SUM(AV$10:AV21),-ROUNDDOWN($K22*AV$5/100,0)),0)</f>
        <v>0</v>
      </c>
      <c r="AW22" s="38">
        <f>IF(Q22="○",IF(SUM(AW$10:AW21)-ROUNDDOWN($K22*AW$5/100,0)&lt;-AW$6,-AW$6-SUM(AW$10:AW21),-ROUNDDOWN($K22*AW$5/100,0)),0)</f>
        <v>0</v>
      </c>
      <c r="AX22" s="38">
        <f>IF(R22="○",IF(SUM(AX$10:AX21)-ROUNDDOWN($K22*AX$5/100,0)&lt;-AX$6,-AX$6-SUM(AX$10:AX21),-ROUNDDOWN($K22*AX$5/100,0)),0)</f>
        <v>0</v>
      </c>
      <c r="AY22" s="70">
        <v>0</v>
      </c>
      <c r="AZ22" s="65">
        <f t="shared" si="41"/>
        <v>0</v>
      </c>
      <c r="BA22" s="65">
        <f t="shared" si="42"/>
        <v>0</v>
      </c>
      <c r="BB22" s="70"/>
      <c r="BC22" s="65">
        <f t="shared" si="43"/>
        <v>0</v>
      </c>
      <c r="BD22" s="70">
        <v>0</v>
      </c>
      <c r="BE22" s="65">
        <f t="shared" si="44"/>
        <v>0</v>
      </c>
      <c r="BF22" s="70">
        <v>0</v>
      </c>
      <c r="BG22" s="65">
        <f t="shared" si="45"/>
        <v>0</v>
      </c>
      <c r="BH22" s="70">
        <v>0</v>
      </c>
      <c r="BI22" s="65">
        <f t="shared" si="46"/>
        <v>0</v>
      </c>
      <c r="BJ22" s="38">
        <f>IF(AND(BJ$7="○",$A22&gt;=BJ$8,$A22&lt;=BJ$9),IF(SUM(BJ$10:BJ21)-ROUNDDOWN($M22*BJ$5/100,0)&lt;-BJ$6,-BJ$6-SUM(BJ$10:BJ21),-ROUNDDOWN($M22*BJ$5/100,0)),0)</f>
        <v>0</v>
      </c>
      <c r="BK22" s="38">
        <f>IF(AND(BK$7="○",$A22&gt;=BK$8,$A22&lt;=BK$9),IF(SUM(BK$10:BK21)-ROUNDDOWN($L22*BK$5/100,0)&lt;-BK$6,-BK$6-SUM(BK$10:BK21),-ROUNDDOWN($L22*BK$5/100,0)),0)</f>
        <v>0</v>
      </c>
      <c r="BL22" s="38">
        <f>IF(AND(BL$7="○",$A22&gt;=BL$8,$A22&lt;=BL$9),IF(SUM(BL$10:BL21)-ROUNDDOWN($L22*BL$5/100,0)&lt;-BL$6,-BL$6-SUM(BL$10:BL21),-ROUNDDOWN($L22*BL$5/100,0)),0)</f>
        <v>0</v>
      </c>
      <c r="BM22" s="38">
        <f>IF(AND(BM$7="○",$A22&gt;=BM$8,$A22&lt;=BM$9),IF(SUM(BM$10:BM21)-ROUNDDOWN($M22*BM$5/100,0)&lt;-BM$6,-BM$6-SUM(BM$10:BM21),-ROUNDDOWN($M22*BM$5/100,0)),0)</f>
        <v>0</v>
      </c>
      <c r="BN22" s="38">
        <f>IF(AND(BN$7="○",$A22&gt;=BN$8,$A22&lt;=BN$9),IF(SUM(BN$10:BN21)-ROUNDDOWN($M22*BN$5/100,0)&lt;-BN$6,-BN$6-SUM(BN$10:BN21),-ROUNDDOWN($M22*BN$5/100,0)),0)</f>
        <v>0</v>
      </c>
      <c r="BO22" s="38">
        <f>IF(AND(BO$7="○",$A22&gt;=BO$8,$A22&lt;=BO$9),IF(SUM(BO$10:BO21)-ROUNDDOWN($M22*BO$5/100,0)&lt;-BO$6,-BO$6-SUM(BO$10:BO21),-ROUNDDOWN($M22*BO$5/100,0)),0)</f>
        <v>0</v>
      </c>
      <c r="BP22" s="38">
        <f>IF(AND(BP$7="○",$A22&gt;=BP$8,$A22&lt;=BP$9),IF(SUM(BP$10:BP21)-ROUNDDOWN($M22*BP$5/100,0)&lt;-BP$6,-BP$6-SUM(BP$10:BP21),-ROUNDDOWN($M22*BP$5/100,0)),0)</f>
        <v>0</v>
      </c>
      <c r="BQ22" s="38">
        <f>IF(AND(BQ$7="○",$A22&gt;=BQ$8,$A22&lt;=BQ$9),IF(SUM(BQ$10:BQ21)-ROUNDDOWN($L22*BQ$5/100,0)&lt;-BQ$6,-BQ$6-SUM(BQ$10:BQ21),-ROUNDDOWN($L22*BQ$5/100,0)),0)</f>
        <v>0</v>
      </c>
      <c r="BR22" s="38">
        <f>IF(AND(BR$7="○",$A22&gt;=BR$8,$A22&lt;=BR$9),IF(SUM(BR$10:BR21)-ROUNDDOWN($M22*BR$5/100,0)&lt;-BR$6,-BR$6-SUM(BR$10:BR21),-ROUNDDOWN($M22*BR$5/100,0)),0)</f>
        <v>0</v>
      </c>
      <c r="BS22" s="38">
        <f>IF(AND(BS$7="○",$A22&gt;=BS$8,$A22&lt;=BS$9),IF(SUM(BS$10:BS21)-ROUNDDOWN($M22*BS$5/100,0)&lt;-BS$6,-BS$6-SUM(BS$10:BS21),-ROUNDDOWN($M22*BS$5/100,0)),0)</f>
        <v>0</v>
      </c>
      <c r="BT22" s="38">
        <f>IF(AND(BT$7="○",$A22&gt;=BT$8,$A22&lt;=BT$9),IF(SUM(BT$10:BT21)-ROUNDDOWN($M22*BT$5/100,0)&lt;-BT$6,-BT$6-SUM(BT$10:BT21),-ROUNDDOWN($M22*BT$5/100,0)),0)</f>
        <v>0</v>
      </c>
      <c r="BU22" s="38">
        <f>IF(AND(BU$7="○",$A22&gt;=BU$8,$A22&lt;=BU$9),IF(SUM(BU$10:BU21)-ROUNDDOWN($M22*BU$5/100,0)&lt;-BU$6,-BU$6-SUM(BU$10:BU21),-ROUNDDOWN($M22*BU$5/100,0)),0)</f>
        <v>0</v>
      </c>
      <c r="BV22" s="38">
        <f>IF(AND(BV$7="○",$A22&gt;=BV$8,$A22&lt;=BV$9),IF(SUM(BV$10:BV21)-ROUNDDOWN($M22*BV$5/100,0)&lt;-BV$6,-BV$6-SUM(BV$10:BV21),-ROUNDDOWN($M22*BV$5/100,0)),0)</f>
        <v>0</v>
      </c>
      <c r="BW22" s="38">
        <f>IF(AND(BW$7="○",$A22&gt;=BW$8,$A22&lt;=BW$9),IF(SUM(BW$10:BW21)-ROUNDDOWN($M22*BW$5/100,0)&lt;-BW$6,-BW$6-SUM(BW$10:BW21),-ROUNDDOWN($M22*BW$5/100,0)),0)</f>
        <v>0</v>
      </c>
      <c r="BX22" s="38">
        <f>IF(AND(T22="○",$A22&gt;=BX$8,$A22&lt;=BX$9),IF(SUM(BX$10:BX21)-ROUNDDOWN($K22*BX$5/100,0)&lt;-BX$6,-BX$6-SUM(BX$10:BX21),-ROUNDDOWN($K22*BX$5/100,0)),0)</f>
        <v>0</v>
      </c>
      <c r="BY22" s="38">
        <f>IF(AND(U22="○",$A22&gt;=BY$8,$A22&lt;=BY$9),IF(SUM(BY$10:BY21)-ROUNDDOWN($K22*BY$5/100,0)&lt;-BY$6,-BY$6-SUM(BY$10:BY21),-ROUNDDOWN($K22*BY$5/100,0)),0)</f>
        <v>0</v>
      </c>
      <c r="BZ22" s="38">
        <f>IF(AND(V22="○",$A22&gt;=BZ$8,$A22&lt;=BZ$9),IF(SUM(BZ$10:BZ21)-ROUNDDOWN($K22*BZ$5/100,0)&lt;-BZ$6,-BZ$6-SUM(BZ$10:BZ21),-ROUNDDOWN($K22*BZ$5/100,0)),0)</f>
        <v>0</v>
      </c>
      <c r="CA22" s="38">
        <f>IF(AND(W22="○",$A22&gt;=CA$8,$A22&lt;=CA$9),IF(SUM(CA$10:CA21)-ROUNDDOWN($K22*CA$5/100,0)&lt;-CA$6,-CA$6-SUM(CA$10:CA21),-ROUNDDOWN($K22*CA$5/100,0)),0)</f>
        <v>0</v>
      </c>
      <c r="CB22" s="38"/>
      <c r="CC22" s="38"/>
      <c r="CD22" s="38"/>
      <c r="CE22" s="38"/>
      <c r="CF22" s="38"/>
      <c r="CG22" s="65">
        <f t="shared" si="47"/>
        <v>0</v>
      </c>
      <c r="CH22" s="71">
        <f t="shared" si="48"/>
        <v>0</v>
      </c>
      <c r="CI22" s="1">
        <f t="shared" si="36"/>
        <v>0</v>
      </c>
      <c r="CJ22" s="1"/>
      <c r="CK22" s="72"/>
      <c r="CL22" s="72"/>
      <c r="CM22" s="2"/>
      <c r="CN22" s="2"/>
      <c r="CO22" s="73">
        <f t="shared" si="37"/>
        <v>0</v>
      </c>
      <c r="CP22" s="5">
        <f t="shared" si="38"/>
        <v>0</v>
      </c>
      <c r="CQ22" s="1"/>
      <c r="CR22" s="1">
        <f t="shared" si="39"/>
        <v>0</v>
      </c>
      <c r="CS22" s="1"/>
      <c r="CT22" s="1" t="e">
        <f>INDEX([2]マスタ!$A:$A,MATCH(D22,[2]マスタ!$C:$C,0))</f>
        <v>#N/A</v>
      </c>
      <c r="CU22" s="1" t="str">
        <f t="shared" ca="1" si="40"/>
        <v>20260620_0-0</v>
      </c>
    </row>
    <row r="23" spans="1:99" x14ac:dyDescent="0.4">
      <c r="A23" s="61"/>
      <c r="B23" s="62"/>
      <c r="C23" s="62"/>
      <c r="D23" s="62"/>
      <c r="E23" s="74"/>
      <c r="F23" s="62"/>
      <c r="G23" s="62">
        <v>1</v>
      </c>
      <c r="H23" s="64">
        <f t="shared" si="24"/>
        <v>0</v>
      </c>
      <c r="I23" s="64"/>
      <c r="J23" s="64"/>
      <c r="K23" s="65">
        <f t="shared" si="5"/>
        <v>0</v>
      </c>
      <c r="L23" s="65">
        <f t="shared" si="25"/>
        <v>0</v>
      </c>
      <c r="M23" s="65">
        <f t="shared" si="26"/>
        <v>0</v>
      </c>
      <c r="N23" s="65">
        <f t="shared" si="27"/>
        <v>0</v>
      </c>
      <c r="O23" s="66" t="str">
        <f t="shared" si="9"/>
        <v>✕</v>
      </c>
      <c r="P23" s="67" t="str">
        <f t="shared" si="10"/>
        <v>○</v>
      </c>
      <c r="Q23" s="67" t="str">
        <f t="shared" si="11"/>
        <v>✕</v>
      </c>
      <c r="R23" s="67" t="str">
        <f t="shared" si="12"/>
        <v>✕</v>
      </c>
      <c r="S23" s="68">
        <v>0</v>
      </c>
      <c r="T23" s="69" t="s">
        <v>85</v>
      </c>
      <c r="U23" s="69" t="s">
        <v>85</v>
      </c>
      <c r="V23" s="69" t="s">
        <v>85</v>
      </c>
      <c r="W23" s="69" t="s">
        <v>85</v>
      </c>
      <c r="X23" s="69" t="s">
        <v>84</v>
      </c>
      <c r="Y23" s="69" t="s">
        <v>85</v>
      </c>
      <c r="Z23" s="69" t="s">
        <v>85</v>
      </c>
      <c r="AA23" s="69" t="s">
        <v>85</v>
      </c>
      <c r="AB23" s="69" t="s">
        <v>85</v>
      </c>
      <c r="AC23" s="69" t="s">
        <v>85</v>
      </c>
      <c r="AD23" s="38" t="str">
        <f>+IF(ISERROR(VLOOKUP($B23,AD$10:AD22,1,0)),IF(AND($N23&gt;=1000,$A23&gt;=AO$8,$A23&lt;=AO$9),$B23,""),"")</f>
        <v/>
      </c>
      <c r="AE23" s="38" t="str">
        <f>+IF(ISERROR(VLOOKUP($B23,AE$10:AE22,1,0)),IF(AND($N23&gt;=1000,$A23&gt;=AP$8,$A23&lt;=AP$9),$B23,""),"")</f>
        <v/>
      </c>
      <c r="AF23" s="38" t="str">
        <f>+IF(ISERROR(VLOOKUP($B23,AF$10:AF22,1,0)),IF(AND($N23&gt;=1000,$A23&gt;=AQ$8,$A23&lt;=AQ$9),$B23,""),"")</f>
        <v/>
      </c>
      <c r="AG23" s="38" t="str">
        <f>+IF(ISERROR(VLOOKUP($B23,AG$10:AG22,1,0)),IF(AND($N23&gt;=1000,$A23&gt;=AR$8,$A23&lt;=AR$9),$B23,""),"")</f>
        <v/>
      </c>
      <c r="AH23" s="38"/>
      <c r="AI23" s="70">
        <v>0</v>
      </c>
      <c r="AJ23" s="38">
        <f>IF(AND(AJ$7="○",$A23&gt;=AJ$8,$A23&lt;=AJ$9),IF(SUM(AJ$10:AJ22)-ROUNDDOWN($K23*AJ$5/100,0)&lt;-AJ$6,-AJ$6-SUM(AJ$10:AJ22),-ROUNDDOWN($K23*AJ$5/100,0)),0)</f>
        <v>0</v>
      </c>
      <c r="AK23" s="38">
        <f>IF(AND(AK$7="○",$A23&gt;=AK$8,$A23&lt;=AK$9),IF(SUM(AK$10:AK22)-ROUNDDOWN($L23*AK$5/100,0)&lt;-AK$6,-AK$6-SUM(AK$10:AK22),-ROUNDDOWN($L23*AK$5/100,0)),0)</f>
        <v>0</v>
      </c>
      <c r="AL23" s="38">
        <f>IF(AND(AL$7="○",$A23&gt;=AL$8,$A23&lt;=AL$9),IF(SUM(AL$10:AL22)-ROUNDDOWN($N23*AL$5/100,0)&lt;-AL$6,-AL$6-SUM(AL$10:AL22),-ROUNDDOWN($N23*AL$5/100,0)),0)</f>
        <v>0</v>
      </c>
      <c r="AM23" s="38">
        <f>IF(AND(AM$7="○",$A23&gt;=AM$8,$A23&lt;=AM$9),IF(SUM(AM$10:AM22)-ROUNDDOWN($L23*AM$5/100,0)&lt;-AM$6,-AM$6-SUM(AM$10:AM22),-ROUNDDOWN($L23*AM$5/100,0)),0)</f>
        <v>0</v>
      </c>
      <c r="AN23" s="38">
        <f>IF(AND(AN$7="○",$A23&gt;=AN$8,$A23&lt;=AN$9),IF(SUM(AN$10:AN22)-ROUNDDOWN($M23*AN$5/100,0)&lt;-AN$6,-AN$6-SUM(AN$10:AN22),-ROUNDDOWN($M23*AN$5/100,0)),0)</f>
        <v>0</v>
      </c>
      <c r="AO23" s="38">
        <f>IF(AND($A23&gt;=AO$8,$A23&lt;=AO$9),IF(SUM(AO$10:AO22)-ROUNDDOWN($K23*AO$5/100,0)&lt;-AO$6,-AO$6-SUM(AO$10:AO22),-ROUNDDOWN($K23*AO$5/100,0)),0)</f>
        <v>0</v>
      </c>
      <c r="AP23" s="38">
        <f>IF(AND($A23&gt;=AP$8,$A23&lt;=AP$9),IF(SUM(AP$10:AP22)-ROUNDDOWN($K23*AP$5/100,0)&lt;-AP$6,-AP$6-SUM(AP$10:AP22),-ROUNDDOWN($K23*AP$5/100,0)),0)</f>
        <v>0</v>
      </c>
      <c r="AQ23" s="38">
        <f>IF(AND($A23&gt;=AQ$8,$A23&lt;=AQ$9),IF(SUM(AQ$10:AQ22)-ROUNDDOWN($K23*AQ$5/100,0)&lt;-AQ$6,-AQ$6-SUM(AQ$10:AQ22),-ROUNDDOWN($K23*AQ$5/100,0)),0)</f>
        <v>0</v>
      </c>
      <c r="AR23" s="38">
        <f>IF(AND($A23&gt;=AR$8,$A23&lt;=AR$9),IF(SUM(AR$10:AR22)-ROUNDDOWN($K23*AR$5/100,0)&lt;-AR$6,-AR$6-SUM(AR$10:AR22),-ROUNDDOWN($K23*AR$5/100,0)),0)</f>
        <v>0</v>
      </c>
      <c r="AS23" s="38">
        <f>IF(SUMIFS(AS$10:AS22,$A$10:$A22,$A23)-ROUNDDOWN($K23*$S23/100,0)&lt;-$S23*1000,-$S23*1000-SUMIFS(AS$10:AS22,$A$10:$A22,$A23),-ROUNDDOWN($K23*$S23/100,0))</f>
        <v>0</v>
      </c>
      <c r="AT23" s="38">
        <f>IF(AND(X23="○",$A23&gt;=AT$8,$A23&lt;=AT$9,K23&gt;=3980),IF(SUM(AT$10:AT22)-ROUNDDOWN($K23*AT$5/100,0)&lt;-AT$6,-AT$6-SUM(AT$10:AT22),-ROUNDDOWN($K23*AT$5/100,0)),0)</f>
        <v>0</v>
      </c>
      <c r="AU23" s="38">
        <f>IF(O23="○",IF(SUM(AU$10:AU22)-ROUNDDOWN($K23*AU$5/100,0)&lt;-AU$6,-AU$6-SUM(AU$10:AU22),-ROUNDDOWN($K23*AU$5/100,0)),0)</f>
        <v>0</v>
      </c>
      <c r="AV23" s="38">
        <f>IF(P23="○",IF(SUM(AV$10:AV22)-ROUNDDOWN($K23*AV$5/100,0)&lt;-AV$6,-AV$6-SUM(AV$10:AV22),-ROUNDDOWN($K23*AV$5/100,0)),0)</f>
        <v>0</v>
      </c>
      <c r="AW23" s="38">
        <f>IF(Q23="○",IF(SUM(AW$10:AW22)-ROUNDDOWN($K23*AW$5/100,0)&lt;-AW$6,-AW$6-SUM(AW$10:AW22),-ROUNDDOWN($K23*AW$5/100,0)),0)</f>
        <v>0</v>
      </c>
      <c r="AX23" s="38">
        <f>IF(R23="○",IF(SUM(AX$10:AX22)-ROUNDDOWN($K23*AX$5/100,0)&lt;-AX$6,-AX$6-SUM(AX$10:AX22),-ROUNDDOWN($K23*AX$5/100,0)),0)</f>
        <v>0</v>
      </c>
      <c r="AY23" s="70">
        <v>0</v>
      </c>
      <c r="AZ23" s="65">
        <f t="shared" si="41"/>
        <v>0</v>
      </c>
      <c r="BA23" s="65">
        <f t="shared" si="42"/>
        <v>0</v>
      </c>
      <c r="BB23" s="70"/>
      <c r="BC23" s="65">
        <f t="shared" si="43"/>
        <v>0</v>
      </c>
      <c r="BD23" s="70">
        <v>0</v>
      </c>
      <c r="BE23" s="65">
        <f t="shared" si="44"/>
        <v>0</v>
      </c>
      <c r="BF23" s="70">
        <v>0</v>
      </c>
      <c r="BG23" s="65">
        <f t="shared" si="45"/>
        <v>0</v>
      </c>
      <c r="BH23" s="70">
        <v>0</v>
      </c>
      <c r="BI23" s="65">
        <f t="shared" si="46"/>
        <v>0</v>
      </c>
      <c r="BJ23" s="38">
        <f>IF(AND(BJ$7="○",$A23&gt;=BJ$8,$A23&lt;=BJ$9),IF(SUM(BJ$10:BJ22)-ROUNDDOWN($M23*BJ$5/100,0)&lt;-BJ$6,-BJ$6-SUM(BJ$10:BJ22),-ROUNDDOWN($M23*BJ$5/100,0)),0)</f>
        <v>0</v>
      </c>
      <c r="BK23" s="38">
        <f>IF(AND(BK$7="○",$A23&gt;=BK$8,$A23&lt;=BK$9),IF(SUM(BK$10:BK22)-ROUNDDOWN($L23*BK$5/100,0)&lt;-BK$6,-BK$6-SUM(BK$10:BK22),-ROUNDDOWN($L23*BK$5/100,0)),0)</f>
        <v>0</v>
      </c>
      <c r="BL23" s="38">
        <f>IF(AND(BL$7="○",$A23&gt;=BL$8,$A23&lt;=BL$9),IF(SUM(BL$10:BL22)-ROUNDDOWN($L23*BL$5/100,0)&lt;-BL$6,-BL$6-SUM(BL$10:BL22),-ROUNDDOWN($L23*BL$5/100,0)),0)</f>
        <v>0</v>
      </c>
      <c r="BM23" s="38">
        <f>IF(AND(BM$7="○",$A23&gt;=BM$8,$A23&lt;=BM$9),IF(SUM(BM$10:BM22)-ROUNDDOWN($M23*BM$5/100,0)&lt;-BM$6,-BM$6-SUM(BM$10:BM22),-ROUNDDOWN($M23*BM$5/100,0)),0)</f>
        <v>0</v>
      </c>
      <c r="BN23" s="38">
        <f>IF(AND(BN$7="○",$A23&gt;=BN$8,$A23&lt;=BN$9),IF(SUM(BN$10:BN22)-ROUNDDOWN($M23*BN$5/100,0)&lt;-BN$6,-BN$6-SUM(BN$10:BN22),-ROUNDDOWN($M23*BN$5/100,0)),0)</f>
        <v>0</v>
      </c>
      <c r="BO23" s="38">
        <f>IF(AND(BO$7="○",$A23&gt;=BO$8,$A23&lt;=BO$9),IF(SUM(BO$10:BO22)-ROUNDDOWN($M23*BO$5/100,0)&lt;-BO$6,-BO$6-SUM(BO$10:BO22),-ROUNDDOWN($M23*BO$5/100,0)),0)</f>
        <v>0</v>
      </c>
      <c r="BP23" s="38">
        <f>IF(AND(BP$7="○",$A23&gt;=BP$8,$A23&lt;=BP$9),IF(SUM(BP$10:BP22)-ROUNDDOWN($M23*BP$5/100,0)&lt;-BP$6,-BP$6-SUM(BP$10:BP22),-ROUNDDOWN($M23*BP$5/100,0)),0)</f>
        <v>0</v>
      </c>
      <c r="BQ23" s="38">
        <f>IF(AND(BQ$7="○",$A23&gt;=BQ$8,$A23&lt;=BQ$9),IF(SUM(BQ$10:BQ22)-ROUNDDOWN($L23*BQ$5/100,0)&lt;-BQ$6,-BQ$6-SUM(BQ$10:BQ22),-ROUNDDOWN($L23*BQ$5/100,0)),0)</f>
        <v>0</v>
      </c>
      <c r="BR23" s="38">
        <f>IF(AND(BR$7="○",$A23&gt;=BR$8,$A23&lt;=BR$9),IF(SUM(BR$10:BR22)-ROUNDDOWN($M23*BR$5/100,0)&lt;-BR$6,-BR$6-SUM(BR$10:BR22),-ROUNDDOWN($M23*BR$5/100,0)),0)</f>
        <v>0</v>
      </c>
      <c r="BS23" s="38">
        <f>IF(AND(BS$7="○",$A23&gt;=BS$8,$A23&lt;=BS$9),IF(SUM(BS$10:BS22)-ROUNDDOWN($M23*BS$5/100,0)&lt;-BS$6,-BS$6-SUM(BS$10:BS22),-ROUNDDOWN($M23*BS$5/100,0)),0)</f>
        <v>0</v>
      </c>
      <c r="BT23" s="38">
        <f>IF(AND(BT$7="○",$A23&gt;=BT$8,$A23&lt;=BT$9),IF(SUM(BT$10:BT22)-ROUNDDOWN($M23*BT$5/100,0)&lt;-BT$6,-BT$6-SUM(BT$10:BT22),-ROUNDDOWN($M23*BT$5/100,0)),0)</f>
        <v>0</v>
      </c>
      <c r="BU23" s="38">
        <f>IF(AND(BU$7="○",$A23&gt;=BU$8,$A23&lt;=BU$9),IF(SUM(BU$10:BU22)-ROUNDDOWN($M23*BU$5/100,0)&lt;-BU$6,-BU$6-SUM(BU$10:BU22),-ROUNDDOWN($M23*BU$5/100,0)),0)</f>
        <v>0</v>
      </c>
      <c r="BV23" s="38">
        <f>IF(AND(BV$7="○",$A23&gt;=BV$8,$A23&lt;=BV$9),IF(SUM(BV$10:BV22)-ROUNDDOWN($M23*BV$5/100,0)&lt;-BV$6,-BV$6-SUM(BV$10:BV22),-ROUNDDOWN($M23*BV$5/100,0)),0)</f>
        <v>0</v>
      </c>
      <c r="BW23" s="38">
        <f>IF(AND(BW$7="○",$A23&gt;=BW$8,$A23&lt;=BW$9),IF(SUM(BW$10:BW22)-ROUNDDOWN($M23*BW$5/100,0)&lt;-BW$6,-BW$6-SUM(BW$10:BW22),-ROUNDDOWN($M23*BW$5/100,0)),0)</f>
        <v>0</v>
      </c>
      <c r="BX23" s="38">
        <f>IF(AND(T23="○",$A23&gt;=BX$8,$A23&lt;=BX$9),IF(SUM(BX$10:BX22)-ROUNDDOWN($K23*BX$5/100,0)&lt;-BX$6,-BX$6-SUM(BX$10:BX22),-ROUNDDOWN($K23*BX$5/100,0)),0)</f>
        <v>0</v>
      </c>
      <c r="BY23" s="38">
        <f>IF(AND(U23="○",$A23&gt;=BY$8,$A23&lt;=BY$9),IF(SUM(BY$10:BY22)-ROUNDDOWN($K23*BY$5/100,0)&lt;-BY$6,-BY$6-SUM(BY$10:BY22),-ROUNDDOWN($K23*BY$5/100,0)),0)</f>
        <v>0</v>
      </c>
      <c r="BZ23" s="38">
        <f>IF(AND(V23="○",$A23&gt;=BZ$8,$A23&lt;=BZ$9),IF(SUM(BZ$10:BZ22)-ROUNDDOWN($K23*BZ$5/100,0)&lt;-BZ$6,-BZ$6-SUM(BZ$10:BZ22),-ROUNDDOWN($K23*BZ$5/100,0)),0)</f>
        <v>0</v>
      </c>
      <c r="CA23" s="38">
        <f>IF(AND(W23="○",$A23&gt;=CA$8,$A23&lt;=CA$9),IF(SUM(CA$10:CA22)-ROUNDDOWN($K23*CA$5/100,0)&lt;-CA$6,-CA$6-SUM(CA$10:CA22),-ROUNDDOWN($K23*CA$5/100,0)),0)</f>
        <v>0</v>
      </c>
      <c r="CB23" s="38"/>
      <c r="CC23" s="38"/>
      <c r="CD23" s="38"/>
      <c r="CE23" s="38"/>
      <c r="CF23" s="38"/>
      <c r="CG23" s="65">
        <f t="shared" si="47"/>
        <v>0</v>
      </c>
      <c r="CH23" s="71">
        <f t="shared" si="48"/>
        <v>0</v>
      </c>
      <c r="CI23" s="1">
        <f t="shared" si="36"/>
        <v>0</v>
      </c>
      <c r="CJ23" s="1"/>
      <c r="CK23" s="72"/>
      <c r="CL23" s="72"/>
      <c r="CM23" s="2"/>
      <c r="CN23" s="2"/>
      <c r="CO23" s="73">
        <f t="shared" si="37"/>
        <v>0</v>
      </c>
      <c r="CP23" s="5">
        <f t="shared" si="38"/>
        <v>0</v>
      </c>
      <c r="CQ23" s="1"/>
      <c r="CR23" s="1">
        <f t="shared" si="39"/>
        <v>0</v>
      </c>
      <c r="CS23" s="1"/>
      <c r="CT23" s="1" t="e">
        <f>INDEX([2]マスタ!$A:$A,MATCH(D23,[2]マスタ!$C:$C,0))</f>
        <v>#N/A</v>
      </c>
      <c r="CU23" s="1" t="str">
        <f t="shared" ca="1" si="40"/>
        <v>20260620_0-0</v>
      </c>
    </row>
    <row r="24" spans="1:99" x14ac:dyDescent="0.4">
      <c r="A24" s="61"/>
      <c r="B24" s="62"/>
      <c r="C24" s="62"/>
      <c r="D24" s="62"/>
      <c r="E24" s="74"/>
      <c r="F24" s="62"/>
      <c r="G24" s="62">
        <v>1</v>
      </c>
      <c r="H24" s="64">
        <f t="shared" si="24"/>
        <v>0</v>
      </c>
      <c r="I24" s="64"/>
      <c r="J24" s="64"/>
      <c r="K24" s="65">
        <f t="shared" si="5"/>
        <v>0</v>
      </c>
      <c r="L24" s="65">
        <f t="shared" si="25"/>
        <v>0</v>
      </c>
      <c r="M24" s="65">
        <f t="shared" si="26"/>
        <v>0</v>
      </c>
      <c r="N24" s="65">
        <f t="shared" si="27"/>
        <v>0</v>
      </c>
      <c r="O24" s="66" t="str">
        <f t="shared" si="9"/>
        <v>✕</v>
      </c>
      <c r="P24" s="67" t="str">
        <f t="shared" si="10"/>
        <v>○</v>
      </c>
      <c r="Q24" s="67" t="str">
        <f t="shared" si="11"/>
        <v>✕</v>
      </c>
      <c r="R24" s="67" t="str">
        <f t="shared" si="12"/>
        <v>✕</v>
      </c>
      <c r="S24" s="68">
        <v>0</v>
      </c>
      <c r="T24" s="69" t="s">
        <v>85</v>
      </c>
      <c r="U24" s="69" t="s">
        <v>85</v>
      </c>
      <c r="V24" s="69" t="s">
        <v>85</v>
      </c>
      <c r="W24" s="69" t="s">
        <v>85</v>
      </c>
      <c r="X24" s="69" t="s">
        <v>84</v>
      </c>
      <c r="Y24" s="69" t="s">
        <v>85</v>
      </c>
      <c r="Z24" s="69" t="s">
        <v>85</v>
      </c>
      <c r="AA24" s="69" t="s">
        <v>85</v>
      </c>
      <c r="AB24" s="69" t="s">
        <v>85</v>
      </c>
      <c r="AC24" s="69" t="s">
        <v>85</v>
      </c>
      <c r="AD24" s="38" t="str">
        <f>+IF(ISERROR(VLOOKUP($B24,AD$10:AD23,1,0)),IF(AND($N24&gt;=1000,$A24&gt;=AO$8,$A24&lt;=AO$9),$B24,""),"")</f>
        <v/>
      </c>
      <c r="AE24" s="38" t="str">
        <f>+IF(ISERROR(VLOOKUP($B24,AE$10:AE23,1,0)),IF(AND($N24&gt;=1000,$A24&gt;=AP$8,$A24&lt;=AP$9),$B24,""),"")</f>
        <v/>
      </c>
      <c r="AF24" s="38" t="str">
        <f>+IF(ISERROR(VLOOKUP($B24,AF$10:AF23,1,0)),IF(AND($N24&gt;=1000,$A24&gt;=AQ$8,$A24&lt;=AQ$9),$B24,""),"")</f>
        <v/>
      </c>
      <c r="AG24" s="38" t="str">
        <f>+IF(ISERROR(VLOOKUP($B24,AG$10:AG23,1,0)),IF(AND($N24&gt;=1000,$A24&gt;=AR$8,$A24&lt;=AR$9),$B24,""),"")</f>
        <v/>
      </c>
      <c r="AH24" s="38"/>
      <c r="AI24" s="70">
        <v>0</v>
      </c>
      <c r="AJ24" s="38">
        <f>IF(AND(AJ$7="○",$A24&gt;=AJ$8,$A24&lt;=AJ$9),IF(SUM(AJ$10:AJ23)-ROUNDDOWN($K24*AJ$5/100,0)&lt;-AJ$6,-AJ$6-SUM(AJ$10:AJ23),-ROUNDDOWN($K24*AJ$5/100,0)),0)</f>
        <v>0</v>
      </c>
      <c r="AK24" s="38">
        <f>IF(AND(AK$7="○",$A24&gt;=AK$8,$A24&lt;=AK$9),IF(SUM(AK$10:AK23)-ROUNDDOWN($L24*AK$5/100,0)&lt;-AK$6,-AK$6-SUM(AK$10:AK23),-ROUNDDOWN($L24*AK$5/100,0)),0)</f>
        <v>0</v>
      </c>
      <c r="AL24" s="38">
        <f>IF(AND(AL$7="○",$A24&gt;=AL$8,$A24&lt;=AL$9),IF(SUM(AL$10:AL23)-ROUNDDOWN($N24*AL$5/100,0)&lt;-AL$6,-AL$6-SUM(AL$10:AL23),-ROUNDDOWN($N24*AL$5/100,0)),0)</f>
        <v>0</v>
      </c>
      <c r="AM24" s="38">
        <f>IF(AND(AM$7="○",$A24&gt;=AM$8,$A24&lt;=AM$9),IF(SUM(AM$10:AM23)-ROUNDDOWN($L24*AM$5/100,0)&lt;-AM$6,-AM$6-SUM(AM$10:AM23),-ROUNDDOWN($L24*AM$5/100,0)),0)</f>
        <v>0</v>
      </c>
      <c r="AN24" s="38">
        <f>IF(AND(AN$7="○",$A24&gt;=AN$8,$A24&lt;=AN$9),IF(SUM(AN$10:AN23)-ROUNDDOWN($M24*AN$5/100,0)&lt;-AN$6,-AN$6-SUM(AN$10:AN23),-ROUNDDOWN($M24*AN$5/100,0)),0)</f>
        <v>0</v>
      </c>
      <c r="AO24" s="38">
        <f>IF(AND($A24&gt;=AO$8,$A24&lt;=AO$9),IF(SUM(AO$10:AO23)-ROUNDDOWN($K24*AO$5/100,0)&lt;-AO$6,-AO$6-SUM(AO$10:AO23),-ROUNDDOWN($K24*AO$5/100,0)),0)</f>
        <v>0</v>
      </c>
      <c r="AP24" s="38">
        <f>IF(AND($A24&gt;=AP$8,$A24&lt;=AP$9),IF(SUM(AP$10:AP23)-ROUNDDOWN($K24*AP$5/100,0)&lt;-AP$6,-AP$6-SUM(AP$10:AP23),-ROUNDDOWN($K24*AP$5/100,0)),0)</f>
        <v>0</v>
      </c>
      <c r="AQ24" s="38">
        <f>IF(AND($A24&gt;=AQ$8,$A24&lt;=AQ$9),IF(SUM(AQ$10:AQ23)-ROUNDDOWN($K24*AQ$5/100,0)&lt;-AQ$6,-AQ$6-SUM(AQ$10:AQ23),-ROUNDDOWN($K24*AQ$5/100,0)),0)</f>
        <v>0</v>
      </c>
      <c r="AR24" s="38">
        <f>IF(AND($A24&gt;=AR$8,$A24&lt;=AR$9),IF(SUM(AR$10:AR23)-ROUNDDOWN($K24*AR$5/100,0)&lt;-AR$6,-AR$6-SUM(AR$10:AR23),-ROUNDDOWN($K24*AR$5/100,0)),0)</f>
        <v>0</v>
      </c>
      <c r="AS24" s="38">
        <f>IF(SUMIFS(AS$10:AS23,$A$10:$A23,$A24)-ROUNDDOWN($K24*$S24/100,0)&lt;-$S24*1000,-$S24*1000-SUMIFS(AS$10:AS23,$A$10:$A23,$A24),-ROUNDDOWN($K24*$S24/100,0))</f>
        <v>0</v>
      </c>
      <c r="AT24" s="38">
        <f>IF(AND(X24="○",$A24&gt;=AT$8,$A24&lt;=AT$9,K24&gt;=3980),IF(SUM(AT$10:AT23)-ROUNDDOWN($K24*AT$5/100,0)&lt;-AT$6,-AT$6-SUM(AT$10:AT23),-ROUNDDOWN($K24*AT$5/100,0)),0)</f>
        <v>0</v>
      </c>
      <c r="AU24" s="38">
        <f>IF(O24="○",IF(SUM(AU$10:AU23)-ROUNDDOWN($K24*AU$5/100,0)&lt;-AU$6,-AU$6-SUM(AU$10:AU23),-ROUNDDOWN($K24*AU$5/100,0)),0)</f>
        <v>0</v>
      </c>
      <c r="AV24" s="38">
        <f>IF(P24="○",IF(SUM(AV$10:AV23)-ROUNDDOWN($K24*AV$5/100,0)&lt;-AV$6,-AV$6-SUM(AV$10:AV23),-ROUNDDOWN($K24*AV$5/100,0)),0)</f>
        <v>0</v>
      </c>
      <c r="AW24" s="38">
        <f>IF(Q24="○",IF(SUM(AW$10:AW23)-ROUNDDOWN($K24*AW$5/100,0)&lt;-AW$6,-AW$6-SUM(AW$10:AW23),-ROUNDDOWN($K24*AW$5/100,0)),0)</f>
        <v>0</v>
      </c>
      <c r="AX24" s="38">
        <f>IF(R24="○",IF(SUM(AX$10:AX23)-ROUNDDOWN($K24*AX$5/100,0)&lt;-AX$6,-AX$6-SUM(AX$10:AX23),-ROUNDDOWN($K24*AX$5/100,0)),0)</f>
        <v>0</v>
      </c>
      <c r="AY24" s="70">
        <v>0</v>
      </c>
      <c r="AZ24" s="65">
        <f t="shared" si="41"/>
        <v>0</v>
      </c>
      <c r="BA24" s="65">
        <f t="shared" si="42"/>
        <v>0</v>
      </c>
      <c r="BB24" s="70"/>
      <c r="BC24" s="65">
        <f t="shared" si="43"/>
        <v>0</v>
      </c>
      <c r="BD24" s="70">
        <v>0</v>
      </c>
      <c r="BE24" s="65">
        <f t="shared" si="44"/>
        <v>0</v>
      </c>
      <c r="BF24" s="70">
        <v>0</v>
      </c>
      <c r="BG24" s="65">
        <f t="shared" si="45"/>
        <v>0</v>
      </c>
      <c r="BH24" s="70">
        <v>0</v>
      </c>
      <c r="BI24" s="65">
        <f t="shared" si="46"/>
        <v>0</v>
      </c>
      <c r="BJ24" s="38">
        <f>IF(AND(BJ$7="○",$A24&gt;=BJ$8,$A24&lt;=BJ$9),IF(SUM(BJ$10:BJ23)-ROUNDDOWN($M24*BJ$5/100,0)&lt;-BJ$6,-BJ$6-SUM(BJ$10:BJ23),-ROUNDDOWN($M24*BJ$5/100,0)),0)</f>
        <v>0</v>
      </c>
      <c r="BK24" s="38">
        <f>IF(AND(BK$7="○",$A24&gt;=BK$8,$A24&lt;=BK$9),IF(SUM(BK$10:BK23)-ROUNDDOWN($L24*BK$5/100,0)&lt;-BK$6,-BK$6-SUM(BK$10:BK23),-ROUNDDOWN($L24*BK$5/100,0)),0)</f>
        <v>0</v>
      </c>
      <c r="BL24" s="38">
        <f>IF(AND(BL$7="○",$A24&gt;=BL$8,$A24&lt;=BL$9),IF(SUM(BL$10:BL23)-ROUNDDOWN($L24*BL$5/100,0)&lt;-BL$6,-BL$6-SUM(BL$10:BL23),-ROUNDDOWN($L24*BL$5/100,0)),0)</f>
        <v>0</v>
      </c>
      <c r="BM24" s="38">
        <f>IF(AND(BM$7="○",$A24&gt;=BM$8,$A24&lt;=BM$9),IF(SUM(BM$10:BM23)-ROUNDDOWN($M24*BM$5/100,0)&lt;-BM$6,-BM$6-SUM(BM$10:BM23),-ROUNDDOWN($M24*BM$5/100,0)),0)</f>
        <v>0</v>
      </c>
      <c r="BN24" s="38">
        <f>IF(AND(BN$7="○",$A24&gt;=BN$8,$A24&lt;=BN$9),IF(SUM(BN$10:BN23)-ROUNDDOWN($M24*BN$5/100,0)&lt;-BN$6,-BN$6-SUM(BN$10:BN23),-ROUNDDOWN($M24*BN$5/100,0)),0)</f>
        <v>0</v>
      </c>
      <c r="BO24" s="38">
        <f>IF(AND(BO$7="○",$A24&gt;=BO$8,$A24&lt;=BO$9),IF(SUM(BO$10:BO23)-ROUNDDOWN($M24*BO$5/100,0)&lt;-BO$6,-BO$6-SUM(BO$10:BO23),-ROUNDDOWN($M24*BO$5/100,0)),0)</f>
        <v>0</v>
      </c>
      <c r="BP24" s="38">
        <f>IF(AND(BP$7="○",$A24&gt;=BP$8,$A24&lt;=BP$9),IF(SUM(BP$10:BP23)-ROUNDDOWN($M24*BP$5/100,0)&lt;-BP$6,-BP$6-SUM(BP$10:BP23),-ROUNDDOWN($M24*BP$5/100,0)),0)</f>
        <v>0</v>
      </c>
      <c r="BQ24" s="38">
        <f>IF(AND(BQ$7="○",$A24&gt;=BQ$8,$A24&lt;=BQ$9),IF(SUM(BQ$10:BQ23)-ROUNDDOWN($L24*BQ$5/100,0)&lt;-BQ$6,-BQ$6-SUM(BQ$10:BQ23),-ROUNDDOWN($L24*BQ$5/100,0)),0)</f>
        <v>0</v>
      </c>
      <c r="BR24" s="38">
        <f>IF(AND(BR$7="○",$A24&gt;=BR$8,$A24&lt;=BR$9),IF(SUM(BR$10:BR23)-ROUNDDOWN($M24*BR$5/100,0)&lt;-BR$6,-BR$6-SUM(BR$10:BR23),-ROUNDDOWN($M24*BR$5/100,0)),0)</f>
        <v>0</v>
      </c>
      <c r="BS24" s="38">
        <f>IF(AND(BS$7="○",$A24&gt;=BS$8,$A24&lt;=BS$9),IF(SUM(BS$10:BS23)-ROUNDDOWN($M24*BS$5/100,0)&lt;-BS$6,-BS$6-SUM(BS$10:BS23),-ROUNDDOWN($M24*BS$5/100,0)),0)</f>
        <v>0</v>
      </c>
      <c r="BT24" s="38">
        <f>IF(AND(BT$7="○",$A24&gt;=BT$8,$A24&lt;=BT$9),IF(SUM(BT$10:BT23)-ROUNDDOWN($M24*BT$5/100,0)&lt;-BT$6,-BT$6-SUM(BT$10:BT23),-ROUNDDOWN($M24*BT$5/100,0)),0)</f>
        <v>0</v>
      </c>
      <c r="BU24" s="38">
        <f>IF(AND(BU$7="○",$A24&gt;=BU$8,$A24&lt;=BU$9),IF(SUM(BU$10:BU23)-ROUNDDOWN($M24*BU$5/100,0)&lt;-BU$6,-BU$6-SUM(BU$10:BU23),-ROUNDDOWN($M24*BU$5/100,0)),0)</f>
        <v>0</v>
      </c>
      <c r="BV24" s="38">
        <f>IF(AND(BV$7="○",$A24&gt;=BV$8,$A24&lt;=BV$9),IF(SUM(BV$10:BV23)-ROUNDDOWN($M24*BV$5/100,0)&lt;-BV$6,-BV$6-SUM(BV$10:BV23),-ROUNDDOWN($M24*BV$5/100,0)),0)</f>
        <v>0</v>
      </c>
      <c r="BW24" s="38">
        <f>IF(AND(BW$7="○",$A24&gt;=BW$8,$A24&lt;=BW$9),IF(SUM(BW$10:BW23)-ROUNDDOWN($M24*BW$5/100,0)&lt;-BW$6,-BW$6-SUM(BW$10:BW23),-ROUNDDOWN($M24*BW$5/100,0)),0)</f>
        <v>0</v>
      </c>
      <c r="BX24" s="38">
        <f>IF(AND(T24="○",$A24&gt;=BX$8,$A24&lt;=BX$9),IF(SUM(BX$10:BX23)-ROUNDDOWN($K24*BX$5/100,0)&lt;-BX$6,-BX$6-SUM(BX$10:BX23),-ROUNDDOWN($K24*BX$5/100,0)),0)</f>
        <v>0</v>
      </c>
      <c r="BY24" s="38">
        <f>IF(AND(U24="○",$A24&gt;=BY$8,$A24&lt;=BY$9),IF(SUM(BY$10:BY23)-ROUNDDOWN($K24*BY$5/100,0)&lt;-BY$6,-BY$6-SUM(BY$10:BY23),-ROUNDDOWN($K24*BY$5/100,0)),0)</f>
        <v>0</v>
      </c>
      <c r="BZ24" s="38">
        <f>IF(AND(V24="○",$A24&gt;=BZ$8,$A24&lt;=BZ$9),IF(SUM(BZ$10:BZ23)-ROUNDDOWN($K24*BZ$5/100,0)&lt;-BZ$6,-BZ$6-SUM(BZ$10:BZ23),-ROUNDDOWN($K24*BZ$5/100,0)),0)</f>
        <v>0</v>
      </c>
      <c r="CA24" s="38">
        <f>IF(AND(W24="○",$A24&gt;=CA$8,$A24&lt;=CA$9),IF(SUM(CA$10:CA23)-ROUNDDOWN($K24*CA$5/100,0)&lt;-CA$6,-CA$6-SUM(CA$10:CA23),-ROUNDDOWN($K24*CA$5/100,0)),0)</f>
        <v>0</v>
      </c>
      <c r="CB24" s="38"/>
      <c r="CC24" s="38"/>
      <c r="CD24" s="38"/>
      <c r="CE24" s="38"/>
      <c r="CF24" s="38"/>
      <c r="CG24" s="65">
        <f t="shared" si="47"/>
        <v>0</v>
      </c>
      <c r="CH24" s="71">
        <f t="shared" si="48"/>
        <v>0</v>
      </c>
      <c r="CI24" s="1">
        <f t="shared" si="36"/>
        <v>0</v>
      </c>
      <c r="CJ24" s="1"/>
      <c r="CK24" s="72"/>
      <c r="CL24" s="72"/>
      <c r="CM24" s="2"/>
      <c r="CN24" s="2"/>
      <c r="CO24" s="73">
        <f t="shared" si="37"/>
        <v>0</v>
      </c>
      <c r="CP24" s="5">
        <f t="shared" si="38"/>
        <v>0</v>
      </c>
      <c r="CQ24" s="1"/>
      <c r="CR24" s="1">
        <f t="shared" si="39"/>
        <v>0</v>
      </c>
      <c r="CS24" s="1"/>
      <c r="CT24" s="1" t="e">
        <f>INDEX([2]マスタ!$A:$A,MATCH(D24,[2]マスタ!$C:$C,0))</f>
        <v>#N/A</v>
      </c>
      <c r="CU24" s="1" t="str">
        <f t="shared" ca="1" si="40"/>
        <v>20260620_0-0</v>
      </c>
    </row>
    <row r="25" spans="1:99" x14ac:dyDescent="0.4">
      <c r="A25" s="61"/>
      <c r="B25" s="62"/>
      <c r="C25" s="62"/>
      <c r="D25" s="62"/>
      <c r="E25" s="74"/>
      <c r="F25" s="62"/>
      <c r="G25" s="62">
        <v>1</v>
      </c>
      <c r="H25" s="64">
        <f t="shared" si="24"/>
        <v>0</v>
      </c>
      <c r="I25" s="64"/>
      <c r="J25" s="64"/>
      <c r="K25" s="65">
        <f t="shared" si="5"/>
        <v>0</v>
      </c>
      <c r="L25" s="65">
        <f t="shared" si="25"/>
        <v>0</v>
      </c>
      <c r="M25" s="65">
        <f t="shared" si="26"/>
        <v>0</v>
      </c>
      <c r="N25" s="65">
        <f t="shared" si="27"/>
        <v>0</v>
      </c>
      <c r="O25" s="66" t="str">
        <f t="shared" si="9"/>
        <v>✕</v>
      </c>
      <c r="P25" s="67" t="str">
        <f t="shared" si="10"/>
        <v>○</v>
      </c>
      <c r="Q25" s="67" t="str">
        <f t="shared" si="11"/>
        <v>✕</v>
      </c>
      <c r="R25" s="67" t="str">
        <f t="shared" si="12"/>
        <v>✕</v>
      </c>
      <c r="S25" s="68">
        <v>0</v>
      </c>
      <c r="T25" s="69" t="s">
        <v>85</v>
      </c>
      <c r="U25" s="69" t="s">
        <v>85</v>
      </c>
      <c r="V25" s="69" t="s">
        <v>85</v>
      </c>
      <c r="W25" s="69" t="s">
        <v>85</v>
      </c>
      <c r="X25" s="69" t="s">
        <v>84</v>
      </c>
      <c r="Y25" s="69" t="s">
        <v>85</v>
      </c>
      <c r="Z25" s="69" t="s">
        <v>85</v>
      </c>
      <c r="AA25" s="69" t="s">
        <v>85</v>
      </c>
      <c r="AB25" s="69" t="s">
        <v>85</v>
      </c>
      <c r="AC25" s="69" t="s">
        <v>85</v>
      </c>
      <c r="AD25" s="38" t="str">
        <f>+IF(ISERROR(VLOOKUP($B25,AD$10:AD24,1,0)),IF(AND($N25&gt;=1000,$A25&gt;=AO$8,$A25&lt;=AO$9),$B25,""),"")</f>
        <v/>
      </c>
      <c r="AE25" s="38" t="str">
        <f>+IF(ISERROR(VLOOKUP($B25,AE$10:AE24,1,0)),IF(AND($N25&gt;=1000,$A25&gt;=AP$8,$A25&lt;=AP$9),$B25,""),"")</f>
        <v/>
      </c>
      <c r="AF25" s="38" t="str">
        <f>+IF(ISERROR(VLOOKUP($B25,AF$10:AF24,1,0)),IF(AND($N25&gt;=1000,$A25&gt;=AQ$8,$A25&lt;=AQ$9),$B25,""),"")</f>
        <v/>
      </c>
      <c r="AG25" s="38" t="str">
        <f>+IF(ISERROR(VLOOKUP($B25,AG$10:AG24,1,0)),IF(AND($N25&gt;=1000,$A25&gt;=AR$8,$A25&lt;=AR$9),$B25,""),"")</f>
        <v/>
      </c>
      <c r="AH25" s="38"/>
      <c r="AI25" s="70">
        <v>0</v>
      </c>
      <c r="AJ25" s="38">
        <f>IF(AND(AJ$7="○",$A25&gt;=AJ$8,$A25&lt;=AJ$9),IF(SUM(AJ$10:AJ24)-ROUNDDOWN($K25*AJ$5/100,0)&lt;-AJ$6,-AJ$6-SUM(AJ$10:AJ24),-ROUNDDOWN($K25*AJ$5/100,0)),0)</f>
        <v>0</v>
      </c>
      <c r="AK25" s="38">
        <f>IF(AND(AK$7="○",$A25&gt;=AK$8,$A25&lt;=AK$9),IF(SUM(AK$10:AK24)-ROUNDDOWN($L25*AK$5/100,0)&lt;-AK$6,-AK$6-SUM(AK$10:AK24),-ROUNDDOWN($L25*AK$5/100,0)),0)</f>
        <v>0</v>
      </c>
      <c r="AL25" s="38">
        <f>IF(AND(AL$7="○",$A25&gt;=AL$8,$A25&lt;=AL$9),IF(SUM(AL$10:AL24)-ROUNDDOWN($N25*AL$5/100,0)&lt;-AL$6,-AL$6-SUM(AL$10:AL24),-ROUNDDOWN($N25*AL$5/100,0)),0)</f>
        <v>0</v>
      </c>
      <c r="AM25" s="38">
        <f>IF(AND(AM$7="○",$A25&gt;=AM$8,$A25&lt;=AM$9),IF(SUM(AM$10:AM24)-ROUNDDOWN($L25*AM$5/100,0)&lt;-AM$6,-AM$6-SUM(AM$10:AM24),-ROUNDDOWN($L25*AM$5/100,0)),0)</f>
        <v>0</v>
      </c>
      <c r="AN25" s="38">
        <f>IF(AND(AN$7="○",$A25&gt;=AN$8,$A25&lt;=AN$9),IF(SUM(AN$10:AN24)-ROUNDDOWN($M25*AN$5/100,0)&lt;-AN$6,-AN$6-SUM(AN$10:AN24),-ROUNDDOWN($M25*AN$5/100,0)),0)</f>
        <v>0</v>
      </c>
      <c r="AO25" s="38">
        <f>IF(AND($A25&gt;=AO$8,$A25&lt;=AO$9),IF(SUM(AO$10:AO24)-ROUNDDOWN($K25*AO$5/100,0)&lt;-AO$6,-AO$6-SUM(AO$10:AO24),-ROUNDDOWN($K25*AO$5/100,0)),0)</f>
        <v>0</v>
      </c>
      <c r="AP25" s="38">
        <f>IF(AND($A25&gt;=AP$8,$A25&lt;=AP$9),IF(SUM(AP$10:AP24)-ROUNDDOWN($K25*AP$5/100,0)&lt;-AP$6,-AP$6-SUM(AP$10:AP24),-ROUNDDOWN($K25*AP$5/100,0)),0)</f>
        <v>0</v>
      </c>
      <c r="AQ25" s="38">
        <f>IF(AND($A25&gt;=AQ$8,$A25&lt;=AQ$9),IF(SUM(AQ$10:AQ24)-ROUNDDOWN($K25*AQ$5/100,0)&lt;-AQ$6,-AQ$6-SUM(AQ$10:AQ24),-ROUNDDOWN($K25*AQ$5/100,0)),0)</f>
        <v>0</v>
      </c>
      <c r="AR25" s="38">
        <f>IF(AND($A25&gt;=AR$8,$A25&lt;=AR$9),IF(SUM(AR$10:AR24)-ROUNDDOWN($K25*AR$5/100,0)&lt;-AR$6,-AR$6-SUM(AR$10:AR24),-ROUNDDOWN($K25*AR$5/100,0)),0)</f>
        <v>0</v>
      </c>
      <c r="AS25" s="38">
        <f>IF(SUMIFS(AS$10:AS24,$A$10:$A24,$A25)-ROUNDDOWN($K25*$S25/100,0)&lt;-$S25*1000,-$S25*1000-SUMIFS(AS$10:AS24,$A$10:$A24,$A25),-ROUNDDOWN($K25*$S25/100,0))</f>
        <v>0</v>
      </c>
      <c r="AT25" s="38">
        <f>IF(AND(X25="○",$A25&gt;=AT$8,$A25&lt;=AT$9,K25&gt;=3980),IF(SUM(AT$10:AT24)-ROUNDDOWN($K25*AT$5/100,0)&lt;-AT$6,-AT$6-SUM(AT$10:AT24),-ROUNDDOWN($K25*AT$5/100,0)),0)</f>
        <v>0</v>
      </c>
      <c r="AU25" s="38">
        <f>IF(O25="○",IF(SUM(AU$10:AU24)-ROUNDDOWN($K25*AU$5/100,0)&lt;-AU$6,-AU$6-SUM(AU$10:AU24),-ROUNDDOWN($K25*AU$5/100,0)),0)</f>
        <v>0</v>
      </c>
      <c r="AV25" s="38">
        <f>IF(P25="○",IF(SUM(AV$10:AV24)-ROUNDDOWN($K25*AV$5/100,0)&lt;-AV$6,-AV$6-SUM(AV$10:AV24),-ROUNDDOWN($K25*AV$5/100,0)),0)</f>
        <v>0</v>
      </c>
      <c r="AW25" s="38">
        <f>IF(Q25="○",IF(SUM(AW$10:AW24)-ROUNDDOWN($K25*AW$5/100,0)&lt;-AW$6,-AW$6-SUM(AW$10:AW24),-ROUNDDOWN($K25*AW$5/100,0)),0)</f>
        <v>0</v>
      </c>
      <c r="AX25" s="38">
        <f>IF(R25="○",IF(SUM(AX$10:AX24)-ROUNDDOWN($K25*AX$5/100,0)&lt;-AX$6,-AX$6-SUM(AX$10:AX24),-ROUNDDOWN($K25*AX$5/100,0)),0)</f>
        <v>0</v>
      </c>
      <c r="AY25" s="70">
        <v>0</v>
      </c>
      <c r="AZ25" s="65">
        <f t="shared" si="41"/>
        <v>0</v>
      </c>
      <c r="BA25" s="65">
        <f t="shared" si="42"/>
        <v>0</v>
      </c>
      <c r="BB25" s="70"/>
      <c r="BC25" s="65">
        <f t="shared" si="43"/>
        <v>0</v>
      </c>
      <c r="BD25" s="70">
        <v>0</v>
      </c>
      <c r="BE25" s="65">
        <f t="shared" si="44"/>
        <v>0</v>
      </c>
      <c r="BF25" s="70">
        <v>0</v>
      </c>
      <c r="BG25" s="65">
        <f t="shared" si="45"/>
        <v>0</v>
      </c>
      <c r="BH25" s="70">
        <v>0</v>
      </c>
      <c r="BI25" s="65">
        <f t="shared" si="46"/>
        <v>0</v>
      </c>
      <c r="BJ25" s="38">
        <f>IF(AND(BJ$7="○",$A25&gt;=BJ$8,$A25&lt;=BJ$9),IF(SUM(BJ$10:BJ24)-ROUNDDOWN($M25*BJ$5/100,0)&lt;-BJ$6,-BJ$6-SUM(BJ$10:BJ24),-ROUNDDOWN($M25*BJ$5/100,0)),0)</f>
        <v>0</v>
      </c>
      <c r="BK25" s="38">
        <f>IF(AND(BK$7="○",$A25&gt;=BK$8,$A25&lt;=BK$9),IF(SUM(BK$10:BK24)-ROUNDDOWN($L25*BK$5/100,0)&lt;-BK$6,-BK$6-SUM(BK$10:BK24),-ROUNDDOWN($L25*BK$5/100,0)),0)</f>
        <v>0</v>
      </c>
      <c r="BL25" s="38">
        <f>IF(AND(BL$7="○",$A25&gt;=BL$8,$A25&lt;=BL$9),IF(SUM(BL$10:BL24)-ROUNDDOWN($L25*BL$5/100,0)&lt;-BL$6,-BL$6-SUM(BL$10:BL24),-ROUNDDOWN($L25*BL$5/100,0)),0)</f>
        <v>0</v>
      </c>
      <c r="BM25" s="38">
        <f>IF(AND(BM$7="○",$A25&gt;=BM$8,$A25&lt;=BM$9),IF(SUM(BM$10:BM24)-ROUNDDOWN($M25*BM$5/100,0)&lt;-BM$6,-BM$6-SUM(BM$10:BM24),-ROUNDDOWN($M25*BM$5/100,0)),0)</f>
        <v>0</v>
      </c>
      <c r="BN25" s="38">
        <f>IF(AND(BN$7="○",$A25&gt;=BN$8,$A25&lt;=BN$9),IF(SUM(BN$10:BN24)-ROUNDDOWN($M25*BN$5/100,0)&lt;-BN$6,-BN$6-SUM(BN$10:BN24),-ROUNDDOWN($M25*BN$5/100,0)),0)</f>
        <v>0</v>
      </c>
      <c r="BO25" s="38">
        <f>IF(AND(BO$7="○",$A25&gt;=BO$8,$A25&lt;=BO$9),IF(SUM(BO$10:BO24)-ROUNDDOWN($M25*BO$5/100,0)&lt;-BO$6,-BO$6-SUM(BO$10:BO24),-ROUNDDOWN($M25*BO$5/100,0)),0)</f>
        <v>0</v>
      </c>
      <c r="BP25" s="38">
        <f>IF(AND(BP$7="○",$A25&gt;=BP$8,$A25&lt;=BP$9),IF(SUM(BP$10:BP24)-ROUNDDOWN($M25*BP$5/100,0)&lt;-BP$6,-BP$6-SUM(BP$10:BP24),-ROUNDDOWN($M25*BP$5/100,0)),0)</f>
        <v>0</v>
      </c>
      <c r="BQ25" s="38">
        <f>IF(AND(BQ$7="○",$A25&gt;=BQ$8,$A25&lt;=BQ$9),IF(SUM(BQ$10:BQ24)-ROUNDDOWN($L25*BQ$5/100,0)&lt;-BQ$6,-BQ$6-SUM(BQ$10:BQ24),-ROUNDDOWN($L25*BQ$5/100,0)),0)</f>
        <v>0</v>
      </c>
      <c r="BR25" s="38">
        <f>IF(AND(BR$7="○",$A25&gt;=BR$8,$A25&lt;=BR$9),IF(SUM(BR$10:BR24)-ROUNDDOWN($M25*BR$5/100,0)&lt;-BR$6,-BR$6-SUM(BR$10:BR24),-ROUNDDOWN($M25*BR$5/100,0)),0)</f>
        <v>0</v>
      </c>
      <c r="BS25" s="38">
        <f>IF(AND(BS$7="○",$A25&gt;=BS$8,$A25&lt;=BS$9),IF(SUM(BS$10:BS24)-ROUNDDOWN($M25*BS$5/100,0)&lt;-BS$6,-BS$6-SUM(BS$10:BS24),-ROUNDDOWN($M25*BS$5/100,0)),0)</f>
        <v>0</v>
      </c>
      <c r="BT25" s="38">
        <f>IF(AND(BT$7="○",$A25&gt;=BT$8,$A25&lt;=BT$9),IF(SUM(BT$10:BT24)-ROUNDDOWN($M25*BT$5/100,0)&lt;-BT$6,-BT$6-SUM(BT$10:BT24),-ROUNDDOWN($M25*BT$5/100,0)),0)</f>
        <v>0</v>
      </c>
      <c r="BU25" s="38">
        <f>IF(AND(BU$7="○",$A25&gt;=BU$8,$A25&lt;=BU$9),IF(SUM(BU$10:BU24)-ROUNDDOWN($M25*BU$5/100,0)&lt;-BU$6,-BU$6-SUM(BU$10:BU24),-ROUNDDOWN($M25*BU$5/100,0)),0)</f>
        <v>0</v>
      </c>
      <c r="BV25" s="38">
        <f>IF(AND(BV$7="○",$A25&gt;=BV$8,$A25&lt;=BV$9),IF(SUM(BV$10:BV24)-ROUNDDOWN($M25*BV$5/100,0)&lt;-BV$6,-BV$6-SUM(BV$10:BV24),-ROUNDDOWN($M25*BV$5/100,0)),0)</f>
        <v>0</v>
      </c>
      <c r="BW25" s="38">
        <f>IF(AND(BW$7="○",$A25&gt;=BW$8,$A25&lt;=BW$9),IF(SUM(BW$10:BW24)-ROUNDDOWN($M25*BW$5/100,0)&lt;-BW$6,-BW$6-SUM(BW$10:BW24),-ROUNDDOWN($M25*BW$5/100,0)),0)</f>
        <v>0</v>
      </c>
      <c r="BX25" s="38">
        <f>IF(AND(T25="○",$A25&gt;=BX$8,$A25&lt;=BX$9),IF(SUM(BX$10:BX24)-ROUNDDOWN($K25*BX$5/100,0)&lt;-BX$6,-BX$6-SUM(BX$10:BX24),-ROUNDDOWN($K25*BX$5/100,0)),0)</f>
        <v>0</v>
      </c>
      <c r="BY25" s="38">
        <f>IF(AND(U25="○",$A25&gt;=BY$8,$A25&lt;=BY$9),IF(SUM(BY$10:BY24)-ROUNDDOWN($K25*BY$5/100,0)&lt;-BY$6,-BY$6-SUM(BY$10:BY24),-ROUNDDOWN($K25*BY$5/100,0)),0)</f>
        <v>0</v>
      </c>
      <c r="BZ25" s="38">
        <f>IF(AND(V25="○",$A25&gt;=BZ$8,$A25&lt;=BZ$9),IF(SUM(BZ$10:BZ24)-ROUNDDOWN($K25*BZ$5/100,0)&lt;-BZ$6,-BZ$6-SUM(BZ$10:BZ24),-ROUNDDOWN($K25*BZ$5/100,0)),0)</f>
        <v>0</v>
      </c>
      <c r="CA25" s="38">
        <f>IF(AND(W25="○",$A25&gt;=CA$8,$A25&lt;=CA$9),IF(SUM(CA$10:CA24)-ROUNDDOWN($K25*CA$5/100,0)&lt;-CA$6,-CA$6-SUM(CA$10:CA24),-ROUNDDOWN($K25*CA$5/100,0)),0)</f>
        <v>0</v>
      </c>
      <c r="CB25" s="38"/>
      <c r="CC25" s="38"/>
      <c r="CD25" s="38"/>
      <c r="CE25" s="38"/>
      <c r="CF25" s="38"/>
      <c r="CG25" s="65">
        <f t="shared" si="47"/>
        <v>0</v>
      </c>
      <c r="CH25" s="71">
        <f t="shared" si="48"/>
        <v>0</v>
      </c>
      <c r="CI25" s="1">
        <f t="shared" si="36"/>
        <v>0</v>
      </c>
      <c r="CJ25" s="1"/>
      <c r="CK25" s="72"/>
      <c r="CL25" s="72"/>
      <c r="CM25" s="2"/>
      <c r="CN25" s="2"/>
      <c r="CO25" s="73">
        <f t="shared" si="37"/>
        <v>0</v>
      </c>
      <c r="CP25" s="5">
        <f t="shared" si="38"/>
        <v>0</v>
      </c>
      <c r="CQ25" s="1"/>
      <c r="CR25" s="1">
        <f t="shared" si="39"/>
        <v>0</v>
      </c>
      <c r="CS25" s="1"/>
      <c r="CT25" s="1" t="e">
        <f>INDEX([2]マスタ!$A:$A,MATCH(D25,[2]マスタ!$C:$C,0))</f>
        <v>#N/A</v>
      </c>
      <c r="CU25" s="1" t="str">
        <f t="shared" ca="1" si="40"/>
        <v>20260620_0-0</v>
      </c>
    </row>
    <row r="26" spans="1:99" x14ac:dyDescent="0.4">
      <c r="A26" s="61"/>
      <c r="B26" s="62"/>
      <c r="C26" s="62"/>
      <c r="D26" s="62"/>
      <c r="E26" s="74"/>
      <c r="F26" s="62"/>
      <c r="G26" s="62">
        <v>1</v>
      </c>
      <c r="H26" s="64">
        <f t="shared" si="24"/>
        <v>0</v>
      </c>
      <c r="I26" s="64"/>
      <c r="J26" s="64"/>
      <c r="K26" s="65">
        <f t="shared" si="5"/>
        <v>0</v>
      </c>
      <c r="L26" s="65">
        <f t="shared" si="25"/>
        <v>0</v>
      </c>
      <c r="M26" s="65">
        <f t="shared" si="26"/>
        <v>0</v>
      </c>
      <c r="N26" s="65">
        <f t="shared" si="27"/>
        <v>0</v>
      </c>
      <c r="O26" s="66" t="str">
        <f t="shared" si="9"/>
        <v>✕</v>
      </c>
      <c r="P26" s="67" t="str">
        <f t="shared" si="10"/>
        <v>○</v>
      </c>
      <c r="Q26" s="67" t="str">
        <f t="shared" si="11"/>
        <v>✕</v>
      </c>
      <c r="R26" s="67" t="str">
        <f t="shared" si="12"/>
        <v>✕</v>
      </c>
      <c r="S26" s="68">
        <v>0</v>
      </c>
      <c r="T26" s="69" t="s">
        <v>85</v>
      </c>
      <c r="U26" s="69" t="s">
        <v>85</v>
      </c>
      <c r="V26" s="69" t="s">
        <v>85</v>
      </c>
      <c r="W26" s="69" t="s">
        <v>85</v>
      </c>
      <c r="X26" s="69" t="s">
        <v>84</v>
      </c>
      <c r="Y26" s="69" t="s">
        <v>85</v>
      </c>
      <c r="Z26" s="69" t="s">
        <v>85</v>
      </c>
      <c r="AA26" s="69" t="s">
        <v>85</v>
      </c>
      <c r="AB26" s="69" t="s">
        <v>85</v>
      </c>
      <c r="AC26" s="69" t="s">
        <v>85</v>
      </c>
      <c r="AD26" s="38" t="str">
        <f>+IF(ISERROR(VLOOKUP($B26,AD$10:AD25,1,0)),IF(AND($N26&gt;=1000,$A26&gt;=AO$8,$A26&lt;=AO$9),$B26,""),"")</f>
        <v/>
      </c>
      <c r="AE26" s="38" t="str">
        <f>+IF(ISERROR(VLOOKUP($B26,AE$10:AE25,1,0)),IF(AND($N26&gt;=1000,$A26&gt;=AP$8,$A26&lt;=AP$9),$B26,""),"")</f>
        <v/>
      </c>
      <c r="AF26" s="38" t="str">
        <f>+IF(ISERROR(VLOOKUP($B26,AF$10:AF25,1,0)),IF(AND($N26&gt;=1000,$A26&gt;=AQ$8,$A26&lt;=AQ$9),$B26,""),"")</f>
        <v/>
      </c>
      <c r="AG26" s="38" t="str">
        <f>+IF(ISERROR(VLOOKUP($B26,AG$10:AG25,1,0)),IF(AND($N26&gt;=1000,$A26&gt;=AR$8,$A26&lt;=AR$9),$B26,""),"")</f>
        <v/>
      </c>
      <c r="AH26" s="38"/>
      <c r="AI26" s="70">
        <v>0</v>
      </c>
      <c r="AJ26" s="38">
        <f>IF(AND(AJ$7="○",$A26&gt;=AJ$8,$A26&lt;=AJ$9),IF(SUM(AJ$10:AJ25)-ROUNDDOWN($K26*AJ$5/100,0)&lt;-AJ$6,-AJ$6-SUM(AJ$10:AJ25),-ROUNDDOWN($K26*AJ$5/100,0)),0)</f>
        <v>0</v>
      </c>
      <c r="AK26" s="38">
        <f>IF(AND(AK$7="○",$A26&gt;=AK$8,$A26&lt;=AK$9),IF(SUM(AK$10:AK25)-ROUNDDOWN($L26*AK$5/100,0)&lt;-AK$6,-AK$6-SUM(AK$10:AK25),-ROUNDDOWN($L26*AK$5/100,0)),0)</f>
        <v>0</v>
      </c>
      <c r="AL26" s="38">
        <f>IF(AND(AL$7="○",$A26&gt;=AL$8,$A26&lt;=AL$9),IF(SUM(AL$10:AL25)-ROUNDDOWN($N26*AL$5/100,0)&lt;-AL$6,-AL$6-SUM(AL$10:AL25),-ROUNDDOWN($N26*AL$5/100,0)),0)</f>
        <v>0</v>
      </c>
      <c r="AM26" s="38">
        <f>IF(AND(AM$7="○",$A26&gt;=AM$8,$A26&lt;=AM$9),IF(SUM(AM$10:AM25)-ROUNDDOWN($L26*AM$5/100,0)&lt;-AM$6,-AM$6-SUM(AM$10:AM25),-ROUNDDOWN($L26*AM$5/100,0)),0)</f>
        <v>0</v>
      </c>
      <c r="AN26" s="38">
        <f>IF(AND(AN$7="○",$A26&gt;=AN$8,$A26&lt;=AN$9),IF(SUM(AN$10:AN25)-ROUNDDOWN($M26*AN$5/100,0)&lt;-AN$6,-AN$6-SUM(AN$10:AN25),-ROUNDDOWN($M26*AN$5/100,0)),0)</f>
        <v>0</v>
      </c>
      <c r="AO26" s="38">
        <f>IF(AND($A26&gt;=AO$8,$A26&lt;=AO$9),IF(SUM(AO$10:AO25)-ROUNDDOWN($K26*AO$5/100,0)&lt;-AO$6,-AO$6-SUM(AO$10:AO25),-ROUNDDOWN($K26*AO$5/100,0)),0)</f>
        <v>0</v>
      </c>
      <c r="AP26" s="38">
        <f>IF(AND($A26&gt;=AP$8,$A26&lt;=AP$9),IF(SUM(AP$10:AP25)-ROUNDDOWN($K26*AP$5/100,0)&lt;-AP$6,-AP$6-SUM(AP$10:AP25),-ROUNDDOWN($K26*AP$5/100,0)),0)</f>
        <v>0</v>
      </c>
      <c r="AQ26" s="38">
        <f>IF(AND($A26&gt;=AQ$8,$A26&lt;=AQ$9),IF(SUM(AQ$10:AQ25)-ROUNDDOWN($K26*AQ$5/100,0)&lt;-AQ$6,-AQ$6-SUM(AQ$10:AQ25),-ROUNDDOWN($K26*AQ$5/100,0)),0)</f>
        <v>0</v>
      </c>
      <c r="AR26" s="38">
        <f>IF(AND($A26&gt;=AR$8,$A26&lt;=AR$9),IF(SUM(AR$10:AR25)-ROUNDDOWN($K26*AR$5/100,0)&lt;-AR$6,-AR$6-SUM(AR$10:AR25),-ROUNDDOWN($K26*AR$5/100,0)),0)</f>
        <v>0</v>
      </c>
      <c r="AS26" s="38">
        <f>IF(SUMIFS(AS$10:AS25,$A$10:$A25,$A26)-ROUNDDOWN($K26*$S26/100,0)&lt;-$S26*1000,-$S26*1000-SUMIFS(AS$10:AS25,$A$10:$A25,$A26),-ROUNDDOWN($K26*$S26/100,0))</f>
        <v>0</v>
      </c>
      <c r="AT26" s="38">
        <f>IF(AND(X26="○",$A26&gt;=AT$8,$A26&lt;=AT$9,K26&gt;=3980),IF(SUM(AT$10:AT25)-ROUNDDOWN($K26*AT$5/100,0)&lt;-AT$6,-AT$6-SUM(AT$10:AT25),-ROUNDDOWN($K26*AT$5/100,0)),0)</f>
        <v>0</v>
      </c>
      <c r="AU26" s="38">
        <f>IF(O26="○",IF(SUM(AU$10:AU25)-ROUNDDOWN($K26*AU$5/100,0)&lt;-AU$6,-AU$6-SUM(AU$10:AU25),-ROUNDDOWN($K26*AU$5/100,0)),0)</f>
        <v>0</v>
      </c>
      <c r="AV26" s="38">
        <f>IF(P26="○",IF(SUM(AV$10:AV25)-ROUNDDOWN($K26*AV$5/100,0)&lt;-AV$6,-AV$6-SUM(AV$10:AV25),-ROUNDDOWN($K26*AV$5/100,0)),0)</f>
        <v>0</v>
      </c>
      <c r="AW26" s="38">
        <f>IF(Q26="○",IF(SUM(AW$10:AW25)-ROUNDDOWN($K26*AW$5/100,0)&lt;-AW$6,-AW$6-SUM(AW$10:AW25),-ROUNDDOWN($K26*AW$5/100,0)),0)</f>
        <v>0</v>
      </c>
      <c r="AX26" s="38">
        <f>IF(R26="○",IF(SUM(AX$10:AX25)-ROUNDDOWN($K26*AX$5/100,0)&lt;-AX$6,-AX$6-SUM(AX$10:AX25),-ROUNDDOWN($K26*AX$5/100,0)),0)</f>
        <v>0</v>
      </c>
      <c r="AY26" s="70">
        <v>0</v>
      </c>
      <c r="AZ26" s="65">
        <f t="shared" si="41"/>
        <v>0</v>
      </c>
      <c r="BA26" s="65">
        <f t="shared" si="42"/>
        <v>0</v>
      </c>
      <c r="BB26" s="70"/>
      <c r="BC26" s="65">
        <f t="shared" si="43"/>
        <v>0</v>
      </c>
      <c r="BD26" s="70">
        <v>0</v>
      </c>
      <c r="BE26" s="65">
        <f t="shared" si="44"/>
        <v>0</v>
      </c>
      <c r="BF26" s="70">
        <v>0</v>
      </c>
      <c r="BG26" s="65">
        <f t="shared" si="45"/>
        <v>0</v>
      </c>
      <c r="BH26" s="70">
        <v>0</v>
      </c>
      <c r="BI26" s="65">
        <f t="shared" si="46"/>
        <v>0</v>
      </c>
      <c r="BJ26" s="38">
        <f>IF(AND(BJ$7="○",$A26&gt;=BJ$8,$A26&lt;=BJ$9),IF(SUM(BJ$10:BJ25)-ROUNDDOWN($M26*BJ$5/100,0)&lt;-BJ$6,-BJ$6-SUM(BJ$10:BJ25),-ROUNDDOWN($M26*BJ$5/100,0)),0)</f>
        <v>0</v>
      </c>
      <c r="BK26" s="38">
        <f>IF(AND(BK$7="○",$A26&gt;=BK$8,$A26&lt;=BK$9),IF(SUM(BK$10:BK25)-ROUNDDOWN($L26*BK$5/100,0)&lt;-BK$6,-BK$6-SUM(BK$10:BK25),-ROUNDDOWN($L26*BK$5/100,0)),0)</f>
        <v>0</v>
      </c>
      <c r="BL26" s="38">
        <f>IF(AND(BL$7="○",$A26&gt;=BL$8,$A26&lt;=BL$9),IF(SUM(BL$10:BL25)-ROUNDDOWN($L26*BL$5/100,0)&lt;-BL$6,-BL$6-SUM(BL$10:BL25),-ROUNDDOWN($L26*BL$5/100,0)),0)</f>
        <v>0</v>
      </c>
      <c r="BM26" s="38">
        <f>IF(AND(BM$7="○",$A26&gt;=BM$8,$A26&lt;=BM$9),IF(SUM(BM$10:BM25)-ROUNDDOWN($M26*BM$5/100,0)&lt;-BM$6,-BM$6-SUM(BM$10:BM25),-ROUNDDOWN($M26*BM$5/100,0)),0)</f>
        <v>0</v>
      </c>
      <c r="BN26" s="38">
        <f>IF(AND(BN$7="○",$A26&gt;=BN$8,$A26&lt;=BN$9),IF(SUM(BN$10:BN25)-ROUNDDOWN($M26*BN$5/100,0)&lt;-BN$6,-BN$6-SUM(BN$10:BN25),-ROUNDDOWN($M26*BN$5/100,0)),0)</f>
        <v>0</v>
      </c>
      <c r="BO26" s="38">
        <f>IF(AND(BO$7="○",$A26&gt;=BO$8,$A26&lt;=BO$9),IF(SUM(BO$10:BO25)-ROUNDDOWN($M26*BO$5/100,0)&lt;-BO$6,-BO$6-SUM(BO$10:BO25),-ROUNDDOWN($M26*BO$5/100,0)),0)</f>
        <v>0</v>
      </c>
      <c r="BP26" s="38">
        <f>IF(AND(BP$7="○",$A26&gt;=BP$8,$A26&lt;=BP$9),IF(SUM(BP$10:BP25)-ROUNDDOWN($M26*BP$5/100,0)&lt;-BP$6,-BP$6-SUM(BP$10:BP25),-ROUNDDOWN($M26*BP$5/100,0)),0)</f>
        <v>0</v>
      </c>
      <c r="BQ26" s="38">
        <f>IF(AND(BQ$7="○",$A26&gt;=BQ$8,$A26&lt;=BQ$9),IF(SUM(BQ$10:BQ25)-ROUNDDOWN($L26*BQ$5/100,0)&lt;-BQ$6,-BQ$6-SUM(BQ$10:BQ25),-ROUNDDOWN($L26*BQ$5/100,0)),0)</f>
        <v>0</v>
      </c>
      <c r="BR26" s="38">
        <f>IF(AND(BR$7="○",$A26&gt;=BR$8,$A26&lt;=BR$9),IF(SUM(BR$10:BR25)-ROUNDDOWN($M26*BR$5/100,0)&lt;-BR$6,-BR$6-SUM(BR$10:BR25),-ROUNDDOWN($M26*BR$5/100,0)),0)</f>
        <v>0</v>
      </c>
      <c r="BS26" s="38">
        <f>IF(AND(BS$7="○",$A26&gt;=BS$8,$A26&lt;=BS$9),IF(SUM(BS$10:BS25)-ROUNDDOWN($M26*BS$5/100,0)&lt;-BS$6,-BS$6-SUM(BS$10:BS25),-ROUNDDOWN($M26*BS$5/100,0)),0)</f>
        <v>0</v>
      </c>
      <c r="BT26" s="38">
        <f>IF(AND(BT$7="○",$A26&gt;=BT$8,$A26&lt;=BT$9),IF(SUM(BT$10:BT25)-ROUNDDOWN($M26*BT$5/100,0)&lt;-BT$6,-BT$6-SUM(BT$10:BT25),-ROUNDDOWN($M26*BT$5/100,0)),0)</f>
        <v>0</v>
      </c>
      <c r="BU26" s="38">
        <f>IF(AND(BU$7="○",$A26&gt;=BU$8,$A26&lt;=BU$9),IF(SUM(BU$10:BU25)-ROUNDDOWN($M26*BU$5/100,0)&lt;-BU$6,-BU$6-SUM(BU$10:BU25),-ROUNDDOWN($M26*BU$5/100,0)),0)</f>
        <v>0</v>
      </c>
      <c r="BV26" s="38">
        <f>IF(AND(BV$7="○",$A26&gt;=BV$8,$A26&lt;=BV$9),IF(SUM(BV$10:BV25)-ROUNDDOWN($M26*BV$5/100,0)&lt;-BV$6,-BV$6-SUM(BV$10:BV25),-ROUNDDOWN($M26*BV$5/100,0)),0)</f>
        <v>0</v>
      </c>
      <c r="BW26" s="38">
        <f>IF(AND(BW$7="○",$A26&gt;=BW$8,$A26&lt;=BW$9),IF(SUM(BW$10:BW25)-ROUNDDOWN($M26*BW$5/100,0)&lt;-BW$6,-BW$6-SUM(BW$10:BW25),-ROUNDDOWN($M26*BW$5/100,0)),0)</f>
        <v>0</v>
      </c>
      <c r="BX26" s="38">
        <f>IF(AND(T26="○",$A26&gt;=BX$8,$A26&lt;=BX$9),IF(SUM(BX$10:BX25)-ROUNDDOWN($K26*BX$5/100,0)&lt;-BX$6,-BX$6-SUM(BX$10:BX25),-ROUNDDOWN($K26*BX$5/100,0)),0)</f>
        <v>0</v>
      </c>
      <c r="BY26" s="38">
        <f>IF(AND(U26="○",$A26&gt;=BY$8,$A26&lt;=BY$9),IF(SUM(BY$10:BY25)-ROUNDDOWN($K26*BY$5/100,0)&lt;-BY$6,-BY$6-SUM(BY$10:BY25),-ROUNDDOWN($K26*BY$5/100,0)),0)</f>
        <v>0</v>
      </c>
      <c r="BZ26" s="38">
        <f>IF(AND(V26="○",$A26&gt;=BZ$8,$A26&lt;=BZ$9),IF(SUM(BZ$10:BZ25)-ROUNDDOWN($K26*BZ$5/100,0)&lt;-BZ$6,-BZ$6-SUM(BZ$10:BZ25),-ROUNDDOWN($K26*BZ$5/100,0)),0)</f>
        <v>0</v>
      </c>
      <c r="CA26" s="38">
        <f>IF(AND(W26="○",$A26&gt;=CA$8,$A26&lt;=CA$9),IF(SUM(CA$10:CA25)-ROUNDDOWN($K26*CA$5/100,0)&lt;-CA$6,-CA$6-SUM(CA$10:CA25),-ROUNDDOWN($K26*CA$5/100,0)),0)</f>
        <v>0</v>
      </c>
      <c r="CB26" s="38"/>
      <c r="CC26" s="38"/>
      <c r="CD26" s="38"/>
      <c r="CE26" s="38"/>
      <c r="CF26" s="38"/>
      <c r="CG26" s="65">
        <f t="shared" si="47"/>
        <v>0</v>
      </c>
      <c r="CH26" s="71">
        <f t="shared" si="48"/>
        <v>0</v>
      </c>
      <c r="CI26" s="1">
        <f t="shared" si="36"/>
        <v>0</v>
      </c>
      <c r="CJ26" s="1"/>
      <c r="CK26" s="72"/>
      <c r="CL26" s="72"/>
      <c r="CM26" s="2"/>
      <c r="CN26" s="2"/>
      <c r="CO26" s="73">
        <f t="shared" si="37"/>
        <v>0</v>
      </c>
      <c r="CP26" s="5">
        <f t="shared" si="38"/>
        <v>0</v>
      </c>
      <c r="CQ26" s="1"/>
      <c r="CR26" s="1">
        <f t="shared" si="39"/>
        <v>0</v>
      </c>
      <c r="CS26" s="1"/>
      <c r="CT26" s="1" t="e">
        <f>INDEX([2]マスタ!$A:$A,MATCH(D26,[2]マスタ!$C:$C,0))</f>
        <v>#N/A</v>
      </c>
      <c r="CU26" s="1" t="str">
        <f t="shared" ca="1" si="40"/>
        <v>20260620_0-0</v>
      </c>
    </row>
    <row r="27" spans="1:99" x14ac:dyDescent="0.4">
      <c r="A27" s="61"/>
      <c r="B27" s="62"/>
      <c r="C27" s="62"/>
      <c r="D27" s="62"/>
      <c r="E27" s="74"/>
      <c r="F27" s="62"/>
      <c r="G27" s="62">
        <v>1</v>
      </c>
      <c r="H27" s="64">
        <f t="shared" si="24"/>
        <v>0</v>
      </c>
      <c r="I27" s="64"/>
      <c r="J27" s="64"/>
      <c r="K27" s="65">
        <f t="shared" si="5"/>
        <v>0</v>
      </c>
      <c r="L27" s="65">
        <f t="shared" si="25"/>
        <v>0</v>
      </c>
      <c r="M27" s="65">
        <f t="shared" si="26"/>
        <v>0</v>
      </c>
      <c r="N27" s="65">
        <f t="shared" si="27"/>
        <v>0</v>
      </c>
      <c r="O27" s="66" t="str">
        <f t="shared" si="9"/>
        <v>✕</v>
      </c>
      <c r="P27" s="67" t="str">
        <f t="shared" si="10"/>
        <v>○</v>
      </c>
      <c r="Q27" s="67" t="str">
        <f t="shared" si="11"/>
        <v>✕</v>
      </c>
      <c r="R27" s="67" t="str">
        <f t="shared" si="12"/>
        <v>✕</v>
      </c>
      <c r="S27" s="68">
        <v>0</v>
      </c>
      <c r="T27" s="69" t="s">
        <v>85</v>
      </c>
      <c r="U27" s="69" t="s">
        <v>85</v>
      </c>
      <c r="V27" s="69" t="s">
        <v>85</v>
      </c>
      <c r="W27" s="69" t="s">
        <v>85</v>
      </c>
      <c r="X27" s="69" t="s">
        <v>84</v>
      </c>
      <c r="Y27" s="69" t="s">
        <v>85</v>
      </c>
      <c r="Z27" s="69" t="s">
        <v>85</v>
      </c>
      <c r="AA27" s="69" t="s">
        <v>85</v>
      </c>
      <c r="AB27" s="69" t="s">
        <v>85</v>
      </c>
      <c r="AC27" s="69" t="s">
        <v>85</v>
      </c>
      <c r="AD27" s="38" t="str">
        <f>+IF(ISERROR(VLOOKUP($B27,AD$10:AD26,1,0)),IF(AND($N27&gt;=1000,$A27&gt;=AO$8,$A27&lt;=AO$9),$B27,""),"")</f>
        <v/>
      </c>
      <c r="AE27" s="38" t="str">
        <f>+IF(ISERROR(VLOOKUP($B27,AE$10:AE26,1,0)),IF(AND($N27&gt;=1000,$A27&gt;=AP$8,$A27&lt;=AP$9),$B27,""),"")</f>
        <v/>
      </c>
      <c r="AF27" s="38" t="str">
        <f>+IF(ISERROR(VLOOKUP($B27,AF$10:AF26,1,0)),IF(AND($N27&gt;=1000,$A27&gt;=AQ$8,$A27&lt;=AQ$9),$B27,""),"")</f>
        <v/>
      </c>
      <c r="AG27" s="38" t="str">
        <f>+IF(ISERROR(VLOOKUP($B27,AG$10:AG26,1,0)),IF(AND($N27&gt;=1000,$A27&gt;=AR$8,$A27&lt;=AR$9),$B27,""),"")</f>
        <v/>
      </c>
      <c r="AH27" s="38"/>
      <c r="AI27" s="70">
        <v>0</v>
      </c>
      <c r="AJ27" s="38">
        <f>IF(AND(AJ$7="○",$A27&gt;=AJ$8,$A27&lt;=AJ$9),IF(SUM(AJ$10:AJ26)-ROUNDDOWN($K27*AJ$5/100,0)&lt;-AJ$6,-AJ$6-SUM(AJ$10:AJ26),-ROUNDDOWN($K27*AJ$5/100,0)),0)</f>
        <v>0</v>
      </c>
      <c r="AK27" s="38">
        <f>IF(AND(AK$7="○",$A27&gt;=AK$8,$A27&lt;=AK$9),IF(SUM(AK$10:AK26)-ROUNDDOWN($L27*AK$5/100,0)&lt;-AK$6,-AK$6-SUM(AK$10:AK26),-ROUNDDOWN($L27*AK$5/100,0)),0)</f>
        <v>0</v>
      </c>
      <c r="AL27" s="38">
        <f>IF(AND(AL$7="○",$A27&gt;=AL$8,$A27&lt;=AL$9),IF(SUM(AL$10:AL26)-ROUNDDOWN($N27*AL$5/100,0)&lt;-AL$6,-AL$6-SUM(AL$10:AL26),-ROUNDDOWN($N27*AL$5/100,0)),0)</f>
        <v>0</v>
      </c>
      <c r="AM27" s="38">
        <f>IF(AND(AM$7="○",$A27&gt;=AM$8,$A27&lt;=AM$9),IF(SUM(AM$10:AM26)-ROUNDDOWN($L27*AM$5/100,0)&lt;-AM$6,-AM$6-SUM(AM$10:AM26),-ROUNDDOWN($L27*AM$5/100,0)),0)</f>
        <v>0</v>
      </c>
      <c r="AN27" s="38">
        <f>IF(AND(AN$7="○",$A27&gt;=AN$8,$A27&lt;=AN$9),IF(SUM(AN$10:AN26)-ROUNDDOWN($M27*AN$5/100,0)&lt;-AN$6,-AN$6-SUM(AN$10:AN26),-ROUNDDOWN($M27*AN$5/100,0)),0)</f>
        <v>0</v>
      </c>
      <c r="AO27" s="38">
        <f>IF(AND($A27&gt;=AO$8,$A27&lt;=AO$9),IF(SUM(AO$10:AO26)-ROUNDDOWN($K27*AO$5/100,0)&lt;-AO$6,-AO$6-SUM(AO$10:AO26),-ROUNDDOWN($K27*AO$5/100,0)),0)</f>
        <v>0</v>
      </c>
      <c r="AP27" s="38">
        <f>IF(AND($A27&gt;=AP$8,$A27&lt;=AP$9),IF(SUM(AP$10:AP26)-ROUNDDOWN($K27*AP$5/100,0)&lt;-AP$6,-AP$6-SUM(AP$10:AP26),-ROUNDDOWN($K27*AP$5/100,0)),0)</f>
        <v>0</v>
      </c>
      <c r="AQ27" s="38">
        <f>IF(AND($A27&gt;=AQ$8,$A27&lt;=AQ$9),IF(SUM(AQ$10:AQ26)-ROUNDDOWN($K27*AQ$5/100,0)&lt;-AQ$6,-AQ$6-SUM(AQ$10:AQ26),-ROUNDDOWN($K27*AQ$5/100,0)),0)</f>
        <v>0</v>
      </c>
      <c r="AR27" s="38">
        <f>IF(AND($A27&gt;=AR$8,$A27&lt;=AR$9),IF(SUM(AR$10:AR26)-ROUNDDOWN($K27*AR$5/100,0)&lt;-AR$6,-AR$6-SUM(AR$10:AR26),-ROUNDDOWN($K27*AR$5/100,0)),0)</f>
        <v>0</v>
      </c>
      <c r="AS27" s="38">
        <f>IF(SUMIFS(AS$10:AS26,$A$10:$A26,$A27)-ROUNDDOWN($K27*$S27/100,0)&lt;-$S27*1000,-$S27*1000-SUMIFS(AS$10:AS26,$A$10:$A26,$A27),-ROUNDDOWN($K27*$S27/100,0))</f>
        <v>0</v>
      </c>
      <c r="AT27" s="38">
        <f>IF(AND(X27="○",$A27&gt;=AT$8,$A27&lt;=AT$9,K27&gt;=3980),IF(SUM(AT$10:AT26)-ROUNDDOWN($K27*AT$5/100,0)&lt;-AT$6,-AT$6-SUM(AT$10:AT26),-ROUNDDOWN($K27*AT$5/100,0)),0)</f>
        <v>0</v>
      </c>
      <c r="AU27" s="38">
        <f>IF(O27="○",IF(SUM(AU$10:AU26)-ROUNDDOWN($K27*AU$5/100,0)&lt;-AU$6,-AU$6-SUM(AU$10:AU26),-ROUNDDOWN($K27*AU$5/100,0)),0)</f>
        <v>0</v>
      </c>
      <c r="AV27" s="38">
        <f>IF(P27="○",IF(SUM(AV$10:AV26)-ROUNDDOWN($K27*AV$5/100,0)&lt;-AV$6,-AV$6-SUM(AV$10:AV26),-ROUNDDOWN($K27*AV$5/100,0)),0)</f>
        <v>0</v>
      </c>
      <c r="AW27" s="38">
        <f>IF(Q27="○",IF(SUM(AW$10:AW26)-ROUNDDOWN($K27*AW$5/100,0)&lt;-AW$6,-AW$6-SUM(AW$10:AW26),-ROUNDDOWN($K27*AW$5/100,0)),0)</f>
        <v>0</v>
      </c>
      <c r="AX27" s="38">
        <f>IF(R27="○",IF(SUM(AX$10:AX26)-ROUNDDOWN($K27*AX$5/100,0)&lt;-AX$6,-AX$6-SUM(AX$10:AX26),-ROUNDDOWN($K27*AX$5/100,0)),0)</f>
        <v>0</v>
      </c>
      <c r="AY27" s="70">
        <v>0</v>
      </c>
      <c r="AZ27" s="65">
        <f t="shared" si="41"/>
        <v>0</v>
      </c>
      <c r="BA27" s="65">
        <f t="shared" si="42"/>
        <v>0</v>
      </c>
      <c r="BB27" s="70"/>
      <c r="BC27" s="65">
        <f t="shared" si="43"/>
        <v>0</v>
      </c>
      <c r="BD27" s="70">
        <v>0</v>
      </c>
      <c r="BE27" s="65">
        <f t="shared" si="44"/>
        <v>0</v>
      </c>
      <c r="BF27" s="70">
        <v>0</v>
      </c>
      <c r="BG27" s="65">
        <f t="shared" si="45"/>
        <v>0</v>
      </c>
      <c r="BH27" s="70">
        <v>0</v>
      </c>
      <c r="BI27" s="65">
        <f t="shared" si="46"/>
        <v>0</v>
      </c>
      <c r="BJ27" s="38">
        <f>IF(AND(BJ$7="○",$A27&gt;=BJ$8,$A27&lt;=BJ$9),IF(SUM(BJ$10:BJ26)-ROUNDDOWN($M27*BJ$5/100,0)&lt;-BJ$6,-BJ$6-SUM(BJ$10:BJ26),-ROUNDDOWN($M27*BJ$5/100,0)),0)</f>
        <v>0</v>
      </c>
      <c r="BK27" s="38">
        <f>IF(AND(BK$7="○",$A27&gt;=BK$8,$A27&lt;=BK$9),IF(SUM(BK$10:BK26)-ROUNDDOWN($L27*BK$5/100,0)&lt;-BK$6,-BK$6-SUM(BK$10:BK26),-ROUNDDOWN($L27*BK$5/100,0)),0)</f>
        <v>0</v>
      </c>
      <c r="BL27" s="38">
        <f>IF(AND(BL$7="○",$A27&gt;=BL$8,$A27&lt;=BL$9),IF(SUM(BL$10:BL26)-ROUNDDOWN($L27*BL$5/100,0)&lt;-BL$6,-BL$6-SUM(BL$10:BL26),-ROUNDDOWN($L27*BL$5/100,0)),0)</f>
        <v>0</v>
      </c>
      <c r="BM27" s="38">
        <f>IF(AND(BM$7="○",$A27&gt;=BM$8,$A27&lt;=BM$9),IF(SUM(BM$10:BM26)-ROUNDDOWN($M27*BM$5/100,0)&lt;-BM$6,-BM$6-SUM(BM$10:BM26),-ROUNDDOWN($M27*BM$5/100,0)),0)</f>
        <v>0</v>
      </c>
      <c r="BN27" s="38">
        <f>IF(AND(BN$7="○",$A27&gt;=BN$8,$A27&lt;=BN$9),IF(SUM(BN$10:BN26)-ROUNDDOWN($M27*BN$5/100,0)&lt;-BN$6,-BN$6-SUM(BN$10:BN26),-ROUNDDOWN($M27*BN$5/100,0)),0)</f>
        <v>0</v>
      </c>
      <c r="BO27" s="38">
        <f>IF(AND(BO$7="○",$A27&gt;=BO$8,$A27&lt;=BO$9),IF(SUM(BO$10:BO26)-ROUNDDOWN($M27*BO$5/100,0)&lt;-BO$6,-BO$6-SUM(BO$10:BO26),-ROUNDDOWN($M27*BO$5/100,0)),0)</f>
        <v>0</v>
      </c>
      <c r="BP27" s="38">
        <f>IF(AND(BP$7="○",$A27&gt;=BP$8,$A27&lt;=BP$9),IF(SUM(BP$10:BP26)-ROUNDDOWN($M27*BP$5/100,0)&lt;-BP$6,-BP$6-SUM(BP$10:BP26),-ROUNDDOWN($M27*BP$5/100,0)),0)</f>
        <v>0</v>
      </c>
      <c r="BQ27" s="38">
        <f>IF(AND(BQ$7="○",$A27&gt;=BQ$8,$A27&lt;=BQ$9),IF(SUM(BQ$10:BQ26)-ROUNDDOWN($L27*BQ$5/100,0)&lt;-BQ$6,-BQ$6-SUM(BQ$10:BQ26),-ROUNDDOWN($L27*BQ$5/100,0)),0)</f>
        <v>0</v>
      </c>
      <c r="BR27" s="38">
        <f>IF(AND(BR$7="○",$A27&gt;=BR$8,$A27&lt;=BR$9),IF(SUM(BR$10:BR26)-ROUNDDOWN($M27*BR$5/100,0)&lt;-BR$6,-BR$6-SUM(BR$10:BR26),-ROUNDDOWN($M27*BR$5/100,0)),0)</f>
        <v>0</v>
      </c>
      <c r="BS27" s="38">
        <f>IF(AND(BS$7="○",$A27&gt;=BS$8,$A27&lt;=BS$9),IF(SUM(BS$10:BS26)-ROUNDDOWN($M27*BS$5/100,0)&lt;-BS$6,-BS$6-SUM(BS$10:BS26),-ROUNDDOWN($M27*BS$5/100,0)),0)</f>
        <v>0</v>
      </c>
      <c r="BT27" s="38">
        <f>IF(AND(BT$7="○",$A27&gt;=BT$8,$A27&lt;=BT$9),IF(SUM(BT$10:BT26)-ROUNDDOWN($M27*BT$5/100,0)&lt;-BT$6,-BT$6-SUM(BT$10:BT26),-ROUNDDOWN($M27*BT$5/100,0)),0)</f>
        <v>0</v>
      </c>
      <c r="BU27" s="38">
        <f>IF(AND(BU$7="○",$A27&gt;=BU$8,$A27&lt;=BU$9),IF(SUM(BU$10:BU26)-ROUNDDOWN($M27*BU$5/100,0)&lt;-BU$6,-BU$6-SUM(BU$10:BU26),-ROUNDDOWN($M27*BU$5/100,0)),0)</f>
        <v>0</v>
      </c>
      <c r="BV27" s="38">
        <f>IF(AND(BV$7="○",$A27&gt;=BV$8,$A27&lt;=BV$9),IF(SUM(BV$10:BV26)-ROUNDDOWN($M27*BV$5/100,0)&lt;-BV$6,-BV$6-SUM(BV$10:BV26),-ROUNDDOWN($M27*BV$5/100,0)),0)</f>
        <v>0</v>
      </c>
      <c r="BW27" s="38">
        <f>IF(AND(BW$7="○",$A27&gt;=BW$8,$A27&lt;=BW$9),IF(SUM(BW$10:BW26)-ROUNDDOWN($M27*BW$5/100,0)&lt;-BW$6,-BW$6-SUM(BW$10:BW26),-ROUNDDOWN($M27*BW$5/100,0)),0)</f>
        <v>0</v>
      </c>
      <c r="BX27" s="38">
        <f>IF(AND(T27="○",$A27&gt;=BX$8,$A27&lt;=BX$9),IF(SUM(BX$10:BX26)-ROUNDDOWN($K27*BX$5/100,0)&lt;-BX$6,-BX$6-SUM(BX$10:BX26),-ROUNDDOWN($K27*BX$5/100,0)),0)</f>
        <v>0</v>
      </c>
      <c r="BY27" s="38">
        <f>IF(AND(U27="○",$A27&gt;=BY$8,$A27&lt;=BY$9),IF(SUM(BY$10:BY26)-ROUNDDOWN($K27*BY$5/100,0)&lt;-BY$6,-BY$6-SUM(BY$10:BY26),-ROUNDDOWN($K27*BY$5/100,0)),0)</f>
        <v>0</v>
      </c>
      <c r="BZ27" s="38">
        <f>IF(AND(V27="○",$A27&gt;=BZ$8,$A27&lt;=BZ$9),IF(SUM(BZ$10:BZ26)-ROUNDDOWN($K27*BZ$5/100,0)&lt;-BZ$6,-BZ$6-SUM(BZ$10:BZ26),-ROUNDDOWN($K27*BZ$5/100,0)),0)</f>
        <v>0</v>
      </c>
      <c r="CA27" s="38">
        <f>IF(AND(W27="○",$A27&gt;=CA$8,$A27&lt;=CA$9),IF(SUM(CA$10:CA26)-ROUNDDOWN($K27*CA$5/100,0)&lt;-CA$6,-CA$6-SUM(CA$10:CA26),-ROUNDDOWN($K27*CA$5/100,0)),0)</f>
        <v>0</v>
      </c>
      <c r="CB27" s="38"/>
      <c r="CC27" s="38"/>
      <c r="CD27" s="38"/>
      <c r="CE27" s="38"/>
      <c r="CF27" s="38"/>
      <c r="CG27" s="65">
        <f t="shared" si="47"/>
        <v>0</v>
      </c>
      <c r="CH27" s="71">
        <f t="shared" si="48"/>
        <v>0</v>
      </c>
      <c r="CI27" s="1">
        <f t="shared" si="36"/>
        <v>0</v>
      </c>
      <c r="CJ27" s="1"/>
      <c r="CK27" s="72"/>
      <c r="CL27" s="72"/>
      <c r="CM27" s="2"/>
      <c r="CN27" s="2"/>
      <c r="CO27" s="73">
        <f t="shared" si="37"/>
        <v>0</v>
      </c>
      <c r="CP27" s="5">
        <f t="shared" si="38"/>
        <v>0</v>
      </c>
      <c r="CQ27" s="1"/>
      <c r="CR27" s="1">
        <f t="shared" si="39"/>
        <v>0</v>
      </c>
      <c r="CS27" s="1"/>
      <c r="CT27" s="1" t="e">
        <f>INDEX([2]マスタ!$A:$A,MATCH(D27,[2]マスタ!$C:$C,0))</f>
        <v>#N/A</v>
      </c>
      <c r="CU27" s="1" t="str">
        <f t="shared" ca="1" si="40"/>
        <v>20260620_0-0</v>
      </c>
    </row>
    <row r="28" spans="1:99" x14ac:dyDescent="0.4">
      <c r="A28" s="61"/>
      <c r="B28" s="62"/>
      <c r="C28" s="62"/>
      <c r="D28" s="62"/>
      <c r="E28" s="74"/>
      <c r="F28" s="62"/>
      <c r="G28" s="62">
        <v>1</v>
      </c>
      <c r="H28" s="64">
        <f t="shared" si="4"/>
        <v>0</v>
      </c>
      <c r="I28" s="64"/>
      <c r="J28" s="64"/>
      <c r="K28" s="65">
        <f t="shared" ref="K28:K624" si="49">+ROUNDDOWN((H28+I28+J28)/100,0)*100</f>
        <v>0</v>
      </c>
      <c r="L28" s="65">
        <f t="shared" si="6"/>
        <v>0</v>
      </c>
      <c r="M28" s="65">
        <f t="shared" si="7"/>
        <v>0</v>
      </c>
      <c r="N28" s="65">
        <f t="shared" si="8"/>
        <v>0</v>
      </c>
      <c r="O28" s="66" t="str">
        <f t="shared" si="9"/>
        <v>✕</v>
      </c>
      <c r="P28" s="67" t="str">
        <f t="shared" si="10"/>
        <v>○</v>
      </c>
      <c r="Q28" s="67" t="str">
        <f t="shared" ref="Q28:Q624" si="50">+IF((TEXT(A28,"DD")+0)=1,"○","✕")</f>
        <v>✕</v>
      </c>
      <c r="R28" s="67" t="str">
        <f t="shared" si="12"/>
        <v>✕</v>
      </c>
      <c r="S28" s="68">
        <v>0</v>
      </c>
      <c r="T28" s="69" t="s">
        <v>85</v>
      </c>
      <c r="U28" s="69" t="s">
        <v>85</v>
      </c>
      <c r="V28" s="69" t="s">
        <v>85</v>
      </c>
      <c r="W28" s="69" t="s">
        <v>85</v>
      </c>
      <c r="X28" s="69" t="s">
        <v>84</v>
      </c>
      <c r="Y28" s="69" t="s">
        <v>85</v>
      </c>
      <c r="Z28" s="69" t="s">
        <v>85</v>
      </c>
      <c r="AA28" s="69" t="s">
        <v>85</v>
      </c>
      <c r="AB28" s="69" t="s">
        <v>85</v>
      </c>
      <c r="AC28" s="69" t="s">
        <v>85</v>
      </c>
      <c r="AD28" s="38" t="str">
        <f>+IF(ISERROR(VLOOKUP($B28,AD$10:AD20,1,0)),IF(AND($N28&gt;=1000,$A28&gt;=AO$8,$A28&lt;=AO$9),$B28,""),"")</f>
        <v/>
      </c>
      <c r="AE28" s="38" t="str">
        <f>+IF(ISERROR(VLOOKUP($B28,AE$10:AE20,1,0)),IF(AND($N28&gt;=1000,$A28&gt;=AP$8,$A28&lt;=AP$9),$B28,""),"")</f>
        <v/>
      </c>
      <c r="AF28" s="38" t="str">
        <f>+IF(ISERROR(VLOOKUP($B28,AF$10:AF20,1,0)),IF(AND($N28&gt;=1000,$A28&gt;=AQ$8,$A28&lt;=AQ$9),$B28,""),"")</f>
        <v/>
      </c>
      <c r="AG28" s="38" t="str">
        <f>+IF(ISERROR(VLOOKUP($B28,AG$10:AG20,1,0)),IF(AND($N28&gt;=1000,$A28&gt;=AR$8,$A28&lt;=AR$9),$B28,""),"")</f>
        <v/>
      </c>
      <c r="AH28" s="38"/>
      <c r="AI28" s="70">
        <v>0</v>
      </c>
      <c r="AJ28" s="38">
        <f>IF(AND(AJ$7="○",$A28&gt;=AJ$8,$A28&lt;=AJ$9),IF(SUM(AJ$10:AJ27)-ROUNDDOWN($K28*AJ$5/100,0)&lt;-AJ$6,-AJ$6-SUM(AJ$10:AJ27),-ROUNDDOWN($K28*AJ$5/100,0)),0)</f>
        <v>0</v>
      </c>
      <c r="AK28" s="38">
        <f>IF(AND(AK$7="○",$A28&gt;=AK$8,$A28&lt;=AK$9),IF(SUM(AK$10:AK27)-ROUNDDOWN($L28*AK$5/100,0)&lt;-AK$6,-AK$6-SUM(AK$10:AK27),-ROUNDDOWN($L28*AK$5/100,0)),0)</f>
        <v>0</v>
      </c>
      <c r="AL28" s="38">
        <f>IF(AND(AL$7="○",$A28&gt;=AL$8,$A28&lt;=AL$9),IF(SUM(AL$10:AL27)-ROUNDDOWN($N28*AL$5/100,0)&lt;-AL$6,-AL$6-SUM(AL$10:AL27),-ROUNDDOWN($N28*AL$5/100,0)),0)</f>
        <v>0</v>
      </c>
      <c r="AM28" s="38">
        <f>IF(AND(AM$7="○",$A28&gt;=AM$8,$A28&lt;=AM$9),IF(SUM(AM$10:AM27)-ROUNDDOWN($L28*AM$5/100,0)&lt;-AM$6,-AM$6-SUM(AM$10:AM27),-ROUNDDOWN($L28*AM$5/100,0)),0)</f>
        <v>0</v>
      </c>
      <c r="AN28" s="38">
        <f>IF(AND(AN$7="○",$A28&gt;=AN$8,$A28&lt;=AN$9),IF(SUM(AN$10:AN27)-ROUNDDOWN($M28*AN$5/100,0)&lt;-AN$6,-AN$6-SUM(AN$10:AN27),-ROUNDDOWN($M28*AN$5/100,0)),0)</f>
        <v>0</v>
      </c>
      <c r="AO28" s="38">
        <f>IF(AND($A28&gt;=AO$8,$A28&lt;=AO$9),IF(SUM(AO$10:AO27)-ROUNDDOWN($K28*AO$5/100,0)&lt;-AO$6,-AO$6-SUM(AO$10:AO27),-ROUNDDOWN($K28*AO$5/100,0)),0)</f>
        <v>0</v>
      </c>
      <c r="AP28" s="38">
        <f>IF(AND($A28&gt;=AP$8,$A28&lt;=AP$9),IF(SUM(AP$10:AP27)-ROUNDDOWN($K28*AP$5/100,0)&lt;-AP$6,-AP$6-SUM(AP$10:AP27),-ROUNDDOWN($K28*AP$5/100,0)),0)</f>
        <v>0</v>
      </c>
      <c r="AQ28" s="38">
        <f>IF(AND($A28&gt;=AQ$8,$A28&lt;=AQ$9),IF(SUM(AQ$10:AQ27)-ROUNDDOWN($K28*AQ$5/100,0)&lt;-AQ$6,-AQ$6-SUM(AQ$10:AQ27),-ROUNDDOWN($K28*AQ$5/100,0)),0)</f>
        <v>0</v>
      </c>
      <c r="AR28" s="38">
        <f>IF(AND($A28&gt;=AR$8,$A28&lt;=AR$9),IF(SUM(AR$10:AR27)-ROUNDDOWN($K28*AR$5/100,0)&lt;-AR$6,-AR$6-SUM(AR$10:AR27),-ROUNDDOWN($K28*AR$5/100,0)),0)</f>
        <v>0</v>
      </c>
      <c r="AS28" s="38">
        <f>IF(SUMIFS(AS$10:AS27,$A$10:$A27,$A28)-ROUNDDOWN($K28*$S28/100,0)&lt;-$S28*1000,-$S28*1000-SUMIFS(AS$10:AS27,$A$10:$A27,$A28),-ROUNDDOWN($K28*$S28/100,0))</f>
        <v>0</v>
      </c>
      <c r="AT28" s="38">
        <f>IF(AND(X28="○",$A28&gt;=AT$8,$A28&lt;=AT$9,K28&gt;=3980),IF(SUM(AT$10:AT27)-ROUNDDOWN($K28*AT$5/100,0)&lt;-AT$6,-AT$6-SUM(AT$10:AT27),-ROUNDDOWN($K28*AT$5/100,0)),0)</f>
        <v>0</v>
      </c>
      <c r="AU28" s="38">
        <f>IF(O28="○",IF(SUM(AU$10:AU27)-ROUNDDOWN($K28*AU$5/100,0)&lt;-AU$6,-AU$6-SUM(AU$10:AU27),-ROUNDDOWN($K28*AU$5/100,0)),0)</f>
        <v>0</v>
      </c>
      <c r="AV28" s="38">
        <f>IF(P28="○",IF(SUM(AV$10:AV27)-ROUNDDOWN($K28*AV$5/100,0)&lt;-AV$6,-AV$6-SUM(AV$10:AV27),-ROUNDDOWN($K28*AV$5/100,0)),0)</f>
        <v>0</v>
      </c>
      <c r="AW28" s="38">
        <f>IF(Q28="○",IF(SUM(AW$10:AW27)-ROUNDDOWN($K28*AW$5/100,0)&lt;-AW$6,-AW$6-SUM(AW$10:AW27),-ROUNDDOWN($K28*AW$5/100,0)),0)</f>
        <v>0</v>
      </c>
      <c r="AX28" s="38">
        <f>IF(R28="○",IF(SUM(AX$10:AX27)-ROUNDDOWN($K28*AX$5/100,0)&lt;-AX$6,-AX$6-SUM(AX$10:AX27),-ROUNDDOWN($K28*AX$5/100,0)),0)</f>
        <v>0</v>
      </c>
      <c r="AY28" s="70">
        <v>0</v>
      </c>
      <c r="AZ28" s="65">
        <f t="shared" si="41"/>
        <v>0</v>
      </c>
      <c r="BA28" s="65">
        <f t="shared" si="42"/>
        <v>0</v>
      </c>
      <c r="BB28" s="70"/>
      <c r="BC28" s="65">
        <f t="shared" si="43"/>
        <v>0</v>
      </c>
      <c r="BD28" s="70">
        <v>0</v>
      </c>
      <c r="BE28" s="65">
        <f t="shared" si="44"/>
        <v>0</v>
      </c>
      <c r="BF28" s="70">
        <v>0</v>
      </c>
      <c r="BG28" s="65">
        <f t="shared" si="45"/>
        <v>0</v>
      </c>
      <c r="BH28" s="70">
        <v>0</v>
      </c>
      <c r="BI28" s="65">
        <f t="shared" si="46"/>
        <v>0</v>
      </c>
      <c r="BJ28" s="38">
        <f>IF(AND(BJ$7="○",$A28&gt;=BJ$8,$A28&lt;=BJ$9),IF(SUM(BJ$10:BJ27)-ROUNDDOWN($M28*BJ$5/100,0)&lt;-BJ$6,-BJ$6-SUM(BJ$10:BJ27),-ROUNDDOWN($M28*BJ$5/100,0)),0)</f>
        <v>0</v>
      </c>
      <c r="BK28" s="38">
        <f>IF(AND(BK$7="○",$A28&gt;=BK$8,$A28&lt;=BK$9),IF(SUM(BK$10:BK27)-ROUNDDOWN($L28*BK$5/100,0)&lt;-BK$6,-BK$6-SUM(BK$10:BK27),-ROUNDDOWN($L28*BK$5/100,0)),0)</f>
        <v>0</v>
      </c>
      <c r="BL28" s="38">
        <f>IF(AND(BL$7="○",$A28&gt;=BL$8,$A28&lt;=BL$9),IF(SUM(BL$10:BL27)-ROUNDDOWN($L28*BL$5/100,0)&lt;-BL$6,-BL$6-SUM(BL$10:BL27),-ROUNDDOWN($L28*BL$5/100,0)),0)</f>
        <v>0</v>
      </c>
      <c r="BM28" s="38">
        <f>IF(AND(BM$7="○",$A28&gt;=BM$8,$A28&lt;=BM$9),IF(SUM(BM$10:BM27)-ROUNDDOWN($M28*BM$5/100,0)&lt;-BM$6,-BM$6-SUM(BM$10:BM27),-ROUNDDOWN($M28*BM$5/100,0)),0)</f>
        <v>0</v>
      </c>
      <c r="BN28" s="38">
        <f>IF(AND(BN$7="○",$A28&gt;=BN$8,$A28&lt;=BN$9),IF(SUM(BN$10:BN27)-ROUNDDOWN($M28*BN$5/100,0)&lt;-BN$6,-BN$6-SUM(BN$10:BN27),-ROUNDDOWN($M28*BN$5/100,0)),0)</f>
        <v>0</v>
      </c>
      <c r="BO28" s="38">
        <f>IF(AND(BO$7="○",$A28&gt;=BO$8,$A28&lt;=BO$9),IF(SUM(BO$10:BO27)-ROUNDDOWN($M28*BO$5/100,0)&lt;-BO$6,-BO$6-SUM(BO$10:BO27),-ROUNDDOWN($M28*BO$5/100,0)),0)</f>
        <v>0</v>
      </c>
      <c r="BP28" s="38">
        <f>IF(AND(BP$7="○",$A28&gt;=BP$8,$A28&lt;=BP$9),IF(SUM(BP$10:BP27)-ROUNDDOWN($M28*BP$5/100,0)&lt;-BP$6,-BP$6-SUM(BP$10:BP27),-ROUNDDOWN($M28*BP$5/100,0)),0)</f>
        <v>0</v>
      </c>
      <c r="BQ28" s="38">
        <f>IF(AND(BQ$7="○",$A28&gt;=BQ$8,$A28&lt;=BQ$9),IF(SUM(BQ$10:BQ27)-ROUNDDOWN($L28*BQ$5/100,0)&lt;-BQ$6,-BQ$6-SUM(BQ$10:BQ27),-ROUNDDOWN($L28*BQ$5/100,0)),0)</f>
        <v>0</v>
      </c>
      <c r="BR28" s="38">
        <f>IF(AND(BR$7="○",$A28&gt;=BR$8,$A28&lt;=BR$9),IF(SUM(BR$10:BR27)-ROUNDDOWN($M28*BR$5/100,0)&lt;-BR$6,-BR$6-SUM(BR$10:BR27),-ROUNDDOWN($M28*BR$5/100,0)),0)</f>
        <v>0</v>
      </c>
      <c r="BS28" s="38">
        <f>IF(AND(BS$7="○",$A28&gt;=BS$8,$A28&lt;=BS$9),IF(SUM(BS$10:BS27)-ROUNDDOWN($M28*BS$5/100,0)&lt;-BS$6,-BS$6-SUM(BS$10:BS27),-ROUNDDOWN($M28*BS$5/100,0)),0)</f>
        <v>0</v>
      </c>
      <c r="BT28" s="38">
        <f>IF(AND(BT$7="○",$A28&gt;=BT$8,$A28&lt;=BT$9),IF(SUM(BT$10:BT27)-ROUNDDOWN($M28*BT$5/100,0)&lt;-BT$6,-BT$6-SUM(BT$10:BT27),-ROUNDDOWN($M28*BT$5/100,0)),0)</f>
        <v>0</v>
      </c>
      <c r="BU28" s="38">
        <f>IF(AND(BU$7="○",$A28&gt;=BU$8,$A28&lt;=BU$9),IF(SUM(BU$10:BU27)-ROUNDDOWN($M28*BU$5/100,0)&lt;-BU$6,-BU$6-SUM(BU$10:BU27),-ROUNDDOWN($M28*BU$5/100,0)),0)</f>
        <v>0</v>
      </c>
      <c r="BV28" s="38">
        <f>IF(AND(BV$7="○",$A28&gt;=BV$8,$A28&lt;=BV$9),IF(SUM(BV$10:BV27)-ROUNDDOWN($M28*BV$5/100,0)&lt;-BV$6,-BV$6-SUM(BV$10:BV27),-ROUNDDOWN($M28*BV$5/100,0)),0)</f>
        <v>0</v>
      </c>
      <c r="BW28" s="38">
        <f>IF(AND(BW$7="○",$A28&gt;=BW$8,$A28&lt;=BW$9),IF(SUM(BW$10:BW27)-ROUNDDOWN($M28*BW$5/100,0)&lt;-BW$6,-BW$6-SUM(BW$10:BW27),-ROUNDDOWN($M28*BW$5/100,0)),0)</f>
        <v>0</v>
      </c>
      <c r="BX28" s="38">
        <f>IF(AND(T28="○",$A28&gt;=BX$8,$A28&lt;=BX$9),IF(SUM(BX$10:BX27)-ROUNDDOWN($K28*BX$5/100,0)&lt;-BX$6,-BX$6-SUM(BX$10:BX27),-ROUNDDOWN($K28*BX$5/100,0)),0)</f>
        <v>0</v>
      </c>
      <c r="BY28" s="38">
        <f>IF(AND(U28="○",$A28&gt;=BY$8,$A28&lt;=BY$9),IF(SUM(BY$10:BY27)-ROUNDDOWN($K28*BY$5/100,0)&lt;-BY$6,-BY$6-SUM(BY$10:BY27),-ROUNDDOWN($K28*BY$5/100,0)),0)</f>
        <v>0</v>
      </c>
      <c r="BZ28" s="38">
        <f>IF(AND(V28="○",$A28&gt;=BZ$8,$A28&lt;=BZ$9),IF(SUM(BZ$10:BZ27)-ROUNDDOWN($K28*BZ$5/100,0)&lt;-BZ$6,-BZ$6-SUM(BZ$10:BZ27),-ROUNDDOWN($K28*BZ$5/100,0)),0)</f>
        <v>0</v>
      </c>
      <c r="CA28" s="38">
        <f>IF(AND(W28="○",$A28&gt;=CA$8,$A28&lt;=CA$9),IF(SUM(CA$10:CA27)-ROUNDDOWN($K28*CA$5/100,0)&lt;-CA$6,-CA$6-SUM(CA$10:CA27),-ROUNDDOWN($K28*CA$5/100,0)),0)</f>
        <v>0</v>
      </c>
      <c r="CB28" s="38"/>
      <c r="CC28" s="38"/>
      <c r="CD28" s="38"/>
      <c r="CE28" s="38"/>
      <c r="CF28" s="38"/>
      <c r="CG28" s="65">
        <f t="shared" si="47"/>
        <v>0</v>
      </c>
      <c r="CH28" s="71">
        <f t="shared" si="48"/>
        <v>0</v>
      </c>
      <c r="CI28" s="1">
        <f t="shared" si="19"/>
        <v>0</v>
      </c>
      <c r="CJ28" s="1"/>
      <c r="CK28" s="75"/>
      <c r="CL28" s="75"/>
      <c r="CM28" s="2"/>
      <c r="CN28" s="2"/>
      <c r="CO28" s="73">
        <f t="shared" si="20"/>
        <v>0</v>
      </c>
      <c r="CP28" s="5">
        <f t="shared" si="21"/>
        <v>0</v>
      </c>
      <c r="CQ28" s="1"/>
      <c r="CR28" s="1">
        <f t="shared" si="22"/>
        <v>0</v>
      </c>
      <c r="CS28" s="1"/>
      <c r="CT28" s="1" t="e">
        <f>INDEX([2]マスタ!$A:$A,MATCH(D28,[2]マスタ!$C:$C,0))</f>
        <v>#N/A</v>
      </c>
      <c r="CU28" s="1" t="str">
        <f t="shared" ca="1" si="23"/>
        <v>20260620_0-0</v>
      </c>
    </row>
    <row r="29" spans="1:99" x14ac:dyDescent="0.4">
      <c r="A29" s="61"/>
      <c r="B29" s="62"/>
      <c r="C29" s="62"/>
      <c r="D29" s="62"/>
      <c r="E29" s="74"/>
      <c r="F29" s="62"/>
      <c r="G29" s="62">
        <v>1</v>
      </c>
      <c r="H29" s="64">
        <f t="shared" si="4"/>
        <v>0</v>
      </c>
      <c r="I29" s="64"/>
      <c r="J29" s="64"/>
      <c r="K29" s="65">
        <f t="shared" si="49"/>
        <v>0</v>
      </c>
      <c r="L29" s="65">
        <f t="shared" si="6"/>
        <v>0</v>
      </c>
      <c r="M29" s="65">
        <f t="shared" si="7"/>
        <v>0</v>
      </c>
      <c r="N29" s="65">
        <f t="shared" si="8"/>
        <v>0</v>
      </c>
      <c r="O29" s="66" t="str">
        <f t="shared" si="9"/>
        <v>✕</v>
      </c>
      <c r="P29" s="67" t="str">
        <f t="shared" si="10"/>
        <v>○</v>
      </c>
      <c r="Q29" s="67" t="str">
        <f t="shared" si="50"/>
        <v>✕</v>
      </c>
      <c r="R29" s="67" t="str">
        <f t="shared" si="12"/>
        <v>✕</v>
      </c>
      <c r="S29" s="68">
        <v>0</v>
      </c>
      <c r="T29" s="69" t="s">
        <v>85</v>
      </c>
      <c r="U29" s="69" t="s">
        <v>85</v>
      </c>
      <c r="V29" s="69" t="s">
        <v>85</v>
      </c>
      <c r="W29" s="69" t="s">
        <v>85</v>
      </c>
      <c r="X29" s="69" t="s">
        <v>84</v>
      </c>
      <c r="Y29" s="69" t="s">
        <v>85</v>
      </c>
      <c r="Z29" s="69" t="s">
        <v>85</v>
      </c>
      <c r="AA29" s="69" t="s">
        <v>85</v>
      </c>
      <c r="AB29" s="69" t="s">
        <v>85</v>
      </c>
      <c r="AC29" s="69" t="s">
        <v>85</v>
      </c>
      <c r="AD29" s="38" t="str">
        <f>+IF(ISERROR(VLOOKUP($B29,AD$10:AD28,1,0)),IF(AND($N29&gt;=1000,$A29&gt;=AO$8,$A29&lt;=AO$9),$B29,""),"")</f>
        <v/>
      </c>
      <c r="AE29" s="38" t="str">
        <f>+IF(ISERROR(VLOOKUP($B29,AE$10:AE28,1,0)),IF(AND($N29&gt;=1000,$A29&gt;=AP$8,$A29&lt;=AP$9),$B29,""),"")</f>
        <v/>
      </c>
      <c r="AF29" s="38" t="str">
        <f>+IF(ISERROR(VLOOKUP($B29,AF$10:AF28,1,0)),IF(AND($N29&gt;=1000,$A29&gt;=AQ$8,$A29&lt;=AQ$9),$B29,""),"")</f>
        <v/>
      </c>
      <c r="AG29" s="38" t="str">
        <f>+IF(ISERROR(VLOOKUP($B29,AG$10:AG28,1,0)),IF(AND($N29&gt;=1000,$A29&gt;=AR$8,$A29&lt;=AR$9),$B29,""),"")</f>
        <v/>
      </c>
      <c r="AH29" s="38"/>
      <c r="AI29" s="70">
        <v>0</v>
      </c>
      <c r="AJ29" s="38">
        <f>IF(AND(AJ$7="○",$A29&gt;=AJ$8,$A29&lt;=AJ$9),IF(SUM(AJ$10:AJ28)-ROUNDDOWN($K29*AJ$5/100,0)&lt;-AJ$6,-AJ$6-SUM(AJ$10:AJ28),-ROUNDDOWN($K29*AJ$5/100,0)),0)</f>
        <v>0</v>
      </c>
      <c r="AK29" s="38">
        <f>IF(AND(AK$7="○",$A29&gt;=AK$8,$A29&lt;=AK$9),IF(SUM(AK$10:AK28)-ROUNDDOWN($L29*AK$5/100,0)&lt;-AK$6,-AK$6-SUM(AK$10:AK28),-ROUNDDOWN($L29*AK$5/100,0)),0)</f>
        <v>0</v>
      </c>
      <c r="AL29" s="38">
        <f>IF(AND(AL$7="○",$A29&gt;=AL$8,$A29&lt;=AL$9),IF(SUM(AL$10:AL28)-ROUNDDOWN($N29*AL$5/100,0)&lt;-AL$6,-AL$6-SUM(AL$10:AL28),-ROUNDDOWN($N29*AL$5/100,0)),0)</f>
        <v>0</v>
      </c>
      <c r="AM29" s="38">
        <f>IF(AND(AM$7="○",$A29&gt;=AM$8,$A29&lt;=AM$9),IF(SUM(AM$10:AM28)-ROUNDDOWN($L29*AM$5/100,0)&lt;-AM$6,-AM$6-SUM(AM$10:AM28),-ROUNDDOWN($L29*AM$5/100,0)),0)</f>
        <v>0</v>
      </c>
      <c r="AN29" s="38">
        <f>IF(AND(AN$7="○",$A29&gt;=AN$8,$A29&lt;=AN$9),IF(SUM(AN$10:AN28)-ROUNDDOWN($M29*AN$5/100,0)&lt;-AN$6,-AN$6-SUM(AN$10:AN28),-ROUNDDOWN($M29*AN$5/100,0)),0)</f>
        <v>0</v>
      </c>
      <c r="AO29" s="38">
        <f>IF(AND($A29&gt;=AO$8,$A29&lt;=AO$9),IF(SUM(AO$10:AO28)-ROUNDDOWN($K29*AO$5/100,0)&lt;-AO$6,-AO$6-SUM(AO$10:AO28),-ROUNDDOWN($K29*AO$5/100,0)),0)</f>
        <v>0</v>
      </c>
      <c r="AP29" s="38">
        <f>IF(AND($A29&gt;=AP$8,$A29&lt;=AP$9),IF(SUM(AP$10:AP28)-ROUNDDOWN($K29*AP$5/100,0)&lt;-AP$6,-AP$6-SUM(AP$10:AP28),-ROUNDDOWN($K29*AP$5/100,0)),0)</f>
        <v>0</v>
      </c>
      <c r="AQ29" s="38">
        <f>IF(AND($A29&gt;=AQ$8,$A29&lt;=AQ$9),IF(SUM(AQ$10:AQ28)-ROUNDDOWN($K29*AQ$5/100,0)&lt;-AQ$6,-AQ$6-SUM(AQ$10:AQ28),-ROUNDDOWN($K29*AQ$5/100,0)),0)</f>
        <v>0</v>
      </c>
      <c r="AR29" s="38">
        <f>IF(AND($A29&gt;=AR$8,$A29&lt;=AR$9),IF(SUM(AR$10:AR28)-ROUNDDOWN($K29*AR$5/100,0)&lt;-AR$6,-AR$6-SUM(AR$10:AR28),-ROUNDDOWN($K29*AR$5/100,0)),0)</f>
        <v>0</v>
      </c>
      <c r="AS29" s="38">
        <f>IF(SUMIFS(AS$10:AS28,$A$10:$A28,$A29)-ROUNDDOWN($K29*$S29/100,0)&lt;-$S29*1000,-$S29*1000-SUMIFS(AS$10:AS28,$A$10:$A28,$A29),-ROUNDDOWN($K29*$S29/100,0))</f>
        <v>0</v>
      </c>
      <c r="AT29" s="38">
        <f>IF(AND(X29="○",$A29&gt;=AT$8,$A29&lt;=AT$9,K29&gt;=3980),IF(SUM(AT$10:AT28)-ROUNDDOWN($K29*AT$5/100,0)&lt;-AT$6,-AT$6-SUM(AT$10:AT28),-ROUNDDOWN($K29*AT$5/100,0)),0)</f>
        <v>0</v>
      </c>
      <c r="AU29" s="38">
        <f>IF(O29="○",IF(SUM(AU$10:AU28)-ROUNDDOWN($K29*AU$5/100,0)&lt;-AU$6,-AU$6-SUM(AU$10:AU28),-ROUNDDOWN($K29*AU$5/100,0)),0)</f>
        <v>0</v>
      </c>
      <c r="AV29" s="38">
        <f>IF(P29="○",IF(SUM(AV$10:AV28)-ROUNDDOWN($K29*AV$5/100,0)&lt;-AV$6,-AV$6-SUM(AV$10:AV28),-ROUNDDOWN($K29*AV$5/100,0)),0)</f>
        <v>0</v>
      </c>
      <c r="AW29" s="38">
        <f>IF(Q29="○",IF(SUM(AW$10:AW28)-ROUNDDOWN($K29*AW$5/100,0)&lt;-AW$6,-AW$6-SUM(AW$10:AW28),-ROUNDDOWN($K29*AW$5/100,0)),0)</f>
        <v>0</v>
      </c>
      <c r="AX29" s="38">
        <f>IF(R29="○",IF(SUM(AX$10:AX28)-ROUNDDOWN($K29*AX$5/100,0)&lt;-AX$6,-AX$6-SUM(AX$10:AX28),-ROUNDDOWN($K29*AX$5/100,0)),0)</f>
        <v>0</v>
      </c>
      <c r="AY29" s="70">
        <v>0</v>
      </c>
      <c r="AZ29" s="65">
        <f t="shared" si="41"/>
        <v>0</v>
      </c>
      <c r="BA29" s="65">
        <f t="shared" si="42"/>
        <v>0</v>
      </c>
      <c r="BB29" s="70"/>
      <c r="BC29" s="65">
        <f t="shared" si="43"/>
        <v>0</v>
      </c>
      <c r="BD29" s="70">
        <v>0</v>
      </c>
      <c r="BE29" s="65">
        <f t="shared" si="44"/>
        <v>0</v>
      </c>
      <c r="BF29" s="70">
        <v>0</v>
      </c>
      <c r="BG29" s="65">
        <f t="shared" si="45"/>
        <v>0</v>
      </c>
      <c r="BH29" s="70">
        <v>0</v>
      </c>
      <c r="BI29" s="65">
        <f t="shared" si="46"/>
        <v>0</v>
      </c>
      <c r="BJ29" s="38">
        <f>IF(AND(BJ$7="○",$A29&gt;=BJ$8,$A29&lt;=BJ$9),IF(SUM(BJ$10:BJ28)-ROUNDDOWN($M29*BJ$5/100,0)&lt;-BJ$6,-BJ$6-SUM(BJ$10:BJ28),-ROUNDDOWN($M29*BJ$5/100,0)),0)</f>
        <v>0</v>
      </c>
      <c r="BK29" s="38">
        <f>IF(AND(BK$7="○",$A29&gt;=BK$8,$A29&lt;=BK$9),IF(SUM(BK$10:BK28)-ROUNDDOWN($L29*BK$5/100,0)&lt;-BK$6,-BK$6-SUM(BK$10:BK28),-ROUNDDOWN($L29*BK$5/100,0)),0)</f>
        <v>0</v>
      </c>
      <c r="BL29" s="38">
        <f>IF(AND(BL$7="○",$A29&gt;=BL$8,$A29&lt;=BL$9),IF(SUM(BL$10:BL28)-ROUNDDOWN($L29*BL$5/100,0)&lt;-BL$6,-BL$6-SUM(BL$10:BL28),-ROUNDDOWN($L29*BL$5/100,0)),0)</f>
        <v>0</v>
      </c>
      <c r="BM29" s="38">
        <f>IF(AND(BM$7="○",$A29&gt;=BM$8,$A29&lt;=BM$9),IF(SUM(BM$10:BM28)-ROUNDDOWN($M29*BM$5/100,0)&lt;-BM$6,-BM$6-SUM(BM$10:BM28),-ROUNDDOWN($M29*BM$5/100,0)),0)</f>
        <v>0</v>
      </c>
      <c r="BN29" s="38">
        <f>IF(AND(BN$7="○",$A29&gt;=BN$8,$A29&lt;=BN$9),IF(SUM(BN$10:BN28)-ROUNDDOWN($M29*BN$5/100,0)&lt;-BN$6,-BN$6-SUM(BN$10:BN28),-ROUNDDOWN($M29*BN$5/100,0)),0)</f>
        <v>0</v>
      </c>
      <c r="BO29" s="38">
        <f>IF(AND(BO$7="○",$A29&gt;=BO$8,$A29&lt;=BO$9),IF(SUM(BO$10:BO28)-ROUNDDOWN($M29*BO$5/100,0)&lt;-BO$6,-BO$6-SUM(BO$10:BO28),-ROUNDDOWN($M29*BO$5/100,0)),0)</f>
        <v>0</v>
      </c>
      <c r="BP29" s="38">
        <f>IF(AND(BP$7="○",$A29&gt;=BP$8,$A29&lt;=BP$9),IF(SUM(BP$10:BP28)-ROUNDDOWN($M29*BP$5/100,0)&lt;-BP$6,-BP$6-SUM(BP$10:BP28),-ROUNDDOWN($M29*BP$5/100,0)),0)</f>
        <v>0</v>
      </c>
      <c r="BQ29" s="38">
        <f>IF(AND(BQ$7="○",$A29&gt;=BQ$8,$A29&lt;=BQ$9),IF(SUM(BQ$10:BQ28)-ROUNDDOWN($L29*BQ$5/100,0)&lt;-BQ$6,-BQ$6-SUM(BQ$10:BQ28),-ROUNDDOWN($L29*BQ$5/100,0)),0)</f>
        <v>0</v>
      </c>
      <c r="BR29" s="38">
        <f>IF(AND(BR$7="○",$A29&gt;=BR$8,$A29&lt;=BR$9),IF(SUM(BR$10:BR28)-ROUNDDOWN($M29*BR$5/100,0)&lt;-BR$6,-BR$6-SUM(BR$10:BR28),-ROUNDDOWN($M29*BR$5/100,0)),0)</f>
        <v>0</v>
      </c>
      <c r="BS29" s="38">
        <f>IF(AND(BS$7="○",$A29&gt;=BS$8,$A29&lt;=BS$9),IF(SUM(BS$10:BS28)-ROUNDDOWN($M29*BS$5/100,0)&lt;-BS$6,-BS$6-SUM(BS$10:BS28),-ROUNDDOWN($M29*BS$5/100,0)),0)</f>
        <v>0</v>
      </c>
      <c r="BT29" s="38">
        <f>IF(AND(BT$7="○",$A29&gt;=BT$8,$A29&lt;=BT$9),IF(SUM(BT$10:BT28)-ROUNDDOWN($M29*BT$5/100,0)&lt;-BT$6,-BT$6-SUM(BT$10:BT28),-ROUNDDOWN($M29*BT$5/100,0)),0)</f>
        <v>0</v>
      </c>
      <c r="BU29" s="38">
        <f>IF(AND(BU$7="○",$A29&gt;=BU$8,$A29&lt;=BU$9),IF(SUM(BU$10:BU28)-ROUNDDOWN($M29*BU$5/100,0)&lt;-BU$6,-BU$6-SUM(BU$10:BU28),-ROUNDDOWN($M29*BU$5/100,0)),0)</f>
        <v>0</v>
      </c>
      <c r="BV29" s="38">
        <f>IF(AND(BV$7="○",$A29&gt;=BV$8,$A29&lt;=BV$9),IF(SUM(BV$10:BV28)-ROUNDDOWN($M29*BV$5/100,0)&lt;-BV$6,-BV$6-SUM(BV$10:BV28),-ROUNDDOWN($M29*BV$5/100,0)),0)</f>
        <v>0</v>
      </c>
      <c r="BW29" s="38">
        <f>IF(AND(BW$7="○",$A29&gt;=BW$8,$A29&lt;=BW$9),IF(SUM(BW$10:BW28)-ROUNDDOWN($M29*BW$5/100,0)&lt;-BW$6,-BW$6-SUM(BW$10:BW28),-ROUNDDOWN($M29*BW$5/100,0)),0)</f>
        <v>0</v>
      </c>
      <c r="BX29" s="38">
        <f>IF(AND(T29="○",$A29&gt;=BX$8,$A29&lt;=BX$9),IF(SUM(BX$10:BX28)-ROUNDDOWN($K29*BX$5/100,0)&lt;-BX$6,-BX$6-SUM(BX$10:BX28),-ROUNDDOWN($K29*BX$5/100,0)),0)</f>
        <v>0</v>
      </c>
      <c r="BY29" s="38">
        <f>IF(AND(U29="○",$A29&gt;=BY$8,$A29&lt;=BY$9),IF(SUM(BY$10:BY28)-ROUNDDOWN($K29*BY$5/100,0)&lt;-BY$6,-BY$6-SUM(BY$10:BY28),-ROUNDDOWN($K29*BY$5/100,0)),0)</f>
        <v>0</v>
      </c>
      <c r="BZ29" s="38">
        <f>IF(AND(V29="○",$A29&gt;=BZ$8,$A29&lt;=BZ$9),IF(SUM(BZ$10:BZ28)-ROUNDDOWN($K29*BZ$5/100,0)&lt;-BZ$6,-BZ$6-SUM(BZ$10:BZ28),-ROUNDDOWN($K29*BZ$5/100,0)),0)</f>
        <v>0</v>
      </c>
      <c r="CA29" s="38">
        <f>IF(AND(W29="○",$A29&gt;=CA$8,$A29&lt;=CA$9),IF(SUM(CA$10:CA28)-ROUNDDOWN($K29*CA$5/100,0)&lt;-CA$6,-CA$6-SUM(CA$10:CA28),-ROUNDDOWN($K29*CA$5/100,0)),0)</f>
        <v>0</v>
      </c>
      <c r="CB29" s="38"/>
      <c r="CC29" s="38"/>
      <c r="CD29" s="38"/>
      <c r="CE29" s="38"/>
      <c r="CF29" s="38"/>
      <c r="CG29" s="65">
        <f t="shared" si="47"/>
        <v>0</v>
      </c>
      <c r="CH29" s="71">
        <f t="shared" si="48"/>
        <v>0</v>
      </c>
      <c r="CI29" s="1">
        <f t="shared" si="19"/>
        <v>0</v>
      </c>
      <c r="CJ29" s="1"/>
      <c r="CK29" s="75"/>
      <c r="CL29" s="75"/>
      <c r="CM29" s="2"/>
      <c r="CN29" s="2"/>
      <c r="CO29" s="73">
        <f t="shared" si="20"/>
        <v>0</v>
      </c>
      <c r="CP29" s="5">
        <f t="shared" si="21"/>
        <v>0</v>
      </c>
      <c r="CQ29" s="1"/>
      <c r="CR29" s="1">
        <f t="shared" si="22"/>
        <v>0</v>
      </c>
      <c r="CS29" s="1"/>
      <c r="CT29" s="1" t="e">
        <f>INDEX([2]マスタ!$A:$A,MATCH(D29,[2]マスタ!$C:$C,0))</f>
        <v>#N/A</v>
      </c>
      <c r="CU29" s="1" t="str">
        <f t="shared" ca="1" si="23"/>
        <v>20260620_0-0</v>
      </c>
    </row>
    <row r="30" spans="1:99" x14ac:dyDescent="0.4">
      <c r="A30" s="61"/>
      <c r="B30" s="62"/>
      <c r="C30" s="62"/>
      <c r="D30" s="62"/>
      <c r="E30" s="74"/>
      <c r="F30" s="62"/>
      <c r="G30" s="62">
        <v>1</v>
      </c>
      <c r="H30" s="64">
        <f t="shared" si="4"/>
        <v>0</v>
      </c>
      <c r="I30" s="64"/>
      <c r="J30" s="64"/>
      <c r="K30" s="65">
        <f t="shared" si="49"/>
        <v>0</v>
      </c>
      <c r="L30" s="65">
        <f t="shared" si="6"/>
        <v>0</v>
      </c>
      <c r="M30" s="65">
        <f t="shared" si="7"/>
        <v>0</v>
      </c>
      <c r="N30" s="65">
        <f t="shared" si="8"/>
        <v>0</v>
      </c>
      <c r="O30" s="66" t="str">
        <f t="shared" si="9"/>
        <v>✕</v>
      </c>
      <c r="P30" s="67" t="str">
        <f t="shared" si="10"/>
        <v>○</v>
      </c>
      <c r="Q30" s="67" t="str">
        <f t="shared" si="50"/>
        <v>✕</v>
      </c>
      <c r="R30" s="67" t="str">
        <f t="shared" si="12"/>
        <v>✕</v>
      </c>
      <c r="S30" s="68">
        <v>0</v>
      </c>
      <c r="T30" s="69" t="s">
        <v>85</v>
      </c>
      <c r="U30" s="69" t="s">
        <v>85</v>
      </c>
      <c r="V30" s="69" t="s">
        <v>85</v>
      </c>
      <c r="W30" s="69" t="s">
        <v>85</v>
      </c>
      <c r="X30" s="69" t="s">
        <v>84</v>
      </c>
      <c r="Y30" s="69" t="s">
        <v>85</v>
      </c>
      <c r="Z30" s="69" t="s">
        <v>85</v>
      </c>
      <c r="AA30" s="69" t="s">
        <v>85</v>
      </c>
      <c r="AB30" s="69" t="s">
        <v>85</v>
      </c>
      <c r="AC30" s="69" t="s">
        <v>85</v>
      </c>
      <c r="AD30" s="38" t="str">
        <f>+IF(ISERROR(VLOOKUP($B30,AD$10:AD29,1,0)),IF(AND($N30&gt;=1000,$A30&gt;=AO$8,$A30&lt;=AO$9),$B30,""),"")</f>
        <v/>
      </c>
      <c r="AE30" s="38" t="str">
        <f>+IF(ISERROR(VLOOKUP($B30,AE$10:AE29,1,0)),IF(AND($N30&gt;=1000,$A30&gt;=AP$8,$A30&lt;=AP$9),$B30,""),"")</f>
        <v/>
      </c>
      <c r="AF30" s="38" t="str">
        <f>+IF(ISERROR(VLOOKUP($B30,AF$10:AF29,1,0)),IF(AND($N30&gt;=1000,$A30&gt;=AQ$8,$A30&lt;=AQ$9),$B30,""),"")</f>
        <v/>
      </c>
      <c r="AG30" s="38" t="str">
        <f>+IF(ISERROR(VLOOKUP($B30,AG$10:AG29,1,0)),IF(AND($N30&gt;=1000,$A30&gt;=AR$8,$A30&lt;=AR$9),$B30,""),"")</f>
        <v/>
      </c>
      <c r="AH30" s="38"/>
      <c r="AI30" s="70">
        <v>0</v>
      </c>
      <c r="AJ30" s="38">
        <f>IF(AND(AJ$7="○",$A30&gt;=AJ$8,$A30&lt;=AJ$9),IF(SUM(AJ$10:AJ29)-ROUNDDOWN($K30*AJ$5/100,0)&lt;-AJ$6,-AJ$6-SUM(AJ$10:AJ29),-ROUNDDOWN($K30*AJ$5/100,0)),0)</f>
        <v>0</v>
      </c>
      <c r="AK30" s="38">
        <f>IF(AND(AK$7="○",$A30&gt;=AK$8,$A30&lt;=AK$9),IF(SUM(AK$10:AK29)-ROUNDDOWN($L30*AK$5/100,0)&lt;-AK$6,-AK$6-SUM(AK$10:AK29),-ROUNDDOWN($L30*AK$5/100,0)),0)</f>
        <v>0</v>
      </c>
      <c r="AL30" s="38">
        <f>IF(AND(AL$7="○",$A30&gt;=AL$8,$A30&lt;=AL$9),IF(SUM(AL$10:AL29)-ROUNDDOWN($N30*AL$5/100,0)&lt;-AL$6,-AL$6-SUM(AL$10:AL29),-ROUNDDOWN($N30*AL$5/100,0)),0)</f>
        <v>0</v>
      </c>
      <c r="AM30" s="38">
        <f>IF(AND(AM$7="○",$A30&gt;=AM$8,$A30&lt;=AM$9),IF(SUM(AM$10:AM29)-ROUNDDOWN($L30*AM$5/100,0)&lt;-AM$6,-AM$6-SUM(AM$10:AM29),-ROUNDDOWN($L30*AM$5/100,0)),0)</f>
        <v>0</v>
      </c>
      <c r="AN30" s="38">
        <f>IF(AND(AN$7="○",$A30&gt;=AN$8,$A30&lt;=AN$9),IF(SUM(AN$10:AN29)-ROUNDDOWN($M30*AN$5/100,0)&lt;-AN$6,-AN$6-SUM(AN$10:AN29),-ROUNDDOWN($M30*AN$5/100,0)),0)</f>
        <v>0</v>
      </c>
      <c r="AO30" s="38">
        <f>IF(AND($A30&gt;=AO$8,$A30&lt;=AO$9),IF(SUM(AO$10:AO29)-ROUNDDOWN($K30*AO$5/100,0)&lt;-AO$6,-AO$6-SUM(AO$10:AO29),-ROUNDDOWN($K30*AO$5/100,0)),0)</f>
        <v>0</v>
      </c>
      <c r="AP30" s="38">
        <f>IF(AND($A30&gt;=AP$8,$A30&lt;=AP$9),IF(SUM(AP$10:AP29)-ROUNDDOWN($K30*AP$5/100,0)&lt;-AP$6,-AP$6-SUM(AP$10:AP29),-ROUNDDOWN($K30*AP$5/100,0)),0)</f>
        <v>0</v>
      </c>
      <c r="AQ30" s="38">
        <f>IF(AND($A30&gt;=AQ$8,$A30&lt;=AQ$9),IF(SUM(AQ$10:AQ29)-ROUNDDOWN($K30*AQ$5/100,0)&lt;-AQ$6,-AQ$6-SUM(AQ$10:AQ29),-ROUNDDOWN($K30*AQ$5/100,0)),0)</f>
        <v>0</v>
      </c>
      <c r="AR30" s="38">
        <f>IF(AND($A30&gt;=AR$8,$A30&lt;=AR$9),IF(SUM(AR$10:AR29)-ROUNDDOWN($K30*AR$5/100,0)&lt;-AR$6,-AR$6-SUM(AR$10:AR29),-ROUNDDOWN($K30*AR$5/100,0)),0)</f>
        <v>0</v>
      </c>
      <c r="AS30" s="38">
        <f>IF(SUMIFS(AS$10:AS29,$A$10:$A29,$A30)-ROUNDDOWN($K30*$S30/100,0)&lt;-$S30*1000,-$S30*1000-SUMIFS(AS$10:AS29,$A$10:$A29,$A30),-ROUNDDOWN($K30*$S30/100,0))</f>
        <v>0</v>
      </c>
      <c r="AT30" s="38">
        <f>IF(AND(X30="○",$A30&gt;=AT$8,$A30&lt;=AT$9,K30&gt;=3980),IF(SUM(AT$10:AT29)-ROUNDDOWN($K30*AT$5/100,0)&lt;-AT$6,-AT$6-SUM(AT$10:AT29),-ROUNDDOWN($K30*AT$5/100,0)),0)</f>
        <v>0</v>
      </c>
      <c r="AU30" s="38">
        <f>IF(O30="○",IF(SUM(AU$10:AU29)-ROUNDDOWN($K30*AU$5/100,0)&lt;-AU$6,-AU$6-SUM(AU$10:AU29),-ROUNDDOWN($K30*AU$5/100,0)),0)</f>
        <v>0</v>
      </c>
      <c r="AV30" s="38">
        <f>IF(P30="○",IF(SUM(AV$10:AV29)-ROUNDDOWN($K30*AV$5/100,0)&lt;-AV$6,-AV$6-SUM(AV$10:AV29),-ROUNDDOWN($K30*AV$5/100,0)),0)</f>
        <v>0</v>
      </c>
      <c r="AW30" s="38">
        <f>IF(Q30="○",IF(SUM(AW$10:AW29)-ROUNDDOWN($K30*AW$5/100,0)&lt;-AW$6,-AW$6-SUM(AW$10:AW29),-ROUNDDOWN($K30*AW$5/100,0)),0)</f>
        <v>0</v>
      </c>
      <c r="AX30" s="38">
        <f>IF(R30="○",IF(SUM(AX$10:AX29)-ROUNDDOWN($K30*AX$5/100,0)&lt;-AX$6,-AX$6-SUM(AX$10:AX29),-ROUNDDOWN($K30*AX$5/100,0)),0)</f>
        <v>0</v>
      </c>
      <c r="AY30" s="70">
        <v>0</v>
      </c>
      <c r="AZ30" s="65">
        <f t="shared" si="41"/>
        <v>0</v>
      </c>
      <c r="BA30" s="65">
        <f t="shared" si="42"/>
        <v>0</v>
      </c>
      <c r="BB30" s="70"/>
      <c r="BC30" s="65">
        <f t="shared" si="43"/>
        <v>0</v>
      </c>
      <c r="BD30" s="70">
        <v>0</v>
      </c>
      <c r="BE30" s="65">
        <f t="shared" si="44"/>
        <v>0</v>
      </c>
      <c r="BF30" s="70">
        <v>0</v>
      </c>
      <c r="BG30" s="65">
        <f t="shared" si="45"/>
        <v>0</v>
      </c>
      <c r="BH30" s="70">
        <v>0</v>
      </c>
      <c r="BI30" s="65">
        <f t="shared" si="46"/>
        <v>0</v>
      </c>
      <c r="BJ30" s="38">
        <f>IF(AND(BJ$7="○",$A30&gt;=BJ$8,$A30&lt;=BJ$9),IF(SUM(BJ$10:BJ29)-ROUNDDOWN($M30*BJ$5/100,0)&lt;-BJ$6,-BJ$6-SUM(BJ$10:BJ29),-ROUNDDOWN($M30*BJ$5/100,0)),0)</f>
        <v>0</v>
      </c>
      <c r="BK30" s="38">
        <f>IF(AND(BK$7="○",$A30&gt;=BK$8,$A30&lt;=BK$9),IF(SUM(BK$10:BK29)-ROUNDDOWN($L30*BK$5/100,0)&lt;-BK$6,-BK$6-SUM(BK$10:BK29),-ROUNDDOWN($L30*BK$5/100,0)),0)</f>
        <v>0</v>
      </c>
      <c r="BL30" s="38">
        <f>IF(AND(BL$7="○",$A30&gt;=BL$8,$A30&lt;=BL$9),IF(SUM(BL$10:BL29)-ROUNDDOWN($L30*BL$5/100,0)&lt;-BL$6,-BL$6-SUM(BL$10:BL29),-ROUNDDOWN($L30*BL$5/100,0)),0)</f>
        <v>0</v>
      </c>
      <c r="BM30" s="38">
        <f>IF(AND(BM$7="○",$A30&gt;=BM$8,$A30&lt;=BM$9),IF(SUM(BM$10:BM29)-ROUNDDOWN($M30*BM$5/100,0)&lt;-BM$6,-BM$6-SUM(BM$10:BM29),-ROUNDDOWN($M30*BM$5/100,0)),0)</f>
        <v>0</v>
      </c>
      <c r="BN30" s="38">
        <f>IF(AND(BN$7="○",$A30&gt;=BN$8,$A30&lt;=BN$9),IF(SUM(BN$10:BN29)-ROUNDDOWN($M30*BN$5/100,0)&lt;-BN$6,-BN$6-SUM(BN$10:BN29),-ROUNDDOWN($M30*BN$5/100,0)),0)</f>
        <v>0</v>
      </c>
      <c r="BO30" s="38">
        <f>IF(AND(BO$7="○",$A30&gt;=BO$8,$A30&lt;=BO$9),IF(SUM(BO$10:BO29)-ROUNDDOWN($M30*BO$5/100,0)&lt;-BO$6,-BO$6-SUM(BO$10:BO29),-ROUNDDOWN($M30*BO$5/100,0)),0)</f>
        <v>0</v>
      </c>
      <c r="BP30" s="38">
        <f>IF(AND(BP$7="○",$A30&gt;=BP$8,$A30&lt;=BP$9),IF(SUM(BP$10:BP29)-ROUNDDOWN($M30*BP$5/100,0)&lt;-BP$6,-BP$6-SUM(BP$10:BP29),-ROUNDDOWN($M30*BP$5/100,0)),0)</f>
        <v>0</v>
      </c>
      <c r="BQ30" s="38">
        <f>IF(AND(BQ$7="○",$A30&gt;=BQ$8,$A30&lt;=BQ$9),IF(SUM(BQ$10:BQ29)-ROUNDDOWN($L30*BQ$5/100,0)&lt;-BQ$6,-BQ$6-SUM(BQ$10:BQ29),-ROUNDDOWN($L30*BQ$5/100,0)),0)</f>
        <v>0</v>
      </c>
      <c r="BR30" s="38">
        <f>IF(AND(BR$7="○",$A30&gt;=BR$8,$A30&lt;=BR$9),IF(SUM(BR$10:BR29)-ROUNDDOWN($M30*BR$5/100,0)&lt;-BR$6,-BR$6-SUM(BR$10:BR29),-ROUNDDOWN($M30*BR$5/100,0)),0)</f>
        <v>0</v>
      </c>
      <c r="BS30" s="38">
        <f>IF(AND(BS$7="○",$A30&gt;=BS$8,$A30&lt;=BS$9),IF(SUM(BS$10:BS29)-ROUNDDOWN($M30*BS$5/100,0)&lt;-BS$6,-BS$6-SUM(BS$10:BS29),-ROUNDDOWN($M30*BS$5/100,0)),0)</f>
        <v>0</v>
      </c>
      <c r="BT30" s="38">
        <f>IF(AND(BT$7="○",$A30&gt;=BT$8,$A30&lt;=BT$9),IF(SUM(BT$10:BT29)-ROUNDDOWN($M30*BT$5/100,0)&lt;-BT$6,-BT$6-SUM(BT$10:BT29),-ROUNDDOWN($M30*BT$5/100,0)),0)</f>
        <v>0</v>
      </c>
      <c r="BU30" s="38">
        <f>IF(AND(BU$7="○",$A30&gt;=BU$8,$A30&lt;=BU$9),IF(SUM(BU$10:BU29)-ROUNDDOWN($M30*BU$5/100,0)&lt;-BU$6,-BU$6-SUM(BU$10:BU29),-ROUNDDOWN($M30*BU$5/100,0)),0)</f>
        <v>0</v>
      </c>
      <c r="BV30" s="38">
        <f>IF(AND(BV$7="○",$A30&gt;=BV$8,$A30&lt;=BV$9),IF(SUM(BV$10:BV29)-ROUNDDOWN($M30*BV$5/100,0)&lt;-BV$6,-BV$6-SUM(BV$10:BV29),-ROUNDDOWN($M30*BV$5/100,0)),0)</f>
        <v>0</v>
      </c>
      <c r="BW30" s="38">
        <f>IF(AND(BW$7="○",$A30&gt;=BW$8,$A30&lt;=BW$9),IF(SUM(BW$10:BW29)-ROUNDDOWN($M30*BW$5/100,0)&lt;-BW$6,-BW$6-SUM(BW$10:BW29),-ROUNDDOWN($M30*BW$5/100,0)),0)</f>
        <v>0</v>
      </c>
      <c r="BX30" s="38">
        <f>IF(AND(T30="○",$A30&gt;=BX$8,$A30&lt;=BX$9),IF(SUM(BX$10:BX29)-ROUNDDOWN($K30*BX$5/100,0)&lt;-BX$6,-BX$6-SUM(BX$10:BX29),-ROUNDDOWN($K30*BX$5/100,0)),0)</f>
        <v>0</v>
      </c>
      <c r="BY30" s="38">
        <f>IF(AND(U30="○",$A30&gt;=BY$8,$A30&lt;=BY$9),IF(SUM(BY$10:BY29)-ROUNDDOWN($K30*BY$5/100,0)&lt;-BY$6,-BY$6-SUM(BY$10:BY29),-ROUNDDOWN($K30*BY$5/100,0)),0)</f>
        <v>0</v>
      </c>
      <c r="BZ30" s="38">
        <f>IF(AND(V30="○",$A30&gt;=BZ$8,$A30&lt;=BZ$9),IF(SUM(BZ$10:BZ29)-ROUNDDOWN($K30*BZ$5/100,0)&lt;-BZ$6,-BZ$6-SUM(BZ$10:BZ29),-ROUNDDOWN($K30*BZ$5/100,0)),0)</f>
        <v>0</v>
      </c>
      <c r="CA30" s="38">
        <f>IF(AND(W30="○",$A30&gt;=CA$8,$A30&lt;=CA$9),IF(SUM(CA$10:CA29)-ROUNDDOWN($K30*CA$5/100,0)&lt;-CA$6,-CA$6-SUM(CA$10:CA29),-ROUNDDOWN($K30*CA$5/100,0)),0)</f>
        <v>0</v>
      </c>
      <c r="CB30" s="38"/>
      <c r="CC30" s="38"/>
      <c r="CD30" s="38"/>
      <c r="CE30" s="38"/>
      <c r="CF30" s="38"/>
      <c r="CG30" s="65">
        <f t="shared" si="47"/>
        <v>0</v>
      </c>
      <c r="CH30" s="71">
        <f t="shared" si="48"/>
        <v>0</v>
      </c>
      <c r="CI30" s="1">
        <f t="shared" si="19"/>
        <v>0</v>
      </c>
      <c r="CJ30" s="1"/>
      <c r="CK30" s="75"/>
      <c r="CL30" s="75"/>
      <c r="CM30" s="2"/>
      <c r="CN30" s="2"/>
      <c r="CO30" s="73">
        <f t="shared" si="20"/>
        <v>0</v>
      </c>
      <c r="CP30" s="5">
        <f t="shared" si="21"/>
        <v>0</v>
      </c>
      <c r="CQ30" s="1"/>
      <c r="CR30" s="1">
        <f t="shared" si="22"/>
        <v>0</v>
      </c>
      <c r="CS30" s="1"/>
      <c r="CT30" s="1" t="e">
        <f>INDEX([2]マスタ!$A:$A,MATCH(D30,[2]マスタ!$C:$C,0))</f>
        <v>#N/A</v>
      </c>
      <c r="CU30" s="1" t="str">
        <f t="shared" ca="1" si="23"/>
        <v>20260620_0-0</v>
      </c>
    </row>
    <row r="31" spans="1:99" x14ac:dyDescent="0.4">
      <c r="A31" s="61"/>
      <c r="B31" s="62"/>
      <c r="C31" s="62"/>
      <c r="D31" s="62"/>
      <c r="E31" s="74"/>
      <c r="F31" s="62"/>
      <c r="G31" s="62">
        <v>1</v>
      </c>
      <c r="H31" s="64">
        <f t="shared" si="4"/>
        <v>0</v>
      </c>
      <c r="I31" s="64"/>
      <c r="J31" s="64"/>
      <c r="K31" s="65">
        <f t="shared" si="49"/>
        <v>0</v>
      </c>
      <c r="L31" s="65">
        <f t="shared" si="6"/>
        <v>0</v>
      </c>
      <c r="M31" s="65">
        <f t="shared" si="7"/>
        <v>0</v>
      </c>
      <c r="N31" s="65">
        <f t="shared" si="8"/>
        <v>0</v>
      </c>
      <c r="O31" s="66" t="str">
        <f t="shared" si="9"/>
        <v>✕</v>
      </c>
      <c r="P31" s="67" t="str">
        <f t="shared" si="10"/>
        <v>○</v>
      </c>
      <c r="Q31" s="67" t="str">
        <f t="shared" si="50"/>
        <v>✕</v>
      </c>
      <c r="R31" s="67" t="str">
        <f t="shared" si="12"/>
        <v>✕</v>
      </c>
      <c r="S31" s="68">
        <v>0</v>
      </c>
      <c r="T31" s="69" t="s">
        <v>85</v>
      </c>
      <c r="U31" s="69" t="s">
        <v>85</v>
      </c>
      <c r="V31" s="69" t="s">
        <v>85</v>
      </c>
      <c r="W31" s="69" t="s">
        <v>85</v>
      </c>
      <c r="X31" s="69" t="s">
        <v>84</v>
      </c>
      <c r="Y31" s="69" t="s">
        <v>85</v>
      </c>
      <c r="Z31" s="69" t="s">
        <v>85</v>
      </c>
      <c r="AA31" s="69" t="s">
        <v>85</v>
      </c>
      <c r="AB31" s="69" t="s">
        <v>85</v>
      </c>
      <c r="AC31" s="69" t="s">
        <v>85</v>
      </c>
      <c r="AD31" s="38" t="str">
        <f>+IF(ISERROR(VLOOKUP($B31,AD$10:AD30,1,0)),IF(AND($N31&gt;=1000,$A31&gt;=AO$8,$A31&lt;=AO$9),$B31,""),"")</f>
        <v/>
      </c>
      <c r="AE31" s="38" t="str">
        <f>+IF(ISERROR(VLOOKUP($B31,AE$10:AE30,1,0)),IF(AND($N31&gt;=1000,$A31&gt;=AP$8,$A31&lt;=AP$9),$B31,""),"")</f>
        <v/>
      </c>
      <c r="AF31" s="38" t="str">
        <f>+IF(ISERROR(VLOOKUP($B31,AF$10:AF30,1,0)),IF(AND($N31&gt;=1000,$A31&gt;=AQ$8,$A31&lt;=AQ$9),$B31,""),"")</f>
        <v/>
      </c>
      <c r="AG31" s="38" t="str">
        <f>+IF(ISERROR(VLOOKUP($B31,AG$10:AG30,1,0)),IF(AND($N31&gt;=1000,$A31&gt;=AR$8,$A31&lt;=AR$9),$B31,""),"")</f>
        <v/>
      </c>
      <c r="AH31" s="38"/>
      <c r="AI31" s="70">
        <v>0</v>
      </c>
      <c r="AJ31" s="38">
        <f>IF(AND(AJ$7="○",$A31&gt;=AJ$8,$A31&lt;=AJ$9),IF(SUM(AJ$10:AJ30)-ROUNDDOWN($K31*AJ$5/100,0)&lt;-AJ$6,-AJ$6-SUM(AJ$10:AJ30),-ROUNDDOWN($K31*AJ$5/100,0)),0)</f>
        <v>0</v>
      </c>
      <c r="AK31" s="38">
        <f>IF(AND(AK$7="○",$A31&gt;=AK$8,$A31&lt;=AK$9),IF(SUM(AK$10:AK30)-ROUNDDOWN($L31*AK$5/100,0)&lt;-AK$6,-AK$6-SUM(AK$10:AK30),-ROUNDDOWN($L31*AK$5/100,0)),0)</f>
        <v>0</v>
      </c>
      <c r="AL31" s="38">
        <f>IF(AND(AL$7="○",$A31&gt;=AL$8,$A31&lt;=AL$9),IF(SUM(AL$10:AL30)-ROUNDDOWN($N31*AL$5/100,0)&lt;-AL$6,-AL$6-SUM(AL$10:AL30),-ROUNDDOWN($N31*AL$5/100,0)),0)</f>
        <v>0</v>
      </c>
      <c r="AM31" s="38">
        <f>IF(AND(AM$7="○",$A31&gt;=AM$8,$A31&lt;=AM$9),IF(SUM(AM$10:AM30)-ROUNDDOWN($L31*AM$5/100,0)&lt;-AM$6,-AM$6-SUM(AM$10:AM30),-ROUNDDOWN($L31*AM$5/100,0)),0)</f>
        <v>0</v>
      </c>
      <c r="AN31" s="38">
        <f>IF(AND(AN$7="○",$A31&gt;=AN$8,$A31&lt;=AN$9),IF(SUM(AN$10:AN30)-ROUNDDOWN($M31*AN$5/100,0)&lt;-AN$6,-AN$6-SUM(AN$10:AN30),-ROUNDDOWN($M31*AN$5/100,0)),0)</f>
        <v>0</v>
      </c>
      <c r="AO31" s="38">
        <f>IF(AND($A31&gt;=AO$8,$A31&lt;=AO$9),IF(SUM(AO$10:AO30)-ROUNDDOWN($K31*AO$5/100,0)&lt;-AO$6,-AO$6-SUM(AO$10:AO30),-ROUNDDOWN($K31*AO$5/100,0)),0)</f>
        <v>0</v>
      </c>
      <c r="AP31" s="38">
        <f>IF(AND($A31&gt;=AP$8,$A31&lt;=AP$9),IF(SUM(AP$10:AP30)-ROUNDDOWN($K31*AP$5/100,0)&lt;-AP$6,-AP$6-SUM(AP$10:AP30),-ROUNDDOWN($K31*AP$5/100,0)),0)</f>
        <v>0</v>
      </c>
      <c r="AQ31" s="38">
        <f>IF(AND($A31&gt;=AQ$8,$A31&lt;=AQ$9),IF(SUM(AQ$10:AQ30)-ROUNDDOWN($K31*AQ$5/100,0)&lt;-AQ$6,-AQ$6-SUM(AQ$10:AQ30),-ROUNDDOWN($K31*AQ$5/100,0)),0)</f>
        <v>0</v>
      </c>
      <c r="AR31" s="38">
        <f>IF(AND($A31&gt;=AR$8,$A31&lt;=AR$9),IF(SUM(AR$10:AR30)-ROUNDDOWN($K31*AR$5/100,0)&lt;-AR$6,-AR$6-SUM(AR$10:AR30),-ROUNDDOWN($K31*AR$5/100,0)),0)</f>
        <v>0</v>
      </c>
      <c r="AS31" s="38">
        <f>IF(SUMIFS(AS$10:AS30,$A$10:$A30,$A31)-ROUNDDOWN($K31*$S31/100,0)&lt;-$S31*1000,-$S31*1000-SUMIFS(AS$10:AS30,$A$10:$A30,$A31),-ROUNDDOWN($K31*$S31/100,0))</f>
        <v>0</v>
      </c>
      <c r="AT31" s="38">
        <f>IF(AND(X31="○",$A31&gt;=AT$8,$A31&lt;=AT$9,K31&gt;=3980),IF(SUM(AT$10:AT30)-ROUNDDOWN($K31*AT$5/100,0)&lt;-AT$6,-AT$6-SUM(AT$10:AT30),-ROUNDDOWN($K31*AT$5/100,0)),0)</f>
        <v>0</v>
      </c>
      <c r="AU31" s="38">
        <f>IF(O31="○",IF(SUM(AU$10:AU30)-ROUNDDOWN($K31*AU$5/100,0)&lt;-AU$6,-AU$6-SUM(AU$10:AU30),-ROUNDDOWN($K31*AU$5/100,0)),0)</f>
        <v>0</v>
      </c>
      <c r="AV31" s="38">
        <f>IF(P31="○",IF(SUM(AV$10:AV30)-ROUNDDOWN($K31*AV$5/100,0)&lt;-AV$6,-AV$6-SUM(AV$10:AV30),-ROUNDDOWN($K31*AV$5/100,0)),0)</f>
        <v>0</v>
      </c>
      <c r="AW31" s="38">
        <f>IF(Q31="○",IF(SUM(AW$10:AW30)-ROUNDDOWN($K31*AW$5/100,0)&lt;-AW$6,-AW$6-SUM(AW$10:AW30),-ROUNDDOWN($K31*AW$5/100,0)),0)</f>
        <v>0</v>
      </c>
      <c r="AX31" s="38">
        <f>IF(R31="○",IF(SUM(AX$10:AX30)-ROUNDDOWN($K31*AX$5/100,0)&lt;-AX$6,-AX$6-SUM(AX$10:AX30),-ROUNDDOWN($K31*AX$5/100,0)),0)</f>
        <v>0</v>
      </c>
      <c r="AY31" s="70">
        <v>0</v>
      </c>
      <c r="AZ31" s="65">
        <f t="shared" si="41"/>
        <v>0</v>
      </c>
      <c r="BA31" s="65">
        <f t="shared" si="42"/>
        <v>0</v>
      </c>
      <c r="BB31" s="70"/>
      <c r="BC31" s="65">
        <f t="shared" si="43"/>
        <v>0</v>
      </c>
      <c r="BD31" s="70">
        <v>0</v>
      </c>
      <c r="BE31" s="65">
        <f t="shared" si="44"/>
        <v>0</v>
      </c>
      <c r="BF31" s="70">
        <v>0</v>
      </c>
      <c r="BG31" s="65">
        <f t="shared" si="45"/>
        <v>0</v>
      </c>
      <c r="BH31" s="70">
        <v>0</v>
      </c>
      <c r="BI31" s="65">
        <f t="shared" si="46"/>
        <v>0</v>
      </c>
      <c r="BJ31" s="38">
        <f>IF(AND(BJ$7="○",$A31&gt;=BJ$8,$A31&lt;=BJ$9),IF(SUM(BJ$10:BJ30)-ROUNDDOWN($M31*BJ$5/100,0)&lt;-BJ$6,-BJ$6-SUM(BJ$10:BJ30),-ROUNDDOWN($M31*BJ$5/100,0)),0)</f>
        <v>0</v>
      </c>
      <c r="BK31" s="38">
        <f>IF(AND(BK$7="○",$A31&gt;=BK$8,$A31&lt;=BK$9),IF(SUM(BK$10:BK30)-ROUNDDOWN($L31*BK$5/100,0)&lt;-BK$6,-BK$6-SUM(BK$10:BK30),-ROUNDDOWN($L31*BK$5/100,0)),0)</f>
        <v>0</v>
      </c>
      <c r="BL31" s="38">
        <f>IF(AND(BL$7="○",$A31&gt;=BL$8,$A31&lt;=BL$9),IF(SUM(BL$10:BL30)-ROUNDDOWN($L31*BL$5/100,0)&lt;-BL$6,-BL$6-SUM(BL$10:BL30),-ROUNDDOWN($L31*BL$5/100,0)),0)</f>
        <v>0</v>
      </c>
      <c r="BM31" s="38">
        <f>IF(AND(BM$7="○",$A31&gt;=BM$8,$A31&lt;=BM$9),IF(SUM(BM$10:BM30)-ROUNDDOWN($M31*BM$5/100,0)&lt;-BM$6,-BM$6-SUM(BM$10:BM30),-ROUNDDOWN($M31*BM$5/100,0)),0)</f>
        <v>0</v>
      </c>
      <c r="BN31" s="38">
        <f>IF(AND(BN$7="○",$A31&gt;=BN$8,$A31&lt;=BN$9),IF(SUM(BN$10:BN30)-ROUNDDOWN($M31*BN$5/100,0)&lt;-BN$6,-BN$6-SUM(BN$10:BN30),-ROUNDDOWN($M31*BN$5/100,0)),0)</f>
        <v>0</v>
      </c>
      <c r="BO31" s="38">
        <f>IF(AND(BO$7="○",$A31&gt;=BO$8,$A31&lt;=BO$9),IF(SUM(BO$10:BO30)-ROUNDDOWN($M31*BO$5/100,0)&lt;-BO$6,-BO$6-SUM(BO$10:BO30),-ROUNDDOWN($M31*BO$5/100,0)),0)</f>
        <v>0</v>
      </c>
      <c r="BP31" s="38">
        <f>IF(AND(BP$7="○",$A31&gt;=BP$8,$A31&lt;=BP$9),IF(SUM(BP$10:BP30)-ROUNDDOWN($M31*BP$5/100,0)&lt;-BP$6,-BP$6-SUM(BP$10:BP30),-ROUNDDOWN($M31*BP$5/100,0)),0)</f>
        <v>0</v>
      </c>
      <c r="BQ31" s="38">
        <f>IF(AND(BQ$7="○",$A31&gt;=BQ$8,$A31&lt;=BQ$9),IF(SUM(BQ$10:BQ30)-ROUNDDOWN($L31*BQ$5/100,0)&lt;-BQ$6,-BQ$6-SUM(BQ$10:BQ30),-ROUNDDOWN($L31*BQ$5/100,0)),0)</f>
        <v>0</v>
      </c>
      <c r="BR31" s="38">
        <f>IF(AND(BR$7="○",$A31&gt;=BR$8,$A31&lt;=BR$9),IF(SUM(BR$10:BR30)-ROUNDDOWN($M31*BR$5/100,0)&lt;-BR$6,-BR$6-SUM(BR$10:BR30),-ROUNDDOWN($M31*BR$5/100,0)),0)</f>
        <v>0</v>
      </c>
      <c r="BS31" s="38">
        <f>IF(AND(BS$7="○",$A31&gt;=BS$8,$A31&lt;=BS$9),IF(SUM(BS$10:BS30)-ROUNDDOWN($M31*BS$5/100,0)&lt;-BS$6,-BS$6-SUM(BS$10:BS30),-ROUNDDOWN($M31*BS$5/100,0)),0)</f>
        <v>0</v>
      </c>
      <c r="BT31" s="38">
        <f>IF(AND(BT$7="○",$A31&gt;=BT$8,$A31&lt;=BT$9),IF(SUM(BT$10:BT30)-ROUNDDOWN($M31*BT$5/100,0)&lt;-BT$6,-BT$6-SUM(BT$10:BT30),-ROUNDDOWN($M31*BT$5/100,0)),0)</f>
        <v>0</v>
      </c>
      <c r="BU31" s="38">
        <f>IF(AND(BU$7="○",$A31&gt;=BU$8,$A31&lt;=BU$9),IF(SUM(BU$10:BU30)-ROUNDDOWN($M31*BU$5/100,0)&lt;-BU$6,-BU$6-SUM(BU$10:BU30),-ROUNDDOWN($M31*BU$5/100,0)),0)</f>
        <v>0</v>
      </c>
      <c r="BV31" s="38">
        <f>IF(AND(BV$7="○",$A31&gt;=BV$8,$A31&lt;=BV$9),IF(SUM(BV$10:BV30)-ROUNDDOWN($M31*BV$5/100,0)&lt;-BV$6,-BV$6-SUM(BV$10:BV30),-ROUNDDOWN($M31*BV$5/100,0)),0)</f>
        <v>0</v>
      </c>
      <c r="BW31" s="38">
        <f>IF(AND(BW$7="○",$A31&gt;=BW$8,$A31&lt;=BW$9),IF(SUM(BW$10:BW30)-ROUNDDOWN($M31*BW$5/100,0)&lt;-BW$6,-BW$6-SUM(BW$10:BW30),-ROUNDDOWN($M31*BW$5/100,0)),0)</f>
        <v>0</v>
      </c>
      <c r="BX31" s="38">
        <f>IF(AND(T31="○",$A31&gt;=BX$8,$A31&lt;=BX$9),IF(SUM(BX$10:BX30)-ROUNDDOWN($K31*BX$5/100,0)&lt;-BX$6,-BX$6-SUM(BX$10:BX30),-ROUNDDOWN($K31*BX$5/100,0)),0)</f>
        <v>0</v>
      </c>
      <c r="BY31" s="38">
        <f>IF(AND(U31="○",$A31&gt;=BY$8,$A31&lt;=BY$9),IF(SUM(BY$10:BY30)-ROUNDDOWN($K31*BY$5/100,0)&lt;-BY$6,-BY$6-SUM(BY$10:BY30),-ROUNDDOWN($K31*BY$5/100,0)),0)</f>
        <v>0</v>
      </c>
      <c r="BZ31" s="38">
        <f>IF(AND(V31="○",$A31&gt;=BZ$8,$A31&lt;=BZ$9),IF(SUM(BZ$10:BZ30)-ROUNDDOWN($K31*BZ$5/100,0)&lt;-BZ$6,-BZ$6-SUM(BZ$10:BZ30),-ROUNDDOWN($K31*BZ$5/100,0)),0)</f>
        <v>0</v>
      </c>
      <c r="CA31" s="38">
        <f>IF(AND(W31="○",$A31&gt;=CA$8,$A31&lt;=CA$9),IF(SUM(CA$10:CA30)-ROUNDDOWN($K31*CA$5/100,0)&lt;-CA$6,-CA$6-SUM(CA$10:CA30),-ROUNDDOWN($K31*CA$5/100,0)),0)</f>
        <v>0</v>
      </c>
      <c r="CB31" s="38"/>
      <c r="CC31" s="38"/>
      <c r="CD31" s="38"/>
      <c r="CE31" s="38"/>
      <c r="CF31" s="38"/>
      <c r="CG31" s="65">
        <f t="shared" si="47"/>
        <v>0</v>
      </c>
      <c r="CH31" s="71">
        <f t="shared" si="48"/>
        <v>0</v>
      </c>
      <c r="CI31" s="1">
        <f t="shared" si="19"/>
        <v>0</v>
      </c>
      <c r="CJ31" s="1"/>
      <c r="CK31" s="75"/>
      <c r="CL31" s="75"/>
      <c r="CM31" s="2"/>
      <c r="CN31" s="2"/>
      <c r="CO31" s="73">
        <f t="shared" si="20"/>
        <v>0</v>
      </c>
      <c r="CP31" s="5">
        <f t="shared" si="21"/>
        <v>0</v>
      </c>
      <c r="CQ31" s="1"/>
      <c r="CR31" s="1">
        <f t="shared" si="22"/>
        <v>0</v>
      </c>
      <c r="CS31" s="1"/>
      <c r="CT31" s="1" t="e">
        <f>INDEX([2]マスタ!$A:$A,MATCH(D31,[2]マスタ!$C:$C,0))</f>
        <v>#N/A</v>
      </c>
      <c r="CU31" s="1" t="str">
        <f t="shared" ca="1" si="23"/>
        <v>20260620_0-0</v>
      </c>
    </row>
    <row r="32" spans="1:99" x14ac:dyDescent="0.4">
      <c r="A32" s="61"/>
      <c r="B32" s="62"/>
      <c r="C32" s="62"/>
      <c r="D32" s="62"/>
      <c r="E32" s="74"/>
      <c r="F32" s="62"/>
      <c r="G32" s="62">
        <v>1</v>
      </c>
      <c r="H32" s="64">
        <f t="shared" ref="H32:H35" si="51">+F32*G32</f>
        <v>0</v>
      </c>
      <c r="I32" s="64"/>
      <c r="J32" s="64"/>
      <c r="K32" s="65">
        <f>+ROUNDDOWN((H32+I32)/100,0)*100</f>
        <v>0</v>
      </c>
      <c r="L32" s="65">
        <f t="shared" ref="L32:L35" si="52">+ROUNDDOWN((H32+I32)/1.1/100,0)*100</f>
        <v>0</v>
      </c>
      <c r="M32" s="65">
        <f t="shared" ref="M32:M35" si="53">+ROUNDDOWN((H32+I32)/1.1/200,0)*200</f>
        <v>0</v>
      </c>
      <c r="N32" s="65">
        <f t="shared" ref="N32:N35" si="54">+H32+I32+J32</f>
        <v>0</v>
      </c>
      <c r="O32" s="66" t="str">
        <f t="shared" si="9"/>
        <v>✕</v>
      </c>
      <c r="P32" s="67" t="str">
        <f t="shared" si="10"/>
        <v>○</v>
      </c>
      <c r="Q32" s="67" t="str">
        <f>+IF((TEXT($A32,"DD")+0)=1,"○","✕")</f>
        <v>✕</v>
      </c>
      <c r="R32" s="67" t="str">
        <f t="shared" si="12"/>
        <v>✕</v>
      </c>
      <c r="S32" s="68">
        <v>0</v>
      </c>
      <c r="T32" s="69" t="s">
        <v>85</v>
      </c>
      <c r="U32" s="69" t="s">
        <v>85</v>
      </c>
      <c r="V32" s="69" t="s">
        <v>85</v>
      </c>
      <c r="W32" s="69" t="s">
        <v>85</v>
      </c>
      <c r="X32" s="69" t="s">
        <v>84</v>
      </c>
      <c r="Y32" s="69" t="s">
        <v>85</v>
      </c>
      <c r="Z32" s="69" t="s">
        <v>85</v>
      </c>
      <c r="AA32" s="69" t="s">
        <v>85</v>
      </c>
      <c r="AB32" s="69" t="s">
        <v>85</v>
      </c>
      <c r="AC32" s="69" t="s">
        <v>85</v>
      </c>
      <c r="AD32" s="38" t="str">
        <f>+IF(ISERROR(VLOOKUP($B32,AD$10:AD31,1,0)),IF(AND($N32&gt;=1000,$A32&gt;=AO$8,$A32&lt;=AO$9),$B32,""),"")</f>
        <v/>
      </c>
      <c r="AE32" s="38" t="str">
        <f>+IF(ISERROR(VLOOKUP($B32,AE$10:AE31,1,0)),IF(AND($N32&gt;=1000,$A32&gt;=AP$8,$A32&lt;=AP$9),$B32,""),"")</f>
        <v/>
      </c>
      <c r="AF32" s="38" t="str">
        <f>+IF(ISERROR(VLOOKUP($B32,AF$10:AF31,1,0)),IF(AND($N32&gt;=1000,$A32&gt;=AQ$8,$A32&lt;=AQ$9),$B32,""),"")</f>
        <v/>
      </c>
      <c r="AG32" s="38" t="str">
        <f>+IF(ISERROR(VLOOKUP($B32,AG$10:AG31,1,0)),IF(AND($N32&gt;=1000,$A32&gt;=AR$8,$A32&lt;=AR$9),$B32,""),"")</f>
        <v/>
      </c>
      <c r="AH32" s="38"/>
      <c r="AI32" s="70">
        <v>0</v>
      </c>
      <c r="AJ32" s="38">
        <f>IF(AND(AJ$7="○",$A32&gt;=AJ$8,$A32&lt;=AJ$9),IF(SUM(AJ$10:AJ31)-ROUNDDOWN($K32*AJ$5/100,0)&lt;-AJ$6,-AJ$6-SUM(AJ$10:AJ31),-ROUNDDOWN($K32*AJ$5/100,0)),0)</f>
        <v>0</v>
      </c>
      <c r="AK32" s="38">
        <f>IF(AND(AK$7="○",$A32&gt;=AK$8,$A32&lt;=AK$9),IF(SUM(AK$10:AK31)-ROUNDDOWN($L32*AK$5/100,0)&lt;-AK$6,-AK$6-SUM(AK$10:AK31),-ROUNDDOWN($L32*AK$5/100,0)),0)</f>
        <v>0</v>
      </c>
      <c r="AL32" s="38">
        <f>IF(AND(AL$7="○",$A32&gt;=AL$8,$A32&lt;=AL$9),IF(SUM(AL$10:AL31)-ROUNDDOWN($N32*AL$5/100,0)&lt;-AL$6,-AL$6-SUM(AL$10:AL31),-ROUNDDOWN($N32*AL$5/100,0)),0)</f>
        <v>0</v>
      </c>
      <c r="AM32" s="38">
        <f>IF(AND(AM$7="○",$A32&gt;=AM$8,$A32&lt;=AM$9),IF(SUM(AM$10:AM31)-ROUNDDOWN($L32*AM$5/100,0)&lt;-AM$6,-AM$6-SUM(AM$10:AM31),-ROUNDDOWN($L32*AM$5/100,0)),0)</f>
        <v>0</v>
      </c>
      <c r="AN32" s="38">
        <f>IF(AND(AN$7="○",$A32&gt;=AN$8,$A32&lt;=AN$9),IF(SUM(AN$10:AN31)-ROUNDDOWN($M32*AN$5/100,0)&lt;-AN$6,-AN$6-SUM(AN$10:AN31),-ROUNDDOWN($M32*AN$5/100,0)),0)</f>
        <v>0</v>
      </c>
      <c r="AO32" s="38">
        <f>IF(AND($A32&gt;=AO$8,$A32&lt;=AO$9),IF(SUM(AO$10:AO31)-ROUNDDOWN($K32*AO$5/100,0)&lt;-AO$6,-AO$6-SUM(AO$10:AO31),-ROUNDDOWN($K32*AO$5/100,0)),0)</f>
        <v>0</v>
      </c>
      <c r="AP32" s="38">
        <f>IF(AND($A32&gt;=AP$8,$A32&lt;=AP$9),IF(SUM(AP$10:AP31)-ROUNDDOWN($K32*AP$5/100,0)&lt;-AP$6,-AP$6-SUM(AP$10:AP31),-ROUNDDOWN($K32*AP$5/100,0)),0)</f>
        <v>0</v>
      </c>
      <c r="AQ32" s="38">
        <f>IF(AND($A32&gt;=AQ$8,$A32&lt;=AQ$9),IF(SUM(AQ$10:AQ31)-ROUNDDOWN($K32*AQ$5/100,0)&lt;-AQ$6,-AQ$6-SUM(AQ$10:AQ31),-ROUNDDOWN($K32*AQ$5/100,0)),0)</f>
        <v>0</v>
      </c>
      <c r="AR32" s="38">
        <f>IF(AND($A32&gt;=AR$8,$A32&lt;=AR$9),IF(SUM(AR$10:AR31)-ROUNDDOWN($K32*AR$5/100,0)&lt;-AR$6,-AR$6-SUM(AR$10:AR31),-ROUNDDOWN($K32*AR$5/100,0)),0)</f>
        <v>0</v>
      </c>
      <c r="AS32" s="38">
        <f>IF(SUMIFS(AS$10:AS31,$A$10:$A31,$A32)-ROUNDDOWN($K32*$S32/100,0)&lt;-$S32*1000,-$S32*1000-SUMIFS(AS$10:AS31,$A$10:$A31,$A32),-ROUNDDOWN($K32*$S32/100,0))</f>
        <v>0</v>
      </c>
      <c r="AT32" s="38">
        <f>IF(AND(X32="○",$A32&gt;=AT$8,$A32&lt;=AT$9,K32&gt;=3980),IF(SUM(AT$10:AT31)-ROUNDDOWN($K32*AT$5/100,0)&lt;-AT$6,-AT$6-SUM(AT$10:AT31),-ROUNDDOWN($K32*AT$5/100,0)),0)</f>
        <v>0</v>
      </c>
      <c r="AU32" s="38">
        <f>IF(O32="○",IF(SUM(AU$10:AU31)-ROUNDDOWN($K32*AU$5/100,0)&lt;-AU$6,-AU$6-SUM(AU$10:AU31),-ROUNDDOWN($K32*AU$5/100,0)),0)</f>
        <v>0</v>
      </c>
      <c r="AV32" s="38">
        <f>IF(P32="○",IF(SUM(AV$10:AV31)-ROUNDDOWN($K32*AV$5/100,0)&lt;-AV$6,-AV$6-SUM(AV$10:AV31),-ROUNDDOWN($K32*AV$5/100,0)),0)</f>
        <v>0</v>
      </c>
      <c r="AW32" s="38">
        <f>IF(Q32="○",IF(SUM(AW$10:AW31)-ROUNDDOWN($K32*AW$5/100,0)&lt;-AW$6,-AW$6-SUM(AW$10:AW31),-ROUNDDOWN($K32*AW$5/100,0)),0)</f>
        <v>0</v>
      </c>
      <c r="AX32" s="38">
        <f>IF(R32="○",IF(SUM(AX$10:AX31)-ROUNDDOWN($K32*AX$5/100,0)&lt;-AX$6,-AX$6-SUM(AX$10:AX31),-ROUNDDOWN($K32*AX$5/100,0)),0)</f>
        <v>0</v>
      </c>
      <c r="AY32" s="70">
        <v>0</v>
      </c>
      <c r="AZ32" s="65">
        <f t="shared" si="41"/>
        <v>0</v>
      </c>
      <c r="BA32" s="65">
        <f t="shared" si="42"/>
        <v>0</v>
      </c>
      <c r="BB32" s="70"/>
      <c r="BC32" s="65">
        <f t="shared" si="43"/>
        <v>0</v>
      </c>
      <c r="BD32" s="70">
        <v>0</v>
      </c>
      <c r="BE32" s="65">
        <f t="shared" si="44"/>
        <v>0</v>
      </c>
      <c r="BF32" s="70">
        <v>0</v>
      </c>
      <c r="BG32" s="65">
        <f t="shared" si="45"/>
        <v>0</v>
      </c>
      <c r="BH32" s="70">
        <v>0</v>
      </c>
      <c r="BI32" s="65">
        <f t="shared" si="46"/>
        <v>0</v>
      </c>
      <c r="BJ32" s="38">
        <f>IF(AND(BJ$7="○",$A32&gt;=BJ$8,$A32&lt;=BJ$9),IF(SUM(BJ$10:BJ31)-ROUNDDOWN($M32*BJ$5/100,0)&lt;-BJ$6,-BJ$6-SUM(BJ$10:BJ31),-ROUNDDOWN($M32*BJ$5/100,0)),0)</f>
        <v>0</v>
      </c>
      <c r="BK32" s="38">
        <f>IF(AND(BK$7="○",$A32&gt;=BK$8,$A32&lt;=BK$9),IF(SUM(BK$10:BK31)-ROUNDDOWN($L32*BK$5/100,0)&lt;-BK$6,-BK$6-SUM(BK$10:BK31),-ROUNDDOWN($L32*BK$5/100,0)),0)</f>
        <v>0</v>
      </c>
      <c r="BL32" s="38">
        <f>IF(AND(BL$7="○",$A32&gt;=BL$8,$A32&lt;=BL$9),IF(SUM(BL$10:BL31)-ROUNDDOWN($L32*BL$5/100,0)&lt;-BL$6,-BL$6-SUM(BL$10:BL31),-ROUNDDOWN($L32*BL$5/100,0)),0)</f>
        <v>0</v>
      </c>
      <c r="BM32" s="38">
        <f>IF(AND(BM$7="○",$A32&gt;=BM$8,$A32&lt;=BM$9),IF(SUM(BM$10:BM31)-ROUNDDOWN($M32*BM$5/100,0)&lt;-BM$6,-BM$6-SUM(BM$10:BM31),-ROUNDDOWN($M32*BM$5/100,0)),0)</f>
        <v>0</v>
      </c>
      <c r="BN32" s="38">
        <f>IF(AND(BN$7="○",$A32&gt;=BN$8,$A32&lt;=BN$9),IF(SUM(BN$10:BN31)-ROUNDDOWN($M32*BN$5/100,0)&lt;-BN$6,-BN$6-SUM(BN$10:BN31),-ROUNDDOWN($M32*BN$5/100,0)),0)</f>
        <v>0</v>
      </c>
      <c r="BO32" s="38">
        <f>IF(AND(BO$7="○",$A32&gt;=BO$8,$A32&lt;=BO$9),IF(SUM(BO$10:BO31)-ROUNDDOWN($M32*BO$5/100,0)&lt;-BO$6,-BO$6-SUM(BO$10:BO31),-ROUNDDOWN($M32*BO$5/100,0)),0)</f>
        <v>0</v>
      </c>
      <c r="BP32" s="38">
        <f>IF(AND(BP$7="○",$A32&gt;=BP$8,$A32&lt;=BP$9),IF(SUM(BP$10:BP31)-ROUNDDOWN($M32*BP$5/100,0)&lt;-BP$6,-BP$6-SUM(BP$10:BP31),-ROUNDDOWN($M32*BP$5/100,0)),0)</f>
        <v>0</v>
      </c>
      <c r="BQ32" s="38">
        <f>IF(AND(BQ$7="○",$A32&gt;=BQ$8,$A32&lt;=BQ$9),IF(SUM(BQ$10:BQ31)-ROUNDDOWN($L32*BQ$5/100,0)&lt;-BQ$6,-BQ$6-SUM(BQ$10:BQ31),-ROUNDDOWN($L32*BQ$5/100,0)),0)</f>
        <v>0</v>
      </c>
      <c r="BR32" s="38">
        <f>IF(AND(BR$7="○",$A32&gt;=BR$8,$A32&lt;=BR$9),IF(SUM(BR$10:BR31)-ROUNDDOWN($M32*BR$5/100,0)&lt;-BR$6,-BR$6-SUM(BR$10:BR31),-ROUNDDOWN($M32*BR$5/100,0)),0)</f>
        <v>0</v>
      </c>
      <c r="BS32" s="38">
        <f>IF(AND(BS$7="○",$A32&gt;=BS$8,$A32&lt;=BS$9),IF(SUM(BS$10:BS31)-ROUNDDOWN($M32*BS$5/100,0)&lt;-BS$6,-BS$6-SUM(BS$10:BS31),-ROUNDDOWN($M32*BS$5/100,0)),0)</f>
        <v>0</v>
      </c>
      <c r="BT32" s="38">
        <f>IF(AND(BT$7="○",$A32&gt;=BT$8,$A32&lt;=BT$9),IF(SUM(BT$10:BT31)-ROUNDDOWN($M32*BT$5/100,0)&lt;-BT$6,-BT$6-SUM(BT$10:BT31),-ROUNDDOWN($M32*BT$5/100,0)),0)</f>
        <v>0</v>
      </c>
      <c r="BU32" s="38">
        <f>IF(AND(BU$7="○",$A32&gt;=BU$8,$A32&lt;=BU$9),IF(SUM(BU$10:BU31)-ROUNDDOWN($M32*BU$5/100,0)&lt;-BU$6,-BU$6-SUM(BU$10:BU31),-ROUNDDOWN($M32*BU$5/100,0)),0)</f>
        <v>0</v>
      </c>
      <c r="BV32" s="38">
        <f>IF(AND(BV$7="○",$A32&gt;=BV$8,$A32&lt;=BV$9),IF(SUM(BV$10:BV31)-ROUNDDOWN($M32*BV$5/100,0)&lt;-BV$6,-BV$6-SUM(BV$10:BV31),-ROUNDDOWN($M32*BV$5/100,0)),0)</f>
        <v>0</v>
      </c>
      <c r="BW32" s="38">
        <f>IF(AND(BW$7="○",$A32&gt;=BW$8,$A32&lt;=BW$9),IF(SUM(BW$10:BW31)-ROUNDDOWN($M32*BW$5/100,0)&lt;-BW$6,-BW$6-SUM(BW$10:BW31),-ROUNDDOWN($M32*BW$5/100,0)),0)</f>
        <v>0</v>
      </c>
      <c r="BX32" s="38">
        <f>IF(AND(T32="○",$A32&gt;=BX$8,$A32&lt;=BX$9),IF(SUM(BX$10:BX31)-ROUNDDOWN($K32*BX$5/100,0)&lt;-BX$6,-BX$6-SUM(BX$10:BX31),-ROUNDDOWN($K32*BX$5/100,0)),0)</f>
        <v>0</v>
      </c>
      <c r="BY32" s="38">
        <f>IF(AND(U32="○",$A32&gt;=BY$8,$A32&lt;=BY$9),IF(SUM(BY$10:BY31)-ROUNDDOWN($K32*BY$5/100,0)&lt;-BY$6,-BY$6-SUM(BY$10:BY31),-ROUNDDOWN($K32*BY$5/100,0)),0)</f>
        <v>0</v>
      </c>
      <c r="BZ32" s="38">
        <f>IF(AND(V32="○",$A32&gt;=BZ$8,$A32&lt;=BZ$9),IF(SUM(BZ$10:BZ31)-ROUNDDOWN($K32*BZ$5/100,0)&lt;-BZ$6,-BZ$6-SUM(BZ$10:BZ31),-ROUNDDOWN($K32*BZ$5/100,0)),0)</f>
        <v>0</v>
      </c>
      <c r="CA32" s="38">
        <f>IF(AND(W32="○",$A32&gt;=CA$8,$A32&lt;=CA$9),IF(SUM(CA$10:CA31)-ROUNDDOWN($K32*CA$5/100,0)&lt;-CA$6,-CA$6-SUM(CA$10:CA31),-ROUNDDOWN($K32*CA$5/100,0)),0)</f>
        <v>0</v>
      </c>
      <c r="CB32" s="38"/>
      <c r="CC32" s="38"/>
      <c r="CD32" s="38"/>
      <c r="CE32" s="38"/>
      <c r="CF32" s="38"/>
      <c r="CG32" s="65">
        <f t="shared" si="47"/>
        <v>0</v>
      </c>
      <c r="CH32" s="71">
        <f t="shared" si="48"/>
        <v>0</v>
      </c>
      <c r="CI32" s="1">
        <f t="shared" ref="CI32:CI35" si="55">IFERROR(ROUNDDOWN((CH32/G32),0),0)</f>
        <v>0</v>
      </c>
      <c r="CJ32" s="1"/>
      <c r="CK32" s="75"/>
      <c r="CL32" s="75"/>
      <c r="CM32" s="2"/>
      <c r="CN32" s="2"/>
      <c r="CO32" s="73">
        <f t="shared" si="20"/>
        <v>0</v>
      </c>
      <c r="CP32" s="5">
        <f t="shared" si="21"/>
        <v>0</v>
      </c>
      <c r="CQ32" s="1"/>
      <c r="CR32" s="1">
        <f t="shared" si="22"/>
        <v>0</v>
      </c>
      <c r="CS32" s="1"/>
      <c r="CT32" s="1" t="e">
        <f>INDEX([2]マスタ!$A:$A,MATCH(D32,[2]マスタ!$C:$C,0))</f>
        <v>#N/A</v>
      </c>
      <c r="CU32" s="1" t="str">
        <f t="shared" ca="1" si="23"/>
        <v>20260620_0-0</v>
      </c>
    </row>
    <row r="33" spans="1:99" x14ac:dyDescent="0.4">
      <c r="A33" s="61"/>
      <c r="B33" s="62"/>
      <c r="C33" s="62"/>
      <c r="D33" s="62"/>
      <c r="E33" s="63"/>
      <c r="F33" s="62"/>
      <c r="G33" s="62">
        <v>1</v>
      </c>
      <c r="H33" s="64">
        <f t="shared" si="51"/>
        <v>0</v>
      </c>
      <c r="I33" s="64"/>
      <c r="J33" s="64"/>
      <c r="K33" s="65">
        <f>+ROUNDDOWN((H33+I33)/100,0)*100</f>
        <v>0</v>
      </c>
      <c r="L33" s="65">
        <f t="shared" si="52"/>
        <v>0</v>
      </c>
      <c r="M33" s="65">
        <f t="shared" si="53"/>
        <v>0</v>
      </c>
      <c r="N33" s="65">
        <f t="shared" si="54"/>
        <v>0</v>
      </c>
      <c r="O33" s="66" t="str">
        <f t="shared" si="9"/>
        <v>✕</v>
      </c>
      <c r="P33" s="67" t="str">
        <f t="shared" si="10"/>
        <v>○</v>
      </c>
      <c r="Q33" s="67" t="str">
        <f>+IF((TEXT($A33,"DD")+0)=1,"○","✕")</f>
        <v>✕</v>
      </c>
      <c r="R33" s="67" t="str">
        <f t="shared" si="12"/>
        <v>✕</v>
      </c>
      <c r="S33" s="68">
        <v>0</v>
      </c>
      <c r="T33" s="69" t="s">
        <v>85</v>
      </c>
      <c r="U33" s="69" t="s">
        <v>85</v>
      </c>
      <c r="V33" s="69" t="s">
        <v>85</v>
      </c>
      <c r="W33" s="69" t="s">
        <v>85</v>
      </c>
      <c r="X33" s="69" t="s">
        <v>84</v>
      </c>
      <c r="Y33" s="69" t="s">
        <v>85</v>
      </c>
      <c r="Z33" s="69" t="s">
        <v>85</v>
      </c>
      <c r="AA33" s="69" t="s">
        <v>85</v>
      </c>
      <c r="AB33" s="69" t="s">
        <v>85</v>
      </c>
      <c r="AC33" s="69" t="s">
        <v>85</v>
      </c>
      <c r="AD33" s="38" t="str">
        <f>+IF(ISERROR(VLOOKUP($B33,AD$10:AD32,1,0)),IF(AND($N33&gt;=1000,$A33&gt;=AO$8,$A33&lt;=AO$9),$B33,""),"")</f>
        <v/>
      </c>
      <c r="AE33" s="38" t="str">
        <f>+IF(ISERROR(VLOOKUP($B33,AE$10:AE32,1,0)),IF(AND($N33&gt;=1000,$A33&gt;=AP$8,$A33&lt;=AP$9),$B33,""),"")</f>
        <v/>
      </c>
      <c r="AF33" s="38" t="str">
        <f>+IF(ISERROR(VLOOKUP($B33,AF$10:AF32,1,0)),IF(AND($N33&gt;=1000,$A33&gt;=AQ$8,$A33&lt;=AQ$9),$B33,""),"")</f>
        <v/>
      </c>
      <c r="AG33" s="38" t="str">
        <f>+IF(ISERROR(VLOOKUP($B33,AG$10:AG32,1,0)),IF(AND($N33&gt;=1000,$A33&gt;=AR$8,$A33&lt;=AR$9),$B33,""),"")</f>
        <v/>
      </c>
      <c r="AH33" s="38"/>
      <c r="AI33" s="70">
        <v>0</v>
      </c>
      <c r="AJ33" s="38">
        <f>IF(AND(AJ$7="○",$A33&gt;=AJ$8,$A33&lt;=AJ$9),IF(SUM(AJ$10:AJ32)-ROUNDDOWN($K33*AJ$5/100,0)&lt;-AJ$6,-AJ$6-SUM(AJ$10:AJ32),-ROUNDDOWN($K33*AJ$5/100,0)),0)</f>
        <v>0</v>
      </c>
      <c r="AK33" s="38">
        <f>IF(AND(AK$7="○",$A33&gt;=AK$8,$A33&lt;=AK$9),IF(SUM(AK$10:AK32)-ROUNDDOWN($L33*AK$5/100,0)&lt;-AK$6,-AK$6-SUM(AK$10:AK32),-ROUNDDOWN($L33*AK$5/100,0)),0)</f>
        <v>0</v>
      </c>
      <c r="AL33" s="38">
        <f>IF(AND(AL$7="○",$A33&gt;=AL$8,$A33&lt;=AL$9),IF(SUM(AL$10:AL32)-ROUNDDOWN($N33*AL$5/100,0)&lt;-AL$6,-AL$6-SUM(AL$10:AL32),-ROUNDDOWN($N33*AL$5/100,0)),0)</f>
        <v>0</v>
      </c>
      <c r="AM33" s="38">
        <f>IF(AND(AM$7="○",$A33&gt;=AM$8,$A33&lt;=AM$9),IF(SUM(AM$10:AM32)-ROUNDDOWN($L33*AM$5/100,0)&lt;-AM$6,-AM$6-SUM(AM$10:AM32),-ROUNDDOWN($L33*AM$5/100,0)),0)</f>
        <v>0</v>
      </c>
      <c r="AN33" s="38">
        <f>IF(AND(AN$7="○",$A33&gt;=AN$8,$A33&lt;=AN$9),IF(SUM(AN$10:AN32)-ROUNDDOWN($M33*AN$5/100,0)&lt;-AN$6,-AN$6-SUM(AN$10:AN32),-ROUNDDOWN($M33*AN$5/100,0)),0)</f>
        <v>0</v>
      </c>
      <c r="AO33" s="38">
        <f>IF(AND($A33&gt;=AO$8,$A33&lt;=AO$9),IF(SUM(AO$10:AO32)-ROUNDDOWN($K33*AO$5/100,0)&lt;-AO$6,-AO$6-SUM(AO$10:AO32),-ROUNDDOWN($K33*AO$5/100,0)),0)</f>
        <v>0</v>
      </c>
      <c r="AP33" s="38">
        <f>IF(AND($A33&gt;=AP$8,$A33&lt;=AP$9),IF(SUM(AP$10:AP32)-ROUNDDOWN($K33*AP$5/100,0)&lt;-AP$6,-AP$6-SUM(AP$10:AP32),-ROUNDDOWN($K33*AP$5/100,0)),0)</f>
        <v>0</v>
      </c>
      <c r="AQ33" s="38">
        <f>IF(AND($A33&gt;=AQ$8,$A33&lt;=AQ$9),IF(SUM(AQ$10:AQ32)-ROUNDDOWN($K33*AQ$5/100,0)&lt;-AQ$6,-AQ$6-SUM(AQ$10:AQ32),-ROUNDDOWN($K33*AQ$5/100,0)),0)</f>
        <v>0</v>
      </c>
      <c r="AR33" s="38">
        <f>IF(AND($A33&gt;=AR$8,$A33&lt;=AR$9),IF(SUM(AR$10:AR32)-ROUNDDOWN($K33*AR$5/100,0)&lt;-AR$6,-AR$6-SUM(AR$10:AR32),-ROUNDDOWN($K33*AR$5/100,0)),0)</f>
        <v>0</v>
      </c>
      <c r="AS33" s="38">
        <f>IF(SUMIFS(AS$10:AS32,$A$10:$A32,$A33)-ROUNDDOWN($K33*$S33/100,0)&lt;-$S33*1000,-$S33*1000-SUMIFS(AS$10:AS32,$A$10:$A32,$A33),-ROUNDDOWN($K33*$S33/100,0))</f>
        <v>0</v>
      </c>
      <c r="AT33" s="38">
        <f>IF(AND(X33="○",$A33&gt;=AT$8,$A33&lt;=AT$9,K33&gt;=3980),IF(SUM(AT$10:AT32)-ROUNDDOWN($K33*AT$5/100,0)&lt;-AT$6,-AT$6-SUM(AT$10:AT32),-ROUNDDOWN($K33*AT$5/100,0)),0)</f>
        <v>0</v>
      </c>
      <c r="AU33" s="38">
        <f>IF(O33="○",IF(SUM(AU$10:AU32)-ROUNDDOWN($K33*AU$5/100,0)&lt;-AU$6,-AU$6-SUM(AU$10:AU32),-ROUNDDOWN($K33*AU$5/100,0)),0)</f>
        <v>0</v>
      </c>
      <c r="AV33" s="38">
        <f>IF(P33="○",IF(SUM(AV$10:AV32)-ROUNDDOWN($K33*AV$5/100,0)&lt;-AV$6,-AV$6-SUM(AV$10:AV32),-ROUNDDOWN($K33*AV$5/100,0)),0)</f>
        <v>0</v>
      </c>
      <c r="AW33" s="38">
        <f>IF(Q33="○",IF(SUM(AW$10:AW32)-ROUNDDOWN($K33*AW$5/100,0)&lt;-AW$6,-AW$6-SUM(AW$10:AW32),-ROUNDDOWN($K33*AW$5/100,0)),0)</f>
        <v>0</v>
      </c>
      <c r="AX33" s="38">
        <f>IF(R33="○",IF(SUM(AX$10:AX32)-ROUNDDOWN($K33*AX$5/100,0)&lt;-AX$6,-AX$6-SUM(AX$10:AX32),-ROUNDDOWN($K33*AX$5/100,0)),0)</f>
        <v>0</v>
      </c>
      <c r="AY33" s="70">
        <v>0</v>
      </c>
      <c r="AZ33" s="65">
        <f t="shared" si="41"/>
        <v>0</v>
      </c>
      <c r="BA33" s="65">
        <f t="shared" si="42"/>
        <v>0</v>
      </c>
      <c r="BB33" s="70"/>
      <c r="BC33" s="65">
        <f t="shared" si="43"/>
        <v>0</v>
      </c>
      <c r="BD33" s="70">
        <v>0</v>
      </c>
      <c r="BE33" s="65">
        <f t="shared" si="44"/>
        <v>0</v>
      </c>
      <c r="BF33" s="70">
        <v>0</v>
      </c>
      <c r="BG33" s="65">
        <f t="shared" si="45"/>
        <v>0</v>
      </c>
      <c r="BH33" s="70">
        <v>0</v>
      </c>
      <c r="BI33" s="65">
        <f t="shared" si="46"/>
        <v>0</v>
      </c>
      <c r="BJ33" s="38">
        <f>IF(AND(BJ$7="○",$A33&gt;=BJ$8,$A33&lt;=BJ$9),IF(SUM(BJ$10:BJ32)-ROUNDDOWN($M33*BJ$5/100,0)&lt;-BJ$6,-BJ$6-SUM(BJ$10:BJ32),-ROUNDDOWN($M33*BJ$5/100,0)),0)</f>
        <v>0</v>
      </c>
      <c r="BK33" s="38">
        <f>IF(AND(BK$7="○",$A33&gt;=BK$8,$A33&lt;=BK$9),IF(SUM(BK$10:BK32)-ROUNDDOWN($L33*BK$5/100,0)&lt;-BK$6,-BK$6-SUM(BK$10:BK32),-ROUNDDOWN($L33*BK$5/100,0)),0)</f>
        <v>0</v>
      </c>
      <c r="BL33" s="38">
        <f>IF(AND(BL$7="○",$A33&gt;=BL$8,$A33&lt;=BL$9),IF(SUM(BL$10:BL32)-ROUNDDOWN($L33*BL$5/100,0)&lt;-BL$6,-BL$6-SUM(BL$10:BL32),-ROUNDDOWN($L33*BL$5/100,0)),0)</f>
        <v>0</v>
      </c>
      <c r="BM33" s="38">
        <f>IF(AND(BM$7="○",$A33&gt;=BM$8,$A33&lt;=BM$9),IF(SUM(BM$10:BM32)-ROUNDDOWN($M33*BM$5/100,0)&lt;-BM$6,-BM$6-SUM(BM$10:BM32),-ROUNDDOWN($M33*BM$5/100,0)),0)</f>
        <v>0</v>
      </c>
      <c r="BN33" s="38">
        <f>IF(AND(BN$7="○",$A33&gt;=BN$8,$A33&lt;=BN$9),IF(SUM(BN$10:BN32)-ROUNDDOWN($M33*BN$5/100,0)&lt;-BN$6,-BN$6-SUM(BN$10:BN32),-ROUNDDOWN($M33*BN$5/100,0)),0)</f>
        <v>0</v>
      </c>
      <c r="BO33" s="38">
        <f>IF(AND(BO$7="○",$A33&gt;=BO$8,$A33&lt;=BO$9),IF(SUM(BO$10:BO32)-ROUNDDOWN($M33*BO$5/100,0)&lt;-BO$6,-BO$6-SUM(BO$10:BO32),-ROUNDDOWN($M33*BO$5/100,0)),0)</f>
        <v>0</v>
      </c>
      <c r="BP33" s="38">
        <f>IF(AND(BP$7="○",$A33&gt;=BP$8,$A33&lt;=BP$9),IF(SUM(BP$10:BP32)-ROUNDDOWN($M33*BP$5/100,0)&lt;-BP$6,-BP$6-SUM(BP$10:BP32),-ROUNDDOWN($M33*BP$5/100,0)),0)</f>
        <v>0</v>
      </c>
      <c r="BQ33" s="38">
        <f>IF(AND(BQ$7="○",$A33&gt;=BQ$8,$A33&lt;=BQ$9),IF(SUM(BQ$10:BQ32)-ROUNDDOWN($L33*BQ$5/100,0)&lt;-BQ$6,-BQ$6-SUM(BQ$10:BQ32),-ROUNDDOWN($L33*BQ$5/100,0)),0)</f>
        <v>0</v>
      </c>
      <c r="BR33" s="38">
        <f>IF(AND(BR$7="○",$A33&gt;=BR$8,$A33&lt;=BR$9),IF(SUM(BR$10:BR32)-ROUNDDOWN($M33*BR$5/100,0)&lt;-BR$6,-BR$6-SUM(BR$10:BR32),-ROUNDDOWN($M33*BR$5/100,0)),0)</f>
        <v>0</v>
      </c>
      <c r="BS33" s="38">
        <f>IF(AND(BS$7="○",$A33&gt;=BS$8,$A33&lt;=BS$9),IF(SUM(BS$10:BS32)-ROUNDDOWN($M33*BS$5/100,0)&lt;-BS$6,-BS$6-SUM(BS$10:BS32),-ROUNDDOWN($M33*BS$5/100,0)),0)</f>
        <v>0</v>
      </c>
      <c r="BT33" s="38">
        <f>IF(AND(BT$7="○",$A33&gt;=BT$8,$A33&lt;=BT$9),IF(SUM(BT$10:BT32)-ROUNDDOWN($M33*BT$5/100,0)&lt;-BT$6,-BT$6-SUM(BT$10:BT32),-ROUNDDOWN($M33*BT$5/100,0)),0)</f>
        <v>0</v>
      </c>
      <c r="BU33" s="38">
        <f>IF(AND(BU$7="○",$A33&gt;=BU$8,$A33&lt;=BU$9),IF(SUM(BU$10:BU32)-ROUNDDOWN($M33*BU$5/100,0)&lt;-BU$6,-BU$6-SUM(BU$10:BU32),-ROUNDDOWN($M33*BU$5/100,0)),0)</f>
        <v>0</v>
      </c>
      <c r="BV33" s="38">
        <f>IF(AND(BV$7="○",$A33&gt;=BV$8,$A33&lt;=BV$9),IF(SUM(BV$10:BV32)-ROUNDDOWN($M33*BV$5/100,0)&lt;-BV$6,-BV$6-SUM(BV$10:BV32),-ROUNDDOWN($M33*BV$5/100,0)),0)</f>
        <v>0</v>
      </c>
      <c r="BW33" s="38">
        <f>IF(AND(BW$7="○",$A33&gt;=BW$8,$A33&lt;=BW$9),IF(SUM(BW$10:BW32)-ROUNDDOWN($M33*BW$5/100,0)&lt;-BW$6,-BW$6-SUM(BW$10:BW32),-ROUNDDOWN($M33*BW$5/100,0)),0)</f>
        <v>0</v>
      </c>
      <c r="BX33" s="38">
        <f>IF(AND(T33="○",$A33&gt;=BX$8,$A33&lt;=BX$9),IF(SUM(BX$10:BX32)-ROUNDDOWN($K33*BX$5/100,0)&lt;-BX$6,-BX$6-SUM(BX$10:BX32),-ROUNDDOWN($K33*BX$5/100,0)),0)</f>
        <v>0</v>
      </c>
      <c r="BY33" s="38">
        <f>IF(AND(U33="○",$A33&gt;=BY$8,$A33&lt;=BY$9),IF(SUM(BY$10:BY32)-ROUNDDOWN($K33*BY$5/100,0)&lt;-BY$6,-BY$6-SUM(BY$10:BY32),-ROUNDDOWN($K33*BY$5/100,0)),0)</f>
        <v>0</v>
      </c>
      <c r="BZ33" s="38">
        <f>IF(AND(V33="○",$A33&gt;=BZ$8,$A33&lt;=BZ$9),IF(SUM(BZ$10:BZ32)-ROUNDDOWN($K33*BZ$5/100,0)&lt;-BZ$6,-BZ$6-SUM(BZ$10:BZ32),-ROUNDDOWN($K33*BZ$5/100,0)),0)</f>
        <v>0</v>
      </c>
      <c r="CA33" s="38">
        <f>IF(AND(W33="○",$A33&gt;=CA$8,$A33&lt;=CA$9),IF(SUM(CA$10:CA32)-ROUNDDOWN($K33*CA$5/100,0)&lt;-CA$6,-CA$6-SUM(CA$10:CA32),-ROUNDDOWN($K33*CA$5/100,0)),0)</f>
        <v>0</v>
      </c>
      <c r="CB33" s="38"/>
      <c r="CC33" s="38"/>
      <c r="CD33" s="38"/>
      <c r="CE33" s="38"/>
      <c r="CF33" s="38"/>
      <c r="CG33" s="65">
        <f t="shared" si="47"/>
        <v>0</v>
      </c>
      <c r="CH33" s="71">
        <f t="shared" si="48"/>
        <v>0</v>
      </c>
      <c r="CI33" s="1">
        <f t="shared" si="55"/>
        <v>0</v>
      </c>
      <c r="CJ33" s="1"/>
      <c r="CK33" s="72"/>
      <c r="CL33" s="72"/>
      <c r="CM33" s="2"/>
      <c r="CN33" s="2"/>
      <c r="CO33" s="73">
        <f t="shared" si="20"/>
        <v>0</v>
      </c>
      <c r="CP33" s="5">
        <f t="shared" si="21"/>
        <v>0</v>
      </c>
      <c r="CQ33" s="1"/>
      <c r="CR33" s="1">
        <f t="shared" si="22"/>
        <v>0</v>
      </c>
      <c r="CS33" s="1"/>
      <c r="CT33" s="1" t="e">
        <f>INDEX([2]マスタ!$A:$A,MATCH(D33,[2]マスタ!$C:$C,0))</f>
        <v>#N/A</v>
      </c>
      <c r="CU33" s="1" t="str">
        <f t="shared" ca="1" si="23"/>
        <v>20260620_0-0</v>
      </c>
    </row>
    <row r="34" spans="1:99" x14ac:dyDescent="0.4">
      <c r="A34" s="61"/>
      <c r="B34" s="62"/>
      <c r="C34" s="62"/>
      <c r="D34" s="62"/>
      <c r="E34" s="77"/>
      <c r="F34" s="62"/>
      <c r="G34" s="62">
        <v>1</v>
      </c>
      <c r="H34" s="64">
        <f t="shared" si="51"/>
        <v>0</v>
      </c>
      <c r="I34" s="64"/>
      <c r="J34" s="64"/>
      <c r="K34" s="65">
        <f>+ROUNDDOWN((H34+I34)/100,0)*100</f>
        <v>0</v>
      </c>
      <c r="L34" s="65">
        <f t="shared" si="52"/>
        <v>0</v>
      </c>
      <c r="M34" s="65">
        <f t="shared" si="53"/>
        <v>0</v>
      </c>
      <c r="N34" s="65">
        <f t="shared" si="54"/>
        <v>0</v>
      </c>
      <c r="O34" s="66" t="str">
        <f t="shared" si="9"/>
        <v>✕</v>
      </c>
      <c r="P34" s="67" t="str">
        <f t="shared" si="10"/>
        <v>○</v>
      </c>
      <c r="Q34" s="67" t="str">
        <f>+IF((TEXT($A34,"DD")+0)=1,"○","✕")</f>
        <v>✕</v>
      </c>
      <c r="R34" s="67" t="str">
        <f t="shared" si="12"/>
        <v>✕</v>
      </c>
      <c r="S34" s="68">
        <v>0</v>
      </c>
      <c r="T34" s="69" t="s">
        <v>85</v>
      </c>
      <c r="U34" s="69" t="s">
        <v>85</v>
      </c>
      <c r="V34" s="69" t="s">
        <v>85</v>
      </c>
      <c r="W34" s="69" t="s">
        <v>85</v>
      </c>
      <c r="X34" s="69" t="s">
        <v>84</v>
      </c>
      <c r="Y34" s="69" t="s">
        <v>85</v>
      </c>
      <c r="Z34" s="69" t="s">
        <v>85</v>
      </c>
      <c r="AA34" s="69" t="s">
        <v>85</v>
      </c>
      <c r="AB34" s="69" t="s">
        <v>85</v>
      </c>
      <c r="AC34" s="69" t="s">
        <v>85</v>
      </c>
      <c r="AD34" s="38" t="str">
        <f>+IF(ISERROR(VLOOKUP($B34,AD$10:AD33,1,0)),IF(AND($N34&gt;=1000,$A34&gt;=AO$8,$A34&lt;=AO$9),$B34,""),"")</f>
        <v/>
      </c>
      <c r="AE34" s="38" t="str">
        <f>+IF(ISERROR(VLOOKUP($B34,AE$10:AE33,1,0)),IF(AND($N34&gt;=1000,$A34&gt;=AP$8,$A34&lt;=AP$9),$B34,""),"")</f>
        <v/>
      </c>
      <c r="AF34" s="38" t="str">
        <f>+IF(ISERROR(VLOOKUP($B34,AF$10:AF33,1,0)),IF(AND($N34&gt;=1000,$A34&gt;=AQ$8,$A34&lt;=AQ$9),$B34,""),"")</f>
        <v/>
      </c>
      <c r="AG34" s="38" t="str">
        <f>+IF(ISERROR(VLOOKUP($B34,AG$10:AG33,1,0)),IF(AND($N34&gt;=1000,$A34&gt;=AR$8,$A34&lt;=AR$9),$B34,""),"")</f>
        <v/>
      </c>
      <c r="AH34" s="38"/>
      <c r="AI34" s="70">
        <v>0</v>
      </c>
      <c r="AJ34" s="38">
        <f>IF(AND(AJ$7="○",$A34&gt;=AJ$8,$A34&lt;=AJ$9),IF(SUM(AJ$10:AJ33)-ROUNDDOWN($K34*AJ$5/100,0)&lt;-AJ$6,-AJ$6-SUM(AJ$10:AJ33),-ROUNDDOWN($K34*AJ$5/100,0)),0)</f>
        <v>0</v>
      </c>
      <c r="AK34" s="38">
        <f>IF(AND(AK$7="○",$A34&gt;=AK$8,$A34&lt;=AK$9),IF(SUM(AK$10:AK33)-ROUNDDOWN($L34*AK$5/100,0)&lt;-AK$6,-AK$6-SUM(AK$10:AK33),-ROUNDDOWN($L34*AK$5/100,0)),0)</f>
        <v>0</v>
      </c>
      <c r="AL34" s="38">
        <f>IF(AND(AL$7="○",$A34&gt;=AL$8,$A34&lt;=AL$9),IF(SUM(AL$10:AL33)-ROUNDDOWN($N34*AL$5/100,0)&lt;-AL$6,-AL$6-SUM(AL$10:AL33),-ROUNDDOWN($N34*AL$5/100,0)),0)</f>
        <v>0</v>
      </c>
      <c r="AM34" s="38">
        <f>IF(AND(AM$7="○",$A34&gt;=AM$8,$A34&lt;=AM$9),IF(SUM(AM$10:AM33)-ROUNDDOWN($L34*AM$5/100,0)&lt;-AM$6,-AM$6-SUM(AM$10:AM33),-ROUNDDOWN($L34*AM$5/100,0)),0)</f>
        <v>0</v>
      </c>
      <c r="AN34" s="38">
        <f>IF(AND(AN$7="○",$A34&gt;=AN$8,$A34&lt;=AN$9),IF(SUM(AN$10:AN33)-ROUNDDOWN($M34*AN$5/100,0)&lt;-AN$6,-AN$6-SUM(AN$10:AN33),-ROUNDDOWN($M34*AN$5/100,0)),0)</f>
        <v>0</v>
      </c>
      <c r="AO34" s="38">
        <f>IF(AND($A34&gt;=AO$8,$A34&lt;=AO$9),IF(SUM(AO$10:AO33)-ROUNDDOWN($K34*AO$5/100,0)&lt;-AO$6,-AO$6-SUM(AO$10:AO33),-ROUNDDOWN($K34*AO$5/100,0)),0)</f>
        <v>0</v>
      </c>
      <c r="AP34" s="38">
        <f>IF(AND($A34&gt;=AP$8,$A34&lt;=AP$9),IF(SUM(AP$10:AP33)-ROUNDDOWN($K34*AP$5/100,0)&lt;-AP$6,-AP$6-SUM(AP$10:AP33),-ROUNDDOWN($K34*AP$5/100,0)),0)</f>
        <v>0</v>
      </c>
      <c r="AQ34" s="38">
        <f>IF(AND($A34&gt;=AQ$8,$A34&lt;=AQ$9),IF(SUM(AQ$10:AQ33)-ROUNDDOWN($K34*AQ$5/100,0)&lt;-AQ$6,-AQ$6-SUM(AQ$10:AQ33),-ROUNDDOWN($K34*AQ$5/100,0)),0)</f>
        <v>0</v>
      </c>
      <c r="AR34" s="38">
        <f>IF(AND($A34&gt;=AR$8,$A34&lt;=AR$9),IF(SUM(AR$10:AR33)-ROUNDDOWN($K34*AR$5/100,0)&lt;-AR$6,-AR$6-SUM(AR$10:AR33),-ROUNDDOWN($K34*AR$5/100,0)),0)</f>
        <v>0</v>
      </c>
      <c r="AS34" s="38">
        <f>IF(SUMIFS(AS$10:AS33,$A$10:$A33,$A34)-ROUNDDOWN($K34*$S34/100,0)&lt;-$S34*1000,-$S34*1000-SUMIFS(AS$10:AS33,$A$10:$A33,$A34),-ROUNDDOWN($K34*$S34/100,0))</f>
        <v>0</v>
      </c>
      <c r="AT34" s="38">
        <f>IF(AND(X34="○",$A34&gt;=AT$8,$A34&lt;=AT$9,K34&gt;=3980),IF(SUM(AT$10:AT33)-ROUNDDOWN($K34*AT$5/100,0)&lt;-AT$6,-AT$6-SUM(AT$10:AT33),-ROUNDDOWN($K34*AT$5/100,0)),0)</f>
        <v>0</v>
      </c>
      <c r="AU34" s="38">
        <f>IF(O34="○",IF(SUM(AU$10:AU33)-ROUNDDOWN($K34*AU$5/100,0)&lt;-AU$6,-AU$6-SUM(AU$10:AU33),-ROUNDDOWN($K34*AU$5/100,0)),0)</f>
        <v>0</v>
      </c>
      <c r="AV34" s="38">
        <f>IF(P34="○",IF(SUM(AV$10:AV33)-ROUNDDOWN($K34*AV$5/100,0)&lt;-AV$6,-AV$6-SUM(AV$10:AV33),-ROUNDDOWN($K34*AV$5/100,0)),0)</f>
        <v>0</v>
      </c>
      <c r="AW34" s="38">
        <f>IF(Q34="○",IF(SUM(AW$10:AW33)-ROUNDDOWN($K34*AW$5/100,0)&lt;-AW$6,-AW$6-SUM(AW$10:AW33),-ROUNDDOWN($K34*AW$5/100,0)),0)</f>
        <v>0</v>
      </c>
      <c r="AX34" s="38">
        <f>IF(R34="○",IF(SUM(AX$10:AX33)-ROUNDDOWN($K34*AX$5/100,0)&lt;-AX$6,-AX$6-SUM(AX$10:AX33),-ROUNDDOWN($K34*AX$5/100,0)),0)</f>
        <v>0</v>
      </c>
      <c r="AY34" s="70">
        <v>0</v>
      </c>
      <c r="AZ34" s="65">
        <f t="shared" si="41"/>
        <v>0</v>
      </c>
      <c r="BA34" s="65">
        <f t="shared" si="42"/>
        <v>0</v>
      </c>
      <c r="BB34" s="70"/>
      <c r="BC34" s="65">
        <f t="shared" si="43"/>
        <v>0</v>
      </c>
      <c r="BD34" s="70">
        <v>0</v>
      </c>
      <c r="BE34" s="65">
        <f t="shared" si="44"/>
        <v>0</v>
      </c>
      <c r="BF34" s="70">
        <v>0</v>
      </c>
      <c r="BG34" s="65">
        <f t="shared" si="45"/>
        <v>0</v>
      </c>
      <c r="BH34" s="70">
        <v>0</v>
      </c>
      <c r="BI34" s="65">
        <f t="shared" si="46"/>
        <v>0</v>
      </c>
      <c r="BJ34" s="38">
        <f>IF(AND(BJ$7="○",$A34&gt;=BJ$8,$A34&lt;=BJ$9),IF(SUM(BJ$10:BJ33)-ROUNDDOWN($M34*BJ$5/100,0)&lt;-BJ$6,-BJ$6-SUM(BJ$10:BJ33),-ROUNDDOWN($M34*BJ$5/100,0)),0)</f>
        <v>0</v>
      </c>
      <c r="BK34" s="38">
        <f>IF(AND(BK$7="○",$A34&gt;=BK$8,$A34&lt;=BK$9),IF(SUM(BK$10:BK33)-ROUNDDOWN($L34*BK$5/100,0)&lt;-BK$6,-BK$6-SUM(BK$10:BK33),-ROUNDDOWN($L34*BK$5/100,0)),0)</f>
        <v>0</v>
      </c>
      <c r="BL34" s="38">
        <f>IF(AND(BL$7="○",$A34&gt;=BL$8,$A34&lt;=BL$9),IF(SUM(BL$10:BL33)-ROUNDDOWN($L34*BL$5/100,0)&lt;-BL$6,-BL$6-SUM(BL$10:BL33),-ROUNDDOWN($L34*BL$5/100,0)),0)</f>
        <v>0</v>
      </c>
      <c r="BM34" s="38">
        <f>IF(AND(BM$7="○",$A34&gt;=BM$8,$A34&lt;=BM$9),IF(SUM(BM$10:BM33)-ROUNDDOWN($M34*BM$5/100,0)&lt;-BM$6,-BM$6-SUM(BM$10:BM33),-ROUNDDOWN($M34*BM$5/100,0)),0)</f>
        <v>0</v>
      </c>
      <c r="BN34" s="38">
        <f>IF(AND(BN$7="○",$A34&gt;=BN$8,$A34&lt;=BN$9),IF(SUM(BN$10:BN33)-ROUNDDOWN($M34*BN$5/100,0)&lt;-BN$6,-BN$6-SUM(BN$10:BN33),-ROUNDDOWN($M34*BN$5/100,0)),0)</f>
        <v>0</v>
      </c>
      <c r="BO34" s="38">
        <f>IF(AND(BO$7="○",$A34&gt;=BO$8,$A34&lt;=BO$9),IF(SUM(BO$10:BO33)-ROUNDDOWN($M34*BO$5/100,0)&lt;-BO$6,-BO$6-SUM(BO$10:BO33),-ROUNDDOWN($M34*BO$5/100,0)),0)</f>
        <v>0</v>
      </c>
      <c r="BP34" s="38">
        <f>IF(AND(BP$7="○",$A34&gt;=BP$8,$A34&lt;=BP$9),IF(SUM(BP$10:BP33)-ROUNDDOWN($M34*BP$5/100,0)&lt;-BP$6,-BP$6-SUM(BP$10:BP33),-ROUNDDOWN($M34*BP$5/100,0)),0)</f>
        <v>0</v>
      </c>
      <c r="BQ34" s="38">
        <f>IF(AND(BQ$7="○",$A34&gt;=BQ$8,$A34&lt;=BQ$9),IF(SUM(BQ$10:BQ33)-ROUNDDOWN($L34*BQ$5/100,0)&lt;-BQ$6,-BQ$6-SUM(BQ$10:BQ33),-ROUNDDOWN($L34*BQ$5/100,0)),0)</f>
        <v>0</v>
      </c>
      <c r="BR34" s="38">
        <f>IF(AND(BR$7="○",$A34&gt;=BR$8,$A34&lt;=BR$9),IF(SUM(BR$10:BR33)-ROUNDDOWN($M34*BR$5/100,0)&lt;-BR$6,-BR$6-SUM(BR$10:BR33),-ROUNDDOWN($M34*BR$5/100,0)),0)</f>
        <v>0</v>
      </c>
      <c r="BS34" s="38">
        <f>IF(AND(BS$7="○",$A34&gt;=BS$8,$A34&lt;=BS$9),IF(SUM(BS$10:BS33)-ROUNDDOWN($M34*BS$5/100,0)&lt;-BS$6,-BS$6-SUM(BS$10:BS33),-ROUNDDOWN($M34*BS$5/100,0)),0)</f>
        <v>0</v>
      </c>
      <c r="BT34" s="38">
        <f>IF(AND(BT$7="○",$A34&gt;=BT$8,$A34&lt;=BT$9),IF(SUM(BT$10:BT33)-ROUNDDOWN($M34*BT$5/100,0)&lt;-BT$6,-BT$6-SUM(BT$10:BT33),-ROUNDDOWN($M34*BT$5/100,0)),0)</f>
        <v>0</v>
      </c>
      <c r="BU34" s="38">
        <f>IF(AND(BU$7="○",$A34&gt;=BU$8,$A34&lt;=BU$9),IF(SUM(BU$10:BU33)-ROUNDDOWN($M34*BU$5/100,0)&lt;-BU$6,-BU$6-SUM(BU$10:BU33),-ROUNDDOWN($M34*BU$5/100,0)),0)</f>
        <v>0</v>
      </c>
      <c r="BV34" s="38">
        <f>IF(AND(BV$7="○",$A34&gt;=BV$8,$A34&lt;=BV$9),IF(SUM(BV$10:BV33)-ROUNDDOWN($M34*BV$5/100,0)&lt;-BV$6,-BV$6-SUM(BV$10:BV33),-ROUNDDOWN($M34*BV$5/100,0)),0)</f>
        <v>0</v>
      </c>
      <c r="BW34" s="38">
        <f>IF(AND(BW$7="○",$A34&gt;=BW$8,$A34&lt;=BW$9),IF(SUM(BW$10:BW33)-ROUNDDOWN($M34*BW$5/100,0)&lt;-BW$6,-BW$6-SUM(BW$10:BW33),-ROUNDDOWN($M34*BW$5/100,0)),0)</f>
        <v>0</v>
      </c>
      <c r="BX34" s="38">
        <f>IF(AND(T34="○",$A34&gt;=BX$8,$A34&lt;=BX$9),IF(SUM(BX$10:BX33)-ROUNDDOWN($K34*BX$5/100,0)&lt;-BX$6,-BX$6-SUM(BX$10:BX33),-ROUNDDOWN($K34*BX$5/100,0)),0)</f>
        <v>0</v>
      </c>
      <c r="BY34" s="38">
        <f>IF(AND(U34="○",$A34&gt;=BY$8,$A34&lt;=BY$9),IF(SUM(BY$10:BY33)-ROUNDDOWN($K34*BY$5/100,0)&lt;-BY$6,-BY$6-SUM(BY$10:BY33),-ROUNDDOWN($K34*BY$5/100,0)),0)</f>
        <v>0</v>
      </c>
      <c r="BZ34" s="38">
        <f>IF(AND(V34="○",$A34&gt;=BZ$8,$A34&lt;=BZ$9),IF(SUM(BZ$10:BZ33)-ROUNDDOWN($K34*BZ$5/100,0)&lt;-BZ$6,-BZ$6-SUM(BZ$10:BZ33),-ROUNDDOWN($K34*BZ$5/100,0)),0)</f>
        <v>0</v>
      </c>
      <c r="CA34" s="38">
        <f>IF(AND(W34="○",$A34&gt;=CA$8,$A34&lt;=CA$9),IF(SUM(CA$10:CA33)-ROUNDDOWN($K34*CA$5/100,0)&lt;-CA$6,-CA$6-SUM(CA$10:CA33),-ROUNDDOWN($K34*CA$5/100,0)),0)</f>
        <v>0</v>
      </c>
      <c r="CB34" s="38"/>
      <c r="CC34" s="38"/>
      <c r="CD34" s="38"/>
      <c r="CE34" s="38"/>
      <c r="CF34" s="38"/>
      <c r="CG34" s="65">
        <f t="shared" si="47"/>
        <v>0</v>
      </c>
      <c r="CH34" s="71">
        <f t="shared" si="48"/>
        <v>0</v>
      </c>
      <c r="CI34" s="1">
        <f t="shared" si="55"/>
        <v>0</v>
      </c>
      <c r="CJ34" s="1"/>
      <c r="CK34" s="79"/>
      <c r="CL34" s="79"/>
      <c r="CM34" s="2"/>
      <c r="CN34" s="2"/>
      <c r="CO34" s="73">
        <f t="shared" si="20"/>
        <v>0</v>
      </c>
      <c r="CP34" s="5">
        <f t="shared" si="21"/>
        <v>0</v>
      </c>
      <c r="CQ34" s="1"/>
      <c r="CR34" s="1">
        <f t="shared" si="22"/>
        <v>0</v>
      </c>
      <c r="CS34" s="1"/>
      <c r="CT34" s="1" t="e">
        <f>INDEX([2]マスタ!$A:$A,MATCH(D34,[2]マスタ!$C:$C,0))</f>
        <v>#N/A</v>
      </c>
      <c r="CU34" s="1" t="str">
        <f t="shared" ca="1" si="23"/>
        <v>20260620_0-0</v>
      </c>
    </row>
    <row r="35" spans="1:99" x14ac:dyDescent="0.4">
      <c r="A35" s="61"/>
      <c r="B35" s="62"/>
      <c r="C35" s="62"/>
      <c r="D35" s="62"/>
      <c r="E35" s="63"/>
      <c r="F35" s="62"/>
      <c r="G35" s="62">
        <v>1</v>
      </c>
      <c r="H35" s="64">
        <f t="shared" si="51"/>
        <v>0</v>
      </c>
      <c r="I35" s="64"/>
      <c r="J35" s="64"/>
      <c r="K35" s="65">
        <f>+ROUNDDOWN((H35+I35)/100,0)*100</f>
        <v>0</v>
      </c>
      <c r="L35" s="65">
        <f t="shared" si="52"/>
        <v>0</v>
      </c>
      <c r="M35" s="65">
        <f t="shared" si="53"/>
        <v>0</v>
      </c>
      <c r="N35" s="65">
        <f t="shared" si="54"/>
        <v>0</v>
      </c>
      <c r="O35" s="66" t="str">
        <f t="shared" si="9"/>
        <v>✕</v>
      </c>
      <c r="P35" s="67" t="str">
        <f t="shared" si="10"/>
        <v>○</v>
      </c>
      <c r="Q35" s="67" t="str">
        <f>+IF((TEXT($A35,"DD")+0)=1,"○","✕")</f>
        <v>✕</v>
      </c>
      <c r="R35" s="67" t="str">
        <f t="shared" si="12"/>
        <v>✕</v>
      </c>
      <c r="S35" s="68">
        <v>0</v>
      </c>
      <c r="T35" s="69" t="s">
        <v>85</v>
      </c>
      <c r="U35" s="69" t="s">
        <v>85</v>
      </c>
      <c r="V35" s="69" t="s">
        <v>85</v>
      </c>
      <c r="W35" s="69" t="s">
        <v>85</v>
      </c>
      <c r="X35" s="69" t="s">
        <v>84</v>
      </c>
      <c r="Y35" s="69" t="s">
        <v>85</v>
      </c>
      <c r="Z35" s="69" t="s">
        <v>85</v>
      </c>
      <c r="AA35" s="69" t="s">
        <v>85</v>
      </c>
      <c r="AB35" s="69" t="s">
        <v>85</v>
      </c>
      <c r="AC35" s="69" t="s">
        <v>85</v>
      </c>
      <c r="AD35" s="38" t="str">
        <f>+IF(ISERROR(VLOOKUP($B35,AD$10:AD34,1,0)),IF(AND($N35&gt;=1000,$A35&gt;=AO$8,$A35&lt;=AO$9),$B35,""),"")</f>
        <v/>
      </c>
      <c r="AE35" s="38" t="str">
        <f>+IF(ISERROR(VLOOKUP($B35,AE$10:AE34,1,0)),IF(AND($N35&gt;=1000,$A35&gt;=AP$8,$A35&lt;=AP$9),$B35,""),"")</f>
        <v/>
      </c>
      <c r="AF35" s="38" t="str">
        <f>+IF(ISERROR(VLOOKUP($B35,AF$10:AF34,1,0)),IF(AND($N35&gt;=1000,$A35&gt;=AQ$8,$A35&lt;=AQ$9),$B35,""),"")</f>
        <v/>
      </c>
      <c r="AG35" s="38" t="str">
        <f>+IF(ISERROR(VLOOKUP($B35,AG$10:AG34,1,0)),IF(AND($N35&gt;=1000,$A35&gt;=AR$8,$A35&lt;=AR$9),$B35,""),"")</f>
        <v/>
      </c>
      <c r="AH35" s="38"/>
      <c r="AI35" s="70">
        <v>0</v>
      </c>
      <c r="AJ35" s="38">
        <f>IF(AND(AJ$7="○",$A35&gt;=AJ$8,$A35&lt;=AJ$9),IF(SUM(AJ$10:AJ34)-ROUNDDOWN($K35*AJ$5/100,0)&lt;-AJ$6,-AJ$6-SUM(AJ$10:AJ34),-ROUNDDOWN($K35*AJ$5/100,0)),0)</f>
        <v>0</v>
      </c>
      <c r="AK35" s="38">
        <f>IF(AND(AK$7="○",$A35&gt;=AK$8,$A35&lt;=AK$9),IF(SUM(AK$10:AK34)-ROUNDDOWN($L35*AK$5/100,0)&lt;-AK$6,-AK$6-SUM(AK$10:AK34),-ROUNDDOWN($L35*AK$5/100,0)),0)</f>
        <v>0</v>
      </c>
      <c r="AL35" s="38">
        <f>IF(AND(AL$7="○",$A35&gt;=AL$8,$A35&lt;=AL$9),IF(SUM(AL$10:AL34)-ROUNDDOWN($N35*AL$5/100,0)&lt;-AL$6,-AL$6-SUM(AL$10:AL34),-ROUNDDOWN($N35*AL$5/100,0)),0)</f>
        <v>0</v>
      </c>
      <c r="AM35" s="38">
        <f>IF(AND(AM$7="○",$A35&gt;=AM$8,$A35&lt;=AM$9),IF(SUM(AM$10:AM34)-ROUNDDOWN($L35*AM$5/100,0)&lt;-AM$6,-AM$6-SUM(AM$10:AM34),-ROUNDDOWN($L35*AM$5/100,0)),0)</f>
        <v>0</v>
      </c>
      <c r="AN35" s="38">
        <f>IF(AND(AN$7="○",$A35&gt;=AN$8,$A35&lt;=AN$9),IF(SUM(AN$10:AN34)-ROUNDDOWN($M35*AN$5/100,0)&lt;-AN$6,-AN$6-SUM(AN$10:AN34),-ROUNDDOWN($M35*AN$5/100,0)),0)</f>
        <v>0</v>
      </c>
      <c r="AO35" s="38">
        <f>IF(AND($A35&gt;=AO$8,$A35&lt;=AO$9),IF(SUM(AO$10:AO34)-ROUNDDOWN($K35*AO$5/100,0)&lt;-AO$6,-AO$6-SUM(AO$10:AO34),-ROUNDDOWN($K35*AO$5/100,0)),0)</f>
        <v>0</v>
      </c>
      <c r="AP35" s="38">
        <f>IF(AND($A35&gt;=AP$8,$A35&lt;=AP$9),IF(SUM(AP$10:AP34)-ROUNDDOWN($K35*AP$5/100,0)&lt;-AP$6,-AP$6-SUM(AP$10:AP34),-ROUNDDOWN($K35*AP$5/100,0)),0)</f>
        <v>0</v>
      </c>
      <c r="AQ35" s="38">
        <f>IF(AND($A35&gt;=AQ$8,$A35&lt;=AQ$9),IF(SUM(AQ$10:AQ34)-ROUNDDOWN($K35*AQ$5/100,0)&lt;-AQ$6,-AQ$6-SUM(AQ$10:AQ34),-ROUNDDOWN($K35*AQ$5/100,0)),0)</f>
        <v>0</v>
      </c>
      <c r="AR35" s="38">
        <f>IF(AND($A35&gt;=AR$8,$A35&lt;=AR$9),IF(SUM(AR$10:AR34)-ROUNDDOWN($K35*AR$5/100,0)&lt;-AR$6,-AR$6-SUM(AR$10:AR34),-ROUNDDOWN($K35*AR$5/100,0)),0)</f>
        <v>0</v>
      </c>
      <c r="AS35" s="38">
        <f>IF(SUMIFS(AS$10:AS34,$A$10:$A34,$A35)-ROUNDDOWN($K35*$S35/100,0)&lt;-$S35*1000,-$S35*1000-SUMIFS(AS$10:AS34,$A$10:$A34,$A35),-ROUNDDOWN($K35*$S35/100,0))</f>
        <v>0</v>
      </c>
      <c r="AT35" s="38">
        <f>IF(AND(X35="○",$A35&gt;=AT$8,$A35&lt;=AT$9,K35&gt;=3980),IF(SUM(AT$10:AT34)-ROUNDDOWN($K35*AT$5/100,0)&lt;-AT$6,-AT$6-SUM(AT$10:AT34),-ROUNDDOWN($K35*AT$5/100,0)),0)</f>
        <v>0</v>
      </c>
      <c r="AU35" s="38">
        <f>IF(O35="○",IF(SUM(AU$10:AU34)-ROUNDDOWN($K35*AU$5/100,0)&lt;-AU$6,-AU$6-SUM(AU$10:AU34),-ROUNDDOWN($K35*AU$5/100,0)),0)</f>
        <v>0</v>
      </c>
      <c r="AV35" s="38">
        <f>IF(P35="○",IF(SUM(AV$10:AV34)-ROUNDDOWN($K35*AV$5/100,0)&lt;-AV$6,-AV$6-SUM(AV$10:AV34),-ROUNDDOWN($K35*AV$5/100,0)),0)</f>
        <v>0</v>
      </c>
      <c r="AW35" s="38">
        <f>IF(Q35="○",IF(SUM(AW$10:AW34)-ROUNDDOWN($K35*AW$5/100,0)&lt;-AW$6,-AW$6-SUM(AW$10:AW34),-ROUNDDOWN($K35*AW$5/100,0)),0)</f>
        <v>0</v>
      </c>
      <c r="AX35" s="38">
        <f>IF(R35="○",IF(SUM(AX$10:AX34)-ROUNDDOWN($K35*AX$5/100,0)&lt;-AX$6,-AX$6-SUM(AX$10:AX34),-ROUNDDOWN($K35*AX$5/100,0)),0)</f>
        <v>0</v>
      </c>
      <c r="AY35" s="70">
        <v>0</v>
      </c>
      <c r="AZ35" s="65">
        <f t="shared" si="41"/>
        <v>0</v>
      </c>
      <c r="BA35" s="65">
        <f t="shared" si="42"/>
        <v>0</v>
      </c>
      <c r="BB35" s="70"/>
      <c r="BC35" s="65">
        <f t="shared" si="43"/>
        <v>0</v>
      </c>
      <c r="BD35" s="70">
        <v>0</v>
      </c>
      <c r="BE35" s="65">
        <f t="shared" si="44"/>
        <v>0</v>
      </c>
      <c r="BF35" s="70">
        <v>0</v>
      </c>
      <c r="BG35" s="65">
        <f t="shared" si="45"/>
        <v>0</v>
      </c>
      <c r="BH35" s="70">
        <v>0</v>
      </c>
      <c r="BI35" s="65">
        <f t="shared" si="46"/>
        <v>0</v>
      </c>
      <c r="BJ35" s="38">
        <f>IF(AND(BJ$7="○",$A35&gt;=BJ$8,$A35&lt;=BJ$9),IF(SUM(BJ$10:BJ34)-ROUNDDOWN($M35*BJ$5/100,0)&lt;-BJ$6,-BJ$6-SUM(BJ$10:BJ34),-ROUNDDOWN($M35*BJ$5/100,0)),0)</f>
        <v>0</v>
      </c>
      <c r="BK35" s="38">
        <f>IF(AND(BK$7="○",$A35&gt;=BK$8,$A35&lt;=BK$9),IF(SUM(BK$10:BK34)-ROUNDDOWN($L35*BK$5/100,0)&lt;-BK$6,-BK$6-SUM(BK$10:BK34),-ROUNDDOWN($L35*BK$5/100,0)),0)</f>
        <v>0</v>
      </c>
      <c r="BL35" s="38">
        <f>IF(AND(BL$7="○",$A35&gt;=BL$8,$A35&lt;=BL$9),IF(SUM(BL$10:BL34)-ROUNDDOWN($L35*BL$5/100,0)&lt;-BL$6,-BL$6-SUM(BL$10:BL34),-ROUNDDOWN($L35*BL$5/100,0)),0)</f>
        <v>0</v>
      </c>
      <c r="BM35" s="38">
        <f>IF(AND(BM$7="○",$A35&gt;=BM$8,$A35&lt;=BM$9),IF(SUM(BM$10:BM34)-ROUNDDOWN($M35*BM$5/100,0)&lt;-BM$6,-BM$6-SUM(BM$10:BM34),-ROUNDDOWN($M35*BM$5/100,0)),0)</f>
        <v>0</v>
      </c>
      <c r="BN35" s="38">
        <f>IF(AND(BN$7="○",$A35&gt;=BN$8,$A35&lt;=BN$9),IF(SUM(BN$10:BN34)-ROUNDDOWN($M35*BN$5/100,0)&lt;-BN$6,-BN$6-SUM(BN$10:BN34),-ROUNDDOWN($M35*BN$5/100,0)),0)</f>
        <v>0</v>
      </c>
      <c r="BO35" s="38">
        <f>IF(AND(BO$7="○",$A35&gt;=BO$8,$A35&lt;=BO$9),IF(SUM(BO$10:BO34)-ROUNDDOWN($M35*BO$5/100,0)&lt;-BO$6,-BO$6-SUM(BO$10:BO34),-ROUNDDOWN($M35*BO$5/100,0)),0)</f>
        <v>0</v>
      </c>
      <c r="BP35" s="38">
        <f>IF(AND(BP$7="○",$A35&gt;=BP$8,$A35&lt;=BP$9),IF(SUM(BP$10:BP34)-ROUNDDOWN($M35*BP$5/100,0)&lt;-BP$6,-BP$6-SUM(BP$10:BP34),-ROUNDDOWN($M35*BP$5/100,0)),0)</f>
        <v>0</v>
      </c>
      <c r="BQ35" s="38">
        <f>IF(AND(BQ$7="○",$A35&gt;=BQ$8,$A35&lt;=BQ$9),IF(SUM(BQ$10:BQ34)-ROUNDDOWN($L35*BQ$5/100,0)&lt;-BQ$6,-BQ$6-SUM(BQ$10:BQ34),-ROUNDDOWN($L35*BQ$5/100,0)),0)</f>
        <v>0</v>
      </c>
      <c r="BR35" s="38">
        <f>IF(AND(BR$7="○",$A35&gt;=BR$8,$A35&lt;=BR$9),IF(SUM(BR$10:BR34)-ROUNDDOWN($M35*BR$5/100,0)&lt;-BR$6,-BR$6-SUM(BR$10:BR34),-ROUNDDOWN($M35*BR$5/100,0)),0)</f>
        <v>0</v>
      </c>
      <c r="BS35" s="38">
        <f>IF(AND(BS$7="○",$A35&gt;=BS$8,$A35&lt;=BS$9),IF(SUM(BS$10:BS34)-ROUNDDOWN($M35*BS$5/100,0)&lt;-BS$6,-BS$6-SUM(BS$10:BS34),-ROUNDDOWN($M35*BS$5/100,0)),0)</f>
        <v>0</v>
      </c>
      <c r="BT35" s="38">
        <f>IF(AND(BT$7="○",$A35&gt;=BT$8,$A35&lt;=BT$9),IF(SUM(BT$10:BT34)-ROUNDDOWN($M35*BT$5/100,0)&lt;-BT$6,-BT$6-SUM(BT$10:BT34),-ROUNDDOWN($M35*BT$5/100,0)),0)</f>
        <v>0</v>
      </c>
      <c r="BU35" s="38">
        <f>IF(AND(BU$7="○",$A35&gt;=BU$8,$A35&lt;=BU$9),IF(SUM(BU$10:BU34)-ROUNDDOWN($M35*BU$5/100,0)&lt;-BU$6,-BU$6-SUM(BU$10:BU34),-ROUNDDOWN($M35*BU$5/100,0)),0)</f>
        <v>0</v>
      </c>
      <c r="BV35" s="38">
        <f>IF(AND(BV$7="○",$A35&gt;=BV$8,$A35&lt;=BV$9),IF(SUM(BV$10:BV34)-ROUNDDOWN($M35*BV$5/100,0)&lt;-BV$6,-BV$6-SUM(BV$10:BV34),-ROUNDDOWN($M35*BV$5/100,0)),0)</f>
        <v>0</v>
      </c>
      <c r="BW35" s="38">
        <f>IF(AND(BW$7="○",$A35&gt;=BW$8,$A35&lt;=BW$9),IF(SUM(BW$10:BW34)-ROUNDDOWN($M35*BW$5/100,0)&lt;-BW$6,-BW$6-SUM(BW$10:BW34),-ROUNDDOWN($M35*BW$5/100,0)),0)</f>
        <v>0</v>
      </c>
      <c r="BX35" s="38">
        <f>IF(AND(T35="○",$A35&gt;=BX$8,$A35&lt;=BX$9),IF(SUM(BX$10:BX34)-ROUNDDOWN($K35*BX$5/100,0)&lt;-BX$6,-BX$6-SUM(BX$10:BX34),-ROUNDDOWN($K35*BX$5/100,0)),0)</f>
        <v>0</v>
      </c>
      <c r="BY35" s="38">
        <f>IF(AND(U35="○",$A35&gt;=BY$8,$A35&lt;=BY$9),IF(SUM(BY$10:BY34)-ROUNDDOWN($K35*BY$5/100,0)&lt;-BY$6,-BY$6-SUM(BY$10:BY34),-ROUNDDOWN($K35*BY$5/100,0)),0)</f>
        <v>0</v>
      </c>
      <c r="BZ35" s="38">
        <f>IF(AND(V35="○",$A35&gt;=BZ$8,$A35&lt;=BZ$9),IF(SUM(BZ$10:BZ34)-ROUNDDOWN($K35*BZ$5/100,0)&lt;-BZ$6,-BZ$6-SUM(BZ$10:BZ34),-ROUNDDOWN($K35*BZ$5/100,0)),0)</f>
        <v>0</v>
      </c>
      <c r="CA35" s="38">
        <f>IF(AND(W35="○",$A35&gt;=CA$8,$A35&lt;=CA$9),IF(SUM(CA$10:CA34)-ROUNDDOWN($K35*CA$5/100,0)&lt;-CA$6,-CA$6-SUM(CA$10:CA34),-ROUNDDOWN($K35*CA$5/100,0)),0)</f>
        <v>0</v>
      </c>
      <c r="CB35" s="38"/>
      <c r="CC35" s="38"/>
      <c r="CD35" s="38"/>
      <c r="CE35" s="38"/>
      <c r="CF35" s="38"/>
      <c r="CG35" s="65">
        <f t="shared" si="47"/>
        <v>0</v>
      </c>
      <c r="CH35" s="71">
        <f t="shared" si="48"/>
        <v>0</v>
      </c>
      <c r="CI35" s="1">
        <f t="shared" si="55"/>
        <v>0</v>
      </c>
      <c r="CJ35" s="1"/>
      <c r="CK35" s="79"/>
      <c r="CL35" s="79"/>
      <c r="CM35" s="2"/>
      <c r="CN35" s="2"/>
      <c r="CO35" s="73">
        <f t="shared" si="20"/>
        <v>0</v>
      </c>
      <c r="CP35" s="5">
        <f t="shared" si="21"/>
        <v>0</v>
      </c>
      <c r="CQ35" s="1"/>
      <c r="CR35" s="1">
        <f t="shared" si="22"/>
        <v>0</v>
      </c>
      <c r="CS35" s="1"/>
      <c r="CT35" s="1" t="e">
        <f>INDEX([2]マスタ!$A:$A,MATCH(D35,[2]マスタ!$C:$C,0))</f>
        <v>#N/A</v>
      </c>
      <c r="CU35" s="1" t="str">
        <f t="shared" ca="1" si="23"/>
        <v>20260620_0-0</v>
      </c>
    </row>
    <row r="36" spans="1:99" x14ac:dyDescent="0.4">
      <c r="A36" s="61"/>
      <c r="B36" s="62"/>
      <c r="C36" s="62"/>
      <c r="D36" s="62"/>
      <c r="E36" s="63"/>
      <c r="F36" s="62"/>
      <c r="G36" s="62">
        <v>1</v>
      </c>
      <c r="H36" s="64">
        <f t="shared" si="4"/>
        <v>0</v>
      </c>
      <c r="I36" s="64"/>
      <c r="J36" s="64"/>
      <c r="K36" s="65">
        <f t="shared" si="49"/>
        <v>0</v>
      </c>
      <c r="L36" s="65">
        <f t="shared" si="6"/>
        <v>0</v>
      </c>
      <c r="M36" s="65">
        <f t="shared" si="7"/>
        <v>0</v>
      </c>
      <c r="N36" s="65">
        <f t="shared" si="8"/>
        <v>0</v>
      </c>
      <c r="O36" s="66" t="str">
        <f t="shared" si="9"/>
        <v>✕</v>
      </c>
      <c r="P36" s="67" t="str">
        <f t="shared" si="10"/>
        <v>○</v>
      </c>
      <c r="Q36" s="67" t="str">
        <f t="shared" si="50"/>
        <v>✕</v>
      </c>
      <c r="R36" s="67" t="str">
        <f t="shared" si="12"/>
        <v>✕</v>
      </c>
      <c r="S36" s="68">
        <v>0</v>
      </c>
      <c r="T36" s="69" t="s">
        <v>85</v>
      </c>
      <c r="U36" s="69" t="s">
        <v>85</v>
      </c>
      <c r="V36" s="69" t="s">
        <v>85</v>
      </c>
      <c r="W36" s="69" t="s">
        <v>85</v>
      </c>
      <c r="X36" s="69" t="s">
        <v>84</v>
      </c>
      <c r="Y36" s="69" t="s">
        <v>85</v>
      </c>
      <c r="Z36" s="69" t="s">
        <v>85</v>
      </c>
      <c r="AA36" s="69" t="s">
        <v>85</v>
      </c>
      <c r="AB36" s="69" t="s">
        <v>85</v>
      </c>
      <c r="AC36" s="69" t="s">
        <v>85</v>
      </c>
      <c r="AD36" s="38" t="str">
        <f>+IF(ISERROR(VLOOKUP($B36,AD$10:AD35,1,0)),IF(AND($N36&gt;=1000,$A36&gt;=AO$8,$A36&lt;=AO$9),$B36,""),"")</f>
        <v/>
      </c>
      <c r="AE36" s="38" t="str">
        <f>+IF(ISERROR(VLOOKUP($B36,AE$10:AE35,1,0)),IF(AND($N36&gt;=1000,$A36&gt;=AP$8,$A36&lt;=AP$9),$B36,""),"")</f>
        <v/>
      </c>
      <c r="AF36" s="38" t="str">
        <f>+IF(ISERROR(VLOOKUP($B36,AF$10:AF35,1,0)),IF(AND($N36&gt;=1000,$A36&gt;=AQ$8,$A36&lt;=AQ$9),$B36,""),"")</f>
        <v/>
      </c>
      <c r="AG36" s="38" t="str">
        <f>+IF(ISERROR(VLOOKUP($B36,AG$10:AG35,1,0)),IF(AND($N36&gt;=1000,$A36&gt;=AR$8,$A36&lt;=AR$9),$B36,""),"")</f>
        <v/>
      </c>
      <c r="AH36" s="38"/>
      <c r="AI36" s="70">
        <v>0</v>
      </c>
      <c r="AJ36" s="38">
        <f>IF(AND(AJ$7="○",$A36&gt;=AJ$8,$A36&lt;=AJ$9),IF(SUM(AJ$10:AJ35)-ROUNDDOWN($K36*AJ$5/100,0)&lt;-AJ$6,-AJ$6-SUM(AJ$10:AJ35),-ROUNDDOWN($K36*AJ$5/100,0)),0)</f>
        <v>0</v>
      </c>
      <c r="AK36" s="38">
        <f>IF(AND(AK$7="○",$A36&gt;=AK$8,$A36&lt;=AK$9),IF(SUM(AK$10:AK35)-ROUNDDOWN($L36*AK$5/100,0)&lt;-AK$6,-AK$6-SUM(AK$10:AK35),-ROUNDDOWN($L36*AK$5/100,0)),0)</f>
        <v>0</v>
      </c>
      <c r="AL36" s="38">
        <f>IF(AND(AL$7="○",$A36&gt;=AL$8,$A36&lt;=AL$9),IF(SUM(AL$10:AL35)-ROUNDDOWN($N36*AL$5/100,0)&lt;-AL$6,-AL$6-SUM(AL$10:AL35),-ROUNDDOWN($N36*AL$5/100,0)),0)</f>
        <v>0</v>
      </c>
      <c r="AM36" s="38">
        <f>IF(AND(AM$7="○",$A36&gt;=AM$8,$A36&lt;=AM$9),IF(SUM(AM$10:AM35)-ROUNDDOWN($L36*AM$5/100,0)&lt;-AM$6,-AM$6-SUM(AM$10:AM35),-ROUNDDOWN($L36*AM$5/100,0)),0)</f>
        <v>0</v>
      </c>
      <c r="AN36" s="38">
        <f>IF(AND(AN$7="○",$A36&gt;=AN$8,$A36&lt;=AN$9),IF(SUM(AN$10:AN35)-ROUNDDOWN($M36*AN$5/100,0)&lt;-AN$6,-AN$6-SUM(AN$10:AN35),-ROUNDDOWN($M36*AN$5/100,0)),0)</f>
        <v>0</v>
      </c>
      <c r="AO36" s="38">
        <f>IF(AND($A36&gt;=AO$8,$A36&lt;=AO$9),IF(SUM(AO$10:AO35)-ROUNDDOWN($K36*AO$5/100,0)&lt;-AO$6,-AO$6-SUM(AO$10:AO35),-ROUNDDOWN($K36*AO$5/100,0)),0)</f>
        <v>0</v>
      </c>
      <c r="AP36" s="38">
        <f>IF(AND($A36&gt;=AP$8,$A36&lt;=AP$9),IF(SUM(AP$10:AP35)-ROUNDDOWN($K36*AP$5/100,0)&lt;-AP$6,-AP$6-SUM(AP$10:AP35),-ROUNDDOWN($K36*AP$5/100,0)),0)</f>
        <v>0</v>
      </c>
      <c r="AQ36" s="38">
        <f>IF(AND($A36&gt;=AQ$8,$A36&lt;=AQ$9),IF(SUM(AQ$10:AQ35)-ROUNDDOWN($K36*AQ$5/100,0)&lt;-AQ$6,-AQ$6-SUM(AQ$10:AQ35),-ROUNDDOWN($K36*AQ$5/100,0)),0)</f>
        <v>0</v>
      </c>
      <c r="AR36" s="38">
        <f>IF(AND($A36&gt;=AR$8,$A36&lt;=AR$9),IF(SUM(AR$10:AR35)-ROUNDDOWN($K36*AR$5/100,0)&lt;-AR$6,-AR$6-SUM(AR$10:AR35),-ROUNDDOWN($K36*AR$5/100,0)),0)</f>
        <v>0</v>
      </c>
      <c r="AS36" s="38">
        <f>IF(SUMIFS(AS$10:AS35,$A$10:$A35,$A36)-ROUNDDOWN($K36*$S36/100,0)&lt;-$S36*1000,-$S36*1000-SUMIFS(AS$10:AS35,$A$10:$A35,$A36),-ROUNDDOWN($K36*$S36/100,0))</f>
        <v>0</v>
      </c>
      <c r="AT36" s="38">
        <f>IF(AND(X36="○",$A36&gt;=AT$8,$A36&lt;=AT$9,K36&gt;=3980),IF(SUM(AT$10:AT35)-ROUNDDOWN($K36*AT$5/100,0)&lt;-AT$6,-AT$6-SUM(AT$10:AT35),-ROUNDDOWN($K36*AT$5/100,0)),0)</f>
        <v>0</v>
      </c>
      <c r="AU36" s="38">
        <f>IF(O36="○",IF(SUM(AU$10:AU35)-ROUNDDOWN($K36*AU$5/100,0)&lt;-AU$6,-AU$6-SUM(AU$10:AU35),-ROUNDDOWN($K36*AU$5/100,0)),0)</f>
        <v>0</v>
      </c>
      <c r="AV36" s="38">
        <f>IF(P36="○",IF(SUM(AV$10:AV35)-ROUNDDOWN($K36*AV$5/100,0)&lt;-AV$6,-AV$6-SUM(AV$10:AV35),-ROUNDDOWN($K36*AV$5/100,0)),0)</f>
        <v>0</v>
      </c>
      <c r="AW36" s="38">
        <f>IF(Q36="○",IF(SUM(AW$10:AW35)-ROUNDDOWN($K36*AW$5/100,0)&lt;-AW$6,-AW$6-SUM(AW$10:AW35),-ROUNDDOWN($K36*AW$5/100,0)),0)</f>
        <v>0</v>
      </c>
      <c r="AX36" s="38">
        <f>IF(R36="○",IF(SUM(AX$10:AX35)-ROUNDDOWN($K36*AX$5/100,0)&lt;-AX$6,-AX$6-SUM(AX$10:AX35),-ROUNDDOWN($K36*AX$5/100,0)),0)</f>
        <v>0</v>
      </c>
      <c r="AY36" s="70">
        <v>0</v>
      </c>
      <c r="AZ36" s="65">
        <f t="shared" si="41"/>
        <v>0</v>
      </c>
      <c r="BA36" s="65">
        <f t="shared" si="42"/>
        <v>0</v>
      </c>
      <c r="BB36" s="70"/>
      <c r="BC36" s="65">
        <f t="shared" si="43"/>
        <v>0</v>
      </c>
      <c r="BD36" s="70">
        <v>0</v>
      </c>
      <c r="BE36" s="65">
        <f t="shared" si="44"/>
        <v>0</v>
      </c>
      <c r="BF36" s="70">
        <v>0</v>
      </c>
      <c r="BG36" s="65">
        <f t="shared" si="45"/>
        <v>0</v>
      </c>
      <c r="BH36" s="70">
        <v>0</v>
      </c>
      <c r="BI36" s="65">
        <f t="shared" si="46"/>
        <v>0</v>
      </c>
      <c r="BJ36" s="38">
        <f>IF(AND(BJ$7="○",$A36&gt;=BJ$8,$A36&lt;=BJ$9),IF(SUM(BJ$10:BJ35)-ROUNDDOWN($M36*BJ$5/100,0)&lt;-BJ$6,-BJ$6-SUM(BJ$10:BJ35),-ROUNDDOWN($M36*BJ$5/100,0)),0)</f>
        <v>0</v>
      </c>
      <c r="BK36" s="38">
        <f>IF(AND(BK$7="○",$A36&gt;=BK$8,$A36&lt;=BK$9),IF(SUM(BK$10:BK35)-ROUNDDOWN($L36*BK$5/100,0)&lt;-BK$6,-BK$6-SUM(BK$10:BK35),-ROUNDDOWN($L36*BK$5/100,0)),0)</f>
        <v>0</v>
      </c>
      <c r="BL36" s="38">
        <f>IF(AND(BL$7="○",$A36&gt;=BL$8,$A36&lt;=BL$9),IF(SUM(BL$10:BL35)-ROUNDDOWN($L36*BL$5/100,0)&lt;-BL$6,-BL$6-SUM(BL$10:BL35),-ROUNDDOWN($L36*BL$5/100,0)),0)</f>
        <v>0</v>
      </c>
      <c r="BM36" s="38">
        <f>IF(AND(BM$7="○",$A36&gt;=BM$8,$A36&lt;=BM$9),IF(SUM(BM$10:BM35)-ROUNDDOWN($M36*BM$5/100,0)&lt;-BM$6,-BM$6-SUM(BM$10:BM35),-ROUNDDOWN($M36*BM$5/100,0)),0)</f>
        <v>0</v>
      </c>
      <c r="BN36" s="38">
        <f>IF(AND(BN$7="○",$A36&gt;=BN$8,$A36&lt;=BN$9),IF(SUM(BN$10:BN35)-ROUNDDOWN($M36*BN$5/100,0)&lt;-BN$6,-BN$6-SUM(BN$10:BN35),-ROUNDDOWN($M36*BN$5/100,0)),0)</f>
        <v>0</v>
      </c>
      <c r="BO36" s="38">
        <f>IF(AND(BO$7="○",$A36&gt;=BO$8,$A36&lt;=BO$9),IF(SUM(BO$10:BO35)-ROUNDDOWN($M36*BO$5/100,0)&lt;-BO$6,-BO$6-SUM(BO$10:BO35),-ROUNDDOWN($M36*BO$5/100,0)),0)</f>
        <v>0</v>
      </c>
      <c r="BP36" s="38">
        <f>IF(AND(BP$7="○",$A36&gt;=BP$8,$A36&lt;=BP$9),IF(SUM(BP$10:BP35)-ROUNDDOWN($M36*BP$5/100,0)&lt;-BP$6,-BP$6-SUM(BP$10:BP35),-ROUNDDOWN($M36*BP$5/100,0)),0)</f>
        <v>0</v>
      </c>
      <c r="BQ36" s="38">
        <f>IF(AND(BQ$7="○",$A36&gt;=BQ$8,$A36&lt;=BQ$9),IF(SUM(BQ$10:BQ35)-ROUNDDOWN($L36*BQ$5/100,0)&lt;-BQ$6,-BQ$6-SUM(BQ$10:BQ35),-ROUNDDOWN($L36*BQ$5/100,0)),0)</f>
        <v>0</v>
      </c>
      <c r="BR36" s="38">
        <f>IF(AND(BR$7="○",$A36&gt;=BR$8,$A36&lt;=BR$9),IF(SUM(BR$10:BR35)-ROUNDDOWN($M36*BR$5/100,0)&lt;-BR$6,-BR$6-SUM(BR$10:BR35),-ROUNDDOWN($M36*BR$5/100,0)),0)</f>
        <v>0</v>
      </c>
      <c r="BS36" s="38">
        <f>IF(AND(BS$7="○",$A36&gt;=BS$8,$A36&lt;=BS$9),IF(SUM(BS$10:BS35)-ROUNDDOWN($M36*BS$5/100,0)&lt;-BS$6,-BS$6-SUM(BS$10:BS35),-ROUNDDOWN($M36*BS$5/100,0)),0)</f>
        <v>0</v>
      </c>
      <c r="BT36" s="38">
        <f>IF(AND(BT$7="○",$A36&gt;=BT$8,$A36&lt;=BT$9),IF(SUM(BT$10:BT35)-ROUNDDOWN($M36*BT$5/100,0)&lt;-BT$6,-BT$6-SUM(BT$10:BT35),-ROUNDDOWN($M36*BT$5/100,0)),0)</f>
        <v>0</v>
      </c>
      <c r="BU36" s="38">
        <f>IF(AND(BU$7="○",$A36&gt;=BU$8,$A36&lt;=BU$9),IF(SUM(BU$10:BU35)-ROUNDDOWN($M36*BU$5/100,0)&lt;-BU$6,-BU$6-SUM(BU$10:BU35),-ROUNDDOWN($M36*BU$5/100,0)),0)</f>
        <v>0</v>
      </c>
      <c r="BV36" s="38">
        <f>IF(AND(BV$7="○",$A36&gt;=BV$8,$A36&lt;=BV$9),IF(SUM(BV$10:BV35)-ROUNDDOWN($M36*BV$5/100,0)&lt;-BV$6,-BV$6-SUM(BV$10:BV35),-ROUNDDOWN($M36*BV$5/100,0)),0)</f>
        <v>0</v>
      </c>
      <c r="BW36" s="38">
        <f>IF(AND(BW$7="○",$A36&gt;=BW$8,$A36&lt;=BW$9),IF(SUM(BW$10:BW35)-ROUNDDOWN($M36*BW$5/100,0)&lt;-BW$6,-BW$6-SUM(BW$10:BW35),-ROUNDDOWN($M36*BW$5/100,0)),0)</f>
        <v>0</v>
      </c>
      <c r="BX36" s="38">
        <f>IF(AND(T36="○",$A36&gt;=BX$8,$A36&lt;=BX$9),IF(SUM(BX$10:BX35)-ROUNDDOWN($K36*BX$5/100,0)&lt;-BX$6,-BX$6-SUM(BX$10:BX35),-ROUNDDOWN($K36*BX$5/100,0)),0)</f>
        <v>0</v>
      </c>
      <c r="BY36" s="38">
        <f>IF(AND(U36="○",$A36&gt;=BY$8,$A36&lt;=BY$9),IF(SUM(BY$10:BY35)-ROUNDDOWN($K36*BY$5/100,0)&lt;-BY$6,-BY$6-SUM(BY$10:BY35),-ROUNDDOWN($K36*BY$5/100,0)),0)</f>
        <v>0</v>
      </c>
      <c r="BZ36" s="38">
        <f>IF(AND(V36="○",$A36&gt;=BZ$8,$A36&lt;=BZ$9),IF(SUM(BZ$10:BZ35)-ROUNDDOWN($K36*BZ$5/100,0)&lt;-BZ$6,-BZ$6-SUM(BZ$10:BZ35),-ROUNDDOWN($K36*BZ$5/100,0)),0)</f>
        <v>0</v>
      </c>
      <c r="CA36" s="38">
        <f>IF(AND(W36="○",$A36&gt;=CA$8,$A36&lt;=CA$9),IF(SUM(CA$10:CA35)-ROUNDDOWN($K36*CA$5/100,0)&lt;-CA$6,-CA$6-SUM(CA$10:CA35),-ROUNDDOWN($K36*CA$5/100,0)),0)</f>
        <v>0</v>
      </c>
      <c r="CB36" s="38"/>
      <c r="CC36" s="38"/>
      <c r="CD36" s="38"/>
      <c r="CE36" s="38"/>
      <c r="CF36" s="38"/>
      <c r="CG36" s="65">
        <f t="shared" si="47"/>
        <v>0</v>
      </c>
      <c r="CH36" s="71">
        <f t="shared" si="48"/>
        <v>0</v>
      </c>
      <c r="CI36" s="1">
        <f t="shared" si="19"/>
        <v>0</v>
      </c>
      <c r="CJ36" s="1"/>
      <c r="CK36" s="72"/>
      <c r="CL36" s="72"/>
      <c r="CM36" s="2"/>
      <c r="CN36" s="2"/>
      <c r="CO36" s="73">
        <f t="shared" si="20"/>
        <v>0</v>
      </c>
      <c r="CP36" s="5">
        <f t="shared" si="21"/>
        <v>0</v>
      </c>
      <c r="CQ36" s="1"/>
      <c r="CR36" s="1">
        <f t="shared" si="22"/>
        <v>0</v>
      </c>
      <c r="CS36" s="1"/>
      <c r="CT36" s="1" t="e">
        <f>INDEX([2]マスタ!$A:$A,MATCH(D36,[2]マスタ!$C:$C,0))</f>
        <v>#N/A</v>
      </c>
      <c r="CU36" s="1" t="str">
        <f t="shared" ca="1" si="23"/>
        <v>20260620_0-0</v>
      </c>
    </row>
    <row r="37" spans="1:99" x14ac:dyDescent="0.4">
      <c r="A37" s="61"/>
      <c r="B37" s="62"/>
      <c r="C37" s="62"/>
      <c r="D37" s="62"/>
      <c r="E37" s="63"/>
      <c r="F37" s="62"/>
      <c r="G37" s="62">
        <v>1</v>
      </c>
      <c r="H37" s="64">
        <f t="shared" si="4"/>
        <v>0</v>
      </c>
      <c r="I37" s="64"/>
      <c r="J37" s="64"/>
      <c r="K37" s="65">
        <f t="shared" si="49"/>
        <v>0</v>
      </c>
      <c r="L37" s="65">
        <f t="shared" si="6"/>
        <v>0</v>
      </c>
      <c r="M37" s="65">
        <f t="shared" si="7"/>
        <v>0</v>
      </c>
      <c r="N37" s="65">
        <f t="shared" si="8"/>
        <v>0</v>
      </c>
      <c r="O37" s="66" t="str">
        <f t="shared" si="9"/>
        <v>✕</v>
      </c>
      <c r="P37" s="67" t="str">
        <f t="shared" si="10"/>
        <v>○</v>
      </c>
      <c r="Q37" s="67" t="str">
        <f t="shared" si="50"/>
        <v>✕</v>
      </c>
      <c r="R37" s="67" t="str">
        <f t="shared" si="12"/>
        <v>✕</v>
      </c>
      <c r="S37" s="68">
        <v>0</v>
      </c>
      <c r="T37" s="69" t="s">
        <v>85</v>
      </c>
      <c r="U37" s="69" t="s">
        <v>85</v>
      </c>
      <c r="V37" s="69" t="s">
        <v>85</v>
      </c>
      <c r="W37" s="69" t="s">
        <v>85</v>
      </c>
      <c r="X37" s="69" t="s">
        <v>84</v>
      </c>
      <c r="Y37" s="69" t="s">
        <v>85</v>
      </c>
      <c r="Z37" s="69" t="s">
        <v>85</v>
      </c>
      <c r="AA37" s="69" t="s">
        <v>85</v>
      </c>
      <c r="AB37" s="69" t="s">
        <v>85</v>
      </c>
      <c r="AC37" s="69" t="s">
        <v>85</v>
      </c>
      <c r="AD37" s="38" t="str">
        <f>+IF(ISERROR(VLOOKUP($B37,AD$10:AD36,1,0)),IF(AND($N37&gt;=1000,$A37&gt;=AO$8,$A37&lt;=AO$9),$B37,""),"")</f>
        <v/>
      </c>
      <c r="AE37" s="38" t="str">
        <f>+IF(ISERROR(VLOOKUP($B37,AE$10:AE36,1,0)),IF(AND($N37&gt;=1000,$A37&gt;=AP$8,$A37&lt;=AP$9),$B37,""),"")</f>
        <v/>
      </c>
      <c r="AF37" s="38" t="str">
        <f>+IF(ISERROR(VLOOKUP($B37,AF$10:AF36,1,0)),IF(AND($N37&gt;=1000,$A37&gt;=AQ$8,$A37&lt;=AQ$9),$B37,""),"")</f>
        <v/>
      </c>
      <c r="AG37" s="38" t="str">
        <f>+IF(ISERROR(VLOOKUP($B37,AG$10:AG36,1,0)),IF(AND($N37&gt;=1000,$A37&gt;=AR$8,$A37&lt;=AR$9),$B37,""),"")</f>
        <v/>
      </c>
      <c r="AH37" s="38"/>
      <c r="AI37" s="70">
        <v>0</v>
      </c>
      <c r="AJ37" s="38">
        <f>IF(AND(AJ$7="○",$A37&gt;=AJ$8,$A37&lt;=AJ$9),IF(SUM(AJ$10:AJ36)-ROUNDDOWN($K37*AJ$5/100,0)&lt;-AJ$6,-AJ$6-SUM(AJ$10:AJ36),-ROUNDDOWN($K37*AJ$5/100,0)),0)</f>
        <v>0</v>
      </c>
      <c r="AK37" s="38">
        <f>IF(AND(AK$7="○",$A37&gt;=AK$8,$A37&lt;=AK$9),IF(SUM(AK$10:AK36)-ROUNDDOWN($L37*AK$5/100,0)&lt;-AK$6,-AK$6-SUM(AK$10:AK36),-ROUNDDOWN($L37*AK$5/100,0)),0)</f>
        <v>0</v>
      </c>
      <c r="AL37" s="38">
        <f>IF(AND(AL$7="○",$A37&gt;=AL$8,$A37&lt;=AL$9),IF(SUM(AL$10:AL36)-ROUNDDOWN($N37*AL$5/100,0)&lt;-AL$6,-AL$6-SUM(AL$10:AL36),-ROUNDDOWN($N37*AL$5/100,0)),0)</f>
        <v>0</v>
      </c>
      <c r="AM37" s="38">
        <f>IF(AND(AM$7="○",$A37&gt;=AM$8,$A37&lt;=AM$9),IF(SUM(AM$10:AM36)-ROUNDDOWN($L37*AM$5/100,0)&lt;-AM$6,-AM$6-SUM(AM$10:AM36),-ROUNDDOWN($L37*AM$5/100,0)),0)</f>
        <v>0</v>
      </c>
      <c r="AN37" s="38">
        <f>IF(AND(AN$7="○",$A37&gt;=AN$8,$A37&lt;=AN$9),IF(SUM(AN$10:AN36)-ROUNDDOWN($M37*AN$5/100,0)&lt;-AN$6,-AN$6-SUM(AN$10:AN36),-ROUNDDOWN($M37*AN$5/100,0)),0)</f>
        <v>0</v>
      </c>
      <c r="AO37" s="38">
        <f>IF(AND($A37&gt;=AO$8,$A37&lt;=AO$9),IF(SUM(AO$10:AO36)-ROUNDDOWN($K37*AO$5/100,0)&lt;-AO$6,-AO$6-SUM(AO$10:AO36),-ROUNDDOWN($K37*AO$5/100,0)),0)</f>
        <v>0</v>
      </c>
      <c r="AP37" s="38">
        <f>IF(AND($A37&gt;=AP$8,$A37&lt;=AP$9),IF(SUM(AP$10:AP36)-ROUNDDOWN($K37*AP$5/100,0)&lt;-AP$6,-AP$6-SUM(AP$10:AP36),-ROUNDDOWN($K37*AP$5/100,0)),0)</f>
        <v>0</v>
      </c>
      <c r="AQ37" s="38">
        <f>IF(AND($A37&gt;=AQ$8,$A37&lt;=AQ$9),IF(SUM(AQ$10:AQ36)-ROUNDDOWN($K37*AQ$5/100,0)&lt;-AQ$6,-AQ$6-SUM(AQ$10:AQ36),-ROUNDDOWN($K37*AQ$5/100,0)),0)</f>
        <v>0</v>
      </c>
      <c r="AR37" s="38">
        <f>IF(AND($A37&gt;=AR$8,$A37&lt;=AR$9),IF(SUM(AR$10:AR36)-ROUNDDOWN($K37*AR$5/100,0)&lt;-AR$6,-AR$6-SUM(AR$10:AR36),-ROUNDDOWN($K37*AR$5/100,0)),0)</f>
        <v>0</v>
      </c>
      <c r="AS37" s="38">
        <f>IF(SUMIFS(AS$10:AS36,$A$10:$A36,$A37)-ROUNDDOWN($K37*$S37/100,0)&lt;-$S37*1000,-$S37*1000-SUMIFS(AS$10:AS36,$A$10:$A36,$A37),-ROUNDDOWN($K37*$S37/100,0))</f>
        <v>0</v>
      </c>
      <c r="AT37" s="38">
        <f>IF(AND(X37="○",$A37&gt;=AT$8,$A37&lt;=AT$9,K37&gt;=3980),IF(SUM(AT$10:AT36)-ROUNDDOWN($K37*AT$5/100,0)&lt;-AT$6,-AT$6-SUM(AT$10:AT36),-ROUNDDOWN($K37*AT$5/100,0)),0)</f>
        <v>0</v>
      </c>
      <c r="AU37" s="38">
        <f>IF(O37="○",IF(SUM(AU$10:AU36)-ROUNDDOWN($K37*AU$5/100,0)&lt;-AU$6,-AU$6-SUM(AU$10:AU36),-ROUNDDOWN($K37*AU$5/100,0)),0)</f>
        <v>0</v>
      </c>
      <c r="AV37" s="38">
        <f>IF(P37="○",IF(SUM(AV$10:AV36)-ROUNDDOWN($K37*AV$5/100,0)&lt;-AV$6,-AV$6-SUM(AV$10:AV36),-ROUNDDOWN($K37*AV$5/100,0)),0)</f>
        <v>0</v>
      </c>
      <c r="AW37" s="38">
        <f>IF(Q37="○",IF(SUM(AW$10:AW36)-ROUNDDOWN($K37*AW$5/100,0)&lt;-AW$6,-AW$6-SUM(AW$10:AW36),-ROUNDDOWN($K37*AW$5/100,0)),0)</f>
        <v>0</v>
      </c>
      <c r="AX37" s="38">
        <f>IF(R37="○",IF(SUM(AX$10:AX36)-ROUNDDOWN($K37*AX$5/100,0)&lt;-AX$6,-AX$6-SUM(AX$10:AX36),-ROUNDDOWN($K37*AX$5/100,0)),0)</f>
        <v>0</v>
      </c>
      <c r="AY37" s="70">
        <v>0</v>
      </c>
      <c r="AZ37" s="65">
        <f t="shared" si="41"/>
        <v>0</v>
      </c>
      <c r="BA37" s="65">
        <f t="shared" si="42"/>
        <v>0</v>
      </c>
      <c r="BB37" s="70"/>
      <c r="BC37" s="65">
        <f t="shared" si="43"/>
        <v>0</v>
      </c>
      <c r="BD37" s="70">
        <v>0</v>
      </c>
      <c r="BE37" s="65">
        <f t="shared" si="44"/>
        <v>0</v>
      </c>
      <c r="BF37" s="70">
        <v>0</v>
      </c>
      <c r="BG37" s="65">
        <f t="shared" si="45"/>
        <v>0</v>
      </c>
      <c r="BH37" s="70">
        <v>0</v>
      </c>
      <c r="BI37" s="65">
        <f t="shared" si="46"/>
        <v>0</v>
      </c>
      <c r="BJ37" s="38">
        <f>IF(AND(BJ$7="○",$A37&gt;=BJ$8,$A37&lt;=BJ$9),IF(SUM(BJ$10:BJ36)-ROUNDDOWN($M37*BJ$5/100,0)&lt;-BJ$6,-BJ$6-SUM(BJ$10:BJ36),-ROUNDDOWN($M37*BJ$5/100,0)),0)</f>
        <v>0</v>
      </c>
      <c r="BK37" s="38">
        <f>IF(AND(BK$7="○",$A37&gt;=BK$8,$A37&lt;=BK$9),IF(SUM(BK$10:BK36)-ROUNDDOWN($L37*BK$5/100,0)&lt;-BK$6,-BK$6-SUM(BK$10:BK36),-ROUNDDOWN($L37*BK$5/100,0)),0)</f>
        <v>0</v>
      </c>
      <c r="BL37" s="38">
        <f>IF(AND(BL$7="○",$A37&gt;=BL$8,$A37&lt;=BL$9),IF(SUM(BL$10:BL36)-ROUNDDOWN($L37*BL$5/100,0)&lt;-BL$6,-BL$6-SUM(BL$10:BL36),-ROUNDDOWN($L37*BL$5/100,0)),0)</f>
        <v>0</v>
      </c>
      <c r="BM37" s="38">
        <f>IF(AND(BM$7="○",$A37&gt;=BM$8,$A37&lt;=BM$9),IF(SUM(BM$10:BM36)-ROUNDDOWN($M37*BM$5/100,0)&lt;-BM$6,-BM$6-SUM(BM$10:BM36),-ROUNDDOWN($M37*BM$5/100,0)),0)</f>
        <v>0</v>
      </c>
      <c r="BN37" s="38">
        <f>IF(AND(BN$7="○",$A37&gt;=BN$8,$A37&lt;=BN$9),IF(SUM(BN$10:BN36)-ROUNDDOWN($M37*BN$5/100,0)&lt;-BN$6,-BN$6-SUM(BN$10:BN36),-ROUNDDOWN($M37*BN$5/100,0)),0)</f>
        <v>0</v>
      </c>
      <c r="BO37" s="38">
        <f>IF(AND(BO$7="○",$A37&gt;=BO$8,$A37&lt;=BO$9),IF(SUM(BO$10:BO36)-ROUNDDOWN($M37*BO$5/100,0)&lt;-BO$6,-BO$6-SUM(BO$10:BO36),-ROUNDDOWN($M37*BO$5/100,0)),0)</f>
        <v>0</v>
      </c>
      <c r="BP37" s="38">
        <f>IF(AND(BP$7="○",$A37&gt;=BP$8,$A37&lt;=BP$9),IF(SUM(BP$10:BP36)-ROUNDDOWN($M37*BP$5/100,0)&lt;-BP$6,-BP$6-SUM(BP$10:BP36),-ROUNDDOWN($M37*BP$5/100,0)),0)</f>
        <v>0</v>
      </c>
      <c r="BQ37" s="38">
        <f>IF(AND(BQ$7="○",$A37&gt;=BQ$8,$A37&lt;=BQ$9),IF(SUM(BQ$10:BQ36)-ROUNDDOWN($L37*BQ$5/100,0)&lt;-BQ$6,-BQ$6-SUM(BQ$10:BQ36),-ROUNDDOWN($L37*BQ$5/100,0)),0)</f>
        <v>0</v>
      </c>
      <c r="BR37" s="38">
        <f>IF(AND(BR$7="○",$A37&gt;=BR$8,$A37&lt;=BR$9),IF(SUM(BR$10:BR36)-ROUNDDOWN($M37*BR$5/100,0)&lt;-BR$6,-BR$6-SUM(BR$10:BR36),-ROUNDDOWN($M37*BR$5/100,0)),0)</f>
        <v>0</v>
      </c>
      <c r="BS37" s="38">
        <f>IF(AND(BS$7="○",$A37&gt;=BS$8,$A37&lt;=BS$9),IF(SUM(BS$10:BS36)-ROUNDDOWN($M37*BS$5/100,0)&lt;-BS$6,-BS$6-SUM(BS$10:BS36),-ROUNDDOWN($M37*BS$5/100,0)),0)</f>
        <v>0</v>
      </c>
      <c r="BT37" s="38">
        <f>IF(AND(BT$7="○",$A37&gt;=BT$8,$A37&lt;=BT$9),IF(SUM(BT$10:BT36)-ROUNDDOWN($M37*BT$5/100,0)&lt;-BT$6,-BT$6-SUM(BT$10:BT36),-ROUNDDOWN($M37*BT$5/100,0)),0)</f>
        <v>0</v>
      </c>
      <c r="BU37" s="38">
        <f>IF(AND(BU$7="○",$A37&gt;=BU$8,$A37&lt;=BU$9),IF(SUM(BU$10:BU36)-ROUNDDOWN($M37*BU$5/100,0)&lt;-BU$6,-BU$6-SUM(BU$10:BU36),-ROUNDDOWN($M37*BU$5/100,0)),0)</f>
        <v>0</v>
      </c>
      <c r="BV37" s="38">
        <f>IF(AND(BV$7="○",$A37&gt;=BV$8,$A37&lt;=BV$9),IF(SUM(BV$10:BV36)-ROUNDDOWN($M37*BV$5/100,0)&lt;-BV$6,-BV$6-SUM(BV$10:BV36),-ROUNDDOWN($M37*BV$5/100,0)),0)</f>
        <v>0</v>
      </c>
      <c r="BW37" s="38">
        <f>IF(AND(BW$7="○",$A37&gt;=BW$8,$A37&lt;=BW$9),IF(SUM(BW$10:BW36)-ROUNDDOWN($M37*BW$5/100,0)&lt;-BW$6,-BW$6-SUM(BW$10:BW36),-ROUNDDOWN($M37*BW$5/100,0)),0)</f>
        <v>0</v>
      </c>
      <c r="BX37" s="38">
        <f>IF(AND(T37="○",$A37&gt;=BX$8,$A37&lt;=BX$9),IF(SUM(BX$10:BX36)-ROUNDDOWN($K37*BX$5/100,0)&lt;-BX$6,-BX$6-SUM(BX$10:BX36),-ROUNDDOWN($K37*BX$5/100,0)),0)</f>
        <v>0</v>
      </c>
      <c r="BY37" s="38">
        <f>IF(AND(U37="○",$A37&gt;=BY$8,$A37&lt;=BY$9),IF(SUM(BY$10:BY36)-ROUNDDOWN($K37*BY$5/100,0)&lt;-BY$6,-BY$6-SUM(BY$10:BY36),-ROUNDDOWN($K37*BY$5/100,0)),0)</f>
        <v>0</v>
      </c>
      <c r="BZ37" s="38">
        <f>IF(AND(V37="○",$A37&gt;=BZ$8,$A37&lt;=BZ$9),IF(SUM(BZ$10:BZ36)-ROUNDDOWN($K37*BZ$5/100,0)&lt;-BZ$6,-BZ$6-SUM(BZ$10:BZ36),-ROUNDDOWN($K37*BZ$5/100,0)),0)</f>
        <v>0</v>
      </c>
      <c r="CA37" s="38">
        <f>IF(AND(W37="○",$A37&gt;=CA$8,$A37&lt;=CA$9),IF(SUM(CA$10:CA36)-ROUNDDOWN($K37*CA$5/100,0)&lt;-CA$6,-CA$6-SUM(CA$10:CA36),-ROUNDDOWN($K37*CA$5/100,0)),0)</f>
        <v>0</v>
      </c>
      <c r="CB37" s="38"/>
      <c r="CC37" s="38"/>
      <c r="CD37" s="38"/>
      <c r="CE37" s="38"/>
      <c r="CF37" s="38"/>
      <c r="CG37" s="65">
        <f t="shared" si="47"/>
        <v>0</v>
      </c>
      <c r="CH37" s="71">
        <f t="shared" si="48"/>
        <v>0</v>
      </c>
      <c r="CI37" s="1">
        <f t="shared" si="19"/>
        <v>0</v>
      </c>
      <c r="CJ37" s="1"/>
      <c r="CK37" s="72"/>
      <c r="CL37" s="72"/>
      <c r="CM37" s="2"/>
      <c r="CN37" s="2"/>
      <c r="CO37" s="73">
        <f t="shared" si="20"/>
        <v>0</v>
      </c>
      <c r="CP37" s="5">
        <f t="shared" si="21"/>
        <v>0</v>
      </c>
      <c r="CQ37" s="1"/>
      <c r="CR37" s="1">
        <f t="shared" si="22"/>
        <v>0</v>
      </c>
      <c r="CS37" s="1"/>
      <c r="CT37" s="1" t="e">
        <f>INDEX([2]マスタ!$A:$A,MATCH(D37,[2]マスタ!$C:$C,0))</f>
        <v>#N/A</v>
      </c>
      <c r="CU37" s="1" t="str">
        <f t="shared" ca="1" si="23"/>
        <v>20260620_0-0</v>
      </c>
    </row>
    <row r="38" spans="1:99" x14ac:dyDescent="0.4">
      <c r="A38" s="61"/>
      <c r="B38" s="62"/>
      <c r="C38" s="62"/>
      <c r="D38" s="63"/>
      <c r="E38" s="63"/>
      <c r="F38" s="62"/>
      <c r="G38" s="62">
        <v>1</v>
      </c>
      <c r="H38" s="64">
        <f t="shared" si="4"/>
        <v>0</v>
      </c>
      <c r="I38" s="64"/>
      <c r="J38" s="64"/>
      <c r="K38" s="65">
        <f t="shared" si="49"/>
        <v>0</v>
      </c>
      <c r="L38" s="65">
        <f t="shared" si="6"/>
        <v>0</v>
      </c>
      <c r="M38" s="65">
        <f t="shared" si="7"/>
        <v>0</v>
      </c>
      <c r="N38" s="65">
        <f t="shared" si="8"/>
        <v>0</v>
      </c>
      <c r="O38" s="66" t="str">
        <f t="shared" si="9"/>
        <v>✕</v>
      </c>
      <c r="P38" s="67" t="str">
        <f t="shared" si="10"/>
        <v>○</v>
      </c>
      <c r="Q38" s="67" t="str">
        <f t="shared" si="50"/>
        <v>✕</v>
      </c>
      <c r="R38" s="67" t="str">
        <f t="shared" si="12"/>
        <v>✕</v>
      </c>
      <c r="S38" s="68">
        <v>0</v>
      </c>
      <c r="T38" s="69" t="s">
        <v>85</v>
      </c>
      <c r="U38" s="69" t="s">
        <v>85</v>
      </c>
      <c r="V38" s="69" t="s">
        <v>85</v>
      </c>
      <c r="W38" s="69" t="s">
        <v>85</v>
      </c>
      <c r="X38" s="69" t="s">
        <v>84</v>
      </c>
      <c r="Y38" s="69" t="s">
        <v>85</v>
      </c>
      <c r="Z38" s="69" t="s">
        <v>85</v>
      </c>
      <c r="AA38" s="69" t="s">
        <v>85</v>
      </c>
      <c r="AB38" s="69" t="s">
        <v>85</v>
      </c>
      <c r="AC38" s="69" t="s">
        <v>85</v>
      </c>
      <c r="AD38" s="38" t="str">
        <f>+IF(ISERROR(VLOOKUP($B38,AD$10:AD37,1,0)),IF(AND($N38&gt;=1000,$A38&gt;=AO$8,$A38&lt;=AO$9),$B38,""),"")</f>
        <v/>
      </c>
      <c r="AE38" s="38" t="str">
        <f>+IF(ISERROR(VLOOKUP($B38,AE$10:AE37,1,0)),IF(AND($N38&gt;=1000,$A38&gt;=AP$8,$A38&lt;=AP$9),$B38,""),"")</f>
        <v/>
      </c>
      <c r="AF38" s="38" t="str">
        <f>+IF(ISERROR(VLOOKUP($B38,AF$10:AF37,1,0)),IF(AND($N38&gt;=1000,$A38&gt;=AQ$8,$A38&lt;=AQ$9),$B38,""),"")</f>
        <v/>
      </c>
      <c r="AG38" s="38" t="str">
        <f>+IF(ISERROR(VLOOKUP($B38,AG$10:AG37,1,0)),IF(AND($N38&gt;=1000,$A38&gt;=AR$8,$A38&lt;=AR$9),$B38,""),"")</f>
        <v/>
      </c>
      <c r="AH38" s="38"/>
      <c r="AI38" s="70">
        <v>0</v>
      </c>
      <c r="AJ38" s="38">
        <f>IF(AND(AJ$7="○",$A38&gt;=AJ$8,$A38&lt;=AJ$9),IF(SUM(AJ$10:AJ37)-ROUNDDOWN($K38*AJ$5/100,0)&lt;-AJ$6,-AJ$6-SUM(AJ$10:AJ37),-ROUNDDOWN($K38*AJ$5/100,0)),0)</f>
        <v>0</v>
      </c>
      <c r="AK38" s="38">
        <f>IF(AND(AK$7="○",$A38&gt;=AK$8,$A38&lt;=AK$9),IF(SUM(AK$10:AK37)-ROUNDDOWN($L38*AK$5/100,0)&lt;-AK$6,-AK$6-SUM(AK$10:AK37),-ROUNDDOWN($L38*AK$5/100,0)),0)</f>
        <v>0</v>
      </c>
      <c r="AL38" s="38">
        <f>IF(AND(AL$7="○",$A38&gt;=AL$8,$A38&lt;=AL$9),IF(SUM(AL$10:AL37)-ROUNDDOWN($N38*AL$5/100,0)&lt;-AL$6,-AL$6-SUM(AL$10:AL37),-ROUNDDOWN($N38*AL$5/100,0)),0)</f>
        <v>0</v>
      </c>
      <c r="AM38" s="38">
        <f>IF(AND(AM$7="○",$A38&gt;=AM$8,$A38&lt;=AM$9),IF(SUM(AM$10:AM37)-ROUNDDOWN($L38*AM$5/100,0)&lt;-AM$6,-AM$6-SUM(AM$10:AM37),-ROUNDDOWN($L38*AM$5/100,0)),0)</f>
        <v>0</v>
      </c>
      <c r="AN38" s="38">
        <f>IF(AND(AN$7="○",$A38&gt;=AN$8,$A38&lt;=AN$9),IF(SUM(AN$10:AN37)-ROUNDDOWN($M38*AN$5/100,0)&lt;-AN$6,-AN$6-SUM(AN$10:AN37),-ROUNDDOWN($M38*AN$5/100,0)),0)</f>
        <v>0</v>
      </c>
      <c r="AO38" s="38">
        <f>IF(AND($A38&gt;=AO$8,$A38&lt;=AO$9),IF(SUM(AO$10:AO37)-ROUNDDOWN($K38*AO$5/100,0)&lt;-AO$6,-AO$6-SUM(AO$10:AO37),-ROUNDDOWN($K38*AO$5/100,0)),0)</f>
        <v>0</v>
      </c>
      <c r="AP38" s="38">
        <f>IF(AND($A38&gt;=AP$8,$A38&lt;=AP$9),IF(SUM(AP$10:AP37)-ROUNDDOWN($K38*AP$5/100,0)&lt;-AP$6,-AP$6-SUM(AP$10:AP37),-ROUNDDOWN($K38*AP$5/100,0)),0)</f>
        <v>0</v>
      </c>
      <c r="AQ38" s="38">
        <f>IF(AND($A38&gt;=AQ$8,$A38&lt;=AQ$9),IF(SUM(AQ$10:AQ37)-ROUNDDOWN($K38*AQ$5/100,0)&lt;-AQ$6,-AQ$6-SUM(AQ$10:AQ37),-ROUNDDOWN($K38*AQ$5/100,0)),0)</f>
        <v>0</v>
      </c>
      <c r="AR38" s="38">
        <f>IF(AND($A38&gt;=AR$8,$A38&lt;=AR$9),IF(SUM(AR$10:AR37)-ROUNDDOWN($K38*AR$5/100,0)&lt;-AR$6,-AR$6-SUM(AR$10:AR37),-ROUNDDOWN($K38*AR$5/100,0)),0)</f>
        <v>0</v>
      </c>
      <c r="AS38" s="38">
        <f>IF(SUMIFS(AS$10:AS37,$A$10:$A37,$A38)-ROUNDDOWN($K38*$S38/100,0)&lt;-$S38*1000,-$S38*1000-SUMIFS(AS$10:AS37,$A$10:$A37,$A38),-ROUNDDOWN($K38*$S38/100,0))</f>
        <v>0</v>
      </c>
      <c r="AT38" s="38">
        <f>IF(AND(X38="○",$A38&gt;=AT$8,$A38&lt;=AT$9,K38&gt;=3980),IF(SUM(AT$10:AT37)-ROUNDDOWN($K38*AT$5/100,0)&lt;-AT$6,-AT$6-SUM(AT$10:AT37),-ROUNDDOWN($K38*AT$5/100,0)),0)</f>
        <v>0</v>
      </c>
      <c r="AU38" s="38">
        <f>IF(O38="○",IF(SUM(AU$10:AU37)-ROUNDDOWN($K38*AU$5/100,0)&lt;-AU$6,-AU$6-SUM(AU$10:AU37),-ROUNDDOWN($K38*AU$5/100,0)),0)</f>
        <v>0</v>
      </c>
      <c r="AV38" s="38">
        <f>IF(P38="○",IF(SUM(AV$10:AV37)-ROUNDDOWN($K38*AV$5/100,0)&lt;-AV$6,-AV$6-SUM(AV$10:AV37),-ROUNDDOWN($K38*AV$5/100,0)),0)</f>
        <v>0</v>
      </c>
      <c r="AW38" s="38">
        <f>IF(Q38="○",IF(SUM(AW$10:AW37)-ROUNDDOWN($K38*AW$5/100,0)&lt;-AW$6,-AW$6-SUM(AW$10:AW37),-ROUNDDOWN($K38*AW$5/100,0)),0)</f>
        <v>0</v>
      </c>
      <c r="AX38" s="38">
        <f>IF(R38="○",IF(SUM(AX$10:AX37)-ROUNDDOWN($K38*AX$5/100,0)&lt;-AX$6,-AX$6-SUM(AX$10:AX37),-ROUNDDOWN($K38*AX$5/100,0)),0)</f>
        <v>0</v>
      </c>
      <c r="AY38" s="70">
        <v>0</v>
      </c>
      <c r="AZ38" s="65">
        <f t="shared" si="41"/>
        <v>0</v>
      </c>
      <c r="BA38" s="65">
        <f t="shared" si="42"/>
        <v>0</v>
      </c>
      <c r="BB38" s="70"/>
      <c r="BC38" s="65">
        <f t="shared" si="43"/>
        <v>0</v>
      </c>
      <c r="BD38" s="70">
        <v>0</v>
      </c>
      <c r="BE38" s="65">
        <f t="shared" si="44"/>
        <v>0</v>
      </c>
      <c r="BF38" s="70">
        <v>0</v>
      </c>
      <c r="BG38" s="65">
        <f t="shared" si="45"/>
        <v>0</v>
      </c>
      <c r="BH38" s="70">
        <v>0</v>
      </c>
      <c r="BI38" s="65">
        <f t="shared" si="46"/>
        <v>0</v>
      </c>
      <c r="BJ38" s="38">
        <f>IF(AND(BJ$7="○",$A38&gt;=BJ$8,$A38&lt;=BJ$9),IF(SUM(BJ$10:BJ37)-ROUNDDOWN($M38*BJ$5/100,0)&lt;-BJ$6,-BJ$6-SUM(BJ$10:BJ37),-ROUNDDOWN($M38*BJ$5/100,0)),0)</f>
        <v>0</v>
      </c>
      <c r="BK38" s="38">
        <f>IF(AND(BK$7="○",$A38&gt;=BK$8,$A38&lt;=BK$9),IF(SUM(BK$10:BK37)-ROUNDDOWN($L38*BK$5/100,0)&lt;-BK$6,-BK$6-SUM(BK$10:BK37),-ROUNDDOWN($L38*BK$5/100,0)),0)</f>
        <v>0</v>
      </c>
      <c r="BL38" s="38">
        <f>IF(AND(BL$7="○",$A38&gt;=BL$8,$A38&lt;=BL$9),IF(SUM(BL$10:BL37)-ROUNDDOWN($L38*BL$5/100,0)&lt;-BL$6,-BL$6-SUM(BL$10:BL37),-ROUNDDOWN($L38*BL$5/100,0)),0)</f>
        <v>0</v>
      </c>
      <c r="BM38" s="38">
        <f>IF(AND(BM$7="○",$A38&gt;=BM$8,$A38&lt;=BM$9),IF(SUM(BM$10:BM37)-ROUNDDOWN($M38*BM$5/100,0)&lt;-BM$6,-BM$6-SUM(BM$10:BM37),-ROUNDDOWN($M38*BM$5/100,0)),0)</f>
        <v>0</v>
      </c>
      <c r="BN38" s="38">
        <f>IF(AND(BN$7="○",$A38&gt;=BN$8,$A38&lt;=BN$9),IF(SUM(BN$10:BN37)-ROUNDDOWN($M38*BN$5/100,0)&lt;-BN$6,-BN$6-SUM(BN$10:BN37),-ROUNDDOWN($M38*BN$5/100,0)),0)</f>
        <v>0</v>
      </c>
      <c r="BO38" s="38">
        <f>IF(AND(BO$7="○",$A38&gt;=BO$8,$A38&lt;=BO$9),IF(SUM(BO$10:BO37)-ROUNDDOWN($M38*BO$5/100,0)&lt;-BO$6,-BO$6-SUM(BO$10:BO37),-ROUNDDOWN($M38*BO$5/100,0)),0)</f>
        <v>0</v>
      </c>
      <c r="BP38" s="38">
        <f>IF(AND(BP$7="○",$A38&gt;=BP$8,$A38&lt;=BP$9),IF(SUM(BP$10:BP37)-ROUNDDOWN($M38*BP$5/100,0)&lt;-BP$6,-BP$6-SUM(BP$10:BP37),-ROUNDDOWN($M38*BP$5/100,0)),0)</f>
        <v>0</v>
      </c>
      <c r="BQ38" s="38">
        <f>IF(AND(BQ$7="○",$A38&gt;=BQ$8,$A38&lt;=BQ$9),IF(SUM(BQ$10:BQ37)-ROUNDDOWN($L38*BQ$5/100,0)&lt;-BQ$6,-BQ$6-SUM(BQ$10:BQ37),-ROUNDDOWN($L38*BQ$5/100,0)),0)</f>
        <v>0</v>
      </c>
      <c r="BR38" s="38">
        <f>IF(AND(BR$7="○",$A38&gt;=BR$8,$A38&lt;=BR$9),IF(SUM(BR$10:BR37)-ROUNDDOWN($M38*BR$5/100,0)&lt;-BR$6,-BR$6-SUM(BR$10:BR37),-ROUNDDOWN($M38*BR$5/100,0)),0)</f>
        <v>0</v>
      </c>
      <c r="BS38" s="38">
        <f>IF(AND(BS$7="○",$A38&gt;=BS$8,$A38&lt;=BS$9),IF(SUM(BS$10:BS37)-ROUNDDOWN($M38*BS$5/100,0)&lt;-BS$6,-BS$6-SUM(BS$10:BS37),-ROUNDDOWN($M38*BS$5/100,0)),0)</f>
        <v>0</v>
      </c>
      <c r="BT38" s="38">
        <f>IF(AND(BT$7="○",$A38&gt;=BT$8,$A38&lt;=BT$9),IF(SUM(BT$10:BT37)-ROUNDDOWN($M38*BT$5/100,0)&lt;-BT$6,-BT$6-SUM(BT$10:BT37),-ROUNDDOWN($M38*BT$5/100,0)),0)</f>
        <v>0</v>
      </c>
      <c r="BU38" s="38">
        <f>IF(AND(BU$7="○",$A38&gt;=BU$8,$A38&lt;=BU$9),IF(SUM(BU$10:BU37)-ROUNDDOWN($M38*BU$5/100,0)&lt;-BU$6,-BU$6-SUM(BU$10:BU37),-ROUNDDOWN($M38*BU$5/100,0)),0)</f>
        <v>0</v>
      </c>
      <c r="BV38" s="38">
        <f>IF(AND(BV$7="○",$A38&gt;=BV$8,$A38&lt;=BV$9),IF(SUM(BV$10:BV37)-ROUNDDOWN($M38*BV$5/100,0)&lt;-BV$6,-BV$6-SUM(BV$10:BV37),-ROUNDDOWN($M38*BV$5/100,0)),0)</f>
        <v>0</v>
      </c>
      <c r="BW38" s="38">
        <f>IF(AND(BW$7="○",$A38&gt;=BW$8,$A38&lt;=BW$9),IF(SUM(BW$10:BW37)-ROUNDDOWN($M38*BW$5/100,0)&lt;-BW$6,-BW$6-SUM(BW$10:BW37),-ROUNDDOWN($M38*BW$5/100,0)),0)</f>
        <v>0</v>
      </c>
      <c r="BX38" s="38">
        <f>IF(AND(T38="○",$A38&gt;=BX$8,$A38&lt;=BX$9),IF(SUM(BX$10:BX37)-ROUNDDOWN($K38*BX$5/100,0)&lt;-BX$6,-BX$6-SUM(BX$10:BX37),-ROUNDDOWN($K38*BX$5/100,0)),0)</f>
        <v>0</v>
      </c>
      <c r="BY38" s="38">
        <f>IF(AND(U38="○",$A38&gt;=BY$8,$A38&lt;=BY$9),IF(SUM(BY$10:BY37)-ROUNDDOWN($K38*BY$5/100,0)&lt;-BY$6,-BY$6-SUM(BY$10:BY37),-ROUNDDOWN($K38*BY$5/100,0)),0)</f>
        <v>0</v>
      </c>
      <c r="BZ38" s="38">
        <f>IF(AND(V38="○",$A38&gt;=BZ$8,$A38&lt;=BZ$9),IF(SUM(BZ$10:BZ37)-ROUNDDOWN($K38*BZ$5/100,0)&lt;-BZ$6,-BZ$6-SUM(BZ$10:BZ37),-ROUNDDOWN($K38*BZ$5/100,0)),0)</f>
        <v>0</v>
      </c>
      <c r="CA38" s="38">
        <f>IF(AND(W38="○",$A38&gt;=CA$8,$A38&lt;=CA$9),IF(SUM(CA$10:CA37)-ROUNDDOWN($K38*CA$5/100,0)&lt;-CA$6,-CA$6-SUM(CA$10:CA37),-ROUNDDOWN($K38*CA$5/100,0)),0)</f>
        <v>0</v>
      </c>
      <c r="CB38" s="38"/>
      <c r="CC38" s="38"/>
      <c r="CD38" s="38"/>
      <c r="CE38" s="38"/>
      <c r="CF38" s="38"/>
      <c r="CG38" s="65">
        <f t="shared" si="47"/>
        <v>0</v>
      </c>
      <c r="CH38" s="71">
        <f t="shared" si="48"/>
        <v>0</v>
      </c>
      <c r="CI38" s="1">
        <f t="shared" si="19"/>
        <v>0</v>
      </c>
      <c r="CJ38" s="1"/>
      <c r="CK38" s="2"/>
      <c r="CL38" s="2"/>
      <c r="CM38" s="2"/>
      <c r="CN38" s="2"/>
      <c r="CO38" s="73">
        <f t="shared" si="20"/>
        <v>0</v>
      </c>
      <c r="CP38" s="5">
        <f t="shared" si="21"/>
        <v>0</v>
      </c>
      <c r="CQ38" s="1"/>
      <c r="CR38" s="1">
        <f t="shared" si="22"/>
        <v>0</v>
      </c>
      <c r="CS38" s="1"/>
      <c r="CT38" s="1" t="e">
        <f>INDEX([2]マスタ!$A:$A,MATCH(D38,[2]マスタ!$C:$C,0))</f>
        <v>#N/A</v>
      </c>
      <c r="CU38" s="1" t="str">
        <f t="shared" ca="1" si="23"/>
        <v>20260620_0-0</v>
      </c>
    </row>
    <row r="39" spans="1:99" x14ac:dyDescent="0.4">
      <c r="A39" s="61"/>
      <c r="B39" s="62"/>
      <c r="C39" s="62"/>
      <c r="D39" s="62"/>
      <c r="E39" s="63"/>
      <c r="F39" s="62"/>
      <c r="G39" s="62">
        <v>1</v>
      </c>
      <c r="H39" s="64">
        <f t="shared" si="4"/>
        <v>0</v>
      </c>
      <c r="I39" s="64"/>
      <c r="J39" s="78"/>
      <c r="K39" s="65">
        <f t="shared" si="49"/>
        <v>0</v>
      </c>
      <c r="L39" s="65">
        <f t="shared" si="6"/>
        <v>0</v>
      </c>
      <c r="M39" s="65">
        <f t="shared" si="7"/>
        <v>0</v>
      </c>
      <c r="N39" s="65">
        <f t="shared" si="8"/>
        <v>0</v>
      </c>
      <c r="O39" s="66" t="str">
        <f t="shared" si="9"/>
        <v>✕</v>
      </c>
      <c r="P39" s="67" t="str">
        <f t="shared" si="10"/>
        <v>○</v>
      </c>
      <c r="Q39" s="67" t="str">
        <f t="shared" si="50"/>
        <v>✕</v>
      </c>
      <c r="R39" s="67" t="str">
        <f t="shared" si="12"/>
        <v>✕</v>
      </c>
      <c r="S39" s="68">
        <v>0</v>
      </c>
      <c r="T39" s="69" t="s">
        <v>85</v>
      </c>
      <c r="U39" s="69" t="s">
        <v>85</v>
      </c>
      <c r="V39" s="69" t="s">
        <v>85</v>
      </c>
      <c r="W39" s="69" t="s">
        <v>85</v>
      </c>
      <c r="X39" s="69" t="s">
        <v>84</v>
      </c>
      <c r="Y39" s="69" t="s">
        <v>85</v>
      </c>
      <c r="Z39" s="69" t="s">
        <v>85</v>
      </c>
      <c r="AA39" s="69" t="s">
        <v>85</v>
      </c>
      <c r="AB39" s="69" t="s">
        <v>85</v>
      </c>
      <c r="AC39" s="69" t="s">
        <v>85</v>
      </c>
      <c r="AD39" s="38" t="str">
        <f>+IF(ISERROR(VLOOKUP($B39,AD$10:AD38,1,0)),IF(AND($N39&gt;=1000,$A39&gt;=AO$8,$A39&lt;=AO$9),$B39,""),"")</f>
        <v/>
      </c>
      <c r="AE39" s="38" t="str">
        <f>+IF(ISERROR(VLOOKUP($B39,AE$10:AE38,1,0)),IF(AND($N39&gt;=1000,$A39&gt;=AP$8,$A39&lt;=AP$9),$B39,""),"")</f>
        <v/>
      </c>
      <c r="AF39" s="38" t="str">
        <f>+IF(ISERROR(VLOOKUP($B39,AF$10:AF38,1,0)),IF(AND($N39&gt;=1000,$A39&gt;=AQ$8,$A39&lt;=AQ$9),$B39,""),"")</f>
        <v/>
      </c>
      <c r="AG39" s="38" t="str">
        <f>+IF(ISERROR(VLOOKUP($B39,AG$10:AG38,1,0)),IF(AND($N39&gt;=1000,$A39&gt;=AR$8,$A39&lt;=AR$9),$B39,""),"")</f>
        <v/>
      </c>
      <c r="AH39" s="38"/>
      <c r="AI39" s="70">
        <v>0</v>
      </c>
      <c r="AJ39" s="38">
        <f>IF(AND(AJ$7="○",$A39&gt;=AJ$8,$A39&lt;=AJ$9),IF(SUM(AJ$10:AJ38)-ROUNDDOWN($K39*AJ$5/100,0)&lt;-AJ$6,-AJ$6-SUM(AJ$10:AJ38),-ROUNDDOWN($K39*AJ$5/100,0)),0)</f>
        <v>0</v>
      </c>
      <c r="AK39" s="38">
        <f>IF(AND(AK$7="○",$A39&gt;=AK$8,$A39&lt;=AK$9),IF(SUM(AK$10:AK38)-ROUNDDOWN($L39*AK$5/100,0)&lt;-AK$6,-AK$6-SUM(AK$10:AK38),-ROUNDDOWN($L39*AK$5/100,0)),0)</f>
        <v>0</v>
      </c>
      <c r="AL39" s="38">
        <f>IF(AND(AL$7="○",$A39&gt;=AL$8,$A39&lt;=AL$9),IF(SUM(AL$10:AL38)-ROUNDDOWN($N39*AL$5/100,0)&lt;-AL$6,-AL$6-SUM(AL$10:AL38),-ROUNDDOWN($N39*AL$5/100,0)),0)</f>
        <v>0</v>
      </c>
      <c r="AM39" s="38">
        <f>IF(AND(AM$7="○",$A39&gt;=AM$8,$A39&lt;=AM$9),IF(SUM(AM$10:AM38)-ROUNDDOWN($L39*AM$5/100,0)&lt;-AM$6,-AM$6-SUM(AM$10:AM38),-ROUNDDOWN($L39*AM$5/100,0)),0)</f>
        <v>0</v>
      </c>
      <c r="AN39" s="38">
        <f>IF(AND(AN$7="○",$A39&gt;=AN$8,$A39&lt;=AN$9),IF(SUM(AN$10:AN38)-ROUNDDOWN($M39*AN$5/100,0)&lt;-AN$6,-AN$6-SUM(AN$10:AN38),-ROUNDDOWN($M39*AN$5/100,0)),0)</f>
        <v>0</v>
      </c>
      <c r="AO39" s="38">
        <f>IF(AND($A39&gt;=AO$8,$A39&lt;=AO$9),IF(SUM(AO$10:AO38)-ROUNDDOWN($K39*AO$5/100,0)&lt;-AO$6,-AO$6-SUM(AO$10:AO38),-ROUNDDOWN($K39*AO$5/100,0)),0)</f>
        <v>0</v>
      </c>
      <c r="AP39" s="38">
        <f>IF(AND($A39&gt;=AP$8,$A39&lt;=AP$9),IF(SUM(AP$10:AP38)-ROUNDDOWN($K39*AP$5/100,0)&lt;-AP$6,-AP$6-SUM(AP$10:AP38),-ROUNDDOWN($K39*AP$5/100,0)),0)</f>
        <v>0</v>
      </c>
      <c r="AQ39" s="38">
        <f>IF(AND($A39&gt;=AQ$8,$A39&lt;=AQ$9),IF(SUM(AQ$10:AQ38)-ROUNDDOWN($K39*AQ$5/100,0)&lt;-AQ$6,-AQ$6-SUM(AQ$10:AQ38),-ROUNDDOWN($K39*AQ$5/100,0)),0)</f>
        <v>0</v>
      </c>
      <c r="AR39" s="38">
        <f>IF(AND($A39&gt;=AR$8,$A39&lt;=AR$9),IF(SUM(AR$10:AR38)-ROUNDDOWN($K39*AR$5/100,0)&lt;-AR$6,-AR$6-SUM(AR$10:AR38),-ROUNDDOWN($K39*AR$5/100,0)),0)</f>
        <v>0</v>
      </c>
      <c r="AS39" s="38">
        <f>IF(SUMIFS(AS$10:AS38,$A$10:$A38,$A39)-ROUNDDOWN($K39*$S39/100,0)&lt;-$S39*1000,-$S39*1000-SUMIFS(AS$10:AS38,$A$10:$A38,$A39),-ROUNDDOWN($K39*$S39/100,0))</f>
        <v>0</v>
      </c>
      <c r="AT39" s="38">
        <f>IF(AND(X39="○",$A39&gt;=AT$8,$A39&lt;=AT$9,K39&gt;=3980),IF(SUM(AT$10:AT38)-ROUNDDOWN($K39*AT$5/100,0)&lt;-AT$6,-AT$6-SUM(AT$10:AT38),-ROUNDDOWN($K39*AT$5/100,0)),0)</f>
        <v>0</v>
      </c>
      <c r="AU39" s="38">
        <f>IF(O39="○",IF(SUM(AU$10:AU38)-ROUNDDOWN($K39*AU$5/100,0)&lt;-AU$6,-AU$6-SUM(AU$10:AU38),-ROUNDDOWN($K39*AU$5/100,0)),0)</f>
        <v>0</v>
      </c>
      <c r="AV39" s="38">
        <f>IF(P39="○",IF(SUM(AV$10:AV38)-ROUNDDOWN($K39*AV$5/100,0)&lt;-AV$6,-AV$6-SUM(AV$10:AV38),-ROUNDDOWN($K39*AV$5/100,0)),0)</f>
        <v>0</v>
      </c>
      <c r="AW39" s="38">
        <f>IF(Q39="○",IF(SUM(AW$10:AW38)-ROUNDDOWN($K39*AW$5/100,0)&lt;-AW$6,-AW$6-SUM(AW$10:AW38),-ROUNDDOWN($K39*AW$5/100,0)),0)</f>
        <v>0</v>
      </c>
      <c r="AX39" s="38">
        <f>IF(R39="○",IF(SUM(AX$10:AX38)-ROUNDDOWN($K39*AX$5/100,0)&lt;-AX$6,-AX$6-SUM(AX$10:AX38),-ROUNDDOWN($K39*AX$5/100,0)),0)</f>
        <v>0</v>
      </c>
      <c r="AY39" s="70">
        <v>0</v>
      </c>
      <c r="AZ39" s="65">
        <f t="shared" si="41"/>
        <v>0</v>
      </c>
      <c r="BA39" s="65">
        <f t="shared" si="42"/>
        <v>0</v>
      </c>
      <c r="BB39" s="70"/>
      <c r="BC39" s="65">
        <f t="shared" si="43"/>
        <v>0</v>
      </c>
      <c r="BD39" s="70">
        <v>0</v>
      </c>
      <c r="BE39" s="65">
        <f t="shared" si="44"/>
        <v>0</v>
      </c>
      <c r="BF39" s="70">
        <v>0</v>
      </c>
      <c r="BG39" s="65">
        <f t="shared" si="45"/>
        <v>0</v>
      </c>
      <c r="BH39" s="70">
        <v>0</v>
      </c>
      <c r="BI39" s="65">
        <f t="shared" si="46"/>
        <v>0</v>
      </c>
      <c r="BJ39" s="38">
        <f>IF(AND(BJ$7="○",$A39&gt;=BJ$8,$A39&lt;=BJ$9),IF(SUM(BJ$10:BJ38)-ROUNDDOWN($M39*BJ$5/100,0)&lt;-BJ$6,-BJ$6-SUM(BJ$10:BJ38),-ROUNDDOWN($M39*BJ$5/100,0)),0)</f>
        <v>0</v>
      </c>
      <c r="BK39" s="38">
        <f>IF(AND(BK$7="○",$A39&gt;=BK$8,$A39&lt;=BK$9),IF(SUM(BK$10:BK38)-ROUNDDOWN($L39*BK$5/100,0)&lt;-BK$6,-BK$6-SUM(BK$10:BK38),-ROUNDDOWN($L39*BK$5/100,0)),0)</f>
        <v>0</v>
      </c>
      <c r="BL39" s="38">
        <f>IF(AND(BL$7="○",$A39&gt;=BL$8,$A39&lt;=BL$9),IF(SUM(BL$10:BL38)-ROUNDDOWN($L39*BL$5/100,0)&lt;-BL$6,-BL$6-SUM(BL$10:BL38),-ROUNDDOWN($L39*BL$5/100,0)),0)</f>
        <v>0</v>
      </c>
      <c r="BM39" s="38">
        <f>IF(AND(BM$7="○",$A39&gt;=BM$8,$A39&lt;=BM$9),IF(SUM(BM$10:BM38)-ROUNDDOWN($M39*BM$5/100,0)&lt;-BM$6,-BM$6-SUM(BM$10:BM38),-ROUNDDOWN($M39*BM$5/100,0)),0)</f>
        <v>0</v>
      </c>
      <c r="BN39" s="38">
        <f>IF(AND(BN$7="○",$A39&gt;=BN$8,$A39&lt;=BN$9),IF(SUM(BN$10:BN38)-ROUNDDOWN($M39*BN$5/100,0)&lt;-BN$6,-BN$6-SUM(BN$10:BN38),-ROUNDDOWN($M39*BN$5/100,0)),0)</f>
        <v>0</v>
      </c>
      <c r="BO39" s="38">
        <f>IF(AND(BO$7="○",$A39&gt;=BO$8,$A39&lt;=BO$9),IF(SUM(BO$10:BO38)-ROUNDDOWN($M39*BO$5/100,0)&lt;-BO$6,-BO$6-SUM(BO$10:BO38),-ROUNDDOWN($M39*BO$5/100,0)),0)</f>
        <v>0</v>
      </c>
      <c r="BP39" s="38">
        <f>IF(AND(BP$7="○",$A39&gt;=BP$8,$A39&lt;=BP$9),IF(SUM(BP$10:BP38)-ROUNDDOWN($M39*BP$5/100,0)&lt;-BP$6,-BP$6-SUM(BP$10:BP38),-ROUNDDOWN($M39*BP$5/100,0)),0)</f>
        <v>0</v>
      </c>
      <c r="BQ39" s="38">
        <f>IF(AND(BQ$7="○",$A39&gt;=BQ$8,$A39&lt;=BQ$9),IF(SUM(BQ$10:BQ38)-ROUNDDOWN($L39*BQ$5/100,0)&lt;-BQ$6,-BQ$6-SUM(BQ$10:BQ38),-ROUNDDOWN($L39*BQ$5/100,0)),0)</f>
        <v>0</v>
      </c>
      <c r="BR39" s="38">
        <f>IF(AND(BR$7="○",$A39&gt;=BR$8,$A39&lt;=BR$9),IF(SUM(BR$10:BR38)-ROUNDDOWN($M39*BR$5/100,0)&lt;-BR$6,-BR$6-SUM(BR$10:BR38),-ROUNDDOWN($M39*BR$5/100,0)),0)</f>
        <v>0</v>
      </c>
      <c r="BS39" s="38">
        <f>IF(AND(BS$7="○",$A39&gt;=BS$8,$A39&lt;=BS$9),IF(SUM(BS$10:BS38)-ROUNDDOWN($M39*BS$5/100,0)&lt;-BS$6,-BS$6-SUM(BS$10:BS38),-ROUNDDOWN($M39*BS$5/100,0)),0)</f>
        <v>0</v>
      </c>
      <c r="BT39" s="38">
        <f>IF(AND(BT$7="○",$A39&gt;=BT$8,$A39&lt;=BT$9),IF(SUM(BT$10:BT38)-ROUNDDOWN($M39*BT$5/100,0)&lt;-BT$6,-BT$6-SUM(BT$10:BT38),-ROUNDDOWN($M39*BT$5/100,0)),0)</f>
        <v>0</v>
      </c>
      <c r="BU39" s="38">
        <f>IF(AND(BU$7="○",$A39&gt;=BU$8,$A39&lt;=BU$9),IF(SUM(BU$10:BU38)-ROUNDDOWN($M39*BU$5/100,0)&lt;-BU$6,-BU$6-SUM(BU$10:BU38),-ROUNDDOWN($M39*BU$5/100,0)),0)</f>
        <v>0</v>
      </c>
      <c r="BV39" s="38">
        <f>IF(AND(BV$7="○",$A39&gt;=BV$8,$A39&lt;=BV$9),IF(SUM(BV$10:BV38)-ROUNDDOWN($M39*BV$5/100,0)&lt;-BV$6,-BV$6-SUM(BV$10:BV38),-ROUNDDOWN($M39*BV$5/100,0)),0)</f>
        <v>0</v>
      </c>
      <c r="BW39" s="38">
        <f>IF(AND(BW$7="○",$A39&gt;=BW$8,$A39&lt;=BW$9),IF(SUM(BW$10:BW38)-ROUNDDOWN($M39*BW$5/100,0)&lt;-BW$6,-BW$6-SUM(BW$10:BW38),-ROUNDDOWN($M39*BW$5/100,0)),0)</f>
        <v>0</v>
      </c>
      <c r="BX39" s="38">
        <f>IF(AND(T39="○",$A39&gt;=BX$8,$A39&lt;=BX$9),IF(SUM(BX$10:BX38)-ROUNDDOWN($K39*BX$5/100,0)&lt;-BX$6,-BX$6-SUM(BX$10:BX38),-ROUNDDOWN($K39*BX$5/100,0)),0)</f>
        <v>0</v>
      </c>
      <c r="BY39" s="38">
        <f>IF(AND(U39="○",$A39&gt;=BY$8,$A39&lt;=BY$9),IF(SUM(BY$10:BY38)-ROUNDDOWN($K39*BY$5/100,0)&lt;-BY$6,-BY$6-SUM(BY$10:BY38),-ROUNDDOWN($K39*BY$5/100,0)),0)</f>
        <v>0</v>
      </c>
      <c r="BZ39" s="38">
        <f>IF(AND(V39="○",$A39&gt;=BZ$8,$A39&lt;=BZ$9),IF(SUM(BZ$10:BZ38)-ROUNDDOWN($K39*BZ$5/100,0)&lt;-BZ$6,-BZ$6-SUM(BZ$10:BZ38),-ROUNDDOWN($K39*BZ$5/100,0)),0)</f>
        <v>0</v>
      </c>
      <c r="CA39" s="38">
        <f>IF(AND(W39="○",$A39&gt;=CA$8,$A39&lt;=CA$9),IF(SUM(CA$10:CA38)-ROUNDDOWN($K39*CA$5/100,0)&lt;-CA$6,-CA$6-SUM(CA$10:CA38),-ROUNDDOWN($K39*CA$5/100,0)),0)</f>
        <v>0</v>
      </c>
      <c r="CB39" s="38"/>
      <c r="CC39" s="38"/>
      <c r="CD39" s="38"/>
      <c r="CE39" s="38"/>
      <c r="CF39" s="38"/>
      <c r="CG39" s="65">
        <f t="shared" si="47"/>
        <v>0</v>
      </c>
      <c r="CH39" s="71">
        <f t="shared" si="48"/>
        <v>0</v>
      </c>
      <c r="CI39" s="1">
        <f t="shared" si="19"/>
        <v>0</v>
      </c>
      <c r="CJ39" s="1"/>
      <c r="CK39" s="79"/>
      <c r="CL39" s="79"/>
      <c r="CM39" s="2"/>
      <c r="CN39" s="2"/>
      <c r="CO39" s="73">
        <f t="shared" si="20"/>
        <v>0</v>
      </c>
      <c r="CP39" s="5">
        <f t="shared" si="21"/>
        <v>0</v>
      </c>
      <c r="CQ39" s="1"/>
      <c r="CR39" s="1">
        <f t="shared" si="22"/>
        <v>0</v>
      </c>
      <c r="CS39" s="1"/>
      <c r="CT39" s="1" t="e">
        <f>INDEX([2]マスタ!$A:$A,MATCH(D39,[2]マスタ!$C:$C,0))</f>
        <v>#N/A</v>
      </c>
      <c r="CU39" s="1" t="str">
        <f t="shared" ca="1" si="23"/>
        <v>20260620_0-0</v>
      </c>
    </row>
    <row r="40" spans="1:99" x14ac:dyDescent="0.4">
      <c r="A40" s="61"/>
      <c r="B40" s="62"/>
      <c r="C40" s="62"/>
      <c r="D40" s="62"/>
      <c r="E40" s="63"/>
      <c r="F40" s="62"/>
      <c r="G40" s="62">
        <v>1</v>
      </c>
      <c r="H40" s="64">
        <f t="shared" si="4"/>
        <v>0</v>
      </c>
      <c r="I40" s="64"/>
      <c r="J40" s="64"/>
      <c r="K40" s="65">
        <f t="shared" si="49"/>
        <v>0</v>
      </c>
      <c r="L40" s="65">
        <f t="shared" si="6"/>
        <v>0</v>
      </c>
      <c r="M40" s="65">
        <f t="shared" si="7"/>
        <v>0</v>
      </c>
      <c r="N40" s="65">
        <f t="shared" si="8"/>
        <v>0</v>
      </c>
      <c r="O40" s="66" t="str">
        <f t="shared" si="9"/>
        <v>✕</v>
      </c>
      <c r="P40" s="67" t="str">
        <f t="shared" si="10"/>
        <v>○</v>
      </c>
      <c r="Q40" s="67" t="str">
        <f t="shared" si="50"/>
        <v>✕</v>
      </c>
      <c r="R40" s="67" t="str">
        <f t="shared" si="12"/>
        <v>✕</v>
      </c>
      <c r="S40" s="68">
        <v>0</v>
      </c>
      <c r="T40" s="69" t="s">
        <v>85</v>
      </c>
      <c r="U40" s="69" t="s">
        <v>85</v>
      </c>
      <c r="V40" s="69" t="s">
        <v>85</v>
      </c>
      <c r="W40" s="69" t="s">
        <v>85</v>
      </c>
      <c r="X40" s="69" t="s">
        <v>84</v>
      </c>
      <c r="Y40" s="69" t="s">
        <v>85</v>
      </c>
      <c r="Z40" s="69" t="s">
        <v>85</v>
      </c>
      <c r="AA40" s="69" t="s">
        <v>85</v>
      </c>
      <c r="AB40" s="69" t="s">
        <v>85</v>
      </c>
      <c r="AC40" s="69" t="s">
        <v>85</v>
      </c>
      <c r="AD40" s="38" t="str">
        <f>+IF(ISERROR(VLOOKUP($B40,AD$10:AD39,1,0)),IF(AND($N40&gt;=1000,$A40&gt;=AO$8,$A40&lt;=AO$9),$B40,""),"")</f>
        <v/>
      </c>
      <c r="AE40" s="38" t="str">
        <f>+IF(ISERROR(VLOOKUP($B40,AE$10:AE39,1,0)),IF(AND($N40&gt;=1000,$A40&gt;=AP$8,$A40&lt;=AP$9),$B40,""),"")</f>
        <v/>
      </c>
      <c r="AF40" s="38" t="str">
        <f>+IF(ISERROR(VLOOKUP($B40,AF$10:AF39,1,0)),IF(AND($N40&gt;=1000,$A40&gt;=AQ$8,$A40&lt;=AQ$9),$B40,""),"")</f>
        <v/>
      </c>
      <c r="AG40" s="38" t="str">
        <f>+IF(ISERROR(VLOOKUP($B40,AG$10:AG39,1,0)),IF(AND($N40&gt;=1000,$A40&gt;=AR$8,$A40&lt;=AR$9),$B40,""),"")</f>
        <v/>
      </c>
      <c r="AH40" s="38"/>
      <c r="AI40" s="70">
        <v>0</v>
      </c>
      <c r="AJ40" s="38">
        <f>IF(AND(AJ$7="○",$A40&gt;=AJ$8,$A40&lt;=AJ$9),IF(SUM(AJ$10:AJ39)-ROUNDDOWN($K40*AJ$5/100,0)&lt;-AJ$6,-AJ$6-SUM(AJ$10:AJ39),-ROUNDDOWN($K40*AJ$5/100,0)),0)</f>
        <v>0</v>
      </c>
      <c r="AK40" s="38">
        <f>IF(AND(AK$7="○",$A40&gt;=AK$8,$A40&lt;=AK$9),IF(SUM(AK$10:AK39)-ROUNDDOWN($L40*AK$5/100,0)&lt;-AK$6,-AK$6-SUM(AK$10:AK39),-ROUNDDOWN($L40*AK$5/100,0)),0)</f>
        <v>0</v>
      </c>
      <c r="AL40" s="38">
        <f>IF(AND(AL$7="○",$A40&gt;=AL$8,$A40&lt;=AL$9),IF(SUM(AL$10:AL39)-ROUNDDOWN($N40*AL$5/100,0)&lt;-AL$6,-AL$6-SUM(AL$10:AL39),-ROUNDDOWN($N40*AL$5/100,0)),0)</f>
        <v>0</v>
      </c>
      <c r="AM40" s="38">
        <f>IF(AND(AM$7="○",$A40&gt;=AM$8,$A40&lt;=AM$9),IF(SUM(AM$10:AM39)-ROUNDDOWN($L40*AM$5/100,0)&lt;-AM$6,-AM$6-SUM(AM$10:AM39),-ROUNDDOWN($L40*AM$5/100,0)),0)</f>
        <v>0</v>
      </c>
      <c r="AN40" s="38">
        <f>IF(AND(AN$7="○",$A40&gt;=AN$8,$A40&lt;=AN$9),IF(SUM(AN$10:AN39)-ROUNDDOWN($M40*AN$5/100,0)&lt;-AN$6,-AN$6-SUM(AN$10:AN39),-ROUNDDOWN($M40*AN$5/100,0)),0)</f>
        <v>0</v>
      </c>
      <c r="AO40" s="38">
        <f>IF(AND($A40&gt;=AO$8,$A40&lt;=AO$9),IF(SUM(AO$10:AO39)-ROUNDDOWN($K40*AO$5/100,0)&lt;-AO$6,-AO$6-SUM(AO$10:AO39),-ROUNDDOWN($K40*AO$5/100,0)),0)</f>
        <v>0</v>
      </c>
      <c r="AP40" s="38">
        <f>IF(AND($A40&gt;=AP$8,$A40&lt;=AP$9),IF(SUM(AP$10:AP39)-ROUNDDOWN($K40*AP$5/100,0)&lt;-AP$6,-AP$6-SUM(AP$10:AP39),-ROUNDDOWN($K40*AP$5/100,0)),0)</f>
        <v>0</v>
      </c>
      <c r="AQ40" s="38">
        <f>IF(AND($A40&gt;=AQ$8,$A40&lt;=AQ$9),IF(SUM(AQ$10:AQ39)-ROUNDDOWN($K40*AQ$5/100,0)&lt;-AQ$6,-AQ$6-SUM(AQ$10:AQ39),-ROUNDDOWN($K40*AQ$5/100,0)),0)</f>
        <v>0</v>
      </c>
      <c r="AR40" s="38">
        <f>IF(AND($A40&gt;=AR$8,$A40&lt;=AR$9),IF(SUM(AR$10:AR39)-ROUNDDOWN($K40*AR$5/100,0)&lt;-AR$6,-AR$6-SUM(AR$10:AR39),-ROUNDDOWN($K40*AR$5/100,0)),0)</f>
        <v>0</v>
      </c>
      <c r="AS40" s="38">
        <f>IF(SUMIFS(AS$10:AS39,$A$10:$A39,$A40)-ROUNDDOWN($K40*$S40/100,0)&lt;-$S40*1000,-$S40*1000-SUMIFS(AS$10:AS39,$A$10:$A39,$A40),-ROUNDDOWN($K40*$S40/100,0))</f>
        <v>0</v>
      </c>
      <c r="AT40" s="38">
        <f>IF(AND(X40="○",$A40&gt;=AT$8,$A40&lt;=AT$9,K40&gt;=3980),IF(SUM(AT$10:AT39)-ROUNDDOWN($K40*AT$5/100,0)&lt;-AT$6,-AT$6-SUM(AT$10:AT39),-ROUNDDOWN($K40*AT$5/100,0)),0)</f>
        <v>0</v>
      </c>
      <c r="AU40" s="38">
        <f>IF(O40="○",IF(SUM(AU$10:AU39)-ROUNDDOWN($K40*AU$5/100,0)&lt;-AU$6,-AU$6-SUM(AU$10:AU39),-ROUNDDOWN($K40*AU$5/100,0)),0)</f>
        <v>0</v>
      </c>
      <c r="AV40" s="38">
        <f>IF(P40="○",IF(SUM(AV$10:AV39)-ROUNDDOWN($K40*AV$5/100,0)&lt;-AV$6,-AV$6-SUM(AV$10:AV39),-ROUNDDOWN($K40*AV$5/100,0)),0)</f>
        <v>0</v>
      </c>
      <c r="AW40" s="38">
        <f>IF(Q40="○",IF(SUM(AW$10:AW39)-ROUNDDOWN($K40*AW$5/100,0)&lt;-AW$6,-AW$6-SUM(AW$10:AW39),-ROUNDDOWN($K40*AW$5/100,0)),0)</f>
        <v>0</v>
      </c>
      <c r="AX40" s="38">
        <f>IF(R40="○",IF(SUM(AX$10:AX39)-ROUNDDOWN($K40*AX$5/100,0)&lt;-AX$6,-AX$6-SUM(AX$10:AX39),-ROUNDDOWN($K40*AX$5/100,0)),0)</f>
        <v>0</v>
      </c>
      <c r="AY40" s="70">
        <v>0</v>
      </c>
      <c r="AZ40" s="65">
        <f t="shared" si="41"/>
        <v>0</v>
      </c>
      <c r="BA40" s="65">
        <f t="shared" si="42"/>
        <v>0</v>
      </c>
      <c r="BB40" s="70"/>
      <c r="BC40" s="65">
        <f t="shared" si="43"/>
        <v>0</v>
      </c>
      <c r="BD40" s="70">
        <v>0</v>
      </c>
      <c r="BE40" s="65">
        <f t="shared" si="44"/>
        <v>0</v>
      </c>
      <c r="BF40" s="70">
        <v>0</v>
      </c>
      <c r="BG40" s="65">
        <f t="shared" si="45"/>
        <v>0</v>
      </c>
      <c r="BH40" s="70">
        <v>0</v>
      </c>
      <c r="BI40" s="65">
        <f t="shared" si="46"/>
        <v>0</v>
      </c>
      <c r="BJ40" s="38">
        <f>IF(AND(BJ$7="○",$A40&gt;=BJ$8,$A40&lt;=BJ$9),IF(SUM(BJ$10:BJ39)-ROUNDDOWN($M40*BJ$5/100,0)&lt;-BJ$6,-BJ$6-SUM(BJ$10:BJ39),-ROUNDDOWN($M40*BJ$5/100,0)),0)</f>
        <v>0</v>
      </c>
      <c r="BK40" s="38">
        <f>IF(AND(BK$7="○",$A40&gt;=BK$8,$A40&lt;=BK$9),IF(SUM(BK$10:BK39)-ROUNDDOWN($L40*BK$5/100,0)&lt;-BK$6,-BK$6-SUM(BK$10:BK39),-ROUNDDOWN($L40*BK$5/100,0)),0)</f>
        <v>0</v>
      </c>
      <c r="BL40" s="38">
        <f>IF(AND(BL$7="○",$A40&gt;=BL$8,$A40&lt;=BL$9),IF(SUM(BL$10:BL39)-ROUNDDOWN($L40*BL$5/100,0)&lt;-BL$6,-BL$6-SUM(BL$10:BL39),-ROUNDDOWN($L40*BL$5/100,0)),0)</f>
        <v>0</v>
      </c>
      <c r="BM40" s="38">
        <f>IF(AND(BM$7="○",$A40&gt;=BM$8,$A40&lt;=BM$9),IF(SUM(BM$10:BM39)-ROUNDDOWN($M40*BM$5/100,0)&lt;-BM$6,-BM$6-SUM(BM$10:BM39),-ROUNDDOWN($M40*BM$5/100,0)),0)</f>
        <v>0</v>
      </c>
      <c r="BN40" s="38">
        <f>IF(AND(BN$7="○",$A40&gt;=BN$8,$A40&lt;=BN$9),IF(SUM(BN$10:BN39)-ROUNDDOWN($M40*BN$5/100,0)&lt;-BN$6,-BN$6-SUM(BN$10:BN39),-ROUNDDOWN($M40*BN$5/100,0)),0)</f>
        <v>0</v>
      </c>
      <c r="BO40" s="38">
        <f>IF(AND(BO$7="○",$A40&gt;=BO$8,$A40&lt;=BO$9),IF(SUM(BO$10:BO39)-ROUNDDOWN($M40*BO$5/100,0)&lt;-BO$6,-BO$6-SUM(BO$10:BO39),-ROUNDDOWN($M40*BO$5/100,0)),0)</f>
        <v>0</v>
      </c>
      <c r="BP40" s="38">
        <f>IF(AND(BP$7="○",$A40&gt;=BP$8,$A40&lt;=BP$9),IF(SUM(BP$10:BP39)-ROUNDDOWN($M40*BP$5/100,0)&lt;-BP$6,-BP$6-SUM(BP$10:BP39),-ROUNDDOWN($M40*BP$5/100,0)),0)</f>
        <v>0</v>
      </c>
      <c r="BQ40" s="38">
        <f>IF(AND(BQ$7="○",$A40&gt;=BQ$8,$A40&lt;=BQ$9),IF(SUM(BQ$10:BQ39)-ROUNDDOWN($L40*BQ$5/100,0)&lt;-BQ$6,-BQ$6-SUM(BQ$10:BQ39),-ROUNDDOWN($L40*BQ$5/100,0)),0)</f>
        <v>0</v>
      </c>
      <c r="BR40" s="38">
        <f>IF(AND(BR$7="○",$A40&gt;=BR$8,$A40&lt;=BR$9),IF(SUM(BR$10:BR39)-ROUNDDOWN($M40*BR$5/100,0)&lt;-BR$6,-BR$6-SUM(BR$10:BR39),-ROUNDDOWN($M40*BR$5/100,0)),0)</f>
        <v>0</v>
      </c>
      <c r="BS40" s="38">
        <f>IF(AND(BS$7="○",$A40&gt;=BS$8,$A40&lt;=BS$9),IF(SUM(BS$10:BS39)-ROUNDDOWN($M40*BS$5/100,0)&lt;-BS$6,-BS$6-SUM(BS$10:BS39),-ROUNDDOWN($M40*BS$5/100,0)),0)</f>
        <v>0</v>
      </c>
      <c r="BT40" s="38">
        <f>IF(AND(BT$7="○",$A40&gt;=BT$8,$A40&lt;=BT$9),IF(SUM(BT$10:BT39)-ROUNDDOWN($M40*BT$5/100,0)&lt;-BT$6,-BT$6-SUM(BT$10:BT39),-ROUNDDOWN($M40*BT$5/100,0)),0)</f>
        <v>0</v>
      </c>
      <c r="BU40" s="38">
        <f>IF(AND(BU$7="○",$A40&gt;=BU$8,$A40&lt;=BU$9),IF(SUM(BU$10:BU39)-ROUNDDOWN($M40*BU$5/100,0)&lt;-BU$6,-BU$6-SUM(BU$10:BU39),-ROUNDDOWN($M40*BU$5/100,0)),0)</f>
        <v>0</v>
      </c>
      <c r="BV40" s="38">
        <f>IF(AND(BV$7="○",$A40&gt;=BV$8,$A40&lt;=BV$9),IF(SUM(BV$10:BV39)-ROUNDDOWN($M40*BV$5/100,0)&lt;-BV$6,-BV$6-SUM(BV$10:BV39),-ROUNDDOWN($M40*BV$5/100,0)),0)</f>
        <v>0</v>
      </c>
      <c r="BW40" s="38">
        <f>IF(AND(BW$7="○",$A40&gt;=BW$8,$A40&lt;=BW$9),IF(SUM(BW$10:BW39)-ROUNDDOWN($M40*BW$5/100,0)&lt;-BW$6,-BW$6-SUM(BW$10:BW39),-ROUNDDOWN($M40*BW$5/100,0)),0)</f>
        <v>0</v>
      </c>
      <c r="BX40" s="38">
        <f>IF(AND(T40="○",$A40&gt;=BX$8,$A40&lt;=BX$9),IF(SUM(BX$10:BX39)-ROUNDDOWN($K40*BX$5/100,0)&lt;-BX$6,-BX$6-SUM(BX$10:BX39),-ROUNDDOWN($K40*BX$5/100,0)),0)</f>
        <v>0</v>
      </c>
      <c r="BY40" s="38">
        <f>IF(AND(U40="○",$A40&gt;=BY$8,$A40&lt;=BY$9),IF(SUM(BY$10:BY39)-ROUNDDOWN($K40*BY$5/100,0)&lt;-BY$6,-BY$6-SUM(BY$10:BY39),-ROUNDDOWN($K40*BY$5/100,0)),0)</f>
        <v>0</v>
      </c>
      <c r="BZ40" s="38">
        <f>IF(AND(V40="○",$A40&gt;=BZ$8,$A40&lt;=BZ$9),IF(SUM(BZ$10:BZ39)-ROUNDDOWN($K40*BZ$5/100,0)&lt;-BZ$6,-BZ$6-SUM(BZ$10:BZ39),-ROUNDDOWN($K40*BZ$5/100,0)),0)</f>
        <v>0</v>
      </c>
      <c r="CA40" s="38">
        <f>IF(AND(W40="○",$A40&gt;=CA$8,$A40&lt;=CA$9),IF(SUM(CA$10:CA39)-ROUNDDOWN($K40*CA$5/100,0)&lt;-CA$6,-CA$6-SUM(CA$10:CA39),-ROUNDDOWN($K40*CA$5/100,0)),0)</f>
        <v>0</v>
      </c>
      <c r="CB40" s="38"/>
      <c r="CC40" s="38"/>
      <c r="CD40" s="38"/>
      <c r="CE40" s="38"/>
      <c r="CF40" s="38"/>
      <c r="CG40" s="65">
        <f t="shared" si="47"/>
        <v>0</v>
      </c>
      <c r="CH40" s="71">
        <f t="shared" si="48"/>
        <v>0</v>
      </c>
      <c r="CI40" s="1">
        <f t="shared" si="19"/>
        <v>0</v>
      </c>
      <c r="CJ40" s="1"/>
      <c r="CK40" s="72"/>
      <c r="CL40" s="72"/>
      <c r="CM40" s="2"/>
      <c r="CN40" s="2"/>
      <c r="CO40" s="73">
        <f t="shared" si="20"/>
        <v>0</v>
      </c>
      <c r="CP40" s="5">
        <f t="shared" si="21"/>
        <v>0</v>
      </c>
      <c r="CQ40" s="1"/>
      <c r="CR40" s="1">
        <f t="shared" si="22"/>
        <v>0</v>
      </c>
      <c r="CS40" s="1"/>
      <c r="CT40" s="1" t="e">
        <f>INDEX([2]マスタ!$A:$A,MATCH(D40,[2]マスタ!$C:$C,0))</f>
        <v>#N/A</v>
      </c>
      <c r="CU40" s="1" t="str">
        <f t="shared" ca="1" si="23"/>
        <v>20260620_0-0</v>
      </c>
    </row>
    <row r="41" spans="1:99" x14ac:dyDescent="0.4">
      <c r="A41" s="61"/>
      <c r="B41" s="62"/>
      <c r="C41" s="62"/>
      <c r="D41" s="62"/>
      <c r="E41" s="63"/>
      <c r="F41" s="62"/>
      <c r="G41" s="62">
        <v>1</v>
      </c>
      <c r="H41" s="64">
        <f t="shared" si="4"/>
        <v>0</v>
      </c>
      <c r="I41" s="64"/>
      <c r="J41" s="64"/>
      <c r="K41" s="65">
        <f t="shared" si="49"/>
        <v>0</v>
      </c>
      <c r="L41" s="65">
        <f t="shared" si="6"/>
        <v>0</v>
      </c>
      <c r="M41" s="65">
        <f t="shared" si="7"/>
        <v>0</v>
      </c>
      <c r="N41" s="65">
        <f t="shared" si="8"/>
        <v>0</v>
      </c>
      <c r="O41" s="66" t="str">
        <f t="shared" si="9"/>
        <v>✕</v>
      </c>
      <c r="P41" s="67" t="str">
        <f t="shared" si="10"/>
        <v>○</v>
      </c>
      <c r="Q41" s="67" t="str">
        <f t="shared" si="50"/>
        <v>✕</v>
      </c>
      <c r="R41" s="67" t="str">
        <f t="shared" si="12"/>
        <v>✕</v>
      </c>
      <c r="S41" s="68">
        <v>0</v>
      </c>
      <c r="T41" s="69" t="s">
        <v>85</v>
      </c>
      <c r="U41" s="69" t="s">
        <v>85</v>
      </c>
      <c r="V41" s="69" t="s">
        <v>85</v>
      </c>
      <c r="W41" s="69" t="s">
        <v>85</v>
      </c>
      <c r="X41" s="69" t="s">
        <v>84</v>
      </c>
      <c r="Y41" s="69" t="s">
        <v>85</v>
      </c>
      <c r="Z41" s="69" t="s">
        <v>85</v>
      </c>
      <c r="AA41" s="69" t="s">
        <v>85</v>
      </c>
      <c r="AB41" s="69" t="s">
        <v>85</v>
      </c>
      <c r="AC41" s="69" t="s">
        <v>85</v>
      </c>
      <c r="AD41" s="38" t="str">
        <f>+IF(ISERROR(VLOOKUP($B41,AD$10:AD40,1,0)),IF(AND($N41&gt;=1000,$A41&gt;=AO$8,$A41&lt;=AO$9),$B41,""),"")</f>
        <v/>
      </c>
      <c r="AE41" s="38" t="str">
        <f>+IF(ISERROR(VLOOKUP($B41,AE$10:AE40,1,0)),IF(AND($N41&gt;=1000,$A41&gt;=AP$8,$A41&lt;=AP$9),$B41,""),"")</f>
        <v/>
      </c>
      <c r="AF41" s="38" t="str">
        <f>+IF(ISERROR(VLOOKUP($B41,AF$10:AF40,1,0)),IF(AND($N41&gt;=1000,$A41&gt;=AQ$8,$A41&lt;=AQ$9),$B41,""),"")</f>
        <v/>
      </c>
      <c r="AG41" s="38" t="str">
        <f>+IF(ISERROR(VLOOKUP($B41,AG$10:AG40,1,0)),IF(AND($N41&gt;=1000,$A41&gt;=AR$8,$A41&lt;=AR$9),$B41,""),"")</f>
        <v/>
      </c>
      <c r="AH41" s="38"/>
      <c r="AI41" s="70">
        <v>0</v>
      </c>
      <c r="AJ41" s="38">
        <f>IF(AND(AJ$7="○",$A41&gt;=AJ$8,$A41&lt;=AJ$9),IF(SUM(AJ$10:AJ40)-ROUNDDOWN($K41*AJ$5/100,0)&lt;-AJ$6,-AJ$6-SUM(AJ$10:AJ40),-ROUNDDOWN($K41*AJ$5/100,0)),0)</f>
        <v>0</v>
      </c>
      <c r="AK41" s="38">
        <f>IF(AND(AK$7="○",$A41&gt;=AK$8,$A41&lt;=AK$9),IF(SUM(AK$10:AK40)-ROUNDDOWN($L41*AK$5/100,0)&lt;-AK$6,-AK$6-SUM(AK$10:AK40),-ROUNDDOWN($L41*AK$5/100,0)),0)</f>
        <v>0</v>
      </c>
      <c r="AL41" s="38">
        <f>IF(AND(AL$7="○",$A41&gt;=AL$8,$A41&lt;=AL$9),IF(SUM(AL$10:AL40)-ROUNDDOWN($N41*AL$5/100,0)&lt;-AL$6,-AL$6-SUM(AL$10:AL40),-ROUNDDOWN($N41*AL$5/100,0)),0)</f>
        <v>0</v>
      </c>
      <c r="AM41" s="38">
        <f>IF(AND(AM$7="○",$A41&gt;=AM$8,$A41&lt;=AM$9),IF(SUM(AM$10:AM40)-ROUNDDOWN($L41*AM$5/100,0)&lt;-AM$6,-AM$6-SUM(AM$10:AM40),-ROUNDDOWN($L41*AM$5/100,0)),0)</f>
        <v>0</v>
      </c>
      <c r="AN41" s="38">
        <f>IF(AND(AN$7="○",$A41&gt;=AN$8,$A41&lt;=AN$9),IF(SUM(AN$10:AN40)-ROUNDDOWN($M41*AN$5/100,0)&lt;-AN$6,-AN$6-SUM(AN$10:AN40),-ROUNDDOWN($M41*AN$5/100,0)),0)</f>
        <v>0</v>
      </c>
      <c r="AO41" s="38">
        <f>IF(AND($A41&gt;=AO$8,$A41&lt;=AO$9),IF(SUM(AO$10:AO40)-ROUNDDOWN($K41*AO$5/100,0)&lt;-AO$6,-AO$6-SUM(AO$10:AO40),-ROUNDDOWN($K41*AO$5/100,0)),0)</f>
        <v>0</v>
      </c>
      <c r="AP41" s="38">
        <f>IF(AND($A41&gt;=AP$8,$A41&lt;=AP$9),IF(SUM(AP$10:AP40)-ROUNDDOWN($K41*AP$5/100,0)&lt;-AP$6,-AP$6-SUM(AP$10:AP40),-ROUNDDOWN($K41*AP$5/100,0)),0)</f>
        <v>0</v>
      </c>
      <c r="AQ41" s="38">
        <f>IF(AND($A41&gt;=AQ$8,$A41&lt;=AQ$9),IF(SUM(AQ$10:AQ40)-ROUNDDOWN($K41*AQ$5/100,0)&lt;-AQ$6,-AQ$6-SUM(AQ$10:AQ40),-ROUNDDOWN($K41*AQ$5/100,0)),0)</f>
        <v>0</v>
      </c>
      <c r="AR41" s="38">
        <f>IF(AND($A41&gt;=AR$8,$A41&lt;=AR$9),IF(SUM(AR$10:AR40)-ROUNDDOWN($K41*AR$5/100,0)&lt;-AR$6,-AR$6-SUM(AR$10:AR40),-ROUNDDOWN($K41*AR$5/100,0)),0)</f>
        <v>0</v>
      </c>
      <c r="AS41" s="38">
        <f>IF(SUMIFS(AS$10:AS40,$A$10:$A40,$A41)-ROUNDDOWN($K41*$S41/100,0)&lt;-$S41*1000,-$S41*1000-SUMIFS(AS$10:AS40,$A$10:$A40,$A41),-ROUNDDOWN($K41*$S41/100,0))</f>
        <v>0</v>
      </c>
      <c r="AT41" s="38">
        <f>IF(AND(X41="○",$A41&gt;=AT$8,$A41&lt;=AT$9,K41&gt;=3980),IF(SUM(AT$10:AT40)-ROUNDDOWN($K41*AT$5/100,0)&lt;-AT$6,-AT$6-SUM(AT$10:AT40),-ROUNDDOWN($K41*AT$5/100,0)),0)</f>
        <v>0</v>
      </c>
      <c r="AU41" s="38">
        <f>IF(O41="○",IF(SUM(AU$10:AU40)-ROUNDDOWN($K41*AU$5/100,0)&lt;-AU$6,-AU$6-SUM(AU$10:AU40),-ROUNDDOWN($K41*AU$5/100,0)),0)</f>
        <v>0</v>
      </c>
      <c r="AV41" s="38">
        <f>IF(P41="○",IF(SUM(AV$10:AV40)-ROUNDDOWN($K41*AV$5/100,0)&lt;-AV$6,-AV$6-SUM(AV$10:AV40),-ROUNDDOWN($K41*AV$5/100,0)),0)</f>
        <v>0</v>
      </c>
      <c r="AW41" s="38">
        <f>IF(Q41="○",IF(SUM(AW$10:AW40)-ROUNDDOWN($K41*AW$5/100,0)&lt;-AW$6,-AW$6-SUM(AW$10:AW40),-ROUNDDOWN($K41*AW$5/100,0)),0)</f>
        <v>0</v>
      </c>
      <c r="AX41" s="38">
        <f>IF(R41="○",IF(SUM(AX$10:AX40)-ROUNDDOWN($K41*AX$5/100,0)&lt;-AX$6,-AX$6-SUM(AX$10:AX40),-ROUNDDOWN($K41*AX$5/100,0)),0)</f>
        <v>0</v>
      </c>
      <c r="AY41" s="70">
        <v>0</v>
      </c>
      <c r="AZ41" s="65">
        <f t="shared" si="41"/>
        <v>0</v>
      </c>
      <c r="BA41" s="65">
        <f t="shared" si="42"/>
        <v>0</v>
      </c>
      <c r="BB41" s="70"/>
      <c r="BC41" s="65">
        <f t="shared" si="43"/>
        <v>0</v>
      </c>
      <c r="BD41" s="70">
        <v>0</v>
      </c>
      <c r="BE41" s="65">
        <f t="shared" si="44"/>
        <v>0</v>
      </c>
      <c r="BF41" s="70">
        <v>0</v>
      </c>
      <c r="BG41" s="65">
        <f t="shared" si="45"/>
        <v>0</v>
      </c>
      <c r="BH41" s="70">
        <v>0</v>
      </c>
      <c r="BI41" s="65">
        <f t="shared" si="46"/>
        <v>0</v>
      </c>
      <c r="BJ41" s="38">
        <f>IF(AND(BJ$7="○",$A41&gt;=BJ$8,$A41&lt;=BJ$9),IF(SUM(BJ$10:BJ40)-ROUNDDOWN($M41*BJ$5/100,0)&lt;-BJ$6,-BJ$6-SUM(BJ$10:BJ40),-ROUNDDOWN($M41*BJ$5/100,0)),0)</f>
        <v>0</v>
      </c>
      <c r="BK41" s="38">
        <f>IF(AND(BK$7="○",$A41&gt;=BK$8,$A41&lt;=BK$9),IF(SUM(BK$10:BK40)-ROUNDDOWN($L41*BK$5/100,0)&lt;-BK$6,-BK$6-SUM(BK$10:BK40),-ROUNDDOWN($L41*BK$5/100,0)),0)</f>
        <v>0</v>
      </c>
      <c r="BL41" s="38">
        <f>IF(AND(BL$7="○",$A41&gt;=BL$8,$A41&lt;=BL$9),IF(SUM(BL$10:BL40)-ROUNDDOWN($L41*BL$5/100,0)&lt;-BL$6,-BL$6-SUM(BL$10:BL40),-ROUNDDOWN($L41*BL$5/100,0)),0)</f>
        <v>0</v>
      </c>
      <c r="BM41" s="38">
        <f>IF(AND(BM$7="○",$A41&gt;=BM$8,$A41&lt;=BM$9),IF(SUM(BM$10:BM40)-ROUNDDOWN($M41*BM$5/100,0)&lt;-BM$6,-BM$6-SUM(BM$10:BM40),-ROUNDDOWN($M41*BM$5/100,0)),0)</f>
        <v>0</v>
      </c>
      <c r="BN41" s="38">
        <f>IF(AND(BN$7="○",$A41&gt;=BN$8,$A41&lt;=BN$9),IF(SUM(BN$10:BN40)-ROUNDDOWN($M41*BN$5/100,0)&lt;-BN$6,-BN$6-SUM(BN$10:BN40),-ROUNDDOWN($M41*BN$5/100,0)),0)</f>
        <v>0</v>
      </c>
      <c r="BO41" s="38">
        <f>IF(AND(BO$7="○",$A41&gt;=BO$8,$A41&lt;=BO$9),IF(SUM(BO$10:BO40)-ROUNDDOWN($M41*BO$5/100,0)&lt;-BO$6,-BO$6-SUM(BO$10:BO40),-ROUNDDOWN($M41*BO$5/100,0)),0)</f>
        <v>0</v>
      </c>
      <c r="BP41" s="38">
        <f>IF(AND(BP$7="○",$A41&gt;=BP$8,$A41&lt;=BP$9),IF(SUM(BP$10:BP40)-ROUNDDOWN($M41*BP$5/100,0)&lt;-BP$6,-BP$6-SUM(BP$10:BP40),-ROUNDDOWN($M41*BP$5/100,0)),0)</f>
        <v>0</v>
      </c>
      <c r="BQ41" s="38">
        <f>IF(AND(BQ$7="○",$A41&gt;=BQ$8,$A41&lt;=BQ$9),IF(SUM(BQ$10:BQ40)-ROUNDDOWN($L41*BQ$5/100,0)&lt;-BQ$6,-BQ$6-SUM(BQ$10:BQ40),-ROUNDDOWN($L41*BQ$5/100,0)),0)</f>
        <v>0</v>
      </c>
      <c r="BR41" s="38">
        <f>IF(AND(BR$7="○",$A41&gt;=BR$8,$A41&lt;=BR$9),IF(SUM(BR$10:BR40)-ROUNDDOWN($M41*BR$5/100,0)&lt;-BR$6,-BR$6-SUM(BR$10:BR40),-ROUNDDOWN($M41*BR$5/100,0)),0)</f>
        <v>0</v>
      </c>
      <c r="BS41" s="38">
        <f>IF(AND(BS$7="○",$A41&gt;=BS$8,$A41&lt;=BS$9),IF(SUM(BS$10:BS40)-ROUNDDOWN($M41*BS$5/100,0)&lt;-BS$6,-BS$6-SUM(BS$10:BS40),-ROUNDDOWN($M41*BS$5/100,0)),0)</f>
        <v>0</v>
      </c>
      <c r="BT41" s="38">
        <f>IF(AND(BT$7="○",$A41&gt;=BT$8,$A41&lt;=BT$9),IF(SUM(BT$10:BT40)-ROUNDDOWN($M41*BT$5/100,0)&lt;-BT$6,-BT$6-SUM(BT$10:BT40),-ROUNDDOWN($M41*BT$5/100,0)),0)</f>
        <v>0</v>
      </c>
      <c r="BU41" s="38">
        <f>IF(AND(BU$7="○",$A41&gt;=BU$8,$A41&lt;=BU$9),IF(SUM(BU$10:BU40)-ROUNDDOWN($M41*BU$5/100,0)&lt;-BU$6,-BU$6-SUM(BU$10:BU40),-ROUNDDOWN($M41*BU$5/100,0)),0)</f>
        <v>0</v>
      </c>
      <c r="BV41" s="38">
        <f>IF(AND(BV$7="○",$A41&gt;=BV$8,$A41&lt;=BV$9),IF(SUM(BV$10:BV40)-ROUNDDOWN($M41*BV$5/100,0)&lt;-BV$6,-BV$6-SUM(BV$10:BV40),-ROUNDDOWN($M41*BV$5/100,0)),0)</f>
        <v>0</v>
      </c>
      <c r="BW41" s="38">
        <f>IF(AND(BW$7="○",$A41&gt;=BW$8,$A41&lt;=BW$9),IF(SUM(BW$10:BW40)-ROUNDDOWN($M41*BW$5/100,0)&lt;-BW$6,-BW$6-SUM(BW$10:BW40),-ROUNDDOWN($M41*BW$5/100,0)),0)</f>
        <v>0</v>
      </c>
      <c r="BX41" s="38">
        <f>IF(AND(T41="○",$A41&gt;=BX$8,$A41&lt;=BX$9),IF(SUM(BX$10:BX40)-ROUNDDOWN($K41*BX$5/100,0)&lt;-BX$6,-BX$6-SUM(BX$10:BX40),-ROUNDDOWN($K41*BX$5/100,0)),0)</f>
        <v>0</v>
      </c>
      <c r="BY41" s="38">
        <f>IF(AND(U41="○",$A41&gt;=BY$8,$A41&lt;=BY$9),IF(SUM(BY$10:BY40)-ROUNDDOWN($K41*BY$5/100,0)&lt;-BY$6,-BY$6-SUM(BY$10:BY40),-ROUNDDOWN($K41*BY$5/100,0)),0)</f>
        <v>0</v>
      </c>
      <c r="BZ41" s="38">
        <f>IF(AND(V41="○",$A41&gt;=BZ$8,$A41&lt;=BZ$9),IF(SUM(BZ$10:BZ40)-ROUNDDOWN($K41*BZ$5/100,0)&lt;-BZ$6,-BZ$6-SUM(BZ$10:BZ40),-ROUNDDOWN($K41*BZ$5/100,0)),0)</f>
        <v>0</v>
      </c>
      <c r="CA41" s="38">
        <f>IF(AND(W41="○",$A41&gt;=CA$8,$A41&lt;=CA$9),IF(SUM(CA$10:CA40)-ROUNDDOWN($K41*CA$5/100,0)&lt;-CA$6,-CA$6-SUM(CA$10:CA40),-ROUNDDOWN($K41*CA$5/100,0)),0)</f>
        <v>0</v>
      </c>
      <c r="CB41" s="38"/>
      <c r="CC41" s="38"/>
      <c r="CD41" s="38"/>
      <c r="CE41" s="38"/>
      <c r="CF41" s="38"/>
      <c r="CG41" s="65">
        <f t="shared" si="47"/>
        <v>0</v>
      </c>
      <c r="CH41" s="71">
        <f t="shared" si="48"/>
        <v>0</v>
      </c>
      <c r="CI41" s="1">
        <f t="shared" si="19"/>
        <v>0</v>
      </c>
      <c r="CJ41" s="1"/>
      <c r="CK41" s="2"/>
      <c r="CL41" s="2"/>
      <c r="CM41" s="2"/>
      <c r="CN41" s="2"/>
      <c r="CO41" s="73">
        <f t="shared" si="20"/>
        <v>0</v>
      </c>
      <c r="CP41" s="5">
        <f t="shared" si="21"/>
        <v>0</v>
      </c>
      <c r="CQ41" s="1"/>
      <c r="CR41" s="1">
        <f t="shared" si="22"/>
        <v>0</v>
      </c>
      <c r="CS41" s="1"/>
      <c r="CT41" s="1" t="e">
        <f>INDEX([2]マスタ!$A:$A,MATCH(D41,[2]マスタ!$C:$C,0))</f>
        <v>#N/A</v>
      </c>
      <c r="CU41" s="1" t="str">
        <f t="shared" ca="1" si="23"/>
        <v>20260620_0-0</v>
      </c>
    </row>
    <row r="42" spans="1:99" x14ac:dyDescent="0.4">
      <c r="A42" s="61"/>
      <c r="B42" s="62"/>
      <c r="C42" s="62"/>
      <c r="D42" s="62"/>
      <c r="E42" s="63"/>
      <c r="F42" s="62"/>
      <c r="G42" s="62">
        <v>1</v>
      </c>
      <c r="H42" s="64">
        <f t="shared" si="4"/>
        <v>0</v>
      </c>
      <c r="I42" s="64"/>
      <c r="J42" s="78"/>
      <c r="K42" s="65">
        <f t="shared" si="49"/>
        <v>0</v>
      </c>
      <c r="L42" s="65">
        <f t="shared" si="6"/>
        <v>0</v>
      </c>
      <c r="M42" s="65">
        <f t="shared" si="7"/>
        <v>0</v>
      </c>
      <c r="N42" s="65">
        <f t="shared" si="8"/>
        <v>0</v>
      </c>
      <c r="O42" s="66" t="str">
        <f t="shared" si="9"/>
        <v>✕</v>
      </c>
      <c r="P42" s="67" t="str">
        <f t="shared" si="10"/>
        <v>○</v>
      </c>
      <c r="Q42" s="67" t="str">
        <f t="shared" si="50"/>
        <v>✕</v>
      </c>
      <c r="R42" s="67" t="str">
        <f t="shared" si="12"/>
        <v>✕</v>
      </c>
      <c r="S42" s="68">
        <v>0</v>
      </c>
      <c r="T42" s="69" t="s">
        <v>85</v>
      </c>
      <c r="U42" s="69" t="s">
        <v>85</v>
      </c>
      <c r="V42" s="69" t="s">
        <v>85</v>
      </c>
      <c r="W42" s="69" t="s">
        <v>85</v>
      </c>
      <c r="X42" s="69" t="s">
        <v>84</v>
      </c>
      <c r="Y42" s="69" t="s">
        <v>85</v>
      </c>
      <c r="Z42" s="69" t="s">
        <v>85</v>
      </c>
      <c r="AA42" s="69" t="s">
        <v>85</v>
      </c>
      <c r="AB42" s="69" t="s">
        <v>85</v>
      </c>
      <c r="AC42" s="69" t="s">
        <v>85</v>
      </c>
      <c r="AD42" s="38" t="str">
        <f>+IF(ISERROR(VLOOKUP($B42,AD$10:AD41,1,0)),IF(AND($N42&gt;=1000,$A42&gt;=AO$8,$A42&lt;=AO$9),$B42,""),"")</f>
        <v/>
      </c>
      <c r="AE42" s="38" t="str">
        <f>+IF(ISERROR(VLOOKUP($B42,AE$10:AE41,1,0)),IF(AND($N42&gt;=1000,$A42&gt;=AP$8,$A42&lt;=AP$9),$B42,""),"")</f>
        <v/>
      </c>
      <c r="AF42" s="38" t="str">
        <f>+IF(ISERROR(VLOOKUP($B42,AF$10:AF41,1,0)),IF(AND($N42&gt;=1000,$A42&gt;=AQ$8,$A42&lt;=AQ$9),$B42,""),"")</f>
        <v/>
      </c>
      <c r="AG42" s="38" t="str">
        <f>+IF(ISERROR(VLOOKUP($B42,AG$10:AG41,1,0)),IF(AND($N42&gt;=1000,$A42&gt;=AR$8,$A42&lt;=AR$9),$B42,""),"")</f>
        <v/>
      </c>
      <c r="AH42" s="38"/>
      <c r="AI42" s="70">
        <v>0</v>
      </c>
      <c r="AJ42" s="38">
        <f>IF(AND(AJ$7="○",$A42&gt;=AJ$8,$A42&lt;=AJ$9),IF(SUM(AJ$10:AJ41)-ROUNDDOWN($K42*AJ$5/100,0)&lt;-AJ$6,-AJ$6-SUM(AJ$10:AJ41),-ROUNDDOWN($K42*AJ$5/100,0)),0)</f>
        <v>0</v>
      </c>
      <c r="AK42" s="38">
        <f>IF(AND(AK$7="○",$A42&gt;=AK$8,$A42&lt;=AK$9),IF(SUM(AK$10:AK41)-ROUNDDOWN($L42*AK$5/100,0)&lt;-AK$6,-AK$6-SUM(AK$10:AK41),-ROUNDDOWN($L42*AK$5/100,0)),0)</f>
        <v>0</v>
      </c>
      <c r="AL42" s="38">
        <f>IF(AND(AL$7="○",$A42&gt;=AL$8,$A42&lt;=AL$9),IF(SUM(AL$10:AL41)-ROUNDDOWN($N42*AL$5/100,0)&lt;-AL$6,-AL$6-SUM(AL$10:AL41),-ROUNDDOWN($N42*AL$5/100,0)),0)</f>
        <v>0</v>
      </c>
      <c r="AM42" s="38">
        <f>IF(AND(AM$7="○",$A42&gt;=AM$8,$A42&lt;=AM$9),IF(SUM(AM$10:AM41)-ROUNDDOWN($L42*AM$5/100,0)&lt;-AM$6,-AM$6-SUM(AM$10:AM41),-ROUNDDOWN($L42*AM$5/100,0)),0)</f>
        <v>0</v>
      </c>
      <c r="AN42" s="38">
        <f>IF(AND(AN$7="○",$A42&gt;=AN$8,$A42&lt;=AN$9),IF(SUM(AN$10:AN41)-ROUNDDOWN($M42*AN$5/100,0)&lt;-AN$6,-AN$6-SUM(AN$10:AN41),-ROUNDDOWN($M42*AN$5/100,0)),0)</f>
        <v>0</v>
      </c>
      <c r="AO42" s="38">
        <f>IF(AND($A42&gt;=AO$8,$A42&lt;=AO$9),IF(SUM(AO$10:AO41)-ROUNDDOWN($K42*AO$5/100,0)&lt;-AO$6,-AO$6-SUM(AO$10:AO41),-ROUNDDOWN($K42*AO$5/100,0)),0)</f>
        <v>0</v>
      </c>
      <c r="AP42" s="38">
        <f>IF(AND($A42&gt;=AP$8,$A42&lt;=AP$9),IF(SUM(AP$10:AP41)-ROUNDDOWN($K42*AP$5/100,0)&lt;-AP$6,-AP$6-SUM(AP$10:AP41),-ROUNDDOWN($K42*AP$5/100,0)),0)</f>
        <v>0</v>
      </c>
      <c r="AQ42" s="38">
        <f>IF(AND($A42&gt;=AQ$8,$A42&lt;=AQ$9),IF(SUM(AQ$10:AQ41)-ROUNDDOWN($K42*AQ$5/100,0)&lt;-AQ$6,-AQ$6-SUM(AQ$10:AQ41),-ROUNDDOWN($K42*AQ$5/100,0)),0)</f>
        <v>0</v>
      </c>
      <c r="AR42" s="38">
        <f>IF(AND($A42&gt;=AR$8,$A42&lt;=AR$9),IF(SUM(AR$10:AR41)-ROUNDDOWN($K42*AR$5/100,0)&lt;-AR$6,-AR$6-SUM(AR$10:AR41),-ROUNDDOWN($K42*AR$5/100,0)),0)</f>
        <v>0</v>
      </c>
      <c r="AS42" s="38">
        <f>IF(SUMIFS(AS$10:AS41,$A$10:$A41,$A42)-ROUNDDOWN($K42*$S42/100,0)&lt;-$S42*1000,-$S42*1000-SUMIFS(AS$10:AS41,$A$10:$A41,$A42),-ROUNDDOWN($K42*$S42/100,0))</f>
        <v>0</v>
      </c>
      <c r="AT42" s="38">
        <f>IF(AND(X42="○",$A42&gt;=AT$8,$A42&lt;=AT$9,K42&gt;=3980),IF(SUM(AT$10:AT41)-ROUNDDOWN($K42*AT$5/100,0)&lt;-AT$6,-AT$6-SUM(AT$10:AT41),-ROUNDDOWN($K42*AT$5/100,0)),0)</f>
        <v>0</v>
      </c>
      <c r="AU42" s="38">
        <f>IF(O42="○",IF(SUM(AU$10:AU41)-ROUNDDOWN($K42*AU$5/100,0)&lt;-AU$6,-AU$6-SUM(AU$10:AU41),-ROUNDDOWN($K42*AU$5/100,0)),0)</f>
        <v>0</v>
      </c>
      <c r="AV42" s="38">
        <f>IF(P42="○",IF(SUM(AV$10:AV41)-ROUNDDOWN($K42*AV$5/100,0)&lt;-AV$6,-AV$6-SUM(AV$10:AV41),-ROUNDDOWN($K42*AV$5/100,0)),0)</f>
        <v>0</v>
      </c>
      <c r="AW42" s="38">
        <f>IF(Q42="○",IF(SUM(AW$10:AW41)-ROUNDDOWN($K42*AW$5/100,0)&lt;-AW$6,-AW$6-SUM(AW$10:AW41),-ROUNDDOWN($K42*AW$5/100,0)),0)</f>
        <v>0</v>
      </c>
      <c r="AX42" s="38">
        <f>IF(R42="○",IF(SUM(AX$10:AX41)-ROUNDDOWN($K42*AX$5/100,0)&lt;-AX$6,-AX$6-SUM(AX$10:AX41),-ROUNDDOWN($K42*AX$5/100,0)),0)</f>
        <v>0</v>
      </c>
      <c r="AY42" s="70">
        <v>0</v>
      </c>
      <c r="AZ42" s="65">
        <f t="shared" si="41"/>
        <v>0</v>
      </c>
      <c r="BA42" s="65">
        <f t="shared" si="42"/>
        <v>0</v>
      </c>
      <c r="BB42" s="70"/>
      <c r="BC42" s="65">
        <f t="shared" si="43"/>
        <v>0</v>
      </c>
      <c r="BD42" s="70">
        <v>0</v>
      </c>
      <c r="BE42" s="65">
        <f t="shared" si="44"/>
        <v>0</v>
      </c>
      <c r="BF42" s="70">
        <v>0</v>
      </c>
      <c r="BG42" s="65">
        <f t="shared" si="45"/>
        <v>0</v>
      </c>
      <c r="BH42" s="70">
        <v>0</v>
      </c>
      <c r="BI42" s="65">
        <f t="shared" si="46"/>
        <v>0</v>
      </c>
      <c r="BJ42" s="38">
        <f>IF(AND(BJ$7="○",$A42&gt;=BJ$8,$A42&lt;=BJ$9),IF(SUM(BJ$10:BJ41)-ROUNDDOWN($M42*BJ$5/100,0)&lt;-BJ$6,-BJ$6-SUM(BJ$10:BJ41),-ROUNDDOWN($M42*BJ$5/100,0)),0)</f>
        <v>0</v>
      </c>
      <c r="BK42" s="38">
        <f>IF(AND(BK$7="○",$A42&gt;=BK$8,$A42&lt;=BK$9),IF(SUM(BK$10:BK41)-ROUNDDOWN($L42*BK$5/100,0)&lt;-BK$6,-BK$6-SUM(BK$10:BK41),-ROUNDDOWN($L42*BK$5/100,0)),0)</f>
        <v>0</v>
      </c>
      <c r="BL42" s="38">
        <f>IF(AND(BL$7="○",$A42&gt;=BL$8,$A42&lt;=BL$9),IF(SUM(BL$10:BL41)-ROUNDDOWN($L42*BL$5/100,0)&lt;-BL$6,-BL$6-SUM(BL$10:BL41),-ROUNDDOWN($L42*BL$5/100,0)),0)</f>
        <v>0</v>
      </c>
      <c r="BM42" s="38">
        <f>IF(AND(BM$7="○",$A42&gt;=BM$8,$A42&lt;=BM$9),IF(SUM(BM$10:BM41)-ROUNDDOWN($M42*BM$5/100,0)&lt;-BM$6,-BM$6-SUM(BM$10:BM41),-ROUNDDOWN($M42*BM$5/100,0)),0)</f>
        <v>0</v>
      </c>
      <c r="BN42" s="38">
        <f>IF(AND(BN$7="○",$A42&gt;=BN$8,$A42&lt;=BN$9),IF(SUM(BN$10:BN41)-ROUNDDOWN($M42*BN$5/100,0)&lt;-BN$6,-BN$6-SUM(BN$10:BN41),-ROUNDDOWN($M42*BN$5/100,0)),0)</f>
        <v>0</v>
      </c>
      <c r="BO42" s="38">
        <f>IF(AND(BO$7="○",$A42&gt;=BO$8,$A42&lt;=BO$9),IF(SUM(BO$10:BO41)-ROUNDDOWN($M42*BO$5/100,0)&lt;-BO$6,-BO$6-SUM(BO$10:BO41),-ROUNDDOWN($M42*BO$5/100,0)),0)</f>
        <v>0</v>
      </c>
      <c r="BP42" s="38">
        <f>IF(AND(BP$7="○",$A42&gt;=BP$8,$A42&lt;=BP$9),IF(SUM(BP$10:BP41)-ROUNDDOWN($M42*BP$5/100,0)&lt;-BP$6,-BP$6-SUM(BP$10:BP41),-ROUNDDOWN($M42*BP$5/100,0)),0)</f>
        <v>0</v>
      </c>
      <c r="BQ42" s="38">
        <f>IF(AND(BQ$7="○",$A42&gt;=BQ$8,$A42&lt;=BQ$9),IF(SUM(BQ$10:BQ41)-ROUNDDOWN($L42*BQ$5/100,0)&lt;-BQ$6,-BQ$6-SUM(BQ$10:BQ41),-ROUNDDOWN($L42*BQ$5/100,0)),0)</f>
        <v>0</v>
      </c>
      <c r="BR42" s="38">
        <f>IF(AND(BR$7="○",$A42&gt;=BR$8,$A42&lt;=BR$9),IF(SUM(BR$10:BR41)-ROUNDDOWN($M42*BR$5/100,0)&lt;-BR$6,-BR$6-SUM(BR$10:BR41),-ROUNDDOWN($M42*BR$5/100,0)),0)</f>
        <v>0</v>
      </c>
      <c r="BS42" s="38">
        <f>IF(AND(BS$7="○",$A42&gt;=BS$8,$A42&lt;=BS$9),IF(SUM(BS$10:BS41)-ROUNDDOWN($M42*BS$5/100,0)&lt;-BS$6,-BS$6-SUM(BS$10:BS41),-ROUNDDOWN($M42*BS$5/100,0)),0)</f>
        <v>0</v>
      </c>
      <c r="BT42" s="38">
        <f>IF(AND(BT$7="○",$A42&gt;=BT$8,$A42&lt;=BT$9),IF(SUM(BT$10:BT41)-ROUNDDOWN($M42*BT$5/100,0)&lt;-BT$6,-BT$6-SUM(BT$10:BT41),-ROUNDDOWN($M42*BT$5/100,0)),0)</f>
        <v>0</v>
      </c>
      <c r="BU42" s="38">
        <f>IF(AND(BU$7="○",$A42&gt;=BU$8,$A42&lt;=BU$9),IF(SUM(BU$10:BU41)-ROUNDDOWN($M42*BU$5/100,0)&lt;-BU$6,-BU$6-SUM(BU$10:BU41),-ROUNDDOWN($M42*BU$5/100,0)),0)</f>
        <v>0</v>
      </c>
      <c r="BV42" s="38">
        <f>IF(AND(BV$7="○",$A42&gt;=BV$8,$A42&lt;=BV$9),IF(SUM(BV$10:BV41)-ROUNDDOWN($M42*BV$5/100,0)&lt;-BV$6,-BV$6-SUM(BV$10:BV41),-ROUNDDOWN($M42*BV$5/100,0)),0)</f>
        <v>0</v>
      </c>
      <c r="BW42" s="38">
        <f>IF(AND(BW$7="○",$A42&gt;=BW$8,$A42&lt;=BW$9),IF(SUM(BW$10:BW41)-ROUNDDOWN($M42*BW$5/100,0)&lt;-BW$6,-BW$6-SUM(BW$10:BW41),-ROUNDDOWN($M42*BW$5/100,0)),0)</f>
        <v>0</v>
      </c>
      <c r="BX42" s="38">
        <f>IF(AND(T42="○",$A42&gt;=BX$8,$A42&lt;=BX$9),IF(SUM(BX$10:BX41)-ROUNDDOWN($K42*BX$5/100,0)&lt;-BX$6,-BX$6-SUM(BX$10:BX41),-ROUNDDOWN($K42*BX$5/100,0)),0)</f>
        <v>0</v>
      </c>
      <c r="BY42" s="38">
        <f>IF(AND(U42="○",$A42&gt;=BY$8,$A42&lt;=BY$9),IF(SUM(BY$10:BY41)-ROUNDDOWN($K42*BY$5/100,0)&lt;-BY$6,-BY$6-SUM(BY$10:BY41),-ROUNDDOWN($K42*BY$5/100,0)),0)</f>
        <v>0</v>
      </c>
      <c r="BZ42" s="38">
        <f>IF(AND(V42="○",$A42&gt;=BZ$8,$A42&lt;=BZ$9),IF(SUM(BZ$10:BZ41)-ROUNDDOWN($K42*BZ$5/100,0)&lt;-BZ$6,-BZ$6-SUM(BZ$10:BZ41),-ROUNDDOWN($K42*BZ$5/100,0)),0)</f>
        <v>0</v>
      </c>
      <c r="CA42" s="38">
        <f>IF(AND(W42="○",$A42&gt;=CA$8,$A42&lt;=CA$9),IF(SUM(CA$10:CA41)-ROUNDDOWN($K42*CA$5/100,0)&lt;-CA$6,-CA$6-SUM(CA$10:CA41),-ROUNDDOWN($K42*CA$5/100,0)),0)</f>
        <v>0</v>
      </c>
      <c r="CB42" s="38"/>
      <c r="CC42" s="38"/>
      <c r="CD42" s="38"/>
      <c r="CE42" s="38"/>
      <c r="CF42" s="38"/>
      <c r="CG42" s="65">
        <f t="shared" si="47"/>
        <v>0</v>
      </c>
      <c r="CH42" s="71">
        <f t="shared" si="48"/>
        <v>0</v>
      </c>
      <c r="CI42" s="1">
        <f t="shared" si="19"/>
        <v>0</v>
      </c>
      <c r="CJ42" s="1"/>
      <c r="CK42" s="79"/>
      <c r="CL42" s="79"/>
      <c r="CM42" s="2"/>
      <c r="CN42" s="2"/>
      <c r="CO42" s="73">
        <f t="shared" si="20"/>
        <v>0</v>
      </c>
      <c r="CP42" s="5">
        <f t="shared" si="21"/>
        <v>0</v>
      </c>
      <c r="CQ42" s="1"/>
      <c r="CR42" s="1">
        <f t="shared" si="22"/>
        <v>0</v>
      </c>
      <c r="CS42" s="1"/>
      <c r="CT42" s="1" t="e">
        <f>INDEX([2]マスタ!$A:$A,MATCH(D42,[2]マスタ!$C:$C,0))</f>
        <v>#N/A</v>
      </c>
      <c r="CU42" s="1" t="str">
        <f t="shared" ca="1" si="23"/>
        <v>20260620_0-0</v>
      </c>
    </row>
    <row r="43" spans="1:99" x14ac:dyDescent="0.4">
      <c r="A43" s="61"/>
      <c r="B43" s="62"/>
      <c r="C43" s="62"/>
      <c r="D43" s="62"/>
      <c r="E43" s="63"/>
      <c r="F43" s="62"/>
      <c r="G43" s="62">
        <v>1</v>
      </c>
      <c r="H43" s="64">
        <f t="shared" si="4"/>
        <v>0</v>
      </c>
      <c r="I43" s="64"/>
      <c r="J43" s="78"/>
      <c r="K43" s="65">
        <f t="shared" si="49"/>
        <v>0</v>
      </c>
      <c r="L43" s="65">
        <f t="shared" si="6"/>
        <v>0</v>
      </c>
      <c r="M43" s="65">
        <f t="shared" si="7"/>
        <v>0</v>
      </c>
      <c r="N43" s="65">
        <f t="shared" si="8"/>
        <v>0</v>
      </c>
      <c r="O43" s="66" t="str">
        <f t="shared" si="9"/>
        <v>✕</v>
      </c>
      <c r="P43" s="67" t="str">
        <f t="shared" si="10"/>
        <v>○</v>
      </c>
      <c r="Q43" s="67" t="str">
        <f t="shared" si="50"/>
        <v>✕</v>
      </c>
      <c r="R43" s="67" t="str">
        <f t="shared" si="12"/>
        <v>✕</v>
      </c>
      <c r="S43" s="68">
        <v>0</v>
      </c>
      <c r="T43" s="69" t="s">
        <v>85</v>
      </c>
      <c r="U43" s="69" t="s">
        <v>85</v>
      </c>
      <c r="V43" s="69" t="s">
        <v>85</v>
      </c>
      <c r="W43" s="69" t="s">
        <v>85</v>
      </c>
      <c r="X43" s="69" t="s">
        <v>84</v>
      </c>
      <c r="Y43" s="69" t="s">
        <v>85</v>
      </c>
      <c r="Z43" s="69" t="s">
        <v>85</v>
      </c>
      <c r="AA43" s="69" t="s">
        <v>85</v>
      </c>
      <c r="AB43" s="69" t="s">
        <v>85</v>
      </c>
      <c r="AC43" s="69" t="s">
        <v>85</v>
      </c>
      <c r="AD43" s="38" t="str">
        <f>+IF(ISERROR(VLOOKUP($B43,AD$10:AD42,1,0)),IF(AND($N43&gt;=1000,$A43&gt;=AO$8,$A43&lt;=AO$9),$B43,""),"")</f>
        <v/>
      </c>
      <c r="AE43" s="38" t="str">
        <f>+IF(ISERROR(VLOOKUP($B43,AE$10:AE42,1,0)),IF(AND($N43&gt;=1000,$A43&gt;=AP$8,$A43&lt;=AP$9),$B43,""),"")</f>
        <v/>
      </c>
      <c r="AF43" s="38" t="str">
        <f>+IF(ISERROR(VLOOKUP($B43,AF$10:AF42,1,0)),IF(AND($N43&gt;=1000,$A43&gt;=AQ$8,$A43&lt;=AQ$9),$B43,""),"")</f>
        <v/>
      </c>
      <c r="AG43" s="38" t="str">
        <f>+IF(ISERROR(VLOOKUP($B43,AG$10:AG42,1,0)),IF(AND($N43&gt;=1000,$A43&gt;=AR$8,$A43&lt;=AR$9),$B43,""),"")</f>
        <v/>
      </c>
      <c r="AH43" s="38"/>
      <c r="AI43" s="70">
        <v>0</v>
      </c>
      <c r="AJ43" s="38">
        <f>IF(AND(AJ$7="○",$A43&gt;=AJ$8,$A43&lt;=AJ$9),IF(SUM(AJ$10:AJ42)-ROUNDDOWN($K43*AJ$5/100,0)&lt;-AJ$6,-AJ$6-SUM(AJ$10:AJ42),-ROUNDDOWN($K43*AJ$5/100,0)),0)</f>
        <v>0</v>
      </c>
      <c r="AK43" s="38">
        <f>IF(AND(AK$7="○",$A43&gt;=AK$8,$A43&lt;=AK$9),IF(SUM(AK$10:AK42)-ROUNDDOWN($L43*AK$5/100,0)&lt;-AK$6,-AK$6-SUM(AK$10:AK42),-ROUNDDOWN($L43*AK$5/100,0)),0)</f>
        <v>0</v>
      </c>
      <c r="AL43" s="38">
        <f>IF(AND(AL$7="○",$A43&gt;=AL$8,$A43&lt;=AL$9),IF(SUM(AL$10:AL42)-ROUNDDOWN($N43*AL$5/100,0)&lt;-AL$6,-AL$6-SUM(AL$10:AL42),-ROUNDDOWN($N43*AL$5/100,0)),0)</f>
        <v>0</v>
      </c>
      <c r="AM43" s="38">
        <f>IF(AND(AM$7="○",$A43&gt;=AM$8,$A43&lt;=AM$9),IF(SUM(AM$10:AM42)-ROUNDDOWN($L43*AM$5/100,0)&lt;-AM$6,-AM$6-SUM(AM$10:AM42),-ROUNDDOWN($L43*AM$5/100,0)),0)</f>
        <v>0</v>
      </c>
      <c r="AN43" s="38">
        <f>IF(AND(AN$7="○",$A43&gt;=AN$8,$A43&lt;=AN$9),IF(SUM(AN$10:AN42)-ROUNDDOWN($M43*AN$5/100,0)&lt;-AN$6,-AN$6-SUM(AN$10:AN42),-ROUNDDOWN($M43*AN$5/100,0)),0)</f>
        <v>0</v>
      </c>
      <c r="AO43" s="38">
        <f>IF(AND($A43&gt;=AO$8,$A43&lt;=AO$9),IF(SUM(AO$10:AO42)-ROUNDDOWN($K43*AO$5/100,0)&lt;-AO$6,-AO$6-SUM(AO$10:AO42),-ROUNDDOWN($K43*AO$5/100,0)),0)</f>
        <v>0</v>
      </c>
      <c r="AP43" s="38">
        <f>IF(AND($A43&gt;=AP$8,$A43&lt;=AP$9),IF(SUM(AP$10:AP42)-ROUNDDOWN($K43*AP$5/100,0)&lt;-AP$6,-AP$6-SUM(AP$10:AP42),-ROUNDDOWN($K43*AP$5/100,0)),0)</f>
        <v>0</v>
      </c>
      <c r="AQ43" s="38">
        <f>IF(AND($A43&gt;=AQ$8,$A43&lt;=AQ$9),IF(SUM(AQ$10:AQ42)-ROUNDDOWN($K43*AQ$5/100,0)&lt;-AQ$6,-AQ$6-SUM(AQ$10:AQ42),-ROUNDDOWN($K43*AQ$5/100,0)),0)</f>
        <v>0</v>
      </c>
      <c r="AR43" s="38">
        <f>IF(AND($A43&gt;=AR$8,$A43&lt;=AR$9),IF(SUM(AR$10:AR42)-ROUNDDOWN($K43*AR$5/100,0)&lt;-AR$6,-AR$6-SUM(AR$10:AR42),-ROUNDDOWN($K43*AR$5/100,0)),0)</f>
        <v>0</v>
      </c>
      <c r="AS43" s="38">
        <f>IF(SUMIFS(AS$10:AS42,$A$10:$A42,$A43)-ROUNDDOWN($K43*$S43/100,0)&lt;-$S43*1000,-$S43*1000-SUMIFS(AS$10:AS42,$A$10:$A42,$A43),-ROUNDDOWN($K43*$S43/100,0))</f>
        <v>0</v>
      </c>
      <c r="AT43" s="38">
        <f>IF(AND(X43="○",$A43&gt;=AT$8,$A43&lt;=AT$9,K43&gt;=3980),IF(SUM(AT$10:AT42)-ROUNDDOWN($K43*AT$5/100,0)&lt;-AT$6,-AT$6-SUM(AT$10:AT42),-ROUNDDOWN($K43*AT$5/100,0)),0)</f>
        <v>0</v>
      </c>
      <c r="AU43" s="38">
        <f>IF(O43="○",IF(SUM(AU$10:AU42)-ROUNDDOWN($K43*AU$5/100,0)&lt;-AU$6,-AU$6-SUM(AU$10:AU42),-ROUNDDOWN($K43*AU$5/100,0)),0)</f>
        <v>0</v>
      </c>
      <c r="AV43" s="38">
        <f>IF(P43="○",IF(SUM(AV$10:AV42)-ROUNDDOWN($K43*AV$5/100,0)&lt;-AV$6,-AV$6-SUM(AV$10:AV42),-ROUNDDOWN($K43*AV$5/100,0)),0)</f>
        <v>0</v>
      </c>
      <c r="AW43" s="38">
        <f>IF(Q43="○",IF(SUM(AW$10:AW42)-ROUNDDOWN($K43*AW$5/100,0)&lt;-AW$6,-AW$6-SUM(AW$10:AW42),-ROUNDDOWN($K43*AW$5/100,0)),0)</f>
        <v>0</v>
      </c>
      <c r="AX43" s="38">
        <f>IF(R43="○",IF(SUM(AX$10:AX42)-ROUNDDOWN($K43*AX$5/100,0)&lt;-AX$6,-AX$6-SUM(AX$10:AX42),-ROUNDDOWN($K43*AX$5/100,0)),0)</f>
        <v>0</v>
      </c>
      <c r="AY43" s="70">
        <v>0</v>
      </c>
      <c r="AZ43" s="65">
        <f t="shared" si="41"/>
        <v>0</v>
      </c>
      <c r="BA43" s="65">
        <f t="shared" si="42"/>
        <v>0</v>
      </c>
      <c r="BB43" s="70"/>
      <c r="BC43" s="65">
        <f t="shared" si="43"/>
        <v>0</v>
      </c>
      <c r="BD43" s="70">
        <v>0</v>
      </c>
      <c r="BE43" s="65">
        <f t="shared" si="44"/>
        <v>0</v>
      </c>
      <c r="BF43" s="70">
        <v>0</v>
      </c>
      <c r="BG43" s="65">
        <f t="shared" si="45"/>
        <v>0</v>
      </c>
      <c r="BH43" s="70">
        <v>0</v>
      </c>
      <c r="BI43" s="65">
        <f t="shared" si="46"/>
        <v>0</v>
      </c>
      <c r="BJ43" s="38">
        <f>IF(AND(BJ$7="○",$A43&gt;=BJ$8,$A43&lt;=BJ$9),IF(SUM(BJ$10:BJ42)-ROUNDDOWN($M43*BJ$5/100,0)&lt;-BJ$6,-BJ$6-SUM(BJ$10:BJ42),-ROUNDDOWN($M43*BJ$5/100,0)),0)</f>
        <v>0</v>
      </c>
      <c r="BK43" s="38">
        <f>IF(AND(BK$7="○",$A43&gt;=BK$8,$A43&lt;=BK$9),IF(SUM(BK$10:BK42)-ROUNDDOWN($L43*BK$5/100,0)&lt;-BK$6,-BK$6-SUM(BK$10:BK42),-ROUNDDOWN($L43*BK$5/100,0)),0)</f>
        <v>0</v>
      </c>
      <c r="BL43" s="38">
        <f>IF(AND(BL$7="○",$A43&gt;=BL$8,$A43&lt;=BL$9),IF(SUM(BL$10:BL42)-ROUNDDOWN($L43*BL$5/100,0)&lt;-BL$6,-BL$6-SUM(BL$10:BL42),-ROUNDDOWN($L43*BL$5/100,0)),0)</f>
        <v>0</v>
      </c>
      <c r="BM43" s="38">
        <f>IF(AND(BM$7="○",$A43&gt;=BM$8,$A43&lt;=BM$9),IF(SUM(BM$10:BM42)-ROUNDDOWN($M43*BM$5/100,0)&lt;-BM$6,-BM$6-SUM(BM$10:BM42),-ROUNDDOWN($M43*BM$5/100,0)),0)</f>
        <v>0</v>
      </c>
      <c r="BN43" s="38">
        <f>IF(AND(BN$7="○",$A43&gt;=BN$8,$A43&lt;=BN$9),IF(SUM(BN$10:BN42)-ROUNDDOWN($M43*BN$5/100,0)&lt;-BN$6,-BN$6-SUM(BN$10:BN42),-ROUNDDOWN($M43*BN$5/100,0)),0)</f>
        <v>0</v>
      </c>
      <c r="BO43" s="38">
        <f>IF(AND(BO$7="○",$A43&gt;=BO$8,$A43&lt;=BO$9),IF(SUM(BO$10:BO42)-ROUNDDOWN($M43*BO$5/100,0)&lt;-BO$6,-BO$6-SUM(BO$10:BO42),-ROUNDDOWN($M43*BO$5/100,0)),0)</f>
        <v>0</v>
      </c>
      <c r="BP43" s="38">
        <f>IF(AND(BP$7="○",$A43&gt;=BP$8,$A43&lt;=BP$9),IF(SUM(BP$10:BP42)-ROUNDDOWN($M43*BP$5/100,0)&lt;-BP$6,-BP$6-SUM(BP$10:BP42),-ROUNDDOWN($M43*BP$5/100,0)),0)</f>
        <v>0</v>
      </c>
      <c r="BQ43" s="38">
        <f>IF(AND(BQ$7="○",$A43&gt;=BQ$8,$A43&lt;=BQ$9),IF(SUM(BQ$10:BQ42)-ROUNDDOWN($L43*BQ$5/100,0)&lt;-BQ$6,-BQ$6-SUM(BQ$10:BQ42),-ROUNDDOWN($L43*BQ$5/100,0)),0)</f>
        <v>0</v>
      </c>
      <c r="BR43" s="38">
        <f>IF(AND(BR$7="○",$A43&gt;=BR$8,$A43&lt;=BR$9),IF(SUM(BR$10:BR42)-ROUNDDOWN($M43*BR$5/100,0)&lt;-BR$6,-BR$6-SUM(BR$10:BR42),-ROUNDDOWN($M43*BR$5/100,0)),0)</f>
        <v>0</v>
      </c>
      <c r="BS43" s="38">
        <f>IF(AND(BS$7="○",$A43&gt;=BS$8,$A43&lt;=BS$9),IF(SUM(BS$10:BS42)-ROUNDDOWN($M43*BS$5/100,0)&lt;-BS$6,-BS$6-SUM(BS$10:BS42),-ROUNDDOWN($M43*BS$5/100,0)),0)</f>
        <v>0</v>
      </c>
      <c r="BT43" s="38">
        <f>IF(AND(BT$7="○",$A43&gt;=BT$8,$A43&lt;=BT$9),IF(SUM(BT$10:BT42)-ROUNDDOWN($M43*BT$5/100,0)&lt;-BT$6,-BT$6-SUM(BT$10:BT42),-ROUNDDOWN($M43*BT$5/100,0)),0)</f>
        <v>0</v>
      </c>
      <c r="BU43" s="38">
        <f>IF(AND(BU$7="○",$A43&gt;=BU$8,$A43&lt;=BU$9),IF(SUM(BU$10:BU42)-ROUNDDOWN($M43*BU$5/100,0)&lt;-BU$6,-BU$6-SUM(BU$10:BU42),-ROUNDDOWN($M43*BU$5/100,0)),0)</f>
        <v>0</v>
      </c>
      <c r="BV43" s="38">
        <f>IF(AND(BV$7="○",$A43&gt;=BV$8,$A43&lt;=BV$9),IF(SUM(BV$10:BV42)-ROUNDDOWN($M43*BV$5/100,0)&lt;-BV$6,-BV$6-SUM(BV$10:BV42),-ROUNDDOWN($M43*BV$5/100,0)),0)</f>
        <v>0</v>
      </c>
      <c r="BW43" s="38">
        <f>IF(AND(BW$7="○",$A43&gt;=BW$8,$A43&lt;=BW$9),IF(SUM(BW$10:BW42)-ROUNDDOWN($M43*BW$5/100,0)&lt;-BW$6,-BW$6-SUM(BW$10:BW42),-ROUNDDOWN($M43*BW$5/100,0)),0)</f>
        <v>0</v>
      </c>
      <c r="BX43" s="38">
        <f>IF(AND(T43="○",$A43&gt;=BX$8,$A43&lt;=BX$9),IF(SUM(BX$10:BX42)-ROUNDDOWN($K43*BX$5/100,0)&lt;-BX$6,-BX$6-SUM(BX$10:BX42),-ROUNDDOWN($K43*BX$5/100,0)),0)</f>
        <v>0</v>
      </c>
      <c r="BY43" s="38">
        <f>IF(AND(U43="○",$A43&gt;=BY$8,$A43&lt;=BY$9),IF(SUM(BY$10:BY42)-ROUNDDOWN($K43*BY$5/100,0)&lt;-BY$6,-BY$6-SUM(BY$10:BY42),-ROUNDDOWN($K43*BY$5/100,0)),0)</f>
        <v>0</v>
      </c>
      <c r="BZ43" s="38">
        <f>IF(AND(V43="○",$A43&gt;=BZ$8,$A43&lt;=BZ$9),IF(SUM(BZ$10:BZ42)-ROUNDDOWN($K43*BZ$5/100,0)&lt;-BZ$6,-BZ$6-SUM(BZ$10:BZ42),-ROUNDDOWN($K43*BZ$5/100,0)),0)</f>
        <v>0</v>
      </c>
      <c r="CA43" s="38">
        <f>IF(AND(W43="○",$A43&gt;=CA$8,$A43&lt;=CA$9),IF(SUM(CA$10:CA42)-ROUNDDOWN($K43*CA$5/100,0)&lt;-CA$6,-CA$6-SUM(CA$10:CA42),-ROUNDDOWN($K43*CA$5/100,0)),0)</f>
        <v>0</v>
      </c>
      <c r="CB43" s="38"/>
      <c r="CC43" s="38"/>
      <c r="CD43" s="38"/>
      <c r="CE43" s="38"/>
      <c r="CF43" s="38"/>
      <c r="CG43" s="65">
        <f t="shared" si="47"/>
        <v>0</v>
      </c>
      <c r="CH43" s="71">
        <f t="shared" si="48"/>
        <v>0</v>
      </c>
      <c r="CI43" s="1">
        <f t="shared" si="19"/>
        <v>0</v>
      </c>
      <c r="CJ43" s="1"/>
      <c r="CK43" s="79"/>
      <c r="CL43" s="79"/>
      <c r="CM43" s="2"/>
      <c r="CN43" s="2"/>
      <c r="CO43" s="73">
        <f t="shared" si="20"/>
        <v>0</v>
      </c>
      <c r="CP43" s="5">
        <f t="shared" si="21"/>
        <v>0</v>
      </c>
      <c r="CQ43" s="1"/>
      <c r="CR43" s="1">
        <f t="shared" si="22"/>
        <v>0</v>
      </c>
      <c r="CS43" s="1"/>
      <c r="CT43" s="1" t="e">
        <f>INDEX([2]マスタ!$A:$A,MATCH(D43,[2]マスタ!$C:$C,0))</f>
        <v>#N/A</v>
      </c>
      <c r="CU43" s="1" t="str">
        <f t="shared" ca="1" si="23"/>
        <v>20260620_0-0</v>
      </c>
    </row>
    <row r="44" spans="1:99" x14ac:dyDescent="0.4">
      <c r="A44" s="61"/>
      <c r="B44" s="62"/>
      <c r="C44" s="62"/>
      <c r="D44" s="62"/>
      <c r="E44" s="77"/>
      <c r="F44" s="62"/>
      <c r="G44" s="62">
        <v>1</v>
      </c>
      <c r="H44" s="64">
        <f t="shared" si="4"/>
        <v>0</v>
      </c>
      <c r="I44" s="64"/>
      <c r="J44" s="64"/>
      <c r="K44" s="65">
        <f t="shared" si="49"/>
        <v>0</v>
      </c>
      <c r="L44" s="65">
        <f t="shared" si="6"/>
        <v>0</v>
      </c>
      <c r="M44" s="65">
        <f t="shared" si="7"/>
        <v>0</v>
      </c>
      <c r="N44" s="65">
        <f t="shared" si="8"/>
        <v>0</v>
      </c>
      <c r="O44" s="66" t="str">
        <f t="shared" si="9"/>
        <v>✕</v>
      </c>
      <c r="P44" s="67" t="str">
        <f t="shared" si="10"/>
        <v>○</v>
      </c>
      <c r="Q44" s="67" t="str">
        <f t="shared" si="50"/>
        <v>✕</v>
      </c>
      <c r="R44" s="67" t="str">
        <f t="shared" si="12"/>
        <v>✕</v>
      </c>
      <c r="S44" s="68">
        <v>0</v>
      </c>
      <c r="T44" s="69" t="s">
        <v>85</v>
      </c>
      <c r="U44" s="69" t="s">
        <v>85</v>
      </c>
      <c r="V44" s="69" t="s">
        <v>85</v>
      </c>
      <c r="W44" s="69" t="s">
        <v>85</v>
      </c>
      <c r="X44" s="69" t="s">
        <v>84</v>
      </c>
      <c r="Y44" s="69" t="s">
        <v>85</v>
      </c>
      <c r="Z44" s="69" t="s">
        <v>85</v>
      </c>
      <c r="AA44" s="69" t="s">
        <v>85</v>
      </c>
      <c r="AB44" s="69" t="s">
        <v>85</v>
      </c>
      <c r="AC44" s="69" t="s">
        <v>85</v>
      </c>
      <c r="AD44" s="38" t="str">
        <f>+IF(ISERROR(VLOOKUP($B44,AD$10:AD43,1,0)),IF(AND($N44&gt;=1000,$A44&gt;=AO$8,$A44&lt;=AO$9),$B44,""),"")</f>
        <v/>
      </c>
      <c r="AE44" s="38" t="str">
        <f>+IF(ISERROR(VLOOKUP($B44,AE$10:AE43,1,0)),IF(AND($N44&gt;=1000,$A44&gt;=AP$8,$A44&lt;=AP$9),$B44,""),"")</f>
        <v/>
      </c>
      <c r="AF44" s="38" t="str">
        <f>+IF(ISERROR(VLOOKUP($B44,AF$10:AF43,1,0)),IF(AND($N44&gt;=1000,$A44&gt;=AQ$8,$A44&lt;=AQ$9),$B44,""),"")</f>
        <v/>
      </c>
      <c r="AG44" s="38" t="str">
        <f>+IF(ISERROR(VLOOKUP($B44,AG$10:AG43,1,0)),IF(AND($N44&gt;=1000,$A44&gt;=AR$8,$A44&lt;=AR$9),$B44,""),"")</f>
        <v/>
      </c>
      <c r="AH44" s="38"/>
      <c r="AI44" s="70">
        <v>0</v>
      </c>
      <c r="AJ44" s="38">
        <f>IF(AND(AJ$7="○",$A44&gt;=AJ$8,$A44&lt;=AJ$9),IF(SUM(AJ$10:AJ43)-ROUNDDOWN($K44*AJ$5/100,0)&lt;-AJ$6,-AJ$6-SUM(AJ$10:AJ43),-ROUNDDOWN($K44*AJ$5/100,0)),0)</f>
        <v>0</v>
      </c>
      <c r="AK44" s="38">
        <f>IF(AND(AK$7="○",$A44&gt;=AK$8,$A44&lt;=AK$9),IF(SUM(AK$10:AK43)-ROUNDDOWN($L44*AK$5/100,0)&lt;-AK$6,-AK$6-SUM(AK$10:AK43),-ROUNDDOWN($L44*AK$5/100,0)),0)</f>
        <v>0</v>
      </c>
      <c r="AL44" s="38">
        <f>IF(AND(AL$7="○",$A44&gt;=AL$8,$A44&lt;=AL$9),IF(SUM(AL$10:AL43)-ROUNDDOWN($N44*AL$5/100,0)&lt;-AL$6,-AL$6-SUM(AL$10:AL43),-ROUNDDOWN($N44*AL$5/100,0)),0)</f>
        <v>0</v>
      </c>
      <c r="AM44" s="38">
        <f>IF(AND(AM$7="○",$A44&gt;=AM$8,$A44&lt;=AM$9),IF(SUM(AM$10:AM43)-ROUNDDOWN($L44*AM$5/100,0)&lt;-AM$6,-AM$6-SUM(AM$10:AM43),-ROUNDDOWN($L44*AM$5/100,0)),0)</f>
        <v>0</v>
      </c>
      <c r="AN44" s="38">
        <f>IF(AND(AN$7="○",$A44&gt;=AN$8,$A44&lt;=AN$9),IF(SUM(AN$10:AN43)-ROUNDDOWN($M44*AN$5/100,0)&lt;-AN$6,-AN$6-SUM(AN$10:AN43),-ROUNDDOWN($M44*AN$5/100,0)),0)</f>
        <v>0</v>
      </c>
      <c r="AO44" s="38">
        <f>IF(AND($A44&gt;=AO$8,$A44&lt;=AO$9),IF(SUM(AO$10:AO43)-ROUNDDOWN($K44*AO$5/100,0)&lt;-AO$6,-AO$6-SUM(AO$10:AO43),-ROUNDDOWN($K44*AO$5/100,0)),0)</f>
        <v>0</v>
      </c>
      <c r="AP44" s="38">
        <f>IF(AND($A44&gt;=AP$8,$A44&lt;=AP$9),IF(SUM(AP$10:AP43)-ROUNDDOWN($K44*AP$5/100,0)&lt;-AP$6,-AP$6-SUM(AP$10:AP43),-ROUNDDOWN($K44*AP$5/100,0)),0)</f>
        <v>0</v>
      </c>
      <c r="AQ44" s="38">
        <f>IF(AND($A44&gt;=AQ$8,$A44&lt;=AQ$9),IF(SUM(AQ$10:AQ43)-ROUNDDOWN($K44*AQ$5/100,0)&lt;-AQ$6,-AQ$6-SUM(AQ$10:AQ43),-ROUNDDOWN($K44*AQ$5/100,0)),0)</f>
        <v>0</v>
      </c>
      <c r="AR44" s="38">
        <f>IF(AND($A44&gt;=AR$8,$A44&lt;=AR$9),IF(SUM(AR$10:AR43)-ROUNDDOWN($K44*AR$5/100,0)&lt;-AR$6,-AR$6-SUM(AR$10:AR43),-ROUNDDOWN($K44*AR$5/100,0)),0)</f>
        <v>0</v>
      </c>
      <c r="AS44" s="38">
        <f>IF(SUMIFS(AS$10:AS43,$A$10:$A43,$A44)-ROUNDDOWN($K44*$S44/100,0)&lt;-$S44*1000,-$S44*1000-SUMIFS(AS$10:AS43,$A$10:$A43,$A44),-ROUNDDOWN($K44*$S44/100,0))</f>
        <v>0</v>
      </c>
      <c r="AT44" s="38">
        <f>IF(AND(X44="○",$A44&gt;=AT$8,$A44&lt;=AT$9,K44&gt;=3980),IF(SUM(AT$10:AT43)-ROUNDDOWN($K44*AT$5/100,0)&lt;-AT$6,-AT$6-SUM(AT$10:AT43),-ROUNDDOWN($K44*AT$5/100,0)),0)</f>
        <v>0</v>
      </c>
      <c r="AU44" s="38">
        <f>IF(O44="○",IF(SUM(AU$10:AU43)-ROUNDDOWN($K44*AU$5/100,0)&lt;-AU$6,-AU$6-SUM(AU$10:AU43),-ROUNDDOWN($K44*AU$5/100,0)),0)</f>
        <v>0</v>
      </c>
      <c r="AV44" s="38">
        <f>IF(P44="○",IF(SUM(AV$10:AV43)-ROUNDDOWN($K44*AV$5/100,0)&lt;-AV$6,-AV$6-SUM(AV$10:AV43),-ROUNDDOWN($K44*AV$5/100,0)),0)</f>
        <v>0</v>
      </c>
      <c r="AW44" s="38">
        <f>IF(Q44="○",IF(SUM(AW$10:AW43)-ROUNDDOWN($K44*AW$5/100,0)&lt;-AW$6,-AW$6-SUM(AW$10:AW43),-ROUNDDOWN($K44*AW$5/100,0)),0)</f>
        <v>0</v>
      </c>
      <c r="AX44" s="38">
        <f>IF(R44="○",IF(SUM(AX$10:AX43)-ROUNDDOWN($K44*AX$5/100,0)&lt;-AX$6,-AX$6-SUM(AX$10:AX43),-ROUNDDOWN($K44*AX$5/100,0)),0)</f>
        <v>0</v>
      </c>
      <c r="AY44" s="70">
        <v>0</v>
      </c>
      <c r="AZ44" s="65">
        <f t="shared" si="41"/>
        <v>0</v>
      </c>
      <c r="BA44" s="65">
        <f t="shared" si="42"/>
        <v>0</v>
      </c>
      <c r="BB44" s="70"/>
      <c r="BC44" s="65">
        <f t="shared" si="43"/>
        <v>0</v>
      </c>
      <c r="BD44" s="70">
        <v>0</v>
      </c>
      <c r="BE44" s="65">
        <f t="shared" si="44"/>
        <v>0</v>
      </c>
      <c r="BF44" s="70">
        <v>0</v>
      </c>
      <c r="BG44" s="65">
        <f t="shared" si="45"/>
        <v>0</v>
      </c>
      <c r="BH44" s="70">
        <v>0</v>
      </c>
      <c r="BI44" s="65">
        <f t="shared" si="46"/>
        <v>0</v>
      </c>
      <c r="BJ44" s="38">
        <f>IF(AND(BJ$7="○",$A44&gt;=BJ$8,$A44&lt;=BJ$9),IF(SUM(BJ$10:BJ43)-ROUNDDOWN($M44*BJ$5/100,0)&lt;-BJ$6,-BJ$6-SUM(BJ$10:BJ43),-ROUNDDOWN($M44*BJ$5/100,0)),0)</f>
        <v>0</v>
      </c>
      <c r="BK44" s="38">
        <f>IF(AND(BK$7="○",$A44&gt;=BK$8,$A44&lt;=BK$9),IF(SUM(BK$10:BK43)-ROUNDDOWN($L44*BK$5/100,0)&lt;-BK$6,-BK$6-SUM(BK$10:BK43),-ROUNDDOWN($L44*BK$5/100,0)),0)</f>
        <v>0</v>
      </c>
      <c r="BL44" s="38">
        <f>IF(AND(BL$7="○",$A44&gt;=BL$8,$A44&lt;=BL$9),IF(SUM(BL$10:BL43)-ROUNDDOWN($L44*BL$5/100,0)&lt;-BL$6,-BL$6-SUM(BL$10:BL43),-ROUNDDOWN($L44*BL$5/100,0)),0)</f>
        <v>0</v>
      </c>
      <c r="BM44" s="38">
        <f>IF(AND(BM$7="○",$A44&gt;=BM$8,$A44&lt;=BM$9),IF(SUM(BM$10:BM43)-ROUNDDOWN($M44*BM$5/100,0)&lt;-BM$6,-BM$6-SUM(BM$10:BM43),-ROUNDDOWN($M44*BM$5/100,0)),0)</f>
        <v>0</v>
      </c>
      <c r="BN44" s="38">
        <f>IF(AND(BN$7="○",$A44&gt;=BN$8,$A44&lt;=BN$9),IF(SUM(BN$10:BN43)-ROUNDDOWN($M44*BN$5/100,0)&lt;-BN$6,-BN$6-SUM(BN$10:BN43),-ROUNDDOWN($M44*BN$5/100,0)),0)</f>
        <v>0</v>
      </c>
      <c r="BO44" s="38">
        <f>IF(AND(BO$7="○",$A44&gt;=BO$8,$A44&lt;=BO$9),IF(SUM(BO$10:BO43)-ROUNDDOWN($M44*BO$5/100,0)&lt;-BO$6,-BO$6-SUM(BO$10:BO43),-ROUNDDOWN($M44*BO$5/100,0)),0)</f>
        <v>0</v>
      </c>
      <c r="BP44" s="38">
        <f>IF(AND(BP$7="○",$A44&gt;=BP$8,$A44&lt;=BP$9),IF(SUM(BP$10:BP43)-ROUNDDOWN($M44*BP$5/100,0)&lt;-BP$6,-BP$6-SUM(BP$10:BP43),-ROUNDDOWN($M44*BP$5/100,0)),0)</f>
        <v>0</v>
      </c>
      <c r="BQ44" s="38">
        <f>IF(AND(BQ$7="○",$A44&gt;=BQ$8,$A44&lt;=BQ$9),IF(SUM(BQ$10:BQ43)-ROUNDDOWN($L44*BQ$5/100,0)&lt;-BQ$6,-BQ$6-SUM(BQ$10:BQ43),-ROUNDDOWN($L44*BQ$5/100,0)),0)</f>
        <v>0</v>
      </c>
      <c r="BR44" s="38">
        <f>IF(AND(BR$7="○",$A44&gt;=BR$8,$A44&lt;=BR$9),IF(SUM(BR$10:BR43)-ROUNDDOWN($M44*BR$5/100,0)&lt;-BR$6,-BR$6-SUM(BR$10:BR43),-ROUNDDOWN($M44*BR$5/100,0)),0)</f>
        <v>0</v>
      </c>
      <c r="BS44" s="38">
        <f>IF(AND(BS$7="○",$A44&gt;=BS$8,$A44&lt;=BS$9),IF(SUM(BS$10:BS43)-ROUNDDOWN($M44*BS$5/100,0)&lt;-BS$6,-BS$6-SUM(BS$10:BS43),-ROUNDDOWN($M44*BS$5/100,0)),0)</f>
        <v>0</v>
      </c>
      <c r="BT44" s="38">
        <f>IF(AND(BT$7="○",$A44&gt;=BT$8,$A44&lt;=BT$9),IF(SUM(BT$10:BT43)-ROUNDDOWN($M44*BT$5/100,0)&lt;-BT$6,-BT$6-SUM(BT$10:BT43),-ROUNDDOWN($M44*BT$5/100,0)),0)</f>
        <v>0</v>
      </c>
      <c r="BU44" s="38">
        <f>IF(AND(BU$7="○",$A44&gt;=BU$8,$A44&lt;=BU$9),IF(SUM(BU$10:BU43)-ROUNDDOWN($M44*BU$5/100,0)&lt;-BU$6,-BU$6-SUM(BU$10:BU43),-ROUNDDOWN($M44*BU$5/100,0)),0)</f>
        <v>0</v>
      </c>
      <c r="BV44" s="38">
        <f>IF(AND(BV$7="○",$A44&gt;=BV$8,$A44&lt;=BV$9),IF(SUM(BV$10:BV43)-ROUNDDOWN($M44*BV$5/100,0)&lt;-BV$6,-BV$6-SUM(BV$10:BV43),-ROUNDDOWN($M44*BV$5/100,0)),0)</f>
        <v>0</v>
      </c>
      <c r="BW44" s="38">
        <f>IF(AND(BW$7="○",$A44&gt;=BW$8,$A44&lt;=BW$9),IF(SUM(BW$10:BW43)-ROUNDDOWN($M44*BW$5/100,0)&lt;-BW$6,-BW$6-SUM(BW$10:BW43),-ROUNDDOWN($M44*BW$5/100,0)),0)</f>
        <v>0</v>
      </c>
      <c r="BX44" s="38">
        <f>IF(AND(T44="○",$A44&gt;=BX$8,$A44&lt;=BX$9),IF(SUM(BX$10:BX43)-ROUNDDOWN($K44*BX$5/100,0)&lt;-BX$6,-BX$6-SUM(BX$10:BX43),-ROUNDDOWN($K44*BX$5/100,0)),0)</f>
        <v>0</v>
      </c>
      <c r="BY44" s="38">
        <f>IF(AND(U44="○",$A44&gt;=BY$8,$A44&lt;=BY$9),IF(SUM(BY$10:BY43)-ROUNDDOWN($K44*BY$5/100,0)&lt;-BY$6,-BY$6-SUM(BY$10:BY43),-ROUNDDOWN($K44*BY$5/100,0)),0)</f>
        <v>0</v>
      </c>
      <c r="BZ44" s="38">
        <f>IF(AND(V44="○",$A44&gt;=BZ$8,$A44&lt;=BZ$9),IF(SUM(BZ$10:BZ43)-ROUNDDOWN($K44*BZ$5/100,0)&lt;-BZ$6,-BZ$6-SUM(BZ$10:BZ43),-ROUNDDOWN($K44*BZ$5/100,0)),0)</f>
        <v>0</v>
      </c>
      <c r="CA44" s="38">
        <f>IF(AND(W44="○",$A44&gt;=CA$8,$A44&lt;=CA$9),IF(SUM(CA$10:CA43)-ROUNDDOWN($K44*CA$5/100,0)&lt;-CA$6,-CA$6-SUM(CA$10:CA43),-ROUNDDOWN($K44*CA$5/100,0)),0)</f>
        <v>0</v>
      </c>
      <c r="CB44" s="38"/>
      <c r="CC44" s="38"/>
      <c r="CD44" s="38"/>
      <c r="CE44" s="38"/>
      <c r="CF44" s="38"/>
      <c r="CG44" s="65">
        <f t="shared" si="47"/>
        <v>0</v>
      </c>
      <c r="CH44" s="71">
        <f t="shared" si="48"/>
        <v>0</v>
      </c>
      <c r="CI44" s="1">
        <f t="shared" si="19"/>
        <v>0</v>
      </c>
      <c r="CJ44" s="1"/>
      <c r="CK44" s="79"/>
      <c r="CL44" s="79"/>
      <c r="CM44" s="2"/>
      <c r="CN44" s="2"/>
      <c r="CO44" s="73">
        <f t="shared" si="20"/>
        <v>0</v>
      </c>
      <c r="CP44" s="5">
        <f t="shared" si="21"/>
        <v>0</v>
      </c>
      <c r="CQ44" s="1"/>
      <c r="CR44" s="1">
        <f t="shared" si="22"/>
        <v>0</v>
      </c>
      <c r="CS44" s="1"/>
      <c r="CT44" s="1" t="e">
        <f>INDEX([2]マスタ!$A:$A,MATCH(D44,[2]マスタ!$C:$C,0))</f>
        <v>#N/A</v>
      </c>
      <c r="CU44" s="1" t="str">
        <f t="shared" ca="1" si="23"/>
        <v>20260620_0-0</v>
      </c>
    </row>
    <row r="45" spans="1:99" x14ac:dyDescent="0.4">
      <c r="A45" s="61"/>
      <c r="B45" s="62"/>
      <c r="C45" s="62"/>
      <c r="D45" s="62"/>
      <c r="E45" s="63"/>
      <c r="F45" s="62"/>
      <c r="G45" s="62">
        <v>1</v>
      </c>
      <c r="H45" s="64">
        <f t="shared" si="4"/>
        <v>0</v>
      </c>
      <c r="I45" s="64"/>
      <c r="J45" s="64"/>
      <c r="K45" s="65">
        <f t="shared" si="49"/>
        <v>0</v>
      </c>
      <c r="L45" s="65">
        <f t="shared" si="6"/>
        <v>0</v>
      </c>
      <c r="M45" s="65">
        <f t="shared" si="7"/>
        <v>0</v>
      </c>
      <c r="N45" s="65">
        <f t="shared" si="8"/>
        <v>0</v>
      </c>
      <c r="O45" s="66" t="str">
        <f t="shared" si="9"/>
        <v>✕</v>
      </c>
      <c r="P45" s="67" t="str">
        <f t="shared" si="10"/>
        <v>○</v>
      </c>
      <c r="Q45" s="67" t="str">
        <f t="shared" si="50"/>
        <v>✕</v>
      </c>
      <c r="R45" s="67" t="str">
        <f t="shared" si="12"/>
        <v>✕</v>
      </c>
      <c r="S45" s="68">
        <v>0</v>
      </c>
      <c r="T45" s="69" t="s">
        <v>85</v>
      </c>
      <c r="U45" s="69" t="s">
        <v>85</v>
      </c>
      <c r="V45" s="69" t="s">
        <v>85</v>
      </c>
      <c r="W45" s="69" t="s">
        <v>85</v>
      </c>
      <c r="X45" s="69" t="s">
        <v>84</v>
      </c>
      <c r="Y45" s="69" t="s">
        <v>85</v>
      </c>
      <c r="Z45" s="69" t="s">
        <v>85</v>
      </c>
      <c r="AA45" s="69" t="s">
        <v>85</v>
      </c>
      <c r="AB45" s="69" t="s">
        <v>85</v>
      </c>
      <c r="AC45" s="69" t="s">
        <v>85</v>
      </c>
      <c r="AD45" s="38" t="str">
        <f>+IF(ISERROR(VLOOKUP($B45,AD$10:AD44,1,0)),IF(AND($N45&gt;=1000,$A45&gt;=AO$8,$A45&lt;=AO$9),$B45,""),"")</f>
        <v/>
      </c>
      <c r="AE45" s="38" t="str">
        <f>+IF(ISERROR(VLOOKUP($B45,AE$10:AE44,1,0)),IF(AND($N45&gt;=1000,$A45&gt;=AP$8,$A45&lt;=AP$9),$B45,""),"")</f>
        <v/>
      </c>
      <c r="AF45" s="38" t="str">
        <f>+IF(ISERROR(VLOOKUP($B45,AF$10:AF44,1,0)),IF(AND($N45&gt;=1000,$A45&gt;=AQ$8,$A45&lt;=AQ$9),$B45,""),"")</f>
        <v/>
      </c>
      <c r="AG45" s="38" t="str">
        <f>+IF(ISERROR(VLOOKUP($B45,AG$10:AG44,1,0)),IF(AND($N45&gt;=1000,$A45&gt;=AR$8,$A45&lt;=AR$9),$B45,""),"")</f>
        <v/>
      </c>
      <c r="AH45" s="38"/>
      <c r="AI45" s="70">
        <v>0</v>
      </c>
      <c r="AJ45" s="38">
        <f>IF(AND(AJ$7="○",$A45&gt;=AJ$8,$A45&lt;=AJ$9),IF(SUM(AJ$10:AJ44)-ROUNDDOWN($K45*AJ$5/100,0)&lt;-AJ$6,-AJ$6-SUM(AJ$10:AJ44),-ROUNDDOWN($K45*AJ$5/100,0)),0)</f>
        <v>0</v>
      </c>
      <c r="AK45" s="38">
        <f>IF(AND(AK$7="○",$A45&gt;=AK$8,$A45&lt;=AK$9),IF(SUM(AK$10:AK44)-ROUNDDOWN($L45*AK$5/100,0)&lt;-AK$6,-AK$6-SUM(AK$10:AK44),-ROUNDDOWN($L45*AK$5/100,0)),0)</f>
        <v>0</v>
      </c>
      <c r="AL45" s="38">
        <f>IF(AND(AL$7="○",$A45&gt;=AL$8,$A45&lt;=AL$9),IF(SUM(AL$10:AL44)-ROUNDDOWN($N45*AL$5/100,0)&lt;-AL$6,-AL$6-SUM(AL$10:AL44),-ROUNDDOWN($N45*AL$5/100,0)),0)</f>
        <v>0</v>
      </c>
      <c r="AM45" s="38">
        <f>IF(AND(AM$7="○",$A45&gt;=AM$8,$A45&lt;=AM$9),IF(SUM(AM$10:AM44)-ROUNDDOWN($L45*AM$5/100,0)&lt;-AM$6,-AM$6-SUM(AM$10:AM44),-ROUNDDOWN($L45*AM$5/100,0)),0)</f>
        <v>0</v>
      </c>
      <c r="AN45" s="38">
        <f>IF(AND(AN$7="○",$A45&gt;=AN$8,$A45&lt;=AN$9),IF(SUM(AN$10:AN44)-ROUNDDOWN($M45*AN$5/100,0)&lt;-AN$6,-AN$6-SUM(AN$10:AN44),-ROUNDDOWN($M45*AN$5/100,0)),0)</f>
        <v>0</v>
      </c>
      <c r="AO45" s="38">
        <f>IF(AND($A45&gt;=AO$8,$A45&lt;=AO$9),IF(SUM(AO$10:AO44)-ROUNDDOWN($K45*AO$5/100,0)&lt;-AO$6,-AO$6-SUM(AO$10:AO44),-ROUNDDOWN($K45*AO$5/100,0)),0)</f>
        <v>0</v>
      </c>
      <c r="AP45" s="38">
        <f>IF(AND($A45&gt;=AP$8,$A45&lt;=AP$9),IF(SUM(AP$10:AP44)-ROUNDDOWN($K45*AP$5/100,0)&lt;-AP$6,-AP$6-SUM(AP$10:AP44),-ROUNDDOWN($K45*AP$5/100,0)),0)</f>
        <v>0</v>
      </c>
      <c r="AQ45" s="38">
        <f>IF(AND($A45&gt;=AQ$8,$A45&lt;=AQ$9),IF(SUM(AQ$10:AQ44)-ROUNDDOWN($K45*AQ$5/100,0)&lt;-AQ$6,-AQ$6-SUM(AQ$10:AQ44),-ROUNDDOWN($K45*AQ$5/100,0)),0)</f>
        <v>0</v>
      </c>
      <c r="AR45" s="38">
        <f>IF(AND($A45&gt;=AR$8,$A45&lt;=AR$9),IF(SUM(AR$10:AR44)-ROUNDDOWN($K45*AR$5/100,0)&lt;-AR$6,-AR$6-SUM(AR$10:AR44),-ROUNDDOWN($K45*AR$5/100,0)),0)</f>
        <v>0</v>
      </c>
      <c r="AS45" s="38">
        <f>IF(SUMIFS(AS$10:AS44,$A$10:$A44,$A45)-ROUNDDOWN($K45*$S45/100,0)&lt;-$S45*1000,-$S45*1000-SUMIFS(AS$10:AS44,$A$10:$A44,$A45),-ROUNDDOWN($K45*$S45/100,0))</f>
        <v>0</v>
      </c>
      <c r="AT45" s="38">
        <f>IF(AND(X45="○",$A45&gt;=AT$8,$A45&lt;=AT$9,K45&gt;=3980),IF(SUM(AT$10:AT44)-ROUNDDOWN($K45*AT$5/100,0)&lt;-AT$6,-AT$6-SUM(AT$10:AT44),-ROUNDDOWN($K45*AT$5/100,0)),0)</f>
        <v>0</v>
      </c>
      <c r="AU45" s="38">
        <f>IF(O45="○",IF(SUM(AU$10:AU44)-ROUNDDOWN($K45*AU$5/100,0)&lt;-AU$6,-AU$6-SUM(AU$10:AU44),-ROUNDDOWN($K45*AU$5/100,0)),0)</f>
        <v>0</v>
      </c>
      <c r="AV45" s="38">
        <f>IF(P45="○",IF(SUM(AV$10:AV44)-ROUNDDOWN($K45*AV$5/100,0)&lt;-AV$6,-AV$6-SUM(AV$10:AV44),-ROUNDDOWN($K45*AV$5/100,0)),0)</f>
        <v>0</v>
      </c>
      <c r="AW45" s="38">
        <f>IF(Q45="○",IF(SUM(AW$10:AW44)-ROUNDDOWN($K45*AW$5/100,0)&lt;-AW$6,-AW$6-SUM(AW$10:AW44),-ROUNDDOWN($K45*AW$5/100,0)),0)</f>
        <v>0</v>
      </c>
      <c r="AX45" s="38">
        <f>IF(R45="○",IF(SUM(AX$10:AX44)-ROUNDDOWN($K45*AX$5/100,0)&lt;-AX$6,-AX$6-SUM(AX$10:AX44),-ROUNDDOWN($K45*AX$5/100,0)),0)</f>
        <v>0</v>
      </c>
      <c r="AY45" s="70">
        <v>0</v>
      </c>
      <c r="AZ45" s="65">
        <f t="shared" si="41"/>
        <v>0</v>
      </c>
      <c r="BA45" s="65">
        <f t="shared" si="42"/>
        <v>0</v>
      </c>
      <c r="BB45" s="70"/>
      <c r="BC45" s="65">
        <f t="shared" si="43"/>
        <v>0</v>
      </c>
      <c r="BD45" s="70">
        <v>0</v>
      </c>
      <c r="BE45" s="65">
        <f t="shared" si="44"/>
        <v>0</v>
      </c>
      <c r="BF45" s="70">
        <v>0</v>
      </c>
      <c r="BG45" s="65">
        <f t="shared" si="45"/>
        <v>0</v>
      </c>
      <c r="BH45" s="70">
        <v>0</v>
      </c>
      <c r="BI45" s="65">
        <f t="shared" si="46"/>
        <v>0</v>
      </c>
      <c r="BJ45" s="38">
        <f>IF(AND(BJ$7="○",$A45&gt;=BJ$8,$A45&lt;=BJ$9),IF(SUM(BJ$10:BJ44)-ROUNDDOWN($M45*BJ$5/100,0)&lt;-BJ$6,-BJ$6-SUM(BJ$10:BJ44),-ROUNDDOWN($M45*BJ$5/100,0)),0)</f>
        <v>0</v>
      </c>
      <c r="BK45" s="38">
        <f>IF(AND(BK$7="○",$A45&gt;=BK$8,$A45&lt;=BK$9),IF(SUM(BK$10:BK44)-ROUNDDOWN($L45*BK$5/100,0)&lt;-BK$6,-BK$6-SUM(BK$10:BK44),-ROUNDDOWN($L45*BK$5/100,0)),0)</f>
        <v>0</v>
      </c>
      <c r="BL45" s="38">
        <f>IF(AND(BL$7="○",$A45&gt;=BL$8,$A45&lt;=BL$9),IF(SUM(BL$10:BL44)-ROUNDDOWN($L45*BL$5/100,0)&lt;-BL$6,-BL$6-SUM(BL$10:BL44),-ROUNDDOWN($L45*BL$5/100,0)),0)</f>
        <v>0</v>
      </c>
      <c r="BM45" s="38">
        <f>IF(AND(BM$7="○",$A45&gt;=BM$8,$A45&lt;=BM$9),IF(SUM(BM$10:BM44)-ROUNDDOWN($M45*BM$5/100,0)&lt;-BM$6,-BM$6-SUM(BM$10:BM44),-ROUNDDOWN($M45*BM$5/100,0)),0)</f>
        <v>0</v>
      </c>
      <c r="BN45" s="38">
        <f>IF(AND(BN$7="○",$A45&gt;=BN$8,$A45&lt;=BN$9),IF(SUM(BN$10:BN44)-ROUNDDOWN($M45*BN$5/100,0)&lt;-BN$6,-BN$6-SUM(BN$10:BN44),-ROUNDDOWN($M45*BN$5/100,0)),0)</f>
        <v>0</v>
      </c>
      <c r="BO45" s="38">
        <f>IF(AND(BO$7="○",$A45&gt;=BO$8,$A45&lt;=BO$9),IF(SUM(BO$10:BO44)-ROUNDDOWN($M45*BO$5/100,0)&lt;-BO$6,-BO$6-SUM(BO$10:BO44),-ROUNDDOWN($M45*BO$5/100,0)),0)</f>
        <v>0</v>
      </c>
      <c r="BP45" s="38">
        <f>IF(AND(BP$7="○",$A45&gt;=BP$8,$A45&lt;=BP$9),IF(SUM(BP$10:BP44)-ROUNDDOWN($M45*BP$5/100,0)&lt;-BP$6,-BP$6-SUM(BP$10:BP44),-ROUNDDOWN($M45*BP$5/100,0)),0)</f>
        <v>0</v>
      </c>
      <c r="BQ45" s="38">
        <f>IF(AND(BQ$7="○",$A45&gt;=BQ$8,$A45&lt;=BQ$9),IF(SUM(BQ$10:BQ44)-ROUNDDOWN($L45*BQ$5/100,0)&lt;-BQ$6,-BQ$6-SUM(BQ$10:BQ44),-ROUNDDOWN($L45*BQ$5/100,0)),0)</f>
        <v>0</v>
      </c>
      <c r="BR45" s="38">
        <f>IF(AND(BR$7="○",$A45&gt;=BR$8,$A45&lt;=BR$9),IF(SUM(BR$10:BR44)-ROUNDDOWN($M45*BR$5/100,0)&lt;-BR$6,-BR$6-SUM(BR$10:BR44),-ROUNDDOWN($M45*BR$5/100,0)),0)</f>
        <v>0</v>
      </c>
      <c r="BS45" s="38">
        <f>IF(AND(BS$7="○",$A45&gt;=BS$8,$A45&lt;=BS$9),IF(SUM(BS$10:BS44)-ROUNDDOWN($M45*BS$5/100,0)&lt;-BS$6,-BS$6-SUM(BS$10:BS44),-ROUNDDOWN($M45*BS$5/100,0)),0)</f>
        <v>0</v>
      </c>
      <c r="BT45" s="38">
        <f>IF(AND(BT$7="○",$A45&gt;=BT$8,$A45&lt;=BT$9),IF(SUM(BT$10:BT44)-ROUNDDOWN($M45*BT$5/100,0)&lt;-BT$6,-BT$6-SUM(BT$10:BT44),-ROUNDDOWN($M45*BT$5/100,0)),0)</f>
        <v>0</v>
      </c>
      <c r="BU45" s="38">
        <f>IF(AND(BU$7="○",$A45&gt;=BU$8,$A45&lt;=BU$9),IF(SUM(BU$10:BU44)-ROUNDDOWN($M45*BU$5/100,0)&lt;-BU$6,-BU$6-SUM(BU$10:BU44),-ROUNDDOWN($M45*BU$5/100,0)),0)</f>
        <v>0</v>
      </c>
      <c r="BV45" s="38">
        <f>IF(AND(BV$7="○",$A45&gt;=BV$8,$A45&lt;=BV$9),IF(SUM(BV$10:BV44)-ROUNDDOWN($M45*BV$5/100,0)&lt;-BV$6,-BV$6-SUM(BV$10:BV44),-ROUNDDOWN($M45*BV$5/100,0)),0)</f>
        <v>0</v>
      </c>
      <c r="BW45" s="38">
        <f>IF(AND(BW$7="○",$A45&gt;=BW$8,$A45&lt;=BW$9),IF(SUM(BW$10:BW44)-ROUNDDOWN($M45*BW$5/100,0)&lt;-BW$6,-BW$6-SUM(BW$10:BW44),-ROUNDDOWN($M45*BW$5/100,0)),0)</f>
        <v>0</v>
      </c>
      <c r="BX45" s="38">
        <f>IF(AND(T45="○",$A45&gt;=BX$8,$A45&lt;=BX$9),IF(SUM(BX$10:BX44)-ROUNDDOWN($K45*BX$5/100,0)&lt;-BX$6,-BX$6-SUM(BX$10:BX44),-ROUNDDOWN($K45*BX$5/100,0)),0)</f>
        <v>0</v>
      </c>
      <c r="BY45" s="38">
        <f>IF(AND(U45="○",$A45&gt;=BY$8,$A45&lt;=BY$9),IF(SUM(BY$10:BY44)-ROUNDDOWN($K45*BY$5/100,0)&lt;-BY$6,-BY$6-SUM(BY$10:BY44),-ROUNDDOWN($K45*BY$5/100,0)),0)</f>
        <v>0</v>
      </c>
      <c r="BZ45" s="38">
        <f>IF(AND(V45="○",$A45&gt;=BZ$8,$A45&lt;=BZ$9),IF(SUM(BZ$10:BZ44)-ROUNDDOWN($K45*BZ$5/100,0)&lt;-BZ$6,-BZ$6-SUM(BZ$10:BZ44),-ROUNDDOWN($K45*BZ$5/100,0)),0)</f>
        <v>0</v>
      </c>
      <c r="CA45" s="38">
        <f>IF(AND(W45="○",$A45&gt;=CA$8,$A45&lt;=CA$9),IF(SUM(CA$10:CA44)-ROUNDDOWN($K45*CA$5/100,0)&lt;-CA$6,-CA$6-SUM(CA$10:CA44),-ROUNDDOWN($K45*CA$5/100,0)),0)</f>
        <v>0</v>
      </c>
      <c r="CB45" s="38"/>
      <c r="CC45" s="38"/>
      <c r="CD45" s="38"/>
      <c r="CE45" s="38"/>
      <c r="CF45" s="38"/>
      <c r="CG45" s="65">
        <f t="shared" si="47"/>
        <v>0</v>
      </c>
      <c r="CH45" s="71">
        <f t="shared" si="48"/>
        <v>0</v>
      </c>
      <c r="CI45" s="1">
        <f t="shared" si="19"/>
        <v>0</v>
      </c>
      <c r="CJ45" s="1"/>
      <c r="CK45" s="2"/>
      <c r="CL45" s="2"/>
      <c r="CM45" s="2"/>
      <c r="CN45" s="2"/>
      <c r="CO45" s="73">
        <f t="shared" si="20"/>
        <v>0</v>
      </c>
      <c r="CP45" s="5">
        <f t="shared" si="21"/>
        <v>0</v>
      </c>
      <c r="CQ45" s="1"/>
      <c r="CR45" s="1">
        <f t="shared" si="22"/>
        <v>0</v>
      </c>
      <c r="CS45" s="1"/>
      <c r="CT45" s="1" t="e">
        <f>INDEX([2]マスタ!$A:$A,MATCH(D45,[2]マスタ!$C:$C,0))</f>
        <v>#N/A</v>
      </c>
      <c r="CU45" s="1" t="str">
        <f t="shared" ca="1" si="23"/>
        <v>20260620_0-0</v>
      </c>
    </row>
    <row r="46" spans="1:99" x14ac:dyDescent="0.4">
      <c r="A46" s="61"/>
      <c r="B46" s="62"/>
      <c r="C46" s="62"/>
      <c r="D46" s="62"/>
      <c r="E46" s="74"/>
      <c r="F46" s="62"/>
      <c r="G46" s="62">
        <v>1</v>
      </c>
      <c r="H46" s="64">
        <f t="shared" ref="H46:H75" si="56">+F46*G46</f>
        <v>0</v>
      </c>
      <c r="I46" s="64"/>
      <c r="J46" s="64"/>
      <c r="K46" s="65">
        <f t="shared" ref="K46:K57" si="57">+ROUNDDOWN((H46+I46)/100,0)*100</f>
        <v>0</v>
      </c>
      <c r="L46" s="65">
        <f t="shared" ref="L46:L75" si="58">+ROUNDDOWN((H46+I46)/1.1/100,0)*100</f>
        <v>0</v>
      </c>
      <c r="M46" s="65">
        <f t="shared" ref="M46:M75" si="59">+ROUNDDOWN((H46+I46)/1.1/200,0)*200</f>
        <v>0</v>
      </c>
      <c r="N46" s="65">
        <f t="shared" ref="N46:N75" si="60">+H46+I46+J46</f>
        <v>0</v>
      </c>
      <c r="O46" s="66" t="str">
        <f t="shared" ref="O46:O75" si="61">IF(OR(WEEKDAY($A46,2)=2,WEEKDAY($A46,2)=4),"○","✕")</f>
        <v>✕</v>
      </c>
      <c r="P46" s="67" t="str">
        <f t="shared" ref="P46:P75" si="62">+IF(MOD(TEXT($A46,"DD"),5)=0,"○","✕")</f>
        <v>○</v>
      </c>
      <c r="Q46" s="67" t="str">
        <f t="shared" ref="Q46:Q57" si="63">+IF((TEXT($A46,"DD")+0)=1,"○","✕")</f>
        <v>✕</v>
      </c>
      <c r="R46" s="67" t="str">
        <f t="shared" ref="R46:R75" si="64">+IF((TEXT($A46,"DD")+0)=18,"○","✕")</f>
        <v>✕</v>
      </c>
      <c r="S46" s="68">
        <v>0</v>
      </c>
      <c r="T46" s="69" t="s">
        <v>85</v>
      </c>
      <c r="U46" s="69" t="s">
        <v>85</v>
      </c>
      <c r="V46" s="69" t="s">
        <v>85</v>
      </c>
      <c r="W46" s="69" t="s">
        <v>85</v>
      </c>
      <c r="X46" s="69" t="s">
        <v>84</v>
      </c>
      <c r="Y46" s="69" t="s">
        <v>85</v>
      </c>
      <c r="Z46" s="69" t="s">
        <v>85</v>
      </c>
      <c r="AA46" s="69" t="s">
        <v>85</v>
      </c>
      <c r="AB46" s="69" t="s">
        <v>85</v>
      </c>
      <c r="AC46" s="69" t="s">
        <v>85</v>
      </c>
      <c r="AD46" s="38" t="str">
        <f>+IF(ISERROR(VLOOKUP($B46,#REF!,1,0)),IF(AND($N46&gt;=1000,$A46&gt;=AO$8,$A46&lt;=AO$9),$B46,""),"")</f>
        <v/>
      </c>
      <c r="AE46" s="38" t="str">
        <f>+IF(ISERROR(VLOOKUP($B46,#REF!,1,0)),IF(AND($N46&gt;=1000,$A46&gt;=AP$8,$A46&lt;=AP$9),$B46,""),"")</f>
        <v/>
      </c>
      <c r="AF46" s="38" t="str">
        <f>+IF(ISERROR(VLOOKUP($B46,#REF!,1,0)),IF(AND($N46&gt;=1000,$A46&gt;=AQ$8,$A46&lt;=AQ$9),$B46,""),"")</f>
        <v/>
      </c>
      <c r="AG46" s="38" t="str">
        <f>+IF(ISERROR(VLOOKUP($B46,#REF!,1,0)),IF(AND($N46&gt;=1000,$A46&gt;=AR$8,$A46&lt;=AR$9),$B46,""),"")</f>
        <v/>
      </c>
      <c r="AH46" s="38"/>
      <c r="AI46" s="70">
        <v>0</v>
      </c>
      <c r="AJ46" s="38">
        <f>IF(AND(AJ$7="○",$A46&gt;=AJ$8,$A46&lt;=AJ$9),IF(SUM(AJ$10:AJ45)-ROUNDDOWN($K46*AJ$5/100,0)&lt;-AJ$6,-AJ$6-SUM(AJ$10:AJ45),-ROUNDDOWN($K46*AJ$5/100,0)),0)</f>
        <v>0</v>
      </c>
      <c r="AK46" s="38">
        <f>IF(AND(AK$7="○",$A46&gt;=AK$8,$A46&lt;=AK$9),IF(SUM(AK$10:AK45)-ROUNDDOWN($L46*AK$5/100,0)&lt;-AK$6,-AK$6-SUM(AK$10:AK45),-ROUNDDOWN($L46*AK$5/100,0)),0)</f>
        <v>0</v>
      </c>
      <c r="AL46" s="38">
        <f>IF(AND(AL$7="○",$A46&gt;=AL$8,$A46&lt;=AL$9),IF(SUM(AL$10:AL45)-ROUNDDOWN($N46*AL$5/100,0)&lt;-AL$6,-AL$6-SUM(AL$10:AL45),-ROUNDDOWN($N46*AL$5/100,0)),0)</f>
        <v>0</v>
      </c>
      <c r="AM46" s="38">
        <f>IF(AND(AM$7="○",$A46&gt;=AM$8,$A46&lt;=AM$9),IF(SUM(AM$10:AM45)-ROUNDDOWN($L46*AM$5/100,0)&lt;-AM$6,-AM$6-SUM(AM$10:AM45),-ROUNDDOWN($L46*AM$5/100,0)),0)</f>
        <v>0</v>
      </c>
      <c r="AN46" s="38">
        <f>IF(AND(AN$7="○",$A46&gt;=AN$8,$A46&lt;=AN$9),IF(SUM(AN$10:AN45)-ROUNDDOWN($M46*AN$5/100,0)&lt;-AN$6,-AN$6-SUM(AN$10:AN45),-ROUNDDOWN($M46*AN$5/100,0)),0)</f>
        <v>0</v>
      </c>
      <c r="AO46" s="38">
        <f>IF(AND($A46&gt;=AO$8,$A46&lt;=AO$9),IF(SUM(AO$10:AO45)-ROUNDDOWN($K46*AO$5/100,0)&lt;-AO$6,-AO$6-SUM(AO$10:AO45),-ROUNDDOWN($K46*AO$5/100,0)),0)</f>
        <v>0</v>
      </c>
      <c r="AP46" s="38">
        <f>IF(AND($A46&gt;=AP$8,$A46&lt;=AP$9),IF(SUM(AP$10:AP45)-ROUNDDOWN($K46*AP$5/100,0)&lt;-AP$6,-AP$6-SUM(AP$10:AP45),-ROUNDDOWN($K46*AP$5/100,0)),0)</f>
        <v>0</v>
      </c>
      <c r="AQ46" s="38">
        <f>IF(AND($A46&gt;=AQ$8,$A46&lt;=AQ$9),IF(SUM(AQ$10:AQ45)-ROUNDDOWN($K46*AQ$5/100,0)&lt;-AQ$6,-AQ$6-SUM(AQ$10:AQ45),-ROUNDDOWN($K46*AQ$5/100,0)),0)</f>
        <v>0</v>
      </c>
      <c r="AR46" s="38">
        <f>IF(AND($A46&gt;=AR$8,$A46&lt;=AR$9),IF(SUM(AR$10:AR45)-ROUNDDOWN($K46*AR$5/100,0)&lt;-AR$6,-AR$6-SUM(AR$10:AR45),-ROUNDDOWN($K46*AR$5/100,0)),0)</f>
        <v>0</v>
      </c>
      <c r="AS46" s="38">
        <f>IF(SUMIFS(AS$10:AS45,$A$10:$A45,$A46)-ROUNDDOWN($K46*$S46/100,0)&lt;-$S46*1000,-$S46*1000-SUMIFS(AS$10:AS45,$A$10:$A45,$A46),-ROUNDDOWN($K46*$S46/100,0))</f>
        <v>0</v>
      </c>
      <c r="AT46" s="38">
        <f>IF(AND(X46="○",$A46&gt;=AT$8,$A46&lt;=AT$9,K46&gt;=3980),IF(SUM(AT$10:AT45)-ROUNDDOWN($K46*AT$5/100,0)&lt;-AT$6,-AT$6-SUM(AT$10:AT45),-ROUNDDOWN($K46*AT$5/100,0)),0)</f>
        <v>0</v>
      </c>
      <c r="AU46" s="38">
        <f>IF(O46="○",IF(SUM(AU$10:AU45)-ROUNDDOWN($K46*AU$5/100,0)&lt;-AU$6,-AU$6-SUM(AU$10:AU45),-ROUNDDOWN($K46*AU$5/100,0)),0)</f>
        <v>0</v>
      </c>
      <c r="AV46" s="38">
        <f>IF(P46="○",IF(SUM(AV$10:AV45)-ROUNDDOWN($K46*AV$5/100,0)&lt;-AV$6,-AV$6-SUM(AV$10:AV45),-ROUNDDOWN($K46*AV$5/100,0)),0)</f>
        <v>0</v>
      </c>
      <c r="AW46" s="38">
        <f>IF(Q46="○",IF(SUM(AW$10:AW45)-ROUNDDOWN($K46*AW$5/100,0)&lt;-AW$6,-AW$6-SUM(AW$10:AW45),-ROUNDDOWN($K46*AW$5/100,0)),0)</f>
        <v>0</v>
      </c>
      <c r="AX46" s="38">
        <f>IF(R46="○",IF(SUM(AX$10:AX45)-ROUNDDOWN($K46*AX$5/100,0)&lt;-AX$6,-AX$6-SUM(AX$10:AX45),-ROUNDDOWN($K46*AX$5/100,0)),0)</f>
        <v>0</v>
      </c>
      <c r="AY46" s="70">
        <v>0</v>
      </c>
      <c r="AZ46" s="65">
        <f t="shared" si="41"/>
        <v>0</v>
      </c>
      <c r="BA46" s="65">
        <f t="shared" si="42"/>
        <v>0</v>
      </c>
      <c r="BB46" s="70"/>
      <c r="BC46" s="65">
        <f t="shared" si="43"/>
        <v>0</v>
      </c>
      <c r="BD46" s="70">
        <v>0</v>
      </c>
      <c r="BE46" s="65">
        <f t="shared" si="44"/>
        <v>0</v>
      </c>
      <c r="BF46" s="70">
        <v>0</v>
      </c>
      <c r="BG46" s="65">
        <f t="shared" si="45"/>
        <v>0</v>
      </c>
      <c r="BH46" s="70">
        <v>0</v>
      </c>
      <c r="BI46" s="65">
        <f t="shared" si="46"/>
        <v>0</v>
      </c>
      <c r="BJ46" s="38">
        <f>IF(AND(BJ$7="○",$A46&gt;=BJ$8,$A46&lt;=BJ$9),IF(SUM(BJ$10:BJ45)-ROUNDDOWN($M46*BJ$5/100,0)&lt;-BJ$6,-BJ$6-SUM(BJ$10:BJ45),-ROUNDDOWN($M46*BJ$5/100,0)),0)</f>
        <v>0</v>
      </c>
      <c r="BK46" s="38">
        <f>IF(AND(BK$7="○",$A46&gt;=BK$8,$A46&lt;=BK$9),IF(SUM(BK$10:BK45)-ROUNDDOWN($L46*BK$5/100,0)&lt;-BK$6,-BK$6-SUM(BK$10:BK45),-ROUNDDOWN($L46*BK$5/100,0)),0)</f>
        <v>0</v>
      </c>
      <c r="BL46" s="38">
        <f>IF(AND(BL$7="○",$A46&gt;=BL$8,$A46&lt;=BL$9),IF(SUM(BL$10:BL45)-ROUNDDOWN($L46*BL$5/100,0)&lt;-BL$6,-BL$6-SUM(BL$10:BL45),-ROUNDDOWN($L46*BL$5/100,0)),0)</f>
        <v>0</v>
      </c>
      <c r="BM46" s="38">
        <f>IF(AND(BM$7="○",$A46&gt;=BM$8,$A46&lt;=BM$9),IF(SUM(BM$10:BM45)-ROUNDDOWN($M46*BM$5/100,0)&lt;-BM$6,-BM$6-SUM(BM$10:BM45),-ROUNDDOWN($M46*BM$5/100,0)),0)</f>
        <v>0</v>
      </c>
      <c r="BN46" s="38">
        <f>IF(AND(BN$7="○",$A46&gt;=BN$8,$A46&lt;=BN$9),IF(SUM(BN$10:BN45)-ROUNDDOWN($M46*BN$5/100,0)&lt;-BN$6,-BN$6-SUM(BN$10:BN45),-ROUNDDOWN($M46*BN$5/100,0)),0)</f>
        <v>0</v>
      </c>
      <c r="BO46" s="38">
        <f>IF(AND(BO$7="○",$A46&gt;=BO$8,$A46&lt;=BO$9),IF(SUM(BO$10:BO45)-ROUNDDOWN($M46*BO$5/100,0)&lt;-BO$6,-BO$6-SUM(BO$10:BO45),-ROUNDDOWN($M46*BO$5/100,0)),0)</f>
        <v>0</v>
      </c>
      <c r="BP46" s="38">
        <f>IF(AND(BP$7="○",$A46&gt;=BP$8,$A46&lt;=BP$9),IF(SUM(BP$10:BP45)-ROUNDDOWN($M46*BP$5/100,0)&lt;-BP$6,-BP$6-SUM(BP$10:BP45),-ROUNDDOWN($M46*BP$5/100,0)),0)</f>
        <v>0</v>
      </c>
      <c r="BQ46" s="38">
        <f>IF(AND(BQ$7="○",$A46&gt;=BQ$8,$A46&lt;=BQ$9),IF(SUM(BQ$10:BQ45)-ROUNDDOWN($L46*BQ$5/100,0)&lt;-BQ$6,-BQ$6-SUM(BQ$10:BQ45),-ROUNDDOWN($L46*BQ$5/100,0)),0)</f>
        <v>0</v>
      </c>
      <c r="BR46" s="38">
        <f>IF(AND(BR$7="○",$A46&gt;=BR$8,$A46&lt;=BR$9),IF(SUM(BR$10:BR45)-ROUNDDOWN($M46*BR$5/100,0)&lt;-BR$6,-BR$6-SUM(BR$10:BR45),-ROUNDDOWN($M46*BR$5/100,0)),0)</f>
        <v>0</v>
      </c>
      <c r="BS46" s="38">
        <f>IF(AND(BS$7="○",$A46&gt;=BS$8,$A46&lt;=BS$9),IF(SUM(BS$10:BS45)-ROUNDDOWN($M46*BS$5/100,0)&lt;-BS$6,-BS$6-SUM(BS$10:BS45),-ROUNDDOWN($M46*BS$5/100,0)),0)</f>
        <v>0</v>
      </c>
      <c r="BT46" s="38">
        <f>IF(AND(BT$7="○",$A46&gt;=BT$8,$A46&lt;=BT$9),IF(SUM(BT$10:BT45)-ROUNDDOWN($M46*BT$5/100,0)&lt;-BT$6,-BT$6-SUM(BT$10:BT45),-ROUNDDOWN($M46*BT$5/100,0)),0)</f>
        <v>0</v>
      </c>
      <c r="BU46" s="38">
        <f>IF(AND(BU$7="○",$A46&gt;=BU$8,$A46&lt;=BU$9),IF(SUM(BU$10:BU45)-ROUNDDOWN($M46*BU$5/100,0)&lt;-BU$6,-BU$6-SUM(BU$10:BU45),-ROUNDDOWN($M46*BU$5/100,0)),0)</f>
        <v>0</v>
      </c>
      <c r="BV46" s="38">
        <f>IF(AND(BV$7="○",$A46&gt;=BV$8,$A46&lt;=BV$9),IF(SUM(BV$10:BV45)-ROUNDDOWN($M46*BV$5/100,0)&lt;-BV$6,-BV$6-SUM(BV$10:BV45),-ROUNDDOWN($M46*BV$5/100,0)),0)</f>
        <v>0</v>
      </c>
      <c r="BW46" s="38">
        <f>IF(AND(BW$7="○",$A46&gt;=BW$8,$A46&lt;=BW$9),IF(SUM(BW$10:BW45)-ROUNDDOWN($M46*BW$5/100,0)&lt;-BW$6,-BW$6-SUM(BW$10:BW45),-ROUNDDOWN($M46*BW$5/100,0)),0)</f>
        <v>0</v>
      </c>
      <c r="BX46" s="38">
        <f>IF(AND(T46="○",$A46&gt;=BX$8,$A46&lt;=BX$9),IF(SUM(BX$10:BX45)-ROUNDDOWN($K46*BX$5/100,0)&lt;-BX$6,-BX$6-SUM(BX$10:BX45),-ROUNDDOWN($K46*BX$5/100,0)),0)</f>
        <v>0</v>
      </c>
      <c r="BY46" s="38">
        <f>IF(AND(U46="○",$A46&gt;=BY$8,$A46&lt;=BY$9),IF(SUM(BY$10:BY45)-ROUNDDOWN($K46*BY$5/100,0)&lt;-BY$6,-BY$6-SUM(BY$10:BY45),-ROUNDDOWN($K46*BY$5/100,0)),0)</f>
        <v>0</v>
      </c>
      <c r="BZ46" s="38">
        <f>IF(AND(V46="○",$A46&gt;=BZ$8,$A46&lt;=BZ$9),IF(SUM(BZ$10:BZ45)-ROUNDDOWN($K46*BZ$5/100,0)&lt;-BZ$6,-BZ$6-SUM(BZ$10:BZ45),-ROUNDDOWN($K46*BZ$5/100,0)),0)</f>
        <v>0</v>
      </c>
      <c r="CA46" s="38">
        <f>IF(AND(W46="○",$A46&gt;=CA$8,$A46&lt;=CA$9),IF(SUM(CA$10:CA45)-ROUNDDOWN($K46*CA$5/100,0)&lt;-CA$6,-CA$6-SUM(CA$10:CA45),-ROUNDDOWN($K46*CA$5/100,0)),0)</f>
        <v>0</v>
      </c>
      <c r="CB46" s="38"/>
      <c r="CC46" s="38"/>
      <c r="CD46" s="38"/>
      <c r="CE46" s="38"/>
      <c r="CF46" s="38"/>
      <c r="CG46" s="65">
        <f t="shared" si="47"/>
        <v>0</v>
      </c>
      <c r="CH46" s="71">
        <f t="shared" si="48"/>
        <v>0</v>
      </c>
      <c r="CI46" s="1">
        <f t="shared" ref="CI46:CI75" si="65">IFERROR(ROUNDDOWN((CH46/G46),0),0)</f>
        <v>0</v>
      </c>
      <c r="CJ46" s="1"/>
      <c r="CK46" s="72"/>
      <c r="CL46" s="72"/>
      <c r="CM46" s="2"/>
      <c r="CN46" s="2"/>
      <c r="CO46" s="73">
        <f t="shared" ref="CO46:CO75" si="66">IFERROR(CN46-CI46,0)</f>
        <v>0</v>
      </c>
      <c r="CP46" s="5">
        <f t="shared" ref="CP46:CP75" si="67">IFERROR(CN46/CI46,0)</f>
        <v>0</v>
      </c>
      <c r="CQ46" s="1"/>
      <c r="CR46" s="1">
        <f t="shared" ref="CR46:CR75" si="68">+CO46*G46</f>
        <v>0</v>
      </c>
      <c r="CS46" s="1"/>
      <c r="CT46" s="1" t="e">
        <f>INDEX([2]マスタ!$A:$A,MATCH(D46,[2]マスタ!$C:$C,0))</f>
        <v>#N/A</v>
      </c>
      <c r="CU46" s="1" t="str">
        <f t="shared" ref="CU46:CU75" ca="1" si="69">IFERROR(TEXT(TODAY(),"yyyymmdd")&amp;"_"&amp;ROUNDDOWN(H46+I46,0)&amp;"-"&amp;ROUNDDOWN(CI46,0),"")</f>
        <v>20260620_0-0</v>
      </c>
    </row>
    <row r="47" spans="1:99" x14ac:dyDescent="0.4">
      <c r="A47" s="61"/>
      <c r="B47" s="62"/>
      <c r="C47" s="62"/>
      <c r="D47" s="62"/>
      <c r="E47" s="76"/>
      <c r="F47" s="62"/>
      <c r="G47" s="62">
        <v>1</v>
      </c>
      <c r="H47" s="64">
        <f t="shared" si="56"/>
        <v>0</v>
      </c>
      <c r="I47" s="64"/>
      <c r="J47" s="64"/>
      <c r="K47" s="65">
        <f t="shared" si="57"/>
        <v>0</v>
      </c>
      <c r="L47" s="65">
        <f t="shared" si="58"/>
        <v>0</v>
      </c>
      <c r="M47" s="65">
        <f t="shared" si="59"/>
        <v>0</v>
      </c>
      <c r="N47" s="65">
        <f t="shared" si="60"/>
        <v>0</v>
      </c>
      <c r="O47" s="66" t="str">
        <f t="shared" si="61"/>
        <v>✕</v>
      </c>
      <c r="P47" s="67" t="str">
        <f t="shared" si="62"/>
        <v>○</v>
      </c>
      <c r="Q47" s="67" t="str">
        <f t="shared" si="63"/>
        <v>✕</v>
      </c>
      <c r="R47" s="67" t="str">
        <f t="shared" si="64"/>
        <v>✕</v>
      </c>
      <c r="S47" s="68">
        <v>0</v>
      </c>
      <c r="T47" s="69" t="s">
        <v>85</v>
      </c>
      <c r="U47" s="69" t="s">
        <v>85</v>
      </c>
      <c r="V47" s="69" t="s">
        <v>85</v>
      </c>
      <c r="W47" s="69" t="s">
        <v>85</v>
      </c>
      <c r="X47" s="69" t="s">
        <v>84</v>
      </c>
      <c r="Y47" s="69" t="s">
        <v>85</v>
      </c>
      <c r="Z47" s="69" t="s">
        <v>85</v>
      </c>
      <c r="AA47" s="69" t="s">
        <v>85</v>
      </c>
      <c r="AB47" s="69" t="s">
        <v>85</v>
      </c>
      <c r="AC47" s="69" t="s">
        <v>85</v>
      </c>
      <c r="AD47" s="38" t="str">
        <f>+IF(ISERROR(VLOOKUP($B47,AD$10:AD46,1,0)),IF(AND($N47&gt;=1000,$A47&gt;=AO$8,$A47&lt;=AO$9),$B47,""),"")</f>
        <v/>
      </c>
      <c r="AE47" s="38" t="str">
        <f>+IF(ISERROR(VLOOKUP($B47,AE$10:AE46,1,0)),IF(AND($N47&gt;=1000,$A47&gt;=AP$8,$A47&lt;=AP$9),$B47,""),"")</f>
        <v/>
      </c>
      <c r="AF47" s="38" t="str">
        <f>+IF(ISERROR(VLOOKUP($B47,AF$10:AF46,1,0)),IF(AND($N47&gt;=1000,$A47&gt;=AQ$8,$A47&lt;=AQ$9),$B47,""),"")</f>
        <v/>
      </c>
      <c r="AG47" s="38" t="str">
        <f>+IF(ISERROR(VLOOKUP($B47,AG$10:AG46,1,0)),IF(AND($N47&gt;=1000,$A47&gt;=AR$8,$A47&lt;=AR$9),$B47,""),"")</f>
        <v/>
      </c>
      <c r="AH47" s="38"/>
      <c r="AI47" s="70">
        <v>0</v>
      </c>
      <c r="AJ47" s="38">
        <f>IF(AND(AJ$7="○",$A47&gt;=AJ$8,$A47&lt;=AJ$9),IF(SUM(AJ$10:AJ46)-ROUNDDOWN($K47*AJ$5/100,0)&lt;-AJ$6,-AJ$6-SUM(AJ$10:AJ46),-ROUNDDOWN($K47*AJ$5/100,0)),0)</f>
        <v>0</v>
      </c>
      <c r="AK47" s="38">
        <f>IF(AND(AK$7="○",$A47&gt;=AK$8,$A47&lt;=AK$9),IF(SUM(AK$10:AK46)-ROUNDDOWN($L47*AK$5/100,0)&lt;-AK$6,-AK$6-SUM(AK$10:AK46),-ROUNDDOWN($L47*AK$5/100,0)),0)</f>
        <v>0</v>
      </c>
      <c r="AL47" s="38">
        <f>IF(AND(AL$7="○",$A47&gt;=AL$8,$A47&lt;=AL$9),IF(SUM(AL$10:AL46)-ROUNDDOWN($N47*AL$5/100,0)&lt;-AL$6,-AL$6-SUM(AL$10:AL46),-ROUNDDOWN($N47*AL$5/100,0)),0)</f>
        <v>0</v>
      </c>
      <c r="AM47" s="38">
        <f>IF(AND(AM$7="○",$A47&gt;=AM$8,$A47&lt;=AM$9),IF(SUM(AM$10:AM46)-ROUNDDOWN($L47*AM$5/100,0)&lt;-AM$6,-AM$6-SUM(AM$10:AM46),-ROUNDDOWN($L47*AM$5/100,0)),0)</f>
        <v>0</v>
      </c>
      <c r="AN47" s="38">
        <f>IF(AND(AN$7="○",$A47&gt;=AN$8,$A47&lt;=AN$9),IF(SUM(AN$10:AN46)-ROUNDDOWN($M47*AN$5/100,0)&lt;-AN$6,-AN$6-SUM(AN$10:AN46),-ROUNDDOWN($M47*AN$5/100,0)),0)</f>
        <v>0</v>
      </c>
      <c r="AO47" s="38">
        <f>IF(AND($A47&gt;=AO$8,$A47&lt;=AO$9),IF(SUM(AO$10:AO46)-ROUNDDOWN($K47*AO$5/100,0)&lt;-AO$6,-AO$6-SUM(AO$10:AO46),-ROUNDDOWN($K47*AO$5/100,0)),0)</f>
        <v>0</v>
      </c>
      <c r="AP47" s="38">
        <f>IF(AND($A47&gt;=AP$8,$A47&lt;=AP$9),IF(SUM(AP$10:AP46)-ROUNDDOWN($K47*AP$5/100,0)&lt;-AP$6,-AP$6-SUM(AP$10:AP46),-ROUNDDOWN($K47*AP$5/100,0)),0)</f>
        <v>0</v>
      </c>
      <c r="AQ47" s="38">
        <f>IF(AND($A47&gt;=AQ$8,$A47&lt;=AQ$9),IF(SUM(AQ$10:AQ46)-ROUNDDOWN($K47*AQ$5/100,0)&lt;-AQ$6,-AQ$6-SUM(AQ$10:AQ46),-ROUNDDOWN($K47*AQ$5/100,0)),0)</f>
        <v>0</v>
      </c>
      <c r="AR47" s="38">
        <f>IF(AND($A47&gt;=AR$8,$A47&lt;=AR$9),IF(SUM(AR$10:AR46)-ROUNDDOWN($K47*AR$5/100,0)&lt;-AR$6,-AR$6-SUM(AR$10:AR46),-ROUNDDOWN($K47*AR$5/100,0)),0)</f>
        <v>0</v>
      </c>
      <c r="AS47" s="38">
        <f>IF(SUMIFS(AS$10:AS46,$A$10:$A46,$A47)-ROUNDDOWN($K47*$S47/100,0)&lt;-$S47*1000,-$S47*1000-SUMIFS(AS$10:AS46,$A$10:$A46,$A47),-ROUNDDOWN($K47*$S47/100,0))</f>
        <v>0</v>
      </c>
      <c r="AT47" s="38">
        <f>IF(AND(X47="○",$A47&gt;=AT$8,$A47&lt;=AT$9,K47&gt;=3980),IF(SUM(AT$10:AT46)-ROUNDDOWN($K47*AT$5/100,0)&lt;-AT$6,-AT$6-SUM(AT$10:AT46),-ROUNDDOWN($K47*AT$5/100,0)),0)</f>
        <v>0</v>
      </c>
      <c r="AU47" s="38">
        <f>IF(O47="○",IF(SUM(AU$10:AU46)-ROUNDDOWN($K47*AU$5/100,0)&lt;-AU$6,-AU$6-SUM(AU$10:AU46),-ROUNDDOWN($K47*AU$5/100,0)),0)</f>
        <v>0</v>
      </c>
      <c r="AV47" s="38">
        <f>IF(P47="○",IF(SUM(AV$10:AV46)-ROUNDDOWN($K47*AV$5/100,0)&lt;-AV$6,-AV$6-SUM(AV$10:AV46),-ROUNDDOWN($K47*AV$5/100,0)),0)</f>
        <v>0</v>
      </c>
      <c r="AW47" s="38">
        <f>IF(Q47="○",IF(SUM(AW$10:AW46)-ROUNDDOWN($K47*AW$5/100,0)&lt;-AW$6,-AW$6-SUM(AW$10:AW46),-ROUNDDOWN($K47*AW$5/100,0)),0)</f>
        <v>0</v>
      </c>
      <c r="AX47" s="38">
        <f>IF(R47="○",IF(SUM(AX$10:AX46)-ROUNDDOWN($K47*AX$5/100,0)&lt;-AX$6,-AX$6-SUM(AX$10:AX46),-ROUNDDOWN($K47*AX$5/100,0)),0)</f>
        <v>0</v>
      </c>
      <c r="AY47" s="70">
        <v>0</v>
      </c>
      <c r="AZ47" s="65">
        <f t="shared" si="41"/>
        <v>0</v>
      </c>
      <c r="BA47" s="65">
        <f t="shared" si="42"/>
        <v>0</v>
      </c>
      <c r="BB47" s="70"/>
      <c r="BC47" s="65">
        <f t="shared" si="43"/>
        <v>0</v>
      </c>
      <c r="BD47" s="70">
        <v>0</v>
      </c>
      <c r="BE47" s="65">
        <f t="shared" si="44"/>
        <v>0</v>
      </c>
      <c r="BF47" s="70">
        <v>0</v>
      </c>
      <c r="BG47" s="65">
        <f t="shared" si="45"/>
        <v>0</v>
      </c>
      <c r="BH47" s="70">
        <v>0</v>
      </c>
      <c r="BI47" s="65">
        <f t="shared" si="46"/>
        <v>0</v>
      </c>
      <c r="BJ47" s="38">
        <f>IF(AND(BJ$7="○",$A47&gt;=BJ$8,$A47&lt;=BJ$9),IF(SUM(BJ$10:BJ46)-ROUNDDOWN($M47*BJ$5/100,0)&lt;-BJ$6,-BJ$6-SUM(BJ$10:BJ46),-ROUNDDOWN($M47*BJ$5/100,0)),0)</f>
        <v>0</v>
      </c>
      <c r="BK47" s="38">
        <f>IF(AND(BK$7="○",$A47&gt;=BK$8,$A47&lt;=BK$9),IF(SUM(BK$10:BK46)-ROUNDDOWN($L47*BK$5/100,0)&lt;-BK$6,-BK$6-SUM(BK$10:BK46),-ROUNDDOWN($L47*BK$5/100,0)),0)</f>
        <v>0</v>
      </c>
      <c r="BL47" s="38">
        <f>IF(AND(BL$7="○",$A47&gt;=BL$8,$A47&lt;=BL$9),IF(SUM(BL$10:BL46)-ROUNDDOWN($L47*BL$5/100,0)&lt;-BL$6,-BL$6-SUM(BL$10:BL46),-ROUNDDOWN($L47*BL$5/100,0)),0)</f>
        <v>0</v>
      </c>
      <c r="BM47" s="38">
        <f>IF(AND(BM$7="○",$A47&gt;=BM$8,$A47&lt;=BM$9),IF(SUM(BM$10:BM46)-ROUNDDOWN($M47*BM$5/100,0)&lt;-BM$6,-BM$6-SUM(BM$10:BM46),-ROUNDDOWN($M47*BM$5/100,0)),0)</f>
        <v>0</v>
      </c>
      <c r="BN47" s="38">
        <f>IF(AND(BN$7="○",$A47&gt;=BN$8,$A47&lt;=BN$9),IF(SUM(BN$10:BN46)-ROUNDDOWN($M47*BN$5/100,0)&lt;-BN$6,-BN$6-SUM(BN$10:BN46),-ROUNDDOWN($M47*BN$5/100,0)),0)</f>
        <v>0</v>
      </c>
      <c r="BO47" s="38">
        <f>IF(AND(BO$7="○",$A47&gt;=BO$8,$A47&lt;=BO$9),IF(SUM(BO$10:BO46)-ROUNDDOWN($M47*BO$5/100,0)&lt;-BO$6,-BO$6-SUM(BO$10:BO46),-ROUNDDOWN($M47*BO$5/100,0)),0)</f>
        <v>0</v>
      </c>
      <c r="BP47" s="38">
        <f>IF(AND(BP$7="○",$A47&gt;=BP$8,$A47&lt;=BP$9),IF(SUM(BP$10:BP46)-ROUNDDOWN($M47*BP$5/100,0)&lt;-BP$6,-BP$6-SUM(BP$10:BP46),-ROUNDDOWN($M47*BP$5/100,0)),0)</f>
        <v>0</v>
      </c>
      <c r="BQ47" s="38">
        <f>IF(AND(BQ$7="○",$A47&gt;=BQ$8,$A47&lt;=BQ$9),IF(SUM(BQ$10:BQ46)-ROUNDDOWN($L47*BQ$5/100,0)&lt;-BQ$6,-BQ$6-SUM(BQ$10:BQ46),-ROUNDDOWN($L47*BQ$5/100,0)),0)</f>
        <v>0</v>
      </c>
      <c r="BR47" s="38">
        <f>IF(AND(BR$7="○",$A47&gt;=BR$8,$A47&lt;=BR$9),IF(SUM(BR$10:BR46)-ROUNDDOWN($M47*BR$5/100,0)&lt;-BR$6,-BR$6-SUM(BR$10:BR46),-ROUNDDOWN($M47*BR$5/100,0)),0)</f>
        <v>0</v>
      </c>
      <c r="BS47" s="38">
        <f>IF(AND(BS$7="○",$A47&gt;=BS$8,$A47&lt;=BS$9),IF(SUM(BS$10:BS46)-ROUNDDOWN($M47*BS$5/100,0)&lt;-BS$6,-BS$6-SUM(BS$10:BS46),-ROUNDDOWN($M47*BS$5/100,0)),0)</f>
        <v>0</v>
      </c>
      <c r="BT47" s="38">
        <f>IF(AND(BT$7="○",$A47&gt;=BT$8,$A47&lt;=BT$9),IF(SUM(BT$10:BT46)-ROUNDDOWN($M47*BT$5/100,0)&lt;-BT$6,-BT$6-SUM(BT$10:BT46),-ROUNDDOWN($M47*BT$5/100,0)),0)</f>
        <v>0</v>
      </c>
      <c r="BU47" s="38">
        <f>IF(AND(BU$7="○",$A47&gt;=BU$8,$A47&lt;=BU$9),IF(SUM(BU$10:BU46)-ROUNDDOWN($M47*BU$5/100,0)&lt;-BU$6,-BU$6-SUM(BU$10:BU46),-ROUNDDOWN($M47*BU$5/100,0)),0)</f>
        <v>0</v>
      </c>
      <c r="BV47" s="38">
        <f>IF(AND(BV$7="○",$A47&gt;=BV$8,$A47&lt;=BV$9),IF(SUM(BV$10:BV46)-ROUNDDOWN($M47*BV$5/100,0)&lt;-BV$6,-BV$6-SUM(BV$10:BV46),-ROUNDDOWN($M47*BV$5/100,0)),0)</f>
        <v>0</v>
      </c>
      <c r="BW47" s="38">
        <f>IF(AND(BW$7="○",$A47&gt;=BW$8,$A47&lt;=BW$9),IF(SUM(BW$10:BW46)-ROUNDDOWN($M47*BW$5/100,0)&lt;-BW$6,-BW$6-SUM(BW$10:BW46),-ROUNDDOWN($M47*BW$5/100,0)),0)</f>
        <v>0</v>
      </c>
      <c r="BX47" s="38">
        <f>IF(AND(T47="○",$A47&gt;=BX$8,$A47&lt;=BX$9),IF(SUM(BX$10:BX46)-ROUNDDOWN($K47*BX$5/100,0)&lt;-BX$6,-BX$6-SUM(BX$10:BX46),-ROUNDDOWN($K47*BX$5/100,0)),0)</f>
        <v>0</v>
      </c>
      <c r="BY47" s="38">
        <f>IF(AND(U47="○",$A47&gt;=BY$8,$A47&lt;=BY$9),IF(SUM(BY$10:BY46)-ROUNDDOWN($K47*BY$5/100,0)&lt;-BY$6,-BY$6-SUM(BY$10:BY46),-ROUNDDOWN($K47*BY$5/100,0)),0)</f>
        <v>0</v>
      </c>
      <c r="BZ47" s="38">
        <f>IF(AND(V47="○",$A47&gt;=BZ$8,$A47&lt;=BZ$9),IF(SUM(BZ$10:BZ46)-ROUNDDOWN($K47*BZ$5/100,0)&lt;-BZ$6,-BZ$6-SUM(BZ$10:BZ46),-ROUNDDOWN($K47*BZ$5/100,0)),0)</f>
        <v>0</v>
      </c>
      <c r="CA47" s="38">
        <f>IF(AND(W47="○",$A47&gt;=CA$8,$A47&lt;=CA$9),IF(SUM(CA$10:CA46)-ROUNDDOWN($K47*CA$5/100,0)&lt;-CA$6,-CA$6-SUM(CA$10:CA46),-ROUNDDOWN($K47*CA$5/100,0)),0)</f>
        <v>0</v>
      </c>
      <c r="CB47" s="38"/>
      <c r="CC47" s="38"/>
      <c r="CD47" s="38"/>
      <c r="CE47" s="38"/>
      <c r="CF47" s="38"/>
      <c r="CG47" s="65">
        <f t="shared" si="47"/>
        <v>0</v>
      </c>
      <c r="CH47" s="71">
        <f t="shared" si="48"/>
        <v>0</v>
      </c>
      <c r="CI47" s="1">
        <f t="shared" si="65"/>
        <v>0</v>
      </c>
      <c r="CJ47" s="1"/>
      <c r="CK47" s="72"/>
      <c r="CL47" s="72"/>
      <c r="CM47" s="2"/>
      <c r="CN47" s="2"/>
      <c r="CO47" s="73">
        <f t="shared" si="66"/>
        <v>0</v>
      </c>
      <c r="CP47" s="5">
        <f t="shared" si="67"/>
        <v>0</v>
      </c>
      <c r="CQ47" s="1"/>
      <c r="CR47" s="1">
        <f t="shared" si="68"/>
        <v>0</v>
      </c>
      <c r="CS47" s="1"/>
      <c r="CT47" s="1" t="e">
        <f>INDEX([2]マスタ!$A:$A,MATCH(D47,[2]マスタ!$C:$C,0))</f>
        <v>#N/A</v>
      </c>
      <c r="CU47" s="1" t="str">
        <f t="shared" ca="1" si="69"/>
        <v>20260620_0-0</v>
      </c>
    </row>
    <row r="48" spans="1:99" x14ac:dyDescent="0.4">
      <c r="A48" s="61"/>
      <c r="B48" s="62"/>
      <c r="C48" s="62"/>
      <c r="D48" s="62"/>
      <c r="E48" s="63"/>
      <c r="F48" s="62"/>
      <c r="G48" s="62">
        <v>1</v>
      </c>
      <c r="H48" s="64">
        <f t="shared" si="56"/>
        <v>0</v>
      </c>
      <c r="I48" s="64"/>
      <c r="J48" s="64"/>
      <c r="K48" s="65">
        <f t="shared" si="57"/>
        <v>0</v>
      </c>
      <c r="L48" s="65">
        <f t="shared" si="58"/>
        <v>0</v>
      </c>
      <c r="M48" s="65">
        <f t="shared" si="59"/>
        <v>0</v>
      </c>
      <c r="N48" s="65">
        <f t="shared" si="60"/>
        <v>0</v>
      </c>
      <c r="O48" s="66" t="str">
        <f t="shared" si="61"/>
        <v>✕</v>
      </c>
      <c r="P48" s="67" t="str">
        <f t="shared" si="62"/>
        <v>○</v>
      </c>
      <c r="Q48" s="67" t="str">
        <f t="shared" si="63"/>
        <v>✕</v>
      </c>
      <c r="R48" s="67" t="str">
        <f t="shared" si="64"/>
        <v>✕</v>
      </c>
      <c r="S48" s="68">
        <v>0</v>
      </c>
      <c r="T48" s="69" t="s">
        <v>85</v>
      </c>
      <c r="U48" s="69" t="s">
        <v>85</v>
      </c>
      <c r="V48" s="69" t="s">
        <v>85</v>
      </c>
      <c r="W48" s="69" t="s">
        <v>85</v>
      </c>
      <c r="X48" s="69" t="s">
        <v>84</v>
      </c>
      <c r="Y48" s="69" t="s">
        <v>85</v>
      </c>
      <c r="Z48" s="69" t="s">
        <v>85</v>
      </c>
      <c r="AA48" s="69" t="s">
        <v>85</v>
      </c>
      <c r="AB48" s="69" t="s">
        <v>85</v>
      </c>
      <c r="AC48" s="69" t="s">
        <v>85</v>
      </c>
      <c r="AD48" s="38" t="str">
        <f>+IF(ISERROR(VLOOKUP($B48,AD$10:AD47,1,0)),IF(AND($N48&gt;=1000,$A48&gt;=AO$8,$A48&lt;=AO$9),$B48,""),"")</f>
        <v/>
      </c>
      <c r="AE48" s="38" t="str">
        <f>+IF(ISERROR(VLOOKUP($B48,AE$10:AE47,1,0)),IF(AND($N48&gt;=1000,$A48&gt;=AP$8,$A48&lt;=AP$9),$B48,""),"")</f>
        <v/>
      </c>
      <c r="AF48" s="38" t="str">
        <f>+IF(ISERROR(VLOOKUP($B48,AF$10:AF47,1,0)),IF(AND($N48&gt;=1000,$A48&gt;=AQ$8,$A48&lt;=AQ$9),$B48,""),"")</f>
        <v/>
      </c>
      <c r="AG48" s="38" t="str">
        <f>+IF(ISERROR(VLOOKUP($B48,AG$10:AG47,1,0)),IF(AND($N48&gt;=1000,$A48&gt;=AR$8,$A48&lt;=AR$9),$B48,""),"")</f>
        <v/>
      </c>
      <c r="AH48" s="38"/>
      <c r="AI48" s="70">
        <v>0</v>
      </c>
      <c r="AJ48" s="38">
        <f>IF(AND(AJ$7="○",$A48&gt;=AJ$8,$A48&lt;=AJ$9),IF(SUM(AJ$10:AJ47)-ROUNDDOWN($K48*AJ$5/100,0)&lt;-AJ$6,-AJ$6-SUM(AJ$10:AJ47),-ROUNDDOWN($K48*AJ$5/100,0)),0)</f>
        <v>0</v>
      </c>
      <c r="AK48" s="38">
        <f>IF(AND(AK$7="○",$A48&gt;=AK$8,$A48&lt;=AK$9),IF(SUM(AK$10:AK47)-ROUNDDOWN($L48*AK$5/100,0)&lt;-AK$6,-AK$6-SUM(AK$10:AK47),-ROUNDDOWN($L48*AK$5/100,0)),0)</f>
        <v>0</v>
      </c>
      <c r="AL48" s="38">
        <f>IF(AND(AL$7="○",$A48&gt;=AL$8,$A48&lt;=AL$9),IF(SUM(AL$10:AL47)-ROUNDDOWN($N48*AL$5/100,0)&lt;-AL$6,-AL$6-SUM(AL$10:AL47),-ROUNDDOWN($N48*AL$5/100,0)),0)</f>
        <v>0</v>
      </c>
      <c r="AM48" s="38">
        <f>IF(AND(AM$7="○",$A48&gt;=AM$8,$A48&lt;=AM$9),IF(SUM(AM$10:AM47)-ROUNDDOWN($L48*AM$5/100,0)&lt;-AM$6,-AM$6-SUM(AM$10:AM47),-ROUNDDOWN($L48*AM$5/100,0)),0)</f>
        <v>0</v>
      </c>
      <c r="AN48" s="38">
        <f>IF(AND(AN$7="○",$A48&gt;=AN$8,$A48&lt;=AN$9),IF(SUM(AN$10:AN47)-ROUNDDOWN($M48*AN$5/100,0)&lt;-AN$6,-AN$6-SUM(AN$10:AN47),-ROUNDDOWN($M48*AN$5/100,0)),0)</f>
        <v>0</v>
      </c>
      <c r="AO48" s="38">
        <f>IF(AND($A48&gt;=AO$8,$A48&lt;=AO$9),IF(SUM(AO$10:AO47)-ROUNDDOWN($K48*AO$5/100,0)&lt;-AO$6,-AO$6-SUM(AO$10:AO47),-ROUNDDOWN($K48*AO$5/100,0)),0)</f>
        <v>0</v>
      </c>
      <c r="AP48" s="38">
        <f>IF(AND($A48&gt;=AP$8,$A48&lt;=AP$9),IF(SUM(AP$10:AP47)-ROUNDDOWN($K48*AP$5/100,0)&lt;-AP$6,-AP$6-SUM(AP$10:AP47),-ROUNDDOWN($K48*AP$5/100,0)),0)</f>
        <v>0</v>
      </c>
      <c r="AQ48" s="38">
        <f>IF(AND($A48&gt;=AQ$8,$A48&lt;=AQ$9),IF(SUM(AQ$10:AQ47)-ROUNDDOWN($K48*AQ$5/100,0)&lt;-AQ$6,-AQ$6-SUM(AQ$10:AQ47),-ROUNDDOWN($K48*AQ$5/100,0)),0)</f>
        <v>0</v>
      </c>
      <c r="AR48" s="38">
        <f>IF(AND($A48&gt;=AR$8,$A48&lt;=AR$9),IF(SUM(AR$10:AR47)-ROUNDDOWN($K48*AR$5/100,0)&lt;-AR$6,-AR$6-SUM(AR$10:AR47),-ROUNDDOWN($K48*AR$5/100,0)),0)</f>
        <v>0</v>
      </c>
      <c r="AS48" s="38">
        <f>IF(SUMIFS(AS$10:AS47,$A$10:$A47,$A48)-ROUNDDOWN($K48*$S48/100,0)&lt;-$S48*1000,-$S48*1000-SUMIFS(AS$10:AS47,$A$10:$A47,$A48),-ROUNDDOWN($K48*$S48/100,0))</f>
        <v>0</v>
      </c>
      <c r="AT48" s="38">
        <f>IF(AND(X48="○",$A48&gt;=AT$8,$A48&lt;=AT$9,K48&gt;=3980),IF(SUM(AT$10:AT47)-ROUNDDOWN($K48*AT$5/100,0)&lt;-AT$6,-AT$6-SUM(AT$10:AT47),-ROUNDDOWN($K48*AT$5/100,0)),0)</f>
        <v>0</v>
      </c>
      <c r="AU48" s="38">
        <f>IF(O48="○",IF(SUM(AU$10:AU47)-ROUNDDOWN($K48*AU$5/100,0)&lt;-AU$6,-AU$6-SUM(AU$10:AU47),-ROUNDDOWN($K48*AU$5/100,0)),0)</f>
        <v>0</v>
      </c>
      <c r="AV48" s="38">
        <f>IF(P48="○",IF(SUM(AV$10:AV47)-ROUNDDOWN($K48*AV$5/100,0)&lt;-AV$6,-AV$6-SUM(AV$10:AV47),-ROUNDDOWN($K48*AV$5/100,0)),0)</f>
        <v>0</v>
      </c>
      <c r="AW48" s="38">
        <f>IF(Q48="○",IF(SUM(AW$10:AW47)-ROUNDDOWN($K48*AW$5/100,0)&lt;-AW$6,-AW$6-SUM(AW$10:AW47),-ROUNDDOWN($K48*AW$5/100,0)),0)</f>
        <v>0</v>
      </c>
      <c r="AX48" s="38">
        <f>IF(R48="○",IF(SUM(AX$10:AX47)-ROUNDDOWN($K48*AX$5/100,0)&lt;-AX$6,-AX$6-SUM(AX$10:AX47),-ROUNDDOWN($K48*AX$5/100,0)),0)</f>
        <v>0</v>
      </c>
      <c r="AY48" s="70">
        <v>0</v>
      </c>
      <c r="AZ48" s="65">
        <f t="shared" si="41"/>
        <v>0</v>
      </c>
      <c r="BA48" s="65">
        <f t="shared" si="42"/>
        <v>0</v>
      </c>
      <c r="BB48" s="70"/>
      <c r="BC48" s="65">
        <f t="shared" si="43"/>
        <v>0</v>
      </c>
      <c r="BD48" s="70">
        <v>0</v>
      </c>
      <c r="BE48" s="65">
        <f t="shared" si="44"/>
        <v>0</v>
      </c>
      <c r="BF48" s="70">
        <v>0</v>
      </c>
      <c r="BG48" s="65">
        <f t="shared" si="45"/>
        <v>0</v>
      </c>
      <c r="BH48" s="70">
        <v>0</v>
      </c>
      <c r="BI48" s="65">
        <f t="shared" si="46"/>
        <v>0</v>
      </c>
      <c r="BJ48" s="38">
        <f>IF(AND(BJ$7="○",$A48&gt;=BJ$8,$A48&lt;=BJ$9),IF(SUM(BJ$10:BJ47)-ROUNDDOWN($M48*BJ$5/100,0)&lt;-BJ$6,-BJ$6-SUM(BJ$10:BJ47),-ROUNDDOWN($M48*BJ$5/100,0)),0)</f>
        <v>0</v>
      </c>
      <c r="BK48" s="38">
        <f>IF(AND(BK$7="○",$A48&gt;=BK$8,$A48&lt;=BK$9),IF(SUM(BK$10:BK47)-ROUNDDOWN($L48*BK$5/100,0)&lt;-BK$6,-BK$6-SUM(BK$10:BK47),-ROUNDDOWN($L48*BK$5/100,0)),0)</f>
        <v>0</v>
      </c>
      <c r="BL48" s="38">
        <f>IF(AND(BL$7="○",$A48&gt;=BL$8,$A48&lt;=BL$9),IF(SUM(BL$10:BL47)-ROUNDDOWN($L48*BL$5/100,0)&lt;-BL$6,-BL$6-SUM(BL$10:BL47),-ROUNDDOWN($L48*BL$5/100,0)),0)</f>
        <v>0</v>
      </c>
      <c r="BM48" s="38">
        <f>IF(AND(BM$7="○",$A48&gt;=BM$8,$A48&lt;=BM$9),IF(SUM(BM$10:BM47)-ROUNDDOWN($M48*BM$5/100,0)&lt;-BM$6,-BM$6-SUM(BM$10:BM47),-ROUNDDOWN($M48*BM$5/100,0)),0)</f>
        <v>0</v>
      </c>
      <c r="BN48" s="38">
        <f>IF(AND(BN$7="○",$A48&gt;=BN$8,$A48&lt;=BN$9),IF(SUM(BN$10:BN47)-ROUNDDOWN($M48*BN$5/100,0)&lt;-BN$6,-BN$6-SUM(BN$10:BN47),-ROUNDDOWN($M48*BN$5/100,0)),0)</f>
        <v>0</v>
      </c>
      <c r="BO48" s="38">
        <f>IF(AND(BO$7="○",$A48&gt;=BO$8,$A48&lt;=BO$9),IF(SUM(BO$10:BO47)-ROUNDDOWN($M48*BO$5/100,0)&lt;-BO$6,-BO$6-SUM(BO$10:BO47),-ROUNDDOWN($M48*BO$5/100,0)),0)</f>
        <v>0</v>
      </c>
      <c r="BP48" s="38">
        <f>IF(AND(BP$7="○",$A48&gt;=BP$8,$A48&lt;=BP$9),IF(SUM(BP$10:BP47)-ROUNDDOWN($M48*BP$5/100,0)&lt;-BP$6,-BP$6-SUM(BP$10:BP47),-ROUNDDOWN($M48*BP$5/100,0)),0)</f>
        <v>0</v>
      </c>
      <c r="BQ48" s="38">
        <f>IF(AND(BQ$7="○",$A48&gt;=BQ$8,$A48&lt;=BQ$9),IF(SUM(BQ$10:BQ47)-ROUNDDOWN($L48*BQ$5/100,0)&lt;-BQ$6,-BQ$6-SUM(BQ$10:BQ47),-ROUNDDOWN($L48*BQ$5/100,0)),0)</f>
        <v>0</v>
      </c>
      <c r="BR48" s="38">
        <f>IF(AND(BR$7="○",$A48&gt;=BR$8,$A48&lt;=BR$9),IF(SUM(BR$10:BR47)-ROUNDDOWN($M48*BR$5/100,0)&lt;-BR$6,-BR$6-SUM(BR$10:BR47),-ROUNDDOWN($M48*BR$5/100,0)),0)</f>
        <v>0</v>
      </c>
      <c r="BS48" s="38">
        <f>IF(AND(BS$7="○",$A48&gt;=BS$8,$A48&lt;=BS$9),IF(SUM(BS$10:BS47)-ROUNDDOWN($M48*BS$5/100,0)&lt;-BS$6,-BS$6-SUM(BS$10:BS47),-ROUNDDOWN($M48*BS$5/100,0)),0)</f>
        <v>0</v>
      </c>
      <c r="BT48" s="38">
        <f>IF(AND(BT$7="○",$A48&gt;=BT$8,$A48&lt;=BT$9),IF(SUM(BT$10:BT47)-ROUNDDOWN($M48*BT$5/100,0)&lt;-BT$6,-BT$6-SUM(BT$10:BT47),-ROUNDDOWN($M48*BT$5/100,0)),0)</f>
        <v>0</v>
      </c>
      <c r="BU48" s="38">
        <f>IF(AND(BU$7="○",$A48&gt;=BU$8,$A48&lt;=BU$9),IF(SUM(BU$10:BU47)-ROUNDDOWN($M48*BU$5/100,0)&lt;-BU$6,-BU$6-SUM(BU$10:BU47),-ROUNDDOWN($M48*BU$5/100,0)),0)</f>
        <v>0</v>
      </c>
      <c r="BV48" s="38">
        <f>IF(AND(BV$7="○",$A48&gt;=BV$8,$A48&lt;=BV$9),IF(SUM(BV$10:BV47)-ROUNDDOWN($M48*BV$5/100,0)&lt;-BV$6,-BV$6-SUM(BV$10:BV47),-ROUNDDOWN($M48*BV$5/100,0)),0)</f>
        <v>0</v>
      </c>
      <c r="BW48" s="38">
        <f>IF(AND(BW$7="○",$A48&gt;=BW$8,$A48&lt;=BW$9),IF(SUM(BW$10:BW47)-ROUNDDOWN($M48*BW$5/100,0)&lt;-BW$6,-BW$6-SUM(BW$10:BW47),-ROUNDDOWN($M48*BW$5/100,0)),0)</f>
        <v>0</v>
      </c>
      <c r="BX48" s="38">
        <f>IF(AND(T48="○",$A48&gt;=BX$8,$A48&lt;=BX$9),IF(SUM(BX$10:BX47)-ROUNDDOWN($K48*BX$5/100,0)&lt;-BX$6,-BX$6-SUM(BX$10:BX47),-ROUNDDOWN($K48*BX$5/100,0)),0)</f>
        <v>0</v>
      </c>
      <c r="BY48" s="38">
        <f>IF(AND(U48="○",$A48&gt;=BY$8,$A48&lt;=BY$9),IF(SUM(BY$10:BY47)-ROUNDDOWN($K48*BY$5/100,0)&lt;-BY$6,-BY$6-SUM(BY$10:BY47),-ROUNDDOWN($K48*BY$5/100,0)),0)</f>
        <v>0</v>
      </c>
      <c r="BZ48" s="38">
        <f>IF(AND(V48="○",$A48&gt;=BZ$8,$A48&lt;=BZ$9),IF(SUM(BZ$10:BZ47)-ROUNDDOWN($K48*BZ$5/100,0)&lt;-BZ$6,-BZ$6-SUM(BZ$10:BZ47),-ROUNDDOWN($K48*BZ$5/100,0)),0)</f>
        <v>0</v>
      </c>
      <c r="CA48" s="38">
        <f>IF(AND(W48="○",$A48&gt;=CA$8,$A48&lt;=CA$9),IF(SUM(CA$10:CA47)-ROUNDDOWN($K48*CA$5/100,0)&lt;-CA$6,-CA$6-SUM(CA$10:CA47),-ROUNDDOWN($K48*CA$5/100,0)),0)</f>
        <v>0</v>
      </c>
      <c r="CB48" s="38"/>
      <c r="CC48" s="38"/>
      <c r="CD48" s="38"/>
      <c r="CE48" s="38"/>
      <c r="CF48" s="38"/>
      <c r="CG48" s="65">
        <f t="shared" si="47"/>
        <v>0</v>
      </c>
      <c r="CH48" s="71">
        <f t="shared" si="48"/>
        <v>0</v>
      </c>
      <c r="CI48" s="1">
        <f t="shared" si="65"/>
        <v>0</v>
      </c>
      <c r="CJ48" s="1"/>
      <c r="CK48" s="72"/>
      <c r="CL48" s="72"/>
      <c r="CM48" s="2"/>
      <c r="CN48" s="2"/>
      <c r="CO48" s="73">
        <f t="shared" si="66"/>
        <v>0</v>
      </c>
      <c r="CP48" s="5">
        <f t="shared" si="67"/>
        <v>0</v>
      </c>
      <c r="CQ48" s="1"/>
      <c r="CR48" s="1">
        <f t="shared" si="68"/>
        <v>0</v>
      </c>
      <c r="CS48" s="1"/>
      <c r="CT48" s="1" t="e">
        <f>INDEX([2]マスタ!$A:$A,MATCH(D48,[2]マスタ!$C:$C,0))</f>
        <v>#N/A</v>
      </c>
      <c r="CU48" s="1" t="str">
        <f t="shared" ca="1" si="69"/>
        <v>20260620_0-0</v>
      </c>
    </row>
    <row r="49" spans="1:99" x14ac:dyDescent="0.4">
      <c r="A49" s="61"/>
      <c r="B49" s="62"/>
      <c r="C49" s="62"/>
      <c r="D49" s="62"/>
      <c r="E49" s="74"/>
      <c r="F49" s="62"/>
      <c r="G49" s="62">
        <v>1</v>
      </c>
      <c r="H49" s="64">
        <f t="shared" si="56"/>
        <v>0</v>
      </c>
      <c r="I49" s="64"/>
      <c r="J49" s="64"/>
      <c r="K49" s="65">
        <f t="shared" si="57"/>
        <v>0</v>
      </c>
      <c r="L49" s="65">
        <f t="shared" si="58"/>
        <v>0</v>
      </c>
      <c r="M49" s="65">
        <f t="shared" si="59"/>
        <v>0</v>
      </c>
      <c r="N49" s="65">
        <f t="shared" si="60"/>
        <v>0</v>
      </c>
      <c r="O49" s="66" t="str">
        <f t="shared" si="61"/>
        <v>✕</v>
      </c>
      <c r="P49" s="67" t="str">
        <f t="shared" si="62"/>
        <v>○</v>
      </c>
      <c r="Q49" s="67" t="str">
        <f t="shared" si="63"/>
        <v>✕</v>
      </c>
      <c r="R49" s="67" t="str">
        <f t="shared" si="64"/>
        <v>✕</v>
      </c>
      <c r="S49" s="68">
        <v>0</v>
      </c>
      <c r="T49" s="69" t="s">
        <v>85</v>
      </c>
      <c r="U49" s="69" t="s">
        <v>85</v>
      </c>
      <c r="V49" s="69" t="s">
        <v>85</v>
      </c>
      <c r="W49" s="69" t="s">
        <v>85</v>
      </c>
      <c r="X49" s="69" t="s">
        <v>84</v>
      </c>
      <c r="Y49" s="69" t="s">
        <v>85</v>
      </c>
      <c r="Z49" s="69" t="s">
        <v>85</v>
      </c>
      <c r="AA49" s="69" t="s">
        <v>85</v>
      </c>
      <c r="AB49" s="69" t="s">
        <v>85</v>
      </c>
      <c r="AC49" s="69" t="s">
        <v>85</v>
      </c>
      <c r="AD49" s="38" t="str">
        <f>+IF(ISERROR(VLOOKUP($B49,AD$10:AD48,1,0)),IF(AND($N49&gt;=1000,$A49&gt;=AO$8,$A49&lt;=AO$9),$B49,""),"")</f>
        <v/>
      </c>
      <c r="AE49" s="38" t="str">
        <f>+IF(ISERROR(VLOOKUP($B49,AE$10:AE48,1,0)),IF(AND($N49&gt;=1000,$A49&gt;=AP$8,$A49&lt;=AP$9),$B49,""),"")</f>
        <v/>
      </c>
      <c r="AF49" s="38" t="str">
        <f>+IF(ISERROR(VLOOKUP($B49,AF$10:AF48,1,0)),IF(AND($N49&gt;=1000,$A49&gt;=AQ$8,$A49&lt;=AQ$9),$B49,""),"")</f>
        <v/>
      </c>
      <c r="AG49" s="38" t="str">
        <f>+IF(ISERROR(VLOOKUP($B49,AG$10:AG48,1,0)),IF(AND($N49&gt;=1000,$A49&gt;=AR$8,$A49&lt;=AR$9),$B49,""),"")</f>
        <v/>
      </c>
      <c r="AH49" s="38"/>
      <c r="AI49" s="70">
        <v>0</v>
      </c>
      <c r="AJ49" s="38">
        <f>IF(AND(AJ$7="○",$A49&gt;=AJ$8,$A49&lt;=AJ$9),IF(SUM(AJ$10:AJ48)-ROUNDDOWN($K49*AJ$5/100,0)&lt;-AJ$6,-AJ$6-SUM(AJ$10:AJ48),-ROUNDDOWN($K49*AJ$5/100,0)),0)</f>
        <v>0</v>
      </c>
      <c r="AK49" s="38">
        <f>IF(AND(AK$7="○",$A49&gt;=AK$8,$A49&lt;=AK$9),IF(SUM(AK$10:AK48)-ROUNDDOWN($L49*AK$5/100,0)&lt;-AK$6,-AK$6-SUM(AK$10:AK48),-ROUNDDOWN($L49*AK$5/100,0)),0)</f>
        <v>0</v>
      </c>
      <c r="AL49" s="38">
        <f>IF(AND(AL$7="○",$A49&gt;=AL$8,$A49&lt;=AL$9),IF(SUM(AL$10:AL48)-ROUNDDOWN($N49*AL$5/100,0)&lt;-AL$6,-AL$6-SUM(AL$10:AL48),-ROUNDDOWN($N49*AL$5/100,0)),0)</f>
        <v>0</v>
      </c>
      <c r="AM49" s="38">
        <f>IF(AND(AM$7="○",$A49&gt;=AM$8,$A49&lt;=AM$9),IF(SUM(AM$10:AM48)-ROUNDDOWN($L49*AM$5/100,0)&lt;-AM$6,-AM$6-SUM(AM$10:AM48),-ROUNDDOWN($L49*AM$5/100,0)),0)</f>
        <v>0</v>
      </c>
      <c r="AN49" s="38">
        <f>IF(AND(AN$7="○",$A49&gt;=AN$8,$A49&lt;=AN$9),IF(SUM(AN$10:AN48)-ROUNDDOWN($M49*AN$5/100,0)&lt;-AN$6,-AN$6-SUM(AN$10:AN48),-ROUNDDOWN($M49*AN$5/100,0)),0)</f>
        <v>0</v>
      </c>
      <c r="AO49" s="38">
        <f>IF(AND($A49&gt;=AO$8,$A49&lt;=AO$9),IF(SUM(AO$10:AO48)-ROUNDDOWN($K49*AO$5/100,0)&lt;-AO$6,-AO$6-SUM(AO$10:AO48),-ROUNDDOWN($K49*AO$5/100,0)),0)</f>
        <v>0</v>
      </c>
      <c r="AP49" s="38">
        <f>IF(AND($A49&gt;=AP$8,$A49&lt;=AP$9),IF(SUM(AP$10:AP48)-ROUNDDOWN($K49*AP$5/100,0)&lt;-AP$6,-AP$6-SUM(AP$10:AP48),-ROUNDDOWN($K49*AP$5/100,0)),0)</f>
        <v>0</v>
      </c>
      <c r="AQ49" s="38">
        <f>IF(AND($A49&gt;=AQ$8,$A49&lt;=AQ$9),IF(SUM(AQ$10:AQ48)-ROUNDDOWN($K49*AQ$5/100,0)&lt;-AQ$6,-AQ$6-SUM(AQ$10:AQ48),-ROUNDDOWN($K49*AQ$5/100,0)),0)</f>
        <v>0</v>
      </c>
      <c r="AR49" s="38">
        <f>IF(AND($A49&gt;=AR$8,$A49&lt;=AR$9),IF(SUM(AR$10:AR48)-ROUNDDOWN($K49*AR$5/100,0)&lt;-AR$6,-AR$6-SUM(AR$10:AR48),-ROUNDDOWN($K49*AR$5/100,0)),0)</f>
        <v>0</v>
      </c>
      <c r="AS49" s="38">
        <f>IF(SUMIFS(AS$10:AS48,$A$10:$A48,$A49)-ROUNDDOWN($K49*$S49/100,0)&lt;-$S49*1000,-$S49*1000-SUMIFS(AS$10:AS48,$A$10:$A48,$A49),-ROUNDDOWN($K49*$S49/100,0))</f>
        <v>0</v>
      </c>
      <c r="AT49" s="38">
        <f>IF(AND(X49="○",$A49&gt;=AT$8,$A49&lt;=AT$9,K49&gt;=3980),IF(SUM(AT$10:AT48)-ROUNDDOWN($K49*AT$5/100,0)&lt;-AT$6,-AT$6-SUM(AT$10:AT48),-ROUNDDOWN($K49*AT$5/100,0)),0)</f>
        <v>0</v>
      </c>
      <c r="AU49" s="38">
        <f>IF(O49="○",IF(SUM(AU$10:AU48)-ROUNDDOWN($K49*AU$5/100,0)&lt;-AU$6,-AU$6-SUM(AU$10:AU48),-ROUNDDOWN($K49*AU$5/100,0)),0)</f>
        <v>0</v>
      </c>
      <c r="AV49" s="38">
        <f>IF(P49="○",IF(SUM(AV$10:AV48)-ROUNDDOWN($K49*AV$5/100,0)&lt;-AV$6,-AV$6-SUM(AV$10:AV48),-ROUNDDOWN($K49*AV$5/100,0)),0)</f>
        <v>0</v>
      </c>
      <c r="AW49" s="38">
        <f>IF(Q49="○",IF(SUM(AW$10:AW48)-ROUNDDOWN($K49*AW$5/100,0)&lt;-AW$6,-AW$6-SUM(AW$10:AW48),-ROUNDDOWN($K49*AW$5/100,0)),0)</f>
        <v>0</v>
      </c>
      <c r="AX49" s="38">
        <f>IF(R49="○",IF(SUM(AX$10:AX48)-ROUNDDOWN($K49*AX$5/100,0)&lt;-AX$6,-AX$6-SUM(AX$10:AX48),-ROUNDDOWN($K49*AX$5/100,0)),0)</f>
        <v>0</v>
      </c>
      <c r="AY49" s="70">
        <v>0</v>
      </c>
      <c r="AZ49" s="65">
        <f t="shared" si="41"/>
        <v>0</v>
      </c>
      <c r="BA49" s="65">
        <f t="shared" si="42"/>
        <v>0</v>
      </c>
      <c r="BB49" s="70"/>
      <c r="BC49" s="65">
        <f t="shared" si="43"/>
        <v>0</v>
      </c>
      <c r="BD49" s="70">
        <v>0</v>
      </c>
      <c r="BE49" s="65">
        <f t="shared" si="44"/>
        <v>0</v>
      </c>
      <c r="BF49" s="70">
        <v>0</v>
      </c>
      <c r="BG49" s="65">
        <f t="shared" si="45"/>
        <v>0</v>
      </c>
      <c r="BH49" s="70">
        <v>0</v>
      </c>
      <c r="BI49" s="65">
        <f t="shared" si="46"/>
        <v>0</v>
      </c>
      <c r="BJ49" s="38">
        <f>IF(AND(BJ$7="○",$A49&gt;=BJ$8,$A49&lt;=BJ$9),IF(SUM(BJ$10:BJ48)-ROUNDDOWN($M49*BJ$5/100,0)&lt;-BJ$6,-BJ$6-SUM(BJ$10:BJ48),-ROUNDDOWN($M49*BJ$5/100,0)),0)</f>
        <v>0</v>
      </c>
      <c r="BK49" s="38">
        <f>IF(AND(BK$7="○",$A49&gt;=BK$8,$A49&lt;=BK$9),IF(SUM(BK$10:BK48)-ROUNDDOWN($L49*BK$5/100,0)&lt;-BK$6,-BK$6-SUM(BK$10:BK48),-ROUNDDOWN($L49*BK$5/100,0)),0)</f>
        <v>0</v>
      </c>
      <c r="BL49" s="38">
        <f>IF(AND(BL$7="○",$A49&gt;=BL$8,$A49&lt;=BL$9),IF(SUM(BL$10:BL48)-ROUNDDOWN($L49*BL$5/100,0)&lt;-BL$6,-BL$6-SUM(BL$10:BL48),-ROUNDDOWN($L49*BL$5/100,0)),0)</f>
        <v>0</v>
      </c>
      <c r="BM49" s="38">
        <f>IF(AND(BM$7="○",$A49&gt;=BM$8,$A49&lt;=BM$9),IF(SUM(BM$10:BM48)-ROUNDDOWN($M49*BM$5/100,0)&lt;-BM$6,-BM$6-SUM(BM$10:BM48),-ROUNDDOWN($M49*BM$5/100,0)),0)</f>
        <v>0</v>
      </c>
      <c r="BN49" s="38">
        <f>IF(AND(BN$7="○",$A49&gt;=BN$8,$A49&lt;=BN$9),IF(SUM(BN$10:BN48)-ROUNDDOWN($M49*BN$5/100,0)&lt;-BN$6,-BN$6-SUM(BN$10:BN48),-ROUNDDOWN($M49*BN$5/100,0)),0)</f>
        <v>0</v>
      </c>
      <c r="BO49" s="38">
        <f>IF(AND(BO$7="○",$A49&gt;=BO$8,$A49&lt;=BO$9),IF(SUM(BO$10:BO48)-ROUNDDOWN($M49*BO$5/100,0)&lt;-BO$6,-BO$6-SUM(BO$10:BO48),-ROUNDDOWN($M49*BO$5/100,0)),0)</f>
        <v>0</v>
      </c>
      <c r="BP49" s="38">
        <f>IF(AND(BP$7="○",$A49&gt;=BP$8,$A49&lt;=BP$9),IF(SUM(BP$10:BP48)-ROUNDDOWN($M49*BP$5/100,0)&lt;-BP$6,-BP$6-SUM(BP$10:BP48),-ROUNDDOWN($M49*BP$5/100,0)),0)</f>
        <v>0</v>
      </c>
      <c r="BQ49" s="38">
        <f>IF(AND(BQ$7="○",$A49&gt;=BQ$8,$A49&lt;=BQ$9),IF(SUM(BQ$10:BQ48)-ROUNDDOWN($L49*BQ$5/100,0)&lt;-BQ$6,-BQ$6-SUM(BQ$10:BQ48),-ROUNDDOWN($L49*BQ$5/100,0)),0)</f>
        <v>0</v>
      </c>
      <c r="BR49" s="38">
        <f>IF(AND(BR$7="○",$A49&gt;=BR$8,$A49&lt;=BR$9),IF(SUM(BR$10:BR48)-ROUNDDOWN($M49*BR$5/100,0)&lt;-BR$6,-BR$6-SUM(BR$10:BR48),-ROUNDDOWN($M49*BR$5/100,0)),0)</f>
        <v>0</v>
      </c>
      <c r="BS49" s="38">
        <f>IF(AND(BS$7="○",$A49&gt;=BS$8,$A49&lt;=BS$9),IF(SUM(BS$10:BS48)-ROUNDDOWN($M49*BS$5/100,0)&lt;-BS$6,-BS$6-SUM(BS$10:BS48),-ROUNDDOWN($M49*BS$5/100,0)),0)</f>
        <v>0</v>
      </c>
      <c r="BT49" s="38">
        <f>IF(AND(BT$7="○",$A49&gt;=BT$8,$A49&lt;=BT$9),IF(SUM(BT$10:BT48)-ROUNDDOWN($M49*BT$5/100,0)&lt;-BT$6,-BT$6-SUM(BT$10:BT48),-ROUNDDOWN($M49*BT$5/100,0)),0)</f>
        <v>0</v>
      </c>
      <c r="BU49" s="38">
        <f>IF(AND(BU$7="○",$A49&gt;=BU$8,$A49&lt;=BU$9),IF(SUM(BU$10:BU48)-ROUNDDOWN($M49*BU$5/100,0)&lt;-BU$6,-BU$6-SUM(BU$10:BU48),-ROUNDDOWN($M49*BU$5/100,0)),0)</f>
        <v>0</v>
      </c>
      <c r="BV49" s="38">
        <f>IF(AND(BV$7="○",$A49&gt;=BV$8,$A49&lt;=BV$9),IF(SUM(BV$10:BV48)-ROUNDDOWN($M49*BV$5/100,0)&lt;-BV$6,-BV$6-SUM(BV$10:BV48),-ROUNDDOWN($M49*BV$5/100,0)),0)</f>
        <v>0</v>
      </c>
      <c r="BW49" s="38">
        <f>IF(AND(BW$7="○",$A49&gt;=BW$8,$A49&lt;=BW$9),IF(SUM(BW$10:BW48)-ROUNDDOWN($M49*BW$5/100,0)&lt;-BW$6,-BW$6-SUM(BW$10:BW48),-ROUNDDOWN($M49*BW$5/100,0)),0)</f>
        <v>0</v>
      </c>
      <c r="BX49" s="38">
        <f>IF(AND(T49="○",$A49&gt;=BX$8,$A49&lt;=BX$9),IF(SUM(BX$10:BX48)-ROUNDDOWN($K49*BX$5/100,0)&lt;-BX$6,-BX$6-SUM(BX$10:BX48),-ROUNDDOWN($K49*BX$5/100,0)),0)</f>
        <v>0</v>
      </c>
      <c r="BY49" s="38">
        <f>IF(AND(U49="○",$A49&gt;=BY$8,$A49&lt;=BY$9),IF(SUM(BY$10:BY48)-ROUNDDOWN($K49*BY$5/100,0)&lt;-BY$6,-BY$6-SUM(BY$10:BY48),-ROUNDDOWN($K49*BY$5/100,0)),0)</f>
        <v>0</v>
      </c>
      <c r="BZ49" s="38">
        <f>IF(AND(V49="○",$A49&gt;=BZ$8,$A49&lt;=BZ$9),IF(SUM(BZ$10:BZ48)-ROUNDDOWN($K49*BZ$5/100,0)&lt;-BZ$6,-BZ$6-SUM(BZ$10:BZ48),-ROUNDDOWN($K49*BZ$5/100,0)),0)</f>
        <v>0</v>
      </c>
      <c r="CA49" s="38">
        <f>IF(AND(W49="○",$A49&gt;=CA$8,$A49&lt;=CA$9),IF(SUM(CA$10:CA48)-ROUNDDOWN($K49*CA$5/100,0)&lt;-CA$6,-CA$6-SUM(CA$10:CA48),-ROUNDDOWN($K49*CA$5/100,0)),0)</f>
        <v>0</v>
      </c>
      <c r="CB49" s="38"/>
      <c r="CC49" s="38"/>
      <c r="CD49" s="38"/>
      <c r="CE49" s="38"/>
      <c r="CF49" s="38"/>
      <c r="CG49" s="65">
        <f t="shared" si="47"/>
        <v>0</v>
      </c>
      <c r="CH49" s="71">
        <f t="shared" si="48"/>
        <v>0</v>
      </c>
      <c r="CI49" s="1">
        <f t="shared" si="65"/>
        <v>0</v>
      </c>
      <c r="CJ49" s="1"/>
      <c r="CK49" s="72"/>
      <c r="CL49" s="72"/>
      <c r="CM49" s="2"/>
      <c r="CN49" s="2"/>
      <c r="CO49" s="73">
        <f t="shared" si="66"/>
        <v>0</v>
      </c>
      <c r="CP49" s="5">
        <f t="shared" si="67"/>
        <v>0</v>
      </c>
      <c r="CQ49" s="1"/>
      <c r="CR49" s="1">
        <f t="shared" si="68"/>
        <v>0</v>
      </c>
      <c r="CS49" s="1"/>
      <c r="CT49" s="1" t="e">
        <f>INDEX([2]マスタ!$A:$A,MATCH(D49,[2]マスタ!$C:$C,0))</f>
        <v>#N/A</v>
      </c>
      <c r="CU49" s="1" t="str">
        <f t="shared" ca="1" si="69"/>
        <v>20260620_0-0</v>
      </c>
    </row>
    <row r="50" spans="1:99" x14ac:dyDescent="0.4">
      <c r="A50" s="61"/>
      <c r="B50" s="62"/>
      <c r="C50" s="62"/>
      <c r="D50" s="62"/>
      <c r="E50" s="74"/>
      <c r="F50" s="62"/>
      <c r="G50" s="62">
        <v>1</v>
      </c>
      <c r="H50" s="64">
        <f t="shared" si="56"/>
        <v>0</v>
      </c>
      <c r="I50" s="64"/>
      <c r="J50" s="64"/>
      <c r="K50" s="65">
        <f t="shared" si="57"/>
        <v>0</v>
      </c>
      <c r="L50" s="65">
        <f t="shared" si="58"/>
        <v>0</v>
      </c>
      <c r="M50" s="65">
        <f t="shared" si="59"/>
        <v>0</v>
      </c>
      <c r="N50" s="65">
        <f t="shared" si="60"/>
        <v>0</v>
      </c>
      <c r="O50" s="66" t="str">
        <f t="shared" si="61"/>
        <v>✕</v>
      </c>
      <c r="P50" s="67" t="str">
        <f t="shared" si="62"/>
        <v>○</v>
      </c>
      <c r="Q50" s="67" t="str">
        <f t="shared" si="63"/>
        <v>✕</v>
      </c>
      <c r="R50" s="67" t="str">
        <f t="shared" si="64"/>
        <v>✕</v>
      </c>
      <c r="S50" s="68">
        <v>0</v>
      </c>
      <c r="T50" s="69" t="s">
        <v>85</v>
      </c>
      <c r="U50" s="69" t="s">
        <v>85</v>
      </c>
      <c r="V50" s="69" t="s">
        <v>85</v>
      </c>
      <c r="W50" s="69" t="s">
        <v>85</v>
      </c>
      <c r="X50" s="69" t="s">
        <v>84</v>
      </c>
      <c r="Y50" s="69" t="s">
        <v>85</v>
      </c>
      <c r="Z50" s="69" t="s">
        <v>85</v>
      </c>
      <c r="AA50" s="69" t="s">
        <v>85</v>
      </c>
      <c r="AB50" s="69" t="s">
        <v>85</v>
      </c>
      <c r="AC50" s="69" t="s">
        <v>85</v>
      </c>
      <c r="AD50" s="38" t="str">
        <f>+IF(ISERROR(VLOOKUP($B50,AD$10:AD49,1,0)),IF(AND($N50&gt;=1000,$A50&gt;=AO$8,$A50&lt;=AO$9),$B50,""),"")</f>
        <v/>
      </c>
      <c r="AE50" s="38" t="str">
        <f>+IF(ISERROR(VLOOKUP($B50,AE$10:AE49,1,0)),IF(AND($N50&gt;=1000,$A50&gt;=AP$8,$A50&lt;=AP$9),$B50,""),"")</f>
        <v/>
      </c>
      <c r="AF50" s="38" t="str">
        <f>+IF(ISERROR(VLOOKUP($B50,AF$10:AF49,1,0)),IF(AND($N50&gt;=1000,$A50&gt;=AQ$8,$A50&lt;=AQ$9),$B50,""),"")</f>
        <v/>
      </c>
      <c r="AG50" s="38" t="str">
        <f>+IF(ISERROR(VLOOKUP($B50,AG$10:AG49,1,0)),IF(AND($N50&gt;=1000,$A50&gt;=AR$8,$A50&lt;=AR$9),$B50,""),"")</f>
        <v/>
      </c>
      <c r="AH50" s="38"/>
      <c r="AI50" s="70">
        <v>0</v>
      </c>
      <c r="AJ50" s="38">
        <f>IF(AND(AJ$7="○",$A50&gt;=AJ$8,$A50&lt;=AJ$9),IF(SUM(AJ$10:AJ49)-ROUNDDOWN($K50*AJ$5/100,0)&lt;-AJ$6,-AJ$6-SUM(AJ$10:AJ49),-ROUNDDOWN($K50*AJ$5/100,0)),0)</f>
        <v>0</v>
      </c>
      <c r="AK50" s="38">
        <f>IF(AND(AK$7="○",$A50&gt;=AK$8,$A50&lt;=AK$9),IF(SUM(AK$10:AK49)-ROUNDDOWN($L50*AK$5/100,0)&lt;-AK$6,-AK$6-SUM(AK$10:AK49),-ROUNDDOWN($L50*AK$5/100,0)),0)</f>
        <v>0</v>
      </c>
      <c r="AL50" s="38">
        <f>IF(AND(AL$7="○",$A50&gt;=AL$8,$A50&lt;=AL$9),IF(SUM(AL$10:AL49)-ROUNDDOWN($N50*AL$5/100,0)&lt;-AL$6,-AL$6-SUM(AL$10:AL49),-ROUNDDOWN($N50*AL$5/100,0)),0)</f>
        <v>0</v>
      </c>
      <c r="AM50" s="38">
        <f>IF(AND(AM$7="○",$A50&gt;=AM$8,$A50&lt;=AM$9),IF(SUM(AM$10:AM49)-ROUNDDOWN($L50*AM$5/100,0)&lt;-AM$6,-AM$6-SUM(AM$10:AM49),-ROUNDDOWN($L50*AM$5/100,0)),0)</f>
        <v>0</v>
      </c>
      <c r="AN50" s="38">
        <f>IF(AND(AN$7="○",$A50&gt;=AN$8,$A50&lt;=AN$9),IF(SUM(AN$10:AN49)-ROUNDDOWN($M50*AN$5/100,0)&lt;-AN$6,-AN$6-SUM(AN$10:AN49),-ROUNDDOWN($M50*AN$5/100,0)),0)</f>
        <v>0</v>
      </c>
      <c r="AO50" s="38">
        <f>IF(AND($A50&gt;=AO$8,$A50&lt;=AO$9),IF(SUM(AO$10:AO49)-ROUNDDOWN($K50*AO$5/100,0)&lt;-AO$6,-AO$6-SUM(AO$10:AO49),-ROUNDDOWN($K50*AO$5/100,0)),0)</f>
        <v>0</v>
      </c>
      <c r="AP50" s="38">
        <f>IF(AND($A50&gt;=AP$8,$A50&lt;=AP$9),IF(SUM(AP$10:AP49)-ROUNDDOWN($K50*AP$5/100,0)&lt;-AP$6,-AP$6-SUM(AP$10:AP49),-ROUNDDOWN($K50*AP$5/100,0)),0)</f>
        <v>0</v>
      </c>
      <c r="AQ50" s="38">
        <f>IF(AND($A50&gt;=AQ$8,$A50&lt;=AQ$9),IF(SUM(AQ$10:AQ49)-ROUNDDOWN($K50*AQ$5/100,0)&lt;-AQ$6,-AQ$6-SUM(AQ$10:AQ49),-ROUNDDOWN($K50*AQ$5/100,0)),0)</f>
        <v>0</v>
      </c>
      <c r="AR50" s="38">
        <f>IF(AND($A50&gt;=AR$8,$A50&lt;=AR$9),IF(SUM(AR$10:AR49)-ROUNDDOWN($K50*AR$5/100,0)&lt;-AR$6,-AR$6-SUM(AR$10:AR49),-ROUNDDOWN($K50*AR$5/100,0)),0)</f>
        <v>0</v>
      </c>
      <c r="AS50" s="38">
        <f>IF(SUMIFS(AS$10:AS49,$A$10:$A49,$A50)-ROUNDDOWN($K50*$S50/100,0)&lt;-$S50*1000,-$S50*1000-SUMIFS(AS$10:AS49,$A$10:$A49,$A50),-ROUNDDOWN($K50*$S50/100,0))</f>
        <v>0</v>
      </c>
      <c r="AT50" s="38">
        <f>IF(AND(X50="○",$A50&gt;=AT$8,$A50&lt;=AT$9,K50&gt;=3980),IF(SUM(AT$10:AT49)-ROUNDDOWN($K50*AT$5/100,0)&lt;-AT$6,-AT$6-SUM(AT$10:AT49),-ROUNDDOWN($K50*AT$5/100,0)),0)</f>
        <v>0</v>
      </c>
      <c r="AU50" s="38">
        <f>IF(O50="○",IF(SUM(AU$10:AU49)-ROUNDDOWN($K50*AU$5/100,0)&lt;-AU$6,-AU$6-SUM(AU$10:AU49),-ROUNDDOWN($K50*AU$5/100,0)),0)</f>
        <v>0</v>
      </c>
      <c r="AV50" s="38">
        <f>IF(P50="○",IF(SUM(AV$10:AV49)-ROUNDDOWN($K50*AV$5/100,0)&lt;-AV$6,-AV$6-SUM(AV$10:AV49),-ROUNDDOWN($K50*AV$5/100,0)),0)</f>
        <v>0</v>
      </c>
      <c r="AW50" s="38">
        <f>IF(Q50="○",IF(SUM(AW$10:AW49)-ROUNDDOWN($K50*AW$5/100,0)&lt;-AW$6,-AW$6-SUM(AW$10:AW49),-ROUNDDOWN($K50*AW$5/100,0)),0)</f>
        <v>0</v>
      </c>
      <c r="AX50" s="38">
        <f>IF(R50="○",IF(SUM(AX$10:AX49)-ROUNDDOWN($K50*AX$5/100,0)&lt;-AX$6,-AX$6-SUM(AX$10:AX49),-ROUNDDOWN($K50*AX$5/100,0)),0)</f>
        <v>0</v>
      </c>
      <c r="AY50" s="70">
        <v>0</v>
      </c>
      <c r="AZ50" s="65">
        <f t="shared" si="41"/>
        <v>0</v>
      </c>
      <c r="BA50" s="65">
        <f t="shared" si="42"/>
        <v>0</v>
      </c>
      <c r="BB50" s="70"/>
      <c r="BC50" s="65">
        <f t="shared" si="43"/>
        <v>0</v>
      </c>
      <c r="BD50" s="70">
        <v>0</v>
      </c>
      <c r="BE50" s="65">
        <f t="shared" si="44"/>
        <v>0</v>
      </c>
      <c r="BF50" s="70">
        <v>0</v>
      </c>
      <c r="BG50" s="65">
        <f t="shared" si="45"/>
        <v>0</v>
      </c>
      <c r="BH50" s="70">
        <v>0</v>
      </c>
      <c r="BI50" s="65">
        <f t="shared" si="46"/>
        <v>0</v>
      </c>
      <c r="BJ50" s="38">
        <f>IF(AND(BJ$7="○",$A50&gt;=BJ$8,$A50&lt;=BJ$9),IF(SUM(BJ$10:BJ49)-ROUNDDOWN($M50*BJ$5/100,0)&lt;-BJ$6,-BJ$6-SUM(BJ$10:BJ49),-ROUNDDOWN($M50*BJ$5/100,0)),0)</f>
        <v>0</v>
      </c>
      <c r="BK50" s="38">
        <f>IF(AND(BK$7="○",$A50&gt;=BK$8,$A50&lt;=BK$9),IF(SUM(BK$10:BK49)-ROUNDDOWN($L50*BK$5/100,0)&lt;-BK$6,-BK$6-SUM(BK$10:BK49),-ROUNDDOWN($L50*BK$5/100,0)),0)</f>
        <v>0</v>
      </c>
      <c r="BL50" s="38">
        <f>IF(AND(BL$7="○",$A50&gt;=BL$8,$A50&lt;=BL$9),IF(SUM(BL$10:BL49)-ROUNDDOWN($L50*BL$5/100,0)&lt;-BL$6,-BL$6-SUM(BL$10:BL49),-ROUNDDOWN($L50*BL$5/100,0)),0)</f>
        <v>0</v>
      </c>
      <c r="BM50" s="38">
        <f>IF(AND(BM$7="○",$A50&gt;=BM$8,$A50&lt;=BM$9),IF(SUM(BM$10:BM49)-ROUNDDOWN($M50*BM$5/100,0)&lt;-BM$6,-BM$6-SUM(BM$10:BM49),-ROUNDDOWN($M50*BM$5/100,0)),0)</f>
        <v>0</v>
      </c>
      <c r="BN50" s="38">
        <f>IF(AND(BN$7="○",$A50&gt;=BN$8,$A50&lt;=BN$9),IF(SUM(BN$10:BN49)-ROUNDDOWN($M50*BN$5/100,0)&lt;-BN$6,-BN$6-SUM(BN$10:BN49),-ROUNDDOWN($M50*BN$5/100,0)),0)</f>
        <v>0</v>
      </c>
      <c r="BO50" s="38">
        <f>IF(AND(BO$7="○",$A50&gt;=BO$8,$A50&lt;=BO$9),IF(SUM(BO$10:BO49)-ROUNDDOWN($M50*BO$5/100,0)&lt;-BO$6,-BO$6-SUM(BO$10:BO49),-ROUNDDOWN($M50*BO$5/100,0)),0)</f>
        <v>0</v>
      </c>
      <c r="BP50" s="38">
        <f>IF(AND(BP$7="○",$A50&gt;=BP$8,$A50&lt;=BP$9),IF(SUM(BP$10:BP49)-ROUNDDOWN($M50*BP$5/100,0)&lt;-BP$6,-BP$6-SUM(BP$10:BP49),-ROUNDDOWN($M50*BP$5/100,0)),0)</f>
        <v>0</v>
      </c>
      <c r="BQ50" s="38">
        <f>IF(AND(BQ$7="○",$A50&gt;=BQ$8,$A50&lt;=BQ$9),IF(SUM(BQ$10:BQ49)-ROUNDDOWN($L50*BQ$5/100,0)&lt;-BQ$6,-BQ$6-SUM(BQ$10:BQ49),-ROUNDDOWN($L50*BQ$5/100,0)),0)</f>
        <v>0</v>
      </c>
      <c r="BR50" s="38">
        <f>IF(AND(BR$7="○",$A50&gt;=BR$8,$A50&lt;=BR$9),IF(SUM(BR$10:BR49)-ROUNDDOWN($M50*BR$5/100,0)&lt;-BR$6,-BR$6-SUM(BR$10:BR49),-ROUNDDOWN($M50*BR$5/100,0)),0)</f>
        <v>0</v>
      </c>
      <c r="BS50" s="38">
        <f>IF(AND(BS$7="○",$A50&gt;=BS$8,$A50&lt;=BS$9),IF(SUM(BS$10:BS49)-ROUNDDOWN($M50*BS$5/100,0)&lt;-BS$6,-BS$6-SUM(BS$10:BS49),-ROUNDDOWN($M50*BS$5/100,0)),0)</f>
        <v>0</v>
      </c>
      <c r="BT50" s="38">
        <f>IF(AND(BT$7="○",$A50&gt;=BT$8,$A50&lt;=BT$9),IF(SUM(BT$10:BT49)-ROUNDDOWN($M50*BT$5/100,0)&lt;-BT$6,-BT$6-SUM(BT$10:BT49),-ROUNDDOWN($M50*BT$5/100,0)),0)</f>
        <v>0</v>
      </c>
      <c r="BU50" s="38">
        <f>IF(AND(BU$7="○",$A50&gt;=BU$8,$A50&lt;=BU$9),IF(SUM(BU$10:BU49)-ROUNDDOWN($M50*BU$5/100,0)&lt;-BU$6,-BU$6-SUM(BU$10:BU49),-ROUNDDOWN($M50*BU$5/100,0)),0)</f>
        <v>0</v>
      </c>
      <c r="BV50" s="38">
        <f>IF(AND(BV$7="○",$A50&gt;=BV$8,$A50&lt;=BV$9),IF(SUM(BV$10:BV49)-ROUNDDOWN($M50*BV$5/100,0)&lt;-BV$6,-BV$6-SUM(BV$10:BV49),-ROUNDDOWN($M50*BV$5/100,0)),0)</f>
        <v>0</v>
      </c>
      <c r="BW50" s="38">
        <f>IF(AND(BW$7="○",$A50&gt;=BW$8,$A50&lt;=BW$9),IF(SUM(BW$10:BW49)-ROUNDDOWN($M50*BW$5/100,0)&lt;-BW$6,-BW$6-SUM(BW$10:BW49),-ROUNDDOWN($M50*BW$5/100,0)),0)</f>
        <v>0</v>
      </c>
      <c r="BX50" s="38">
        <f>IF(AND(T50="○",$A50&gt;=BX$8,$A50&lt;=BX$9),IF(SUM(BX$10:BX49)-ROUNDDOWN($K50*BX$5/100,0)&lt;-BX$6,-BX$6-SUM(BX$10:BX49),-ROUNDDOWN($K50*BX$5/100,0)),0)</f>
        <v>0</v>
      </c>
      <c r="BY50" s="38">
        <f>IF(AND(U50="○",$A50&gt;=BY$8,$A50&lt;=BY$9),IF(SUM(BY$10:BY49)-ROUNDDOWN($K50*BY$5/100,0)&lt;-BY$6,-BY$6-SUM(BY$10:BY49),-ROUNDDOWN($K50*BY$5/100,0)),0)</f>
        <v>0</v>
      </c>
      <c r="BZ50" s="38">
        <f>IF(AND(V50="○",$A50&gt;=BZ$8,$A50&lt;=BZ$9),IF(SUM(BZ$10:BZ49)-ROUNDDOWN($K50*BZ$5/100,0)&lt;-BZ$6,-BZ$6-SUM(BZ$10:BZ49),-ROUNDDOWN($K50*BZ$5/100,0)),0)</f>
        <v>0</v>
      </c>
      <c r="CA50" s="38">
        <f>IF(AND(W50="○",$A50&gt;=CA$8,$A50&lt;=CA$9),IF(SUM(CA$10:CA49)-ROUNDDOWN($K50*CA$5/100,0)&lt;-CA$6,-CA$6-SUM(CA$10:CA49),-ROUNDDOWN($K50*CA$5/100,0)),0)</f>
        <v>0</v>
      </c>
      <c r="CB50" s="38"/>
      <c r="CC50" s="38"/>
      <c r="CD50" s="38"/>
      <c r="CE50" s="38"/>
      <c r="CF50" s="38"/>
      <c r="CG50" s="65">
        <f t="shared" si="47"/>
        <v>0</v>
      </c>
      <c r="CH50" s="71">
        <f t="shared" si="48"/>
        <v>0</v>
      </c>
      <c r="CI50" s="1">
        <f t="shared" si="65"/>
        <v>0</v>
      </c>
      <c r="CJ50" s="1"/>
      <c r="CK50" s="72"/>
      <c r="CL50" s="72"/>
      <c r="CM50" s="2"/>
      <c r="CN50" s="2"/>
      <c r="CO50" s="73">
        <f t="shared" si="66"/>
        <v>0</v>
      </c>
      <c r="CP50" s="5">
        <f t="shared" si="67"/>
        <v>0</v>
      </c>
      <c r="CQ50" s="1"/>
      <c r="CR50" s="1">
        <f t="shared" si="68"/>
        <v>0</v>
      </c>
      <c r="CS50" s="1"/>
      <c r="CT50" s="1" t="e">
        <f>INDEX([2]マスタ!$A:$A,MATCH(D50,[2]マスタ!$C:$C,0))</f>
        <v>#N/A</v>
      </c>
      <c r="CU50" s="1" t="str">
        <f t="shared" ca="1" si="69"/>
        <v>20260620_0-0</v>
      </c>
    </row>
    <row r="51" spans="1:99" x14ac:dyDescent="0.4">
      <c r="A51" s="61"/>
      <c r="B51" s="62"/>
      <c r="C51" s="62"/>
      <c r="D51" s="62"/>
      <c r="E51" s="74"/>
      <c r="F51" s="62"/>
      <c r="G51" s="62">
        <v>1</v>
      </c>
      <c r="H51" s="64">
        <f t="shared" si="56"/>
        <v>0</v>
      </c>
      <c r="I51" s="64"/>
      <c r="J51" s="64"/>
      <c r="K51" s="65">
        <f t="shared" si="57"/>
        <v>0</v>
      </c>
      <c r="L51" s="65">
        <f t="shared" si="58"/>
        <v>0</v>
      </c>
      <c r="M51" s="65">
        <f t="shared" si="59"/>
        <v>0</v>
      </c>
      <c r="N51" s="65">
        <f t="shared" si="60"/>
        <v>0</v>
      </c>
      <c r="O51" s="66" t="str">
        <f t="shared" si="61"/>
        <v>✕</v>
      </c>
      <c r="P51" s="67" t="str">
        <f t="shared" si="62"/>
        <v>○</v>
      </c>
      <c r="Q51" s="67" t="str">
        <f t="shared" si="63"/>
        <v>✕</v>
      </c>
      <c r="R51" s="67" t="str">
        <f t="shared" si="64"/>
        <v>✕</v>
      </c>
      <c r="S51" s="68">
        <v>0</v>
      </c>
      <c r="T51" s="69" t="s">
        <v>85</v>
      </c>
      <c r="U51" s="69" t="s">
        <v>85</v>
      </c>
      <c r="V51" s="69" t="s">
        <v>85</v>
      </c>
      <c r="W51" s="69" t="s">
        <v>85</v>
      </c>
      <c r="X51" s="69" t="s">
        <v>84</v>
      </c>
      <c r="Y51" s="69" t="s">
        <v>85</v>
      </c>
      <c r="Z51" s="69" t="s">
        <v>85</v>
      </c>
      <c r="AA51" s="69" t="s">
        <v>85</v>
      </c>
      <c r="AB51" s="69" t="s">
        <v>85</v>
      </c>
      <c r="AC51" s="69" t="s">
        <v>85</v>
      </c>
      <c r="AD51" s="38" t="str">
        <f>+IF(ISERROR(VLOOKUP($B51,AD$10:AD50,1,0)),IF(AND($N51&gt;=1000,$A51&gt;=AO$8,$A51&lt;=AO$9),$B51,""),"")</f>
        <v/>
      </c>
      <c r="AE51" s="38" t="str">
        <f>+IF(ISERROR(VLOOKUP($B51,AE$10:AE50,1,0)),IF(AND($N51&gt;=1000,$A51&gt;=AP$8,$A51&lt;=AP$9),$B51,""),"")</f>
        <v/>
      </c>
      <c r="AF51" s="38" t="str">
        <f>+IF(ISERROR(VLOOKUP($B51,AF$10:AF50,1,0)),IF(AND($N51&gt;=1000,$A51&gt;=AQ$8,$A51&lt;=AQ$9),$B51,""),"")</f>
        <v/>
      </c>
      <c r="AG51" s="38" t="str">
        <f>+IF(ISERROR(VLOOKUP($B51,AG$10:AG50,1,0)),IF(AND($N51&gt;=1000,$A51&gt;=AR$8,$A51&lt;=AR$9),$B51,""),"")</f>
        <v/>
      </c>
      <c r="AH51" s="38"/>
      <c r="AI51" s="70">
        <v>0</v>
      </c>
      <c r="AJ51" s="38">
        <f>IF(AND(AJ$7="○",$A51&gt;=AJ$8,$A51&lt;=AJ$9),IF(SUM(AJ$10:AJ50)-ROUNDDOWN($K51*AJ$5/100,0)&lt;-AJ$6,-AJ$6-SUM(AJ$10:AJ50),-ROUNDDOWN($K51*AJ$5/100,0)),0)</f>
        <v>0</v>
      </c>
      <c r="AK51" s="38">
        <f>IF(AND(AK$7="○",$A51&gt;=AK$8,$A51&lt;=AK$9),IF(SUM(AK$10:AK50)-ROUNDDOWN($L51*AK$5/100,0)&lt;-AK$6,-AK$6-SUM(AK$10:AK50),-ROUNDDOWN($L51*AK$5/100,0)),0)</f>
        <v>0</v>
      </c>
      <c r="AL51" s="38">
        <f>IF(AND(AL$7="○",$A51&gt;=AL$8,$A51&lt;=AL$9),IF(SUM(AL$10:AL50)-ROUNDDOWN($N51*AL$5/100,0)&lt;-AL$6,-AL$6-SUM(AL$10:AL50),-ROUNDDOWN($N51*AL$5/100,0)),0)</f>
        <v>0</v>
      </c>
      <c r="AM51" s="38">
        <f>IF(AND(AM$7="○",$A51&gt;=AM$8,$A51&lt;=AM$9),IF(SUM(AM$10:AM50)-ROUNDDOWN($L51*AM$5/100,0)&lt;-AM$6,-AM$6-SUM(AM$10:AM50),-ROUNDDOWN($L51*AM$5/100,0)),0)</f>
        <v>0</v>
      </c>
      <c r="AN51" s="38">
        <f>IF(AND(AN$7="○",$A51&gt;=AN$8,$A51&lt;=AN$9),IF(SUM(AN$10:AN50)-ROUNDDOWN($M51*AN$5/100,0)&lt;-AN$6,-AN$6-SUM(AN$10:AN50),-ROUNDDOWN($M51*AN$5/100,0)),0)</f>
        <v>0</v>
      </c>
      <c r="AO51" s="38">
        <f>IF(AND($A51&gt;=AO$8,$A51&lt;=AO$9),IF(SUM(AO$10:AO50)-ROUNDDOWN($K51*AO$5/100,0)&lt;-AO$6,-AO$6-SUM(AO$10:AO50),-ROUNDDOWN($K51*AO$5/100,0)),0)</f>
        <v>0</v>
      </c>
      <c r="AP51" s="38">
        <f>IF(AND($A51&gt;=AP$8,$A51&lt;=AP$9),IF(SUM(AP$10:AP50)-ROUNDDOWN($K51*AP$5/100,0)&lt;-AP$6,-AP$6-SUM(AP$10:AP50),-ROUNDDOWN($K51*AP$5/100,0)),0)</f>
        <v>0</v>
      </c>
      <c r="AQ51" s="38">
        <f>IF(AND($A51&gt;=AQ$8,$A51&lt;=AQ$9),IF(SUM(AQ$10:AQ50)-ROUNDDOWN($K51*AQ$5/100,0)&lt;-AQ$6,-AQ$6-SUM(AQ$10:AQ50),-ROUNDDOWN($K51*AQ$5/100,0)),0)</f>
        <v>0</v>
      </c>
      <c r="AR51" s="38">
        <f>IF(AND($A51&gt;=AR$8,$A51&lt;=AR$9),IF(SUM(AR$10:AR50)-ROUNDDOWN($K51*AR$5/100,0)&lt;-AR$6,-AR$6-SUM(AR$10:AR50),-ROUNDDOWN($K51*AR$5/100,0)),0)</f>
        <v>0</v>
      </c>
      <c r="AS51" s="38">
        <f>IF(SUMIFS(AS$10:AS50,$A$10:$A50,$A51)-ROUNDDOWN($K51*$S51/100,0)&lt;-$S51*1000,-$S51*1000-SUMIFS(AS$10:AS50,$A$10:$A50,$A51),-ROUNDDOWN($K51*$S51/100,0))</f>
        <v>0</v>
      </c>
      <c r="AT51" s="38">
        <f>IF(AND(X51="○",$A51&gt;=AT$8,$A51&lt;=AT$9,K51&gt;=3980),IF(SUM(AT$10:AT50)-ROUNDDOWN($K51*AT$5/100,0)&lt;-AT$6,-AT$6-SUM(AT$10:AT50),-ROUNDDOWN($K51*AT$5/100,0)),0)</f>
        <v>0</v>
      </c>
      <c r="AU51" s="38">
        <f>IF(O51="○",IF(SUM(AU$10:AU50)-ROUNDDOWN($K51*AU$5/100,0)&lt;-AU$6,-AU$6-SUM(AU$10:AU50),-ROUNDDOWN($K51*AU$5/100,0)),0)</f>
        <v>0</v>
      </c>
      <c r="AV51" s="38">
        <f>IF(P51="○",IF(SUM(AV$10:AV50)-ROUNDDOWN($K51*AV$5/100,0)&lt;-AV$6,-AV$6-SUM(AV$10:AV50),-ROUNDDOWN($K51*AV$5/100,0)),0)</f>
        <v>0</v>
      </c>
      <c r="AW51" s="38">
        <f>IF(Q51="○",IF(SUM(AW$10:AW50)-ROUNDDOWN($K51*AW$5/100,0)&lt;-AW$6,-AW$6-SUM(AW$10:AW50),-ROUNDDOWN($K51*AW$5/100,0)),0)</f>
        <v>0</v>
      </c>
      <c r="AX51" s="38">
        <f>IF(R51="○",IF(SUM(AX$10:AX50)-ROUNDDOWN($K51*AX$5/100,0)&lt;-AX$6,-AX$6-SUM(AX$10:AX50),-ROUNDDOWN($K51*AX$5/100,0)),0)</f>
        <v>0</v>
      </c>
      <c r="AY51" s="70">
        <v>0</v>
      </c>
      <c r="AZ51" s="65">
        <f t="shared" si="41"/>
        <v>0</v>
      </c>
      <c r="BA51" s="65">
        <f t="shared" si="42"/>
        <v>0</v>
      </c>
      <c r="BB51" s="70"/>
      <c r="BC51" s="65">
        <f t="shared" si="43"/>
        <v>0</v>
      </c>
      <c r="BD51" s="70">
        <v>0</v>
      </c>
      <c r="BE51" s="65">
        <f t="shared" si="44"/>
        <v>0</v>
      </c>
      <c r="BF51" s="70">
        <v>0</v>
      </c>
      <c r="BG51" s="65">
        <f t="shared" si="45"/>
        <v>0</v>
      </c>
      <c r="BH51" s="70">
        <v>0</v>
      </c>
      <c r="BI51" s="65">
        <f t="shared" si="46"/>
        <v>0</v>
      </c>
      <c r="BJ51" s="38">
        <f>IF(AND(BJ$7="○",$A51&gt;=BJ$8,$A51&lt;=BJ$9),IF(SUM(BJ$10:BJ50)-ROUNDDOWN($M51*BJ$5/100,0)&lt;-BJ$6,-BJ$6-SUM(BJ$10:BJ50),-ROUNDDOWN($M51*BJ$5/100,0)),0)</f>
        <v>0</v>
      </c>
      <c r="BK51" s="38">
        <f>IF(AND(BK$7="○",$A51&gt;=BK$8,$A51&lt;=BK$9),IF(SUM(BK$10:BK50)-ROUNDDOWN($L51*BK$5/100,0)&lt;-BK$6,-BK$6-SUM(BK$10:BK50),-ROUNDDOWN($L51*BK$5/100,0)),0)</f>
        <v>0</v>
      </c>
      <c r="BL51" s="38">
        <f>IF(AND(BL$7="○",$A51&gt;=BL$8,$A51&lt;=BL$9),IF(SUM(BL$10:BL50)-ROUNDDOWN($L51*BL$5/100,0)&lt;-BL$6,-BL$6-SUM(BL$10:BL50),-ROUNDDOWN($L51*BL$5/100,0)),0)</f>
        <v>0</v>
      </c>
      <c r="BM51" s="38">
        <f>IF(AND(BM$7="○",$A51&gt;=BM$8,$A51&lt;=BM$9),IF(SUM(BM$10:BM50)-ROUNDDOWN($M51*BM$5/100,0)&lt;-BM$6,-BM$6-SUM(BM$10:BM50),-ROUNDDOWN($M51*BM$5/100,0)),0)</f>
        <v>0</v>
      </c>
      <c r="BN51" s="38">
        <f>IF(AND(BN$7="○",$A51&gt;=BN$8,$A51&lt;=BN$9),IF(SUM(BN$10:BN50)-ROUNDDOWN($M51*BN$5/100,0)&lt;-BN$6,-BN$6-SUM(BN$10:BN50),-ROUNDDOWN($M51*BN$5/100,0)),0)</f>
        <v>0</v>
      </c>
      <c r="BO51" s="38">
        <f>IF(AND(BO$7="○",$A51&gt;=BO$8,$A51&lt;=BO$9),IF(SUM(BO$10:BO50)-ROUNDDOWN($M51*BO$5/100,0)&lt;-BO$6,-BO$6-SUM(BO$10:BO50),-ROUNDDOWN($M51*BO$5/100,0)),0)</f>
        <v>0</v>
      </c>
      <c r="BP51" s="38">
        <f>IF(AND(BP$7="○",$A51&gt;=BP$8,$A51&lt;=BP$9),IF(SUM(BP$10:BP50)-ROUNDDOWN($M51*BP$5/100,0)&lt;-BP$6,-BP$6-SUM(BP$10:BP50),-ROUNDDOWN($M51*BP$5/100,0)),0)</f>
        <v>0</v>
      </c>
      <c r="BQ51" s="38">
        <f>IF(AND(BQ$7="○",$A51&gt;=BQ$8,$A51&lt;=BQ$9),IF(SUM(BQ$10:BQ50)-ROUNDDOWN($L51*BQ$5/100,0)&lt;-BQ$6,-BQ$6-SUM(BQ$10:BQ50),-ROUNDDOWN($L51*BQ$5/100,0)),0)</f>
        <v>0</v>
      </c>
      <c r="BR51" s="38">
        <f>IF(AND(BR$7="○",$A51&gt;=BR$8,$A51&lt;=BR$9),IF(SUM(BR$10:BR50)-ROUNDDOWN($M51*BR$5/100,0)&lt;-BR$6,-BR$6-SUM(BR$10:BR50),-ROUNDDOWN($M51*BR$5/100,0)),0)</f>
        <v>0</v>
      </c>
      <c r="BS51" s="38">
        <f>IF(AND(BS$7="○",$A51&gt;=BS$8,$A51&lt;=BS$9),IF(SUM(BS$10:BS50)-ROUNDDOWN($M51*BS$5/100,0)&lt;-BS$6,-BS$6-SUM(BS$10:BS50),-ROUNDDOWN($M51*BS$5/100,0)),0)</f>
        <v>0</v>
      </c>
      <c r="BT51" s="38">
        <f>IF(AND(BT$7="○",$A51&gt;=BT$8,$A51&lt;=BT$9),IF(SUM(BT$10:BT50)-ROUNDDOWN($M51*BT$5/100,0)&lt;-BT$6,-BT$6-SUM(BT$10:BT50),-ROUNDDOWN($M51*BT$5/100,0)),0)</f>
        <v>0</v>
      </c>
      <c r="BU51" s="38">
        <f>IF(AND(BU$7="○",$A51&gt;=BU$8,$A51&lt;=BU$9),IF(SUM(BU$10:BU50)-ROUNDDOWN($M51*BU$5/100,0)&lt;-BU$6,-BU$6-SUM(BU$10:BU50),-ROUNDDOWN($M51*BU$5/100,0)),0)</f>
        <v>0</v>
      </c>
      <c r="BV51" s="38">
        <f>IF(AND(BV$7="○",$A51&gt;=BV$8,$A51&lt;=BV$9),IF(SUM(BV$10:BV50)-ROUNDDOWN($M51*BV$5/100,0)&lt;-BV$6,-BV$6-SUM(BV$10:BV50),-ROUNDDOWN($M51*BV$5/100,0)),0)</f>
        <v>0</v>
      </c>
      <c r="BW51" s="38">
        <f>IF(AND(BW$7="○",$A51&gt;=BW$8,$A51&lt;=BW$9),IF(SUM(BW$10:BW50)-ROUNDDOWN($M51*BW$5/100,0)&lt;-BW$6,-BW$6-SUM(BW$10:BW50),-ROUNDDOWN($M51*BW$5/100,0)),0)</f>
        <v>0</v>
      </c>
      <c r="BX51" s="38">
        <f>IF(AND(T51="○",$A51&gt;=BX$8,$A51&lt;=BX$9),IF(SUM(BX$10:BX50)-ROUNDDOWN($K51*BX$5/100,0)&lt;-BX$6,-BX$6-SUM(BX$10:BX50),-ROUNDDOWN($K51*BX$5/100,0)),0)</f>
        <v>0</v>
      </c>
      <c r="BY51" s="38">
        <f>IF(AND(U51="○",$A51&gt;=BY$8,$A51&lt;=BY$9),IF(SUM(BY$10:BY50)-ROUNDDOWN($K51*BY$5/100,0)&lt;-BY$6,-BY$6-SUM(BY$10:BY50),-ROUNDDOWN($K51*BY$5/100,0)),0)</f>
        <v>0</v>
      </c>
      <c r="BZ51" s="38">
        <f>IF(AND(V51="○",$A51&gt;=BZ$8,$A51&lt;=BZ$9),IF(SUM(BZ$10:BZ50)-ROUNDDOWN($K51*BZ$5/100,0)&lt;-BZ$6,-BZ$6-SUM(BZ$10:BZ50),-ROUNDDOWN($K51*BZ$5/100,0)),0)</f>
        <v>0</v>
      </c>
      <c r="CA51" s="38">
        <f>IF(AND(W51="○",$A51&gt;=CA$8,$A51&lt;=CA$9),IF(SUM(CA$10:CA50)-ROUNDDOWN($K51*CA$5/100,0)&lt;-CA$6,-CA$6-SUM(CA$10:CA50),-ROUNDDOWN($K51*CA$5/100,0)),0)</f>
        <v>0</v>
      </c>
      <c r="CB51" s="38"/>
      <c r="CC51" s="38"/>
      <c r="CD51" s="38"/>
      <c r="CE51" s="38"/>
      <c r="CF51" s="38"/>
      <c r="CG51" s="65">
        <f t="shared" si="47"/>
        <v>0</v>
      </c>
      <c r="CH51" s="71">
        <f t="shared" si="48"/>
        <v>0</v>
      </c>
      <c r="CI51" s="1">
        <f t="shared" si="65"/>
        <v>0</v>
      </c>
      <c r="CJ51" s="1"/>
      <c r="CK51" s="72"/>
      <c r="CL51" s="72"/>
      <c r="CM51" s="2"/>
      <c r="CN51" s="2"/>
      <c r="CO51" s="73">
        <f t="shared" si="66"/>
        <v>0</v>
      </c>
      <c r="CP51" s="5">
        <f t="shared" si="67"/>
        <v>0</v>
      </c>
      <c r="CQ51" s="1"/>
      <c r="CR51" s="1">
        <f t="shared" si="68"/>
        <v>0</v>
      </c>
      <c r="CS51" s="1"/>
      <c r="CT51" s="1" t="e">
        <f>INDEX([2]マスタ!$A:$A,MATCH(D51,[2]マスタ!$C:$C,0))</f>
        <v>#N/A</v>
      </c>
      <c r="CU51" s="1" t="str">
        <f t="shared" ca="1" si="69"/>
        <v>20260620_0-0</v>
      </c>
    </row>
    <row r="52" spans="1:99" x14ac:dyDescent="0.4">
      <c r="A52" s="61"/>
      <c r="B52" s="62"/>
      <c r="C52" s="62"/>
      <c r="D52" s="62"/>
      <c r="E52" s="74"/>
      <c r="F52" s="62"/>
      <c r="G52" s="62">
        <v>1</v>
      </c>
      <c r="H52" s="64">
        <f t="shared" si="56"/>
        <v>0</v>
      </c>
      <c r="I52" s="64"/>
      <c r="J52" s="64"/>
      <c r="K52" s="65">
        <f t="shared" si="57"/>
        <v>0</v>
      </c>
      <c r="L52" s="65">
        <f t="shared" si="58"/>
        <v>0</v>
      </c>
      <c r="M52" s="65">
        <f t="shared" si="59"/>
        <v>0</v>
      </c>
      <c r="N52" s="65">
        <f t="shared" si="60"/>
        <v>0</v>
      </c>
      <c r="O52" s="66" t="str">
        <f t="shared" si="61"/>
        <v>✕</v>
      </c>
      <c r="P52" s="67" t="str">
        <f t="shared" si="62"/>
        <v>○</v>
      </c>
      <c r="Q52" s="67" t="str">
        <f t="shared" si="63"/>
        <v>✕</v>
      </c>
      <c r="R52" s="67" t="str">
        <f t="shared" si="64"/>
        <v>✕</v>
      </c>
      <c r="S52" s="68">
        <v>0</v>
      </c>
      <c r="T52" s="69" t="s">
        <v>85</v>
      </c>
      <c r="U52" s="69" t="s">
        <v>85</v>
      </c>
      <c r="V52" s="69" t="s">
        <v>85</v>
      </c>
      <c r="W52" s="69" t="s">
        <v>85</v>
      </c>
      <c r="X52" s="69" t="s">
        <v>84</v>
      </c>
      <c r="Y52" s="69" t="s">
        <v>85</v>
      </c>
      <c r="Z52" s="69" t="s">
        <v>85</v>
      </c>
      <c r="AA52" s="69" t="s">
        <v>85</v>
      </c>
      <c r="AB52" s="69" t="s">
        <v>85</v>
      </c>
      <c r="AC52" s="69" t="s">
        <v>85</v>
      </c>
      <c r="AD52" s="38" t="str">
        <f>+IF(ISERROR(VLOOKUP($B52,AD$10:AD51,1,0)),IF(AND($N52&gt;=1000,$A52&gt;=AO$8,$A52&lt;=AO$9),$B52,""),"")</f>
        <v/>
      </c>
      <c r="AE52" s="38" t="str">
        <f>+IF(ISERROR(VLOOKUP($B52,AE$10:AE51,1,0)),IF(AND($N52&gt;=1000,$A52&gt;=AP$8,$A52&lt;=AP$9),$B52,""),"")</f>
        <v/>
      </c>
      <c r="AF52" s="38" t="str">
        <f>+IF(ISERROR(VLOOKUP($B52,AF$10:AF51,1,0)),IF(AND($N52&gt;=1000,$A52&gt;=AQ$8,$A52&lt;=AQ$9),$B52,""),"")</f>
        <v/>
      </c>
      <c r="AG52" s="38" t="str">
        <f>+IF(ISERROR(VLOOKUP($B52,AG$10:AG51,1,0)),IF(AND($N52&gt;=1000,$A52&gt;=AR$8,$A52&lt;=AR$9),$B52,""),"")</f>
        <v/>
      </c>
      <c r="AH52" s="38"/>
      <c r="AI52" s="70">
        <v>0</v>
      </c>
      <c r="AJ52" s="38">
        <f>IF(AND(AJ$7="○",$A52&gt;=AJ$8,$A52&lt;=AJ$9),IF(SUM(AJ$10:AJ51)-ROUNDDOWN($K52*AJ$5/100,0)&lt;-AJ$6,-AJ$6-SUM(AJ$10:AJ51),-ROUNDDOWN($K52*AJ$5/100,0)),0)</f>
        <v>0</v>
      </c>
      <c r="AK52" s="38">
        <f>IF(AND(AK$7="○",$A52&gt;=AK$8,$A52&lt;=AK$9),IF(SUM(AK$10:AK51)-ROUNDDOWN($L52*AK$5/100,0)&lt;-AK$6,-AK$6-SUM(AK$10:AK51),-ROUNDDOWN($L52*AK$5/100,0)),0)</f>
        <v>0</v>
      </c>
      <c r="AL52" s="38">
        <f>IF(AND(AL$7="○",$A52&gt;=AL$8,$A52&lt;=AL$9),IF(SUM(AL$10:AL51)-ROUNDDOWN($N52*AL$5/100,0)&lt;-AL$6,-AL$6-SUM(AL$10:AL51),-ROUNDDOWN($N52*AL$5/100,0)),0)</f>
        <v>0</v>
      </c>
      <c r="AM52" s="38">
        <f>IF(AND(AM$7="○",$A52&gt;=AM$8,$A52&lt;=AM$9),IF(SUM(AM$10:AM51)-ROUNDDOWN($L52*AM$5/100,0)&lt;-AM$6,-AM$6-SUM(AM$10:AM51),-ROUNDDOWN($L52*AM$5/100,0)),0)</f>
        <v>0</v>
      </c>
      <c r="AN52" s="38">
        <f>IF(AND(AN$7="○",$A52&gt;=AN$8,$A52&lt;=AN$9),IF(SUM(AN$10:AN51)-ROUNDDOWN($M52*AN$5/100,0)&lt;-AN$6,-AN$6-SUM(AN$10:AN51),-ROUNDDOWN($M52*AN$5/100,0)),0)</f>
        <v>0</v>
      </c>
      <c r="AO52" s="38">
        <f>IF(AND($A52&gt;=AO$8,$A52&lt;=AO$9),IF(SUM(AO$10:AO51)-ROUNDDOWN($K52*AO$5/100,0)&lt;-AO$6,-AO$6-SUM(AO$10:AO51),-ROUNDDOWN($K52*AO$5/100,0)),0)</f>
        <v>0</v>
      </c>
      <c r="AP52" s="38">
        <f>IF(AND($A52&gt;=AP$8,$A52&lt;=AP$9),IF(SUM(AP$10:AP51)-ROUNDDOWN($K52*AP$5/100,0)&lt;-AP$6,-AP$6-SUM(AP$10:AP51),-ROUNDDOWN($K52*AP$5/100,0)),0)</f>
        <v>0</v>
      </c>
      <c r="AQ52" s="38">
        <f>IF(AND($A52&gt;=AQ$8,$A52&lt;=AQ$9),IF(SUM(AQ$10:AQ51)-ROUNDDOWN($K52*AQ$5/100,0)&lt;-AQ$6,-AQ$6-SUM(AQ$10:AQ51),-ROUNDDOWN($K52*AQ$5/100,0)),0)</f>
        <v>0</v>
      </c>
      <c r="AR52" s="38">
        <f>IF(AND($A52&gt;=AR$8,$A52&lt;=AR$9),IF(SUM(AR$10:AR51)-ROUNDDOWN($K52*AR$5/100,0)&lt;-AR$6,-AR$6-SUM(AR$10:AR51),-ROUNDDOWN($K52*AR$5/100,0)),0)</f>
        <v>0</v>
      </c>
      <c r="AS52" s="38">
        <f>IF(SUMIFS(AS$10:AS51,$A$10:$A51,$A52)-ROUNDDOWN($K52*$S52/100,0)&lt;-$S52*1000,-$S52*1000-SUMIFS(AS$10:AS51,$A$10:$A51,$A52),-ROUNDDOWN($K52*$S52/100,0))</f>
        <v>0</v>
      </c>
      <c r="AT52" s="38">
        <f>IF(AND(X52="○",$A52&gt;=AT$8,$A52&lt;=AT$9,K52&gt;=3980),IF(SUM(AT$10:AT51)-ROUNDDOWN($K52*AT$5/100,0)&lt;-AT$6,-AT$6-SUM(AT$10:AT51),-ROUNDDOWN($K52*AT$5/100,0)),0)</f>
        <v>0</v>
      </c>
      <c r="AU52" s="38">
        <f>IF(O52="○",IF(SUM(AU$10:AU51)-ROUNDDOWN($K52*AU$5/100,0)&lt;-AU$6,-AU$6-SUM(AU$10:AU51),-ROUNDDOWN($K52*AU$5/100,0)),0)</f>
        <v>0</v>
      </c>
      <c r="AV52" s="38">
        <f>IF(P52="○",IF(SUM(AV$10:AV51)-ROUNDDOWN($K52*AV$5/100,0)&lt;-AV$6,-AV$6-SUM(AV$10:AV51),-ROUNDDOWN($K52*AV$5/100,0)),0)</f>
        <v>0</v>
      </c>
      <c r="AW52" s="38">
        <f>IF(Q52="○",IF(SUM(AW$10:AW51)-ROUNDDOWN($K52*AW$5/100,0)&lt;-AW$6,-AW$6-SUM(AW$10:AW51),-ROUNDDOWN($K52*AW$5/100,0)),0)</f>
        <v>0</v>
      </c>
      <c r="AX52" s="38">
        <f>IF(R52="○",IF(SUM(AX$10:AX51)-ROUNDDOWN($K52*AX$5/100,0)&lt;-AX$6,-AX$6-SUM(AX$10:AX51),-ROUNDDOWN($K52*AX$5/100,0)),0)</f>
        <v>0</v>
      </c>
      <c r="AY52" s="70">
        <v>0</v>
      </c>
      <c r="AZ52" s="65">
        <f t="shared" si="41"/>
        <v>0</v>
      </c>
      <c r="BA52" s="65">
        <f t="shared" si="42"/>
        <v>0</v>
      </c>
      <c r="BB52" s="70"/>
      <c r="BC52" s="65">
        <f t="shared" si="43"/>
        <v>0</v>
      </c>
      <c r="BD52" s="70">
        <v>0</v>
      </c>
      <c r="BE52" s="65">
        <f t="shared" si="44"/>
        <v>0</v>
      </c>
      <c r="BF52" s="70">
        <v>0</v>
      </c>
      <c r="BG52" s="65">
        <f t="shared" si="45"/>
        <v>0</v>
      </c>
      <c r="BH52" s="70">
        <v>0</v>
      </c>
      <c r="BI52" s="65">
        <f t="shared" si="46"/>
        <v>0</v>
      </c>
      <c r="BJ52" s="38">
        <f>IF(AND(BJ$7="○",$A52&gt;=BJ$8,$A52&lt;=BJ$9),IF(SUM(BJ$10:BJ51)-ROUNDDOWN($M52*BJ$5/100,0)&lt;-BJ$6,-BJ$6-SUM(BJ$10:BJ51),-ROUNDDOWN($M52*BJ$5/100,0)),0)</f>
        <v>0</v>
      </c>
      <c r="BK52" s="38">
        <f>IF(AND(BK$7="○",$A52&gt;=BK$8,$A52&lt;=BK$9),IF(SUM(BK$10:BK51)-ROUNDDOWN($L52*BK$5/100,0)&lt;-BK$6,-BK$6-SUM(BK$10:BK51),-ROUNDDOWN($L52*BK$5/100,0)),0)</f>
        <v>0</v>
      </c>
      <c r="BL52" s="38">
        <f>IF(AND(BL$7="○",$A52&gt;=BL$8,$A52&lt;=BL$9),IF(SUM(BL$10:BL51)-ROUNDDOWN($L52*BL$5/100,0)&lt;-BL$6,-BL$6-SUM(BL$10:BL51),-ROUNDDOWN($L52*BL$5/100,0)),0)</f>
        <v>0</v>
      </c>
      <c r="BM52" s="38">
        <f>IF(AND(BM$7="○",$A52&gt;=BM$8,$A52&lt;=BM$9),IF(SUM(BM$10:BM51)-ROUNDDOWN($M52*BM$5/100,0)&lt;-BM$6,-BM$6-SUM(BM$10:BM51),-ROUNDDOWN($M52*BM$5/100,0)),0)</f>
        <v>0</v>
      </c>
      <c r="BN52" s="38">
        <f>IF(AND(BN$7="○",$A52&gt;=BN$8,$A52&lt;=BN$9),IF(SUM(BN$10:BN51)-ROUNDDOWN($M52*BN$5/100,0)&lt;-BN$6,-BN$6-SUM(BN$10:BN51),-ROUNDDOWN($M52*BN$5/100,0)),0)</f>
        <v>0</v>
      </c>
      <c r="BO52" s="38">
        <f>IF(AND(BO$7="○",$A52&gt;=BO$8,$A52&lt;=BO$9),IF(SUM(BO$10:BO51)-ROUNDDOWN($M52*BO$5/100,0)&lt;-BO$6,-BO$6-SUM(BO$10:BO51),-ROUNDDOWN($M52*BO$5/100,0)),0)</f>
        <v>0</v>
      </c>
      <c r="BP52" s="38">
        <f>IF(AND(BP$7="○",$A52&gt;=BP$8,$A52&lt;=BP$9),IF(SUM(BP$10:BP51)-ROUNDDOWN($M52*BP$5/100,0)&lt;-BP$6,-BP$6-SUM(BP$10:BP51),-ROUNDDOWN($M52*BP$5/100,0)),0)</f>
        <v>0</v>
      </c>
      <c r="BQ52" s="38">
        <f>IF(AND(BQ$7="○",$A52&gt;=BQ$8,$A52&lt;=BQ$9),IF(SUM(BQ$10:BQ51)-ROUNDDOWN($L52*BQ$5/100,0)&lt;-BQ$6,-BQ$6-SUM(BQ$10:BQ51),-ROUNDDOWN($L52*BQ$5/100,0)),0)</f>
        <v>0</v>
      </c>
      <c r="BR52" s="38">
        <f>IF(AND(BR$7="○",$A52&gt;=BR$8,$A52&lt;=BR$9),IF(SUM(BR$10:BR51)-ROUNDDOWN($M52*BR$5/100,0)&lt;-BR$6,-BR$6-SUM(BR$10:BR51),-ROUNDDOWN($M52*BR$5/100,0)),0)</f>
        <v>0</v>
      </c>
      <c r="BS52" s="38">
        <f>IF(AND(BS$7="○",$A52&gt;=BS$8,$A52&lt;=BS$9),IF(SUM(BS$10:BS51)-ROUNDDOWN($M52*BS$5/100,0)&lt;-BS$6,-BS$6-SUM(BS$10:BS51),-ROUNDDOWN($M52*BS$5/100,0)),0)</f>
        <v>0</v>
      </c>
      <c r="BT52" s="38">
        <f>IF(AND(BT$7="○",$A52&gt;=BT$8,$A52&lt;=BT$9),IF(SUM(BT$10:BT51)-ROUNDDOWN($M52*BT$5/100,0)&lt;-BT$6,-BT$6-SUM(BT$10:BT51),-ROUNDDOWN($M52*BT$5/100,0)),0)</f>
        <v>0</v>
      </c>
      <c r="BU52" s="38">
        <f>IF(AND(BU$7="○",$A52&gt;=BU$8,$A52&lt;=BU$9),IF(SUM(BU$10:BU51)-ROUNDDOWN($M52*BU$5/100,0)&lt;-BU$6,-BU$6-SUM(BU$10:BU51),-ROUNDDOWN($M52*BU$5/100,0)),0)</f>
        <v>0</v>
      </c>
      <c r="BV52" s="38">
        <f>IF(AND(BV$7="○",$A52&gt;=BV$8,$A52&lt;=BV$9),IF(SUM(BV$10:BV51)-ROUNDDOWN($M52*BV$5/100,0)&lt;-BV$6,-BV$6-SUM(BV$10:BV51),-ROUNDDOWN($M52*BV$5/100,0)),0)</f>
        <v>0</v>
      </c>
      <c r="BW52" s="38">
        <f>IF(AND(BW$7="○",$A52&gt;=BW$8,$A52&lt;=BW$9),IF(SUM(BW$10:BW51)-ROUNDDOWN($M52*BW$5/100,0)&lt;-BW$6,-BW$6-SUM(BW$10:BW51),-ROUNDDOWN($M52*BW$5/100,0)),0)</f>
        <v>0</v>
      </c>
      <c r="BX52" s="38">
        <f>IF(AND(T52="○",$A52&gt;=BX$8,$A52&lt;=BX$9),IF(SUM(BX$10:BX51)-ROUNDDOWN($K52*BX$5/100,0)&lt;-BX$6,-BX$6-SUM(BX$10:BX51),-ROUNDDOWN($K52*BX$5/100,0)),0)</f>
        <v>0</v>
      </c>
      <c r="BY52" s="38">
        <f>IF(AND(U52="○",$A52&gt;=BY$8,$A52&lt;=BY$9),IF(SUM(BY$10:BY51)-ROUNDDOWN($K52*BY$5/100,0)&lt;-BY$6,-BY$6-SUM(BY$10:BY51),-ROUNDDOWN($K52*BY$5/100,0)),0)</f>
        <v>0</v>
      </c>
      <c r="BZ52" s="38">
        <f>IF(AND(V52="○",$A52&gt;=BZ$8,$A52&lt;=BZ$9),IF(SUM(BZ$10:BZ51)-ROUNDDOWN($K52*BZ$5/100,0)&lt;-BZ$6,-BZ$6-SUM(BZ$10:BZ51),-ROUNDDOWN($K52*BZ$5/100,0)),0)</f>
        <v>0</v>
      </c>
      <c r="CA52" s="38">
        <f>IF(AND(W52="○",$A52&gt;=CA$8,$A52&lt;=CA$9),IF(SUM(CA$10:CA51)-ROUNDDOWN($K52*CA$5/100,0)&lt;-CA$6,-CA$6-SUM(CA$10:CA51),-ROUNDDOWN($K52*CA$5/100,0)),0)</f>
        <v>0</v>
      </c>
      <c r="CB52" s="38"/>
      <c r="CC52" s="38"/>
      <c r="CD52" s="38"/>
      <c r="CE52" s="38"/>
      <c r="CF52" s="38"/>
      <c r="CG52" s="65">
        <f t="shared" si="47"/>
        <v>0</v>
      </c>
      <c r="CH52" s="71">
        <f t="shared" si="48"/>
        <v>0</v>
      </c>
      <c r="CI52" s="1">
        <f t="shared" si="65"/>
        <v>0</v>
      </c>
      <c r="CJ52" s="1"/>
      <c r="CK52" s="72"/>
      <c r="CL52" s="72"/>
      <c r="CM52" s="2"/>
      <c r="CN52" s="2"/>
      <c r="CO52" s="73">
        <f t="shared" si="66"/>
        <v>0</v>
      </c>
      <c r="CP52" s="5">
        <f t="shared" si="67"/>
        <v>0</v>
      </c>
      <c r="CQ52" s="1"/>
      <c r="CR52" s="1">
        <f t="shared" si="68"/>
        <v>0</v>
      </c>
      <c r="CS52" s="1"/>
      <c r="CT52" s="1" t="e">
        <f>INDEX([2]マスタ!$A:$A,MATCH(D52,[2]マスタ!$C:$C,0))</f>
        <v>#N/A</v>
      </c>
      <c r="CU52" s="1" t="str">
        <f t="shared" ca="1" si="69"/>
        <v>20260620_0-0</v>
      </c>
    </row>
    <row r="53" spans="1:99" x14ac:dyDescent="0.4">
      <c r="A53" s="61"/>
      <c r="B53" s="62"/>
      <c r="C53" s="62"/>
      <c r="D53" s="62"/>
      <c r="E53" s="74"/>
      <c r="F53" s="62"/>
      <c r="G53" s="62">
        <v>1</v>
      </c>
      <c r="H53" s="64">
        <f t="shared" si="56"/>
        <v>0</v>
      </c>
      <c r="I53" s="64"/>
      <c r="J53" s="64"/>
      <c r="K53" s="65">
        <f t="shared" si="57"/>
        <v>0</v>
      </c>
      <c r="L53" s="65">
        <f t="shared" si="58"/>
        <v>0</v>
      </c>
      <c r="M53" s="65">
        <f t="shared" si="59"/>
        <v>0</v>
      </c>
      <c r="N53" s="65">
        <f t="shared" si="60"/>
        <v>0</v>
      </c>
      <c r="O53" s="66" t="str">
        <f t="shared" si="61"/>
        <v>✕</v>
      </c>
      <c r="P53" s="67" t="str">
        <f t="shared" si="62"/>
        <v>○</v>
      </c>
      <c r="Q53" s="67" t="str">
        <f t="shared" si="63"/>
        <v>✕</v>
      </c>
      <c r="R53" s="67" t="str">
        <f t="shared" si="64"/>
        <v>✕</v>
      </c>
      <c r="S53" s="68">
        <v>0</v>
      </c>
      <c r="T53" s="69" t="s">
        <v>85</v>
      </c>
      <c r="U53" s="69" t="s">
        <v>85</v>
      </c>
      <c r="V53" s="69" t="s">
        <v>85</v>
      </c>
      <c r="W53" s="69" t="s">
        <v>85</v>
      </c>
      <c r="X53" s="69" t="s">
        <v>84</v>
      </c>
      <c r="Y53" s="69" t="s">
        <v>85</v>
      </c>
      <c r="Z53" s="69" t="s">
        <v>85</v>
      </c>
      <c r="AA53" s="69" t="s">
        <v>85</v>
      </c>
      <c r="AB53" s="69" t="s">
        <v>85</v>
      </c>
      <c r="AC53" s="69" t="s">
        <v>85</v>
      </c>
      <c r="AD53" s="38" t="str">
        <f>+IF(ISERROR(VLOOKUP($B53,AD$10:AD52,1,0)),IF(AND($N53&gt;=1000,$A53&gt;=AO$8,$A53&lt;=AO$9),$B53,""),"")</f>
        <v/>
      </c>
      <c r="AE53" s="38" t="str">
        <f>+IF(ISERROR(VLOOKUP($B53,AE$10:AE52,1,0)),IF(AND($N53&gt;=1000,$A53&gt;=AP$8,$A53&lt;=AP$9),$B53,""),"")</f>
        <v/>
      </c>
      <c r="AF53" s="38" t="str">
        <f>+IF(ISERROR(VLOOKUP($B53,AF$10:AF52,1,0)),IF(AND($N53&gt;=1000,$A53&gt;=AQ$8,$A53&lt;=AQ$9),$B53,""),"")</f>
        <v/>
      </c>
      <c r="AG53" s="38" t="str">
        <f>+IF(ISERROR(VLOOKUP($B53,AG$10:AG52,1,0)),IF(AND($N53&gt;=1000,$A53&gt;=AR$8,$A53&lt;=AR$9),$B53,""),"")</f>
        <v/>
      </c>
      <c r="AH53" s="38"/>
      <c r="AI53" s="70">
        <v>0</v>
      </c>
      <c r="AJ53" s="38">
        <f>IF(AND(AJ$7="○",$A53&gt;=AJ$8,$A53&lt;=AJ$9),IF(SUM(AJ$10:AJ52)-ROUNDDOWN($K53*AJ$5/100,0)&lt;-AJ$6,-AJ$6-SUM(AJ$10:AJ52),-ROUNDDOWN($K53*AJ$5/100,0)),0)</f>
        <v>0</v>
      </c>
      <c r="AK53" s="38">
        <f>IF(AND(AK$7="○",$A53&gt;=AK$8,$A53&lt;=AK$9),IF(SUM(AK$10:AK52)-ROUNDDOWN($L53*AK$5/100,0)&lt;-AK$6,-AK$6-SUM(AK$10:AK52),-ROUNDDOWN($L53*AK$5/100,0)),0)</f>
        <v>0</v>
      </c>
      <c r="AL53" s="38">
        <f>IF(AND(AL$7="○",$A53&gt;=AL$8,$A53&lt;=AL$9),IF(SUM(AL$10:AL52)-ROUNDDOWN($N53*AL$5/100,0)&lt;-AL$6,-AL$6-SUM(AL$10:AL52),-ROUNDDOWN($N53*AL$5/100,0)),0)</f>
        <v>0</v>
      </c>
      <c r="AM53" s="38">
        <f>IF(AND(AM$7="○",$A53&gt;=AM$8,$A53&lt;=AM$9),IF(SUM(AM$10:AM52)-ROUNDDOWN($L53*AM$5/100,0)&lt;-AM$6,-AM$6-SUM(AM$10:AM52),-ROUNDDOWN($L53*AM$5/100,0)),0)</f>
        <v>0</v>
      </c>
      <c r="AN53" s="38">
        <f>IF(AND(AN$7="○",$A53&gt;=AN$8,$A53&lt;=AN$9),IF(SUM(AN$10:AN52)-ROUNDDOWN($M53*AN$5/100,0)&lt;-AN$6,-AN$6-SUM(AN$10:AN52),-ROUNDDOWN($M53*AN$5/100,0)),0)</f>
        <v>0</v>
      </c>
      <c r="AO53" s="38">
        <f>IF(AND($A53&gt;=AO$8,$A53&lt;=AO$9),IF(SUM(AO$10:AO52)-ROUNDDOWN($K53*AO$5/100,0)&lt;-AO$6,-AO$6-SUM(AO$10:AO52),-ROUNDDOWN($K53*AO$5/100,0)),0)</f>
        <v>0</v>
      </c>
      <c r="AP53" s="38">
        <f>IF(AND($A53&gt;=AP$8,$A53&lt;=AP$9),IF(SUM(AP$10:AP52)-ROUNDDOWN($K53*AP$5/100,0)&lt;-AP$6,-AP$6-SUM(AP$10:AP52),-ROUNDDOWN($K53*AP$5/100,0)),0)</f>
        <v>0</v>
      </c>
      <c r="AQ53" s="38">
        <f>IF(AND($A53&gt;=AQ$8,$A53&lt;=AQ$9),IF(SUM(AQ$10:AQ52)-ROUNDDOWN($K53*AQ$5/100,0)&lt;-AQ$6,-AQ$6-SUM(AQ$10:AQ52),-ROUNDDOWN($K53*AQ$5/100,0)),0)</f>
        <v>0</v>
      </c>
      <c r="AR53" s="38">
        <f>IF(AND($A53&gt;=AR$8,$A53&lt;=AR$9),IF(SUM(AR$10:AR52)-ROUNDDOWN($K53*AR$5/100,0)&lt;-AR$6,-AR$6-SUM(AR$10:AR52),-ROUNDDOWN($K53*AR$5/100,0)),0)</f>
        <v>0</v>
      </c>
      <c r="AS53" s="38">
        <f>IF(SUMIFS(AS$10:AS52,$A$10:$A52,$A53)-ROUNDDOWN($K53*$S53/100,0)&lt;-$S53*1000,-$S53*1000-SUMIFS(AS$10:AS52,$A$10:$A52,$A53),-ROUNDDOWN($K53*$S53/100,0))</f>
        <v>0</v>
      </c>
      <c r="AT53" s="38">
        <f>IF(AND(X53="○",$A53&gt;=AT$8,$A53&lt;=AT$9,K53&gt;=3980),IF(SUM(AT$10:AT52)-ROUNDDOWN($K53*AT$5/100,0)&lt;-AT$6,-AT$6-SUM(AT$10:AT52),-ROUNDDOWN($K53*AT$5/100,0)),0)</f>
        <v>0</v>
      </c>
      <c r="AU53" s="38">
        <f>IF(O53="○",IF(SUM(AU$10:AU52)-ROUNDDOWN($K53*AU$5/100,0)&lt;-AU$6,-AU$6-SUM(AU$10:AU52),-ROUNDDOWN($K53*AU$5/100,0)),0)</f>
        <v>0</v>
      </c>
      <c r="AV53" s="38">
        <f>IF(P53="○",IF(SUM(AV$10:AV52)-ROUNDDOWN($K53*AV$5/100,0)&lt;-AV$6,-AV$6-SUM(AV$10:AV52),-ROUNDDOWN($K53*AV$5/100,0)),0)</f>
        <v>0</v>
      </c>
      <c r="AW53" s="38">
        <f>IF(Q53="○",IF(SUM(AW$10:AW52)-ROUNDDOWN($K53*AW$5/100,0)&lt;-AW$6,-AW$6-SUM(AW$10:AW52),-ROUNDDOWN($K53*AW$5/100,0)),0)</f>
        <v>0</v>
      </c>
      <c r="AX53" s="38">
        <f>IF(R53="○",IF(SUM(AX$10:AX52)-ROUNDDOWN($K53*AX$5/100,0)&lt;-AX$6,-AX$6-SUM(AX$10:AX52),-ROUNDDOWN($K53*AX$5/100,0)),0)</f>
        <v>0</v>
      </c>
      <c r="AY53" s="70">
        <v>0</v>
      </c>
      <c r="AZ53" s="65">
        <f t="shared" si="41"/>
        <v>0</v>
      </c>
      <c r="BA53" s="65">
        <f t="shared" si="42"/>
        <v>0</v>
      </c>
      <c r="BB53" s="70"/>
      <c r="BC53" s="65">
        <f t="shared" si="43"/>
        <v>0</v>
      </c>
      <c r="BD53" s="70">
        <v>0</v>
      </c>
      <c r="BE53" s="65">
        <f t="shared" si="44"/>
        <v>0</v>
      </c>
      <c r="BF53" s="70">
        <v>0</v>
      </c>
      <c r="BG53" s="65">
        <f t="shared" si="45"/>
        <v>0</v>
      </c>
      <c r="BH53" s="70">
        <v>0</v>
      </c>
      <c r="BI53" s="65">
        <f t="shared" si="46"/>
        <v>0</v>
      </c>
      <c r="BJ53" s="38">
        <f>IF(AND(BJ$7="○",$A53&gt;=BJ$8,$A53&lt;=BJ$9),IF(SUM(BJ$10:BJ52)-ROUNDDOWN($M53*BJ$5/100,0)&lt;-BJ$6,-BJ$6-SUM(BJ$10:BJ52),-ROUNDDOWN($M53*BJ$5/100,0)),0)</f>
        <v>0</v>
      </c>
      <c r="BK53" s="38">
        <f>IF(AND(BK$7="○",$A53&gt;=BK$8,$A53&lt;=BK$9),IF(SUM(BK$10:BK52)-ROUNDDOWN($L53*BK$5/100,0)&lt;-BK$6,-BK$6-SUM(BK$10:BK52),-ROUNDDOWN($L53*BK$5/100,0)),0)</f>
        <v>0</v>
      </c>
      <c r="BL53" s="38">
        <f>IF(AND(BL$7="○",$A53&gt;=BL$8,$A53&lt;=BL$9),IF(SUM(BL$10:BL52)-ROUNDDOWN($L53*BL$5/100,0)&lt;-BL$6,-BL$6-SUM(BL$10:BL52),-ROUNDDOWN($L53*BL$5/100,0)),0)</f>
        <v>0</v>
      </c>
      <c r="BM53" s="38">
        <f>IF(AND(BM$7="○",$A53&gt;=BM$8,$A53&lt;=BM$9),IF(SUM(BM$10:BM52)-ROUNDDOWN($M53*BM$5/100,0)&lt;-BM$6,-BM$6-SUM(BM$10:BM52),-ROUNDDOWN($M53*BM$5/100,0)),0)</f>
        <v>0</v>
      </c>
      <c r="BN53" s="38">
        <f>IF(AND(BN$7="○",$A53&gt;=BN$8,$A53&lt;=BN$9),IF(SUM(BN$10:BN52)-ROUNDDOWN($M53*BN$5/100,0)&lt;-BN$6,-BN$6-SUM(BN$10:BN52),-ROUNDDOWN($M53*BN$5/100,0)),0)</f>
        <v>0</v>
      </c>
      <c r="BO53" s="38">
        <f>IF(AND(BO$7="○",$A53&gt;=BO$8,$A53&lt;=BO$9),IF(SUM(BO$10:BO52)-ROUNDDOWN($M53*BO$5/100,0)&lt;-BO$6,-BO$6-SUM(BO$10:BO52),-ROUNDDOWN($M53*BO$5/100,0)),0)</f>
        <v>0</v>
      </c>
      <c r="BP53" s="38">
        <f>IF(AND(BP$7="○",$A53&gt;=BP$8,$A53&lt;=BP$9),IF(SUM(BP$10:BP52)-ROUNDDOWN($M53*BP$5/100,0)&lt;-BP$6,-BP$6-SUM(BP$10:BP52),-ROUNDDOWN($M53*BP$5/100,0)),0)</f>
        <v>0</v>
      </c>
      <c r="BQ53" s="38">
        <f>IF(AND(BQ$7="○",$A53&gt;=BQ$8,$A53&lt;=BQ$9),IF(SUM(BQ$10:BQ52)-ROUNDDOWN($L53*BQ$5/100,0)&lt;-BQ$6,-BQ$6-SUM(BQ$10:BQ52),-ROUNDDOWN($L53*BQ$5/100,0)),0)</f>
        <v>0</v>
      </c>
      <c r="BR53" s="38">
        <f>IF(AND(BR$7="○",$A53&gt;=BR$8,$A53&lt;=BR$9),IF(SUM(BR$10:BR52)-ROUNDDOWN($M53*BR$5/100,0)&lt;-BR$6,-BR$6-SUM(BR$10:BR52),-ROUNDDOWN($M53*BR$5/100,0)),0)</f>
        <v>0</v>
      </c>
      <c r="BS53" s="38">
        <f>IF(AND(BS$7="○",$A53&gt;=BS$8,$A53&lt;=BS$9),IF(SUM(BS$10:BS52)-ROUNDDOWN($M53*BS$5/100,0)&lt;-BS$6,-BS$6-SUM(BS$10:BS52),-ROUNDDOWN($M53*BS$5/100,0)),0)</f>
        <v>0</v>
      </c>
      <c r="BT53" s="38">
        <f>IF(AND(BT$7="○",$A53&gt;=BT$8,$A53&lt;=BT$9),IF(SUM(BT$10:BT52)-ROUNDDOWN($M53*BT$5/100,0)&lt;-BT$6,-BT$6-SUM(BT$10:BT52),-ROUNDDOWN($M53*BT$5/100,0)),0)</f>
        <v>0</v>
      </c>
      <c r="BU53" s="38">
        <f>IF(AND(BU$7="○",$A53&gt;=BU$8,$A53&lt;=BU$9),IF(SUM(BU$10:BU52)-ROUNDDOWN($M53*BU$5/100,0)&lt;-BU$6,-BU$6-SUM(BU$10:BU52),-ROUNDDOWN($M53*BU$5/100,0)),0)</f>
        <v>0</v>
      </c>
      <c r="BV53" s="38">
        <f>IF(AND(BV$7="○",$A53&gt;=BV$8,$A53&lt;=BV$9),IF(SUM(BV$10:BV52)-ROUNDDOWN($M53*BV$5/100,0)&lt;-BV$6,-BV$6-SUM(BV$10:BV52),-ROUNDDOWN($M53*BV$5/100,0)),0)</f>
        <v>0</v>
      </c>
      <c r="BW53" s="38">
        <f>IF(AND(BW$7="○",$A53&gt;=BW$8,$A53&lt;=BW$9),IF(SUM(BW$10:BW52)-ROUNDDOWN($M53*BW$5/100,0)&lt;-BW$6,-BW$6-SUM(BW$10:BW52),-ROUNDDOWN($M53*BW$5/100,0)),0)</f>
        <v>0</v>
      </c>
      <c r="BX53" s="38">
        <f>IF(AND(T53="○",$A53&gt;=BX$8,$A53&lt;=BX$9),IF(SUM(BX$10:BX52)-ROUNDDOWN($K53*BX$5/100,0)&lt;-BX$6,-BX$6-SUM(BX$10:BX52),-ROUNDDOWN($K53*BX$5/100,0)),0)</f>
        <v>0</v>
      </c>
      <c r="BY53" s="38">
        <f>IF(AND(U53="○",$A53&gt;=BY$8,$A53&lt;=BY$9),IF(SUM(BY$10:BY52)-ROUNDDOWN($K53*BY$5/100,0)&lt;-BY$6,-BY$6-SUM(BY$10:BY52),-ROUNDDOWN($K53*BY$5/100,0)),0)</f>
        <v>0</v>
      </c>
      <c r="BZ53" s="38">
        <f>IF(AND(V53="○",$A53&gt;=BZ$8,$A53&lt;=BZ$9),IF(SUM(BZ$10:BZ52)-ROUNDDOWN($K53*BZ$5/100,0)&lt;-BZ$6,-BZ$6-SUM(BZ$10:BZ52),-ROUNDDOWN($K53*BZ$5/100,0)),0)</f>
        <v>0</v>
      </c>
      <c r="CA53" s="38">
        <f>IF(AND(W53="○",$A53&gt;=CA$8,$A53&lt;=CA$9),IF(SUM(CA$10:CA52)-ROUNDDOWN($K53*CA$5/100,0)&lt;-CA$6,-CA$6-SUM(CA$10:CA52),-ROUNDDOWN($K53*CA$5/100,0)),0)</f>
        <v>0</v>
      </c>
      <c r="CB53" s="38"/>
      <c r="CC53" s="38"/>
      <c r="CD53" s="38"/>
      <c r="CE53" s="38"/>
      <c r="CF53" s="38"/>
      <c r="CG53" s="65">
        <f t="shared" si="47"/>
        <v>0</v>
      </c>
      <c r="CH53" s="71">
        <f t="shared" si="48"/>
        <v>0</v>
      </c>
      <c r="CI53" s="1">
        <f t="shared" si="65"/>
        <v>0</v>
      </c>
      <c r="CJ53" s="1"/>
      <c r="CK53" s="72"/>
      <c r="CL53" s="72"/>
      <c r="CM53" s="2"/>
      <c r="CN53" s="2"/>
      <c r="CO53" s="73">
        <f t="shared" si="66"/>
        <v>0</v>
      </c>
      <c r="CP53" s="5">
        <f t="shared" si="67"/>
        <v>0</v>
      </c>
      <c r="CQ53" s="1"/>
      <c r="CR53" s="1">
        <f t="shared" si="68"/>
        <v>0</v>
      </c>
      <c r="CS53" s="1"/>
      <c r="CT53" s="1" t="e">
        <f>INDEX([2]マスタ!$A:$A,MATCH(D53,[2]マスタ!$C:$C,0))</f>
        <v>#N/A</v>
      </c>
      <c r="CU53" s="1" t="str">
        <f t="shared" ca="1" si="69"/>
        <v>20260620_0-0</v>
      </c>
    </row>
    <row r="54" spans="1:99" x14ac:dyDescent="0.4">
      <c r="A54" s="61"/>
      <c r="B54" s="62"/>
      <c r="C54" s="62"/>
      <c r="D54" s="62"/>
      <c r="E54" s="74"/>
      <c r="F54" s="62"/>
      <c r="G54" s="62">
        <v>1</v>
      </c>
      <c r="H54" s="64">
        <f t="shared" si="56"/>
        <v>0</v>
      </c>
      <c r="I54" s="64"/>
      <c r="J54" s="64"/>
      <c r="K54" s="65">
        <f t="shared" si="57"/>
        <v>0</v>
      </c>
      <c r="L54" s="65">
        <f t="shared" si="58"/>
        <v>0</v>
      </c>
      <c r="M54" s="65">
        <f t="shared" si="59"/>
        <v>0</v>
      </c>
      <c r="N54" s="65">
        <f t="shared" si="60"/>
        <v>0</v>
      </c>
      <c r="O54" s="66" t="str">
        <f t="shared" si="61"/>
        <v>✕</v>
      </c>
      <c r="P54" s="67" t="str">
        <f t="shared" si="62"/>
        <v>○</v>
      </c>
      <c r="Q54" s="67" t="str">
        <f t="shared" si="63"/>
        <v>✕</v>
      </c>
      <c r="R54" s="67" t="str">
        <f t="shared" si="64"/>
        <v>✕</v>
      </c>
      <c r="S54" s="68">
        <v>0</v>
      </c>
      <c r="T54" s="69" t="s">
        <v>85</v>
      </c>
      <c r="U54" s="69" t="s">
        <v>85</v>
      </c>
      <c r="V54" s="69" t="s">
        <v>85</v>
      </c>
      <c r="W54" s="69" t="s">
        <v>85</v>
      </c>
      <c r="X54" s="69" t="s">
        <v>84</v>
      </c>
      <c r="Y54" s="69" t="s">
        <v>85</v>
      </c>
      <c r="Z54" s="69" t="s">
        <v>85</v>
      </c>
      <c r="AA54" s="69" t="s">
        <v>85</v>
      </c>
      <c r="AB54" s="69" t="s">
        <v>85</v>
      </c>
      <c r="AC54" s="69" t="s">
        <v>85</v>
      </c>
      <c r="AD54" s="38" t="str">
        <f>+IF(ISERROR(VLOOKUP($B54,AD$10:AD53,1,0)),IF(AND($N54&gt;=1000,$A54&gt;=AO$8,$A54&lt;=AO$9),$B54,""),"")</f>
        <v/>
      </c>
      <c r="AE54" s="38" t="str">
        <f>+IF(ISERROR(VLOOKUP($B54,AE$10:AE53,1,0)),IF(AND($N54&gt;=1000,$A54&gt;=AP$8,$A54&lt;=AP$9),$B54,""),"")</f>
        <v/>
      </c>
      <c r="AF54" s="38" t="str">
        <f>+IF(ISERROR(VLOOKUP($B54,AF$10:AF53,1,0)),IF(AND($N54&gt;=1000,$A54&gt;=AQ$8,$A54&lt;=AQ$9),$B54,""),"")</f>
        <v/>
      </c>
      <c r="AG54" s="38" t="str">
        <f>+IF(ISERROR(VLOOKUP($B54,AG$10:AG53,1,0)),IF(AND($N54&gt;=1000,$A54&gt;=AR$8,$A54&lt;=AR$9),$B54,""),"")</f>
        <v/>
      </c>
      <c r="AH54" s="38"/>
      <c r="AI54" s="70">
        <v>0</v>
      </c>
      <c r="AJ54" s="38">
        <f>IF(AND(AJ$7="○",$A54&gt;=AJ$8,$A54&lt;=AJ$9),IF(SUM(AJ$10:AJ53)-ROUNDDOWN($K54*AJ$5/100,0)&lt;-AJ$6,-AJ$6-SUM(AJ$10:AJ53),-ROUNDDOWN($K54*AJ$5/100,0)),0)</f>
        <v>0</v>
      </c>
      <c r="AK54" s="38">
        <f>IF(AND(AK$7="○",$A54&gt;=AK$8,$A54&lt;=AK$9),IF(SUM(AK$10:AK53)-ROUNDDOWN($L54*AK$5/100,0)&lt;-AK$6,-AK$6-SUM(AK$10:AK53),-ROUNDDOWN($L54*AK$5/100,0)),0)</f>
        <v>0</v>
      </c>
      <c r="AL54" s="38">
        <f>IF(AND(AL$7="○",$A54&gt;=AL$8,$A54&lt;=AL$9),IF(SUM(AL$10:AL53)-ROUNDDOWN($N54*AL$5/100,0)&lt;-AL$6,-AL$6-SUM(AL$10:AL53),-ROUNDDOWN($N54*AL$5/100,0)),0)</f>
        <v>0</v>
      </c>
      <c r="AM54" s="38">
        <f>IF(AND(AM$7="○",$A54&gt;=AM$8,$A54&lt;=AM$9),IF(SUM(AM$10:AM53)-ROUNDDOWN($L54*AM$5/100,0)&lt;-AM$6,-AM$6-SUM(AM$10:AM53),-ROUNDDOWN($L54*AM$5/100,0)),0)</f>
        <v>0</v>
      </c>
      <c r="AN54" s="38">
        <f>IF(AND(AN$7="○",$A54&gt;=AN$8,$A54&lt;=AN$9),IF(SUM(AN$10:AN53)-ROUNDDOWN($M54*AN$5/100,0)&lt;-AN$6,-AN$6-SUM(AN$10:AN53),-ROUNDDOWN($M54*AN$5/100,0)),0)</f>
        <v>0</v>
      </c>
      <c r="AO54" s="38">
        <f>IF(AND($A54&gt;=AO$8,$A54&lt;=AO$9),IF(SUM(AO$10:AO53)-ROUNDDOWN($K54*AO$5/100,0)&lt;-AO$6,-AO$6-SUM(AO$10:AO53),-ROUNDDOWN($K54*AO$5/100,0)),0)</f>
        <v>0</v>
      </c>
      <c r="AP54" s="38">
        <f>IF(AND($A54&gt;=AP$8,$A54&lt;=AP$9),IF(SUM(AP$10:AP53)-ROUNDDOWN($K54*AP$5/100,0)&lt;-AP$6,-AP$6-SUM(AP$10:AP53),-ROUNDDOWN($K54*AP$5/100,0)),0)</f>
        <v>0</v>
      </c>
      <c r="AQ54" s="38">
        <f>IF(AND($A54&gt;=AQ$8,$A54&lt;=AQ$9),IF(SUM(AQ$10:AQ53)-ROUNDDOWN($K54*AQ$5/100,0)&lt;-AQ$6,-AQ$6-SUM(AQ$10:AQ53),-ROUNDDOWN($K54*AQ$5/100,0)),0)</f>
        <v>0</v>
      </c>
      <c r="AR54" s="38">
        <f>IF(AND($A54&gt;=AR$8,$A54&lt;=AR$9),IF(SUM(AR$10:AR53)-ROUNDDOWN($K54*AR$5/100,0)&lt;-AR$6,-AR$6-SUM(AR$10:AR53),-ROUNDDOWN($K54*AR$5/100,0)),0)</f>
        <v>0</v>
      </c>
      <c r="AS54" s="38">
        <f>IF(SUMIFS(AS$10:AS53,$A$10:$A53,$A54)-ROUNDDOWN($K54*$S54/100,0)&lt;-$S54*1000,-$S54*1000-SUMIFS(AS$10:AS53,$A$10:$A53,$A54),-ROUNDDOWN($K54*$S54/100,0))</f>
        <v>0</v>
      </c>
      <c r="AT54" s="38">
        <f>IF(AND(X54="○",$A54&gt;=AT$8,$A54&lt;=AT$9,K54&gt;=3980),IF(SUM(AT$10:AT53)-ROUNDDOWN($K54*AT$5/100,0)&lt;-AT$6,-AT$6-SUM(AT$10:AT53),-ROUNDDOWN($K54*AT$5/100,0)),0)</f>
        <v>0</v>
      </c>
      <c r="AU54" s="38">
        <f>IF(O54="○",IF(SUM(AU$10:AU53)-ROUNDDOWN($K54*AU$5/100,0)&lt;-AU$6,-AU$6-SUM(AU$10:AU53),-ROUNDDOWN($K54*AU$5/100,0)),0)</f>
        <v>0</v>
      </c>
      <c r="AV54" s="38">
        <f>IF(P54="○",IF(SUM(AV$10:AV53)-ROUNDDOWN($K54*AV$5/100,0)&lt;-AV$6,-AV$6-SUM(AV$10:AV53),-ROUNDDOWN($K54*AV$5/100,0)),0)</f>
        <v>0</v>
      </c>
      <c r="AW54" s="38">
        <f>IF(Q54="○",IF(SUM(AW$10:AW53)-ROUNDDOWN($K54*AW$5/100,0)&lt;-AW$6,-AW$6-SUM(AW$10:AW53),-ROUNDDOWN($K54*AW$5/100,0)),0)</f>
        <v>0</v>
      </c>
      <c r="AX54" s="38">
        <f>IF(R54="○",IF(SUM(AX$10:AX53)-ROUNDDOWN($K54*AX$5/100,0)&lt;-AX$6,-AX$6-SUM(AX$10:AX53),-ROUNDDOWN($K54*AX$5/100,0)),0)</f>
        <v>0</v>
      </c>
      <c r="AY54" s="70">
        <v>0</v>
      </c>
      <c r="AZ54" s="65">
        <f t="shared" si="41"/>
        <v>0</v>
      </c>
      <c r="BA54" s="65">
        <f t="shared" si="42"/>
        <v>0</v>
      </c>
      <c r="BB54" s="70"/>
      <c r="BC54" s="65">
        <f t="shared" si="43"/>
        <v>0</v>
      </c>
      <c r="BD54" s="70">
        <v>0</v>
      </c>
      <c r="BE54" s="65">
        <f t="shared" si="44"/>
        <v>0</v>
      </c>
      <c r="BF54" s="70">
        <v>0</v>
      </c>
      <c r="BG54" s="65">
        <f t="shared" si="45"/>
        <v>0</v>
      </c>
      <c r="BH54" s="70">
        <v>0</v>
      </c>
      <c r="BI54" s="65">
        <f t="shared" si="46"/>
        <v>0</v>
      </c>
      <c r="BJ54" s="38">
        <f>IF(AND(BJ$7="○",$A54&gt;=BJ$8,$A54&lt;=BJ$9),IF(SUM(BJ$10:BJ53)-ROUNDDOWN($M54*BJ$5/100,0)&lt;-BJ$6,-BJ$6-SUM(BJ$10:BJ53),-ROUNDDOWN($M54*BJ$5/100,0)),0)</f>
        <v>0</v>
      </c>
      <c r="BK54" s="38">
        <f>IF(AND(BK$7="○",$A54&gt;=BK$8,$A54&lt;=BK$9),IF(SUM(BK$10:BK53)-ROUNDDOWN($L54*BK$5/100,0)&lt;-BK$6,-BK$6-SUM(BK$10:BK53),-ROUNDDOWN($L54*BK$5/100,0)),0)</f>
        <v>0</v>
      </c>
      <c r="BL54" s="38">
        <f>IF(AND(BL$7="○",$A54&gt;=BL$8,$A54&lt;=BL$9),IF(SUM(BL$10:BL53)-ROUNDDOWN($L54*BL$5/100,0)&lt;-BL$6,-BL$6-SUM(BL$10:BL53),-ROUNDDOWN($L54*BL$5/100,0)),0)</f>
        <v>0</v>
      </c>
      <c r="BM54" s="38">
        <f>IF(AND(BM$7="○",$A54&gt;=BM$8,$A54&lt;=BM$9),IF(SUM(BM$10:BM53)-ROUNDDOWN($M54*BM$5/100,0)&lt;-BM$6,-BM$6-SUM(BM$10:BM53),-ROUNDDOWN($M54*BM$5/100,0)),0)</f>
        <v>0</v>
      </c>
      <c r="BN54" s="38">
        <f>IF(AND(BN$7="○",$A54&gt;=BN$8,$A54&lt;=BN$9),IF(SUM(BN$10:BN53)-ROUNDDOWN($M54*BN$5/100,0)&lt;-BN$6,-BN$6-SUM(BN$10:BN53),-ROUNDDOWN($M54*BN$5/100,0)),0)</f>
        <v>0</v>
      </c>
      <c r="BO54" s="38">
        <f>IF(AND(BO$7="○",$A54&gt;=BO$8,$A54&lt;=BO$9),IF(SUM(BO$10:BO53)-ROUNDDOWN($M54*BO$5/100,0)&lt;-BO$6,-BO$6-SUM(BO$10:BO53),-ROUNDDOWN($M54*BO$5/100,0)),0)</f>
        <v>0</v>
      </c>
      <c r="BP54" s="38">
        <f>IF(AND(BP$7="○",$A54&gt;=BP$8,$A54&lt;=BP$9),IF(SUM(BP$10:BP53)-ROUNDDOWN($M54*BP$5/100,0)&lt;-BP$6,-BP$6-SUM(BP$10:BP53),-ROUNDDOWN($M54*BP$5/100,0)),0)</f>
        <v>0</v>
      </c>
      <c r="BQ54" s="38">
        <f>IF(AND(BQ$7="○",$A54&gt;=BQ$8,$A54&lt;=BQ$9),IF(SUM(BQ$10:BQ53)-ROUNDDOWN($L54*BQ$5/100,0)&lt;-BQ$6,-BQ$6-SUM(BQ$10:BQ53),-ROUNDDOWN($L54*BQ$5/100,0)),0)</f>
        <v>0</v>
      </c>
      <c r="BR54" s="38">
        <f>IF(AND(BR$7="○",$A54&gt;=BR$8,$A54&lt;=BR$9),IF(SUM(BR$10:BR53)-ROUNDDOWN($M54*BR$5/100,0)&lt;-BR$6,-BR$6-SUM(BR$10:BR53),-ROUNDDOWN($M54*BR$5/100,0)),0)</f>
        <v>0</v>
      </c>
      <c r="BS54" s="38">
        <f>IF(AND(BS$7="○",$A54&gt;=BS$8,$A54&lt;=BS$9),IF(SUM(BS$10:BS53)-ROUNDDOWN($M54*BS$5/100,0)&lt;-BS$6,-BS$6-SUM(BS$10:BS53),-ROUNDDOWN($M54*BS$5/100,0)),0)</f>
        <v>0</v>
      </c>
      <c r="BT54" s="38">
        <f>IF(AND(BT$7="○",$A54&gt;=BT$8,$A54&lt;=BT$9),IF(SUM(BT$10:BT53)-ROUNDDOWN($M54*BT$5/100,0)&lt;-BT$6,-BT$6-SUM(BT$10:BT53),-ROUNDDOWN($M54*BT$5/100,0)),0)</f>
        <v>0</v>
      </c>
      <c r="BU54" s="38">
        <f>IF(AND(BU$7="○",$A54&gt;=BU$8,$A54&lt;=BU$9),IF(SUM(BU$10:BU53)-ROUNDDOWN($M54*BU$5/100,0)&lt;-BU$6,-BU$6-SUM(BU$10:BU53),-ROUNDDOWN($M54*BU$5/100,0)),0)</f>
        <v>0</v>
      </c>
      <c r="BV54" s="38">
        <f>IF(AND(BV$7="○",$A54&gt;=BV$8,$A54&lt;=BV$9),IF(SUM(BV$10:BV53)-ROUNDDOWN($M54*BV$5/100,0)&lt;-BV$6,-BV$6-SUM(BV$10:BV53),-ROUNDDOWN($M54*BV$5/100,0)),0)</f>
        <v>0</v>
      </c>
      <c r="BW54" s="38">
        <f>IF(AND(BW$7="○",$A54&gt;=BW$8,$A54&lt;=BW$9),IF(SUM(BW$10:BW53)-ROUNDDOWN($M54*BW$5/100,0)&lt;-BW$6,-BW$6-SUM(BW$10:BW53),-ROUNDDOWN($M54*BW$5/100,0)),0)</f>
        <v>0</v>
      </c>
      <c r="BX54" s="38">
        <f>IF(AND(T54="○",$A54&gt;=BX$8,$A54&lt;=BX$9),IF(SUM(BX$10:BX53)-ROUNDDOWN($K54*BX$5/100,0)&lt;-BX$6,-BX$6-SUM(BX$10:BX53),-ROUNDDOWN($K54*BX$5/100,0)),0)</f>
        <v>0</v>
      </c>
      <c r="BY54" s="38">
        <f>IF(AND(U54="○",$A54&gt;=BY$8,$A54&lt;=BY$9),IF(SUM(BY$10:BY53)-ROUNDDOWN($K54*BY$5/100,0)&lt;-BY$6,-BY$6-SUM(BY$10:BY53),-ROUNDDOWN($K54*BY$5/100,0)),0)</f>
        <v>0</v>
      </c>
      <c r="BZ54" s="38">
        <f>IF(AND(V54="○",$A54&gt;=BZ$8,$A54&lt;=BZ$9),IF(SUM(BZ$10:BZ53)-ROUNDDOWN($K54*BZ$5/100,0)&lt;-BZ$6,-BZ$6-SUM(BZ$10:BZ53),-ROUNDDOWN($K54*BZ$5/100,0)),0)</f>
        <v>0</v>
      </c>
      <c r="CA54" s="38">
        <f>IF(AND(W54="○",$A54&gt;=CA$8,$A54&lt;=CA$9),IF(SUM(CA$10:CA53)-ROUNDDOWN($K54*CA$5/100,0)&lt;-CA$6,-CA$6-SUM(CA$10:CA53),-ROUNDDOWN($K54*CA$5/100,0)),0)</f>
        <v>0</v>
      </c>
      <c r="CB54" s="38"/>
      <c r="CC54" s="38"/>
      <c r="CD54" s="38"/>
      <c r="CE54" s="38"/>
      <c r="CF54" s="38"/>
      <c r="CG54" s="65">
        <f t="shared" si="47"/>
        <v>0</v>
      </c>
      <c r="CH54" s="71">
        <f t="shared" si="48"/>
        <v>0</v>
      </c>
      <c r="CI54" s="1">
        <f t="shared" si="65"/>
        <v>0</v>
      </c>
      <c r="CJ54" s="1"/>
      <c r="CK54" s="72"/>
      <c r="CL54" s="72"/>
      <c r="CM54" s="2"/>
      <c r="CN54" s="2"/>
      <c r="CO54" s="73">
        <f t="shared" si="66"/>
        <v>0</v>
      </c>
      <c r="CP54" s="5">
        <f t="shared" si="67"/>
        <v>0</v>
      </c>
      <c r="CQ54" s="1"/>
      <c r="CR54" s="1">
        <f t="shared" si="68"/>
        <v>0</v>
      </c>
      <c r="CS54" s="1"/>
      <c r="CT54" s="1" t="e">
        <f>INDEX([2]マスタ!$A:$A,MATCH(D54,[2]マスタ!$C:$C,0))</f>
        <v>#N/A</v>
      </c>
      <c r="CU54" s="1" t="str">
        <f t="shared" ca="1" si="69"/>
        <v>20260620_0-0</v>
      </c>
    </row>
    <row r="55" spans="1:99" x14ac:dyDescent="0.4">
      <c r="A55" s="61"/>
      <c r="B55" s="62"/>
      <c r="C55" s="62"/>
      <c r="D55" s="62"/>
      <c r="E55" s="74"/>
      <c r="F55" s="62"/>
      <c r="G55" s="62">
        <v>1</v>
      </c>
      <c r="H55" s="64">
        <f t="shared" si="56"/>
        <v>0</v>
      </c>
      <c r="I55" s="64"/>
      <c r="J55" s="64"/>
      <c r="K55" s="65">
        <f t="shared" si="57"/>
        <v>0</v>
      </c>
      <c r="L55" s="65">
        <f t="shared" si="58"/>
        <v>0</v>
      </c>
      <c r="M55" s="65">
        <f t="shared" si="59"/>
        <v>0</v>
      </c>
      <c r="N55" s="65">
        <f t="shared" si="60"/>
        <v>0</v>
      </c>
      <c r="O55" s="66" t="str">
        <f t="shared" si="61"/>
        <v>✕</v>
      </c>
      <c r="P55" s="67" t="str">
        <f t="shared" si="62"/>
        <v>○</v>
      </c>
      <c r="Q55" s="67" t="str">
        <f t="shared" si="63"/>
        <v>✕</v>
      </c>
      <c r="R55" s="67" t="str">
        <f t="shared" si="64"/>
        <v>✕</v>
      </c>
      <c r="S55" s="68">
        <v>0</v>
      </c>
      <c r="T55" s="69" t="s">
        <v>85</v>
      </c>
      <c r="U55" s="69" t="s">
        <v>85</v>
      </c>
      <c r="V55" s="69" t="s">
        <v>85</v>
      </c>
      <c r="W55" s="69" t="s">
        <v>85</v>
      </c>
      <c r="X55" s="69" t="s">
        <v>84</v>
      </c>
      <c r="Y55" s="69" t="s">
        <v>85</v>
      </c>
      <c r="Z55" s="69" t="s">
        <v>85</v>
      </c>
      <c r="AA55" s="69" t="s">
        <v>85</v>
      </c>
      <c r="AB55" s="69" t="s">
        <v>85</v>
      </c>
      <c r="AC55" s="69" t="s">
        <v>85</v>
      </c>
      <c r="AD55" s="38" t="str">
        <f>+IF(ISERROR(VLOOKUP($B55,AD$10:AD54,1,0)),IF(AND($N55&gt;=1000,$A55&gt;=AO$8,$A55&lt;=AO$9),$B55,""),"")</f>
        <v/>
      </c>
      <c r="AE55" s="38" t="str">
        <f>+IF(ISERROR(VLOOKUP($B55,AE$10:AE54,1,0)),IF(AND($N55&gt;=1000,$A55&gt;=AP$8,$A55&lt;=AP$9),$B55,""),"")</f>
        <v/>
      </c>
      <c r="AF55" s="38" t="str">
        <f>+IF(ISERROR(VLOOKUP($B55,AF$10:AF54,1,0)),IF(AND($N55&gt;=1000,$A55&gt;=AQ$8,$A55&lt;=AQ$9),$B55,""),"")</f>
        <v/>
      </c>
      <c r="AG55" s="38" t="str">
        <f>+IF(ISERROR(VLOOKUP($B55,AG$10:AG54,1,0)),IF(AND($N55&gt;=1000,$A55&gt;=AR$8,$A55&lt;=AR$9),$B55,""),"")</f>
        <v/>
      </c>
      <c r="AH55" s="38"/>
      <c r="AI55" s="70">
        <v>0</v>
      </c>
      <c r="AJ55" s="38">
        <f>IF(AND(AJ$7="○",$A55&gt;=AJ$8,$A55&lt;=AJ$9),IF(SUM(AJ$10:AJ54)-ROUNDDOWN($K55*AJ$5/100,0)&lt;-AJ$6,-AJ$6-SUM(AJ$10:AJ54),-ROUNDDOWN($K55*AJ$5/100,0)),0)</f>
        <v>0</v>
      </c>
      <c r="AK55" s="38">
        <f>IF(AND(AK$7="○",$A55&gt;=AK$8,$A55&lt;=AK$9),IF(SUM(AK$10:AK54)-ROUNDDOWN($L55*AK$5/100,0)&lt;-AK$6,-AK$6-SUM(AK$10:AK54),-ROUNDDOWN($L55*AK$5/100,0)),0)</f>
        <v>0</v>
      </c>
      <c r="AL55" s="38">
        <f>IF(AND(AL$7="○",$A55&gt;=AL$8,$A55&lt;=AL$9),IF(SUM(AL$10:AL54)-ROUNDDOWN($N55*AL$5/100,0)&lt;-AL$6,-AL$6-SUM(AL$10:AL54),-ROUNDDOWN($N55*AL$5/100,0)),0)</f>
        <v>0</v>
      </c>
      <c r="AM55" s="38">
        <f>IF(AND(AM$7="○",$A55&gt;=AM$8,$A55&lt;=AM$9),IF(SUM(AM$10:AM54)-ROUNDDOWN($L55*AM$5/100,0)&lt;-AM$6,-AM$6-SUM(AM$10:AM54),-ROUNDDOWN($L55*AM$5/100,0)),0)</f>
        <v>0</v>
      </c>
      <c r="AN55" s="38">
        <f>IF(AND(AN$7="○",$A55&gt;=AN$8,$A55&lt;=AN$9),IF(SUM(AN$10:AN54)-ROUNDDOWN($M55*AN$5/100,0)&lt;-AN$6,-AN$6-SUM(AN$10:AN54),-ROUNDDOWN($M55*AN$5/100,0)),0)</f>
        <v>0</v>
      </c>
      <c r="AO55" s="38">
        <f>IF(AND($A55&gt;=AO$8,$A55&lt;=AO$9),IF(SUM(AO$10:AO54)-ROUNDDOWN($K55*AO$5/100,0)&lt;-AO$6,-AO$6-SUM(AO$10:AO54),-ROUNDDOWN($K55*AO$5/100,0)),0)</f>
        <v>0</v>
      </c>
      <c r="AP55" s="38">
        <f>IF(AND($A55&gt;=AP$8,$A55&lt;=AP$9),IF(SUM(AP$10:AP54)-ROUNDDOWN($K55*AP$5/100,0)&lt;-AP$6,-AP$6-SUM(AP$10:AP54),-ROUNDDOWN($K55*AP$5/100,0)),0)</f>
        <v>0</v>
      </c>
      <c r="AQ55" s="38">
        <f>IF(AND($A55&gt;=AQ$8,$A55&lt;=AQ$9),IF(SUM(AQ$10:AQ54)-ROUNDDOWN($K55*AQ$5/100,0)&lt;-AQ$6,-AQ$6-SUM(AQ$10:AQ54),-ROUNDDOWN($K55*AQ$5/100,0)),0)</f>
        <v>0</v>
      </c>
      <c r="AR55" s="38">
        <f>IF(AND($A55&gt;=AR$8,$A55&lt;=AR$9),IF(SUM(AR$10:AR54)-ROUNDDOWN($K55*AR$5/100,0)&lt;-AR$6,-AR$6-SUM(AR$10:AR54),-ROUNDDOWN($K55*AR$5/100,0)),0)</f>
        <v>0</v>
      </c>
      <c r="AS55" s="38">
        <f>IF(SUMIFS(AS$10:AS54,$A$10:$A54,$A55)-ROUNDDOWN($K55*$S55/100,0)&lt;-$S55*1000,-$S55*1000-SUMIFS(AS$10:AS54,$A$10:$A54,$A55),-ROUNDDOWN($K55*$S55/100,0))</f>
        <v>0</v>
      </c>
      <c r="AT55" s="38">
        <f>IF(AND(X55="○",$A55&gt;=AT$8,$A55&lt;=AT$9,K55&gt;=3980),IF(SUM(AT$10:AT54)-ROUNDDOWN($K55*AT$5/100,0)&lt;-AT$6,-AT$6-SUM(AT$10:AT54),-ROUNDDOWN($K55*AT$5/100,0)),0)</f>
        <v>0</v>
      </c>
      <c r="AU55" s="38">
        <f>IF(O55="○",IF(SUM(AU$10:AU54)-ROUNDDOWN($K55*AU$5/100,0)&lt;-AU$6,-AU$6-SUM(AU$10:AU54),-ROUNDDOWN($K55*AU$5/100,0)),0)</f>
        <v>0</v>
      </c>
      <c r="AV55" s="38">
        <f>IF(P55="○",IF(SUM(AV$10:AV54)-ROUNDDOWN($K55*AV$5/100,0)&lt;-AV$6,-AV$6-SUM(AV$10:AV54),-ROUNDDOWN($K55*AV$5/100,0)),0)</f>
        <v>0</v>
      </c>
      <c r="AW55" s="38">
        <f>IF(Q55="○",IF(SUM(AW$10:AW54)-ROUNDDOWN($K55*AW$5/100,0)&lt;-AW$6,-AW$6-SUM(AW$10:AW54),-ROUNDDOWN($K55*AW$5/100,0)),0)</f>
        <v>0</v>
      </c>
      <c r="AX55" s="38">
        <f>IF(R55="○",IF(SUM(AX$10:AX54)-ROUNDDOWN($K55*AX$5/100,0)&lt;-AX$6,-AX$6-SUM(AX$10:AX54),-ROUNDDOWN($K55*AX$5/100,0)),0)</f>
        <v>0</v>
      </c>
      <c r="AY55" s="70">
        <v>0</v>
      </c>
      <c r="AZ55" s="65">
        <f t="shared" si="41"/>
        <v>0</v>
      </c>
      <c r="BA55" s="65">
        <f t="shared" si="42"/>
        <v>0</v>
      </c>
      <c r="BB55" s="70"/>
      <c r="BC55" s="65">
        <f t="shared" si="43"/>
        <v>0</v>
      </c>
      <c r="BD55" s="70">
        <v>0</v>
      </c>
      <c r="BE55" s="65">
        <f t="shared" si="44"/>
        <v>0</v>
      </c>
      <c r="BF55" s="70">
        <v>0</v>
      </c>
      <c r="BG55" s="65">
        <f t="shared" si="45"/>
        <v>0</v>
      </c>
      <c r="BH55" s="70">
        <v>0</v>
      </c>
      <c r="BI55" s="65">
        <f t="shared" si="46"/>
        <v>0</v>
      </c>
      <c r="BJ55" s="38">
        <f>IF(AND(BJ$7="○",$A55&gt;=BJ$8,$A55&lt;=BJ$9),IF(SUM(BJ$10:BJ54)-ROUNDDOWN($M55*BJ$5/100,0)&lt;-BJ$6,-BJ$6-SUM(BJ$10:BJ54),-ROUNDDOWN($M55*BJ$5/100,0)),0)</f>
        <v>0</v>
      </c>
      <c r="BK55" s="38">
        <f>IF(AND(BK$7="○",$A55&gt;=BK$8,$A55&lt;=BK$9),IF(SUM(BK$10:BK54)-ROUNDDOWN($L55*BK$5/100,0)&lt;-BK$6,-BK$6-SUM(BK$10:BK54),-ROUNDDOWN($L55*BK$5/100,0)),0)</f>
        <v>0</v>
      </c>
      <c r="BL55" s="38">
        <f>IF(AND(BL$7="○",$A55&gt;=BL$8,$A55&lt;=BL$9),IF(SUM(BL$10:BL54)-ROUNDDOWN($L55*BL$5/100,0)&lt;-BL$6,-BL$6-SUM(BL$10:BL54),-ROUNDDOWN($L55*BL$5/100,0)),0)</f>
        <v>0</v>
      </c>
      <c r="BM55" s="38">
        <f>IF(AND(BM$7="○",$A55&gt;=BM$8,$A55&lt;=BM$9),IF(SUM(BM$10:BM54)-ROUNDDOWN($M55*BM$5/100,0)&lt;-BM$6,-BM$6-SUM(BM$10:BM54),-ROUNDDOWN($M55*BM$5/100,0)),0)</f>
        <v>0</v>
      </c>
      <c r="BN55" s="38">
        <f>IF(AND(BN$7="○",$A55&gt;=BN$8,$A55&lt;=BN$9),IF(SUM(BN$10:BN54)-ROUNDDOWN($M55*BN$5/100,0)&lt;-BN$6,-BN$6-SUM(BN$10:BN54),-ROUNDDOWN($M55*BN$5/100,0)),0)</f>
        <v>0</v>
      </c>
      <c r="BO55" s="38">
        <f>IF(AND(BO$7="○",$A55&gt;=BO$8,$A55&lt;=BO$9),IF(SUM(BO$10:BO54)-ROUNDDOWN($M55*BO$5/100,0)&lt;-BO$6,-BO$6-SUM(BO$10:BO54),-ROUNDDOWN($M55*BO$5/100,0)),0)</f>
        <v>0</v>
      </c>
      <c r="BP55" s="38">
        <f>IF(AND(BP$7="○",$A55&gt;=BP$8,$A55&lt;=BP$9),IF(SUM(BP$10:BP54)-ROUNDDOWN($M55*BP$5/100,0)&lt;-BP$6,-BP$6-SUM(BP$10:BP54),-ROUNDDOWN($M55*BP$5/100,0)),0)</f>
        <v>0</v>
      </c>
      <c r="BQ55" s="38">
        <f>IF(AND(BQ$7="○",$A55&gt;=BQ$8,$A55&lt;=BQ$9),IF(SUM(BQ$10:BQ54)-ROUNDDOWN($L55*BQ$5/100,0)&lt;-BQ$6,-BQ$6-SUM(BQ$10:BQ54),-ROUNDDOWN($L55*BQ$5/100,0)),0)</f>
        <v>0</v>
      </c>
      <c r="BR55" s="38">
        <f>IF(AND(BR$7="○",$A55&gt;=BR$8,$A55&lt;=BR$9),IF(SUM(BR$10:BR54)-ROUNDDOWN($M55*BR$5/100,0)&lt;-BR$6,-BR$6-SUM(BR$10:BR54),-ROUNDDOWN($M55*BR$5/100,0)),0)</f>
        <v>0</v>
      </c>
      <c r="BS55" s="38">
        <f>IF(AND(BS$7="○",$A55&gt;=BS$8,$A55&lt;=BS$9),IF(SUM(BS$10:BS54)-ROUNDDOWN($M55*BS$5/100,0)&lt;-BS$6,-BS$6-SUM(BS$10:BS54),-ROUNDDOWN($M55*BS$5/100,0)),0)</f>
        <v>0</v>
      </c>
      <c r="BT55" s="38">
        <f>IF(AND(BT$7="○",$A55&gt;=BT$8,$A55&lt;=BT$9),IF(SUM(BT$10:BT54)-ROUNDDOWN($M55*BT$5/100,0)&lt;-BT$6,-BT$6-SUM(BT$10:BT54),-ROUNDDOWN($M55*BT$5/100,0)),0)</f>
        <v>0</v>
      </c>
      <c r="BU55" s="38">
        <f>IF(AND(BU$7="○",$A55&gt;=BU$8,$A55&lt;=BU$9),IF(SUM(BU$10:BU54)-ROUNDDOWN($M55*BU$5/100,0)&lt;-BU$6,-BU$6-SUM(BU$10:BU54),-ROUNDDOWN($M55*BU$5/100,0)),0)</f>
        <v>0</v>
      </c>
      <c r="BV55" s="38">
        <f>IF(AND(BV$7="○",$A55&gt;=BV$8,$A55&lt;=BV$9),IF(SUM(BV$10:BV54)-ROUNDDOWN($M55*BV$5/100,0)&lt;-BV$6,-BV$6-SUM(BV$10:BV54),-ROUNDDOWN($M55*BV$5/100,0)),0)</f>
        <v>0</v>
      </c>
      <c r="BW55" s="38">
        <f>IF(AND(BW$7="○",$A55&gt;=BW$8,$A55&lt;=BW$9),IF(SUM(BW$10:BW54)-ROUNDDOWN($M55*BW$5/100,0)&lt;-BW$6,-BW$6-SUM(BW$10:BW54),-ROUNDDOWN($M55*BW$5/100,0)),0)</f>
        <v>0</v>
      </c>
      <c r="BX55" s="38">
        <f>IF(AND(T55="○",$A55&gt;=BX$8,$A55&lt;=BX$9),IF(SUM(BX$10:BX54)-ROUNDDOWN($K55*BX$5/100,0)&lt;-BX$6,-BX$6-SUM(BX$10:BX54),-ROUNDDOWN($K55*BX$5/100,0)),0)</f>
        <v>0</v>
      </c>
      <c r="BY55" s="38">
        <f>IF(AND(U55="○",$A55&gt;=BY$8,$A55&lt;=BY$9),IF(SUM(BY$10:BY54)-ROUNDDOWN($K55*BY$5/100,0)&lt;-BY$6,-BY$6-SUM(BY$10:BY54),-ROUNDDOWN($K55*BY$5/100,0)),0)</f>
        <v>0</v>
      </c>
      <c r="BZ55" s="38">
        <f>IF(AND(V55="○",$A55&gt;=BZ$8,$A55&lt;=BZ$9),IF(SUM(BZ$10:BZ54)-ROUNDDOWN($K55*BZ$5/100,0)&lt;-BZ$6,-BZ$6-SUM(BZ$10:BZ54),-ROUNDDOWN($K55*BZ$5/100,0)),0)</f>
        <v>0</v>
      </c>
      <c r="CA55" s="38">
        <f>IF(AND(W55="○",$A55&gt;=CA$8,$A55&lt;=CA$9),IF(SUM(CA$10:CA54)-ROUNDDOWN($K55*CA$5/100,0)&lt;-CA$6,-CA$6-SUM(CA$10:CA54),-ROUNDDOWN($K55*CA$5/100,0)),0)</f>
        <v>0</v>
      </c>
      <c r="CB55" s="38"/>
      <c r="CC55" s="38"/>
      <c r="CD55" s="38"/>
      <c r="CE55" s="38"/>
      <c r="CF55" s="38"/>
      <c r="CG55" s="65">
        <f t="shared" si="47"/>
        <v>0</v>
      </c>
      <c r="CH55" s="71">
        <f t="shared" si="48"/>
        <v>0</v>
      </c>
      <c r="CI55" s="1">
        <f t="shared" si="65"/>
        <v>0</v>
      </c>
      <c r="CJ55" s="1"/>
      <c r="CK55" s="72"/>
      <c r="CL55" s="72"/>
      <c r="CM55" s="2"/>
      <c r="CN55" s="2"/>
      <c r="CO55" s="73">
        <f t="shared" si="66"/>
        <v>0</v>
      </c>
      <c r="CP55" s="5">
        <f t="shared" si="67"/>
        <v>0</v>
      </c>
      <c r="CQ55" s="1"/>
      <c r="CR55" s="1">
        <f t="shared" si="68"/>
        <v>0</v>
      </c>
      <c r="CS55" s="1"/>
      <c r="CT55" s="1" t="e">
        <f>INDEX([2]マスタ!$A:$A,MATCH(D55,[2]マスタ!$C:$C,0))</f>
        <v>#N/A</v>
      </c>
      <c r="CU55" s="1" t="str">
        <f t="shared" ca="1" si="69"/>
        <v>20260620_0-0</v>
      </c>
    </row>
    <row r="56" spans="1:99" x14ac:dyDescent="0.4">
      <c r="A56" s="61"/>
      <c r="B56" s="62"/>
      <c r="C56" s="62"/>
      <c r="D56" s="62"/>
      <c r="E56" s="74"/>
      <c r="F56" s="62"/>
      <c r="G56" s="62">
        <v>1</v>
      </c>
      <c r="H56" s="64">
        <f t="shared" si="56"/>
        <v>0</v>
      </c>
      <c r="I56" s="64"/>
      <c r="J56" s="64"/>
      <c r="K56" s="65">
        <f t="shared" si="57"/>
        <v>0</v>
      </c>
      <c r="L56" s="65">
        <f t="shared" si="58"/>
        <v>0</v>
      </c>
      <c r="M56" s="65">
        <f t="shared" si="59"/>
        <v>0</v>
      </c>
      <c r="N56" s="65">
        <f t="shared" si="60"/>
        <v>0</v>
      </c>
      <c r="O56" s="66" t="str">
        <f t="shared" si="61"/>
        <v>✕</v>
      </c>
      <c r="P56" s="67" t="str">
        <f t="shared" si="62"/>
        <v>○</v>
      </c>
      <c r="Q56" s="67" t="str">
        <f t="shared" si="63"/>
        <v>✕</v>
      </c>
      <c r="R56" s="67" t="str">
        <f t="shared" si="64"/>
        <v>✕</v>
      </c>
      <c r="S56" s="68">
        <v>0</v>
      </c>
      <c r="T56" s="69" t="s">
        <v>85</v>
      </c>
      <c r="U56" s="69" t="s">
        <v>85</v>
      </c>
      <c r="V56" s="69" t="s">
        <v>85</v>
      </c>
      <c r="W56" s="69" t="s">
        <v>85</v>
      </c>
      <c r="X56" s="69" t="s">
        <v>84</v>
      </c>
      <c r="Y56" s="69" t="s">
        <v>85</v>
      </c>
      <c r="Z56" s="69" t="s">
        <v>85</v>
      </c>
      <c r="AA56" s="69" t="s">
        <v>85</v>
      </c>
      <c r="AB56" s="69" t="s">
        <v>85</v>
      </c>
      <c r="AC56" s="69" t="s">
        <v>85</v>
      </c>
      <c r="AD56" s="38" t="str">
        <f>+IF(ISERROR(VLOOKUP($B56,AD$10:AD55,1,0)),IF(AND($N56&gt;=1000,$A56&gt;=AO$8,$A56&lt;=AO$9),$B56,""),"")</f>
        <v/>
      </c>
      <c r="AE56" s="38" t="str">
        <f>+IF(ISERROR(VLOOKUP($B56,AE$10:AE55,1,0)),IF(AND($N56&gt;=1000,$A56&gt;=AP$8,$A56&lt;=AP$9),$B56,""),"")</f>
        <v/>
      </c>
      <c r="AF56" s="38" t="str">
        <f>+IF(ISERROR(VLOOKUP($B56,AF$10:AF55,1,0)),IF(AND($N56&gt;=1000,$A56&gt;=AQ$8,$A56&lt;=AQ$9),$B56,""),"")</f>
        <v/>
      </c>
      <c r="AG56" s="38" t="str">
        <f>+IF(ISERROR(VLOOKUP($B56,AG$10:AG55,1,0)),IF(AND($N56&gt;=1000,$A56&gt;=AR$8,$A56&lt;=AR$9),$B56,""),"")</f>
        <v/>
      </c>
      <c r="AH56" s="38"/>
      <c r="AI56" s="70">
        <v>0</v>
      </c>
      <c r="AJ56" s="38">
        <f>IF(AND(AJ$7="○",$A56&gt;=AJ$8,$A56&lt;=AJ$9),IF(SUM(AJ$10:AJ55)-ROUNDDOWN($K56*AJ$5/100,0)&lt;-AJ$6,-AJ$6-SUM(AJ$10:AJ55),-ROUNDDOWN($K56*AJ$5/100,0)),0)</f>
        <v>0</v>
      </c>
      <c r="AK56" s="38">
        <f>IF(AND(AK$7="○",$A56&gt;=AK$8,$A56&lt;=AK$9),IF(SUM(AK$10:AK55)-ROUNDDOWN($L56*AK$5/100,0)&lt;-AK$6,-AK$6-SUM(AK$10:AK55),-ROUNDDOWN($L56*AK$5/100,0)),0)</f>
        <v>0</v>
      </c>
      <c r="AL56" s="38">
        <f>IF(AND(AL$7="○",$A56&gt;=AL$8,$A56&lt;=AL$9),IF(SUM(AL$10:AL55)-ROUNDDOWN($N56*AL$5/100,0)&lt;-AL$6,-AL$6-SUM(AL$10:AL55),-ROUNDDOWN($N56*AL$5/100,0)),0)</f>
        <v>0</v>
      </c>
      <c r="AM56" s="38">
        <f>IF(AND(AM$7="○",$A56&gt;=AM$8,$A56&lt;=AM$9),IF(SUM(AM$10:AM55)-ROUNDDOWN($L56*AM$5/100,0)&lt;-AM$6,-AM$6-SUM(AM$10:AM55),-ROUNDDOWN($L56*AM$5/100,0)),0)</f>
        <v>0</v>
      </c>
      <c r="AN56" s="38">
        <f>IF(AND(AN$7="○",$A56&gt;=AN$8,$A56&lt;=AN$9),IF(SUM(AN$10:AN55)-ROUNDDOWN($M56*AN$5/100,0)&lt;-AN$6,-AN$6-SUM(AN$10:AN55),-ROUNDDOWN($M56*AN$5/100,0)),0)</f>
        <v>0</v>
      </c>
      <c r="AO56" s="38">
        <f>IF(AND($A56&gt;=AO$8,$A56&lt;=AO$9),IF(SUM(AO$10:AO55)-ROUNDDOWN($K56*AO$5/100,0)&lt;-AO$6,-AO$6-SUM(AO$10:AO55),-ROUNDDOWN($K56*AO$5/100,0)),0)</f>
        <v>0</v>
      </c>
      <c r="AP56" s="38">
        <f>IF(AND($A56&gt;=AP$8,$A56&lt;=AP$9),IF(SUM(AP$10:AP55)-ROUNDDOWN($K56*AP$5/100,0)&lt;-AP$6,-AP$6-SUM(AP$10:AP55),-ROUNDDOWN($K56*AP$5/100,0)),0)</f>
        <v>0</v>
      </c>
      <c r="AQ56" s="38">
        <f>IF(AND($A56&gt;=AQ$8,$A56&lt;=AQ$9),IF(SUM(AQ$10:AQ55)-ROUNDDOWN($K56*AQ$5/100,0)&lt;-AQ$6,-AQ$6-SUM(AQ$10:AQ55),-ROUNDDOWN($K56*AQ$5/100,0)),0)</f>
        <v>0</v>
      </c>
      <c r="AR56" s="38">
        <f>IF(AND($A56&gt;=AR$8,$A56&lt;=AR$9),IF(SUM(AR$10:AR55)-ROUNDDOWN($K56*AR$5/100,0)&lt;-AR$6,-AR$6-SUM(AR$10:AR55),-ROUNDDOWN($K56*AR$5/100,0)),0)</f>
        <v>0</v>
      </c>
      <c r="AS56" s="38">
        <f>IF(SUMIFS(AS$10:AS55,$A$10:$A55,$A56)-ROUNDDOWN($K56*$S56/100,0)&lt;-$S56*1000,-$S56*1000-SUMIFS(AS$10:AS55,$A$10:$A55,$A56),-ROUNDDOWN($K56*$S56/100,0))</f>
        <v>0</v>
      </c>
      <c r="AT56" s="38">
        <f>IF(AND(X56="○",$A56&gt;=AT$8,$A56&lt;=AT$9,K56&gt;=3980),IF(SUM(AT$10:AT55)-ROUNDDOWN($K56*AT$5/100,0)&lt;-AT$6,-AT$6-SUM(AT$10:AT55),-ROUNDDOWN($K56*AT$5/100,0)),0)</f>
        <v>0</v>
      </c>
      <c r="AU56" s="38">
        <f>IF(O56="○",IF(SUM(AU$10:AU55)-ROUNDDOWN($K56*AU$5/100,0)&lt;-AU$6,-AU$6-SUM(AU$10:AU55),-ROUNDDOWN($K56*AU$5/100,0)),0)</f>
        <v>0</v>
      </c>
      <c r="AV56" s="38">
        <f>IF(P56="○",IF(SUM(AV$10:AV55)-ROUNDDOWN($K56*AV$5/100,0)&lt;-AV$6,-AV$6-SUM(AV$10:AV55),-ROUNDDOWN($K56*AV$5/100,0)),0)</f>
        <v>0</v>
      </c>
      <c r="AW56" s="38">
        <f>IF(Q56="○",IF(SUM(AW$10:AW55)-ROUNDDOWN($K56*AW$5/100,0)&lt;-AW$6,-AW$6-SUM(AW$10:AW55),-ROUNDDOWN($K56*AW$5/100,0)),0)</f>
        <v>0</v>
      </c>
      <c r="AX56" s="38">
        <f>IF(R56="○",IF(SUM(AX$10:AX55)-ROUNDDOWN($K56*AX$5/100,0)&lt;-AX$6,-AX$6-SUM(AX$10:AX55),-ROUNDDOWN($K56*AX$5/100,0)),0)</f>
        <v>0</v>
      </c>
      <c r="AY56" s="70">
        <v>0</v>
      </c>
      <c r="AZ56" s="65">
        <f t="shared" si="41"/>
        <v>0</v>
      </c>
      <c r="BA56" s="65">
        <f t="shared" si="42"/>
        <v>0</v>
      </c>
      <c r="BB56" s="70"/>
      <c r="BC56" s="65">
        <f t="shared" si="43"/>
        <v>0</v>
      </c>
      <c r="BD56" s="70">
        <v>0</v>
      </c>
      <c r="BE56" s="65">
        <f t="shared" si="44"/>
        <v>0</v>
      </c>
      <c r="BF56" s="70">
        <v>0</v>
      </c>
      <c r="BG56" s="65">
        <f t="shared" si="45"/>
        <v>0</v>
      </c>
      <c r="BH56" s="70">
        <v>0</v>
      </c>
      <c r="BI56" s="65">
        <f t="shared" si="46"/>
        <v>0</v>
      </c>
      <c r="BJ56" s="38">
        <f>IF(AND(BJ$7="○",$A56&gt;=BJ$8,$A56&lt;=BJ$9),IF(SUM(BJ$10:BJ55)-ROUNDDOWN($M56*BJ$5/100,0)&lt;-BJ$6,-BJ$6-SUM(BJ$10:BJ55),-ROUNDDOWN($M56*BJ$5/100,0)),0)</f>
        <v>0</v>
      </c>
      <c r="BK56" s="38">
        <f>IF(AND(BK$7="○",$A56&gt;=BK$8,$A56&lt;=BK$9),IF(SUM(BK$10:BK55)-ROUNDDOWN($L56*BK$5/100,0)&lt;-BK$6,-BK$6-SUM(BK$10:BK55),-ROUNDDOWN($L56*BK$5/100,0)),0)</f>
        <v>0</v>
      </c>
      <c r="BL56" s="38">
        <f>IF(AND(BL$7="○",$A56&gt;=BL$8,$A56&lt;=BL$9),IF(SUM(BL$10:BL55)-ROUNDDOWN($L56*BL$5/100,0)&lt;-BL$6,-BL$6-SUM(BL$10:BL55),-ROUNDDOWN($L56*BL$5/100,0)),0)</f>
        <v>0</v>
      </c>
      <c r="BM56" s="38">
        <f>IF(AND(BM$7="○",$A56&gt;=BM$8,$A56&lt;=BM$9),IF(SUM(BM$10:BM55)-ROUNDDOWN($M56*BM$5/100,0)&lt;-BM$6,-BM$6-SUM(BM$10:BM55),-ROUNDDOWN($M56*BM$5/100,0)),0)</f>
        <v>0</v>
      </c>
      <c r="BN56" s="38">
        <f>IF(AND(BN$7="○",$A56&gt;=BN$8,$A56&lt;=BN$9),IF(SUM(BN$10:BN55)-ROUNDDOWN($M56*BN$5/100,0)&lt;-BN$6,-BN$6-SUM(BN$10:BN55),-ROUNDDOWN($M56*BN$5/100,0)),0)</f>
        <v>0</v>
      </c>
      <c r="BO56" s="38">
        <f>IF(AND(BO$7="○",$A56&gt;=BO$8,$A56&lt;=BO$9),IF(SUM(BO$10:BO55)-ROUNDDOWN($M56*BO$5/100,0)&lt;-BO$6,-BO$6-SUM(BO$10:BO55),-ROUNDDOWN($M56*BO$5/100,0)),0)</f>
        <v>0</v>
      </c>
      <c r="BP56" s="38">
        <f>IF(AND(BP$7="○",$A56&gt;=BP$8,$A56&lt;=BP$9),IF(SUM(BP$10:BP55)-ROUNDDOWN($M56*BP$5/100,0)&lt;-BP$6,-BP$6-SUM(BP$10:BP55),-ROUNDDOWN($M56*BP$5/100,0)),0)</f>
        <v>0</v>
      </c>
      <c r="BQ56" s="38">
        <f>IF(AND(BQ$7="○",$A56&gt;=BQ$8,$A56&lt;=BQ$9),IF(SUM(BQ$10:BQ55)-ROUNDDOWN($L56*BQ$5/100,0)&lt;-BQ$6,-BQ$6-SUM(BQ$10:BQ55),-ROUNDDOWN($L56*BQ$5/100,0)),0)</f>
        <v>0</v>
      </c>
      <c r="BR56" s="38">
        <f>IF(AND(BR$7="○",$A56&gt;=BR$8,$A56&lt;=BR$9),IF(SUM(BR$10:BR55)-ROUNDDOWN($M56*BR$5/100,0)&lt;-BR$6,-BR$6-SUM(BR$10:BR55),-ROUNDDOWN($M56*BR$5/100,0)),0)</f>
        <v>0</v>
      </c>
      <c r="BS56" s="38">
        <f>IF(AND(BS$7="○",$A56&gt;=BS$8,$A56&lt;=BS$9),IF(SUM(BS$10:BS55)-ROUNDDOWN($M56*BS$5/100,0)&lt;-BS$6,-BS$6-SUM(BS$10:BS55),-ROUNDDOWN($M56*BS$5/100,0)),0)</f>
        <v>0</v>
      </c>
      <c r="BT56" s="38">
        <f>IF(AND(BT$7="○",$A56&gt;=BT$8,$A56&lt;=BT$9),IF(SUM(BT$10:BT55)-ROUNDDOWN($M56*BT$5/100,0)&lt;-BT$6,-BT$6-SUM(BT$10:BT55),-ROUNDDOWN($M56*BT$5/100,0)),0)</f>
        <v>0</v>
      </c>
      <c r="BU56" s="38">
        <f>IF(AND(BU$7="○",$A56&gt;=BU$8,$A56&lt;=BU$9),IF(SUM(BU$10:BU55)-ROUNDDOWN($M56*BU$5/100,0)&lt;-BU$6,-BU$6-SUM(BU$10:BU55),-ROUNDDOWN($M56*BU$5/100,0)),0)</f>
        <v>0</v>
      </c>
      <c r="BV56" s="38">
        <f>IF(AND(BV$7="○",$A56&gt;=BV$8,$A56&lt;=BV$9),IF(SUM(BV$10:BV55)-ROUNDDOWN($M56*BV$5/100,0)&lt;-BV$6,-BV$6-SUM(BV$10:BV55),-ROUNDDOWN($M56*BV$5/100,0)),0)</f>
        <v>0</v>
      </c>
      <c r="BW56" s="38">
        <f>IF(AND(BW$7="○",$A56&gt;=BW$8,$A56&lt;=BW$9),IF(SUM(BW$10:BW55)-ROUNDDOWN($M56*BW$5/100,0)&lt;-BW$6,-BW$6-SUM(BW$10:BW55),-ROUNDDOWN($M56*BW$5/100,0)),0)</f>
        <v>0</v>
      </c>
      <c r="BX56" s="38">
        <f>IF(AND(T56="○",$A56&gt;=BX$8,$A56&lt;=BX$9),IF(SUM(BX$10:BX55)-ROUNDDOWN($K56*BX$5/100,0)&lt;-BX$6,-BX$6-SUM(BX$10:BX55),-ROUNDDOWN($K56*BX$5/100,0)),0)</f>
        <v>0</v>
      </c>
      <c r="BY56" s="38">
        <f>IF(AND(U56="○",$A56&gt;=BY$8,$A56&lt;=BY$9),IF(SUM(BY$10:BY55)-ROUNDDOWN($K56*BY$5/100,0)&lt;-BY$6,-BY$6-SUM(BY$10:BY55),-ROUNDDOWN($K56*BY$5/100,0)),0)</f>
        <v>0</v>
      </c>
      <c r="BZ56" s="38">
        <f>IF(AND(V56="○",$A56&gt;=BZ$8,$A56&lt;=BZ$9),IF(SUM(BZ$10:BZ55)-ROUNDDOWN($K56*BZ$5/100,0)&lt;-BZ$6,-BZ$6-SUM(BZ$10:BZ55),-ROUNDDOWN($K56*BZ$5/100,0)),0)</f>
        <v>0</v>
      </c>
      <c r="CA56" s="38">
        <f>IF(AND(W56="○",$A56&gt;=CA$8,$A56&lt;=CA$9),IF(SUM(CA$10:CA55)-ROUNDDOWN($K56*CA$5/100,0)&lt;-CA$6,-CA$6-SUM(CA$10:CA55),-ROUNDDOWN($K56*CA$5/100,0)),0)</f>
        <v>0</v>
      </c>
      <c r="CB56" s="38"/>
      <c r="CC56" s="38"/>
      <c r="CD56" s="38"/>
      <c r="CE56" s="38"/>
      <c r="CF56" s="38"/>
      <c r="CG56" s="65">
        <f t="shared" si="47"/>
        <v>0</v>
      </c>
      <c r="CH56" s="71">
        <f t="shared" si="48"/>
        <v>0</v>
      </c>
      <c r="CI56" s="1">
        <f t="shared" si="65"/>
        <v>0</v>
      </c>
      <c r="CJ56" s="1"/>
      <c r="CK56" s="72"/>
      <c r="CL56" s="72"/>
      <c r="CM56" s="2"/>
      <c r="CN56" s="2"/>
      <c r="CO56" s="73">
        <f t="shared" si="66"/>
        <v>0</v>
      </c>
      <c r="CP56" s="5">
        <f t="shared" si="67"/>
        <v>0</v>
      </c>
      <c r="CQ56" s="1"/>
      <c r="CR56" s="1">
        <f t="shared" si="68"/>
        <v>0</v>
      </c>
      <c r="CS56" s="1"/>
      <c r="CT56" s="1" t="e">
        <f>INDEX([2]マスタ!$A:$A,MATCH(D56,[2]マスタ!$C:$C,0))</f>
        <v>#N/A</v>
      </c>
      <c r="CU56" s="1" t="str">
        <f t="shared" ca="1" si="69"/>
        <v>20260620_0-0</v>
      </c>
    </row>
    <row r="57" spans="1:99" x14ac:dyDescent="0.4">
      <c r="A57" s="61"/>
      <c r="B57" s="62"/>
      <c r="C57" s="62"/>
      <c r="D57" s="62"/>
      <c r="E57" s="74"/>
      <c r="F57" s="62"/>
      <c r="G57" s="62">
        <v>1</v>
      </c>
      <c r="H57" s="64">
        <f t="shared" si="56"/>
        <v>0</v>
      </c>
      <c r="I57" s="64"/>
      <c r="J57" s="64"/>
      <c r="K57" s="65">
        <f t="shared" si="57"/>
        <v>0</v>
      </c>
      <c r="L57" s="65">
        <f t="shared" si="58"/>
        <v>0</v>
      </c>
      <c r="M57" s="65">
        <f t="shared" si="59"/>
        <v>0</v>
      </c>
      <c r="N57" s="65">
        <f t="shared" si="60"/>
        <v>0</v>
      </c>
      <c r="O57" s="66" t="str">
        <f t="shared" si="61"/>
        <v>✕</v>
      </c>
      <c r="P57" s="67" t="str">
        <f t="shared" si="62"/>
        <v>○</v>
      </c>
      <c r="Q57" s="67" t="str">
        <f t="shared" si="63"/>
        <v>✕</v>
      </c>
      <c r="R57" s="67" t="str">
        <f t="shared" si="64"/>
        <v>✕</v>
      </c>
      <c r="S57" s="68">
        <v>0</v>
      </c>
      <c r="T57" s="69" t="s">
        <v>85</v>
      </c>
      <c r="U57" s="69" t="s">
        <v>85</v>
      </c>
      <c r="V57" s="69" t="s">
        <v>85</v>
      </c>
      <c r="W57" s="69" t="s">
        <v>85</v>
      </c>
      <c r="X57" s="69" t="s">
        <v>84</v>
      </c>
      <c r="Y57" s="69" t="s">
        <v>85</v>
      </c>
      <c r="Z57" s="69" t="s">
        <v>85</v>
      </c>
      <c r="AA57" s="69" t="s">
        <v>85</v>
      </c>
      <c r="AB57" s="69" t="s">
        <v>85</v>
      </c>
      <c r="AC57" s="69" t="s">
        <v>85</v>
      </c>
      <c r="AD57" s="38" t="str">
        <f>+IF(ISERROR(VLOOKUP($B57,AD$10:AD56,1,0)),IF(AND($N57&gt;=1000,$A57&gt;=AO$8,$A57&lt;=AO$9),$B57,""),"")</f>
        <v/>
      </c>
      <c r="AE57" s="38" t="str">
        <f>+IF(ISERROR(VLOOKUP($B57,AE$10:AE56,1,0)),IF(AND($N57&gt;=1000,$A57&gt;=AP$8,$A57&lt;=AP$9),$B57,""),"")</f>
        <v/>
      </c>
      <c r="AF57" s="38" t="str">
        <f>+IF(ISERROR(VLOOKUP($B57,AF$10:AF56,1,0)),IF(AND($N57&gt;=1000,$A57&gt;=AQ$8,$A57&lt;=AQ$9),$B57,""),"")</f>
        <v/>
      </c>
      <c r="AG57" s="38" t="str">
        <f>+IF(ISERROR(VLOOKUP($B57,AG$10:AG56,1,0)),IF(AND($N57&gt;=1000,$A57&gt;=AR$8,$A57&lt;=AR$9),$B57,""),"")</f>
        <v/>
      </c>
      <c r="AH57" s="38"/>
      <c r="AI57" s="70">
        <v>0</v>
      </c>
      <c r="AJ57" s="38">
        <f>IF(AND(AJ$7="○",$A57&gt;=AJ$8,$A57&lt;=AJ$9),IF(SUM(AJ$10:AJ56)-ROUNDDOWN($K57*AJ$5/100,0)&lt;-AJ$6,-AJ$6-SUM(AJ$10:AJ56),-ROUNDDOWN($K57*AJ$5/100,0)),0)</f>
        <v>0</v>
      </c>
      <c r="AK57" s="38">
        <f>IF(AND(AK$7="○",$A57&gt;=AK$8,$A57&lt;=AK$9),IF(SUM(AK$10:AK56)-ROUNDDOWN($L57*AK$5/100,0)&lt;-AK$6,-AK$6-SUM(AK$10:AK56),-ROUNDDOWN($L57*AK$5/100,0)),0)</f>
        <v>0</v>
      </c>
      <c r="AL57" s="38">
        <f>IF(AND(AL$7="○",$A57&gt;=AL$8,$A57&lt;=AL$9),IF(SUM(AL$10:AL56)-ROUNDDOWN($N57*AL$5/100,0)&lt;-AL$6,-AL$6-SUM(AL$10:AL56),-ROUNDDOWN($N57*AL$5/100,0)),0)</f>
        <v>0</v>
      </c>
      <c r="AM57" s="38">
        <f>IF(AND(AM$7="○",$A57&gt;=AM$8,$A57&lt;=AM$9),IF(SUM(AM$10:AM56)-ROUNDDOWN($L57*AM$5/100,0)&lt;-AM$6,-AM$6-SUM(AM$10:AM56),-ROUNDDOWN($L57*AM$5/100,0)),0)</f>
        <v>0</v>
      </c>
      <c r="AN57" s="38">
        <f>IF(AND(AN$7="○",$A57&gt;=AN$8,$A57&lt;=AN$9),IF(SUM(AN$10:AN56)-ROUNDDOWN($M57*AN$5/100,0)&lt;-AN$6,-AN$6-SUM(AN$10:AN56),-ROUNDDOWN($M57*AN$5/100,0)),0)</f>
        <v>0</v>
      </c>
      <c r="AO57" s="38">
        <f>IF(AND($A57&gt;=AO$8,$A57&lt;=AO$9),IF(SUM(AO$10:AO56)-ROUNDDOWN($K57*AO$5/100,0)&lt;-AO$6,-AO$6-SUM(AO$10:AO56),-ROUNDDOWN($K57*AO$5/100,0)),0)</f>
        <v>0</v>
      </c>
      <c r="AP57" s="38">
        <f>IF(AND($A57&gt;=AP$8,$A57&lt;=AP$9),IF(SUM(AP$10:AP56)-ROUNDDOWN($K57*AP$5/100,0)&lt;-AP$6,-AP$6-SUM(AP$10:AP56),-ROUNDDOWN($K57*AP$5/100,0)),0)</f>
        <v>0</v>
      </c>
      <c r="AQ57" s="38">
        <f>IF(AND($A57&gt;=AQ$8,$A57&lt;=AQ$9),IF(SUM(AQ$10:AQ56)-ROUNDDOWN($K57*AQ$5/100,0)&lt;-AQ$6,-AQ$6-SUM(AQ$10:AQ56),-ROUNDDOWN($K57*AQ$5/100,0)),0)</f>
        <v>0</v>
      </c>
      <c r="AR57" s="38">
        <f>IF(AND($A57&gt;=AR$8,$A57&lt;=AR$9),IF(SUM(AR$10:AR56)-ROUNDDOWN($K57*AR$5/100,0)&lt;-AR$6,-AR$6-SUM(AR$10:AR56),-ROUNDDOWN($K57*AR$5/100,0)),0)</f>
        <v>0</v>
      </c>
      <c r="AS57" s="38">
        <f>IF(SUMIFS(AS$10:AS56,$A$10:$A56,$A57)-ROUNDDOWN($K57*$S57/100,0)&lt;-$S57*1000,-$S57*1000-SUMIFS(AS$10:AS56,$A$10:$A56,$A57),-ROUNDDOWN($K57*$S57/100,0))</f>
        <v>0</v>
      </c>
      <c r="AT57" s="38">
        <f>IF(AND(X57="○",$A57&gt;=AT$8,$A57&lt;=AT$9,K57&gt;=3980),IF(SUM(AT$10:AT56)-ROUNDDOWN($K57*AT$5/100,0)&lt;-AT$6,-AT$6-SUM(AT$10:AT56),-ROUNDDOWN($K57*AT$5/100,0)),0)</f>
        <v>0</v>
      </c>
      <c r="AU57" s="38">
        <f>IF(O57="○",IF(SUM(AU$10:AU56)-ROUNDDOWN($K57*AU$5/100,0)&lt;-AU$6,-AU$6-SUM(AU$10:AU56),-ROUNDDOWN($K57*AU$5/100,0)),0)</f>
        <v>0</v>
      </c>
      <c r="AV57" s="38">
        <f>IF(P57="○",IF(SUM(AV$10:AV56)-ROUNDDOWN($K57*AV$5/100,0)&lt;-AV$6,-AV$6-SUM(AV$10:AV56),-ROUNDDOWN($K57*AV$5/100,0)),0)</f>
        <v>0</v>
      </c>
      <c r="AW57" s="38">
        <f>IF(Q57="○",IF(SUM(AW$10:AW56)-ROUNDDOWN($K57*AW$5/100,0)&lt;-AW$6,-AW$6-SUM(AW$10:AW56),-ROUNDDOWN($K57*AW$5/100,0)),0)</f>
        <v>0</v>
      </c>
      <c r="AX57" s="38">
        <f>IF(R57="○",IF(SUM(AX$10:AX56)-ROUNDDOWN($K57*AX$5/100,0)&lt;-AX$6,-AX$6-SUM(AX$10:AX56),-ROUNDDOWN($K57*AX$5/100,0)),0)</f>
        <v>0</v>
      </c>
      <c r="AY57" s="70">
        <v>0</v>
      </c>
      <c r="AZ57" s="65">
        <f t="shared" si="41"/>
        <v>0</v>
      </c>
      <c r="BA57" s="65">
        <f t="shared" si="42"/>
        <v>0</v>
      </c>
      <c r="BB57" s="70"/>
      <c r="BC57" s="65">
        <f t="shared" si="43"/>
        <v>0</v>
      </c>
      <c r="BD57" s="70">
        <v>0</v>
      </c>
      <c r="BE57" s="65">
        <f t="shared" si="44"/>
        <v>0</v>
      </c>
      <c r="BF57" s="70">
        <v>0</v>
      </c>
      <c r="BG57" s="65">
        <f t="shared" si="45"/>
        <v>0</v>
      </c>
      <c r="BH57" s="70">
        <v>0</v>
      </c>
      <c r="BI57" s="65">
        <f t="shared" si="46"/>
        <v>0</v>
      </c>
      <c r="BJ57" s="38">
        <f>IF(AND(BJ$7="○",$A57&gt;=BJ$8,$A57&lt;=BJ$9),IF(SUM(BJ$10:BJ56)-ROUNDDOWN($M57*BJ$5/100,0)&lt;-BJ$6,-BJ$6-SUM(BJ$10:BJ56),-ROUNDDOWN($M57*BJ$5/100,0)),0)</f>
        <v>0</v>
      </c>
      <c r="BK57" s="38">
        <f>IF(AND(BK$7="○",$A57&gt;=BK$8,$A57&lt;=BK$9),IF(SUM(BK$10:BK56)-ROUNDDOWN($L57*BK$5/100,0)&lt;-BK$6,-BK$6-SUM(BK$10:BK56),-ROUNDDOWN($L57*BK$5/100,0)),0)</f>
        <v>0</v>
      </c>
      <c r="BL57" s="38">
        <f>IF(AND(BL$7="○",$A57&gt;=BL$8,$A57&lt;=BL$9),IF(SUM(BL$10:BL56)-ROUNDDOWN($L57*BL$5/100,0)&lt;-BL$6,-BL$6-SUM(BL$10:BL56),-ROUNDDOWN($L57*BL$5/100,0)),0)</f>
        <v>0</v>
      </c>
      <c r="BM57" s="38">
        <f>IF(AND(BM$7="○",$A57&gt;=BM$8,$A57&lt;=BM$9),IF(SUM(BM$10:BM56)-ROUNDDOWN($M57*BM$5/100,0)&lt;-BM$6,-BM$6-SUM(BM$10:BM56),-ROUNDDOWN($M57*BM$5/100,0)),0)</f>
        <v>0</v>
      </c>
      <c r="BN57" s="38">
        <f>IF(AND(BN$7="○",$A57&gt;=BN$8,$A57&lt;=BN$9),IF(SUM(BN$10:BN56)-ROUNDDOWN($M57*BN$5/100,0)&lt;-BN$6,-BN$6-SUM(BN$10:BN56),-ROUNDDOWN($M57*BN$5/100,0)),0)</f>
        <v>0</v>
      </c>
      <c r="BO57" s="38">
        <f>IF(AND(BO$7="○",$A57&gt;=BO$8,$A57&lt;=BO$9),IF(SUM(BO$10:BO56)-ROUNDDOWN($M57*BO$5/100,0)&lt;-BO$6,-BO$6-SUM(BO$10:BO56),-ROUNDDOWN($M57*BO$5/100,0)),0)</f>
        <v>0</v>
      </c>
      <c r="BP57" s="38">
        <f>IF(AND(BP$7="○",$A57&gt;=BP$8,$A57&lt;=BP$9),IF(SUM(BP$10:BP56)-ROUNDDOWN($M57*BP$5/100,0)&lt;-BP$6,-BP$6-SUM(BP$10:BP56),-ROUNDDOWN($M57*BP$5/100,0)),0)</f>
        <v>0</v>
      </c>
      <c r="BQ57" s="38">
        <f>IF(AND(BQ$7="○",$A57&gt;=BQ$8,$A57&lt;=BQ$9),IF(SUM(BQ$10:BQ56)-ROUNDDOWN($L57*BQ$5/100,0)&lt;-BQ$6,-BQ$6-SUM(BQ$10:BQ56),-ROUNDDOWN($L57*BQ$5/100,0)),0)</f>
        <v>0</v>
      </c>
      <c r="BR57" s="38">
        <f>IF(AND(BR$7="○",$A57&gt;=BR$8,$A57&lt;=BR$9),IF(SUM(BR$10:BR56)-ROUNDDOWN($M57*BR$5/100,0)&lt;-BR$6,-BR$6-SUM(BR$10:BR56),-ROUNDDOWN($M57*BR$5/100,0)),0)</f>
        <v>0</v>
      </c>
      <c r="BS57" s="38">
        <f>IF(AND(BS$7="○",$A57&gt;=BS$8,$A57&lt;=BS$9),IF(SUM(BS$10:BS56)-ROUNDDOWN($M57*BS$5/100,0)&lt;-BS$6,-BS$6-SUM(BS$10:BS56),-ROUNDDOWN($M57*BS$5/100,0)),0)</f>
        <v>0</v>
      </c>
      <c r="BT57" s="38">
        <f>IF(AND(BT$7="○",$A57&gt;=BT$8,$A57&lt;=BT$9),IF(SUM(BT$10:BT56)-ROUNDDOWN($M57*BT$5/100,0)&lt;-BT$6,-BT$6-SUM(BT$10:BT56),-ROUNDDOWN($M57*BT$5/100,0)),0)</f>
        <v>0</v>
      </c>
      <c r="BU57" s="38">
        <f>IF(AND(BU$7="○",$A57&gt;=BU$8,$A57&lt;=BU$9),IF(SUM(BU$10:BU56)-ROUNDDOWN($M57*BU$5/100,0)&lt;-BU$6,-BU$6-SUM(BU$10:BU56),-ROUNDDOWN($M57*BU$5/100,0)),0)</f>
        <v>0</v>
      </c>
      <c r="BV57" s="38">
        <f>IF(AND(BV$7="○",$A57&gt;=BV$8,$A57&lt;=BV$9),IF(SUM(BV$10:BV56)-ROUNDDOWN($M57*BV$5/100,0)&lt;-BV$6,-BV$6-SUM(BV$10:BV56),-ROUNDDOWN($M57*BV$5/100,0)),0)</f>
        <v>0</v>
      </c>
      <c r="BW57" s="38">
        <f>IF(AND(BW$7="○",$A57&gt;=BW$8,$A57&lt;=BW$9),IF(SUM(BW$10:BW56)-ROUNDDOWN($M57*BW$5/100,0)&lt;-BW$6,-BW$6-SUM(BW$10:BW56),-ROUNDDOWN($M57*BW$5/100,0)),0)</f>
        <v>0</v>
      </c>
      <c r="BX57" s="38">
        <f>IF(AND(T57="○",$A57&gt;=BX$8,$A57&lt;=BX$9),IF(SUM(BX$10:BX56)-ROUNDDOWN($K57*BX$5/100,0)&lt;-BX$6,-BX$6-SUM(BX$10:BX56),-ROUNDDOWN($K57*BX$5/100,0)),0)</f>
        <v>0</v>
      </c>
      <c r="BY57" s="38">
        <f>IF(AND(U57="○",$A57&gt;=BY$8,$A57&lt;=BY$9),IF(SUM(BY$10:BY56)-ROUNDDOWN($K57*BY$5/100,0)&lt;-BY$6,-BY$6-SUM(BY$10:BY56),-ROUNDDOWN($K57*BY$5/100,0)),0)</f>
        <v>0</v>
      </c>
      <c r="BZ57" s="38">
        <f>IF(AND(V57="○",$A57&gt;=BZ$8,$A57&lt;=BZ$9),IF(SUM(BZ$10:BZ56)-ROUNDDOWN($K57*BZ$5/100,0)&lt;-BZ$6,-BZ$6-SUM(BZ$10:BZ56),-ROUNDDOWN($K57*BZ$5/100,0)),0)</f>
        <v>0</v>
      </c>
      <c r="CA57" s="38">
        <f>IF(AND(W57="○",$A57&gt;=CA$8,$A57&lt;=CA$9),IF(SUM(CA$10:CA56)-ROUNDDOWN($K57*CA$5/100,0)&lt;-CA$6,-CA$6-SUM(CA$10:CA56),-ROUNDDOWN($K57*CA$5/100,0)),0)</f>
        <v>0</v>
      </c>
      <c r="CB57" s="38"/>
      <c r="CC57" s="38"/>
      <c r="CD57" s="38"/>
      <c r="CE57" s="38"/>
      <c r="CF57" s="38"/>
      <c r="CG57" s="65">
        <f t="shared" si="47"/>
        <v>0</v>
      </c>
      <c r="CH57" s="71">
        <f t="shared" si="48"/>
        <v>0</v>
      </c>
      <c r="CI57" s="1">
        <f t="shared" si="65"/>
        <v>0</v>
      </c>
      <c r="CJ57" s="1"/>
      <c r="CK57" s="72"/>
      <c r="CL57" s="72"/>
      <c r="CM57" s="2"/>
      <c r="CN57" s="2"/>
      <c r="CO57" s="73">
        <f t="shared" si="66"/>
        <v>0</v>
      </c>
      <c r="CP57" s="5">
        <f t="shared" si="67"/>
        <v>0</v>
      </c>
      <c r="CQ57" s="1"/>
      <c r="CR57" s="1">
        <f t="shared" si="68"/>
        <v>0</v>
      </c>
      <c r="CS57" s="1"/>
      <c r="CT57" s="1" t="e">
        <f>INDEX([2]マスタ!$A:$A,MATCH(D57,[2]マスタ!$C:$C,0))</f>
        <v>#N/A</v>
      </c>
      <c r="CU57" s="1" t="str">
        <f t="shared" ca="1" si="69"/>
        <v>20260620_0-0</v>
      </c>
    </row>
    <row r="58" spans="1:99" x14ac:dyDescent="0.4">
      <c r="A58" s="61"/>
      <c r="B58" s="62"/>
      <c r="C58" s="62"/>
      <c r="D58" s="62"/>
      <c r="E58" s="74"/>
      <c r="F58" s="62"/>
      <c r="G58" s="62">
        <v>1</v>
      </c>
      <c r="H58" s="64">
        <f t="shared" si="56"/>
        <v>0</v>
      </c>
      <c r="I58" s="64"/>
      <c r="J58" s="64"/>
      <c r="K58" s="65">
        <f t="shared" ref="K58:K61" si="70">+ROUNDDOWN((H58+I58+J58)/100,0)*100</f>
        <v>0</v>
      </c>
      <c r="L58" s="65">
        <f t="shared" si="58"/>
        <v>0</v>
      </c>
      <c r="M58" s="65">
        <f t="shared" si="59"/>
        <v>0</v>
      </c>
      <c r="N58" s="65">
        <f t="shared" si="60"/>
        <v>0</v>
      </c>
      <c r="O58" s="66" t="str">
        <f t="shared" si="61"/>
        <v>✕</v>
      </c>
      <c r="P58" s="67" t="str">
        <f t="shared" si="62"/>
        <v>○</v>
      </c>
      <c r="Q58" s="67" t="str">
        <f t="shared" ref="Q58:Q61" si="71">+IF((TEXT(A58,"DD")+0)=1,"○","✕")</f>
        <v>✕</v>
      </c>
      <c r="R58" s="67" t="str">
        <f t="shared" si="64"/>
        <v>✕</v>
      </c>
      <c r="S58" s="68">
        <v>0</v>
      </c>
      <c r="T58" s="69" t="s">
        <v>85</v>
      </c>
      <c r="U58" s="69" t="s">
        <v>85</v>
      </c>
      <c r="V58" s="69" t="s">
        <v>85</v>
      </c>
      <c r="W58" s="69" t="s">
        <v>85</v>
      </c>
      <c r="X58" s="69" t="s">
        <v>84</v>
      </c>
      <c r="Y58" s="69" t="s">
        <v>85</v>
      </c>
      <c r="Z58" s="69" t="s">
        <v>85</v>
      </c>
      <c r="AA58" s="69" t="s">
        <v>85</v>
      </c>
      <c r="AB58" s="69" t="s">
        <v>85</v>
      </c>
      <c r="AC58" s="69" t="s">
        <v>85</v>
      </c>
      <c r="AD58" s="38" t="str">
        <f>+IF(ISERROR(VLOOKUP($B58,AD$10:AD50,1,0)),IF(AND($N58&gt;=1000,$A58&gt;=AO$8,$A58&lt;=AO$9),$B58,""),"")</f>
        <v/>
      </c>
      <c r="AE58" s="38" t="str">
        <f>+IF(ISERROR(VLOOKUP($B58,AE$10:AE50,1,0)),IF(AND($N58&gt;=1000,$A58&gt;=AP$8,$A58&lt;=AP$9),$B58,""),"")</f>
        <v/>
      </c>
      <c r="AF58" s="38" t="str">
        <f>+IF(ISERROR(VLOOKUP($B58,AF$10:AF50,1,0)),IF(AND($N58&gt;=1000,$A58&gt;=AQ$8,$A58&lt;=AQ$9),$B58,""),"")</f>
        <v/>
      </c>
      <c r="AG58" s="38" t="str">
        <f>+IF(ISERROR(VLOOKUP($B58,AG$10:AG50,1,0)),IF(AND($N58&gt;=1000,$A58&gt;=AR$8,$A58&lt;=AR$9),$B58,""),"")</f>
        <v/>
      </c>
      <c r="AH58" s="38"/>
      <c r="AI58" s="70">
        <v>0</v>
      </c>
      <c r="AJ58" s="38">
        <f>IF(AND(AJ$7="○",$A58&gt;=AJ$8,$A58&lt;=AJ$9),IF(SUM(AJ$10:AJ57)-ROUNDDOWN($K58*AJ$5/100,0)&lt;-AJ$6,-AJ$6-SUM(AJ$10:AJ57),-ROUNDDOWN($K58*AJ$5/100,0)),0)</f>
        <v>0</v>
      </c>
      <c r="AK58" s="38">
        <f>IF(AND(AK$7="○",$A58&gt;=AK$8,$A58&lt;=AK$9),IF(SUM(AK$10:AK57)-ROUNDDOWN($L58*AK$5/100,0)&lt;-AK$6,-AK$6-SUM(AK$10:AK57),-ROUNDDOWN($L58*AK$5/100,0)),0)</f>
        <v>0</v>
      </c>
      <c r="AL58" s="38">
        <f>IF(AND(AL$7="○",$A58&gt;=AL$8,$A58&lt;=AL$9),IF(SUM(AL$10:AL57)-ROUNDDOWN($N58*AL$5/100,0)&lt;-AL$6,-AL$6-SUM(AL$10:AL57),-ROUNDDOWN($N58*AL$5/100,0)),0)</f>
        <v>0</v>
      </c>
      <c r="AM58" s="38">
        <f>IF(AND(AM$7="○",$A58&gt;=AM$8,$A58&lt;=AM$9),IF(SUM(AM$10:AM57)-ROUNDDOWN($L58*AM$5/100,0)&lt;-AM$6,-AM$6-SUM(AM$10:AM57),-ROUNDDOWN($L58*AM$5/100,0)),0)</f>
        <v>0</v>
      </c>
      <c r="AN58" s="38">
        <f>IF(AND(AN$7="○",$A58&gt;=AN$8,$A58&lt;=AN$9),IF(SUM(AN$10:AN57)-ROUNDDOWN($M58*AN$5/100,0)&lt;-AN$6,-AN$6-SUM(AN$10:AN57),-ROUNDDOWN($M58*AN$5/100,0)),0)</f>
        <v>0</v>
      </c>
      <c r="AO58" s="38">
        <f>IF(AND($A58&gt;=AO$8,$A58&lt;=AO$9),IF(SUM(AO$10:AO57)-ROUNDDOWN($K58*AO$5/100,0)&lt;-AO$6,-AO$6-SUM(AO$10:AO57),-ROUNDDOWN($K58*AO$5/100,0)),0)</f>
        <v>0</v>
      </c>
      <c r="AP58" s="38">
        <f>IF(AND($A58&gt;=AP$8,$A58&lt;=AP$9),IF(SUM(AP$10:AP57)-ROUNDDOWN($K58*AP$5/100,0)&lt;-AP$6,-AP$6-SUM(AP$10:AP57),-ROUNDDOWN($K58*AP$5/100,0)),0)</f>
        <v>0</v>
      </c>
      <c r="AQ58" s="38">
        <f>IF(AND($A58&gt;=AQ$8,$A58&lt;=AQ$9),IF(SUM(AQ$10:AQ57)-ROUNDDOWN($K58*AQ$5/100,0)&lt;-AQ$6,-AQ$6-SUM(AQ$10:AQ57),-ROUNDDOWN($K58*AQ$5/100,0)),0)</f>
        <v>0</v>
      </c>
      <c r="AR58" s="38">
        <f>IF(AND($A58&gt;=AR$8,$A58&lt;=AR$9),IF(SUM(AR$10:AR57)-ROUNDDOWN($K58*AR$5/100,0)&lt;-AR$6,-AR$6-SUM(AR$10:AR57),-ROUNDDOWN($K58*AR$5/100,0)),0)</f>
        <v>0</v>
      </c>
      <c r="AS58" s="38">
        <f>IF(SUMIFS(AS$10:AS57,$A$10:$A57,$A58)-ROUNDDOWN($K58*$S58/100,0)&lt;-$S58*1000,-$S58*1000-SUMIFS(AS$10:AS57,$A$10:$A57,$A58),-ROUNDDOWN($K58*$S58/100,0))</f>
        <v>0</v>
      </c>
      <c r="AT58" s="38">
        <f>IF(AND(X58="○",$A58&gt;=AT$8,$A58&lt;=AT$9,K58&gt;=3980),IF(SUM(AT$10:AT57)-ROUNDDOWN($K58*AT$5/100,0)&lt;-AT$6,-AT$6-SUM(AT$10:AT57),-ROUNDDOWN($K58*AT$5/100,0)),0)</f>
        <v>0</v>
      </c>
      <c r="AU58" s="38">
        <f>IF(O58="○",IF(SUM(AU$10:AU57)-ROUNDDOWN($K58*AU$5/100,0)&lt;-AU$6,-AU$6-SUM(AU$10:AU57),-ROUNDDOWN($K58*AU$5/100,0)),0)</f>
        <v>0</v>
      </c>
      <c r="AV58" s="38">
        <f>IF(P58="○",IF(SUM(AV$10:AV57)-ROUNDDOWN($K58*AV$5/100,0)&lt;-AV$6,-AV$6-SUM(AV$10:AV57),-ROUNDDOWN($K58*AV$5/100,0)),0)</f>
        <v>0</v>
      </c>
      <c r="AW58" s="38">
        <f>IF(Q58="○",IF(SUM(AW$10:AW57)-ROUNDDOWN($K58*AW$5/100,0)&lt;-AW$6,-AW$6-SUM(AW$10:AW57),-ROUNDDOWN($K58*AW$5/100,0)),0)</f>
        <v>0</v>
      </c>
      <c r="AX58" s="38">
        <f>IF(R58="○",IF(SUM(AX$10:AX57)-ROUNDDOWN($K58*AX$5/100,0)&lt;-AX$6,-AX$6-SUM(AX$10:AX57),-ROUNDDOWN($K58*AX$5/100,0)),0)</f>
        <v>0</v>
      </c>
      <c r="AY58" s="70">
        <v>0</v>
      </c>
      <c r="AZ58" s="65">
        <f t="shared" si="41"/>
        <v>0</v>
      </c>
      <c r="BA58" s="65">
        <f t="shared" si="42"/>
        <v>0</v>
      </c>
      <c r="BB58" s="70"/>
      <c r="BC58" s="65">
        <f t="shared" si="43"/>
        <v>0</v>
      </c>
      <c r="BD58" s="70">
        <v>0</v>
      </c>
      <c r="BE58" s="65">
        <f t="shared" si="44"/>
        <v>0</v>
      </c>
      <c r="BF58" s="70">
        <v>0</v>
      </c>
      <c r="BG58" s="65">
        <f t="shared" si="45"/>
        <v>0</v>
      </c>
      <c r="BH58" s="70">
        <v>0</v>
      </c>
      <c r="BI58" s="65">
        <f t="shared" si="46"/>
        <v>0</v>
      </c>
      <c r="BJ58" s="38">
        <f>IF(AND(BJ$7="○",$A58&gt;=BJ$8,$A58&lt;=BJ$9),IF(SUM(BJ$10:BJ57)-ROUNDDOWN($M58*BJ$5/100,0)&lt;-BJ$6,-BJ$6-SUM(BJ$10:BJ57),-ROUNDDOWN($M58*BJ$5/100,0)),0)</f>
        <v>0</v>
      </c>
      <c r="BK58" s="38">
        <f>IF(AND(BK$7="○",$A58&gt;=BK$8,$A58&lt;=BK$9),IF(SUM(BK$10:BK57)-ROUNDDOWN($L58*BK$5/100,0)&lt;-BK$6,-BK$6-SUM(BK$10:BK57),-ROUNDDOWN($L58*BK$5/100,0)),0)</f>
        <v>0</v>
      </c>
      <c r="BL58" s="38">
        <f>IF(AND(BL$7="○",$A58&gt;=BL$8,$A58&lt;=BL$9),IF(SUM(BL$10:BL57)-ROUNDDOWN($L58*BL$5/100,0)&lt;-BL$6,-BL$6-SUM(BL$10:BL57),-ROUNDDOWN($L58*BL$5/100,0)),0)</f>
        <v>0</v>
      </c>
      <c r="BM58" s="38">
        <f>IF(AND(BM$7="○",$A58&gt;=BM$8,$A58&lt;=BM$9),IF(SUM(BM$10:BM57)-ROUNDDOWN($M58*BM$5/100,0)&lt;-BM$6,-BM$6-SUM(BM$10:BM57),-ROUNDDOWN($M58*BM$5/100,0)),0)</f>
        <v>0</v>
      </c>
      <c r="BN58" s="38">
        <f>IF(AND(BN$7="○",$A58&gt;=BN$8,$A58&lt;=BN$9),IF(SUM(BN$10:BN57)-ROUNDDOWN($M58*BN$5/100,0)&lt;-BN$6,-BN$6-SUM(BN$10:BN57),-ROUNDDOWN($M58*BN$5/100,0)),0)</f>
        <v>0</v>
      </c>
      <c r="BO58" s="38">
        <f>IF(AND(BO$7="○",$A58&gt;=BO$8,$A58&lt;=BO$9),IF(SUM(BO$10:BO57)-ROUNDDOWN($M58*BO$5/100,0)&lt;-BO$6,-BO$6-SUM(BO$10:BO57),-ROUNDDOWN($M58*BO$5/100,0)),0)</f>
        <v>0</v>
      </c>
      <c r="BP58" s="38">
        <f>IF(AND(BP$7="○",$A58&gt;=BP$8,$A58&lt;=BP$9),IF(SUM(BP$10:BP57)-ROUNDDOWN($M58*BP$5/100,0)&lt;-BP$6,-BP$6-SUM(BP$10:BP57),-ROUNDDOWN($M58*BP$5/100,0)),0)</f>
        <v>0</v>
      </c>
      <c r="BQ58" s="38">
        <f>IF(AND(BQ$7="○",$A58&gt;=BQ$8,$A58&lt;=BQ$9),IF(SUM(BQ$10:BQ57)-ROUNDDOWN($L58*BQ$5/100,0)&lt;-BQ$6,-BQ$6-SUM(BQ$10:BQ57),-ROUNDDOWN($L58*BQ$5/100,0)),0)</f>
        <v>0</v>
      </c>
      <c r="BR58" s="38">
        <f>IF(AND(BR$7="○",$A58&gt;=BR$8,$A58&lt;=BR$9),IF(SUM(BR$10:BR57)-ROUNDDOWN($M58*BR$5/100,0)&lt;-BR$6,-BR$6-SUM(BR$10:BR57),-ROUNDDOWN($M58*BR$5/100,0)),0)</f>
        <v>0</v>
      </c>
      <c r="BS58" s="38">
        <f>IF(AND(BS$7="○",$A58&gt;=BS$8,$A58&lt;=BS$9),IF(SUM(BS$10:BS57)-ROUNDDOWN($M58*BS$5/100,0)&lt;-BS$6,-BS$6-SUM(BS$10:BS57),-ROUNDDOWN($M58*BS$5/100,0)),0)</f>
        <v>0</v>
      </c>
      <c r="BT58" s="38">
        <f>IF(AND(BT$7="○",$A58&gt;=BT$8,$A58&lt;=BT$9),IF(SUM(BT$10:BT57)-ROUNDDOWN($M58*BT$5/100,0)&lt;-BT$6,-BT$6-SUM(BT$10:BT57),-ROUNDDOWN($M58*BT$5/100,0)),0)</f>
        <v>0</v>
      </c>
      <c r="BU58" s="38">
        <f>IF(AND(BU$7="○",$A58&gt;=BU$8,$A58&lt;=BU$9),IF(SUM(BU$10:BU57)-ROUNDDOWN($M58*BU$5/100,0)&lt;-BU$6,-BU$6-SUM(BU$10:BU57),-ROUNDDOWN($M58*BU$5/100,0)),0)</f>
        <v>0</v>
      </c>
      <c r="BV58" s="38">
        <f>IF(AND(BV$7="○",$A58&gt;=BV$8,$A58&lt;=BV$9),IF(SUM(BV$10:BV57)-ROUNDDOWN($M58*BV$5/100,0)&lt;-BV$6,-BV$6-SUM(BV$10:BV57),-ROUNDDOWN($M58*BV$5/100,0)),0)</f>
        <v>0</v>
      </c>
      <c r="BW58" s="38">
        <f>IF(AND(BW$7="○",$A58&gt;=BW$8,$A58&lt;=BW$9),IF(SUM(BW$10:BW57)-ROUNDDOWN($M58*BW$5/100,0)&lt;-BW$6,-BW$6-SUM(BW$10:BW57),-ROUNDDOWN($M58*BW$5/100,0)),0)</f>
        <v>0</v>
      </c>
      <c r="BX58" s="38">
        <f>IF(AND(T58="○",$A58&gt;=BX$8,$A58&lt;=BX$9),IF(SUM(BX$10:BX57)-ROUNDDOWN($K58*BX$5/100,0)&lt;-BX$6,-BX$6-SUM(BX$10:BX57),-ROUNDDOWN($K58*BX$5/100,0)),0)</f>
        <v>0</v>
      </c>
      <c r="BY58" s="38">
        <f>IF(AND(U58="○",$A58&gt;=BY$8,$A58&lt;=BY$9),IF(SUM(BY$10:BY57)-ROUNDDOWN($K58*BY$5/100,0)&lt;-BY$6,-BY$6-SUM(BY$10:BY57),-ROUNDDOWN($K58*BY$5/100,0)),0)</f>
        <v>0</v>
      </c>
      <c r="BZ58" s="38">
        <f>IF(AND(V58="○",$A58&gt;=BZ$8,$A58&lt;=BZ$9),IF(SUM(BZ$10:BZ57)-ROUNDDOWN($K58*BZ$5/100,0)&lt;-BZ$6,-BZ$6-SUM(BZ$10:BZ57),-ROUNDDOWN($K58*BZ$5/100,0)),0)</f>
        <v>0</v>
      </c>
      <c r="CA58" s="38">
        <f>IF(AND(W58="○",$A58&gt;=CA$8,$A58&lt;=CA$9),IF(SUM(CA$10:CA57)-ROUNDDOWN($K58*CA$5/100,0)&lt;-CA$6,-CA$6-SUM(CA$10:CA57),-ROUNDDOWN($K58*CA$5/100,0)),0)</f>
        <v>0</v>
      </c>
      <c r="CB58" s="38"/>
      <c r="CC58" s="38"/>
      <c r="CD58" s="38"/>
      <c r="CE58" s="38"/>
      <c r="CF58" s="38"/>
      <c r="CG58" s="65">
        <f t="shared" si="47"/>
        <v>0</v>
      </c>
      <c r="CH58" s="71">
        <f t="shared" si="48"/>
        <v>0</v>
      </c>
      <c r="CI58" s="1">
        <f t="shared" si="65"/>
        <v>0</v>
      </c>
      <c r="CJ58" s="1"/>
      <c r="CK58" s="75"/>
      <c r="CL58" s="75"/>
      <c r="CM58" s="2"/>
      <c r="CN58" s="2"/>
      <c r="CO58" s="73">
        <f t="shared" si="66"/>
        <v>0</v>
      </c>
      <c r="CP58" s="5">
        <f t="shared" si="67"/>
        <v>0</v>
      </c>
      <c r="CQ58" s="1"/>
      <c r="CR58" s="1">
        <f t="shared" si="68"/>
        <v>0</v>
      </c>
      <c r="CS58" s="1"/>
      <c r="CT58" s="1" t="e">
        <f>INDEX([2]マスタ!$A:$A,MATCH(D58,[2]マスタ!$C:$C,0))</f>
        <v>#N/A</v>
      </c>
      <c r="CU58" s="1" t="str">
        <f t="shared" ca="1" si="69"/>
        <v>20260620_0-0</v>
      </c>
    </row>
    <row r="59" spans="1:99" x14ac:dyDescent="0.4">
      <c r="A59" s="61"/>
      <c r="B59" s="62"/>
      <c r="C59" s="62"/>
      <c r="D59" s="62"/>
      <c r="E59" s="74"/>
      <c r="F59" s="62"/>
      <c r="G59" s="62">
        <v>1</v>
      </c>
      <c r="H59" s="64">
        <f t="shared" si="56"/>
        <v>0</v>
      </c>
      <c r="I59" s="64"/>
      <c r="J59" s="64"/>
      <c r="K59" s="65">
        <f t="shared" si="70"/>
        <v>0</v>
      </c>
      <c r="L59" s="65">
        <f t="shared" si="58"/>
        <v>0</v>
      </c>
      <c r="M59" s="65">
        <f t="shared" si="59"/>
        <v>0</v>
      </c>
      <c r="N59" s="65">
        <f t="shared" si="60"/>
        <v>0</v>
      </c>
      <c r="O59" s="66" t="str">
        <f t="shared" si="61"/>
        <v>✕</v>
      </c>
      <c r="P59" s="67" t="str">
        <f t="shared" si="62"/>
        <v>○</v>
      </c>
      <c r="Q59" s="67" t="str">
        <f t="shared" si="71"/>
        <v>✕</v>
      </c>
      <c r="R59" s="67" t="str">
        <f t="shared" si="64"/>
        <v>✕</v>
      </c>
      <c r="S59" s="68">
        <v>0</v>
      </c>
      <c r="T59" s="69" t="s">
        <v>85</v>
      </c>
      <c r="U59" s="69" t="s">
        <v>85</v>
      </c>
      <c r="V59" s="69" t="s">
        <v>85</v>
      </c>
      <c r="W59" s="69" t="s">
        <v>85</v>
      </c>
      <c r="X59" s="69" t="s">
        <v>84</v>
      </c>
      <c r="Y59" s="69" t="s">
        <v>85</v>
      </c>
      <c r="Z59" s="69" t="s">
        <v>85</v>
      </c>
      <c r="AA59" s="69" t="s">
        <v>85</v>
      </c>
      <c r="AB59" s="69" t="s">
        <v>85</v>
      </c>
      <c r="AC59" s="69" t="s">
        <v>85</v>
      </c>
      <c r="AD59" s="38" t="str">
        <f>+IF(ISERROR(VLOOKUP($B59,AD$10:AD58,1,0)),IF(AND($N59&gt;=1000,$A59&gt;=AO$8,$A59&lt;=AO$9),$B59,""),"")</f>
        <v/>
      </c>
      <c r="AE59" s="38" t="str">
        <f>+IF(ISERROR(VLOOKUP($B59,AE$10:AE58,1,0)),IF(AND($N59&gt;=1000,$A59&gt;=AP$8,$A59&lt;=AP$9),$B59,""),"")</f>
        <v/>
      </c>
      <c r="AF59" s="38" t="str">
        <f>+IF(ISERROR(VLOOKUP($B59,AF$10:AF58,1,0)),IF(AND($N59&gt;=1000,$A59&gt;=AQ$8,$A59&lt;=AQ$9),$B59,""),"")</f>
        <v/>
      </c>
      <c r="AG59" s="38" t="str">
        <f>+IF(ISERROR(VLOOKUP($B59,AG$10:AG58,1,0)),IF(AND($N59&gt;=1000,$A59&gt;=AR$8,$A59&lt;=AR$9),$B59,""),"")</f>
        <v/>
      </c>
      <c r="AH59" s="38"/>
      <c r="AI59" s="70">
        <v>0</v>
      </c>
      <c r="AJ59" s="38">
        <f>IF(AND(AJ$7="○",$A59&gt;=AJ$8,$A59&lt;=AJ$9),IF(SUM(AJ$10:AJ58)-ROUNDDOWN($K59*AJ$5/100,0)&lt;-AJ$6,-AJ$6-SUM(AJ$10:AJ58),-ROUNDDOWN($K59*AJ$5/100,0)),0)</f>
        <v>0</v>
      </c>
      <c r="AK59" s="38">
        <f>IF(AND(AK$7="○",$A59&gt;=AK$8,$A59&lt;=AK$9),IF(SUM(AK$10:AK58)-ROUNDDOWN($L59*AK$5/100,0)&lt;-AK$6,-AK$6-SUM(AK$10:AK58),-ROUNDDOWN($L59*AK$5/100,0)),0)</f>
        <v>0</v>
      </c>
      <c r="AL59" s="38">
        <f>IF(AND(AL$7="○",$A59&gt;=AL$8,$A59&lt;=AL$9),IF(SUM(AL$10:AL58)-ROUNDDOWN($N59*AL$5/100,0)&lt;-AL$6,-AL$6-SUM(AL$10:AL58),-ROUNDDOWN($N59*AL$5/100,0)),0)</f>
        <v>0</v>
      </c>
      <c r="AM59" s="38">
        <f>IF(AND(AM$7="○",$A59&gt;=AM$8,$A59&lt;=AM$9),IF(SUM(AM$10:AM58)-ROUNDDOWN($L59*AM$5/100,0)&lt;-AM$6,-AM$6-SUM(AM$10:AM58),-ROUNDDOWN($L59*AM$5/100,0)),0)</f>
        <v>0</v>
      </c>
      <c r="AN59" s="38">
        <f>IF(AND(AN$7="○",$A59&gt;=AN$8,$A59&lt;=AN$9),IF(SUM(AN$10:AN58)-ROUNDDOWN($M59*AN$5/100,0)&lt;-AN$6,-AN$6-SUM(AN$10:AN58),-ROUNDDOWN($M59*AN$5/100,0)),0)</f>
        <v>0</v>
      </c>
      <c r="AO59" s="38">
        <f>IF(AND($A59&gt;=AO$8,$A59&lt;=AO$9),IF(SUM(AO$10:AO58)-ROUNDDOWN($K59*AO$5/100,0)&lt;-AO$6,-AO$6-SUM(AO$10:AO58),-ROUNDDOWN($K59*AO$5/100,0)),0)</f>
        <v>0</v>
      </c>
      <c r="AP59" s="38">
        <f>IF(AND($A59&gt;=AP$8,$A59&lt;=AP$9),IF(SUM(AP$10:AP58)-ROUNDDOWN($K59*AP$5/100,0)&lt;-AP$6,-AP$6-SUM(AP$10:AP58),-ROUNDDOWN($K59*AP$5/100,0)),0)</f>
        <v>0</v>
      </c>
      <c r="AQ59" s="38">
        <f>IF(AND($A59&gt;=AQ$8,$A59&lt;=AQ$9),IF(SUM(AQ$10:AQ58)-ROUNDDOWN($K59*AQ$5/100,0)&lt;-AQ$6,-AQ$6-SUM(AQ$10:AQ58),-ROUNDDOWN($K59*AQ$5/100,0)),0)</f>
        <v>0</v>
      </c>
      <c r="AR59" s="38">
        <f>IF(AND($A59&gt;=AR$8,$A59&lt;=AR$9),IF(SUM(AR$10:AR58)-ROUNDDOWN($K59*AR$5/100,0)&lt;-AR$6,-AR$6-SUM(AR$10:AR58),-ROUNDDOWN($K59*AR$5/100,0)),0)</f>
        <v>0</v>
      </c>
      <c r="AS59" s="38">
        <f>IF(SUMIFS(AS$10:AS58,$A$10:$A58,$A59)-ROUNDDOWN($K59*$S59/100,0)&lt;-$S59*1000,-$S59*1000-SUMIFS(AS$10:AS58,$A$10:$A58,$A59),-ROUNDDOWN($K59*$S59/100,0))</f>
        <v>0</v>
      </c>
      <c r="AT59" s="38">
        <f>IF(AND(X59="○",$A59&gt;=AT$8,$A59&lt;=AT$9,K59&gt;=3980),IF(SUM(AT$10:AT58)-ROUNDDOWN($K59*AT$5/100,0)&lt;-AT$6,-AT$6-SUM(AT$10:AT58),-ROUNDDOWN($K59*AT$5/100,0)),0)</f>
        <v>0</v>
      </c>
      <c r="AU59" s="38">
        <f>IF(O59="○",IF(SUM(AU$10:AU58)-ROUNDDOWN($K59*AU$5/100,0)&lt;-AU$6,-AU$6-SUM(AU$10:AU58),-ROUNDDOWN($K59*AU$5/100,0)),0)</f>
        <v>0</v>
      </c>
      <c r="AV59" s="38">
        <f>IF(P59="○",IF(SUM(AV$10:AV58)-ROUNDDOWN($K59*AV$5/100,0)&lt;-AV$6,-AV$6-SUM(AV$10:AV58),-ROUNDDOWN($K59*AV$5/100,0)),0)</f>
        <v>0</v>
      </c>
      <c r="AW59" s="38">
        <f>IF(Q59="○",IF(SUM(AW$10:AW58)-ROUNDDOWN($K59*AW$5/100,0)&lt;-AW$6,-AW$6-SUM(AW$10:AW58),-ROUNDDOWN($K59*AW$5/100,0)),0)</f>
        <v>0</v>
      </c>
      <c r="AX59" s="38">
        <f>IF(R59="○",IF(SUM(AX$10:AX58)-ROUNDDOWN($K59*AX$5/100,0)&lt;-AX$6,-AX$6-SUM(AX$10:AX58),-ROUNDDOWN($K59*AX$5/100,0)),0)</f>
        <v>0</v>
      </c>
      <c r="AY59" s="70">
        <v>0</v>
      </c>
      <c r="AZ59" s="65">
        <f t="shared" si="41"/>
        <v>0</v>
      </c>
      <c r="BA59" s="65">
        <f t="shared" si="42"/>
        <v>0</v>
      </c>
      <c r="BB59" s="70"/>
      <c r="BC59" s="65">
        <f t="shared" si="43"/>
        <v>0</v>
      </c>
      <c r="BD59" s="70">
        <v>0</v>
      </c>
      <c r="BE59" s="65">
        <f t="shared" si="44"/>
        <v>0</v>
      </c>
      <c r="BF59" s="70">
        <v>0</v>
      </c>
      <c r="BG59" s="65">
        <f t="shared" si="45"/>
        <v>0</v>
      </c>
      <c r="BH59" s="70">
        <v>0</v>
      </c>
      <c r="BI59" s="65">
        <f t="shared" si="46"/>
        <v>0</v>
      </c>
      <c r="BJ59" s="38">
        <f>IF(AND(BJ$7="○",$A59&gt;=BJ$8,$A59&lt;=BJ$9),IF(SUM(BJ$10:BJ58)-ROUNDDOWN($M59*BJ$5/100,0)&lt;-BJ$6,-BJ$6-SUM(BJ$10:BJ58),-ROUNDDOWN($M59*BJ$5/100,0)),0)</f>
        <v>0</v>
      </c>
      <c r="BK59" s="38">
        <f>IF(AND(BK$7="○",$A59&gt;=BK$8,$A59&lt;=BK$9),IF(SUM(BK$10:BK58)-ROUNDDOWN($L59*BK$5/100,0)&lt;-BK$6,-BK$6-SUM(BK$10:BK58),-ROUNDDOWN($L59*BK$5/100,0)),0)</f>
        <v>0</v>
      </c>
      <c r="BL59" s="38">
        <f>IF(AND(BL$7="○",$A59&gt;=BL$8,$A59&lt;=BL$9),IF(SUM(BL$10:BL58)-ROUNDDOWN($L59*BL$5/100,0)&lt;-BL$6,-BL$6-SUM(BL$10:BL58),-ROUNDDOWN($L59*BL$5/100,0)),0)</f>
        <v>0</v>
      </c>
      <c r="BM59" s="38">
        <f>IF(AND(BM$7="○",$A59&gt;=BM$8,$A59&lt;=BM$9),IF(SUM(BM$10:BM58)-ROUNDDOWN($M59*BM$5/100,0)&lt;-BM$6,-BM$6-SUM(BM$10:BM58),-ROUNDDOWN($M59*BM$5/100,0)),0)</f>
        <v>0</v>
      </c>
      <c r="BN59" s="38">
        <f>IF(AND(BN$7="○",$A59&gt;=BN$8,$A59&lt;=BN$9),IF(SUM(BN$10:BN58)-ROUNDDOWN($M59*BN$5/100,0)&lt;-BN$6,-BN$6-SUM(BN$10:BN58),-ROUNDDOWN($M59*BN$5/100,0)),0)</f>
        <v>0</v>
      </c>
      <c r="BO59" s="38">
        <f>IF(AND(BO$7="○",$A59&gt;=BO$8,$A59&lt;=BO$9),IF(SUM(BO$10:BO58)-ROUNDDOWN($M59*BO$5/100,0)&lt;-BO$6,-BO$6-SUM(BO$10:BO58),-ROUNDDOWN($M59*BO$5/100,0)),0)</f>
        <v>0</v>
      </c>
      <c r="BP59" s="38">
        <f>IF(AND(BP$7="○",$A59&gt;=BP$8,$A59&lt;=BP$9),IF(SUM(BP$10:BP58)-ROUNDDOWN($M59*BP$5/100,0)&lt;-BP$6,-BP$6-SUM(BP$10:BP58),-ROUNDDOWN($M59*BP$5/100,0)),0)</f>
        <v>0</v>
      </c>
      <c r="BQ59" s="38">
        <f>IF(AND(BQ$7="○",$A59&gt;=BQ$8,$A59&lt;=BQ$9),IF(SUM(BQ$10:BQ58)-ROUNDDOWN($L59*BQ$5/100,0)&lt;-BQ$6,-BQ$6-SUM(BQ$10:BQ58),-ROUNDDOWN($L59*BQ$5/100,0)),0)</f>
        <v>0</v>
      </c>
      <c r="BR59" s="38">
        <f>IF(AND(BR$7="○",$A59&gt;=BR$8,$A59&lt;=BR$9),IF(SUM(BR$10:BR58)-ROUNDDOWN($M59*BR$5/100,0)&lt;-BR$6,-BR$6-SUM(BR$10:BR58),-ROUNDDOWN($M59*BR$5/100,0)),0)</f>
        <v>0</v>
      </c>
      <c r="BS59" s="38">
        <f>IF(AND(BS$7="○",$A59&gt;=BS$8,$A59&lt;=BS$9),IF(SUM(BS$10:BS58)-ROUNDDOWN($M59*BS$5/100,0)&lt;-BS$6,-BS$6-SUM(BS$10:BS58),-ROUNDDOWN($M59*BS$5/100,0)),0)</f>
        <v>0</v>
      </c>
      <c r="BT59" s="38">
        <f>IF(AND(BT$7="○",$A59&gt;=BT$8,$A59&lt;=BT$9),IF(SUM(BT$10:BT58)-ROUNDDOWN($M59*BT$5/100,0)&lt;-BT$6,-BT$6-SUM(BT$10:BT58),-ROUNDDOWN($M59*BT$5/100,0)),0)</f>
        <v>0</v>
      </c>
      <c r="BU59" s="38">
        <f>IF(AND(BU$7="○",$A59&gt;=BU$8,$A59&lt;=BU$9),IF(SUM(BU$10:BU58)-ROUNDDOWN($M59*BU$5/100,0)&lt;-BU$6,-BU$6-SUM(BU$10:BU58),-ROUNDDOWN($M59*BU$5/100,0)),0)</f>
        <v>0</v>
      </c>
      <c r="BV59" s="38">
        <f>IF(AND(BV$7="○",$A59&gt;=BV$8,$A59&lt;=BV$9),IF(SUM(BV$10:BV58)-ROUNDDOWN($M59*BV$5/100,0)&lt;-BV$6,-BV$6-SUM(BV$10:BV58),-ROUNDDOWN($M59*BV$5/100,0)),0)</f>
        <v>0</v>
      </c>
      <c r="BW59" s="38">
        <f>IF(AND(BW$7="○",$A59&gt;=BW$8,$A59&lt;=BW$9),IF(SUM(BW$10:BW58)-ROUNDDOWN($M59*BW$5/100,0)&lt;-BW$6,-BW$6-SUM(BW$10:BW58),-ROUNDDOWN($M59*BW$5/100,0)),0)</f>
        <v>0</v>
      </c>
      <c r="BX59" s="38">
        <f>IF(AND(T59="○",$A59&gt;=BX$8,$A59&lt;=BX$9),IF(SUM(BX$10:BX58)-ROUNDDOWN($K59*BX$5/100,0)&lt;-BX$6,-BX$6-SUM(BX$10:BX58),-ROUNDDOWN($K59*BX$5/100,0)),0)</f>
        <v>0</v>
      </c>
      <c r="BY59" s="38">
        <f>IF(AND(U59="○",$A59&gt;=BY$8,$A59&lt;=BY$9),IF(SUM(BY$10:BY58)-ROUNDDOWN($K59*BY$5/100,0)&lt;-BY$6,-BY$6-SUM(BY$10:BY58),-ROUNDDOWN($K59*BY$5/100,0)),0)</f>
        <v>0</v>
      </c>
      <c r="BZ59" s="38">
        <f>IF(AND(V59="○",$A59&gt;=BZ$8,$A59&lt;=BZ$9),IF(SUM(BZ$10:BZ58)-ROUNDDOWN($K59*BZ$5/100,0)&lt;-BZ$6,-BZ$6-SUM(BZ$10:BZ58),-ROUNDDOWN($K59*BZ$5/100,0)),0)</f>
        <v>0</v>
      </c>
      <c r="CA59" s="38">
        <f>IF(AND(W59="○",$A59&gt;=CA$8,$A59&lt;=CA$9),IF(SUM(CA$10:CA58)-ROUNDDOWN($K59*CA$5/100,0)&lt;-CA$6,-CA$6-SUM(CA$10:CA58),-ROUNDDOWN($K59*CA$5/100,0)),0)</f>
        <v>0</v>
      </c>
      <c r="CB59" s="38"/>
      <c r="CC59" s="38"/>
      <c r="CD59" s="38"/>
      <c r="CE59" s="38"/>
      <c r="CF59" s="38"/>
      <c r="CG59" s="65">
        <f t="shared" si="47"/>
        <v>0</v>
      </c>
      <c r="CH59" s="71">
        <f t="shared" si="48"/>
        <v>0</v>
      </c>
      <c r="CI59" s="1">
        <f t="shared" si="65"/>
        <v>0</v>
      </c>
      <c r="CJ59" s="1"/>
      <c r="CK59" s="75"/>
      <c r="CL59" s="75"/>
      <c r="CM59" s="2"/>
      <c r="CN59" s="2"/>
      <c r="CO59" s="73">
        <f t="shared" si="66"/>
        <v>0</v>
      </c>
      <c r="CP59" s="5">
        <f t="shared" si="67"/>
        <v>0</v>
      </c>
      <c r="CQ59" s="1"/>
      <c r="CR59" s="1">
        <f t="shared" si="68"/>
        <v>0</v>
      </c>
      <c r="CS59" s="1"/>
      <c r="CT59" s="1" t="e">
        <f>INDEX([2]マスタ!$A:$A,MATCH(D59,[2]マスタ!$C:$C,0))</f>
        <v>#N/A</v>
      </c>
      <c r="CU59" s="1" t="str">
        <f t="shared" ca="1" si="69"/>
        <v>20260620_0-0</v>
      </c>
    </row>
    <row r="60" spans="1:99" x14ac:dyDescent="0.4">
      <c r="A60" s="61"/>
      <c r="B60" s="62"/>
      <c r="C60" s="62"/>
      <c r="D60" s="62"/>
      <c r="E60" s="74"/>
      <c r="F60" s="62"/>
      <c r="G60" s="62">
        <v>1</v>
      </c>
      <c r="H60" s="64">
        <f t="shared" si="56"/>
        <v>0</v>
      </c>
      <c r="I60" s="64"/>
      <c r="J60" s="64"/>
      <c r="K60" s="65">
        <f t="shared" si="70"/>
        <v>0</v>
      </c>
      <c r="L60" s="65">
        <f t="shared" si="58"/>
        <v>0</v>
      </c>
      <c r="M60" s="65">
        <f t="shared" si="59"/>
        <v>0</v>
      </c>
      <c r="N60" s="65">
        <f t="shared" si="60"/>
        <v>0</v>
      </c>
      <c r="O60" s="66" t="str">
        <f t="shared" si="61"/>
        <v>✕</v>
      </c>
      <c r="P60" s="67" t="str">
        <f t="shared" si="62"/>
        <v>○</v>
      </c>
      <c r="Q60" s="67" t="str">
        <f t="shared" si="71"/>
        <v>✕</v>
      </c>
      <c r="R60" s="67" t="str">
        <f t="shared" si="64"/>
        <v>✕</v>
      </c>
      <c r="S60" s="68">
        <v>0</v>
      </c>
      <c r="T60" s="69" t="s">
        <v>85</v>
      </c>
      <c r="U60" s="69" t="s">
        <v>85</v>
      </c>
      <c r="V60" s="69" t="s">
        <v>85</v>
      </c>
      <c r="W60" s="69" t="s">
        <v>85</v>
      </c>
      <c r="X60" s="69" t="s">
        <v>84</v>
      </c>
      <c r="Y60" s="69" t="s">
        <v>85</v>
      </c>
      <c r="Z60" s="69" t="s">
        <v>85</v>
      </c>
      <c r="AA60" s="69" t="s">
        <v>85</v>
      </c>
      <c r="AB60" s="69" t="s">
        <v>85</v>
      </c>
      <c r="AC60" s="69" t="s">
        <v>85</v>
      </c>
      <c r="AD60" s="38" t="str">
        <f>+IF(ISERROR(VLOOKUP($B60,AD$10:AD59,1,0)),IF(AND($N60&gt;=1000,$A60&gt;=AO$8,$A60&lt;=AO$9),$B60,""),"")</f>
        <v/>
      </c>
      <c r="AE60" s="38" t="str">
        <f>+IF(ISERROR(VLOOKUP($B60,AE$10:AE59,1,0)),IF(AND($N60&gt;=1000,$A60&gt;=AP$8,$A60&lt;=AP$9),$B60,""),"")</f>
        <v/>
      </c>
      <c r="AF60" s="38" t="str">
        <f>+IF(ISERROR(VLOOKUP($B60,AF$10:AF59,1,0)),IF(AND($N60&gt;=1000,$A60&gt;=AQ$8,$A60&lt;=AQ$9),$B60,""),"")</f>
        <v/>
      </c>
      <c r="AG60" s="38" t="str">
        <f>+IF(ISERROR(VLOOKUP($B60,AG$10:AG59,1,0)),IF(AND($N60&gt;=1000,$A60&gt;=AR$8,$A60&lt;=AR$9),$B60,""),"")</f>
        <v/>
      </c>
      <c r="AH60" s="38"/>
      <c r="AI60" s="70">
        <v>0</v>
      </c>
      <c r="AJ60" s="38">
        <f>IF(AND(AJ$7="○",$A60&gt;=AJ$8,$A60&lt;=AJ$9),IF(SUM(AJ$10:AJ59)-ROUNDDOWN($K60*AJ$5/100,0)&lt;-AJ$6,-AJ$6-SUM(AJ$10:AJ59),-ROUNDDOWN($K60*AJ$5/100,0)),0)</f>
        <v>0</v>
      </c>
      <c r="AK60" s="38">
        <f>IF(AND(AK$7="○",$A60&gt;=AK$8,$A60&lt;=AK$9),IF(SUM(AK$10:AK59)-ROUNDDOWN($L60*AK$5/100,0)&lt;-AK$6,-AK$6-SUM(AK$10:AK59),-ROUNDDOWN($L60*AK$5/100,0)),0)</f>
        <v>0</v>
      </c>
      <c r="AL60" s="38">
        <f>IF(AND(AL$7="○",$A60&gt;=AL$8,$A60&lt;=AL$9),IF(SUM(AL$10:AL59)-ROUNDDOWN($N60*AL$5/100,0)&lt;-AL$6,-AL$6-SUM(AL$10:AL59),-ROUNDDOWN($N60*AL$5/100,0)),0)</f>
        <v>0</v>
      </c>
      <c r="AM60" s="38">
        <f>IF(AND(AM$7="○",$A60&gt;=AM$8,$A60&lt;=AM$9),IF(SUM(AM$10:AM59)-ROUNDDOWN($L60*AM$5/100,0)&lt;-AM$6,-AM$6-SUM(AM$10:AM59),-ROUNDDOWN($L60*AM$5/100,0)),0)</f>
        <v>0</v>
      </c>
      <c r="AN60" s="38">
        <f>IF(AND(AN$7="○",$A60&gt;=AN$8,$A60&lt;=AN$9),IF(SUM(AN$10:AN59)-ROUNDDOWN($M60*AN$5/100,0)&lt;-AN$6,-AN$6-SUM(AN$10:AN59),-ROUNDDOWN($M60*AN$5/100,0)),0)</f>
        <v>0</v>
      </c>
      <c r="AO60" s="38">
        <f>IF(AND($A60&gt;=AO$8,$A60&lt;=AO$9),IF(SUM(AO$10:AO59)-ROUNDDOWN($K60*AO$5/100,0)&lt;-AO$6,-AO$6-SUM(AO$10:AO59),-ROUNDDOWN($K60*AO$5/100,0)),0)</f>
        <v>0</v>
      </c>
      <c r="AP60" s="38">
        <f>IF(AND($A60&gt;=AP$8,$A60&lt;=AP$9),IF(SUM(AP$10:AP59)-ROUNDDOWN($K60*AP$5/100,0)&lt;-AP$6,-AP$6-SUM(AP$10:AP59),-ROUNDDOWN($K60*AP$5/100,0)),0)</f>
        <v>0</v>
      </c>
      <c r="AQ60" s="38">
        <f>IF(AND($A60&gt;=AQ$8,$A60&lt;=AQ$9),IF(SUM(AQ$10:AQ59)-ROUNDDOWN($K60*AQ$5/100,0)&lt;-AQ$6,-AQ$6-SUM(AQ$10:AQ59),-ROUNDDOWN($K60*AQ$5/100,0)),0)</f>
        <v>0</v>
      </c>
      <c r="AR60" s="38">
        <f>IF(AND($A60&gt;=AR$8,$A60&lt;=AR$9),IF(SUM(AR$10:AR59)-ROUNDDOWN($K60*AR$5/100,0)&lt;-AR$6,-AR$6-SUM(AR$10:AR59),-ROUNDDOWN($K60*AR$5/100,0)),0)</f>
        <v>0</v>
      </c>
      <c r="AS60" s="38">
        <f>IF(SUMIFS(AS$10:AS59,$A$10:$A59,$A60)-ROUNDDOWN($K60*$S60/100,0)&lt;-$S60*1000,-$S60*1000-SUMIFS(AS$10:AS59,$A$10:$A59,$A60),-ROUNDDOWN($K60*$S60/100,0))</f>
        <v>0</v>
      </c>
      <c r="AT60" s="38">
        <f>IF(AND(X60="○",$A60&gt;=AT$8,$A60&lt;=AT$9,K60&gt;=3980),IF(SUM(AT$10:AT59)-ROUNDDOWN($K60*AT$5/100,0)&lt;-AT$6,-AT$6-SUM(AT$10:AT59),-ROUNDDOWN($K60*AT$5/100,0)),0)</f>
        <v>0</v>
      </c>
      <c r="AU60" s="38">
        <f>IF(O60="○",IF(SUM(AU$10:AU59)-ROUNDDOWN($K60*AU$5/100,0)&lt;-AU$6,-AU$6-SUM(AU$10:AU59),-ROUNDDOWN($K60*AU$5/100,0)),0)</f>
        <v>0</v>
      </c>
      <c r="AV60" s="38">
        <f>IF(P60="○",IF(SUM(AV$10:AV59)-ROUNDDOWN($K60*AV$5/100,0)&lt;-AV$6,-AV$6-SUM(AV$10:AV59),-ROUNDDOWN($K60*AV$5/100,0)),0)</f>
        <v>0</v>
      </c>
      <c r="AW60" s="38">
        <f>IF(Q60="○",IF(SUM(AW$10:AW59)-ROUNDDOWN($K60*AW$5/100,0)&lt;-AW$6,-AW$6-SUM(AW$10:AW59),-ROUNDDOWN($K60*AW$5/100,0)),0)</f>
        <v>0</v>
      </c>
      <c r="AX60" s="38">
        <f>IF(R60="○",IF(SUM(AX$10:AX59)-ROUNDDOWN($K60*AX$5/100,0)&lt;-AX$6,-AX$6-SUM(AX$10:AX59),-ROUNDDOWN($K60*AX$5/100,0)),0)</f>
        <v>0</v>
      </c>
      <c r="AY60" s="70">
        <v>0</v>
      </c>
      <c r="AZ60" s="65">
        <f t="shared" si="41"/>
        <v>0</v>
      </c>
      <c r="BA60" s="65">
        <f t="shared" si="42"/>
        <v>0</v>
      </c>
      <c r="BB60" s="70"/>
      <c r="BC60" s="65">
        <f t="shared" si="43"/>
        <v>0</v>
      </c>
      <c r="BD60" s="70">
        <v>0</v>
      </c>
      <c r="BE60" s="65">
        <f t="shared" si="44"/>
        <v>0</v>
      </c>
      <c r="BF60" s="70">
        <v>0</v>
      </c>
      <c r="BG60" s="65">
        <f t="shared" si="45"/>
        <v>0</v>
      </c>
      <c r="BH60" s="70">
        <v>0</v>
      </c>
      <c r="BI60" s="65">
        <f t="shared" si="46"/>
        <v>0</v>
      </c>
      <c r="BJ60" s="38">
        <f>IF(AND(BJ$7="○",$A60&gt;=BJ$8,$A60&lt;=BJ$9),IF(SUM(BJ$10:BJ59)-ROUNDDOWN($M60*BJ$5/100,0)&lt;-BJ$6,-BJ$6-SUM(BJ$10:BJ59),-ROUNDDOWN($M60*BJ$5/100,0)),0)</f>
        <v>0</v>
      </c>
      <c r="BK60" s="38">
        <f>IF(AND(BK$7="○",$A60&gt;=BK$8,$A60&lt;=BK$9),IF(SUM(BK$10:BK59)-ROUNDDOWN($L60*BK$5/100,0)&lt;-BK$6,-BK$6-SUM(BK$10:BK59),-ROUNDDOWN($L60*BK$5/100,0)),0)</f>
        <v>0</v>
      </c>
      <c r="BL60" s="38">
        <f>IF(AND(BL$7="○",$A60&gt;=BL$8,$A60&lt;=BL$9),IF(SUM(BL$10:BL59)-ROUNDDOWN($L60*BL$5/100,0)&lt;-BL$6,-BL$6-SUM(BL$10:BL59),-ROUNDDOWN($L60*BL$5/100,0)),0)</f>
        <v>0</v>
      </c>
      <c r="BM60" s="38">
        <f>IF(AND(BM$7="○",$A60&gt;=BM$8,$A60&lt;=BM$9),IF(SUM(BM$10:BM59)-ROUNDDOWN($M60*BM$5/100,0)&lt;-BM$6,-BM$6-SUM(BM$10:BM59),-ROUNDDOWN($M60*BM$5/100,0)),0)</f>
        <v>0</v>
      </c>
      <c r="BN60" s="38">
        <f>IF(AND(BN$7="○",$A60&gt;=BN$8,$A60&lt;=BN$9),IF(SUM(BN$10:BN59)-ROUNDDOWN($M60*BN$5/100,0)&lt;-BN$6,-BN$6-SUM(BN$10:BN59),-ROUNDDOWN($M60*BN$5/100,0)),0)</f>
        <v>0</v>
      </c>
      <c r="BO60" s="38">
        <f>IF(AND(BO$7="○",$A60&gt;=BO$8,$A60&lt;=BO$9),IF(SUM(BO$10:BO59)-ROUNDDOWN($M60*BO$5/100,0)&lt;-BO$6,-BO$6-SUM(BO$10:BO59),-ROUNDDOWN($M60*BO$5/100,0)),0)</f>
        <v>0</v>
      </c>
      <c r="BP60" s="38">
        <f>IF(AND(BP$7="○",$A60&gt;=BP$8,$A60&lt;=BP$9),IF(SUM(BP$10:BP59)-ROUNDDOWN($M60*BP$5/100,0)&lt;-BP$6,-BP$6-SUM(BP$10:BP59),-ROUNDDOWN($M60*BP$5/100,0)),0)</f>
        <v>0</v>
      </c>
      <c r="BQ60" s="38">
        <f>IF(AND(BQ$7="○",$A60&gt;=BQ$8,$A60&lt;=BQ$9),IF(SUM(BQ$10:BQ59)-ROUNDDOWN($L60*BQ$5/100,0)&lt;-BQ$6,-BQ$6-SUM(BQ$10:BQ59),-ROUNDDOWN($L60*BQ$5/100,0)),0)</f>
        <v>0</v>
      </c>
      <c r="BR60" s="38">
        <f>IF(AND(BR$7="○",$A60&gt;=BR$8,$A60&lt;=BR$9),IF(SUM(BR$10:BR59)-ROUNDDOWN($M60*BR$5/100,0)&lt;-BR$6,-BR$6-SUM(BR$10:BR59),-ROUNDDOWN($M60*BR$5/100,0)),0)</f>
        <v>0</v>
      </c>
      <c r="BS60" s="38">
        <f>IF(AND(BS$7="○",$A60&gt;=BS$8,$A60&lt;=BS$9),IF(SUM(BS$10:BS59)-ROUNDDOWN($M60*BS$5/100,0)&lt;-BS$6,-BS$6-SUM(BS$10:BS59),-ROUNDDOWN($M60*BS$5/100,0)),0)</f>
        <v>0</v>
      </c>
      <c r="BT60" s="38">
        <f>IF(AND(BT$7="○",$A60&gt;=BT$8,$A60&lt;=BT$9),IF(SUM(BT$10:BT59)-ROUNDDOWN($M60*BT$5/100,0)&lt;-BT$6,-BT$6-SUM(BT$10:BT59),-ROUNDDOWN($M60*BT$5/100,0)),0)</f>
        <v>0</v>
      </c>
      <c r="BU60" s="38">
        <f>IF(AND(BU$7="○",$A60&gt;=BU$8,$A60&lt;=BU$9),IF(SUM(BU$10:BU59)-ROUNDDOWN($M60*BU$5/100,0)&lt;-BU$6,-BU$6-SUM(BU$10:BU59),-ROUNDDOWN($M60*BU$5/100,0)),0)</f>
        <v>0</v>
      </c>
      <c r="BV60" s="38">
        <f>IF(AND(BV$7="○",$A60&gt;=BV$8,$A60&lt;=BV$9),IF(SUM(BV$10:BV59)-ROUNDDOWN($M60*BV$5/100,0)&lt;-BV$6,-BV$6-SUM(BV$10:BV59),-ROUNDDOWN($M60*BV$5/100,0)),0)</f>
        <v>0</v>
      </c>
      <c r="BW60" s="38">
        <f>IF(AND(BW$7="○",$A60&gt;=BW$8,$A60&lt;=BW$9),IF(SUM(BW$10:BW59)-ROUNDDOWN($M60*BW$5/100,0)&lt;-BW$6,-BW$6-SUM(BW$10:BW59),-ROUNDDOWN($M60*BW$5/100,0)),0)</f>
        <v>0</v>
      </c>
      <c r="BX60" s="38">
        <f>IF(AND(T60="○",$A60&gt;=BX$8,$A60&lt;=BX$9),IF(SUM(BX$10:BX59)-ROUNDDOWN($K60*BX$5/100,0)&lt;-BX$6,-BX$6-SUM(BX$10:BX59),-ROUNDDOWN($K60*BX$5/100,0)),0)</f>
        <v>0</v>
      </c>
      <c r="BY60" s="38">
        <f>IF(AND(U60="○",$A60&gt;=BY$8,$A60&lt;=BY$9),IF(SUM(BY$10:BY59)-ROUNDDOWN($K60*BY$5/100,0)&lt;-BY$6,-BY$6-SUM(BY$10:BY59),-ROUNDDOWN($K60*BY$5/100,0)),0)</f>
        <v>0</v>
      </c>
      <c r="BZ60" s="38">
        <f>IF(AND(V60="○",$A60&gt;=BZ$8,$A60&lt;=BZ$9),IF(SUM(BZ$10:BZ59)-ROUNDDOWN($K60*BZ$5/100,0)&lt;-BZ$6,-BZ$6-SUM(BZ$10:BZ59),-ROUNDDOWN($K60*BZ$5/100,0)),0)</f>
        <v>0</v>
      </c>
      <c r="CA60" s="38">
        <f>IF(AND(W60="○",$A60&gt;=CA$8,$A60&lt;=CA$9),IF(SUM(CA$10:CA59)-ROUNDDOWN($K60*CA$5/100,0)&lt;-CA$6,-CA$6-SUM(CA$10:CA59),-ROUNDDOWN($K60*CA$5/100,0)),0)</f>
        <v>0</v>
      </c>
      <c r="CB60" s="38"/>
      <c r="CC60" s="38"/>
      <c r="CD60" s="38"/>
      <c r="CE60" s="38"/>
      <c r="CF60" s="38"/>
      <c r="CG60" s="65">
        <f t="shared" si="47"/>
        <v>0</v>
      </c>
      <c r="CH60" s="71">
        <f t="shared" si="48"/>
        <v>0</v>
      </c>
      <c r="CI60" s="1">
        <f t="shared" si="65"/>
        <v>0</v>
      </c>
      <c r="CJ60" s="1"/>
      <c r="CK60" s="75"/>
      <c r="CL60" s="75"/>
      <c r="CM60" s="2"/>
      <c r="CN60" s="2"/>
      <c r="CO60" s="73">
        <f t="shared" si="66"/>
        <v>0</v>
      </c>
      <c r="CP60" s="5">
        <f t="shared" si="67"/>
        <v>0</v>
      </c>
      <c r="CQ60" s="1"/>
      <c r="CR60" s="1">
        <f t="shared" si="68"/>
        <v>0</v>
      </c>
      <c r="CS60" s="1"/>
      <c r="CT60" s="1" t="e">
        <f>INDEX([2]マスタ!$A:$A,MATCH(D60,[2]マスタ!$C:$C,0))</f>
        <v>#N/A</v>
      </c>
      <c r="CU60" s="1" t="str">
        <f t="shared" ca="1" si="69"/>
        <v>20260620_0-0</v>
      </c>
    </row>
    <row r="61" spans="1:99" x14ac:dyDescent="0.4">
      <c r="A61" s="61"/>
      <c r="B61" s="62"/>
      <c r="C61" s="62"/>
      <c r="D61" s="62"/>
      <c r="E61" s="74"/>
      <c r="F61" s="62"/>
      <c r="G61" s="62">
        <v>1</v>
      </c>
      <c r="H61" s="64">
        <f t="shared" si="56"/>
        <v>0</v>
      </c>
      <c r="I61" s="64"/>
      <c r="J61" s="64"/>
      <c r="K61" s="65">
        <f t="shared" si="70"/>
        <v>0</v>
      </c>
      <c r="L61" s="65">
        <f t="shared" si="58"/>
        <v>0</v>
      </c>
      <c r="M61" s="65">
        <f t="shared" si="59"/>
        <v>0</v>
      </c>
      <c r="N61" s="65">
        <f t="shared" si="60"/>
        <v>0</v>
      </c>
      <c r="O61" s="66" t="str">
        <f t="shared" si="61"/>
        <v>✕</v>
      </c>
      <c r="P61" s="67" t="str">
        <f t="shared" si="62"/>
        <v>○</v>
      </c>
      <c r="Q61" s="67" t="str">
        <f t="shared" si="71"/>
        <v>✕</v>
      </c>
      <c r="R61" s="67" t="str">
        <f t="shared" si="64"/>
        <v>✕</v>
      </c>
      <c r="S61" s="68">
        <v>0</v>
      </c>
      <c r="T61" s="69" t="s">
        <v>85</v>
      </c>
      <c r="U61" s="69" t="s">
        <v>85</v>
      </c>
      <c r="V61" s="69" t="s">
        <v>85</v>
      </c>
      <c r="W61" s="69" t="s">
        <v>85</v>
      </c>
      <c r="X61" s="69" t="s">
        <v>84</v>
      </c>
      <c r="Y61" s="69" t="s">
        <v>85</v>
      </c>
      <c r="Z61" s="69" t="s">
        <v>85</v>
      </c>
      <c r="AA61" s="69" t="s">
        <v>85</v>
      </c>
      <c r="AB61" s="69" t="s">
        <v>85</v>
      </c>
      <c r="AC61" s="69" t="s">
        <v>85</v>
      </c>
      <c r="AD61" s="38" t="str">
        <f>+IF(ISERROR(VLOOKUP($B61,AD$10:AD60,1,0)),IF(AND($N61&gt;=1000,$A61&gt;=AO$8,$A61&lt;=AO$9),$B61,""),"")</f>
        <v/>
      </c>
      <c r="AE61" s="38" t="str">
        <f>+IF(ISERROR(VLOOKUP($B61,AE$10:AE60,1,0)),IF(AND($N61&gt;=1000,$A61&gt;=AP$8,$A61&lt;=AP$9),$B61,""),"")</f>
        <v/>
      </c>
      <c r="AF61" s="38" t="str">
        <f>+IF(ISERROR(VLOOKUP($B61,AF$10:AF60,1,0)),IF(AND($N61&gt;=1000,$A61&gt;=AQ$8,$A61&lt;=AQ$9),$B61,""),"")</f>
        <v/>
      </c>
      <c r="AG61" s="38" t="str">
        <f>+IF(ISERROR(VLOOKUP($B61,AG$10:AG60,1,0)),IF(AND($N61&gt;=1000,$A61&gt;=AR$8,$A61&lt;=AR$9),$B61,""),"")</f>
        <v/>
      </c>
      <c r="AH61" s="38"/>
      <c r="AI61" s="70">
        <v>0</v>
      </c>
      <c r="AJ61" s="38">
        <f>IF(AND(AJ$7="○",$A61&gt;=AJ$8,$A61&lt;=AJ$9),IF(SUM(AJ$10:AJ60)-ROUNDDOWN($K61*AJ$5/100,0)&lt;-AJ$6,-AJ$6-SUM(AJ$10:AJ60),-ROUNDDOWN($K61*AJ$5/100,0)),0)</f>
        <v>0</v>
      </c>
      <c r="AK61" s="38">
        <f>IF(AND(AK$7="○",$A61&gt;=AK$8,$A61&lt;=AK$9),IF(SUM(AK$10:AK60)-ROUNDDOWN($L61*AK$5/100,0)&lt;-AK$6,-AK$6-SUM(AK$10:AK60),-ROUNDDOWN($L61*AK$5/100,0)),0)</f>
        <v>0</v>
      </c>
      <c r="AL61" s="38">
        <f>IF(AND(AL$7="○",$A61&gt;=AL$8,$A61&lt;=AL$9),IF(SUM(AL$10:AL60)-ROUNDDOWN($N61*AL$5/100,0)&lt;-AL$6,-AL$6-SUM(AL$10:AL60),-ROUNDDOWN($N61*AL$5/100,0)),0)</f>
        <v>0</v>
      </c>
      <c r="AM61" s="38">
        <f>IF(AND(AM$7="○",$A61&gt;=AM$8,$A61&lt;=AM$9),IF(SUM(AM$10:AM60)-ROUNDDOWN($L61*AM$5/100,0)&lt;-AM$6,-AM$6-SUM(AM$10:AM60),-ROUNDDOWN($L61*AM$5/100,0)),0)</f>
        <v>0</v>
      </c>
      <c r="AN61" s="38">
        <f>IF(AND(AN$7="○",$A61&gt;=AN$8,$A61&lt;=AN$9),IF(SUM(AN$10:AN60)-ROUNDDOWN($M61*AN$5/100,0)&lt;-AN$6,-AN$6-SUM(AN$10:AN60),-ROUNDDOWN($M61*AN$5/100,0)),0)</f>
        <v>0</v>
      </c>
      <c r="AO61" s="38">
        <f>IF(AND($A61&gt;=AO$8,$A61&lt;=AO$9),IF(SUM(AO$10:AO60)-ROUNDDOWN($K61*AO$5/100,0)&lt;-AO$6,-AO$6-SUM(AO$10:AO60),-ROUNDDOWN($K61*AO$5/100,0)),0)</f>
        <v>0</v>
      </c>
      <c r="AP61" s="38">
        <f>IF(AND($A61&gt;=AP$8,$A61&lt;=AP$9),IF(SUM(AP$10:AP60)-ROUNDDOWN($K61*AP$5/100,0)&lt;-AP$6,-AP$6-SUM(AP$10:AP60),-ROUNDDOWN($K61*AP$5/100,0)),0)</f>
        <v>0</v>
      </c>
      <c r="AQ61" s="38">
        <f>IF(AND($A61&gt;=AQ$8,$A61&lt;=AQ$9),IF(SUM(AQ$10:AQ60)-ROUNDDOWN($K61*AQ$5/100,0)&lt;-AQ$6,-AQ$6-SUM(AQ$10:AQ60),-ROUNDDOWN($K61*AQ$5/100,0)),0)</f>
        <v>0</v>
      </c>
      <c r="AR61" s="38">
        <f>IF(AND($A61&gt;=AR$8,$A61&lt;=AR$9),IF(SUM(AR$10:AR60)-ROUNDDOWN($K61*AR$5/100,0)&lt;-AR$6,-AR$6-SUM(AR$10:AR60),-ROUNDDOWN($K61*AR$5/100,0)),0)</f>
        <v>0</v>
      </c>
      <c r="AS61" s="38">
        <f>IF(SUMIFS(AS$10:AS60,$A$10:$A60,$A61)-ROUNDDOWN($K61*$S61/100,0)&lt;-$S61*1000,-$S61*1000-SUMIFS(AS$10:AS60,$A$10:$A60,$A61),-ROUNDDOWN($K61*$S61/100,0))</f>
        <v>0</v>
      </c>
      <c r="AT61" s="38">
        <f>IF(AND(X61="○",$A61&gt;=AT$8,$A61&lt;=AT$9,K61&gt;=3980),IF(SUM(AT$10:AT60)-ROUNDDOWN($K61*AT$5/100,0)&lt;-AT$6,-AT$6-SUM(AT$10:AT60),-ROUNDDOWN($K61*AT$5/100,0)),0)</f>
        <v>0</v>
      </c>
      <c r="AU61" s="38">
        <f>IF(O61="○",IF(SUM(AU$10:AU60)-ROUNDDOWN($K61*AU$5/100,0)&lt;-AU$6,-AU$6-SUM(AU$10:AU60),-ROUNDDOWN($K61*AU$5/100,0)),0)</f>
        <v>0</v>
      </c>
      <c r="AV61" s="38">
        <f>IF(P61="○",IF(SUM(AV$10:AV60)-ROUNDDOWN($K61*AV$5/100,0)&lt;-AV$6,-AV$6-SUM(AV$10:AV60),-ROUNDDOWN($K61*AV$5/100,0)),0)</f>
        <v>0</v>
      </c>
      <c r="AW61" s="38">
        <f>IF(Q61="○",IF(SUM(AW$10:AW60)-ROUNDDOWN($K61*AW$5/100,0)&lt;-AW$6,-AW$6-SUM(AW$10:AW60),-ROUNDDOWN($K61*AW$5/100,0)),0)</f>
        <v>0</v>
      </c>
      <c r="AX61" s="38">
        <f>IF(R61="○",IF(SUM(AX$10:AX60)-ROUNDDOWN($K61*AX$5/100,0)&lt;-AX$6,-AX$6-SUM(AX$10:AX60),-ROUNDDOWN($K61*AX$5/100,0)),0)</f>
        <v>0</v>
      </c>
      <c r="AY61" s="70">
        <v>0</v>
      </c>
      <c r="AZ61" s="65">
        <f t="shared" si="41"/>
        <v>0</v>
      </c>
      <c r="BA61" s="65">
        <f t="shared" si="42"/>
        <v>0</v>
      </c>
      <c r="BB61" s="70"/>
      <c r="BC61" s="65">
        <f t="shared" si="43"/>
        <v>0</v>
      </c>
      <c r="BD61" s="70">
        <v>0</v>
      </c>
      <c r="BE61" s="65">
        <f t="shared" si="44"/>
        <v>0</v>
      </c>
      <c r="BF61" s="70">
        <v>0</v>
      </c>
      <c r="BG61" s="65">
        <f t="shared" si="45"/>
        <v>0</v>
      </c>
      <c r="BH61" s="70">
        <v>0</v>
      </c>
      <c r="BI61" s="65">
        <f t="shared" si="46"/>
        <v>0</v>
      </c>
      <c r="BJ61" s="38">
        <f>IF(AND(BJ$7="○",$A61&gt;=BJ$8,$A61&lt;=BJ$9),IF(SUM(BJ$10:BJ60)-ROUNDDOWN($M61*BJ$5/100,0)&lt;-BJ$6,-BJ$6-SUM(BJ$10:BJ60),-ROUNDDOWN($M61*BJ$5/100,0)),0)</f>
        <v>0</v>
      </c>
      <c r="BK61" s="38">
        <f>IF(AND(BK$7="○",$A61&gt;=BK$8,$A61&lt;=BK$9),IF(SUM(BK$10:BK60)-ROUNDDOWN($L61*BK$5/100,0)&lt;-BK$6,-BK$6-SUM(BK$10:BK60),-ROUNDDOWN($L61*BK$5/100,0)),0)</f>
        <v>0</v>
      </c>
      <c r="BL61" s="38">
        <f>IF(AND(BL$7="○",$A61&gt;=BL$8,$A61&lt;=BL$9),IF(SUM(BL$10:BL60)-ROUNDDOWN($L61*BL$5/100,0)&lt;-BL$6,-BL$6-SUM(BL$10:BL60),-ROUNDDOWN($L61*BL$5/100,0)),0)</f>
        <v>0</v>
      </c>
      <c r="BM61" s="38">
        <f>IF(AND(BM$7="○",$A61&gt;=BM$8,$A61&lt;=BM$9),IF(SUM(BM$10:BM60)-ROUNDDOWN($M61*BM$5/100,0)&lt;-BM$6,-BM$6-SUM(BM$10:BM60),-ROUNDDOWN($M61*BM$5/100,0)),0)</f>
        <v>0</v>
      </c>
      <c r="BN61" s="38">
        <f>IF(AND(BN$7="○",$A61&gt;=BN$8,$A61&lt;=BN$9),IF(SUM(BN$10:BN60)-ROUNDDOWN($M61*BN$5/100,0)&lt;-BN$6,-BN$6-SUM(BN$10:BN60),-ROUNDDOWN($M61*BN$5/100,0)),0)</f>
        <v>0</v>
      </c>
      <c r="BO61" s="38">
        <f>IF(AND(BO$7="○",$A61&gt;=BO$8,$A61&lt;=BO$9),IF(SUM(BO$10:BO60)-ROUNDDOWN($M61*BO$5/100,0)&lt;-BO$6,-BO$6-SUM(BO$10:BO60),-ROUNDDOWN($M61*BO$5/100,0)),0)</f>
        <v>0</v>
      </c>
      <c r="BP61" s="38">
        <f>IF(AND(BP$7="○",$A61&gt;=BP$8,$A61&lt;=BP$9),IF(SUM(BP$10:BP60)-ROUNDDOWN($M61*BP$5/100,0)&lt;-BP$6,-BP$6-SUM(BP$10:BP60),-ROUNDDOWN($M61*BP$5/100,0)),0)</f>
        <v>0</v>
      </c>
      <c r="BQ61" s="38">
        <f>IF(AND(BQ$7="○",$A61&gt;=BQ$8,$A61&lt;=BQ$9),IF(SUM(BQ$10:BQ60)-ROUNDDOWN($L61*BQ$5/100,0)&lt;-BQ$6,-BQ$6-SUM(BQ$10:BQ60),-ROUNDDOWN($L61*BQ$5/100,0)),0)</f>
        <v>0</v>
      </c>
      <c r="BR61" s="38">
        <f>IF(AND(BR$7="○",$A61&gt;=BR$8,$A61&lt;=BR$9),IF(SUM(BR$10:BR60)-ROUNDDOWN($M61*BR$5/100,0)&lt;-BR$6,-BR$6-SUM(BR$10:BR60),-ROUNDDOWN($M61*BR$5/100,0)),0)</f>
        <v>0</v>
      </c>
      <c r="BS61" s="38">
        <f>IF(AND(BS$7="○",$A61&gt;=BS$8,$A61&lt;=BS$9),IF(SUM(BS$10:BS60)-ROUNDDOWN($M61*BS$5/100,0)&lt;-BS$6,-BS$6-SUM(BS$10:BS60),-ROUNDDOWN($M61*BS$5/100,0)),0)</f>
        <v>0</v>
      </c>
      <c r="BT61" s="38">
        <f>IF(AND(BT$7="○",$A61&gt;=BT$8,$A61&lt;=BT$9),IF(SUM(BT$10:BT60)-ROUNDDOWN($M61*BT$5/100,0)&lt;-BT$6,-BT$6-SUM(BT$10:BT60),-ROUNDDOWN($M61*BT$5/100,0)),0)</f>
        <v>0</v>
      </c>
      <c r="BU61" s="38">
        <f>IF(AND(BU$7="○",$A61&gt;=BU$8,$A61&lt;=BU$9),IF(SUM(BU$10:BU60)-ROUNDDOWN($M61*BU$5/100,0)&lt;-BU$6,-BU$6-SUM(BU$10:BU60),-ROUNDDOWN($M61*BU$5/100,0)),0)</f>
        <v>0</v>
      </c>
      <c r="BV61" s="38">
        <f>IF(AND(BV$7="○",$A61&gt;=BV$8,$A61&lt;=BV$9),IF(SUM(BV$10:BV60)-ROUNDDOWN($M61*BV$5/100,0)&lt;-BV$6,-BV$6-SUM(BV$10:BV60),-ROUNDDOWN($M61*BV$5/100,0)),0)</f>
        <v>0</v>
      </c>
      <c r="BW61" s="38">
        <f>IF(AND(BW$7="○",$A61&gt;=BW$8,$A61&lt;=BW$9),IF(SUM(BW$10:BW60)-ROUNDDOWN($M61*BW$5/100,0)&lt;-BW$6,-BW$6-SUM(BW$10:BW60),-ROUNDDOWN($M61*BW$5/100,0)),0)</f>
        <v>0</v>
      </c>
      <c r="BX61" s="38">
        <f>IF(AND(T61="○",$A61&gt;=BX$8,$A61&lt;=BX$9),IF(SUM(BX$10:BX60)-ROUNDDOWN($K61*BX$5/100,0)&lt;-BX$6,-BX$6-SUM(BX$10:BX60),-ROUNDDOWN($K61*BX$5/100,0)),0)</f>
        <v>0</v>
      </c>
      <c r="BY61" s="38">
        <f>IF(AND(U61="○",$A61&gt;=BY$8,$A61&lt;=BY$9),IF(SUM(BY$10:BY60)-ROUNDDOWN($K61*BY$5/100,0)&lt;-BY$6,-BY$6-SUM(BY$10:BY60),-ROUNDDOWN($K61*BY$5/100,0)),0)</f>
        <v>0</v>
      </c>
      <c r="BZ61" s="38">
        <f>IF(AND(V61="○",$A61&gt;=BZ$8,$A61&lt;=BZ$9),IF(SUM(BZ$10:BZ60)-ROUNDDOWN($K61*BZ$5/100,0)&lt;-BZ$6,-BZ$6-SUM(BZ$10:BZ60),-ROUNDDOWN($K61*BZ$5/100,0)),0)</f>
        <v>0</v>
      </c>
      <c r="CA61" s="38">
        <f>IF(AND(W61="○",$A61&gt;=CA$8,$A61&lt;=CA$9),IF(SUM(CA$10:CA60)-ROUNDDOWN($K61*CA$5/100,0)&lt;-CA$6,-CA$6-SUM(CA$10:CA60),-ROUNDDOWN($K61*CA$5/100,0)),0)</f>
        <v>0</v>
      </c>
      <c r="CB61" s="38"/>
      <c r="CC61" s="38"/>
      <c r="CD61" s="38"/>
      <c r="CE61" s="38"/>
      <c r="CF61" s="38"/>
      <c r="CG61" s="65">
        <f t="shared" si="47"/>
        <v>0</v>
      </c>
      <c r="CH61" s="71">
        <f t="shared" si="48"/>
        <v>0</v>
      </c>
      <c r="CI61" s="1">
        <f t="shared" si="65"/>
        <v>0</v>
      </c>
      <c r="CJ61" s="1"/>
      <c r="CK61" s="75"/>
      <c r="CL61" s="75"/>
      <c r="CM61" s="2"/>
      <c r="CN61" s="2"/>
      <c r="CO61" s="73">
        <f t="shared" si="66"/>
        <v>0</v>
      </c>
      <c r="CP61" s="5">
        <f t="shared" si="67"/>
        <v>0</v>
      </c>
      <c r="CQ61" s="1"/>
      <c r="CR61" s="1">
        <f t="shared" si="68"/>
        <v>0</v>
      </c>
      <c r="CS61" s="1"/>
      <c r="CT61" s="1" t="e">
        <f>INDEX([2]マスタ!$A:$A,MATCH(D61,[2]マスタ!$C:$C,0))</f>
        <v>#N/A</v>
      </c>
      <c r="CU61" s="1" t="str">
        <f t="shared" ca="1" si="69"/>
        <v>20260620_0-0</v>
      </c>
    </row>
    <row r="62" spans="1:99" x14ac:dyDescent="0.4">
      <c r="A62" s="61"/>
      <c r="B62" s="62"/>
      <c r="C62" s="62"/>
      <c r="D62" s="62"/>
      <c r="E62" s="74"/>
      <c r="F62" s="62"/>
      <c r="G62" s="62">
        <v>1</v>
      </c>
      <c r="H62" s="64">
        <f t="shared" si="56"/>
        <v>0</v>
      </c>
      <c r="I62" s="64"/>
      <c r="J62" s="64"/>
      <c r="K62" s="65">
        <f>+ROUNDDOWN((H62+I62)/100,0)*100</f>
        <v>0</v>
      </c>
      <c r="L62" s="65">
        <f t="shared" si="58"/>
        <v>0</v>
      </c>
      <c r="M62" s="65">
        <f t="shared" si="59"/>
        <v>0</v>
      </c>
      <c r="N62" s="65">
        <f t="shared" si="60"/>
        <v>0</v>
      </c>
      <c r="O62" s="66" t="str">
        <f t="shared" si="61"/>
        <v>✕</v>
      </c>
      <c r="P62" s="67" t="str">
        <f t="shared" si="62"/>
        <v>○</v>
      </c>
      <c r="Q62" s="67" t="str">
        <f>+IF((TEXT($A62,"DD")+0)=1,"○","✕")</f>
        <v>✕</v>
      </c>
      <c r="R62" s="67" t="str">
        <f t="shared" si="64"/>
        <v>✕</v>
      </c>
      <c r="S62" s="68">
        <v>0</v>
      </c>
      <c r="T62" s="69" t="s">
        <v>85</v>
      </c>
      <c r="U62" s="69" t="s">
        <v>85</v>
      </c>
      <c r="V62" s="69" t="s">
        <v>85</v>
      </c>
      <c r="W62" s="69" t="s">
        <v>85</v>
      </c>
      <c r="X62" s="69" t="s">
        <v>84</v>
      </c>
      <c r="Y62" s="69" t="s">
        <v>85</v>
      </c>
      <c r="Z62" s="69" t="s">
        <v>85</v>
      </c>
      <c r="AA62" s="69" t="s">
        <v>85</v>
      </c>
      <c r="AB62" s="69" t="s">
        <v>85</v>
      </c>
      <c r="AC62" s="69" t="s">
        <v>85</v>
      </c>
      <c r="AD62" s="38" t="str">
        <f>+IF(ISERROR(VLOOKUP($B62,AD$10:AD61,1,0)),IF(AND($N62&gt;=1000,$A62&gt;=AO$8,$A62&lt;=AO$9),$B62,""),"")</f>
        <v/>
      </c>
      <c r="AE62" s="38" t="str">
        <f>+IF(ISERROR(VLOOKUP($B62,AE$10:AE61,1,0)),IF(AND($N62&gt;=1000,$A62&gt;=AP$8,$A62&lt;=AP$9),$B62,""),"")</f>
        <v/>
      </c>
      <c r="AF62" s="38" t="str">
        <f>+IF(ISERROR(VLOOKUP($B62,AF$10:AF61,1,0)),IF(AND($N62&gt;=1000,$A62&gt;=AQ$8,$A62&lt;=AQ$9),$B62,""),"")</f>
        <v/>
      </c>
      <c r="AG62" s="38" t="str">
        <f>+IF(ISERROR(VLOOKUP($B62,AG$10:AG61,1,0)),IF(AND($N62&gt;=1000,$A62&gt;=AR$8,$A62&lt;=AR$9),$B62,""),"")</f>
        <v/>
      </c>
      <c r="AH62" s="38"/>
      <c r="AI62" s="70">
        <v>0</v>
      </c>
      <c r="AJ62" s="38">
        <f>IF(AND(AJ$7="○",$A62&gt;=AJ$8,$A62&lt;=AJ$9),IF(SUM(AJ$10:AJ61)-ROUNDDOWN($K62*AJ$5/100,0)&lt;-AJ$6,-AJ$6-SUM(AJ$10:AJ61),-ROUNDDOWN($K62*AJ$5/100,0)),0)</f>
        <v>0</v>
      </c>
      <c r="AK62" s="38">
        <f>IF(AND(AK$7="○",$A62&gt;=AK$8,$A62&lt;=AK$9),IF(SUM(AK$10:AK61)-ROUNDDOWN($L62*AK$5/100,0)&lt;-AK$6,-AK$6-SUM(AK$10:AK61),-ROUNDDOWN($L62*AK$5/100,0)),0)</f>
        <v>0</v>
      </c>
      <c r="AL62" s="38">
        <f>IF(AND(AL$7="○",$A62&gt;=AL$8,$A62&lt;=AL$9),IF(SUM(AL$10:AL61)-ROUNDDOWN($N62*AL$5/100,0)&lt;-AL$6,-AL$6-SUM(AL$10:AL61),-ROUNDDOWN($N62*AL$5/100,0)),0)</f>
        <v>0</v>
      </c>
      <c r="AM62" s="38">
        <f>IF(AND(AM$7="○",$A62&gt;=AM$8,$A62&lt;=AM$9),IF(SUM(AM$10:AM61)-ROUNDDOWN($L62*AM$5/100,0)&lt;-AM$6,-AM$6-SUM(AM$10:AM61),-ROUNDDOWN($L62*AM$5/100,0)),0)</f>
        <v>0</v>
      </c>
      <c r="AN62" s="38">
        <f>IF(AND(AN$7="○",$A62&gt;=AN$8,$A62&lt;=AN$9),IF(SUM(AN$10:AN61)-ROUNDDOWN($M62*AN$5/100,0)&lt;-AN$6,-AN$6-SUM(AN$10:AN61),-ROUNDDOWN($M62*AN$5/100,0)),0)</f>
        <v>0</v>
      </c>
      <c r="AO62" s="38">
        <f>IF(AND($A62&gt;=AO$8,$A62&lt;=AO$9),IF(SUM(AO$10:AO61)-ROUNDDOWN($K62*AO$5/100,0)&lt;-AO$6,-AO$6-SUM(AO$10:AO61),-ROUNDDOWN($K62*AO$5/100,0)),0)</f>
        <v>0</v>
      </c>
      <c r="AP62" s="38">
        <f>IF(AND($A62&gt;=AP$8,$A62&lt;=AP$9),IF(SUM(AP$10:AP61)-ROUNDDOWN($K62*AP$5/100,0)&lt;-AP$6,-AP$6-SUM(AP$10:AP61),-ROUNDDOWN($K62*AP$5/100,0)),0)</f>
        <v>0</v>
      </c>
      <c r="AQ62" s="38">
        <f>IF(AND($A62&gt;=AQ$8,$A62&lt;=AQ$9),IF(SUM(AQ$10:AQ61)-ROUNDDOWN($K62*AQ$5/100,0)&lt;-AQ$6,-AQ$6-SUM(AQ$10:AQ61),-ROUNDDOWN($K62*AQ$5/100,0)),0)</f>
        <v>0</v>
      </c>
      <c r="AR62" s="38">
        <f>IF(AND($A62&gt;=AR$8,$A62&lt;=AR$9),IF(SUM(AR$10:AR61)-ROUNDDOWN($K62*AR$5/100,0)&lt;-AR$6,-AR$6-SUM(AR$10:AR61),-ROUNDDOWN($K62*AR$5/100,0)),0)</f>
        <v>0</v>
      </c>
      <c r="AS62" s="38">
        <f>IF(SUMIFS(AS$10:AS61,$A$10:$A61,$A62)-ROUNDDOWN($K62*$S62/100,0)&lt;-$S62*1000,-$S62*1000-SUMIFS(AS$10:AS61,$A$10:$A61,$A62),-ROUNDDOWN($K62*$S62/100,0))</f>
        <v>0</v>
      </c>
      <c r="AT62" s="38">
        <f>IF(AND(X62="○",$A62&gt;=AT$8,$A62&lt;=AT$9,K62&gt;=3980),IF(SUM(AT$10:AT61)-ROUNDDOWN($K62*AT$5/100,0)&lt;-AT$6,-AT$6-SUM(AT$10:AT61),-ROUNDDOWN($K62*AT$5/100,0)),0)</f>
        <v>0</v>
      </c>
      <c r="AU62" s="38">
        <f>IF(O62="○",IF(SUM(AU$10:AU61)-ROUNDDOWN($K62*AU$5/100,0)&lt;-AU$6,-AU$6-SUM(AU$10:AU61),-ROUNDDOWN($K62*AU$5/100,0)),0)</f>
        <v>0</v>
      </c>
      <c r="AV62" s="38">
        <f>IF(P62="○",IF(SUM(AV$10:AV61)-ROUNDDOWN($K62*AV$5/100,0)&lt;-AV$6,-AV$6-SUM(AV$10:AV61),-ROUNDDOWN($K62*AV$5/100,0)),0)</f>
        <v>0</v>
      </c>
      <c r="AW62" s="38">
        <f>IF(Q62="○",IF(SUM(AW$10:AW61)-ROUNDDOWN($K62*AW$5/100,0)&lt;-AW$6,-AW$6-SUM(AW$10:AW61),-ROUNDDOWN($K62*AW$5/100,0)),0)</f>
        <v>0</v>
      </c>
      <c r="AX62" s="38">
        <f>IF(R62="○",IF(SUM(AX$10:AX61)-ROUNDDOWN($K62*AX$5/100,0)&lt;-AX$6,-AX$6-SUM(AX$10:AX61),-ROUNDDOWN($K62*AX$5/100,0)),0)</f>
        <v>0</v>
      </c>
      <c r="AY62" s="70">
        <v>0</v>
      </c>
      <c r="AZ62" s="65">
        <f t="shared" si="41"/>
        <v>0</v>
      </c>
      <c r="BA62" s="65">
        <f t="shared" si="42"/>
        <v>0</v>
      </c>
      <c r="BB62" s="70"/>
      <c r="BC62" s="65">
        <f t="shared" si="43"/>
        <v>0</v>
      </c>
      <c r="BD62" s="70">
        <v>0</v>
      </c>
      <c r="BE62" s="65">
        <f t="shared" si="44"/>
        <v>0</v>
      </c>
      <c r="BF62" s="70">
        <v>0</v>
      </c>
      <c r="BG62" s="65">
        <f t="shared" si="45"/>
        <v>0</v>
      </c>
      <c r="BH62" s="70">
        <v>0</v>
      </c>
      <c r="BI62" s="65">
        <f t="shared" si="46"/>
        <v>0</v>
      </c>
      <c r="BJ62" s="38">
        <f>IF(AND(BJ$7="○",$A62&gt;=BJ$8,$A62&lt;=BJ$9),IF(SUM(BJ$10:BJ61)-ROUNDDOWN($M62*BJ$5/100,0)&lt;-BJ$6,-BJ$6-SUM(BJ$10:BJ61),-ROUNDDOWN($M62*BJ$5/100,0)),0)</f>
        <v>0</v>
      </c>
      <c r="BK62" s="38">
        <f>IF(AND(BK$7="○",$A62&gt;=BK$8,$A62&lt;=BK$9),IF(SUM(BK$10:BK61)-ROUNDDOWN($L62*BK$5/100,0)&lt;-BK$6,-BK$6-SUM(BK$10:BK61),-ROUNDDOWN($L62*BK$5/100,0)),0)</f>
        <v>0</v>
      </c>
      <c r="BL62" s="38">
        <f>IF(AND(BL$7="○",$A62&gt;=BL$8,$A62&lt;=BL$9),IF(SUM(BL$10:BL61)-ROUNDDOWN($L62*BL$5/100,0)&lt;-BL$6,-BL$6-SUM(BL$10:BL61),-ROUNDDOWN($L62*BL$5/100,0)),0)</f>
        <v>0</v>
      </c>
      <c r="BM62" s="38">
        <f>IF(AND(BM$7="○",$A62&gt;=BM$8,$A62&lt;=BM$9),IF(SUM(BM$10:BM61)-ROUNDDOWN($M62*BM$5/100,0)&lt;-BM$6,-BM$6-SUM(BM$10:BM61),-ROUNDDOWN($M62*BM$5/100,0)),0)</f>
        <v>0</v>
      </c>
      <c r="BN62" s="38">
        <f>IF(AND(BN$7="○",$A62&gt;=BN$8,$A62&lt;=BN$9),IF(SUM(BN$10:BN61)-ROUNDDOWN($M62*BN$5/100,0)&lt;-BN$6,-BN$6-SUM(BN$10:BN61),-ROUNDDOWN($M62*BN$5/100,0)),0)</f>
        <v>0</v>
      </c>
      <c r="BO62" s="38">
        <f>IF(AND(BO$7="○",$A62&gt;=BO$8,$A62&lt;=BO$9),IF(SUM(BO$10:BO61)-ROUNDDOWN($M62*BO$5/100,0)&lt;-BO$6,-BO$6-SUM(BO$10:BO61),-ROUNDDOWN($M62*BO$5/100,0)),0)</f>
        <v>0</v>
      </c>
      <c r="BP62" s="38">
        <f>IF(AND(BP$7="○",$A62&gt;=BP$8,$A62&lt;=BP$9),IF(SUM(BP$10:BP61)-ROUNDDOWN($M62*BP$5/100,0)&lt;-BP$6,-BP$6-SUM(BP$10:BP61),-ROUNDDOWN($M62*BP$5/100,0)),0)</f>
        <v>0</v>
      </c>
      <c r="BQ62" s="38">
        <f>IF(AND(BQ$7="○",$A62&gt;=BQ$8,$A62&lt;=BQ$9),IF(SUM(BQ$10:BQ61)-ROUNDDOWN($L62*BQ$5/100,0)&lt;-BQ$6,-BQ$6-SUM(BQ$10:BQ61),-ROUNDDOWN($L62*BQ$5/100,0)),0)</f>
        <v>0</v>
      </c>
      <c r="BR62" s="38">
        <f>IF(AND(BR$7="○",$A62&gt;=BR$8,$A62&lt;=BR$9),IF(SUM(BR$10:BR61)-ROUNDDOWN($M62*BR$5/100,0)&lt;-BR$6,-BR$6-SUM(BR$10:BR61),-ROUNDDOWN($M62*BR$5/100,0)),0)</f>
        <v>0</v>
      </c>
      <c r="BS62" s="38">
        <f>IF(AND(BS$7="○",$A62&gt;=BS$8,$A62&lt;=BS$9),IF(SUM(BS$10:BS61)-ROUNDDOWN($M62*BS$5/100,0)&lt;-BS$6,-BS$6-SUM(BS$10:BS61),-ROUNDDOWN($M62*BS$5/100,0)),0)</f>
        <v>0</v>
      </c>
      <c r="BT62" s="38">
        <f>IF(AND(BT$7="○",$A62&gt;=BT$8,$A62&lt;=BT$9),IF(SUM(BT$10:BT61)-ROUNDDOWN($M62*BT$5/100,0)&lt;-BT$6,-BT$6-SUM(BT$10:BT61),-ROUNDDOWN($M62*BT$5/100,0)),0)</f>
        <v>0</v>
      </c>
      <c r="BU62" s="38">
        <f>IF(AND(BU$7="○",$A62&gt;=BU$8,$A62&lt;=BU$9),IF(SUM(BU$10:BU61)-ROUNDDOWN($M62*BU$5/100,0)&lt;-BU$6,-BU$6-SUM(BU$10:BU61),-ROUNDDOWN($M62*BU$5/100,0)),0)</f>
        <v>0</v>
      </c>
      <c r="BV62" s="38">
        <f>IF(AND(BV$7="○",$A62&gt;=BV$8,$A62&lt;=BV$9),IF(SUM(BV$10:BV61)-ROUNDDOWN($M62*BV$5/100,0)&lt;-BV$6,-BV$6-SUM(BV$10:BV61),-ROUNDDOWN($M62*BV$5/100,0)),0)</f>
        <v>0</v>
      </c>
      <c r="BW62" s="38">
        <f>IF(AND(BW$7="○",$A62&gt;=BW$8,$A62&lt;=BW$9),IF(SUM(BW$10:BW61)-ROUNDDOWN($M62*BW$5/100,0)&lt;-BW$6,-BW$6-SUM(BW$10:BW61),-ROUNDDOWN($M62*BW$5/100,0)),0)</f>
        <v>0</v>
      </c>
      <c r="BX62" s="38">
        <f>IF(AND(T62="○",$A62&gt;=BX$8,$A62&lt;=BX$9),IF(SUM(BX$10:BX61)-ROUNDDOWN($K62*BX$5/100,0)&lt;-BX$6,-BX$6-SUM(BX$10:BX61),-ROUNDDOWN($K62*BX$5/100,0)),0)</f>
        <v>0</v>
      </c>
      <c r="BY62" s="38">
        <f>IF(AND(U62="○",$A62&gt;=BY$8,$A62&lt;=BY$9),IF(SUM(BY$10:BY61)-ROUNDDOWN($K62*BY$5/100,0)&lt;-BY$6,-BY$6-SUM(BY$10:BY61),-ROUNDDOWN($K62*BY$5/100,0)),0)</f>
        <v>0</v>
      </c>
      <c r="BZ62" s="38">
        <f>IF(AND(V62="○",$A62&gt;=BZ$8,$A62&lt;=BZ$9),IF(SUM(BZ$10:BZ61)-ROUNDDOWN($K62*BZ$5/100,0)&lt;-BZ$6,-BZ$6-SUM(BZ$10:BZ61),-ROUNDDOWN($K62*BZ$5/100,0)),0)</f>
        <v>0</v>
      </c>
      <c r="CA62" s="38">
        <f>IF(AND(W62="○",$A62&gt;=CA$8,$A62&lt;=CA$9),IF(SUM(CA$10:CA61)-ROUNDDOWN($K62*CA$5/100,0)&lt;-CA$6,-CA$6-SUM(CA$10:CA61),-ROUNDDOWN($K62*CA$5/100,0)),0)</f>
        <v>0</v>
      </c>
      <c r="CB62" s="38"/>
      <c r="CC62" s="38"/>
      <c r="CD62" s="38"/>
      <c r="CE62" s="38"/>
      <c r="CF62" s="38"/>
      <c r="CG62" s="65">
        <f t="shared" si="47"/>
        <v>0</v>
      </c>
      <c r="CH62" s="71">
        <f t="shared" si="48"/>
        <v>0</v>
      </c>
      <c r="CI62" s="1">
        <f t="shared" si="65"/>
        <v>0</v>
      </c>
      <c r="CJ62" s="1"/>
      <c r="CK62" s="75"/>
      <c r="CL62" s="75"/>
      <c r="CM62" s="2"/>
      <c r="CN62" s="2"/>
      <c r="CO62" s="73">
        <f t="shared" si="66"/>
        <v>0</v>
      </c>
      <c r="CP62" s="5">
        <f t="shared" si="67"/>
        <v>0</v>
      </c>
      <c r="CQ62" s="1"/>
      <c r="CR62" s="1">
        <f t="shared" si="68"/>
        <v>0</v>
      </c>
      <c r="CS62" s="1"/>
      <c r="CT62" s="1" t="e">
        <f>INDEX([2]マスタ!$A:$A,MATCH(D62,[2]マスタ!$C:$C,0))</f>
        <v>#N/A</v>
      </c>
      <c r="CU62" s="1" t="str">
        <f t="shared" ca="1" si="69"/>
        <v>20260620_0-0</v>
      </c>
    </row>
    <row r="63" spans="1:99" x14ac:dyDescent="0.4">
      <c r="A63" s="61"/>
      <c r="B63" s="62"/>
      <c r="C63" s="62"/>
      <c r="D63" s="62"/>
      <c r="E63" s="63"/>
      <c r="F63" s="62"/>
      <c r="G63" s="62">
        <v>1</v>
      </c>
      <c r="H63" s="64">
        <f t="shared" si="56"/>
        <v>0</v>
      </c>
      <c r="I63" s="64"/>
      <c r="J63" s="64"/>
      <c r="K63" s="65">
        <f>+ROUNDDOWN((H63+I63)/100,0)*100</f>
        <v>0</v>
      </c>
      <c r="L63" s="65">
        <f t="shared" si="58"/>
        <v>0</v>
      </c>
      <c r="M63" s="65">
        <f t="shared" si="59"/>
        <v>0</v>
      </c>
      <c r="N63" s="65">
        <f t="shared" si="60"/>
        <v>0</v>
      </c>
      <c r="O63" s="66" t="str">
        <f t="shared" si="61"/>
        <v>✕</v>
      </c>
      <c r="P63" s="67" t="str">
        <f t="shared" si="62"/>
        <v>○</v>
      </c>
      <c r="Q63" s="67" t="str">
        <f>+IF((TEXT($A63,"DD")+0)=1,"○","✕")</f>
        <v>✕</v>
      </c>
      <c r="R63" s="67" t="str">
        <f t="shared" si="64"/>
        <v>✕</v>
      </c>
      <c r="S63" s="68">
        <v>0</v>
      </c>
      <c r="T63" s="69" t="s">
        <v>85</v>
      </c>
      <c r="U63" s="69" t="s">
        <v>85</v>
      </c>
      <c r="V63" s="69" t="s">
        <v>85</v>
      </c>
      <c r="W63" s="69" t="s">
        <v>85</v>
      </c>
      <c r="X63" s="69" t="s">
        <v>84</v>
      </c>
      <c r="Y63" s="69" t="s">
        <v>85</v>
      </c>
      <c r="Z63" s="69" t="s">
        <v>85</v>
      </c>
      <c r="AA63" s="69" t="s">
        <v>85</v>
      </c>
      <c r="AB63" s="69" t="s">
        <v>85</v>
      </c>
      <c r="AC63" s="69" t="s">
        <v>85</v>
      </c>
      <c r="AD63" s="38" t="str">
        <f>+IF(ISERROR(VLOOKUP($B63,AD$10:AD62,1,0)),IF(AND($N63&gt;=1000,$A63&gt;=AO$8,$A63&lt;=AO$9),$B63,""),"")</f>
        <v/>
      </c>
      <c r="AE63" s="38" t="str">
        <f>+IF(ISERROR(VLOOKUP($B63,AE$10:AE62,1,0)),IF(AND($N63&gt;=1000,$A63&gt;=AP$8,$A63&lt;=AP$9),$B63,""),"")</f>
        <v/>
      </c>
      <c r="AF63" s="38" t="str">
        <f>+IF(ISERROR(VLOOKUP($B63,AF$10:AF62,1,0)),IF(AND($N63&gt;=1000,$A63&gt;=AQ$8,$A63&lt;=AQ$9),$B63,""),"")</f>
        <v/>
      </c>
      <c r="AG63" s="38" t="str">
        <f>+IF(ISERROR(VLOOKUP($B63,AG$10:AG62,1,0)),IF(AND($N63&gt;=1000,$A63&gt;=AR$8,$A63&lt;=AR$9),$B63,""),"")</f>
        <v/>
      </c>
      <c r="AH63" s="38"/>
      <c r="AI63" s="70">
        <v>0</v>
      </c>
      <c r="AJ63" s="38">
        <f>IF(AND(AJ$7="○",$A63&gt;=AJ$8,$A63&lt;=AJ$9),IF(SUM(AJ$10:AJ62)-ROUNDDOWN($K63*AJ$5/100,0)&lt;-AJ$6,-AJ$6-SUM(AJ$10:AJ62),-ROUNDDOWN($K63*AJ$5/100,0)),0)</f>
        <v>0</v>
      </c>
      <c r="AK63" s="38">
        <f>IF(AND(AK$7="○",$A63&gt;=AK$8,$A63&lt;=AK$9),IF(SUM(AK$10:AK62)-ROUNDDOWN($L63*AK$5/100,0)&lt;-AK$6,-AK$6-SUM(AK$10:AK62),-ROUNDDOWN($L63*AK$5/100,0)),0)</f>
        <v>0</v>
      </c>
      <c r="AL63" s="38">
        <f>IF(AND(AL$7="○",$A63&gt;=AL$8,$A63&lt;=AL$9),IF(SUM(AL$10:AL62)-ROUNDDOWN($N63*AL$5/100,0)&lt;-AL$6,-AL$6-SUM(AL$10:AL62),-ROUNDDOWN($N63*AL$5/100,0)),0)</f>
        <v>0</v>
      </c>
      <c r="AM63" s="38">
        <f>IF(AND(AM$7="○",$A63&gt;=AM$8,$A63&lt;=AM$9),IF(SUM(AM$10:AM62)-ROUNDDOWN($L63*AM$5/100,0)&lt;-AM$6,-AM$6-SUM(AM$10:AM62),-ROUNDDOWN($L63*AM$5/100,0)),0)</f>
        <v>0</v>
      </c>
      <c r="AN63" s="38">
        <f>IF(AND(AN$7="○",$A63&gt;=AN$8,$A63&lt;=AN$9),IF(SUM(AN$10:AN62)-ROUNDDOWN($M63*AN$5/100,0)&lt;-AN$6,-AN$6-SUM(AN$10:AN62),-ROUNDDOWN($M63*AN$5/100,0)),0)</f>
        <v>0</v>
      </c>
      <c r="AO63" s="38">
        <f>IF(AND($A63&gt;=AO$8,$A63&lt;=AO$9),IF(SUM(AO$10:AO62)-ROUNDDOWN($K63*AO$5/100,0)&lt;-AO$6,-AO$6-SUM(AO$10:AO62),-ROUNDDOWN($K63*AO$5/100,0)),0)</f>
        <v>0</v>
      </c>
      <c r="AP63" s="38">
        <f>IF(AND($A63&gt;=AP$8,$A63&lt;=AP$9),IF(SUM(AP$10:AP62)-ROUNDDOWN($K63*AP$5/100,0)&lt;-AP$6,-AP$6-SUM(AP$10:AP62),-ROUNDDOWN($K63*AP$5/100,0)),0)</f>
        <v>0</v>
      </c>
      <c r="AQ63" s="38">
        <f>IF(AND($A63&gt;=AQ$8,$A63&lt;=AQ$9),IF(SUM(AQ$10:AQ62)-ROUNDDOWN($K63*AQ$5/100,0)&lt;-AQ$6,-AQ$6-SUM(AQ$10:AQ62),-ROUNDDOWN($K63*AQ$5/100,0)),0)</f>
        <v>0</v>
      </c>
      <c r="AR63" s="38">
        <f>IF(AND($A63&gt;=AR$8,$A63&lt;=AR$9),IF(SUM(AR$10:AR62)-ROUNDDOWN($K63*AR$5/100,0)&lt;-AR$6,-AR$6-SUM(AR$10:AR62),-ROUNDDOWN($K63*AR$5/100,0)),0)</f>
        <v>0</v>
      </c>
      <c r="AS63" s="38">
        <f>IF(SUMIFS(AS$10:AS62,$A$10:$A62,$A63)-ROUNDDOWN($K63*$S63/100,0)&lt;-$S63*1000,-$S63*1000-SUMIFS(AS$10:AS62,$A$10:$A62,$A63),-ROUNDDOWN($K63*$S63/100,0))</f>
        <v>0</v>
      </c>
      <c r="AT63" s="38">
        <f>IF(AND(X63="○",$A63&gt;=AT$8,$A63&lt;=AT$9,K63&gt;=3980),IF(SUM(AT$10:AT62)-ROUNDDOWN($K63*AT$5/100,0)&lt;-AT$6,-AT$6-SUM(AT$10:AT62),-ROUNDDOWN($K63*AT$5/100,0)),0)</f>
        <v>0</v>
      </c>
      <c r="AU63" s="38">
        <f>IF(O63="○",IF(SUM(AU$10:AU62)-ROUNDDOWN($K63*AU$5/100,0)&lt;-AU$6,-AU$6-SUM(AU$10:AU62),-ROUNDDOWN($K63*AU$5/100,0)),0)</f>
        <v>0</v>
      </c>
      <c r="AV63" s="38">
        <f>IF(P63="○",IF(SUM(AV$10:AV62)-ROUNDDOWN($K63*AV$5/100,0)&lt;-AV$6,-AV$6-SUM(AV$10:AV62),-ROUNDDOWN($K63*AV$5/100,0)),0)</f>
        <v>0</v>
      </c>
      <c r="AW63" s="38">
        <f>IF(Q63="○",IF(SUM(AW$10:AW62)-ROUNDDOWN($K63*AW$5/100,0)&lt;-AW$6,-AW$6-SUM(AW$10:AW62),-ROUNDDOWN($K63*AW$5/100,0)),0)</f>
        <v>0</v>
      </c>
      <c r="AX63" s="38">
        <f>IF(R63="○",IF(SUM(AX$10:AX62)-ROUNDDOWN($K63*AX$5/100,0)&lt;-AX$6,-AX$6-SUM(AX$10:AX62),-ROUNDDOWN($K63*AX$5/100,0)),0)</f>
        <v>0</v>
      </c>
      <c r="AY63" s="70">
        <v>0</v>
      </c>
      <c r="AZ63" s="65">
        <f t="shared" si="41"/>
        <v>0</v>
      </c>
      <c r="BA63" s="65">
        <f t="shared" si="42"/>
        <v>0</v>
      </c>
      <c r="BB63" s="70"/>
      <c r="BC63" s="65">
        <f t="shared" si="43"/>
        <v>0</v>
      </c>
      <c r="BD63" s="70">
        <v>0</v>
      </c>
      <c r="BE63" s="65">
        <f t="shared" si="44"/>
        <v>0</v>
      </c>
      <c r="BF63" s="70">
        <v>0</v>
      </c>
      <c r="BG63" s="65">
        <f t="shared" si="45"/>
        <v>0</v>
      </c>
      <c r="BH63" s="70">
        <v>0</v>
      </c>
      <c r="BI63" s="65">
        <f t="shared" si="46"/>
        <v>0</v>
      </c>
      <c r="BJ63" s="38">
        <f>IF(AND(BJ$7="○",$A63&gt;=BJ$8,$A63&lt;=BJ$9),IF(SUM(BJ$10:BJ62)-ROUNDDOWN($M63*BJ$5/100,0)&lt;-BJ$6,-BJ$6-SUM(BJ$10:BJ62),-ROUNDDOWN($M63*BJ$5/100,0)),0)</f>
        <v>0</v>
      </c>
      <c r="BK63" s="38">
        <f>IF(AND(BK$7="○",$A63&gt;=BK$8,$A63&lt;=BK$9),IF(SUM(BK$10:BK62)-ROUNDDOWN($L63*BK$5/100,0)&lt;-BK$6,-BK$6-SUM(BK$10:BK62),-ROUNDDOWN($L63*BK$5/100,0)),0)</f>
        <v>0</v>
      </c>
      <c r="BL63" s="38">
        <f>IF(AND(BL$7="○",$A63&gt;=BL$8,$A63&lt;=BL$9),IF(SUM(BL$10:BL62)-ROUNDDOWN($L63*BL$5/100,0)&lt;-BL$6,-BL$6-SUM(BL$10:BL62),-ROUNDDOWN($L63*BL$5/100,0)),0)</f>
        <v>0</v>
      </c>
      <c r="BM63" s="38">
        <f>IF(AND(BM$7="○",$A63&gt;=BM$8,$A63&lt;=BM$9),IF(SUM(BM$10:BM62)-ROUNDDOWN($M63*BM$5/100,0)&lt;-BM$6,-BM$6-SUM(BM$10:BM62),-ROUNDDOWN($M63*BM$5/100,0)),0)</f>
        <v>0</v>
      </c>
      <c r="BN63" s="38">
        <f>IF(AND(BN$7="○",$A63&gt;=BN$8,$A63&lt;=BN$9),IF(SUM(BN$10:BN62)-ROUNDDOWN($M63*BN$5/100,0)&lt;-BN$6,-BN$6-SUM(BN$10:BN62),-ROUNDDOWN($M63*BN$5/100,0)),0)</f>
        <v>0</v>
      </c>
      <c r="BO63" s="38">
        <f>IF(AND(BO$7="○",$A63&gt;=BO$8,$A63&lt;=BO$9),IF(SUM(BO$10:BO62)-ROUNDDOWN($M63*BO$5/100,0)&lt;-BO$6,-BO$6-SUM(BO$10:BO62),-ROUNDDOWN($M63*BO$5/100,0)),0)</f>
        <v>0</v>
      </c>
      <c r="BP63" s="38">
        <f>IF(AND(BP$7="○",$A63&gt;=BP$8,$A63&lt;=BP$9),IF(SUM(BP$10:BP62)-ROUNDDOWN($M63*BP$5/100,0)&lt;-BP$6,-BP$6-SUM(BP$10:BP62),-ROUNDDOWN($M63*BP$5/100,0)),0)</f>
        <v>0</v>
      </c>
      <c r="BQ63" s="38">
        <f>IF(AND(BQ$7="○",$A63&gt;=BQ$8,$A63&lt;=BQ$9),IF(SUM(BQ$10:BQ62)-ROUNDDOWN($L63*BQ$5/100,0)&lt;-BQ$6,-BQ$6-SUM(BQ$10:BQ62),-ROUNDDOWN($L63*BQ$5/100,0)),0)</f>
        <v>0</v>
      </c>
      <c r="BR63" s="38">
        <f>IF(AND(BR$7="○",$A63&gt;=BR$8,$A63&lt;=BR$9),IF(SUM(BR$10:BR62)-ROUNDDOWN($M63*BR$5/100,0)&lt;-BR$6,-BR$6-SUM(BR$10:BR62),-ROUNDDOWN($M63*BR$5/100,0)),0)</f>
        <v>0</v>
      </c>
      <c r="BS63" s="38">
        <f>IF(AND(BS$7="○",$A63&gt;=BS$8,$A63&lt;=BS$9),IF(SUM(BS$10:BS62)-ROUNDDOWN($M63*BS$5/100,0)&lt;-BS$6,-BS$6-SUM(BS$10:BS62),-ROUNDDOWN($M63*BS$5/100,0)),0)</f>
        <v>0</v>
      </c>
      <c r="BT63" s="38">
        <f>IF(AND(BT$7="○",$A63&gt;=BT$8,$A63&lt;=BT$9),IF(SUM(BT$10:BT62)-ROUNDDOWN($M63*BT$5/100,0)&lt;-BT$6,-BT$6-SUM(BT$10:BT62),-ROUNDDOWN($M63*BT$5/100,0)),0)</f>
        <v>0</v>
      </c>
      <c r="BU63" s="38">
        <f>IF(AND(BU$7="○",$A63&gt;=BU$8,$A63&lt;=BU$9),IF(SUM(BU$10:BU62)-ROUNDDOWN($M63*BU$5/100,0)&lt;-BU$6,-BU$6-SUM(BU$10:BU62),-ROUNDDOWN($M63*BU$5/100,0)),0)</f>
        <v>0</v>
      </c>
      <c r="BV63" s="38">
        <f>IF(AND(BV$7="○",$A63&gt;=BV$8,$A63&lt;=BV$9),IF(SUM(BV$10:BV62)-ROUNDDOWN($M63*BV$5/100,0)&lt;-BV$6,-BV$6-SUM(BV$10:BV62),-ROUNDDOWN($M63*BV$5/100,0)),0)</f>
        <v>0</v>
      </c>
      <c r="BW63" s="38">
        <f>IF(AND(BW$7="○",$A63&gt;=BW$8,$A63&lt;=BW$9),IF(SUM(BW$10:BW62)-ROUNDDOWN($M63*BW$5/100,0)&lt;-BW$6,-BW$6-SUM(BW$10:BW62),-ROUNDDOWN($M63*BW$5/100,0)),0)</f>
        <v>0</v>
      </c>
      <c r="BX63" s="38">
        <f>IF(AND(T63="○",$A63&gt;=BX$8,$A63&lt;=BX$9),IF(SUM(BX$10:BX62)-ROUNDDOWN($K63*BX$5/100,0)&lt;-BX$6,-BX$6-SUM(BX$10:BX62),-ROUNDDOWN($K63*BX$5/100,0)),0)</f>
        <v>0</v>
      </c>
      <c r="BY63" s="38">
        <f>IF(AND(U63="○",$A63&gt;=BY$8,$A63&lt;=BY$9),IF(SUM(BY$10:BY62)-ROUNDDOWN($K63*BY$5/100,0)&lt;-BY$6,-BY$6-SUM(BY$10:BY62),-ROUNDDOWN($K63*BY$5/100,0)),0)</f>
        <v>0</v>
      </c>
      <c r="BZ63" s="38">
        <f>IF(AND(V63="○",$A63&gt;=BZ$8,$A63&lt;=BZ$9),IF(SUM(BZ$10:BZ62)-ROUNDDOWN($K63*BZ$5/100,0)&lt;-BZ$6,-BZ$6-SUM(BZ$10:BZ62),-ROUNDDOWN($K63*BZ$5/100,0)),0)</f>
        <v>0</v>
      </c>
      <c r="CA63" s="38">
        <f>IF(AND(W63="○",$A63&gt;=CA$8,$A63&lt;=CA$9),IF(SUM(CA$10:CA62)-ROUNDDOWN($K63*CA$5/100,0)&lt;-CA$6,-CA$6-SUM(CA$10:CA62),-ROUNDDOWN($K63*CA$5/100,0)),0)</f>
        <v>0</v>
      </c>
      <c r="CB63" s="38"/>
      <c r="CC63" s="38"/>
      <c r="CD63" s="38"/>
      <c r="CE63" s="38"/>
      <c r="CF63" s="38"/>
      <c r="CG63" s="65">
        <f t="shared" si="47"/>
        <v>0</v>
      </c>
      <c r="CH63" s="71">
        <f t="shared" si="48"/>
        <v>0</v>
      </c>
      <c r="CI63" s="1">
        <f t="shared" si="65"/>
        <v>0</v>
      </c>
      <c r="CJ63" s="1"/>
      <c r="CK63" s="72"/>
      <c r="CL63" s="72"/>
      <c r="CM63" s="2"/>
      <c r="CN63" s="2"/>
      <c r="CO63" s="73">
        <f t="shared" si="66"/>
        <v>0</v>
      </c>
      <c r="CP63" s="5">
        <f t="shared" si="67"/>
        <v>0</v>
      </c>
      <c r="CQ63" s="1"/>
      <c r="CR63" s="1">
        <f t="shared" si="68"/>
        <v>0</v>
      </c>
      <c r="CS63" s="1"/>
      <c r="CT63" s="1" t="e">
        <f>INDEX([2]マスタ!$A:$A,MATCH(D63,[2]マスタ!$C:$C,0))</f>
        <v>#N/A</v>
      </c>
      <c r="CU63" s="1" t="str">
        <f t="shared" ca="1" si="69"/>
        <v>20260620_0-0</v>
      </c>
    </row>
    <row r="64" spans="1:99" x14ac:dyDescent="0.4">
      <c r="A64" s="61"/>
      <c r="B64" s="62"/>
      <c r="C64" s="62"/>
      <c r="D64" s="62"/>
      <c r="E64" s="77"/>
      <c r="F64" s="62"/>
      <c r="G64" s="62">
        <v>1</v>
      </c>
      <c r="H64" s="64">
        <f t="shared" si="56"/>
        <v>0</v>
      </c>
      <c r="I64" s="64"/>
      <c r="J64" s="64"/>
      <c r="K64" s="65">
        <f>+ROUNDDOWN((H64+I64)/100,0)*100</f>
        <v>0</v>
      </c>
      <c r="L64" s="65">
        <f t="shared" si="58"/>
        <v>0</v>
      </c>
      <c r="M64" s="65">
        <f t="shared" si="59"/>
        <v>0</v>
      </c>
      <c r="N64" s="65">
        <f t="shared" si="60"/>
        <v>0</v>
      </c>
      <c r="O64" s="66" t="str">
        <f t="shared" si="61"/>
        <v>✕</v>
      </c>
      <c r="P64" s="67" t="str">
        <f t="shared" si="62"/>
        <v>○</v>
      </c>
      <c r="Q64" s="67" t="str">
        <f>+IF((TEXT($A64,"DD")+0)=1,"○","✕")</f>
        <v>✕</v>
      </c>
      <c r="R64" s="67" t="str">
        <f t="shared" si="64"/>
        <v>✕</v>
      </c>
      <c r="S64" s="68">
        <v>0</v>
      </c>
      <c r="T64" s="69" t="s">
        <v>85</v>
      </c>
      <c r="U64" s="69" t="s">
        <v>85</v>
      </c>
      <c r="V64" s="69" t="s">
        <v>85</v>
      </c>
      <c r="W64" s="69" t="s">
        <v>85</v>
      </c>
      <c r="X64" s="69" t="s">
        <v>84</v>
      </c>
      <c r="Y64" s="69" t="s">
        <v>85</v>
      </c>
      <c r="Z64" s="69" t="s">
        <v>85</v>
      </c>
      <c r="AA64" s="69" t="s">
        <v>85</v>
      </c>
      <c r="AB64" s="69" t="s">
        <v>85</v>
      </c>
      <c r="AC64" s="69" t="s">
        <v>85</v>
      </c>
      <c r="AD64" s="38" t="str">
        <f>+IF(ISERROR(VLOOKUP($B64,AD$10:AD63,1,0)),IF(AND($N64&gt;=1000,$A64&gt;=AO$8,$A64&lt;=AO$9),$B64,""),"")</f>
        <v/>
      </c>
      <c r="AE64" s="38" t="str">
        <f>+IF(ISERROR(VLOOKUP($B64,AE$10:AE63,1,0)),IF(AND($N64&gt;=1000,$A64&gt;=AP$8,$A64&lt;=AP$9),$B64,""),"")</f>
        <v/>
      </c>
      <c r="AF64" s="38" t="str">
        <f>+IF(ISERROR(VLOOKUP($B64,AF$10:AF63,1,0)),IF(AND($N64&gt;=1000,$A64&gt;=AQ$8,$A64&lt;=AQ$9),$B64,""),"")</f>
        <v/>
      </c>
      <c r="AG64" s="38" t="str">
        <f>+IF(ISERROR(VLOOKUP($B64,AG$10:AG63,1,0)),IF(AND($N64&gt;=1000,$A64&gt;=AR$8,$A64&lt;=AR$9),$B64,""),"")</f>
        <v/>
      </c>
      <c r="AH64" s="38"/>
      <c r="AI64" s="70">
        <v>0</v>
      </c>
      <c r="AJ64" s="38">
        <f>IF(AND(AJ$7="○",$A64&gt;=AJ$8,$A64&lt;=AJ$9),IF(SUM(AJ$10:AJ63)-ROUNDDOWN($K64*AJ$5/100,0)&lt;-AJ$6,-AJ$6-SUM(AJ$10:AJ63),-ROUNDDOWN($K64*AJ$5/100,0)),0)</f>
        <v>0</v>
      </c>
      <c r="AK64" s="38">
        <f>IF(AND(AK$7="○",$A64&gt;=AK$8,$A64&lt;=AK$9),IF(SUM(AK$10:AK63)-ROUNDDOWN($L64*AK$5/100,0)&lt;-AK$6,-AK$6-SUM(AK$10:AK63),-ROUNDDOWN($L64*AK$5/100,0)),0)</f>
        <v>0</v>
      </c>
      <c r="AL64" s="38">
        <f>IF(AND(AL$7="○",$A64&gt;=AL$8,$A64&lt;=AL$9),IF(SUM(AL$10:AL63)-ROUNDDOWN($N64*AL$5/100,0)&lt;-AL$6,-AL$6-SUM(AL$10:AL63),-ROUNDDOWN($N64*AL$5/100,0)),0)</f>
        <v>0</v>
      </c>
      <c r="AM64" s="38">
        <f>IF(AND(AM$7="○",$A64&gt;=AM$8,$A64&lt;=AM$9),IF(SUM(AM$10:AM63)-ROUNDDOWN($L64*AM$5/100,0)&lt;-AM$6,-AM$6-SUM(AM$10:AM63),-ROUNDDOWN($L64*AM$5/100,0)),0)</f>
        <v>0</v>
      </c>
      <c r="AN64" s="38">
        <f>IF(AND(AN$7="○",$A64&gt;=AN$8,$A64&lt;=AN$9),IF(SUM(AN$10:AN63)-ROUNDDOWN($M64*AN$5/100,0)&lt;-AN$6,-AN$6-SUM(AN$10:AN63),-ROUNDDOWN($M64*AN$5/100,0)),0)</f>
        <v>0</v>
      </c>
      <c r="AO64" s="38">
        <f>IF(AND($A64&gt;=AO$8,$A64&lt;=AO$9),IF(SUM(AO$10:AO63)-ROUNDDOWN($K64*AO$5/100,0)&lt;-AO$6,-AO$6-SUM(AO$10:AO63),-ROUNDDOWN($K64*AO$5/100,0)),0)</f>
        <v>0</v>
      </c>
      <c r="AP64" s="38">
        <f>IF(AND($A64&gt;=AP$8,$A64&lt;=AP$9),IF(SUM(AP$10:AP63)-ROUNDDOWN($K64*AP$5/100,0)&lt;-AP$6,-AP$6-SUM(AP$10:AP63),-ROUNDDOWN($K64*AP$5/100,0)),0)</f>
        <v>0</v>
      </c>
      <c r="AQ64" s="38">
        <f>IF(AND($A64&gt;=AQ$8,$A64&lt;=AQ$9),IF(SUM(AQ$10:AQ63)-ROUNDDOWN($K64*AQ$5/100,0)&lt;-AQ$6,-AQ$6-SUM(AQ$10:AQ63),-ROUNDDOWN($K64*AQ$5/100,0)),0)</f>
        <v>0</v>
      </c>
      <c r="AR64" s="38">
        <f>IF(AND($A64&gt;=AR$8,$A64&lt;=AR$9),IF(SUM(AR$10:AR63)-ROUNDDOWN($K64*AR$5/100,0)&lt;-AR$6,-AR$6-SUM(AR$10:AR63),-ROUNDDOWN($K64*AR$5/100,0)),0)</f>
        <v>0</v>
      </c>
      <c r="AS64" s="38">
        <f>IF(SUMIFS(AS$10:AS63,$A$10:$A63,$A64)-ROUNDDOWN($K64*$S64/100,0)&lt;-$S64*1000,-$S64*1000-SUMIFS(AS$10:AS63,$A$10:$A63,$A64),-ROUNDDOWN($K64*$S64/100,0))</f>
        <v>0</v>
      </c>
      <c r="AT64" s="38">
        <f>IF(AND(X64="○",$A64&gt;=AT$8,$A64&lt;=AT$9,K64&gt;=3980),IF(SUM(AT$10:AT63)-ROUNDDOWN($K64*AT$5/100,0)&lt;-AT$6,-AT$6-SUM(AT$10:AT63),-ROUNDDOWN($K64*AT$5/100,0)),0)</f>
        <v>0</v>
      </c>
      <c r="AU64" s="38">
        <f>IF(O64="○",IF(SUM(AU$10:AU63)-ROUNDDOWN($K64*AU$5/100,0)&lt;-AU$6,-AU$6-SUM(AU$10:AU63),-ROUNDDOWN($K64*AU$5/100,0)),0)</f>
        <v>0</v>
      </c>
      <c r="AV64" s="38">
        <f>IF(P64="○",IF(SUM(AV$10:AV63)-ROUNDDOWN($K64*AV$5/100,0)&lt;-AV$6,-AV$6-SUM(AV$10:AV63),-ROUNDDOWN($K64*AV$5/100,0)),0)</f>
        <v>0</v>
      </c>
      <c r="AW64" s="38">
        <f>IF(Q64="○",IF(SUM(AW$10:AW63)-ROUNDDOWN($K64*AW$5/100,0)&lt;-AW$6,-AW$6-SUM(AW$10:AW63),-ROUNDDOWN($K64*AW$5/100,0)),0)</f>
        <v>0</v>
      </c>
      <c r="AX64" s="38">
        <f>IF(R64="○",IF(SUM(AX$10:AX63)-ROUNDDOWN($K64*AX$5/100,0)&lt;-AX$6,-AX$6-SUM(AX$10:AX63),-ROUNDDOWN($K64*AX$5/100,0)),0)</f>
        <v>0</v>
      </c>
      <c r="AY64" s="70">
        <v>0</v>
      </c>
      <c r="AZ64" s="65">
        <f t="shared" si="41"/>
        <v>0</v>
      </c>
      <c r="BA64" s="65">
        <f t="shared" si="42"/>
        <v>0</v>
      </c>
      <c r="BB64" s="70"/>
      <c r="BC64" s="65">
        <f t="shared" si="43"/>
        <v>0</v>
      </c>
      <c r="BD64" s="70">
        <v>0</v>
      </c>
      <c r="BE64" s="65">
        <f t="shared" si="44"/>
        <v>0</v>
      </c>
      <c r="BF64" s="70">
        <v>0</v>
      </c>
      <c r="BG64" s="65">
        <f t="shared" si="45"/>
        <v>0</v>
      </c>
      <c r="BH64" s="70">
        <v>0</v>
      </c>
      <c r="BI64" s="65">
        <f t="shared" si="46"/>
        <v>0</v>
      </c>
      <c r="BJ64" s="38">
        <f>IF(AND(BJ$7="○",$A64&gt;=BJ$8,$A64&lt;=BJ$9),IF(SUM(BJ$10:BJ63)-ROUNDDOWN($M64*BJ$5/100,0)&lt;-BJ$6,-BJ$6-SUM(BJ$10:BJ63),-ROUNDDOWN($M64*BJ$5/100,0)),0)</f>
        <v>0</v>
      </c>
      <c r="BK64" s="38">
        <f>IF(AND(BK$7="○",$A64&gt;=BK$8,$A64&lt;=BK$9),IF(SUM(BK$10:BK63)-ROUNDDOWN($L64*BK$5/100,0)&lt;-BK$6,-BK$6-SUM(BK$10:BK63),-ROUNDDOWN($L64*BK$5/100,0)),0)</f>
        <v>0</v>
      </c>
      <c r="BL64" s="38">
        <f>IF(AND(BL$7="○",$A64&gt;=BL$8,$A64&lt;=BL$9),IF(SUM(BL$10:BL63)-ROUNDDOWN($L64*BL$5/100,0)&lt;-BL$6,-BL$6-SUM(BL$10:BL63),-ROUNDDOWN($L64*BL$5/100,0)),0)</f>
        <v>0</v>
      </c>
      <c r="BM64" s="38">
        <f>IF(AND(BM$7="○",$A64&gt;=BM$8,$A64&lt;=BM$9),IF(SUM(BM$10:BM63)-ROUNDDOWN($M64*BM$5/100,0)&lt;-BM$6,-BM$6-SUM(BM$10:BM63),-ROUNDDOWN($M64*BM$5/100,0)),0)</f>
        <v>0</v>
      </c>
      <c r="BN64" s="38">
        <f>IF(AND(BN$7="○",$A64&gt;=BN$8,$A64&lt;=BN$9),IF(SUM(BN$10:BN63)-ROUNDDOWN($M64*BN$5/100,0)&lt;-BN$6,-BN$6-SUM(BN$10:BN63),-ROUNDDOWN($M64*BN$5/100,0)),0)</f>
        <v>0</v>
      </c>
      <c r="BO64" s="38">
        <f>IF(AND(BO$7="○",$A64&gt;=BO$8,$A64&lt;=BO$9),IF(SUM(BO$10:BO63)-ROUNDDOWN($M64*BO$5/100,0)&lt;-BO$6,-BO$6-SUM(BO$10:BO63),-ROUNDDOWN($M64*BO$5/100,0)),0)</f>
        <v>0</v>
      </c>
      <c r="BP64" s="38">
        <f>IF(AND(BP$7="○",$A64&gt;=BP$8,$A64&lt;=BP$9),IF(SUM(BP$10:BP63)-ROUNDDOWN($M64*BP$5/100,0)&lt;-BP$6,-BP$6-SUM(BP$10:BP63),-ROUNDDOWN($M64*BP$5/100,0)),0)</f>
        <v>0</v>
      </c>
      <c r="BQ64" s="38">
        <f>IF(AND(BQ$7="○",$A64&gt;=BQ$8,$A64&lt;=BQ$9),IF(SUM(BQ$10:BQ63)-ROUNDDOWN($L64*BQ$5/100,0)&lt;-BQ$6,-BQ$6-SUM(BQ$10:BQ63),-ROUNDDOWN($L64*BQ$5/100,0)),0)</f>
        <v>0</v>
      </c>
      <c r="BR64" s="38">
        <f>IF(AND(BR$7="○",$A64&gt;=BR$8,$A64&lt;=BR$9),IF(SUM(BR$10:BR63)-ROUNDDOWN($M64*BR$5/100,0)&lt;-BR$6,-BR$6-SUM(BR$10:BR63),-ROUNDDOWN($M64*BR$5/100,0)),0)</f>
        <v>0</v>
      </c>
      <c r="BS64" s="38">
        <f>IF(AND(BS$7="○",$A64&gt;=BS$8,$A64&lt;=BS$9),IF(SUM(BS$10:BS63)-ROUNDDOWN($M64*BS$5/100,0)&lt;-BS$6,-BS$6-SUM(BS$10:BS63),-ROUNDDOWN($M64*BS$5/100,0)),0)</f>
        <v>0</v>
      </c>
      <c r="BT64" s="38">
        <f>IF(AND(BT$7="○",$A64&gt;=BT$8,$A64&lt;=BT$9),IF(SUM(BT$10:BT63)-ROUNDDOWN($M64*BT$5/100,0)&lt;-BT$6,-BT$6-SUM(BT$10:BT63),-ROUNDDOWN($M64*BT$5/100,0)),0)</f>
        <v>0</v>
      </c>
      <c r="BU64" s="38">
        <f>IF(AND(BU$7="○",$A64&gt;=BU$8,$A64&lt;=BU$9),IF(SUM(BU$10:BU63)-ROUNDDOWN($M64*BU$5/100,0)&lt;-BU$6,-BU$6-SUM(BU$10:BU63),-ROUNDDOWN($M64*BU$5/100,0)),0)</f>
        <v>0</v>
      </c>
      <c r="BV64" s="38">
        <f>IF(AND(BV$7="○",$A64&gt;=BV$8,$A64&lt;=BV$9),IF(SUM(BV$10:BV63)-ROUNDDOWN($M64*BV$5/100,0)&lt;-BV$6,-BV$6-SUM(BV$10:BV63),-ROUNDDOWN($M64*BV$5/100,0)),0)</f>
        <v>0</v>
      </c>
      <c r="BW64" s="38">
        <f>IF(AND(BW$7="○",$A64&gt;=BW$8,$A64&lt;=BW$9),IF(SUM(BW$10:BW63)-ROUNDDOWN($M64*BW$5/100,0)&lt;-BW$6,-BW$6-SUM(BW$10:BW63),-ROUNDDOWN($M64*BW$5/100,0)),0)</f>
        <v>0</v>
      </c>
      <c r="BX64" s="38">
        <f>IF(AND(T64="○",$A64&gt;=BX$8,$A64&lt;=BX$9),IF(SUM(BX$10:BX63)-ROUNDDOWN($K64*BX$5/100,0)&lt;-BX$6,-BX$6-SUM(BX$10:BX63),-ROUNDDOWN($K64*BX$5/100,0)),0)</f>
        <v>0</v>
      </c>
      <c r="BY64" s="38">
        <f>IF(AND(U64="○",$A64&gt;=BY$8,$A64&lt;=BY$9),IF(SUM(BY$10:BY63)-ROUNDDOWN($K64*BY$5/100,0)&lt;-BY$6,-BY$6-SUM(BY$10:BY63),-ROUNDDOWN($K64*BY$5/100,0)),0)</f>
        <v>0</v>
      </c>
      <c r="BZ64" s="38">
        <f>IF(AND(V64="○",$A64&gt;=BZ$8,$A64&lt;=BZ$9),IF(SUM(BZ$10:BZ63)-ROUNDDOWN($K64*BZ$5/100,0)&lt;-BZ$6,-BZ$6-SUM(BZ$10:BZ63),-ROUNDDOWN($K64*BZ$5/100,0)),0)</f>
        <v>0</v>
      </c>
      <c r="CA64" s="38">
        <f>IF(AND(W64="○",$A64&gt;=CA$8,$A64&lt;=CA$9),IF(SUM(CA$10:CA63)-ROUNDDOWN($K64*CA$5/100,0)&lt;-CA$6,-CA$6-SUM(CA$10:CA63),-ROUNDDOWN($K64*CA$5/100,0)),0)</f>
        <v>0</v>
      </c>
      <c r="CB64" s="38"/>
      <c r="CC64" s="38"/>
      <c r="CD64" s="38"/>
      <c r="CE64" s="38"/>
      <c r="CF64" s="38"/>
      <c r="CG64" s="65">
        <f t="shared" si="47"/>
        <v>0</v>
      </c>
      <c r="CH64" s="71">
        <f t="shared" si="48"/>
        <v>0</v>
      </c>
      <c r="CI64" s="1">
        <f t="shared" si="65"/>
        <v>0</v>
      </c>
      <c r="CJ64" s="1"/>
      <c r="CK64" s="79"/>
      <c r="CL64" s="79"/>
      <c r="CM64" s="2"/>
      <c r="CN64" s="2"/>
      <c r="CO64" s="73">
        <f t="shared" si="66"/>
        <v>0</v>
      </c>
      <c r="CP64" s="5">
        <f t="shared" si="67"/>
        <v>0</v>
      </c>
      <c r="CQ64" s="1"/>
      <c r="CR64" s="1">
        <f t="shared" si="68"/>
        <v>0</v>
      </c>
      <c r="CS64" s="1"/>
      <c r="CT64" s="1" t="e">
        <f>INDEX([2]マスタ!$A:$A,MATCH(D64,[2]マスタ!$C:$C,0))</f>
        <v>#N/A</v>
      </c>
      <c r="CU64" s="1" t="str">
        <f t="shared" ca="1" si="69"/>
        <v>20260620_0-0</v>
      </c>
    </row>
    <row r="65" spans="1:99" x14ac:dyDescent="0.4">
      <c r="A65" s="61"/>
      <c r="B65" s="62"/>
      <c r="C65" s="62"/>
      <c r="D65" s="62"/>
      <c r="E65" s="63"/>
      <c r="F65" s="62"/>
      <c r="G65" s="62">
        <v>1</v>
      </c>
      <c r="H65" s="64">
        <f t="shared" si="56"/>
        <v>0</v>
      </c>
      <c r="I65" s="64"/>
      <c r="J65" s="64"/>
      <c r="K65" s="65">
        <f>+ROUNDDOWN((H65+I65)/100,0)*100</f>
        <v>0</v>
      </c>
      <c r="L65" s="65">
        <f t="shared" si="58"/>
        <v>0</v>
      </c>
      <c r="M65" s="65">
        <f t="shared" si="59"/>
        <v>0</v>
      </c>
      <c r="N65" s="65">
        <f t="shared" si="60"/>
        <v>0</v>
      </c>
      <c r="O65" s="66" t="str">
        <f t="shared" si="61"/>
        <v>✕</v>
      </c>
      <c r="P65" s="67" t="str">
        <f t="shared" si="62"/>
        <v>○</v>
      </c>
      <c r="Q65" s="67" t="str">
        <f>+IF((TEXT($A65,"DD")+0)=1,"○","✕")</f>
        <v>✕</v>
      </c>
      <c r="R65" s="67" t="str">
        <f t="shared" si="64"/>
        <v>✕</v>
      </c>
      <c r="S65" s="68">
        <v>0</v>
      </c>
      <c r="T65" s="69" t="s">
        <v>85</v>
      </c>
      <c r="U65" s="69" t="s">
        <v>85</v>
      </c>
      <c r="V65" s="69" t="s">
        <v>85</v>
      </c>
      <c r="W65" s="69" t="s">
        <v>85</v>
      </c>
      <c r="X65" s="69" t="s">
        <v>84</v>
      </c>
      <c r="Y65" s="69" t="s">
        <v>85</v>
      </c>
      <c r="Z65" s="69" t="s">
        <v>85</v>
      </c>
      <c r="AA65" s="69" t="s">
        <v>85</v>
      </c>
      <c r="AB65" s="69" t="s">
        <v>85</v>
      </c>
      <c r="AC65" s="69" t="s">
        <v>85</v>
      </c>
      <c r="AD65" s="38" t="str">
        <f>+IF(ISERROR(VLOOKUP($B65,AD$10:AD64,1,0)),IF(AND($N65&gt;=1000,$A65&gt;=AO$8,$A65&lt;=AO$9),$B65,""),"")</f>
        <v/>
      </c>
      <c r="AE65" s="38" t="str">
        <f>+IF(ISERROR(VLOOKUP($B65,AE$10:AE64,1,0)),IF(AND($N65&gt;=1000,$A65&gt;=AP$8,$A65&lt;=AP$9),$B65,""),"")</f>
        <v/>
      </c>
      <c r="AF65" s="38" t="str">
        <f>+IF(ISERROR(VLOOKUP($B65,AF$10:AF64,1,0)),IF(AND($N65&gt;=1000,$A65&gt;=AQ$8,$A65&lt;=AQ$9),$B65,""),"")</f>
        <v/>
      </c>
      <c r="AG65" s="38" t="str">
        <f>+IF(ISERROR(VLOOKUP($B65,AG$10:AG64,1,0)),IF(AND($N65&gt;=1000,$A65&gt;=AR$8,$A65&lt;=AR$9),$B65,""),"")</f>
        <v/>
      </c>
      <c r="AH65" s="38"/>
      <c r="AI65" s="70">
        <v>0</v>
      </c>
      <c r="AJ65" s="38">
        <f>IF(AND(AJ$7="○",$A65&gt;=AJ$8,$A65&lt;=AJ$9),IF(SUM(AJ$10:AJ64)-ROUNDDOWN($K65*AJ$5/100,0)&lt;-AJ$6,-AJ$6-SUM(AJ$10:AJ64),-ROUNDDOWN($K65*AJ$5/100,0)),0)</f>
        <v>0</v>
      </c>
      <c r="AK65" s="38">
        <f>IF(AND(AK$7="○",$A65&gt;=AK$8,$A65&lt;=AK$9),IF(SUM(AK$10:AK64)-ROUNDDOWN($L65*AK$5/100,0)&lt;-AK$6,-AK$6-SUM(AK$10:AK64),-ROUNDDOWN($L65*AK$5/100,0)),0)</f>
        <v>0</v>
      </c>
      <c r="AL65" s="38">
        <f>IF(AND(AL$7="○",$A65&gt;=AL$8,$A65&lt;=AL$9),IF(SUM(AL$10:AL64)-ROUNDDOWN($N65*AL$5/100,0)&lt;-AL$6,-AL$6-SUM(AL$10:AL64),-ROUNDDOWN($N65*AL$5/100,0)),0)</f>
        <v>0</v>
      </c>
      <c r="AM65" s="38">
        <f>IF(AND(AM$7="○",$A65&gt;=AM$8,$A65&lt;=AM$9),IF(SUM(AM$10:AM64)-ROUNDDOWN($L65*AM$5/100,0)&lt;-AM$6,-AM$6-SUM(AM$10:AM64),-ROUNDDOWN($L65*AM$5/100,0)),0)</f>
        <v>0</v>
      </c>
      <c r="AN65" s="38">
        <f>IF(AND(AN$7="○",$A65&gt;=AN$8,$A65&lt;=AN$9),IF(SUM(AN$10:AN64)-ROUNDDOWN($M65*AN$5/100,0)&lt;-AN$6,-AN$6-SUM(AN$10:AN64),-ROUNDDOWN($M65*AN$5/100,0)),0)</f>
        <v>0</v>
      </c>
      <c r="AO65" s="38">
        <f>IF(AND($A65&gt;=AO$8,$A65&lt;=AO$9),IF(SUM(AO$10:AO64)-ROUNDDOWN($K65*AO$5/100,0)&lt;-AO$6,-AO$6-SUM(AO$10:AO64),-ROUNDDOWN($K65*AO$5/100,0)),0)</f>
        <v>0</v>
      </c>
      <c r="AP65" s="38">
        <f>IF(AND($A65&gt;=AP$8,$A65&lt;=AP$9),IF(SUM(AP$10:AP64)-ROUNDDOWN($K65*AP$5/100,0)&lt;-AP$6,-AP$6-SUM(AP$10:AP64),-ROUNDDOWN($K65*AP$5/100,0)),0)</f>
        <v>0</v>
      </c>
      <c r="AQ65" s="38">
        <f>IF(AND($A65&gt;=AQ$8,$A65&lt;=AQ$9),IF(SUM(AQ$10:AQ64)-ROUNDDOWN($K65*AQ$5/100,0)&lt;-AQ$6,-AQ$6-SUM(AQ$10:AQ64),-ROUNDDOWN($K65*AQ$5/100,0)),0)</f>
        <v>0</v>
      </c>
      <c r="AR65" s="38">
        <f>IF(AND($A65&gt;=AR$8,$A65&lt;=AR$9),IF(SUM(AR$10:AR64)-ROUNDDOWN($K65*AR$5/100,0)&lt;-AR$6,-AR$6-SUM(AR$10:AR64),-ROUNDDOWN($K65*AR$5/100,0)),0)</f>
        <v>0</v>
      </c>
      <c r="AS65" s="38">
        <f>IF(SUMIFS(AS$10:AS64,$A$10:$A64,$A65)-ROUNDDOWN($K65*$S65/100,0)&lt;-$S65*1000,-$S65*1000-SUMIFS(AS$10:AS64,$A$10:$A64,$A65),-ROUNDDOWN($K65*$S65/100,0))</f>
        <v>0</v>
      </c>
      <c r="AT65" s="38">
        <f>IF(AND(X65="○",$A65&gt;=AT$8,$A65&lt;=AT$9,K65&gt;=3980),IF(SUM(AT$10:AT64)-ROUNDDOWN($K65*AT$5/100,0)&lt;-AT$6,-AT$6-SUM(AT$10:AT64),-ROUNDDOWN($K65*AT$5/100,0)),0)</f>
        <v>0</v>
      </c>
      <c r="AU65" s="38">
        <f>IF(O65="○",IF(SUM(AU$10:AU64)-ROUNDDOWN($K65*AU$5/100,0)&lt;-AU$6,-AU$6-SUM(AU$10:AU64),-ROUNDDOWN($K65*AU$5/100,0)),0)</f>
        <v>0</v>
      </c>
      <c r="AV65" s="38">
        <f>IF(P65="○",IF(SUM(AV$10:AV64)-ROUNDDOWN($K65*AV$5/100,0)&lt;-AV$6,-AV$6-SUM(AV$10:AV64),-ROUNDDOWN($K65*AV$5/100,0)),0)</f>
        <v>0</v>
      </c>
      <c r="AW65" s="38">
        <f>IF(Q65="○",IF(SUM(AW$10:AW64)-ROUNDDOWN($K65*AW$5/100,0)&lt;-AW$6,-AW$6-SUM(AW$10:AW64),-ROUNDDOWN($K65*AW$5/100,0)),0)</f>
        <v>0</v>
      </c>
      <c r="AX65" s="38">
        <f>IF(R65="○",IF(SUM(AX$10:AX64)-ROUNDDOWN($K65*AX$5/100,0)&lt;-AX$6,-AX$6-SUM(AX$10:AX64),-ROUNDDOWN($K65*AX$5/100,0)),0)</f>
        <v>0</v>
      </c>
      <c r="AY65" s="70">
        <v>0</v>
      </c>
      <c r="AZ65" s="65">
        <f t="shared" si="41"/>
        <v>0</v>
      </c>
      <c r="BA65" s="65">
        <f t="shared" si="42"/>
        <v>0</v>
      </c>
      <c r="BB65" s="70"/>
      <c r="BC65" s="65">
        <f t="shared" si="43"/>
        <v>0</v>
      </c>
      <c r="BD65" s="70">
        <v>0</v>
      </c>
      <c r="BE65" s="65">
        <f t="shared" si="44"/>
        <v>0</v>
      </c>
      <c r="BF65" s="70">
        <v>0</v>
      </c>
      <c r="BG65" s="65">
        <f t="shared" si="45"/>
        <v>0</v>
      </c>
      <c r="BH65" s="70">
        <v>0</v>
      </c>
      <c r="BI65" s="65">
        <f t="shared" si="46"/>
        <v>0</v>
      </c>
      <c r="BJ65" s="38">
        <f>IF(AND(BJ$7="○",$A65&gt;=BJ$8,$A65&lt;=BJ$9),IF(SUM(BJ$10:BJ64)-ROUNDDOWN($M65*BJ$5/100,0)&lt;-BJ$6,-BJ$6-SUM(BJ$10:BJ64),-ROUNDDOWN($M65*BJ$5/100,0)),0)</f>
        <v>0</v>
      </c>
      <c r="BK65" s="38">
        <f>IF(AND(BK$7="○",$A65&gt;=BK$8,$A65&lt;=BK$9),IF(SUM(BK$10:BK64)-ROUNDDOWN($L65*BK$5/100,0)&lt;-BK$6,-BK$6-SUM(BK$10:BK64),-ROUNDDOWN($L65*BK$5/100,0)),0)</f>
        <v>0</v>
      </c>
      <c r="BL65" s="38">
        <f>IF(AND(BL$7="○",$A65&gt;=BL$8,$A65&lt;=BL$9),IF(SUM(BL$10:BL64)-ROUNDDOWN($L65*BL$5/100,0)&lt;-BL$6,-BL$6-SUM(BL$10:BL64),-ROUNDDOWN($L65*BL$5/100,0)),0)</f>
        <v>0</v>
      </c>
      <c r="BM65" s="38">
        <f>IF(AND(BM$7="○",$A65&gt;=BM$8,$A65&lt;=BM$9),IF(SUM(BM$10:BM64)-ROUNDDOWN($M65*BM$5/100,0)&lt;-BM$6,-BM$6-SUM(BM$10:BM64),-ROUNDDOWN($M65*BM$5/100,0)),0)</f>
        <v>0</v>
      </c>
      <c r="BN65" s="38">
        <f>IF(AND(BN$7="○",$A65&gt;=BN$8,$A65&lt;=BN$9),IF(SUM(BN$10:BN64)-ROUNDDOWN($M65*BN$5/100,0)&lt;-BN$6,-BN$6-SUM(BN$10:BN64),-ROUNDDOWN($M65*BN$5/100,0)),0)</f>
        <v>0</v>
      </c>
      <c r="BO65" s="38">
        <f>IF(AND(BO$7="○",$A65&gt;=BO$8,$A65&lt;=BO$9),IF(SUM(BO$10:BO64)-ROUNDDOWN($M65*BO$5/100,0)&lt;-BO$6,-BO$6-SUM(BO$10:BO64),-ROUNDDOWN($M65*BO$5/100,0)),0)</f>
        <v>0</v>
      </c>
      <c r="BP65" s="38">
        <f>IF(AND(BP$7="○",$A65&gt;=BP$8,$A65&lt;=BP$9),IF(SUM(BP$10:BP64)-ROUNDDOWN($M65*BP$5/100,0)&lt;-BP$6,-BP$6-SUM(BP$10:BP64),-ROUNDDOWN($M65*BP$5/100,0)),0)</f>
        <v>0</v>
      </c>
      <c r="BQ65" s="38">
        <f>IF(AND(BQ$7="○",$A65&gt;=BQ$8,$A65&lt;=BQ$9),IF(SUM(BQ$10:BQ64)-ROUNDDOWN($L65*BQ$5/100,0)&lt;-BQ$6,-BQ$6-SUM(BQ$10:BQ64),-ROUNDDOWN($L65*BQ$5/100,0)),0)</f>
        <v>0</v>
      </c>
      <c r="BR65" s="38">
        <f>IF(AND(BR$7="○",$A65&gt;=BR$8,$A65&lt;=BR$9),IF(SUM(BR$10:BR64)-ROUNDDOWN($M65*BR$5/100,0)&lt;-BR$6,-BR$6-SUM(BR$10:BR64),-ROUNDDOWN($M65*BR$5/100,0)),0)</f>
        <v>0</v>
      </c>
      <c r="BS65" s="38">
        <f>IF(AND(BS$7="○",$A65&gt;=BS$8,$A65&lt;=BS$9),IF(SUM(BS$10:BS64)-ROUNDDOWN($M65*BS$5/100,0)&lt;-BS$6,-BS$6-SUM(BS$10:BS64),-ROUNDDOWN($M65*BS$5/100,0)),0)</f>
        <v>0</v>
      </c>
      <c r="BT65" s="38">
        <f>IF(AND(BT$7="○",$A65&gt;=BT$8,$A65&lt;=BT$9),IF(SUM(BT$10:BT64)-ROUNDDOWN($M65*BT$5/100,0)&lt;-BT$6,-BT$6-SUM(BT$10:BT64),-ROUNDDOWN($M65*BT$5/100,0)),0)</f>
        <v>0</v>
      </c>
      <c r="BU65" s="38">
        <f>IF(AND(BU$7="○",$A65&gt;=BU$8,$A65&lt;=BU$9),IF(SUM(BU$10:BU64)-ROUNDDOWN($M65*BU$5/100,0)&lt;-BU$6,-BU$6-SUM(BU$10:BU64),-ROUNDDOWN($M65*BU$5/100,0)),0)</f>
        <v>0</v>
      </c>
      <c r="BV65" s="38">
        <f>IF(AND(BV$7="○",$A65&gt;=BV$8,$A65&lt;=BV$9),IF(SUM(BV$10:BV64)-ROUNDDOWN($M65*BV$5/100,0)&lt;-BV$6,-BV$6-SUM(BV$10:BV64),-ROUNDDOWN($M65*BV$5/100,0)),0)</f>
        <v>0</v>
      </c>
      <c r="BW65" s="38">
        <f>IF(AND(BW$7="○",$A65&gt;=BW$8,$A65&lt;=BW$9),IF(SUM(BW$10:BW64)-ROUNDDOWN($M65*BW$5/100,0)&lt;-BW$6,-BW$6-SUM(BW$10:BW64),-ROUNDDOWN($M65*BW$5/100,0)),0)</f>
        <v>0</v>
      </c>
      <c r="BX65" s="38">
        <f>IF(AND(T65="○",$A65&gt;=BX$8,$A65&lt;=BX$9),IF(SUM(BX$10:BX64)-ROUNDDOWN($K65*BX$5/100,0)&lt;-BX$6,-BX$6-SUM(BX$10:BX64),-ROUNDDOWN($K65*BX$5/100,0)),0)</f>
        <v>0</v>
      </c>
      <c r="BY65" s="38">
        <f>IF(AND(U65="○",$A65&gt;=BY$8,$A65&lt;=BY$9),IF(SUM(BY$10:BY64)-ROUNDDOWN($K65*BY$5/100,0)&lt;-BY$6,-BY$6-SUM(BY$10:BY64),-ROUNDDOWN($K65*BY$5/100,0)),0)</f>
        <v>0</v>
      </c>
      <c r="BZ65" s="38">
        <f>IF(AND(V65="○",$A65&gt;=BZ$8,$A65&lt;=BZ$9),IF(SUM(BZ$10:BZ64)-ROUNDDOWN($K65*BZ$5/100,0)&lt;-BZ$6,-BZ$6-SUM(BZ$10:BZ64),-ROUNDDOWN($K65*BZ$5/100,0)),0)</f>
        <v>0</v>
      </c>
      <c r="CA65" s="38">
        <f>IF(AND(W65="○",$A65&gt;=CA$8,$A65&lt;=CA$9),IF(SUM(CA$10:CA64)-ROUNDDOWN($K65*CA$5/100,0)&lt;-CA$6,-CA$6-SUM(CA$10:CA64),-ROUNDDOWN($K65*CA$5/100,0)),0)</f>
        <v>0</v>
      </c>
      <c r="CB65" s="38"/>
      <c r="CC65" s="38"/>
      <c r="CD65" s="38"/>
      <c r="CE65" s="38"/>
      <c r="CF65" s="38"/>
      <c r="CG65" s="65">
        <f t="shared" si="47"/>
        <v>0</v>
      </c>
      <c r="CH65" s="71">
        <f t="shared" si="48"/>
        <v>0</v>
      </c>
      <c r="CI65" s="1">
        <f t="shared" si="65"/>
        <v>0</v>
      </c>
      <c r="CJ65" s="1"/>
      <c r="CK65" s="79"/>
      <c r="CL65" s="79"/>
      <c r="CM65" s="2"/>
      <c r="CN65" s="2"/>
      <c r="CO65" s="73">
        <f t="shared" si="66"/>
        <v>0</v>
      </c>
      <c r="CP65" s="5">
        <f t="shared" si="67"/>
        <v>0</v>
      </c>
      <c r="CQ65" s="1"/>
      <c r="CR65" s="1">
        <f t="shared" si="68"/>
        <v>0</v>
      </c>
      <c r="CS65" s="1"/>
      <c r="CT65" s="1" t="e">
        <f>INDEX([2]マスタ!$A:$A,MATCH(D65,[2]マスタ!$C:$C,0))</f>
        <v>#N/A</v>
      </c>
      <c r="CU65" s="1" t="str">
        <f t="shared" ca="1" si="69"/>
        <v>20260620_0-0</v>
      </c>
    </row>
    <row r="66" spans="1:99" x14ac:dyDescent="0.4">
      <c r="A66" s="61"/>
      <c r="B66" s="62"/>
      <c r="C66" s="62"/>
      <c r="D66" s="62"/>
      <c r="E66" s="63"/>
      <c r="F66" s="62"/>
      <c r="G66" s="62">
        <v>1</v>
      </c>
      <c r="H66" s="64">
        <f t="shared" si="56"/>
        <v>0</v>
      </c>
      <c r="I66" s="64"/>
      <c r="J66" s="64"/>
      <c r="K66" s="65">
        <f t="shared" ref="K66:K75" si="72">+ROUNDDOWN((H66+I66+J66)/100,0)*100</f>
        <v>0</v>
      </c>
      <c r="L66" s="65">
        <f t="shared" si="58"/>
        <v>0</v>
      </c>
      <c r="M66" s="65">
        <f t="shared" si="59"/>
        <v>0</v>
      </c>
      <c r="N66" s="65">
        <f t="shared" si="60"/>
        <v>0</v>
      </c>
      <c r="O66" s="66" t="str">
        <f t="shared" si="61"/>
        <v>✕</v>
      </c>
      <c r="P66" s="67" t="str">
        <f t="shared" si="62"/>
        <v>○</v>
      </c>
      <c r="Q66" s="67" t="str">
        <f t="shared" ref="Q66:Q75" si="73">+IF((TEXT(A66,"DD")+0)=1,"○","✕")</f>
        <v>✕</v>
      </c>
      <c r="R66" s="67" t="str">
        <f t="shared" si="64"/>
        <v>✕</v>
      </c>
      <c r="S66" s="68">
        <v>0</v>
      </c>
      <c r="T66" s="69" t="s">
        <v>85</v>
      </c>
      <c r="U66" s="69" t="s">
        <v>85</v>
      </c>
      <c r="V66" s="69" t="s">
        <v>85</v>
      </c>
      <c r="W66" s="69" t="s">
        <v>85</v>
      </c>
      <c r="X66" s="69" t="s">
        <v>84</v>
      </c>
      <c r="Y66" s="69" t="s">
        <v>85</v>
      </c>
      <c r="Z66" s="69" t="s">
        <v>85</v>
      </c>
      <c r="AA66" s="69" t="s">
        <v>85</v>
      </c>
      <c r="AB66" s="69" t="s">
        <v>85</v>
      </c>
      <c r="AC66" s="69" t="s">
        <v>85</v>
      </c>
      <c r="AD66" s="38" t="str">
        <f>+IF(ISERROR(VLOOKUP($B66,AD$10:AD65,1,0)),IF(AND($N66&gt;=1000,$A66&gt;=AO$8,$A66&lt;=AO$9),$B66,""),"")</f>
        <v/>
      </c>
      <c r="AE66" s="38" t="str">
        <f>+IF(ISERROR(VLOOKUP($B66,AE$10:AE65,1,0)),IF(AND($N66&gt;=1000,$A66&gt;=AP$8,$A66&lt;=AP$9),$B66,""),"")</f>
        <v/>
      </c>
      <c r="AF66" s="38" t="str">
        <f>+IF(ISERROR(VLOOKUP($B66,AF$10:AF65,1,0)),IF(AND($N66&gt;=1000,$A66&gt;=AQ$8,$A66&lt;=AQ$9),$B66,""),"")</f>
        <v/>
      </c>
      <c r="AG66" s="38" t="str">
        <f>+IF(ISERROR(VLOOKUP($B66,AG$10:AG65,1,0)),IF(AND($N66&gt;=1000,$A66&gt;=AR$8,$A66&lt;=AR$9),$B66,""),"")</f>
        <v/>
      </c>
      <c r="AH66" s="38"/>
      <c r="AI66" s="70">
        <v>0</v>
      </c>
      <c r="AJ66" s="38">
        <f>IF(AND(AJ$7="○",$A66&gt;=AJ$8,$A66&lt;=AJ$9),IF(SUM(AJ$10:AJ65)-ROUNDDOWN($K66*AJ$5/100,0)&lt;-AJ$6,-AJ$6-SUM(AJ$10:AJ65),-ROUNDDOWN($K66*AJ$5/100,0)),0)</f>
        <v>0</v>
      </c>
      <c r="AK66" s="38">
        <f>IF(AND(AK$7="○",$A66&gt;=AK$8,$A66&lt;=AK$9),IF(SUM(AK$10:AK65)-ROUNDDOWN($L66*AK$5/100,0)&lt;-AK$6,-AK$6-SUM(AK$10:AK65),-ROUNDDOWN($L66*AK$5/100,0)),0)</f>
        <v>0</v>
      </c>
      <c r="AL66" s="38">
        <f>IF(AND(AL$7="○",$A66&gt;=AL$8,$A66&lt;=AL$9),IF(SUM(AL$10:AL65)-ROUNDDOWN($N66*AL$5/100,0)&lt;-AL$6,-AL$6-SUM(AL$10:AL65),-ROUNDDOWN($N66*AL$5/100,0)),0)</f>
        <v>0</v>
      </c>
      <c r="AM66" s="38">
        <f>IF(AND(AM$7="○",$A66&gt;=AM$8,$A66&lt;=AM$9),IF(SUM(AM$10:AM65)-ROUNDDOWN($L66*AM$5/100,0)&lt;-AM$6,-AM$6-SUM(AM$10:AM65),-ROUNDDOWN($L66*AM$5/100,0)),0)</f>
        <v>0</v>
      </c>
      <c r="AN66" s="38">
        <f>IF(AND(AN$7="○",$A66&gt;=AN$8,$A66&lt;=AN$9),IF(SUM(AN$10:AN65)-ROUNDDOWN($M66*AN$5/100,0)&lt;-AN$6,-AN$6-SUM(AN$10:AN65),-ROUNDDOWN($M66*AN$5/100,0)),0)</f>
        <v>0</v>
      </c>
      <c r="AO66" s="38">
        <f>IF(AND($A66&gt;=AO$8,$A66&lt;=AO$9),IF(SUM(AO$10:AO65)-ROUNDDOWN($K66*AO$5/100,0)&lt;-AO$6,-AO$6-SUM(AO$10:AO65),-ROUNDDOWN($K66*AO$5/100,0)),0)</f>
        <v>0</v>
      </c>
      <c r="AP66" s="38">
        <f>IF(AND($A66&gt;=AP$8,$A66&lt;=AP$9),IF(SUM(AP$10:AP65)-ROUNDDOWN($K66*AP$5/100,0)&lt;-AP$6,-AP$6-SUM(AP$10:AP65),-ROUNDDOWN($K66*AP$5/100,0)),0)</f>
        <v>0</v>
      </c>
      <c r="AQ66" s="38">
        <f>IF(AND($A66&gt;=AQ$8,$A66&lt;=AQ$9),IF(SUM(AQ$10:AQ65)-ROUNDDOWN($K66*AQ$5/100,0)&lt;-AQ$6,-AQ$6-SUM(AQ$10:AQ65),-ROUNDDOWN($K66*AQ$5/100,0)),0)</f>
        <v>0</v>
      </c>
      <c r="AR66" s="38">
        <f>IF(AND($A66&gt;=AR$8,$A66&lt;=AR$9),IF(SUM(AR$10:AR65)-ROUNDDOWN($K66*AR$5/100,0)&lt;-AR$6,-AR$6-SUM(AR$10:AR65),-ROUNDDOWN($K66*AR$5/100,0)),0)</f>
        <v>0</v>
      </c>
      <c r="AS66" s="38">
        <f>IF(SUMIFS(AS$10:AS65,$A$10:$A65,$A66)-ROUNDDOWN($K66*$S66/100,0)&lt;-$S66*1000,-$S66*1000-SUMIFS(AS$10:AS65,$A$10:$A65,$A66),-ROUNDDOWN($K66*$S66/100,0))</f>
        <v>0</v>
      </c>
      <c r="AT66" s="38">
        <f>IF(AND(X66="○",$A66&gt;=AT$8,$A66&lt;=AT$9,K66&gt;=3980),IF(SUM(AT$10:AT65)-ROUNDDOWN($K66*AT$5/100,0)&lt;-AT$6,-AT$6-SUM(AT$10:AT65),-ROUNDDOWN($K66*AT$5/100,0)),0)</f>
        <v>0</v>
      </c>
      <c r="AU66" s="38">
        <f>IF(O66="○",IF(SUM(AU$10:AU65)-ROUNDDOWN($K66*AU$5/100,0)&lt;-AU$6,-AU$6-SUM(AU$10:AU65),-ROUNDDOWN($K66*AU$5/100,0)),0)</f>
        <v>0</v>
      </c>
      <c r="AV66" s="38">
        <f>IF(P66="○",IF(SUM(AV$10:AV65)-ROUNDDOWN($K66*AV$5/100,0)&lt;-AV$6,-AV$6-SUM(AV$10:AV65),-ROUNDDOWN($K66*AV$5/100,0)),0)</f>
        <v>0</v>
      </c>
      <c r="AW66" s="38">
        <f>IF(Q66="○",IF(SUM(AW$10:AW65)-ROUNDDOWN($K66*AW$5/100,0)&lt;-AW$6,-AW$6-SUM(AW$10:AW65),-ROUNDDOWN($K66*AW$5/100,0)),0)</f>
        <v>0</v>
      </c>
      <c r="AX66" s="38">
        <f>IF(R66="○",IF(SUM(AX$10:AX65)-ROUNDDOWN($K66*AX$5/100,0)&lt;-AX$6,-AX$6-SUM(AX$10:AX65),-ROUNDDOWN($K66*AX$5/100,0)),0)</f>
        <v>0</v>
      </c>
      <c r="AY66" s="70">
        <v>0</v>
      </c>
      <c r="AZ66" s="65">
        <f t="shared" si="41"/>
        <v>0</v>
      </c>
      <c r="BA66" s="65">
        <f t="shared" si="42"/>
        <v>0</v>
      </c>
      <c r="BB66" s="70"/>
      <c r="BC66" s="65">
        <f t="shared" si="43"/>
        <v>0</v>
      </c>
      <c r="BD66" s="70">
        <v>0</v>
      </c>
      <c r="BE66" s="65">
        <f t="shared" si="44"/>
        <v>0</v>
      </c>
      <c r="BF66" s="70">
        <v>0</v>
      </c>
      <c r="BG66" s="65">
        <f t="shared" si="45"/>
        <v>0</v>
      </c>
      <c r="BH66" s="70">
        <v>0</v>
      </c>
      <c r="BI66" s="65">
        <f t="shared" si="46"/>
        <v>0</v>
      </c>
      <c r="BJ66" s="38">
        <f>IF(AND(BJ$7="○",$A66&gt;=BJ$8,$A66&lt;=BJ$9),IF(SUM(BJ$10:BJ65)-ROUNDDOWN($M66*BJ$5/100,0)&lt;-BJ$6,-BJ$6-SUM(BJ$10:BJ65),-ROUNDDOWN($M66*BJ$5/100,0)),0)</f>
        <v>0</v>
      </c>
      <c r="BK66" s="38">
        <f>IF(AND(BK$7="○",$A66&gt;=BK$8,$A66&lt;=BK$9),IF(SUM(BK$10:BK65)-ROUNDDOWN($L66*BK$5/100,0)&lt;-BK$6,-BK$6-SUM(BK$10:BK65),-ROUNDDOWN($L66*BK$5/100,0)),0)</f>
        <v>0</v>
      </c>
      <c r="BL66" s="38">
        <f>IF(AND(BL$7="○",$A66&gt;=BL$8,$A66&lt;=BL$9),IF(SUM(BL$10:BL65)-ROUNDDOWN($L66*BL$5/100,0)&lt;-BL$6,-BL$6-SUM(BL$10:BL65),-ROUNDDOWN($L66*BL$5/100,0)),0)</f>
        <v>0</v>
      </c>
      <c r="BM66" s="38">
        <f>IF(AND(BM$7="○",$A66&gt;=BM$8,$A66&lt;=BM$9),IF(SUM(BM$10:BM65)-ROUNDDOWN($M66*BM$5/100,0)&lt;-BM$6,-BM$6-SUM(BM$10:BM65),-ROUNDDOWN($M66*BM$5/100,0)),0)</f>
        <v>0</v>
      </c>
      <c r="BN66" s="38">
        <f>IF(AND(BN$7="○",$A66&gt;=BN$8,$A66&lt;=BN$9),IF(SUM(BN$10:BN65)-ROUNDDOWN($M66*BN$5/100,0)&lt;-BN$6,-BN$6-SUM(BN$10:BN65),-ROUNDDOWN($M66*BN$5/100,0)),0)</f>
        <v>0</v>
      </c>
      <c r="BO66" s="38">
        <f>IF(AND(BO$7="○",$A66&gt;=BO$8,$A66&lt;=BO$9),IF(SUM(BO$10:BO65)-ROUNDDOWN($M66*BO$5/100,0)&lt;-BO$6,-BO$6-SUM(BO$10:BO65),-ROUNDDOWN($M66*BO$5/100,0)),0)</f>
        <v>0</v>
      </c>
      <c r="BP66" s="38">
        <f>IF(AND(BP$7="○",$A66&gt;=BP$8,$A66&lt;=BP$9),IF(SUM(BP$10:BP65)-ROUNDDOWN($M66*BP$5/100,0)&lt;-BP$6,-BP$6-SUM(BP$10:BP65),-ROUNDDOWN($M66*BP$5/100,0)),0)</f>
        <v>0</v>
      </c>
      <c r="BQ66" s="38">
        <f>IF(AND(BQ$7="○",$A66&gt;=BQ$8,$A66&lt;=BQ$9),IF(SUM(BQ$10:BQ65)-ROUNDDOWN($L66*BQ$5/100,0)&lt;-BQ$6,-BQ$6-SUM(BQ$10:BQ65),-ROUNDDOWN($L66*BQ$5/100,0)),0)</f>
        <v>0</v>
      </c>
      <c r="BR66" s="38">
        <f>IF(AND(BR$7="○",$A66&gt;=BR$8,$A66&lt;=BR$9),IF(SUM(BR$10:BR65)-ROUNDDOWN($M66*BR$5/100,0)&lt;-BR$6,-BR$6-SUM(BR$10:BR65),-ROUNDDOWN($M66*BR$5/100,0)),0)</f>
        <v>0</v>
      </c>
      <c r="BS66" s="38">
        <f>IF(AND(BS$7="○",$A66&gt;=BS$8,$A66&lt;=BS$9),IF(SUM(BS$10:BS65)-ROUNDDOWN($M66*BS$5/100,0)&lt;-BS$6,-BS$6-SUM(BS$10:BS65),-ROUNDDOWN($M66*BS$5/100,0)),0)</f>
        <v>0</v>
      </c>
      <c r="BT66" s="38">
        <f>IF(AND(BT$7="○",$A66&gt;=BT$8,$A66&lt;=BT$9),IF(SUM(BT$10:BT65)-ROUNDDOWN($M66*BT$5/100,0)&lt;-BT$6,-BT$6-SUM(BT$10:BT65),-ROUNDDOWN($M66*BT$5/100,0)),0)</f>
        <v>0</v>
      </c>
      <c r="BU66" s="38">
        <f>IF(AND(BU$7="○",$A66&gt;=BU$8,$A66&lt;=BU$9),IF(SUM(BU$10:BU65)-ROUNDDOWN($M66*BU$5/100,0)&lt;-BU$6,-BU$6-SUM(BU$10:BU65),-ROUNDDOWN($M66*BU$5/100,0)),0)</f>
        <v>0</v>
      </c>
      <c r="BV66" s="38">
        <f>IF(AND(BV$7="○",$A66&gt;=BV$8,$A66&lt;=BV$9),IF(SUM(BV$10:BV65)-ROUNDDOWN($M66*BV$5/100,0)&lt;-BV$6,-BV$6-SUM(BV$10:BV65),-ROUNDDOWN($M66*BV$5/100,0)),0)</f>
        <v>0</v>
      </c>
      <c r="BW66" s="38">
        <f>IF(AND(BW$7="○",$A66&gt;=BW$8,$A66&lt;=BW$9),IF(SUM(BW$10:BW65)-ROUNDDOWN($M66*BW$5/100,0)&lt;-BW$6,-BW$6-SUM(BW$10:BW65),-ROUNDDOWN($M66*BW$5/100,0)),0)</f>
        <v>0</v>
      </c>
      <c r="BX66" s="38">
        <f>IF(AND(T66="○",$A66&gt;=BX$8,$A66&lt;=BX$9),IF(SUM(BX$10:BX65)-ROUNDDOWN($K66*BX$5/100,0)&lt;-BX$6,-BX$6-SUM(BX$10:BX65),-ROUNDDOWN($K66*BX$5/100,0)),0)</f>
        <v>0</v>
      </c>
      <c r="BY66" s="38">
        <f>IF(AND(U66="○",$A66&gt;=BY$8,$A66&lt;=BY$9),IF(SUM(BY$10:BY65)-ROUNDDOWN($K66*BY$5/100,0)&lt;-BY$6,-BY$6-SUM(BY$10:BY65),-ROUNDDOWN($K66*BY$5/100,0)),0)</f>
        <v>0</v>
      </c>
      <c r="BZ66" s="38">
        <f>IF(AND(V66="○",$A66&gt;=BZ$8,$A66&lt;=BZ$9),IF(SUM(BZ$10:BZ65)-ROUNDDOWN($K66*BZ$5/100,0)&lt;-BZ$6,-BZ$6-SUM(BZ$10:BZ65),-ROUNDDOWN($K66*BZ$5/100,0)),0)</f>
        <v>0</v>
      </c>
      <c r="CA66" s="38">
        <f>IF(AND(W66="○",$A66&gt;=CA$8,$A66&lt;=CA$9),IF(SUM(CA$10:CA65)-ROUNDDOWN($K66*CA$5/100,0)&lt;-CA$6,-CA$6-SUM(CA$10:CA65),-ROUNDDOWN($K66*CA$5/100,0)),0)</f>
        <v>0</v>
      </c>
      <c r="CB66" s="38"/>
      <c r="CC66" s="38"/>
      <c r="CD66" s="38"/>
      <c r="CE66" s="38"/>
      <c r="CF66" s="38"/>
      <c r="CG66" s="65">
        <f t="shared" si="47"/>
        <v>0</v>
      </c>
      <c r="CH66" s="71">
        <f t="shared" si="48"/>
        <v>0</v>
      </c>
      <c r="CI66" s="1">
        <f t="shared" si="65"/>
        <v>0</v>
      </c>
      <c r="CJ66" s="1"/>
      <c r="CK66" s="72"/>
      <c r="CL66" s="72"/>
      <c r="CM66" s="2"/>
      <c r="CN66" s="2"/>
      <c r="CO66" s="73">
        <f t="shared" si="66"/>
        <v>0</v>
      </c>
      <c r="CP66" s="5">
        <f t="shared" si="67"/>
        <v>0</v>
      </c>
      <c r="CQ66" s="1"/>
      <c r="CR66" s="1">
        <f t="shared" si="68"/>
        <v>0</v>
      </c>
      <c r="CS66" s="1"/>
      <c r="CT66" s="1" t="e">
        <f>INDEX([2]マスタ!$A:$A,MATCH(D66,[2]マスタ!$C:$C,0))</f>
        <v>#N/A</v>
      </c>
      <c r="CU66" s="1" t="str">
        <f t="shared" ca="1" si="69"/>
        <v>20260620_0-0</v>
      </c>
    </row>
    <row r="67" spans="1:99" x14ac:dyDescent="0.4">
      <c r="A67" s="61"/>
      <c r="B67" s="62"/>
      <c r="C67" s="62"/>
      <c r="D67" s="62"/>
      <c r="E67" s="63"/>
      <c r="F67" s="62"/>
      <c r="G67" s="62">
        <v>1</v>
      </c>
      <c r="H67" s="64">
        <f t="shared" si="56"/>
        <v>0</v>
      </c>
      <c r="I67" s="64"/>
      <c r="J67" s="64"/>
      <c r="K67" s="65">
        <f t="shared" si="72"/>
        <v>0</v>
      </c>
      <c r="L67" s="65">
        <f t="shared" si="58"/>
        <v>0</v>
      </c>
      <c r="M67" s="65">
        <f t="shared" si="59"/>
        <v>0</v>
      </c>
      <c r="N67" s="65">
        <f t="shared" si="60"/>
        <v>0</v>
      </c>
      <c r="O67" s="66" t="str">
        <f t="shared" si="61"/>
        <v>✕</v>
      </c>
      <c r="P67" s="67" t="str">
        <f t="shared" si="62"/>
        <v>○</v>
      </c>
      <c r="Q67" s="67" t="str">
        <f t="shared" si="73"/>
        <v>✕</v>
      </c>
      <c r="R67" s="67" t="str">
        <f t="shared" si="64"/>
        <v>✕</v>
      </c>
      <c r="S67" s="68">
        <v>0</v>
      </c>
      <c r="T67" s="69" t="s">
        <v>85</v>
      </c>
      <c r="U67" s="69" t="s">
        <v>85</v>
      </c>
      <c r="V67" s="69" t="s">
        <v>85</v>
      </c>
      <c r="W67" s="69" t="s">
        <v>85</v>
      </c>
      <c r="X67" s="69" t="s">
        <v>84</v>
      </c>
      <c r="Y67" s="69" t="s">
        <v>85</v>
      </c>
      <c r="Z67" s="69" t="s">
        <v>85</v>
      </c>
      <c r="AA67" s="69" t="s">
        <v>85</v>
      </c>
      <c r="AB67" s="69" t="s">
        <v>85</v>
      </c>
      <c r="AC67" s="69" t="s">
        <v>85</v>
      </c>
      <c r="AD67" s="38" t="str">
        <f>+IF(ISERROR(VLOOKUP($B67,AD$10:AD66,1,0)),IF(AND($N67&gt;=1000,$A67&gt;=AO$8,$A67&lt;=AO$9),$B67,""),"")</f>
        <v/>
      </c>
      <c r="AE67" s="38" t="str">
        <f>+IF(ISERROR(VLOOKUP($B67,AE$10:AE66,1,0)),IF(AND($N67&gt;=1000,$A67&gt;=AP$8,$A67&lt;=AP$9),$B67,""),"")</f>
        <v/>
      </c>
      <c r="AF67" s="38" t="str">
        <f>+IF(ISERROR(VLOOKUP($B67,AF$10:AF66,1,0)),IF(AND($N67&gt;=1000,$A67&gt;=AQ$8,$A67&lt;=AQ$9),$B67,""),"")</f>
        <v/>
      </c>
      <c r="AG67" s="38" t="str">
        <f>+IF(ISERROR(VLOOKUP($B67,AG$10:AG66,1,0)),IF(AND($N67&gt;=1000,$A67&gt;=AR$8,$A67&lt;=AR$9),$B67,""),"")</f>
        <v/>
      </c>
      <c r="AH67" s="38"/>
      <c r="AI67" s="70">
        <v>0</v>
      </c>
      <c r="AJ67" s="38">
        <f>IF(AND(AJ$7="○",$A67&gt;=AJ$8,$A67&lt;=AJ$9),IF(SUM(AJ$10:AJ66)-ROUNDDOWN($K67*AJ$5/100,0)&lt;-AJ$6,-AJ$6-SUM(AJ$10:AJ66),-ROUNDDOWN($K67*AJ$5/100,0)),0)</f>
        <v>0</v>
      </c>
      <c r="AK67" s="38">
        <f>IF(AND(AK$7="○",$A67&gt;=AK$8,$A67&lt;=AK$9),IF(SUM(AK$10:AK66)-ROUNDDOWN($L67*AK$5/100,0)&lt;-AK$6,-AK$6-SUM(AK$10:AK66),-ROUNDDOWN($L67*AK$5/100,0)),0)</f>
        <v>0</v>
      </c>
      <c r="AL67" s="38">
        <f>IF(AND(AL$7="○",$A67&gt;=AL$8,$A67&lt;=AL$9),IF(SUM(AL$10:AL66)-ROUNDDOWN($N67*AL$5/100,0)&lt;-AL$6,-AL$6-SUM(AL$10:AL66),-ROUNDDOWN($N67*AL$5/100,0)),0)</f>
        <v>0</v>
      </c>
      <c r="AM67" s="38">
        <f>IF(AND(AM$7="○",$A67&gt;=AM$8,$A67&lt;=AM$9),IF(SUM(AM$10:AM66)-ROUNDDOWN($L67*AM$5/100,0)&lt;-AM$6,-AM$6-SUM(AM$10:AM66),-ROUNDDOWN($L67*AM$5/100,0)),0)</f>
        <v>0</v>
      </c>
      <c r="AN67" s="38">
        <f>IF(AND(AN$7="○",$A67&gt;=AN$8,$A67&lt;=AN$9),IF(SUM(AN$10:AN66)-ROUNDDOWN($M67*AN$5/100,0)&lt;-AN$6,-AN$6-SUM(AN$10:AN66),-ROUNDDOWN($M67*AN$5/100,0)),0)</f>
        <v>0</v>
      </c>
      <c r="AO67" s="38">
        <f>IF(AND($A67&gt;=AO$8,$A67&lt;=AO$9),IF(SUM(AO$10:AO66)-ROUNDDOWN($K67*AO$5/100,0)&lt;-AO$6,-AO$6-SUM(AO$10:AO66),-ROUNDDOWN($K67*AO$5/100,0)),0)</f>
        <v>0</v>
      </c>
      <c r="AP67" s="38">
        <f>IF(AND($A67&gt;=AP$8,$A67&lt;=AP$9),IF(SUM(AP$10:AP66)-ROUNDDOWN($K67*AP$5/100,0)&lt;-AP$6,-AP$6-SUM(AP$10:AP66),-ROUNDDOWN($K67*AP$5/100,0)),0)</f>
        <v>0</v>
      </c>
      <c r="AQ67" s="38">
        <f>IF(AND($A67&gt;=AQ$8,$A67&lt;=AQ$9),IF(SUM(AQ$10:AQ66)-ROUNDDOWN($K67*AQ$5/100,0)&lt;-AQ$6,-AQ$6-SUM(AQ$10:AQ66),-ROUNDDOWN($K67*AQ$5/100,0)),0)</f>
        <v>0</v>
      </c>
      <c r="AR67" s="38">
        <f>IF(AND($A67&gt;=AR$8,$A67&lt;=AR$9),IF(SUM(AR$10:AR66)-ROUNDDOWN($K67*AR$5/100,0)&lt;-AR$6,-AR$6-SUM(AR$10:AR66),-ROUNDDOWN($K67*AR$5/100,0)),0)</f>
        <v>0</v>
      </c>
      <c r="AS67" s="38">
        <f>IF(SUMIFS(AS$10:AS66,$A$10:$A66,$A67)-ROUNDDOWN($K67*$S67/100,0)&lt;-$S67*1000,-$S67*1000-SUMIFS(AS$10:AS66,$A$10:$A66,$A67),-ROUNDDOWN($K67*$S67/100,0))</f>
        <v>0</v>
      </c>
      <c r="AT67" s="38">
        <f>IF(AND(X67="○",$A67&gt;=AT$8,$A67&lt;=AT$9,K67&gt;=3980),IF(SUM(AT$10:AT66)-ROUNDDOWN($K67*AT$5/100,0)&lt;-AT$6,-AT$6-SUM(AT$10:AT66),-ROUNDDOWN($K67*AT$5/100,0)),0)</f>
        <v>0</v>
      </c>
      <c r="AU67" s="38">
        <f>IF(O67="○",IF(SUM(AU$10:AU66)-ROUNDDOWN($K67*AU$5/100,0)&lt;-AU$6,-AU$6-SUM(AU$10:AU66),-ROUNDDOWN($K67*AU$5/100,0)),0)</f>
        <v>0</v>
      </c>
      <c r="AV67" s="38">
        <f>IF(P67="○",IF(SUM(AV$10:AV66)-ROUNDDOWN($K67*AV$5/100,0)&lt;-AV$6,-AV$6-SUM(AV$10:AV66),-ROUNDDOWN($K67*AV$5/100,0)),0)</f>
        <v>0</v>
      </c>
      <c r="AW67" s="38">
        <f>IF(Q67="○",IF(SUM(AW$10:AW66)-ROUNDDOWN($K67*AW$5/100,0)&lt;-AW$6,-AW$6-SUM(AW$10:AW66),-ROUNDDOWN($K67*AW$5/100,0)),0)</f>
        <v>0</v>
      </c>
      <c r="AX67" s="38">
        <f>IF(R67="○",IF(SUM(AX$10:AX66)-ROUNDDOWN($K67*AX$5/100,0)&lt;-AX$6,-AX$6-SUM(AX$10:AX66),-ROUNDDOWN($K67*AX$5/100,0)),0)</f>
        <v>0</v>
      </c>
      <c r="AY67" s="70">
        <v>0</v>
      </c>
      <c r="AZ67" s="65">
        <f t="shared" si="41"/>
        <v>0</v>
      </c>
      <c r="BA67" s="65">
        <f t="shared" si="42"/>
        <v>0</v>
      </c>
      <c r="BB67" s="70"/>
      <c r="BC67" s="65">
        <f t="shared" si="43"/>
        <v>0</v>
      </c>
      <c r="BD67" s="70">
        <v>0</v>
      </c>
      <c r="BE67" s="65">
        <f t="shared" si="44"/>
        <v>0</v>
      </c>
      <c r="BF67" s="70">
        <v>0</v>
      </c>
      <c r="BG67" s="65">
        <f t="shared" si="45"/>
        <v>0</v>
      </c>
      <c r="BH67" s="70">
        <v>0</v>
      </c>
      <c r="BI67" s="65">
        <f t="shared" si="46"/>
        <v>0</v>
      </c>
      <c r="BJ67" s="38">
        <f>IF(AND(BJ$7="○",$A67&gt;=BJ$8,$A67&lt;=BJ$9),IF(SUM(BJ$10:BJ66)-ROUNDDOWN($M67*BJ$5/100,0)&lt;-BJ$6,-BJ$6-SUM(BJ$10:BJ66),-ROUNDDOWN($M67*BJ$5/100,0)),0)</f>
        <v>0</v>
      </c>
      <c r="BK67" s="38">
        <f>IF(AND(BK$7="○",$A67&gt;=BK$8,$A67&lt;=BK$9),IF(SUM(BK$10:BK66)-ROUNDDOWN($L67*BK$5/100,0)&lt;-BK$6,-BK$6-SUM(BK$10:BK66),-ROUNDDOWN($L67*BK$5/100,0)),0)</f>
        <v>0</v>
      </c>
      <c r="BL67" s="38">
        <f>IF(AND(BL$7="○",$A67&gt;=BL$8,$A67&lt;=BL$9),IF(SUM(BL$10:BL66)-ROUNDDOWN($L67*BL$5/100,0)&lt;-BL$6,-BL$6-SUM(BL$10:BL66),-ROUNDDOWN($L67*BL$5/100,0)),0)</f>
        <v>0</v>
      </c>
      <c r="BM67" s="38">
        <f>IF(AND(BM$7="○",$A67&gt;=BM$8,$A67&lt;=BM$9),IF(SUM(BM$10:BM66)-ROUNDDOWN($M67*BM$5/100,0)&lt;-BM$6,-BM$6-SUM(BM$10:BM66),-ROUNDDOWN($M67*BM$5/100,0)),0)</f>
        <v>0</v>
      </c>
      <c r="BN67" s="38">
        <f>IF(AND(BN$7="○",$A67&gt;=BN$8,$A67&lt;=BN$9),IF(SUM(BN$10:BN66)-ROUNDDOWN($M67*BN$5/100,0)&lt;-BN$6,-BN$6-SUM(BN$10:BN66),-ROUNDDOWN($M67*BN$5/100,0)),0)</f>
        <v>0</v>
      </c>
      <c r="BO67" s="38">
        <f>IF(AND(BO$7="○",$A67&gt;=BO$8,$A67&lt;=BO$9),IF(SUM(BO$10:BO66)-ROUNDDOWN($M67*BO$5/100,0)&lt;-BO$6,-BO$6-SUM(BO$10:BO66),-ROUNDDOWN($M67*BO$5/100,0)),0)</f>
        <v>0</v>
      </c>
      <c r="BP67" s="38">
        <f>IF(AND(BP$7="○",$A67&gt;=BP$8,$A67&lt;=BP$9),IF(SUM(BP$10:BP66)-ROUNDDOWN($M67*BP$5/100,0)&lt;-BP$6,-BP$6-SUM(BP$10:BP66),-ROUNDDOWN($M67*BP$5/100,0)),0)</f>
        <v>0</v>
      </c>
      <c r="BQ67" s="38">
        <f>IF(AND(BQ$7="○",$A67&gt;=BQ$8,$A67&lt;=BQ$9),IF(SUM(BQ$10:BQ66)-ROUNDDOWN($L67*BQ$5/100,0)&lt;-BQ$6,-BQ$6-SUM(BQ$10:BQ66),-ROUNDDOWN($L67*BQ$5/100,0)),0)</f>
        <v>0</v>
      </c>
      <c r="BR67" s="38">
        <f>IF(AND(BR$7="○",$A67&gt;=BR$8,$A67&lt;=BR$9),IF(SUM(BR$10:BR66)-ROUNDDOWN($M67*BR$5/100,0)&lt;-BR$6,-BR$6-SUM(BR$10:BR66),-ROUNDDOWN($M67*BR$5/100,0)),0)</f>
        <v>0</v>
      </c>
      <c r="BS67" s="38">
        <f>IF(AND(BS$7="○",$A67&gt;=BS$8,$A67&lt;=BS$9),IF(SUM(BS$10:BS66)-ROUNDDOWN($M67*BS$5/100,0)&lt;-BS$6,-BS$6-SUM(BS$10:BS66),-ROUNDDOWN($M67*BS$5/100,0)),0)</f>
        <v>0</v>
      </c>
      <c r="BT67" s="38">
        <f>IF(AND(BT$7="○",$A67&gt;=BT$8,$A67&lt;=BT$9),IF(SUM(BT$10:BT66)-ROUNDDOWN($M67*BT$5/100,0)&lt;-BT$6,-BT$6-SUM(BT$10:BT66),-ROUNDDOWN($M67*BT$5/100,0)),0)</f>
        <v>0</v>
      </c>
      <c r="BU67" s="38">
        <f>IF(AND(BU$7="○",$A67&gt;=BU$8,$A67&lt;=BU$9),IF(SUM(BU$10:BU66)-ROUNDDOWN($M67*BU$5/100,0)&lt;-BU$6,-BU$6-SUM(BU$10:BU66),-ROUNDDOWN($M67*BU$5/100,0)),0)</f>
        <v>0</v>
      </c>
      <c r="BV67" s="38">
        <f>IF(AND(BV$7="○",$A67&gt;=BV$8,$A67&lt;=BV$9),IF(SUM(BV$10:BV66)-ROUNDDOWN($M67*BV$5/100,0)&lt;-BV$6,-BV$6-SUM(BV$10:BV66),-ROUNDDOWN($M67*BV$5/100,0)),0)</f>
        <v>0</v>
      </c>
      <c r="BW67" s="38">
        <f>IF(AND(BW$7="○",$A67&gt;=BW$8,$A67&lt;=BW$9),IF(SUM(BW$10:BW66)-ROUNDDOWN($M67*BW$5/100,0)&lt;-BW$6,-BW$6-SUM(BW$10:BW66),-ROUNDDOWN($M67*BW$5/100,0)),0)</f>
        <v>0</v>
      </c>
      <c r="BX67" s="38">
        <f>IF(AND(T67="○",$A67&gt;=BX$8,$A67&lt;=BX$9),IF(SUM(BX$10:BX66)-ROUNDDOWN($K67*BX$5/100,0)&lt;-BX$6,-BX$6-SUM(BX$10:BX66),-ROUNDDOWN($K67*BX$5/100,0)),0)</f>
        <v>0</v>
      </c>
      <c r="BY67" s="38">
        <f>IF(AND(U67="○",$A67&gt;=BY$8,$A67&lt;=BY$9),IF(SUM(BY$10:BY66)-ROUNDDOWN($K67*BY$5/100,0)&lt;-BY$6,-BY$6-SUM(BY$10:BY66),-ROUNDDOWN($K67*BY$5/100,0)),0)</f>
        <v>0</v>
      </c>
      <c r="BZ67" s="38">
        <f>IF(AND(V67="○",$A67&gt;=BZ$8,$A67&lt;=BZ$9),IF(SUM(BZ$10:BZ66)-ROUNDDOWN($K67*BZ$5/100,0)&lt;-BZ$6,-BZ$6-SUM(BZ$10:BZ66),-ROUNDDOWN($K67*BZ$5/100,0)),0)</f>
        <v>0</v>
      </c>
      <c r="CA67" s="38">
        <f>IF(AND(W67="○",$A67&gt;=CA$8,$A67&lt;=CA$9),IF(SUM(CA$10:CA66)-ROUNDDOWN($K67*CA$5/100,0)&lt;-CA$6,-CA$6-SUM(CA$10:CA66),-ROUNDDOWN($K67*CA$5/100,0)),0)</f>
        <v>0</v>
      </c>
      <c r="CB67" s="38"/>
      <c r="CC67" s="38"/>
      <c r="CD67" s="38"/>
      <c r="CE67" s="38"/>
      <c r="CF67" s="38"/>
      <c r="CG67" s="65">
        <f t="shared" si="47"/>
        <v>0</v>
      </c>
      <c r="CH67" s="71">
        <f t="shared" si="48"/>
        <v>0</v>
      </c>
      <c r="CI67" s="1">
        <f t="shared" si="65"/>
        <v>0</v>
      </c>
      <c r="CJ67" s="1"/>
      <c r="CK67" s="72"/>
      <c r="CL67" s="72"/>
      <c r="CM67" s="2"/>
      <c r="CN67" s="2"/>
      <c r="CO67" s="73">
        <f t="shared" si="66"/>
        <v>0</v>
      </c>
      <c r="CP67" s="5">
        <f t="shared" si="67"/>
        <v>0</v>
      </c>
      <c r="CQ67" s="1"/>
      <c r="CR67" s="1">
        <f t="shared" si="68"/>
        <v>0</v>
      </c>
      <c r="CS67" s="1"/>
      <c r="CT67" s="1" t="e">
        <f>INDEX([2]マスタ!$A:$A,MATCH(D67,[2]マスタ!$C:$C,0))</f>
        <v>#N/A</v>
      </c>
      <c r="CU67" s="1" t="str">
        <f t="shared" ca="1" si="69"/>
        <v>20260620_0-0</v>
      </c>
    </row>
    <row r="68" spans="1:99" x14ac:dyDescent="0.4">
      <c r="A68" s="61"/>
      <c r="B68" s="62"/>
      <c r="C68" s="62"/>
      <c r="D68" s="63"/>
      <c r="E68" s="63"/>
      <c r="F68" s="62"/>
      <c r="G68" s="62">
        <v>1</v>
      </c>
      <c r="H68" s="64">
        <f t="shared" si="56"/>
        <v>0</v>
      </c>
      <c r="I68" s="64"/>
      <c r="J68" s="64"/>
      <c r="K68" s="65">
        <f t="shared" si="72"/>
        <v>0</v>
      </c>
      <c r="L68" s="65">
        <f t="shared" si="58"/>
        <v>0</v>
      </c>
      <c r="M68" s="65">
        <f t="shared" si="59"/>
        <v>0</v>
      </c>
      <c r="N68" s="65">
        <f t="shared" si="60"/>
        <v>0</v>
      </c>
      <c r="O68" s="66" t="str">
        <f t="shared" si="61"/>
        <v>✕</v>
      </c>
      <c r="P68" s="67" t="str">
        <f t="shared" si="62"/>
        <v>○</v>
      </c>
      <c r="Q68" s="67" t="str">
        <f t="shared" si="73"/>
        <v>✕</v>
      </c>
      <c r="R68" s="67" t="str">
        <f t="shared" si="64"/>
        <v>✕</v>
      </c>
      <c r="S68" s="68">
        <v>0</v>
      </c>
      <c r="T68" s="69" t="s">
        <v>85</v>
      </c>
      <c r="U68" s="69" t="s">
        <v>85</v>
      </c>
      <c r="V68" s="69" t="s">
        <v>85</v>
      </c>
      <c r="W68" s="69" t="s">
        <v>85</v>
      </c>
      <c r="X68" s="69" t="s">
        <v>84</v>
      </c>
      <c r="Y68" s="69" t="s">
        <v>85</v>
      </c>
      <c r="Z68" s="69" t="s">
        <v>85</v>
      </c>
      <c r="AA68" s="69" t="s">
        <v>85</v>
      </c>
      <c r="AB68" s="69" t="s">
        <v>85</v>
      </c>
      <c r="AC68" s="69" t="s">
        <v>85</v>
      </c>
      <c r="AD68" s="38" t="str">
        <f>+IF(ISERROR(VLOOKUP($B68,AD$10:AD67,1,0)),IF(AND($N68&gt;=1000,$A68&gt;=AO$8,$A68&lt;=AO$9),$B68,""),"")</f>
        <v/>
      </c>
      <c r="AE68" s="38" t="str">
        <f>+IF(ISERROR(VLOOKUP($B68,AE$10:AE67,1,0)),IF(AND($N68&gt;=1000,$A68&gt;=AP$8,$A68&lt;=AP$9),$B68,""),"")</f>
        <v/>
      </c>
      <c r="AF68" s="38" t="str">
        <f>+IF(ISERROR(VLOOKUP($B68,AF$10:AF67,1,0)),IF(AND($N68&gt;=1000,$A68&gt;=AQ$8,$A68&lt;=AQ$9),$B68,""),"")</f>
        <v/>
      </c>
      <c r="AG68" s="38" t="str">
        <f>+IF(ISERROR(VLOOKUP($B68,AG$10:AG67,1,0)),IF(AND($N68&gt;=1000,$A68&gt;=AR$8,$A68&lt;=AR$9),$B68,""),"")</f>
        <v/>
      </c>
      <c r="AH68" s="38"/>
      <c r="AI68" s="70">
        <v>0</v>
      </c>
      <c r="AJ68" s="38">
        <f>IF(AND(AJ$7="○",$A68&gt;=AJ$8,$A68&lt;=AJ$9),IF(SUM(AJ$10:AJ67)-ROUNDDOWN($K68*AJ$5/100,0)&lt;-AJ$6,-AJ$6-SUM(AJ$10:AJ67),-ROUNDDOWN($K68*AJ$5/100,0)),0)</f>
        <v>0</v>
      </c>
      <c r="AK68" s="38">
        <f>IF(AND(AK$7="○",$A68&gt;=AK$8,$A68&lt;=AK$9),IF(SUM(AK$10:AK67)-ROUNDDOWN($L68*AK$5/100,0)&lt;-AK$6,-AK$6-SUM(AK$10:AK67),-ROUNDDOWN($L68*AK$5/100,0)),0)</f>
        <v>0</v>
      </c>
      <c r="AL68" s="38">
        <f>IF(AND(AL$7="○",$A68&gt;=AL$8,$A68&lt;=AL$9),IF(SUM(AL$10:AL67)-ROUNDDOWN($N68*AL$5/100,0)&lt;-AL$6,-AL$6-SUM(AL$10:AL67),-ROUNDDOWN($N68*AL$5/100,0)),0)</f>
        <v>0</v>
      </c>
      <c r="AM68" s="38">
        <f>IF(AND(AM$7="○",$A68&gt;=AM$8,$A68&lt;=AM$9),IF(SUM(AM$10:AM67)-ROUNDDOWN($L68*AM$5/100,0)&lt;-AM$6,-AM$6-SUM(AM$10:AM67),-ROUNDDOWN($L68*AM$5/100,0)),0)</f>
        <v>0</v>
      </c>
      <c r="AN68" s="38">
        <f>IF(AND(AN$7="○",$A68&gt;=AN$8,$A68&lt;=AN$9),IF(SUM(AN$10:AN67)-ROUNDDOWN($M68*AN$5/100,0)&lt;-AN$6,-AN$6-SUM(AN$10:AN67),-ROUNDDOWN($M68*AN$5/100,0)),0)</f>
        <v>0</v>
      </c>
      <c r="AO68" s="38">
        <f>IF(AND($A68&gt;=AO$8,$A68&lt;=AO$9),IF(SUM(AO$10:AO67)-ROUNDDOWN($K68*AO$5/100,0)&lt;-AO$6,-AO$6-SUM(AO$10:AO67),-ROUNDDOWN($K68*AO$5/100,0)),0)</f>
        <v>0</v>
      </c>
      <c r="AP68" s="38">
        <f>IF(AND($A68&gt;=AP$8,$A68&lt;=AP$9),IF(SUM(AP$10:AP67)-ROUNDDOWN($K68*AP$5/100,0)&lt;-AP$6,-AP$6-SUM(AP$10:AP67),-ROUNDDOWN($K68*AP$5/100,0)),0)</f>
        <v>0</v>
      </c>
      <c r="AQ68" s="38">
        <f>IF(AND($A68&gt;=AQ$8,$A68&lt;=AQ$9),IF(SUM(AQ$10:AQ67)-ROUNDDOWN($K68*AQ$5/100,0)&lt;-AQ$6,-AQ$6-SUM(AQ$10:AQ67),-ROUNDDOWN($K68*AQ$5/100,0)),0)</f>
        <v>0</v>
      </c>
      <c r="AR68" s="38">
        <f>IF(AND($A68&gt;=AR$8,$A68&lt;=AR$9),IF(SUM(AR$10:AR67)-ROUNDDOWN($K68*AR$5/100,0)&lt;-AR$6,-AR$6-SUM(AR$10:AR67),-ROUNDDOWN($K68*AR$5/100,0)),0)</f>
        <v>0</v>
      </c>
      <c r="AS68" s="38">
        <f>IF(SUMIFS(AS$10:AS67,$A$10:$A67,$A68)-ROUNDDOWN($K68*$S68/100,0)&lt;-$S68*1000,-$S68*1000-SUMIFS(AS$10:AS67,$A$10:$A67,$A68),-ROUNDDOWN($K68*$S68/100,0))</f>
        <v>0</v>
      </c>
      <c r="AT68" s="38">
        <f>IF(AND(X68="○",$A68&gt;=AT$8,$A68&lt;=AT$9,K68&gt;=3980),IF(SUM(AT$10:AT67)-ROUNDDOWN($K68*AT$5/100,0)&lt;-AT$6,-AT$6-SUM(AT$10:AT67),-ROUNDDOWN($K68*AT$5/100,0)),0)</f>
        <v>0</v>
      </c>
      <c r="AU68" s="38">
        <f>IF(O68="○",IF(SUM(AU$10:AU67)-ROUNDDOWN($K68*AU$5/100,0)&lt;-AU$6,-AU$6-SUM(AU$10:AU67),-ROUNDDOWN($K68*AU$5/100,0)),0)</f>
        <v>0</v>
      </c>
      <c r="AV68" s="38">
        <f>IF(P68="○",IF(SUM(AV$10:AV67)-ROUNDDOWN($K68*AV$5/100,0)&lt;-AV$6,-AV$6-SUM(AV$10:AV67),-ROUNDDOWN($K68*AV$5/100,0)),0)</f>
        <v>0</v>
      </c>
      <c r="AW68" s="38">
        <f>IF(Q68="○",IF(SUM(AW$10:AW67)-ROUNDDOWN($K68*AW$5/100,0)&lt;-AW$6,-AW$6-SUM(AW$10:AW67),-ROUNDDOWN($K68*AW$5/100,0)),0)</f>
        <v>0</v>
      </c>
      <c r="AX68" s="38">
        <f>IF(R68="○",IF(SUM(AX$10:AX67)-ROUNDDOWN($K68*AX$5/100,0)&lt;-AX$6,-AX$6-SUM(AX$10:AX67),-ROUNDDOWN($K68*AX$5/100,0)),0)</f>
        <v>0</v>
      </c>
      <c r="AY68" s="70">
        <v>0</v>
      </c>
      <c r="AZ68" s="65">
        <f t="shared" si="41"/>
        <v>0</v>
      </c>
      <c r="BA68" s="65">
        <f t="shared" si="42"/>
        <v>0</v>
      </c>
      <c r="BB68" s="70"/>
      <c r="BC68" s="65">
        <f t="shared" si="43"/>
        <v>0</v>
      </c>
      <c r="BD68" s="70">
        <v>0</v>
      </c>
      <c r="BE68" s="65">
        <f t="shared" si="44"/>
        <v>0</v>
      </c>
      <c r="BF68" s="70">
        <v>0</v>
      </c>
      <c r="BG68" s="65">
        <f t="shared" si="45"/>
        <v>0</v>
      </c>
      <c r="BH68" s="70">
        <v>0</v>
      </c>
      <c r="BI68" s="65">
        <f t="shared" si="46"/>
        <v>0</v>
      </c>
      <c r="BJ68" s="38">
        <f>IF(AND(BJ$7="○",$A68&gt;=BJ$8,$A68&lt;=BJ$9),IF(SUM(BJ$10:BJ67)-ROUNDDOWN($M68*BJ$5/100,0)&lt;-BJ$6,-BJ$6-SUM(BJ$10:BJ67),-ROUNDDOWN($M68*BJ$5/100,0)),0)</f>
        <v>0</v>
      </c>
      <c r="BK68" s="38">
        <f>IF(AND(BK$7="○",$A68&gt;=BK$8,$A68&lt;=BK$9),IF(SUM(BK$10:BK67)-ROUNDDOWN($L68*BK$5/100,0)&lt;-BK$6,-BK$6-SUM(BK$10:BK67),-ROUNDDOWN($L68*BK$5/100,0)),0)</f>
        <v>0</v>
      </c>
      <c r="BL68" s="38">
        <f>IF(AND(BL$7="○",$A68&gt;=BL$8,$A68&lt;=BL$9),IF(SUM(BL$10:BL67)-ROUNDDOWN($L68*BL$5/100,0)&lt;-BL$6,-BL$6-SUM(BL$10:BL67),-ROUNDDOWN($L68*BL$5/100,0)),0)</f>
        <v>0</v>
      </c>
      <c r="BM68" s="38">
        <f>IF(AND(BM$7="○",$A68&gt;=BM$8,$A68&lt;=BM$9),IF(SUM(BM$10:BM67)-ROUNDDOWN($M68*BM$5/100,0)&lt;-BM$6,-BM$6-SUM(BM$10:BM67),-ROUNDDOWN($M68*BM$5/100,0)),0)</f>
        <v>0</v>
      </c>
      <c r="BN68" s="38">
        <f>IF(AND(BN$7="○",$A68&gt;=BN$8,$A68&lt;=BN$9),IF(SUM(BN$10:BN67)-ROUNDDOWN($M68*BN$5/100,0)&lt;-BN$6,-BN$6-SUM(BN$10:BN67),-ROUNDDOWN($M68*BN$5/100,0)),0)</f>
        <v>0</v>
      </c>
      <c r="BO68" s="38">
        <f>IF(AND(BO$7="○",$A68&gt;=BO$8,$A68&lt;=BO$9),IF(SUM(BO$10:BO67)-ROUNDDOWN($M68*BO$5/100,0)&lt;-BO$6,-BO$6-SUM(BO$10:BO67),-ROUNDDOWN($M68*BO$5/100,0)),0)</f>
        <v>0</v>
      </c>
      <c r="BP68" s="38">
        <f>IF(AND(BP$7="○",$A68&gt;=BP$8,$A68&lt;=BP$9),IF(SUM(BP$10:BP67)-ROUNDDOWN($M68*BP$5/100,0)&lt;-BP$6,-BP$6-SUM(BP$10:BP67),-ROUNDDOWN($M68*BP$5/100,0)),0)</f>
        <v>0</v>
      </c>
      <c r="BQ68" s="38">
        <f>IF(AND(BQ$7="○",$A68&gt;=BQ$8,$A68&lt;=BQ$9),IF(SUM(BQ$10:BQ67)-ROUNDDOWN($L68*BQ$5/100,0)&lt;-BQ$6,-BQ$6-SUM(BQ$10:BQ67),-ROUNDDOWN($L68*BQ$5/100,0)),0)</f>
        <v>0</v>
      </c>
      <c r="BR68" s="38">
        <f>IF(AND(BR$7="○",$A68&gt;=BR$8,$A68&lt;=BR$9),IF(SUM(BR$10:BR67)-ROUNDDOWN($M68*BR$5/100,0)&lt;-BR$6,-BR$6-SUM(BR$10:BR67),-ROUNDDOWN($M68*BR$5/100,0)),0)</f>
        <v>0</v>
      </c>
      <c r="BS68" s="38">
        <f>IF(AND(BS$7="○",$A68&gt;=BS$8,$A68&lt;=BS$9),IF(SUM(BS$10:BS67)-ROUNDDOWN($M68*BS$5/100,0)&lt;-BS$6,-BS$6-SUM(BS$10:BS67),-ROUNDDOWN($M68*BS$5/100,0)),0)</f>
        <v>0</v>
      </c>
      <c r="BT68" s="38">
        <f>IF(AND(BT$7="○",$A68&gt;=BT$8,$A68&lt;=BT$9),IF(SUM(BT$10:BT67)-ROUNDDOWN($M68*BT$5/100,0)&lt;-BT$6,-BT$6-SUM(BT$10:BT67),-ROUNDDOWN($M68*BT$5/100,0)),0)</f>
        <v>0</v>
      </c>
      <c r="BU68" s="38">
        <f>IF(AND(BU$7="○",$A68&gt;=BU$8,$A68&lt;=BU$9),IF(SUM(BU$10:BU67)-ROUNDDOWN($M68*BU$5/100,0)&lt;-BU$6,-BU$6-SUM(BU$10:BU67),-ROUNDDOWN($M68*BU$5/100,0)),0)</f>
        <v>0</v>
      </c>
      <c r="BV68" s="38">
        <f>IF(AND(BV$7="○",$A68&gt;=BV$8,$A68&lt;=BV$9),IF(SUM(BV$10:BV67)-ROUNDDOWN($M68*BV$5/100,0)&lt;-BV$6,-BV$6-SUM(BV$10:BV67),-ROUNDDOWN($M68*BV$5/100,0)),0)</f>
        <v>0</v>
      </c>
      <c r="BW68" s="38">
        <f>IF(AND(BW$7="○",$A68&gt;=BW$8,$A68&lt;=BW$9),IF(SUM(BW$10:BW67)-ROUNDDOWN($M68*BW$5/100,0)&lt;-BW$6,-BW$6-SUM(BW$10:BW67),-ROUNDDOWN($M68*BW$5/100,0)),0)</f>
        <v>0</v>
      </c>
      <c r="BX68" s="38">
        <f>IF(AND(T68="○",$A68&gt;=BX$8,$A68&lt;=BX$9),IF(SUM(BX$10:BX67)-ROUNDDOWN($K68*BX$5/100,0)&lt;-BX$6,-BX$6-SUM(BX$10:BX67),-ROUNDDOWN($K68*BX$5/100,0)),0)</f>
        <v>0</v>
      </c>
      <c r="BY68" s="38">
        <f>IF(AND(U68="○",$A68&gt;=BY$8,$A68&lt;=BY$9),IF(SUM(BY$10:BY67)-ROUNDDOWN($K68*BY$5/100,0)&lt;-BY$6,-BY$6-SUM(BY$10:BY67),-ROUNDDOWN($K68*BY$5/100,0)),0)</f>
        <v>0</v>
      </c>
      <c r="BZ68" s="38">
        <f>IF(AND(V68="○",$A68&gt;=BZ$8,$A68&lt;=BZ$9),IF(SUM(BZ$10:BZ67)-ROUNDDOWN($K68*BZ$5/100,0)&lt;-BZ$6,-BZ$6-SUM(BZ$10:BZ67),-ROUNDDOWN($K68*BZ$5/100,0)),0)</f>
        <v>0</v>
      </c>
      <c r="CA68" s="38">
        <f>IF(AND(W68="○",$A68&gt;=CA$8,$A68&lt;=CA$9),IF(SUM(CA$10:CA67)-ROUNDDOWN($K68*CA$5/100,0)&lt;-CA$6,-CA$6-SUM(CA$10:CA67),-ROUNDDOWN($K68*CA$5/100,0)),0)</f>
        <v>0</v>
      </c>
      <c r="CB68" s="38"/>
      <c r="CC68" s="38"/>
      <c r="CD68" s="38"/>
      <c r="CE68" s="38"/>
      <c r="CF68" s="38"/>
      <c r="CG68" s="65">
        <f t="shared" si="47"/>
        <v>0</v>
      </c>
      <c r="CH68" s="71">
        <f t="shared" si="48"/>
        <v>0</v>
      </c>
      <c r="CI68" s="1">
        <f t="shared" si="65"/>
        <v>0</v>
      </c>
      <c r="CJ68" s="1"/>
      <c r="CK68" s="2"/>
      <c r="CL68" s="2"/>
      <c r="CM68" s="2"/>
      <c r="CN68" s="2"/>
      <c r="CO68" s="73">
        <f t="shared" si="66"/>
        <v>0</v>
      </c>
      <c r="CP68" s="5">
        <f t="shared" si="67"/>
        <v>0</v>
      </c>
      <c r="CQ68" s="1"/>
      <c r="CR68" s="1">
        <f t="shared" si="68"/>
        <v>0</v>
      </c>
      <c r="CS68" s="1"/>
      <c r="CT68" s="1" t="e">
        <f>INDEX([2]マスタ!$A:$A,MATCH(D68,[2]マスタ!$C:$C,0))</f>
        <v>#N/A</v>
      </c>
      <c r="CU68" s="1" t="str">
        <f t="shared" ca="1" si="69"/>
        <v>20260620_0-0</v>
      </c>
    </row>
    <row r="69" spans="1:99" x14ac:dyDescent="0.4">
      <c r="A69" s="61"/>
      <c r="B69" s="62"/>
      <c r="C69" s="62"/>
      <c r="D69" s="62"/>
      <c r="E69" s="63"/>
      <c r="F69" s="62"/>
      <c r="G69" s="62">
        <v>1</v>
      </c>
      <c r="H69" s="64">
        <f t="shared" si="56"/>
        <v>0</v>
      </c>
      <c r="I69" s="64"/>
      <c r="J69" s="78"/>
      <c r="K69" s="65">
        <f t="shared" si="72"/>
        <v>0</v>
      </c>
      <c r="L69" s="65">
        <f t="shared" si="58"/>
        <v>0</v>
      </c>
      <c r="M69" s="65">
        <f t="shared" si="59"/>
        <v>0</v>
      </c>
      <c r="N69" s="65">
        <f t="shared" si="60"/>
        <v>0</v>
      </c>
      <c r="O69" s="66" t="str">
        <f t="shared" si="61"/>
        <v>✕</v>
      </c>
      <c r="P69" s="67" t="str">
        <f t="shared" si="62"/>
        <v>○</v>
      </c>
      <c r="Q69" s="67" t="str">
        <f t="shared" si="73"/>
        <v>✕</v>
      </c>
      <c r="R69" s="67" t="str">
        <f t="shared" si="64"/>
        <v>✕</v>
      </c>
      <c r="S69" s="68">
        <v>0</v>
      </c>
      <c r="T69" s="69" t="s">
        <v>85</v>
      </c>
      <c r="U69" s="69" t="s">
        <v>85</v>
      </c>
      <c r="V69" s="69" t="s">
        <v>85</v>
      </c>
      <c r="W69" s="69" t="s">
        <v>85</v>
      </c>
      <c r="X69" s="69" t="s">
        <v>84</v>
      </c>
      <c r="Y69" s="69" t="s">
        <v>85</v>
      </c>
      <c r="Z69" s="69" t="s">
        <v>85</v>
      </c>
      <c r="AA69" s="69" t="s">
        <v>85</v>
      </c>
      <c r="AB69" s="69" t="s">
        <v>85</v>
      </c>
      <c r="AC69" s="69" t="s">
        <v>85</v>
      </c>
      <c r="AD69" s="38" t="str">
        <f>+IF(ISERROR(VLOOKUP($B69,AD$10:AD68,1,0)),IF(AND($N69&gt;=1000,$A69&gt;=AO$8,$A69&lt;=AO$9),$B69,""),"")</f>
        <v/>
      </c>
      <c r="AE69" s="38" t="str">
        <f>+IF(ISERROR(VLOOKUP($B69,AE$10:AE68,1,0)),IF(AND($N69&gt;=1000,$A69&gt;=AP$8,$A69&lt;=AP$9),$B69,""),"")</f>
        <v/>
      </c>
      <c r="AF69" s="38" t="str">
        <f>+IF(ISERROR(VLOOKUP($B69,AF$10:AF68,1,0)),IF(AND($N69&gt;=1000,$A69&gt;=AQ$8,$A69&lt;=AQ$9),$B69,""),"")</f>
        <v/>
      </c>
      <c r="AG69" s="38" t="str">
        <f>+IF(ISERROR(VLOOKUP($B69,AG$10:AG68,1,0)),IF(AND($N69&gt;=1000,$A69&gt;=AR$8,$A69&lt;=AR$9),$B69,""),"")</f>
        <v/>
      </c>
      <c r="AH69" s="38"/>
      <c r="AI69" s="70">
        <v>0</v>
      </c>
      <c r="AJ69" s="38">
        <f>IF(AND(AJ$7="○",$A69&gt;=AJ$8,$A69&lt;=AJ$9),IF(SUM(AJ$10:AJ68)-ROUNDDOWN($K69*AJ$5/100,0)&lt;-AJ$6,-AJ$6-SUM(AJ$10:AJ68),-ROUNDDOWN($K69*AJ$5/100,0)),0)</f>
        <v>0</v>
      </c>
      <c r="AK69" s="38">
        <f>IF(AND(AK$7="○",$A69&gt;=AK$8,$A69&lt;=AK$9),IF(SUM(AK$10:AK68)-ROUNDDOWN($L69*AK$5/100,0)&lt;-AK$6,-AK$6-SUM(AK$10:AK68),-ROUNDDOWN($L69*AK$5/100,0)),0)</f>
        <v>0</v>
      </c>
      <c r="AL69" s="38">
        <f>IF(AND(AL$7="○",$A69&gt;=AL$8,$A69&lt;=AL$9),IF(SUM(AL$10:AL68)-ROUNDDOWN($N69*AL$5/100,0)&lt;-AL$6,-AL$6-SUM(AL$10:AL68),-ROUNDDOWN($N69*AL$5/100,0)),0)</f>
        <v>0</v>
      </c>
      <c r="AM69" s="38">
        <f>IF(AND(AM$7="○",$A69&gt;=AM$8,$A69&lt;=AM$9),IF(SUM(AM$10:AM68)-ROUNDDOWN($L69*AM$5/100,0)&lt;-AM$6,-AM$6-SUM(AM$10:AM68),-ROUNDDOWN($L69*AM$5/100,0)),0)</f>
        <v>0</v>
      </c>
      <c r="AN69" s="38">
        <f>IF(AND(AN$7="○",$A69&gt;=AN$8,$A69&lt;=AN$9),IF(SUM(AN$10:AN68)-ROUNDDOWN($M69*AN$5/100,0)&lt;-AN$6,-AN$6-SUM(AN$10:AN68),-ROUNDDOWN($M69*AN$5/100,0)),0)</f>
        <v>0</v>
      </c>
      <c r="AO69" s="38">
        <f>IF(AND($A69&gt;=AO$8,$A69&lt;=AO$9),IF(SUM(AO$10:AO68)-ROUNDDOWN($K69*AO$5/100,0)&lt;-AO$6,-AO$6-SUM(AO$10:AO68),-ROUNDDOWN($K69*AO$5/100,0)),0)</f>
        <v>0</v>
      </c>
      <c r="AP69" s="38">
        <f>IF(AND($A69&gt;=AP$8,$A69&lt;=AP$9),IF(SUM(AP$10:AP68)-ROUNDDOWN($K69*AP$5/100,0)&lt;-AP$6,-AP$6-SUM(AP$10:AP68),-ROUNDDOWN($K69*AP$5/100,0)),0)</f>
        <v>0</v>
      </c>
      <c r="AQ69" s="38">
        <f>IF(AND($A69&gt;=AQ$8,$A69&lt;=AQ$9),IF(SUM(AQ$10:AQ68)-ROUNDDOWN($K69*AQ$5/100,0)&lt;-AQ$6,-AQ$6-SUM(AQ$10:AQ68),-ROUNDDOWN($K69*AQ$5/100,0)),0)</f>
        <v>0</v>
      </c>
      <c r="AR69" s="38">
        <f>IF(AND($A69&gt;=AR$8,$A69&lt;=AR$9),IF(SUM(AR$10:AR68)-ROUNDDOWN($K69*AR$5/100,0)&lt;-AR$6,-AR$6-SUM(AR$10:AR68),-ROUNDDOWN($K69*AR$5/100,0)),0)</f>
        <v>0</v>
      </c>
      <c r="AS69" s="38">
        <f>IF(SUMIFS(AS$10:AS68,$A$10:$A68,$A69)-ROUNDDOWN($K69*$S69/100,0)&lt;-$S69*1000,-$S69*1000-SUMIFS(AS$10:AS68,$A$10:$A68,$A69),-ROUNDDOWN($K69*$S69/100,0))</f>
        <v>0</v>
      </c>
      <c r="AT69" s="38">
        <f>IF(AND(X69="○",$A69&gt;=AT$8,$A69&lt;=AT$9,K69&gt;=3980),IF(SUM(AT$10:AT68)-ROUNDDOWN($K69*AT$5/100,0)&lt;-AT$6,-AT$6-SUM(AT$10:AT68),-ROUNDDOWN($K69*AT$5/100,0)),0)</f>
        <v>0</v>
      </c>
      <c r="AU69" s="38">
        <f>IF(O69="○",IF(SUM(AU$10:AU68)-ROUNDDOWN($K69*AU$5/100,0)&lt;-AU$6,-AU$6-SUM(AU$10:AU68),-ROUNDDOWN($K69*AU$5/100,0)),0)</f>
        <v>0</v>
      </c>
      <c r="AV69" s="38">
        <f>IF(P69="○",IF(SUM(AV$10:AV68)-ROUNDDOWN($K69*AV$5/100,0)&lt;-AV$6,-AV$6-SUM(AV$10:AV68),-ROUNDDOWN($K69*AV$5/100,0)),0)</f>
        <v>0</v>
      </c>
      <c r="AW69" s="38">
        <f>IF(Q69="○",IF(SUM(AW$10:AW68)-ROUNDDOWN($K69*AW$5/100,0)&lt;-AW$6,-AW$6-SUM(AW$10:AW68),-ROUNDDOWN($K69*AW$5/100,0)),0)</f>
        <v>0</v>
      </c>
      <c r="AX69" s="38">
        <f>IF(R69="○",IF(SUM(AX$10:AX68)-ROUNDDOWN($K69*AX$5/100,0)&lt;-AX$6,-AX$6-SUM(AX$10:AX68),-ROUNDDOWN($K69*AX$5/100,0)),0)</f>
        <v>0</v>
      </c>
      <c r="AY69" s="70">
        <v>0</v>
      </c>
      <c r="AZ69" s="65">
        <f t="shared" si="41"/>
        <v>0</v>
      </c>
      <c r="BA69" s="65">
        <f t="shared" si="42"/>
        <v>0</v>
      </c>
      <c r="BB69" s="70"/>
      <c r="BC69" s="65">
        <f t="shared" si="43"/>
        <v>0</v>
      </c>
      <c r="BD69" s="70">
        <v>0</v>
      </c>
      <c r="BE69" s="65">
        <f t="shared" si="44"/>
        <v>0</v>
      </c>
      <c r="BF69" s="70">
        <v>0</v>
      </c>
      <c r="BG69" s="65">
        <f t="shared" si="45"/>
        <v>0</v>
      </c>
      <c r="BH69" s="70">
        <v>0</v>
      </c>
      <c r="BI69" s="65">
        <f t="shared" si="46"/>
        <v>0</v>
      </c>
      <c r="BJ69" s="38">
        <f>IF(AND(BJ$7="○",$A69&gt;=BJ$8,$A69&lt;=BJ$9),IF(SUM(BJ$10:BJ68)-ROUNDDOWN($M69*BJ$5/100,0)&lt;-BJ$6,-BJ$6-SUM(BJ$10:BJ68),-ROUNDDOWN($M69*BJ$5/100,0)),0)</f>
        <v>0</v>
      </c>
      <c r="BK69" s="38">
        <f>IF(AND(BK$7="○",$A69&gt;=BK$8,$A69&lt;=BK$9),IF(SUM(BK$10:BK68)-ROUNDDOWN($L69*BK$5/100,0)&lt;-BK$6,-BK$6-SUM(BK$10:BK68),-ROUNDDOWN($L69*BK$5/100,0)),0)</f>
        <v>0</v>
      </c>
      <c r="BL69" s="38">
        <f>IF(AND(BL$7="○",$A69&gt;=BL$8,$A69&lt;=BL$9),IF(SUM(BL$10:BL68)-ROUNDDOWN($L69*BL$5/100,0)&lt;-BL$6,-BL$6-SUM(BL$10:BL68),-ROUNDDOWN($L69*BL$5/100,0)),0)</f>
        <v>0</v>
      </c>
      <c r="BM69" s="38">
        <f>IF(AND(BM$7="○",$A69&gt;=BM$8,$A69&lt;=BM$9),IF(SUM(BM$10:BM68)-ROUNDDOWN($M69*BM$5/100,0)&lt;-BM$6,-BM$6-SUM(BM$10:BM68),-ROUNDDOWN($M69*BM$5/100,0)),0)</f>
        <v>0</v>
      </c>
      <c r="BN69" s="38">
        <f>IF(AND(BN$7="○",$A69&gt;=BN$8,$A69&lt;=BN$9),IF(SUM(BN$10:BN68)-ROUNDDOWN($M69*BN$5/100,0)&lt;-BN$6,-BN$6-SUM(BN$10:BN68),-ROUNDDOWN($M69*BN$5/100,0)),0)</f>
        <v>0</v>
      </c>
      <c r="BO69" s="38">
        <f>IF(AND(BO$7="○",$A69&gt;=BO$8,$A69&lt;=BO$9),IF(SUM(BO$10:BO68)-ROUNDDOWN($M69*BO$5/100,0)&lt;-BO$6,-BO$6-SUM(BO$10:BO68),-ROUNDDOWN($M69*BO$5/100,0)),0)</f>
        <v>0</v>
      </c>
      <c r="BP69" s="38">
        <f>IF(AND(BP$7="○",$A69&gt;=BP$8,$A69&lt;=BP$9),IF(SUM(BP$10:BP68)-ROUNDDOWN($M69*BP$5/100,0)&lt;-BP$6,-BP$6-SUM(BP$10:BP68),-ROUNDDOWN($M69*BP$5/100,0)),0)</f>
        <v>0</v>
      </c>
      <c r="BQ69" s="38">
        <f>IF(AND(BQ$7="○",$A69&gt;=BQ$8,$A69&lt;=BQ$9),IF(SUM(BQ$10:BQ68)-ROUNDDOWN($L69*BQ$5/100,0)&lt;-BQ$6,-BQ$6-SUM(BQ$10:BQ68),-ROUNDDOWN($L69*BQ$5/100,0)),0)</f>
        <v>0</v>
      </c>
      <c r="BR69" s="38">
        <f>IF(AND(BR$7="○",$A69&gt;=BR$8,$A69&lt;=BR$9),IF(SUM(BR$10:BR68)-ROUNDDOWN($M69*BR$5/100,0)&lt;-BR$6,-BR$6-SUM(BR$10:BR68),-ROUNDDOWN($M69*BR$5/100,0)),0)</f>
        <v>0</v>
      </c>
      <c r="BS69" s="38">
        <f>IF(AND(BS$7="○",$A69&gt;=BS$8,$A69&lt;=BS$9),IF(SUM(BS$10:BS68)-ROUNDDOWN($M69*BS$5/100,0)&lt;-BS$6,-BS$6-SUM(BS$10:BS68),-ROUNDDOWN($M69*BS$5/100,0)),0)</f>
        <v>0</v>
      </c>
      <c r="BT69" s="38">
        <f>IF(AND(BT$7="○",$A69&gt;=BT$8,$A69&lt;=BT$9),IF(SUM(BT$10:BT68)-ROUNDDOWN($M69*BT$5/100,0)&lt;-BT$6,-BT$6-SUM(BT$10:BT68),-ROUNDDOWN($M69*BT$5/100,0)),0)</f>
        <v>0</v>
      </c>
      <c r="BU69" s="38">
        <f>IF(AND(BU$7="○",$A69&gt;=BU$8,$A69&lt;=BU$9),IF(SUM(BU$10:BU68)-ROUNDDOWN($M69*BU$5/100,0)&lt;-BU$6,-BU$6-SUM(BU$10:BU68),-ROUNDDOWN($M69*BU$5/100,0)),0)</f>
        <v>0</v>
      </c>
      <c r="BV69" s="38">
        <f>IF(AND(BV$7="○",$A69&gt;=BV$8,$A69&lt;=BV$9),IF(SUM(BV$10:BV68)-ROUNDDOWN($M69*BV$5/100,0)&lt;-BV$6,-BV$6-SUM(BV$10:BV68),-ROUNDDOWN($M69*BV$5/100,0)),0)</f>
        <v>0</v>
      </c>
      <c r="BW69" s="38">
        <f>IF(AND(BW$7="○",$A69&gt;=BW$8,$A69&lt;=BW$9),IF(SUM(BW$10:BW68)-ROUNDDOWN($M69*BW$5/100,0)&lt;-BW$6,-BW$6-SUM(BW$10:BW68),-ROUNDDOWN($M69*BW$5/100,0)),0)</f>
        <v>0</v>
      </c>
      <c r="BX69" s="38">
        <f>IF(AND(T69="○",$A69&gt;=BX$8,$A69&lt;=BX$9),IF(SUM(BX$10:BX68)-ROUNDDOWN($K69*BX$5/100,0)&lt;-BX$6,-BX$6-SUM(BX$10:BX68),-ROUNDDOWN($K69*BX$5/100,0)),0)</f>
        <v>0</v>
      </c>
      <c r="BY69" s="38">
        <f>IF(AND(U69="○",$A69&gt;=BY$8,$A69&lt;=BY$9),IF(SUM(BY$10:BY68)-ROUNDDOWN($K69*BY$5/100,0)&lt;-BY$6,-BY$6-SUM(BY$10:BY68),-ROUNDDOWN($K69*BY$5/100,0)),0)</f>
        <v>0</v>
      </c>
      <c r="BZ69" s="38">
        <f>IF(AND(V69="○",$A69&gt;=BZ$8,$A69&lt;=BZ$9),IF(SUM(BZ$10:BZ68)-ROUNDDOWN($K69*BZ$5/100,0)&lt;-BZ$6,-BZ$6-SUM(BZ$10:BZ68),-ROUNDDOWN($K69*BZ$5/100,0)),0)</f>
        <v>0</v>
      </c>
      <c r="CA69" s="38">
        <f>IF(AND(W69="○",$A69&gt;=CA$8,$A69&lt;=CA$9),IF(SUM(CA$10:CA68)-ROUNDDOWN($K69*CA$5/100,0)&lt;-CA$6,-CA$6-SUM(CA$10:CA68),-ROUNDDOWN($K69*CA$5/100,0)),0)</f>
        <v>0</v>
      </c>
      <c r="CB69" s="38"/>
      <c r="CC69" s="38"/>
      <c r="CD69" s="38"/>
      <c r="CE69" s="38"/>
      <c r="CF69" s="38"/>
      <c r="CG69" s="65">
        <f t="shared" si="47"/>
        <v>0</v>
      </c>
      <c r="CH69" s="71">
        <f t="shared" si="48"/>
        <v>0</v>
      </c>
      <c r="CI69" s="1">
        <f t="shared" si="65"/>
        <v>0</v>
      </c>
      <c r="CJ69" s="1"/>
      <c r="CK69" s="79"/>
      <c r="CL69" s="79"/>
      <c r="CM69" s="2"/>
      <c r="CN69" s="2"/>
      <c r="CO69" s="73">
        <f t="shared" si="66"/>
        <v>0</v>
      </c>
      <c r="CP69" s="5">
        <f t="shared" si="67"/>
        <v>0</v>
      </c>
      <c r="CQ69" s="1"/>
      <c r="CR69" s="1">
        <f t="shared" si="68"/>
        <v>0</v>
      </c>
      <c r="CS69" s="1"/>
      <c r="CT69" s="1" t="e">
        <f>INDEX([2]マスタ!$A:$A,MATCH(D69,[2]マスタ!$C:$C,0))</f>
        <v>#N/A</v>
      </c>
      <c r="CU69" s="1" t="str">
        <f t="shared" ca="1" si="69"/>
        <v>20260620_0-0</v>
      </c>
    </row>
    <row r="70" spans="1:99" x14ac:dyDescent="0.4">
      <c r="A70" s="61"/>
      <c r="B70" s="62"/>
      <c r="C70" s="62"/>
      <c r="D70" s="62"/>
      <c r="E70" s="63"/>
      <c r="F70" s="62"/>
      <c r="G70" s="62">
        <v>1</v>
      </c>
      <c r="H70" s="64">
        <f t="shared" si="56"/>
        <v>0</v>
      </c>
      <c r="I70" s="64"/>
      <c r="J70" s="64"/>
      <c r="K70" s="65">
        <f t="shared" si="72"/>
        <v>0</v>
      </c>
      <c r="L70" s="65">
        <f t="shared" si="58"/>
        <v>0</v>
      </c>
      <c r="M70" s="65">
        <f t="shared" si="59"/>
        <v>0</v>
      </c>
      <c r="N70" s="65">
        <f t="shared" si="60"/>
        <v>0</v>
      </c>
      <c r="O70" s="66" t="str">
        <f t="shared" si="61"/>
        <v>✕</v>
      </c>
      <c r="P70" s="67" t="str">
        <f t="shared" si="62"/>
        <v>○</v>
      </c>
      <c r="Q70" s="67" t="str">
        <f t="shared" si="73"/>
        <v>✕</v>
      </c>
      <c r="R70" s="67" t="str">
        <f t="shared" si="64"/>
        <v>✕</v>
      </c>
      <c r="S70" s="68">
        <v>0</v>
      </c>
      <c r="T70" s="69" t="s">
        <v>85</v>
      </c>
      <c r="U70" s="69" t="s">
        <v>85</v>
      </c>
      <c r="V70" s="69" t="s">
        <v>85</v>
      </c>
      <c r="W70" s="69" t="s">
        <v>85</v>
      </c>
      <c r="X70" s="69" t="s">
        <v>84</v>
      </c>
      <c r="Y70" s="69" t="s">
        <v>85</v>
      </c>
      <c r="Z70" s="69" t="s">
        <v>85</v>
      </c>
      <c r="AA70" s="69" t="s">
        <v>85</v>
      </c>
      <c r="AB70" s="69" t="s">
        <v>85</v>
      </c>
      <c r="AC70" s="69" t="s">
        <v>85</v>
      </c>
      <c r="AD70" s="38" t="str">
        <f>+IF(ISERROR(VLOOKUP($B70,AD$10:AD69,1,0)),IF(AND($N70&gt;=1000,$A70&gt;=AO$8,$A70&lt;=AO$9),$B70,""),"")</f>
        <v/>
      </c>
      <c r="AE70" s="38" t="str">
        <f>+IF(ISERROR(VLOOKUP($B70,AE$10:AE69,1,0)),IF(AND($N70&gt;=1000,$A70&gt;=AP$8,$A70&lt;=AP$9),$B70,""),"")</f>
        <v/>
      </c>
      <c r="AF70" s="38" t="str">
        <f>+IF(ISERROR(VLOOKUP($B70,AF$10:AF69,1,0)),IF(AND($N70&gt;=1000,$A70&gt;=AQ$8,$A70&lt;=AQ$9),$B70,""),"")</f>
        <v/>
      </c>
      <c r="AG70" s="38" t="str">
        <f>+IF(ISERROR(VLOOKUP($B70,AG$10:AG69,1,0)),IF(AND($N70&gt;=1000,$A70&gt;=AR$8,$A70&lt;=AR$9),$B70,""),"")</f>
        <v/>
      </c>
      <c r="AH70" s="38"/>
      <c r="AI70" s="70">
        <v>0</v>
      </c>
      <c r="AJ70" s="38">
        <f>IF(AND(AJ$7="○",$A70&gt;=AJ$8,$A70&lt;=AJ$9),IF(SUM(AJ$10:AJ69)-ROUNDDOWN($K70*AJ$5/100,0)&lt;-AJ$6,-AJ$6-SUM(AJ$10:AJ69),-ROUNDDOWN($K70*AJ$5/100,0)),0)</f>
        <v>0</v>
      </c>
      <c r="AK70" s="38">
        <f>IF(AND(AK$7="○",$A70&gt;=AK$8,$A70&lt;=AK$9),IF(SUM(AK$10:AK69)-ROUNDDOWN($L70*AK$5/100,0)&lt;-AK$6,-AK$6-SUM(AK$10:AK69),-ROUNDDOWN($L70*AK$5/100,0)),0)</f>
        <v>0</v>
      </c>
      <c r="AL70" s="38">
        <f>IF(AND(AL$7="○",$A70&gt;=AL$8,$A70&lt;=AL$9),IF(SUM(AL$10:AL69)-ROUNDDOWN($N70*AL$5/100,0)&lt;-AL$6,-AL$6-SUM(AL$10:AL69),-ROUNDDOWN($N70*AL$5/100,0)),0)</f>
        <v>0</v>
      </c>
      <c r="AM70" s="38">
        <f>IF(AND(AM$7="○",$A70&gt;=AM$8,$A70&lt;=AM$9),IF(SUM(AM$10:AM69)-ROUNDDOWN($L70*AM$5/100,0)&lt;-AM$6,-AM$6-SUM(AM$10:AM69),-ROUNDDOWN($L70*AM$5/100,0)),0)</f>
        <v>0</v>
      </c>
      <c r="AN70" s="38">
        <f>IF(AND(AN$7="○",$A70&gt;=AN$8,$A70&lt;=AN$9),IF(SUM(AN$10:AN69)-ROUNDDOWN($M70*AN$5/100,0)&lt;-AN$6,-AN$6-SUM(AN$10:AN69),-ROUNDDOWN($M70*AN$5/100,0)),0)</f>
        <v>0</v>
      </c>
      <c r="AO70" s="38">
        <f>IF(AND($A70&gt;=AO$8,$A70&lt;=AO$9),IF(SUM(AO$10:AO69)-ROUNDDOWN($K70*AO$5/100,0)&lt;-AO$6,-AO$6-SUM(AO$10:AO69),-ROUNDDOWN($K70*AO$5/100,0)),0)</f>
        <v>0</v>
      </c>
      <c r="AP70" s="38">
        <f>IF(AND($A70&gt;=AP$8,$A70&lt;=AP$9),IF(SUM(AP$10:AP69)-ROUNDDOWN($K70*AP$5/100,0)&lt;-AP$6,-AP$6-SUM(AP$10:AP69),-ROUNDDOWN($K70*AP$5/100,0)),0)</f>
        <v>0</v>
      </c>
      <c r="AQ70" s="38">
        <f>IF(AND($A70&gt;=AQ$8,$A70&lt;=AQ$9),IF(SUM(AQ$10:AQ69)-ROUNDDOWN($K70*AQ$5/100,0)&lt;-AQ$6,-AQ$6-SUM(AQ$10:AQ69),-ROUNDDOWN($K70*AQ$5/100,0)),0)</f>
        <v>0</v>
      </c>
      <c r="AR70" s="38">
        <f>IF(AND($A70&gt;=AR$8,$A70&lt;=AR$9),IF(SUM(AR$10:AR69)-ROUNDDOWN($K70*AR$5/100,0)&lt;-AR$6,-AR$6-SUM(AR$10:AR69),-ROUNDDOWN($K70*AR$5/100,0)),0)</f>
        <v>0</v>
      </c>
      <c r="AS70" s="38">
        <f>IF(SUMIFS(AS$10:AS69,$A$10:$A69,$A70)-ROUNDDOWN($K70*$S70/100,0)&lt;-$S70*1000,-$S70*1000-SUMIFS(AS$10:AS69,$A$10:$A69,$A70),-ROUNDDOWN($K70*$S70/100,0))</f>
        <v>0</v>
      </c>
      <c r="AT70" s="38">
        <f>IF(AND(X70="○",$A70&gt;=AT$8,$A70&lt;=AT$9,K70&gt;=3980),IF(SUM(AT$10:AT69)-ROUNDDOWN($K70*AT$5/100,0)&lt;-AT$6,-AT$6-SUM(AT$10:AT69),-ROUNDDOWN($K70*AT$5/100,0)),0)</f>
        <v>0</v>
      </c>
      <c r="AU70" s="38">
        <f>IF(O70="○",IF(SUM(AU$10:AU69)-ROUNDDOWN($K70*AU$5/100,0)&lt;-AU$6,-AU$6-SUM(AU$10:AU69),-ROUNDDOWN($K70*AU$5/100,0)),0)</f>
        <v>0</v>
      </c>
      <c r="AV70" s="38">
        <f>IF(P70="○",IF(SUM(AV$10:AV69)-ROUNDDOWN($K70*AV$5/100,0)&lt;-AV$6,-AV$6-SUM(AV$10:AV69),-ROUNDDOWN($K70*AV$5/100,0)),0)</f>
        <v>0</v>
      </c>
      <c r="AW70" s="38">
        <f>IF(Q70="○",IF(SUM(AW$10:AW69)-ROUNDDOWN($K70*AW$5/100,0)&lt;-AW$6,-AW$6-SUM(AW$10:AW69),-ROUNDDOWN($K70*AW$5/100,0)),0)</f>
        <v>0</v>
      </c>
      <c r="AX70" s="38">
        <f>IF(R70="○",IF(SUM(AX$10:AX69)-ROUNDDOWN($K70*AX$5/100,0)&lt;-AX$6,-AX$6-SUM(AX$10:AX69),-ROUNDDOWN($K70*AX$5/100,0)),0)</f>
        <v>0</v>
      </c>
      <c r="AY70" s="70">
        <v>0</v>
      </c>
      <c r="AZ70" s="65">
        <f t="shared" si="41"/>
        <v>0</v>
      </c>
      <c r="BA70" s="65">
        <f t="shared" si="42"/>
        <v>0</v>
      </c>
      <c r="BB70" s="70"/>
      <c r="BC70" s="65">
        <f t="shared" si="43"/>
        <v>0</v>
      </c>
      <c r="BD70" s="70">
        <v>0</v>
      </c>
      <c r="BE70" s="65">
        <f t="shared" si="44"/>
        <v>0</v>
      </c>
      <c r="BF70" s="70">
        <v>0</v>
      </c>
      <c r="BG70" s="65">
        <f t="shared" si="45"/>
        <v>0</v>
      </c>
      <c r="BH70" s="70">
        <v>0</v>
      </c>
      <c r="BI70" s="65">
        <f t="shared" si="46"/>
        <v>0</v>
      </c>
      <c r="BJ70" s="38">
        <f>IF(AND(BJ$7="○",$A70&gt;=BJ$8,$A70&lt;=BJ$9),IF(SUM(BJ$10:BJ69)-ROUNDDOWN($M70*BJ$5/100,0)&lt;-BJ$6,-BJ$6-SUM(BJ$10:BJ69),-ROUNDDOWN($M70*BJ$5/100,0)),0)</f>
        <v>0</v>
      </c>
      <c r="BK70" s="38">
        <f>IF(AND(BK$7="○",$A70&gt;=BK$8,$A70&lt;=BK$9),IF(SUM(BK$10:BK69)-ROUNDDOWN($L70*BK$5/100,0)&lt;-BK$6,-BK$6-SUM(BK$10:BK69),-ROUNDDOWN($L70*BK$5/100,0)),0)</f>
        <v>0</v>
      </c>
      <c r="BL70" s="38">
        <f>IF(AND(BL$7="○",$A70&gt;=BL$8,$A70&lt;=BL$9),IF(SUM(BL$10:BL69)-ROUNDDOWN($L70*BL$5/100,0)&lt;-BL$6,-BL$6-SUM(BL$10:BL69),-ROUNDDOWN($L70*BL$5/100,0)),0)</f>
        <v>0</v>
      </c>
      <c r="BM70" s="38">
        <f>IF(AND(BM$7="○",$A70&gt;=BM$8,$A70&lt;=BM$9),IF(SUM(BM$10:BM69)-ROUNDDOWN($M70*BM$5/100,0)&lt;-BM$6,-BM$6-SUM(BM$10:BM69),-ROUNDDOWN($M70*BM$5/100,0)),0)</f>
        <v>0</v>
      </c>
      <c r="BN70" s="38">
        <f>IF(AND(BN$7="○",$A70&gt;=BN$8,$A70&lt;=BN$9),IF(SUM(BN$10:BN69)-ROUNDDOWN($M70*BN$5/100,0)&lt;-BN$6,-BN$6-SUM(BN$10:BN69),-ROUNDDOWN($M70*BN$5/100,0)),0)</f>
        <v>0</v>
      </c>
      <c r="BO70" s="38">
        <f>IF(AND(BO$7="○",$A70&gt;=BO$8,$A70&lt;=BO$9),IF(SUM(BO$10:BO69)-ROUNDDOWN($M70*BO$5/100,0)&lt;-BO$6,-BO$6-SUM(BO$10:BO69),-ROUNDDOWN($M70*BO$5/100,0)),0)</f>
        <v>0</v>
      </c>
      <c r="BP70" s="38">
        <f>IF(AND(BP$7="○",$A70&gt;=BP$8,$A70&lt;=BP$9),IF(SUM(BP$10:BP69)-ROUNDDOWN($M70*BP$5/100,0)&lt;-BP$6,-BP$6-SUM(BP$10:BP69),-ROUNDDOWN($M70*BP$5/100,0)),0)</f>
        <v>0</v>
      </c>
      <c r="BQ70" s="38">
        <f>IF(AND(BQ$7="○",$A70&gt;=BQ$8,$A70&lt;=BQ$9),IF(SUM(BQ$10:BQ69)-ROUNDDOWN($L70*BQ$5/100,0)&lt;-BQ$6,-BQ$6-SUM(BQ$10:BQ69),-ROUNDDOWN($L70*BQ$5/100,0)),0)</f>
        <v>0</v>
      </c>
      <c r="BR70" s="38">
        <f>IF(AND(BR$7="○",$A70&gt;=BR$8,$A70&lt;=BR$9),IF(SUM(BR$10:BR69)-ROUNDDOWN($M70*BR$5/100,0)&lt;-BR$6,-BR$6-SUM(BR$10:BR69),-ROUNDDOWN($M70*BR$5/100,0)),0)</f>
        <v>0</v>
      </c>
      <c r="BS70" s="38">
        <f>IF(AND(BS$7="○",$A70&gt;=BS$8,$A70&lt;=BS$9),IF(SUM(BS$10:BS69)-ROUNDDOWN($M70*BS$5/100,0)&lt;-BS$6,-BS$6-SUM(BS$10:BS69),-ROUNDDOWN($M70*BS$5/100,0)),0)</f>
        <v>0</v>
      </c>
      <c r="BT70" s="38">
        <f>IF(AND(BT$7="○",$A70&gt;=BT$8,$A70&lt;=BT$9),IF(SUM(BT$10:BT69)-ROUNDDOWN($M70*BT$5/100,0)&lt;-BT$6,-BT$6-SUM(BT$10:BT69),-ROUNDDOWN($M70*BT$5/100,0)),0)</f>
        <v>0</v>
      </c>
      <c r="BU70" s="38">
        <f>IF(AND(BU$7="○",$A70&gt;=BU$8,$A70&lt;=BU$9),IF(SUM(BU$10:BU69)-ROUNDDOWN($M70*BU$5/100,0)&lt;-BU$6,-BU$6-SUM(BU$10:BU69),-ROUNDDOWN($M70*BU$5/100,0)),0)</f>
        <v>0</v>
      </c>
      <c r="BV70" s="38">
        <f>IF(AND(BV$7="○",$A70&gt;=BV$8,$A70&lt;=BV$9),IF(SUM(BV$10:BV69)-ROUNDDOWN($M70*BV$5/100,0)&lt;-BV$6,-BV$6-SUM(BV$10:BV69),-ROUNDDOWN($M70*BV$5/100,0)),0)</f>
        <v>0</v>
      </c>
      <c r="BW70" s="38">
        <f>IF(AND(BW$7="○",$A70&gt;=BW$8,$A70&lt;=BW$9),IF(SUM(BW$10:BW69)-ROUNDDOWN($M70*BW$5/100,0)&lt;-BW$6,-BW$6-SUM(BW$10:BW69),-ROUNDDOWN($M70*BW$5/100,0)),0)</f>
        <v>0</v>
      </c>
      <c r="BX70" s="38">
        <f>IF(AND(T70="○",$A70&gt;=BX$8,$A70&lt;=BX$9),IF(SUM(BX$10:BX69)-ROUNDDOWN($K70*BX$5/100,0)&lt;-BX$6,-BX$6-SUM(BX$10:BX69),-ROUNDDOWN($K70*BX$5/100,0)),0)</f>
        <v>0</v>
      </c>
      <c r="BY70" s="38">
        <f>IF(AND(U70="○",$A70&gt;=BY$8,$A70&lt;=BY$9),IF(SUM(BY$10:BY69)-ROUNDDOWN($K70*BY$5/100,0)&lt;-BY$6,-BY$6-SUM(BY$10:BY69),-ROUNDDOWN($K70*BY$5/100,0)),0)</f>
        <v>0</v>
      </c>
      <c r="BZ70" s="38">
        <f>IF(AND(V70="○",$A70&gt;=BZ$8,$A70&lt;=BZ$9),IF(SUM(BZ$10:BZ69)-ROUNDDOWN($K70*BZ$5/100,0)&lt;-BZ$6,-BZ$6-SUM(BZ$10:BZ69),-ROUNDDOWN($K70*BZ$5/100,0)),0)</f>
        <v>0</v>
      </c>
      <c r="CA70" s="38">
        <f>IF(AND(W70="○",$A70&gt;=CA$8,$A70&lt;=CA$9),IF(SUM(CA$10:CA69)-ROUNDDOWN($K70*CA$5/100,0)&lt;-CA$6,-CA$6-SUM(CA$10:CA69),-ROUNDDOWN($K70*CA$5/100,0)),0)</f>
        <v>0</v>
      </c>
      <c r="CB70" s="38"/>
      <c r="CC70" s="38"/>
      <c r="CD70" s="38"/>
      <c r="CE70" s="38"/>
      <c r="CF70" s="38"/>
      <c r="CG70" s="65">
        <f t="shared" si="47"/>
        <v>0</v>
      </c>
      <c r="CH70" s="71">
        <f t="shared" si="48"/>
        <v>0</v>
      </c>
      <c r="CI70" s="1">
        <f t="shared" si="65"/>
        <v>0</v>
      </c>
      <c r="CJ70" s="1"/>
      <c r="CK70" s="72"/>
      <c r="CL70" s="72"/>
      <c r="CM70" s="2"/>
      <c r="CN70" s="2"/>
      <c r="CO70" s="73">
        <f t="shared" si="66"/>
        <v>0</v>
      </c>
      <c r="CP70" s="5">
        <f t="shared" si="67"/>
        <v>0</v>
      </c>
      <c r="CQ70" s="1"/>
      <c r="CR70" s="1">
        <f t="shared" si="68"/>
        <v>0</v>
      </c>
      <c r="CS70" s="1"/>
      <c r="CT70" s="1" t="e">
        <f>INDEX([2]マスタ!$A:$A,MATCH(D70,[2]マスタ!$C:$C,0))</f>
        <v>#N/A</v>
      </c>
      <c r="CU70" s="1" t="str">
        <f t="shared" ca="1" si="69"/>
        <v>20260620_0-0</v>
      </c>
    </row>
    <row r="71" spans="1:99" x14ac:dyDescent="0.4">
      <c r="A71" s="61"/>
      <c r="B71" s="62"/>
      <c r="C71" s="62"/>
      <c r="D71" s="62"/>
      <c r="E71" s="63"/>
      <c r="F71" s="62"/>
      <c r="G71" s="62">
        <v>1</v>
      </c>
      <c r="H71" s="64">
        <f t="shared" si="56"/>
        <v>0</v>
      </c>
      <c r="I71" s="64"/>
      <c r="J71" s="64"/>
      <c r="K71" s="65">
        <f t="shared" si="72"/>
        <v>0</v>
      </c>
      <c r="L71" s="65">
        <f t="shared" si="58"/>
        <v>0</v>
      </c>
      <c r="M71" s="65">
        <f t="shared" si="59"/>
        <v>0</v>
      </c>
      <c r="N71" s="65">
        <f t="shared" si="60"/>
        <v>0</v>
      </c>
      <c r="O71" s="66" t="str">
        <f t="shared" si="61"/>
        <v>✕</v>
      </c>
      <c r="P71" s="67" t="str">
        <f t="shared" si="62"/>
        <v>○</v>
      </c>
      <c r="Q71" s="67" t="str">
        <f t="shared" si="73"/>
        <v>✕</v>
      </c>
      <c r="R71" s="67" t="str">
        <f t="shared" si="64"/>
        <v>✕</v>
      </c>
      <c r="S71" s="68">
        <v>0</v>
      </c>
      <c r="T71" s="69" t="s">
        <v>85</v>
      </c>
      <c r="U71" s="69" t="s">
        <v>85</v>
      </c>
      <c r="V71" s="69" t="s">
        <v>85</v>
      </c>
      <c r="W71" s="69" t="s">
        <v>85</v>
      </c>
      <c r="X71" s="69" t="s">
        <v>84</v>
      </c>
      <c r="Y71" s="69" t="s">
        <v>85</v>
      </c>
      <c r="Z71" s="69" t="s">
        <v>85</v>
      </c>
      <c r="AA71" s="69" t="s">
        <v>85</v>
      </c>
      <c r="AB71" s="69" t="s">
        <v>85</v>
      </c>
      <c r="AC71" s="69" t="s">
        <v>85</v>
      </c>
      <c r="AD71" s="38" t="str">
        <f>+IF(ISERROR(VLOOKUP($B71,AD$10:AD70,1,0)),IF(AND($N71&gt;=1000,$A71&gt;=AO$8,$A71&lt;=AO$9),$B71,""),"")</f>
        <v/>
      </c>
      <c r="AE71" s="38" t="str">
        <f>+IF(ISERROR(VLOOKUP($B71,AE$10:AE70,1,0)),IF(AND($N71&gt;=1000,$A71&gt;=AP$8,$A71&lt;=AP$9),$B71,""),"")</f>
        <v/>
      </c>
      <c r="AF71" s="38" t="str">
        <f>+IF(ISERROR(VLOOKUP($B71,AF$10:AF70,1,0)),IF(AND($N71&gt;=1000,$A71&gt;=AQ$8,$A71&lt;=AQ$9),$B71,""),"")</f>
        <v/>
      </c>
      <c r="AG71" s="38" t="str">
        <f>+IF(ISERROR(VLOOKUP($B71,AG$10:AG70,1,0)),IF(AND($N71&gt;=1000,$A71&gt;=AR$8,$A71&lt;=AR$9),$B71,""),"")</f>
        <v/>
      </c>
      <c r="AH71" s="38"/>
      <c r="AI71" s="70">
        <v>0</v>
      </c>
      <c r="AJ71" s="38">
        <f>IF(AND(AJ$7="○",$A71&gt;=AJ$8,$A71&lt;=AJ$9),IF(SUM(AJ$10:AJ70)-ROUNDDOWN($K71*AJ$5/100,0)&lt;-AJ$6,-AJ$6-SUM(AJ$10:AJ70),-ROUNDDOWN($K71*AJ$5/100,0)),0)</f>
        <v>0</v>
      </c>
      <c r="AK71" s="38">
        <f>IF(AND(AK$7="○",$A71&gt;=AK$8,$A71&lt;=AK$9),IF(SUM(AK$10:AK70)-ROUNDDOWN($L71*AK$5/100,0)&lt;-AK$6,-AK$6-SUM(AK$10:AK70),-ROUNDDOWN($L71*AK$5/100,0)),0)</f>
        <v>0</v>
      </c>
      <c r="AL71" s="38">
        <f>IF(AND(AL$7="○",$A71&gt;=AL$8,$A71&lt;=AL$9),IF(SUM(AL$10:AL70)-ROUNDDOWN($N71*AL$5/100,0)&lt;-AL$6,-AL$6-SUM(AL$10:AL70),-ROUNDDOWN($N71*AL$5/100,0)),0)</f>
        <v>0</v>
      </c>
      <c r="AM71" s="38">
        <f>IF(AND(AM$7="○",$A71&gt;=AM$8,$A71&lt;=AM$9),IF(SUM(AM$10:AM70)-ROUNDDOWN($L71*AM$5/100,0)&lt;-AM$6,-AM$6-SUM(AM$10:AM70),-ROUNDDOWN($L71*AM$5/100,0)),0)</f>
        <v>0</v>
      </c>
      <c r="AN71" s="38">
        <f>IF(AND(AN$7="○",$A71&gt;=AN$8,$A71&lt;=AN$9),IF(SUM(AN$10:AN70)-ROUNDDOWN($M71*AN$5/100,0)&lt;-AN$6,-AN$6-SUM(AN$10:AN70),-ROUNDDOWN($M71*AN$5/100,0)),0)</f>
        <v>0</v>
      </c>
      <c r="AO71" s="38">
        <f>IF(AND($A71&gt;=AO$8,$A71&lt;=AO$9),IF(SUM(AO$10:AO70)-ROUNDDOWN($K71*AO$5/100,0)&lt;-AO$6,-AO$6-SUM(AO$10:AO70),-ROUNDDOWN($K71*AO$5/100,0)),0)</f>
        <v>0</v>
      </c>
      <c r="AP71" s="38">
        <f>IF(AND($A71&gt;=AP$8,$A71&lt;=AP$9),IF(SUM(AP$10:AP70)-ROUNDDOWN($K71*AP$5/100,0)&lt;-AP$6,-AP$6-SUM(AP$10:AP70),-ROUNDDOWN($K71*AP$5/100,0)),0)</f>
        <v>0</v>
      </c>
      <c r="AQ71" s="38">
        <f>IF(AND($A71&gt;=AQ$8,$A71&lt;=AQ$9),IF(SUM(AQ$10:AQ70)-ROUNDDOWN($K71*AQ$5/100,0)&lt;-AQ$6,-AQ$6-SUM(AQ$10:AQ70),-ROUNDDOWN($K71*AQ$5/100,0)),0)</f>
        <v>0</v>
      </c>
      <c r="AR71" s="38">
        <f>IF(AND($A71&gt;=AR$8,$A71&lt;=AR$9),IF(SUM(AR$10:AR70)-ROUNDDOWN($K71*AR$5/100,0)&lt;-AR$6,-AR$6-SUM(AR$10:AR70),-ROUNDDOWN($K71*AR$5/100,0)),0)</f>
        <v>0</v>
      </c>
      <c r="AS71" s="38">
        <f>IF(SUMIFS(AS$10:AS70,$A$10:$A70,$A71)-ROUNDDOWN($K71*$S71/100,0)&lt;-$S71*1000,-$S71*1000-SUMIFS(AS$10:AS70,$A$10:$A70,$A71),-ROUNDDOWN($K71*$S71/100,0))</f>
        <v>0</v>
      </c>
      <c r="AT71" s="38">
        <f>IF(AND(X71="○",$A71&gt;=AT$8,$A71&lt;=AT$9,K71&gt;=3980),IF(SUM(AT$10:AT70)-ROUNDDOWN($K71*AT$5/100,0)&lt;-AT$6,-AT$6-SUM(AT$10:AT70),-ROUNDDOWN($K71*AT$5/100,0)),0)</f>
        <v>0</v>
      </c>
      <c r="AU71" s="38">
        <f>IF(O71="○",IF(SUM(AU$10:AU70)-ROUNDDOWN($K71*AU$5/100,0)&lt;-AU$6,-AU$6-SUM(AU$10:AU70),-ROUNDDOWN($K71*AU$5/100,0)),0)</f>
        <v>0</v>
      </c>
      <c r="AV71" s="38">
        <f>IF(P71="○",IF(SUM(AV$10:AV70)-ROUNDDOWN($K71*AV$5/100,0)&lt;-AV$6,-AV$6-SUM(AV$10:AV70),-ROUNDDOWN($K71*AV$5/100,0)),0)</f>
        <v>0</v>
      </c>
      <c r="AW71" s="38">
        <f>IF(Q71="○",IF(SUM(AW$10:AW70)-ROUNDDOWN($K71*AW$5/100,0)&lt;-AW$6,-AW$6-SUM(AW$10:AW70),-ROUNDDOWN($K71*AW$5/100,0)),0)</f>
        <v>0</v>
      </c>
      <c r="AX71" s="38">
        <f>IF(R71="○",IF(SUM(AX$10:AX70)-ROUNDDOWN($K71*AX$5/100,0)&lt;-AX$6,-AX$6-SUM(AX$10:AX70),-ROUNDDOWN($K71*AX$5/100,0)),0)</f>
        <v>0</v>
      </c>
      <c r="AY71" s="70">
        <v>0</v>
      </c>
      <c r="AZ71" s="65">
        <f t="shared" si="41"/>
        <v>0</v>
      </c>
      <c r="BA71" s="65">
        <f t="shared" si="42"/>
        <v>0</v>
      </c>
      <c r="BB71" s="70"/>
      <c r="BC71" s="65">
        <f t="shared" si="43"/>
        <v>0</v>
      </c>
      <c r="BD71" s="70">
        <v>0</v>
      </c>
      <c r="BE71" s="65">
        <f t="shared" si="44"/>
        <v>0</v>
      </c>
      <c r="BF71" s="70">
        <v>0</v>
      </c>
      <c r="BG71" s="65">
        <f t="shared" si="45"/>
        <v>0</v>
      </c>
      <c r="BH71" s="70">
        <v>0</v>
      </c>
      <c r="BI71" s="65">
        <f t="shared" si="46"/>
        <v>0</v>
      </c>
      <c r="BJ71" s="38">
        <f>IF(AND(BJ$7="○",$A71&gt;=BJ$8,$A71&lt;=BJ$9),IF(SUM(BJ$10:BJ70)-ROUNDDOWN($M71*BJ$5/100,0)&lt;-BJ$6,-BJ$6-SUM(BJ$10:BJ70),-ROUNDDOWN($M71*BJ$5/100,0)),0)</f>
        <v>0</v>
      </c>
      <c r="BK71" s="38">
        <f>IF(AND(BK$7="○",$A71&gt;=BK$8,$A71&lt;=BK$9),IF(SUM(BK$10:BK70)-ROUNDDOWN($L71*BK$5/100,0)&lt;-BK$6,-BK$6-SUM(BK$10:BK70),-ROUNDDOWN($L71*BK$5/100,0)),0)</f>
        <v>0</v>
      </c>
      <c r="BL71" s="38">
        <f>IF(AND(BL$7="○",$A71&gt;=BL$8,$A71&lt;=BL$9),IF(SUM(BL$10:BL70)-ROUNDDOWN($L71*BL$5/100,0)&lt;-BL$6,-BL$6-SUM(BL$10:BL70),-ROUNDDOWN($L71*BL$5/100,0)),0)</f>
        <v>0</v>
      </c>
      <c r="BM71" s="38">
        <f>IF(AND(BM$7="○",$A71&gt;=BM$8,$A71&lt;=BM$9),IF(SUM(BM$10:BM70)-ROUNDDOWN($M71*BM$5/100,0)&lt;-BM$6,-BM$6-SUM(BM$10:BM70),-ROUNDDOWN($M71*BM$5/100,0)),0)</f>
        <v>0</v>
      </c>
      <c r="BN71" s="38">
        <f>IF(AND(BN$7="○",$A71&gt;=BN$8,$A71&lt;=BN$9),IF(SUM(BN$10:BN70)-ROUNDDOWN($M71*BN$5/100,0)&lt;-BN$6,-BN$6-SUM(BN$10:BN70),-ROUNDDOWN($M71*BN$5/100,0)),0)</f>
        <v>0</v>
      </c>
      <c r="BO71" s="38">
        <f>IF(AND(BO$7="○",$A71&gt;=BO$8,$A71&lt;=BO$9),IF(SUM(BO$10:BO70)-ROUNDDOWN($M71*BO$5/100,0)&lt;-BO$6,-BO$6-SUM(BO$10:BO70),-ROUNDDOWN($M71*BO$5/100,0)),0)</f>
        <v>0</v>
      </c>
      <c r="BP71" s="38">
        <f>IF(AND(BP$7="○",$A71&gt;=BP$8,$A71&lt;=BP$9),IF(SUM(BP$10:BP70)-ROUNDDOWN($M71*BP$5/100,0)&lt;-BP$6,-BP$6-SUM(BP$10:BP70),-ROUNDDOWN($M71*BP$5/100,0)),0)</f>
        <v>0</v>
      </c>
      <c r="BQ71" s="38">
        <f>IF(AND(BQ$7="○",$A71&gt;=BQ$8,$A71&lt;=BQ$9),IF(SUM(BQ$10:BQ70)-ROUNDDOWN($L71*BQ$5/100,0)&lt;-BQ$6,-BQ$6-SUM(BQ$10:BQ70),-ROUNDDOWN($L71*BQ$5/100,0)),0)</f>
        <v>0</v>
      </c>
      <c r="BR71" s="38">
        <f>IF(AND(BR$7="○",$A71&gt;=BR$8,$A71&lt;=BR$9),IF(SUM(BR$10:BR70)-ROUNDDOWN($M71*BR$5/100,0)&lt;-BR$6,-BR$6-SUM(BR$10:BR70),-ROUNDDOWN($M71*BR$5/100,0)),0)</f>
        <v>0</v>
      </c>
      <c r="BS71" s="38">
        <f>IF(AND(BS$7="○",$A71&gt;=BS$8,$A71&lt;=BS$9),IF(SUM(BS$10:BS70)-ROUNDDOWN($M71*BS$5/100,0)&lt;-BS$6,-BS$6-SUM(BS$10:BS70),-ROUNDDOWN($M71*BS$5/100,0)),0)</f>
        <v>0</v>
      </c>
      <c r="BT71" s="38">
        <f>IF(AND(BT$7="○",$A71&gt;=BT$8,$A71&lt;=BT$9),IF(SUM(BT$10:BT70)-ROUNDDOWN($M71*BT$5/100,0)&lt;-BT$6,-BT$6-SUM(BT$10:BT70),-ROUNDDOWN($M71*BT$5/100,0)),0)</f>
        <v>0</v>
      </c>
      <c r="BU71" s="38">
        <f>IF(AND(BU$7="○",$A71&gt;=BU$8,$A71&lt;=BU$9),IF(SUM(BU$10:BU70)-ROUNDDOWN($M71*BU$5/100,0)&lt;-BU$6,-BU$6-SUM(BU$10:BU70),-ROUNDDOWN($M71*BU$5/100,0)),0)</f>
        <v>0</v>
      </c>
      <c r="BV71" s="38">
        <f>IF(AND(BV$7="○",$A71&gt;=BV$8,$A71&lt;=BV$9),IF(SUM(BV$10:BV70)-ROUNDDOWN($M71*BV$5/100,0)&lt;-BV$6,-BV$6-SUM(BV$10:BV70),-ROUNDDOWN($M71*BV$5/100,0)),0)</f>
        <v>0</v>
      </c>
      <c r="BW71" s="38">
        <f>IF(AND(BW$7="○",$A71&gt;=BW$8,$A71&lt;=BW$9),IF(SUM(BW$10:BW70)-ROUNDDOWN($M71*BW$5/100,0)&lt;-BW$6,-BW$6-SUM(BW$10:BW70),-ROUNDDOWN($M71*BW$5/100,0)),0)</f>
        <v>0</v>
      </c>
      <c r="BX71" s="38">
        <f>IF(AND(T71="○",$A71&gt;=BX$8,$A71&lt;=BX$9),IF(SUM(BX$10:BX70)-ROUNDDOWN($K71*BX$5/100,0)&lt;-BX$6,-BX$6-SUM(BX$10:BX70),-ROUNDDOWN($K71*BX$5/100,0)),0)</f>
        <v>0</v>
      </c>
      <c r="BY71" s="38">
        <f>IF(AND(U71="○",$A71&gt;=BY$8,$A71&lt;=BY$9),IF(SUM(BY$10:BY70)-ROUNDDOWN($K71*BY$5/100,0)&lt;-BY$6,-BY$6-SUM(BY$10:BY70),-ROUNDDOWN($K71*BY$5/100,0)),0)</f>
        <v>0</v>
      </c>
      <c r="BZ71" s="38">
        <f>IF(AND(V71="○",$A71&gt;=BZ$8,$A71&lt;=BZ$9),IF(SUM(BZ$10:BZ70)-ROUNDDOWN($K71*BZ$5/100,0)&lt;-BZ$6,-BZ$6-SUM(BZ$10:BZ70),-ROUNDDOWN($K71*BZ$5/100,0)),0)</f>
        <v>0</v>
      </c>
      <c r="CA71" s="38">
        <f>IF(AND(W71="○",$A71&gt;=CA$8,$A71&lt;=CA$9),IF(SUM(CA$10:CA70)-ROUNDDOWN($K71*CA$5/100,0)&lt;-CA$6,-CA$6-SUM(CA$10:CA70),-ROUNDDOWN($K71*CA$5/100,0)),0)</f>
        <v>0</v>
      </c>
      <c r="CB71" s="38"/>
      <c r="CC71" s="38"/>
      <c r="CD71" s="38"/>
      <c r="CE71" s="38"/>
      <c r="CF71" s="38"/>
      <c r="CG71" s="65">
        <f t="shared" si="47"/>
        <v>0</v>
      </c>
      <c r="CH71" s="71">
        <f t="shared" si="48"/>
        <v>0</v>
      </c>
      <c r="CI71" s="1">
        <f t="shared" si="65"/>
        <v>0</v>
      </c>
      <c r="CJ71" s="1"/>
      <c r="CK71" s="2"/>
      <c r="CL71" s="2"/>
      <c r="CM71" s="2"/>
      <c r="CN71" s="2"/>
      <c r="CO71" s="73">
        <f t="shared" si="66"/>
        <v>0</v>
      </c>
      <c r="CP71" s="5">
        <f t="shared" si="67"/>
        <v>0</v>
      </c>
      <c r="CQ71" s="1"/>
      <c r="CR71" s="1">
        <f t="shared" si="68"/>
        <v>0</v>
      </c>
      <c r="CS71" s="1"/>
      <c r="CT71" s="1" t="e">
        <f>INDEX([2]マスタ!$A:$A,MATCH(D71,[2]マスタ!$C:$C,0))</f>
        <v>#N/A</v>
      </c>
      <c r="CU71" s="1" t="str">
        <f t="shared" ca="1" si="69"/>
        <v>20260620_0-0</v>
      </c>
    </row>
    <row r="72" spans="1:99" x14ac:dyDescent="0.4">
      <c r="A72" s="61"/>
      <c r="B72" s="62"/>
      <c r="C72" s="62"/>
      <c r="D72" s="62"/>
      <c r="E72" s="63"/>
      <c r="F72" s="62"/>
      <c r="G72" s="62">
        <v>1</v>
      </c>
      <c r="H72" s="64">
        <f t="shared" si="56"/>
        <v>0</v>
      </c>
      <c r="I72" s="64"/>
      <c r="J72" s="78"/>
      <c r="K72" s="65">
        <f t="shared" si="72"/>
        <v>0</v>
      </c>
      <c r="L72" s="65">
        <f t="shared" si="58"/>
        <v>0</v>
      </c>
      <c r="M72" s="65">
        <f t="shared" si="59"/>
        <v>0</v>
      </c>
      <c r="N72" s="65">
        <f t="shared" si="60"/>
        <v>0</v>
      </c>
      <c r="O72" s="66" t="str">
        <f t="shared" si="61"/>
        <v>✕</v>
      </c>
      <c r="P72" s="67" t="str">
        <f t="shared" si="62"/>
        <v>○</v>
      </c>
      <c r="Q72" s="67" t="str">
        <f t="shared" si="73"/>
        <v>✕</v>
      </c>
      <c r="R72" s="67" t="str">
        <f t="shared" si="64"/>
        <v>✕</v>
      </c>
      <c r="S72" s="68">
        <v>0</v>
      </c>
      <c r="T72" s="69" t="s">
        <v>85</v>
      </c>
      <c r="U72" s="69" t="s">
        <v>85</v>
      </c>
      <c r="V72" s="69" t="s">
        <v>85</v>
      </c>
      <c r="W72" s="69" t="s">
        <v>85</v>
      </c>
      <c r="X72" s="69" t="s">
        <v>84</v>
      </c>
      <c r="Y72" s="69" t="s">
        <v>85</v>
      </c>
      <c r="Z72" s="69" t="s">
        <v>85</v>
      </c>
      <c r="AA72" s="69" t="s">
        <v>85</v>
      </c>
      <c r="AB72" s="69" t="s">
        <v>85</v>
      </c>
      <c r="AC72" s="69" t="s">
        <v>85</v>
      </c>
      <c r="AD72" s="38" t="str">
        <f>+IF(ISERROR(VLOOKUP($B72,AD$10:AD71,1,0)),IF(AND($N72&gt;=1000,$A72&gt;=AO$8,$A72&lt;=AO$9),$B72,""),"")</f>
        <v/>
      </c>
      <c r="AE72" s="38" t="str">
        <f>+IF(ISERROR(VLOOKUP($B72,AE$10:AE71,1,0)),IF(AND($N72&gt;=1000,$A72&gt;=AP$8,$A72&lt;=AP$9),$B72,""),"")</f>
        <v/>
      </c>
      <c r="AF72" s="38" t="str">
        <f>+IF(ISERROR(VLOOKUP($B72,AF$10:AF71,1,0)),IF(AND($N72&gt;=1000,$A72&gt;=AQ$8,$A72&lt;=AQ$9),$B72,""),"")</f>
        <v/>
      </c>
      <c r="AG72" s="38" t="str">
        <f>+IF(ISERROR(VLOOKUP($B72,AG$10:AG71,1,0)),IF(AND($N72&gt;=1000,$A72&gt;=AR$8,$A72&lt;=AR$9),$B72,""),"")</f>
        <v/>
      </c>
      <c r="AH72" s="38"/>
      <c r="AI72" s="70">
        <v>0</v>
      </c>
      <c r="AJ72" s="38">
        <f>IF(AND(AJ$7="○",$A72&gt;=AJ$8,$A72&lt;=AJ$9),IF(SUM(AJ$10:AJ71)-ROUNDDOWN($K72*AJ$5/100,0)&lt;-AJ$6,-AJ$6-SUM(AJ$10:AJ71),-ROUNDDOWN($K72*AJ$5/100,0)),0)</f>
        <v>0</v>
      </c>
      <c r="AK72" s="38">
        <f>IF(AND(AK$7="○",$A72&gt;=AK$8,$A72&lt;=AK$9),IF(SUM(AK$10:AK71)-ROUNDDOWN($L72*AK$5/100,0)&lt;-AK$6,-AK$6-SUM(AK$10:AK71),-ROUNDDOWN($L72*AK$5/100,0)),0)</f>
        <v>0</v>
      </c>
      <c r="AL72" s="38">
        <f>IF(AND(AL$7="○",$A72&gt;=AL$8,$A72&lt;=AL$9),IF(SUM(AL$10:AL71)-ROUNDDOWN($N72*AL$5/100,0)&lt;-AL$6,-AL$6-SUM(AL$10:AL71),-ROUNDDOWN($N72*AL$5/100,0)),0)</f>
        <v>0</v>
      </c>
      <c r="AM72" s="38">
        <f>IF(AND(AM$7="○",$A72&gt;=AM$8,$A72&lt;=AM$9),IF(SUM(AM$10:AM71)-ROUNDDOWN($L72*AM$5/100,0)&lt;-AM$6,-AM$6-SUM(AM$10:AM71),-ROUNDDOWN($L72*AM$5/100,0)),0)</f>
        <v>0</v>
      </c>
      <c r="AN72" s="38">
        <f>IF(AND(AN$7="○",$A72&gt;=AN$8,$A72&lt;=AN$9),IF(SUM(AN$10:AN71)-ROUNDDOWN($M72*AN$5/100,0)&lt;-AN$6,-AN$6-SUM(AN$10:AN71),-ROUNDDOWN($M72*AN$5/100,0)),0)</f>
        <v>0</v>
      </c>
      <c r="AO72" s="38">
        <f>IF(AND($A72&gt;=AO$8,$A72&lt;=AO$9),IF(SUM(AO$10:AO71)-ROUNDDOWN($K72*AO$5/100,0)&lt;-AO$6,-AO$6-SUM(AO$10:AO71),-ROUNDDOWN($K72*AO$5/100,0)),0)</f>
        <v>0</v>
      </c>
      <c r="AP72" s="38">
        <f>IF(AND($A72&gt;=AP$8,$A72&lt;=AP$9),IF(SUM(AP$10:AP71)-ROUNDDOWN($K72*AP$5/100,0)&lt;-AP$6,-AP$6-SUM(AP$10:AP71),-ROUNDDOWN($K72*AP$5/100,0)),0)</f>
        <v>0</v>
      </c>
      <c r="AQ72" s="38">
        <f>IF(AND($A72&gt;=AQ$8,$A72&lt;=AQ$9),IF(SUM(AQ$10:AQ71)-ROUNDDOWN($K72*AQ$5/100,0)&lt;-AQ$6,-AQ$6-SUM(AQ$10:AQ71),-ROUNDDOWN($K72*AQ$5/100,0)),0)</f>
        <v>0</v>
      </c>
      <c r="AR72" s="38">
        <f>IF(AND($A72&gt;=AR$8,$A72&lt;=AR$9),IF(SUM(AR$10:AR71)-ROUNDDOWN($K72*AR$5/100,0)&lt;-AR$6,-AR$6-SUM(AR$10:AR71),-ROUNDDOWN($K72*AR$5/100,0)),0)</f>
        <v>0</v>
      </c>
      <c r="AS72" s="38">
        <f>IF(SUMIFS(AS$10:AS71,$A$10:$A71,$A72)-ROUNDDOWN($K72*$S72/100,0)&lt;-$S72*1000,-$S72*1000-SUMIFS(AS$10:AS71,$A$10:$A71,$A72),-ROUNDDOWN($K72*$S72/100,0))</f>
        <v>0</v>
      </c>
      <c r="AT72" s="38">
        <f>IF(AND(X72="○",$A72&gt;=AT$8,$A72&lt;=AT$9,K72&gt;=3980),IF(SUM(AT$10:AT71)-ROUNDDOWN($K72*AT$5/100,0)&lt;-AT$6,-AT$6-SUM(AT$10:AT71),-ROUNDDOWN($K72*AT$5/100,0)),0)</f>
        <v>0</v>
      </c>
      <c r="AU72" s="38">
        <f>IF(O72="○",IF(SUM(AU$10:AU71)-ROUNDDOWN($K72*AU$5/100,0)&lt;-AU$6,-AU$6-SUM(AU$10:AU71),-ROUNDDOWN($K72*AU$5/100,0)),0)</f>
        <v>0</v>
      </c>
      <c r="AV72" s="38">
        <f>IF(P72="○",IF(SUM(AV$10:AV71)-ROUNDDOWN($K72*AV$5/100,0)&lt;-AV$6,-AV$6-SUM(AV$10:AV71),-ROUNDDOWN($K72*AV$5/100,0)),0)</f>
        <v>0</v>
      </c>
      <c r="AW72" s="38">
        <f>IF(Q72="○",IF(SUM(AW$10:AW71)-ROUNDDOWN($K72*AW$5/100,0)&lt;-AW$6,-AW$6-SUM(AW$10:AW71),-ROUNDDOWN($K72*AW$5/100,0)),0)</f>
        <v>0</v>
      </c>
      <c r="AX72" s="38">
        <f>IF(R72="○",IF(SUM(AX$10:AX71)-ROUNDDOWN($K72*AX$5/100,0)&lt;-AX$6,-AX$6-SUM(AX$10:AX71),-ROUNDDOWN($K72*AX$5/100,0)),0)</f>
        <v>0</v>
      </c>
      <c r="AY72" s="70">
        <v>0</v>
      </c>
      <c r="AZ72" s="65">
        <f t="shared" si="41"/>
        <v>0</v>
      </c>
      <c r="BA72" s="65">
        <f t="shared" si="42"/>
        <v>0</v>
      </c>
      <c r="BB72" s="70"/>
      <c r="BC72" s="65">
        <f t="shared" si="43"/>
        <v>0</v>
      </c>
      <c r="BD72" s="70">
        <v>0</v>
      </c>
      <c r="BE72" s="65">
        <f t="shared" si="44"/>
        <v>0</v>
      </c>
      <c r="BF72" s="70">
        <v>0</v>
      </c>
      <c r="BG72" s="65">
        <f t="shared" si="45"/>
        <v>0</v>
      </c>
      <c r="BH72" s="70">
        <v>0</v>
      </c>
      <c r="BI72" s="65">
        <f t="shared" si="46"/>
        <v>0</v>
      </c>
      <c r="BJ72" s="38">
        <f>IF(AND(BJ$7="○",$A72&gt;=BJ$8,$A72&lt;=BJ$9),IF(SUM(BJ$10:BJ71)-ROUNDDOWN($M72*BJ$5/100,0)&lt;-BJ$6,-BJ$6-SUM(BJ$10:BJ71),-ROUNDDOWN($M72*BJ$5/100,0)),0)</f>
        <v>0</v>
      </c>
      <c r="BK72" s="38">
        <f>IF(AND(BK$7="○",$A72&gt;=BK$8,$A72&lt;=BK$9),IF(SUM(BK$10:BK71)-ROUNDDOWN($L72*BK$5/100,0)&lt;-BK$6,-BK$6-SUM(BK$10:BK71),-ROUNDDOWN($L72*BK$5/100,0)),0)</f>
        <v>0</v>
      </c>
      <c r="BL72" s="38">
        <f>IF(AND(BL$7="○",$A72&gt;=BL$8,$A72&lt;=BL$9),IF(SUM(BL$10:BL71)-ROUNDDOWN($L72*BL$5/100,0)&lt;-BL$6,-BL$6-SUM(BL$10:BL71),-ROUNDDOWN($L72*BL$5/100,0)),0)</f>
        <v>0</v>
      </c>
      <c r="BM72" s="38">
        <f>IF(AND(BM$7="○",$A72&gt;=BM$8,$A72&lt;=BM$9),IF(SUM(BM$10:BM71)-ROUNDDOWN($M72*BM$5/100,0)&lt;-BM$6,-BM$6-SUM(BM$10:BM71),-ROUNDDOWN($M72*BM$5/100,0)),0)</f>
        <v>0</v>
      </c>
      <c r="BN72" s="38">
        <f>IF(AND(BN$7="○",$A72&gt;=BN$8,$A72&lt;=BN$9),IF(SUM(BN$10:BN71)-ROUNDDOWN($M72*BN$5/100,0)&lt;-BN$6,-BN$6-SUM(BN$10:BN71),-ROUNDDOWN($M72*BN$5/100,0)),0)</f>
        <v>0</v>
      </c>
      <c r="BO72" s="38">
        <f>IF(AND(BO$7="○",$A72&gt;=BO$8,$A72&lt;=BO$9),IF(SUM(BO$10:BO71)-ROUNDDOWN($M72*BO$5/100,0)&lt;-BO$6,-BO$6-SUM(BO$10:BO71),-ROUNDDOWN($M72*BO$5/100,0)),0)</f>
        <v>0</v>
      </c>
      <c r="BP72" s="38">
        <f>IF(AND(BP$7="○",$A72&gt;=BP$8,$A72&lt;=BP$9),IF(SUM(BP$10:BP71)-ROUNDDOWN($M72*BP$5/100,0)&lt;-BP$6,-BP$6-SUM(BP$10:BP71),-ROUNDDOWN($M72*BP$5/100,0)),0)</f>
        <v>0</v>
      </c>
      <c r="BQ72" s="38">
        <f>IF(AND(BQ$7="○",$A72&gt;=BQ$8,$A72&lt;=BQ$9),IF(SUM(BQ$10:BQ71)-ROUNDDOWN($L72*BQ$5/100,0)&lt;-BQ$6,-BQ$6-SUM(BQ$10:BQ71),-ROUNDDOWN($L72*BQ$5/100,0)),0)</f>
        <v>0</v>
      </c>
      <c r="BR72" s="38">
        <f>IF(AND(BR$7="○",$A72&gt;=BR$8,$A72&lt;=BR$9),IF(SUM(BR$10:BR71)-ROUNDDOWN($M72*BR$5/100,0)&lt;-BR$6,-BR$6-SUM(BR$10:BR71),-ROUNDDOWN($M72*BR$5/100,0)),0)</f>
        <v>0</v>
      </c>
      <c r="BS72" s="38">
        <f>IF(AND(BS$7="○",$A72&gt;=BS$8,$A72&lt;=BS$9),IF(SUM(BS$10:BS71)-ROUNDDOWN($M72*BS$5/100,0)&lt;-BS$6,-BS$6-SUM(BS$10:BS71),-ROUNDDOWN($M72*BS$5/100,0)),0)</f>
        <v>0</v>
      </c>
      <c r="BT72" s="38">
        <f>IF(AND(BT$7="○",$A72&gt;=BT$8,$A72&lt;=BT$9),IF(SUM(BT$10:BT71)-ROUNDDOWN($M72*BT$5/100,0)&lt;-BT$6,-BT$6-SUM(BT$10:BT71),-ROUNDDOWN($M72*BT$5/100,0)),0)</f>
        <v>0</v>
      </c>
      <c r="BU72" s="38">
        <f>IF(AND(BU$7="○",$A72&gt;=BU$8,$A72&lt;=BU$9),IF(SUM(BU$10:BU71)-ROUNDDOWN($M72*BU$5/100,0)&lt;-BU$6,-BU$6-SUM(BU$10:BU71),-ROUNDDOWN($M72*BU$5/100,0)),0)</f>
        <v>0</v>
      </c>
      <c r="BV72" s="38">
        <f>IF(AND(BV$7="○",$A72&gt;=BV$8,$A72&lt;=BV$9),IF(SUM(BV$10:BV71)-ROUNDDOWN($M72*BV$5/100,0)&lt;-BV$6,-BV$6-SUM(BV$10:BV71),-ROUNDDOWN($M72*BV$5/100,0)),0)</f>
        <v>0</v>
      </c>
      <c r="BW72" s="38">
        <f>IF(AND(BW$7="○",$A72&gt;=BW$8,$A72&lt;=BW$9),IF(SUM(BW$10:BW71)-ROUNDDOWN($M72*BW$5/100,0)&lt;-BW$6,-BW$6-SUM(BW$10:BW71),-ROUNDDOWN($M72*BW$5/100,0)),0)</f>
        <v>0</v>
      </c>
      <c r="BX72" s="38">
        <f>IF(AND(T72="○",$A72&gt;=BX$8,$A72&lt;=BX$9),IF(SUM(BX$10:BX71)-ROUNDDOWN($K72*BX$5/100,0)&lt;-BX$6,-BX$6-SUM(BX$10:BX71),-ROUNDDOWN($K72*BX$5/100,0)),0)</f>
        <v>0</v>
      </c>
      <c r="BY72" s="38">
        <f>IF(AND(U72="○",$A72&gt;=BY$8,$A72&lt;=BY$9),IF(SUM(BY$10:BY71)-ROUNDDOWN($K72*BY$5/100,0)&lt;-BY$6,-BY$6-SUM(BY$10:BY71),-ROUNDDOWN($K72*BY$5/100,0)),0)</f>
        <v>0</v>
      </c>
      <c r="BZ72" s="38">
        <f>IF(AND(V72="○",$A72&gt;=BZ$8,$A72&lt;=BZ$9),IF(SUM(BZ$10:BZ71)-ROUNDDOWN($K72*BZ$5/100,0)&lt;-BZ$6,-BZ$6-SUM(BZ$10:BZ71),-ROUNDDOWN($K72*BZ$5/100,0)),0)</f>
        <v>0</v>
      </c>
      <c r="CA72" s="38">
        <f>IF(AND(W72="○",$A72&gt;=CA$8,$A72&lt;=CA$9),IF(SUM(CA$10:CA71)-ROUNDDOWN($K72*CA$5/100,0)&lt;-CA$6,-CA$6-SUM(CA$10:CA71),-ROUNDDOWN($K72*CA$5/100,0)),0)</f>
        <v>0</v>
      </c>
      <c r="CB72" s="38"/>
      <c r="CC72" s="38"/>
      <c r="CD72" s="38"/>
      <c r="CE72" s="38"/>
      <c r="CF72" s="38"/>
      <c r="CG72" s="65">
        <f t="shared" si="47"/>
        <v>0</v>
      </c>
      <c r="CH72" s="71">
        <f t="shared" si="48"/>
        <v>0</v>
      </c>
      <c r="CI72" s="1">
        <f t="shared" si="65"/>
        <v>0</v>
      </c>
      <c r="CJ72" s="1"/>
      <c r="CK72" s="79"/>
      <c r="CL72" s="79"/>
      <c r="CM72" s="2"/>
      <c r="CN72" s="2"/>
      <c r="CO72" s="73">
        <f t="shared" si="66"/>
        <v>0</v>
      </c>
      <c r="CP72" s="5">
        <f t="shared" si="67"/>
        <v>0</v>
      </c>
      <c r="CQ72" s="1"/>
      <c r="CR72" s="1">
        <f t="shared" si="68"/>
        <v>0</v>
      </c>
      <c r="CS72" s="1"/>
      <c r="CT72" s="1" t="e">
        <f>INDEX([2]マスタ!$A:$A,MATCH(D72,[2]マスタ!$C:$C,0))</f>
        <v>#N/A</v>
      </c>
      <c r="CU72" s="1" t="str">
        <f t="shared" ca="1" si="69"/>
        <v>20260620_0-0</v>
      </c>
    </row>
    <row r="73" spans="1:99" x14ac:dyDescent="0.4">
      <c r="A73" s="61"/>
      <c r="B73" s="62"/>
      <c r="C73" s="62"/>
      <c r="D73" s="62"/>
      <c r="E73" s="63"/>
      <c r="F73" s="62"/>
      <c r="G73" s="62">
        <v>1</v>
      </c>
      <c r="H73" s="64">
        <f t="shared" si="56"/>
        <v>0</v>
      </c>
      <c r="I73" s="64"/>
      <c r="J73" s="78"/>
      <c r="K73" s="65">
        <f t="shared" si="72"/>
        <v>0</v>
      </c>
      <c r="L73" s="65">
        <f t="shared" si="58"/>
        <v>0</v>
      </c>
      <c r="M73" s="65">
        <f t="shared" si="59"/>
        <v>0</v>
      </c>
      <c r="N73" s="65">
        <f t="shared" si="60"/>
        <v>0</v>
      </c>
      <c r="O73" s="66" t="str">
        <f t="shared" si="61"/>
        <v>✕</v>
      </c>
      <c r="P73" s="67" t="str">
        <f t="shared" si="62"/>
        <v>○</v>
      </c>
      <c r="Q73" s="67" t="str">
        <f t="shared" si="73"/>
        <v>✕</v>
      </c>
      <c r="R73" s="67" t="str">
        <f t="shared" si="64"/>
        <v>✕</v>
      </c>
      <c r="S73" s="68">
        <v>0</v>
      </c>
      <c r="T73" s="69" t="s">
        <v>85</v>
      </c>
      <c r="U73" s="69" t="s">
        <v>85</v>
      </c>
      <c r="V73" s="69" t="s">
        <v>85</v>
      </c>
      <c r="W73" s="69" t="s">
        <v>85</v>
      </c>
      <c r="X73" s="69" t="s">
        <v>84</v>
      </c>
      <c r="Y73" s="69" t="s">
        <v>85</v>
      </c>
      <c r="Z73" s="69" t="s">
        <v>85</v>
      </c>
      <c r="AA73" s="69" t="s">
        <v>85</v>
      </c>
      <c r="AB73" s="69" t="s">
        <v>85</v>
      </c>
      <c r="AC73" s="69" t="s">
        <v>85</v>
      </c>
      <c r="AD73" s="38" t="str">
        <f>+IF(ISERROR(VLOOKUP($B73,AD$10:AD72,1,0)),IF(AND($N73&gt;=1000,$A73&gt;=AO$8,$A73&lt;=AO$9),$B73,""),"")</f>
        <v/>
      </c>
      <c r="AE73" s="38" t="str">
        <f>+IF(ISERROR(VLOOKUP($B73,AE$10:AE72,1,0)),IF(AND($N73&gt;=1000,$A73&gt;=AP$8,$A73&lt;=AP$9),$B73,""),"")</f>
        <v/>
      </c>
      <c r="AF73" s="38" t="str">
        <f>+IF(ISERROR(VLOOKUP($B73,AF$10:AF72,1,0)),IF(AND($N73&gt;=1000,$A73&gt;=AQ$8,$A73&lt;=AQ$9),$B73,""),"")</f>
        <v/>
      </c>
      <c r="AG73" s="38" t="str">
        <f>+IF(ISERROR(VLOOKUP($B73,AG$10:AG72,1,0)),IF(AND($N73&gt;=1000,$A73&gt;=AR$8,$A73&lt;=AR$9),$B73,""),"")</f>
        <v/>
      </c>
      <c r="AH73" s="38"/>
      <c r="AI73" s="70">
        <v>0</v>
      </c>
      <c r="AJ73" s="38">
        <f>IF(AND(AJ$7="○",$A73&gt;=AJ$8,$A73&lt;=AJ$9),IF(SUM(AJ$10:AJ72)-ROUNDDOWN($K73*AJ$5/100,0)&lt;-AJ$6,-AJ$6-SUM(AJ$10:AJ72),-ROUNDDOWN($K73*AJ$5/100,0)),0)</f>
        <v>0</v>
      </c>
      <c r="AK73" s="38">
        <f>IF(AND(AK$7="○",$A73&gt;=AK$8,$A73&lt;=AK$9),IF(SUM(AK$10:AK72)-ROUNDDOWN($L73*AK$5/100,0)&lt;-AK$6,-AK$6-SUM(AK$10:AK72),-ROUNDDOWN($L73*AK$5/100,0)),0)</f>
        <v>0</v>
      </c>
      <c r="AL73" s="38">
        <f>IF(AND(AL$7="○",$A73&gt;=AL$8,$A73&lt;=AL$9),IF(SUM(AL$10:AL72)-ROUNDDOWN($N73*AL$5/100,0)&lt;-AL$6,-AL$6-SUM(AL$10:AL72),-ROUNDDOWN($N73*AL$5/100,0)),0)</f>
        <v>0</v>
      </c>
      <c r="AM73" s="38">
        <f>IF(AND(AM$7="○",$A73&gt;=AM$8,$A73&lt;=AM$9),IF(SUM(AM$10:AM72)-ROUNDDOWN($L73*AM$5/100,0)&lt;-AM$6,-AM$6-SUM(AM$10:AM72),-ROUNDDOWN($L73*AM$5/100,0)),0)</f>
        <v>0</v>
      </c>
      <c r="AN73" s="38">
        <f>IF(AND(AN$7="○",$A73&gt;=AN$8,$A73&lt;=AN$9),IF(SUM(AN$10:AN72)-ROUNDDOWN($M73*AN$5/100,0)&lt;-AN$6,-AN$6-SUM(AN$10:AN72),-ROUNDDOWN($M73*AN$5/100,0)),0)</f>
        <v>0</v>
      </c>
      <c r="AO73" s="38">
        <f>IF(AND($A73&gt;=AO$8,$A73&lt;=AO$9),IF(SUM(AO$10:AO72)-ROUNDDOWN($K73*AO$5/100,0)&lt;-AO$6,-AO$6-SUM(AO$10:AO72),-ROUNDDOWN($K73*AO$5/100,0)),0)</f>
        <v>0</v>
      </c>
      <c r="AP73" s="38">
        <f>IF(AND($A73&gt;=AP$8,$A73&lt;=AP$9),IF(SUM(AP$10:AP72)-ROUNDDOWN($K73*AP$5/100,0)&lt;-AP$6,-AP$6-SUM(AP$10:AP72),-ROUNDDOWN($K73*AP$5/100,0)),0)</f>
        <v>0</v>
      </c>
      <c r="AQ73" s="38">
        <f>IF(AND($A73&gt;=AQ$8,$A73&lt;=AQ$9),IF(SUM(AQ$10:AQ72)-ROUNDDOWN($K73*AQ$5/100,0)&lt;-AQ$6,-AQ$6-SUM(AQ$10:AQ72),-ROUNDDOWN($K73*AQ$5/100,0)),0)</f>
        <v>0</v>
      </c>
      <c r="AR73" s="38">
        <f>IF(AND($A73&gt;=AR$8,$A73&lt;=AR$9),IF(SUM(AR$10:AR72)-ROUNDDOWN($K73*AR$5/100,0)&lt;-AR$6,-AR$6-SUM(AR$10:AR72),-ROUNDDOWN($K73*AR$5/100,0)),0)</f>
        <v>0</v>
      </c>
      <c r="AS73" s="38">
        <f>IF(SUMIFS(AS$10:AS72,$A$10:$A72,$A73)-ROUNDDOWN($K73*$S73/100,0)&lt;-$S73*1000,-$S73*1000-SUMIFS(AS$10:AS72,$A$10:$A72,$A73),-ROUNDDOWN($K73*$S73/100,0))</f>
        <v>0</v>
      </c>
      <c r="AT73" s="38">
        <f>IF(AND(X73="○",$A73&gt;=AT$8,$A73&lt;=AT$9,K73&gt;=3980),IF(SUM(AT$10:AT72)-ROUNDDOWN($K73*AT$5/100,0)&lt;-AT$6,-AT$6-SUM(AT$10:AT72),-ROUNDDOWN($K73*AT$5/100,0)),0)</f>
        <v>0</v>
      </c>
      <c r="AU73" s="38">
        <f>IF(O73="○",IF(SUM(AU$10:AU72)-ROUNDDOWN($K73*AU$5/100,0)&lt;-AU$6,-AU$6-SUM(AU$10:AU72),-ROUNDDOWN($K73*AU$5/100,0)),0)</f>
        <v>0</v>
      </c>
      <c r="AV73" s="38">
        <f>IF(P73="○",IF(SUM(AV$10:AV72)-ROUNDDOWN($K73*AV$5/100,0)&lt;-AV$6,-AV$6-SUM(AV$10:AV72),-ROUNDDOWN($K73*AV$5/100,0)),0)</f>
        <v>0</v>
      </c>
      <c r="AW73" s="38">
        <f>IF(Q73="○",IF(SUM(AW$10:AW72)-ROUNDDOWN($K73*AW$5/100,0)&lt;-AW$6,-AW$6-SUM(AW$10:AW72),-ROUNDDOWN($K73*AW$5/100,0)),0)</f>
        <v>0</v>
      </c>
      <c r="AX73" s="38">
        <f>IF(R73="○",IF(SUM(AX$10:AX72)-ROUNDDOWN($K73*AX$5/100,0)&lt;-AX$6,-AX$6-SUM(AX$10:AX72),-ROUNDDOWN($K73*AX$5/100,0)),0)</f>
        <v>0</v>
      </c>
      <c r="AY73" s="70">
        <v>0</v>
      </c>
      <c r="AZ73" s="65">
        <f t="shared" si="41"/>
        <v>0</v>
      </c>
      <c r="BA73" s="65">
        <f t="shared" si="42"/>
        <v>0</v>
      </c>
      <c r="BB73" s="70"/>
      <c r="BC73" s="65">
        <f t="shared" si="43"/>
        <v>0</v>
      </c>
      <c r="BD73" s="70">
        <v>0</v>
      </c>
      <c r="BE73" s="65">
        <f t="shared" si="44"/>
        <v>0</v>
      </c>
      <c r="BF73" s="70">
        <v>0</v>
      </c>
      <c r="BG73" s="65">
        <f t="shared" si="45"/>
        <v>0</v>
      </c>
      <c r="BH73" s="70">
        <v>0</v>
      </c>
      <c r="BI73" s="65">
        <f t="shared" si="46"/>
        <v>0</v>
      </c>
      <c r="BJ73" s="38">
        <f>IF(AND(BJ$7="○",$A73&gt;=BJ$8,$A73&lt;=BJ$9),IF(SUM(BJ$10:BJ72)-ROUNDDOWN($M73*BJ$5/100,0)&lt;-BJ$6,-BJ$6-SUM(BJ$10:BJ72),-ROUNDDOWN($M73*BJ$5/100,0)),0)</f>
        <v>0</v>
      </c>
      <c r="BK73" s="38">
        <f>IF(AND(BK$7="○",$A73&gt;=BK$8,$A73&lt;=BK$9),IF(SUM(BK$10:BK72)-ROUNDDOWN($L73*BK$5/100,0)&lt;-BK$6,-BK$6-SUM(BK$10:BK72),-ROUNDDOWN($L73*BK$5/100,0)),0)</f>
        <v>0</v>
      </c>
      <c r="BL73" s="38">
        <f>IF(AND(BL$7="○",$A73&gt;=BL$8,$A73&lt;=BL$9),IF(SUM(BL$10:BL72)-ROUNDDOWN($L73*BL$5/100,0)&lt;-BL$6,-BL$6-SUM(BL$10:BL72),-ROUNDDOWN($L73*BL$5/100,0)),0)</f>
        <v>0</v>
      </c>
      <c r="BM73" s="38">
        <f>IF(AND(BM$7="○",$A73&gt;=BM$8,$A73&lt;=BM$9),IF(SUM(BM$10:BM72)-ROUNDDOWN($M73*BM$5/100,0)&lt;-BM$6,-BM$6-SUM(BM$10:BM72),-ROUNDDOWN($M73*BM$5/100,0)),0)</f>
        <v>0</v>
      </c>
      <c r="BN73" s="38">
        <f>IF(AND(BN$7="○",$A73&gt;=BN$8,$A73&lt;=BN$9),IF(SUM(BN$10:BN72)-ROUNDDOWN($M73*BN$5/100,0)&lt;-BN$6,-BN$6-SUM(BN$10:BN72),-ROUNDDOWN($M73*BN$5/100,0)),0)</f>
        <v>0</v>
      </c>
      <c r="BO73" s="38">
        <f>IF(AND(BO$7="○",$A73&gt;=BO$8,$A73&lt;=BO$9),IF(SUM(BO$10:BO72)-ROUNDDOWN($M73*BO$5/100,0)&lt;-BO$6,-BO$6-SUM(BO$10:BO72),-ROUNDDOWN($M73*BO$5/100,0)),0)</f>
        <v>0</v>
      </c>
      <c r="BP73" s="38">
        <f>IF(AND(BP$7="○",$A73&gt;=BP$8,$A73&lt;=BP$9),IF(SUM(BP$10:BP72)-ROUNDDOWN($M73*BP$5/100,0)&lt;-BP$6,-BP$6-SUM(BP$10:BP72),-ROUNDDOWN($M73*BP$5/100,0)),0)</f>
        <v>0</v>
      </c>
      <c r="BQ73" s="38">
        <f>IF(AND(BQ$7="○",$A73&gt;=BQ$8,$A73&lt;=BQ$9),IF(SUM(BQ$10:BQ72)-ROUNDDOWN($L73*BQ$5/100,0)&lt;-BQ$6,-BQ$6-SUM(BQ$10:BQ72),-ROUNDDOWN($L73*BQ$5/100,0)),0)</f>
        <v>0</v>
      </c>
      <c r="BR73" s="38">
        <f>IF(AND(BR$7="○",$A73&gt;=BR$8,$A73&lt;=BR$9),IF(SUM(BR$10:BR72)-ROUNDDOWN($M73*BR$5/100,0)&lt;-BR$6,-BR$6-SUM(BR$10:BR72),-ROUNDDOWN($M73*BR$5/100,0)),0)</f>
        <v>0</v>
      </c>
      <c r="BS73" s="38">
        <f>IF(AND(BS$7="○",$A73&gt;=BS$8,$A73&lt;=BS$9),IF(SUM(BS$10:BS72)-ROUNDDOWN($M73*BS$5/100,0)&lt;-BS$6,-BS$6-SUM(BS$10:BS72),-ROUNDDOWN($M73*BS$5/100,0)),0)</f>
        <v>0</v>
      </c>
      <c r="BT73" s="38">
        <f>IF(AND(BT$7="○",$A73&gt;=BT$8,$A73&lt;=BT$9),IF(SUM(BT$10:BT72)-ROUNDDOWN($M73*BT$5/100,0)&lt;-BT$6,-BT$6-SUM(BT$10:BT72),-ROUNDDOWN($M73*BT$5/100,0)),0)</f>
        <v>0</v>
      </c>
      <c r="BU73" s="38">
        <f>IF(AND(BU$7="○",$A73&gt;=BU$8,$A73&lt;=BU$9),IF(SUM(BU$10:BU72)-ROUNDDOWN($M73*BU$5/100,0)&lt;-BU$6,-BU$6-SUM(BU$10:BU72),-ROUNDDOWN($M73*BU$5/100,0)),0)</f>
        <v>0</v>
      </c>
      <c r="BV73" s="38">
        <f>IF(AND(BV$7="○",$A73&gt;=BV$8,$A73&lt;=BV$9),IF(SUM(BV$10:BV72)-ROUNDDOWN($M73*BV$5/100,0)&lt;-BV$6,-BV$6-SUM(BV$10:BV72),-ROUNDDOWN($M73*BV$5/100,0)),0)</f>
        <v>0</v>
      </c>
      <c r="BW73" s="38">
        <f>IF(AND(BW$7="○",$A73&gt;=BW$8,$A73&lt;=BW$9),IF(SUM(BW$10:BW72)-ROUNDDOWN($M73*BW$5/100,0)&lt;-BW$6,-BW$6-SUM(BW$10:BW72),-ROUNDDOWN($M73*BW$5/100,0)),0)</f>
        <v>0</v>
      </c>
      <c r="BX73" s="38">
        <f>IF(AND(T73="○",$A73&gt;=BX$8,$A73&lt;=BX$9),IF(SUM(BX$10:BX72)-ROUNDDOWN($K73*BX$5/100,0)&lt;-BX$6,-BX$6-SUM(BX$10:BX72),-ROUNDDOWN($K73*BX$5/100,0)),0)</f>
        <v>0</v>
      </c>
      <c r="BY73" s="38">
        <f>IF(AND(U73="○",$A73&gt;=BY$8,$A73&lt;=BY$9),IF(SUM(BY$10:BY72)-ROUNDDOWN($K73*BY$5/100,0)&lt;-BY$6,-BY$6-SUM(BY$10:BY72),-ROUNDDOWN($K73*BY$5/100,0)),0)</f>
        <v>0</v>
      </c>
      <c r="BZ73" s="38">
        <f>IF(AND(V73="○",$A73&gt;=BZ$8,$A73&lt;=BZ$9),IF(SUM(BZ$10:BZ72)-ROUNDDOWN($K73*BZ$5/100,0)&lt;-BZ$6,-BZ$6-SUM(BZ$10:BZ72),-ROUNDDOWN($K73*BZ$5/100,0)),0)</f>
        <v>0</v>
      </c>
      <c r="CA73" s="38">
        <f>IF(AND(W73="○",$A73&gt;=CA$8,$A73&lt;=CA$9),IF(SUM(CA$10:CA72)-ROUNDDOWN($K73*CA$5/100,0)&lt;-CA$6,-CA$6-SUM(CA$10:CA72),-ROUNDDOWN($K73*CA$5/100,0)),0)</f>
        <v>0</v>
      </c>
      <c r="CB73" s="38"/>
      <c r="CC73" s="38"/>
      <c r="CD73" s="38"/>
      <c r="CE73" s="38"/>
      <c r="CF73" s="38"/>
      <c r="CG73" s="65">
        <f t="shared" si="47"/>
        <v>0</v>
      </c>
      <c r="CH73" s="71">
        <f t="shared" si="48"/>
        <v>0</v>
      </c>
      <c r="CI73" s="1">
        <f t="shared" si="65"/>
        <v>0</v>
      </c>
      <c r="CJ73" s="1"/>
      <c r="CK73" s="79"/>
      <c r="CL73" s="79"/>
      <c r="CM73" s="2"/>
      <c r="CN73" s="2"/>
      <c r="CO73" s="73">
        <f t="shared" si="66"/>
        <v>0</v>
      </c>
      <c r="CP73" s="5">
        <f t="shared" si="67"/>
        <v>0</v>
      </c>
      <c r="CQ73" s="1"/>
      <c r="CR73" s="1">
        <f t="shared" si="68"/>
        <v>0</v>
      </c>
      <c r="CS73" s="1"/>
      <c r="CT73" s="1" t="e">
        <f>INDEX([2]マスタ!$A:$A,MATCH(D73,[2]マスタ!$C:$C,0))</f>
        <v>#N/A</v>
      </c>
      <c r="CU73" s="1" t="str">
        <f t="shared" ca="1" si="69"/>
        <v>20260620_0-0</v>
      </c>
    </row>
    <row r="74" spans="1:99" x14ac:dyDescent="0.4">
      <c r="A74" s="61"/>
      <c r="B74" s="62"/>
      <c r="C74" s="62"/>
      <c r="D74" s="62"/>
      <c r="E74" s="77"/>
      <c r="F74" s="62"/>
      <c r="G74" s="62">
        <v>1</v>
      </c>
      <c r="H74" s="64">
        <f t="shared" si="56"/>
        <v>0</v>
      </c>
      <c r="I74" s="64"/>
      <c r="J74" s="64"/>
      <c r="K74" s="65">
        <f t="shared" si="72"/>
        <v>0</v>
      </c>
      <c r="L74" s="65">
        <f t="shared" si="58"/>
        <v>0</v>
      </c>
      <c r="M74" s="65">
        <f t="shared" si="59"/>
        <v>0</v>
      </c>
      <c r="N74" s="65">
        <f t="shared" si="60"/>
        <v>0</v>
      </c>
      <c r="O74" s="66" t="str">
        <f t="shared" si="61"/>
        <v>✕</v>
      </c>
      <c r="P74" s="67" t="str">
        <f t="shared" si="62"/>
        <v>○</v>
      </c>
      <c r="Q74" s="67" t="str">
        <f t="shared" si="73"/>
        <v>✕</v>
      </c>
      <c r="R74" s="67" t="str">
        <f t="shared" si="64"/>
        <v>✕</v>
      </c>
      <c r="S74" s="68">
        <v>0</v>
      </c>
      <c r="T74" s="69" t="s">
        <v>85</v>
      </c>
      <c r="U74" s="69" t="s">
        <v>85</v>
      </c>
      <c r="V74" s="69" t="s">
        <v>85</v>
      </c>
      <c r="W74" s="69" t="s">
        <v>85</v>
      </c>
      <c r="X74" s="69" t="s">
        <v>84</v>
      </c>
      <c r="Y74" s="69" t="s">
        <v>85</v>
      </c>
      <c r="Z74" s="69" t="s">
        <v>85</v>
      </c>
      <c r="AA74" s="69" t="s">
        <v>85</v>
      </c>
      <c r="AB74" s="69" t="s">
        <v>85</v>
      </c>
      <c r="AC74" s="69" t="s">
        <v>85</v>
      </c>
      <c r="AD74" s="38" t="str">
        <f>+IF(ISERROR(VLOOKUP($B74,AD$10:AD73,1,0)),IF(AND($N74&gt;=1000,$A74&gt;=AO$8,$A74&lt;=AO$9),$B74,""),"")</f>
        <v/>
      </c>
      <c r="AE74" s="38" t="str">
        <f>+IF(ISERROR(VLOOKUP($B74,AE$10:AE73,1,0)),IF(AND($N74&gt;=1000,$A74&gt;=AP$8,$A74&lt;=AP$9),$B74,""),"")</f>
        <v/>
      </c>
      <c r="AF74" s="38" t="str">
        <f>+IF(ISERROR(VLOOKUP($B74,AF$10:AF73,1,0)),IF(AND($N74&gt;=1000,$A74&gt;=AQ$8,$A74&lt;=AQ$9),$B74,""),"")</f>
        <v/>
      </c>
      <c r="AG74" s="38" t="str">
        <f>+IF(ISERROR(VLOOKUP($B74,AG$10:AG73,1,0)),IF(AND($N74&gt;=1000,$A74&gt;=AR$8,$A74&lt;=AR$9),$B74,""),"")</f>
        <v/>
      </c>
      <c r="AH74" s="38"/>
      <c r="AI74" s="70">
        <v>0</v>
      </c>
      <c r="AJ74" s="38">
        <f>IF(AND(AJ$7="○",$A74&gt;=AJ$8,$A74&lt;=AJ$9),IF(SUM(AJ$10:AJ73)-ROUNDDOWN($K74*AJ$5/100,0)&lt;-AJ$6,-AJ$6-SUM(AJ$10:AJ73),-ROUNDDOWN($K74*AJ$5/100,0)),0)</f>
        <v>0</v>
      </c>
      <c r="AK74" s="38">
        <f>IF(AND(AK$7="○",$A74&gt;=AK$8,$A74&lt;=AK$9),IF(SUM(AK$10:AK73)-ROUNDDOWN($L74*AK$5/100,0)&lt;-AK$6,-AK$6-SUM(AK$10:AK73),-ROUNDDOWN($L74*AK$5/100,0)),0)</f>
        <v>0</v>
      </c>
      <c r="AL74" s="38">
        <f>IF(AND(AL$7="○",$A74&gt;=AL$8,$A74&lt;=AL$9),IF(SUM(AL$10:AL73)-ROUNDDOWN($N74*AL$5/100,0)&lt;-AL$6,-AL$6-SUM(AL$10:AL73),-ROUNDDOWN($N74*AL$5/100,0)),0)</f>
        <v>0</v>
      </c>
      <c r="AM74" s="38">
        <f>IF(AND(AM$7="○",$A74&gt;=AM$8,$A74&lt;=AM$9),IF(SUM(AM$10:AM73)-ROUNDDOWN($L74*AM$5/100,0)&lt;-AM$6,-AM$6-SUM(AM$10:AM73),-ROUNDDOWN($L74*AM$5/100,0)),0)</f>
        <v>0</v>
      </c>
      <c r="AN74" s="38">
        <f>IF(AND(AN$7="○",$A74&gt;=AN$8,$A74&lt;=AN$9),IF(SUM(AN$10:AN73)-ROUNDDOWN($M74*AN$5/100,0)&lt;-AN$6,-AN$6-SUM(AN$10:AN73),-ROUNDDOWN($M74*AN$5/100,0)),0)</f>
        <v>0</v>
      </c>
      <c r="AO74" s="38">
        <f>IF(AND($A74&gt;=AO$8,$A74&lt;=AO$9),IF(SUM(AO$10:AO73)-ROUNDDOWN($K74*AO$5/100,0)&lt;-AO$6,-AO$6-SUM(AO$10:AO73),-ROUNDDOWN($K74*AO$5/100,0)),0)</f>
        <v>0</v>
      </c>
      <c r="AP74" s="38">
        <f>IF(AND($A74&gt;=AP$8,$A74&lt;=AP$9),IF(SUM(AP$10:AP73)-ROUNDDOWN($K74*AP$5/100,0)&lt;-AP$6,-AP$6-SUM(AP$10:AP73),-ROUNDDOWN($K74*AP$5/100,0)),0)</f>
        <v>0</v>
      </c>
      <c r="AQ74" s="38">
        <f>IF(AND($A74&gt;=AQ$8,$A74&lt;=AQ$9),IF(SUM(AQ$10:AQ73)-ROUNDDOWN($K74*AQ$5/100,0)&lt;-AQ$6,-AQ$6-SUM(AQ$10:AQ73),-ROUNDDOWN($K74*AQ$5/100,0)),0)</f>
        <v>0</v>
      </c>
      <c r="AR74" s="38">
        <f>IF(AND($A74&gt;=AR$8,$A74&lt;=AR$9),IF(SUM(AR$10:AR73)-ROUNDDOWN($K74*AR$5/100,0)&lt;-AR$6,-AR$6-SUM(AR$10:AR73),-ROUNDDOWN($K74*AR$5/100,0)),0)</f>
        <v>0</v>
      </c>
      <c r="AS74" s="38">
        <f>IF(SUMIFS(AS$10:AS73,$A$10:$A73,$A74)-ROUNDDOWN($K74*$S74/100,0)&lt;-$S74*1000,-$S74*1000-SUMIFS(AS$10:AS73,$A$10:$A73,$A74),-ROUNDDOWN($K74*$S74/100,0))</f>
        <v>0</v>
      </c>
      <c r="AT74" s="38">
        <f>IF(AND(X74="○",$A74&gt;=AT$8,$A74&lt;=AT$9,K74&gt;=3980),IF(SUM(AT$10:AT73)-ROUNDDOWN($K74*AT$5/100,0)&lt;-AT$6,-AT$6-SUM(AT$10:AT73),-ROUNDDOWN($K74*AT$5/100,0)),0)</f>
        <v>0</v>
      </c>
      <c r="AU74" s="38">
        <f>IF(O74="○",IF(SUM(AU$10:AU73)-ROUNDDOWN($K74*AU$5/100,0)&lt;-AU$6,-AU$6-SUM(AU$10:AU73),-ROUNDDOWN($K74*AU$5/100,0)),0)</f>
        <v>0</v>
      </c>
      <c r="AV74" s="38">
        <f>IF(P74="○",IF(SUM(AV$10:AV73)-ROUNDDOWN($K74*AV$5/100,0)&lt;-AV$6,-AV$6-SUM(AV$10:AV73),-ROUNDDOWN($K74*AV$5/100,0)),0)</f>
        <v>0</v>
      </c>
      <c r="AW74" s="38">
        <f>IF(Q74="○",IF(SUM(AW$10:AW73)-ROUNDDOWN($K74*AW$5/100,0)&lt;-AW$6,-AW$6-SUM(AW$10:AW73),-ROUNDDOWN($K74*AW$5/100,0)),0)</f>
        <v>0</v>
      </c>
      <c r="AX74" s="38">
        <f>IF(R74="○",IF(SUM(AX$10:AX73)-ROUNDDOWN($K74*AX$5/100,0)&lt;-AX$6,-AX$6-SUM(AX$10:AX73),-ROUNDDOWN($K74*AX$5/100,0)),0)</f>
        <v>0</v>
      </c>
      <c r="AY74" s="70">
        <v>0</v>
      </c>
      <c r="AZ74" s="65">
        <f t="shared" si="41"/>
        <v>0</v>
      </c>
      <c r="BA74" s="65">
        <f t="shared" si="42"/>
        <v>0</v>
      </c>
      <c r="BB74" s="70"/>
      <c r="BC74" s="65">
        <f t="shared" si="43"/>
        <v>0</v>
      </c>
      <c r="BD74" s="70">
        <v>0</v>
      </c>
      <c r="BE74" s="65">
        <f t="shared" si="44"/>
        <v>0</v>
      </c>
      <c r="BF74" s="70">
        <v>0</v>
      </c>
      <c r="BG74" s="65">
        <f t="shared" si="45"/>
        <v>0</v>
      </c>
      <c r="BH74" s="70">
        <v>0</v>
      </c>
      <c r="BI74" s="65">
        <f t="shared" si="46"/>
        <v>0</v>
      </c>
      <c r="BJ74" s="38">
        <f>IF(AND(BJ$7="○",$A74&gt;=BJ$8,$A74&lt;=BJ$9),IF(SUM(BJ$10:BJ73)-ROUNDDOWN($M74*BJ$5/100,0)&lt;-BJ$6,-BJ$6-SUM(BJ$10:BJ73),-ROUNDDOWN($M74*BJ$5/100,0)),0)</f>
        <v>0</v>
      </c>
      <c r="BK74" s="38">
        <f>IF(AND(BK$7="○",$A74&gt;=BK$8,$A74&lt;=BK$9),IF(SUM(BK$10:BK73)-ROUNDDOWN($L74*BK$5/100,0)&lt;-BK$6,-BK$6-SUM(BK$10:BK73),-ROUNDDOWN($L74*BK$5/100,0)),0)</f>
        <v>0</v>
      </c>
      <c r="BL74" s="38">
        <f>IF(AND(BL$7="○",$A74&gt;=BL$8,$A74&lt;=BL$9),IF(SUM(BL$10:BL73)-ROUNDDOWN($L74*BL$5/100,0)&lt;-BL$6,-BL$6-SUM(BL$10:BL73),-ROUNDDOWN($L74*BL$5/100,0)),0)</f>
        <v>0</v>
      </c>
      <c r="BM74" s="38">
        <f>IF(AND(BM$7="○",$A74&gt;=BM$8,$A74&lt;=BM$9),IF(SUM(BM$10:BM73)-ROUNDDOWN($M74*BM$5/100,0)&lt;-BM$6,-BM$6-SUM(BM$10:BM73),-ROUNDDOWN($M74*BM$5/100,0)),0)</f>
        <v>0</v>
      </c>
      <c r="BN74" s="38">
        <f>IF(AND(BN$7="○",$A74&gt;=BN$8,$A74&lt;=BN$9),IF(SUM(BN$10:BN73)-ROUNDDOWN($M74*BN$5/100,0)&lt;-BN$6,-BN$6-SUM(BN$10:BN73),-ROUNDDOWN($M74*BN$5/100,0)),0)</f>
        <v>0</v>
      </c>
      <c r="BO74" s="38">
        <f>IF(AND(BO$7="○",$A74&gt;=BO$8,$A74&lt;=BO$9),IF(SUM(BO$10:BO73)-ROUNDDOWN($M74*BO$5/100,0)&lt;-BO$6,-BO$6-SUM(BO$10:BO73),-ROUNDDOWN($M74*BO$5/100,0)),0)</f>
        <v>0</v>
      </c>
      <c r="BP74" s="38">
        <f>IF(AND(BP$7="○",$A74&gt;=BP$8,$A74&lt;=BP$9),IF(SUM(BP$10:BP73)-ROUNDDOWN($M74*BP$5/100,0)&lt;-BP$6,-BP$6-SUM(BP$10:BP73),-ROUNDDOWN($M74*BP$5/100,0)),0)</f>
        <v>0</v>
      </c>
      <c r="BQ74" s="38">
        <f>IF(AND(BQ$7="○",$A74&gt;=BQ$8,$A74&lt;=BQ$9),IF(SUM(BQ$10:BQ73)-ROUNDDOWN($L74*BQ$5/100,0)&lt;-BQ$6,-BQ$6-SUM(BQ$10:BQ73),-ROUNDDOWN($L74*BQ$5/100,0)),0)</f>
        <v>0</v>
      </c>
      <c r="BR74" s="38">
        <f>IF(AND(BR$7="○",$A74&gt;=BR$8,$A74&lt;=BR$9),IF(SUM(BR$10:BR73)-ROUNDDOWN($M74*BR$5/100,0)&lt;-BR$6,-BR$6-SUM(BR$10:BR73),-ROUNDDOWN($M74*BR$5/100,0)),0)</f>
        <v>0</v>
      </c>
      <c r="BS74" s="38">
        <f>IF(AND(BS$7="○",$A74&gt;=BS$8,$A74&lt;=BS$9),IF(SUM(BS$10:BS73)-ROUNDDOWN($M74*BS$5/100,0)&lt;-BS$6,-BS$6-SUM(BS$10:BS73),-ROUNDDOWN($M74*BS$5/100,0)),0)</f>
        <v>0</v>
      </c>
      <c r="BT74" s="38">
        <f>IF(AND(BT$7="○",$A74&gt;=BT$8,$A74&lt;=BT$9),IF(SUM(BT$10:BT73)-ROUNDDOWN($M74*BT$5/100,0)&lt;-BT$6,-BT$6-SUM(BT$10:BT73),-ROUNDDOWN($M74*BT$5/100,0)),0)</f>
        <v>0</v>
      </c>
      <c r="BU74" s="38">
        <f>IF(AND(BU$7="○",$A74&gt;=BU$8,$A74&lt;=BU$9),IF(SUM(BU$10:BU73)-ROUNDDOWN($M74*BU$5/100,0)&lt;-BU$6,-BU$6-SUM(BU$10:BU73),-ROUNDDOWN($M74*BU$5/100,0)),0)</f>
        <v>0</v>
      </c>
      <c r="BV74" s="38">
        <f>IF(AND(BV$7="○",$A74&gt;=BV$8,$A74&lt;=BV$9),IF(SUM(BV$10:BV73)-ROUNDDOWN($M74*BV$5/100,0)&lt;-BV$6,-BV$6-SUM(BV$10:BV73),-ROUNDDOWN($M74*BV$5/100,0)),0)</f>
        <v>0</v>
      </c>
      <c r="BW74" s="38">
        <f>IF(AND(BW$7="○",$A74&gt;=BW$8,$A74&lt;=BW$9),IF(SUM(BW$10:BW73)-ROUNDDOWN($M74*BW$5/100,0)&lt;-BW$6,-BW$6-SUM(BW$10:BW73),-ROUNDDOWN($M74*BW$5/100,0)),0)</f>
        <v>0</v>
      </c>
      <c r="BX74" s="38">
        <f>IF(AND(T74="○",$A74&gt;=BX$8,$A74&lt;=BX$9),IF(SUM(BX$10:BX73)-ROUNDDOWN($K74*BX$5/100,0)&lt;-BX$6,-BX$6-SUM(BX$10:BX73),-ROUNDDOWN($K74*BX$5/100,0)),0)</f>
        <v>0</v>
      </c>
      <c r="BY74" s="38">
        <f>IF(AND(U74="○",$A74&gt;=BY$8,$A74&lt;=BY$9),IF(SUM(BY$10:BY73)-ROUNDDOWN($K74*BY$5/100,0)&lt;-BY$6,-BY$6-SUM(BY$10:BY73),-ROUNDDOWN($K74*BY$5/100,0)),0)</f>
        <v>0</v>
      </c>
      <c r="BZ74" s="38">
        <f>IF(AND(V74="○",$A74&gt;=BZ$8,$A74&lt;=BZ$9),IF(SUM(BZ$10:BZ73)-ROUNDDOWN($K74*BZ$5/100,0)&lt;-BZ$6,-BZ$6-SUM(BZ$10:BZ73),-ROUNDDOWN($K74*BZ$5/100,0)),0)</f>
        <v>0</v>
      </c>
      <c r="CA74" s="38">
        <f>IF(AND(W74="○",$A74&gt;=CA$8,$A74&lt;=CA$9),IF(SUM(CA$10:CA73)-ROUNDDOWN($K74*CA$5/100,0)&lt;-CA$6,-CA$6-SUM(CA$10:CA73),-ROUNDDOWN($K74*CA$5/100,0)),0)</f>
        <v>0</v>
      </c>
      <c r="CB74" s="38"/>
      <c r="CC74" s="38"/>
      <c r="CD74" s="38"/>
      <c r="CE74" s="38"/>
      <c r="CF74" s="38"/>
      <c r="CG74" s="65">
        <f t="shared" si="47"/>
        <v>0</v>
      </c>
      <c r="CH74" s="71">
        <f t="shared" si="48"/>
        <v>0</v>
      </c>
      <c r="CI74" s="1">
        <f t="shared" si="65"/>
        <v>0</v>
      </c>
      <c r="CJ74" s="1"/>
      <c r="CK74" s="79"/>
      <c r="CL74" s="79"/>
      <c r="CM74" s="2"/>
      <c r="CN74" s="2"/>
      <c r="CO74" s="73">
        <f t="shared" si="66"/>
        <v>0</v>
      </c>
      <c r="CP74" s="5">
        <f t="shared" si="67"/>
        <v>0</v>
      </c>
      <c r="CQ74" s="1"/>
      <c r="CR74" s="1">
        <f t="shared" si="68"/>
        <v>0</v>
      </c>
      <c r="CS74" s="1"/>
      <c r="CT74" s="1" t="e">
        <f>INDEX([2]マスタ!$A:$A,MATCH(D74,[2]マスタ!$C:$C,0))</f>
        <v>#N/A</v>
      </c>
      <c r="CU74" s="1" t="str">
        <f t="shared" ca="1" si="69"/>
        <v>20260620_0-0</v>
      </c>
    </row>
    <row r="75" spans="1:99" x14ac:dyDescent="0.4">
      <c r="A75" s="61"/>
      <c r="B75" s="62"/>
      <c r="C75" s="62"/>
      <c r="D75" s="62"/>
      <c r="E75" s="63"/>
      <c r="F75" s="62"/>
      <c r="G75" s="62">
        <v>1</v>
      </c>
      <c r="H75" s="64">
        <f t="shared" si="56"/>
        <v>0</v>
      </c>
      <c r="I75" s="64"/>
      <c r="J75" s="64"/>
      <c r="K75" s="65">
        <f t="shared" si="72"/>
        <v>0</v>
      </c>
      <c r="L75" s="65">
        <f t="shared" si="58"/>
        <v>0</v>
      </c>
      <c r="M75" s="65">
        <f t="shared" si="59"/>
        <v>0</v>
      </c>
      <c r="N75" s="65">
        <f t="shared" si="60"/>
        <v>0</v>
      </c>
      <c r="O75" s="66" t="str">
        <f t="shared" si="61"/>
        <v>✕</v>
      </c>
      <c r="P75" s="67" t="str">
        <f t="shared" si="62"/>
        <v>○</v>
      </c>
      <c r="Q75" s="67" t="str">
        <f t="shared" si="73"/>
        <v>✕</v>
      </c>
      <c r="R75" s="67" t="str">
        <f t="shared" si="64"/>
        <v>✕</v>
      </c>
      <c r="S75" s="68">
        <v>0</v>
      </c>
      <c r="T75" s="69" t="s">
        <v>85</v>
      </c>
      <c r="U75" s="69" t="s">
        <v>85</v>
      </c>
      <c r="V75" s="69" t="s">
        <v>85</v>
      </c>
      <c r="W75" s="69" t="s">
        <v>85</v>
      </c>
      <c r="X75" s="69" t="s">
        <v>84</v>
      </c>
      <c r="Y75" s="69" t="s">
        <v>85</v>
      </c>
      <c r="Z75" s="69" t="s">
        <v>85</v>
      </c>
      <c r="AA75" s="69" t="s">
        <v>85</v>
      </c>
      <c r="AB75" s="69" t="s">
        <v>85</v>
      </c>
      <c r="AC75" s="69" t="s">
        <v>85</v>
      </c>
      <c r="AD75" s="38" t="str">
        <f>+IF(ISERROR(VLOOKUP($B75,AD$10:AD74,1,0)),IF(AND($N75&gt;=1000,$A75&gt;=AO$8,$A75&lt;=AO$9),$B75,""),"")</f>
        <v/>
      </c>
      <c r="AE75" s="38" t="str">
        <f>+IF(ISERROR(VLOOKUP($B75,AE$10:AE74,1,0)),IF(AND($N75&gt;=1000,$A75&gt;=AP$8,$A75&lt;=AP$9),$B75,""),"")</f>
        <v/>
      </c>
      <c r="AF75" s="38" t="str">
        <f>+IF(ISERROR(VLOOKUP($B75,AF$10:AF74,1,0)),IF(AND($N75&gt;=1000,$A75&gt;=AQ$8,$A75&lt;=AQ$9),$B75,""),"")</f>
        <v/>
      </c>
      <c r="AG75" s="38" t="str">
        <f>+IF(ISERROR(VLOOKUP($B75,AG$10:AG74,1,0)),IF(AND($N75&gt;=1000,$A75&gt;=AR$8,$A75&lt;=AR$9),$B75,""),"")</f>
        <v/>
      </c>
      <c r="AH75" s="38"/>
      <c r="AI75" s="70">
        <v>0</v>
      </c>
      <c r="AJ75" s="38">
        <f>IF(AND(AJ$7="○",$A75&gt;=AJ$8,$A75&lt;=AJ$9),IF(SUM(AJ$10:AJ74)-ROUNDDOWN($K75*AJ$5/100,0)&lt;-AJ$6,-AJ$6-SUM(AJ$10:AJ74),-ROUNDDOWN($K75*AJ$5/100,0)),0)</f>
        <v>0</v>
      </c>
      <c r="AK75" s="38">
        <f>IF(AND(AK$7="○",$A75&gt;=AK$8,$A75&lt;=AK$9),IF(SUM(AK$10:AK74)-ROUNDDOWN($L75*AK$5/100,0)&lt;-AK$6,-AK$6-SUM(AK$10:AK74),-ROUNDDOWN($L75*AK$5/100,0)),0)</f>
        <v>0</v>
      </c>
      <c r="AL75" s="38">
        <f>IF(AND(AL$7="○",$A75&gt;=AL$8,$A75&lt;=AL$9),IF(SUM(AL$10:AL74)-ROUNDDOWN($N75*AL$5/100,0)&lt;-AL$6,-AL$6-SUM(AL$10:AL74),-ROUNDDOWN($N75*AL$5/100,0)),0)</f>
        <v>0</v>
      </c>
      <c r="AM75" s="38">
        <f>IF(AND(AM$7="○",$A75&gt;=AM$8,$A75&lt;=AM$9),IF(SUM(AM$10:AM74)-ROUNDDOWN($L75*AM$5/100,0)&lt;-AM$6,-AM$6-SUM(AM$10:AM74),-ROUNDDOWN($L75*AM$5/100,0)),0)</f>
        <v>0</v>
      </c>
      <c r="AN75" s="38">
        <f>IF(AND(AN$7="○",$A75&gt;=AN$8,$A75&lt;=AN$9),IF(SUM(AN$10:AN74)-ROUNDDOWN($M75*AN$5/100,0)&lt;-AN$6,-AN$6-SUM(AN$10:AN74),-ROUNDDOWN($M75*AN$5/100,0)),0)</f>
        <v>0</v>
      </c>
      <c r="AO75" s="38">
        <f>IF(AND($A75&gt;=AO$8,$A75&lt;=AO$9),IF(SUM(AO$10:AO74)-ROUNDDOWN($K75*AO$5/100,0)&lt;-AO$6,-AO$6-SUM(AO$10:AO74),-ROUNDDOWN($K75*AO$5/100,0)),0)</f>
        <v>0</v>
      </c>
      <c r="AP75" s="38">
        <f>IF(AND($A75&gt;=AP$8,$A75&lt;=AP$9),IF(SUM(AP$10:AP74)-ROUNDDOWN($K75*AP$5/100,0)&lt;-AP$6,-AP$6-SUM(AP$10:AP74),-ROUNDDOWN($K75*AP$5/100,0)),0)</f>
        <v>0</v>
      </c>
      <c r="AQ75" s="38">
        <f>IF(AND($A75&gt;=AQ$8,$A75&lt;=AQ$9),IF(SUM(AQ$10:AQ74)-ROUNDDOWN($K75*AQ$5/100,0)&lt;-AQ$6,-AQ$6-SUM(AQ$10:AQ74),-ROUNDDOWN($K75*AQ$5/100,0)),0)</f>
        <v>0</v>
      </c>
      <c r="AR75" s="38">
        <f>IF(AND($A75&gt;=AR$8,$A75&lt;=AR$9),IF(SUM(AR$10:AR74)-ROUNDDOWN($K75*AR$5/100,0)&lt;-AR$6,-AR$6-SUM(AR$10:AR74),-ROUNDDOWN($K75*AR$5/100,0)),0)</f>
        <v>0</v>
      </c>
      <c r="AS75" s="38">
        <f>IF(SUMIFS(AS$10:AS74,$A$10:$A74,$A75)-ROUNDDOWN($K75*$S75/100,0)&lt;-$S75*1000,-$S75*1000-SUMIFS(AS$10:AS74,$A$10:$A74,$A75),-ROUNDDOWN($K75*$S75/100,0))</f>
        <v>0</v>
      </c>
      <c r="AT75" s="38">
        <f>IF(AND(X75="○",$A75&gt;=AT$8,$A75&lt;=AT$9,K75&gt;=3980),IF(SUM(AT$10:AT74)-ROUNDDOWN($K75*AT$5/100,0)&lt;-AT$6,-AT$6-SUM(AT$10:AT74),-ROUNDDOWN($K75*AT$5/100,0)),0)</f>
        <v>0</v>
      </c>
      <c r="AU75" s="38">
        <f>IF(O75="○",IF(SUM(AU$10:AU74)-ROUNDDOWN($K75*AU$5/100,0)&lt;-AU$6,-AU$6-SUM(AU$10:AU74),-ROUNDDOWN($K75*AU$5/100,0)),0)</f>
        <v>0</v>
      </c>
      <c r="AV75" s="38">
        <f>IF(P75="○",IF(SUM(AV$10:AV74)-ROUNDDOWN($K75*AV$5/100,0)&lt;-AV$6,-AV$6-SUM(AV$10:AV74),-ROUNDDOWN($K75*AV$5/100,0)),0)</f>
        <v>0</v>
      </c>
      <c r="AW75" s="38">
        <f>IF(Q75="○",IF(SUM(AW$10:AW74)-ROUNDDOWN($K75*AW$5/100,0)&lt;-AW$6,-AW$6-SUM(AW$10:AW74),-ROUNDDOWN($K75*AW$5/100,0)),0)</f>
        <v>0</v>
      </c>
      <c r="AX75" s="38">
        <f>IF(R75="○",IF(SUM(AX$10:AX74)-ROUNDDOWN($K75*AX$5/100,0)&lt;-AX$6,-AX$6-SUM(AX$10:AX74),-ROUNDDOWN($K75*AX$5/100,0)),0)</f>
        <v>0</v>
      </c>
      <c r="AY75" s="70">
        <v>0</v>
      </c>
      <c r="AZ75" s="65">
        <f t="shared" si="41"/>
        <v>0</v>
      </c>
      <c r="BA75" s="65">
        <f t="shared" si="42"/>
        <v>0</v>
      </c>
      <c r="BB75" s="70"/>
      <c r="BC75" s="65">
        <f t="shared" si="43"/>
        <v>0</v>
      </c>
      <c r="BD75" s="70">
        <v>0</v>
      </c>
      <c r="BE75" s="65">
        <f t="shared" si="44"/>
        <v>0</v>
      </c>
      <c r="BF75" s="70">
        <v>0</v>
      </c>
      <c r="BG75" s="65">
        <f t="shared" si="45"/>
        <v>0</v>
      </c>
      <c r="BH75" s="70">
        <v>0</v>
      </c>
      <c r="BI75" s="65">
        <f t="shared" si="46"/>
        <v>0</v>
      </c>
      <c r="BJ75" s="38">
        <f>IF(AND(BJ$7="○",$A75&gt;=BJ$8,$A75&lt;=BJ$9),IF(SUM(BJ$10:BJ74)-ROUNDDOWN($M75*BJ$5/100,0)&lt;-BJ$6,-BJ$6-SUM(BJ$10:BJ74),-ROUNDDOWN($M75*BJ$5/100,0)),0)</f>
        <v>0</v>
      </c>
      <c r="BK75" s="38">
        <f>IF(AND(BK$7="○",$A75&gt;=BK$8,$A75&lt;=BK$9),IF(SUM(BK$10:BK74)-ROUNDDOWN($L75*BK$5/100,0)&lt;-BK$6,-BK$6-SUM(BK$10:BK74),-ROUNDDOWN($L75*BK$5/100,0)),0)</f>
        <v>0</v>
      </c>
      <c r="BL75" s="38">
        <f>IF(AND(BL$7="○",$A75&gt;=BL$8,$A75&lt;=BL$9),IF(SUM(BL$10:BL74)-ROUNDDOWN($L75*BL$5/100,0)&lt;-BL$6,-BL$6-SUM(BL$10:BL74),-ROUNDDOWN($L75*BL$5/100,0)),0)</f>
        <v>0</v>
      </c>
      <c r="BM75" s="38">
        <f>IF(AND(BM$7="○",$A75&gt;=BM$8,$A75&lt;=BM$9),IF(SUM(BM$10:BM74)-ROUNDDOWN($M75*BM$5/100,0)&lt;-BM$6,-BM$6-SUM(BM$10:BM74),-ROUNDDOWN($M75*BM$5/100,0)),0)</f>
        <v>0</v>
      </c>
      <c r="BN75" s="38">
        <f>IF(AND(BN$7="○",$A75&gt;=BN$8,$A75&lt;=BN$9),IF(SUM(BN$10:BN74)-ROUNDDOWN($M75*BN$5/100,0)&lt;-BN$6,-BN$6-SUM(BN$10:BN74),-ROUNDDOWN($M75*BN$5/100,0)),0)</f>
        <v>0</v>
      </c>
      <c r="BO75" s="38">
        <f>IF(AND(BO$7="○",$A75&gt;=BO$8,$A75&lt;=BO$9),IF(SUM(BO$10:BO74)-ROUNDDOWN($M75*BO$5/100,0)&lt;-BO$6,-BO$6-SUM(BO$10:BO74),-ROUNDDOWN($M75*BO$5/100,0)),0)</f>
        <v>0</v>
      </c>
      <c r="BP75" s="38">
        <f>IF(AND(BP$7="○",$A75&gt;=BP$8,$A75&lt;=BP$9),IF(SUM(BP$10:BP74)-ROUNDDOWN($M75*BP$5/100,0)&lt;-BP$6,-BP$6-SUM(BP$10:BP74),-ROUNDDOWN($M75*BP$5/100,0)),0)</f>
        <v>0</v>
      </c>
      <c r="BQ75" s="38">
        <f>IF(AND(BQ$7="○",$A75&gt;=BQ$8,$A75&lt;=BQ$9),IF(SUM(BQ$10:BQ74)-ROUNDDOWN($L75*BQ$5/100,0)&lt;-BQ$6,-BQ$6-SUM(BQ$10:BQ74),-ROUNDDOWN($L75*BQ$5/100,0)),0)</f>
        <v>0</v>
      </c>
      <c r="BR75" s="38">
        <f>IF(AND(BR$7="○",$A75&gt;=BR$8,$A75&lt;=BR$9),IF(SUM(BR$10:BR74)-ROUNDDOWN($M75*BR$5/100,0)&lt;-BR$6,-BR$6-SUM(BR$10:BR74),-ROUNDDOWN($M75*BR$5/100,0)),0)</f>
        <v>0</v>
      </c>
      <c r="BS75" s="38">
        <f>IF(AND(BS$7="○",$A75&gt;=BS$8,$A75&lt;=BS$9),IF(SUM(BS$10:BS74)-ROUNDDOWN($M75*BS$5/100,0)&lt;-BS$6,-BS$6-SUM(BS$10:BS74),-ROUNDDOWN($M75*BS$5/100,0)),0)</f>
        <v>0</v>
      </c>
      <c r="BT75" s="38">
        <f>IF(AND(BT$7="○",$A75&gt;=BT$8,$A75&lt;=BT$9),IF(SUM(BT$10:BT74)-ROUNDDOWN($M75*BT$5/100,0)&lt;-BT$6,-BT$6-SUM(BT$10:BT74),-ROUNDDOWN($M75*BT$5/100,0)),0)</f>
        <v>0</v>
      </c>
      <c r="BU75" s="38">
        <f>IF(AND(BU$7="○",$A75&gt;=BU$8,$A75&lt;=BU$9),IF(SUM(BU$10:BU74)-ROUNDDOWN($M75*BU$5/100,0)&lt;-BU$6,-BU$6-SUM(BU$10:BU74),-ROUNDDOWN($M75*BU$5/100,0)),0)</f>
        <v>0</v>
      </c>
      <c r="BV75" s="38">
        <f>IF(AND(BV$7="○",$A75&gt;=BV$8,$A75&lt;=BV$9),IF(SUM(BV$10:BV74)-ROUNDDOWN($M75*BV$5/100,0)&lt;-BV$6,-BV$6-SUM(BV$10:BV74),-ROUNDDOWN($M75*BV$5/100,0)),0)</f>
        <v>0</v>
      </c>
      <c r="BW75" s="38">
        <f>IF(AND(BW$7="○",$A75&gt;=BW$8,$A75&lt;=BW$9),IF(SUM(BW$10:BW74)-ROUNDDOWN($M75*BW$5/100,0)&lt;-BW$6,-BW$6-SUM(BW$10:BW74),-ROUNDDOWN($M75*BW$5/100,0)),0)</f>
        <v>0</v>
      </c>
      <c r="BX75" s="38">
        <f>IF(AND(T75="○",$A75&gt;=BX$8,$A75&lt;=BX$9),IF(SUM(BX$10:BX74)-ROUNDDOWN($K75*BX$5/100,0)&lt;-BX$6,-BX$6-SUM(BX$10:BX74),-ROUNDDOWN($K75*BX$5/100,0)),0)</f>
        <v>0</v>
      </c>
      <c r="BY75" s="38">
        <f>IF(AND(U75="○",$A75&gt;=BY$8,$A75&lt;=BY$9),IF(SUM(BY$10:BY74)-ROUNDDOWN($K75*BY$5/100,0)&lt;-BY$6,-BY$6-SUM(BY$10:BY74),-ROUNDDOWN($K75*BY$5/100,0)),0)</f>
        <v>0</v>
      </c>
      <c r="BZ75" s="38">
        <f>IF(AND(V75="○",$A75&gt;=BZ$8,$A75&lt;=BZ$9),IF(SUM(BZ$10:BZ74)-ROUNDDOWN($K75*BZ$5/100,0)&lt;-BZ$6,-BZ$6-SUM(BZ$10:BZ74),-ROUNDDOWN($K75*BZ$5/100,0)),0)</f>
        <v>0</v>
      </c>
      <c r="CA75" s="38">
        <f>IF(AND(W75="○",$A75&gt;=CA$8,$A75&lt;=CA$9),IF(SUM(CA$10:CA74)-ROUNDDOWN($K75*CA$5/100,0)&lt;-CA$6,-CA$6-SUM(CA$10:CA74),-ROUNDDOWN($K75*CA$5/100,0)),0)</f>
        <v>0</v>
      </c>
      <c r="CB75" s="38"/>
      <c r="CC75" s="38"/>
      <c r="CD75" s="38"/>
      <c r="CE75" s="38"/>
      <c r="CF75" s="38"/>
      <c r="CG75" s="65">
        <f t="shared" si="47"/>
        <v>0</v>
      </c>
      <c r="CH75" s="71">
        <f t="shared" si="48"/>
        <v>0</v>
      </c>
      <c r="CI75" s="1">
        <f t="shared" si="65"/>
        <v>0</v>
      </c>
      <c r="CJ75" s="1"/>
      <c r="CK75" s="2"/>
      <c r="CL75" s="2"/>
      <c r="CM75" s="2"/>
      <c r="CN75" s="2"/>
      <c r="CO75" s="73">
        <f t="shared" si="66"/>
        <v>0</v>
      </c>
      <c r="CP75" s="5">
        <f t="shared" si="67"/>
        <v>0</v>
      </c>
      <c r="CQ75" s="1"/>
      <c r="CR75" s="1">
        <f t="shared" si="68"/>
        <v>0</v>
      </c>
      <c r="CS75" s="1"/>
      <c r="CT75" s="1" t="e">
        <f>INDEX([2]マスタ!$A:$A,MATCH(D75,[2]マスタ!$C:$C,0))</f>
        <v>#N/A</v>
      </c>
      <c r="CU75" s="1" t="str">
        <f t="shared" ca="1" si="69"/>
        <v>20260620_0-0</v>
      </c>
    </row>
    <row r="76" spans="1:99" x14ac:dyDescent="0.4">
      <c r="A76" s="61"/>
      <c r="B76" s="62"/>
      <c r="C76" s="62"/>
      <c r="D76" s="62"/>
      <c r="E76" s="74"/>
      <c r="F76" s="62"/>
      <c r="G76" s="62">
        <v>1</v>
      </c>
      <c r="H76" s="64">
        <f t="shared" ref="H76:H105" si="74">+F76*G76</f>
        <v>0</v>
      </c>
      <c r="I76" s="64"/>
      <c r="J76" s="64"/>
      <c r="K76" s="65">
        <f t="shared" ref="K76:K87" si="75">+ROUNDDOWN((H76+I76)/100,0)*100</f>
        <v>0</v>
      </c>
      <c r="L76" s="65">
        <f t="shared" ref="L76:L105" si="76">+ROUNDDOWN((H76+I76)/1.1/100,0)*100</f>
        <v>0</v>
      </c>
      <c r="M76" s="65">
        <f t="shared" ref="M76:M105" si="77">+ROUNDDOWN((H76+I76)/1.1/200,0)*200</f>
        <v>0</v>
      </c>
      <c r="N76" s="65">
        <f t="shared" ref="N76:N105" si="78">+H76+I76+J76</f>
        <v>0</v>
      </c>
      <c r="O76" s="66" t="str">
        <f t="shared" ref="O76:O105" si="79">IF(OR(WEEKDAY($A76,2)=2,WEEKDAY($A76,2)=4),"○","✕")</f>
        <v>✕</v>
      </c>
      <c r="P76" s="67" t="str">
        <f t="shared" ref="P76:P105" si="80">+IF(MOD(TEXT($A76,"DD"),5)=0,"○","✕")</f>
        <v>○</v>
      </c>
      <c r="Q76" s="67" t="str">
        <f t="shared" ref="Q76:Q87" si="81">+IF((TEXT($A76,"DD")+0)=1,"○","✕")</f>
        <v>✕</v>
      </c>
      <c r="R76" s="67" t="str">
        <f t="shared" ref="R76:R105" si="82">+IF((TEXT($A76,"DD")+0)=18,"○","✕")</f>
        <v>✕</v>
      </c>
      <c r="S76" s="68">
        <v>0</v>
      </c>
      <c r="T76" s="69" t="s">
        <v>85</v>
      </c>
      <c r="U76" s="69" t="s">
        <v>85</v>
      </c>
      <c r="V76" s="69" t="s">
        <v>85</v>
      </c>
      <c r="W76" s="69" t="s">
        <v>85</v>
      </c>
      <c r="X76" s="69" t="s">
        <v>84</v>
      </c>
      <c r="Y76" s="69" t="s">
        <v>85</v>
      </c>
      <c r="Z76" s="69" t="s">
        <v>85</v>
      </c>
      <c r="AA76" s="69" t="s">
        <v>85</v>
      </c>
      <c r="AB76" s="69" t="s">
        <v>85</v>
      </c>
      <c r="AC76" s="69" t="s">
        <v>85</v>
      </c>
      <c r="AD76" s="38" t="str">
        <f>+IF(ISERROR(VLOOKUP($B76,#REF!,1,0)),IF(AND($N76&gt;=1000,$A76&gt;=AO$8,$A76&lt;=AO$9),$B76,""),"")</f>
        <v/>
      </c>
      <c r="AE76" s="38" t="str">
        <f>+IF(ISERROR(VLOOKUP($B76,#REF!,1,0)),IF(AND($N76&gt;=1000,$A76&gt;=AP$8,$A76&lt;=AP$9),$B76,""),"")</f>
        <v/>
      </c>
      <c r="AF76" s="38" t="str">
        <f>+IF(ISERROR(VLOOKUP($B76,#REF!,1,0)),IF(AND($N76&gt;=1000,$A76&gt;=AQ$8,$A76&lt;=AQ$9),$B76,""),"")</f>
        <v/>
      </c>
      <c r="AG76" s="38" t="str">
        <f>+IF(ISERROR(VLOOKUP($B76,#REF!,1,0)),IF(AND($N76&gt;=1000,$A76&gt;=AR$8,$A76&lt;=AR$9),$B76,""),"")</f>
        <v/>
      </c>
      <c r="AH76" s="38"/>
      <c r="AI76" s="70">
        <v>0</v>
      </c>
      <c r="AJ76" s="38">
        <f>IF(AND(AJ$7="○",$A76&gt;=AJ$8,$A76&lt;=AJ$9),IF(SUM(AJ$10:AJ75)-ROUNDDOWN($K76*AJ$5/100,0)&lt;-AJ$6,-AJ$6-SUM(AJ$10:AJ75),-ROUNDDOWN($K76*AJ$5/100,0)),0)</f>
        <v>0</v>
      </c>
      <c r="AK76" s="38">
        <f>IF(AND(AK$7="○",$A76&gt;=AK$8,$A76&lt;=AK$9),IF(SUM(AK$10:AK75)-ROUNDDOWN($L76*AK$5/100,0)&lt;-AK$6,-AK$6-SUM(AK$10:AK75),-ROUNDDOWN($L76*AK$5/100,0)),0)</f>
        <v>0</v>
      </c>
      <c r="AL76" s="38">
        <f>IF(AND(AL$7="○",$A76&gt;=AL$8,$A76&lt;=AL$9),IF(SUM(AL$10:AL75)-ROUNDDOWN($N76*AL$5/100,0)&lt;-AL$6,-AL$6-SUM(AL$10:AL75),-ROUNDDOWN($N76*AL$5/100,0)),0)</f>
        <v>0</v>
      </c>
      <c r="AM76" s="38">
        <f>IF(AND(AM$7="○",$A76&gt;=AM$8,$A76&lt;=AM$9),IF(SUM(AM$10:AM75)-ROUNDDOWN($L76*AM$5/100,0)&lt;-AM$6,-AM$6-SUM(AM$10:AM75),-ROUNDDOWN($L76*AM$5/100,0)),0)</f>
        <v>0</v>
      </c>
      <c r="AN76" s="38">
        <f>IF(AND(AN$7="○",$A76&gt;=AN$8,$A76&lt;=AN$9),IF(SUM(AN$10:AN75)-ROUNDDOWN($M76*AN$5/100,0)&lt;-AN$6,-AN$6-SUM(AN$10:AN75),-ROUNDDOWN($M76*AN$5/100,0)),0)</f>
        <v>0</v>
      </c>
      <c r="AO76" s="38">
        <f>IF(AND($A76&gt;=AO$8,$A76&lt;=AO$9),IF(SUM(AO$10:AO75)-ROUNDDOWN($K76*AO$5/100,0)&lt;-AO$6,-AO$6-SUM(AO$10:AO75),-ROUNDDOWN($K76*AO$5/100,0)),0)</f>
        <v>0</v>
      </c>
      <c r="AP76" s="38">
        <f>IF(AND($A76&gt;=AP$8,$A76&lt;=AP$9),IF(SUM(AP$10:AP75)-ROUNDDOWN($K76*AP$5/100,0)&lt;-AP$6,-AP$6-SUM(AP$10:AP75),-ROUNDDOWN($K76*AP$5/100,0)),0)</f>
        <v>0</v>
      </c>
      <c r="AQ76" s="38">
        <f>IF(AND($A76&gt;=AQ$8,$A76&lt;=AQ$9),IF(SUM(AQ$10:AQ75)-ROUNDDOWN($K76*AQ$5/100,0)&lt;-AQ$6,-AQ$6-SUM(AQ$10:AQ75),-ROUNDDOWN($K76*AQ$5/100,0)),0)</f>
        <v>0</v>
      </c>
      <c r="AR76" s="38">
        <f>IF(AND($A76&gt;=AR$8,$A76&lt;=AR$9),IF(SUM(AR$10:AR75)-ROUNDDOWN($K76*AR$5/100,0)&lt;-AR$6,-AR$6-SUM(AR$10:AR75),-ROUNDDOWN($K76*AR$5/100,0)),0)</f>
        <v>0</v>
      </c>
      <c r="AS76" s="38">
        <f>IF(SUMIFS(AS$10:AS75,$A$10:$A75,$A76)-ROUNDDOWN($K76*$S76/100,0)&lt;-$S76*1000,-$S76*1000-SUMIFS(AS$10:AS75,$A$10:$A75,$A76),-ROUNDDOWN($K76*$S76/100,0))</f>
        <v>0</v>
      </c>
      <c r="AT76" s="38">
        <f>IF(AND(X76="○",$A76&gt;=AT$8,$A76&lt;=AT$9,K76&gt;=3980),IF(SUM(AT$10:AT75)-ROUNDDOWN($K76*AT$5/100,0)&lt;-AT$6,-AT$6-SUM(AT$10:AT75),-ROUNDDOWN($K76*AT$5/100,0)),0)</f>
        <v>0</v>
      </c>
      <c r="AU76" s="38">
        <f>IF(O76="○",IF(SUM(AU$10:AU75)-ROUNDDOWN($K76*AU$5/100,0)&lt;-AU$6,-AU$6-SUM(AU$10:AU75),-ROUNDDOWN($K76*AU$5/100,0)),0)</f>
        <v>0</v>
      </c>
      <c r="AV76" s="38">
        <f>IF(P76="○",IF(SUM(AV$10:AV75)-ROUNDDOWN($K76*AV$5/100,0)&lt;-AV$6,-AV$6-SUM(AV$10:AV75),-ROUNDDOWN($K76*AV$5/100,0)),0)</f>
        <v>0</v>
      </c>
      <c r="AW76" s="38">
        <f>IF(Q76="○",IF(SUM(AW$10:AW75)-ROUNDDOWN($K76*AW$5/100,0)&lt;-AW$6,-AW$6-SUM(AW$10:AW75),-ROUNDDOWN($K76*AW$5/100,0)),0)</f>
        <v>0</v>
      </c>
      <c r="AX76" s="38">
        <f>IF(R76="○",IF(SUM(AX$10:AX75)-ROUNDDOWN($K76*AX$5/100,0)&lt;-AX$6,-AX$6-SUM(AX$10:AX75),-ROUNDDOWN($K76*AX$5/100,0)),0)</f>
        <v>0</v>
      </c>
      <c r="AY76" s="70">
        <v>0</v>
      </c>
      <c r="AZ76" s="65">
        <f t="shared" si="41"/>
        <v>0</v>
      </c>
      <c r="BA76" s="65">
        <f t="shared" si="42"/>
        <v>0</v>
      </c>
      <c r="BB76" s="70"/>
      <c r="BC76" s="65">
        <f t="shared" si="43"/>
        <v>0</v>
      </c>
      <c r="BD76" s="70">
        <v>0</v>
      </c>
      <c r="BE76" s="65">
        <f t="shared" si="44"/>
        <v>0</v>
      </c>
      <c r="BF76" s="70">
        <v>0</v>
      </c>
      <c r="BG76" s="65">
        <f t="shared" si="45"/>
        <v>0</v>
      </c>
      <c r="BH76" s="70">
        <v>0</v>
      </c>
      <c r="BI76" s="65">
        <f t="shared" si="46"/>
        <v>0</v>
      </c>
      <c r="BJ76" s="38">
        <f>IF(AND(BJ$7="○",$A76&gt;=BJ$8,$A76&lt;=BJ$9),IF(SUM(BJ$10:BJ75)-ROUNDDOWN($M76*BJ$5/100,0)&lt;-BJ$6,-BJ$6-SUM(BJ$10:BJ75),-ROUNDDOWN($M76*BJ$5/100,0)),0)</f>
        <v>0</v>
      </c>
      <c r="BK76" s="38">
        <f>IF(AND(BK$7="○",$A76&gt;=BK$8,$A76&lt;=BK$9),IF(SUM(BK$10:BK75)-ROUNDDOWN($L76*BK$5/100,0)&lt;-BK$6,-BK$6-SUM(BK$10:BK75),-ROUNDDOWN($L76*BK$5/100,0)),0)</f>
        <v>0</v>
      </c>
      <c r="BL76" s="38">
        <f>IF(AND(BL$7="○",$A76&gt;=BL$8,$A76&lt;=BL$9),IF(SUM(BL$10:BL75)-ROUNDDOWN($L76*BL$5/100,0)&lt;-BL$6,-BL$6-SUM(BL$10:BL75),-ROUNDDOWN($L76*BL$5/100,0)),0)</f>
        <v>0</v>
      </c>
      <c r="BM76" s="38">
        <f>IF(AND(BM$7="○",$A76&gt;=BM$8,$A76&lt;=BM$9),IF(SUM(BM$10:BM75)-ROUNDDOWN($M76*BM$5/100,0)&lt;-BM$6,-BM$6-SUM(BM$10:BM75),-ROUNDDOWN($M76*BM$5/100,0)),0)</f>
        <v>0</v>
      </c>
      <c r="BN76" s="38">
        <f>IF(AND(BN$7="○",$A76&gt;=BN$8,$A76&lt;=BN$9),IF(SUM(BN$10:BN75)-ROUNDDOWN($M76*BN$5/100,0)&lt;-BN$6,-BN$6-SUM(BN$10:BN75),-ROUNDDOWN($M76*BN$5/100,0)),0)</f>
        <v>0</v>
      </c>
      <c r="BO76" s="38">
        <f>IF(AND(BO$7="○",$A76&gt;=BO$8,$A76&lt;=BO$9),IF(SUM(BO$10:BO75)-ROUNDDOWN($M76*BO$5/100,0)&lt;-BO$6,-BO$6-SUM(BO$10:BO75),-ROUNDDOWN($M76*BO$5/100,0)),0)</f>
        <v>0</v>
      </c>
      <c r="BP76" s="38">
        <f>IF(AND(BP$7="○",$A76&gt;=BP$8,$A76&lt;=BP$9),IF(SUM(BP$10:BP75)-ROUNDDOWN($M76*BP$5/100,0)&lt;-BP$6,-BP$6-SUM(BP$10:BP75),-ROUNDDOWN($M76*BP$5/100,0)),0)</f>
        <v>0</v>
      </c>
      <c r="BQ76" s="38">
        <f>IF(AND(BQ$7="○",$A76&gt;=BQ$8,$A76&lt;=BQ$9),IF(SUM(BQ$10:BQ75)-ROUNDDOWN($L76*BQ$5/100,0)&lt;-BQ$6,-BQ$6-SUM(BQ$10:BQ75),-ROUNDDOWN($L76*BQ$5/100,0)),0)</f>
        <v>0</v>
      </c>
      <c r="BR76" s="38">
        <f>IF(AND(BR$7="○",$A76&gt;=BR$8,$A76&lt;=BR$9),IF(SUM(BR$10:BR75)-ROUNDDOWN($M76*BR$5/100,0)&lt;-BR$6,-BR$6-SUM(BR$10:BR75),-ROUNDDOWN($M76*BR$5/100,0)),0)</f>
        <v>0</v>
      </c>
      <c r="BS76" s="38">
        <f>IF(AND(BS$7="○",$A76&gt;=BS$8,$A76&lt;=BS$9),IF(SUM(BS$10:BS75)-ROUNDDOWN($M76*BS$5/100,0)&lt;-BS$6,-BS$6-SUM(BS$10:BS75),-ROUNDDOWN($M76*BS$5/100,0)),0)</f>
        <v>0</v>
      </c>
      <c r="BT76" s="38">
        <f>IF(AND(BT$7="○",$A76&gt;=BT$8,$A76&lt;=BT$9),IF(SUM(BT$10:BT75)-ROUNDDOWN($M76*BT$5/100,0)&lt;-BT$6,-BT$6-SUM(BT$10:BT75),-ROUNDDOWN($M76*BT$5/100,0)),0)</f>
        <v>0</v>
      </c>
      <c r="BU76" s="38">
        <f>IF(AND(BU$7="○",$A76&gt;=BU$8,$A76&lt;=BU$9),IF(SUM(BU$10:BU75)-ROUNDDOWN($M76*BU$5/100,0)&lt;-BU$6,-BU$6-SUM(BU$10:BU75),-ROUNDDOWN($M76*BU$5/100,0)),0)</f>
        <v>0</v>
      </c>
      <c r="BV76" s="38">
        <f>IF(AND(BV$7="○",$A76&gt;=BV$8,$A76&lt;=BV$9),IF(SUM(BV$10:BV75)-ROUNDDOWN($M76*BV$5/100,0)&lt;-BV$6,-BV$6-SUM(BV$10:BV75),-ROUNDDOWN($M76*BV$5/100,0)),0)</f>
        <v>0</v>
      </c>
      <c r="BW76" s="38">
        <f>IF(AND(BW$7="○",$A76&gt;=BW$8,$A76&lt;=BW$9),IF(SUM(BW$10:BW75)-ROUNDDOWN($M76*BW$5/100,0)&lt;-BW$6,-BW$6-SUM(BW$10:BW75),-ROUNDDOWN($M76*BW$5/100,0)),0)</f>
        <v>0</v>
      </c>
      <c r="BX76" s="38">
        <f>IF(AND(T76="○",$A76&gt;=BX$8,$A76&lt;=BX$9),IF(SUM(BX$10:BX75)-ROUNDDOWN($K76*BX$5/100,0)&lt;-BX$6,-BX$6-SUM(BX$10:BX75),-ROUNDDOWN($K76*BX$5/100,0)),0)</f>
        <v>0</v>
      </c>
      <c r="BY76" s="38">
        <f>IF(AND(U76="○",$A76&gt;=BY$8,$A76&lt;=BY$9),IF(SUM(BY$10:BY75)-ROUNDDOWN($K76*BY$5/100,0)&lt;-BY$6,-BY$6-SUM(BY$10:BY75),-ROUNDDOWN($K76*BY$5/100,0)),0)</f>
        <v>0</v>
      </c>
      <c r="BZ76" s="38">
        <f>IF(AND(V76="○",$A76&gt;=BZ$8,$A76&lt;=BZ$9),IF(SUM(BZ$10:BZ75)-ROUNDDOWN($K76*BZ$5/100,0)&lt;-BZ$6,-BZ$6-SUM(BZ$10:BZ75),-ROUNDDOWN($K76*BZ$5/100,0)),0)</f>
        <v>0</v>
      </c>
      <c r="CA76" s="38">
        <f>IF(AND(W76="○",$A76&gt;=CA$8,$A76&lt;=CA$9),IF(SUM(CA$10:CA75)-ROUNDDOWN($K76*CA$5/100,0)&lt;-CA$6,-CA$6-SUM(CA$10:CA75),-ROUNDDOWN($K76*CA$5/100,0)),0)</f>
        <v>0</v>
      </c>
      <c r="CB76" s="38"/>
      <c r="CC76" s="38"/>
      <c r="CD76" s="38"/>
      <c r="CE76" s="38"/>
      <c r="CF76" s="38"/>
      <c r="CG76" s="65">
        <f t="shared" si="47"/>
        <v>0</v>
      </c>
      <c r="CH76" s="71">
        <f t="shared" si="48"/>
        <v>0</v>
      </c>
      <c r="CI76" s="1">
        <f t="shared" ref="CI76:CI105" si="83">IFERROR(ROUNDDOWN((CH76/G76),0),0)</f>
        <v>0</v>
      </c>
      <c r="CJ76" s="1"/>
      <c r="CK76" s="72"/>
      <c r="CL76" s="72"/>
      <c r="CM76" s="2"/>
      <c r="CN76" s="2"/>
      <c r="CO76" s="73">
        <f t="shared" ref="CO76:CO105" si="84">IFERROR(CN76-CI76,0)</f>
        <v>0</v>
      </c>
      <c r="CP76" s="5">
        <f t="shared" ref="CP76:CP105" si="85">IFERROR(CN76/CI76,0)</f>
        <v>0</v>
      </c>
      <c r="CQ76" s="1"/>
      <c r="CR76" s="1">
        <f t="shared" ref="CR76:CR105" si="86">+CO76*G76</f>
        <v>0</v>
      </c>
      <c r="CS76" s="1"/>
      <c r="CT76" s="1" t="e">
        <f>INDEX([2]マスタ!$A:$A,MATCH(D76,[2]マスタ!$C:$C,0))</f>
        <v>#N/A</v>
      </c>
      <c r="CU76" s="1" t="str">
        <f t="shared" ref="CU76:CU105" ca="1" si="87">IFERROR(TEXT(TODAY(),"yyyymmdd")&amp;"_"&amp;ROUNDDOWN(H76+I76,0)&amp;"-"&amp;ROUNDDOWN(CI76,0),"")</f>
        <v>20260620_0-0</v>
      </c>
    </row>
    <row r="77" spans="1:99" x14ac:dyDescent="0.4">
      <c r="A77" s="61"/>
      <c r="B77" s="62"/>
      <c r="C77" s="62"/>
      <c r="D77" s="62"/>
      <c r="E77" s="76"/>
      <c r="F77" s="62"/>
      <c r="G77" s="62">
        <v>1</v>
      </c>
      <c r="H77" s="64">
        <f t="shared" si="74"/>
        <v>0</v>
      </c>
      <c r="I77" s="64"/>
      <c r="J77" s="64"/>
      <c r="K77" s="65">
        <f t="shared" si="75"/>
        <v>0</v>
      </c>
      <c r="L77" s="65">
        <f t="shared" si="76"/>
        <v>0</v>
      </c>
      <c r="M77" s="65">
        <f t="shared" si="77"/>
        <v>0</v>
      </c>
      <c r="N77" s="65">
        <f t="shared" si="78"/>
        <v>0</v>
      </c>
      <c r="O77" s="66" t="str">
        <f t="shared" si="79"/>
        <v>✕</v>
      </c>
      <c r="P77" s="67" t="str">
        <f t="shared" si="80"/>
        <v>○</v>
      </c>
      <c r="Q77" s="67" t="str">
        <f t="shared" si="81"/>
        <v>✕</v>
      </c>
      <c r="R77" s="67" t="str">
        <f t="shared" si="82"/>
        <v>✕</v>
      </c>
      <c r="S77" s="68">
        <v>0</v>
      </c>
      <c r="T77" s="69" t="s">
        <v>85</v>
      </c>
      <c r="U77" s="69" t="s">
        <v>85</v>
      </c>
      <c r="V77" s="69" t="s">
        <v>85</v>
      </c>
      <c r="W77" s="69" t="s">
        <v>85</v>
      </c>
      <c r="X77" s="69" t="s">
        <v>84</v>
      </c>
      <c r="Y77" s="69" t="s">
        <v>85</v>
      </c>
      <c r="Z77" s="69" t="s">
        <v>85</v>
      </c>
      <c r="AA77" s="69" t="s">
        <v>85</v>
      </c>
      <c r="AB77" s="69" t="s">
        <v>85</v>
      </c>
      <c r="AC77" s="69" t="s">
        <v>85</v>
      </c>
      <c r="AD77" s="38" t="str">
        <f>+IF(ISERROR(VLOOKUP($B77,AD$10:AD76,1,0)),IF(AND($N77&gt;=1000,$A77&gt;=AO$8,$A77&lt;=AO$9),$B77,""),"")</f>
        <v/>
      </c>
      <c r="AE77" s="38" t="str">
        <f>+IF(ISERROR(VLOOKUP($B77,AE$10:AE76,1,0)),IF(AND($N77&gt;=1000,$A77&gt;=AP$8,$A77&lt;=AP$9),$B77,""),"")</f>
        <v/>
      </c>
      <c r="AF77" s="38" t="str">
        <f>+IF(ISERROR(VLOOKUP($B77,AF$10:AF76,1,0)),IF(AND($N77&gt;=1000,$A77&gt;=AQ$8,$A77&lt;=AQ$9),$B77,""),"")</f>
        <v/>
      </c>
      <c r="AG77" s="38" t="str">
        <f>+IF(ISERROR(VLOOKUP($B77,AG$10:AG76,1,0)),IF(AND($N77&gt;=1000,$A77&gt;=AR$8,$A77&lt;=AR$9),$B77,""),"")</f>
        <v/>
      </c>
      <c r="AH77" s="38"/>
      <c r="AI77" s="70">
        <v>0</v>
      </c>
      <c r="AJ77" s="38">
        <f>IF(AND(AJ$7="○",$A77&gt;=AJ$8,$A77&lt;=AJ$9),IF(SUM(AJ$10:AJ76)-ROUNDDOWN($K77*AJ$5/100,0)&lt;-AJ$6,-AJ$6-SUM(AJ$10:AJ76),-ROUNDDOWN($K77*AJ$5/100,0)),0)</f>
        <v>0</v>
      </c>
      <c r="AK77" s="38">
        <f>IF(AND(AK$7="○",$A77&gt;=AK$8,$A77&lt;=AK$9),IF(SUM(AK$10:AK76)-ROUNDDOWN($L77*AK$5/100,0)&lt;-AK$6,-AK$6-SUM(AK$10:AK76),-ROUNDDOWN($L77*AK$5/100,0)),0)</f>
        <v>0</v>
      </c>
      <c r="AL77" s="38">
        <f>IF(AND(AL$7="○",$A77&gt;=AL$8,$A77&lt;=AL$9),IF(SUM(AL$10:AL76)-ROUNDDOWN($N77*AL$5/100,0)&lt;-AL$6,-AL$6-SUM(AL$10:AL76),-ROUNDDOWN($N77*AL$5/100,0)),0)</f>
        <v>0</v>
      </c>
      <c r="AM77" s="38">
        <f>IF(AND(AM$7="○",$A77&gt;=AM$8,$A77&lt;=AM$9),IF(SUM(AM$10:AM76)-ROUNDDOWN($L77*AM$5/100,0)&lt;-AM$6,-AM$6-SUM(AM$10:AM76),-ROUNDDOWN($L77*AM$5/100,0)),0)</f>
        <v>0</v>
      </c>
      <c r="AN77" s="38">
        <f>IF(AND(AN$7="○",$A77&gt;=AN$8,$A77&lt;=AN$9),IF(SUM(AN$10:AN76)-ROUNDDOWN($M77*AN$5/100,0)&lt;-AN$6,-AN$6-SUM(AN$10:AN76),-ROUNDDOWN($M77*AN$5/100,0)),0)</f>
        <v>0</v>
      </c>
      <c r="AO77" s="38">
        <f>IF(AND($A77&gt;=AO$8,$A77&lt;=AO$9),IF(SUM(AO$10:AO76)-ROUNDDOWN($K77*AO$5/100,0)&lt;-AO$6,-AO$6-SUM(AO$10:AO76),-ROUNDDOWN($K77*AO$5/100,0)),0)</f>
        <v>0</v>
      </c>
      <c r="AP77" s="38">
        <f>IF(AND($A77&gt;=AP$8,$A77&lt;=AP$9),IF(SUM(AP$10:AP76)-ROUNDDOWN($K77*AP$5/100,0)&lt;-AP$6,-AP$6-SUM(AP$10:AP76),-ROUNDDOWN($K77*AP$5/100,0)),0)</f>
        <v>0</v>
      </c>
      <c r="AQ77" s="38">
        <f>IF(AND($A77&gt;=AQ$8,$A77&lt;=AQ$9),IF(SUM(AQ$10:AQ76)-ROUNDDOWN($K77*AQ$5/100,0)&lt;-AQ$6,-AQ$6-SUM(AQ$10:AQ76),-ROUNDDOWN($K77*AQ$5/100,0)),0)</f>
        <v>0</v>
      </c>
      <c r="AR77" s="38">
        <f>IF(AND($A77&gt;=AR$8,$A77&lt;=AR$9),IF(SUM(AR$10:AR76)-ROUNDDOWN($K77*AR$5/100,0)&lt;-AR$6,-AR$6-SUM(AR$10:AR76),-ROUNDDOWN($K77*AR$5/100,0)),0)</f>
        <v>0</v>
      </c>
      <c r="AS77" s="38">
        <f>IF(SUMIFS(AS$10:AS76,$A$10:$A76,$A77)-ROUNDDOWN($K77*$S77/100,0)&lt;-$S77*1000,-$S77*1000-SUMIFS(AS$10:AS76,$A$10:$A76,$A77),-ROUNDDOWN($K77*$S77/100,0))</f>
        <v>0</v>
      </c>
      <c r="AT77" s="38">
        <f>IF(AND(X77="○",$A77&gt;=AT$8,$A77&lt;=AT$9,K77&gt;=3980),IF(SUM(AT$10:AT76)-ROUNDDOWN($K77*AT$5/100,0)&lt;-AT$6,-AT$6-SUM(AT$10:AT76),-ROUNDDOWN($K77*AT$5/100,0)),0)</f>
        <v>0</v>
      </c>
      <c r="AU77" s="38">
        <f>IF(O77="○",IF(SUM(AU$10:AU76)-ROUNDDOWN($K77*AU$5/100,0)&lt;-AU$6,-AU$6-SUM(AU$10:AU76),-ROUNDDOWN($K77*AU$5/100,0)),0)</f>
        <v>0</v>
      </c>
      <c r="AV77" s="38">
        <f>IF(P77="○",IF(SUM(AV$10:AV76)-ROUNDDOWN($K77*AV$5/100,0)&lt;-AV$6,-AV$6-SUM(AV$10:AV76),-ROUNDDOWN($K77*AV$5/100,0)),0)</f>
        <v>0</v>
      </c>
      <c r="AW77" s="38">
        <f>IF(Q77="○",IF(SUM(AW$10:AW76)-ROUNDDOWN($K77*AW$5/100,0)&lt;-AW$6,-AW$6-SUM(AW$10:AW76),-ROUNDDOWN($K77*AW$5/100,0)),0)</f>
        <v>0</v>
      </c>
      <c r="AX77" s="38">
        <f>IF(R77="○",IF(SUM(AX$10:AX76)-ROUNDDOWN($K77*AX$5/100,0)&lt;-AX$6,-AX$6-SUM(AX$10:AX76),-ROUNDDOWN($K77*AX$5/100,0)),0)</f>
        <v>0</v>
      </c>
      <c r="AY77" s="70">
        <v>0</v>
      </c>
      <c r="AZ77" s="65">
        <f t="shared" si="41"/>
        <v>0</v>
      </c>
      <c r="BA77" s="65">
        <f t="shared" si="42"/>
        <v>0</v>
      </c>
      <c r="BB77" s="70"/>
      <c r="BC77" s="65">
        <f t="shared" si="43"/>
        <v>0</v>
      </c>
      <c r="BD77" s="70">
        <v>0</v>
      </c>
      <c r="BE77" s="65">
        <f t="shared" si="44"/>
        <v>0</v>
      </c>
      <c r="BF77" s="70">
        <v>0</v>
      </c>
      <c r="BG77" s="65">
        <f t="shared" si="45"/>
        <v>0</v>
      </c>
      <c r="BH77" s="70">
        <v>0</v>
      </c>
      <c r="BI77" s="65">
        <f t="shared" si="46"/>
        <v>0</v>
      </c>
      <c r="BJ77" s="38">
        <f>IF(AND(BJ$7="○",$A77&gt;=BJ$8,$A77&lt;=BJ$9),IF(SUM(BJ$10:BJ76)-ROUNDDOWN($M77*BJ$5/100,0)&lt;-BJ$6,-BJ$6-SUM(BJ$10:BJ76),-ROUNDDOWN($M77*BJ$5/100,0)),0)</f>
        <v>0</v>
      </c>
      <c r="BK77" s="38">
        <f>IF(AND(BK$7="○",$A77&gt;=BK$8,$A77&lt;=BK$9),IF(SUM(BK$10:BK76)-ROUNDDOWN($L77*BK$5/100,0)&lt;-BK$6,-BK$6-SUM(BK$10:BK76),-ROUNDDOWN($L77*BK$5/100,0)),0)</f>
        <v>0</v>
      </c>
      <c r="BL77" s="38">
        <f>IF(AND(BL$7="○",$A77&gt;=BL$8,$A77&lt;=BL$9),IF(SUM(BL$10:BL76)-ROUNDDOWN($L77*BL$5/100,0)&lt;-BL$6,-BL$6-SUM(BL$10:BL76),-ROUNDDOWN($L77*BL$5/100,0)),0)</f>
        <v>0</v>
      </c>
      <c r="BM77" s="38">
        <f>IF(AND(BM$7="○",$A77&gt;=BM$8,$A77&lt;=BM$9),IF(SUM(BM$10:BM76)-ROUNDDOWN($M77*BM$5/100,0)&lt;-BM$6,-BM$6-SUM(BM$10:BM76),-ROUNDDOWN($M77*BM$5/100,0)),0)</f>
        <v>0</v>
      </c>
      <c r="BN77" s="38">
        <f>IF(AND(BN$7="○",$A77&gt;=BN$8,$A77&lt;=BN$9),IF(SUM(BN$10:BN76)-ROUNDDOWN($M77*BN$5/100,0)&lt;-BN$6,-BN$6-SUM(BN$10:BN76),-ROUNDDOWN($M77*BN$5/100,0)),0)</f>
        <v>0</v>
      </c>
      <c r="BO77" s="38">
        <f>IF(AND(BO$7="○",$A77&gt;=BO$8,$A77&lt;=BO$9),IF(SUM(BO$10:BO76)-ROUNDDOWN($M77*BO$5/100,0)&lt;-BO$6,-BO$6-SUM(BO$10:BO76),-ROUNDDOWN($M77*BO$5/100,0)),0)</f>
        <v>0</v>
      </c>
      <c r="BP77" s="38">
        <f>IF(AND(BP$7="○",$A77&gt;=BP$8,$A77&lt;=BP$9),IF(SUM(BP$10:BP76)-ROUNDDOWN($M77*BP$5/100,0)&lt;-BP$6,-BP$6-SUM(BP$10:BP76),-ROUNDDOWN($M77*BP$5/100,0)),0)</f>
        <v>0</v>
      </c>
      <c r="BQ77" s="38">
        <f>IF(AND(BQ$7="○",$A77&gt;=BQ$8,$A77&lt;=BQ$9),IF(SUM(BQ$10:BQ76)-ROUNDDOWN($L77*BQ$5/100,0)&lt;-BQ$6,-BQ$6-SUM(BQ$10:BQ76),-ROUNDDOWN($L77*BQ$5/100,0)),0)</f>
        <v>0</v>
      </c>
      <c r="BR77" s="38">
        <f>IF(AND(BR$7="○",$A77&gt;=BR$8,$A77&lt;=BR$9),IF(SUM(BR$10:BR76)-ROUNDDOWN($M77*BR$5/100,0)&lt;-BR$6,-BR$6-SUM(BR$10:BR76),-ROUNDDOWN($M77*BR$5/100,0)),0)</f>
        <v>0</v>
      </c>
      <c r="BS77" s="38">
        <f>IF(AND(BS$7="○",$A77&gt;=BS$8,$A77&lt;=BS$9),IF(SUM(BS$10:BS76)-ROUNDDOWN($M77*BS$5/100,0)&lt;-BS$6,-BS$6-SUM(BS$10:BS76),-ROUNDDOWN($M77*BS$5/100,0)),0)</f>
        <v>0</v>
      </c>
      <c r="BT77" s="38">
        <f>IF(AND(BT$7="○",$A77&gt;=BT$8,$A77&lt;=BT$9),IF(SUM(BT$10:BT76)-ROUNDDOWN($M77*BT$5/100,0)&lt;-BT$6,-BT$6-SUM(BT$10:BT76),-ROUNDDOWN($M77*BT$5/100,0)),0)</f>
        <v>0</v>
      </c>
      <c r="BU77" s="38">
        <f>IF(AND(BU$7="○",$A77&gt;=BU$8,$A77&lt;=BU$9),IF(SUM(BU$10:BU76)-ROUNDDOWN($M77*BU$5/100,0)&lt;-BU$6,-BU$6-SUM(BU$10:BU76),-ROUNDDOWN($M77*BU$5/100,0)),0)</f>
        <v>0</v>
      </c>
      <c r="BV77" s="38">
        <f>IF(AND(BV$7="○",$A77&gt;=BV$8,$A77&lt;=BV$9),IF(SUM(BV$10:BV76)-ROUNDDOWN($M77*BV$5/100,0)&lt;-BV$6,-BV$6-SUM(BV$10:BV76),-ROUNDDOWN($M77*BV$5/100,0)),0)</f>
        <v>0</v>
      </c>
      <c r="BW77" s="38">
        <f>IF(AND(BW$7="○",$A77&gt;=BW$8,$A77&lt;=BW$9),IF(SUM(BW$10:BW76)-ROUNDDOWN($M77*BW$5/100,0)&lt;-BW$6,-BW$6-SUM(BW$10:BW76),-ROUNDDOWN($M77*BW$5/100,0)),0)</f>
        <v>0</v>
      </c>
      <c r="BX77" s="38">
        <f>IF(AND(T77="○",$A77&gt;=BX$8,$A77&lt;=BX$9),IF(SUM(BX$10:BX76)-ROUNDDOWN($K77*BX$5/100,0)&lt;-BX$6,-BX$6-SUM(BX$10:BX76),-ROUNDDOWN($K77*BX$5/100,0)),0)</f>
        <v>0</v>
      </c>
      <c r="BY77" s="38">
        <f>IF(AND(U77="○",$A77&gt;=BY$8,$A77&lt;=BY$9),IF(SUM(BY$10:BY76)-ROUNDDOWN($K77*BY$5/100,0)&lt;-BY$6,-BY$6-SUM(BY$10:BY76),-ROUNDDOWN($K77*BY$5/100,0)),0)</f>
        <v>0</v>
      </c>
      <c r="BZ77" s="38">
        <f>IF(AND(V77="○",$A77&gt;=BZ$8,$A77&lt;=BZ$9),IF(SUM(BZ$10:BZ76)-ROUNDDOWN($K77*BZ$5/100,0)&lt;-BZ$6,-BZ$6-SUM(BZ$10:BZ76),-ROUNDDOWN($K77*BZ$5/100,0)),0)</f>
        <v>0</v>
      </c>
      <c r="CA77" s="38">
        <f>IF(AND(W77="○",$A77&gt;=CA$8,$A77&lt;=CA$9),IF(SUM(CA$10:CA76)-ROUNDDOWN($K77*CA$5/100,0)&lt;-CA$6,-CA$6-SUM(CA$10:CA76),-ROUNDDOWN($K77*CA$5/100,0)),0)</f>
        <v>0</v>
      </c>
      <c r="CB77" s="38"/>
      <c r="CC77" s="38"/>
      <c r="CD77" s="38"/>
      <c r="CE77" s="38"/>
      <c r="CF77" s="38"/>
      <c r="CG77" s="65">
        <f t="shared" si="47"/>
        <v>0</v>
      </c>
      <c r="CH77" s="71">
        <f t="shared" si="48"/>
        <v>0</v>
      </c>
      <c r="CI77" s="1">
        <f t="shared" si="83"/>
        <v>0</v>
      </c>
      <c r="CJ77" s="1"/>
      <c r="CK77" s="72"/>
      <c r="CL77" s="72"/>
      <c r="CM77" s="2"/>
      <c r="CN77" s="2"/>
      <c r="CO77" s="73">
        <f t="shared" si="84"/>
        <v>0</v>
      </c>
      <c r="CP77" s="5">
        <f t="shared" si="85"/>
        <v>0</v>
      </c>
      <c r="CQ77" s="1"/>
      <c r="CR77" s="1">
        <f t="shared" si="86"/>
        <v>0</v>
      </c>
      <c r="CS77" s="1"/>
      <c r="CT77" s="1" t="e">
        <f>INDEX([2]マスタ!$A:$A,MATCH(D77,[2]マスタ!$C:$C,0))</f>
        <v>#N/A</v>
      </c>
      <c r="CU77" s="1" t="str">
        <f t="shared" ca="1" si="87"/>
        <v>20260620_0-0</v>
      </c>
    </row>
    <row r="78" spans="1:99" x14ac:dyDescent="0.4">
      <c r="A78" s="61"/>
      <c r="B78" s="62"/>
      <c r="C78" s="62"/>
      <c r="D78" s="62"/>
      <c r="E78" s="63"/>
      <c r="F78" s="62"/>
      <c r="G78" s="62">
        <v>1</v>
      </c>
      <c r="H78" s="64">
        <f t="shared" si="74"/>
        <v>0</v>
      </c>
      <c r="I78" s="64"/>
      <c r="J78" s="64"/>
      <c r="K78" s="65">
        <f t="shared" si="75"/>
        <v>0</v>
      </c>
      <c r="L78" s="65">
        <f t="shared" si="76"/>
        <v>0</v>
      </c>
      <c r="M78" s="65">
        <f t="shared" si="77"/>
        <v>0</v>
      </c>
      <c r="N78" s="65">
        <f t="shared" si="78"/>
        <v>0</v>
      </c>
      <c r="O78" s="66" t="str">
        <f t="shared" si="79"/>
        <v>✕</v>
      </c>
      <c r="P78" s="67" t="str">
        <f t="shared" si="80"/>
        <v>○</v>
      </c>
      <c r="Q78" s="67" t="str">
        <f t="shared" si="81"/>
        <v>✕</v>
      </c>
      <c r="R78" s="67" t="str">
        <f t="shared" si="82"/>
        <v>✕</v>
      </c>
      <c r="S78" s="68">
        <v>0</v>
      </c>
      <c r="T78" s="69" t="s">
        <v>85</v>
      </c>
      <c r="U78" s="69" t="s">
        <v>85</v>
      </c>
      <c r="V78" s="69" t="s">
        <v>85</v>
      </c>
      <c r="W78" s="69" t="s">
        <v>85</v>
      </c>
      <c r="X78" s="69" t="s">
        <v>84</v>
      </c>
      <c r="Y78" s="69" t="s">
        <v>85</v>
      </c>
      <c r="Z78" s="69" t="s">
        <v>85</v>
      </c>
      <c r="AA78" s="69" t="s">
        <v>85</v>
      </c>
      <c r="AB78" s="69" t="s">
        <v>85</v>
      </c>
      <c r="AC78" s="69" t="s">
        <v>85</v>
      </c>
      <c r="AD78" s="38" t="str">
        <f>+IF(ISERROR(VLOOKUP($B78,AD$10:AD77,1,0)),IF(AND($N78&gt;=1000,$A78&gt;=AO$8,$A78&lt;=AO$9),$B78,""),"")</f>
        <v/>
      </c>
      <c r="AE78" s="38" t="str">
        <f>+IF(ISERROR(VLOOKUP($B78,AE$10:AE77,1,0)),IF(AND($N78&gt;=1000,$A78&gt;=AP$8,$A78&lt;=AP$9),$B78,""),"")</f>
        <v/>
      </c>
      <c r="AF78" s="38" t="str">
        <f>+IF(ISERROR(VLOOKUP($B78,AF$10:AF77,1,0)),IF(AND($N78&gt;=1000,$A78&gt;=AQ$8,$A78&lt;=AQ$9),$B78,""),"")</f>
        <v/>
      </c>
      <c r="AG78" s="38" t="str">
        <f>+IF(ISERROR(VLOOKUP($B78,AG$10:AG77,1,0)),IF(AND($N78&gt;=1000,$A78&gt;=AR$8,$A78&lt;=AR$9),$B78,""),"")</f>
        <v/>
      </c>
      <c r="AH78" s="38"/>
      <c r="AI78" s="70">
        <v>0</v>
      </c>
      <c r="AJ78" s="38">
        <f>IF(AND(AJ$7="○",$A78&gt;=AJ$8,$A78&lt;=AJ$9),IF(SUM(AJ$10:AJ77)-ROUNDDOWN($K78*AJ$5/100,0)&lt;-AJ$6,-AJ$6-SUM(AJ$10:AJ77),-ROUNDDOWN($K78*AJ$5/100,0)),0)</f>
        <v>0</v>
      </c>
      <c r="AK78" s="38">
        <f>IF(AND(AK$7="○",$A78&gt;=AK$8,$A78&lt;=AK$9),IF(SUM(AK$10:AK77)-ROUNDDOWN($L78*AK$5/100,0)&lt;-AK$6,-AK$6-SUM(AK$10:AK77),-ROUNDDOWN($L78*AK$5/100,0)),0)</f>
        <v>0</v>
      </c>
      <c r="AL78" s="38">
        <f>IF(AND(AL$7="○",$A78&gt;=AL$8,$A78&lt;=AL$9),IF(SUM(AL$10:AL77)-ROUNDDOWN($N78*AL$5/100,0)&lt;-AL$6,-AL$6-SUM(AL$10:AL77),-ROUNDDOWN($N78*AL$5/100,0)),0)</f>
        <v>0</v>
      </c>
      <c r="AM78" s="38">
        <f>IF(AND(AM$7="○",$A78&gt;=AM$8,$A78&lt;=AM$9),IF(SUM(AM$10:AM77)-ROUNDDOWN($L78*AM$5/100,0)&lt;-AM$6,-AM$6-SUM(AM$10:AM77),-ROUNDDOWN($L78*AM$5/100,0)),0)</f>
        <v>0</v>
      </c>
      <c r="AN78" s="38">
        <f>IF(AND(AN$7="○",$A78&gt;=AN$8,$A78&lt;=AN$9),IF(SUM(AN$10:AN77)-ROUNDDOWN($M78*AN$5/100,0)&lt;-AN$6,-AN$6-SUM(AN$10:AN77),-ROUNDDOWN($M78*AN$5/100,0)),0)</f>
        <v>0</v>
      </c>
      <c r="AO78" s="38">
        <f>IF(AND($A78&gt;=AO$8,$A78&lt;=AO$9),IF(SUM(AO$10:AO77)-ROUNDDOWN($K78*AO$5/100,0)&lt;-AO$6,-AO$6-SUM(AO$10:AO77),-ROUNDDOWN($K78*AO$5/100,0)),0)</f>
        <v>0</v>
      </c>
      <c r="AP78" s="38">
        <f>IF(AND($A78&gt;=AP$8,$A78&lt;=AP$9),IF(SUM(AP$10:AP77)-ROUNDDOWN($K78*AP$5/100,0)&lt;-AP$6,-AP$6-SUM(AP$10:AP77),-ROUNDDOWN($K78*AP$5/100,0)),0)</f>
        <v>0</v>
      </c>
      <c r="AQ78" s="38">
        <f>IF(AND($A78&gt;=AQ$8,$A78&lt;=AQ$9),IF(SUM(AQ$10:AQ77)-ROUNDDOWN($K78*AQ$5/100,0)&lt;-AQ$6,-AQ$6-SUM(AQ$10:AQ77),-ROUNDDOWN($K78*AQ$5/100,0)),0)</f>
        <v>0</v>
      </c>
      <c r="AR78" s="38">
        <f>IF(AND($A78&gt;=AR$8,$A78&lt;=AR$9),IF(SUM(AR$10:AR77)-ROUNDDOWN($K78*AR$5/100,0)&lt;-AR$6,-AR$6-SUM(AR$10:AR77),-ROUNDDOWN($K78*AR$5/100,0)),0)</f>
        <v>0</v>
      </c>
      <c r="AS78" s="38">
        <f>IF(SUMIFS(AS$10:AS77,$A$10:$A77,$A78)-ROUNDDOWN($K78*$S78/100,0)&lt;-$S78*1000,-$S78*1000-SUMIFS(AS$10:AS77,$A$10:$A77,$A78),-ROUNDDOWN($K78*$S78/100,0))</f>
        <v>0</v>
      </c>
      <c r="AT78" s="38">
        <f>IF(AND(X78="○",$A78&gt;=AT$8,$A78&lt;=AT$9,K78&gt;=3980),IF(SUM(AT$10:AT77)-ROUNDDOWN($K78*AT$5/100,0)&lt;-AT$6,-AT$6-SUM(AT$10:AT77),-ROUNDDOWN($K78*AT$5/100,0)),0)</f>
        <v>0</v>
      </c>
      <c r="AU78" s="38">
        <f>IF(O78="○",IF(SUM(AU$10:AU77)-ROUNDDOWN($K78*AU$5/100,0)&lt;-AU$6,-AU$6-SUM(AU$10:AU77),-ROUNDDOWN($K78*AU$5/100,0)),0)</f>
        <v>0</v>
      </c>
      <c r="AV78" s="38">
        <f>IF(P78="○",IF(SUM(AV$10:AV77)-ROUNDDOWN($K78*AV$5/100,0)&lt;-AV$6,-AV$6-SUM(AV$10:AV77),-ROUNDDOWN($K78*AV$5/100,0)),0)</f>
        <v>0</v>
      </c>
      <c r="AW78" s="38">
        <f>IF(Q78="○",IF(SUM(AW$10:AW77)-ROUNDDOWN($K78*AW$5/100,0)&lt;-AW$6,-AW$6-SUM(AW$10:AW77),-ROUNDDOWN($K78*AW$5/100,0)),0)</f>
        <v>0</v>
      </c>
      <c r="AX78" s="38">
        <f>IF(R78="○",IF(SUM(AX$10:AX77)-ROUNDDOWN($K78*AX$5/100,0)&lt;-AX$6,-AX$6-SUM(AX$10:AX77),-ROUNDDOWN($K78*AX$5/100,0)),0)</f>
        <v>0</v>
      </c>
      <c r="AY78" s="70">
        <v>0</v>
      </c>
      <c r="AZ78" s="65">
        <f t="shared" si="41"/>
        <v>0</v>
      </c>
      <c r="BA78" s="65">
        <f t="shared" si="42"/>
        <v>0</v>
      </c>
      <c r="BB78" s="70"/>
      <c r="BC78" s="65">
        <f t="shared" si="43"/>
        <v>0</v>
      </c>
      <c r="BD78" s="70">
        <v>0</v>
      </c>
      <c r="BE78" s="65">
        <f t="shared" si="44"/>
        <v>0</v>
      </c>
      <c r="BF78" s="70">
        <v>0</v>
      </c>
      <c r="BG78" s="65">
        <f t="shared" si="45"/>
        <v>0</v>
      </c>
      <c r="BH78" s="70">
        <v>0</v>
      </c>
      <c r="BI78" s="65">
        <f t="shared" si="46"/>
        <v>0</v>
      </c>
      <c r="BJ78" s="38">
        <f>IF(AND(BJ$7="○",$A78&gt;=BJ$8,$A78&lt;=BJ$9),IF(SUM(BJ$10:BJ77)-ROUNDDOWN($M78*BJ$5/100,0)&lt;-BJ$6,-BJ$6-SUM(BJ$10:BJ77),-ROUNDDOWN($M78*BJ$5/100,0)),0)</f>
        <v>0</v>
      </c>
      <c r="BK78" s="38">
        <f>IF(AND(BK$7="○",$A78&gt;=BK$8,$A78&lt;=BK$9),IF(SUM(BK$10:BK77)-ROUNDDOWN($L78*BK$5/100,0)&lt;-BK$6,-BK$6-SUM(BK$10:BK77),-ROUNDDOWN($L78*BK$5/100,0)),0)</f>
        <v>0</v>
      </c>
      <c r="BL78" s="38">
        <f>IF(AND(BL$7="○",$A78&gt;=BL$8,$A78&lt;=BL$9),IF(SUM(BL$10:BL77)-ROUNDDOWN($L78*BL$5/100,0)&lt;-BL$6,-BL$6-SUM(BL$10:BL77),-ROUNDDOWN($L78*BL$5/100,0)),0)</f>
        <v>0</v>
      </c>
      <c r="BM78" s="38">
        <f>IF(AND(BM$7="○",$A78&gt;=BM$8,$A78&lt;=BM$9),IF(SUM(BM$10:BM77)-ROUNDDOWN($M78*BM$5/100,0)&lt;-BM$6,-BM$6-SUM(BM$10:BM77),-ROUNDDOWN($M78*BM$5/100,0)),0)</f>
        <v>0</v>
      </c>
      <c r="BN78" s="38">
        <f>IF(AND(BN$7="○",$A78&gt;=BN$8,$A78&lt;=BN$9),IF(SUM(BN$10:BN77)-ROUNDDOWN($M78*BN$5/100,0)&lt;-BN$6,-BN$6-SUM(BN$10:BN77),-ROUNDDOWN($M78*BN$5/100,0)),0)</f>
        <v>0</v>
      </c>
      <c r="BO78" s="38">
        <f>IF(AND(BO$7="○",$A78&gt;=BO$8,$A78&lt;=BO$9),IF(SUM(BO$10:BO77)-ROUNDDOWN($M78*BO$5/100,0)&lt;-BO$6,-BO$6-SUM(BO$10:BO77),-ROUNDDOWN($M78*BO$5/100,0)),0)</f>
        <v>0</v>
      </c>
      <c r="BP78" s="38">
        <f>IF(AND(BP$7="○",$A78&gt;=BP$8,$A78&lt;=BP$9),IF(SUM(BP$10:BP77)-ROUNDDOWN($M78*BP$5/100,0)&lt;-BP$6,-BP$6-SUM(BP$10:BP77),-ROUNDDOWN($M78*BP$5/100,0)),0)</f>
        <v>0</v>
      </c>
      <c r="BQ78" s="38">
        <f>IF(AND(BQ$7="○",$A78&gt;=BQ$8,$A78&lt;=BQ$9),IF(SUM(BQ$10:BQ77)-ROUNDDOWN($L78*BQ$5/100,0)&lt;-BQ$6,-BQ$6-SUM(BQ$10:BQ77),-ROUNDDOWN($L78*BQ$5/100,0)),0)</f>
        <v>0</v>
      </c>
      <c r="BR78" s="38">
        <f>IF(AND(BR$7="○",$A78&gt;=BR$8,$A78&lt;=BR$9),IF(SUM(BR$10:BR77)-ROUNDDOWN($M78*BR$5/100,0)&lt;-BR$6,-BR$6-SUM(BR$10:BR77),-ROUNDDOWN($M78*BR$5/100,0)),0)</f>
        <v>0</v>
      </c>
      <c r="BS78" s="38">
        <f>IF(AND(BS$7="○",$A78&gt;=BS$8,$A78&lt;=BS$9),IF(SUM(BS$10:BS77)-ROUNDDOWN($M78*BS$5/100,0)&lt;-BS$6,-BS$6-SUM(BS$10:BS77),-ROUNDDOWN($M78*BS$5/100,0)),0)</f>
        <v>0</v>
      </c>
      <c r="BT78" s="38">
        <f>IF(AND(BT$7="○",$A78&gt;=BT$8,$A78&lt;=BT$9),IF(SUM(BT$10:BT77)-ROUNDDOWN($M78*BT$5/100,0)&lt;-BT$6,-BT$6-SUM(BT$10:BT77),-ROUNDDOWN($M78*BT$5/100,0)),0)</f>
        <v>0</v>
      </c>
      <c r="BU78" s="38">
        <f>IF(AND(BU$7="○",$A78&gt;=BU$8,$A78&lt;=BU$9),IF(SUM(BU$10:BU77)-ROUNDDOWN($M78*BU$5/100,0)&lt;-BU$6,-BU$6-SUM(BU$10:BU77),-ROUNDDOWN($M78*BU$5/100,0)),0)</f>
        <v>0</v>
      </c>
      <c r="BV78" s="38">
        <f>IF(AND(BV$7="○",$A78&gt;=BV$8,$A78&lt;=BV$9),IF(SUM(BV$10:BV77)-ROUNDDOWN($M78*BV$5/100,0)&lt;-BV$6,-BV$6-SUM(BV$10:BV77),-ROUNDDOWN($M78*BV$5/100,0)),0)</f>
        <v>0</v>
      </c>
      <c r="BW78" s="38">
        <f>IF(AND(BW$7="○",$A78&gt;=BW$8,$A78&lt;=BW$9),IF(SUM(BW$10:BW77)-ROUNDDOWN($M78*BW$5/100,0)&lt;-BW$6,-BW$6-SUM(BW$10:BW77),-ROUNDDOWN($M78*BW$5/100,0)),0)</f>
        <v>0</v>
      </c>
      <c r="BX78" s="38">
        <f>IF(AND(T78="○",$A78&gt;=BX$8,$A78&lt;=BX$9),IF(SUM(BX$10:BX77)-ROUNDDOWN($K78*BX$5/100,0)&lt;-BX$6,-BX$6-SUM(BX$10:BX77),-ROUNDDOWN($K78*BX$5/100,0)),0)</f>
        <v>0</v>
      </c>
      <c r="BY78" s="38">
        <f>IF(AND(U78="○",$A78&gt;=BY$8,$A78&lt;=BY$9),IF(SUM(BY$10:BY77)-ROUNDDOWN($K78*BY$5/100,0)&lt;-BY$6,-BY$6-SUM(BY$10:BY77),-ROUNDDOWN($K78*BY$5/100,0)),0)</f>
        <v>0</v>
      </c>
      <c r="BZ78" s="38">
        <f>IF(AND(V78="○",$A78&gt;=BZ$8,$A78&lt;=BZ$9),IF(SUM(BZ$10:BZ77)-ROUNDDOWN($K78*BZ$5/100,0)&lt;-BZ$6,-BZ$6-SUM(BZ$10:BZ77),-ROUNDDOWN($K78*BZ$5/100,0)),0)</f>
        <v>0</v>
      </c>
      <c r="CA78" s="38">
        <f>IF(AND(W78="○",$A78&gt;=CA$8,$A78&lt;=CA$9),IF(SUM(CA$10:CA77)-ROUNDDOWN($K78*CA$5/100,0)&lt;-CA$6,-CA$6-SUM(CA$10:CA77),-ROUNDDOWN($K78*CA$5/100,0)),0)</f>
        <v>0</v>
      </c>
      <c r="CB78" s="38"/>
      <c r="CC78" s="38"/>
      <c r="CD78" s="38"/>
      <c r="CE78" s="38"/>
      <c r="CF78" s="38"/>
      <c r="CG78" s="65">
        <f t="shared" si="47"/>
        <v>0</v>
      </c>
      <c r="CH78" s="71">
        <f t="shared" si="48"/>
        <v>0</v>
      </c>
      <c r="CI78" s="1">
        <f t="shared" si="83"/>
        <v>0</v>
      </c>
      <c r="CJ78" s="1"/>
      <c r="CK78" s="72"/>
      <c r="CL78" s="72"/>
      <c r="CM78" s="2"/>
      <c r="CN78" s="2"/>
      <c r="CO78" s="73">
        <f t="shared" si="84"/>
        <v>0</v>
      </c>
      <c r="CP78" s="5">
        <f t="shared" si="85"/>
        <v>0</v>
      </c>
      <c r="CQ78" s="1"/>
      <c r="CR78" s="1">
        <f t="shared" si="86"/>
        <v>0</v>
      </c>
      <c r="CS78" s="1"/>
      <c r="CT78" s="1" t="e">
        <f>INDEX([2]マスタ!$A:$A,MATCH(D78,[2]マスタ!$C:$C,0))</f>
        <v>#N/A</v>
      </c>
      <c r="CU78" s="1" t="str">
        <f t="shared" ca="1" si="87"/>
        <v>20260620_0-0</v>
      </c>
    </row>
    <row r="79" spans="1:99" x14ac:dyDescent="0.4">
      <c r="A79" s="61"/>
      <c r="B79" s="62"/>
      <c r="C79" s="62"/>
      <c r="D79" s="62"/>
      <c r="E79" s="74"/>
      <c r="F79" s="62"/>
      <c r="G79" s="62">
        <v>1</v>
      </c>
      <c r="H79" s="64">
        <f t="shared" si="74"/>
        <v>0</v>
      </c>
      <c r="I79" s="64"/>
      <c r="J79" s="64"/>
      <c r="K79" s="65">
        <f t="shared" si="75"/>
        <v>0</v>
      </c>
      <c r="L79" s="65">
        <f t="shared" si="76"/>
        <v>0</v>
      </c>
      <c r="M79" s="65">
        <f t="shared" si="77"/>
        <v>0</v>
      </c>
      <c r="N79" s="65">
        <f t="shared" si="78"/>
        <v>0</v>
      </c>
      <c r="O79" s="66" t="str">
        <f t="shared" si="79"/>
        <v>✕</v>
      </c>
      <c r="P79" s="67" t="str">
        <f t="shared" si="80"/>
        <v>○</v>
      </c>
      <c r="Q79" s="67" t="str">
        <f t="shared" si="81"/>
        <v>✕</v>
      </c>
      <c r="R79" s="67" t="str">
        <f t="shared" si="82"/>
        <v>✕</v>
      </c>
      <c r="S79" s="68">
        <v>0</v>
      </c>
      <c r="T79" s="69" t="s">
        <v>85</v>
      </c>
      <c r="U79" s="69" t="s">
        <v>85</v>
      </c>
      <c r="V79" s="69" t="s">
        <v>85</v>
      </c>
      <c r="W79" s="69" t="s">
        <v>85</v>
      </c>
      <c r="X79" s="69" t="s">
        <v>84</v>
      </c>
      <c r="Y79" s="69" t="s">
        <v>85</v>
      </c>
      <c r="Z79" s="69" t="s">
        <v>85</v>
      </c>
      <c r="AA79" s="69" t="s">
        <v>85</v>
      </c>
      <c r="AB79" s="69" t="s">
        <v>85</v>
      </c>
      <c r="AC79" s="69" t="s">
        <v>85</v>
      </c>
      <c r="AD79" s="38" t="str">
        <f>+IF(ISERROR(VLOOKUP($B79,AD$10:AD78,1,0)),IF(AND($N79&gt;=1000,$A79&gt;=AO$8,$A79&lt;=AO$9),$B79,""),"")</f>
        <v/>
      </c>
      <c r="AE79" s="38" t="str">
        <f>+IF(ISERROR(VLOOKUP($B79,AE$10:AE78,1,0)),IF(AND($N79&gt;=1000,$A79&gt;=AP$8,$A79&lt;=AP$9),$B79,""),"")</f>
        <v/>
      </c>
      <c r="AF79" s="38" t="str">
        <f>+IF(ISERROR(VLOOKUP($B79,AF$10:AF78,1,0)),IF(AND($N79&gt;=1000,$A79&gt;=AQ$8,$A79&lt;=AQ$9),$B79,""),"")</f>
        <v/>
      </c>
      <c r="AG79" s="38" t="str">
        <f>+IF(ISERROR(VLOOKUP($B79,AG$10:AG78,1,0)),IF(AND($N79&gt;=1000,$A79&gt;=AR$8,$A79&lt;=AR$9),$B79,""),"")</f>
        <v/>
      </c>
      <c r="AH79" s="38"/>
      <c r="AI79" s="70">
        <v>0</v>
      </c>
      <c r="AJ79" s="38">
        <f>IF(AND(AJ$7="○",$A79&gt;=AJ$8,$A79&lt;=AJ$9),IF(SUM(AJ$10:AJ78)-ROUNDDOWN($K79*AJ$5/100,0)&lt;-AJ$6,-AJ$6-SUM(AJ$10:AJ78),-ROUNDDOWN($K79*AJ$5/100,0)),0)</f>
        <v>0</v>
      </c>
      <c r="AK79" s="38">
        <f>IF(AND(AK$7="○",$A79&gt;=AK$8,$A79&lt;=AK$9),IF(SUM(AK$10:AK78)-ROUNDDOWN($L79*AK$5/100,0)&lt;-AK$6,-AK$6-SUM(AK$10:AK78),-ROUNDDOWN($L79*AK$5/100,0)),0)</f>
        <v>0</v>
      </c>
      <c r="AL79" s="38">
        <f>IF(AND(AL$7="○",$A79&gt;=AL$8,$A79&lt;=AL$9),IF(SUM(AL$10:AL78)-ROUNDDOWN($N79*AL$5/100,0)&lt;-AL$6,-AL$6-SUM(AL$10:AL78),-ROUNDDOWN($N79*AL$5/100,0)),0)</f>
        <v>0</v>
      </c>
      <c r="AM79" s="38">
        <f>IF(AND(AM$7="○",$A79&gt;=AM$8,$A79&lt;=AM$9),IF(SUM(AM$10:AM78)-ROUNDDOWN($L79*AM$5/100,0)&lt;-AM$6,-AM$6-SUM(AM$10:AM78),-ROUNDDOWN($L79*AM$5/100,0)),0)</f>
        <v>0</v>
      </c>
      <c r="AN79" s="38">
        <f>IF(AND(AN$7="○",$A79&gt;=AN$8,$A79&lt;=AN$9),IF(SUM(AN$10:AN78)-ROUNDDOWN($M79*AN$5/100,0)&lt;-AN$6,-AN$6-SUM(AN$10:AN78),-ROUNDDOWN($M79*AN$5/100,0)),0)</f>
        <v>0</v>
      </c>
      <c r="AO79" s="38">
        <f>IF(AND($A79&gt;=AO$8,$A79&lt;=AO$9),IF(SUM(AO$10:AO78)-ROUNDDOWN($K79*AO$5/100,0)&lt;-AO$6,-AO$6-SUM(AO$10:AO78),-ROUNDDOWN($K79*AO$5/100,0)),0)</f>
        <v>0</v>
      </c>
      <c r="AP79" s="38">
        <f>IF(AND($A79&gt;=AP$8,$A79&lt;=AP$9),IF(SUM(AP$10:AP78)-ROUNDDOWN($K79*AP$5/100,0)&lt;-AP$6,-AP$6-SUM(AP$10:AP78),-ROUNDDOWN($K79*AP$5/100,0)),0)</f>
        <v>0</v>
      </c>
      <c r="AQ79" s="38">
        <f>IF(AND($A79&gt;=AQ$8,$A79&lt;=AQ$9),IF(SUM(AQ$10:AQ78)-ROUNDDOWN($K79*AQ$5/100,0)&lt;-AQ$6,-AQ$6-SUM(AQ$10:AQ78),-ROUNDDOWN($K79*AQ$5/100,0)),0)</f>
        <v>0</v>
      </c>
      <c r="AR79" s="38">
        <f>IF(AND($A79&gt;=AR$8,$A79&lt;=AR$9),IF(SUM(AR$10:AR78)-ROUNDDOWN($K79*AR$5/100,0)&lt;-AR$6,-AR$6-SUM(AR$10:AR78),-ROUNDDOWN($K79*AR$5/100,0)),0)</f>
        <v>0</v>
      </c>
      <c r="AS79" s="38">
        <f>IF(SUMIFS(AS$10:AS78,$A$10:$A78,$A79)-ROUNDDOWN($K79*$S79/100,0)&lt;-$S79*1000,-$S79*1000-SUMIFS(AS$10:AS78,$A$10:$A78,$A79),-ROUNDDOWN($K79*$S79/100,0))</f>
        <v>0</v>
      </c>
      <c r="AT79" s="38">
        <f>IF(AND(X79="○",$A79&gt;=AT$8,$A79&lt;=AT$9,K79&gt;=3980),IF(SUM(AT$10:AT78)-ROUNDDOWN($K79*AT$5/100,0)&lt;-AT$6,-AT$6-SUM(AT$10:AT78),-ROUNDDOWN($K79*AT$5/100,0)),0)</f>
        <v>0</v>
      </c>
      <c r="AU79" s="38">
        <f>IF(O79="○",IF(SUM(AU$10:AU78)-ROUNDDOWN($K79*AU$5/100,0)&lt;-AU$6,-AU$6-SUM(AU$10:AU78),-ROUNDDOWN($K79*AU$5/100,0)),0)</f>
        <v>0</v>
      </c>
      <c r="AV79" s="38">
        <f>IF(P79="○",IF(SUM(AV$10:AV78)-ROUNDDOWN($K79*AV$5/100,0)&lt;-AV$6,-AV$6-SUM(AV$10:AV78),-ROUNDDOWN($K79*AV$5/100,0)),0)</f>
        <v>0</v>
      </c>
      <c r="AW79" s="38">
        <f>IF(Q79="○",IF(SUM(AW$10:AW78)-ROUNDDOWN($K79*AW$5/100,0)&lt;-AW$6,-AW$6-SUM(AW$10:AW78),-ROUNDDOWN($K79*AW$5/100,0)),0)</f>
        <v>0</v>
      </c>
      <c r="AX79" s="38">
        <f>IF(R79="○",IF(SUM(AX$10:AX78)-ROUNDDOWN($K79*AX$5/100,0)&lt;-AX$6,-AX$6-SUM(AX$10:AX78),-ROUNDDOWN($K79*AX$5/100,0)),0)</f>
        <v>0</v>
      </c>
      <c r="AY79" s="70">
        <v>0</v>
      </c>
      <c r="AZ79" s="65">
        <f t="shared" si="41"/>
        <v>0</v>
      </c>
      <c r="BA79" s="65">
        <f t="shared" si="42"/>
        <v>0</v>
      </c>
      <c r="BB79" s="70"/>
      <c r="BC79" s="65">
        <f t="shared" si="43"/>
        <v>0</v>
      </c>
      <c r="BD79" s="70">
        <v>0</v>
      </c>
      <c r="BE79" s="65">
        <f t="shared" si="44"/>
        <v>0</v>
      </c>
      <c r="BF79" s="70">
        <v>0</v>
      </c>
      <c r="BG79" s="65">
        <f t="shared" si="45"/>
        <v>0</v>
      </c>
      <c r="BH79" s="70">
        <v>0</v>
      </c>
      <c r="BI79" s="65">
        <f t="shared" si="46"/>
        <v>0</v>
      </c>
      <c r="BJ79" s="38">
        <f>IF(AND(BJ$7="○",$A79&gt;=BJ$8,$A79&lt;=BJ$9),IF(SUM(BJ$10:BJ78)-ROUNDDOWN($M79*BJ$5/100,0)&lt;-BJ$6,-BJ$6-SUM(BJ$10:BJ78),-ROUNDDOWN($M79*BJ$5/100,0)),0)</f>
        <v>0</v>
      </c>
      <c r="BK79" s="38">
        <f>IF(AND(BK$7="○",$A79&gt;=BK$8,$A79&lt;=BK$9),IF(SUM(BK$10:BK78)-ROUNDDOWN($L79*BK$5/100,0)&lt;-BK$6,-BK$6-SUM(BK$10:BK78),-ROUNDDOWN($L79*BK$5/100,0)),0)</f>
        <v>0</v>
      </c>
      <c r="BL79" s="38">
        <f>IF(AND(BL$7="○",$A79&gt;=BL$8,$A79&lt;=BL$9),IF(SUM(BL$10:BL78)-ROUNDDOWN($L79*BL$5/100,0)&lt;-BL$6,-BL$6-SUM(BL$10:BL78),-ROUNDDOWN($L79*BL$5/100,0)),0)</f>
        <v>0</v>
      </c>
      <c r="BM79" s="38">
        <f>IF(AND(BM$7="○",$A79&gt;=BM$8,$A79&lt;=BM$9),IF(SUM(BM$10:BM78)-ROUNDDOWN($M79*BM$5/100,0)&lt;-BM$6,-BM$6-SUM(BM$10:BM78),-ROUNDDOWN($M79*BM$5/100,0)),0)</f>
        <v>0</v>
      </c>
      <c r="BN79" s="38">
        <f>IF(AND(BN$7="○",$A79&gt;=BN$8,$A79&lt;=BN$9),IF(SUM(BN$10:BN78)-ROUNDDOWN($M79*BN$5/100,0)&lt;-BN$6,-BN$6-SUM(BN$10:BN78),-ROUNDDOWN($M79*BN$5/100,0)),0)</f>
        <v>0</v>
      </c>
      <c r="BO79" s="38">
        <f>IF(AND(BO$7="○",$A79&gt;=BO$8,$A79&lt;=BO$9),IF(SUM(BO$10:BO78)-ROUNDDOWN($M79*BO$5/100,0)&lt;-BO$6,-BO$6-SUM(BO$10:BO78),-ROUNDDOWN($M79*BO$5/100,0)),0)</f>
        <v>0</v>
      </c>
      <c r="BP79" s="38">
        <f>IF(AND(BP$7="○",$A79&gt;=BP$8,$A79&lt;=BP$9),IF(SUM(BP$10:BP78)-ROUNDDOWN($M79*BP$5/100,0)&lt;-BP$6,-BP$6-SUM(BP$10:BP78),-ROUNDDOWN($M79*BP$5/100,0)),0)</f>
        <v>0</v>
      </c>
      <c r="BQ79" s="38">
        <f>IF(AND(BQ$7="○",$A79&gt;=BQ$8,$A79&lt;=BQ$9),IF(SUM(BQ$10:BQ78)-ROUNDDOWN($L79*BQ$5/100,0)&lt;-BQ$6,-BQ$6-SUM(BQ$10:BQ78),-ROUNDDOWN($L79*BQ$5/100,0)),0)</f>
        <v>0</v>
      </c>
      <c r="BR79" s="38">
        <f>IF(AND(BR$7="○",$A79&gt;=BR$8,$A79&lt;=BR$9),IF(SUM(BR$10:BR78)-ROUNDDOWN($M79*BR$5/100,0)&lt;-BR$6,-BR$6-SUM(BR$10:BR78),-ROUNDDOWN($M79*BR$5/100,0)),0)</f>
        <v>0</v>
      </c>
      <c r="BS79" s="38">
        <f>IF(AND(BS$7="○",$A79&gt;=BS$8,$A79&lt;=BS$9),IF(SUM(BS$10:BS78)-ROUNDDOWN($M79*BS$5/100,0)&lt;-BS$6,-BS$6-SUM(BS$10:BS78),-ROUNDDOWN($M79*BS$5/100,0)),0)</f>
        <v>0</v>
      </c>
      <c r="BT79" s="38">
        <f>IF(AND(BT$7="○",$A79&gt;=BT$8,$A79&lt;=BT$9),IF(SUM(BT$10:BT78)-ROUNDDOWN($M79*BT$5/100,0)&lt;-BT$6,-BT$6-SUM(BT$10:BT78),-ROUNDDOWN($M79*BT$5/100,0)),0)</f>
        <v>0</v>
      </c>
      <c r="BU79" s="38">
        <f>IF(AND(BU$7="○",$A79&gt;=BU$8,$A79&lt;=BU$9),IF(SUM(BU$10:BU78)-ROUNDDOWN($M79*BU$5/100,0)&lt;-BU$6,-BU$6-SUM(BU$10:BU78),-ROUNDDOWN($M79*BU$5/100,0)),0)</f>
        <v>0</v>
      </c>
      <c r="BV79" s="38">
        <f>IF(AND(BV$7="○",$A79&gt;=BV$8,$A79&lt;=BV$9),IF(SUM(BV$10:BV78)-ROUNDDOWN($M79*BV$5/100,0)&lt;-BV$6,-BV$6-SUM(BV$10:BV78),-ROUNDDOWN($M79*BV$5/100,0)),0)</f>
        <v>0</v>
      </c>
      <c r="BW79" s="38">
        <f>IF(AND(BW$7="○",$A79&gt;=BW$8,$A79&lt;=BW$9),IF(SUM(BW$10:BW78)-ROUNDDOWN($M79*BW$5/100,0)&lt;-BW$6,-BW$6-SUM(BW$10:BW78),-ROUNDDOWN($M79*BW$5/100,0)),0)</f>
        <v>0</v>
      </c>
      <c r="BX79" s="38">
        <f>IF(AND(T79="○",$A79&gt;=BX$8,$A79&lt;=BX$9),IF(SUM(BX$10:BX78)-ROUNDDOWN($K79*BX$5/100,0)&lt;-BX$6,-BX$6-SUM(BX$10:BX78),-ROUNDDOWN($K79*BX$5/100,0)),0)</f>
        <v>0</v>
      </c>
      <c r="BY79" s="38">
        <f>IF(AND(U79="○",$A79&gt;=BY$8,$A79&lt;=BY$9),IF(SUM(BY$10:BY78)-ROUNDDOWN($K79*BY$5/100,0)&lt;-BY$6,-BY$6-SUM(BY$10:BY78),-ROUNDDOWN($K79*BY$5/100,0)),0)</f>
        <v>0</v>
      </c>
      <c r="BZ79" s="38">
        <f>IF(AND(V79="○",$A79&gt;=BZ$8,$A79&lt;=BZ$9),IF(SUM(BZ$10:BZ78)-ROUNDDOWN($K79*BZ$5/100,0)&lt;-BZ$6,-BZ$6-SUM(BZ$10:BZ78),-ROUNDDOWN($K79*BZ$5/100,0)),0)</f>
        <v>0</v>
      </c>
      <c r="CA79" s="38">
        <f>IF(AND(W79="○",$A79&gt;=CA$8,$A79&lt;=CA$9),IF(SUM(CA$10:CA78)-ROUNDDOWN($K79*CA$5/100,0)&lt;-CA$6,-CA$6-SUM(CA$10:CA78),-ROUNDDOWN($K79*CA$5/100,0)),0)</f>
        <v>0</v>
      </c>
      <c r="CB79" s="38"/>
      <c r="CC79" s="38"/>
      <c r="CD79" s="38"/>
      <c r="CE79" s="38"/>
      <c r="CF79" s="38"/>
      <c r="CG79" s="65">
        <f t="shared" si="47"/>
        <v>0</v>
      </c>
      <c r="CH79" s="71">
        <f t="shared" si="48"/>
        <v>0</v>
      </c>
      <c r="CI79" s="1">
        <f t="shared" si="83"/>
        <v>0</v>
      </c>
      <c r="CJ79" s="1"/>
      <c r="CK79" s="72"/>
      <c r="CL79" s="72"/>
      <c r="CM79" s="2"/>
      <c r="CN79" s="2"/>
      <c r="CO79" s="73">
        <f t="shared" si="84"/>
        <v>0</v>
      </c>
      <c r="CP79" s="5">
        <f t="shared" si="85"/>
        <v>0</v>
      </c>
      <c r="CQ79" s="1"/>
      <c r="CR79" s="1">
        <f t="shared" si="86"/>
        <v>0</v>
      </c>
      <c r="CS79" s="1"/>
      <c r="CT79" s="1" t="e">
        <f>INDEX([2]マスタ!$A:$A,MATCH(D79,[2]マスタ!$C:$C,0))</f>
        <v>#N/A</v>
      </c>
      <c r="CU79" s="1" t="str">
        <f t="shared" ca="1" si="87"/>
        <v>20260620_0-0</v>
      </c>
    </row>
    <row r="80" spans="1:99" x14ac:dyDescent="0.4">
      <c r="A80" s="61"/>
      <c r="B80" s="62"/>
      <c r="C80" s="62"/>
      <c r="D80" s="62"/>
      <c r="E80" s="74"/>
      <c r="F80" s="62"/>
      <c r="G80" s="62">
        <v>1</v>
      </c>
      <c r="H80" s="64">
        <f t="shared" si="74"/>
        <v>0</v>
      </c>
      <c r="I80" s="64"/>
      <c r="J80" s="64"/>
      <c r="K80" s="65">
        <f t="shared" si="75"/>
        <v>0</v>
      </c>
      <c r="L80" s="65">
        <f t="shared" si="76"/>
        <v>0</v>
      </c>
      <c r="M80" s="65">
        <f t="shared" si="77"/>
        <v>0</v>
      </c>
      <c r="N80" s="65">
        <f t="shared" si="78"/>
        <v>0</v>
      </c>
      <c r="O80" s="66" t="str">
        <f t="shared" si="79"/>
        <v>✕</v>
      </c>
      <c r="P80" s="67" t="str">
        <f t="shared" si="80"/>
        <v>○</v>
      </c>
      <c r="Q80" s="67" t="str">
        <f t="shared" si="81"/>
        <v>✕</v>
      </c>
      <c r="R80" s="67" t="str">
        <f t="shared" si="82"/>
        <v>✕</v>
      </c>
      <c r="S80" s="68">
        <v>0</v>
      </c>
      <c r="T80" s="69" t="s">
        <v>85</v>
      </c>
      <c r="U80" s="69" t="s">
        <v>85</v>
      </c>
      <c r="V80" s="69" t="s">
        <v>85</v>
      </c>
      <c r="W80" s="69" t="s">
        <v>85</v>
      </c>
      <c r="X80" s="69" t="s">
        <v>84</v>
      </c>
      <c r="Y80" s="69" t="s">
        <v>85</v>
      </c>
      <c r="Z80" s="69" t="s">
        <v>85</v>
      </c>
      <c r="AA80" s="69" t="s">
        <v>85</v>
      </c>
      <c r="AB80" s="69" t="s">
        <v>85</v>
      </c>
      <c r="AC80" s="69" t="s">
        <v>85</v>
      </c>
      <c r="AD80" s="38" t="str">
        <f>+IF(ISERROR(VLOOKUP($B80,AD$10:AD79,1,0)),IF(AND($N80&gt;=1000,$A80&gt;=AO$8,$A80&lt;=AO$9),$B80,""),"")</f>
        <v/>
      </c>
      <c r="AE80" s="38" t="str">
        <f>+IF(ISERROR(VLOOKUP($B80,AE$10:AE79,1,0)),IF(AND($N80&gt;=1000,$A80&gt;=AP$8,$A80&lt;=AP$9),$B80,""),"")</f>
        <v/>
      </c>
      <c r="AF80" s="38" t="str">
        <f>+IF(ISERROR(VLOOKUP($B80,AF$10:AF79,1,0)),IF(AND($N80&gt;=1000,$A80&gt;=AQ$8,$A80&lt;=AQ$9),$B80,""),"")</f>
        <v/>
      </c>
      <c r="AG80" s="38" t="str">
        <f>+IF(ISERROR(VLOOKUP($B80,AG$10:AG79,1,0)),IF(AND($N80&gt;=1000,$A80&gt;=AR$8,$A80&lt;=AR$9),$B80,""),"")</f>
        <v/>
      </c>
      <c r="AH80" s="38"/>
      <c r="AI80" s="70">
        <v>0</v>
      </c>
      <c r="AJ80" s="38">
        <f>IF(AND(AJ$7="○",$A80&gt;=AJ$8,$A80&lt;=AJ$9),IF(SUM(AJ$10:AJ79)-ROUNDDOWN($K80*AJ$5/100,0)&lt;-AJ$6,-AJ$6-SUM(AJ$10:AJ79),-ROUNDDOWN($K80*AJ$5/100,0)),0)</f>
        <v>0</v>
      </c>
      <c r="AK80" s="38">
        <f>IF(AND(AK$7="○",$A80&gt;=AK$8,$A80&lt;=AK$9),IF(SUM(AK$10:AK79)-ROUNDDOWN($L80*AK$5/100,0)&lt;-AK$6,-AK$6-SUM(AK$10:AK79),-ROUNDDOWN($L80*AK$5/100,0)),0)</f>
        <v>0</v>
      </c>
      <c r="AL80" s="38">
        <f>IF(AND(AL$7="○",$A80&gt;=AL$8,$A80&lt;=AL$9),IF(SUM(AL$10:AL79)-ROUNDDOWN($N80*AL$5/100,0)&lt;-AL$6,-AL$6-SUM(AL$10:AL79),-ROUNDDOWN($N80*AL$5/100,0)),0)</f>
        <v>0</v>
      </c>
      <c r="AM80" s="38">
        <f>IF(AND(AM$7="○",$A80&gt;=AM$8,$A80&lt;=AM$9),IF(SUM(AM$10:AM79)-ROUNDDOWN($L80*AM$5/100,0)&lt;-AM$6,-AM$6-SUM(AM$10:AM79),-ROUNDDOWN($L80*AM$5/100,0)),0)</f>
        <v>0</v>
      </c>
      <c r="AN80" s="38">
        <f>IF(AND(AN$7="○",$A80&gt;=AN$8,$A80&lt;=AN$9),IF(SUM(AN$10:AN79)-ROUNDDOWN($M80*AN$5/100,0)&lt;-AN$6,-AN$6-SUM(AN$10:AN79),-ROUNDDOWN($M80*AN$5/100,0)),0)</f>
        <v>0</v>
      </c>
      <c r="AO80" s="38">
        <f>IF(AND($A80&gt;=AO$8,$A80&lt;=AO$9),IF(SUM(AO$10:AO79)-ROUNDDOWN($K80*AO$5/100,0)&lt;-AO$6,-AO$6-SUM(AO$10:AO79),-ROUNDDOWN($K80*AO$5/100,0)),0)</f>
        <v>0</v>
      </c>
      <c r="AP80" s="38">
        <f>IF(AND($A80&gt;=AP$8,$A80&lt;=AP$9),IF(SUM(AP$10:AP79)-ROUNDDOWN($K80*AP$5/100,0)&lt;-AP$6,-AP$6-SUM(AP$10:AP79),-ROUNDDOWN($K80*AP$5/100,0)),0)</f>
        <v>0</v>
      </c>
      <c r="AQ80" s="38">
        <f>IF(AND($A80&gt;=AQ$8,$A80&lt;=AQ$9),IF(SUM(AQ$10:AQ79)-ROUNDDOWN($K80*AQ$5/100,0)&lt;-AQ$6,-AQ$6-SUM(AQ$10:AQ79),-ROUNDDOWN($K80*AQ$5/100,0)),0)</f>
        <v>0</v>
      </c>
      <c r="AR80" s="38">
        <f>IF(AND($A80&gt;=AR$8,$A80&lt;=AR$9),IF(SUM(AR$10:AR79)-ROUNDDOWN($K80*AR$5/100,0)&lt;-AR$6,-AR$6-SUM(AR$10:AR79),-ROUNDDOWN($K80*AR$5/100,0)),0)</f>
        <v>0</v>
      </c>
      <c r="AS80" s="38">
        <f>IF(SUMIFS(AS$10:AS79,$A$10:$A79,$A80)-ROUNDDOWN($K80*$S80/100,0)&lt;-$S80*1000,-$S80*1000-SUMIFS(AS$10:AS79,$A$10:$A79,$A80),-ROUNDDOWN($K80*$S80/100,0))</f>
        <v>0</v>
      </c>
      <c r="AT80" s="38">
        <f>IF(AND(X80="○",$A80&gt;=AT$8,$A80&lt;=AT$9,K80&gt;=3980),IF(SUM(AT$10:AT79)-ROUNDDOWN($K80*AT$5/100,0)&lt;-AT$6,-AT$6-SUM(AT$10:AT79),-ROUNDDOWN($K80*AT$5/100,0)),0)</f>
        <v>0</v>
      </c>
      <c r="AU80" s="38">
        <f>IF(O80="○",IF(SUM(AU$10:AU79)-ROUNDDOWN($K80*AU$5/100,0)&lt;-AU$6,-AU$6-SUM(AU$10:AU79),-ROUNDDOWN($K80*AU$5/100,0)),0)</f>
        <v>0</v>
      </c>
      <c r="AV80" s="38">
        <f>IF(P80="○",IF(SUM(AV$10:AV79)-ROUNDDOWN($K80*AV$5/100,0)&lt;-AV$6,-AV$6-SUM(AV$10:AV79),-ROUNDDOWN($K80*AV$5/100,0)),0)</f>
        <v>0</v>
      </c>
      <c r="AW80" s="38">
        <f>IF(Q80="○",IF(SUM(AW$10:AW79)-ROUNDDOWN($K80*AW$5/100,0)&lt;-AW$6,-AW$6-SUM(AW$10:AW79),-ROUNDDOWN($K80*AW$5/100,0)),0)</f>
        <v>0</v>
      </c>
      <c r="AX80" s="38">
        <f>IF(R80="○",IF(SUM(AX$10:AX79)-ROUNDDOWN($K80*AX$5/100,0)&lt;-AX$6,-AX$6-SUM(AX$10:AX79),-ROUNDDOWN($K80*AX$5/100,0)),0)</f>
        <v>0</v>
      </c>
      <c r="AY80" s="70">
        <v>0</v>
      </c>
      <c r="AZ80" s="65">
        <f t="shared" si="41"/>
        <v>0</v>
      </c>
      <c r="BA80" s="65">
        <f t="shared" si="42"/>
        <v>0</v>
      </c>
      <c r="BB80" s="70"/>
      <c r="BC80" s="65">
        <f t="shared" si="43"/>
        <v>0</v>
      </c>
      <c r="BD80" s="70">
        <v>0</v>
      </c>
      <c r="BE80" s="65">
        <f t="shared" si="44"/>
        <v>0</v>
      </c>
      <c r="BF80" s="70">
        <v>0</v>
      </c>
      <c r="BG80" s="65">
        <f t="shared" si="45"/>
        <v>0</v>
      </c>
      <c r="BH80" s="70">
        <v>0</v>
      </c>
      <c r="BI80" s="65">
        <f t="shared" si="46"/>
        <v>0</v>
      </c>
      <c r="BJ80" s="38">
        <f>IF(AND(BJ$7="○",$A80&gt;=BJ$8,$A80&lt;=BJ$9),IF(SUM(BJ$10:BJ79)-ROUNDDOWN($M80*BJ$5/100,0)&lt;-BJ$6,-BJ$6-SUM(BJ$10:BJ79),-ROUNDDOWN($M80*BJ$5/100,0)),0)</f>
        <v>0</v>
      </c>
      <c r="BK80" s="38">
        <f>IF(AND(BK$7="○",$A80&gt;=BK$8,$A80&lt;=BK$9),IF(SUM(BK$10:BK79)-ROUNDDOWN($L80*BK$5/100,0)&lt;-BK$6,-BK$6-SUM(BK$10:BK79),-ROUNDDOWN($L80*BK$5/100,0)),0)</f>
        <v>0</v>
      </c>
      <c r="BL80" s="38">
        <f>IF(AND(BL$7="○",$A80&gt;=BL$8,$A80&lt;=BL$9),IF(SUM(BL$10:BL79)-ROUNDDOWN($L80*BL$5/100,0)&lt;-BL$6,-BL$6-SUM(BL$10:BL79),-ROUNDDOWN($L80*BL$5/100,0)),0)</f>
        <v>0</v>
      </c>
      <c r="BM80" s="38">
        <f>IF(AND(BM$7="○",$A80&gt;=BM$8,$A80&lt;=BM$9),IF(SUM(BM$10:BM79)-ROUNDDOWN($M80*BM$5/100,0)&lt;-BM$6,-BM$6-SUM(BM$10:BM79),-ROUNDDOWN($M80*BM$5/100,0)),0)</f>
        <v>0</v>
      </c>
      <c r="BN80" s="38">
        <f>IF(AND(BN$7="○",$A80&gt;=BN$8,$A80&lt;=BN$9),IF(SUM(BN$10:BN79)-ROUNDDOWN($M80*BN$5/100,0)&lt;-BN$6,-BN$6-SUM(BN$10:BN79),-ROUNDDOWN($M80*BN$5/100,0)),0)</f>
        <v>0</v>
      </c>
      <c r="BO80" s="38">
        <f>IF(AND(BO$7="○",$A80&gt;=BO$8,$A80&lt;=BO$9),IF(SUM(BO$10:BO79)-ROUNDDOWN($M80*BO$5/100,0)&lt;-BO$6,-BO$6-SUM(BO$10:BO79),-ROUNDDOWN($M80*BO$5/100,0)),0)</f>
        <v>0</v>
      </c>
      <c r="BP80" s="38">
        <f>IF(AND(BP$7="○",$A80&gt;=BP$8,$A80&lt;=BP$9),IF(SUM(BP$10:BP79)-ROUNDDOWN($M80*BP$5/100,0)&lt;-BP$6,-BP$6-SUM(BP$10:BP79),-ROUNDDOWN($M80*BP$5/100,0)),0)</f>
        <v>0</v>
      </c>
      <c r="BQ80" s="38">
        <f>IF(AND(BQ$7="○",$A80&gt;=BQ$8,$A80&lt;=BQ$9),IF(SUM(BQ$10:BQ79)-ROUNDDOWN($L80*BQ$5/100,0)&lt;-BQ$6,-BQ$6-SUM(BQ$10:BQ79),-ROUNDDOWN($L80*BQ$5/100,0)),0)</f>
        <v>0</v>
      </c>
      <c r="BR80" s="38">
        <f>IF(AND(BR$7="○",$A80&gt;=BR$8,$A80&lt;=BR$9),IF(SUM(BR$10:BR79)-ROUNDDOWN($M80*BR$5/100,0)&lt;-BR$6,-BR$6-SUM(BR$10:BR79),-ROUNDDOWN($M80*BR$5/100,0)),0)</f>
        <v>0</v>
      </c>
      <c r="BS80" s="38">
        <f>IF(AND(BS$7="○",$A80&gt;=BS$8,$A80&lt;=BS$9),IF(SUM(BS$10:BS79)-ROUNDDOWN($M80*BS$5/100,0)&lt;-BS$6,-BS$6-SUM(BS$10:BS79),-ROUNDDOWN($M80*BS$5/100,0)),0)</f>
        <v>0</v>
      </c>
      <c r="BT80" s="38">
        <f>IF(AND(BT$7="○",$A80&gt;=BT$8,$A80&lt;=BT$9),IF(SUM(BT$10:BT79)-ROUNDDOWN($M80*BT$5/100,0)&lt;-BT$6,-BT$6-SUM(BT$10:BT79),-ROUNDDOWN($M80*BT$5/100,0)),0)</f>
        <v>0</v>
      </c>
      <c r="BU80" s="38">
        <f>IF(AND(BU$7="○",$A80&gt;=BU$8,$A80&lt;=BU$9),IF(SUM(BU$10:BU79)-ROUNDDOWN($M80*BU$5/100,0)&lt;-BU$6,-BU$6-SUM(BU$10:BU79),-ROUNDDOWN($M80*BU$5/100,0)),0)</f>
        <v>0</v>
      </c>
      <c r="BV80" s="38">
        <f>IF(AND(BV$7="○",$A80&gt;=BV$8,$A80&lt;=BV$9),IF(SUM(BV$10:BV79)-ROUNDDOWN($M80*BV$5/100,0)&lt;-BV$6,-BV$6-SUM(BV$10:BV79),-ROUNDDOWN($M80*BV$5/100,0)),0)</f>
        <v>0</v>
      </c>
      <c r="BW80" s="38">
        <f>IF(AND(BW$7="○",$A80&gt;=BW$8,$A80&lt;=BW$9),IF(SUM(BW$10:BW79)-ROUNDDOWN($M80*BW$5/100,0)&lt;-BW$6,-BW$6-SUM(BW$10:BW79),-ROUNDDOWN($M80*BW$5/100,0)),0)</f>
        <v>0</v>
      </c>
      <c r="BX80" s="38">
        <f>IF(AND(T80="○",$A80&gt;=BX$8,$A80&lt;=BX$9),IF(SUM(BX$10:BX79)-ROUNDDOWN($K80*BX$5/100,0)&lt;-BX$6,-BX$6-SUM(BX$10:BX79),-ROUNDDOWN($K80*BX$5/100,0)),0)</f>
        <v>0</v>
      </c>
      <c r="BY80" s="38">
        <f>IF(AND(U80="○",$A80&gt;=BY$8,$A80&lt;=BY$9),IF(SUM(BY$10:BY79)-ROUNDDOWN($K80*BY$5/100,0)&lt;-BY$6,-BY$6-SUM(BY$10:BY79),-ROUNDDOWN($K80*BY$5/100,0)),0)</f>
        <v>0</v>
      </c>
      <c r="BZ80" s="38">
        <f>IF(AND(V80="○",$A80&gt;=BZ$8,$A80&lt;=BZ$9),IF(SUM(BZ$10:BZ79)-ROUNDDOWN($K80*BZ$5/100,0)&lt;-BZ$6,-BZ$6-SUM(BZ$10:BZ79),-ROUNDDOWN($K80*BZ$5/100,0)),0)</f>
        <v>0</v>
      </c>
      <c r="CA80" s="38">
        <f>IF(AND(W80="○",$A80&gt;=CA$8,$A80&lt;=CA$9),IF(SUM(CA$10:CA79)-ROUNDDOWN($K80*CA$5/100,0)&lt;-CA$6,-CA$6-SUM(CA$10:CA79),-ROUNDDOWN($K80*CA$5/100,0)),0)</f>
        <v>0</v>
      </c>
      <c r="CB80" s="38"/>
      <c r="CC80" s="38"/>
      <c r="CD80" s="38"/>
      <c r="CE80" s="38"/>
      <c r="CF80" s="38"/>
      <c r="CG80" s="65">
        <f t="shared" si="47"/>
        <v>0</v>
      </c>
      <c r="CH80" s="71">
        <f t="shared" si="48"/>
        <v>0</v>
      </c>
      <c r="CI80" s="1">
        <f t="shared" si="83"/>
        <v>0</v>
      </c>
      <c r="CJ80" s="1"/>
      <c r="CK80" s="72"/>
      <c r="CL80" s="72"/>
      <c r="CM80" s="2"/>
      <c r="CN80" s="2"/>
      <c r="CO80" s="73">
        <f t="shared" si="84"/>
        <v>0</v>
      </c>
      <c r="CP80" s="5">
        <f t="shared" si="85"/>
        <v>0</v>
      </c>
      <c r="CQ80" s="1"/>
      <c r="CR80" s="1">
        <f t="shared" si="86"/>
        <v>0</v>
      </c>
      <c r="CS80" s="1"/>
      <c r="CT80" s="1" t="e">
        <f>INDEX([2]マスタ!$A:$A,MATCH(D80,[2]マスタ!$C:$C,0))</f>
        <v>#N/A</v>
      </c>
      <c r="CU80" s="1" t="str">
        <f t="shared" ca="1" si="87"/>
        <v>20260620_0-0</v>
      </c>
    </row>
    <row r="81" spans="1:99" x14ac:dyDescent="0.4">
      <c r="A81" s="61"/>
      <c r="B81" s="62"/>
      <c r="C81" s="62"/>
      <c r="D81" s="62"/>
      <c r="E81" s="74"/>
      <c r="F81" s="62"/>
      <c r="G81" s="62">
        <v>1</v>
      </c>
      <c r="H81" s="64">
        <f t="shared" si="74"/>
        <v>0</v>
      </c>
      <c r="I81" s="64"/>
      <c r="J81" s="64"/>
      <c r="K81" s="65">
        <f t="shared" si="75"/>
        <v>0</v>
      </c>
      <c r="L81" s="65">
        <f t="shared" si="76"/>
        <v>0</v>
      </c>
      <c r="M81" s="65">
        <f t="shared" si="77"/>
        <v>0</v>
      </c>
      <c r="N81" s="65">
        <f t="shared" si="78"/>
        <v>0</v>
      </c>
      <c r="O81" s="66" t="str">
        <f t="shared" si="79"/>
        <v>✕</v>
      </c>
      <c r="P81" s="67" t="str">
        <f t="shared" si="80"/>
        <v>○</v>
      </c>
      <c r="Q81" s="67" t="str">
        <f t="shared" si="81"/>
        <v>✕</v>
      </c>
      <c r="R81" s="67" t="str">
        <f t="shared" si="82"/>
        <v>✕</v>
      </c>
      <c r="S81" s="68">
        <v>0</v>
      </c>
      <c r="T81" s="69" t="s">
        <v>85</v>
      </c>
      <c r="U81" s="69" t="s">
        <v>85</v>
      </c>
      <c r="V81" s="69" t="s">
        <v>85</v>
      </c>
      <c r="W81" s="69" t="s">
        <v>85</v>
      </c>
      <c r="X81" s="69" t="s">
        <v>84</v>
      </c>
      <c r="Y81" s="69" t="s">
        <v>85</v>
      </c>
      <c r="Z81" s="69" t="s">
        <v>85</v>
      </c>
      <c r="AA81" s="69" t="s">
        <v>85</v>
      </c>
      <c r="AB81" s="69" t="s">
        <v>85</v>
      </c>
      <c r="AC81" s="69" t="s">
        <v>85</v>
      </c>
      <c r="AD81" s="38" t="str">
        <f>+IF(ISERROR(VLOOKUP($B81,AD$10:AD80,1,0)),IF(AND($N81&gt;=1000,$A81&gt;=AO$8,$A81&lt;=AO$9),$B81,""),"")</f>
        <v/>
      </c>
      <c r="AE81" s="38" t="str">
        <f>+IF(ISERROR(VLOOKUP($B81,AE$10:AE80,1,0)),IF(AND($N81&gt;=1000,$A81&gt;=AP$8,$A81&lt;=AP$9),$B81,""),"")</f>
        <v/>
      </c>
      <c r="AF81" s="38" t="str">
        <f>+IF(ISERROR(VLOOKUP($B81,AF$10:AF80,1,0)),IF(AND($N81&gt;=1000,$A81&gt;=AQ$8,$A81&lt;=AQ$9),$B81,""),"")</f>
        <v/>
      </c>
      <c r="AG81" s="38" t="str">
        <f>+IF(ISERROR(VLOOKUP($B81,AG$10:AG80,1,0)),IF(AND($N81&gt;=1000,$A81&gt;=AR$8,$A81&lt;=AR$9),$B81,""),"")</f>
        <v/>
      </c>
      <c r="AH81" s="38"/>
      <c r="AI81" s="70">
        <v>0</v>
      </c>
      <c r="AJ81" s="38">
        <f>IF(AND(AJ$7="○",$A81&gt;=AJ$8,$A81&lt;=AJ$9),IF(SUM(AJ$10:AJ80)-ROUNDDOWN($K81*AJ$5/100,0)&lt;-AJ$6,-AJ$6-SUM(AJ$10:AJ80),-ROUNDDOWN($K81*AJ$5/100,0)),0)</f>
        <v>0</v>
      </c>
      <c r="AK81" s="38">
        <f>IF(AND(AK$7="○",$A81&gt;=AK$8,$A81&lt;=AK$9),IF(SUM(AK$10:AK80)-ROUNDDOWN($L81*AK$5/100,0)&lt;-AK$6,-AK$6-SUM(AK$10:AK80),-ROUNDDOWN($L81*AK$5/100,0)),0)</f>
        <v>0</v>
      </c>
      <c r="AL81" s="38">
        <f>IF(AND(AL$7="○",$A81&gt;=AL$8,$A81&lt;=AL$9),IF(SUM(AL$10:AL80)-ROUNDDOWN($N81*AL$5/100,0)&lt;-AL$6,-AL$6-SUM(AL$10:AL80),-ROUNDDOWN($N81*AL$5/100,0)),0)</f>
        <v>0</v>
      </c>
      <c r="AM81" s="38">
        <f>IF(AND(AM$7="○",$A81&gt;=AM$8,$A81&lt;=AM$9),IF(SUM(AM$10:AM80)-ROUNDDOWN($L81*AM$5/100,0)&lt;-AM$6,-AM$6-SUM(AM$10:AM80),-ROUNDDOWN($L81*AM$5/100,0)),0)</f>
        <v>0</v>
      </c>
      <c r="AN81" s="38">
        <f>IF(AND(AN$7="○",$A81&gt;=AN$8,$A81&lt;=AN$9),IF(SUM(AN$10:AN80)-ROUNDDOWN($M81*AN$5/100,0)&lt;-AN$6,-AN$6-SUM(AN$10:AN80),-ROUNDDOWN($M81*AN$5/100,0)),0)</f>
        <v>0</v>
      </c>
      <c r="AO81" s="38">
        <f>IF(AND($A81&gt;=AO$8,$A81&lt;=AO$9),IF(SUM(AO$10:AO80)-ROUNDDOWN($K81*AO$5/100,0)&lt;-AO$6,-AO$6-SUM(AO$10:AO80),-ROUNDDOWN($K81*AO$5/100,0)),0)</f>
        <v>0</v>
      </c>
      <c r="AP81" s="38">
        <f>IF(AND($A81&gt;=AP$8,$A81&lt;=AP$9),IF(SUM(AP$10:AP80)-ROUNDDOWN($K81*AP$5/100,0)&lt;-AP$6,-AP$6-SUM(AP$10:AP80),-ROUNDDOWN($K81*AP$5/100,0)),0)</f>
        <v>0</v>
      </c>
      <c r="AQ81" s="38">
        <f>IF(AND($A81&gt;=AQ$8,$A81&lt;=AQ$9),IF(SUM(AQ$10:AQ80)-ROUNDDOWN($K81*AQ$5/100,0)&lt;-AQ$6,-AQ$6-SUM(AQ$10:AQ80),-ROUNDDOWN($K81*AQ$5/100,0)),0)</f>
        <v>0</v>
      </c>
      <c r="AR81" s="38">
        <f>IF(AND($A81&gt;=AR$8,$A81&lt;=AR$9),IF(SUM(AR$10:AR80)-ROUNDDOWN($K81*AR$5/100,0)&lt;-AR$6,-AR$6-SUM(AR$10:AR80),-ROUNDDOWN($K81*AR$5/100,0)),0)</f>
        <v>0</v>
      </c>
      <c r="AS81" s="38">
        <f>IF(SUMIFS(AS$10:AS80,$A$10:$A80,$A81)-ROUNDDOWN($K81*$S81/100,0)&lt;-$S81*1000,-$S81*1000-SUMIFS(AS$10:AS80,$A$10:$A80,$A81),-ROUNDDOWN($K81*$S81/100,0))</f>
        <v>0</v>
      </c>
      <c r="AT81" s="38">
        <f>IF(AND(X81="○",$A81&gt;=AT$8,$A81&lt;=AT$9,K81&gt;=3980),IF(SUM(AT$10:AT80)-ROUNDDOWN($K81*AT$5/100,0)&lt;-AT$6,-AT$6-SUM(AT$10:AT80),-ROUNDDOWN($K81*AT$5/100,0)),0)</f>
        <v>0</v>
      </c>
      <c r="AU81" s="38">
        <f>IF(O81="○",IF(SUM(AU$10:AU80)-ROUNDDOWN($K81*AU$5/100,0)&lt;-AU$6,-AU$6-SUM(AU$10:AU80),-ROUNDDOWN($K81*AU$5/100,0)),0)</f>
        <v>0</v>
      </c>
      <c r="AV81" s="38">
        <f>IF(P81="○",IF(SUM(AV$10:AV80)-ROUNDDOWN($K81*AV$5/100,0)&lt;-AV$6,-AV$6-SUM(AV$10:AV80),-ROUNDDOWN($K81*AV$5/100,0)),0)</f>
        <v>0</v>
      </c>
      <c r="AW81" s="38">
        <f>IF(Q81="○",IF(SUM(AW$10:AW80)-ROUNDDOWN($K81*AW$5/100,0)&lt;-AW$6,-AW$6-SUM(AW$10:AW80),-ROUNDDOWN($K81*AW$5/100,0)),0)</f>
        <v>0</v>
      </c>
      <c r="AX81" s="38">
        <f>IF(R81="○",IF(SUM(AX$10:AX80)-ROUNDDOWN($K81*AX$5/100,0)&lt;-AX$6,-AX$6-SUM(AX$10:AX80),-ROUNDDOWN($K81*AX$5/100,0)),0)</f>
        <v>0</v>
      </c>
      <c r="AY81" s="70">
        <v>0</v>
      </c>
      <c r="AZ81" s="65">
        <f t="shared" si="41"/>
        <v>0</v>
      </c>
      <c r="BA81" s="65">
        <f t="shared" si="42"/>
        <v>0</v>
      </c>
      <c r="BB81" s="70"/>
      <c r="BC81" s="65">
        <f t="shared" si="43"/>
        <v>0</v>
      </c>
      <c r="BD81" s="70">
        <v>0</v>
      </c>
      <c r="BE81" s="65">
        <f t="shared" si="44"/>
        <v>0</v>
      </c>
      <c r="BF81" s="70">
        <v>0</v>
      </c>
      <c r="BG81" s="65">
        <f t="shared" si="45"/>
        <v>0</v>
      </c>
      <c r="BH81" s="70">
        <v>0</v>
      </c>
      <c r="BI81" s="65">
        <f t="shared" si="46"/>
        <v>0</v>
      </c>
      <c r="BJ81" s="38">
        <f>IF(AND(BJ$7="○",$A81&gt;=BJ$8,$A81&lt;=BJ$9),IF(SUM(BJ$10:BJ80)-ROUNDDOWN($M81*BJ$5/100,0)&lt;-BJ$6,-BJ$6-SUM(BJ$10:BJ80),-ROUNDDOWN($M81*BJ$5/100,0)),0)</f>
        <v>0</v>
      </c>
      <c r="BK81" s="38">
        <f>IF(AND(BK$7="○",$A81&gt;=BK$8,$A81&lt;=BK$9),IF(SUM(BK$10:BK80)-ROUNDDOWN($L81*BK$5/100,0)&lt;-BK$6,-BK$6-SUM(BK$10:BK80),-ROUNDDOWN($L81*BK$5/100,0)),0)</f>
        <v>0</v>
      </c>
      <c r="BL81" s="38">
        <f>IF(AND(BL$7="○",$A81&gt;=BL$8,$A81&lt;=BL$9),IF(SUM(BL$10:BL80)-ROUNDDOWN($L81*BL$5/100,0)&lt;-BL$6,-BL$6-SUM(BL$10:BL80),-ROUNDDOWN($L81*BL$5/100,0)),0)</f>
        <v>0</v>
      </c>
      <c r="BM81" s="38">
        <f>IF(AND(BM$7="○",$A81&gt;=BM$8,$A81&lt;=BM$9),IF(SUM(BM$10:BM80)-ROUNDDOWN($M81*BM$5/100,0)&lt;-BM$6,-BM$6-SUM(BM$10:BM80),-ROUNDDOWN($M81*BM$5/100,0)),0)</f>
        <v>0</v>
      </c>
      <c r="BN81" s="38">
        <f>IF(AND(BN$7="○",$A81&gt;=BN$8,$A81&lt;=BN$9),IF(SUM(BN$10:BN80)-ROUNDDOWN($M81*BN$5/100,0)&lt;-BN$6,-BN$6-SUM(BN$10:BN80),-ROUNDDOWN($M81*BN$5/100,0)),0)</f>
        <v>0</v>
      </c>
      <c r="BO81" s="38">
        <f>IF(AND(BO$7="○",$A81&gt;=BO$8,$A81&lt;=BO$9),IF(SUM(BO$10:BO80)-ROUNDDOWN($M81*BO$5/100,0)&lt;-BO$6,-BO$6-SUM(BO$10:BO80),-ROUNDDOWN($M81*BO$5/100,0)),0)</f>
        <v>0</v>
      </c>
      <c r="BP81" s="38">
        <f>IF(AND(BP$7="○",$A81&gt;=BP$8,$A81&lt;=BP$9),IF(SUM(BP$10:BP80)-ROUNDDOWN($M81*BP$5/100,0)&lt;-BP$6,-BP$6-SUM(BP$10:BP80),-ROUNDDOWN($M81*BP$5/100,0)),0)</f>
        <v>0</v>
      </c>
      <c r="BQ81" s="38">
        <f>IF(AND(BQ$7="○",$A81&gt;=BQ$8,$A81&lt;=BQ$9),IF(SUM(BQ$10:BQ80)-ROUNDDOWN($L81*BQ$5/100,0)&lt;-BQ$6,-BQ$6-SUM(BQ$10:BQ80),-ROUNDDOWN($L81*BQ$5/100,0)),0)</f>
        <v>0</v>
      </c>
      <c r="BR81" s="38">
        <f>IF(AND(BR$7="○",$A81&gt;=BR$8,$A81&lt;=BR$9),IF(SUM(BR$10:BR80)-ROUNDDOWN($M81*BR$5/100,0)&lt;-BR$6,-BR$6-SUM(BR$10:BR80),-ROUNDDOWN($M81*BR$5/100,0)),0)</f>
        <v>0</v>
      </c>
      <c r="BS81" s="38">
        <f>IF(AND(BS$7="○",$A81&gt;=BS$8,$A81&lt;=BS$9),IF(SUM(BS$10:BS80)-ROUNDDOWN($M81*BS$5/100,0)&lt;-BS$6,-BS$6-SUM(BS$10:BS80),-ROUNDDOWN($M81*BS$5/100,0)),0)</f>
        <v>0</v>
      </c>
      <c r="BT81" s="38">
        <f>IF(AND(BT$7="○",$A81&gt;=BT$8,$A81&lt;=BT$9),IF(SUM(BT$10:BT80)-ROUNDDOWN($M81*BT$5/100,0)&lt;-BT$6,-BT$6-SUM(BT$10:BT80),-ROUNDDOWN($M81*BT$5/100,0)),0)</f>
        <v>0</v>
      </c>
      <c r="BU81" s="38">
        <f>IF(AND(BU$7="○",$A81&gt;=BU$8,$A81&lt;=BU$9),IF(SUM(BU$10:BU80)-ROUNDDOWN($M81*BU$5/100,0)&lt;-BU$6,-BU$6-SUM(BU$10:BU80),-ROUNDDOWN($M81*BU$5/100,0)),0)</f>
        <v>0</v>
      </c>
      <c r="BV81" s="38">
        <f>IF(AND(BV$7="○",$A81&gt;=BV$8,$A81&lt;=BV$9),IF(SUM(BV$10:BV80)-ROUNDDOWN($M81*BV$5/100,0)&lt;-BV$6,-BV$6-SUM(BV$10:BV80),-ROUNDDOWN($M81*BV$5/100,0)),0)</f>
        <v>0</v>
      </c>
      <c r="BW81" s="38">
        <f>IF(AND(BW$7="○",$A81&gt;=BW$8,$A81&lt;=BW$9),IF(SUM(BW$10:BW80)-ROUNDDOWN($M81*BW$5/100,0)&lt;-BW$6,-BW$6-SUM(BW$10:BW80),-ROUNDDOWN($M81*BW$5/100,0)),0)</f>
        <v>0</v>
      </c>
      <c r="BX81" s="38">
        <f>IF(AND(T81="○",$A81&gt;=BX$8,$A81&lt;=BX$9),IF(SUM(BX$10:BX80)-ROUNDDOWN($K81*BX$5/100,0)&lt;-BX$6,-BX$6-SUM(BX$10:BX80),-ROUNDDOWN($K81*BX$5/100,0)),0)</f>
        <v>0</v>
      </c>
      <c r="BY81" s="38">
        <f>IF(AND(U81="○",$A81&gt;=BY$8,$A81&lt;=BY$9),IF(SUM(BY$10:BY80)-ROUNDDOWN($K81*BY$5/100,0)&lt;-BY$6,-BY$6-SUM(BY$10:BY80),-ROUNDDOWN($K81*BY$5/100,0)),0)</f>
        <v>0</v>
      </c>
      <c r="BZ81" s="38">
        <f>IF(AND(V81="○",$A81&gt;=BZ$8,$A81&lt;=BZ$9),IF(SUM(BZ$10:BZ80)-ROUNDDOWN($K81*BZ$5/100,0)&lt;-BZ$6,-BZ$6-SUM(BZ$10:BZ80),-ROUNDDOWN($K81*BZ$5/100,0)),0)</f>
        <v>0</v>
      </c>
      <c r="CA81" s="38">
        <f>IF(AND(W81="○",$A81&gt;=CA$8,$A81&lt;=CA$9),IF(SUM(CA$10:CA80)-ROUNDDOWN($K81*CA$5/100,0)&lt;-CA$6,-CA$6-SUM(CA$10:CA80),-ROUNDDOWN($K81*CA$5/100,0)),0)</f>
        <v>0</v>
      </c>
      <c r="CB81" s="38"/>
      <c r="CC81" s="38"/>
      <c r="CD81" s="38"/>
      <c r="CE81" s="38"/>
      <c r="CF81" s="38"/>
      <c r="CG81" s="65">
        <f t="shared" si="47"/>
        <v>0</v>
      </c>
      <c r="CH81" s="71">
        <f t="shared" si="48"/>
        <v>0</v>
      </c>
      <c r="CI81" s="1">
        <f t="shared" si="83"/>
        <v>0</v>
      </c>
      <c r="CJ81" s="1"/>
      <c r="CK81" s="72"/>
      <c r="CL81" s="72"/>
      <c r="CM81" s="2"/>
      <c r="CN81" s="2"/>
      <c r="CO81" s="73">
        <f t="shared" si="84"/>
        <v>0</v>
      </c>
      <c r="CP81" s="5">
        <f t="shared" si="85"/>
        <v>0</v>
      </c>
      <c r="CQ81" s="1"/>
      <c r="CR81" s="1">
        <f t="shared" si="86"/>
        <v>0</v>
      </c>
      <c r="CS81" s="1"/>
      <c r="CT81" s="1" t="e">
        <f>INDEX([2]マスタ!$A:$A,MATCH(D81,[2]マスタ!$C:$C,0))</f>
        <v>#N/A</v>
      </c>
      <c r="CU81" s="1" t="str">
        <f t="shared" ca="1" si="87"/>
        <v>20260620_0-0</v>
      </c>
    </row>
    <row r="82" spans="1:99" x14ac:dyDescent="0.4">
      <c r="A82" s="61"/>
      <c r="B82" s="62"/>
      <c r="C82" s="62"/>
      <c r="D82" s="62"/>
      <c r="E82" s="74"/>
      <c r="F82" s="62"/>
      <c r="G82" s="62">
        <v>1</v>
      </c>
      <c r="H82" s="64">
        <f t="shared" si="74"/>
        <v>0</v>
      </c>
      <c r="I82" s="64"/>
      <c r="J82" s="64"/>
      <c r="K82" s="65">
        <f t="shared" si="75"/>
        <v>0</v>
      </c>
      <c r="L82" s="65">
        <f t="shared" si="76"/>
        <v>0</v>
      </c>
      <c r="M82" s="65">
        <f t="shared" si="77"/>
        <v>0</v>
      </c>
      <c r="N82" s="65">
        <f t="shared" si="78"/>
        <v>0</v>
      </c>
      <c r="O82" s="66" t="str">
        <f t="shared" si="79"/>
        <v>✕</v>
      </c>
      <c r="P82" s="67" t="str">
        <f t="shared" si="80"/>
        <v>○</v>
      </c>
      <c r="Q82" s="67" t="str">
        <f t="shared" si="81"/>
        <v>✕</v>
      </c>
      <c r="R82" s="67" t="str">
        <f t="shared" si="82"/>
        <v>✕</v>
      </c>
      <c r="S82" s="68">
        <v>0</v>
      </c>
      <c r="T82" s="69" t="s">
        <v>85</v>
      </c>
      <c r="U82" s="69" t="s">
        <v>85</v>
      </c>
      <c r="V82" s="69" t="s">
        <v>85</v>
      </c>
      <c r="W82" s="69" t="s">
        <v>85</v>
      </c>
      <c r="X82" s="69" t="s">
        <v>84</v>
      </c>
      <c r="Y82" s="69" t="s">
        <v>85</v>
      </c>
      <c r="Z82" s="69" t="s">
        <v>85</v>
      </c>
      <c r="AA82" s="69" t="s">
        <v>85</v>
      </c>
      <c r="AB82" s="69" t="s">
        <v>85</v>
      </c>
      <c r="AC82" s="69" t="s">
        <v>85</v>
      </c>
      <c r="AD82" s="38" t="str">
        <f>+IF(ISERROR(VLOOKUP($B82,AD$10:AD81,1,0)),IF(AND($N82&gt;=1000,$A82&gt;=AO$8,$A82&lt;=AO$9),$B82,""),"")</f>
        <v/>
      </c>
      <c r="AE82" s="38" t="str">
        <f>+IF(ISERROR(VLOOKUP($B82,AE$10:AE81,1,0)),IF(AND($N82&gt;=1000,$A82&gt;=AP$8,$A82&lt;=AP$9),$B82,""),"")</f>
        <v/>
      </c>
      <c r="AF82" s="38" t="str">
        <f>+IF(ISERROR(VLOOKUP($B82,AF$10:AF81,1,0)),IF(AND($N82&gt;=1000,$A82&gt;=AQ$8,$A82&lt;=AQ$9),$B82,""),"")</f>
        <v/>
      </c>
      <c r="AG82" s="38" t="str">
        <f>+IF(ISERROR(VLOOKUP($B82,AG$10:AG81,1,0)),IF(AND($N82&gt;=1000,$A82&gt;=AR$8,$A82&lt;=AR$9),$B82,""),"")</f>
        <v/>
      </c>
      <c r="AH82" s="38"/>
      <c r="AI82" s="70">
        <v>0</v>
      </c>
      <c r="AJ82" s="38">
        <f>IF(AND(AJ$7="○",$A82&gt;=AJ$8,$A82&lt;=AJ$9),IF(SUM(AJ$10:AJ81)-ROUNDDOWN($K82*AJ$5/100,0)&lt;-AJ$6,-AJ$6-SUM(AJ$10:AJ81),-ROUNDDOWN($K82*AJ$5/100,0)),0)</f>
        <v>0</v>
      </c>
      <c r="AK82" s="38">
        <f>IF(AND(AK$7="○",$A82&gt;=AK$8,$A82&lt;=AK$9),IF(SUM(AK$10:AK81)-ROUNDDOWN($L82*AK$5/100,0)&lt;-AK$6,-AK$6-SUM(AK$10:AK81),-ROUNDDOWN($L82*AK$5/100,0)),0)</f>
        <v>0</v>
      </c>
      <c r="AL82" s="38">
        <f>IF(AND(AL$7="○",$A82&gt;=AL$8,$A82&lt;=AL$9),IF(SUM(AL$10:AL81)-ROUNDDOWN($N82*AL$5/100,0)&lt;-AL$6,-AL$6-SUM(AL$10:AL81),-ROUNDDOWN($N82*AL$5/100,0)),0)</f>
        <v>0</v>
      </c>
      <c r="AM82" s="38">
        <f>IF(AND(AM$7="○",$A82&gt;=AM$8,$A82&lt;=AM$9),IF(SUM(AM$10:AM81)-ROUNDDOWN($L82*AM$5/100,0)&lt;-AM$6,-AM$6-SUM(AM$10:AM81),-ROUNDDOWN($L82*AM$5/100,0)),0)</f>
        <v>0</v>
      </c>
      <c r="AN82" s="38">
        <f>IF(AND(AN$7="○",$A82&gt;=AN$8,$A82&lt;=AN$9),IF(SUM(AN$10:AN81)-ROUNDDOWN($M82*AN$5/100,0)&lt;-AN$6,-AN$6-SUM(AN$10:AN81),-ROUNDDOWN($M82*AN$5/100,0)),0)</f>
        <v>0</v>
      </c>
      <c r="AO82" s="38">
        <f>IF(AND($A82&gt;=AO$8,$A82&lt;=AO$9),IF(SUM(AO$10:AO81)-ROUNDDOWN($K82*AO$5/100,0)&lt;-AO$6,-AO$6-SUM(AO$10:AO81),-ROUNDDOWN($K82*AO$5/100,0)),0)</f>
        <v>0</v>
      </c>
      <c r="AP82" s="38">
        <f>IF(AND($A82&gt;=AP$8,$A82&lt;=AP$9),IF(SUM(AP$10:AP81)-ROUNDDOWN($K82*AP$5/100,0)&lt;-AP$6,-AP$6-SUM(AP$10:AP81),-ROUNDDOWN($K82*AP$5/100,0)),0)</f>
        <v>0</v>
      </c>
      <c r="AQ82" s="38">
        <f>IF(AND($A82&gt;=AQ$8,$A82&lt;=AQ$9),IF(SUM(AQ$10:AQ81)-ROUNDDOWN($K82*AQ$5/100,0)&lt;-AQ$6,-AQ$6-SUM(AQ$10:AQ81),-ROUNDDOWN($K82*AQ$5/100,0)),0)</f>
        <v>0</v>
      </c>
      <c r="AR82" s="38">
        <f>IF(AND($A82&gt;=AR$8,$A82&lt;=AR$9),IF(SUM(AR$10:AR81)-ROUNDDOWN($K82*AR$5/100,0)&lt;-AR$6,-AR$6-SUM(AR$10:AR81),-ROUNDDOWN($K82*AR$5/100,0)),0)</f>
        <v>0</v>
      </c>
      <c r="AS82" s="38">
        <f>IF(SUMIFS(AS$10:AS81,$A$10:$A81,$A82)-ROUNDDOWN($K82*$S82/100,0)&lt;-$S82*1000,-$S82*1000-SUMIFS(AS$10:AS81,$A$10:$A81,$A82),-ROUNDDOWN($K82*$S82/100,0))</f>
        <v>0</v>
      </c>
      <c r="AT82" s="38">
        <f>IF(AND(X82="○",$A82&gt;=AT$8,$A82&lt;=AT$9,K82&gt;=3980),IF(SUM(AT$10:AT81)-ROUNDDOWN($K82*AT$5/100,0)&lt;-AT$6,-AT$6-SUM(AT$10:AT81),-ROUNDDOWN($K82*AT$5/100,0)),0)</f>
        <v>0</v>
      </c>
      <c r="AU82" s="38">
        <f>IF(O82="○",IF(SUM(AU$10:AU81)-ROUNDDOWN($K82*AU$5/100,0)&lt;-AU$6,-AU$6-SUM(AU$10:AU81),-ROUNDDOWN($K82*AU$5/100,0)),0)</f>
        <v>0</v>
      </c>
      <c r="AV82" s="38">
        <f>IF(P82="○",IF(SUM(AV$10:AV81)-ROUNDDOWN($K82*AV$5/100,0)&lt;-AV$6,-AV$6-SUM(AV$10:AV81),-ROUNDDOWN($K82*AV$5/100,0)),0)</f>
        <v>0</v>
      </c>
      <c r="AW82" s="38">
        <f>IF(Q82="○",IF(SUM(AW$10:AW81)-ROUNDDOWN($K82*AW$5/100,0)&lt;-AW$6,-AW$6-SUM(AW$10:AW81),-ROUNDDOWN($K82*AW$5/100,0)),0)</f>
        <v>0</v>
      </c>
      <c r="AX82" s="38">
        <f>IF(R82="○",IF(SUM(AX$10:AX81)-ROUNDDOWN($K82*AX$5/100,0)&lt;-AX$6,-AX$6-SUM(AX$10:AX81),-ROUNDDOWN($K82*AX$5/100,0)),0)</f>
        <v>0</v>
      </c>
      <c r="AY82" s="70">
        <v>0</v>
      </c>
      <c r="AZ82" s="65">
        <f t="shared" si="41"/>
        <v>0</v>
      </c>
      <c r="BA82" s="65">
        <f t="shared" si="42"/>
        <v>0</v>
      </c>
      <c r="BB82" s="70"/>
      <c r="BC82" s="65">
        <f t="shared" si="43"/>
        <v>0</v>
      </c>
      <c r="BD82" s="70">
        <v>0</v>
      </c>
      <c r="BE82" s="65">
        <f t="shared" si="44"/>
        <v>0</v>
      </c>
      <c r="BF82" s="70">
        <v>0</v>
      </c>
      <c r="BG82" s="65">
        <f t="shared" si="45"/>
        <v>0</v>
      </c>
      <c r="BH82" s="70">
        <v>0</v>
      </c>
      <c r="BI82" s="65">
        <f t="shared" si="46"/>
        <v>0</v>
      </c>
      <c r="BJ82" s="38">
        <f>IF(AND(BJ$7="○",$A82&gt;=BJ$8,$A82&lt;=BJ$9),IF(SUM(BJ$10:BJ81)-ROUNDDOWN($M82*BJ$5/100,0)&lt;-BJ$6,-BJ$6-SUM(BJ$10:BJ81),-ROUNDDOWN($M82*BJ$5/100,0)),0)</f>
        <v>0</v>
      </c>
      <c r="BK82" s="38">
        <f>IF(AND(BK$7="○",$A82&gt;=BK$8,$A82&lt;=BK$9),IF(SUM(BK$10:BK81)-ROUNDDOWN($L82*BK$5/100,0)&lt;-BK$6,-BK$6-SUM(BK$10:BK81),-ROUNDDOWN($L82*BK$5/100,0)),0)</f>
        <v>0</v>
      </c>
      <c r="BL82" s="38">
        <f>IF(AND(BL$7="○",$A82&gt;=BL$8,$A82&lt;=BL$9),IF(SUM(BL$10:BL81)-ROUNDDOWN($L82*BL$5/100,0)&lt;-BL$6,-BL$6-SUM(BL$10:BL81),-ROUNDDOWN($L82*BL$5/100,0)),0)</f>
        <v>0</v>
      </c>
      <c r="BM82" s="38">
        <f>IF(AND(BM$7="○",$A82&gt;=BM$8,$A82&lt;=BM$9),IF(SUM(BM$10:BM81)-ROUNDDOWN($M82*BM$5/100,0)&lt;-BM$6,-BM$6-SUM(BM$10:BM81),-ROUNDDOWN($M82*BM$5/100,0)),0)</f>
        <v>0</v>
      </c>
      <c r="BN82" s="38">
        <f>IF(AND(BN$7="○",$A82&gt;=BN$8,$A82&lt;=BN$9),IF(SUM(BN$10:BN81)-ROUNDDOWN($M82*BN$5/100,0)&lt;-BN$6,-BN$6-SUM(BN$10:BN81),-ROUNDDOWN($M82*BN$5/100,0)),0)</f>
        <v>0</v>
      </c>
      <c r="BO82" s="38">
        <f>IF(AND(BO$7="○",$A82&gt;=BO$8,$A82&lt;=BO$9),IF(SUM(BO$10:BO81)-ROUNDDOWN($M82*BO$5/100,0)&lt;-BO$6,-BO$6-SUM(BO$10:BO81),-ROUNDDOWN($M82*BO$5/100,0)),0)</f>
        <v>0</v>
      </c>
      <c r="BP82" s="38">
        <f>IF(AND(BP$7="○",$A82&gt;=BP$8,$A82&lt;=BP$9),IF(SUM(BP$10:BP81)-ROUNDDOWN($M82*BP$5/100,0)&lt;-BP$6,-BP$6-SUM(BP$10:BP81),-ROUNDDOWN($M82*BP$5/100,0)),0)</f>
        <v>0</v>
      </c>
      <c r="BQ82" s="38">
        <f>IF(AND(BQ$7="○",$A82&gt;=BQ$8,$A82&lt;=BQ$9),IF(SUM(BQ$10:BQ81)-ROUNDDOWN($L82*BQ$5/100,0)&lt;-BQ$6,-BQ$6-SUM(BQ$10:BQ81),-ROUNDDOWN($L82*BQ$5/100,0)),0)</f>
        <v>0</v>
      </c>
      <c r="BR82" s="38">
        <f>IF(AND(BR$7="○",$A82&gt;=BR$8,$A82&lt;=BR$9),IF(SUM(BR$10:BR81)-ROUNDDOWN($M82*BR$5/100,0)&lt;-BR$6,-BR$6-SUM(BR$10:BR81),-ROUNDDOWN($M82*BR$5/100,0)),0)</f>
        <v>0</v>
      </c>
      <c r="BS82" s="38">
        <f>IF(AND(BS$7="○",$A82&gt;=BS$8,$A82&lt;=BS$9),IF(SUM(BS$10:BS81)-ROUNDDOWN($M82*BS$5/100,0)&lt;-BS$6,-BS$6-SUM(BS$10:BS81),-ROUNDDOWN($M82*BS$5/100,0)),0)</f>
        <v>0</v>
      </c>
      <c r="BT82" s="38">
        <f>IF(AND(BT$7="○",$A82&gt;=BT$8,$A82&lt;=BT$9),IF(SUM(BT$10:BT81)-ROUNDDOWN($M82*BT$5/100,0)&lt;-BT$6,-BT$6-SUM(BT$10:BT81),-ROUNDDOWN($M82*BT$5/100,0)),0)</f>
        <v>0</v>
      </c>
      <c r="BU82" s="38">
        <f>IF(AND(BU$7="○",$A82&gt;=BU$8,$A82&lt;=BU$9),IF(SUM(BU$10:BU81)-ROUNDDOWN($M82*BU$5/100,0)&lt;-BU$6,-BU$6-SUM(BU$10:BU81),-ROUNDDOWN($M82*BU$5/100,0)),0)</f>
        <v>0</v>
      </c>
      <c r="BV82" s="38">
        <f>IF(AND(BV$7="○",$A82&gt;=BV$8,$A82&lt;=BV$9),IF(SUM(BV$10:BV81)-ROUNDDOWN($M82*BV$5/100,0)&lt;-BV$6,-BV$6-SUM(BV$10:BV81),-ROUNDDOWN($M82*BV$5/100,0)),0)</f>
        <v>0</v>
      </c>
      <c r="BW82" s="38">
        <f>IF(AND(BW$7="○",$A82&gt;=BW$8,$A82&lt;=BW$9),IF(SUM(BW$10:BW81)-ROUNDDOWN($M82*BW$5/100,0)&lt;-BW$6,-BW$6-SUM(BW$10:BW81),-ROUNDDOWN($M82*BW$5/100,0)),0)</f>
        <v>0</v>
      </c>
      <c r="BX82" s="38">
        <f>IF(AND(T82="○",$A82&gt;=BX$8,$A82&lt;=BX$9),IF(SUM(BX$10:BX81)-ROUNDDOWN($K82*BX$5/100,0)&lt;-BX$6,-BX$6-SUM(BX$10:BX81),-ROUNDDOWN($K82*BX$5/100,0)),0)</f>
        <v>0</v>
      </c>
      <c r="BY82" s="38">
        <f>IF(AND(U82="○",$A82&gt;=BY$8,$A82&lt;=BY$9),IF(SUM(BY$10:BY81)-ROUNDDOWN($K82*BY$5/100,0)&lt;-BY$6,-BY$6-SUM(BY$10:BY81),-ROUNDDOWN($K82*BY$5/100,0)),0)</f>
        <v>0</v>
      </c>
      <c r="BZ82" s="38">
        <f>IF(AND(V82="○",$A82&gt;=BZ$8,$A82&lt;=BZ$9),IF(SUM(BZ$10:BZ81)-ROUNDDOWN($K82*BZ$5/100,0)&lt;-BZ$6,-BZ$6-SUM(BZ$10:BZ81),-ROUNDDOWN($K82*BZ$5/100,0)),0)</f>
        <v>0</v>
      </c>
      <c r="CA82" s="38">
        <f>IF(AND(W82="○",$A82&gt;=CA$8,$A82&lt;=CA$9),IF(SUM(CA$10:CA81)-ROUNDDOWN($K82*CA$5/100,0)&lt;-CA$6,-CA$6-SUM(CA$10:CA81),-ROUNDDOWN($K82*CA$5/100,0)),0)</f>
        <v>0</v>
      </c>
      <c r="CB82" s="38"/>
      <c r="CC82" s="38"/>
      <c r="CD82" s="38"/>
      <c r="CE82" s="38"/>
      <c r="CF82" s="38"/>
      <c r="CG82" s="65">
        <f t="shared" si="47"/>
        <v>0</v>
      </c>
      <c r="CH82" s="71">
        <f t="shared" si="48"/>
        <v>0</v>
      </c>
      <c r="CI82" s="1">
        <f t="shared" si="83"/>
        <v>0</v>
      </c>
      <c r="CJ82" s="1"/>
      <c r="CK82" s="72"/>
      <c r="CL82" s="72"/>
      <c r="CM82" s="2"/>
      <c r="CN82" s="2"/>
      <c r="CO82" s="73">
        <f t="shared" si="84"/>
        <v>0</v>
      </c>
      <c r="CP82" s="5">
        <f t="shared" si="85"/>
        <v>0</v>
      </c>
      <c r="CQ82" s="1"/>
      <c r="CR82" s="1">
        <f t="shared" si="86"/>
        <v>0</v>
      </c>
      <c r="CS82" s="1"/>
      <c r="CT82" s="1" t="e">
        <f>INDEX([2]マスタ!$A:$A,MATCH(D82,[2]マスタ!$C:$C,0))</f>
        <v>#N/A</v>
      </c>
      <c r="CU82" s="1" t="str">
        <f t="shared" ca="1" si="87"/>
        <v>20260620_0-0</v>
      </c>
    </row>
    <row r="83" spans="1:99" x14ac:dyDescent="0.4">
      <c r="A83" s="61"/>
      <c r="B83" s="62"/>
      <c r="C83" s="62"/>
      <c r="D83" s="62"/>
      <c r="E83" s="74"/>
      <c r="F83" s="62"/>
      <c r="G83" s="62">
        <v>1</v>
      </c>
      <c r="H83" s="64">
        <f t="shared" si="74"/>
        <v>0</v>
      </c>
      <c r="I83" s="64"/>
      <c r="J83" s="64"/>
      <c r="K83" s="65">
        <f t="shared" si="75"/>
        <v>0</v>
      </c>
      <c r="L83" s="65">
        <f t="shared" si="76"/>
        <v>0</v>
      </c>
      <c r="M83" s="65">
        <f t="shared" si="77"/>
        <v>0</v>
      </c>
      <c r="N83" s="65">
        <f t="shared" si="78"/>
        <v>0</v>
      </c>
      <c r="O83" s="66" t="str">
        <f t="shared" si="79"/>
        <v>✕</v>
      </c>
      <c r="P83" s="67" t="str">
        <f t="shared" si="80"/>
        <v>○</v>
      </c>
      <c r="Q83" s="67" t="str">
        <f t="shared" si="81"/>
        <v>✕</v>
      </c>
      <c r="R83" s="67" t="str">
        <f t="shared" si="82"/>
        <v>✕</v>
      </c>
      <c r="S83" s="68">
        <v>0</v>
      </c>
      <c r="T83" s="69" t="s">
        <v>85</v>
      </c>
      <c r="U83" s="69" t="s">
        <v>85</v>
      </c>
      <c r="V83" s="69" t="s">
        <v>85</v>
      </c>
      <c r="W83" s="69" t="s">
        <v>85</v>
      </c>
      <c r="X83" s="69" t="s">
        <v>84</v>
      </c>
      <c r="Y83" s="69" t="s">
        <v>85</v>
      </c>
      <c r="Z83" s="69" t="s">
        <v>85</v>
      </c>
      <c r="AA83" s="69" t="s">
        <v>85</v>
      </c>
      <c r="AB83" s="69" t="s">
        <v>85</v>
      </c>
      <c r="AC83" s="69" t="s">
        <v>85</v>
      </c>
      <c r="AD83" s="38" t="str">
        <f>+IF(ISERROR(VLOOKUP($B83,AD$10:AD82,1,0)),IF(AND($N83&gt;=1000,$A83&gt;=AO$8,$A83&lt;=AO$9),$B83,""),"")</f>
        <v/>
      </c>
      <c r="AE83" s="38" t="str">
        <f>+IF(ISERROR(VLOOKUP($B83,AE$10:AE82,1,0)),IF(AND($N83&gt;=1000,$A83&gt;=AP$8,$A83&lt;=AP$9),$B83,""),"")</f>
        <v/>
      </c>
      <c r="AF83" s="38" t="str">
        <f>+IF(ISERROR(VLOOKUP($B83,AF$10:AF82,1,0)),IF(AND($N83&gt;=1000,$A83&gt;=AQ$8,$A83&lt;=AQ$9),$B83,""),"")</f>
        <v/>
      </c>
      <c r="AG83" s="38" t="str">
        <f>+IF(ISERROR(VLOOKUP($B83,AG$10:AG82,1,0)),IF(AND($N83&gt;=1000,$A83&gt;=AR$8,$A83&lt;=AR$9),$B83,""),"")</f>
        <v/>
      </c>
      <c r="AH83" s="38"/>
      <c r="AI83" s="70">
        <v>0</v>
      </c>
      <c r="AJ83" s="38">
        <f>IF(AND(AJ$7="○",$A83&gt;=AJ$8,$A83&lt;=AJ$9),IF(SUM(AJ$10:AJ82)-ROUNDDOWN($K83*AJ$5/100,0)&lt;-AJ$6,-AJ$6-SUM(AJ$10:AJ82),-ROUNDDOWN($K83*AJ$5/100,0)),0)</f>
        <v>0</v>
      </c>
      <c r="AK83" s="38">
        <f>IF(AND(AK$7="○",$A83&gt;=AK$8,$A83&lt;=AK$9),IF(SUM(AK$10:AK82)-ROUNDDOWN($L83*AK$5/100,0)&lt;-AK$6,-AK$6-SUM(AK$10:AK82),-ROUNDDOWN($L83*AK$5/100,0)),0)</f>
        <v>0</v>
      </c>
      <c r="AL83" s="38">
        <f>IF(AND(AL$7="○",$A83&gt;=AL$8,$A83&lt;=AL$9),IF(SUM(AL$10:AL82)-ROUNDDOWN($N83*AL$5/100,0)&lt;-AL$6,-AL$6-SUM(AL$10:AL82),-ROUNDDOWN($N83*AL$5/100,0)),0)</f>
        <v>0</v>
      </c>
      <c r="AM83" s="38">
        <f>IF(AND(AM$7="○",$A83&gt;=AM$8,$A83&lt;=AM$9),IF(SUM(AM$10:AM82)-ROUNDDOWN($L83*AM$5/100,0)&lt;-AM$6,-AM$6-SUM(AM$10:AM82),-ROUNDDOWN($L83*AM$5/100,0)),0)</f>
        <v>0</v>
      </c>
      <c r="AN83" s="38">
        <f>IF(AND(AN$7="○",$A83&gt;=AN$8,$A83&lt;=AN$9),IF(SUM(AN$10:AN82)-ROUNDDOWN($M83*AN$5/100,0)&lt;-AN$6,-AN$6-SUM(AN$10:AN82),-ROUNDDOWN($M83*AN$5/100,0)),0)</f>
        <v>0</v>
      </c>
      <c r="AO83" s="38">
        <f>IF(AND($A83&gt;=AO$8,$A83&lt;=AO$9),IF(SUM(AO$10:AO82)-ROUNDDOWN($K83*AO$5/100,0)&lt;-AO$6,-AO$6-SUM(AO$10:AO82),-ROUNDDOWN($K83*AO$5/100,0)),0)</f>
        <v>0</v>
      </c>
      <c r="AP83" s="38">
        <f>IF(AND($A83&gt;=AP$8,$A83&lt;=AP$9),IF(SUM(AP$10:AP82)-ROUNDDOWN($K83*AP$5/100,0)&lt;-AP$6,-AP$6-SUM(AP$10:AP82),-ROUNDDOWN($K83*AP$5/100,0)),0)</f>
        <v>0</v>
      </c>
      <c r="AQ83" s="38">
        <f>IF(AND($A83&gt;=AQ$8,$A83&lt;=AQ$9),IF(SUM(AQ$10:AQ82)-ROUNDDOWN($K83*AQ$5/100,0)&lt;-AQ$6,-AQ$6-SUM(AQ$10:AQ82),-ROUNDDOWN($K83*AQ$5/100,0)),0)</f>
        <v>0</v>
      </c>
      <c r="AR83" s="38">
        <f>IF(AND($A83&gt;=AR$8,$A83&lt;=AR$9),IF(SUM(AR$10:AR82)-ROUNDDOWN($K83*AR$5/100,0)&lt;-AR$6,-AR$6-SUM(AR$10:AR82),-ROUNDDOWN($K83*AR$5/100,0)),0)</f>
        <v>0</v>
      </c>
      <c r="AS83" s="38">
        <f>IF(SUMIFS(AS$10:AS82,$A$10:$A82,$A83)-ROUNDDOWN($K83*$S83/100,0)&lt;-$S83*1000,-$S83*1000-SUMIFS(AS$10:AS82,$A$10:$A82,$A83),-ROUNDDOWN($K83*$S83/100,0))</f>
        <v>0</v>
      </c>
      <c r="AT83" s="38">
        <f>IF(AND(X83="○",$A83&gt;=AT$8,$A83&lt;=AT$9,K83&gt;=3980),IF(SUM(AT$10:AT82)-ROUNDDOWN($K83*AT$5/100,0)&lt;-AT$6,-AT$6-SUM(AT$10:AT82),-ROUNDDOWN($K83*AT$5/100,0)),0)</f>
        <v>0</v>
      </c>
      <c r="AU83" s="38">
        <f>IF(O83="○",IF(SUM(AU$10:AU82)-ROUNDDOWN($K83*AU$5/100,0)&lt;-AU$6,-AU$6-SUM(AU$10:AU82),-ROUNDDOWN($K83*AU$5/100,0)),0)</f>
        <v>0</v>
      </c>
      <c r="AV83" s="38">
        <f>IF(P83="○",IF(SUM(AV$10:AV82)-ROUNDDOWN($K83*AV$5/100,0)&lt;-AV$6,-AV$6-SUM(AV$10:AV82),-ROUNDDOWN($K83*AV$5/100,0)),0)</f>
        <v>0</v>
      </c>
      <c r="AW83" s="38">
        <f>IF(Q83="○",IF(SUM(AW$10:AW82)-ROUNDDOWN($K83*AW$5/100,0)&lt;-AW$6,-AW$6-SUM(AW$10:AW82),-ROUNDDOWN($K83*AW$5/100,0)),0)</f>
        <v>0</v>
      </c>
      <c r="AX83" s="38">
        <f>IF(R83="○",IF(SUM(AX$10:AX82)-ROUNDDOWN($K83*AX$5/100,0)&lt;-AX$6,-AX$6-SUM(AX$10:AX82),-ROUNDDOWN($K83*AX$5/100,0)),0)</f>
        <v>0</v>
      </c>
      <c r="AY83" s="70">
        <v>0</v>
      </c>
      <c r="AZ83" s="65">
        <f t="shared" ref="AZ83:AZ146" si="88">-ROUNDDOWN($K83*AY83/100,0)</f>
        <v>0</v>
      </c>
      <c r="BA83" s="65">
        <f t="shared" ref="BA83:BA146" si="89">-ROUNDDOWN($K83*AI83/100,0)</f>
        <v>0</v>
      </c>
      <c r="BB83" s="70"/>
      <c r="BC83" s="65">
        <f t="shared" ref="BC83:BC146" si="90">-ROUNDDOWN($K83*BB83/100,0)</f>
        <v>0</v>
      </c>
      <c r="BD83" s="70">
        <v>0</v>
      </c>
      <c r="BE83" s="65">
        <f t="shared" ref="BE83:BE146" si="91">-ROUNDDOWN($K83*BD83/100,0)</f>
        <v>0</v>
      </c>
      <c r="BF83" s="70">
        <v>0</v>
      </c>
      <c r="BG83" s="65">
        <f t="shared" ref="BG83:BG146" si="92">-ROUNDDOWN($K83*BF83/100,0)</f>
        <v>0</v>
      </c>
      <c r="BH83" s="70">
        <v>0</v>
      </c>
      <c r="BI83" s="65">
        <f t="shared" ref="BI83:BI146" si="93">-ROUNDDOWN($K83*BH83/100,0)</f>
        <v>0</v>
      </c>
      <c r="BJ83" s="38">
        <f>IF(AND(BJ$7="○",$A83&gt;=BJ$8,$A83&lt;=BJ$9),IF(SUM(BJ$10:BJ82)-ROUNDDOWN($M83*BJ$5/100,0)&lt;-BJ$6,-BJ$6-SUM(BJ$10:BJ82),-ROUNDDOWN($M83*BJ$5/100,0)),0)</f>
        <v>0</v>
      </c>
      <c r="BK83" s="38">
        <f>IF(AND(BK$7="○",$A83&gt;=BK$8,$A83&lt;=BK$9),IF(SUM(BK$10:BK82)-ROUNDDOWN($L83*BK$5/100,0)&lt;-BK$6,-BK$6-SUM(BK$10:BK82),-ROUNDDOWN($L83*BK$5/100,0)),0)</f>
        <v>0</v>
      </c>
      <c r="BL83" s="38">
        <f>IF(AND(BL$7="○",$A83&gt;=BL$8,$A83&lt;=BL$9),IF(SUM(BL$10:BL82)-ROUNDDOWN($L83*BL$5/100,0)&lt;-BL$6,-BL$6-SUM(BL$10:BL82),-ROUNDDOWN($L83*BL$5/100,0)),0)</f>
        <v>0</v>
      </c>
      <c r="BM83" s="38">
        <f>IF(AND(BM$7="○",$A83&gt;=BM$8,$A83&lt;=BM$9),IF(SUM(BM$10:BM82)-ROUNDDOWN($M83*BM$5/100,0)&lt;-BM$6,-BM$6-SUM(BM$10:BM82),-ROUNDDOWN($M83*BM$5/100,0)),0)</f>
        <v>0</v>
      </c>
      <c r="BN83" s="38">
        <f>IF(AND(BN$7="○",$A83&gt;=BN$8,$A83&lt;=BN$9),IF(SUM(BN$10:BN82)-ROUNDDOWN($M83*BN$5/100,0)&lt;-BN$6,-BN$6-SUM(BN$10:BN82),-ROUNDDOWN($M83*BN$5/100,0)),0)</f>
        <v>0</v>
      </c>
      <c r="BO83" s="38">
        <f>IF(AND(BO$7="○",$A83&gt;=BO$8,$A83&lt;=BO$9),IF(SUM(BO$10:BO82)-ROUNDDOWN($M83*BO$5/100,0)&lt;-BO$6,-BO$6-SUM(BO$10:BO82),-ROUNDDOWN($M83*BO$5/100,0)),0)</f>
        <v>0</v>
      </c>
      <c r="BP83" s="38">
        <f>IF(AND(BP$7="○",$A83&gt;=BP$8,$A83&lt;=BP$9),IF(SUM(BP$10:BP82)-ROUNDDOWN($M83*BP$5/100,0)&lt;-BP$6,-BP$6-SUM(BP$10:BP82),-ROUNDDOWN($M83*BP$5/100,0)),0)</f>
        <v>0</v>
      </c>
      <c r="BQ83" s="38">
        <f>IF(AND(BQ$7="○",$A83&gt;=BQ$8,$A83&lt;=BQ$9),IF(SUM(BQ$10:BQ82)-ROUNDDOWN($L83*BQ$5/100,0)&lt;-BQ$6,-BQ$6-SUM(BQ$10:BQ82),-ROUNDDOWN($L83*BQ$5/100,0)),0)</f>
        <v>0</v>
      </c>
      <c r="BR83" s="38">
        <f>IF(AND(BR$7="○",$A83&gt;=BR$8,$A83&lt;=BR$9),IF(SUM(BR$10:BR82)-ROUNDDOWN($M83*BR$5/100,0)&lt;-BR$6,-BR$6-SUM(BR$10:BR82),-ROUNDDOWN($M83*BR$5/100,0)),0)</f>
        <v>0</v>
      </c>
      <c r="BS83" s="38">
        <f>IF(AND(BS$7="○",$A83&gt;=BS$8,$A83&lt;=BS$9),IF(SUM(BS$10:BS82)-ROUNDDOWN($M83*BS$5/100,0)&lt;-BS$6,-BS$6-SUM(BS$10:BS82),-ROUNDDOWN($M83*BS$5/100,0)),0)</f>
        <v>0</v>
      </c>
      <c r="BT83" s="38">
        <f>IF(AND(BT$7="○",$A83&gt;=BT$8,$A83&lt;=BT$9),IF(SUM(BT$10:BT82)-ROUNDDOWN($M83*BT$5/100,0)&lt;-BT$6,-BT$6-SUM(BT$10:BT82),-ROUNDDOWN($M83*BT$5/100,0)),0)</f>
        <v>0</v>
      </c>
      <c r="BU83" s="38">
        <f>IF(AND(BU$7="○",$A83&gt;=BU$8,$A83&lt;=BU$9),IF(SUM(BU$10:BU82)-ROUNDDOWN($M83*BU$5/100,0)&lt;-BU$6,-BU$6-SUM(BU$10:BU82),-ROUNDDOWN($M83*BU$5/100,0)),0)</f>
        <v>0</v>
      </c>
      <c r="BV83" s="38">
        <f>IF(AND(BV$7="○",$A83&gt;=BV$8,$A83&lt;=BV$9),IF(SUM(BV$10:BV82)-ROUNDDOWN($M83*BV$5/100,0)&lt;-BV$6,-BV$6-SUM(BV$10:BV82),-ROUNDDOWN($M83*BV$5/100,0)),0)</f>
        <v>0</v>
      </c>
      <c r="BW83" s="38">
        <f>IF(AND(BW$7="○",$A83&gt;=BW$8,$A83&lt;=BW$9),IF(SUM(BW$10:BW82)-ROUNDDOWN($M83*BW$5/100,0)&lt;-BW$6,-BW$6-SUM(BW$10:BW82),-ROUNDDOWN($M83*BW$5/100,0)),0)</f>
        <v>0</v>
      </c>
      <c r="BX83" s="38">
        <f>IF(AND(T83="○",$A83&gt;=BX$8,$A83&lt;=BX$9),IF(SUM(BX$10:BX82)-ROUNDDOWN($K83*BX$5/100,0)&lt;-BX$6,-BX$6-SUM(BX$10:BX82),-ROUNDDOWN($K83*BX$5/100,0)),0)</f>
        <v>0</v>
      </c>
      <c r="BY83" s="38">
        <f>IF(AND(U83="○",$A83&gt;=BY$8,$A83&lt;=BY$9),IF(SUM(BY$10:BY82)-ROUNDDOWN($K83*BY$5/100,0)&lt;-BY$6,-BY$6-SUM(BY$10:BY82),-ROUNDDOWN($K83*BY$5/100,0)),0)</f>
        <v>0</v>
      </c>
      <c r="BZ83" s="38">
        <f>IF(AND(V83="○",$A83&gt;=BZ$8,$A83&lt;=BZ$9),IF(SUM(BZ$10:BZ82)-ROUNDDOWN($K83*BZ$5/100,0)&lt;-BZ$6,-BZ$6-SUM(BZ$10:BZ82),-ROUNDDOWN($K83*BZ$5/100,0)),0)</f>
        <v>0</v>
      </c>
      <c r="CA83" s="38">
        <f>IF(AND(W83="○",$A83&gt;=CA$8,$A83&lt;=CA$9),IF(SUM(CA$10:CA82)-ROUNDDOWN($K83*CA$5/100,0)&lt;-CA$6,-CA$6-SUM(CA$10:CA82),-ROUNDDOWN($K83*CA$5/100,0)),0)</f>
        <v>0</v>
      </c>
      <c r="CB83" s="38"/>
      <c r="CC83" s="38"/>
      <c r="CD83" s="38"/>
      <c r="CE83" s="38"/>
      <c r="CF83" s="38"/>
      <c r="CG83" s="65">
        <f t="shared" ref="CG83:CG146" si="94">+SUM(AJ83:CF83,BC83,BE83,AZ83,BA83,BG83,BI83)</f>
        <v>0</v>
      </c>
      <c r="CH83" s="71">
        <f t="shared" ref="CH83:CH146" si="95">+CG83+N83</f>
        <v>0</v>
      </c>
      <c r="CI83" s="1">
        <f t="shared" si="83"/>
        <v>0</v>
      </c>
      <c r="CJ83" s="1"/>
      <c r="CK83" s="72"/>
      <c r="CL83" s="72"/>
      <c r="CM83" s="2"/>
      <c r="CN83" s="2"/>
      <c r="CO83" s="73">
        <f t="shared" si="84"/>
        <v>0</v>
      </c>
      <c r="CP83" s="5">
        <f t="shared" si="85"/>
        <v>0</v>
      </c>
      <c r="CQ83" s="1"/>
      <c r="CR83" s="1">
        <f t="shared" si="86"/>
        <v>0</v>
      </c>
      <c r="CS83" s="1"/>
      <c r="CT83" s="1" t="e">
        <f>INDEX([2]マスタ!$A:$A,MATCH(D83,[2]マスタ!$C:$C,0))</f>
        <v>#N/A</v>
      </c>
      <c r="CU83" s="1" t="str">
        <f t="shared" ca="1" si="87"/>
        <v>20260620_0-0</v>
      </c>
    </row>
    <row r="84" spans="1:99" x14ac:dyDescent="0.4">
      <c r="A84" s="61"/>
      <c r="B84" s="62"/>
      <c r="C84" s="62"/>
      <c r="D84" s="62"/>
      <c r="E84" s="74"/>
      <c r="F84" s="62"/>
      <c r="G84" s="62">
        <v>1</v>
      </c>
      <c r="H84" s="64">
        <f t="shared" si="74"/>
        <v>0</v>
      </c>
      <c r="I84" s="64"/>
      <c r="J84" s="64"/>
      <c r="K84" s="65">
        <f t="shared" si="75"/>
        <v>0</v>
      </c>
      <c r="L84" s="65">
        <f t="shared" si="76"/>
        <v>0</v>
      </c>
      <c r="M84" s="65">
        <f t="shared" si="77"/>
        <v>0</v>
      </c>
      <c r="N84" s="65">
        <f t="shared" si="78"/>
        <v>0</v>
      </c>
      <c r="O84" s="66" t="str">
        <f t="shared" si="79"/>
        <v>✕</v>
      </c>
      <c r="P84" s="67" t="str">
        <f t="shared" si="80"/>
        <v>○</v>
      </c>
      <c r="Q84" s="67" t="str">
        <f t="shared" si="81"/>
        <v>✕</v>
      </c>
      <c r="R84" s="67" t="str">
        <f t="shared" si="82"/>
        <v>✕</v>
      </c>
      <c r="S84" s="68">
        <v>0</v>
      </c>
      <c r="T84" s="69" t="s">
        <v>85</v>
      </c>
      <c r="U84" s="69" t="s">
        <v>85</v>
      </c>
      <c r="V84" s="69" t="s">
        <v>85</v>
      </c>
      <c r="W84" s="69" t="s">
        <v>85</v>
      </c>
      <c r="X84" s="69" t="s">
        <v>84</v>
      </c>
      <c r="Y84" s="69" t="s">
        <v>85</v>
      </c>
      <c r="Z84" s="69" t="s">
        <v>85</v>
      </c>
      <c r="AA84" s="69" t="s">
        <v>85</v>
      </c>
      <c r="AB84" s="69" t="s">
        <v>85</v>
      </c>
      <c r="AC84" s="69" t="s">
        <v>85</v>
      </c>
      <c r="AD84" s="38" t="str">
        <f>+IF(ISERROR(VLOOKUP($B84,AD$10:AD83,1,0)),IF(AND($N84&gt;=1000,$A84&gt;=AO$8,$A84&lt;=AO$9),$B84,""),"")</f>
        <v/>
      </c>
      <c r="AE84" s="38" t="str">
        <f>+IF(ISERROR(VLOOKUP($B84,AE$10:AE83,1,0)),IF(AND($N84&gt;=1000,$A84&gt;=AP$8,$A84&lt;=AP$9),$B84,""),"")</f>
        <v/>
      </c>
      <c r="AF84" s="38" t="str">
        <f>+IF(ISERROR(VLOOKUP($B84,AF$10:AF83,1,0)),IF(AND($N84&gt;=1000,$A84&gt;=AQ$8,$A84&lt;=AQ$9),$B84,""),"")</f>
        <v/>
      </c>
      <c r="AG84" s="38" t="str">
        <f>+IF(ISERROR(VLOOKUP($B84,AG$10:AG83,1,0)),IF(AND($N84&gt;=1000,$A84&gt;=AR$8,$A84&lt;=AR$9),$B84,""),"")</f>
        <v/>
      </c>
      <c r="AH84" s="38"/>
      <c r="AI84" s="70">
        <v>0</v>
      </c>
      <c r="AJ84" s="38">
        <f>IF(AND(AJ$7="○",$A84&gt;=AJ$8,$A84&lt;=AJ$9),IF(SUM(AJ$10:AJ83)-ROUNDDOWN($K84*AJ$5/100,0)&lt;-AJ$6,-AJ$6-SUM(AJ$10:AJ83),-ROUNDDOWN($K84*AJ$5/100,0)),0)</f>
        <v>0</v>
      </c>
      <c r="AK84" s="38">
        <f>IF(AND(AK$7="○",$A84&gt;=AK$8,$A84&lt;=AK$9),IF(SUM(AK$10:AK83)-ROUNDDOWN($L84*AK$5/100,0)&lt;-AK$6,-AK$6-SUM(AK$10:AK83),-ROUNDDOWN($L84*AK$5/100,0)),0)</f>
        <v>0</v>
      </c>
      <c r="AL84" s="38">
        <f>IF(AND(AL$7="○",$A84&gt;=AL$8,$A84&lt;=AL$9),IF(SUM(AL$10:AL83)-ROUNDDOWN($N84*AL$5/100,0)&lt;-AL$6,-AL$6-SUM(AL$10:AL83),-ROUNDDOWN($N84*AL$5/100,0)),0)</f>
        <v>0</v>
      </c>
      <c r="AM84" s="38">
        <f>IF(AND(AM$7="○",$A84&gt;=AM$8,$A84&lt;=AM$9),IF(SUM(AM$10:AM83)-ROUNDDOWN($L84*AM$5/100,0)&lt;-AM$6,-AM$6-SUM(AM$10:AM83),-ROUNDDOWN($L84*AM$5/100,0)),0)</f>
        <v>0</v>
      </c>
      <c r="AN84" s="38">
        <f>IF(AND(AN$7="○",$A84&gt;=AN$8,$A84&lt;=AN$9),IF(SUM(AN$10:AN83)-ROUNDDOWN($M84*AN$5/100,0)&lt;-AN$6,-AN$6-SUM(AN$10:AN83),-ROUNDDOWN($M84*AN$5/100,0)),0)</f>
        <v>0</v>
      </c>
      <c r="AO84" s="38">
        <f>IF(AND($A84&gt;=AO$8,$A84&lt;=AO$9),IF(SUM(AO$10:AO83)-ROUNDDOWN($K84*AO$5/100,0)&lt;-AO$6,-AO$6-SUM(AO$10:AO83),-ROUNDDOWN($K84*AO$5/100,0)),0)</f>
        <v>0</v>
      </c>
      <c r="AP84" s="38">
        <f>IF(AND($A84&gt;=AP$8,$A84&lt;=AP$9),IF(SUM(AP$10:AP83)-ROUNDDOWN($K84*AP$5/100,0)&lt;-AP$6,-AP$6-SUM(AP$10:AP83),-ROUNDDOWN($K84*AP$5/100,0)),0)</f>
        <v>0</v>
      </c>
      <c r="AQ84" s="38">
        <f>IF(AND($A84&gt;=AQ$8,$A84&lt;=AQ$9),IF(SUM(AQ$10:AQ83)-ROUNDDOWN($K84*AQ$5/100,0)&lt;-AQ$6,-AQ$6-SUM(AQ$10:AQ83),-ROUNDDOWN($K84*AQ$5/100,0)),0)</f>
        <v>0</v>
      </c>
      <c r="AR84" s="38">
        <f>IF(AND($A84&gt;=AR$8,$A84&lt;=AR$9),IF(SUM(AR$10:AR83)-ROUNDDOWN($K84*AR$5/100,0)&lt;-AR$6,-AR$6-SUM(AR$10:AR83),-ROUNDDOWN($K84*AR$5/100,0)),0)</f>
        <v>0</v>
      </c>
      <c r="AS84" s="38">
        <f>IF(SUMIFS(AS$10:AS83,$A$10:$A83,$A84)-ROUNDDOWN($K84*$S84/100,0)&lt;-$S84*1000,-$S84*1000-SUMIFS(AS$10:AS83,$A$10:$A83,$A84),-ROUNDDOWN($K84*$S84/100,0))</f>
        <v>0</v>
      </c>
      <c r="AT84" s="38">
        <f>IF(AND(X84="○",$A84&gt;=AT$8,$A84&lt;=AT$9,K84&gt;=3980),IF(SUM(AT$10:AT83)-ROUNDDOWN($K84*AT$5/100,0)&lt;-AT$6,-AT$6-SUM(AT$10:AT83),-ROUNDDOWN($K84*AT$5/100,0)),0)</f>
        <v>0</v>
      </c>
      <c r="AU84" s="38">
        <f>IF(O84="○",IF(SUM(AU$10:AU83)-ROUNDDOWN($K84*AU$5/100,0)&lt;-AU$6,-AU$6-SUM(AU$10:AU83),-ROUNDDOWN($K84*AU$5/100,0)),0)</f>
        <v>0</v>
      </c>
      <c r="AV84" s="38">
        <f>IF(P84="○",IF(SUM(AV$10:AV83)-ROUNDDOWN($K84*AV$5/100,0)&lt;-AV$6,-AV$6-SUM(AV$10:AV83),-ROUNDDOWN($K84*AV$5/100,0)),0)</f>
        <v>0</v>
      </c>
      <c r="AW84" s="38">
        <f>IF(Q84="○",IF(SUM(AW$10:AW83)-ROUNDDOWN($K84*AW$5/100,0)&lt;-AW$6,-AW$6-SUM(AW$10:AW83),-ROUNDDOWN($K84*AW$5/100,0)),0)</f>
        <v>0</v>
      </c>
      <c r="AX84" s="38">
        <f>IF(R84="○",IF(SUM(AX$10:AX83)-ROUNDDOWN($K84*AX$5/100,0)&lt;-AX$6,-AX$6-SUM(AX$10:AX83),-ROUNDDOWN($K84*AX$5/100,0)),0)</f>
        <v>0</v>
      </c>
      <c r="AY84" s="70">
        <v>0</v>
      </c>
      <c r="AZ84" s="65">
        <f t="shared" si="88"/>
        <v>0</v>
      </c>
      <c r="BA84" s="65">
        <f t="shared" si="89"/>
        <v>0</v>
      </c>
      <c r="BB84" s="70"/>
      <c r="BC84" s="65">
        <f t="shared" si="90"/>
        <v>0</v>
      </c>
      <c r="BD84" s="70">
        <v>0</v>
      </c>
      <c r="BE84" s="65">
        <f t="shared" si="91"/>
        <v>0</v>
      </c>
      <c r="BF84" s="70">
        <v>0</v>
      </c>
      <c r="BG84" s="65">
        <f t="shared" si="92"/>
        <v>0</v>
      </c>
      <c r="BH84" s="70">
        <v>0</v>
      </c>
      <c r="BI84" s="65">
        <f t="shared" si="93"/>
        <v>0</v>
      </c>
      <c r="BJ84" s="38">
        <f>IF(AND(BJ$7="○",$A84&gt;=BJ$8,$A84&lt;=BJ$9),IF(SUM(BJ$10:BJ83)-ROUNDDOWN($M84*BJ$5/100,0)&lt;-BJ$6,-BJ$6-SUM(BJ$10:BJ83),-ROUNDDOWN($M84*BJ$5/100,0)),0)</f>
        <v>0</v>
      </c>
      <c r="BK84" s="38">
        <f>IF(AND(BK$7="○",$A84&gt;=BK$8,$A84&lt;=BK$9),IF(SUM(BK$10:BK83)-ROUNDDOWN($L84*BK$5/100,0)&lt;-BK$6,-BK$6-SUM(BK$10:BK83),-ROUNDDOWN($L84*BK$5/100,0)),0)</f>
        <v>0</v>
      </c>
      <c r="BL84" s="38">
        <f>IF(AND(BL$7="○",$A84&gt;=BL$8,$A84&lt;=BL$9),IF(SUM(BL$10:BL83)-ROUNDDOWN($L84*BL$5/100,0)&lt;-BL$6,-BL$6-SUM(BL$10:BL83),-ROUNDDOWN($L84*BL$5/100,0)),0)</f>
        <v>0</v>
      </c>
      <c r="BM84" s="38">
        <f>IF(AND(BM$7="○",$A84&gt;=BM$8,$A84&lt;=BM$9),IF(SUM(BM$10:BM83)-ROUNDDOWN($M84*BM$5/100,0)&lt;-BM$6,-BM$6-SUM(BM$10:BM83),-ROUNDDOWN($M84*BM$5/100,0)),0)</f>
        <v>0</v>
      </c>
      <c r="BN84" s="38">
        <f>IF(AND(BN$7="○",$A84&gt;=BN$8,$A84&lt;=BN$9),IF(SUM(BN$10:BN83)-ROUNDDOWN($M84*BN$5/100,0)&lt;-BN$6,-BN$6-SUM(BN$10:BN83),-ROUNDDOWN($M84*BN$5/100,0)),0)</f>
        <v>0</v>
      </c>
      <c r="BO84" s="38">
        <f>IF(AND(BO$7="○",$A84&gt;=BO$8,$A84&lt;=BO$9),IF(SUM(BO$10:BO83)-ROUNDDOWN($M84*BO$5/100,0)&lt;-BO$6,-BO$6-SUM(BO$10:BO83),-ROUNDDOWN($M84*BO$5/100,0)),0)</f>
        <v>0</v>
      </c>
      <c r="BP84" s="38">
        <f>IF(AND(BP$7="○",$A84&gt;=BP$8,$A84&lt;=BP$9),IF(SUM(BP$10:BP83)-ROUNDDOWN($M84*BP$5/100,0)&lt;-BP$6,-BP$6-SUM(BP$10:BP83),-ROUNDDOWN($M84*BP$5/100,0)),0)</f>
        <v>0</v>
      </c>
      <c r="BQ84" s="38">
        <f>IF(AND(BQ$7="○",$A84&gt;=BQ$8,$A84&lt;=BQ$9),IF(SUM(BQ$10:BQ83)-ROUNDDOWN($L84*BQ$5/100,0)&lt;-BQ$6,-BQ$6-SUM(BQ$10:BQ83),-ROUNDDOWN($L84*BQ$5/100,0)),0)</f>
        <v>0</v>
      </c>
      <c r="BR84" s="38">
        <f>IF(AND(BR$7="○",$A84&gt;=BR$8,$A84&lt;=BR$9),IF(SUM(BR$10:BR83)-ROUNDDOWN($M84*BR$5/100,0)&lt;-BR$6,-BR$6-SUM(BR$10:BR83),-ROUNDDOWN($M84*BR$5/100,0)),0)</f>
        <v>0</v>
      </c>
      <c r="BS84" s="38">
        <f>IF(AND(BS$7="○",$A84&gt;=BS$8,$A84&lt;=BS$9),IF(SUM(BS$10:BS83)-ROUNDDOWN($M84*BS$5/100,0)&lt;-BS$6,-BS$6-SUM(BS$10:BS83),-ROUNDDOWN($M84*BS$5/100,0)),0)</f>
        <v>0</v>
      </c>
      <c r="BT84" s="38">
        <f>IF(AND(BT$7="○",$A84&gt;=BT$8,$A84&lt;=BT$9),IF(SUM(BT$10:BT83)-ROUNDDOWN($M84*BT$5/100,0)&lt;-BT$6,-BT$6-SUM(BT$10:BT83),-ROUNDDOWN($M84*BT$5/100,0)),0)</f>
        <v>0</v>
      </c>
      <c r="BU84" s="38">
        <f>IF(AND(BU$7="○",$A84&gt;=BU$8,$A84&lt;=BU$9),IF(SUM(BU$10:BU83)-ROUNDDOWN($M84*BU$5/100,0)&lt;-BU$6,-BU$6-SUM(BU$10:BU83),-ROUNDDOWN($M84*BU$5/100,0)),0)</f>
        <v>0</v>
      </c>
      <c r="BV84" s="38">
        <f>IF(AND(BV$7="○",$A84&gt;=BV$8,$A84&lt;=BV$9),IF(SUM(BV$10:BV83)-ROUNDDOWN($M84*BV$5/100,0)&lt;-BV$6,-BV$6-SUM(BV$10:BV83),-ROUNDDOWN($M84*BV$5/100,0)),0)</f>
        <v>0</v>
      </c>
      <c r="BW84" s="38">
        <f>IF(AND(BW$7="○",$A84&gt;=BW$8,$A84&lt;=BW$9),IF(SUM(BW$10:BW83)-ROUNDDOWN($M84*BW$5/100,0)&lt;-BW$6,-BW$6-SUM(BW$10:BW83),-ROUNDDOWN($M84*BW$5/100,0)),0)</f>
        <v>0</v>
      </c>
      <c r="BX84" s="38">
        <f>IF(AND(T84="○",$A84&gt;=BX$8,$A84&lt;=BX$9),IF(SUM(BX$10:BX83)-ROUNDDOWN($K84*BX$5/100,0)&lt;-BX$6,-BX$6-SUM(BX$10:BX83),-ROUNDDOWN($K84*BX$5/100,0)),0)</f>
        <v>0</v>
      </c>
      <c r="BY84" s="38">
        <f>IF(AND(U84="○",$A84&gt;=BY$8,$A84&lt;=BY$9),IF(SUM(BY$10:BY83)-ROUNDDOWN($K84*BY$5/100,0)&lt;-BY$6,-BY$6-SUM(BY$10:BY83),-ROUNDDOWN($K84*BY$5/100,0)),0)</f>
        <v>0</v>
      </c>
      <c r="BZ84" s="38">
        <f>IF(AND(V84="○",$A84&gt;=BZ$8,$A84&lt;=BZ$9),IF(SUM(BZ$10:BZ83)-ROUNDDOWN($K84*BZ$5/100,0)&lt;-BZ$6,-BZ$6-SUM(BZ$10:BZ83),-ROUNDDOWN($K84*BZ$5/100,0)),0)</f>
        <v>0</v>
      </c>
      <c r="CA84" s="38">
        <f>IF(AND(W84="○",$A84&gt;=CA$8,$A84&lt;=CA$9),IF(SUM(CA$10:CA83)-ROUNDDOWN($K84*CA$5/100,0)&lt;-CA$6,-CA$6-SUM(CA$10:CA83),-ROUNDDOWN($K84*CA$5/100,0)),0)</f>
        <v>0</v>
      </c>
      <c r="CB84" s="38"/>
      <c r="CC84" s="38"/>
      <c r="CD84" s="38"/>
      <c r="CE84" s="38"/>
      <c r="CF84" s="38"/>
      <c r="CG84" s="65">
        <f t="shared" si="94"/>
        <v>0</v>
      </c>
      <c r="CH84" s="71">
        <f t="shared" si="95"/>
        <v>0</v>
      </c>
      <c r="CI84" s="1">
        <f t="shared" si="83"/>
        <v>0</v>
      </c>
      <c r="CJ84" s="1"/>
      <c r="CK84" s="72"/>
      <c r="CL84" s="72"/>
      <c r="CM84" s="2"/>
      <c r="CN84" s="2"/>
      <c r="CO84" s="73">
        <f t="shared" si="84"/>
        <v>0</v>
      </c>
      <c r="CP84" s="5">
        <f t="shared" si="85"/>
        <v>0</v>
      </c>
      <c r="CQ84" s="1"/>
      <c r="CR84" s="1">
        <f t="shared" si="86"/>
        <v>0</v>
      </c>
      <c r="CS84" s="1"/>
      <c r="CT84" s="1" t="e">
        <f>INDEX([2]マスタ!$A:$A,MATCH(D84,[2]マスタ!$C:$C,0))</f>
        <v>#N/A</v>
      </c>
      <c r="CU84" s="1" t="str">
        <f t="shared" ca="1" si="87"/>
        <v>20260620_0-0</v>
      </c>
    </row>
    <row r="85" spans="1:99" x14ac:dyDescent="0.4">
      <c r="A85" s="61"/>
      <c r="B85" s="62"/>
      <c r="C85" s="62"/>
      <c r="D85" s="62"/>
      <c r="E85" s="74"/>
      <c r="F85" s="62"/>
      <c r="G85" s="62">
        <v>1</v>
      </c>
      <c r="H85" s="64">
        <f t="shared" si="74"/>
        <v>0</v>
      </c>
      <c r="I85" s="64"/>
      <c r="J85" s="64"/>
      <c r="K85" s="65">
        <f t="shared" si="75"/>
        <v>0</v>
      </c>
      <c r="L85" s="65">
        <f t="shared" si="76"/>
        <v>0</v>
      </c>
      <c r="M85" s="65">
        <f t="shared" si="77"/>
        <v>0</v>
      </c>
      <c r="N85" s="65">
        <f t="shared" si="78"/>
        <v>0</v>
      </c>
      <c r="O85" s="66" t="str">
        <f t="shared" si="79"/>
        <v>✕</v>
      </c>
      <c r="P85" s="67" t="str">
        <f t="shared" si="80"/>
        <v>○</v>
      </c>
      <c r="Q85" s="67" t="str">
        <f t="shared" si="81"/>
        <v>✕</v>
      </c>
      <c r="R85" s="67" t="str">
        <f t="shared" si="82"/>
        <v>✕</v>
      </c>
      <c r="S85" s="68">
        <v>0</v>
      </c>
      <c r="T85" s="69" t="s">
        <v>85</v>
      </c>
      <c r="U85" s="69" t="s">
        <v>85</v>
      </c>
      <c r="V85" s="69" t="s">
        <v>85</v>
      </c>
      <c r="W85" s="69" t="s">
        <v>85</v>
      </c>
      <c r="X85" s="69" t="s">
        <v>84</v>
      </c>
      <c r="Y85" s="69" t="s">
        <v>85</v>
      </c>
      <c r="Z85" s="69" t="s">
        <v>85</v>
      </c>
      <c r="AA85" s="69" t="s">
        <v>85</v>
      </c>
      <c r="AB85" s="69" t="s">
        <v>85</v>
      </c>
      <c r="AC85" s="69" t="s">
        <v>85</v>
      </c>
      <c r="AD85" s="38" t="str">
        <f>+IF(ISERROR(VLOOKUP($B85,AD$10:AD84,1,0)),IF(AND($N85&gt;=1000,$A85&gt;=AO$8,$A85&lt;=AO$9),$B85,""),"")</f>
        <v/>
      </c>
      <c r="AE85" s="38" t="str">
        <f>+IF(ISERROR(VLOOKUP($B85,AE$10:AE84,1,0)),IF(AND($N85&gt;=1000,$A85&gt;=AP$8,$A85&lt;=AP$9),$B85,""),"")</f>
        <v/>
      </c>
      <c r="AF85" s="38" t="str">
        <f>+IF(ISERROR(VLOOKUP($B85,AF$10:AF84,1,0)),IF(AND($N85&gt;=1000,$A85&gt;=AQ$8,$A85&lt;=AQ$9),$B85,""),"")</f>
        <v/>
      </c>
      <c r="AG85" s="38" t="str">
        <f>+IF(ISERROR(VLOOKUP($B85,AG$10:AG84,1,0)),IF(AND($N85&gt;=1000,$A85&gt;=AR$8,$A85&lt;=AR$9),$B85,""),"")</f>
        <v/>
      </c>
      <c r="AH85" s="38"/>
      <c r="AI85" s="70">
        <v>0</v>
      </c>
      <c r="AJ85" s="38">
        <f>IF(AND(AJ$7="○",$A85&gt;=AJ$8,$A85&lt;=AJ$9),IF(SUM(AJ$10:AJ84)-ROUNDDOWN($K85*AJ$5/100,0)&lt;-AJ$6,-AJ$6-SUM(AJ$10:AJ84),-ROUNDDOWN($K85*AJ$5/100,0)),0)</f>
        <v>0</v>
      </c>
      <c r="AK85" s="38">
        <f>IF(AND(AK$7="○",$A85&gt;=AK$8,$A85&lt;=AK$9),IF(SUM(AK$10:AK84)-ROUNDDOWN($L85*AK$5/100,0)&lt;-AK$6,-AK$6-SUM(AK$10:AK84),-ROUNDDOWN($L85*AK$5/100,0)),0)</f>
        <v>0</v>
      </c>
      <c r="AL85" s="38">
        <f>IF(AND(AL$7="○",$A85&gt;=AL$8,$A85&lt;=AL$9),IF(SUM(AL$10:AL84)-ROUNDDOWN($N85*AL$5/100,0)&lt;-AL$6,-AL$6-SUM(AL$10:AL84),-ROUNDDOWN($N85*AL$5/100,0)),0)</f>
        <v>0</v>
      </c>
      <c r="AM85" s="38">
        <f>IF(AND(AM$7="○",$A85&gt;=AM$8,$A85&lt;=AM$9),IF(SUM(AM$10:AM84)-ROUNDDOWN($L85*AM$5/100,0)&lt;-AM$6,-AM$6-SUM(AM$10:AM84),-ROUNDDOWN($L85*AM$5/100,0)),0)</f>
        <v>0</v>
      </c>
      <c r="AN85" s="38">
        <f>IF(AND(AN$7="○",$A85&gt;=AN$8,$A85&lt;=AN$9),IF(SUM(AN$10:AN84)-ROUNDDOWN($M85*AN$5/100,0)&lt;-AN$6,-AN$6-SUM(AN$10:AN84),-ROUNDDOWN($M85*AN$5/100,0)),0)</f>
        <v>0</v>
      </c>
      <c r="AO85" s="38">
        <f>IF(AND($A85&gt;=AO$8,$A85&lt;=AO$9),IF(SUM(AO$10:AO84)-ROUNDDOWN($K85*AO$5/100,0)&lt;-AO$6,-AO$6-SUM(AO$10:AO84),-ROUNDDOWN($K85*AO$5/100,0)),0)</f>
        <v>0</v>
      </c>
      <c r="AP85" s="38">
        <f>IF(AND($A85&gt;=AP$8,$A85&lt;=AP$9),IF(SUM(AP$10:AP84)-ROUNDDOWN($K85*AP$5/100,0)&lt;-AP$6,-AP$6-SUM(AP$10:AP84),-ROUNDDOWN($K85*AP$5/100,0)),0)</f>
        <v>0</v>
      </c>
      <c r="AQ85" s="38">
        <f>IF(AND($A85&gt;=AQ$8,$A85&lt;=AQ$9),IF(SUM(AQ$10:AQ84)-ROUNDDOWN($K85*AQ$5/100,0)&lt;-AQ$6,-AQ$6-SUM(AQ$10:AQ84),-ROUNDDOWN($K85*AQ$5/100,0)),0)</f>
        <v>0</v>
      </c>
      <c r="AR85" s="38">
        <f>IF(AND($A85&gt;=AR$8,$A85&lt;=AR$9),IF(SUM(AR$10:AR84)-ROUNDDOWN($K85*AR$5/100,0)&lt;-AR$6,-AR$6-SUM(AR$10:AR84),-ROUNDDOWN($K85*AR$5/100,0)),0)</f>
        <v>0</v>
      </c>
      <c r="AS85" s="38">
        <f>IF(SUMIFS(AS$10:AS84,$A$10:$A84,$A85)-ROUNDDOWN($K85*$S85/100,0)&lt;-$S85*1000,-$S85*1000-SUMIFS(AS$10:AS84,$A$10:$A84,$A85),-ROUNDDOWN($K85*$S85/100,0))</f>
        <v>0</v>
      </c>
      <c r="AT85" s="38">
        <f>IF(AND(X85="○",$A85&gt;=AT$8,$A85&lt;=AT$9,K85&gt;=3980),IF(SUM(AT$10:AT84)-ROUNDDOWN($K85*AT$5/100,0)&lt;-AT$6,-AT$6-SUM(AT$10:AT84),-ROUNDDOWN($K85*AT$5/100,0)),0)</f>
        <v>0</v>
      </c>
      <c r="AU85" s="38">
        <f>IF(O85="○",IF(SUM(AU$10:AU84)-ROUNDDOWN($K85*AU$5/100,0)&lt;-AU$6,-AU$6-SUM(AU$10:AU84),-ROUNDDOWN($K85*AU$5/100,0)),0)</f>
        <v>0</v>
      </c>
      <c r="AV85" s="38">
        <f>IF(P85="○",IF(SUM(AV$10:AV84)-ROUNDDOWN($K85*AV$5/100,0)&lt;-AV$6,-AV$6-SUM(AV$10:AV84),-ROUNDDOWN($K85*AV$5/100,0)),0)</f>
        <v>0</v>
      </c>
      <c r="AW85" s="38">
        <f>IF(Q85="○",IF(SUM(AW$10:AW84)-ROUNDDOWN($K85*AW$5/100,0)&lt;-AW$6,-AW$6-SUM(AW$10:AW84),-ROUNDDOWN($K85*AW$5/100,0)),0)</f>
        <v>0</v>
      </c>
      <c r="AX85" s="38">
        <f>IF(R85="○",IF(SUM(AX$10:AX84)-ROUNDDOWN($K85*AX$5/100,0)&lt;-AX$6,-AX$6-SUM(AX$10:AX84),-ROUNDDOWN($K85*AX$5/100,0)),0)</f>
        <v>0</v>
      </c>
      <c r="AY85" s="70">
        <v>0</v>
      </c>
      <c r="AZ85" s="65">
        <f t="shared" si="88"/>
        <v>0</v>
      </c>
      <c r="BA85" s="65">
        <f t="shared" si="89"/>
        <v>0</v>
      </c>
      <c r="BB85" s="70"/>
      <c r="BC85" s="65">
        <f t="shared" si="90"/>
        <v>0</v>
      </c>
      <c r="BD85" s="70">
        <v>0</v>
      </c>
      <c r="BE85" s="65">
        <f t="shared" si="91"/>
        <v>0</v>
      </c>
      <c r="BF85" s="70">
        <v>0</v>
      </c>
      <c r="BG85" s="65">
        <f t="shared" si="92"/>
        <v>0</v>
      </c>
      <c r="BH85" s="70">
        <v>0</v>
      </c>
      <c r="BI85" s="65">
        <f t="shared" si="93"/>
        <v>0</v>
      </c>
      <c r="BJ85" s="38">
        <f>IF(AND(BJ$7="○",$A85&gt;=BJ$8,$A85&lt;=BJ$9),IF(SUM(BJ$10:BJ84)-ROUNDDOWN($M85*BJ$5/100,0)&lt;-BJ$6,-BJ$6-SUM(BJ$10:BJ84),-ROUNDDOWN($M85*BJ$5/100,0)),0)</f>
        <v>0</v>
      </c>
      <c r="BK85" s="38">
        <f>IF(AND(BK$7="○",$A85&gt;=BK$8,$A85&lt;=BK$9),IF(SUM(BK$10:BK84)-ROUNDDOWN($L85*BK$5/100,0)&lt;-BK$6,-BK$6-SUM(BK$10:BK84),-ROUNDDOWN($L85*BK$5/100,0)),0)</f>
        <v>0</v>
      </c>
      <c r="BL85" s="38">
        <f>IF(AND(BL$7="○",$A85&gt;=BL$8,$A85&lt;=BL$9),IF(SUM(BL$10:BL84)-ROUNDDOWN($L85*BL$5/100,0)&lt;-BL$6,-BL$6-SUM(BL$10:BL84),-ROUNDDOWN($L85*BL$5/100,0)),0)</f>
        <v>0</v>
      </c>
      <c r="BM85" s="38">
        <f>IF(AND(BM$7="○",$A85&gt;=BM$8,$A85&lt;=BM$9),IF(SUM(BM$10:BM84)-ROUNDDOWN($M85*BM$5/100,0)&lt;-BM$6,-BM$6-SUM(BM$10:BM84),-ROUNDDOWN($M85*BM$5/100,0)),0)</f>
        <v>0</v>
      </c>
      <c r="BN85" s="38">
        <f>IF(AND(BN$7="○",$A85&gt;=BN$8,$A85&lt;=BN$9),IF(SUM(BN$10:BN84)-ROUNDDOWN($M85*BN$5/100,0)&lt;-BN$6,-BN$6-SUM(BN$10:BN84),-ROUNDDOWN($M85*BN$5/100,0)),0)</f>
        <v>0</v>
      </c>
      <c r="BO85" s="38">
        <f>IF(AND(BO$7="○",$A85&gt;=BO$8,$A85&lt;=BO$9),IF(SUM(BO$10:BO84)-ROUNDDOWN($M85*BO$5/100,0)&lt;-BO$6,-BO$6-SUM(BO$10:BO84),-ROUNDDOWN($M85*BO$5/100,0)),0)</f>
        <v>0</v>
      </c>
      <c r="BP85" s="38">
        <f>IF(AND(BP$7="○",$A85&gt;=BP$8,$A85&lt;=BP$9),IF(SUM(BP$10:BP84)-ROUNDDOWN($M85*BP$5/100,0)&lt;-BP$6,-BP$6-SUM(BP$10:BP84),-ROUNDDOWN($M85*BP$5/100,0)),0)</f>
        <v>0</v>
      </c>
      <c r="BQ85" s="38">
        <f>IF(AND(BQ$7="○",$A85&gt;=BQ$8,$A85&lt;=BQ$9),IF(SUM(BQ$10:BQ84)-ROUNDDOWN($L85*BQ$5/100,0)&lt;-BQ$6,-BQ$6-SUM(BQ$10:BQ84),-ROUNDDOWN($L85*BQ$5/100,0)),0)</f>
        <v>0</v>
      </c>
      <c r="BR85" s="38">
        <f>IF(AND(BR$7="○",$A85&gt;=BR$8,$A85&lt;=BR$9),IF(SUM(BR$10:BR84)-ROUNDDOWN($M85*BR$5/100,0)&lt;-BR$6,-BR$6-SUM(BR$10:BR84),-ROUNDDOWN($M85*BR$5/100,0)),0)</f>
        <v>0</v>
      </c>
      <c r="BS85" s="38">
        <f>IF(AND(BS$7="○",$A85&gt;=BS$8,$A85&lt;=BS$9),IF(SUM(BS$10:BS84)-ROUNDDOWN($M85*BS$5/100,0)&lt;-BS$6,-BS$6-SUM(BS$10:BS84),-ROUNDDOWN($M85*BS$5/100,0)),0)</f>
        <v>0</v>
      </c>
      <c r="BT85" s="38">
        <f>IF(AND(BT$7="○",$A85&gt;=BT$8,$A85&lt;=BT$9),IF(SUM(BT$10:BT84)-ROUNDDOWN($M85*BT$5/100,0)&lt;-BT$6,-BT$6-SUM(BT$10:BT84),-ROUNDDOWN($M85*BT$5/100,0)),0)</f>
        <v>0</v>
      </c>
      <c r="BU85" s="38">
        <f>IF(AND(BU$7="○",$A85&gt;=BU$8,$A85&lt;=BU$9),IF(SUM(BU$10:BU84)-ROUNDDOWN($M85*BU$5/100,0)&lt;-BU$6,-BU$6-SUM(BU$10:BU84),-ROUNDDOWN($M85*BU$5/100,0)),0)</f>
        <v>0</v>
      </c>
      <c r="BV85" s="38">
        <f>IF(AND(BV$7="○",$A85&gt;=BV$8,$A85&lt;=BV$9),IF(SUM(BV$10:BV84)-ROUNDDOWN($M85*BV$5/100,0)&lt;-BV$6,-BV$6-SUM(BV$10:BV84),-ROUNDDOWN($M85*BV$5/100,0)),0)</f>
        <v>0</v>
      </c>
      <c r="BW85" s="38">
        <f>IF(AND(BW$7="○",$A85&gt;=BW$8,$A85&lt;=BW$9),IF(SUM(BW$10:BW84)-ROUNDDOWN($M85*BW$5/100,0)&lt;-BW$6,-BW$6-SUM(BW$10:BW84),-ROUNDDOWN($M85*BW$5/100,0)),0)</f>
        <v>0</v>
      </c>
      <c r="BX85" s="38">
        <f>IF(AND(T85="○",$A85&gt;=BX$8,$A85&lt;=BX$9),IF(SUM(BX$10:BX84)-ROUNDDOWN($K85*BX$5/100,0)&lt;-BX$6,-BX$6-SUM(BX$10:BX84),-ROUNDDOWN($K85*BX$5/100,0)),0)</f>
        <v>0</v>
      </c>
      <c r="BY85" s="38">
        <f>IF(AND(U85="○",$A85&gt;=BY$8,$A85&lt;=BY$9),IF(SUM(BY$10:BY84)-ROUNDDOWN($K85*BY$5/100,0)&lt;-BY$6,-BY$6-SUM(BY$10:BY84),-ROUNDDOWN($K85*BY$5/100,0)),0)</f>
        <v>0</v>
      </c>
      <c r="BZ85" s="38">
        <f>IF(AND(V85="○",$A85&gt;=BZ$8,$A85&lt;=BZ$9),IF(SUM(BZ$10:BZ84)-ROUNDDOWN($K85*BZ$5/100,0)&lt;-BZ$6,-BZ$6-SUM(BZ$10:BZ84),-ROUNDDOWN($K85*BZ$5/100,0)),0)</f>
        <v>0</v>
      </c>
      <c r="CA85" s="38">
        <f>IF(AND(W85="○",$A85&gt;=CA$8,$A85&lt;=CA$9),IF(SUM(CA$10:CA84)-ROUNDDOWN($K85*CA$5/100,0)&lt;-CA$6,-CA$6-SUM(CA$10:CA84),-ROUNDDOWN($K85*CA$5/100,0)),0)</f>
        <v>0</v>
      </c>
      <c r="CB85" s="38"/>
      <c r="CC85" s="38"/>
      <c r="CD85" s="38"/>
      <c r="CE85" s="38"/>
      <c r="CF85" s="38"/>
      <c r="CG85" s="65">
        <f t="shared" si="94"/>
        <v>0</v>
      </c>
      <c r="CH85" s="71">
        <f t="shared" si="95"/>
        <v>0</v>
      </c>
      <c r="CI85" s="1">
        <f t="shared" si="83"/>
        <v>0</v>
      </c>
      <c r="CJ85" s="1"/>
      <c r="CK85" s="72"/>
      <c r="CL85" s="72"/>
      <c r="CM85" s="2"/>
      <c r="CN85" s="2"/>
      <c r="CO85" s="73">
        <f t="shared" si="84"/>
        <v>0</v>
      </c>
      <c r="CP85" s="5">
        <f t="shared" si="85"/>
        <v>0</v>
      </c>
      <c r="CQ85" s="1"/>
      <c r="CR85" s="1">
        <f t="shared" si="86"/>
        <v>0</v>
      </c>
      <c r="CS85" s="1"/>
      <c r="CT85" s="1" t="e">
        <f>INDEX([2]マスタ!$A:$A,MATCH(D85,[2]マスタ!$C:$C,0))</f>
        <v>#N/A</v>
      </c>
      <c r="CU85" s="1" t="str">
        <f t="shared" ca="1" si="87"/>
        <v>20260620_0-0</v>
      </c>
    </row>
    <row r="86" spans="1:99" x14ac:dyDescent="0.4">
      <c r="A86" s="61"/>
      <c r="B86" s="62"/>
      <c r="C86" s="62"/>
      <c r="D86" s="62"/>
      <c r="E86" s="74"/>
      <c r="F86" s="62"/>
      <c r="G86" s="62">
        <v>1</v>
      </c>
      <c r="H86" s="64">
        <f t="shared" si="74"/>
        <v>0</v>
      </c>
      <c r="I86" s="64"/>
      <c r="J86" s="64"/>
      <c r="K86" s="65">
        <f t="shared" si="75"/>
        <v>0</v>
      </c>
      <c r="L86" s="65">
        <f t="shared" si="76"/>
        <v>0</v>
      </c>
      <c r="M86" s="65">
        <f t="shared" si="77"/>
        <v>0</v>
      </c>
      <c r="N86" s="65">
        <f t="shared" si="78"/>
        <v>0</v>
      </c>
      <c r="O86" s="66" t="str">
        <f t="shared" si="79"/>
        <v>✕</v>
      </c>
      <c r="P86" s="67" t="str">
        <f t="shared" si="80"/>
        <v>○</v>
      </c>
      <c r="Q86" s="67" t="str">
        <f t="shared" si="81"/>
        <v>✕</v>
      </c>
      <c r="R86" s="67" t="str">
        <f t="shared" si="82"/>
        <v>✕</v>
      </c>
      <c r="S86" s="68">
        <v>0</v>
      </c>
      <c r="T86" s="69" t="s">
        <v>85</v>
      </c>
      <c r="U86" s="69" t="s">
        <v>85</v>
      </c>
      <c r="V86" s="69" t="s">
        <v>85</v>
      </c>
      <c r="W86" s="69" t="s">
        <v>85</v>
      </c>
      <c r="X86" s="69" t="s">
        <v>84</v>
      </c>
      <c r="Y86" s="69" t="s">
        <v>85</v>
      </c>
      <c r="Z86" s="69" t="s">
        <v>85</v>
      </c>
      <c r="AA86" s="69" t="s">
        <v>85</v>
      </c>
      <c r="AB86" s="69" t="s">
        <v>85</v>
      </c>
      <c r="AC86" s="69" t="s">
        <v>85</v>
      </c>
      <c r="AD86" s="38" t="str">
        <f>+IF(ISERROR(VLOOKUP($B86,AD$10:AD85,1,0)),IF(AND($N86&gt;=1000,$A86&gt;=AO$8,$A86&lt;=AO$9),$B86,""),"")</f>
        <v/>
      </c>
      <c r="AE86" s="38" t="str">
        <f>+IF(ISERROR(VLOOKUP($B86,AE$10:AE85,1,0)),IF(AND($N86&gt;=1000,$A86&gt;=AP$8,$A86&lt;=AP$9),$B86,""),"")</f>
        <v/>
      </c>
      <c r="AF86" s="38" t="str">
        <f>+IF(ISERROR(VLOOKUP($B86,AF$10:AF85,1,0)),IF(AND($N86&gt;=1000,$A86&gt;=AQ$8,$A86&lt;=AQ$9),$B86,""),"")</f>
        <v/>
      </c>
      <c r="AG86" s="38" t="str">
        <f>+IF(ISERROR(VLOOKUP($B86,AG$10:AG85,1,0)),IF(AND($N86&gt;=1000,$A86&gt;=AR$8,$A86&lt;=AR$9),$B86,""),"")</f>
        <v/>
      </c>
      <c r="AH86" s="38"/>
      <c r="AI86" s="70">
        <v>0</v>
      </c>
      <c r="AJ86" s="38">
        <f>IF(AND(AJ$7="○",$A86&gt;=AJ$8,$A86&lt;=AJ$9),IF(SUM(AJ$10:AJ85)-ROUNDDOWN($K86*AJ$5/100,0)&lt;-AJ$6,-AJ$6-SUM(AJ$10:AJ85),-ROUNDDOWN($K86*AJ$5/100,0)),0)</f>
        <v>0</v>
      </c>
      <c r="AK86" s="38">
        <f>IF(AND(AK$7="○",$A86&gt;=AK$8,$A86&lt;=AK$9),IF(SUM(AK$10:AK85)-ROUNDDOWN($L86*AK$5/100,0)&lt;-AK$6,-AK$6-SUM(AK$10:AK85),-ROUNDDOWN($L86*AK$5/100,0)),0)</f>
        <v>0</v>
      </c>
      <c r="AL86" s="38">
        <f>IF(AND(AL$7="○",$A86&gt;=AL$8,$A86&lt;=AL$9),IF(SUM(AL$10:AL85)-ROUNDDOWN($N86*AL$5/100,0)&lt;-AL$6,-AL$6-SUM(AL$10:AL85),-ROUNDDOWN($N86*AL$5/100,0)),0)</f>
        <v>0</v>
      </c>
      <c r="AM86" s="38">
        <f>IF(AND(AM$7="○",$A86&gt;=AM$8,$A86&lt;=AM$9),IF(SUM(AM$10:AM85)-ROUNDDOWN($L86*AM$5/100,0)&lt;-AM$6,-AM$6-SUM(AM$10:AM85),-ROUNDDOWN($L86*AM$5/100,0)),0)</f>
        <v>0</v>
      </c>
      <c r="AN86" s="38">
        <f>IF(AND(AN$7="○",$A86&gt;=AN$8,$A86&lt;=AN$9),IF(SUM(AN$10:AN85)-ROUNDDOWN($M86*AN$5/100,0)&lt;-AN$6,-AN$6-SUM(AN$10:AN85),-ROUNDDOWN($M86*AN$5/100,0)),0)</f>
        <v>0</v>
      </c>
      <c r="AO86" s="38">
        <f>IF(AND($A86&gt;=AO$8,$A86&lt;=AO$9),IF(SUM(AO$10:AO85)-ROUNDDOWN($K86*AO$5/100,0)&lt;-AO$6,-AO$6-SUM(AO$10:AO85),-ROUNDDOWN($K86*AO$5/100,0)),0)</f>
        <v>0</v>
      </c>
      <c r="AP86" s="38">
        <f>IF(AND($A86&gt;=AP$8,$A86&lt;=AP$9),IF(SUM(AP$10:AP85)-ROUNDDOWN($K86*AP$5/100,0)&lt;-AP$6,-AP$6-SUM(AP$10:AP85),-ROUNDDOWN($K86*AP$5/100,0)),0)</f>
        <v>0</v>
      </c>
      <c r="AQ86" s="38">
        <f>IF(AND($A86&gt;=AQ$8,$A86&lt;=AQ$9),IF(SUM(AQ$10:AQ85)-ROUNDDOWN($K86*AQ$5/100,0)&lt;-AQ$6,-AQ$6-SUM(AQ$10:AQ85),-ROUNDDOWN($K86*AQ$5/100,0)),0)</f>
        <v>0</v>
      </c>
      <c r="AR86" s="38">
        <f>IF(AND($A86&gt;=AR$8,$A86&lt;=AR$9),IF(SUM(AR$10:AR85)-ROUNDDOWN($K86*AR$5/100,0)&lt;-AR$6,-AR$6-SUM(AR$10:AR85),-ROUNDDOWN($K86*AR$5/100,0)),0)</f>
        <v>0</v>
      </c>
      <c r="AS86" s="38">
        <f>IF(SUMIFS(AS$10:AS85,$A$10:$A85,$A86)-ROUNDDOWN($K86*$S86/100,0)&lt;-$S86*1000,-$S86*1000-SUMIFS(AS$10:AS85,$A$10:$A85,$A86),-ROUNDDOWN($K86*$S86/100,0))</f>
        <v>0</v>
      </c>
      <c r="AT86" s="38">
        <f>IF(AND(X86="○",$A86&gt;=AT$8,$A86&lt;=AT$9,K86&gt;=3980),IF(SUM(AT$10:AT85)-ROUNDDOWN($K86*AT$5/100,0)&lt;-AT$6,-AT$6-SUM(AT$10:AT85),-ROUNDDOWN($K86*AT$5/100,0)),0)</f>
        <v>0</v>
      </c>
      <c r="AU86" s="38">
        <f>IF(O86="○",IF(SUM(AU$10:AU85)-ROUNDDOWN($K86*AU$5/100,0)&lt;-AU$6,-AU$6-SUM(AU$10:AU85),-ROUNDDOWN($K86*AU$5/100,0)),0)</f>
        <v>0</v>
      </c>
      <c r="AV86" s="38">
        <f>IF(P86="○",IF(SUM(AV$10:AV85)-ROUNDDOWN($K86*AV$5/100,0)&lt;-AV$6,-AV$6-SUM(AV$10:AV85),-ROUNDDOWN($K86*AV$5/100,0)),0)</f>
        <v>0</v>
      </c>
      <c r="AW86" s="38">
        <f>IF(Q86="○",IF(SUM(AW$10:AW85)-ROUNDDOWN($K86*AW$5/100,0)&lt;-AW$6,-AW$6-SUM(AW$10:AW85),-ROUNDDOWN($K86*AW$5/100,0)),0)</f>
        <v>0</v>
      </c>
      <c r="AX86" s="38">
        <f>IF(R86="○",IF(SUM(AX$10:AX85)-ROUNDDOWN($K86*AX$5/100,0)&lt;-AX$6,-AX$6-SUM(AX$10:AX85),-ROUNDDOWN($K86*AX$5/100,0)),0)</f>
        <v>0</v>
      </c>
      <c r="AY86" s="70">
        <v>0</v>
      </c>
      <c r="AZ86" s="65">
        <f t="shared" si="88"/>
        <v>0</v>
      </c>
      <c r="BA86" s="65">
        <f t="shared" si="89"/>
        <v>0</v>
      </c>
      <c r="BB86" s="70"/>
      <c r="BC86" s="65">
        <f t="shared" si="90"/>
        <v>0</v>
      </c>
      <c r="BD86" s="70">
        <v>0</v>
      </c>
      <c r="BE86" s="65">
        <f t="shared" si="91"/>
        <v>0</v>
      </c>
      <c r="BF86" s="70">
        <v>0</v>
      </c>
      <c r="BG86" s="65">
        <f t="shared" si="92"/>
        <v>0</v>
      </c>
      <c r="BH86" s="70">
        <v>0</v>
      </c>
      <c r="BI86" s="65">
        <f t="shared" si="93"/>
        <v>0</v>
      </c>
      <c r="BJ86" s="38">
        <f>IF(AND(BJ$7="○",$A86&gt;=BJ$8,$A86&lt;=BJ$9),IF(SUM(BJ$10:BJ85)-ROUNDDOWN($M86*BJ$5/100,0)&lt;-BJ$6,-BJ$6-SUM(BJ$10:BJ85),-ROUNDDOWN($M86*BJ$5/100,0)),0)</f>
        <v>0</v>
      </c>
      <c r="BK86" s="38">
        <f>IF(AND(BK$7="○",$A86&gt;=BK$8,$A86&lt;=BK$9),IF(SUM(BK$10:BK85)-ROUNDDOWN($L86*BK$5/100,0)&lt;-BK$6,-BK$6-SUM(BK$10:BK85),-ROUNDDOWN($L86*BK$5/100,0)),0)</f>
        <v>0</v>
      </c>
      <c r="BL86" s="38">
        <f>IF(AND(BL$7="○",$A86&gt;=BL$8,$A86&lt;=BL$9),IF(SUM(BL$10:BL85)-ROUNDDOWN($L86*BL$5/100,0)&lt;-BL$6,-BL$6-SUM(BL$10:BL85),-ROUNDDOWN($L86*BL$5/100,0)),0)</f>
        <v>0</v>
      </c>
      <c r="BM86" s="38">
        <f>IF(AND(BM$7="○",$A86&gt;=BM$8,$A86&lt;=BM$9),IF(SUM(BM$10:BM85)-ROUNDDOWN($M86*BM$5/100,0)&lt;-BM$6,-BM$6-SUM(BM$10:BM85),-ROUNDDOWN($M86*BM$5/100,0)),0)</f>
        <v>0</v>
      </c>
      <c r="BN86" s="38">
        <f>IF(AND(BN$7="○",$A86&gt;=BN$8,$A86&lt;=BN$9),IF(SUM(BN$10:BN85)-ROUNDDOWN($M86*BN$5/100,0)&lt;-BN$6,-BN$6-SUM(BN$10:BN85),-ROUNDDOWN($M86*BN$5/100,0)),0)</f>
        <v>0</v>
      </c>
      <c r="BO86" s="38">
        <f>IF(AND(BO$7="○",$A86&gt;=BO$8,$A86&lt;=BO$9),IF(SUM(BO$10:BO85)-ROUNDDOWN($M86*BO$5/100,0)&lt;-BO$6,-BO$6-SUM(BO$10:BO85),-ROUNDDOWN($M86*BO$5/100,0)),0)</f>
        <v>0</v>
      </c>
      <c r="BP86" s="38">
        <f>IF(AND(BP$7="○",$A86&gt;=BP$8,$A86&lt;=BP$9),IF(SUM(BP$10:BP85)-ROUNDDOWN($M86*BP$5/100,0)&lt;-BP$6,-BP$6-SUM(BP$10:BP85),-ROUNDDOWN($M86*BP$5/100,0)),0)</f>
        <v>0</v>
      </c>
      <c r="BQ86" s="38">
        <f>IF(AND(BQ$7="○",$A86&gt;=BQ$8,$A86&lt;=BQ$9),IF(SUM(BQ$10:BQ85)-ROUNDDOWN($L86*BQ$5/100,0)&lt;-BQ$6,-BQ$6-SUM(BQ$10:BQ85),-ROUNDDOWN($L86*BQ$5/100,0)),0)</f>
        <v>0</v>
      </c>
      <c r="BR86" s="38">
        <f>IF(AND(BR$7="○",$A86&gt;=BR$8,$A86&lt;=BR$9),IF(SUM(BR$10:BR85)-ROUNDDOWN($M86*BR$5/100,0)&lt;-BR$6,-BR$6-SUM(BR$10:BR85),-ROUNDDOWN($M86*BR$5/100,0)),0)</f>
        <v>0</v>
      </c>
      <c r="BS86" s="38">
        <f>IF(AND(BS$7="○",$A86&gt;=BS$8,$A86&lt;=BS$9),IF(SUM(BS$10:BS85)-ROUNDDOWN($M86*BS$5/100,0)&lt;-BS$6,-BS$6-SUM(BS$10:BS85),-ROUNDDOWN($M86*BS$5/100,0)),0)</f>
        <v>0</v>
      </c>
      <c r="BT86" s="38">
        <f>IF(AND(BT$7="○",$A86&gt;=BT$8,$A86&lt;=BT$9),IF(SUM(BT$10:BT85)-ROUNDDOWN($M86*BT$5/100,0)&lt;-BT$6,-BT$6-SUM(BT$10:BT85),-ROUNDDOWN($M86*BT$5/100,0)),0)</f>
        <v>0</v>
      </c>
      <c r="BU86" s="38">
        <f>IF(AND(BU$7="○",$A86&gt;=BU$8,$A86&lt;=BU$9),IF(SUM(BU$10:BU85)-ROUNDDOWN($M86*BU$5/100,0)&lt;-BU$6,-BU$6-SUM(BU$10:BU85),-ROUNDDOWN($M86*BU$5/100,0)),0)</f>
        <v>0</v>
      </c>
      <c r="BV86" s="38">
        <f>IF(AND(BV$7="○",$A86&gt;=BV$8,$A86&lt;=BV$9),IF(SUM(BV$10:BV85)-ROUNDDOWN($M86*BV$5/100,0)&lt;-BV$6,-BV$6-SUM(BV$10:BV85),-ROUNDDOWN($M86*BV$5/100,0)),0)</f>
        <v>0</v>
      </c>
      <c r="BW86" s="38">
        <f>IF(AND(BW$7="○",$A86&gt;=BW$8,$A86&lt;=BW$9),IF(SUM(BW$10:BW85)-ROUNDDOWN($M86*BW$5/100,0)&lt;-BW$6,-BW$6-SUM(BW$10:BW85),-ROUNDDOWN($M86*BW$5/100,0)),0)</f>
        <v>0</v>
      </c>
      <c r="BX86" s="38">
        <f>IF(AND(T86="○",$A86&gt;=BX$8,$A86&lt;=BX$9),IF(SUM(BX$10:BX85)-ROUNDDOWN($K86*BX$5/100,0)&lt;-BX$6,-BX$6-SUM(BX$10:BX85),-ROUNDDOWN($K86*BX$5/100,0)),0)</f>
        <v>0</v>
      </c>
      <c r="BY86" s="38">
        <f>IF(AND(U86="○",$A86&gt;=BY$8,$A86&lt;=BY$9),IF(SUM(BY$10:BY85)-ROUNDDOWN($K86*BY$5/100,0)&lt;-BY$6,-BY$6-SUM(BY$10:BY85),-ROUNDDOWN($K86*BY$5/100,0)),0)</f>
        <v>0</v>
      </c>
      <c r="BZ86" s="38">
        <f>IF(AND(V86="○",$A86&gt;=BZ$8,$A86&lt;=BZ$9),IF(SUM(BZ$10:BZ85)-ROUNDDOWN($K86*BZ$5/100,0)&lt;-BZ$6,-BZ$6-SUM(BZ$10:BZ85),-ROUNDDOWN($K86*BZ$5/100,0)),0)</f>
        <v>0</v>
      </c>
      <c r="CA86" s="38">
        <f>IF(AND(W86="○",$A86&gt;=CA$8,$A86&lt;=CA$9),IF(SUM(CA$10:CA85)-ROUNDDOWN($K86*CA$5/100,0)&lt;-CA$6,-CA$6-SUM(CA$10:CA85),-ROUNDDOWN($K86*CA$5/100,0)),0)</f>
        <v>0</v>
      </c>
      <c r="CB86" s="38"/>
      <c r="CC86" s="38"/>
      <c r="CD86" s="38"/>
      <c r="CE86" s="38"/>
      <c r="CF86" s="38"/>
      <c r="CG86" s="65">
        <f t="shared" si="94"/>
        <v>0</v>
      </c>
      <c r="CH86" s="71">
        <f t="shared" si="95"/>
        <v>0</v>
      </c>
      <c r="CI86" s="1">
        <f t="shared" si="83"/>
        <v>0</v>
      </c>
      <c r="CJ86" s="1"/>
      <c r="CK86" s="72"/>
      <c r="CL86" s="72"/>
      <c r="CM86" s="2"/>
      <c r="CN86" s="2"/>
      <c r="CO86" s="73">
        <f t="shared" si="84"/>
        <v>0</v>
      </c>
      <c r="CP86" s="5">
        <f t="shared" si="85"/>
        <v>0</v>
      </c>
      <c r="CQ86" s="1"/>
      <c r="CR86" s="1">
        <f t="shared" si="86"/>
        <v>0</v>
      </c>
      <c r="CS86" s="1"/>
      <c r="CT86" s="1" t="e">
        <f>INDEX([2]マスタ!$A:$A,MATCH(D86,[2]マスタ!$C:$C,0))</f>
        <v>#N/A</v>
      </c>
      <c r="CU86" s="1" t="str">
        <f t="shared" ca="1" si="87"/>
        <v>20260620_0-0</v>
      </c>
    </row>
    <row r="87" spans="1:99" x14ac:dyDescent="0.4">
      <c r="A87" s="61"/>
      <c r="B87" s="62"/>
      <c r="C87" s="62"/>
      <c r="D87" s="62"/>
      <c r="E87" s="74"/>
      <c r="F87" s="62"/>
      <c r="G87" s="62">
        <v>1</v>
      </c>
      <c r="H87" s="64">
        <f t="shared" si="74"/>
        <v>0</v>
      </c>
      <c r="I87" s="64"/>
      <c r="J87" s="64"/>
      <c r="K87" s="65">
        <f t="shared" si="75"/>
        <v>0</v>
      </c>
      <c r="L87" s="65">
        <f t="shared" si="76"/>
        <v>0</v>
      </c>
      <c r="M87" s="65">
        <f t="shared" si="77"/>
        <v>0</v>
      </c>
      <c r="N87" s="65">
        <f t="shared" si="78"/>
        <v>0</v>
      </c>
      <c r="O87" s="66" t="str">
        <f t="shared" si="79"/>
        <v>✕</v>
      </c>
      <c r="P87" s="67" t="str">
        <f t="shared" si="80"/>
        <v>○</v>
      </c>
      <c r="Q87" s="67" t="str">
        <f t="shared" si="81"/>
        <v>✕</v>
      </c>
      <c r="R87" s="67" t="str">
        <f t="shared" si="82"/>
        <v>✕</v>
      </c>
      <c r="S87" s="68">
        <v>0</v>
      </c>
      <c r="T87" s="69" t="s">
        <v>85</v>
      </c>
      <c r="U87" s="69" t="s">
        <v>85</v>
      </c>
      <c r="V87" s="69" t="s">
        <v>85</v>
      </c>
      <c r="W87" s="69" t="s">
        <v>85</v>
      </c>
      <c r="X87" s="69" t="s">
        <v>84</v>
      </c>
      <c r="Y87" s="69" t="s">
        <v>85</v>
      </c>
      <c r="Z87" s="69" t="s">
        <v>85</v>
      </c>
      <c r="AA87" s="69" t="s">
        <v>85</v>
      </c>
      <c r="AB87" s="69" t="s">
        <v>85</v>
      </c>
      <c r="AC87" s="69" t="s">
        <v>85</v>
      </c>
      <c r="AD87" s="38" t="str">
        <f>+IF(ISERROR(VLOOKUP($B87,AD$10:AD86,1,0)),IF(AND($N87&gt;=1000,$A87&gt;=AO$8,$A87&lt;=AO$9),$B87,""),"")</f>
        <v/>
      </c>
      <c r="AE87" s="38" t="str">
        <f>+IF(ISERROR(VLOOKUP($B87,AE$10:AE86,1,0)),IF(AND($N87&gt;=1000,$A87&gt;=AP$8,$A87&lt;=AP$9),$B87,""),"")</f>
        <v/>
      </c>
      <c r="AF87" s="38" t="str">
        <f>+IF(ISERROR(VLOOKUP($B87,AF$10:AF86,1,0)),IF(AND($N87&gt;=1000,$A87&gt;=AQ$8,$A87&lt;=AQ$9),$B87,""),"")</f>
        <v/>
      </c>
      <c r="AG87" s="38" t="str">
        <f>+IF(ISERROR(VLOOKUP($B87,AG$10:AG86,1,0)),IF(AND($N87&gt;=1000,$A87&gt;=AR$8,$A87&lt;=AR$9),$B87,""),"")</f>
        <v/>
      </c>
      <c r="AH87" s="38"/>
      <c r="AI87" s="70">
        <v>0</v>
      </c>
      <c r="AJ87" s="38">
        <f>IF(AND(AJ$7="○",$A87&gt;=AJ$8,$A87&lt;=AJ$9),IF(SUM(AJ$10:AJ86)-ROUNDDOWN($K87*AJ$5/100,0)&lt;-AJ$6,-AJ$6-SUM(AJ$10:AJ86),-ROUNDDOWN($K87*AJ$5/100,0)),0)</f>
        <v>0</v>
      </c>
      <c r="AK87" s="38">
        <f>IF(AND(AK$7="○",$A87&gt;=AK$8,$A87&lt;=AK$9),IF(SUM(AK$10:AK86)-ROUNDDOWN($L87*AK$5/100,0)&lt;-AK$6,-AK$6-SUM(AK$10:AK86),-ROUNDDOWN($L87*AK$5/100,0)),0)</f>
        <v>0</v>
      </c>
      <c r="AL87" s="38">
        <f>IF(AND(AL$7="○",$A87&gt;=AL$8,$A87&lt;=AL$9),IF(SUM(AL$10:AL86)-ROUNDDOWN($N87*AL$5/100,0)&lt;-AL$6,-AL$6-SUM(AL$10:AL86),-ROUNDDOWN($N87*AL$5/100,0)),0)</f>
        <v>0</v>
      </c>
      <c r="AM87" s="38">
        <f>IF(AND(AM$7="○",$A87&gt;=AM$8,$A87&lt;=AM$9),IF(SUM(AM$10:AM86)-ROUNDDOWN($L87*AM$5/100,0)&lt;-AM$6,-AM$6-SUM(AM$10:AM86),-ROUNDDOWN($L87*AM$5/100,0)),0)</f>
        <v>0</v>
      </c>
      <c r="AN87" s="38">
        <f>IF(AND(AN$7="○",$A87&gt;=AN$8,$A87&lt;=AN$9),IF(SUM(AN$10:AN86)-ROUNDDOWN($M87*AN$5/100,0)&lt;-AN$6,-AN$6-SUM(AN$10:AN86),-ROUNDDOWN($M87*AN$5/100,0)),0)</f>
        <v>0</v>
      </c>
      <c r="AO87" s="38">
        <f>IF(AND($A87&gt;=AO$8,$A87&lt;=AO$9),IF(SUM(AO$10:AO86)-ROUNDDOWN($K87*AO$5/100,0)&lt;-AO$6,-AO$6-SUM(AO$10:AO86),-ROUNDDOWN($K87*AO$5/100,0)),0)</f>
        <v>0</v>
      </c>
      <c r="AP87" s="38">
        <f>IF(AND($A87&gt;=AP$8,$A87&lt;=AP$9),IF(SUM(AP$10:AP86)-ROUNDDOWN($K87*AP$5/100,0)&lt;-AP$6,-AP$6-SUM(AP$10:AP86),-ROUNDDOWN($K87*AP$5/100,0)),0)</f>
        <v>0</v>
      </c>
      <c r="AQ87" s="38">
        <f>IF(AND($A87&gt;=AQ$8,$A87&lt;=AQ$9),IF(SUM(AQ$10:AQ86)-ROUNDDOWN($K87*AQ$5/100,0)&lt;-AQ$6,-AQ$6-SUM(AQ$10:AQ86),-ROUNDDOWN($K87*AQ$5/100,0)),0)</f>
        <v>0</v>
      </c>
      <c r="AR87" s="38">
        <f>IF(AND($A87&gt;=AR$8,$A87&lt;=AR$9),IF(SUM(AR$10:AR86)-ROUNDDOWN($K87*AR$5/100,0)&lt;-AR$6,-AR$6-SUM(AR$10:AR86),-ROUNDDOWN($K87*AR$5/100,0)),0)</f>
        <v>0</v>
      </c>
      <c r="AS87" s="38">
        <f>IF(SUMIFS(AS$10:AS86,$A$10:$A86,$A87)-ROUNDDOWN($K87*$S87/100,0)&lt;-$S87*1000,-$S87*1000-SUMIFS(AS$10:AS86,$A$10:$A86,$A87),-ROUNDDOWN($K87*$S87/100,0))</f>
        <v>0</v>
      </c>
      <c r="AT87" s="38">
        <f>IF(AND(X87="○",$A87&gt;=AT$8,$A87&lt;=AT$9,K87&gt;=3980),IF(SUM(AT$10:AT86)-ROUNDDOWN($K87*AT$5/100,0)&lt;-AT$6,-AT$6-SUM(AT$10:AT86),-ROUNDDOWN($K87*AT$5/100,0)),0)</f>
        <v>0</v>
      </c>
      <c r="AU87" s="38">
        <f>IF(O87="○",IF(SUM(AU$10:AU86)-ROUNDDOWN($K87*AU$5/100,0)&lt;-AU$6,-AU$6-SUM(AU$10:AU86),-ROUNDDOWN($K87*AU$5/100,0)),0)</f>
        <v>0</v>
      </c>
      <c r="AV87" s="38">
        <f>IF(P87="○",IF(SUM(AV$10:AV86)-ROUNDDOWN($K87*AV$5/100,0)&lt;-AV$6,-AV$6-SUM(AV$10:AV86),-ROUNDDOWN($K87*AV$5/100,0)),0)</f>
        <v>0</v>
      </c>
      <c r="AW87" s="38">
        <f>IF(Q87="○",IF(SUM(AW$10:AW86)-ROUNDDOWN($K87*AW$5/100,0)&lt;-AW$6,-AW$6-SUM(AW$10:AW86),-ROUNDDOWN($K87*AW$5/100,0)),0)</f>
        <v>0</v>
      </c>
      <c r="AX87" s="38">
        <f>IF(R87="○",IF(SUM(AX$10:AX86)-ROUNDDOWN($K87*AX$5/100,0)&lt;-AX$6,-AX$6-SUM(AX$10:AX86),-ROUNDDOWN($K87*AX$5/100,0)),0)</f>
        <v>0</v>
      </c>
      <c r="AY87" s="70">
        <v>0</v>
      </c>
      <c r="AZ87" s="65">
        <f t="shared" si="88"/>
        <v>0</v>
      </c>
      <c r="BA87" s="65">
        <f t="shared" si="89"/>
        <v>0</v>
      </c>
      <c r="BB87" s="70"/>
      <c r="BC87" s="65">
        <f t="shared" si="90"/>
        <v>0</v>
      </c>
      <c r="BD87" s="70">
        <v>0</v>
      </c>
      <c r="BE87" s="65">
        <f t="shared" si="91"/>
        <v>0</v>
      </c>
      <c r="BF87" s="70">
        <v>0</v>
      </c>
      <c r="BG87" s="65">
        <f t="shared" si="92"/>
        <v>0</v>
      </c>
      <c r="BH87" s="70">
        <v>0</v>
      </c>
      <c r="BI87" s="65">
        <f t="shared" si="93"/>
        <v>0</v>
      </c>
      <c r="BJ87" s="38">
        <f>IF(AND(BJ$7="○",$A87&gt;=BJ$8,$A87&lt;=BJ$9),IF(SUM(BJ$10:BJ86)-ROUNDDOWN($M87*BJ$5/100,0)&lt;-BJ$6,-BJ$6-SUM(BJ$10:BJ86),-ROUNDDOWN($M87*BJ$5/100,0)),0)</f>
        <v>0</v>
      </c>
      <c r="BK87" s="38">
        <f>IF(AND(BK$7="○",$A87&gt;=BK$8,$A87&lt;=BK$9),IF(SUM(BK$10:BK86)-ROUNDDOWN($L87*BK$5/100,0)&lt;-BK$6,-BK$6-SUM(BK$10:BK86),-ROUNDDOWN($L87*BK$5/100,0)),0)</f>
        <v>0</v>
      </c>
      <c r="BL87" s="38">
        <f>IF(AND(BL$7="○",$A87&gt;=BL$8,$A87&lt;=BL$9),IF(SUM(BL$10:BL86)-ROUNDDOWN($L87*BL$5/100,0)&lt;-BL$6,-BL$6-SUM(BL$10:BL86),-ROUNDDOWN($L87*BL$5/100,0)),0)</f>
        <v>0</v>
      </c>
      <c r="BM87" s="38">
        <f>IF(AND(BM$7="○",$A87&gt;=BM$8,$A87&lt;=BM$9),IF(SUM(BM$10:BM86)-ROUNDDOWN($M87*BM$5/100,0)&lt;-BM$6,-BM$6-SUM(BM$10:BM86),-ROUNDDOWN($M87*BM$5/100,0)),0)</f>
        <v>0</v>
      </c>
      <c r="BN87" s="38">
        <f>IF(AND(BN$7="○",$A87&gt;=BN$8,$A87&lt;=BN$9),IF(SUM(BN$10:BN86)-ROUNDDOWN($M87*BN$5/100,0)&lt;-BN$6,-BN$6-SUM(BN$10:BN86),-ROUNDDOWN($M87*BN$5/100,0)),0)</f>
        <v>0</v>
      </c>
      <c r="BO87" s="38">
        <f>IF(AND(BO$7="○",$A87&gt;=BO$8,$A87&lt;=BO$9),IF(SUM(BO$10:BO86)-ROUNDDOWN($M87*BO$5/100,0)&lt;-BO$6,-BO$6-SUM(BO$10:BO86),-ROUNDDOWN($M87*BO$5/100,0)),0)</f>
        <v>0</v>
      </c>
      <c r="BP87" s="38">
        <f>IF(AND(BP$7="○",$A87&gt;=BP$8,$A87&lt;=BP$9),IF(SUM(BP$10:BP86)-ROUNDDOWN($M87*BP$5/100,0)&lt;-BP$6,-BP$6-SUM(BP$10:BP86),-ROUNDDOWN($M87*BP$5/100,0)),0)</f>
        <v>0</v>
      </c>
      <c r="BQ87" s="38">
        <f>IF(AND(BQ$7="○",$A87&gt;=BQ$8,$A87&lt;=BQ$9),IF(SUM(BQ$10:BQ86)-ROUNDDOWN($L87*BQ$5/100,0)&lt;-BQ$6,-BQ$6-SUM(BQ$10:BQ86),-ROUNDDOWN($L87*BQ$5/100,0)),0)</f>
        <v>0</v>
      </c>
      <c r="BR87" s="38">
        <f>IF(AND(BR$7="○",$A87&gt;=BR$8,$A87&lt;=BR$9),IF(SUM(BR$10:BR86)-ROUNDDOWN($M87*BR$5/100,0)&lt;-BR$6,-BR$6-SUM(BR$10:BR86),-ROUNDDOWN($M87*BR$5/100,0)),0)</f>
        <v>0</v>
      </c>
      <c r="BS87" s="38">
        <f>IF(AND(BS$7="○",$A87&gt;=BS$8,$A87&lt;=BS$9),IF(SUM(BS$10:BS86)-ROUNDDOWN($M87*BS$5/100,0)&lt;-BS$6,-BS$6-SUM(BS$10:BS86),-ROUNDDOWN($M87*BS$5/100,0)),0)</f>
        <v>0</v>
      </c>
      <c r="BT87" s="38">
        <f>IF(AND(BT$7="○",$A87&gt;=BT$8,$A87&lt;=BT$9),IF(SUM(BT$10:BT86)-ROUNDDOWN($M87*BT$5/100,0)&lt;-BT$6,-BT$6-SUM(BT$10:BT86),-ROUNDDOWN($M87*BT$5/100,0)),0)</f>
        <v>0</v>
      </c>
      <c r="BU87" s="38">
        <f>IF(AND(BU$7="○",$A87&gt;=BU$8,$A87&lt;=BU$9),IF(SUM(BU$10:BU86)-ROUNDDOWN($M87*BU$5/100,0)&lt;-BU$6,-BU$6-SUM(BU$10:BU86),-ROUNDDOWN($M87*BU$5/100,0)),0)</f>
        <v>0</v>
      </c>
      <c r="BV87" s="38">
        <f>IF(AND(BV$7="○",$A87&gt;=BV$8,$A87&lt;=BV$9),IF(SUM(BV$10:BV86)-ROUNDDOWN($M87*BV$5/100,0)&lt;-BV$6,-BV$6-SUM(BV$10:BV86),-ROUNDDOWN($M87*BV$5/100,0)),0)</f>
        <v>0</v>
      </c>
      <c r="BW87" s="38">
        <f>IF(AND(BW$7="○",$A87&gt;=BW$8,$A87&lt;=BW$9),IF(SUM(BW$10:BW86)-ROUNDDOWN($M87*BW$5/100,0)&lt;-BW$6,-BW$6-SUM(BW$10:BW86),-ROUNDDOWN($M87*BW$5/100,0)),0)</f>
        <v>0</v>
      </c>
      <c r="BX87" s="38">
        <f>IF(AND(T87="○",$A87&gt;=BX$8,$A87&lt;=BX$9),IF(SUM(BX$10:BX86)-ROUNDDOWN($K87*BX$5/100,0)&lt;-BX$6,-BX$6-SUM(BX$10:BX86),-ROUNDDOWN($K87*BX$5/100,0)),0)</f>
        <v>0</v>
      </c>
      <c r="BY87" s="38">
        <f>IF(AND(U87="○",$A87&gt;=BY$8,$A87&lt;=BY$9),IF(SUM(BY$10:BY86)-ROUNDDOWN($K87*BY$5/100,0)&lt;-BY$6,-BY$6-SUM(BY$10:BY86),-ROUNDDOWN($K87*BY$5/100,0)),0)</f>
        <v>0</v>
      </c>
      <c r="BZ87" s="38">
        <f>IF(AND(V87="○",$A87&gt;=BZ$8,$A87&lt;=BZ$9),IF(SUM(BZ$10:BZ86)-ROUNDDOWN($K87*BZ$5/100,0)&lt;-BZ$6,-BZ$6-SUM(BZ$10:BZ86),-ROUNDDOWN($K87*BZ$5/100,0)),0)</f>
        <v>0</v>
      </c>
      <c r="CA87" s="38">
        <f>IF(AND(W87="○",$A87&gt;=CA$8,$A87&lt;=CA$9),IF(SUM(CA$10:CA86)-ROUNDDOWN($K87*CA$5/100,0)&lt;-CA$6,-CA$6-SUM(CA$10:CA86),-ROUNDDOWN($K87*CA$5/100,0)),0)</f>
        <v>0</v>
      </c>
      <c r="CB87" s="38"/>
      <c r="CC87" s="38"/>
      <c r="CD87" s="38"/>
      <c r="CE87" s="38"/>
      <c r="CF87" s="38"/>
      <c r="CG87" s="65">
        <f t="shared" si="94"/>
        <v>0</v>
      </c>
      <c r="CH87" s="71">
        <f t="shared" si="95"/>
        <v>0</v>
      </c>
      <c r="CI87" s="1">
        <f t="shared" si="83"/>
        <v>0</v>
      </c>
      <c r="CJ87" s="1"/>
      <c r="CK87" s="72"/>
      <c r="CL87" s="72"/>
      <c r="CM87" s="2"/>
      <c r="CN87" s="2"/>
      <c r="CO87" s="73">
        <f t="shared" si="84"/>
        <v>0</v>
      </c>
      <c r="CP87" s="5">
        <f t="shared" si="85"/>
        <v>0</v>
      </c>
      <c r="CQ87" s="1"/>
      <c r="CR87" s="1">
        <f t="shared" si="86"/>
        <v>0</v>
      </c>
      <c r="CS87" s="1"/>
      <c r="CT87" s="1" t="e">
        <f>INDEX([2]マスタ!$A:$A,MATCH(D87,[2]マスタ!$C:$C,0))</f>
        <v>#N/A</v>
      </c>
      <c r="CU87" s="1" t="str">
        <f t="shared" ca="1" si="87"/>
        <v>20260620_0-0</v>
      </c>
    </row>
    <row r="88" spans="1:99" x14ac:dyDescent="0.4">
      <c r="A88" s="61"/>
      <c r="B88" s="62"/>
      <c r="C88" s="62"/>
      <c r="D88" s="62"/>
      <c r="E88" s="74"/>
      <c r="F88" s="62"/>
      <c r="G88" s="62">
        <v>1</v>
      </c>
      <c r="H88" s="64">
        <f t="shared" si="74"/>
        <v>0</v>
      </c>
      <c r="I88" s="64"/>
      <c r="J88" s="64"/>
      <c r="K88" s="65">
        <f t="shared" ref="K88:K91" si="96">+ROUNDDOWN((H88+I88+J88)/100,0)*100</f>
        <v>0</v>
      </c>
      <c r="L88" s="65">
        <f t="shared" si="76"/>
        <v>0</v>
      </c>
      <c r="M88" s="65">
        <f t="shared" si="77"/>
        <v>0</v>
      </c>
      <c r="N88" s="65">
        <f t="shared" si="78"/>
        <v>0</v>
      </c>
      <c r="O88" s="66" t="str">
        <f t="shared" si="79"/>
        <v>✕</v>
      </c>
      <c r="P88" s="67" t="str">
        <f t="shared" si="80"/>
        <v>○</v>
      </c>
      <c r="Q88" s="67" t="str">
        <f t="shared" ref="Q88:Q91" si="97">+IF((TEXT(A88,"DD")+0)=1,"○","✕")</f>
        <v>✕</v>
      </c>
      <c r="R88" s="67" t="str">
        <f t="shared" si="82"/>
        <v>✕</v>
      </c>
      <c r="S88" s="68">
        <v>0</v>
      </c>
      <c r="T88" s="69" t="s">
        <v>85</v>
      </c>
      <c r="U88" s="69" t="s">
        <v>85</v>
      </c>
      <c r="V88" s="69" t="s">
        <v>85</v>
      </c>
      <c r="W88" s="69" t="s">
        <v>85</v>
      </c>
      <c r="X88" s="69" t="s">
        <v>84</v>
      </c>
      <c r="Y88" s="69" t="s">
        <v>85</v>
      </c>
      <c r="Z88" s="69" t="s">
        <v>85</v>
      </c>
      <c r="AA88" s="69" t="s">
        <v>85</v>
      </c>
      <c r="AB88" s="69" t="s">
        <v>85</v>
      </c>
      <c r="AC88" s="69" t="s">
        <v>85</v>
      </c>
      <c r="AD88" s="38" t="str">
        <f>+IF(ISERROR(VLOOKUP($B88,AD$10:AD80,1,0)),IF(AND($N88&gt;=1000,$A88&gt;=AO$8,$A88&lt;=AO$9),$B88,""),"")</f>
        <v/>
      </c>
      <c r="AE88" s="38" t="str">
        <f>+IF(ISERROR(VLOOKUP($B88,AE$10:AE80,1,0)),IF(AND($N88&gt;=1000,$A88&gt;=AP$8,$A88&lt;=AP$9),$B88,""),"")</f>
        <v/>
      </c>
      <c r="AF88" s="38" t="str">
        <f>+IF(ISERROR(VLOOKUP($B88,AF$10:AF80,1,0)),IF(AND($N88&gt;=1000,$A88&gt;=AQ$8,$A88&lt;=AQ$9),$B88,""),"")</f>
        <v/>
      </c>
      <c r="AG88" s="38" t="str">
        <f>+IF(ISERROR(VLOOKUP($B88,AG$10:AG80,1,0)),IF(AND($N88&gt;=1000,$A88&gt;=AR$8,$A88&lt;=AR$9),$B88,""),"")</f>
        <v/>
      </c>
      <c r="AH88" s="38"/>
      <c r="AI88" s="70">
        <v>0</v>
      </c>
      <c r="AJ88" s="38">
        <f>IF(AND(AJ$7="○",$A88&gt;=AJ$8,$A88&lt;=AJ$9),IF(SUM(AJ$10:AJ87)-ROUNDDOWN($K88*AJ$5/100,0)&lt;-AJ$6,-AJ$6-SUM(AJ$10:AJ87),-ROUNDDOWN($K88*AJ$5/100,0)),0)</f>
        <v>0</v>
      </c>
      <c r="AK88" s="38">
        <f>IF(AND(AK$7="○",$A88&gt;=AK$8,$A88&lt;=AK$9),IF(SUM(AK$10:AK87)-ROUNDDOWN($L88*AK$5/100,0)&lt;-AK$6,-AK$6-SUM(AK$10:AK87),-ROUNDDOWN($L88*AK$5/100,0)),0)</f>
        <v>0</v>
      </c>
      <c r="AL88" s="38">
        <f>IF(AND(AL$7="○",$A88&gt;=AL$8,$A88&lt;=AL$9),IF(SUM(AL$10:AL87)-ROUNDDOWN($N88*AL$5/100,0)&lt;-AL$6,-AL$6-SUM(AL$10:AL87),-ROUNDDOWN($N88*AL$5/100,0)),0)</f>
        <v>0</v>
      </c>
      <c r="AM88" s="38">
        <f>IF(AND(AM$7="○",$A88&gt;=AM$8,$A88&lt;=AM$9),IF(SUM(AM$10:AM87)-ROUNDDOWN($L88*AM$5/100,0)&lt;-AM$6,-AM$6-SUM(AM$10:AM87),-ROUNDDOWN($L88*AM$5/100,0)),0)</f>
        <v>0</v>
      </c>
      <c r="AN88" s="38">
        <f>IF(AND(AN$7="○",$A88&gt;=AN$8,$A88&lt;=AN$9),IF(SUM(AN$10:AN87)-ROUNDDOWN($M88*AN$5/100,0)&lt;-AN$6,-AN$6-SUM(AN$10:AN87),-ROUNDDOWN($M88*AN$5/100,0)),0)</f>
        <v>0</v>
      </c>
      <c r="AO88" s="38">
        <f>IF(AND($A88&gt;=AO$8,$A88&lt;=AO$9),IF(SUM(AO$10:AO87)-ROUNDDOWN($K88*AO$5/100,0)&lt;-AO$6,-AO$6-SUM(AO$10:AO87),-ROUNDDOWN($K88*AO$5/100,0)),0)</f>
        <v>0</v>
      </c>
      <c r="AP88" s="38">
        <f>IF(AND($A88&gt;=AP$8,$A88&lt;=AP$9),IF(SUM(AP$10:AP87)-ROUNDDOWN($K88*AP$5/100,0)&lt;-AP$6,-AP$6-SUM(AP$10:AP87),-ROUNDDOWN($K88*AP$5/100,0)),0)</f>
        <v>0</v>
      </c>
      <c r="AQ88" s="38">
        <f>IF(AND($A88&gt;=AQ$8,$A88&lt;=AQ$9),IF(SUM(AQ$10:AQ87)-ROUNDDOWN($K88*AQ$5/100,0)&lt;-AQ$6,-AQ$6-SUM(AQ$10:AQ87),-ROUNDDOWN($K88*AQ$5/100,0)),0)</f>
        <v>0</v>
      </c>
      <c r="AR88" s="38">
        <f>IF(AND($A88&gt;=AR$8,$A88&lt;=AR$9),IF(SUM(AR$10:AR87)-ROUNDDOWN($K88*AR$5/100,0)&lt;-AR$6,-AR$6-SUM(AR$10:AR87),-ROUNDDOWN($K88*AR$5/100,0)),0)</f>
        <v>0</v>
      </c>
      <c r="AS88" s="38">
        <f>IF(SUMIFS(AS$10:AS87,$A$10:$A87,$A88)-ROUNDDOWN($K88*$S88/100,0)&lt;-$S88*1000,-$S88*1000-SUMIFS(AS$10:AS87,$A$10:$A87,$A88),-ROUNDDOWN($K88*$S88/100,0))</f>
        <v>0</v>
      </c>
      <c r="AT88" s="38">
        <f>IF(AND(X88="○",$A88&gt;=AT$8,$A88&lt;=AT$9,K88&gt;=3980),IF(SUM(AT$10:AT87)-ROUNDDOWN($K88*AT$5/100,0)&lt;-AT$6,-AT$6-SUM(AT$10:AT87),-ROUNDDOWN($K88*AT$5/100,0)),0)</f>
        <v>0</v>
      </c>
      <c r="AU88" s="38">
        <f>IF(O88="○",IF(SUM(AU$10:AU87)-ROUNDDOWN($K88*AU$5/100,0)&lt;-AU$6,-AU$6-SUM(AU$10:AU87),-ROUNDDOWN($K88*AU$5/100,0)),0)</f>
        <v>0</v>
      </c>
      <c r="AV88" s="38">
        <f>IF(P88="○",IF(SUM(AV$10:AV87)-ROUNDDOWN($K88*AV$5/100,0)&lt;-AV$6,-AV$6-SUM(AV$10:AV87),-ROUNDDOWN($K88*AV$5/100,0)),0)</f>
        <v>0</v>
      </c>
      <c r="AW88" s="38">
        <f>IF(Q88="○",IF(SUM(AW$10:AW87)-ROUNDDOWN($K88*AW$5/100,0)&lt;-AW$6,-AW$6-SUM(AW$10:AW87),-ROUNDDOWN($K88*AW$5/100,0)),0)</f>
        <v>0</v>
      </c>
      <c r="AX88" s="38">
        <f>IF(R88="○",IF(SUM(AX$10:AX87)-ROUNDDOWN($K88*AX$5/100,0)&lt;-AX$6,-AX$6-SUM(AX$10:AX87),-ROUNDDOWN($K88*AX$5/100,0)),0)</f>
        <v>0</v>
      </c>
      <c r="AY88" s="70">
        <v>0</v>
      </c>
      <c r="AZ88" s="65">
        <f t="shared" si="88"/>
        <v>0</v>
      </c>
      <c r="BA88" s="65">
        <f t="shared" si="89"/>
        <v>0</v>
      </c>
      <c r="BB88" s="70"/>
      <c r="BC88" s="65">
        <f t="shared" si="90"/>
        <v>0</v>
      </c>
      <c r="BD88" s="70">
        <v>0</v>
      </c>
      <c r="BE88" s="65">
        <f t="shared" si="91"/>
        <v>0</v>
      </c>
      <c r="BF88" s="70">
        <v>0</v>
      </c>
      <c r="BG88" s="65">
        <f t="shared" si="92"/>
        <v>0</v>
      </c>
      <c r="BH88" s="70">
        <v>0</v>
      </c>
      <c r="BI88" s="65">
        <f t="shared" si="93"/>
        <v>0</v>
      </c>
      <c r="BJ88" s="38">
        <f>IF(AND(BJ$7="○",$A88&gt;=BJ$8,$A88&lt;=BJ$9),IF(SUM(BJ$10:BJ87)-ROUNDDOWN($M88*BJ$5/100,0)&lt;-BJ$6,-BJ$6-SUM(BJ$10:BJ87),-ROUNDDOWN($M88*BJ$5/100,0)),0)</f>
        <v>0</v>
      </c>
      <c r="BK88" s="38">
        <f>IF(AND(BK$7="○",$A88&gt;=BK$8,$A88&lt;=BK$9),IF(SUM(BK$10:BK87)-ROUNDDOWN($L88*BK$5/100,0)&lt;-BK$6,-BK$6-SUM(BK$10:BK87),-ROUNDDOWN($L88*BK$5/100,0)),0)</f>
        <v>0</v>
      </c>
      <c r="BL88" s="38">
        <f>IF(AND(BL$7="○",$A88&gt;=BL$8,$A88&lt;=BL$9),IF(SUM(BL$10:BL87)-ROUNDDOWN($L88*BL$5/100,0)&lt;-BL$6,-BL$6-SUM(BL$10:BL87),-ROUNDDOWN($L88*BL$5/100,0)),0)</f>
        <v>0</v>
      </c>
      <c r="BM88" s="38">
        <f>IF(AND(BM$7="○",$A88&gt;=BM$8,$A88&lt;=BM$9),IF(SUM(BM$10:BM87)-ROUNDDOWN($M88*BM$5/100,0)&lt;-BM$6,-BM$6-SUM(BM$10:BM87),-ROUNDDOWN($M88*BM$5/100,0)),0)</f>
        <v>0</v>
      </c>
      <c r="BN88" s="38">
        <f>IF(AND(BN$7="○",$A88&gt;=BN$8,$A88&lt;=BN$9),IF(SUM(BN$10:BN87)-ROUNDDOWN($M88*BN$5/100,0)&lt;-BN$6,-BN$6-SUM(BN$10:BN87),-ROUNDDOWN($M88*BN$5/100,0)),0)</f>
        <v>0</v>
      </c>
      <c r="BO88" s="38">
        <f>IF(AND(BO$7="○",$A88&gt;=BO$8,$A88&lt;=BO$9),IF(SUM(BO$10:BO87)-ROUNDDOWN($M88*BO$5/100,0)&lt;-BO$6,-BO$6-SUM(BO$10:BO87),-ROUNDDOWN($M88*BO$5/100,0)),0)</f>
        <v>0</v>
      </c>
      <c r="BP88" s="38">
        <f>IF(AND(BP$7="○",$A88&gt;=BP$8,$A88&lt;=BP$9),IF(SUM(BP$10:BP87)-ROUNDDOWN($M88*BP$5/100,0)&lt;-BP$6,-BP$6-SUM(BP$10:BP87),-ROUNDDOWN($M88*BP$5/100,0)),0)</f>
        <v>0</v>
      </c>
      <c r="BQ88" s="38">
        <f>IF(AND(BQ$7="○",$A88&gt;=BQ$8,$A88&lt;=BQ$9),IF(SUM(BQ$10:BQ87)-ROUNDDOWN($L88*BQ$5/100,0)&lt;-BQ$6,-BQ$6-SUM(BQ$10:BQ87),-ROUNDDOWN($L88*BQ$5/100,0)),0)</f>
        <v>0</v>
      </c>
      <c r="BR88" s="38">
        <f>IF(AND(BR$7="○",$A88&gt;=BR$8,$A88&lt;=BR$9),IF(SUM(BR$10:BR87)-ROUNDDOWN($M88*BR$5/100,0)&lt;-BR$6,-BR$6-SUM(BR$10:BR87),-ROUNDDOWN($M88*BR$5/100,0)),0)</f>
        <v>0</v>
      </c>
      <c r="BS88" s="38">
        <f>IF(AND(BS$7="○",$A88&gt;=BS$8,$A88&lt;=BS$9),IF(SUM(BS$10:BS87)-ROUNDDOWN($M88*BS$5/100,0)&lt;-BS$6,-BS$6-SUM(BS$10:BS87),-ROUNDDOWN($M88*BS$5/100,0)),0)</f>
        <v>0</v>
      </c>
      <c r="BT88" s="38">
        <f>IF(AND(BT$7="○",$A88&gt;=BT$8,$A88&lt;=BT$9),IF(SUM(BT$10:BT87)-ROUNDDOWN($M88*BT$5/100,0)&lt;-BT$6,-BT$6-SUM(BT$10:BT87),-ROUNDDOWN($M88*BT$5/100,0)),0)</f>
        <v>0</v>
      </c>
      <c r="BU88" s="38">
        <f>IF(AND(BU$7="○",$A88&gt;=BU$8,$A88&lt;=BU$9),IF(SUM(BU$10:BU87)-ROUNDDOWN($M88*BU$5/100,0)&lt;-BU$6,-BU$6-SUM(BU$10:BU87),-ROUNDDOWN($M88*BU$5/100,0)),0)</f>
        <v>0</v>
      </c>
      <c r="BV88" s="38">
        <f>IF(AND(BV$7="○",$A88&gt;=BV$8,$A88&lt;=BV$9),IF(SUM(BV$10:BV87)-ROUNDDOWN($M88*BV$5/100,0)&lt;-BV$6,-BV$6-SUM(BV$10:BV87),-ROUNDDOWN($M88*BV$5/100,0)),0)</f>
        <v>0</v>
      </c>
      <c r="BW88" s="38">
        <f>IF(AND(BW$7="○",$A88&gt;=BW$8,$A88&lt;=BW$9),IF(SUM(BW$10:BW87)-ROUNDDOWN($M88*BW$5/100,0)&lt;-BW$6,-BW$6-SUM(BW$10:BW87),-ROUNDDOWN($M88*BW$5/100,0)),0)</f>
        <v>0</v>
      </c>
      <c r="BX88" s="38">
        <f>IF(AND(T88="○",$A88&gt;=BX$8,$A88&lt;=BX$9),IF(SUM(BX$10:BX87)-ROUNDDOWN($K88*BX$5/100,0)&lt;-BX$6,-BX$6-SUM(BX$10:BX87),-ROUNDDOWN($K88*BX$5/100,0)),0)</f>
        <v>0</v>
      </c>
      <c r="BY88" s="38">
        <f>IF(AND(U88="○",$A88&gt;=BY$8,$A88&lt;=BY$9),IF(SUM(BY$10:BY87)-ROUNDDOWN($K88*BY$5/100,0)&lt;-BY$6,-BY$6-SUM(BY$10:BY87),-ROUNDDOWN($K88*BY$5/100,0)),0)</f>
        <v>0</v>
      </c>
      <c r="BZ88" s="38">
        <f>IF(AND(V88="○",$A88&gt;=BZ$8,$A88&lt;=BZ$9),IF(SUM(BZ$10:BZ87)-ROUNDDOWN($K88*BZ$5/100,0)&lt;-BZ$6,-BZ$6-SUM(BZ$10:BZ87),-ROUNDDOWN($K88*BZ$5/100,0)),0)</f>
        <v>0</v>
      </c>
      <c r="CA88" s="38">
        <f>IF(AND(W88="○",$A88&gt;=CA$8,$A88&lt;=CA$9),IF(SUM(CA$10:CA87)-ROUNDDOWN($K88*CA$5/100,0)&lt;-CA$6,-CA$6-SUM(CA$10:CA87),-ROUNDDOWN($K88*CA$5/100,0)),0)</f>
        <v>0</v>
      </c>
      <c r="CB88" s="38"/>
      <c r="CC88" s="38"/>
      <c r="CD88" s="38"/>
      <c r="CE88" s="38"/>
      <c r="CF88" s="38"/>
      <c r="CG88" s="65">
        <f t="shared" si="94"/>
        <v>0</v>
      </c>
      <c r="CH88" s="71">
        <f t="shared" si="95"/>
        <v>0</v>
      </c>
      <c r="CI88" s="1">
        <f t="shared" si="83"/>
        <v>0</v>
      </c>
      <c r="CJ88" s="1"/>
      <c r="CK88" s="75"/>
      <c r="CL88" s="75"/>
      <c r="CM88" s="2"/>
      <c r="CN88" s="2"/>
      <c r="CO88" s="73">
        <f t="shared" si="84"/>
        <v>0</v>
      </c>
      <c r="CP88" s="5">
        <f t="shared" si="85"/>
        <v>0</v>
      </c>
      <c r="CQ88" s="1"/>
      <c r="CR88" s="1">
        <f t="shared" si="86"/>
        <v>0</v>
      </c>
      <c r="CS88" s="1"/>
      <c r="CT88" s="1" t="e">
        <f>INDEX([2]マスタ!$A:$A,MATCH(D88,[2]マスタ!$C:$C,0))</f>
        <v>#N/A</v>
      </c>
      <c r="CU88" s="1" t="str">
        <f t="shared" ca="1" si="87"/>
        <v>20260620_0-0</v>
      </c>
    </row>
    <row r="89" spans="1:99" x14ac:dyDescent="0.4">
      <c r="A89" s="61"/>
      <c r="B89" s="62"/>
      <c r="C89" s="62"/>
      <c r="D89" s="62"/>
      <c r="E89" s="74"/>
      <c r="F89" s="62"/>
      <c r="G89" s="62">
        <v>1</v>
      </c>
      <c r="H89" s="64">
        <f t="shared" si="74"/>
        <v>0</v>
      </c>
      <c r="I89" s="64"/>
      <c r="J89" s="64"/>
      <c r="K89" s="65">
        <f t="shared" si="96"/>
        <v>0</v>
      </c>
      <c r="L89" s="65">
        <f t="shared" si="76"/>
        <v>0</v>
      </c>
      <c r="M89" s="65">
        <f t="shared" si="77"/>
        <v>0</v>
      </c>
      <c r="N89" s="65">
        <f t="shared" si="78"/>
        <v>0</v>
      </c>
      <c r="O89" s="66" t="str">
        <f t="shared" si="79"/>
        <v>✕</v>
      </c>
      <c r="P89" s="67" t="str">
        <f t="shared" si="80"/>
        <v>○</v>
      </c>
      <c r="Q89" s="67" t="str">
        <f t="shared" si="97"/>
        <v>✕</v>
      </c>
      <c r="R89" s="67" t="str">
        <f t="shared" si="82"/>
        <v>✕</v>
      </c>
      <c r="S89" s="68">
        <v>0</v>
      </c>
      <c r="T89" s="69" t="s">
        <v>85</v>
      </c>
      <c r="U89" s="69" t="s">
        <v>85</v>
      </c>
      <c r="V89" s="69" t="s">
        <v>85</v>
      </c>
      <c r="W89" s="69" t="s">
        <v>85</v>
      </c>
      <c r="X89" s="69" t="s">
        <v>84</v>
      </c>
      <c r="Y89" s="69" t="s">
        <v>85</v>
      </c>
      <c r="Z89" s="69" t="s">
        <v>85</v>
      </c>
      <c r="AA89" s="69" t="s">
        <v>85</v>
      </c>
      <c r="AB89" s="69" t="s">
        <v>85</v>
      </c>
      <c r="AC89" s="69" t="s">
        <v>85</v>
      </c>
      <c r="AD89" s="38" t="str">
        <f>+IF(ISERROR(VLOOKUP($B89,AD$10:AD88,1,0)),IF(AND($N89&gt;=1000,$A89&gt;=AO$8,$A89&lt;=AO$9),$B89,""),"")</f>
        <v/>
      </c>
      <c r="AE89" s="38" t="str">
        <f>+IF(ISERROR(VLOOKUP($B89,AE$10:AE88,1,0)),IF(AND($N89&gt;=1000,$A89&gt;=AP$8,$A89&lt;=AP$9),$B89,""),"")</f>
        <v/>
      </c>
      <c r="AF89" s="38" t="str">
        <f>+IF(ISERROR(VLOOKUP($B89,AF$10:AF88,1,0)),IF(AND($N89&gt;=1000,$A89&gt;=AQ$8,$A89&lt;=AQ$9),$B89,""),"")</f>
        <v/>
      </c>
      <c r="AG89" s="38" t="str">
        <f>+IF(ISERROR(VLOOKUP($B89,AG$10:AG88,1,0)),IF(AND($N89&gt;=1000,$A89&gt;=AR$8,$A89&lt;=AR$9),$B89,""),"")</f>
        <v/>
      </c>
      <c r="AH89" s="38"/>
      <c r="AI89" s="70">
        <v>0</v>
      </c>
      <c r="AJ89" s="38">
        <f>IF(AND(AJ$7="○",$A89&gt;=AJ$8,$A89&lt;=AJ$9),IF(SUM(AJ$10:AJ88)-ROUNDDOWN($K89*AJ$5/100,0)&lt;-AJ$6,-AJ$6-SUM(AJ$10:AJ88),-ROUNDDOWN($K89*AJ$5/100,0)),0)</f>
        <v>0</v>
      </c>
      <c r="AK89" s="38">
        <f>IF(AND(AK$7="○",$A89&gt;=AK$8,$A89&lt;=AK$9),IF(SUM(AK$10:AK88)-ROUNDDOWN($L89*AK$5/100,0)&lt;-AK$6,-AK$6-SUM(AK$10:AK88),-ROUNDDOWN($L89*AK$5/100,0)),0)</f>
        <v>0</v>
      </c>
      <c r="AL89" s="38">
        <f>IF(AND(AL$7="○",$A89&gt;=AL$8,$A89&lt;=AL$9),IF(SUM(AL$10:AL88)-ROUNDDOWN($N89*AL$5/100,0)&lt;-AL$6,-AL$6-SUM(AL$10:AL88),-ROUNDDOWN($N89*AL$5/100,0)),0)</f>
        <v>0</v>
      </c>
      <c r="AM89" s="38">
        <f>IF(AND(AM$7="○",$A89&gt;=AM$8,$A89&lt;=AM$9),IF(SUM(AM$10:AM88)-ROUNDDOWN($L89*AM$5/100,0)&lt;-AM$6,-AM$6-SUM(AM$10:AM88),-ROUNDDOWN($L89*AM$5/100,0)),0)</f>
        <v>0</v>
      </c>
      <c r="AN89" s="38">
        <f>IF(AND(AN$7="○",$A89&gt;=AN$8,$A89&lt;=AN$9),IF(SUM(AN$10:AN88)-ROUNDDOWN($M89*AN$5/100,0)&lt;-AN$6,-AN$6-SUM(AN$10:AN88),-ROUNDDOWN($M89*AN$5/100,0)),0)</f>
        <v>0</v>
      </c>
      <c r="AO89" s="38">
        <f>IF(AND($A89&gt;=AO$8,$A89&lt;=AO$9),IF(SUM(AO$10:AO88)-ROUNDDOWN($K89*AO$5/100,0)&lt;-AO$6,-AO$6-SUM(AO$10:AO88),-ROUNDDOWN($K89*AO$5/100,0)),0)</f>
        <v>0</v>
      </c>
      <c r="AP89" s="38">
        <f>IF(AND($A89&gt;=AP$8,$A89&lt;=AP$9),IF(SUM(AP$10:AP88)-ROUNDDOWN($K89*AP$5/100,0)&lt;-AP$6,-AP$6-SUM(AP$10:AP88),-ROUNDDOWN($K89*AP$5/100,0)),0)</f>
        <v>0</v>
      </c>
      <c r="AQ89" s="38">
        <f>IF(AND($A89&gt;=AQ$8,$A89&lt;=AQ$9),IF(SUM(AQ$10:AQ88)-ROUNDDOWN($K89*AQ$5/100,0)&lt;-AQ$6,-AQ$6-SUM(AQ$10:AQ88),-ROUNDDOWN($K89*AQ$5/100,0)),0)</f>
        <v>0</v>
      </c>
      <c r="AR89" s="38">
        <f>IF(AND($A89&gt;=AR$8,$A89&lt;=AR$9),IF(SUM(AR$10:AR88)-ROUNDDOWN($K89*AR$5/100,0)&lt;-AR$6,-AR$6-SUM(AR$10:AR88),-ROUNDDOWN($K89*AR$5/100,0)),0)</f>
        <v>0</v>
      </c>
      <c r="AS89" s="38">
        <f>IF(SUMIFS(AS$10:AS88,$A$10:$A88,$A89)-ROUNDDOWN($K89*$S89/100,0)&lt;-$S89*1000,-$S89*1000-SUMIFS(AS$10:AS88,$A$10:$A88,$A89),-ROUNDDOWN($K89*$S89/100,0))</f>
        <v>0</v>
      </c>
      <c r="AT89" s="38">
        <f>IF(AND(X89="○",$A89&gt;=AT$8,$A89&lt;=AT$9,K89&gt;=3980),IF(SUM(AT$10:AT88)-ROUNDDOWN($K89*AT$5/100,0)&lt;-AT$6,-AT$6-SUM(AT$10:AT88),-ROUNDDOWN($K89*AT$5/100,0)),0)</f>
        <v>0</v>
      </c>
      <c r="AU89" s="38">
        <f>IF(O89="○",IF(SUM(AU$10:AU88)-ROUNDDOWN($K89*AU$5/100,0)&lt;-AU$6,-AU$6-SUM(AU$10:AU88),-ROUNDDOWN($K89*AU$5/100,0)),0)</f>
        <v>0</v>
      </c>
      <c r="AV89" s="38">
        <f>IF(P89="○",IF(SUM(AV$10:AV88)-ROUNDDOWN($K89*AV$5/100,0)&lt;-AV$6,-AV$6-SUM(AV$10:AV88),-ROUNDDOWN($K89*AV$5/100,0)),0)</f>
        <v>0</v>
      </c>
      <c r="AW89" s="38">
        <f>IF(Q89="○",IF(SUM(AW$10:AW88)-ROUNDDOWN($K89*AW$5/100,0)&lt;-AW$6,-AW$6-SUM(AW$10:AW88),-ROUNDDOWN($K89*AW$5/100,0)),0)</f>
        <v>0</v>
      </c>
      <c r="AX89" s="38">
        <f>IF(R89="○",IF(SUM(AX$10:AX88)-ROUNDDOWN($K89*AX$5/100,0)&lt;-AX$6,-AX$6-SUM(AX$10:AX88),-ROUNDDOWN($K89*AX$5/100,0)),0)</f>
        <v>0</v>
      </c>
      <c r="AY89" s="70">
        <v>0</v>
      </c>
      <c r="AZ89" s="65">
        <f t="shared" si="88"/>
        <v>0</v>
      </c>
      <c r="BA89" s="65">
        <f t="shared" si="89"/>
        <v>0</v>
      </c>
      <c r="BB89" s="70"/>
      <c r="BC89" s="65">
        <f t="shared" si="90"/>
        <v>0</v>
      </c>
      <c r="BD89" s="70">
        <v>0</v>
      </c>
      <c r="BE89" s="65">
        <f t="shared" si="91"/>
        <v>0</v>
      </c>
      <c r="BF89" s="70">
        <v>0</v>
      </c>
      <c r="BG89" s="65">
        <f t="shared" si="92"/>
        <v>0</v>
      </c>
      <c r="BH89" s="70">
        <v>0</v>
      </c>
      <c r="BI89" s="65">
        <f t="shared" si="93"/>
        <v>0</v>
      </c>
      <c r="BJ89" s="38">
        <f>IF(AND(BJ$7="○",$A89&gt;=BJ$8,$A89&lt;=BJ$9),IF(SUM(BJ$10:BJ88)-ROUNDDOWN($M89*BJ$5/100,0)&lt;-BJ$6,-BJ$6-SUM(BJ$10:BJ88),-ROUNDDOWN($M89*BJ$5/100,0)),0)</f>
        <v>0</v>
      </c>
      <c r="BK89" s="38">
        <f>IF(AND(BK$7="○",$A89&gt;=BK$8,$A89&lt;=BK$9),IF(SUM(BK$10:BK88)-ROUNDDOWN($L89*BK$5/100,0)&lt;-BK$6,-BK$6-SUM(BK$10:BK88),-ROUNDDOWN($L89*BK$5/100,0)),0)</f>
        <v>0</v>
      </c>
      <c r="BL89" s="38">
        <f>IF(AND(BL$7="○",$A89&gt;=BL$8,$A89&lt;=BL$9),IF(SUM(BL$10:BL88)-ROUNDDOWN($L89*BL$5/100,0)&lt;-BL$6,-BL$6-SUM(BL$10:BL88),-ROUNDDOWN($L89*BL$5/100,0)),0)</f>
        <v>0</v>
      </c>
      <c r="BM89" s="38">
        <f>IF(AND(BM$7="○",$A89&gt;=BM$8,$A89&lt;=BM$9),IF(SUM(BM$10:BM88)-ROUNDDOWN($M89*BM$5/100,0)&lt;-BM$6,-BM$6-SUM(BM$10:BM88),-ROUNDDOWN($M89*BM$5/100,0)),0)</f>
        <v>0</v>
      </c>
      <c r="BN89" s="38">
        <f>IF(AND(BN$7="○",$A89&gt;=BN$8,$A89&lt;=BN$9),IF(SUM(BN$10:BN88)-ROUNDDOWN($M89*BN$5/100,0)&lt;-BN$6,-BN$6-SUM(BN$10:BN88),-ROUNDDOWN($M89*BN$5/100,0)),0)</f>
        <v>0</v>
      </c>
      <c r="BO89" s="38">
        <f>IF(AND(BO$7="○",$A89&gt;=BO$8,$A89&lt;=BO$9),IF(SUM(BO$10:BO88)-ROUNDDOWN($M89*BO$5/100,0)&lt;-BO$6,-BO$6-SUM(BO$10:BO88),-ROUNDDOWN($M89*BO$5/100,0)),0)</f>
        <v>0</v>
      </c>
      <c r="BP89" s="38">
        <f>IF(AND(BP$7="○",$A89&gt;=BP$8,$A89&lt;=BP$9),IF(SUM(BP$10:BP88)-ROUNDDOWN($M89*BP$5/100,0)&lt;-BP$6,-BP$6-SUM(BP$10:BP88),-ROUNDDOWN($M89*BP$5/100,0)),0)</f>
        <v>0</v>
      </c>
      <c r="BQ89" s="38">
        <f>IF(AND(BQ$7="○",$A89&gt;=BQ$8,$A89&lt;=BQ$9),IF(SUM(BQ$10:BQ88)-ROUNDDOWN($L89*BQ$5/100,0)&lt;-BQ$6,-BQ$6-SUM(BQ$10:BQ88),-ROUNDDOWN($L89*BQ$5/100,0)),0)</f>
        <v>0</v>
      </c>
      <c r="BR89" s="38">
        <f>IF(AND(BR$7="○",$A89&gt;=BR$8,$A89&lt;=BR$9),IF(SUM(BR$10:BR88)-ROUNDDOWN($M89*BR$5/100,0)&lt;-BR$6,-BR$6-SUM(BR$10:BR88),-ROUNDDOWN($M89*BR$5/100,0)),0)</f>
        <v>0</v>
      </c>
      <c r="BS89" s="38">
        <f>IF(AND(BS$7="○",$A89&gt;=BS$8,$A89&lt;=BS$9),IF(SUM(BS$10:BS88)-ROUNDDOWN($M89*BS$5/100,0)&lt;-BS$6,-BS$6-SUM(BS$10:BS88),-ROUNDDOWN($M89*BS$5/100,0)),0)</f>
        <v>0</v>
      </c>
      <c r="BT89" s="38">
        <f>IF(AND(BT$7="○",$A89&gt;=BT$8,$A89&lt;=BT$9),IF(SUM(BT$10:BT88)-ROUNDDOWN($M89*BT$5/100,0)&lt;-BT$6,-BT$6-SUM(BT$10:BT88),-ROUNDDOWN($M89*BT$5/100,0)),0)</f>
        <v>0</v>
      </c>
      <c r="BU89" s="38">
        <f>IF(AND(BU$7="○",$A89&gt;=BU$8,$A89&lt;=BU$9),IF(SUM(BU$10:BU88)-ROUNDDOWN($M89*BU$5/100,0)&lt;-BU$6,-BU$6-SUM(BU$10:BU88),-ROUNDDOWN($M89*BU$5/100,0)),0)</f>
        <v>0</v>
      </c>
      <c r="BV89" s="38">
        <f>IF(AND(BV$7="○",$A89&gt;=BV$8,$A89&lt;=BV$9),IF(SUM(BV$10:BV88)-ROUNDDOWN($M89*BV$5/100,0)&lt;-BV$6,-BV$6-SUM(BV$10:BV88),-ROUNDDOWN($M89*BV$5/100,0)),0)</f>
        <v>0</v>
      </c>
      <c r="BW89" s="38">
        <f>IF(AND(BW$7="○",$A89&gt;=BW$8,$A89&lt;=BW$9),IF(SUM(BW$10:BW88)-ROUNDDOWN($M89*BW$5/100,0)&lt;-BW$6,-BW$6-SUM(BW$10:BW88),-ROUNDDOWN($M89*BW$5/100,0)),0)</f>
        <v>0</v>
      </c>
      <c r="BX89" s="38">
        <f>IF(AND(T89="○",$A89&gt;=BX$8,$A89&lt;=BX$9),IF(SUM(BX$10:BX88)-ROUNDDOWN($K89*BX$5/100,0)&lt;-BX$6,-BX$6-SUM(BX$10:BX88),-ROUNDDOWN($K89*BX$5/100,0)),0)</f>
        <v>0</v>
      </c>
      <c r="BY89" s="38">
        <f>IF(AND(U89="○",$A89&gt;=BY$8,$A89&lt;=BY$9),IF(SUM(BY$10:BY88)-ROUNDDOWN($K89*BY$5/100,0)&lt;-BY$6,-BY$6-SUM(BY$10:BY88),-ROUNDDOWN($K89*BY$5/100,0)),0)</f>
        <v>0</v>
      </c>
      <c r="BZ89" s="38">
        <f>IF(AND(V89="○",$A89&gt;=BZ$8,$A89&lt;=BZ$9),IF(SUM(BZ$10:BZ88)-ROUNDDOWN($K89*BZ$5/100,0)&lt;-BZ$6,-BZ$6-SUM(BZ$10:BZ88),-ROUNDDOWN($K89*BZ$5/100,0)),0)</f>
        <v>0</v>
      </c>
      <c r="CA89" s="38">
        <f>IF(AND(W89="○",$A89&gt;=CA$8,$A89&lt;=CA$9),IF(SUM(CA$10:CA88)-ROUNDDOWN($K89*CA$5/100,0)&lt;-CA$6,-CA$6-SUM(CA$10:CA88),-ROUNDDOWN($K89*CA$5/100,0)),0)</f>
        <v>0</v>
      </c>
      <c r="CB89" s="38"/>
      <c r="CC89" s="38"/>
      <c r="CD89" s="38"/>
      <c r="CE89" s="38"/>
      <c r="CF89" s="38"/>
      <c r="CG89" s="65">
        <f t="shared" si="94"/>
        <v>0</v>
      </c>
      <c r="CH89" s="71">
        <f t="shared" si="95"/>
        <v>0</v>
      </c>
      <c r="CI89" s="1">
        <f t="shared" si="83"/>
        <v>0</v>
      </c>
      <c r="CJ89" s="1"/>
      <c r="CK89" s="75"/>
      <c r="CL89" s="75"/>
      <c r="CM89" s="2"/>
      <c r="CN89" s="2"/>
      <c r="CO89" s="73">
        <f t="shared" si="84"/>
        <v>0</v>
      </c>
      <c r="CP89" s="5">
        <f t="shared" si="85"/>
        <v>0</v>
      </c>
      <c r="CQ89" s="1"/>
      <c r="CR89" s="1">
        <f t="shared" si="86"/>
        <v>0</v>
      </c>
      <c r="CS89" s="1"/>
      <c r="CT89" s="1" t="e">
        <f>INDEX([2]マスタ!$A:$A,MATCH(D89,[2]マスタ!$C:$C,0))</f>
        <v>#N/A</v>
      </c>
      <c r="CU89" s="1" t="str">
        <f t="shared" ca="1" si="87"/>
        <v>20260620_0-0</v>
      </c>
    </row>
    <row r="90" spans="1:99" x14ac:dyDescent="0.4">
      <c r="A90" s="61"/>
      <c r="B90" s="62"/>
      <c r="C90" s="62"/>
      <c r="D90" s="62"/>
      <c r="E90" s="74"/>
      <c r="F90" s="62"/>
      <c r="G90" s="62">
        <v>1</v>
      </c>
      <c r="H90" s="64">
        <f t="shared" si="74"/>
        <v>0</v>
      </c>
      <c r="I90" s="64"/>
      <c r="J90" s="64"/>
      <c r="K90" s="65">
        <f t="shared" si="96"/>
        <v>0</v>
      </c>
      <c r="L90" s="65">
        <f t="shared" si="76"/>
        <v>0</v>
      </c>
      <c r="M90" s="65">
        <f t="shared" si="77"/>
        <v>0</v>
      </c>
      <c r="N90" s="65">
        <f t="shared" si="78"/>
        <v>0</v>
      </c>
      <c r="O90" s="66" t="str">
        <f t="shared" si="79"/>
        <v>✕</v>
      </c>
      <c r="P90" s="67" t="str">
        <f t="shared" si="80"/>
        <v>○</v>
      </c>
      <c r="Q90" s="67" t="str">
        <f t="shared" si="97"/>
        <v>✕</v>
      </c>
      <c r="R90" s="67" t="str">
        <f t="shared" si="82"/>
        <v>✕</v>
      </c>
      <c r="S90" s="68">
        <v>0</v>
      </c>
      <c r="T90" s="69" t="s">
        <v>85</v>
      </c>
      <c r="U90" s="69" t="s">
        <v>85</v>
      </c>
      <c r="V90" s="69" t="s">
        <v>85</v>
      </c>
      <c r="W90" s="69" t="s">
        <v>85</v>
      </c>
      <c r="X90" s="69" t="s">
        <v>84</v>
      </c>
      <c r="Y90" s="69" t="s">
        <v>85</v>
      </c>
      <c r="Z90" s="69" t="s">
        <v>85</v>
      </c>
      <c r="AA90" s="69" t="s">
        <v>85</v>
      </c>
      <c r="AB90" s="69" t="s">
        <v>85</v>
      </c>
      <c r="AC90" s="69" t="s">
        <v>85</v>
      </c>
      <c r="AD90" s="38" t="str">
        <f>+IF(ISERROR(VLOOKUP($B90,AD$10:AD89,1,0)),IF(AND($N90&gt;=1000,$A90&gt;=AO$8,$A90&lt;=AO$9),$B90,""),"")</f>
        <v/>
      </c>
      <c r="AE90" s="38" t="str">
        <f>+IF(ISERROR(VLOOKUP($B90,AE$10:AE89,1,0)),IF(AND($N90&gt;=1000,$A90&gt;=AP$8,$A90&lt;=AP$9),$B90,""),"")</f>
        <v/>
      </c>
      <c r="AF90" s="38" t="str">
        <f>+IF(ISERROR(VLOOKUP($B90,AF$10:AF89,1,0)),IF(AND($N90&gt;=1000,$A90&gt;=AQ$8,$A90&lt;=AQ$9),$B90,""),"")</f>
        <v/>
      </c>
      <c r="AG90" s="38" t="str">
        <f>+IF(ISERROR(VLOOKUP($B90,AG$10:AG89,1,0)),IF(AND($N90&gt;=1000,$A90&gt;=AR$8,$A90&lt;=AR$9),$B90,""),"")</f>
        <v/>
      </c>
      <c r="AH90" s="38"/>
      <c r="AI90" s="70">
        <v>0</v>
      </c>
      <c r="AJ90" s="38">
        <f>IF(AND(AJ$7="○",$A90&gt;=AJ$8,$A90&lt;=AJ$9),IF(SUM(AJ$10:AJ89)-ROUNDDOWN($K90*AJ$5/100,0)&lt;-AJ$6,-AJ$6-SUM(AJ$10:AJ89),-ROUNDDOWN($K90*AJ$5/100,0)),0)</f>
        <v>0</v>
      </c>
      <c r="AK90" s="38">
        <f>IF(AND(AK$7="○",$A90&gt;=AK$8,$A90&lt;=AK$9),IF(SUM(AK$10:AK89)-ROUNDDOWN($L90*AK$5/100,0)&lt;-AK$6,-AK$6-SUM(AK$10:AK89),-ROUNDDOWN($L90*AK$5/100,0)),0)</f>
        <v>0</v>
      </c>
      <c r="AL90" s="38">
        <f>IF(AND(AL$7="○",$A90&gt;=AL$8,$A90&lt;=AL$9),IF(SUM(AL$10:AL89)-ROUNDDOWN($N90*AL$5/100,0)&lt;-AL$6,-AL$6-SUM(AL$10:AL89),-ROUNDDOWN($N90*AL$5/100,0)),0)</f>
        <v>0</v>
      </c>
      <c r="AM90" s="38">
        <f>IF(AND(AM$7="○",$A90&gt;=AM$8,$A90&lt;=AM$9),IF(SUM(AM$10:AM89)-ROUNDDOWN($L90*AM$5/100,0)&lt;-AM$6,-AM$6-SUM(AM$10:AM89),-ROUNDDOWN($L90*AM$5/100,0)),0)</f>
        <v>0</v>
      </c>
      <c r="AN90" s="38">
        <f>IF(AND(AN$7="○",$A90&gt;=AN$8,$A90&lt;=AN$9),IF(SUM(AN$10:AN89)-ROUNDDOWN($M90*AN$5/100,0)&lt;-AN$6,-AN$6-SUM(AN$10:AN89),-ROUNDDOWN($M90*AN$5/100,0)),0)</f>
        <v>0</v>
      </c>
      <c r="AO90" s="38">
        <f>IF(AND($A90&gt;=AO$8,$A90&lt;=AO$9),IF(SUM(AO$10:AO89)-ROUNDDOWN($K90*AO$5/100,0)&lt;-AO$6,-AO$6-SUM(AO$10:AO89),-ROUNDDOWN($K90*AO$5/100,0)),0)</f>
        <v>0</v>
      </c>
      <c r="AP90" s="38">
        <f>IF(AND($A90&gt;=AP$8,$A90&lt;=AP$9),IF(SUM(AP$10:AP89)-ROUNDDOWN($K90*AP$5/100,0)&lt;-AP$6,-AP$6-SUM(AP$10:AP89),-ROUNDDOWN($K90*AP$5/100,0)),0)</f>
        <v>0</v>
      </c>
      <c r="AQ90" s="38">
        <f>IF(AND($A90&gt;=AQ$8,$A90&lt;=AQ$9),IF(SUM(AQ$10:AQ89)-ROUNDDOWN($K90*AQ$5/100,0)&lt;-AQ$6,-AQ$6-SUM(AQ$10:AQ89),-ROUNDDOWN($K90*AQ$5/100,0)),0)</f>
        <v>0</v>
      </c>
      <c r="AR90" s="38">
        <f>IF(AND($A90&gt;=AR$8,$A90&lt;=AR$9),IF(SUM(AR$10:AR89)-ROUNDDOWN($K90*AR$5/100,0)&lt;-AR$6,-AR$6-SUM(AR$10:AR89),-ROUNDDOWN($K90*AR$5/100,0)),0)</f>
        <v>0</v>
      </c>
      <c r="AS90" s="38">
        <f>IF(SUMIFS(AS$10:AS89,$A$10:$A89,$A90)-ROUNDDOWN($K90*$S90/100,0)&lt;-$S90*1000,-$S90*1000-SUMIFS(AS$10:AS89,$A$10:$A89,$A90),-ROUNDDOWN($K90*$S90/100,0))</f>
        <v>0</v>
      </c>
      <c r="AT90" s="38">
        <f>IF(AND(X90="○",$A90&gt;=AT$8,$A90&lt;=AT$9,K90&gt;=3980),IF(SUM(AT$10:AT89)-ROUNDDOWN($K90*AT$5/100,0)&lt;-AT$6,-AT$6-SUM(AT$10:AT89),-ROUNDDOWN($K90*AT$5/100,0)),0)</f>
        <v>0</v>
      </c>
      <c r="AU90" s="38">
        <f>IF(O90="○",IF(SUM(AU$10:AU89)-ROUNDDOWN($K90*AU$5/100,0)&lt;-AU$6,-AU$6-SUM(AU$10:AU89),-ROUNDDOWN($K90*AU$5/100,0)),0)</f>
        <v>0</v>
      </c>
      <c r="AV90" s="38">
        <f>IF(P90="○",IF(SUM(AV$10:AV89)-ROUNDDOWN($K90*AV$5/100,0)&lt;-AV$6,-AV$6-SUM(AV$10:AV89),-ROUNDDOWN($K90*AV$5/100,0)),0)</f>
        <v>0</v>
      </c>
      <c r="AW90" s="38">
        <f>IF(Q90="○",IF(SUM(AW$10:AW89)-ROUNDDOWN($K90*AW$5/100,0)&lt;-AW$6,-AW$6-SUM(AW$10:AW89),-ROUNDDOWN($K90*AW$5/100,0)),0)</f>
        <v>0</v>
      </c>
      <c r="AX90" s="38">
        <f>IF(R90="○",IF(SUM(AX$10:AX89)-ROUNDDOWN($K90*AX$5/100,0)&lt;-AX$6,-AX$6-SUM(AX$10:AX89),-ROUNDDOWN($K90*AX$5/100,0)),0)</f>
        <v>0</v>
      </c>
      <c r="AY90" s="70">
        <v>0</v>
      </c>
      <c r="AZ90" s="65">
        <f t="shared" si="88"/>
        <v>0</v>
      </c>
      <c r="BA90" s="65">
        <f t="shared" si="89"/>
        <v>0</v>
      </c>
      <c r="BB90" s="70"/>
      <c r="BC90" s="65">
        <f t="shared" si="90"/>
        <v>0</v>
      </c>
      <c r="BD90" s="70">
        <v>0</v>
      </c>
      <c r="BE90" s="65">
        <f t="shared" si="91"/>
        <v>0</v>
      </c>
      <c r="BF90" s="70">
        <v>0</v>
      </c>
      <c r="BG90" s="65">
        <f t="shared" si="92"/>
        <v>0</v>
      </c>
      <c r="BH90" s="70">
        <v>0</v>
      </c>
      <c r="BI90" s="65">
        <f t="shared" si="93"/>
        <v>0</v>
      </c>
      <c r="BJ90" s="38">
        <f>IF(AND(BJ$7="○",$A90&gt;=BJ$8,$A90&lt;=BJ$9),IF(SUM(BJ$10:BJ89)-ROUNDDOWN($M90*BJ$5/100,0)&lt;-BJ$6,-BJ$6-SUM(BJ$10:BJ89),-ROUNDDOWN($M90*BJ$5/100,0)),0)</f>
        <v>0</v>
      </c>
      <c r="BK90" s="38">
        <f>IF(AND(BK$7="○",$A90&gt;=BK$8,$A90&lt;=BK$9),IF(SUM(BK$10:BK89)-ROUNDDOWN($L90*BK$5/100,0)&lt;-BK$6,-BK$6-SUM(BK$10:BK89),-ROUNDDOWN($L90*BK$5/100,0)),0)</f>
        <v>0</v>
      </c>
      <c r="BL90" s="38">
        <f>IF(AND(BL$7="○",$A90&gt;=BL$8,$A90&lt;=BL$9),IF(SUM(BL$10:BL89)-ROUNDDOWN($L90*BL$5/100,0)&lt;-BL$6,-BL$6-SUM(BL$10:BL89),-ROUNDDOWN($L90*BL$5/100,0)),0)</f>
        <v>0</v>
      </c>
      <c r="BM90" s="38">
        <f>IF(AND(BM$7="○",$A90&gt;=BM$8,$A90&lt;=BM$9),IF(SUM(BM$10:BM89)-ROUNDDOWN($M90*BM$5/100,0)&lt;-BM$6,-BM$6-SUM(BM$10:BM89),-ROUNDDOWN($M90*BM$5/100,0)),0)</f>
        <v>0</v>
      </c>
      <c r="BN90" s="38">
        <f>IF(AND(BN$7="○",$A90&gt;=BN$8,$A90&lt;=BN$9),IF(SUM(BN$10:BN89)-ROUNDDOWN($M90*BN$5/100,0)&lt;-BN$6,-BN$6-SUM(BN$10:BN89),-ROUNDDOWN($M90*BN$5/100,0)),0)</f>
        <v>0</v>
      </c>
      <c r="BO90" s="38">
        <f>IF(AND(BO$7="○",$A90&gt;=BO$8,$A90&lt;=BO$9),IF(SUM(BO$10:BO89)-ROUNDDOWN($M90*BO$5/100,0)&lt;-BO$6,-BO$6-SUM(BO$10:BO89),-ROUNDDOWN($M90*BO$5/100,0)),0)</f>
        <v>0</v>
      </c>
      <c r="BP90" s="38">
        <f>IF(AND(BP$7="○",$A90&gt;=BP$8,$A90&lt;=BP$9),IF(SUM(BP$10:BP89)-ROUNDDOWN($M90*BP$5/100,0)&lt;-BP$6,-BP$6-SUM(BP$10:BP89),-ROUNDDOWN($M90*BP$5/100,0)),0)</f>
        <v>0</v>
      </c>
      <c r="BQ90" s="38">
        <f>IF(AND(BQ$7="○",$A90&gt;=BQ$8,$A90&lt;=BQ$9),IF(SUM(BQ$10:BQ89)-ROUNDDOWN($L90*BQ$5/100,0)&lt;-BQ$6,-BQ$6-SUM(BQ$10:BQ89),-ROUNDDOWN($L90*BQ$5/100,0)),0)</f>
        <v>0</v>
      </c>
      <c r="BR90" s="38">
        <f>IF(AND(BR$7="○",$A90&gt;=BR$8,$A90&lt;=BR$9),IF(SUM(BR$10:BR89)-ROUNDDOWN($M90*BR$5/100,0)&lt;-BR$6,-BR$6-SUM(BR$10:BR89),-ROUNDDOWN($M90*BR$5/100,0)),0)</f>
        <v>0</v>
      </c>
      <c r="BS90" s="38">
        <f>IF(AND(BS$7="○",$A90&gt;=BS$8,$A90&lt;=BS$9),IF(SUM(BS$10:BS89)-ROUNDDOWN($M90*BS$5/100,0)&lt;-BS$6,-BS$6-SUM(BS$10:BS89),-ROUNDDOWN($M90*BS$5/100,0)),0)</f>
        <v>0</v>
      </c>
      <c r="BT90" s="38">
        <f>IF(AND(BT$7="○",$A90&gt;=BT$8,$A90&lt;=BT$9),IF(SUM(BT$10:BT89)-ROUNDDOWN($M90*BT$5/100,0)&lt;-BT$6,-BT$6-SUM(BT$10:BT89),-ROUNDDOWN($M90*BT$5/100,0)),0)</f>
        <v>0</v>
      </c>
      <c r="BU90" s="38">
        <f>IF(AND(BU$7="○",$A90&gt;=BU$8,$A90&lt;=BU$9),IF(SUM(BU$10:BU89)-ROUNDDOWN($M90*BU$5/100,0)&lt;-BU$6,-BU$6-SUM(BU$10:BU89),-ROUNDDOWN($M90*BU$5/100,0)),0)</f>
        <v>0</v>
      </c>
      <c r="BV90" s="38">
        <f>IF(AND(BV$7="○",$A90&gt;=BV$8,$A90&lt;=BV$9),IF(SUM(BV$10:BV89)-ROUNDDOWN($M90*BV$5/100,0)&lt;-BV$6,-BV$6-SUM(BV$10:BV89),-ROUNDDOWN($M90*BV$5/100,0)),0)</f>
        <v>0</v>
      </c>
      <c r="BW90" s="38">
        <f>IF(AND(BW$7="○",$A90&gt;=BW$8,$A90&lt;=BW$9),IF(SUM(BW$10:BW89)-ROUNDDOWN($M90*BW$5/100,0)&lt;-BW$6,-BW$6-SUM(BW$10:BW89),-ROUNDDOWN($M90*BW$5/100,0)),0)</f>
        <v>0</v>
      </c>
      <c r="BX90" s="38">
        <f>IF(AND(T90="○",$A90&gt;=BX$8,$A90&lt;=BX$9),IF(SUM(BX$10:BX89)-ROUNDDOWN($K90*BX$5/100,0)&lt;-BX$6,-BX$6-SUM(BX$10:BX89),-ROUNDDOWN($K90*BX$5/100,0)),0)</f>
        <v>0</v>
      </c>
      <c r="BY90" s="38">
        <f>IF(AND(U90="○",$A90&gt;=BY$8,$A90&lt;=BY$9),IF(SUM(BY$10:BY89)-ROUNDDOWN($K90*BY$5/100,0)&lt;-BY$6,-BY$6-SUM(BY$10:BY89),-ROUNDDOWN($K90*BY$5/100,0)),0)</f>
        <v>0</v>
      </c>
      <c r="BZ90" s="38">
        <f>IF(AND(V90="○",$A90&gt;=BZ$8,$A90&lt;=BZ$9),IF(SUM(BZ$10:BZ89)-ROUNDDOWN($K90*BZ$5/100,0)&lt;-BZ$6,-BZ$6-SUM(BZ$10:BZ89),-ROUNDDOWN($K90*BZ$5/100,0)),0)</f>
        <v>0</v>
      </c>
      <c r="CA90" s="38">
        <f>IF(AND(W90="○",$A90&gt;=CA$8,$A90&lt;=CA$9),IF(SUM(CA$10:CA89)-ROUNDDOWN($K90*CA$5/100,0)&lt;-CA$6,-CA$6-SUM(CA$10:CA89),-ROUNDDOWN($K90*CA$5/100,0)),0)</f>
        <v>0</v>
      </c>
      <c r="CB90" s="38"/>
      <c r="CC90" s="38"/>
      <c r="CD90" s="38"/>
      <c r="CE90" s="38"/>
      <c r="CF90" s="38"/>
      <c r="CG90" s="65">
        <f t="shared" si="94"/>
        <v>0</v>
      </c>
      <c r="CH90" s="71">
        <f t="shared" si="95"/>
        <v>0</v>
      </c>
      <c r="CI90" s="1">
        <f t="shared" si="83"/>
        <v>0</v>
      </c>
      <c r="CJ90" s="1"/>
      <c r="CK90" s="75"/>
      <c r="CL90" s="75"/>
      <c r="CM90" s="2"/>
      <c r="CN90" s="2"/>
      <c r="CO90" s="73">
        <f t="shared" si="84"/>
        <v>0</v>
      </c>
      <c r="CP90" s="5">
        <f t="shared" si="85"/>
        <v>0</v>
      </c>
      <c r="CQ90" s="1"/>
      <c r="CR90" s="1">
        <f t="shared" si="86"/>
        <v>0</v>
      </c>
      <c r="CS90" s="1"/>
      <c r="CT90" s="1" t="e">
        <f>INDEX([2]マスタ!$A:$A,MATCH(D90,[2]マスタ!$C:$C,0))</f>
        <v>#N/A</v>
      </c>
      <c r="CU90" s="1" t="str">
        <f t="shared" ca="1" si="87"/>
        <v>20260620_0-0</v>
      </c>
    </row>
    <row r="91" spans="1:99" x14ac:dyDescent="0.4">
      <c r="A91" s="61"/>
      <c r="B91" s="62"/>
      <c r="C91" s="62"/>
      <c r="D91" s="62"/>
      <c r="E91" s="74"/>
      <c r="F91" s="62"/>
      <c r="G91" s="62">
        <v>1</v>
      </c>
      <c r="H91" s="64">
        <f t="shared" si="74"/>
        <v>0</v>
      </c>
      <c r="I91" s="64"/>
      <c r="J91" s="64"/>
      <c r="K91" s="65">
        <f t="shared" si="96"/>
        <v>0</v>
      </c>
      <c r="L91" s="65">
        <f t="shared" si="76"/>
        <v>0</v>
      </c>
      <c r="M91" s="65">
        <f t="shared" si="77"/>
        <v>0</v>
      </c>
      <c r="N91" s="65">
        <f t="shared" si="78"/>
        <v>0</v>
      </c>
      <c r="O91" s="66" t="str">
        <f t="shared" si="79"/>
        <v>✕</v>
      </c>
      <c r="P91" s="67" t="str">
        <f t="shared" si="80"/>
        <v>○</v>
      </c>
      <c r="Q91" s="67" t="str">
        <f t="shared" si="97"/>
        <v>✕</v>
      </c>
      <c r="R91" s="67" t="str">
        <f t="shared" si="82"/>
        <v>✕</v>
      </c>
      <c r="S91" s="68">
        <v>0</v>
      </c>
      <c r="T91" s="69" t="s">
        <v>85</v>
      </c>
      <c r="U91" s="69" t="s">
        <v>85</v>
      </c>
      <c r="V91" s="69" t="s">
        <v>85</v>
      </c>
      <c r="W91" s="69" t="s">
        <v>85</v>
      </c>
      <c r="X91" s="69" t="s">
        <v>84</v>
      </c>
      <c r="Y91" s="69" t="s">
        <v>85</v>
      </c>
      <c r="Z91" s="69" t="s">
        <v>85</v>
      </c>
      <c r="AA91" s="69" t="s">
        <v>85</v>
      </c>
      <c r="AB91" s="69" t="s">
        <v>85</v>
      </c>
      <c r="AC91" s="69" t="s">
        <v>85</v>
      </c>
      <c r="AD91" s="38" t="str">
        <f>+IF(ISERROR(VLOOKUP($B91,AD$10:AD90,1,0)),IF(AND($N91&gt;=1000,$A91&gt;=AO$8,$A91&lt;=AO$9),$B91,""),"")</f>
        <v/>
      </c>
      <c r="AE91" s="38" t="str">
        <f>+IF(ISERROR(VLOOKUP($B91,AE$10:AE90,1,0)),IF(AND($N91&gt;=1000,$A91&gt;=AP$8,$A91&lt;=AP$9),$B91,""),"")</f>
        <v/>
      </c>
      <c r="AF91" s="38" t="str">
        <f>+IF(ISERROR(VLOOKUP($B91,AF$10:AF90,1,0)),IF(AND($N91&gt;=1000,$A91&gt;=AQ$8,$A91&lt;=AQ$9),$B91,""),"")</f>
        <v/>
      </c>
      <c r="AG91" s="38" t="str">
        <f>+IF(ISERROR(VLOOKUP($B91,AG$10:AG90,1,0)),IF(AND($N91&gt;=1000,$A91&gt;=AR$8,$A91&lt;=AR$9),$B91,""),"")</f>
        <v/>
      </c>
      <c r="AH91" s="38"/>
      <c r="AI91" s="70">
        <v>0</v>
      </c>
      <c r="AJ91" s="38">
        <f>IF(AND(AJ$7="○",$A91&gt;=AJ$8,$A91&lt;=AJ$9),IF(SUM(AJ$10:AJ90)-ROUNDDOWN($K91*AJ$5/100,0)&lt;-AJ$6,-AJ$6-SUM(AJ$10:AJ90),-ROUNDDOWN($K91*AJ$5/100,0)),0)</f>
        <v>0</v>
      </c>
      <c r="AK91" s="38">
        <f>IF(AND(AK$7="○",$A91&gt;=AK$8,$A91&lt;=AK$9),IF(SUM(AK$10:AK90)-ROUNDDOWN($L91*AK$5/100,0)&lt;-AK$6,-AK$6-SUM(AK$10:AK90),-ROUNDDOWN($L91*AK$5/100,0)),0)</f>
        <v>0</v>
      </c>
      <c r="AL91" s="38">
        <f>IF(AND(AL$7="○",$A91&gt;=AL$8,$A91&lt;=AL$9),IF(SUM(AL$10:AL90)-ROUNDDOWN($N91*AL$5/100,0)&lt;-AL$6,-AL$6-SUM(AL$10:AL90),-ROUNDDOWN($N91*AL$5/100,0)),0)</f>
        <v>0</v>
      </c>
      <c r="AM91" s="38">
        <f>IF(AND(AM$7="○",$A91&gt;=AM$8,$A91&lt;=AM$9),IF(SUM(AM$10:AM90)-ROUNDDOWN($L91*AM$5/100,0)&lt;-AM$6,-AM$6-SUM(AM$10:AM90),-ROUNDDOWN($L91*AM$5/100,0)),0)</f>
        <v>0</v>
      </c>
      <c r="AN91" s="38">
        <f>IF(AND(AN$7="○",$A91&gt;=AN$8,$A91&lt;=AN$9),IF(SUM(AN$10:AN90)-ROUNDDOWN($M91*AN$5/100,0)&lt;-AN$6,-AN$6-SUM(AN$10:AN90),-ROUNDDOWN($M91*AN$5/100,0)),0)</f>
        <v>0</v>
      </c>
      <c r="AO91" s="38">
        <f>IF(AND($A91&gt;=AO$8,$A91&lt;=AO$9),IF(SUM(AO$10:AO90)-ROUNDDOWN($K91*AO$5/100,0)&lt;-AO$6,-AO$6-SUM(AO$10:AO90),-ROUNDDOWN($K91*AO$5/100,0)),0)</f>
        <v>0</v>
      </c>
      <c r="AP91" s="38">
        <f>IF(AND($A91&gt;=AP$8,$A91&lt;=AP$9),IF(SUM(AP$10:AP90)-ROUNDDOWN($K91*AP$5/100,0)&lt;-AP$6,-AP$6-SUM(AP$10:AP90),-ROUNDDOWN($K91*AP$5/100,0)),0)</f>
        <v>0</v>
      </c>
      <c r="AQ91" s="38">
        <f>IF(AND($A91&gt;=AQ$8,$A91&lt;=AQ$9),IF(SUM(AQ$10:AQ90)-ROUNDDOWN($K91*AQ$5/100,0)&lt;-AQ$6,-AQ$6-SUM(AQ$10:AQ90),-ROUNDDOWN($K91*AQ$5/100,0)),0)</f>
        <v>0</v>
      </c>
      <c r="AR91" s="38">
        <f>IF(AND($A91&gt;=AR$8,$A91&lt;=AR$9),IF(SUM(AR$10:AR90)-ROUNDDOWN($K91*AR$5/100,0)&lt;-AR$6,-AR$6-SUM(AR$10:AR90),-ROUNDDOWN($K91*AR$5/100,0)),0)</f>
        <v>0</v>
      </c>
      <c r="AS91" s="38">
        <f>IF(SUMIFS(AS$10:AS90,$A$10:$A90,$A91)-ROUNDDOWN($K91*$S91/100,0)&lt;-$S91*1000,-$S91*1000-SUMIFS(AS$10:AS90,$A$10:$A90,$A91),-ROUNDDOWN($K91*$S91/100,0))</f>
        <v>0</v>
      </c>
      <c r="AT91" s="38">
        <f>IF(AND(X91="○",$A91&gt;=AT$8,$A91&lt;=AT$9,K91&gt;=3980),IF(SUM(AT$10:AT90)-ROUNDDOWN($K91*AT$5/100,0)&lt;-AT$6,-AT$6-SUM(AT$10:AT90),-ROUNDDOWN($K91*AT$5/100,0)),0)</f>
        <v>0</v>
      </c>
      <c r="AU91" s="38">
        <f>IF(O91="○",IF(SUM(AU$10:AU90)-ROUNDDOWN($K91*AU$5/100,0)&lt;-AU$6,-AU$6-SUM(AU$10:AU90),-ROUNDDOWN($K91*AU$5/100,0)),0)</f>
        <v>0</v>
      </c>
      <c r="AV91" s="38">
        <f>IF(P91="○",IF(SUM(AV$10:AV90)-ROUNDDOWN($K91*AV$5/100,0)&lt;-AV$6,-AV$6-SUM(AV$10:AV90),-ROUNDDOWN($K91*AV$5/100,0)),0)</f>
        <v>0</v>
      </c>
      <c r="AW91" s="38">
        <f>IF(Q91="○",IF(SUM(AW$10:AW90)-ROUNDDOWN($K91*AW$5/100,0)&lt;-AW$6,-AW$6-SUM(AW$10:AW90),-ROUNDDOWN($K91*AW$5/100,0)),0)</f>
        <v>0</v>
      </c>
      <c r="AX91" s="38">
        <f>IF(R91="○",IF(SUM(AX$10:AX90)-ROUNDDOWN($K91*AX$5/100,0)&lt;-AX$6,-AX$6-SUM(AX$10:AX90),-ROUNDDOWN($K91*AX$5/100,0)),0)</f>
        <v>0</v>
      </c>
      <c r="AY91" s="70">
        <v>0</v>
      </c>
      <c r="AZ91" s="65">
        <f t="shared" si="88"/>
        <v>0</v>
      </c>
      <c r="BA91" s="65">
        <f t="shared" si="89"/>
        <v>0</v>
      </c>
      <c r="BB91" s="70"/>
      <c r="BC91" s="65">
        <f t="shared" si="90"/>
        <v>0</v>
      </c>
      <c r="BD91" s="70">
        <v>0</v>
      </c>
      <c r="BE91" s="65">
        <f t="shared" si="91"/>
        <v>0</v>
      </c>
      <c r="BF91" s="70">
        <v>0</v>
      </c>
      <c r="BG91" s="65">
        <f t="shared" si="92"/>
        <v>0</v>
      </c>
      <c r="BH91" s="70">
        <v>0</v>
      </c>
      <c r="BI91" s="65">
        <f t="shared" si="93"/>
        <v>0</v>
      </c>
      <c r="BJ91" s="38">
        <f>IF(AND(BJ$7="○",$A91&gt;=BJ$8,$A91&lt;=BJ$9),IF(SUM(BJ$10:BJ90)-ROUNDDOWN($M91*BJ$5/100,0)&lt;-BJ$6,-BJ$6-SUM(BJ$10:BJ90),-ROUNDDOWN($M91*BJ$5/100,0)),0)</f>
        <v>0</v>
      </c>
      <c r="BK91" s="38">
        <f>IF(AND(BK$7="○",$A91&gt;=BK$8,$A91&lt;=BK$9),IF(SUM(BK$10:BK90)-ROUNDDOWN($L91*BK$5/100,0)&lt;-BK$6,-BK$6-SUM(BK$10:BK90),-ROUNDDOWN($L91*BK$5/100,0)),0)</f>
        <v>0</v>
      </c>
      <c r="BL91" s="38">
        <f>IF(AND(BL$7="○",$A91&gt;=BL$8,$A91&lt;=BL$9),IF(SUM(BL$10:BL90)-ROUNDDOWN($L91*BL$5/100,0)&lt;-BL$6,-BL$6-SUM(BL$10:BL90),-ROUNDDOWN($L91*BL$5/100,0)),0)</f>
        <v>0</v>
      </c>
      <c r="BM91" s="38">
        <f>IF(AND(BM$7="○",$A91&gt;=BM$8,$A91&lt;=BM$9),IF(SUM(BM$10:BM90)-ROUNDDOWN($M91*BM$5/100,0)&lt;-BM$6,-BM$6-SUM(BM$10:BM90),-ROUNDDOWN($M91*BM$5/100,0)),0)</f>
        <v>0</v>
      </c>
      <c r="BN91" s="38">
        <f>IF(AND(BN$7="○",$A91&gt;=BN$8,$A91&lt;=BN$9),IF(SUM(BN$10:BN90)-ROUNDDOWN($M91*BN$5/100,0)&lt;-BN$6,-BN$6-SUM(BN$10:BN90),-ROUNDDOWN($M91*BN$5/100,0)),0)</f>
        <v>0</v>
      </c>
      <c r="BO91" s="38">
        <f>IF(AND(BO$7="○",$A91&gt;=BO$8,$A91&lt;=BO$9),IF(SUM(BO$10:BO90)-ROUNDDOWN($M91*BO$5/100,0)&lt;-BO$6,-BO$6-SUM(BO$10:BO90),-ROUNDDOWN($M91*BO$5/100,0)),0)</f>
        <v>0</v>
      </c>
      <c r="BP91" s="38">
        <f>IF(AND(BP$7="○",$A91&gt;=BP$8,$A91&lt;=BP$9),IF(SUM(BP$10:BP90)-ROUNDDOWN($M91*BP$5/100,0)&lt;-BP$6,-BP$6-SUM(BP$10:BP90),-ROUNDDOWN($M91*BP$5/100,0)),0)</f>
        <v>0</v>
      </c>
      <c r="BQ91" s="38">
        <f>IF(AND(BQ$7="○",$A91&gt;=BQ$8,$A91&lt;=BQ$9),IF(SUM(BQ$10:BQ90)-ROUNDDOWN($L91*BQ$5/100,0)&lt;-BQ$6,-BQ$6-SUM(BQ$10:BQ90),-ROUNDDOWN($L91*BQ$5/100,0)),0)</f>
        <v>0</v>
      </c>
      <c r="BR91" s="38">
        <f>IF(AND(BR$7="○",$A91&gt;=BR$8,$A91&lt;=BR$9),IF(SUM(BR$10:BR90)-ROUNDDOWN($M91*BR$5/100,0)&lt;-BR$6,-BR$6-SUM(BR$10:BR90),-ROUNDDOWN($M91*BR$5/100,0)),0)</f>
        <v>0</v>
      </c>
      <c r="BS91" s="38">
        <f>IF(AND(BS$7="○",$A91&gt;=BS$8,$A91&lt;=BS$9),IF(SUM(BS$10:BS90)-ROUNDDOWN($M91*BS$5/100,0)&lt;-BS$6,-BS$6-SUM(BS$10:BS90),-ROUNDDOWN($M91*BS$5/100,0)),0)</f>
        <v>0</v>
      </c>
      <c r="BT91" s="38">
        <f>IF(AND(BT$7="○",$A91&gt;=BT$8,$A91&lt;=BT$9),IF(SUM(BT$10:BT90)-ROUNDDOWN($M91*BT$5/100,0)&lt;-BT$6,-BT$6-SUM(BT$10:BT90),-ROUNDDOWN($M91*BT$5/100,0)),0)</f>
        <v>0</v>
      </c>
      <c r="BU91" s="38">
        <f>IF(AND(BU$7="○",$A91&gt;=BU$8,$A91&lt;=BU$9),IF(SUM(BU$10:BU90)-ROUNDDOWN($M91*BU$5/100,0)&lt;-BU$6,-BU$6-SUM(BU$10:BU90),-ROUNDDOWN($M91*BU$5/100,0)),0)</f>
        <v>0</v>
      </c>
      <c r="BV91" s="38">
        <f>IF(AND(BV$7="○",$A91&gt;=BV$8,$A91&lt;=BV$9),IF(SUM(BV$10:BV90)-ROUNDDOWN($M91*BV$5/100,0)&lt;-BV$6,-BV$6-SUM(BV$10:BV90),-ROUNDDOWN($M91*BV$5/100,0)),0)</f>
        <v>0</v>
      </c>
      <c r="BW91" s="38">
        <f>IF(AND(BW$7="○",$A91&gt;=BW$8,$A91&lt;=BW$9),IF(SUM(BW$10:BW90)-ROUNDDOWN($M91*BW$5/100,0)&lt;-BW$6,-BW$6-SUM(BW$10:BW90),-ROUNDDOWN($M91*BW$5/100,0)),0)</f>
        <v>0</v>
      </c>
      <c r="BX91" s="38">
        <f>IF(AND(T91="○",$A91&gt;=BX$8,$A91&lt;=BX$9),IF(SUM(BX$10:BX90)-ROUNDDOWN($K91*BX$5/100,0)&lt;-BX$6,-BX$6-SUM(BX$10:BX90),-ROUNDDOWN($K91*BX$5/100,0)),0)</f>
        <v>0</v>
      </c>
      <c r="BY91" s="38">
        <f>IF(AND(U91="○",$A91&gt;=BY$8,$A91&lt;=BY$9),IF(SUM(BY$10:BY90)-ROUNDDOWN($K91*BY$5/100,0)&lt;-BY$6,-BY$6-SUM(BY$10:BY90),-ROUNDDOWN($K91*BY$5/100,0)),0)</f>
        <v>0</v>
      </c>
      <c r="BZ91" s="38">
        <f>IF(AND(V91="○",$A91&gt;=BZ$8,$A91&lt;=BZ$9),IF(SUM(BZ$10:BZ90)-ROUNDDOWN($K91*BZ$5/100,0)&lt;-BZ$6,-BZ$6-SUM(BZ$10:BZ90),-ROUNDDOWN($K91*BZ$5/100,0)),0)</f>
        <v>0</v>
      </c>
      <c r="CA91" s="38">
        <f>IF(AND(W91="○",$A91&gt;=CA$8,$A91&lt;=CA$9),IF(SUM(CA$10:CA90)-ROUNDDOWN($K91*CA$5/100,0)&lt;-CA$6,-CA$6-SUM(CA$10:CA90),-ROUNDDOWN($K91*CA$5/100,0)),0)</f>
        <v>0</v>
      </c>
      <c r="CB91" s="38"/>
      <c r="CC91" s="38"/>
      <c r="CD91" s="38"/>
      <c r="CE91" s="38"/>
      <c r="CF91" s="38"/>
      <c r="CG91" s="65">
        <f t="shared" si="94"/>
        <v>0</v>
      </c>
      <c r="CH91" s="71">
        <f t="shared" si="95"/>
        <v>0</v>
      </c>
      <c r="CI91" s="1">
        <f t="shared" si="83"/>
        <v>0</v>
      </c>
      <c r="CJ91" s="1"/>
      <c r="CK91" s="75"/>
      <c r="CL91" s="75"/>
      <c r="CM91" s="2"/>
      <c r="CN91" s="2"/>
      <c r="CO91" s="73">
        <f t="shared" si="84"/>
        <v>0</v>
      </c>
      <c r="CP91" s="5">
        <f t="shared" si="85"/>
        <v>0</v>
      </c>
      <c r="CQ91" s="1"/>
      <c r="CR91" s="1">
        <f t="shared" si="86"/>
        <v>0</v>
      </c>
      <c r="CS91" s="1"/>
      <c r="CT91" s="1" t="e">
        <f>INDEX([2]マスタ!$A:$A,MATCH(D91,[2]マスタ!$C:$C,0))</f>
        <v>#N/A</v>
      </c>
      <c r="CU91" s="1" t="str">
        <f t="shared" ca="1" si="87"/>
        <v>20260620_0-0</v>
      </c>
    </row>
    <row r="92" spans="1:99" x14ac:dyDescent="0.4">
      <c r="A92" s="61"/>
      <c r="B92" s="62"/>
      <c r="C92" s="62"/>
      <c r="D92" s="62"/>
      <c r="E92" s="74"/>
      <c r="F92" s="62"/>
      <c r="G92" s="62">
        <v>1</v>
      </c>
      <c r="H92" s="64">
        <f t="shared" si="74"/>
        <v>0</v>
      </c>
      <c r="I92" s="64"/>
      <c r="J92" s="64"/>
      <c r="K92" s="65">
        <f>+ROUNDDOWN((H92+I92)/100,0)*100</f>
        <v>0</v>
      </c>
      <c r="L92" s="65">
        <f t="shared" si="76"/>
        <v>0</v>
      </c>
      <c r="M92" s="65">
        <f t="shared" si="77"/>
        <v>0</v>
      </c>
      <c r="N92" s="65">
        <f t="shared" si="78"/>
        <v>0</v>
      </c>
      <c r="O92" s="66" t="str">
        <f t="shared" si="79"/>
        <v>✕</v>
      </c>
      <c r="P92" s="67" t="str">
        <f t="shared" si="80"/>
        <v>○</v>
      </c>
      <c r="Q92" s="67" t="str">
        <f>+IF((TEXT($A92,"DD")+0)=1,"○","✕")</f>
        <v>✕</v>
      </c>
      <c r="R92" s="67" t="str">
        <f t="shared" si="82"/>
        <v>✕</v>
      </c>
      <c r="S92" s="68">
        <v>0</v>
      </c>
      <c r="T92" s="69" t="s">
        <v>85</v>
      </c>
      <c r="U92" s="69" t="s">
        <v>85</v>
      </c>
      <c r="V92" s="69" t="s">
        <v>85</v>
      </c>
      <c r="W92" s="69" t="s">
        <v>85</v>
      </c>
      <c r="X92" s="69" t="s">
        <v>84</v>
      </c>
      <c r="Y92" s="69" t="s">
        <v>85</v>
      </c>
      <c r="Z92" s="69" t="s">
        <v>85</v>
      </c>
      <c r="AA92" s="69" t="s">
        <v>85</v>
      </c>
      <c r="AB92" s="69" t="s">
        <v>85</v>
      </c>
      <c r="AC92" s="69" t="s">
        <v>85</v>
      </c>
      <c r="AD92" s="38" t="str">
        <f>+IF(ISERROR(VLOOKUP($B92,AD$10:AD91,1,0)),IF(AND($N92&gt;=1000,$A92&gt;=AO$8,$A92&lt;=AO$9),$B92,""),"")</f>
        <v/>
      </c>
      <c r="AE92" s="38" t="str">
        <f>+IF(ISERROR(VLOOKUP($B92,AE$10:AE91,1,0)),IF(AND($N92&gt;=1000,$A92&gt;=AP$8,$A92&lt;=AP$9),$B92,""),"")</f>
        <v/>
      </c>
      <c r="AF92" s="38" t="str">
        <f>+IF(ISERROR(VLOOKUP($B92,AF$10:AF91,1,0)),IF(AND($N92&gt;=1000,$A92&gt;=AQ$8,$A92&lt;=AQ$9),$B92,""),"")</f>
        <v/>
      </c>
      <c r="AG92" s="38" t="str">
        <f>+IF(ISERROR(VLOOKUP($B92,AG$10:AG91,1,0)),IF(AND($N92&gt;=1000,$A92&gt;=AR$8,$A92&lt;=AR$9),$B92,""),"")</f>
        <v/>
      </c>
      <c r="AH92" s="38"/>
      <c r="AI92" s="70">
        <v>0</v>
      </c>
      <c r="AJ92" s="38">
        <f>IF(AND(AJ$7="○",$A92&gt;=AJ$8,$A92&lt;=AJ$9),IF(SUM(AJ$10:AJ91)-ROUNDDOWN($K92*AJ$5/100,0)&lt;-AJ$6,-AJ$6-SUM(AJ$10:AJ91),-ROUNDDOWN($K92*AJ$5/100,0)),0)</f>
        <v>0</v>
      </c>
      <c r="AK92" s="38">
        <f>IF(AND(AK$7="○",$A92&gt;=AK$8,$A92&lt;=AK$9),IF(SUM(AK$10:AK91)-ROUNDDOWN($L92*AK$5/100,0)&lt;-AK$6,-AK$6-SUM(AK$10:AK91),-ROUNDDOWN($L92*AK$5/100,0)),0)</f>
        <v>0</v>
      </c>
      <c r="AL92" s="38">
        <f>IF(AND(AL$7="○",$A92&gt;=AL$8,$A92&lt;=AL$9),IF(SUM(AL$10:AL91)-ROUNDDOWN($N92*AL$5/100,0)&lt;-AL$6,-AL$6-SUM(AL$10:AL91),-ROUNDDOWN($N92*AL$5/100,0)),0)</f>
        <v>0</v>
      </c>
      <c r="AM92" s="38">
        <f>IF(AND(AM$7="○",$A92&gt;=AM$8,$A92&lt;=AM$9),IF(SUM(AM$10:AM91)-ROUNDDOWN($L92*AM$5/100,0)&lt;-AM$6,-AM$6-SUM(AM$10:AM91),-ROUNDDOWN($L92*AM$5/100,0)),0)</f>
        <v>0</v>
      </c>
      <c r="AN92" s="38">
        <f>IF(AND(AN$7="○",$A92&gt;=AN$8,$A92&lt;=AN$9),IF(SUM(AN$10:AN91)-ROUNDDOWN($M92*AN$5/100,0)&lt;-AN$6,-AN$6-SUM(AN$10:AN91),-ROUNDDOWN($M92*AN$5/100,0)),0)</f>
        <v>0</v>
      </c>
      <c r="AO92" s="38">
        <f>IF(AND($A92&gt;=AO$8,$A92&lt;=AO$9),IF(SUM(AO$10:AO91)-ROUNDDOWN($K92*AO$5/100,0)&lt;-AO$6,-AO$6-SUM(AO$10:AO91),-ROUNDDOWN($K92*AO$5/100,0)),0)</f>
        <v>0</v>
      </c>
      <c r="AP92" s="38">
        <f>IF(AND($A92&gt;=AP$8,$A92&lt;=AP$9),IF(SUM(AP$10:AP91)-ROUNDDOWN($K92*AP$5/100,0)&lt;-AP$6,-AP$6-SUM(AP$10:AP91),-ROUNDDOWN($K92*AP$5/100,0)),0)</f>
        <v>0</v>
      </c>
      <c r="AQ92" s="38">
        <f>IF(AND($A92&gt;=AQ$8,$A92&lt;=AQ$9),IF(SUM(AQ$10:AQ91)-ROUNDDOWN($K92*AQ$5/100,0)&lt;-AQ$6,-AQ$6-SUM(AQ$10:AQ91),-ROUNDDOWN($K92*AQ$5/100,0)),0)</f>
        <v>0</v>
      </c>
      <c r="AR92" s="38">
        <f>IF(AND($A92&gt;=AR$8,$A92&lt;=AR$9),IF(SUM(AR$10:AR91)-ROUNDDOWN($K92*AR$5/100,0)&lt;-AR$6,-AR$6-SUM(AR$10:AR91),-ROUNDDOWN($K92*AR$5/100,0)),0)</f>
        <v>0</v>
      </c>
      <c r="AS92" s="38">
        <f>IF(SUMIFS(AS$10:AS91,$A$10:$A91,$A92)-ROUNDDOWN($K92*$S92/100,0)&lt;-$S92*1000,-$S92*1000-SUMIFS(AS$10:AS91,$A$10:$A91,$A92),-ROUNDDOWN($K92*$S92/100,0))</f>
        <v>0</v>
      </c>
      <c r="AT92" s="38">
        <f>IF(AND(X92="○",$A92&gt;=AT$8,$A92&lt;=AT$9,K92&gt;=3980),IF(SUM(AT$10:AT91)-ROUNDDOWN($K92*AT$5/100,0)&lt;-AT$6,-AT$6-SUM(AT$10:AT91),-ROUNDDOWN($K92*AT$5/100,0)),0)</f>
        <v>0</v>
      </c>
      <c r="AU92" s="38">
        <f>IF(O92="○",IF(SUM(AU$10:AU91)-ROUNDDOWN($K92*AU$5/100,0)&lt;-AU$6,-AU$6-SUM(AU$10:AU91),-ROUNDDOWN($K92*AU$5/100,0)),0)</f>
        <v>0</v>
      </c>
      <c r="AV92" s="38">
        <f>IF(P92="○",IF(SUM(AV$10:AV91)-ROUNDDOWN($K92*AV$5/100,0)&lt;-AV$6,-AV$6-SUM(AV$10:AV91),-ROUNDDOWN($K92*AV$5/100,0)),0)</f>
        <v>0</v>
      </c>
      <c r="AW92" s="38">
        <f>IF(Q92="○",IF(SUM(AW$10:AW91)-ROUNDDOWN($K92*AW$5/100,0)&lt;-AW$6,-AW$6-SUM(AW$10:AW91),-ROUNDDOWN($K92*AW$5/100,0)),0)</f>
        <v>0</v>
      </c>
      <c r="AX92" s="38">
        <f>IF(R92="○",IF(SUM(AX$10:AX91)-ROUNDDOWN($K92*AX$5/100,0)&lt;-AX$6,-AX$6-SUM(AX$10:AX91),-ROUNDDOWN($K92*AX$5/100,0)),0)</f>
        <v>0</v>
      </c>
      <c r="AY92" s="70">
        <v>0</v>
      </c>
      <c r="AZ92" s="65">
        <f t="shared" si="88"/>
        <v>0</v>
      </c>
      <c r="BA92" s="65">
        <f t="shared" si="89"/>
        <v>0</v>
      </c>
      <c r="BB92" s="70"/>
      <c r="BC92" s="65">
        <f t="shared" si="90"/>
        <v>0</v>
      </c>
      <c r="BD92" s="70">
        <v>0</v>
      </c>
      <c r="BE92" s="65">
        <f t="shared" si="91"/>
        <v>0</v>
      </c>
      <c r="BF92" s="70">
        <v>0</v>
      </c>
      <c r="BG92" s="65">
        <f t="shared" si="92"/>
        <v>0</v>
      </c>
      <c r="BH92" s="70">
        <v>0</v>
      </c>
      <c r="BI92" s="65">
        <f t="shared" si="93"/>
        <v>0</v>
      </c>
      <c r="BJ92" s="38">
        <f>IF(AND(BJ$7="○",$A92&gt;=BJ$8,$A92&lt;=BJ$9),IF(SUM(BJ$10:BJ91)-ROUNDDOWN($M92*BJ$5/100,0)&lt;-BJ$6,-BJ$6-SUM(BJ$10:BJ91),-ROUNDDOWN($M92*BJ$5/100,0)),0)</f>
        <v>0</v>
      </c>
      <c r="BK92" s="38">
        <f>IF(AND(BK$7="○",$A92&gt;=BK$8,$A92&lt;=BK$9),IF(SUM(BK$10:BK91)-ROUNDDOWN($L92*BK$5/100,0)&lt;-BK$6,-BK$6-SUM(BK$10:BK91),-ROUNDDOWN($L92*BK$5/100,0)),0)</f>
        <v>0</v>
      </c>
      <c r="BL92" s="38">
        <f>IF(AND(BL$7="○",$A92&gt;=BL$8,$A92&lt;=BL$9),IF(SUM(BL$10:BL91)-ROUNDDOWN($L92*BL$5/100,0)&lt;-BL$6,-BL$6-SUM(BL$10:BL91),-ROUNDDOWN($L92*BL$5/100,0)),0)</f>
        <v>0</v>
      </c>
      <c r="BM92" s="38">
        <f>IF(AND(BM$7="○",$A92&gt;=BM$8,$A92&lt;=BM$9),IF(SUM(BM$10:BM91)-ROUNDDOWN($M92*BM$5/100,0)&lt;-BM$6,-BM$6-SUM(BM$10:BM91),-ROUNDDOWN($M92*BM$5/100,0)),0)</f>
        <v>0</v>
      </c>
      <c r="BN92" s="38">
        <f>IF(AND(BN$7="○",$A92&gt;=BN$8,$A92&lt;=BN$9),IF(SUM(BN$10:BN91)-ROUNDDOWN($M92*BN$5/100,0)&lt;-BN$6,-BN$6-SUM(BN$10:BN91),-ROUNDDOWN($M92*BN$5/100,0)),0)</f>
        <v>0</v>
      </c>
      <c r="BO92" s="38">
        <f>IF(AND(BO$7="○",$A92&gt;=BO$8,$A92&lt;=BO$9),IF(SUM(BO$10:BO91)-ROUNDDOWN($M92*BO$5/100,0)&lt;-BO$6,-BO$6-SUM(BO$10:BO91),-ROUNDDOWN($M92*BO$5/100,0)),0)</f>
        <v>0</v>
      </c>
      <c r="BP92" s="38">
        <f>IF(AND(BP$7="○",$A92&gt;=BP$8,$A92&lt;=BP$9),IF(SUM(BP$10:BP91)-ROUNDDOWN($M92*BP$5/100,0)&lt;-BP$6,-BP$6-SUM(BP$10:BP91),-ROUNDDOWN($M92*BP$5/100,0)),0)</f>
        <v>0</v>
      </c>
      <c r="BQ92" s="38">
        <f>IF(AND(BQ$7="○",$A92&gt;=BQ$8,$A92&lt;=BQ$9),IF(SUM(BQ$10:BQ91)-ROUNDDOWN($L92*BQ$5/100,0)&lt;-BQ$6,-BQ$6-SUM(BQ$10:BQ91),-ROUNDDOWN($L92*BQ$5/100,0)),0)</f>
        <v>0</v>
      </c>
      <c r="BR92" s="38">
        <f>IF(AND(BR$7="○",$A92&gt;=BR$8,$A92&lt;=BR$9),IF(SUM(BR$10:BR91)-ROUNDDOWN($M92*BR$5/100,0)&lt;-BR$6,-BR$6-SUM(BR$10:BR91),-ROUNDDOWN($M92*BR$5/100,0)),0)</f>
        <v>0</v>
      </c>
      <c r="BS92" s="38">
        <f>IF(AND(BS$7="○",$A92&gt;=BS$8,$A92&lt;=BS$9),IF(SUM(BS$10:BS91)-ROUNDDOWN($M92*BS$5/100,0)&lt;-BS$6,-BS$6-SUM(BS$10:BS91),-ROUNDDOWN($M92*BS$5/100,0)),0)</f>
        <v>0</v>
      </c>
      <c r="BT92" s="38">
        <f>IF(AND(BT$7="○",$A92&gt;=BT$8,$A92&lt;=BT$9),IF(SUM(BT$10:BT91)-ROUNDDOWN($M92*BT$5/100,0)&lt;-BT$6,-BT$6-SUM(BT$10:BT91),-ROUNDDOWN($M92*BT$5/100,0)),0)</f>
        <v>0</v>
      </c>
      <c r="BU92" s="38">
        <f>IF(AND(BU$7="○",$A92&gt;=BU$8,$A92&lt;=BU$9),IF(SUM(BU$10:BU91)-ROUNDDOWN($M92*BU$5/100,0)&lt;-BU$6,-BU$6-SUM(BU$10:BU91),-ROUNDDOWN($M92*BU$5/100,0)),0)</f>
        <v>0</v>
      </c>
      <c r="BV92" s="38">
        <f>IF(AND(BV$7="○",$A92&gt;=BV$8,$A92&lt;=BV$9),IF(SUM(BV$10:BV91)-ROUNDDOWN($M92*BV$5/100,0)&lt;-BV$6,-BV$6-SUM(BV$10:BV91),-ROUNDDOWN($M92*BV$5/100,0)),0)</f>
        <v>0</v>
      </c>
      <c r="BW92" s="38">
        <f>IF(AND(BW$7="○",$A92&gt;=BW$8,$A92&lt;=BW$9),IF(SUM(BW$10:BW91)-ROUNDDOWN($M92*BW$5/100,0)&lt;-BW$6,-BW$6-SUM(BW$10:BW91),-ROUNDDOWN($M92*BW$5/100,0)),0)</f>
        <v>0</v>
      </c>
      <c r="BX92" s="38">
        <f>IF(AND(T92="○",$A92&gt;=BX$8,$A92&lt;=BX$9),IF(SUM(BX$10:BX91)-ROUNDDOWN($K92*BX$5/100,0)&lt;-BX$6,-BX$6-SUM(BX$10:BX91),-ROUNDDOWN($K92*BX$5/100,0)),0)</f>
        <v>0</v>
      </c>
      <c r="BY92" s="38">
        <f>IF(AND(U92="○",$A92&gt;=BY$8,$A92&lt;=BY$9),IF(SUM(BY$10:BY91)-ROUNDDOWN($K92*BY$5/100,0)&lt;-BY$6,-BY$6-SUM(BY$10:BY91),-ROUNDDOWN($K92*BY$5/100,0)),0)</f>
        <v>0</v>
      </c>
      <c r="BZ92" s="38">
        <f>IF(AND(V92="○",$A92&gt;=BZ$8,$A92&lt;=BZ$9),IF(SUM(BZ$10:BZ91)-ROUNDDOWN($K92*BZ$5/100,0)&lt;-BZ$6,-BZ$6-SUM(BZ$10:BZ91),-ROUNDDOWN($K92*BZ$5/100,0)),0)</f>
        <v>0</v>
      </c>
      <c r="CA92" s="38">
        <f>IF(AND(W92="○",$A92&gt;=CA$8,$A92&lt;=CA$9),IF(SUM(CA$10:CA91)-ROUNDDOWN($K92*CA$5/100,0)&lt;-CA$6,-CA$6-SUM(CA$10:CA91),-ROUNDDOWN($K92*CA$5/100,0)),0)</f>
        <v>0</v>
      </c>
      <c r="CB92" s="38"/>
      <c r="CC92" s="38"/>
      <c r="CD92" s="38"/>
      <c r="CE92" s="38"/>
      <c r="CF92" s="38"/>
      <c r="CG92" s="65">
        <f t="shared" si="94"/>
        <v>0</v>
      </c>
      <c r="CH92" s="71">
        <f t="shared" si="95"/>
        <v>0</v>
      </c>
      <c r="CI92" s="1">
        <f t="shared" si="83"/>
        <v>0</v>
      </c>
      <c r="CJ92" s="1"/>
      <c r="CK92" s="75"/>
      <c r="CL92" s="75"/>
      <c r="CM92" s="2"/>
      <c r="CN92" s="2"/>
      <c r="CO92" s="73">
        <f t="shared" si="84"/>
        <v>0</v>
      </c>
      <c r="CP92" s="5">
        <f t="shared" si="85"/>
        <v>0</v>
      </c>
      <c r="CQ92" s="1"/>
      <c r="CR92" s="1">
        <f t="shared" si="86"/>
        <v>0</v>
      </c>
      <c r="CS92" s="1"/>
      <c r="CT92" s="1" t="e">
        <f>INDEX([2]マスタ!$A:$A,MATCH(D92,[2]マスタ!$C:$C,0))</f>
        <v>#N/A</v>
      </c>
      <c r="CU92" s="1" t="str">
        <f t="shared" ca="1" si="87"/>
        <v>20260620_0-0</v>
      </c>
    </row>
    <row r="93" spans="1:99" x14ac:dyDescent="0.4">
      <c r="A93" s="61"/>
      <c r="B93" s="62"/>
      <c r="C93" s="62"/>
      <c r="D93" s="62"/>
      <c r="E93" s="63"/>
      <c r="F93" s="62"/>
      <c r="G93" s="62">
        <v>1</v>
      </c>
      <c r="H93" s="64">
        <f t="shared" si="74"/>
        <v>0</v>
      </c>
      <c r="I93" s="64"/>
      <c r="J93" s="64"/>
      <c r="K93" s="65">
        <f>+ROUNDDOWN((H93+I93)/100,0)*100</f>
        <v>0</v>
      </c>
      <c r="L93" s="65">
        <f t="shared" si="76"/>
        <v>0</v>
      </c>
      <c r="M93" s="65">
        <f t="shared" si="77"/>
        <v>0</v>
      </c>
      <c r="N93" s="65">
        <f t="shared" si="78"/>
        <v>0</v>
      </c>
      <c r="O93" s="66" t="str">
        <f t="shared" si="79"/>
        <v>✕</v>
      </c>
      <c r="P93" s="67" t="str">
        <f t="shared" si="80"/>
        <v>○</v>
      </c>
      <c r="Q93" s="67" t="str">
        <f>+IF((TEXT($A93,"DD")+0)=1,"○","✕")</f>
        <v>✕</v>
      </c>
      <c r="R93" s="67" t="str">
        <f t="shared" si="82"/>
        <v>✕</v>
      </c>
      <c r="S93" s="68">
        <v>0</v>
      </c>
      <c r="T93" s="69" t="s">
        <v>85</v>
      </c>
      <c r="U93" s="69" t="s">
        <v>85</v>
      </c>
      <c r="V93" s="69" t="s">
        <v>85</v>
      </c>
      <c r="W93" s="69" t="s">
        <v>85</v>
      </c>
      <c r="X93" s="69" t="s">
        <v>84</v>
      </c>
      <c r="Y93" s="69" t="s">
        <v>85</v>
      </c>
      <c r="Z93" s="69" t="s">
        <v>85</v>
      </c>
      <c r="AA93" s="69" t="s">
        <v>85</v>
      </c>
      <c r="AB93" s="69" t="s">
        <v>85</v>
      </c>
      <c r="AC93" s="69" t="s">
        <v>85</v>
      </c>
      <c r="AD93" s="38" t="str">
        <f>+IF(ISERROR(VLOOKUP($B93,AD$10:AD92,1,0)),IF(AND($N93&gt;=1000,$A93&gt;=AO$8,$A93&lt;=AO$9),$B93,""),"")</f>
        <v/>
      </c>
      <c r="AE93" s="38" t="str">
        <f>+IF(ISERROR(VLOOKUP($B93,AE$10:AE92,1,0)),IF(AND($N93&gt;=1000,$A93&gt;=AP$8,$A93&lt;=AP$9),$B93,""),"")</f>
        <v/>
      </c>
      <c r="AF93" s="38" t="str">
        <f>+IF(ISERROR(VLOOKUP($B93,AF$10:AF92,1,0)),IF(AND($N93&gt;=1000,$A93&gt;=AQ$8,$A93&lt;=AQ$9),$B93,""),"")</f>
        <v/>
      </c>
      <c r="AG93" s="38" t="str">
        <f>+IF(ISERROR(VLOOKUP($B93,AG$10:AG92,1,0)),IF(AND($N93&gt;=1000,$A93&gt;=AR$8,$A93&lt;=AR$9),$B93,""),"")</f>
        <v/>
      </c>
      <c r="AH93" s="38"/>
      <c r="AI93" s="70">
        <v>0</v>
      </c>
      <c r="AJ93" s="38">
        <f>IF(AND(AJ$7="○",$A93&gt;=AJ$8,$A93&lt;=AJ$9),IF(SUM(AJ$10:AJ92)-ROUNDDOWN($K93*AJ$5/100,0)&lt;-AJ$6,-AJ$6-SUM(AJ$10:AJ92),-ROUNDDOWN($K93*AJ$5/100,0)),0)</f>
        <v>0</v>
      </c>
      <c r="AK93" s="38">
        <f>IF(AND(AK$7="○",$A93&gt;=AK$8,$A93&lt;=AK$9),IF(SUM(AK$10:AK92)-ROUNDDOWN($L93*AK$5/100,0)&lt;-AK$6,-AK$6-SUM(AK$10:AK92),-ROUNDDOWN($L93*AK$5/100,0)),0)</f>
        <v>0</v>
      </c>
      <c r="AL93" s="38">
        <f>IF(AND(AL$7="○",$A93&gt;=AL$8,$A93&lt;=AL$9),IF(SUM(AL$10:AL92)-ROUNDDOWN($N93*AL$5/100,0)&lt;-AL$6,-AL$6-SUM(AL$10:AL92),-ROUNDDOWN($N93*AL$5/100,0)),0)</f>
        <v>0</v>
      </c>
      <c r="AM93" s="38">
        <f>IF(AND(AM$7="○",$A93&gt;=AM$8,$A93&lt;=AM$9),IF(SUM(AM$10:AM92)-ROUNDDOWN($L93*AM$5/100,0)&lt;-AM$6,-AM$6-SUM(AM$10:AM92),-ROUNDDOWN($L93*AM$5/100,0)),0)</f>
        <v>0</v>
      </c>
      <c r="AN93" s="38">
        <f>IF(AND(AN$7="○",$A93&gt;=AN$8,$A93&lt;=AN$9),IF(SUM(AN$10:AN92)-ROUNDDOWN($M93*AN$5/100,0)&lt;-AN$6,-AN$6-SUM(AN$10:AN92),-ROUNDDOWN($M93*AN$5/100,0)),0)</f>
        <v>0</v>
      </c>
      <c r="AO93" s="38">
        <f>IF(AND($A93&gt;=AO$8,$A93&lt;=AO$9),IF(SUM(AO$10:AO92)-ROUNDDOWN($K93*AO$5/100,0)&lt;-AO$6,-AO$6-SUM(AO$10:AO92),-ROUNDDOWN($K93*AO$5/100,0)),0)</f>
        <v>0</v>
      </c>
      <c r="AP93" s="38">
        <f>IF(AND($A93&gt;=AP$8,$A93&lt;=AP$9),IF(SUM(AP$10:AP92)-ROUNDDOWN($K93*AP$5/100,0)&lt;-AP$6,-AP$6-SUM(AP$10:AP92),-ROUNDDOWN($K93*AP$5/100,0)),0)</f>
        <v>0</v>
      </c>
      <c r="AQ93" s="38">
        <f>IF(AND($A93&gt;=AQ$8,$A93&lt;=AQ$9),IF(SUM(AQ$10:AQ92)-ROUNDDOWN($K93*AQ$5/100,0)&lt;-AQ$6,-AQ$6-SUM(AQ$10:AQ92),-ROUNDDOWN($K93*AQ$5/100,0)),0)</f>
        <v>0</v>
      </c>
      <c r="AR93" s="38">
        <f>IF(AND($A93&gt;=AR$8,$A93&lt;=AR$9),IF(SUM(AR$10:AR92)-ROUNDDOWN($K93*AR$5/100,0)&lt;-AR$6,-AR$6-SUM(AR$10:AR92),-ROUNDDOWN($K93*AR$5/100,0)),0)</f>
        <v>0</v>
      </c>
      <c r="AS93" s="38">
        <f>IF(SUMIFS(AS$10:AS92,$A$10:$A92,$A93)-ROUNDDOWN($K93*$S93/100,0)&lt;-$S93*1000,-$S93*1000-SUMIFS(AS$10:AS92,$A$10:$A92,$A93),-ROUNDDOWN($K93*$S93/100,0))</f>
        <v>0</v>
      </c>
      <c r="AT93" s="38">
        <f>IF(AND(X93="○",$A93&gt;=AT$8,$A93&lt;=AT$9,K93&gt;=3980),IF(SUM(AT$10:AT92)-ROUNDDOWN($K93*AT$5/100,0)&lt;-AT$6,-AT$6-SUM(AT$10:AT92),-ROUNDDOWN($K93*AT$5/100,0)),0)</f>
        <v>0</v>
      </c>
      <c r="AU93" s="38">
        <f>IF(O93="○",IF(SUM(AU$10:AU92)-ROUNDDOWN($K93*AU$5/100,0)&lt;-AU$6,-AU$6-SUM(AU$10:AU92),-ROUNDDOWN($K93*AU$5/100,0)),0)</f>
        <v>0</v>
      </c>
      <c r="AV93" s="38">
        <f>IF(P93="○",IF(SUM(AV$10:AV92)-ROUNDDOWN($K93*AV$5/100,0)&lt;-AV$6,-AV$6-SUM(AV$10:AV92),-ROUNDDOWN($K93*AV$5/100,0)),0)</f>
        <v>0</v>
      </c>
      <c r="AW93" s="38">
        <f>IF(Q93="○",IF(SUM(AW$10:AW92)-ROUNDDOWN($K93*AW$5/100,0)&lt;-AW$6,-AW$6-SUM(AW$10:AW92),-ROUNDDOWN($K93*AW$5/100,0)),0)</f>
        <v>0</v>
      </c>
      <c r="AX93" s="38">
        <f>IF(R93="○",IF(SUM(AX$10:AX92)-ROUNDDOWN($K93*AX$5/100,0)&lt;-AX$6,-AX$6-SUM(AX$10:AX92),-ROUNDDOWN($K93*AX$5/100,0)),0)</f>
        <v>0</v>
      </c>
      <c r="AY93" s="70">
        <v>0</v>
      </c>
      <c r="AZ93" s="65">
        <f t="shared" si="88"/>
        <v>0</v>
      </c>
      <c r="BA93" s="65">
        <f t="shared" si="89"/>
        <v>0</v>
      </c>
      <c r="BB93" s="70"/>
      <c r="BC93" s="65">
        <f t="shared" si="90"/>
        <v>0</v>
      </c>
      <c r="BD93" s="70">
        <v>0</v>
      </c>
      <c r="BE93" s="65">
        <f t="shared" si="91"/>
        <v>0</v>
      </c>
      <c r="BF93" s="70">
        <v>0</v>
      </c>
      <c r="BG93" s="65">
        <f t="shared" si="92"/>
        <v>0</v>
      </c>
      <c r="BH93" s="70">
        <v>0</v>
      </c>
      <c r="BI93" s="65">
        <f t="shared" si="93"/>
        <v>0</v>
      </c>
      <c r="BJ93" s="38">
        <f>IF(AND(BJ$7="○",$A93&gt;=BJ$8,$A93&lt;=BJ$9),IF(SUM(BJ$10:BJ92)-ROUNDDOWN($M93*BJ$5/100,0)&lt;-BJ$6,-BJ$6-SUM(BJ$10:BJ92),-ROUNDDOWN($M93*BJ$5/100,0)),0)</f>
        <v>0</v>
      </c>
      <c r="BK93" s="38">
        <f>IF(AND(BK$7="○",$A93&gt;=BK$8,$A93&lt;=BK$9),IF(SUM(BK$10:BK92)-ROUNDDOWN($L93*BK$5/100,0)&lt;-BK$6,-BK$6-SUM(BK$10:BK92),-ROUNDDOWN($L93*BK$5/100,0)),0)</f>
        <v>0</v>
      </c>
      <c r="BL93" s="38">
        <f>IF(AND(BL$7="○",$A93&gt;=BL$8,$A93&lt;=BL$9),IF(SUM(BL$10:BL92)-ROUNDDOWN($L93*BL$5/100,0)&lt;-BL$6,-BL$6-SUM(BL$10:BL92),-ROUNDDOWN($L93*BL$5/100,0)),0)</f>
        <v>0</v>
      </c>
      <c r="BM93" s="38">
        <f>IF(AND(BM$7="○",$A93&gt;=BM$8,$A93&lt;=BM$9),IF(SUM(BM$10:BM92)-ROUNDDOWN($M93*BM$5/100,0)&lt;-BM$6,-BM$6-SUM(BM$10:BM92),-ROUNDDOWN($M93*BM$5/100,0)),0)</f>
        <v>0</v>
      </c>
      <c r="BN93" s="38">
        <f>IF(AND(BN$7="○",$A93&gt;=BN$8,$A93&lt;=BN$9),IF(SUM(BN$10:BN92)-ROUNDDOWN($M93*BN$5/100,0)&lt;-BN$6,-BN$6-SUM(BN$10:BN92),-ROUNDDOWN($M93*BN$5/100,0)),0)</f>
        <v>0</v>
      </c>
      <c r="BO93" s="38">
        <f>IF(AND(BO$7="○",$A93&gt;=BO$8,$A93&lt;=BO$9),IF(SUM(BO$10:BO92)-ROUNDDOWN($M93*BO$5/100,0)&lt;-BO$6,-BO$6-SUM(BO$10:BO92),-ROUNDDOWN($M93*BO$5/100,0)),0)</f>
        <v>0</v>
      </c>
      <c r="BP93" s="38">
        <f>IF(AND(BP$7="○",$A93&gt;=BP$8,$A93&lt;=BP$9),IF(SUM(BP$10:BP92)-ROUNDDOWN($M93*BP$5/100,0)&lt;-BP$6,-BP$6-SUM(BP$10:BP92),-ROUNDDOWN($M93*BP$5/100,0)),0)</f>
        <v>0</v>
      </c>
      <c r="BQ93" s="38">
        <f>IF(AND(BQ$7="○",$A93&gt;=BQ$8,$A93&lt;=BQ$9),IF(SUM(BQ$10:BQ92)-ROUNDDOWN($L93*BQ$5/100,0)&lt;-BQ$6,-BQ$6-SUM(BQ$10:BQ92),-ROUNDDOWN($L93*BQ$5/100,0)),0)</f>
        <v>0</v>
      </c>
      <c r="BR93" s="38">
        <f>IF(AND(BR$7="○",$A93&gt;=BR$8,$A93&lt;=BR$9),IF(SUM(BR$10:BR92)-ROUNDDOWN($M93*BR$5/100,0)&lt;-BR$6,-BR$6-SUM(BR$10:BR92),-ROUNDDOWN($M93*BR$5/100,0)),0)</f>
        <v>0</v>
      </c>
      <c r="BS93" s="38">
        <f>IF(AND(BS$7="○",$A93&gt;=BS$8,$A93&lt;=BS$9),IF(SUM(BS$10:BS92)-ROUNDDOWN($M93*BS$5/100,0)&lt;-BS$6,-BS$6-SUM(BS$10:BS92),-ROUNDDOWN($M93*BS$5/100,0)),0)</f>
        <v>0</v>
      </c>
      <c r="BT93" s="38">
        <f>IF(AND(BT$7="○",$A93&gt;=BT$8,$A93&lt;=BT$9),IF(SUM(BT$10:BT92)-ROUNDDOWN($M93*BT$5/100,0)&lt;-BT$6,-BT$6-SUM(BT$10:BT92),-ROUNDDOWN($M93*BT$5/100,0)),0)</f>
        <v>0</v>
      </c>
      <c r="BU93" s="38">
        <f>IF(AND(BU$7="○",$A93&gt;=BU$8,$A93&lt;=BU$9),IF(SUM(BU$10:BU92)-ROUNDDOWN($M93*BU$5/100,0)&lt;-BU$6,-BU$6-SUM(BU$10:BU92),-ROUNDDOWN($M93*BU$5/100,0)),0)</f>
        <v>0</v>
      </c>
      <c r="BV93" s="38">
        <f>IF(AND(BV$7="○",$A93&gt;=BV$8,$A93&lt;=BV$9),IF(SUM(BV$10:BV92)-ROUNDDOWN($M93*BV$5/100,0)&lt;-BV$6,-BV$6-SUM(BV$10:BV92),-ROUNDDOWN($M93*BV$5/100,0)),0)</f>
        <v>0</v>
      </c>
      <c r="BW93" s="38">
        <f>IF(AND(BW$7="○",$A93&gt;=BW$8,$A93&lt;=BW$9),IF(SUM(BW$10:BW92)-ROUNDDOWN($M93*BW$5/100,0)&lt;-BW$6,-BW$6-SUM(BW$10:BW92),-ROUNDDOWN($M93*BW$5/100,0)),0)</f>
        <v>0</v>
      </c>
      <c r="BX93" s="38">
        <f>IF(AND(T93="○",$A93&gt;=BX$8,$A93&lt;=BX$9),IF(SUM(BX$10:BX92)-ROUNDDOWN($K93*BX$5/100,0)&lt;-BX$6,-BX$6-SUM(BX$10:BX92),-ROUNDDOWN($K93*BX$5/100,0)),0)</f>
        <v>0</v>
      </c>
      <c r="BY93" s="38">
        <f>IF(AND(U93="○",$A93&gt;=BY$8,$A93&lt;=BY$9),IF(SUM(BY$10:BY92)-ROUNDDOWN($K93*BY$5/100,0)&lt;-BY$6,-BY$6-SUM(BY$10:BY92),-ROUNDDOWN($K93*BY$5/100,0)),0)</f>
        <v>0</v>
      </c>
      <c r="BZ93" s="38">
        <f>IF(AND(V93="○",$A93&gt;=BZ$8,$A93&lt;=BZ$9),IF(SUM(BZ$10:BZ92)-ROUNDDOWN($K93*BZ$5/100,0)&lt;-BZ$6,-BZ$6-SUM(BZ$10:BZ92),-ROUNDDOWN($K93*BZ$5/100,0)),0)</f>
        <v>0</v>
      </c>
      <c r="CA93" s="38">
        <f>IF(AND(W93="○",$A93&gt;=CA$8,$A93&lt;=CA$9),IF(SUM(CA$10:CA92)-ROUNDDOWN($K93*CA$5/100,0)&lt;-CA$6,-CA$6-SUM(CA$10:CA92),-ROUNDDOWN($K93*CA$5/100,0)),0)</f>
        <v>0</v>
      </c>
      <c r="CB93" s="38"/>
      <c r="CC93" s="38"/>
      <c r="CD93" s="38"/>
      <c r="CE93" s="38"/>
      <c r="CF93" s="38"/>
      <c r="CG93" s="65">
        <f t="shared" si="94"/>
        <v>0</v>
      </c>
      <c r="CH93" s="71">
        <f t="shared" si="95"/>
        <v>0</v>
      </c>
      <c r="CI93" s="1">
        <f t="shared" si="83"/>
        <v>0</v>
      </c>
      <c r="CJ93" s="1"/>
      <c r="CK93" s="72"/>
      <c r="CL93" s="72"/>
      <c r="CM93" s="2"/>
      <c r="CN93" s="2"/>
      <c r="CO93" s="73">
        <f t="shared" si="84"/>
        <v>0</v>
      </c>
      <c r="CP93" s="5">
        <f t="shared" si="85"/>
        <v>0</v>
      </c>
      <c r="CQ93" s="1"/>
      <c r="CR93" s="1">
        <f t="shared" si="86"/>
        <v>0</v>
      </c>
      <c r="CS93" s="1"/>
      <c r="CT93" s="1" t="e">
        <f>INDEX([2]マスタ!$A:$A,MATCH(D93,[2]マスタ!$C:$C,0))</f>
        <v>#N/A</v>
      </c>
      <c r="CU93" s="1" t="str">
        <f t="shared" ca="1" si="87"/>
        <v>20260620_0-0</v>
      </c>
    </row>
    <row r="94" spans="1:99" x14ac:dyDescent="0.4">
      <c r="A94" s="61"/>
      <c r="B94" s="62"/>
      <c r="C94" s="62"/>
      <c r="D94" s="62"/>
      <c r="E94" s="77"/>
      <c r="F94" s="62"/>
      <c r="G94" s="62">
        <v>1</v>
      </c>
      <c r="H94" s="64">
        <f t="shared" si="74"/>
        <v>0</v>
      </c>
      <c r="I94" s="64"/>
      <c r="J94" s="64"/>
      <c r="K94" s="65">
        <f>+ROUNDDOWN((H94+I94)/100,0)*100</f>
        <v>0</v>
      </c>
      <c r="L94" s="65">
        <f t="shared" si="76"/>
        <v>0</v>
      </c>
      <c r="M94" s="65">
        <f t="shared" si="77"/>
        <v>0</v>
      </c>
      <c r="N94" s="65">
        <f t="shared" si="78"/>
        <v>0</v>
      </c>
      <c r="O94" s="66" t="str">
        <f t="shared" si="79"/>
        <v>✕</v>
      </c>
      <c r="P94" s="67" t="str">
        <f t="shared" si="80"/>
        <v>○</v>
      </c>
      <c r="Q94" s="67" t="str">
        <f>+IF((TEXT($A94,"DD")+0)=1,"○","✕")</f>
        <v>✕</v>
      </c>
      <c r="R94" s="67" t="str">
        <f t="shared" si="82"/>
        <v>✕</v>
      </c>
      <c r="S94" s="68">
        <v>0</v>
      </c>
      <c r="T94" s="69" t="s">
        <v>85</v>
      </c>
      <c r="U94" s="69" t="s">
        <v>85</v>
      </c>
      <c r="V94" s="69" t="s">
        <v>85</v>
      </c>
      <c r="W94" s="69" t="s">
        <v>85</v>
      </c>
      <c r="X94" s="69" t="s">
        <v>84</v>
      </c>
      <c r="Y94" s="69" t="s">
        <v>85</v>
      </c>
      <c r="Z94" s="69" t="s">
        <v>85</v>
      </c>
      <c r="AA94" s="69" t="s">
        <v>85</v>
      </c>
      <c r="AB94" s="69" t="s">
        <v>85</v>
      </c>
      <c r="AC94" s="69" t="s">
        <v>85</v>
      </c>
      <c r="AD94" s="38" t="str">
        <f>+IF(ISERROR(VLOOKUP($B94,AD$10:AD93,1,0)),IF(AND($N94&gt;=1000,$A94&gt;=AO$8,$A94&lt;=AO$9),$B94,""),"")</f>
        <v/>
      </c>
      <c r="AE94" s="38" t="str">
        <f>+IF(ISERROR(VLOOKUP($B94,AE$10:AE93,1,0)),IF(AND($N94&gt;=1000,$A94&gt;=AP$8,$A94&lt;=AP$9),$B94,""),"")</f>
        <v/>
      </c>
      <c r="AF94" s="38" t="str">
        <f>+IF(ISERROR(VLOOKUP($B94,AF$10:AF93,1,0)),IF(AND($N94&gt;=1000,$A94&gt;=AQ$8,$A94&lt;=AQ$9),$B94,""),"")</f>
        <v/>
      </c>
      <c r="AG94" s="38" t="str">
        <f>+IF(ISERROR(VLOOKUP($B94,AG$10:AG93,1,0)),IF(AND($N94&gt;=1000,$A94&gt;=AR$8,$A94&lt;=AR$9),$B94,""),"")</f>
        <v/>
      </c>
      <c r="AH94" s="38"/>
      <c r="AI94" s="70">
        <v>0</v>
      </c>
      <c r="AJ94" s="38">
        <f>IF(AND(AJ$7="○",$A94&gt;=AJ$8,$A94&lt;=AJ$9),IF(SUM(AJ$10:AJ93)-ROUNDDOWN($K94*AJ$5/100,0)&lt;-AJ$6,-AJ$6-SUM(AJ$10:AJ93),-ROUNDDOWN($K94*AJ$5/100,0)),0)</f>
        <v>0</v>
      </c>
      <c r="AK94" s="38">
        <f>IF(AND(AK$7="○",$A94&gt;=AK$8,$A94&lt;=AK$9),IF(SUM(AK$10:AK93)-ROUNDDOWN($L94*AK$5/100,0)&lt;-AK$6,-AK$6-SUM(AK$10:AK93),-ROUNDDOWN($L94*AK$5/100,0)),0)</f>
        <v>0</v>
      </c>
      <c r="AL94" s="38">
        <f>IF(AND(AL$7="○",$A94&gt;=AL$8,$A94&lt;=AL$9),IF(SUM(AL$10:AL93)-ROUNDDOWN($N94*AL$5/100,0)&lt;-AL$6,-AL$6-SUM(AL$10:AL93),-ROUNDDOWN($N94*AL$5/100,0)),0)</f>
        <v>0</v>
      </c>
      <c r="AM94" s="38">
        <f>IF(AND(AM$7="○",$A94&gt;=AM$8,$A94&lt;=AM$9),IF(SUM(AM$10:AM93)-ROUNDDOWN($L94*AM$5/100,0)&lt;-AM$6,-AM$6-SUM(AM$10:AM93),-ROUNDDOWN($L94*AM$5/100,0)),0)</f>
        <v>0</v>
      </c>
      <c r="AN94" s="38">
        <f>IF(AND(AN$7="○",$A94&gt;=AN$8,$A94&lt;=AN$9),IF(SUM(AN$10:AN93)-ROUNDDOWN($M94*AN$5/100,0)&lt;-AN$6,-AN$6-SUM(AN$10:AN93),-ROUNDDOWN($M94*AN$5/100,0)),0)</f>
        <v>0</v>
      </c>
      <c r="AO94" s="38">
        <f>IF(AND($A94&gt;=AO$8,$A94&lt;=AO$9),IF(SUM(AO$10:AO93)-ROUNDDOWN($K94*AO$5/100,0)&lt;-AO$6,-AO$6-SUM(AO$10:AO93),-ROUNDDOWN($K94*AO$5/100,0)),0)</f>
        <v>0</v>
      </c>
      <c r="AP94" s="38">
        <f>IF(AND($A94&gt;=AP$8,$A94&lt;=AP$9),IF(SUM(AP$10:AP93)-ROUNDDOWN($K94*AP$5/100,0)&lt;-AP$6,-AP$6-SUM(AP$10:AP93),-ROUNDDOWN($K94*AP$5/100,0)),0)</f>
        <v>0</v>
      </c>
      <c r="AQ94" s="38">
        <f>IF(AND($A94&gt;=AQ$8,$A94&lt;=AQ$9),IF(SUM(AQ$10:AQ93)-ROUNDDOWN($K94*AQ$5/100,0)&lt;-AQ$6,-AQ$6-SUM(AQ$10:AQ93),-ROUNDDOWN($K94*AQ$5/100,0)),0)</f>
        <v>0</v>
      </c>
      <c r="AR94" s="38">
        <f>IF(AND($A94&gt;=AR$8,$A94&lt;=AR$9),IF(SUM(AR$10:AR93)-ROUNDDOWN($K94*AR$5/100,0)&lt;-AR$6,-AR$6-SUM(AR$10:AR93),-ROUNDDOWN($K94*AR$5/100,0)),0)</f>
        <v>0</v>
      </c>
      <c r="AS94" s="38">
        <f>IF(SUMIFS(AS$10:AS93,$A$10:$A93,$A94)-ROUNDDOWN($K94*$S94/100,0)&lt;-$S94*1000,-$S94*1000-SUMIFS(AS$10:AS93,$A$10:$A93,$A94),-ROUNDDOWN($K94*$S94/100,0))</f>
        <v>0</v>
      </c>
      <c r="AT94" s="38">
        <f>IF(AND(X94="○",$A94&gt;=AT$8,$A94&lt;=AT$9,K94&gt;=3980),IF(SUM(AT$10:AT93)-ROUNDDOWN($K94*AT$5/100,0)&lt;-AT$6,-AT$6-SUM(AT$10:AT93),-ROUNDDOWN($K94*AT$5/100,0)),0)</f>
        <v>0</v>
      </c>
      <c r="AU94" s="38">
        <f>IF(O94="○",IF(SUM(AU$10:AU93)-ROUNDDOWN($K94*AU$5/100,0)&lt;-AU$6,-AU$6-SUM(AU$10:AU93),-ROUNDDOWN($K94*AU$5/100,0)),0)</f>
        <v>0</v>
      </c>
      <c r="AV94" s="38">
        <f>IF(P94="○",IF(SUM(AV$10:AV93)-ROUNDDOWN($K94*AV$5/100,0)&lt;-AV$6,-AV$6-SUM(AV$10:AV93),-ROUNDDOWN($K94*AV$5/100,0)),0)</f>
        <v>0</v>
      </c>
      <c r="AW94" s="38">
        <f>IF(Q94="○",IF(SUM(AW$10:AW93)-ROUNDDOWN($K94*AW$5/100,0)&lt;-AW$6,-AW$6-SUM(AW$10:AW93),-ROUNDDOWN($K94*AW$5/100,0)),0)</f>
        <v>0</v>
      </c>
      <c r="AX94" s="38">
        <f>IF(R94="○",IF(SUM(AX$10:AX93)-ROUNDDOWN($K94*AX$5/100,0)&lt;-AX$6,-AX$6-SUM(AX$10:AX93),-ROUNDDOWN($K94*AX$5/100,0)),0)</f>
        <v>0</v>
      </c>
      <c r="AY94" s="70">
        <v>0</v>
      </c>
      <c r="AZ94" s="65">
        <f t="shared" si="88"/>
        <v>0</v>
      </c>
      <c r="BA94" s="65">
        <f t="shared" si="89"/>
        <v>0</v>
      </c>
      <c r="BB94" s="70"/>
      <c r="BC94" s="65">
        <f t="shared" si="90"/>
        <v>0</v>
      </c>
      <c r="BD94" s="70">
        <v>0</v>
      </c>
      <c r="BE94" s="65">
        <f t="shared" si="91"/>
        <v>0</v>
      </c>
      <c r="BF94" s="70">
        <v>0</v>
      </c>
      <c r="BG94" s="65">
        <f t="shared" si="92"/>
        <v>0</v>
      </c>
      <c r="BH94" s="70">
        <v>0</v>
      </c>
      <c r="BI94" s="65">
        <f t="shared" si="93"/>
        <v>0</v>
      </c>
      <c r="BJ94" s="38">
        <f>IF(AND(BJ$7="○",$A94&gt;=BJ$8,$A94&lt;=BJ$9),IF(SUM(BJ$10:BJ93)-ROUNDDOWN($M94*BJ$5/100,0)&lt;-BJ$6,-BJ$6-SUM(BJ$10:BJ93),-ROUNDDOWN($M94*BJ$5/100,0)),0)</f>
        <v>0</v>
      </c>
      <c r="BK94" s="38">
        <f>IF(AND(BK$7="○",$A94&gt;=BK$8,$A94&lt;=BK$9),IF(SUM(BK$10:BK93)-ROUNDDOWN($L94*BK$5/100,0)&lt;-BK$6,-BK$6-SUM(BK$10:BK93),-ROUNDDOWN($L94*BK$5/100,0)),0)</f>
        <v>0</v>
      </c>
      <c r="BL94" s="38">
        <f>IF(AND(BL$7="○",$A94&gt;=BL$8,$A94&lt;=BL$9),IF(SUM(BL$10:BL93)-ROUNDDOWN($L94*BL$5/100,0)&lt;-BL$6,-BL$6-SUM(BL$10:BL93),-ROUNDDOWN($L94*BL$5/100,0)),0)</f>
        <v>0</v>
      </c>
      <c r="BM94" s="38">
        <f>IF(AND(BM$7="○",$A94&gt;=BM$8,$A94&lt;=BM$9),IF(SUM(BM$10:BM93)-ROUNDDOWN($M94*BM$5/100,0)&lt;-BM$6,-BM$6-SUM(BM$10:BM93),-ROUNDDOWN($M94*BM$5/100,0)),0)</f>
        <v>0</v>
      </c>
      <c r="BN94" s="38">
        <f>IF(AND(BN$7="○",$A94&gt;=BN$8,$A94&lt;=BN$9),IF(SUM(BN$10:BN93)-ROUNDDOWN($M94*BN$5/100,0)&lt;-BN$6,-BN$6-SUM(BN$10:BN93),-ROUNDDOWN($M94*BN$5/100,0)),0)</f>
        <v>0</v>
      </c>
      <c r="BO94" s="38">
        <f>IF(AND(BO$7="○",$A94&gt;=BO$8,$A94&lt;=BO$9),IF(SUM(BO$10:BO93)-ROUNDDOWN($M94*BO$5/100,0)&lt;-BO$6,-BO$6-SUM(BO$10:BO93),-ROUNDDOWN($M94*BO$5/100,0)),0)</f>
        <v>0</v>
      </c>
      <c r="BP94" s="38">
        <f>IF(AND(BP$7="○",$A94&gt;=BP$8,$A94&lt;=BP$9),IF(SUM(BP$10:BP93)-ROUNDDOWN($M94*BP$5/100,0)&lt;-BP$6,-BP$6-SUM(BP$10:BP93),-ROUNDDOWN($M94*BP$5/100,0)),0)</f>
        <v>0</v>
      </c>
      <c r="BQ94" s="38">
        <f>IF(AND(BQ$7="○",$A94&gt;=BQ$8,$A94&lt;=BQ$9),IF(SUM(BQ$10:BQ93)-ROUNDDOWN($L94*BQ$5/100,0)&lt;-BQ$6,-BQ$6-SUM(BQ$10:BQ93),-ROUNDDOWN($L94*BQ$5/100,0)),0)</f>
        <v>0</v>
      </c>
      <c r="BR94" s="38">
        <f>IF(AND(BR$7="○",$A94&gt;=BR$8,$A94&lt;=BR$9),IF(SUM(BR$10:BR93)-ROUNDDOWN($M94*BR$5/100,0)&lt;-BR$6,-BR$6-SUM(BR$10:BR93),-ROUNDDOWN($M94*BR$5/100,0)),0)</f>
        <v>0</v>
      </c>
      <c r="BS94" s="38">
        <f>IF(AND(BS$7="○",$A94&gt;=BS$8,$A94&lt;=BS$9),IF(SUM(BS$10:BS93)-ROUNDDOWN($M94*BS$5/100,0)&lt;-BS$6,-BS$6-SUM(BS$10:BS93),-ROUNDDOWN($M94*BS$5/100,0)),0)</f>
        <v>0</v>
      </c>
      <c r="BT94" s="38">
        <f>IF(AND(BT$7="○",$A94&gt;=BT$8,$A94&lt;=BT$9),IF(SUM(BT$10:BT93)-ROUNDDOWN($M94*BT$5/100,0)&lt;-BT$6,-BT$6-SUM(BT$10:BT93),-ROUNDDOWN($M94*BT$5/100,0)),0)</f>
        <v>0</v>
      </c>
      <c r="BU94" s="38">
        <f>IF(AND(BU$7="○",$A94&gt;=BU$8,$A94&lt;=BU$9),IF(SUM(BU$10:BU93)-ROUNDDOWN($M94*BU$5/100,0)&lt;-BU$6,-BU$6-SUM(BU$10:BU93),-ROUNDDOWN($M94*BU$5/100,0)),0)</f>
        <v>0</v>
      </c>
      <c r="BV94" s="38">
        <f>IF(AND(BV$7="○",$A94&gt;=BV$8,$A94&lt;=BV$9),IF(SUM(BV$10:BV93)-ROUNDDOWN($M94*BV$5/100,0)&lt;-BV$6,-BV$6-SUM(BV$10:BV93),-ROUNDDOWN($M94*BV$5/100,0)),0)</f>
        <v>0</v>
      </c>
      <c r="BW94" s="38">
        <f>IF(AND(BW$7="○",$A94&gt;=BW$8,$A94&lt;=BW$9),IF(SUM(BW$10:BW93)-ROUNDDOWN($M94*BW$5/100,0)&lt;-BW$6,-BW$6-SUM(BW$10:BW93),-ROUNDDOWN($M94*BW$5/100,0)),0)</f>
        <v>0</v>
      </c>
      <c r="BX94" s="38">
        <f>IF(AND(T94="○",$A94&gt;=BX$8,$A94&lt;=BX$9),IF(SUM(BX$10:BX93)-ROUNDDOWN($K94*BX$5/100,0)&lt;-BX$6,-BX$6-SUM(BX$10:BX93),-ROUNDDOWN($K94*BX$5/100,0)),0)</f>
        <v>0</v>
      </c>
      <c r="BY94" s="38">
        <f>IF(AND(U94="○",$A94&gt;=BY$8,$A94&lt;=BY$9),IF(SUM(BY$10:BY93)-ROUNDDOWN($K94*BY$5/100,0)&lt;-BY$6,-BY$6-SUM(BY$10:BY93),-ROUNDDOWN($K94*BY$5/100,0)),0)</f>
        <v>0</v>
      </c>
      <c r="BZ94" s="38">
        <f>IF(AND(V94="○",$A94&gt;=BZ$8,$A94&lt;=BZ$9),IF(SUM(BZ$10:BZ93)-ROUNDDOWN($K94*BZ$5/100,0)&lt;-BZ$6,-BZ$6-SUM(BZ$10:BZ93),-ROUNDDOWN($K94*BZ$5/100,0)),0)</f>
        <v>0</v>
      </c>
      <c r="CA94" s="38">
        <f>IF(AND(W94="○",$A94&gt;=CA$8,$A94&lt;=CA$9),IF(SUM(CA$10:CA93)-ROUNDDOWN($K94*CA$5/100,0)&lt;-CA$6,-CA$6-SUM(CA$10:CA93),-ROUNDDOWN($K94*CA$5/100,0)),0)</f>
        <v>0</v>
      </c>
      <c r="CB94" s="38"/>
      <c r="CC94" s="38"/>
      <c r="CD94" s="38"/>
      <c r="CE94" s="38"/>
      <c r="CF94" s="38"/>
      <c r="CG94" s="65">
        <f t="shared" si="94"/>
        <v>0</v>
      </c>
      <c r="CH94" s="71">
        <f t="shared" si="95"/>
        <v>0</v>
      </c>
      <c r="CI94" s="1">
        <f t="shared" si="83"/>
        <v>0</v>
      </c>
      <c r="CJ94" s="1"/>
      <c r="CK94" s="79"/>
      <c r="CL94" s="79"/>
      <c r="CM94" s="2"/>
      <c r="CN94" s="2"/>
      <c r="CO94" s="73">
        <f t="shared" si="84"/>
        <v>0</v>
      </c>
      <c r="CP94" s="5">
        <f t="shared" si="85"/>
        <v>0</v>
      </c>
      <c r="CQ94" s="1"/>
      <c r="CR94" s="1">
        <f t="shared" si="86"/>
        <v>0</v>
      </c>
      <c r="CS94" s="1"/>
      <c r="CT94" s="1" t="e">
        <f>INDEX([2]マスタ!$A:$A,MATCH(D94,[2]マスタ!$C:$C,0))</f>
        <v>#N/A</v>
      </c>
      <c r="CU94" s="1" t="str">
        <f t="shared" ca="1" si="87"/>
        <v>20260620_0-0</v>
      </c>
    </row>
    <row r="95" spans="1:99" x14ac:dyDescent="0.4">
      <c r="A95" s="61"/>
      <c r="B95" s="62"/>
      <c r="C95" s="62"/>
      <c r="D95" s="62"/>
      <c r="E95" s="63"/>
      <c r="F95" s="62"/>
      <c r="G95" s="62">
        <v>1</v>
      </c>
      <c r="H95" s="64">
        <f t="shared" si="74"/>
        <v>0</v>
      </c>
      <c r="I95" s="64"/>
      <c r="J95" s="64"/>
      <c r="K95" s="65">
        <f>+ROUNDDOWN((H95+I95)/100,0)*100</f>
        <v>0</v>
      </c>
      <c r="L95" s="65">
        <f t="shared" si="76"/>
        <v>0</v>
      </c>
      <c r="M95" s="65">
        <f t="shared" si="77"/>
        <v>0</v>
      </c>
      <c r="N95" s="65">
        <f t="shared" si="78"/>
        <v>0</v>
      </c>
      <c r="O95" s="66" t="str">
        <f t="shared" si="79"/>
        <v>✕</v>
      </c>
      <c r="P95" s="67" t="str">
        <f t="shared" si="80"/>
        <v>○</v>
      </c>
      <c r="Q95" s="67" t="str">
        <f>+IF((TEXT($A95,"DD")+0)=1,"○","✕")</f>
        <v>✕</v>
      </c>
      <c r="R95" s="67" t="str">
        <f t="shared" si="82"/>
        <v>✕</v>
      </c>
      <c r="S95" s="68">
        <v>0</v>
      </c>
      <c r="T95" s="69" t="s">
        <v>85</v>
      </c>
      <c r="U95" s="69" t="s">
        <v>85</v>
      </c>
      <c r="V95" s="69" t="s">
        <v>85</v>
      </c>
      <c r="W95" s="69" t="s">
        <v>85</v>
      </c>
      <c r="X95" s="69" t="s">
        <v>84</v>
      </c>
      <c r="Y95" s="69" t="s">
        <v>85</v>
      </c>
      <c r="Z95" s="69" t="s">
        <v>85</v>
      </c>
      <c r="AA95" s="69" t="s">
        <v>85</v>
      </c>
      <c r="AB95" s="69" t="s">
        <v>85</v>
      </c>
      <c r="AC95" s="69" t="s">
        <v>85</v>
      </c>
      <c r="AD95" s="38" t="str">
        <f>+IF(ISERROR(VLOOKUP($B95,AD$10:AD94,1,0)),IF(AND($N95&gt;=1000,$A95&gt;=AO$8,$A95&lt;=AO$9),$B95,""),"")</f>
        <v/>
      </c>
      <c r="AE95" s="38" t="str">
        <f>+IF(ISERROR(VLOOKUP($B95,AE$10:AE94,1,0)),IF(AND($N95&gt;=1000,$A95&gt;=AP$8,$A95&lt;=AP$9),$B95,""),"")</f>
        <v/>
      </c>
      <c r="AF95" s="38" t="str">
        <f>+IF(ISERROR(VLOOKUP($B95,AF$10:AF94,1,0)),IF(AND($N95&gt;=1000,$A95&gt;=AQ$8,$A95&lt;=AQ$9),$B95,""),"")</f>
        <v/>
      </c>
      <c r="AG95" s="38" t="str">
        <f>+IF(ISERROR(VLOOKUP($B95,AG$10:AG94,1,0)),IF(AND($N95&gt;=1000,$A95&gt;=AR$8,$A95&lt;=AR$9),$B95,""),"")</f>
        <v/>
      </c>
      <c r="AH95" s="38"/>
      <c r="AI95" s="70">
        <v>0</v>
      </c>
      <c r="AJ95" s="38">
        <f>IF(AND(AJ$7="○",$A95&gt;=AJ$8,$A95&lt;=AJ$9),IF(SUM(AJ$10:AJ94)-ROUNDDOWN($K95*AJ$5/100,0)&lt;-AJ$6,-AJ$6-SUM(AJ$10:AJ94),-ROUNDDOWN($K95*AJ$5/100,0)),0)</f>
        <v>0</v>
      </c>
      <c r="AK95" s="38">
        <f>IF(AND(AK$7="○",$A95&gt;=AK$8,$A95&lt;=AK$9),IF(SUM(AK$10:AK94)-ROUNDDOWN($L95*AK$5/100,0)&lt;-AK$6,-AK$6-SUM(AK$10:AK94),-ROUNDDOWN($L95*AK$5/100,0)),0)</f>
        <v>0</v>
      </c>
      <c r="AL95" s="38">
        <f>IF(AND(AL$7="○",$A95&gt;=AL$8,$A95&lt;=AL$9),IF(SUM(AL$10:AL94)-ROUNDDOWN($N95*AL$5/100,0)&lt;-AL$6,-AL$6-SUM(AL$10:AL94),-ROUNDDOWN($N95*AL$5/100,0)),0)</f>
        <v>0</v>
      </c>
      <c r="AM95" s="38">
        <f>IF(AND(AM$7="○",$A95&gt;=AM$8,$A95&lt;=AM$9),IF(SUM(AM$10:AM94)-ROUNDDOWN($L95*AM$5/100,0)&lt;-AM$6,-AM$6-SUM(AM$10:AM94),-ROUNDDOWN($L95*AM$5/100,0)),0)</f>
        <v>0</v>
      </c>
      <c r="AN95" s="38">
        <f>IF(AND(AN$7="○",$A95&gt;=AN$8,$A95&lt;=AN$9),IF(SUM(AN$10:AN94)-ROUNDDOWN($M95*AN$5/100,0)&lt;-AN$6,-AN$6-SUM(AN$10:AN94),-ROUNDDOWN($M95*AN$5/100,0)),0)</f>
        <v>0</v>
      </c>
      <c r="AO95" s="38">
        <f>IF(AND($A95&gt;=AO$8,$A95&lt;=AO$9),IF(SUM(AO$10:AO94)-ROUNDDOWN($K95*AO$5/100,0)&lt;-AO$6,-AO$6-SUM(AO$10:AO94),-ROUNDDOWN($K95*AO$5/100,0)),0)</f>
        <v>0</v>
      </c>
      <c r="AP95" s="38">
        <f>IF(AND($A95&gt;=AP$8,$A95&lt;=AP$9),IF(SUM(AP$10:AP94)-ROUNDDOWN($K95*AP$5/100,0)&lt;-AP$6,-AP$6-SUM(AP$10:AP94),-ROUNDDOWN($K95*AP$5/100,0)),0)</f>
        <v>0</v>
      </c>
      <c r="AQ95" s="38">
        <f>IF(AND($A95&gt;=AQ$8,$A95&lt;=AQ$9),IF(SUM(AQ$10:AQ94)-ROUNDDOWN($K95*AQ$5/100,0)&lt;-AQ$6,-AQ$6-SUM(AQ$10:AQ94),-ROUNDDOWN($K95*AQ$5/100,0)),0)</f>
        <v>0</v>
      </c>
      <c r="AR95" s="38">
        <f>IF(AND($A95&gt;=AR$8,$A95&lt;=AR$9),IF(SUM(AR$10:AR94)-ROUNDDOWN($K95*AR$5/100,0)&lt;-AR$6,-AR$6-SUM(AR$10:AR94),-ROUNDDOWN($K95*AR$5/100,0)),0)</f>
        <v>0</v>
      </c>
      <c r="AS95" s="38">
        <f>IF(SUMIFS(AS$10:AS94,$A$10:$A94,$A95)-ROUNDDOWN($K95*$S95/100,0)&lt;-$S95*1000,-$S95*1000-SUMIFS(AS$10:AS94,$A$10:$A94,$A95),-ROUNDDOWN($K95*$S95/100,0))</f>
        <v>0</v>
      </c>
      <c r="AT95" s="38">
        <f>IF(AND(X95="○",$A95&gt;=AT$8,$A95&lt;=AT$9,K95&gt;=3980),IF(SUM(AT$10:AT94)-ROUNDDOWN($K95*AT$5/100,0)&lt;-AT$6,-AT$6-SUM(AT$10:AT94),-ROUNDDOWN($K95*AT$5/100,0)),0)</f>
        <v>0</v>
      </c>
      <c r="AU95" s="38">
        <f>IF(O95="○",IF(SUM(AU$10:AU94)-ROUNDDOWN($K95*AU$5/100,0)&lt;-AU$6,-AU$6-SUM(AU$10:AU94),-ROUNDDOWN($K95*AU$5/100,0)),0)</f>
        <v>0</v>
      </c>
      <c r="AV95" s="38">
        <f>IF(P95="○",IF(SUM(AV$10:AV94)-ROUNDDOWN($K95*AV$5/100,0)&lt;-AV$6,-AV$6-SUM(AV$10:AV94),-ROUNDDOWN($K95*AV$5/100,0)),0)</f>
        <v>0</v>
      </c>
      <c r="AW95" s="38">
        <f>IF(Q95="○",IF(SUM(AW$10:AW94)-ROUNDDOWN($K95*AW$5/100,0)&lt;-AW$6,-AW$6-SUM(AW$10:AW94),-ROUNDDOWN($K95*AW$5/100,0)),0)</f>
        <v>0</v>
      </c>
      <c r="AX95" s="38">
        <f>IF(R95="○",IF(SUM(AX$10:AX94)-ROUNDDOWN($K95*AX$5/100,0)&lt;-AX$6,-AX$6-SUM(AX$10:AX94),-ROUNDDOWN($K95*AX$5/100,0)),0)</f>
        <v>0</v>
      </c>
      <c r="AY95" s="70">
        <v>0</v>
      </c>
      <c r="AZ95" s="65">
        <f t="shared" si="88"/>
        <v>0</v>
      </c>
      <c r="BA95" s="65">
        <f t="shared" si="89"/>
        <v>0</v>
      </c>
      <c r="BB95" s="70"/>
      <c r="BC95" s="65">
        <f t="shared" si="90"/>
        <v>0</v>
      </c>
      <c r="BD95" s="70">
        <v>0</v>
      </c>
      <c r="BE95" s="65">
        <f t="shared" si="91"/>
        <v>0</v>
      </c>
      <c r="BF95" s="70">
        <v>0</v>
      </c>
      <c r="BG95" s="65">
        <f t="shared" si="92"/>
        <v>0</v>
      </c>
      <c r="BH95" s="70">
        <v>0</v>
      </c>
      <c r="BI95" s="65">
        <f t="shared" si="93"/>
        <v>0</v>
      </c>
      <c r="BJ95" s="38">
        <f>IF(AND(BJ$7="○",$A95&gt;=BJ$8,$A95&lt;=BJ$9),IF(SUM(BJ$10:BJ94)-ROUNDDOWN($M95*BJ$5/100,0)&lt;-BJ$6,-BJ$6-SUM(BJ$10:BJ94),-ROUNDDOWN($M95*BJ$5/100,0)),0)</f>
        <v>0</v>
      </c>
      <c r="BK95" s="38">
        <f>IF(AND(BK$7="○",$A95&gt;=BK$8,$A95&lt;=BK$9),IF(SUM(BK$10:BK94)-ROUNDDOWN($L95*BK$5/100,0)&lt;-BK$6,-BK$6-SUM(BK$10:BK94),-ROUNDDOWN($L95*BK$5/100,0)),0)</f>
        <v>0</v>
      </c>
      <c r="BL95" s="38">
        <f>IF(AND(BL$7="○",$A95&gt;=BL$8,$A95&lt;=BL$9),IF(SUM(BL$10:BL94)-ROUNDDOWN($L95*BL$5/100,0)&lt;-BL$6,-BL$6-SUM(BL$10:BL94),-ROUNDDOWN($L95*BL$5/100,0)),0)</f>
        <v>0</v>
      </c>
      <c r="BM95" s="38">
        <f>IF(AND(BM$7="○",$A95&gt;=BM$8,$A95&lt;=BM$9),IF(SUM(BM$10:BM94)-ROUNDDOWN($M95*BM$5/100,0)&lt;-BM$6,-BM$6-SUM(BM$10:BM94),-ROUNDDOWN($M95*BM$5/100,0)),0)</f>
        <v>0</v>
      </c>
      <c r="BN95" s="38">
        <f>IF(AND(BN$7="○",$A95&gt;=BN$8,$A95&lt;=BN$9),IF(SUM(BN$10:BN94)-ROUNDDOWN($M95*BN$5/100,0)&lt;-BN$6,-BN$6-SUM(BN$10:BN94),-ROUNDDOWN($M95*BN$5/100,0)),0)</f>
        <v>0</v>
      </c>
      <c r="BO95" s="38">
        <f>IF(AND(BO$7="○",$A95&gt;=BO$8,$A95&lt;=BO$9),IF(SUM(BO$10:BO94)-ROUNDDOWN($M95*BO$5/100,0)&lt;-BO$6,-BO$6-SUM(BO$10:BO94),-ROUNDDOWN($M95*BO$5/100,0)),0)</f>
        <v>0</v>
      </c>
      <c r="BP95" s="38">
        <f>IF(AND(BP$7="○",$A95&gt;=BP$8,$A95&lt;=BP$9),IF(SUM(BP$10:BP94)-ROUNDDOWN($M95*BP$5/100,0)&lt;-BP$6,-BP$6-SUM(BP$10:BP94),-ROUNDDOWN($M95*BP$5/100,0)),0)</f>
        <v>0</v>
      </c>
      <c r="BQ95" s="38">
        <f>IF(AND(BQ$7="○",$A95&gt;=BQ$8,$A95&lt;=BQ$9),IF(SUM(BQ$10:BQ94)-ROUNDDOWN($L95*BQ$5/100,0)&lt;-BQ$6,-BQ$6-SUM(BQ$10:BQ94),-ROUNDDOWN($L95*BQ$5/100,0)),0)</f>
        <v>0</v>
      </c>
      <c r="BR95" s="38">
        <f>IF(AND(BR$7="○",$A95&gt;=BR$8,$A95&lt;=BR$9),IF(SUM(BR$10:BR94)-ROUNDDOWN($M95*BR$5/100,0)&lt;-BR$6,-BR$6-SUM(BR$10:BR94),-ROUNDDOWN($M95*BR$5/100,0)),0)</f>
        <v>0</v>
      </c>
      <c r="BS95" s="38">
        <f>IF(AND(BS$7="○",$A95&gt;=BS$8,$A95&lt;=BS$9),IF(SUM(BS$10:BS94)-ROUNDDOWN($M95*BS$5/100,0)&lt;-BS$6,-BS$6-SUM(BS$10:BS94),-ROUNDDOWN($M95*BS$5/100,0)),0)</f>
        <v>0</v>
      </c>
      <c r="BT95" s="38">
        <f>IF(AND(BT$7="○",$A95&gt;=BT$8,$A95&lt;=BT$9),IF(SUM(BT$10:BT94)-ROUNDDOWN($M95*BT$5/100,0)&lt;-BT$6,-BT$6-SUM(BT$10:BT94),-ROUNDDOWN($M95*BT$5/100,0)),0)</f>
        <v>0</v>
      </c>
      <c r="BU95" s="38">
        <f>IF(AND(BU$7="○",$A95&gt;=BU$8,$A95&lt;=BU$9),IF(SUM(BU$10:BU94)-ROUNDDOWN($M95*BU$5/100,0)&lt;-BU$6,-BU$6-SUM(BU$10:BU94),-ROUNDDOWN($M95*BU$5/100,0)),0)</f>
        <v>0</v>
      </c>
      <c r="BV95" s="38">
        <f>IF(AND(BV$7="○",$A95&gt;=BV$8,$A95&lt;=BV$9),IF(SUM(BV$10:BV94)-ROUNDDOWN($M95*BV$5/100,0)&lt;-BV$6,-BV$6-SUM(BV$10:BV94),-ROUNDDOWN($M95*BV$5/100,0)),0)</f>
        <v>0</v>
      </c>
      <c r="BW95" s="38">
        <f>IF(AND(BW$7="○",$A95&gt;=BW$8,$A95&lt;=BW$9),IF(SUM(BW$10:BW94)-ROUNDDOWN($M95*BW$5/100,0)&lt;-BW$6,-BW$6-SUM(BW$10:BW94),-ROUNDDOWN($M95*BW$5/100,0)),0)</f>
        <v>0</v>
      </c>
      <c r="BX95" s="38">
        <f>IF(AND(T95="○",$A95&gt;=BX$8,$A95&lt;=BX$9),IF(SUM(BX$10:BX94)-ROUNDDOWN($K95*BX$5/100,0)&lt;-BX$6,-BX$6-SUM(BX$10:BX94),-ROUNDDOWN($K95*BX$5/100,0)),0)</f>
        <v>0</v>
      </c>
      <c r="BY95" s="38">
        <f>IF(AND(U95="○",$A95&gt;=BY$8,$A95&lt;=BY$9),IF(SUM(BY$10:BY94)-ROUNDDOWN($K95*BY$5/100,0)&lt;-BY$6,-BY$6-SUM(BY$10:BY94),-ROUNDDOWN($K95*BY$5/100,0)),0)</f>
        <v>0</v>
      </c>
      <c r="BZ95" s="38">
        <f>IF(AND(V95="○",$A95&gt;=BZ$8,$A95&lt;=BZ$9),IF(SUM(BZ$10:BZ94)-ROUNDDOWN($K95*BZ$5/100,0)&lt;-BZ$6,-BZ$6-SUM(BZ$10:BZ94),-ROUNDDOWN($K95*BZ$5/100,0)),0)</f>
        <v>0</v>
      </c>
      <c r="CA95" s="38">
        <f>IF(AND(W95="○",$A95&gt;=CA$8,$A95&lt;=CA$9),IF(SUM(CA$10:CA94)-ROUNDDOWN($K95*CA$5/100,0)&lt;-CA$6,-CA$6-SUM(CA$10:CA94),-ROUNDDOWN($K95*CA$5/100,0)),0)</f>
        <v>0</v>
      </c>
      <c r="CB95" s="38"/>
      <c r="CC95" s="38"/>
      <c r="CD95" s="38"/>
      <c r="CE95" s="38"/>
      <c r="CF95" s="38"/>
      <c r="CG95" s="65">
        <f t="shared" si="94"/>
        <v>0</v>
      </c>
      <c r="CH95" s="71">
        <f t="shared" si="95"/>
        <v>0</v>
      </c>
      <c r="CI95" s="1">
        <f t="shared" si="83"/>
        <v>0</v>
      </c>
      <c r="CJ95" s="1"/>
      <c r="CK95" s="79"/>
      <c r="CL95" s="79"/>
      <c r="CM95" s="2"/>
      <c r="CN95" s="2"/>
      <c r="CO95" s="73">
        <f t="shared" si="84"/>
        <v>0</v>
      </c>
      <c r="CP95" s="5">
        <f t="shared" si="85"/>
        <v>0</v>
      </c>
      <c r="CQ95" s="1"/>
      <c r="CR95" s="1">
        <f t="shared" si="86"/>
        <v>0</v>
      </c>
      <c r="CS95" s="1"/>
      <c r="CT95" s="1" t="e">
        <f>INDEX([2]マスタ!$A:$A,MATCH(D95,[2]マスタ!$C:$C,0))</f>
        <v>#N/A</v>
      </c>
      <c r="CU95" s="1" t="str">
        <f t="shared" ca="1" si="87"/>
        <v>20260620_0-0</v>
      </c>
    </row>
    <row r="96" spans="1:99" x14ac:dyDescent="0.4">
      <c r="A96" s="61"/>
      <c r="B96" s="62"/>
      <c r="C96" s="62"/>
      <c r="D96" s="62"/>
      <c r="E96" s="63"/>
      <c r="F96" s="62"/>
      <c r="G96" s="62">
        <v>1</v>
      </c>
      <c r="H96" s="64">
        <f t="shared" si="74"/>
        <v>0</v>
      </c>
      <c r="I96" s="64"/>
      <c r="J96" s="64"/>
      <c r="K96" s="65">
        <f t="shared" ref="K96:K105" si="98">+ROUNDDOWN((H96+I96+J96)/100,0)*100</f>
        <v>0</v>
      </c>
      <c r="L96" s="65">
        <f t="shared" si="76"/>
        <v>0</v>
      </c>
      <c r="M96" s="65">
        <f t="shared" si="77"/>
        <v>0</v>
      </c>
      <c r="N96" s="65">
        <f t="shared" si="78"/>
        <v>0</v>
      </c>
      <c r="O96" s="66" t="str">
        <f t="shared" si="79"/>
        <v>✕</v>
      </c>
      <c r="P96" s="67" t="str">
        <f t="shared" si="80"/>
        <v>○</v>
      </c>
      <c r="Q96" s="67" t="str">
        <f t="shared" ref="Q96:Q105" si="99">+IF((TEXT(A96,"DD")+0)=1,"○","✕")</f>
        <v>✕</v>
      </c>
      <c r="R96" s="67" t="str">
        <f t="shared" si="82"/>
        <v>✕</v>
      </c>
      <c r="S96" s="68">
        <v>0</v>
      </c>
      <c r="T96" s="69" t="s">
        <v>85</v>
      </c>
      <c r="U96" s="69" t="s">
        <v>85</v>
      </c>
      <c r="V96" s="69" t="s">
        <v>85</v>
      </c>
      <c r="W96" s="69" t="s">
        <v>85</v>
      </c>
      <c r="X96" s="69" t="s">
        <v>84</v>
      </c>
      <c r="Y96" s="69" t="s">
        <v>85</v>
      </c>
      <c r="Z96" s="69" t="s">
        <v>85</v>
      </c>
      <c r="AA96" s="69" t="s">
        <v>85</v>
      </c>
      <c r="AB96" s="69" t="s">
        <v>85</v>
      </c>
      <c r="AC96" s="69" t="s">
        <v>85</v>
      </c>
      <c r="AD96" s="38" t="str">
        <f>+IF(ISERROR(VLOOKUP($B96,AD$10:AD95,1,0)),IF(AND($N96&gt;=1000,$A96&gt;=AO$8,$A96&lt;=AO$9),$B96,""),"")</f>
        <v/>
      </c>
      <c r="AE96" s="38" t="str">
        <f>+IF(ISERROR(VLOOKUP($B96,AE$10:AE95,1,0)),IF(AND($N96&gt;=1000,$A96&gt;=AP$8,$A96&lt;=AP$9),$B96,""),"")</f>
        <v/>
      </c>
      <c r="AF96" s="38" t="str">
        <f>+IF(ISERROR(VLOOKUP($B96,AF$10:AF95,1,0)),IF(AND($N96&gt;=1000,$A96&gt;=AQ$8,$A96&lt;=AQ$9),$B96,""),"")</f>
        <v/>
      </c>
      <c r="AG96" s="38" t="str">
        <f>+IF(ISERROR(VLOOKUP($B96,AG$10:AG95,1,0)),IF(AND($N96&gt;=1000,$A96&gt;=AR$8,$A96&lt;=AR$9),$B96,""),"")</f>
        <v/>
      </c>
      <c r="AH96" s="38"/>
      <c r="AI96" s="70">
        <v>0</v>
      </c>
      <c r="AJ96" s="38">
        <f>IF(AND(AJ$7="○",$A96&gt;=AJ$8,$A96&lt;=AJ$9),IF(SUM(AJ$10:AJ95)-ROUNDDOWN($K96*AJ$5/100,0)&lt;-AJ$6,-AJ$6-SUM(AJ$10:AJ95),-ROUNDDOWN($K96*AJ$5/100,0)),0)</f>
        <v>0</v>
      </c>
      <c r="AK96" s="38">
        <f>IF(AND(AK$7="○",$A96&gt;=AK$8,$A96&lt;=AK$9),IF(SUM(AK$10:AK95)-ROUNDDOWN($L96*AK$5/100,0)&lt;-AK$6,-AK$6-SUM(AK$10:AK95),-ROUNDDOWN($L96*AK$5/100,0)),0)</f>
        <v>0</v>
      </c>
      <c r="AL96" s="38">
        <f>IF(AND(AL$7="○",$A96&gt;=AL$8,$A96&lt;=AL$9),IF(SUM(AL$10:AL95)-ROUNDDOWN($N96*AL$5/100,0)&lt;-AL$6,-AL$6-SUM(AL$10:AL95),-ROUNDDOWN($N96*AL$5/100,0)),0)</f>
        <v>0</v>
      </c>
      <c r="AM96" s="38">
        <f>IF(AND(AM$7="○",$A96&gt;=AM$8,$A96&lt;=AM$9),IF(SUM(AM$10:AM95)-ROUNDDOWN($L96*AM$5/100,0)&lt;-AM$6,-AM$6-SUM(AM$10:AM95),-ROUNDDOWN($L96*AM$5/100,0)),0)</f>
        <v>0</v>
      </c>
      <c r="AN96" s="38">
        <f>IF(AND(AN$7="○",$A96&gt;=AN$8,$A96&lt;=AN$9),IF(SUM(AN$10:AN95)-ROUNDDOWN($M96*AN$5/100,0)&lt;-AN$6,-AN$6-SUM(AN$10:AN95),-ROUNDDOWN($M96*AN$5/100,0)),0)</f>
        <v>0</v>
      </c>
      <c r="AO96" s="38">
        <f>IF(AND($A96&gt;=AO$8,$A96&lt;=AO$9),IF(SUM(AO$10:AO95)-ROUNDDOWN($K96*AO$5/100,0)&lt;-AO$6,-AO$6-SUM(AO$10:AO95),-ROUNDDOWN($K96*AO$5/100,0)),0)</f>
        <v>0</v>
      </c>
      <c r="AP96" s="38">
        <f>IF(AND($A96&gt;=AP$8,$A96&lt;=AP$9),IF(SUM(AP$10:AP95)-ROUNDDOWN($K96*AP$5/100,0)&lt;-AP$6,-AP$6-SUM(AP$10:AP95),-ROUNDDOWN($K96*AP$5/100,0)),0)</f>
        <v>0</v>
      </c>
      <c r="AQ96" s="38">
        <f>IF(AND($A96&gt;=AQ$8,$A96&lt;=AQ$9),IF(SUM(AQ$10:AQ95)-ROUNDDOWN($K96*AQ$5/100,0)&lt;-AQ$6,-AQ$6-SUM(AQ$10:AQ95),-ROUNDDOWN($K96*AQ$5/100,0)),0)</f>
        <v>0</v>
      </c>
      <c r="AR96" s="38">
        <f>IF(AND($A96&gt;=AR$8,$A96&lt;=AR$9),IF(SUM(AR$10:AR95)-ROUNDDOWN($K96*AR$5/100,0)&lt;-AR$6,-AR$6-SUM(AR$10:AR95),-ROUNDDOWN($K96*AR$5/100,0)),0)</f>
        <v>0</v>
      </c>
      <c r="AS96" s="38">
        <f>IF(SUMIFS(AS$10:AS95,$A$10:$A95,$A96)-ROUNDDOWN($K96*$S96/100,0)&lt;-$S96*1000,-$S96*1000-SUMIFS(AS$10:AS95,$A$10:$A95,$A96),-ROUNDDOWN($K96*$S96/100,0))</f>
        <v>0</v>
      </c>
      <c r="AT96" s="38">
        <f>IF(AND(X96="○",$A96&gt;=AT$8,$A96&lt;=AT$9,K96&gt;=3980),IF(SUM(AT$10:AT95)-ROUNDDOWN($K96*AT$5/100,0)&lt;-AT$6,-AT$6-SUM(AT$10:AT95),-ROUNDDOWN($K96*AT$5/100,0)),0)</f>
        <v>0</v>
      </c>
      <c r="AU96" s="38">
        <f>IF(O96="○",IF(SUM(AU$10:AU95)-ROUNDDOWN($K96*AU$5/100,0)&lt;-AU$6,-AU$6-SUM(AU$10:AU95),-ROUNDDOWN($K96*AU$5/100,0)),0)</f>
        <v>0</v>
      </c>
      <c r="AV96" s="38">
        <f>IF(P96="○",IF(SUM(AV$10:AV95)-ROUNDDOWN($K96*AV$5/100,0)&lt;-AV$6,-AV$6-SUM(AV$10:AV95),-ROUNDDOWN($K96*AV$5/100,0)),0)</f>
        <v>0</v>
      </c>
      <c r="AW96" s="38">
        <f>IF(Q96="○",IF(SUM(AW$10:AW95)-ROUNDDOWN($K96*AW$5/100,0)&lt;-AW$6,-AW$6-SUM(AW$10:AW95),-ROUNDDOWN($K96*AW$5/100,0)),0)</f>
        <v>0</v>
      </c>
      <c r="AX96" s="38">
        <f>IF(R96="○",IF(SUM(AX$10:AX95)-ROUNDDOWN($K96*AX$5/100,0)&lt;-AX$6,-AX$6-SUM(AX$10:AX95),-ROUNDDOWN($K96*AX$5/100,0)),0)</f>
        <v>0</v>
      </c>
      <c r="AY96" s="70">
        <v>0</v>
      </c>
      <c r="AZ96" s="65">
        <f t="shared" si="88"/>
        <v>0</v>
      </c>
      <c r="BA96" s="65">
        <f t="shared" si="89"/>
        <v>0</v>
      </c>
      <c r="BB96" s="70"/>
      <c r="BC96" s="65">
        <f t="shared" si="90"/>
        <v>0</v>
      </c>
      <c r="BD96" s="70">
        <v>0</v>
      </c>
      <c r="BE96" s="65">
        <f t="shared" si="91"/>
        <v>0</v>
      </c>
      <c r="BF96" s="70">
        <v>0</v>
      </c>
      <c r="BG96" s="65">
        <f t="shared" si="92"/>
        <v>0</v>
      </c>
      <c r="BH96" s="70">
        <v>0</v>
      </c>
      <c r="BI96" s="65">
        <f t="shared" si="93"/>
        <v>0</v>
      </c>
      <c r="BJ96" s="38">
        <f>IF(AND(BJ$7="○",$A96&gt;=BJ$8,$A96&lt;=BJ$9),IF(SUM(BJ$10:BJ95)-ROUNDDOWN($M96*BJ$5/100,0)&lt;-BJ$6,-BJ$6-SUM(BJ$10:BJ95),-ROUNDDOWN($M96*BJ$5/100,0)),0)</f>
        <v>0</v>
      </c>
      <c r="BK96" s="38">
        <f>IF(AND(BK$7="○",$A96&gt;=BK$8,$A96&lt;=BK$9),IF(SUM(BK$10:BK95)-ROUNDDOWN($L96*BK$5/100,0)&lt;-BK$6,-BK$6-SUM(BK$10:BK95),-ROUNDDOWN($L96*BK$5/100,0)),0)</f>
        <v>0</v>
      </c>
      <c r="BL96" s="38">
        <f>IF(AND(BL$7="○",$A96&gt;=BL$8,$A96&lt;=BL$9),IF(SUM(BL$10:BL95)-ROUNDDOWN($L96*BL$5/100,0)&lt;-BL$6,-BL$6-SUM(BL$10:BL95),-ROUNDDOWN($L96*BL$5/100,0)),0)</f>
        <v>0</v>
      </c>
      <c r="BM96" s="38">
        <f>IF(AND(BM$7="○",$A96&gt;=BM$8,$A96&lt;=BM$9),IF(SUM(BM$10:BM95)-ROUNDDOWN($M96*BM$5/100,0)&lt;-BM$6,-BM$6-SUM(BM$10:BM95),-ROUNDDOWN($M96*BM$5/100,0)),0)</f>
        <v>0</v>
      </c>
      <c r="BN96" s="38">
        <f>IF(AND(BN$7="○",$A96&gt;=BN$8,$A96&lt;=BN$9),IF(SUM(BN$10:BN95)-ROUNDDOWN($M96*BN$5/100,0)&lt;-BN$6,-BN$6-SUM(BN$10:BN95),-ROUNDDOWN($M96*BN$5/100,0)),0)</f>
        <v>0</v>
      </c>
      <c r="BO96" s="38">
        <f>IF(AND(BO$7="○",$A96&gt;=BO$8,$A96&lt;=BO$9),IF(SUM(BO$10:BO95)-ROUNDDOWN($M96*BO$5/100,0)&lt;-BO$6,-BO$6-SUM(BO$10:BO95),-ROUNDDOWN($M96*BO$5/100,0)),0)</f>
        <v>0</v>
      </c>
      <c r="BP96" s="38">
        <f>IF(AND(BP$7="○",$A96&gt;=BP$8,$A96&lt;=BP$9),IF(SUM(BP$10:BP95)-ROUNDDOWN($M96*BP$5/100,0)&lt;-BP$6,-BP$6-SUM(BP$10:BP95),-ROUNDDOWN($M96*BP$5/100,0)),0)</f>
        <v>0</v>
      </c>
      <c r="BQ96" s="38">
        <f>IF(AND(BQ$7="○",$A96&gt;=BQ$8,$A96&lt;=BQ$9),IF(SUM(BQ$10:BQ95)-ROUNDDOWN($L96*BQ$5/100,0)&lt;-BQ$6,-BQ$6-SUM(BQ$10:BQ95),-ROUNDDOWN($L96*BQ$5/100,0)),0)</f>
        <v>0</v>
      </c>
      <c r="BR96" s="38">
        <f>IF(AND(BR$7="○",$A96&gt;=BR$8,$A96&lt;=BR$9),IF(SUM(BR$10:BR95)-ROUNDDOWN($M96*BR$5/100,0)&lt;-BR$6,-BR$6-SUM(BR$10:BR95),-ROUNDDOWN($M96*BR$5/100,0)),0)</f>
        <v>0</v>
      </c>
      <c r="BS96" s="38">
        <f>IF(AND(BS$7="○",$A96&gt;=BS$8,$A96&lt;=BS$9),IF(SUM(BS$10:BS95)-ROUNDDOWN($M96*BS$5/100,0)&lt;-BS$6,-BS$6-SUM(BS$10:BS95),-ROUNDDOWN($M96*BS$5/100,0)),0)</f>
        <v>0</v>
      </c>
      <c r="BT96" s="38">
        <f>IF(AND(BT$7="○",$A96&gt;=BT$8,$A96&lt;=BT$9),IF(SUM(BT$10:BT95)-ROUNDDOWN($M96*BT$5/100,0)&lt;-BT$6,-BT$6-SUM(BT$10:BT95),-ROUNDDOWN($M96*BT$5/100,0)),0)</f>
        <v>0</v>
      </c>
      <c r="BU96" s="38">
        <f>IF(AND(BU$7="○",$A96&gt;=BU$8,$A96&lt;=BU$9),IF(SUM(BU$10:BU95)-ROUNDDOWN($M96*BU$5/100,0)&lt;-BU$6,-BU$6-SUM(BU$10:BU95),-ROUNDDOWN($M96*BU$5/100,0)),0)</f>
        <v>0</v>
      </c>
      <c r="BV96" s="38">
        <f>IF(AND(BV$7="○",$A96&gt;=BV$8,$A96&lt;=BV$9),IF(SUM(BV$10:BV95)-ROUNDDOWN($M96*BV$5/100,0)&lt;-BV$6,-BV$6-SUM(BV$10:BV95),-ROUNDDOWN($M96*BV$5/100,0)),0)</f>
        <v>0</v>
      </c>
      <c r="BW96" s="38">
        <f>IF(AND(BW$7="○",$A96&gt;=BW$8,$A96&lt;=BW$9),IF(SUM(BW$10:BW95)-ROUNDDOWN($M96*BW$5/100,0)&lt;-BW$6,-BW$6-SUM(BW$10:BW95),-ROUNDDOWN($M96*BW$5/100,0)),0)</f>
        <v>0</v>
      </c>
      <c r="BX96" s="38">
        <f>IF(AND(T96="○",$A96&gt;=BX$8,$A96&lt;=BX$9),IF(SUM(BX$10:BX95)-ROUNDDOWN($K96*BX$5/100,0)&lt;-BX$6,-BX$6-SUM(BX$10:BX95),-ROUNDDOWN($K96*BX$5/100,0)),0)</f>
        <v>0</v>
      </c>
      <c r="BY96" s="38">
        <f>IF(AND(U96="○",$A96&gt;=BY$8,$A96&lt;=BY$9),IF(SUM(BY$10:BY95)-ROUNDDOWN($K96*BY$5/100,0)&lt;-BY$6,-BY$6-SUM(BY$10:BY95),-ROUNDDOWN($K96*BY$5/100,0)),0)</f>
        <v>0</v>
      </c>
      <c r="BZ96" s="38">
        <f>IF(AND(V96="○",$A96&gt;=BZ$8,$A96&lt;=BZ$9),IF(SUM(BZ$10:BZ95)-ROUNDDOWN($K96*BZ$5/100,0)&lt;-BZ$6,-BZ$6-SUM(BZ$10:BZ95),-ROUNDDOWN($K96*BZ$5/100,0)),0)</f>
        <v>0</v>
      </c>
      <c r="CA96" s="38">
        <f>IF(AND(W96="○",$A96&gt;=CA$8,$A96&lt;=CA$9),IF(SUM(CA$10:CA95)-ROUNDDOWN($K96*CA$5/100,0)&lt;-CA$6,-CA$6-SUM(CA$10:CA95),-ROUNDDOWN($K96*CA$5/100,0)),0)</f>
        <v>0</v>
      </c>
      <c r="CB96" s="38"/>
      <c r="CC96" s="38"/>
      <c r="CD96" s="38"/>
      <c r="CE96" s="38"/>
      <c r="CF96" s="38"/>
      <c r="CG96" s="65">
        <f t="shared" si="94"/>
        <v>0</v>
      </c>
      <c r="CH96" s="71">
        <f t="shared" si="95"/>
        <v>0</v>
      </c>
      <c r="CI96" s="1">
        <f t="shared" si="83"/>
        <v>0</v>
      </c>
      <c r="CJ96" s="1"/>
      <c r="CK96" s="72"/>
      <c r="CL96" s="72"/>
      <c r="CM96" s="2"/>
      <c r="CN96" s="2"/>
      <c r="CO96" s="73">
        <f t="shared" si="84"/>
        <v>0</v>
      </c>
      <c r="CP96" s="5">
        <f t="shared" si="85"/>
        <v>0</v>
      </c>
      <c r="CQ96" s="1"/>
      <c r="CR96" s="1">
        <f t="shared" si="86"/>
        <v>0</v>
      </c>
      <c r="CS96" s="1"/>
      <c r="CT96" s="1" t="e">
        <f>INDEX([2]マスタ!$A:$A,MATCH(D96,[2]マスタ!$C:$C,0))</f>
        <v>#N/A</v>
      </c>
      <c r="CU96" s="1" t="str">
        <f t="shared" ca="1" si="87"/>
        <v>20260620_0-0</v>
      </c>
    </row>
    <row r="97" spans="1:99" x14ac:dyDescent="0.4">
      <c r="A97" s="61"/>
      <c r="B97" s="62"/>
      <c r="C97" s="62"/>
      <c r="D97" s="62"/>
      <c r="E97" s="63"/>
      <c r="F97" s="62"/>
      <c r="G97" s="62">
        <v>1</v>
      </c>
      <c r="H97" s="64">
        <f t="shared" si="74"/>
        <v>0</v>
      </c>
      <c r="I97" s="64"/>
      <c r="J97" s="64"/>
      <c r="K97" s="65">
        <f t="shared" si="98"/>
        <v>0</v>
      </c>
      <c r="L97" s="65">
        <f t="shared" si="76"/>
        <v>0</v>
      </c>
      <c r="M97" s="65">
        <f t="shared" si="77"/>
        <v>0</v>
      </c>
      <c r="N97" s="65">
        <f t="shared" si="78"/>
        <v>0</v>
      </c>
      <c r="O97" s="66" t="str">
        <f t="shared" si="79"/>
        <v>✕</v>
      </c>
      <c r="P97" s="67" t="str">
        <f t="shared" si="80"/>
        <v>○</v>
      </c>
      <c r="Q97" s="67" t="str">
        <f t="shared" si="99"/>
        <v>✕</v>
      </c>
      <c r="R97" s="67" t="str">
        <f t="shared" si="82"/>
        <v>✕</v>
      </c>
      <c r="S97" s="68">
        <v>0</v>
      </c>
      <c r="T97" s="69" t="s">
        <v>85</v>
      </c>
      <c r="U97" s="69" t="s">
        <v>85</v>
      </c>
      <c r="V97" s="69" t="s">
        <v>85</v>
      </c>
      <c r="W97" s="69" t="s">
        <v>85</v>
      </c>
      <c r="X97" s="69" t="s">
        <v>84</v>
      </c>
      <c r="Y97" s="69" t="s">
        <v>85</v>
      </c>
      <c r="Z97" s="69" t="s">
        <v>85</v>
      </c>
      <c r="AA97" s="69" t="s">
        <v>85</v>
      </c>
      <c r="AB97" s="69" t="s">
        <v>85</v>
      </c>
      <c r="AC97" s="69" t="s">
        <v>85</v>
      </c>
      <c r="AD97" s="38" t="str">
        <f>+IF(ISERROR(VLOOKUP($B97,AD$10:AD96,1,0)),IF(AND($N97&gt;=1000,$A97&gt;=AO$8,$A97&lt;=AO$9),$B97,""),"")</f>
        <v/>
      </c>
      <c r="AE97" s="38" t="str">
        <f>+IF(ISERROR(VLOOKUP($B97,AE$10:AE96,1,0)),IF(AND($N97&gt;=1000,$A97&gt;=AP$8,$A97&lt;=AP$9),$B97,""),"")</f>
        <v/>
      </c>
      <c r="AF97" s="38" t="str">
        <f>+IF(ISERROR(VLOOKUP($B97,AF$10:AF96,1,0)),IF(AND($N97&gt;=1000,$A97&gt;=AQ$8,$A97&lt;=AQ$9),$B97,""),"")</f>
        <v/>
      </c>
      <c r="AG97" s="38" t="str">
        <f>+IF(ISERROR(VLOOKUP($B97,AG$10:AG96,1,0)),IF(AND($N97&gt;=1000,$A97&gt;=AR$8,$A97&lt;=AR$9),$B97,""),"")</f>
        <v/>
      </c>
      <c r="AH97" s="38"/>
      <c r="AI97" s="70">
        <v>0</v>
      </c>
      <c r="AJ97" s="38">
        <f>IF(AND(AJ$7="○",$A97&gt;=AJ$8,$A97&lt;=AJ$9),IF(SUM(AJ$10:AJ96)-ROUNDDOWN($K97*AJ$5/100,0)&lt;-AJ$6,-AJ$6-SUM(AJ$10:AJ96),-ROUNDDOWN($K97*AJ$5/100,0)),0)</f>
        <v>0</v>
      </c>
      <c r="AK97" s="38">
        <f>IF(AND(AK$7="○",$A97&gt;=AK$8,$A97&lt;=AK$9),IF(SUM(AK$10:AK96)-ROUNDDOWN($L97*AK$5/100,0)&lt;-AK$6,-AK$6-SUM(AK$10:AK96),-ROUNDDOWN($L97*AK$5/100,0)),0)</f>
        <v>0</v>
      </c>
      <c r="AL97" s="38">
        <f>IF(AND(AL$7="○",$A97&gt;=AL$8,$A97&lt;=AL$9),IF(SUM(AL$10:AL96)-ROUNDDOWN($N97*AL$5/100,0)&lt;-AL$6,-AL$6-SUM(AL$10:AL96),-ROUNDDOWN($N97*AL$5/100,0)),0)</f>
        <v>0</v>
      </c>
      <c r="AM97" s="38">
        <f>IF(AND(AM$7="○",$A97&gt;=AM$8,$A97&lt;=AM$9),IF(SUM(AM$10:AM96)-ROUNDDOWN($L97*AM$5/100,0)&lt;-AM$6,-AM$6-SUM(AM$10:AM96),-ROUNDDOWN($L97*AM$5/100,0)),0)</f>
        <v>0</v>
      </c>
      <c r="AN97" s="38">
        <f>IF(AND(AN$7="○",$A97&gt;=AN$8,$A97&lt;=AN$9),IF(SUM(AN$10:AN96)-ROUNDDOWN($M97*AN$5/100,0)&lt;-AN$6,-AN$6-SUM(AN$10:AN96),-ROUNDDOWN($M97*AN$5/100,0)),0)</f>
        <v>0</v>
      </c>
      <c r="AO97" s="38">
        <f>IF(AND($A97&gt;=AO$8,$A97&lt;=AO$9),IF(SUM(AO$10:AO96)-ROUNDDOWN($K97*AO$5/100,0)&lt;-AO$6,-AO$6-SUM(AO$10:AO96),-ROUNDDOWN($K97*AO$5/100,0)),0)</f>
        <v>0</v>
      </c>
      <c r="AP97" s="38">
        <f>IF(AND($A97&gt;=AP$8,$A97&lt;=AP$9),IF(SUM(AP$10:AP96)-ROUNDDOWN($K97*AP$5/100,0)&lt;-AP$6,-AP$6-SUM(AP$10:AP96),-ROUNDDOWN($K97*AP$5/100,0)),0)</f>
        <v>0</v>
      </c>
      <c r="AQ97" s="38">
        <f>IF(AND($A97&gt;=AQ$8,$A97&lt;=AQ$9),IF(SUM(AQ$10:AQ96)-ROUNDDOWN($K97*AQ$5/100,0)&lt;-AQ$6,-AQ$6-SUM(AQ$10:AQ96),-ROUNDDOWN($K97*AQ$5/100,0)),0)</f>
        <v>0</v>
      </c>
      <c r="AR97" s="38">
        <f>IF(AND($A97&gt;=AR$8,$A97&lt;=AR$9),IF(SUM(AR$10:AR96)-ROUNDDOWN($K97*AR$5/100,0)&lt;-AR$6,-AR$6-SUM(AR$10:AR96),-ROUNDDOWN($K97*AR$5/100,0)),0)</f>
        <v>0</v>
      </c>
      <c r="AS97" s="38">
        <f>IF(SUMIFS(AS$10:AS96,$A$10:$A96,$A97)-ROUNDDOWN($K97*$S97/100,0)&lt;-$S97*1000,-$S97*1000-SUMIFS(AS$10:AS96,$A$10:$A96,$A97),-ROUNDDOWN($K97*$S97/100,0))</f>
        <v>0</v>
      </c>
      <c r="AT97" s="38">
        <f>IF(AND(X97="○",$A97&gt;=AT$8,$A97&lt;=AT$9,K97&gt;=3980),IF(SUM(AT$10:AT96)-ROUNDDOWN($K97*AT$5/100,0)&lt;-AT$6,-AT$6-SUM(AT$10:AT96),-ROUNDDOWN($K97*AT$5/100,0)),0)</f>
        <v>0</v>
      </c>
      <c r="AU97" s="38">
        <f>IF(O97="○",IF(SUM(AU$10:AU96)-ROUNDDOWN($K97*AU$5/100,0)&lt;-AU$6,-AU$6-SUM(AU$10:AU96),-ROUNDDOWN($K97*AU$5/100,0)),0)</f>
        <v>0</v>
      </c>
      <c r="AV97" s="38">
        <f>IF(P97="○",IF(SUM(AV$10:AV96)-ROUNDDOWN($K97*AV$5/100,0)&lt;-AV$6,-AV$6-SUM(AV$10:AV96),-ROUNDDOWN($K97*AV$5/100,0)),0)</f>
        <v>0</v>
      </c>
      <c r="AW97" s="38">
        <f>IF(Q97="○",IF(SUM(AW$10:AW96)-ROUNDDOWN($K97*AW$5/100,0)&lt;-AW$6,-AW$6-SUM(AW$10:AW96),-ROUNDDOWN($K97*AW$5/100,0)),0)</f>
        <v>0</v>
      </c>
      <c r="AX97" s="38">
        <f>IF(R97="○",IF(SUM(AX$10:AX96)-ROUNDDOWN($K97*AX$5/100,0)&lt;-AX$6,-AX$6-SUM(AX$10:AX96),-ROUNDDOWN($K97*AX$5/100,0)),0)</f>
        <v>0</v>
      </c>
      <c r="AY97" s="70">
        <v>0</v>
      </c>
      <c r="AZ97" s="65">
        <f t="shared" si="88"/>
        <v>0</v>
      </c>
      <c r="BA97" s="65">
        <f t="shared" si="89"/>
        <v>0</v>
      </c>
      <c r="BB97" s="70"/>
      <c r="BC97" s="65">
        <f t="shared" si="90"/>
        <v>0</v>
      </c>
      <c r="BD97" s="70">
        <v>0</v>
      </c>
      <c r="BE97" s="65">
        <f t="shared" si="91"/>
        <v>0</v>
      </c>
      <c r="BF97" s="70">
        <v>0</v>
      </c>
      <c r="BG97" s="65">
        <f t="shared" si="92"/>
        <v>0</v>
      </c>
      <c r="BH97" s="70">
        <v>0</v>
      </c>
      <c r="BI97" s="65">
        <f t="shared" si="93"/>
        <v>0</v>
      </c>
      <c r="BJ97" s="38">
        <f>IF(AND(BJ$7="○",$A97&gt;=BJ$8,$A97&lt;=BJ$9),IF(SUM(BJ$10:BJ96)-ROUNDDOWN($M97*BJ$5/100,0)&lt;-BJ$6,-BJ$6-SUM(BJ$10:BJ96),-ROUNDDOWN($M97*BJ$5/100,0)),0)</f>
        <v>0</v>
      </c>
      <c r="BK97" s="38">
        <f>IF(AND(BK$7="○",$A97&gt;=BK$8,$A97&lt;=BK$9),IF(SUM(BK$10:BK96)-ROUNDDOWN($L97*BK$5/100,0)&lt;-BK$6,-BK$6-SUM(BK$10:BK96),-ROUNDDOWN($L97*BK$5/100,0)),0)</f>
        <v>0</v>
      </c>
      <c r="BL97" s="38">
        <f>IF(AND(BL$7="○",$A97&gt;=BL$8,$A97&lt;=BL$9),IF(SUM(BL$10:BL96)-ROUNDDOWN($L97*BL$5/100,0)&lt;-BL$6,-BL$6-SUM(BL$10:BL96),-ROUNDDOWN($L97*BL$5/100,0)),0)</f>
        <v>0</v>
      </c>
      <c r="BM97" s="38">
        <f>IF(AND(BM$7="○",$A97&gt;=BM$8,$A97&lt;=BM$9),IF(SUM(BM$10:BM96)-ROUNDDOWN($M97*BM$5/100,0)&lt;-BM$6,-BM$6-SUM(BM$10:BM96),-ROUNDDOWN($M97*BM$5/100,0)),0)</f>
        <v>0</v>
      </c>
      <c r="BN97" s="38">
        <f>IF(AND(BN$7="○",$A97&gt;=BN$8,$A97&lt;=BN$9),IF(SUM(BN$10:BN96)-ROUNDDOWN($M97*BN$5/100,0)&lt;-BN$6,-BN$6-SUM(BN$10:BN96),-ROUNDDOWN($M97*BN$5/100,0)),0)</f>
        <v>0</v>
      </c>
      <c r="BO97" s="38">
        <f>IF(AND(BO$7="○",$A97&gt;=BO$8,$A97&lt;=BO$9),IF(SUM(BO$10:BO96)-ROUNDDOWN($M97*BO$5/100,0)&lt;-BO$6,-BO$6-SUM(BO$10:BO96),-ROUNDDOWN($M97*BO$5/100,0)),0)</f>
        <v>0</v>
      </c>
      <c r="BP97" s="38">
        <f>IF(AND(BP$7="○",$A97&gt;=BP$8,$A97&lt;=BP$9),IF(SUM(BP$10:BP96)-ROUNDDOWN($M97*BP$5/100,0)&lt;-BP$6,-BP$6-SUM(BP$10:BP96),-ROUNDDOWN($M97*BP$5/100,0)),0)</f>
        <v>0</v>
      </c>
      <c r="BQ97" s="38">
        <f>IF(AND(BQ$7="○",$A97&gt;=BQ$8,$A97&lt;=BQ$9),IF(SUM(BQ$10:BQ96)-ROUNDDOWN($L97*BQ$5/100,0)&lt;-BQ$6,-BQ$6-SUM(BQ$10:BQ96),-ROUNDDOWN($L97*BQ$5/100,0)),0)</f>
        <v>0</v>
      </c>
      <c r="BR97" s="38">
        <f>IF(AND(BR$7="○",$A97&gt;=BR$8,$A97&lt;=BR$9),IF(SUM(BR$10:BR96)-ROUNDDOWN($M97*BR$5/100,0)&lt;-BR$6,-BR$6-SUM(BR$10:BR96),-ROUNDDOWN($M97*BR$5/100,0)),0)</f>
        <v>0</v>
      </c>
      <c r="BS97" s="38">
        <f>IF(AND(BS$7="○",$A97&gt;=BS$8,$A97&lt;=BS$9),IF(SUM(BS$10:BS96)-ROUNDDOWN($M97*BS$5/100,0)&lt;-BS$6,-BS$6-SUM(BS$10:BS96),-ROUNDDOWN($M97*BS$5/100,0)),0)</f>
        <v>0</v>
      </c>
      <c r="BT97" s="38">
        <f>IF(AND(BT$7="○",$A97&gt;=BT$8,$A97&lt;=BT$9),IF(SUM(BT$10:BT96)-ROUNDDOWN($M97*BT$5/100,0)&lt;-BT$6,-BT$6-SUM(BT$10:BT96),-ROUNDDOWN($M97*BT$5/100,0)),0)</f>
        <v>0</v>
      </c>
      <c r="BU97" s="38">
        <f>IF(AND(BU$7="○",$A97&gt;=BU$8,$A97&lt;=BU$9),IF(SUM(BU$10:BU96)-ROUNDDOWN($M97*BU$5/100,0)&lt;-BU$6,-BU$6-SUM(BU$10:BU96),-ROUNDDOWN($M97*BU$5/100,0)),0)</f>
        <v>0</v>
      </c>
      <c r="BV97" s="38">
        <f>IF(AND(BV$7="○",$A97&gt;=BV$8,$A97&lt;=BV$9),IF(SUM(BV$10:BV96)-ROUNDDOWN($M97*BV$5/100,0)&lt;-BV$6,-BV$6-SUM(BV$10:BV96),-ROUNDDOWN($M97*BV$5/100,0)),0)</f>
        <v>0</v>
      </c>
      <c r="BW97" s="38">
        <f>IF(AND(BW$7="○",$A97&gt;=BW$8,$A97&lt;=BW$9),IF(SUM(BW$10:BW96)-ROUNDDOWN($M97*BW$5/100,0)&lt;-BW$6,-BW$6-SUM(BW$10:BW96),-ROUNDDOWN($M97*BW$5/100,0)),0)</f>
        <v>0</v>
      </c>
      <c r="BX97" s="38">
        <f>IF(AND(T97="○",$A97&gt;=BX$8,$A97&lt;=BX$9),IF(SUM(BX$10:BX96)-ROUNDDOWN($K97*BX$5/100,0)&lt;-BX$6,-BX$6-SUM(BX$10:BX96),-ROUNDDOWN($K97*BX$5/100,0)),0)</f>
        <v>0</v>
      </c>
      <c r="BY97" s="38">
        <f>IF(AND(U97="○",$A97&gt;=BY$8,$A97&lt;=BY$9),IF(SUM(BY$10:BY96)-ROUNDDOWN($K97*BY$5/100,0)&lt;-BY$6,-BY$6-SUM(BY$10:BY96),-ROUNDDOWN($K97*BY$5/100,0)),0)</f>
        <v>0</v>
      </c>
      <c r="BZ97" s="38">
        <f>IF(AND(V97="○",$A97&gt;=BZ$8,$A97&lt;=BZ$9),IF(SUM(BZ$10:BZ96)-ROUNDDOWN($K97*BZ$5/100,0)&lt;-BZ$6,-BZ$6-SUM(BZ$10:BZ96),-ROUNDDOWN($K97*BZ$5/100,0)),0)</f>
        <v>0</v>
      </c>
      <c r="CA97" s="38">
        <f>IF(AND(W97="○",$A97&gt;=CA$8,$A97&lt;=CA$9),IF(SUM(CA$10:CA96)-ROUNDDOWN($K97*CA$5/100,0)&lt;-CA$6,-CA$6-SUM(CA$10:CA96),-ROUNDDOWN($K97*CA$5/100,0)),0)</f>
        <v>0</v>
      </c>
      <c r="CB97" s="38"/>
      <c r="CC97" s="38"/>
      <c r="CD97" s="38"/>
      <c r="CE97" s="38"/>
      <c r="CF97" s="38"/>
      <c r="CG97" s="65">
        <f t="shared" si="94"/>
        <v>0</v>
      </c>
      <c r="CH97" s="71">
        <f t="shared" si="95"/>
        <v>0</v>
      </c>
      <c r="CI97" s="1">
        <f t="shared" si="83"/>
        <v>0</v>
      </c>
      <c r="CJ97" s="1"/>
      <c r="CK97" s="72"/>
      <c r="CL97" s="72"/>
      <c r="CM97" s="2"/>
      <c r="CN97" s="2"/>
      <c r="CO97" s="73">
        <f t="shared" si="84"/>
        <v>0</v>
      </c>
      <c r="CP97" s="5">
        <f t="shared" si="85"/>
        <v>0</v>
      </c>
      <c r="CQ97" s="1"/>
      <c r="CR97" s="1">
        <f t="shared" si="86"/>
        <v>0</v>
      </c>
      <c r="CS97" s="1"/>
      <c r="CT97" s="1" t="e">
        <f>INDEX([2]マスタ!$A:$A,MATCH(D97,[2]マスタ!$C:$C,0))</f>
        <v>#N/A</v>
      </c>
      <c r="CU97" s="1" t="str">
        <f t="shared" ca="1" si="87"/>
        <v>20260620_0-0</v>
      </c>
    </row>
    <row r="98" spans="1:99" x14ac:dyDescent="0.4">
      <c r="A98" s="61"/>
      <c r="B98" s="62"/>
      <c r="C98" s="62"/>
      <c r="D98" s="63"/>
      <c r="E98" s="63"/>
      <c r="F98" s="62"/>
      <c r="G98" s="62">
        <v>1</v>
      </c>
      <c r="H98" s="64">
        <f t="shared" si="74"/>
        <v>0</v>
      </c>
      <c r="I98" s="64"/>
      <c r="J98" s="64"/>
      <c r="K98" s="65">
        <f t="shared" si="98"/>
        <v>0</v>
      </c>
      <c r="L98" s="65">
        <f t="shared" si="76"/>
        <v>0</v>
      </c>
      <c r="M98" s="65">
        <f t="shared" si="77"/>
        <v>0</v>
      </c>
      <c r="N98" s="65">
        <f t="shared" si="78"/>
        <v>0</v>
      </c>
      <c r="O98" s="66" t="str">
        <f t="shared" si="79"/>
        <v>✕</v>
      </c>
      <c r="P98" s="67" t="str">
        <f t="shared" si="80"/>
        <v>○</v>
      </c>
      <c r="Q98" s="67" t="str">
        <f t="shared" si="99"/>
        <v>✕</v>
      </c>
      <c r="R98" s="67" t="str">
        <f t="shared" si="82"/>
        <v>✕</v>
      </c>
      <c r="S98" s="68">
        <v>0</v>
      </c>
      <c r="T98" s="69" t="s">
        <v>85</v>
      </c>
      <c r="U98" s="69" t="s">
        <v>85</v>
      </c>
      <c r="V98" s="69" t="s">
        <v>85</v>
      </c>
      <c r="W98" s="69" t="s">
        <v>85</v>
      </c>
      <c r="X98" s="69" t="s">
        <v>84</v>
      </c>
      <c r="Y98" s="69" t="s">
        <v>85</v>
      </c>
      <c r="Z98" s="69" t="s">
        <v>85</v>
      </c>
      <c r="AA98" s="69" t="s">
        <v>85</v>
      </c>
      <c r="AB98" s="69" t="s">
        <v>85</v>
      </c>
      <c r="AC98" s="69" t="s">
        <v>85</v>
      </c>
      <c r="AD98" s="38" t="str">
        <f>+IF(ISERROR(VLOOKUP($B98,AD$10:AD97,1,0)),IF(AND($N98&gt;=1000,$A98&gt;=AO$8,$A98&lt;=AO$9),$B98,""),"")</f>
        <v/>
      </c>
      <c r="AE98" s="38" t="str">
        <f>+IF(ISERROR(VLOOKUP($B98,AE$10:AE97,1,0)),IF(AND($N98&gt;=1000,$A98&gt;=AP$8,$A98&lt;=AP$9),$B98,""),"")</f>
        <v/>
      </c>
      <c r="AF98" s="38" t="str">
        <f>+IF(ISERROR(VLOOKUP($B98,AF$10:AF97,1,0)),IF(AND($N98&gt;=1000,$A98&gt;=AQ$8,$A98&lt;=AQ$9),$B98,""),"")</f>
        <v/>
      </c>
      <c r="AG98" s="38" t="str">
        <f>+IF(ISERROR(VLOOKUP($B98,AG$10:AG97,1,0)),IF(AND($N98&gt;=1000,$A98&gt;=AR$8,$A98&lt;=AR$9),$B98,""),"")</f>
        <v/>
      </c>
      <c r="AH98" s="38"/>
      <c r="AI98" s="70">
        <v>0</v>
      </c>
      <c r="AJ98" s="38">
        <f>IF(AND(AJ$7="○",$A98&gt;=AJ$8,$A98&lt;=AJ$9),IF(SUM(AJ$10:AJ97)-ROUNDDOWN($K98*AJ$5/100,0)&lt;-AJ$6,-AJ$6-SUM(AJ$10:AJ97),-ROUNDDOWN($K98*AJ$5/100,0)),0)</f>
        <v>0</v>
      </c>
      <c r="AK98" s="38">
        <f>IF(AND(AK$7="○",$A98&gt;=AK$8,$A98&lt;=AK$9),IF(SUM(AK$10:AK97)-ROUNDDOWN($L98*AK$5/100,0)&lt;-AK$6,-AK$6-SUM(AK$10:AK97),-ROUNDDOWN($L98*AK$5/100,0)),0)</f>
        <v>0</v>
      </c>
      <c r="AL98" s="38">
        <f>IF(AND(AL$7="○",$A98&gt;=AL$8,$A98&lt;=AL$9),IF(SUM(AL$10:AL97)-ROUNDDOWN($N98*AL$5/100,0)&lt;-AL$6,-AL$6-SUM(AL$10:AL97),-ROUNDDOWN($N98*AL$5/100,0)),0)</f>
        <v>0</v>
      </c>
      <c r="AM98" s="38">
        <f>IF(AND(AM$7="○",$A98&gt;=AM$8,$A98&lt;=AM$9),IF(SUM(AM$10:AM97)-ROUNDDOWN($L98*AM$5/100,0)&lt;-AM$6,-AM$6-SUM(AM$10:AM97),-ROUNDDOWN($L98*AM$5/100,0)),0)</f>
        <v>0</v>
      </c>
      <c r="AN98" s="38">
        <f>IF(AND(AN$7="○",$A98&gt;=AN$8,$A98&lt;=AN$9),IF(SUM(AN$10:AN97)-ROUNDDOWN($M98*AN$5/100,0)&lt;-AN$6,-AN$6-SUM(AN$10:AN97),-ROUNDDOWN($M98*AN$5/100,0)),0)</f>
        <v>0</v>
      </c>
      <c r="AO98" s="38">
        <f>IF(AND($A98&gt;=AO$8,$A98&lt;=AO$9),IF(SUM(AO$10:AO97)-ROUNDDOWN($K98*AO$5/100,0)&lt;-AO$6,-AO$6-SUM(AO$10:AO97),-ROUNDDOWN($K98*AO$5/100,0)),0)</f>
        <v>0</v>
      </c>
      <c r="AP98" s="38">
        <f>IF(AND($A98&gt;=AP$8,$A98&lt;=AP$9),IF(SUM(AP$10:AP97)-ROUNDDOWN($K98*AP$5/100,0)&lt;-AP$6,-AP$6-SUM(AP$10:AP97),-ROUNDDOWN($K98*AP$5/100,0)),0)</f>
        <v>0</v>
      </c>
      <c r="AQ98" s="38">
        <f>IF(AND($A98&gt;=AQ$8,$A98&lt;=AQ$9),IF(SUM(AQ$10:AQ97)-ROUNDDOWN($K98*AQ$5/100,0)&lt;-AQ$6,-AQ$6-SUM(AQ$10:AQ97),-ROUNDDOWN($K98*AQ$5/100,0)),0)</f>
        <v>0</v>
      </c>
      <c r="AR98" s="38">
        <f>IF(AND($A98&gt;=AR$8,$A98&lt;=AR$9),IF(SUM(AR$10:AR97)-ROUNDDOWN($K98*AR$5/100,0)&lt;-AR$6,-AR$6-SUM(AR$10:AR97),-ROUNDDOWN($K98*AR$5/100,0)),0)</f>
        <v>0</v>
      </c>
      <c r="AS98" s="38">
        <f>IF(SUMIFS(AS$10:AS97,$A$10:$A97,$A98)-ROUNDDOWN($K98*$S98/100,0)&lt;-$S98*1000,-$S98*1000-SUMIFS(AS$10:AS97,$A$10:$A97,$A98),-ROUNDDOWN($K98*$S98/100,0))</f>
        <v>0</v>
      </c>
      <c r="AT98" s="38">
        <f>IF(AND(X98="○",$A98&gt;=AT$8,$A98&lt;=AT$9,K98&gt;=3980),IF(SUM(AT$10:AT97)-ROUNDDOWN($K98*AT$5/100,0)&lt;-AT$6,-AT$6-SUM(AT$10:AT97),-ROUNDDOWN($K98*AT$5/100,0)),0)</f>
        <v>0</v>
      </c>
      <c r="AU98" s="38">
        <f>IF(O98="○",IF(SUM(AU$10:AU97)-ROUNDDOWN($K98*AU$5/100,0)&lt;-AU$6,-AU$6-SUM(AU$10:AU97),-ROUNDDOWN($K98*AU$5/100,0)),0)</f>
        <v>0</v>
      </c>
      <c r="AV98" s="38">
        <f>IF(P98="○",IF(SUM(AV$10:AV97)-ROUNDDOWN($K98*AV$5/100,0)&lt;-AV$6,-AV$6-SUM(AV$10:AV97),-ROUNDDOWN($K98*AV$5/100,0)),0)</f>
        <v>0</v>
      </c>
      <c r="AW98" s="38">
        <f>IF(Q98="○",IF(SUM(AW$10:AW97)-ROUNDDOWN($K98*AW$5/100,0)&lt;-AW$6,-AW$6-SUM(AW$10:AW97),-ROUNDDOWN($K98*AW$5/100,0)),0)</f>
        <v>0</v>
      </c>
      <c r="AX98" s="38">
        <f>IF(R98="○",IF(SUM(AX$10:AX97)-ROUNDDOWN($K98*AX$5/100,0)&lt;-AX$6,-AX$6-SUM(AX$10:AX97),-ROUNDDOWN($K98*AX$5/100,0)),0)</f>
        <v>0</v>
      </c>
      <c r="AY98" s="70">
        <v>0</v>
      </c>
      <c r="AZ98" s="65">
        <f t="shared" si="88"/>
        <v>0</v>
      </c>
      <c r="BA98" s="65">
        <f t="shared" si="89"/>
        <v>0</v>
      </c>
      <c r="BB98" s="70"/>
      <c r="BC98" s="65">
        <f t="shared" si="90"/>
        <v>0</v>
      </c>
      <c r="BD98" s="70">
        <v>0</v>
      </c>
      <c r="BE98" s="65">
        <f t="shared" si="91"/>
        <v>0</v>
      </c>
      <c r="BF98" s="70">
        <v>0</v>
      </c>
      <c r="BG98" s="65">
        <f t="shared" si="92"/>
        <v>0</v>
      </c>
      <c r="BH98" s="70">
        <v>0</v>
      </c>
      <c r="BI98" s="65">
        <f t="shared" si="93"/>
        <v>0</v>
      </c>
      <c r="BJ98" s="38">
        <f>IF(AND(BJ$7="○",$A98&gt;=BJ$8,$A98&lt;=BJ$9),IF(SUM(BJ$10:BJ97)-ROUNDDOWN($M98*BJ$5/100,0)&lt;-BJ$6,-BJ$6-SUM(BJ$10:BJ97),-ROUNDDOWN($M98*BJ$5/100,0)),0)</f>
        <v>0</v>
      </c>
      <c r="BK98" s="38">
        <f>IF(AND(BK$7="○",$A98&gt;=BK$8,$A98&lt;=BK$9),IF(SUM(BK$10:BK97)-ROUNDDOWN($L98*BK$5/100,0)&lt;-BK$6,-BK$6-SUM(BK$10:BK97),-ROUNDDOWN($L98*BK$5/100,0)),0)</f>
        <v>0</v>
      </c>
      <c r="BL98" s="38">
        <f>IF(AND(BL$7="○",$A98&gt;=BL$8,$A98&lt;=BL$9),IF(SUM(BL$10:BL97)-ROUNDDOWN($L98*BL$5/100,0)&lt;-BL$6,-BL$6-SUM(BL$10:BL97),-ROUNDDOWN($L98*BL$5/100,0)),0)</f>
        <v>0</v>
      </c>
      <c r="BM98" s="38">
        <f>IF(AND(BM$7="○",$A98&gt;=BM$8,$A98&lt;=BM$9),IF(SUM(BM$10:BM97)-ROUNDDOWN($M98*BM$5/100,0)&lt;-BM$6,-BM$6-SUM(BM$10:BM97),-ROUNDDOWN($M98*BM$5/100,0)),0)</f>
        <v>0</v>
      </c>
      <c r="BN98" s="38">
        <f>IF(AND(BN$7="○",$A98&gt;=BN$8,$A98&lt;=BN$9),IF(SUM(BN$10:BN97)-ROUNDDOWN($M98*BN$5/100,0)&lt;-BN$6,-BN$6-SUM(BN$10:BN97),-ROUNDDOWN($M98*BN$5/100,0)),0)</f>
        <v>0</v>
      </c>
      <c r="BO98" s="38">
        <f>IF(AND(BO$7="○",$A98&gt;=BO$8,$A98&lt;=BO$9),IF(SUM(BO$10:BO97)-ROUNDDOWN($M98*BO$5/100,0)&lt;-BO$6,-BO$6-SUM(BO$10:BO97),-ROUNDDOWN($M98*BO$5/100,0)),0)</f>
        <v>0</v>
      </c>
      <c r="BP98" s="38">
        <f>IF(AND(BP$7="○",$A98&gt;=BP$8,$A98&lt;=BP$9),IF(SUM(BP$10:BP97)-ROUNDDOWN($M98*BP$5/100,0)&lt;-BP$6,-BP$6-SUM(BP$10:BP97),-ROUNDDOWN($M98*BP$5/100,0)),0)</f>
        <v>0</v>
      </c>
      <c r="BQ98" s="38">
        <f>IF(AND(BQ$7="○",$A98&gt;=BQ$8,$A98&lt;=BQ$9),IF(SUM(BQ$10:BQ97)-ROUNDDOWN($L98*BQ$5/100,0)&lt;-BQ$6,-BQ$6-SUM(BQ$10:BQ97),-ROUNDDOWN($L98*BQ$5/100,0)),0)</f>
        <v>0</v>
      </c>
      <c r="BR98" s="38">
        <f>IF(AND(BR$7="○",$A98&gt;=BR$8,$A98&lt;=BR$9),IF(SUM(BR$10:BR97)-ROUNDDOWN($M98*BR$5/100,0)&lt;-BR$6,-BR$6-SUM(BR$10:BR97),-ROUNDDOWN($M98*BR$5/100,0)),0)</f>
        <v>0</v>
      </c>
      <c r="BS98" s="38">
        <f>IF(AND(BS$7="○",$A98&gt;=BS$8,$A98&lt;=BS$9),IF(SUM(BS$10:BS97)-ROUNDDOWN($M98*BS$5/100,0)&lt;-BS$6,-BS$6-SUM(BS$10:BS97),-ROUNDDOWN($M98*BS$5/100,0)),0)</f>
        <v>0</v>
      </c>
      <c r="BT98" s="38">
        <f>IF(AND(BT$7="○",$A98&gt;=BT$8,$A98&lt;=BT$9),IF(SUM(BT$10:BT97)-ROUNDDOWN($M98*BT$5/100,0)&lt;-BT$6,-BT$6-SUM(BT$10:BT97),-ROUNDDOWN($M98*BT$5/100,0)),0)</f>
        <v>0</v>
      </c>
      <c r="BU98" s="38">
        <f>IF(AND(BU$7="○",$A98&gt;=BU$8,$A98&lt;=BU$9),IF(SUM(BU$10:BU97)-ROUNDDOWN($M98*BU$5/100,0)&lt;-BU$6,-BU$6-SUM(BU$10:BU97),-ROUNDDOWN($M98*BU$5/100,0)),0)</f>
        <v>0</v>
      </c>
      <c r="BV98" s="38">
        <f>IF(AND(BV$7="○",$A98&gt;=BV$8,$A98&lt;=BV$9),IF(SUM(BV$10:BV97)-ROUNDDOWN($M98*BV$5/100,0)&lt;-BV$6,-BV$6-SUM(BV$10:BV97),-ROUNDDOWN($M98*BV$5/100,0)),0)</f>
        <v>0</v>
      </c>
      <c r="BW98" s="38">
        <f>IF(AND(BW$7="○",$A98&gt;=BW$8,$A98&lt;=BW$9),IF(SUM(BW$10:BW97)-ROUNDDOWN($M98*BW$5/100,0)&lt;-BW$6,-BW$6-SUM(BW$10:BW97),-ROUNDDOWN($M98*BW$5/100,0)),0)</f>
        <v>0</v>
      </c>
      <c r="BX98" s="38">
        <f>IF(AND(T98="○",$A98&gt;=BX$8,$A98&lt;=BX$9),IF(SUM(BX$10:BX97)-ROUNDDOWN($K98*BX$5/100,0)&lt;-BX$6,-BX$6-SUM(BX$10:BX97),-ROUNDDOWN($K98*BX$5/100,0)),0)</f>
        <v>0</v>
      </c>
      <c r="BY98" s="38">
        <f>IF(AND(U98="○",$A98&gt;=BY$8,$A98&lt;=BY$9),IF(SUM(BY$10:BY97)-ROUNDDOWN($K98*BY$5/100,0)&lt;-BY$6,-BY$6-SUM(BY$10:BY97),-ROUNDDOWN($K98*BY$5/100,0)),0)</f>
        <v>0</v>
      </c>
      <c r="BZ98" s="38">
        <f>IF(AND(V98="○",$A98&gt;=BZ$8,$A98&lt;=BZ$9),IF(SUM(BZ$10:BZ97)-ROUNDDOWN($K98*BZ$5/100,0)&lt;-BZ$6,-BZ$6-SUM(BZ$10:BZ97),-ROUNDDOWN($K98*BZ$5/100,0)),0)</f>
        <v>0</v>
      </c>
      <c r="CA98" s="38">
        <f>IF(AND(W98="○",$A98&gt;=CA$8,$A98&lt;=CA$9),IF(SUM(CA$10:CA97)-ROUNDDOWN($K98*CA$5/100,0)&lt;-CA$6,-CA$6-SUM(CA$10:CA97),-ROUNDDOWN($K98*CA$5/100,0)),0)</f>
        <v>0</v>
      </c>
      <c r="CB98" s="38"/>
      <c r="CC98" s="38"/>
      <c r="CD98" s="38"/>
      <c r="CE98" s="38"/>
      <c r="CF98" s="38"/>
      <c r="CG98" s="65">
        <f t="shared" si="94"/>
        <v>0</v>
      </c>
      <c r="CH98" s="71">
        <f t="shared" si="95"/>
        <v>0</v>
      </c>
      <c r="CI98" s="1">
        <f t="shared" si="83"/>
        <v>0</v>
      </c>
      <c r="CJ98" s="1"/>
      <c r="CK98" s="2"/>
      <c r="CL98" s="2"/>
      <c r="CM98" s="2"/>
      <c r="CN98" s="2"/>
      <c r="CO98" s="73">
        <f t="shared" si="84"/>
        <v>0</v>
      </c>
      <c r="CP98" s="5">
        <f t="shared" si="85"/>
        <v>0</v>
      </c>
      <c r="CQ98" s="1"/>
      <c r="CR98" s="1">
        <f t="shared" si="86"/>
        <v>0</v>
      </c>
      <c r="CS98" s="1"/>
      <c r="CT98" s="1" t="e">
        <f>INDEX([2]マスタ!$A:$A,MATCH(D98,[2]マスタ!$C:$C,0))</f>
        <v>#N/A</v>
      </c>
      <c r="CU98" s="1" t="str">
        <f t="shared" ca="1" si="87"/>
        <v>20260620_0-0</v>
      </c>
    </row>
    <row r="99" spans="1:99" x14ac:dyDescent="0.4">
      <c r="A99" s="61"/>
      <c r="B99" s="62"/>
      <c r="C99" s="62"/>
      <c r="D99" s="62"/>
      <c r="E99" s="63"/>
      <c r="F99" s="62"/>
      <c r="G99" s="62">
        <v>1</v>
      </c>
      <c r="H99" s="64">
        <f t="shared" si="74"/>
        <v>0</v>
      </c>
      <c r="I99" s="64"/>
      <c r="J99" s="78"/>
      <c r="K99" s="65">
        <f t="shared" si="98"/>
        <v>0</v>
      </c>
      <c r="L99" s="65">
        <f t="shared" si="76"/>
        <v>0</v>
      </c>
      <c r="M99" s="65">
        <f t="shared" si="77"/>
        <v>0</v>
      </c>
      <c r="N99" s="65">
        <f t="shared" si="78"/>
        <v>0</v>
      </c>
      <c r="O99" s="66" t="str">
        <f t="shared" si="79"/>
        <v>✕</v>
      </c>
      <c r="P99" s="67" t="str">
        <f t="shared" si="80"/>
        <v>○</v>
      </c>
      <c r="Q99" s="67" t="str">
        <f t="shared" si="99"/>
        <v>✕</v>
      </c>
      <c r="R99" s="67" t="str">
        <f t="shared" si="82"/>
        <v>✕</v>
      </c>
      <c r="S99" s="68">
        <v>0</v>
      </c>
      <c r="T99" s="69" t="s">
        <v>85</v>
      </c>
      <c r="U99" s="69" t="s">
        <v>85</v>
      </c>
      <c r="V99" s="69" t="s">
        <v>85</v>
      </c>
      <c r="W99" s="69" t="s">
        <v>85</v>
      </c>
      <c r="X99" s="69" t="s">
        <v>84</v>
      </c>
      <c r="Y99" s="69" t="s">
        <v>85</v>
      </c>
      <c r="Z99" s="69" t="s">
        <v>85</v>
      </c>
      <c r="AA99" s="69" t="s">
        <v>85</v>
      </c>
      <c r="AB99" s="69" t="s">
        <v>85</v>
      </c>
      <c r="AC99" s="69" t="s">
        <v>85</v>
      </c>
      <c r="AD99" s="38" t="str">
        <f>+IF(ISERROR(VLOOKUP($B99,AD$10:AD98,1,0)),IF(AND($N99&gt;=1000,$A99&gt;=AO$8,$A99&lt;=AO$9),$B99,""),"")</f>
        <v/>
      </c>
      <c r="AE99" s="38" t="str">
        <f>+IF(ISERROR(VLOOKUP($B99,AE$10:AE98,1,0)),IF(AND($N99&gt;=1000,$A99&gt;=AP$8,$A99&lt;=AP$9),$B99,""),"")</f>
        <v/>
      </c>
      <c r="AF99" s="38" t="str">
        <f>+IF(ISERROR(VLOOKUP($B99,AF$10:AF98,1,0)),IF(AND($N99&gt;=1000,$A99&gt;=AQ$8,$A99&lt;=AQ$9),$B99,""),"")</f>
        <v/>
      </c>
      <c r="AG99" s="38" t="str">
        <f>+IF(ISERROR(VLOOKUP($B99,AG$10:AG98,1,0)),IF(AND($N99&gt;=1000,$A99&gt;=AR$8,$A99&lt;=AR$9),$B99,""),"")</f>
        <v/>
      </c>
      <c r="AH99" s="38"/>
      <c r="AI99" s="70">
        <v>0</v>
      </c>
      <c r="AJ99" s="38">
        <f>IF(AND(AJ$7="○",$A99&gt;=AJ$8,$A99&lt;=AJ$9),IF(SUM(AJ$10:AJ98)-ROUNDDOWN($K99*AJ$5/100,0)&lt;-AJ$6,-AJ$6-SUM(AJ$10:AJ98),-ROUNDDOWN($K99*AJ$5/100,0)),0)</f>
        <v>0</v>
      </c>
      <c r="AK99" s="38">
        <f>IF(AND(AK$7="○",$A99&gt;=AK$8,$A99&lt;=AK$9),IF(SUM(AK$10:AK98)-ROUNDDOWN($L99*AK$5/100,0)&lt;-AK$6,-AK$6-SUM(AK$10:AK98),-ROUNDDOWN($L99*AK$5/100,0)),0)</f>
        <v>0</v>
      </c>
      <c r="AL99" s="38">
        <f>IF(AND(AL$7="○",$A99&gt;=AL$8,$A99&lt;=AL$9),IF(SUM(AL$10:AL98)-ROUNDDOWN($N99*AL$5/100,0)&lt;-AL$6,-AL$6-SUM(AL$10:AL98),-ROUNDDOWN($N99*AL$5/100,0)),0)</f>
        <v>0</v>
      </c>
      <c r="AM99" s="38">
        <f>IF(AND(AM$7="○",$A99&gt;=AM$8,$A99&lt;=AM$9),IF(SUM(AM$10:AM98)-ROUNDDOWN($L99*AM$5/100,0)&lt;-AM$6,-AM$6-SUM(AM$10:AM98),-ROUNDDOWN($L99*AM$5/100,0)),0)</f>
        <v>0</v>
      </c>
      <c r="AN99" s="38">
        <f>IF(AND(AN$7="○",$A99&gt;=AN$8,$A99&lt;=AN$9),IF(SUM(AN$10:AN98)-ROUNDDOWN($M99*AN$5/100,0)&lt;-AN$6,-AN$6-SUM(AN$10:AN98),-ROUNDDOWN($M99*AN$5/100,0)),0)</f>
        <v>0</v>
      </c>
      <c r="AO99" s="38">
        <f>IF(AND($A99&gt;=AO$8,$A99&lt;=AO$9),IF(SUM(AO$10:AO98)-ROUNDDOWN($K99*AO$5/100,0)&lt;-AO$6,-AO$6-SUM(AO$10:AO98),-ROUNDDOWN($K99*AO$5/100,0)),0)</f>
        <v>0</v>
      </c>
      <c r="AP99" s="38">
        <f>IF(AND($A99&gt;=AP$8,$A99&lt;=AP$9),IF(SUM(AP$10:AP98)-ROUNDDOWN($K99*AP$5/100,0)&lt;-AP$6,-AP$6-SUM(AP$10:AP98),-ROUNDDOWN($K99*AP$5/100,0)),0)</f>
        <v>0</v>
      </c>
      <c r="AQ99" s="38">
        <f>IF(AND($A99&gt;=AQ$8,$A99&lt;=AQ$9),IF(SUM(AQ$10:AQ98)-ROUNDDOWN($K99*AQ$5/100,0)&lt;-AQ$6,-AQ$6-SUM(AQ$10:AQ98),-ROUNDDOWN($K99*AQ$5/100,0)),0)</f>
        <v>0</v>
      </c>
      <c r="AR99" s="38">
        <f>IF(AND($A99&gt;=AR$8,$A99&lt;=AR$9),IF(SUM(AR$10:AR98)-ROUNDDOWN($K99*AR$5/100,0)&lt;-AR$6,-AR$6-SUM(AR$10:AR98),-ROUNDDOWN($K99*AR$5/100,0)),0)</f>
        <v>0</v>
      </c>
      <c r="AS99" s="38">
        <f>IF(SUMIFS(AS$10:AS98,$A$10:$A98,$A99)-ROUNDDOWN($K99*$S99/100,0)&lt;-$S99*1000,-$S99*1000-SUMIFS(AS$10:AS98,$A$10:$A98,$A99),-ROUNDDOWN($K99*$S99/100,0))</f>
        <v>0</v>
      </c>
      <c r="AT99" s="38">
        <f>IF(AND(X99="○",$A99&gt;=AT$8,$A99&lt;=AT$9,K99&gt;=3980),IF(SUM(AT$10:AT98)-ROUNDDOWN($K99*AT$5/100,0)&lt;-AT$6,-AT$6-SUM(AT$10:AT98),-ROUNDDOWN($K99*AT$5/100,0)),0)</f>
        <v>0</v>
      </c>
      <c r="AU99" s="38">
        <f>IF(O99="○",IF(SUM(AU$10:AU98)-ROUNDDOWN($K99*AU$5/100,0)&lt;-AU$6,-AU$6-SUM(AU$10:AU98),-ROUNDDOWN($K99*AU$5/100,0)),0)</f>
        <v>0</v>
      </c>
      <c r="AV99" s="38">
        <f>IF(P99="○",IF(SUM(AV$10:AV98)-ROUNDDOWN($K99*AV$5/100,0)&lt;-AV$6,-AV$6-SUM(AV$10:AV98),-ROUNDDOWN($K99*AV$5/100,0)),0)</f>
        <v>0</v>
      </c>
      <c r="AW99" s="38">
        <f>IF(Q99="○",IF(SUM(AW$10:AW98)-ROUNDDOWN($K99*AW$5/100,0)&lt;-AW$6,-AW$6-SUM(AW$10:AW98),-ROUNDDOWN($K99*AW$5/100,0)),0)</f>
        <v>0</v>
      </c>
      <c r="AX99" s="38">
        <f>IF(R99="○",IF(SUM(AX$10:AX98)-ROUNDDOWN($K99*AX$5/100,0)&lt;-AX$6,-AX$6-SUM(AX$10:AX98),-ROUNDDOWN($K99*AX$5/100,0)),0)</f>
        <v>0</v>
      </c>
      <c r="AY99" s="70">
        <v>0</v>
      </c>
      <c r="AZ99" s="65">
        <f t="shared" si="88"/>
        <v>0</v>
      </c>
      <c r="BA99" s="65">
        <f t="shared" si="89"/>
        <v>0</v>
      </c>
      <c r="BB99" s="70"/>
      <c r="BC99" s="65">
        <f t="shared" si="90"/>
        <v>0</v>
      </c>
      <c r="BD99" s="70">
        <v>0</v>
      </c>
      <c r="BE99" s="65">
        <f t="shared" si="91"/>
        <v>0</v>
      </c>
      <c r="BF99" s="70">
        <v>0</v>
      </c>
      <c r="BG99" s="65">
        <f t="shared" si="92"/>
        <v>0</v>
      </c>
      <c r="BH99" s="70">
        <v>0</v>
      </c>
      <c r="BI99" s="65">
        <f t="shared" si="93"/>
        <v>0</v>
      </c>
      <c r="BJ99" s="38">
        <f>IF(AND(BJ$7="○",$A99&gt;=BJ$8,$A99&lt;=BJ$9),IF(SUM(BJ$10:BJ98)-ROUNDDOWN($M99*BJ$5/100,0)&lt;-BJ$6,-BJ$6-SUM(BJ$10:BJ98),-ROUNDDOWN($M99*BJ$5/100,0)),0)</f>
        <v>0</v>
      </c>
      <c r="BK99" s="38">
        <f>IF(AND(BK$7="○",$A99&gt;=BK$8,$A99&lt;=BK$9),IF(SUM(BK$10:BK98)-ROUNDDOWN($L99*BK$5/100,0)&lt;-BK$6,-BK$6-SUM(BK$10:BK98),-ROUNDDOWN($L99*BK$5/100,0)),0)</f>
        <v>0</v>
      </c>
      <c r="BL99" s="38">
        <f>IF(AND(BL$7="○",$A99&gt;=BL$8,$A99&lt;=BL$9),IF(SUM(BL$10:BL98)-ROUNDDOWN($L99*BL$5/100,0)&lt;-BL$6,-BL$6-SUM(BL$10:BL98),-ROUNDDOWN($L99*BL$5/100,0)),0)</f>
        <v>0</v>
      </c>
      <c r="BM99" s="38">
        <f>IF(AND(BM$7="○",$A99&gt;=BM$8,$A99&lt;=BM$9),IF(SUM(BM$10:BM98)-ROUNDDOWN($M99*BM$5/100,0)&lt;-BM$6,-BM$6-SUM(BM$10:BM98),-ROUNDDOWN($M99*BM$5/100,0)),0)</f>
        <v>0</v>
      </c>
      <c r="BN99" s="38">
        <f>IF(AND(BN$7="○",$A99&gt;=BN$8,$A99&lt;=BN$9),IF(SUM(BN$10:BN98)-ROUNDDOWN($M99*BN$5/100,0)&lt;-BN$6,-BN$6-SUM(BN$10:BN98),-ROUNDDOWN($M99*BN$5/100,0)),0)</f>
        <v>0</v>
      </c>
      <c r="BO99" s="38">
        <f>IF(AND(BO$7="○",$A99&gt;=BO$8,$A99&lt;=BO$9),IF(SUM(BO$10:BO98)-ROUNDDOWN($M99*BO$5/100,0)&lt;-BO$6,-BO$6-SUM(BO$10:BO98),-ROUNDDOWN($M99*BO$5/100,0)),0)</f>
        <v>0</v>
      </c>
      <c r="BP99" s="38">
        <f>IF(AND(BP$7="○",$A99&gt;=BP$8,$A99&lt;=BP$9),IF(SUM(BP$10:BP98)-ROUNDDOWN($M99*BP$5/100,0)&lt;-BP$6,-BP$6-SUM(BP$10:BP98),-ROUNDDOWN($M99*BP$5/100,0)),0)</f>
        <v>0</v>
      </c>
      <c r="BQ99" s="38">
        <f>IF(AND(BQ$7="○",$A99&gt;=BQ$8,$A99&lt;=BQ$9),IF(SUM(BQ$10:BQ98)-ROUNDDOWN($L99*BQ$5/100,0)&lt;-BQ$6,-BQ$6-SUM(BQ$10:BQ98),-ROUNDDOWN($L99*BQ$5/100,0)),0)</f>
        <v>0</v>
      </c>
      <c r="BR99" s="38">
        <f>IF(AND(BR$7="○",$A99&gt;=BR$8,$A99&lt;=BR$9),IF(SUM(BR$10:BR98)-ROUNDDOWN($M99*BR$5/100,0)&lt;-BR$6,-BR$6-SUM(BR$10:BR98),-ROUNDDOWN($M99*BR$5/100,0)),0)</f>
        <v>0</v>
      </c>
      <c r="BS99" s="38">
        <f>IF(AND(BS$7="○",$A99&gt;=BS$8,$A99&lt;=BS$9),IF(SUM(BS$10:BS98)-ROUNDDOWN($M99*BS$5/100,0)&lt;-BS$6,-BS$6-SUM(BS$10:BS98),-ROUNDDOWN($M99*BS$5/100,0)),0)</f>
        <v>0</v>
      </c>
      <c r="BT99" s="38">
        <f>IF(AND(BT$7="○",$A99&gt;=BT$8,$A99&lt;=BT$9),IF(SUM(BT$10:BT98)-ROUNDDOWN($M99*BT$5/100,0)&lt;-BT$6,-BT$6-SUM(BT$10:BT98),-ROUNDDOWN($M99*BT$5/100,0)),0)</f>
        <v>0</v>
      </c>
      <c r="BU99" s="38">
        <f>IF(AND(BU$7="○",$A99&gt;=BU$8,$A99&lt;=BU$9),IF(SUM(BU$10:BU98)-ROUNDDOWN($M99*BU$5/100,0)&lt;-BU$6,-BU$6-SUM(BU$10:BU98),-ROUNDDOWN($M99*BU$5/100,0)),0)</f>
        <v>0</v>
      </c>
      <c r="BV99" s="38">
        <f>IF(AND(BV$7="○",$A99&gt;=BV$8,$A99&lt;=BV$9),IF(SUM(BV$10:BV98)-ROUNDDOWN($M99*BV$5/100,0)&lt;-BV$6,-BV$6-SUM(BV$10:BV98),-ROUNDDOWN($M99*BV$5/100,0)),0)</f>
        <v>0</v>
      </c>
      <c r="BW99" s="38">
        <f>IF(AND(BW$7="○",$A99&gt;=BW$8,$A99&lt;=BW$9),IF(SUM(BW$10:BW98)-ROUNDDOWN($M99*BW$5/100,0)&lt;-BW$6,-BW$6-SUM(BW$10:BW98),-ROUNDDOWN($M99*BW$5/100,0)),0)</f>
        <v>0</v>
      </c>
      <c r="BX99" s="38">
        <f>IF(AND(T99="○",$A99&gt;=BX$8,$A99&lt;=BX$9),IF(SUM(BX$10:BX98)-ROUNDDOWN($K99*BX$5/100,0)&lt;-BX$6,-BX$6-SUM(BX$10:BX98),-ROUNDDOWN($K99*BX$5/100,0)),0)</f>
        <v>0</v>
      </c>
      <c r="BY99" s="38">
        <f>IF(AND(U99="○",$A99&gt;=BY$8,$A99&lt;=BY$9),IF(SUM(BY$10:BY98)-ROUNDDOWN($K99*BY$5/100,0)&lt;-BY$6,-BY$6-SUM(BY$10:BY98),-ROUNDDOWN($K99*BY$5/100,0)),0)</f>
        <v>0</v>
      </c>
      <c r="BZ99" s="38">
        <f>IF(AND(V99="○",$A99&gt;=BZ$8,$A99&lt;=BZ$9),IF(SUM(BZ$10:BZ98)-ROUNDDOWN($K99*BZ$5/100,0)&lt;-BZ$6,-BZ$6-SUM(BZ$10:BZ98),-ROUNDDOWN($K99*BZ$5/100,0)),0)</f>
        <v>0</v>
      </c>
      <c r="CA99" s="38">
        <f>IF(AND(W99="○",$A99&gt;=CA$8,$A99&lt;=CA$9),IF(SUM(CA$10:CA98)-ROUNDDOWN($K99*CA$5/100,0)&lt;-CA$6,-CA$6-SUM(CA$10:CA98),-ROUNDDOWN($K99*CA$5/100,0)),0)</f>
        <v>0</v>
      </c>
      <c r="CB99" s="38"/>
      <c r="CC99" s="38"/>
      <c r="CD99" s="38"/>
      <c r="CE99" s="38"/>
      <c r="CF99" s="38"/>
      <c r="CG99" s="65">
        <f t="shared" si="94"/>
        <v>0</v>
      </c>
      <c r="CH99" s="71">
        <f t="shared" si="95"/>
        <v>0</v>
      </c>
      <c r="CI99" s="1">
        <f t="shared" si="83"/>
        <v>0</v>
      </c>
      <c r="CJ99" s="1"/>
      <c r="CK99" s="79"/>
      <c r="CL99" s="79"/>
      <c r="CM99" s="2"/>
      <c r="CN99" s="2"/>
      <c r="CO99" s="73">
        <f t="shared" si="84"/>
        <v>0</v>
      </c>
      <c r="CP99" s="5">
        <f t="shared" si="85"/>
        <v>0</v>
      </c>
      <c r="CQ99" s="1"/>
      <c r="CR99" s="1">
        <f t="shared" si="86"/>
        <v>0</v>
      </c>
      <c r="CS99" s="1"/>
      <c r="CT99" s="1" t="e">
        <f>INDEX([2]マスタ!$A:$A,MATCH(D99,[2]マスタ!$C:$C,0))</f>
        <v>#N/A</v>
      </c>
      <c r="CU99" s="1" t="str">
        <f t="shared" ca="1" si="87"/>
        <v>20260620_0-0</v>
      </c>
    </row>
    <row r="100" spans="1:99" x14ac:dyDescent="0.4">
      <c r="A100" s="61"/>
      <c r="B100" s="62"/>
      <c r="C100" s="62"/>
      <c r="D100" s="62"/>
      <c r="E100" s="63"/>
      <c r="F100" s="62"/>
      <c r="G100" s="62">
        <v>1</v>
      </c>
      <c r="H100" s="64">
        <f t="shared" si="74"/>
        <v>0</v>
      </c>
      <c r="I100" s="64"/>
      <c r="J100" s="64"/>
      <c r="K100" s="65">
        <f t="shared" si="98"/>
        <v>0</v>
      </c>
      <c r="L100" s="65">
        <f t="shared" si="76"/>
        <v>0</v>
      </c>
      <c r="M100" s="65">
        <f t="shared" si="77"/>
        <v>0</v>
      </c>
      <c r="N100" s="65">
        <f t="shared" si="78"/>
        <v>0</v>
      </c>
      <c r="O100" s="66" t="str">
        <f t="shared" si="79"/>
        <v>✕</v>
      </c>
      <c r="P100" s="67" t="str">
        <f t="shared" si="80"/>
        <v>○</v>
      </c>
      <c r="Q100" s="67" t="str">
        <f t="shared" si="99"/>
        <v>✕</v>
      </c>
      <c r="R100" s="67" t="str">
        <f t="shared" si="82"/>
        <v>✕</v>
      </c>
      <c r="S100" s="68">
        <v>0</v>
      </c>
      <c r="T100" s="69" t="s">
        <v>85</v>
      </c>
      <c r="U100" s="69" t="s">
        <v>85</v>
      </c>
      <c r="V100" s="69" t="s">
        <v>85</v>
      </c>
      <c r="W100" s="69" t="s">
        <v>85</v>
      </c>
      <c r="X100" s="69" t="s">
        <v>84</v>
      </c>
      <c r="Y100" s="69" t="s">
        <v>85</v>
      </c>
      <c r="Z100" s="69" t="s">
        <v>85</v>
      </c>
      <c r="AA100" s="69" t="s">
        <v>85</v>
      </c>
      <c r="AB100" s="69" t="s">
        <v>85</v>
      </c>
      <c r="AC100" s="69" t="s">
        <v>85</v>
      </c>
      <c r="AD100" s="38" t="str">
        <f>+IF(ISERROR(VLOOKUP($B100,AD$10:AD99,1,0)),IF(AND($N100&gt;=1000,$A100&gt;=AO$8,$A100&lt;=AO$9),$B100,""),"")</f>
        <v/>
      </c>
      <c r="AE100" s="38" t="str">
        <f>+IF(ISERROR(VLOOKUP($B100,AE$10:AE99,1,0)),IF(AND($N100&gt;=1000,$A100&gt;=AP$8,$A100&lt;=AP$9),$B100,""),"")</f>
        <v/>
      </c>
      <c r="AF100" s="38" t="str">
        <f>+IF(ISERROR(VLOOKUP($B100,AF$10:AF99,1,0)),IF(AND($N100&gt;=1000,$A100&gt;=AQ$8,$A100&lt;=AQ$9),$B100,""),"")</f>
        <v/>
      </c>
      <c r="AG100" s="38" t="str">
        <f>+IF(ISERROR(VLOOKUP($B100,AG$10:AG99,1,0)),IF(AND($N100&gt;=1000,$A100&gt;=AR$8,$A100&lt;=AR$9),$B100,""),"")</f>
        <v/>
      </c>
      <c r="AH100" s="38"/>
      <c r="AI100" s="70">
        <v>0</v>
      </c>
      <c r="AJ100" s="38">
        <f>IF(AND(AJ$7="○",$A100&gt;=AJ$8,$A100&lt;=AJ$9),IF(SUM(AJ$10:AJ99)-ROUNDDOWN($K100*AJ$5/100,0)&lt;-AJ$6,-AJ$6-SUM(AJ$10:AJ99),-ROUNDDOWN($K100*AJ$5/100,0)),0)</f>
        <v>0</v>
      </c>
      <c r="AK100" s="38">
        <f>IF(AND(AK$7="○",$A100&gt;=AK$8,$A100&lt;=AK$9),IF(SUM(AK$10:AK99)-ROUNDDOWN($L100*AK$5/100,0)&lt;-AK$6,-AK$6-SUM(AK$10:AK99),-ROUNDDOWN($L100*AK$5/100,0)),0)</f>
        <v>0</v>
      </c>
      <c r="AL100" s="38">
        <f>IF(AND(AL$7="○",$A100&gt;=AL$8,$A100&lt;=AL$9),IF(SUM(AL$10:AL99)-ROUNDDOWN($N100*AL$5/100,0)&lt;-AL$6,-AL$6-SUM(AL$10:AL99),-ROUNDDOWN($N100*AL$5/100,0)),0)</f>
        <v>0</v>
      </c>
      <c r="AM100" s="38">
        <f>IF(AND(AM$7="○",$A100&gt;=AM$8,$A100&lt;=AM$9),IF(SUM(AM$10:AM99)-ROUNDDOWN($L100*AM$5/100,0)&lt;-AM$6,-AM$6-SUM(AM$10:AM99),-ROUNDDOWN($L100*AM$5/100,0)),0)</f>
        <v>0</v>
      </c>
      <c r="AN100" s="38">
        <f>IF(AND(AN$7="○",$A100&gt;=AN$8,$A100&lt;=AN$9),IF(SUM(AN$10:AN99)-ROUNDDOWN($M100*AN$5/100,0)&lt;-AN$6,-AN$6-SUM(AN$10:AN99),-ROUNDDOWN($M100*AN$5/100,0)),0)</f>
        <v>0</v>
      </c>
      <c r="AO100" s="38">
        <f>IF(AND($A100&gt;=AO$8,$A100&lt;=AO$9),IF(SUM(AO$10:AO99)-ROUNDDOWN($K100*AO$5/100,0)&lt;-AO$6,-AO$6-SUM(AO$10:AO99),-ROUNDDOWN($K100*AO$5/100,0)),0)</f>
        <v>0</v>
      </c>
      <c r="AP100" s="38">
        <f>IF(AND($A100&gt;=AP$8,$A100&lt;=AP$9),IF(SUM(AP$10:AP99)-ROUNDDOWN($K100*AP$5/100,0)&lt;-AP$6,-AP$6-SUM(AP$10:AP99),-ROUNDDOWN($K100*AP$5/100,0)),0)</f>
        <v>0</v>
      </c>
      <c r="AQ100" s="38">
        <f>IF(AND($A100&gt;=AQ$8,$A100&lt;=AQ$9),IF(SUM(AQ$10:AQ99)-ROUNDDOWN($K100*AQ$5/100,0)&lt;-AQ$6,-AQ$6-SUM(AQ$10:AQ99),-ROUNDDOWN($K100*AQ$5/100,0)),0)</f>
        <v>0</v>
      </c>
      <c r="AR100" s="38">
        <f>IF(AND($A100&gt;=AR$8,$A100&lt;=AR$9),IF(SUM(AR$10:AR99)-ROUNDDOWN($K100*AR$5/100,0)&lt;-AR$6,-AR$6-SUM(AR$10:AR99),-ROUNDDOWN($K100*AR$5/100,0)),0)</f>
        <v>0</v>
      </c>
      <c r="AS100" s="38">
        <f>IF(SUMIFS(AS$10:AS99,$A$10:$A99,$A100)-ROUNDDOWN($K100*$S100/100,0)&lt;-$S100*1000,-$S100*1000-SUMIFS(AS$10:AS99,$A$10:$A99,$A100),-ROUNDDOWN($K100*$S100/100,0))</f>
        <v>0</v>
      </c>
      <c r="AT100" s="38">
        <f>IF(AND(X100="○",$A100&gt;=AT$8,$A100&lt;=AT$9,K100&gt;=3980),IF(SUM(AT$10:AT99)-ROUNDDOWN($K100*AT$5/100,0)&lt;-AT$6,-AT$6-SUM(AT$10:AT99),-ROUNDDOWN($K100*AT$5/100,0)),0)</f>
        <v>0</v>
      </c>
      <c r="AU100" s="38">
        <f>IF(O100="○",IF(SUM(AU$10:AU99)-ROUNDDOWN($K100*AU$5/100,0)&lt;-AU$6,-AU$6-SUM(AU$10:AU99),-ROUNDDOWN($K100*AU$5/100,0)),0)</f>
        <v>0</v>
      </c>
      <c r="AV100" s="38">
        <f>IF(P100="○",IF(SUM(AV$10:AV99)-ROUNDDOWN($K100*AV$5/100,0)&lt;-AV$6,-AV$6-SUM(AV$10:AV99),-ROUNDDOWN($K100*AV$5/100,0)),0)</f>
        <v>0</v>
      </c>
      <c r="AW100" s="38">
        <f>IF(Q100="○",IF(SUM(AW$10:AW99)-ROUNDDOWN($K100*AW$5/100,0)&lt;-AW$6,-AW$6-SUM(AW$10:AW99),-ROUNDDOWN($K100*AW$5/100,0)),0)</f>
        <v>0</v>
      </c>
      <c r="AX100" s="38">
        <f>IF(R100="○",IF(SUM(AX$10:AX99)-ROUNDDOWN($K100*AX$5/100,0)&lt;-AX$6,-AX$6-SUM(AX$10:AX99),-ROUNDDOWN($K100*AX$5/100,0)),0)</f>
        <v>0</v>
      </c>
      <c r="AY100" s="70">
        <v>0</v>
      </c>
      <c r="AZ100" s="65">
        <f t="shared" si="88"/>
        <v>0</v>
      </c>
      <c r="BA100" s="65">
        <f t="shared" si="89"/>
        <v>0</v>
      </c>
      <c r="BB100" s="70"/>
      <c r="BC100" s="65">
        <f t="shared" si="90"/>
        <v>0</v>
      </c>
      <c r="BD100" s="70">
        <v>0</v>
      </c>
      <c r="BE100" s="65">
        <f t="shared" si="91"/>
        <v>0</v>
      </c>
      <c r="BF100" s="70">
        <v>0</v>
      </c>
      <c r="BG100" s="65">
        <f t="shared" si="92"/>
        <v>0</v>
      </c>
      <c r="BH100" s="70">
        <v>0</v>
      </c>
      <c r="BI100" s="65">
        <f t="shared" si="93"/>
        <v>0</v>
      </c>
      <c r="BJ100" s="38">
        <f>IF(AND(BJ$7="○",$A100&gt;=BJ$8,$A100&lt;=BJ$9),IF(SUM(BJ$10:BJ99)-ROUNDDOWN($M100*BJ$5/100,0)&lt;-BJ$6,-BJ$6-SUM(BJ$10:BJ99),-ROUNDDOWN($M100*BJ$5/100,0)),0)</f>
        <v>0</v>
      </c>
      <c r="BK100" s="38">
        <f>IF(AND(BK$7="○",$A100&gt;=BK$8,$A100&lt;=BK$9),IF(SUM(BK$10:BK99)-ROUNDDOWN($L100*BK$5/100,0)&lt;-BK$6,-BK$6-SUM(BK$10:BK99),-ROUNDDOWN($L100*BK$5/100,0)),0)</f>
        <v>0</v>
      </c>
      <c r="BL100" s="38">
        <f>IF(AND(BL$7="○",$A100&gt;=BL$8,$A100&lt;=BL$9),IF(SUM(BL$10:BL99)-ROUNDDOWN($L100*BL$5/100,0)&lt;-BL$6,-BL$6-SUM(BL$10:BL99),-ROUNDDOWN($L100*BL$5/100,0)),0)</f>
        <v>0</v>
      </c>
      <c r="BM100" s="38">
        <f>IF(AND(BM$7="○",$A100&gt;=BM$8,$A100&lt;=BM$9),IF(SUM(BM$10:BM99)-ROUNDDOWN($M100*BM$5/100,0)&lt;-BM$6,-BM$6-SUM(BM$10:BM99),-ROUNDDOWN($M100*BM$5/100,0)),0)</f>
        <v>0</v>
      </c>
      <c r="BN100" s="38">
        <f>IF(AND(BN$7="○",$A100&gt;=BN$8,$A100&lt;=BN$9),IF(SUM(BN$10:BN99)-ROUNDDOWN($M100*BN$5/100,0)&lt;-BN$6,-BN$6-SUM(BN$10:BN99),-ROUNDDOWN($M100*BN$5/100,0)),0)</f>
        <v>0</v>
      </c>
      <c r="BO100" s="38">
        <f>IF(AND(BO$7="○",$A100&gt;=BO$8,$A100&lt;=BO$9),IF(SUM(BO$10:BO99)-ROUNDDOWN($M100*BO$5/100,0)&lt;-BO$6,-BO$6-SUM(BO$10:BO99),-ROUNDDOWN($M100*BO$5/100,0)),0)</f>
        <v>0</v>
      </c>
      <c r="BP100" s="38">
        <f>IF(AND(BP$7="○",$A100&gt;=BP$8,$A100&lt;=BP$9),IF(SUM(BP$10:BP99)-ROUNDDOWN($M100*BP$5/100,0)&lt;-BP$6,-BP$6-SUM(BP$10:BP99),-ROUNDDOWN($M100*BP$5/100,0)),0)</f>
        <v>0</v>
      </c>
      <c r="BQ100" s="38">
        <f>IF(AND(BQ$7="○",$A100&gt;=BQ$8,$A100&lt;=BQ$9),IF(SUM(BQ$10:BQ99)-ROUNDDOWN($L100*BQ$5/100,0)&lt;-BQ$6,-BQ$6-SUM(BQ$10:BQ99),-ROUNDDOWN($L100*BQ$5/100,0)),0)</f>
        <v>0</v>
      </c>
      <c r="BR100" s="38">
        <f>IF(AND(BR$7="○",$A100&gt;=BR$8,$A100&lt;=BR$9),IF(SUM(BR$10:BR99)-ROUNDDOWN($M100*BR$5/100,0)&lt;-BR$6,-BR$6-SUM(BR$10:BR99),-ROUNDDOWN($M100*BR$5/100,0)),0)</f>
        <v>0</v>
      </c>
      <c r="BS100" s="38">
        <f>IF(AND(BS$7="○",$A100&gt;=BS$8,$A100&lt;=BS$9),IF(SUM(BS$10:BS99)-ROUNDDOWN($M100*BS$5/100,0)&lt;-BS$6,-BS$6-SUM(BS$10:BS99),-ROUNDDOWN($M100*BS$5/100,0)),0)</f>
        <v>0</v>
      </c>
      <c r="BT100" s="38">
        <f>IF(AND(BT$7="○",$A100&gt;=BT$8,$A100&lt;=BT$9),IF(SUM(BT$10:BT99)-ROUNDDOWN($M100*BT$5/100,0)&lt;-BT$6,-BT$6-SUM(BT$10:BT99),-ROUNDDOWN($M100*BT$5/100,0)),0)</f>
        <v>0</v>
      </c>
      <c r="BU100" s="38">
        <f>IF(AND(BU$7="○",$A100&gt;=BU$8,$A100&lt;=BU$9),IF(SUM(BU$10:BU99)-ROUNDDOWN($M100*BU$5/100,0)&lt;-BU$6,-BU$6-SUM(BU$10:BU99),-ROUNDDOWN($M100*BU$5/100,0)),0)</f>
        <v>0</v>
      </c>
      <c r="BV100" s="38">
        <f>IF(AND(BV$7="○",$A100&gt;=BV$8,$A100&lt;=BV$9),IF(SUM(BV$10:BV99)-ROUNDDOWN($M100*BV$5/100,0)&lt;-BV$6,-BV$6-SUM(BV$10:BV99),-ROUNDDOWN($M100*BV$5/100,0)),0)</f>
        <v>0</v>
      </c>
      <c r="BW100" s="38">
        <f>IF(AND(BW$7="○",$A100&gt;=BW$8,$A100&lt;=BW$9),IF(SUM(BW$10:BW99)-ROUNDDOWN($M100*BW$5/100,0)&lt;-BW$6,-BW$6-SUM(BW$10:BW99),-ROUNDDOWN($M100*BW$5/100,0)),0)</f>
        <v>0</v>
      </c>
      <c r="BX100" s="38">
        <f>IF(AND(T100="○",$A100&gt;=BX$8,$A100&lt;=BX$9),IF(SUM(BX$10:BX99)-ROUNDDOWN($K100*BX$5/100,0)&lt;-BX$6,-BX$6-SUM(BX$10:BX99),-ROUNDDOWN($K100*BX$5/100,0)),0)</f>
        <v>0</v>
      </c>
      <c r="BY100" s="38">
        <f>IF(AND(U100="○",$A100&gt;=BY$8,$A100&lt;=BY$9),IF(SUM(BY$10:BY99)-ROUNDDOWN($K100*BY$5/100,0)&lt;-BY$6,-BY$6-SUM(BY$10:BY99),-ROUNDDOWN($K100*BY$5/100,0)),0)</f>
        <v>0</v>
      </c>
      <c r="BZ100" s="38">
        <f>IF(AND(V100="○",$A100&gt;=BZ$8,$A100&lt;=BZ$9),IF(SUM(BZ$10:BZ99)-ROUNDDOWN($K100*BZ$5/100,0)&lt;-BZ$6,-BZ$6-SUM(BZ$10:BZ99),-ROUNDDOWN($K100*BZ$5/100,0)),0)</f>
        <v>0</v>
      </c>
      <c r="CA100" s="38">
        <f>IF(AND(W100="○",$A100&gt;=CA$8,$A100&lt;=CA$9),IF(SUM(CA$10:CA99)-ROUNDDOWN($K100*CA$5/100,0)&lt;-CA$6,-CA$6-SUM(CA$10:CA99),-ROUNDDOWN($K100*CA$5/100,0)),0)</f>
        <v>0</v>
      </c>
      <c r="CB100" s="38"/>
      <c r="CC100" s="38"/>
      <c r="CD100" s="38"/>
      <c r="CE100" s="38"/>
      <c r="CF100" s="38"/>
      <c r="CG100" s="65">
        <f t="shared" si="94"/>
        <v>0</v>
      </c>
      <c r="CH100" s="71">
        <f t="shared" si="95"/>
        <v>0</v>
      </c>
      <c r="CI100" s="1">
        <f t="shared" si="83"/>
        <v>0</v>
      </c>
      <c r="CJ100" s="1"/>
      <c r="CK100" s="72"/>
      <c r="CL100" s="72"/>
      <c r="CM100" s="2"/>
      <c r="CN100" s="2"/>
      <c r="CO100" s="73">
        <f t="shared" si="84"/>
        <v>0</v>
      </c>
      <c r="CP100" s="5">
        <f t="shared" si="85"/>
        <v>0</v>
      </c>
      <c r="CQ100" s="1"/>
      <c r="CR100" s="1">
        <f t="shared" si="86"/>
        <v>0</v>
      </c>
      <c r="CS100" s="1"/>
      <c r="CT100" s="1" t="e">
        <f>INDEX([2]マスタ!$A:$A,MATCH(D100,[2]マスタ!$C:$C,0))</f>
        <v>#N/A</v>
      </c>
      <c r="CU100" s="1" t="str">
        <f t="shared" ca="1" si="87"/>
        <v>20260620_0-0</v>
      </c>
    </row>
    <row r="101" spans="1:99" x14ac:dyDescent="0.4">
      <c r="A101" s="61"/>
      <c r="B101" s="62"/>
      <c r="C101" s="62"/>
      <c r="D101" s="62"/>
      <c r="E101" s="63"/>
      <c r="F101" s="62"/>
      <c r="G101" s="62">
        <v>1</v>
      </c>
      <c r="H101" s="64">
        <f t="shared" si="74"/>
        <v>0</v>
      </c>
      <c r="I101" s="64"/>
      <c r="J101" s="64"/>
      <c r="K101" s="65">
        <f t="shared" si="98"/>
        <v>0</v>
      </c>
      <c r="L101" s="65">
        <f t="shared" si="76"/>
        <v>0</v>
      </c>
      <c r="M101" s="65">
        <f t="shared" si="77"/>
        <v>0</v>
      </c>
      <c r="N101" s="65">
        <f t="shared" si="78"/>
        <v>0</v>
      </c>
      <c r="O101" s="66" t="str">
        <f t="shared" si="79"/>
        <v>✕</v>
      </c>
      <c r="P101" s="67" t="str">
        <f t="shared" si="80"/>
        <v>○</v>
      </c>
      <c r="Q101" s="67" t="str">
        <f t="shared" si="99"/>
        <v>✕</v>
      </c>
      <c r="R101" s="67" t="str">
        <f t="shared" si="82"/>
        <v>✕</v>
      </c>
      <c r="S101" s="68">
        <v>0</v>
      </c>
      <c r="T101" s="69" t="s">
        <v>85</v>
      </c>
      <c r="U101" s="69" t="s">
        <v>85</v>
      </c>
      <c r="V101" s="69" t="s">
        <v>85</v>
      </c>
      <c r="W101" s="69" t="s">
        <v>85</v>
      </c>
      <c r="X101" s="69" t="s">
        <v>84</v>
      </c>
      <c r="Y101" s="69" t="s">
        <v>85</v>
      </c>
      <c r="Z101" s="69" t="s">
        <v>85</v>
      </c>
      <c r="AA101" s="69" t="s">
        <v>85</v>
      </c>
      <c r="AB101" s="69" t="s">
        <v>85</v>
      </c>
      <c r="AC101" s="69" t="s">
        <v>85</v>
      </c>
      <c r="AD101" s="38" t="str">
        <f>+IF(ISERROR(VLOOKUP($B101,AD$10:AD100,1,0)),IF(AND($N101&gt;=1000,$A101&gt;=AO$8,$A101&lt;=AO$9),$B101,""),"")</f>
        <v/>
      </c>
      <c r="AE101" s="38" t="str">
        <f>+IF(ISERROR(VLOOKUP($B101,AE$10:AE100,1,0)),IF(AND($N101&gt;=1000,$A101&gt;=AP$8,$A101&lt;=AP$9),$B101,""),"")</f>
        <v/>
      </c>
      <c r="AF101" s="38" t="str">
        <f>+IF(ISERROR(VLOOKUP($B101,AF$10:AF100,1,0)),IF(AND($N101&gt;=1000,$A101&gt;=AQ$8,$A101&lt;=AQ$9),$B101,""),"")</f>
        <v/>
      </c>
      <c r="AG101" s="38" t="str">
        <f>+IF(ISERROR(VLOOKUP($B101,AG$10:AG100,1,0)),IF(AND($N101&gt;=1000,$A101&gt;=AR$8,$A101&lt;=AR$9),$B101,""),"")</f>
        <v/>
      </c>
      <c r="AH101" s="38"/>
      <c r="AI101" s="70">
        <v>0</v>
      </c>
      <c r="AJ101" s="38">
        <f>IF(AND(AJ$7="○",$A101&gt;=AJ$8,$A101&lt;=AJ$9),IF(SUM(AJ$10:AJ100)-ROUNDDOWN($K101*AJ$5/100,0)&lt;-AJ$6,-AJ$6-SUM(AJ$10:AJ100),-ROUNDDOWN($K101*AJ$5/100,0)),0)</f>
        <v>0</v>
      </c>
      <c r="AK101" s="38">
        <f>IF(AND(AK$7="○",$A101&gt;=AK$8,$A101&lt;=AK$9),IF(SUM(AK$10:AK100)-ROUNDDOWN($L101*AK$5/100,0)&lt;-AK$6,-AK$6-SUM(AK$10:AK100),-ROUNDDOWN($L101*AK$5/100,0)),0)</f>
        <v>0</v>
      </c>
      <c r="AL101" s="38">
        <f>IF(AND(AL$7="○",$A101&gt;=AL$8,$A101&lt;=AL$9),IF(SUM(AL$10:AL100)-ROUNDDOWN($N101*AL$5/100,0)&lt;-AL$6,-AL$6-SUM(AL$10:AL100),-ROUNDDOWN($N101*AL$5/100,0)),0)</f>
        <v>0</v>
      </c>
      <c r="AM101" s="38">
        <f>IF(AND(AM$7="○",$A101&gt;=AM$8,$A101&lt;=AM$9),IF(SUM(AM$10:AM100)-ROUNDDOWN($L101*AM$5/100,0)&lt;-AM$6,-AM$6-SUM(AM$10:AM100),-ROUNDDOWN($L101*AM$5/100,0)),0)</f>
        <v>0</v>
      </c>
      <c r="AN101" s="38">
        <f>IF(AND(AN$7="○",$A101&gt;=AN$8,$A101&lt;=AN$9),IF(SUM(AN$10:AN100)-ROUNDDOWN($M101*AN$5/100,0)&lt;-AN$6,-AN$6-SUM(AN$10:AN100),-ROUNDDOWN($M101*AN$5/100,0)),0)</f>
        <v>0</v>
      </c>
      <c r="AO101" s="38">
        <f>IF(AND($A101&gt;=AO$8,$A101&lt;=AO$9),IF(SUM(AO$10:AO100)-ROUNDDOWN($K101*AO$5/100,0)&lt;-AO$6,-AO$6-SUM(AO$10:AO100),-ROUNDDOWN($K101*AO$5/100,0)),0)</f>
        <v>0</v>
      </c>
      <c r="AP101" s="38">
        <f>IF(AND($A101&gt;=AP$8,$A101&lt;=AP$9),IF(SUM(AP$10:AP100)-ROUNDDOWN($K101*AP$5/100,0)&lt;-AP$6,-AP$6-SUM(AP$10:AP100),-ROUNDDOWN($K101*AP$5/100,0)),0)</f>
        <v>0</v>
      </c>
      <c r="AQ101" s="38">
        <f>IF(AND($A101&gt;=AQ$8,$A101&lt;=AQ$9),IF(SUM(AQ$10:AQ100)-ROUNDDOWN($K101*AQ$5/100,0)&lt;-AQ$6,-AQ$6-SUM(AQ$10:AQ100),-ROUNDDOWN($K101*AQ$5/100,0)),0)</f>
        <v>0</v>
      </c>
      <c r="AR101" s="38">
        <f>IF(AND($A101&gt;=AR$8,$A101&lt;=AR$9),IF(SUM(AR$10:AR100)-ROUNDDOWN($K101*AR$5/100,0)&lt;-AR$6,-AR$6-SUM(AR$10:AR100),-ROUNDDOWN($K101*AR$5/100,0)),0)</f>
        <v>0</v>
      </c>
      <c r="AS101" s="38">
        <f>IF(SUMIFS(AS$10:AS100,$A$10:$A100,$A101)-ROUNDDOWN($K101*$S101/100,0)&lt;-$S101*1000,-$S101*1000-SUMIFS(AS$10:AS100,$A$10:$A100,$A101),-ROUNDDOWN($K101*$S101/100,0))</f>
        <v>0</v>
      </c>
      <c r="AT101" s="38">
        <f>IF(AND(X101="○",$A101&gt;=AT$8,$A101&lt;=AT$9,K101&gt;=3980),IF(SUM(AT$10:AT100)-ROUNDDOWN($K101*AT$5/100,0)&lt;-AT$6,-AT$6-SUM(AT$10:AT100),-ROUNDDOWN($K101*AT$5/100,0)),0)</f>
        <v>0</v>
      </c>
      <c r="AU101" s="38">
        <f>IF(O101="○",IF(SUM(AU$10:AU100)-ROUNDDOWN($K101*AU$5/100,0)&lt;-AU$6,-AU$6-SUM(AU$10:AU100),-ROUNDDOWN($K101*AU$5/100,0)),0)</f>
        <v>0</v>
      </c>
      <c r="AV101" s="38">
        <f>IF(P101="○",IF(SUM(AV$10:AV100)-ROUNDDOWN($K101*AV$5/100,0)&lt;-AV$6,-AV$6-SUM(AV$10:AV100),-ROUNDDOWN($K101*AV$5/100,0)),0)</f>
        <v>0</v>
      </c>
      <c r="AW101" s="38">
        <f>IF(Q101="○",IF(SUM(AW$10:AW100)-ROUNDDOWN($K101*AW$5/100,0)&lt;-AW$6,-AW$6-SUM(AW$10:AW100),-ROUNDDOWN($K101*AW$5/100,0)),0)</f>
        <v>0</v>
      </c>
      <c r="AX101" s="38">
        <f>IF(R101="○",IF(SUM(AX$10:AX100)-ROUNDDOWN($K101*AX$5/100,0)&lt;-AX$6,-AX$6-SUM(AX$10:AX100),-ROUNDDOWN($K101*AX$5/100,0)),0)</f>
        <v>0</v>
      </c>
      <c r="AY101" s="70">
        <v>0</v>
      </c>
      <c r="AZ101" s="65">
        <f t="shared" si="88"/>
        <v>0</v>
      </c>
      <c r="BA101" s="65">
        <f t="shared" si="89"/>
        <v>0</v>
      </c>
      <c r="BB101" s="70"/>
      <c r="BC101" s="65">
        <f t="shared" si="90"/>
        <v>0</v>
      </c>
      <c r="BD101" s="70">
        <v>0</v>
      </c>
      <c r="BE101" s="65">
        <f t="shared" si="91"/>
        <v>0</v>
      </c>
      <c r="BF101" s="70">
        <v>0</v>
      </c>
      <c r="BG101" s="65">
        <f t="shared" si="92"/>
        <v>0</v>
      </c>
      <c r="BH101" s="70">
        <v>0</v>
      </c>
      <c r="BI101" s="65">
        <f t="shared" si="93"/>
        <v>0</v>
      </c>
      <c r="BJ101" s="38">
        <f>IF(AND(BJ$7="○",$A101&gt;=BJ$8,$A101&lt;=BJ$9),IF(SUM(BJ$10:BJ100)-ROUNDDOWN($M101*BJ$5/100,0)&lt;-BJ$6,-BJ$6-SUM(BJ$10:BJ100),-ROUNDDOWN($M101*BJ$5/100,0)),0)</f>
        <v>0</v>
      </c>
      <c r="BK101" s="38">
        <f>IF(AND(BK$7="○",$A101&gt;=BK$8,$A101&lt;=BK$9),IF(SUM(BK$10:BK100)-ROUNDDOWN($L101*BK$5/100,0)&lt;-BK$6,-BK$6-SUM(BK$10:BK100),-ROUNDDOWN($L101*BK$5/100,0)),0)</f>
        <v>0</v>
      </c>
      <c r="BL101" s="38">
        <f>IF(AND(BL$7="○",$A101&gt;=BL$8,$A101&lt;=BL$9),IF(SUM(BL$10:BL100)-ROUNDDOWN($L101*BL$5/100,0)&lt;-BL$6,-BL$6-SUM(BL$10:BL100),-ROUNDDOWN($L101*BL$5/100,0)),0)</f>
        <v>0</v>
      </c>
      <c r="BM101" s="38">
        <f>IF(AND(BM$7="○",$A101&gt;=BM$8,$A101&lt;=BM$9),IF(SUM(BM$10:BM100)-ROUNDDOWN($M101*BM$5/100,0)&lt;-BM$6,-BM$6-SUM(BM$10:BM100),-ROUNDDOWN($M101*BM$5/100,0)),0)</f>
        <v>0</v>
      </c>
      <c r="BN101" s="38">
        <f>IF(AND(BN$7="○",$A101&gt;=BN$8,$A101&lt;=BN$9),IF(SUM(BN$10:BN100)-ROUNDDOWN($M101*BN$5/100,0)&lt;-BN$6,-BN$6-SUM(BN$10:BN100),-ROUNDDOWN($M101*BN$5/100,0)),0)</f>
        <v>0</v>
      </c>
      <c r="BO101" s="38">
        <f>IF(AND(BO$7="○",$A101&gt;=BO$8,$A101&lt;=BO$9),IF(SUM(BO$10:BO100)-ROUNDDOWN($M101*BO$5/100,0)&lt;-BO$6,-BO$6-SUM(BO$10:BO100),-ROUNDDOWN($M101*BO$5/100,0)),0)</f>
        <v>0</v>
      </c>
      <c r="BP101" s="38">
        <f>IF(AND(BP$7="○",$A101&gt;=BP$8,$A101&lt;=BP$9),IF(SUM(BP$10:BP100)-ROUNDDOWN($M101*BP$5/100,0)&lt;-BP$6,-BP$6-SUM(BP$10:BP100),-ROUNDDOWN($M101*BP$5/100,0)),0)</f>
        <v>0</v>
      </c>
      <c r="BQ101" s="38">
        <f>IF(AND(BQ$7="○",$A101&gt;=BQ$8,$A101&lt;=BQ$9),IF(SUM(BQ$10:BQ100)-ROUNDDOWN($L101*BQ$5/100,0)&lt;-BQ$6,-BQ$6-SUM(BQ$10:BQ100),-ROUNDDOWN($L101*BQ$5/100,0)),0)</f>
        <v>0</v>
      </c>
      <c r="BR101" s="38">
        <f>IF(AND(BR$7="○",$A101&gt;=BR$8,$A101&lt;=BR$9),IF(SUM(BR$10:BR100)-ROUNDDOWN($M101*BR$5/100,0)&lt;-BR$6,-BR$6-SUM(BR$10:BR100),-ROUNDDOWN($M101*BR$5/100,0)),0)</f>
        <v>0</v>
      </c>
      <c r="BS101" s="38">
        <f>IF(AND(BS$7="○",$A101&gt;=BS$8,$A101&lt;=BS$9),IF(SUM(BS$10:BS100)-ROUNDDOWN($M101*BS$5/100,0)&lt;-BS$6,-BS$6-SUM(BS$10:BS100),-ROUNDDOWN($M101*BS$5/100,0)),0)</f>
        <v>0</v>
      </c>
      <c r="BT101" s="38">
        <f>IF(AND(BT$7="○",$A101&gt;=BT$8,$A101&lt;=BT$9),IF(SUM(BT$10:BT100)-ROUNDDOWN($M101*BT$5/100,0)&lt;-BT$6,-BT$6-SUM(BT$10:BT100),-ROUNDDOWN($M101*BT$5/100,0)),0)</f>
        <v>0</v>
      </c>
      <c r="BU101" s="38">
        <f>IF(AND(BU$7="○",$A101&gt;=BU$8,$A101&lt;=BU$9),IF(SUM(BU$10:BU100)-ROUNDDOWN($M101*BU$5/100,0)&lt;-BU$6,-BU$6-SUM(BU$10:BU100),-ROUNDDOWN($M101*BU$5/100,0)),0)</f>
        <v>0</v>
      </c>
      <c r="BV101" s="38">
        <f>IF(AND(BV$7="○",$A101&gt;=BV$8,$A101&lt;=BV$9),IF(SUM(BV$10:BV100)-ROUNDDOWN($M101*BV$5/100,0)&lt;-BV$6,-BV$6-SUM(BV$10:BV100),-ROUNDDOWN($M101*BV$5/100,0)),0)</f>
        <v>0</v>
      </c>
      <c r="BW101" s="38">
        <f>IF(AND(BW$7="○",$A101&gt;=BW$8,$A101&lt;=BW$9),IF(SUM(BW$10:BW100)-ROUNDDOWN($M101*BW$5/100,0)&lt;-BW$6,-BW$6-SUM(BW$10:BW100),-ROUNDDOWN($M101*BW$5/100,0)),0)</f>
        <v>0</v>
      </c>
      <c r="BX101" s="38">
        <f>IF(AND(T101="○",$A101&gt;=BX$8,$A101&lt;=BX$9),IF(SUM(BX$10:BX100)-ROUNDDOWN($K101*BX$5/100,0)&lt;-BX$6,-BX$6-SUM(BX$10:BX100),-ROUNDDOWN($K101*BX$5/100,0)),0)</f>
        <v>0</v>
      </c>
      <c r="BY101" s="38">
        <f>IF(AND(U101="○",$A101&gt;=BY$8,$A101&lt;=BY$9),IF(SUM(BY$10:BY100)-ROUNDDOWN($K101*BY$5/100,0)&lt;-BY$6,-BY$6-SUM(BY$10:BY100),-ROUNDDOWN($K101*BY$5/100,0)),0)</f>
        <v>0</v>
      </c>
      <c r="BZ101" s="38">
        <f>IF(AND(V101="○",$A101&gt;=BZ$8,$A101&lt;=BZ$9),IF(SUM(BZ$10:BZ100)-ROUNDDOWN($K101*BZ$5/100,0)&lt;-BZ$6,-BZ$6-SUM(BZ$10:BZ100),-ROUNDDOWN($K101*BZ$5/100,0)),0)</f>
        <v>0</v>
      </c>
      <c r="CA101" s="38">
        <f>IF(AND(W101="○",$A101&gt;=CA$8,$A101&lt;=CA$9),IF(SUM(CA$10:CA100)-ROUNDDOWN($K101*CA$5/100,0)&lt;-CA$6,-CA$6-SUM(CA$10:CA100),-ROUNDDOWN($K101*CA$5/100,0)),0)</f>
        <v>0</v>
      </c>
      <c r="CB101" s="38"/>
      <c r="CC101" s="38"/>
      <c r="CD101" s="38"/>
      <c r="CE101" s="38"/>
      <c r="CF101" s="38"/>
      <c r="CG101" s="65">
        <f t="shared" si="94"/>
        <v>0</v>
      </c>
      <c r="CH101" s="71">
        <f t="shared" si="95"/>
        <v>0</v>
      </c>
      <c r="CI101" s="1">
        <f t="shared" si="83"/>
        <v>0</v>
      </c>
      <c r="CJ101" s="1"/>
      <c r="CK101" s="2"/>
      <c r="CL101" s="2"/>
      <c r="CM101" s="2"/>
      <c r="CN101" s="2"/>
      <c r="CO101" s="73">
        <f t="shared" si="84"/>
        <v>0</v>
      </c>
      <c r="CP101" s="5">
        <f t="shared" si="85"/>
        <v>0</v>
      </c>
      <c r="CQ101" s="1"/>
      <c r="CR101" s="1">
        <f t="shared" si="86"/>
        <v>0</v>
      </c>
      <c r="CS101" s="1"/>
      <c r="CT101" s="1" t="e">
        <f>INDEX([2]マスタ!$A:$A,MATCH(D101,[2]マスタ!$C:$C,0))</f>
        <v>#N/A</v>
      </c>
      <c r="CU101" s="1" t="str">
        <f t="shared" ca="1" si="87"/>
        <v>20260620_0-0</v>
      </c>
    </row>
    <row r="102" spans="1:99" x14ac:dyDescent="0.4">
      <c r="A102" s="61"/>
      <c r="B102" s="62"/>
      <c r="C102" s="62"/>
      <c r="D102" s="62"/>
      <c r="E102" s="63"/>
      <c r="F102" s="62"/>
      <c r="G102" s="62">
        <v>1</v>
      </c>
      <c r="H102" s="64">
        <f t="shared" si="74"/>
        <v>0</v>
      </c>
      <c r="I102" s="64"/>
      <c r="J102" s="78"/>
      <c r="K102" s="65">
        <f t="shared" si="98"/>
        <v>0</v>
      </c>
      <c r="L102" s="65">
        <f t="shared" si="76"/>
        <v>0</v>
      </c>
      <c r="M102" s="65">
        <f t="shared" si="77"/>
        <v>0</v>
      </c>
      <c r="N102" s="65">
        <f t="shared" si="78"/>
        <v>0</v>
      </c>
      <c r="O102" s="66" t="str">
        <f t="shared" si="79"/>
        <v>✕</v>
      </c>
      <c r="P102" s="67" t="str">
        <f t="shared" si="80"/>
        <v>○</v>
      </c>
      <c r="Q102" s="67" t="str">
        <f t="shared" si="99"/>
        <v>✕</v>
      </c>
      <c r="R102" s="67" t="str">
        <f t="shared" si="82"/>
        <v>✕</v>
      </c>
      <c r="S102" s="68">
        <v>0</v>
      </c>
      <c r="T102" s="69" t="s">
        <v>85</v>
      </c>
      <c r="U102" s="69" t="s">
        <v>85</v>
      </c>
      <c r="V102" s="69" t="s">
        <v>85</v>
      </c>
      <c r="W102" s="69" t="s">
        <v>85</v>
      </c>
      <c r="X102" s="69" t="s">
        <v>84</v>
      </c>
      <c r="Y102" s="69" t="s">
        <v>85</v>
      </c>
      <c r="Z102" s="69" t="s">
        <v>85</v>
      </c>
      <c r="AA102" s="69" t="s">
        <v>85</v>
      </c>
      <c r="AB102" s="69" t="s">
        <v>85</v>
      </c>
      <c r="AC102" s="69" t="s">
        <v>85</v>
      </c>
      <c r="AD102" s="38" t="str">
        <f>+IF(ISERROR(VLOOKUP($B102,AD$10:AD101,1,0)),IF(AND($N102&gt;=1000,$A102&gt;=AO$8,$A102&lt;=AO$9),$B102,""),"")</f>
        <v/>
      </c>
      <c r="AE102" s="38" t="str">
        <f>+IF(ISERROR(VLOOKUP($B102,AE$10:AE101,1,0)),IF(AND($N102&gt;=1000,$A102&gt;=AP$8,$A102&lt;=AP$9),$B102,""),"")</f>
        <v/>
      </c>
      <c r="AF102" s="38" t="str">
        <f>+IF(ISERROR(VLOOKUP($B102,AF$10:AF101,1,0)),IF(AND($N102&gt;=1000,$A102&gt;=AQ$8,$A102&lt;=AQ$9),$B102,""),"")</f>
        <v/>
      </c>
      <c r="AG102" s="38" t="str">
        <f>+IF(ISERROR(VLOOKUP($B102,AG$10:AG101,1,0)),IF(AND($N102&gt;=1000,$A102&gt;=AR$8,$A102&lt;=AR$9),$B102,""),"")</f>
        <v/>
      </c>
      <c r="AH102" s="38"/>
      <c r="AI102" s="70">
        <v>0</v>
      </c>
      <c r="AJ102" s="38">
        <f>IF(AND(AJ$7="○",$A102&gt;=AJ$8,$A102&lt;=AJ$9),IF(SUM(AJ$10:AJ101)-ROUNDDOWN($K102*AJ$5/100,0)&lt;-AJ$6,-AJ$6-SUM(AJ$10:AJ101),-ROUNDDOWN($K102*AJ$5/100,0)),0)</f>
        <v>0</v>
      </c>
      <c r="AK102" s="38">
        <f>IF(AND(AK$7="○",$A102&gt;=AK$8,$A102&lt;=AK$9),IF(SUM(AK$10:AK101)-ROUNDDOWN($L102*AK$5/100,0)&lt;-AK$6,-AK$6-SUM(AK$10:AK101),-ROUNDDOWN($L102*AK$5/100,0)),0)</f>
        <v>0</v>
      </c>
      <c r="AL102" s="38">
        <f>IF(AND(AL$7="○",$A102&gt;=AL$8,$A102&lt;=AL$9),IF(SUM(AL$10:AL101)-ROUNDDOWN($N102*AL$5/100,0)&lt;-AL$6,-AL$6-SUM(AL$10:AL101),-ROUNDDOWN($N102*AL$5/100,0)),0)</f>
        <v>0</v>
      </c>
      <c r="AM102" s="38">
        <f>IF(AND(AM$7="○",$A102&gt;=AM$8,$A102&lt;=AM$9),IF(SUM(AM$10:AM101)-ROUNDDOWN($L102*AM$5/100,0)&lt;-AM$6,-AM$6-SUM(AM$10:AM101),-ROUNDDOWN($L102*AM$5/100,0)),0)</f>
        <v>0</v>
      </c>
      <c r="AN102" s="38">
        <f>IF(AND(AN$7="○",$A102&gt;=AN$8,$A102&lt;=AN$9),IF(SUM(AN$10:AN101)-ROUNDDOWN($M102*AN$5/100,0)&lt;-AN$6,-AN$6-SUM(AN$10:AN101),-ROUNDDOWN($M102*AN$5/100,0)),0)</f>
        <v>0</v>
      </c>
      <c r="AO102" s="38">
        <f>IF(AND($A102&gt;=AO$8,$A102&lt;=AO$9),IF(SUM(AO$10:AO101)-ROUNDDOWN($K102*AO$5/100,0)&lt;-AO$6,-AO$6-SUM(AO$10:AO101),-ROUNDDOWN($K102*AO$5/100,0)),0)</f>
        <v>0</v>
      </c>
      <c r="AP102" s="38">
        <f>IF(AND($A102&gt;=AP$8,$A102&lt;=AP$9),IF(SUM(AP$10:AP101)-ROUNDDOWN($K102*AP$5/100,0)&lt;-AP$6,-AP$6-SUM(AP$10:AP101),-ROUNDDOWN($K102*AP$5/100,0)),0)</f>
        <v>0</v>
      </c>
      <c r="AQ102" s="38">
        <f>IF(AND($A102&gt;=AQ$8,$A102&lt;=AQ$9),IF(SUM(AQ$10:AQ101)-ROUNDDOWN($K102*AQ$5/100,0)&lt;-AQ$6,-AQ$6-SUM(AQ$10:AQ101),-ROUNDDOWN($K102*AQ$5/100,0)),0)</f>
        <v>0</v>
      </c>
      <c r="AR102" s="38">
        <f>IF(AND($A102&gt;=AR$8,$A102&lt;=AR$9),IF(SUM(AR$10:AR101)-ROUNDDOWN($K102*AR$5/100,0)&lt;-AR$6,-AR$6-SUM(AR$10:AR101),-ROUNDDOWN($K102*AR$5/100,0)),0)</f>
        <v>0</v>
      </c>
      <c r="AS102" s="38">
        <f>IF(SUMIFS(AS$10:AS101,$A$10:$A101,$A102)-ROUNDDOWN($K102*$S102/100,0)&lt;-$S102*1000,-$S102*1000-SUMIFS(AS$10:AS101,$A$10:$A101,$A102),-ROUNDDOWN($K102*$S102/100,0))</f>
        <v>0</v>
      </c>
      <c r="AT102" s="38">
        <f>IF(AND(X102="○",$A102&gt;=AT$8,$A102&lt;=AT$9,K102&gt;=3980),IF(SUM(AT$10:AT101)-ROUNDDOWN($K102*AT$5/100,0)&lt;-AT$6,-AT$6-SUM(AT$10:AT101),-ROUNDDOWN($K102*AT$5/100,0)),0)</f>
        <v>0</v>
      </c>
      <c r="AU102" s="38">
        <f>IF(O102="○",IF(SUM(AU$10:AU101)-ROUNDDOWN($K102*AU$5/100,0)&lt;-AU$6,-AU$6-SUM(AU$10:AU101),-ROUNDDOWN($K102*AU$5/100,0)),0)</f>
        <v>0</v>
      </c>
      <c r="AV102" s="38">
        <f>IF(P102="○",IF(SUM(AV$10:AV101)-ROUNDDOWN($K102*AV$5/100,0)&lt;-AV$6,-AV$6-SUM(AV$10:AV101),-ROUNDDOWN($K102*AV$5/100,0)),0)</f>
        <v>0</v>
      </c>
      <c r="AW102" s="38">
        <f>IF(Q102="○",IF(SUM(AW$10:AW101)-ROUNDDOWN($K102*AW$5/100,0)&lt;-AW$6,-AW$6-SUM(AW$10:AW101),-ROUNDDOWN($K102*AW$5/100,0)),0)</f>
        <v>0</v>
      </c>
      <c r="AX102" s="38">
        <f>IF(R102="○",IF(SUM(AX$10:AX101)-ROUNDDOWN($K102*AX$5/100,0)&lt;-AX$6,-AX$6-SUM(AX$10:AX101),-ROUNDDOWN($K102*AX$5/100,0)),0)</f>
        <v>0</v>
      </c>
      <c r="AY102" s="70">
        <v>0</v>
      </c>
      <c r="AZ102" s="65">
        <f t="shared" si="88"/>
        <v>0</v>
      </c>
      <c r="BA102" s="65">
        <f t="shared" si="89"/>
        <v>0</v>
      </c>
      <c r="BB102" s="70"/>
      <c r="BC102" s="65">
        <f t="shared" si="90"/>
        <v>0</v>
      </c>
      <c r="BD102" s="70">
        <v>0</v>
      </c>
      <c r="BE102" s="65">
        <f t="shared" si="91"/>
        <v>0</v>
      </c>
      <c r="BF102" s="70">
        <v>0</v>
      </c>
      <c r="BG102" s="65">
        <f t="shared" si="92"/>
        <v>0</v>
      </c>
      <c r="BH102" s="70">
        <v>0</v>
      </c>
      <c r="BI102" s="65">
        <f t="shared" si="93"/>
        <v>0</v>
      </c>
      <c r="BJ102" s="38">
        <f>IF(AND(BJ$7="○",$A102&gt;=BJ$8,$A102&lt;=BJ$9),IF(SUM(BJ$10:BJ101)-ROUNDDOWN($M102*BJ$5/100,0)&lt;-BJ$6,-BJ$6-SUM(BJ$10:BJ101),-ROUNDDOWN($M102*BJ$5/100,0)),0)</f>
        <v>0</v>
      </c>
      <c r="BK102" s="38">
        <f>IF(AND(BK$7="○",$A102&gt;=BK$8,$A102&lt;=BK$9),IF(SUM(BK$10:BK101)-ROUNDDOWN($L102*BK$5/100,0)&lt;-BK$6,-BK$6-SUM(BK$10:BK101),-ROUNDDOWN($L102*BK$5/100,0)),0)</f>
        <v>0</v>
      </c>
      <c r="BL102" s="38">
        <f>IF(AND(BL$7="○",$A102&gt;=BL$8,$A102&lt;=BL$9),IF(SUM(BL$10:BL101)-ROUNDDOWN($L102*BL$5/100,0)&lt;-BL$6,-BL$6-SUM(BL$10:BL101),-ROUNDDOWN($L102*BL$5/100,0)),0)</f>
        <v>0</v>
      </c>
      <c r="BM102" s="38">
        <f>IF(AND(BM$7="○",$A102&gt;=BM$8,$A102&lt;=BM$9),IF(SUM(BM$10:BM101)-ROUNDDOWN($M102*BM$5/100,0)&lt;-BM$6,-BM$6-SUM(BM$10:BM101),-ROUNDDOWN($M102*BM$5/100,0)),0)</f>
        <v>0</v>
      </c>
      <c r="BN102" s="38">
        <f>IF(AND(BN$7="○",$A102&gt;=BN$8,$A102&lt;=BN$9),IF(SUM(BN$10:BN101)-ROUNDDOWN($M102*BN$5/100,0)&lt;-BN$6,-BN$6-SUM(BN$10:BN101),-ROUNDDOWN($M102*BN$5/100,0)),0)</f>
        <v>0</v>
      </c>
      <c r="BO102" s="38">
        <f>IF(AND(BO$7="○",$A102&gt;=BO$8,$A102&lt;=BO$9),IF(SUM(BO$10:BO101)-ROUNDDOWN($M102*BO$5/100,0)&lt;-BO$6,-BO$6-SUM(BO$10:BO101),-ROUNDDOWN($M102*BO$5/100,0)),0)</f>
        <v>0</v>
      </c>
      <c r="BP102" s="38">
        <f>IF(AND(BP$7="○",$A102&gt;=BP$8,$A102&lt;=BP$9),IF(SUM(BP$10:BP101)-ROUNDDOWN($M102*BP$5/100,0)&lt;-BP$6,-BP$6-SUM(BP$10:BP101),-ROUNDDOWN($M102*BP$5/100,0)),0)</f>
        <v>0</v>
      </c>
      <c r="BQ102" s="38">
        <f>IF(AND(BQ$7="○",$A102&gt;=BQ$8,$A102&lt;=BQ$9),IF(SUM(BQ$10:BQ101)-ROUNDDOWN($L102*BQ$5/100,0)&lt;-BQ$6,-BQ$6-SUM(BQ$10:BQ101),-ROUNDDOWN($L102*BQ$5/100,0)),0)</f>
        <v>0</v>
      </c>
      <c r="BR102" s="38">
        <f>IF(AND(BR$7="○",$A102&gt;=BR$8,$A102&lt;=BR$9),IF(SUM(BR$10:BR101)-ROUNDDOWN($M102*BR$5/100,0)&lt;-BR$6,-BR$6-SUM(BR$10:BR101),-ROUNDDOWN($M102*BR$5/100,0)),0)</f>
        <v>0</v>
      </c>
      <c r="BS102" s="38">
        <f>IF(AND(BS$7="○",$A102&gt;=BS$8,$A102&lt;=BS$9),IF(SUM(BS$10:BS101)-ROUNDDOWN($M102*BS$5/100,0)&lt;-BS$6,-BS$6-SUM(BS$10:BS101),-ROUNDDOWN($M102*BS$5/100,0)),0)</f>
        <v>0</v>
      </c>
      <c r="BT102" s="38">
        <f>IF(AND(BT$7="○",$A102&gt;=BT$8,$A102&lt;=BT$9),IF(SUM(BT$10:BT101)-ROUNDDOWN($M102*BT$5/100,0)&lt;-BT$6,-BT$6-SUM(BT$10:BT101),-ROUNDDOWN($M102*BT$5/100,0)),0)</f>
        <v>0</v>
      </c>
      <c r="BU102" s="38">
        <f>IF(AND(BU$7="○",$A102&gt;=BU$8,$A102&lt;=BU$9),IF(SUM(BU$10:BU101)-ROUNDDOWN($M102*BU$5/100,0)&lt;-BU$6,-BU$6-SUM(BU$10:BU101),-ROUNDDOWN($M102*BU$5/100,0)),0)</f>
        <v>0</v>
      </c>
      <c r="BV102" s="38">
        <f>IF(AND(BV$7="○",$A102&gt;=BV$8,$A102&lt;=BV$9),IF(SUM(BV$10:BV101)-ROUNDDOWN($M102*BV$5/100,0)&lt;-BV$6,-BV$6-SUM(BV$10:BV101),-ROUNDDOWN($M102*BV$5/100,0)),0)</f>
        <v>0</v>
      </c>
      <c r="BW102" s="38">
        <f>IF(AND(BW$7="○",$A102&gt;=BW$8,$A102&lt;=BW$9),IF(SUM(BW$10:BW101)-ROUNDDOWN($M102*BW$5/100,0)&lt;-BW$6,-BW$6-SUM(BW$10:BW101),-ROUNDDOWN($M102*BW$5/100,0)),0)</f>
        <v>0</v>
      </c>
      <c r="BX102" s="38">
        <f>IF(AND(T102="○",$A102&gt;=BX$8,$A102&lt;=BX$9),IF(SUM(BX$10:BX101)-ROUNDDOWN($K102*BX$5/100,0)&lt;-BX$6,-BX$6-SUM(BX$10:BX101),-ROUNDDOWN($K102*BX$5/100,0)),0)</f>
        <v>0</v>
      </c>
      <c r="BY102" s="38">
        <f>IF(AND(U102="○",$A102&gt;=BY$8,$A102&lt;=BY$9),IF(SUM(BY$10:BY101)-ROUNDDOWN($K102*BY$5/100,0)&lt;-BY$6,-BY$6-SUM(BY$10:BY101),-ROUNDDOWN($K102*BY$5/100,0)),0)</f>
        <v>0</v>
      </c>
      <c r="BZ102" s="38">
        <f>IF(AND(V102="○",$A102&gt;=BZ$8,$A102&lt;=BZ$9),IF(SUM(BZ$10:BZ101)-ROUNDDOWN($K102*BZ$5/100,0)&lt;-BZ$6,-BZ$6-SUM(BZ$10:BZ101),-ROUNDDOWN($K102*BZ$5/100,0)),0)</f>
        <v>0</v>
      </c>
      <c r="CA102" s="38">
        <f>IF(AND(W102="○",$A102&gt;=CA$8,$A102&lt;=CA$9),IF(SUM(CA$10:CA101)-ROUNDDOWN($K102*CA$5/100,0)&lt;-CA$6,-CA$6-SUM(CA$10:CA101),-ROUNDDOWN($K102*CA$5/100,0)),0)</f>
        <v>0</v>
      </c>
      <c r="CB102" s="38"/>
      <c r="CC102" s="38"/>
      <c r="CD102" s="38"/>
      <c r="CE102" s="38"/>
      <c r="CF102" s="38"/>
      <c r="CG102" s="65">
        <f t="shared" si="94"/>
        <v>0</v>
      </c>
      <c r="CH102" s="71">
        <f t="shared" si="95"/>
        <v>0</v>
      </c>
      <c r="CI102" s="1">
        <f t="shared" si="83"/>
        <v>0</v>
      </c>
      <c r="CJ102" s="1"/>
      <c r="CK102" s="79"/>
      <c r="CL102" s="79"/>
      <c r="CM102" s="2"/>
      <c r="CN102" s="2"/>
      <c r="CO102" s="73">
        <f t="shared" si="84"/>
        <v>0</v>
      </c>
      <c r="CP102" s="5">
        <f t="shared" si="85"/>
        <v>0</v>
      </c>
      <c r="CQ102" s="1"/>
      <c r="CR102" s="1">
        <f t="shared" si="86"/>
        <v>0</v>
      </c>
      <c r="CS102" s="1"/>
      <c r="CT102" s="1" t="e">
        <f>INDEX([2]マスタ!$A:$A,MATCH(D102,[2]マスタ!$C:$C,0))</f>
        <v>#N/A</v>
      </c>
      <c r="CU102" s="1" t="str">
        <f t="shared" ca="1" si="87"/>
        <v>20260620_0-0</v>
      </c>
    </row>
    <row r="103" spans="1:99" x14ac:dyDescent="0.4">
      <c r="A103" s="61"/>
      <c r="B103" s="62"/>
      <c r="C103" s="62"/>
      <c r="D103" s="62"/>
      <c r="E103" s="63"/>
      <c r="F103" s="62"/>
      <c r="G103" s="62">
        <v>1</v>
      </c>
      <c r="H103" s="64">
        <f t="shared" si="74"/>
        <v>0</v>
      </c>
      <c r="I103" s="64"/>
      <c r="J103" s="78"/>
      <c r="K103" s="65">
        <f t="shared" si="98"/>
        <v>0</v>
      </c>
      <c r="L103" s="65">
        <f t="shared" si="76"/>
        <v>0</v>
      </c>
      <c r="M103" s="65">
        <f t="shared" si="77"/>
        <v>0</v>
      </c>
      <c r="N103" s="65">
        <f t="shared" si="78"/>
        <v>0</v>
      </c>
      <c r="O103" s="66" t="str">
        <f t="shared" si="79"/>
        <v>✕</v>
      </c>
      <c r="P103" s="67" t="str">
        <f t="shared" si="80"/>
        <v>○</v>
      </c>
      <c r="Q103" s="67" t="str">
        <f t="shared" si="99"/>
        <v>✕</v>
      </c>
      <c r="R103" s="67" t="str">
        <f t="shared" si="82"/>
        <v>✕</v>
      </c>
      <c r="S103" s="68">
        <v>0</v>
      </c>
      <c r="T103" s="69" t="s">
        <v>85</v>
      </c>
      <c r="U103" s="69" t="s">
        <v>85</v>
      </c>
      <c r="V103" s="69" t="s">
        <v>85</v>
      </c>
      <c r="W103" s="69" t="s">
        <v>85</v>
      </c>
      <c r="X103" s="69" t="s">
        <v>84</v>
      </c>
      <c r="Y103" s="69" t="s">
        <v>85</v>
      </c>
      <c r="Z103" s="69" t="s">
        <v>85</v>
      </c>
      <c r="AA103" s="69" t="s">
        <v>85</v>
      </c>
      <c r="AB103" s="69" t="s">
        <v>85</v>
      </c>
      <c r="AC103" s="69" t="s">
        <v>85</v>
      </c>
      <c r="AD103" s="38" t="str">
        <f>+IF(ISERROR(VLOOKUP($B103,AD$10:AD102,1,0)),IF(AND($N103&gt;=1000,$A103&gt;=AO$8,$A103&lt;=AO$9),$B103,""),"")</f>
        <v/>
      </c>
      <c r="AE103" s="38" t="str">
        <f>+IF(ISERROR(VLOOKUP($B103,AE$10:AE102,1,0)),IF(AND($N103&gt;=1000,$A103&gt;=AP$8,$A103&lt;=AP$9),$B103,""),"")</f>
        <v/>
      </c>
      <c r="AF103" s="38" t="str">
        <f>+IF(ISERROR(VLOOKUP($B103,AF$10:AF102,1,0)),IF(AND($N103&gt;=1000,$A103&gt;=AQ$8,$A103&lt;=AQ$9),$B103,""),"")</f>
        <v/>
      </c>
      <c r="AG103" s="38" t="str">
        <f>+IF(ISERROR(VLOOKUP($B103,AG$10:AG102,1,0)),IF(AND($N103&gt;=1000,$A103&gt;=AR$8,$A103&lt;=AR$9),$B103,""),"")</f>
        <v/>
      </c>
      <c r="AH103" s="38"/>
      <c r="AI103" s="70">
        <v>0</v>
      </c>
      <c r="AJ103" s="38">
        <f>IF(AND(AJ$7="○",$A103&gt;=AJ$8,$A103&lt;=AJ$9),IF(SUM(AJ$10:AJ102)-ROUNDDOWN($K103*AJ$5/100,0)&lt;-AJ$6,-AJ$6-SUM(AJ$10:AJ102),-ROUNDDOWN($K103*AJ$5/100,0)),0)</f>
        <v>0</v>
      </c>
      <c r="AK103" s="38">
        <f>IF(AND(AK$7="○",$A103&gt;=AK$8,$A103&lt;=AK$9),IF(SUM(AK$10:AK102)-ROUNDDOWN($L103*AK$5/100,0)&lt;-AK$6,-AK$6-SUM(AK$10:AK102),-ROUNDDOWN($L103*AK$5/100,0)),0)</f>
        <v>0</v>
      </c>
      <c r="AL103" s="38">
        <f>IF(AND(AL$7="○",$A103&gt;=AL$8,$A103&lt;=AL$9),IF(SUM(AL$10:AL102)-ROUNDDOWN($N103*AL$5/100,0)&lt;-AL$6,-AL$6-SUM(AL$10:AL102),-ROUNDDOWN($N103*AL$5/100,0)),0)</f>
        <v>0</v>
      </c>
      <c r="AM103" s="38">
        <f>IF(AND(AM$7="○",$A103&gt;=AM$8,$A103&lt;=AM$9),IF(SUM(AM$10:AM102)-ROUNDDOWN($L103*AM$5/100,0)&lt;-AM$6,-AM$6-SUM(AM$10:AM102),-ROUNDDOWN($L103*AM$5/100,0)),0)</f>
        <v>0</v>
      </c>
      <c r="AN103" s="38">
        <f>IF(AND(AN$7="○",$A103&gt;=AN$8,$A103&lt;=AN$9),IF(SUM(AN$10:AN102)-ROUNDDOWN($M103*AN$5/100,0)&lt;-AN$6,-AN$6-SUM(AN$10:AN102),-ROUNDDOWN($M103*AN$5/100,0)),0)</f>
        <v>0</v>
      </c>
      <c r="AO103" s="38">
        <f>IF(AND($A103&gt;=AO$8,$A103&lt;=AO$9),IF(SUM(AO$10:AO102)-ROUNDDOWN($K103*AO$5/100,0)&lt;-AO$6,-AO$6-SUM(AO$10:AO102),-ROUNDDOWN($K103*AO$5/100,0)),0)</f>
        <v>0</v>
      </c>
      <c r="AP103" s="38">
        <f>IF(AND($A103&gt;=AP$8,$A103&lt;=AP$9),IF(SUM(AP$10:AP102)-ROUNDDOWN($K103*AP$5/100,0)&lt;-AP$6,-AP$6-SUM(AP$10:AP102),-ROUNDDOWN($K103*AP$5/100,0)),0)</f>
        <v>0</v>
      </c>
      <c r="AQ103" s="38">
        <f>IF(AND($A103&gt;=AQ$8,$A103&lt;=AQ$9),IF(SUM(AQ$10:AQ102)-ROUNDDOWN($K103*AQ$5/100,0)&lt;-AQ$6,-AQ$6-SUM(AQ$10:AQ102),-ROUNDDOWN($K103*AQ$5/100,0)),0)</f>
        <v>0</v>
      </c>
      <c r="AR103" s="38">
        <f>IF(AND($A103&gt;=AR$8,$A103&lt;=AR$9),IF(SUM(AR$10:AR102)-ROUNDDOWN($K103*AR$5/100,0)&lt;-AR$6,-AR$6-SUM(AR$10:AR102),-ROUNDDOWN($K103*AR$5/100,0)),0)</f>
        <v>0</v>
      </c>
      <c r="AS103" s="38">
        <f>IF(SUMIFS(AS$10:AS102,$A$10:$A102,$A103)-ROUNDDOWN($K103*$S103/100,0)&lt;-$S103*1000,-$S103*1000-SUMIFS(AS$10:AS102,$A$10:$A102,$A103),-ROUNDDOWN($K103*$S103/100,0))</f>
        <v>0</v>
      </c>
      <c r="AT103" s="38">
        <f>IF(AND(X103="○",$A103&gt;=AT$8,$A103&lt;=AT$9,K103&gt;=3980),IF(SUM(AT$10:AT102)-ROUNDDOWN($K103*AT$5/100,0)&lt;-AT$6,-AT$6-SUM(AT$10:AT102),-ROUNDDOWN($K103*AT$5/100,0)),0)</f>
        <v>0</v>
      </c>
      <c r="AU103" s="38">
        <f>IF(O103="○",IF(SUM(AU$10:AU102)-ROUNDDOWN($K103*AU$5/100,0)&lt;-AU$6,-AU$6-SUM(AU$10:AU102),-ROUNDDOWN($K103*AU$5/100,0)),0)</f>
        <v>0</v>
      </c>
      <c r="AV103" s="38">
        <f>IF(P103="○",IF(SUM(AV$10:AV102)-ROUNDDOWN($K103*AV$5/100,0)&lt;-AV$6,-AV$6-SUM(AV$10:AV102),-ROUNDDOWN($K103*AV$5/100,0)),0)</f>
        <v>0</v>
      </c>
      <c r="AW103" s="38">
        <f>IF(Q103="○",IF(SUM(AW$10:AW102)-ROUNDDOWN($K103*AW$5/100,0)&lt;-AW$6,-AW$6-SUM(AW$10:AW102),-ROUNDDOWN($K103*AW$5/100,0)),0)</f>
        <v>0</v>
      </c>
      <c r="AX103" s="38">
        <f>IF(R103="○",IF(SUM(AX$10:AX102)-ROUNDDOWN($K103*AX$5/100,0)&lt;-AX$6,-AX$6-SUM(AX$10:AX102),-ROUNDDOWN($K103*AX$5/100,0)),0)</f>
        <v>0</v>
      </c>
      <c r="AY103" s="70">
        <v>0</v>
      </c>
      <c r="AZ103" s="65">
        <f t="shared" si="88"/>
        <v>0</v>
      </c>
      <c r="BA103" s="65">
        <f t="shared" si="89"/>
        <v>0</v>
      </c>
      <c r="BB103" s="70"/>
      <c r="BC103" s="65">
        <f t="shared" si="90"/>
        <v>0</v>
      </c>
      <c r="BD103" s="70">
        <v>0</v>
      </c>
      <c r="BE103" s="65">
        <f t="shared" si="91"/>
        <v>0</v>
      </c>
      <c r="BF103" s="70">
        <v>0</v>
      </c>
      <c r="BG103" s="65">
        <f t="shared" si="92"/>
        <v>0</v>
      </c>
      <c r="BH103" s="70">
        <v>0</v>
      </c>
      <c r="BI103" s="65">
        <f t="shared" si="93"/>
        <v>0</v>
      </c>
      <c r="BJ103" s="38">
        <f>IF(AND(BJ$7="○",$A103&gt;=BJ$8,$A103&lt;=BJ$9),IF(SUM(BJ$10:BJ102)-ROUNDDOWN($M103*BJ$5/100,0)&lt;-BJ$6,-BJ$6-SUM(BJ$10:BJ102),-ROUNDDOWN($M103*BJ$5/100,0)),0)</f>
        <v>0</v>
      </c>
      <c r="BK103" s="38">
        <f>IF(AND(BK$7="○",$A103&gt;=BK$8,$A103&lt;=BK$9),IF(SUM(BK$10:BK102)-ROUNDDOWN($L103*BK$5/100,0)&lt;-BK$6,-BK$6-SUM(BK$10:BK102),-ROUNDDOWN($L103*BK$5/100,0)),0)</f>
        <v>0</v>
      </c>
      <c r="BL103" s="38">
        <f>IF(AND(BL$7="○",$A103&gt;=BL$8,$A103&lt;=BL$9),IF(SUM(BL$10:BL102)-ROUNDDOWN($L103*BL$5/100,0)&lt;-BL$6,-BL$6-SUM(BL$10:BL102),-ROUNDDOWN($L103*BL$5/100,0)),0)</f>
        <v>0</v>
      </c>
      <c r="BM103" s="38">
        <f>IF(AND(BM$7="○",$A103&gt;=BM$8,$A103&lt;=BM$9),IF(SUM(BM$10:BM102)-ROUNDDOWN($M103*BM$5/100,0)&lt;-BM$6,-BM$6-SUM(BM$10:BM102),-ROUNDDOWN($M103*BM$5/100,0)),0)</f>
        <v>0</v>
      </c>
      <c r="BN103" s="38">
        <f>IF(AND(BN$7="○",$A103&gt;=BN$8,$A103&lt;=BN$9),IF(SUM(BN$10:BN102)-ROUNDDOWN($M103*BN$5/100,0)&lt;-BN$6,-BN$6-SUM(BN$10:BN102),-ROUNDDOWN($M103*BN$5/100,0)),0)</f>
        <v>0</v>
      </c>
      <c r="BO103" s="38">
        <f>IF(AND(BO$7="○",$A103&gt;=BO$8,$A103&lt;=BO$9),IF(SUM(BO$10:BO102)-ROUNDDOWN($M103*BO$5/100,0)&lt;-BO$6,-BO$6-SUM(BO$10:BO102),-ROUNDDOWN($M103*BO$5/100,0)),0)</f>
        <v>0</v>
      </c>
      <c r="BP103" s="38">
        <f>IF(AND(BP$7="○",$A103&gt;=BP$8,$A103&lt;=BP$9),IF(SUM(BP$10:BP102)-ROUNDDOWN($M103*BP$5/100,0)&lt;-BP$6,-BP$6-SUM(BP$10:BP102),-ROUNDDOWN($M103*BP$5/100,0)),0)</f>
        <v>0</v>
      </c>
      <c r="BQ103" s="38">
        <f>IF(AND(BQ$7="○",$A103&gt;=BQ$8,$A103&lt;=BQ$9),IF(SUM(BQ$10:BQ102)-ROUNDDOWN($L103*BQ$5/100,0)&lt;-BQ$6,-BQ$6-SUM(BQ$10:BQ102),-ROUNDDOWN($L103*BQ$5/100,0)),0)</f>
        <v>0</v>
      </c>
      <c r="BR103" s="38">
        <f>IF(AND(BR$7="○",$A103&gt;=BR$8,$A103&lt;=BR$9),IF(SUM(BR$10:BR102)-ROUNDDOWN($M103*BR$5/100,0)&lt;-BR$6,-BR$6-SUM(BR$10:BR102),-ROUNDDOWN($M103*BR$5/100,0)),0)</f>
        <v>0</v>
      </c>
      <c r="BS103" s="38">
        <f>IF(AND(BS$7="○",$A103&gt;=BS$8,$A103&lt;=BS$9),IF(SUM(BS$10:BS102)-ROUNDDOWN($M103*BS$5/100,0)&lt;-BS$6,-BS$6-SUM(BS$10:BS102),-ROUNDDOWN($M103*BS$5/100,0)),0)</f>
        <v>0</v>
      </c>
      <c r="BT103" s="38">
        <f>IF(AND(BT$7="○",$A103&gt;=BT$8,$A103&lt;=BT$9),IF(SUM(BT$10:BT102)-ROUNDDOWN($M103*BT$5/100,0)&lt;-BT$6,-BT$6-SUM(BT$10:BT102),-ROUNDDOWN($M103*BT$5/100,0)),0)</f>
        <v>0</v>
      </c>
      <c r="BU103" s="38">
        <f>IF(AND(BU$7="○",$A103&gt;=BU$8,$A103&lt;=BU$9),IF(SUM(BU$10:BU102)-ROUNDDOWN($M103*BU$5/100,0)&lt;-BU$6,-BU$6-SUM(BU$10:BU102),-ROUNDDOWN($M103*BU$5/100,0)),0)</f>
        <v>0</v>
      </c>
      <c r="BV103" s="38">
        <f>IF(AND(BV$7="○",$A103&gt;=BV$8,$A103&lt;=BV$9),IF(SUM(BV$10:BV102)-ROUNDDOWN($M103*BV$5/100,0)&lt;-BV$6,-BV$6-SUM(BV$10:BV102),-ROUNDDOWN($M103*BV$5/100,0)),0)</f>
        <v>0</v>
      </c>
      <c r="BW103" s="38">
        <f>IF(AND(BW$7="○",$A103&gt;=BW$8,$A103&lt;=BW$9),IF(SUM(BW$10:BW102)-ROUNDDOWN($M103*BW$5/100,0)&lt;-BW$6,-BW$6-SUM(BW$10:BW102),-ROUNDDOWN($M103*BW$5/100,0)),0)</f>
        <v>0</v>
      </c>
      <c r="BX103" s="38">
        <f>IF(AND(T103="○",$A103&gt;=BX$8,$A103&lt;=BX$9),IF(SUM(BX$10:BX102)-ROUNDDOWN($K103*BX$5/100,0)&lt;-BX$6,-BX$6-SUM(BX$10:BX102),-ROUNDDOWN($K103*BX$5/100,0)),0)</f>
        <v>0</v>
      </c>
      <c r="BY103" s="38">
        <f>IF(AND(U103="○",$A103&gt;=BY$8,$A103&lt;=BY$9),IF(SUM(BY$10:BY102)-ROUNDDOWN($K103*BY$5/100,0)&lt;-BY$6,-BY$6-SUM(BY$10:BY102),-ROUNDDOWN($K103*BY$5/100,0)),0)</f>
        <v>0</v>
      </c>
      <c r="BZ103" s="38">
        <f>IF(AND(V103="○",$A103&gt;=BZ$8,$A103&lt;=BZ$9),IF(SUM(BZ$10:BZ102)-ROUNDDOWN($K103*BZ$5/100,0)&lt;-BZ$6,-BZ$6-SUM(BZ$10:BZ102),-ROUNDDOWN($K103*BZ$5/100,0)),0)</f>
        <v>0</v>
      </c>
      <c r="CA103" s="38">
        <f>IF(AND(W103="○",$A103&gt;=CA$8,$A103&lt;=CA$9),IF(SUM(CA$10:CA102)-ROUNDDOWN($K103*CA$5/100,0)&lt;-CA$6,-CA$6-SUM(CA$10:CA102),-ROUNDDOWN($K103*CA$5/100,0)),0)</f>
        <v>0</v>
      </c>
      <c r="CB103" s="38"/>
      <c r="CC103" s="38"/>
      <c r="CD103" s="38"/>
      <c r="CE103" s="38"/>
      <c r="CF103" s="38"/>
      <c r="CG103" s="65">
        <f t="shared" si="94"/>
        <v>0</v>
      </c>
      <c r="CH103" s="71">
        <f t="shared" si="95"/>
        <v>0</v>
      </c>
      <c r="CI103" s="1">
        <f t="shared" si="83"/>
        <v>0</v>
      </c>
      <c r="CJ103" s="1"/>
      <c r="CK103" s="79"/>
      <c r="CL103" s="79"/>
      <c r="CM103" s="2"/>
      <c r="CN103" s="2"/>
      <c r="CO103" s="73">
        <f t="shared" si="84"/>
        <v>0</v>
      </c>
      <c r="CP103" s="5">
        <f t="shared" si="85"/>
        <v>0</v>
      </c>
      <c r="CQ103" s="1"/>
      <c r="CR103" s="1">
        <f t="shared" si="86"/>
        <v>0</v>
      </c>
      <c r="CS103" s="1"/>
      <c r="CT103" s="1" t="e">
        <f>INDEX([2]マスタ!$A:$A,MATCH(D103,[2]マスタ!$C:$C,0))</f>
        <v>#N/A</v>
      </c>
      <c r="CU103" s="1" t="str">
        <f t="shared" ca="1" si="87"/>
        <v>20260620_0-0</v>
      </c>
    </row>
    <row r="104" spans="1:99" x14ac:dyDescent="0.4">
      <c r="A104" s="61"/>
      <c r="B104" s="62"/>
      <c r="C104" s="62"/>
      <c r="D104" s="62"/>
      <c r="E104" s="77"/>
      <c r="F104" s="62"/>
      <c r="G104" s="62">
        <v>1</v>
      </c>
      <c r="H104" s="64">
        <f t="shared" si="74"/>
        <v>0</v>
      </c>
      <c r="I104" s="64"/>
      <c r="J104" s="64"/>
      <c r="K104" s="65">
        <f t="shared" si="98"/>
        <v>0</v>
      </c>
      <c r="L104" s="65">
        <f t="shared" si="76"/>
        <v>0</v>
      </c>
      <c r="M104" s="65">
        <f t="shared" si="77"/>
        <v>0</v>
      </c>
      <c r="N104" s="65">
        <f t="shared" si="78"/>
        <v>0</v>
      </c>
      <c r="O104" s="66" t="str">
        <f t="shared" si="79"/>
        <v>✕</v>
      </c>
      <c r="P104" s="67" t="str">
        <f t="shared" si="80"/>
        <v>○</v>
      </c>
      <c r="Q104" s="67" t="str">
        <f t="shared" si="99"/>
        <v>✕</v>
      </c>
      <c r="R104" s="67" t="str">
        <f t="shared" si="82"/>
        <v>✕</v>
      </c>
      <c r="S104" s="68">
        <v>0</v>
      </c>
      <c r="T104" s="69" t="s">
        <v>85</v>
      </c>
      <c r="U104" s="69" t="s">
        <v>85</v>
      </c>
      <c r="V104" s="69" t="s">
        <v>85</v>
      </c>
      <c r="W104" s="69" t="s">
        <v>85</v>
      </c>
      <c r="X104" s="69" t="s">
        <v>84</v>
      </c>
      <c r="Y104" s="69" t="s">
        <v>85</v>
      </c>
      <c r="Z104" s="69" t="s">
        <v>85</v>
      </c>
      <c r="AA104" s="69" t="s">
        <v>85</v>
      </c>
      <c r="AB104" s="69" t="s">
        <v>85</v>
      </c>
      <c r="AC104" s="69" t="s">
        <v>85</v>
      </c>
      <c r="AD104" s="38" t="str">
        <f>+IF(ISERROR(VLOOKUP($B104,AD$10:AD103,1,0)),IF(AND($N104&gt;=1000,$A104&gt;=AO$8,$A104&lt;=AO$9),$B104,""),"")</f>
        <v/>
      </c>
      <c r="AE104" s="38" t="str">
        <f>+IF(ISERROR(VLOOKUP($B104,AE$10:AE103,1,0)),IF(AND($N104&gt;=1000,$A104&gt;=AP$8,$A104&lt;=AP$9),$B104,""),"")</f>
        <v/>
      </c>
      <c r="AF104" s="38" t="str">
        <f>+IF(ISERROR(VLOOKUP($B104,AF$10:AF103,1,0)),IF(AND($N104&gt;=1000,$A104&gt;=AQ$8,$A104&lt;=AQ$9),$B104,""),"")</f>
        <v/>
      </c>
      <c r="AG104" s="38" t="str">
        <f>+IF(ISERROR(VLOOKUP($B104,AG$10:AG103,1,0)),IF(AND($N104&gt;=1000,$A104&gt;=AR$8,$A104&lt;=AR$9),$B104,""),"")</f>
        <v/>
      </c>
      <c r="AH104" s="38"/>
      <c r="AI104" s="70">
        <v>0</v>
      </c>
      <c r="AJ104" s="38">
        <f>IF(AND(AJ$7="○",$A104&gt;=AJ$8,$A104&lt;=AJ$9),IF(SUM(AJ$10:AJ103)-ROUNDDOWN($K104*AJ$5/100,0)&lt;-AJ$6,-AJ$6-SUM(AJ$10:AJ103),-ROUNDDOWN($K104*AJ$5/100,0)),0)</f>
        <v>0</v>
      </c>
      <c r="AK104" s="38">
        <f>IF(AND(AK$7="○",$A104&gt;=AK$8,$A104&lt;=AK$9),IF(SUM(AK$10:AK103)-ROUNDDOWN($L104*AK$5/100,0)&lt;-AK$6,-AK$6-SUM(AK$10:AK103),-ROUNDDOWN($L104*AK$5/100,0)),0)</f>
        <v>0</v>
      </c>
      <c r="AL104" s="38">
        <f>IF(AND(AL$7="○",$A104&gt;=AL$8,$A104&lt;=AL$9),IF(SUM(AL$10:AL103)-ROUNDDOWN($N104*AL$5/100,0)&lt;-AL$6,-AL$6-SUM(AL$10:AL103),-ROUNDDOWN($N104*AL$5/100,0)),0)</f>
        <v>0</v>
      </c>
      <c r="AM104" s="38">
        <f>IF(AND(AM$7="○",$A104&gt;=AM$8,$A104&lt;=AM$9),IF(SUM(AM$10:AM103)-ROUNDDOWN($L104*AM$5/100,0)&lt;-AM$6,-AM$6-SUM(AM$10:AM103),-ROUNDDOWN($L104*AM$5/100,0)),0)</f>
        <v>0</v>
      </c>
      <c r="AN104" s="38">
        <f>IF(AND(AN$7="○",$A104&gt;=AN$8,$A104&lt;=AN$9),IF(SUM(AN$10:AN103)-ROUNDDOWN($M104*AN$5/100,0)&lt;-AN$6,-AN$6-SUM(AN$10:AN103),-ROUNDDOWN($M104*AN$5/100,0)),0)</f>
        <v>0</v>
      </c>
      <c r="AO104" s="38">
        <f>IF(AND($A104&gt;=AO$8,$A104&lt;=AO$9),IF(SUM(AO$10:AO103)-ROUNDDOWN($K104*AO$5/100,0)&lt;-AO$6,-AO$6-SUM(AO$10:AO103),-ROUNDDOWN($K104*AO$5/100,0)),0)</f>
        <v>0</v>
      </c>
      <c r="AP104" s="38">
        <f>IF(AND($A104&gt;=AP$8,$A104&lt;=AP$9),IF(SUM(AP$10:AP103)-ROUNDDOWN($K104*AP$5/100,0)&lt;-AP$6,-AP$6-SUM(AP$10:AP103),-ROUNDDOWN($K104*AP$5/100,0)),0)</f>
        <v>0</v>
      </c>
      <c r="AQ104" s="38">
        <f>IF(AND($A104&gt;=AQ$8,$A104&lt;=AQ$9),IF(SUM(AQ$10:AQ103)-ROUNDDOWN($K104*AQ$5/100,0)&lt;-AQ$6,-AQ$6-SUM(AQ$10:AQ103),-ROUNDDOWN($K104*AQ$5/100,0)),0)</f>
        <v>0</v>
      </c>
      <c r="AR104" s="38">
        <f>IF(AND($A104&gt;=AR$8,$A104&lt;=AR$9),IF(SUM(AR$10:AR103)-ROUNDDOWN($K104*AR$5/100,0)&lt;-AR$6,-AR$6-SUM(AR$10:AR103),-ROUNDDOWN($K104*AR$5/100,0)),0)</f>
        <v>0</v>
      </c>
      <c r="AS104" s="38">
        <f>IF(SUMIFS(AS$10:AS103,$A$10:$A103,$A104)-ROUNDDOWN($K104*$S104/100,0)&lt;-$S104*1000,-$S104*1000-SUMIFS(AS$10:AS103,$A$10:$A103,$A104),-ROUNDDOWN($K104*$S104/100,0))</f>
        <v>0</v>
      </c>
      <c r="AT104" s="38">
        <f>IF(AND(X104="○",$A104&gt;=AT$8,$A104&lt;=AT$9,K104&gt;=3980),IF(SUM(AT$10:AT103)-ROUNDDOWN($K104*AT$5/100,0)&lt;-AT$6,-AT$6-SUM(AT$10:AT103),-ROUNDDOWN($K104*AT$5/100,0)),0)</f>
        <v>0</v>
      </c>
      <c r="AU104" s="38">
        <f>IF(O104="○",IF(SUM(AU$10:AU103)-ROUNDDOWN($K104*AU$5/100,0)&lt;-AU$6,-AU$6-SUM(AU$10:AU103),-ROUNDDOWN($K104*AU$5/100,0)),0)</f>
        <v>0</v>
      </c>
      <c r="AV104" s="38">
        <f>IF(P104="○",IF(SUM(AV$10:AV103)-ROUNDDOWN($K104*AV$5/100,0)&lt;-AV$6,-AV$6-SUM(AV$10:AV103),-ROUNDDOWN($K104*AV$5/100,0)),0)</f>
        <v>0</v>
      </c>
      <c r="AW104" s="38">
        <f>IF(Q104="○",IF(SUM(AW$10:AW103)-ROUNDDOWN($K104*AW$5/100,0)&lt;-AW$6,-AW$6-SUM(AW$10:AW103),-ROUNDDOWN($K104*AW$5/100,0)),0)</f>
        <v>0</v>
      </c>
      <c r="AX104" s="38">
        <f>IF(R104="○",IF(SUM(AX$10:AX103)-ROUNDDOWN($K104*AX$5/100,0)&lt;-AX$6,-AX$6-SUM(AX$10:AX103),-ROUNDDOWN($K104*AX$5/100,0)),0)</f>
        <v>0</v>
      </c>
      <c r="AY104" s="70">
        <v>0</v>
      </c>
      <c r="AZ104" s="65">
        <f t="shared" si="88"/>
        <v>0</v>
      </c>
      <c r="BA104" s="65">
        <f t="shared" si="89"/>
        <v>0</v>
      </c>
      <c r="BB104" s="70"/>
      <c r="BC104" s="65">
        <f t="shared" si="90"/>
        <v>0</v>
      </c>
      <c r="BD104" s="70">
        <v>0</v>
      </c>
      <c r="BE104" s="65">
        <f t="shared" si="91"/>
        <v>0</v>
      </c>
      <c r="BF104" s="70">
        <v>0</v>
      </c>
      <c r="BG104" s="65">
        <f t="shared" si="92"/>
        <v>0</v>
      </c>
      <c r="BH104" s="70">
        <v>0</v>
      </c>
      <c r="BI104" s="65">
        <f t="shared" si="93"/>
        <v>0</v>
      </c>
      <c r="BJ104" s="38">
        <f>IF(AND(BJ$7="○",$A104&gt;=BJ$8,$A104&lt;=BJ$9),IF(SUM(BJ$10:BJ103)-ROUNDDOWN($M104*BJ$5/100,0)&lt;-BJ$6,-BJ$6-SUM(BJ$10:BJ103),-ROUNDDOWN($M104*BJ$5/100,0)),0)</f>
        <v>0</v>
      </c>
      <c r="BK104" s="38">
        <f>IF(AND(BK$7="○",$A104&gt;=BK$8,$A104&lt;=BK$9),IF(SUM(BK$10:BK103)-ROUNDDOWN($L104*BK$5/100,0)&lt;-BK$6,-BK$6-SUM(BK$10:BK103),-ROUNDDOWN($L104*BK$5/100,0)),0)</f>
        <v>0</v>
      </c>
      <c r="BL104" s="38">
        <f>IF(AND(BL$7="○",$A104&gt;=BL$8,$A104&lt;=BL$9),IF(SUM(BL$10:BL103)-ROUNDDOWN($L104*BL$5/100,0)&lt;-BL$6,-BL$6-SUM(BL$10:BL103),-ROUNDDOWN($L104*BL$5/100,0)),0)</f>
        <v>0</v>
      </c>
      <c r="BM104" s="38">
        <f>IF(AND(BM$7="○",$A104&gt;=BM$8,$A104&lt;=BM$9),IF(SUM(BM$10:BM103)-ROUNDDOWN($M104*BM$5/100,0)&lt;-BM$6,-BM$6-SUM(BM$10:BM103),-ROUNDDOWN($M104*BM$5/100,0)),0)</f>
        <v>0</v>
      </c>
      <c r="BN104" s="38">
        <f>IF(AND(BN$7="○",$A104&gt;=BN$8,$A104&lt;=BN$9),IF(SUM(BN$10:BN103)-ROUNDDOWN($M104*BN$5/100,0)&lt;-BN$6,-BN$6-SUM(BN$10:BN103),-ROUNDDOWN($M104*BN$5/100,0)),0)</f>
        <v>0</v>
      </c>
      <c r="BO104" s="38">
        <f>IF(AND(BO$7="○",$A104&gt;=BO$8,$A104&lt;=BO$9),IF(SUM(BO$10:BO103)-ROUNDDOWN($M104*BO$5/100,0)&lt;-BO$6,-BO$6-SUM(BO$10:BO103),-ROUNDDOWN($M104*BO$5/100,0)),0)</f>
        <v>0</v>
      </c>
      <c r="BP104" s="38">
        <f>IF(AND(BP$7="○",$A104&gt;=BP$8,$A104&lt;=BP$9),IF(SUM(BP$10:BP103)-ROUNDDOWN($M104*BP$5/100,0)&lt;-BP$6,-BP$6-SUM(BP$10:BP103),-ROUNDDOWN($M104*BP$5/100,0)),0)</f>
        <v>0</v>
      </c>
      <c r="BQ104" s="38">
        <f>IF(AND(BQ$7="○",$A104&gt;=BQ$8,$A104&lt;=BQ$9),IF(SUM(BQ$10:BQ103)-ROUNDDOWN($L104*BQ$5/100,0)&lt;-BQ$6,-BQ$6-SUM(BQ$10:BQ103),-ROUNDDOWN($L104*BQ$5/100,0)),0)</f>
        <v>0</v>
      </c>
      <c r="BR104" s="38">
        <f>IF(AND(BR$7="○",$A104&gt;=BR$8,$A104&lt;=BR$9),IF(SUM(BR$10:BR103)-ROUNDDOWN($M104*BR$5/100,0)&lt;-BR$6,-BR$6-SUM(BR$10:BR103),-ROUNDDOWN($M104*BR$5/100,0)),0)</f>
        <v>0</v>
      </c>
      <c r="BS104" s="38">
        <f>IF(AND(BS$7="○",$A104&gt;=BS$8,$A104&lt;=BS$9),IF(SUM(BS$10:BS103)-ROUNDDOWN($M104*BS$5/100,0)&lt;-BS$6,-BS$6-SUM(BS$10:BS103),-ROUNDDOWN($M104*BS$5/100,0)),0)</f>
        <v>0</v>
      </c>
      <c r="BT104" s="38">
        <f>IF(AND(BT$7="○",$A104&gt;=BT$8,$A104&lt;=BT$9),IF(SUM(BT$10:BT103)-ROUNDDOWN($M104*BT$5/100,0)&lt;-BT$6,-BT$6-SUM(BT$10:BT103),-ROUNDDOWN($M104*BT$5/100,0)),0)</f>
        <v>0</v>
      </c>
      <c r="BU104" s="38">
        <f>IF(AND(BU$7="○",$A104&gt;=BU$8,$A104&lt;=BU$9),IF(SUM(BU$10:BU103)-ROUNDDOWN($M104*BU$5/100,0)&lt;-BU$6,-BU$6-SUM(BU$10:BU103),-ROUNDDOWN($M104*BU$5/100,0)),0)</f>
        <v>0</v>
      </c>
      <c r="BV104" s="38">
        <f>IF(AND(BV$7="○",$A104&gt;=BV$8,$A104&lt;=BV$9),IF(SUM(BV$10:BV103)-ROUNDDOWN($M104*BV$5/100,0)&lt;-BV$6,-BV$6-SUM(BV$10:BV103),-ROUNDDOWN($M104*BV$5/100,0)),0)</f>
        <v>0</v>
      </c>
      <c r="BW104" s="38">
        <f>IF(AND(BW$7="○",$A104&gt;=BW$8,$A104&lt;=BW$9),IF(SUM(BW$10:BW103)-ROUNDDOWN($M104*BW$5/100,0)&lt;-BW$6,-BW$6-SUM(BW$10:BW103),-ROUNDDOWN($M104*BW$5/100,0)),0)</f>
        <v>0</v>
      </c>
      <c r="BX104" s="38">
        <f>IF(AND(T104="○",$A104&gt;=BX$8,$A104&lt;=BX$9),IF(SUM(BX$10:BX103)-ROUNDDOWN($K104*BX$5/100,0)&lt;-BX$6,-BX$6-SUM(BX$10:BX103),-ROUNDDOWN($K104*BX$5/100,0)),0)</f>
        <v>0</v>
      </c>
      <c r="BY104" s="38">
        <f>IF(AND(U104="○",$A104&gt;=BY$8,$A104&lt;=BY$9),IF(SUM(BY$10:BY103)-ROUNDDOWN($K104*BY$5/100,0)&lt;-BY$6,-BY$6-SUM(BY$10:BY103),-ROUNDDOWN($K104*BY$5/100,0)),0)</f>
        <v>0</v>
      </c>
      <c r="BZ104" s="38">
        <f>IF(AND(V104="○",$A104&gt;=BZ$8,$A104&lt;=BZ$9),IF(SUM(BZ$10:BZ103)-ROUNDDOWN($K104*BZ$5/100,0)&lt;-BZ$6,-BZ$6-SUM(BZ$10:BZ103),-ROUNDDOWN($K104*BZ$5/100,0)),0)</f>
        <v>0</v>
      </c>
      <c r="CA104" s="38">
        <f>IF(AND(W104="○",$A104&gt;=CA$8,$A104&lt;=CA$9),IF(SUM(CA$10:CA103)-ROUNDDOWN($K104*CA$5/100,0)&lt;-CA$6,-CA$6-SUM(CA$10:CA103),-ROUNDDOWN($K104*CA$5/100,0)),0)</f>
        <v>0</v>
      </c>
      <c r="CB104" s="38"/>
      <c r="CC104" s="38"/>
      <c r="CD104" s="38"/>
      <c r="CE104" s="38"/>
      <c r="CF104" s="38"/>
      <c r="CG104" s="65">
        <f t="shared" si="94"/>
        <v>0</v>
      </c>
      <c r="CH104" s="71">
        <f t="shared" si="95"/>
        <v>0</v>
      </c>
      <c r="CI104" s="1">
        <f t="shared" si="83"/>
        <v>0</v>
      </c>
      <c r="CJ104" s="1"/>
      <c r="CK104" s="79"/>
      <c r="CL104" s="79"/>
      <c r="CM104" s="2"/>
      <c r="CN104" s="2"/>
      <c r="CO104" s="73">
        <f t="shared" si="84"/>
        <v>0</v>
      </c>
      <c r="CP104" s="5">
        <f t="shared" si="85"/>
        <v>0</v>
      </c>
      <c r="CQ104" s="1"/>
      <c r="CR104" s="1">
        <f t="shared" si="86"/>
        <v>0</v>
      </c>
      <c r="CS104" s="1"/>
      <c r="CT104" s="1" t="e">
        <f>INDEX([2]マスタ!$A:$A,MATCH(D104,[2]マスタ!$C:$C,0))</f>
        <v>#N/A</v>
      </c>
      <c r="CU104" s="1" t="str">
        <f t="shared" ca="1" si="87"/>
        <v>20260620_0-0</v>
      </c>
    </row>
    <row r="105" spans="1:99" x14ac:dyDescent="0.4">
      <c r="A105" s="61"/>
      <c r="B105" s="62"/>
      <c r="C105" s="62"/>
      <c r="D105" s="62"/>
      <c r="E105" s="63"/>
      <c r="F105" s="62"/>
      <c r="G105" s="62">
        <v>1</v>
      </c>
      <c r="H105" s="64">
        <f t="shared" si="74"/>
        <v>0</v>
      </c>
      <c r="I105" s="64"/>
      <c r="J105" s="64"/>
      <c r="K105" s="65">
        <f t="shared" si="98"/>
        <v>0</v>
      </c>
      <c r="L105" s="65">
        <f t="shared" si="76"/>
        <v>0</v>
      </c>
      <c r="M105" s="65">
        <f t="shared" si="77"/>
        <v>0</v>
      </c>
      <c r="N105" s="65">
        <f t="shared" si="78"/>
        <v>0</v>
      </c>
      <c r="O105" s="66" t="str">
        <f t="shared" si="79"/>
        <v>✕</v>
      </c>
      <c r="P105" s="67" t="str">
        <f t="shared" si="80"/>
        <v>○</v>
      </c>
      <c r="Q105" s="67" t="str">
        <f t="shared" si="99"/>
        <v>✕</v>
      </c>
      <c r="R105" s="67" t="str">
        <f t="shared" si="82"/>
        <v>✕</v>
      </c>
      <c r="S105" s="68">
        <v>0</v>
      </c>
      <c r="T105" s="69" t="s">
        <v>85</v>
      </c>
      <c r="U105" s="69" t="s">
        <v>85</v>
      </c>
      <c r="V105" s="69" t="s">
        <v>85</v>
      </c>
      <c r="W105" s="69" t="s">
        <v>85</v>
      </c>
      <c r="X105" s="69" t="s">
        <v>84</v>
      </c>
      <c r="Y105" s="69" t="s">
        <v>85</v>
      </c>
      <c r="Z105" s="69" t="s">
        <v>85</v>
      </c>
      <c r="AA105" s="69" t="s">
        <v>85</v>
      </c>
      <c r="AB105" s="69" t="s">
        <v>85</v>
      </c>
      <c r="AC105" s="69" t="s">
        <v>85</v>
      </c>
      <c r="AD105" s="38" t="str">
        <f>+IF(ISERROR(VLOOKUP($B105,AD$10:AD104,1,0)),IF(AND($N105&gt;=1000,$A105&gt;=AO$8,$A105&lt;=AO$9),$B105,""),"")</f>
        <v/>
      </c>
      <c r="AE105" s="38" t="str">
        <f>+IF(ISERROR(VLOOKUP($B105,AE$10:AE104,1,0)),IF(AND($N105&gt;=1000,$A105&gt;=AP$8,$A105&lt;=AP$9),$B105,""),"")</f>
        <v/>
      </c>
      <c r="AF105" s="38" t="str">
        <f>+IF(ISERROR(VLOOKUP($B105,AF$10:AF104,1,0)),IF(AND($N105&gt;=1000,$A105&gt;=AQ$8,$A105&lt;=AQ$9),$B105,""),"")</f>
        <v/>
      </c>
      <c r="AG105" s="38" t="str">
        <f>+IF(ISERROR(VLOOKUP($B105,AG$10:AG104,1,0)),IF(AND($N105&gt;=1000,$A105&gt;=AR$8,$A105&lt;=AR$9),$B105,""),"")</f>
        <v/>
      </c>
      <c r="AH105" s="38"/>
      <c r="AI105" s="70">
        <v>0</v>
      </c>
      <c r="AJ105" s="38">
        <f>IF(AND(AJ$7="○",$A105&gt;=AJ$8,$A105&lt;=AJ$9),IF(SUM(AJ$10:AJ104)-ROUNDDOWN($K105*AJ$5/100,0)&lt;-AJ$6,-AJ$6-SUM(AJ$10:AJ104),-ROUNDDOWN($K105*AJ$5/100,0)),0)</f>
        <v>0</v>
      </c>
      <c r="AK105" s="38">
        <f>IF(AND(AK$7="○",$A105&gt;=AK$8,$A105&lt;=AK$9),IF(SUM(AK$10:AK104)-ROUNDDOWN($L105*AK$5/100,0)&lt;-AK$6,-AK$6-SUM(AK$10:AK104),-ROUNDDOWN($L105*AK$5/100,0)),0)</f>
        <v>0</v>
      </c>
      <c r="AL105" s="38">
        <f>IF(AND(AL$7="○",$A105&gt;=AL$8,$A105&lt;=AL$9),IF(SUM(AL$10:AL104)-ROUNDDOWN($N105*AL$5/100,0)&lt;-AL$6,-AL$6-SUM(AL$10:AL104),-ROUNDDOWN($N105*AL$5/100,0)),0)</f>
        <v>0</v>
      </c>
      <c r="AM105" s="38">
        <f>IF(AND(AM$7="○",$A105&gt;=AM$8,$A105&lt;=AM$9),IF(SUM(AM$10:AM104)-ROUNDDOWN($L105*AM$5/100,0)&lt;-AM$6,-AM$6-SUM(AM$10:AM104),-ROUNDDOWN($L105*AM$5/100,0)),0)</f>
        <v>0</v>
      </c>
      <c r="AN105" s="38">
        <f>IF(AND(AN$7="○",$A105&gt;=AN$8,$A105&lt;=AN$9),IF(SUM(AN$10:AN104)-ROUNDDOWN($M105*AN$5/100,0)&lt;-AN$6,-AN$6-SUM(AN$10:AN104),-ROUNDDOWN($M105*AN$5/100,0)),0)</f>
        <v>0</v>
      </c>
      <c r="AO105" s="38">
        <f>IF(AND($A105&gt;=AO$8,$A105&lt;=AO$9),IF(SUM(AO$10:AO104)-ROUNDDOWN($K105*AO$5/100,0)&lt;-AO$6,-AO$6-SUM(AO$10:AO104),-ROUNDDOWN($K105*AO$5/100,0)),0)</f>
        <v>0</v>
      </c>
      <c r="AP105" s="38">
        <f>IF(AND($A105&gt;=AP$8,$A105&lt;=AP$9),IF(SUM(AP$10:AP104)-ROUNDDOWN($K105*AP$5/100,0)&lt;-AP$6,-AP$6-SUM(AP$10:AP104),-ROUNDDOWN($K105*AP$5/100,0)),0)</f>
        <v>0</v>
      </c>
      <c r="AQ105" s="38">
        <f>IF(AND($A105&gt;=AQ$8,$A105&lt;=AQ$9),IF(SUM(AQ$10:AQ104)-ROUNDDOWN($K105*AQ$5/100,0)&lt;-AQ$6,-AQ$6-SUM(AQ$10:AQ104),-ROUNDDOWN($K105*AQ$5/100,0)),0)</f>
        <v>0</v>
      </c>
      <c r="AR105" s="38">
        <f>IF(AND($A105&gt;=AR$8,$A105&lt;=AR$9),IF(SUM(AR$10:AR104)-ROUNDDOWN($K105*AR$5/100,0)&lt;-AR$6,-AR$6-SUM(AR$10:AR104),-ROUNDDOWN($K105*AR$5/100,0)),0)</f>
        <v>0</v>
      </c>
      <c r="AS105" s="38">
        <f>IF(SUMIFS(AS$10:AS104,$A$10:$A104,$A105)-ROUNDDOWN($K105*$S105/100,0)&lt;-$S105*1000,-$S105*1000-SUMIFS(AS$10:AS104,$A$10:$A104,$A105),-ROUNDDOWN($K105*$S105/100,0))</f>
        <v>0</v>
      </c>
      <c r="AT105" s="38">
        <f>IF(AND(X105="○",$A105&gt;=AT$8,$A105&lt;=AT$9,K105&gt;=3980),IF(SUM(AT$10:AT104)-ROUNDDOWN($K105*AT$5/100,0)&lt;-AT$6,-AT$6-SUM(AT$10:AT104),-ROUNDDOWN($K105*AT$5/100,0)),0)</f>
        <v>0</v>
      </c>
      <c r="AU105" s="38">
        <f>IF(O105="○",IF(SUM(AU$10:AU104)-ROUNDDOWN($K105*AU$5/100,0)&lt;-AU$6,-AU$6-SUM(AU$10:AU104),-ROUNDDOWN($K105*AU$5/100,0)),0)</f>
        <v>0</v>
      </c>
      <c r="AV105" s="38">
        <f>IF(P105="○",IF(SUM(AV$10:AV104)-ROUNDDOWN($K105*AV$5/100,0)&lt;-AV$6,-AV$6-SUM(AV$10:AV104),-ROUNDDOWN($K105*AV$5/100,0)),0)</f>
        <v>0</v>
      </c>
      <c r="AW105" s="38">
        <f>IF(Q105="○",IF(SUM(AW$10:AW104)-ROUNDDOWN($K105*AW$5/100,0)&lt;-AW$6,-AW$6-SUM(AW$10:AW104),-ROUNDDOWN($K105*AW$5/100,0)),0)</f>
        <v>0</v>
      </c>
      <c r="AX105" s="38">
        <f>IF(R105="○",IF(SUM(AX$10:AX104)-ROUNDDOWN($K105*AX$5/100,0)&lt;-AX$6,-AX$6-SUM(AX$10:AX104),-ROUNDDOWN($K105*AX$5/100,0)),0)</f>
        <v>0</v>
      </c>
      <c r="AY105" s="70">
        <v>0</v>
      </c>
      <c r="AZ105" s="65">
        <f t="shared" si="88"/>
        <v>0</v>
      </c>
      <c r="BA105" s="65">
        <f t="shared" si="89"/>
        <v>0</v>
      </c>
      <c r="BB105" s="70"/>
      <c r="BC105" s="65">
        <f t="shared" si="90"/>
        <v>0</v>
      </c>
      <c r="BD105" s="70">
        <v>0</v>
      </c>
      <c r="BE105" s="65">
        <f t="shared" si="91"/>
        <v>0</v>
      </c>
      <c r="BF105" s="70">
        <v>0</v>
      </c>
      <c r="BG105" s="65">
        <f t="shared" si="92"/>
        <v>0</v>
      </c>
      <c r="BH105" s="70">
        <v>0</v>
      </c>
      <c r="BI105" s="65">
        <f t="shared" si="93"/>
        <v>0</v>
      </c>
      <c r="BJ105" s="38">
        <f>IF(AND(BJ$7="○",$A105&gt;=BJ$8,$A105&lt;=BJ$9),IF(SUM(BJ$10:BJ104)-ROUNDDOWN($M105*BJ$5/100,0)&lt;-BJ$6,-BJ$6-SUM(BJ$10:BJ104),-ROUNDDOWN($M105*BJ$5/100,0)),0)</f>
        <v>0</v>
      </c>
      <c r="BK105" s="38">
        <f>IF(AND(BK$7="○",$A105&gt;=BK$8,$A105&lt;=BK$9),IF(SUM(BK$10:BK104)-ROUNDDOWN($L105*BK$5/100,0)&lt;-BK$6,-BK$6-SUM(BK$10:BK104),-ROUNDDOWN($L105*BK$5/100,0)),0)</f>
        <v>0</v>
      </c>
      <c r="BL105" s="38">
        <f>IF(AND(BL$7="○",$A105&gt;=BL$8,$A105&lt;=BL$9),IF(SUM(BL$10:BL104)-ROUNDDOWN($L105*BL$5/100,0)&lt;-BL$6,-BL$6-SUM(BL$10:BL104),-ROUNDDOWN($L105*BL$5/100,0)),0)</f>
        <v>0</v>
      </c>
      <c r="BM105" s="38">
        <f>IF(AND(BM$7="○",$A105&gt;=BM$8,$A105&lt;=BM$9),IF(SUM(BM$10:BM104)-ROUNDDOWN($M105*BM$5/100,0)&lt;-BM$6,-BM$6-SUM(BM$10:BM104),-ROUNDDOWN($M105*BM$5/100,0)),0)</f>
        <v>0</v>
      </c>
      <c r="BN105" s="38">
        <f>IF(AND(BN$7="○",$A105&gt;=BN$8,$A105&lt;=BN$9),IF(SUM(BN$10:BN104)-ROUNDDOWN($M105*BN$5/100,0)&lt;-BN$6,-BN$6-SUM(BN$10:BN104),-ROUNDDOWN($M105*BN$5/100,0)),0)</f>
        <v>0</v>
      </c>
      <c r="BO105" s="38">
        <f>IF(AND(BO$7="○",$A105&gt;=BO$8,$A105&lt;=BO$9),IF(SUM(BO$10:BO104)-ROUNDDOWN($M105*BO$5/100,0)&lt;-BO$6,-BO$6-SUM(BO$10:BO104),-ROUNDDOWN($M105*BO$5/100,0)),0)</f>
        <v>0</v>
      </c>
      <c r="BP105" s="38">
        <f>IF(AND(BP$7="○",$A105&gt;=BP$8,$A105&lt;=BP$9),IF(SUM(BP$10:BP104)-ROUNDDOWN($M105*BP$5/100,0)&lt;-BP$6,-BP$6-SUM(BP$10:BP104),-ROUNDDOWN($M105*BP$5/100,0)),0)</f>
        <v>0</v>
      </c>
      <c r="BQ105" s="38">
        <f>IF(AND(BQ$7="○",$A105&gt;=BQ$8,$A105&lt;=BQ$9),IF(SUM(BQ$10:BQ104)-ROUNDDOWN($L105*BQ$5/100,0)&lt;-BQ$6,-BQ$6-SUM(BQ$10:BQ104),-ROUNDDOWN($L105*BQ$5/100,0)),0)</f>
        <v>0</v>
      </c>
      <c r="BR105" s="38">
        <f>IF(AND(BR$7="○",$A105&gt;=BR$8,$A105&lt;=BR$9),IF(SUM(BR$10:BR104)-ROUNDDOWN($M105*BR$5/100,0)&lt;-BR$6,-BR$6-SUM(BR$10:BR104),-ROUNDDOWN($M105*BR$5/100,0)),0)</f>
        <v>0</v>
      </c>
      <c r="BS105" s="38">
        <f>IF(AND(BS$7="○",$A105&gt;=BS$8,$A105&lt;=BS$9),IF(SUM(BS$10:BS104)-ROUNDDOWN($M105*BS$5/100,0)&lt;-BS$6,-BS$6-SUM(BS$10:BS104),-ROUNDDOWN($M105*BS$5/100,0)),0)</f>
        <v>0</v>
      </c>
      <c r="BT105" s="38">
        <f>IF(AND(BT$7="○",$A105&gt;=BT$8,$A105&lt;=BT$9),IF(SUM(BT$10:BT104)-ROUNDDOWN($M105*BT$5/100,0)&lt;-BT$6,-BT$6-SUM(BT$10:BT104),-ROUNDDOWN($M105*BT$5/100,0)),0)</f>
        <v>0</v>
      </c>
      <c r="BU105" s="38">
        <f>IF(AND(BU$7="○",$A105&gt;=BU$8,$A105&lt;=BU$9),IF(SUM(BU$10:BU104)-ROUNDDOWN($M105*BU$5/100,0)&lt;-BU$6,-BU$6-SUM(BU$10:BU104),-ROUNDDOWN($M105*BU$5/100,0)),0)</f>
        <v>0</v>
      </c>
      <c r="BV105" s="38">
        <f>IF(AND(BV$7="○",$A105&gt;=BV$8,$A105&lt;=BV$9),IF(SUM(BV$10:BV104)-ROUNDDOWN($M105*BV$5/100,0)&lt;-BV$6,-BV$6-SUM(BV$10:BV104),-ROUNDDOWN($M105*BV$5/100,0)),0)</f>
        <v>0</v>
      </c>
      <c r="BW105" s="38">
        <f>IF(AND(BW$7="○",$A105&gt;=BW$8,$A105&lt;=BW$9),IF(SUM(BW$10:BW104)-ROUNDDOWN($M105*BW$5/100,0)&lt;-BW$6,-BW$6-SUM(BW$10:BW104),-ROUNDDOWN($M105*BW$5/100,0)),0)</f>
        <v>0</v>
      </c>
      <c r="BX105" s="38">
        <f>IF(AND(T105="○",$A105&gt;=BX$8,$A105&lt;=BX$9),IF(SUM(BX$10:BX104)-ROUNDDOWN($K105*BX$5/100,0)&lt;-BX$6,-BX$6-SUM(BX$10:BX104),-ROUNDDOWN($K105*BX$5/100,0)),0)</f>
        <v>0</v>
      </c>
      <c r="BY105" s="38">
        <f>IF(AND(U105="○",$A105&gt;=BY$8,$A105&lt;=BY$9),IF(SUM(BY$10:BY104)-ROUNDDOWN($K105*BY$5/100,0)&lt;-BY$6,-BY$6-SUM(BY$10:BY104),-ROUNDDOWN($K105*BY$5/100,0)),0)</f>
        <v>0</v>
      </c>
      <c r="BZ105" s="38">
        <f>IF(AND(V105="○",$A105&gt;=BZ$8,$A105&lt;=BZ$9),IF(SUM(BZ$10:BZ104)-ROUNDDOWN($K105*BZ$5/100,0)&lt;-BZ$6,-BZ$6-SUM(BZ$10:BZ104),-ROUNDDOWN($K105*BZ$5/100,0)),0)</f>
        <v>0</v>
      </c>
      <c r="CA105" s="38">
        <f>IF(AND(W105="○",$A105&gt;=CA$8,$A105&lt;=CA$9),IF(SUM(CA$10:CA104)-ROUNDDOWN($K105*CA$5/100,0)&lt;-CA$6,-CA$6-SUM(CA$10:CA104),-ROUNDDOWN($K105*CA$5/100,0)),0)</f>
        <v>0</v>
      </c>
      <c r="CB105" s="38"/>
      <c r="CC105" s="38"/>
      <c r="CD105" s="38"/>
      <c r="CE105" s="38"/>
      <c r="CF105" s="38"/>
      <c r="CG105" s="65">
        <f t="shared" si="94"/>
        <v>0</v>
      </c>
      <c r="CH105" s="71">
        <f t="shared" si="95"/>
        <v>0</v>
      </c>
      <c r="CI105" s="1">
        <f t="shared" si="83"/>
        <v>0</v>
      </c>
      <c r="CJ105" s="1"/>
      <c r="CK105" s="2"/>
      <c r="CL105" s="2"/>
      <c r="CM105" s="2"/>
      <c r="CN105" s="2"/>
      <c r="CO105" s="73">
        <f t="shared" si="84"/>
        <v>0</v>
      </c>
      <c r="CP105" s="5">
        <f t="shared" si="85"/>
        <v>0</v>
      </c>
      <c r="CQ105" s="1"/>
      <c r="CR105" s="1">
        <f t="shared" si="86"/>
        <v>0</v>
      </c>
      <c r="CS105" s="1"/>
      <c r="CT105" s="1" t="e">
        <f>INDEX([2]マスタ!$A:$A,MATCH(D105,[2]マスタ!$C:$C,0))</f>
        <v>#N/A</v>
      </c>
      <c r="CU105" s="1" t="str">
        <f t="shared" ca="1" si="87"/>
        <v>20260620_0-0</v>
      </c>
    </row>
    <row r="106" spans="1:99" x14ac:dyDescent="0.4">
      <c r="A106" s="61"/>
      <c r="B106" s="62"/>
      <c r="C106" s="62"/>
      <c r="D106" s="62"/>
      <c r="E106" s="74"/>
      <c r="F106" s="62"/>
      <c r="G106" s="62">
        <v>1</v>
      </c>
      <c r="H106" s="64">
        <f t="shared" ref="H106:H135" si="100">+F106*G106</f>
        <v>0</v>
      </c>
      <c r="I106" s="64"/>
      <c r="J106" s="64"/>
      <c r="K106" s="65">
        <f t="shared" ref="K106:K117" si="101">+ROUNDDOWN((H106+I106)/100,0)*100</f>
        <v>0</v>
      </c>
      <c r="L106" s="65">
        <f t="shared" ref="L106:L135" si="102">+ROUNDDOWN((H106+I106)/1.1/100,0)*100</f>
        <v>0</v>
      </c>
      <c r="M106" s="65">
        <f t="shared" ref="M106:M135" si="103">+ROUNDDOWN((H106+I106)/1.1/200,0)*200</f>
        <v>0</v>
      </c>
      <c r="N106" s="65">
        <f t="shared" ref="N106:N135" si="104">+H106+I106+J106</f>
        <v>0</v>
      </c>
      <c r="O106" s="66" t="str">
        <f t="shared" ref="O106:O135" si="105">IF(OR(WEEKDAY($A106,2)=2,WEEKDAY($A106,2)=4),"○","✕")</f>
        <v>✕</v>
      </c>
      <c r="P106" s="67" t="str">
        <f t="shared" ref="P106:P135" si="106">+IF(MOD(TEXT($A106,"DD"),5)=0,"○","✕")</f>
        <v>○</v>
      </c>
      <c r="Q106" s="67" t="str">
        <f t="shared" ref="Q106:Q117" si="107">+IF((TEXT($A106,"DD")+0)=1,"○","✕")</f>
        <v>✕</v>
      </c>
      <c r="R106" s="67" t="str">
        <f t="shared" ref="R106:R135" si="108">+IF((TEXT($A106,"DD")+0)=18,"○","✕")</f>
        <v>✕</v>
      </c>
      <c r="S106" s="68">
        <v>0</v>
      </c>
      <c r="T106" s="69" t="s">
        <v>85</v>
      </c>
      <c r="U106" s="69" t="s">
        <v>85</v>
      </c>
      <c r="V106" s="69" t="s">
        <v>85</v>
      </c>
      <c r="W106" s="69" t="s">
        <v>85</v>
      </c>
      <c r="X106" s="69" t="s">
        <v>84</v>
      </c>
      <c r="Y106" s="69" t="s">
        <v>85</v>
      </c>
      <c r="Z106" s="69" t="s">
        <v>85</v>
      </c>
      <c r="AA106" s="69" t="s">
        <v>85</v>
      </c>
      <c r="AB106" s="69" t="s">
        <v>85</v>
      </c>
      <c r="AC106" s="69" t="s">
        <v>85</v>
      </c>
      <c r="AD106" s="38" t="str">
        <f>+IF(ISERROR(VLOOKUP($B106,#REF!,1,0)),IF(AND($N106&gt;=1000,$A106&gt;=AO$8,$A106&lt;=AO$9),$B106,""),"")</f>
        <v/>
      </c>
      <c r="AE106" s="38" t="str">
        <f>+IF(ISERROR(VLOOKUP($B106,#REF!,1,0)),IF(AND($N106&gt;=1000,$A106&gt;=AP$8,$A106&lt;=AP$9),$B106,""),"")</f>
        <v/>
      </c>
      <c r="AF106" s="38" t="str">
        <f>+IF(ISERROR(VLOOKUP($B106,#REF!,1,0)),IF(AND($N106&gt;=1000,$A106&gt;=AQ$8,$A106&lt;=AQ$9),$B106,""),"")</f>
        <v/>
      </c>
      <c r="AG106" s="38" t="str">
        <f>+IF(ISERROR(VLOOKUP($B106,#REF!,1,0)),IF(AND($N106&gt;=1000,$A106&gt;=AR$8,$A106&lt;=AR$9),$B106,""),"")</f>
        <v/>
      </c>
      <c r="AH106" s="38"/>
      <c r="AI106" s="70">
        <v>0</v>
      </c>
      <c r="AJ106" s="38">
        <f>IF(AND(AJ$7="○",$A106&gt;=AJ$8,$A106&lt;=AJ$9),IF(SUM(AJ$10:AJ105)-ROUNDDOWN($K106*AJ$5/100,0)&lt;-AJ$6,-AJ$6-SUM(AJ$10:AJ105),-ROUNDDOWN($K106*AJ$5/100,0)),0)</f>
        <v>0</v>
      </c>
      <c r="AK106" s="38">
        <f>IF(AND(AK$7="○",$A106&gt;=AK$8,$A106&lt;=AK$9),IF(SUM(AK$10:AK105)-ROUNDDOWN($L106*AK$5/100,0)&lt;-AK$6,-AK$6-SUM(AK$10:AK105),-ROUNDDOWN($L106*AK$5/100,0)),0)</f>
        <v>0</v>
      </c>
      <c r="AL106" s="38">
        <f>IF(AND(AL$7="○",$A106&gt;=AL$8,$A106&lt;=AL$9),IF(SUM(AL$10:AL105)-ROUNDDOWN($N106*AL$5/100,0)&lt;-AL$6,-AL$6-SUM(AL$10:AL105),-ROUNDDOWN($N106*AL$5/100,0)),0)</f>
        <v>0</v>
      </c>
      <c r="AM106" s="38">
        <f>IF(AND(AM$7="○",$A106&gt;=AM$8,$A106&lt;=AM$9),IF(SUM(AM$10:AM105)-ROUNDDOWN($L106*AM$5/100,0)&lt;-AM$6,-AM$6-SUM(AM$10:AM105),-ROUNDDOWN($L106*AM$5/100,0)),0)</f>
        <v>0</v>
      </c>
      <c r="AN106" s="38">
        <f>IF(AND(AN$7="○",$A106&gt;=AN$8,$A106&lt;=AN$9),IF(SUM(AN$10:AN105)-ROUNDDOWN($M106*AN$5/100,0)&lt;-AN$6,-AN$6-SUM(AN$10:AN105),-ROUNDDOWN($M106*AN$5/100,0)),0)</f>
        <v>0</v>
      </c>
      <c r="AO106" s="38">
        <f>IF(AND($A106&gt;=AO$8,$A106&lt;=AO$9),IF(SUM(AO$10:AO105)-ROUNDDOWN($K106*AO$5/100,0)&lt;-AO$6,-AO$6-SUM(AO$10:AO105),-ROUNDDOWN($K106*AO$5/100,0)),0)</f>
        <v>0</v>
      </c>
      <c r="AP106" s="38">
        <f>IF(AND($A106&gt;=AP$8,$A106&lt;=AP$9),IF(SUM(AP$10:AP105)-ROUNDDOWN($K106*AP$5/100,0)&lt;-AP$6,-AP$6-SUM(AP$10:AP105),-ROUNDDOWN($K106*AP$5/100,0)),0)</f>
        <v>0</v>
      </c>
      <c r="AQ106" s="38">
        <f>IF(AND($A106&gt;=AQ$8,$A106&lt;=AQ$9),IF(SUM(AQ$10:AQ105)-ROUNDDOWN($K106*AQ$5/100,0)&lt;-AQ$6,-AQ$6-SUM(AQ$10:AQ105),-ROUNDDOWN($K106*AQ$5/100,0)),0)</f>
        <v>0</v>
      </c>
      <c r="AR106" s="38">
        <f>IF(AND($A106&gt;=AR$8,$A106&lt;=AR$9),IF(SUM(AR$10:AR105)-ROUNDDOWN($K106*AR$5/100,0)&lt;-AR$6,-AR$6-SUM(AR$10:AR105),-ROUNDDOWN($K106*AR$5/100,0)),0)</f>
        <v>0</v>
      </c>
      <c r="AS106" s="38">
        <f>IF(SUMIFS(AS$10:AS105,$A$10:$A105,$A106)-ROUNDDOWN($K106*$S106/100,0)&lt;-$S106*1000,-$S106*1000-SUMIFS(AS$10:AS105,$A$10:$A105,$A106),-ROUNDDOWN($K106*$S106/100,0))</f>
        <v>0</v>
      </c>
      <c r="AT106" s="38">
        <f>IF(AND(X106="○",$A106&gt;=AT$8,$A106&lt;=AT$9,K106&gt;=3980),IF(SUM(AT$10:AT105)-ROUNDDOWN($K106*AT$5/100,0)&lt;-AT$6,-AT$6-SUM(AT$10:AT105),-ROUNDDOWN($K106*AT$5/100,0)),0)</f>
        <v>0</v>
      </c>
      <c r="AU106" s="38">
        <f>IF(O106="○",IF(SUM(AU$10:AU105)-ROUNDDOWN($K106*AU$5/100,0)&lt;-AU$6,-AU$6-SUM(AU$10:AU105),-ROUNDDOWN($K106*AU$5/100,0)),0)</f>
        <v>0</v>
      </c>
      <c r="AV106" s="38">
        <f>IF(P106="○",IF(SUM(AV$10:AV105)-ROUNDDOWN($K106*AV$5/100,0)&lt;-AV$6,-AV$6-SUM(AV$10:AV105),-ROUNDDOWN($K106*AV$5/100,0)),0)</f>
        <v>0</v>
      </c>
      <c r="AW106" s="38">
        <f>IF(Q106="○",IF(SUM(AW$10:AW105)-ROUNDDOWN($K106*AW$5/100,0)&lt;-AW$6,-AW$6-SUM(AW$10:AW105),-ROUNDDOWN($K106*AW$5/100,0)),0)</f>
        <v>0</v>
      </c>
      <c r="AX106" s="38">
        <f>IF(R106="○",IF(SUM(AX$10:AX105)-ROUNDDOWN($K106*AX$5/100,0)&lt;-AX$6,-AX$6-SUM(AX$10:AX105),-ROUNDDOWN($K106*AX$5/100,0)),0)</f>
        <v>0</v>
      </c>
      <c r="AY106" s="70">
        <v>0</v>
      </c>
      <c r="AZ106" s="65">
        <f t="shared" si="88"/>
        <v>0</v>
      </c>
      <c r="BA106" s="65">
        <f t="shared" si="89"/>
        <v>0</v>
      </c>
      <c r="BB106" s="70"/>
      <c r="BC106" s="65">
        <f t="shared" si="90"/>
        <v>0</v>
      </c>
      <c r="BD106" s="70">
        <v>0</v>
      </c>
      <c r="BE106" s="65">
        <f t="shared" si="91"/>
        <v>0</v>
      </c>
      <c r="BF106" s="70">
        <v>0</v>
      </c>
      <c r="BG106" s="65">
        <f t="shared" si="92"/>
        <v>0</v>
      </c>
      <c r="BH106" s="70">
        <v>0</v>
      </c>
      <c r="BI106" s="65">
        <f t="shared" si="93"/>
        <v>0</v>
      </c>
      <c r="BJ106" s="38">
        <f>IF(AND(BJ$7="○",$A106&gt;=BJ$8,$A106&lt;=BJ$9),IF(SUM(BJ$10:BJ105)-ROUNDDOWN($M106*BJ$5/100,0)&lt;-BJ$6,-BJ$6-SUM(BJ$10:BJ105),-ROUNDDOWN($M106*BJ$5/100,0)),0)</f>
        <v>0</v>
      </c>
      <c r="BK106" s="38">
        <f>IF(AND(BK$7="○",$A106&gt;=BK$8,$A106&lt;=BK$9),IF(SUM(BK$10:BK105)-ROUNDDOWN($L106*BK$5/100,0)&lt;-BK$6,-BK$6-SUM(BK$10:BK105),-ROUNDDOWN($L106*BK$5/100,0)),0)</f>
        <v>0</v>
      </c>
      <c r="BL106" s="38">
        <f>IF(AND(BL$7="○",$A106&gt;=BL$8,$A106&lt;=BL$9),IF(SUM(BL$10:BL105)-ROUNDDOWN($L106*BL$5/100,0)&lt;-BL$6,-BL$6-SUM(BL$10:BL105),-ROUNDDOWN($L106*BL$5/100,0)),0)</f>
        <v>0</v>
      </c>
      <c r="BM106" s="38">
        <f>IF(AND(BM$7="○",$A106&gt;=BM$8,$A106&lt;=BM$9),IF(SUM(BM$10:BM105)-ROUNDDOWN($M106*BM$5/100,0)&lt;-BM$6,-BM$6-SUM(BM$10:BM105),-ROUNDDOWN($M106*BM$5/100,0)),0)</f>
        <v>0</v>
      </c>
      <c r="BN106" s="38">
        <f>IF(AND(BN$7="○",$A106&gt;=BN$8,$A106&lt;=BN$9),IF(SUM(BN$10:BN105)-ROUNDDOWN($M106*BN$5/100,0)&lt;-BN$6,-BN$6-SUM(BN$10:BN105),-ROUNDDOWN($M106*BN$5/100,0)),0)</f>
        <v>0</v>
      </c>
      <c r="BO106" s="38">
        <f>IF(AND(BO$7="○",$A106&gt;=BO$8,$A106&lt;=BO$9),IF(SUM(BO$10:BO105)-ROUNDDOWN($M106*BO$5/100,0)&lt;-BO$6,-BO$6-SUM(BO$10:BO105),-ROUNDDOWN($M106*BO$5/100,0)),0)</f>
        <v>0</v>
      </c>
      <c r="BP106" s="38">
        <f>IF(AND(BP$7="○",$A106&gt;=BP$8,$A106&lt;=BP$9),IF(SUM(BP$10:BP105)-ROUNDDOWN($M106*BP$5/100,0)&lt;-BP$6,-BP$6-SUM(BP$10:BP105),-ROUNDDOWN($M106*BP$5/100,0)),0)</f>
        <v>0</v>
      </c>
      <c r="BQ106" s="38">
        <f>IF(AND(BQ$7="○",$A106&gt;=BQ$8,$A106&lt;=BQ$9),IF(SUM(BQ$10:BQ105)-ROUNDDOWN($L106*BQ$5/100,0)&lt;-BQ$6,-BQ$6-SUM(BQ$10:BQ105),-ROUNDDOWN($L106*BQ$5/100,0)),0)</f>
        <v>0</v>
      </c>
      <c r="BR106" s="38">
        <f>IF(AND(BR$7="○",$A106&gt;=BR$8,$A106&lt;=BR$9),IF(SUM(BR$10:BR105)-ROUNDDOWN($M106*BR$5/100,0)&lt;-BR$6,-BR$6-SUM(BR$10:BR105),-ROUNDDOWN($M106*BR$5/100,0)),0)</f>
        <v>0</v>
      </c>
      <c r="BS106" s="38">
        <f>IF(AND(BS$7="○",$A106&gt;=BS$8,$A106&lt;=BS$9),IF(SUM(BS$10:BS105)-ROUNDDOWN($M106*BS$5/100,0)&lt;-BS$6,-BS$6-SUM(BS$10:BS105),-ROUNDDOWN($M106*BS$5/100,0)),0)</f>
        <v>0</v>
      </c>
      <c r="BT106" s="38">
        <f>IF(AND(BT$7="○",$A106&gt;=BT$8,$A106&lt;=BT$9),IF(SUM(BT$10:BT105)-ROUNDDOWN($M106*BT$5/100,0)&lt;-BT$6,-BT$6-SUM(BT$10:BT105),-ROUNDDOWN($M106*BT$5/100,0)),0)</f>
        <v>0</v>
      </c>
      <c r="BU106" s="38">
        <f>IF(AND(BU$7="○",$A106&gt;=BU$8,$A106&lt;=BU$9),IF(SUM(BU$10:BU105)-ROUNDDOWN($M106*BU$5/100,0)&lt;-BU$6,-BU$6-SUM(BU$10:BU105),-ROUNDDOWN($M106*BU$5/100,0)),0)</f>
        <v>0</v>
      </c>
      <c r="BV106" s="38">
        <f>IF(AND(BV$7="○",$A106&gt;=BV$8,$A106&lt;=BV$9),IF(SUM(BV$10:BV105)-ROUNDDOWN($M106*BV$5/100,0)&lt;-BV$6,-BV$6-SUM(BV$10:BV105),-ROUNDDOWN($M106*BV$5/100,0)),0)</f>
        <v>0</v>
      </c>
      <c r="BW106" s="38">
        <f>IF(AND(BW$7="○",$A106&gt;=BW$8,$A106&lt;=BW$9),IF(SUM(BW$10:BW105)-ROUNDDOWN($M106*BW$5/100,0)&lt;-BW$6,-BW$6-SUM(BW$10:BW105),-ROUNDDOWN($M106*BW$5/100,0)),0)</f>
        <v>0</v>
      </c>
      <c r="BX106" s="38">
        <f>IF(AND(T106="○",$A106&gt;=BX$8,$A106&lt;=BX$9),IF(SUM(BX$10:BX105)-ROUNDDOWN($K106*BX$5/100,0)&lt;-BX$6,-BX$6-SUM(BX$10:BX105),-ROUNDDOWN($K106*BX$5/100,0)),0)</f>
        <v>0</v>
      </c>
      <c r="BY106" s="38">
        <f>IF(AND(U106="○",$A106&gt;=BY$8,$A106&lt;=BY$9),IF(SUM(BY$10:BY105)-ROUNDDOWN($K106*BY$5/100,0)&lt;-BY$6,-BY$6-SUM(BY$10:BY105),-ROUNDDOWN($K106*BY$5/100,0)),0)</f>
        <v>0</v>
      </c>
      <c r="BZ106" s="38">
        <f>IF(AND(V106="○",$A106&gt;=BZ$8,$A106&lt;=BZ$9),IF(SUM(BZ$10:BZ105)-ROUNDDOWN($K106*BZ$5/100,0)&lt;-BZ$6,-BZ$6-SUM(BZ$10:BZ105),-ROUNDDOWN($K106*BZ$5/100,0)),0)</f>
        <v>0</v>
      </c>
      <c r="CA106" s="38">
        <f>IF(AND(W106="○",$A106&gt;=CA$8,$A106&lt;=CA$9),IF(SUM(CA$10:CA105)-ROUNDDOWN($K106*CA$5/100,0)&lt;-CA$6,-CA$6-SUM(CA$10:CA105),-ROUNDDOWN($K106*CA$5/100,0)),0)</f>
        <v>0</v>
      </c>
      <c r="CB106" s="38"/>
      <c r="CC106" s="38"/>
      <c r="CD106" s="38"/>
      <c r="CE106" s="38"/>
      <c r="CF106" s="38"/>
      <c r="CG106" s="65">
        <f t="shared" si="94"/>
        <v>0</v>
      </c>
      <c r="CH106" s="71">
        <f t="shared" si="95"/>
        <v>0</v>
      </c>
      <c r="CI106" s="1">
        <f t="shared" ref="CI106:CI135" si="109">IFERROR(ROUNDDOWN((CH106/G106),0),0)</f>
        <v>0</v>
      </c>
      <c r="CJ106" s="1"/>
      <c r="CK106" s="72"/>
      <c r="CL106" s="72"/>
      <c r="CM106" s="2"/>
      <c r="CN106" s="2"/>
      <c r="CO106" s="73">
        <f t="shared" ref="CO106:CO135" si="110">IFERROR(CN106-CI106,0)</f>
        <v>0</v>
      </c>
      <c r="CP106" s="5">
        <f t="shared" ref="CP106:CP135" si="111">IFERROR(CN106/CI106,0)</f>
        <v>0</v>
      </c>
      <c r="CQ106" s="1"/>
      <c r="CR106" s="1">
        <f t="shared" ref="CR106:CR135" si="112">+CO106*G106</f>
        <v>0</v>
      </c>
      <c r="CS106" s="1"/>
      <c r="CT106" s="1" t="e">
        <f>INDEX([2]マスタ!$A:$A,MATCH(D106,[2]マスタ!$C:$C,0))</f>
        <v>#N/A</v>
      </c>
      <c r="CU106" s="1" t="str">
        <f t="shared" ref="CU106:CU135" ca="1" si="113">IFERROR(TEXT(TODAY(),"yyyymmdd")&amp;"_"&amp;ROUNDDOWN(H106+I106,0)&amp;"-"&amp;ROUNDDOWN(CI106,0),"")</f>
        <v>20260620_0-0</v>
      </c>
    </row>
    <row r="107" spans="1:99" x14ac:dyDescent="0.4">
      <c r="A107" s="61"/>
      <c r="B107" s="62"/>
      <c r="C107" s="62"/>
      <c r="D107" s="62"/>
      <c r="E107" s="76"/>
      <c r="F107" s="62"/>
      <c r="G107" s="62">
        <v>1</v>
      </c>
      <c r="H107" s="64">
        <f t="shared" si="100"/>
        <v>0</v>
      </c>
      <c r="I107" s="64"/>
      <c r="J107" s="64"/>
      <c r="K107" s="65">
        <f t="shared" si="101"/>
        <v>0</v>
      </c>
      <c r="L107" s="65">
        <f t="shared" si="102"/>
        <v>0</v>
      </c>
      <c r="M107" s="65">
        <f t="shared" si="103"/>
        <v>0</v>
      </c>
      <c r="N107" s="65">
        <f t="shared" si="104"/>
        <v>0</v>
      </c>
      <c r="O107" s="66" t="str">
        <f t="shared" si="105"/>
        <v>✕</v>
      </c>
      <c r="P107" s="67" t="str">
        <f t="shared" si="106"/>
        <v>○</v>
      </c>
      <c r="Q107" s="67" t="str">
        <f t="shared" si="107"/>
        <v>✕</v>
      </c>
      <c r="R107" s="67" t="str">
        <f t="shared" si="108"/>
        <v>✕</v>
      </c>
      <c r="S107" s="68">
        <v>0</v>
      </c>
      <c r="T107" s="69" t="s">
        <v>85</v>
      </c>
      <c r="U107" s="69" t="s">
        <v>85</v>
      </c>
      <c r="V107" s="69" t="s">
        <v>85</v>
      </c>
      <c r="W107" s="69" t="s">
        <v>85</v>
      </c>
      <c r="X107" s="69" t="s">
        <v>84</v>
      </c>
      <c r="Y107" s="69" t="s">
        <v>85</v>
      </c>
      <c r="Z107" s="69" t="s">
        <v>85</v>
      </c>
      <c r="AA107" s="69" t="s">
        <v>85</v>
      </c>
      <c r="AB107" s="69" t="s">
        <v>85</v>
      </c>
      <c r="AC107" s="69" t="s">
        <v>85</v>
      </c>
      <c r="AD107" s="38" t="str">
        <f>+IF(ISERROR(VLOOKUP($B107,AD$10:AD106,1,0)),IF(AND($N107&gt;=1000,$A107&gt;=AO$8,$A107&lt;=AO$9),$B107,""),"")</f>
        <v/>
      </c>
      <c r="AE107" s="38" t="str">
        <f>+IF(ISERROR(VLOOKUP($B107,AE$10:AE106,1,0)),IF(AND($N107&gt;=1000,$A107&gt;=AP$8,$A107&lt;=AP$9),$B107,""),"")</f>
        <v/>
      </c>
      <c r="AF107" s="38" t="str">
        <f>+IF(ISERROR(VLOOKUP($B107,AF$10:AF106,1,0)),IF(AND($N107&gt;=1000,$A107&gt;=AQ$8,$A107&lt;=AQ$9),$B107,""),"")</f>
        <v/>
      </c>
      <c r="AG107" s="38" t="str">
        <f>+IF(ISERROR(VLOOKUP($B107,AG$10:AG106,1,0)),IF(AND($N107&gt;=1000,$A107&gt;=AR$8,$A107&lt;=AR$9),$B107,""),"")</f>
        <v/>
      </c>
      <c r="AH107" s="38"/>
      <c r="AI107" s="70">
        <v>0</v>
      </c>
      <c r="AJ107" s="38">
        <f>IF(AND(AJ$7="○",$A107&gt;=AJ$8,$A107&lt;=AJ$9),IF(SUM(AJ$10:AJ106)-ROUNDDOWN($K107*AJ$5/100,0)&lt;-AJ$6,-AJ$6-SUM(AJ$10:AJ106),-ROUNDDOWN($K107*AJ$5/100,0)),0)</f>
        <v>0</v>
      </c>
      <c r="AK107" s="38">
        <f>IF(AND(AK$7="○",$A107&gt;=AK$8,$A107&lt;=AK$9),IF(SUM(AK$10:AK106)-ROUNDDOWN($L107*AK$5/100,0)&lt;-AK$6,-AK$6-SUM(AK$10:AK106),-ROUNDDOWN($L107*AK$5/100,0)),0)</f>
        <v>0</v>
      </c>
      <c r="AL107" s="38">
        <f>IF(AND(AL$7="○",$A107&gt;=AL$8,$A107&lt;=AL$9),IF(SUM(AL$10:AL106)-ROUNDDOWN($N107*AL$5/100,0)&lt;-AL$6,-AL$6-SUM(AL$10:AL106),-ROUNDDOWN($N107*AL$5/100,0)),0)</f>
        <v>0</v>
      </c>
      <c r="AM107" s="38">
        <f>IF(AND(AM$7="○",$A107&gt;=AM$8,$A107&lt;=AM$9),IF(SUM(AM$10:AM106)-ROUNDDOWN($L107*AM$5/100,0)&lt;-AM$6,-AM$6-SUM(AM$10:AM106),-ROUNDDOWN($L107*AM$5/100,0)),0)</f>
        <v>0</v>
      </c>
      <c r="AN107" s="38">
        <f>IF(AND(AN$7="○",$A107&gt;=AN$8,$A107&lt;=AN$9),IF(SUM(AN$10:AN106)-ROUNDDOWN($M107*AN$5/100,0)&lt;-AN$6,-AN$6-SUM(AN$10:AN106),-ROUNDDOWN($M107*AN$5/100,0)),0)</f>
        <v>0</v>
      </c>
      <c r="AO107" s="38">
        <f>IF(AND($A107&gt;=AO$8,$A107&lt;=AO$9),IF(SUM(AO$10:AO106)-ROUNDDOWN($K107*AO$5/100,0)&lt;-AO$6,-AO$6-SUM(AO$10:AO106),-ROUNDDOWN($K107*AO$5/100,0)),0)</f>
        <v>0</v>
      </c>
      <c r="AP107" s="38">
        <f>IF(AND($A107&gt;=AP$8,$A107&lt;=AP$9),IF(SUM(AP$10:AP106)-ROUNDDOWN($K107*AP$5/100,0)&lt;-AP$6,-AP$6-SUM(AP$10:AP106),-ROUNDDOWN($K107*AP$5/100,0)),0)</f>
        <v>0</v>
      </c>
      <c r="AQ107" s="38">
        <f>IF(AND($A107&gt;=AQ$8,$A107&lt;=AQ$9),IF(SUM(AQ$10:AQ106)-ROUNDDOWN($K107*AQ$5/100,0)&lt;-AQ$6,-AQ$6-SUM(AQ$10:AQ106),-ROUNDDOWN($K107*AQ$5/100,0)),0)</f>
        <v>0</v>
      </c>
      <c r="AR107" s="38">
        <f>IF(AND($A107&gt;=AR$8,$A107&lt;=AR$9),IF(SUM(AR$10:AR106)-ROUNDDOWN($K107*AR$5/100,0)&lt;-AR$6,-AR$6-SUM(AR$10:AR106),-ROUNDDOWN($K107*AR$5/100,0)),0)</f>
        <v>0</v>
      </c>
      <c r="AS107" s="38">
        <f>IF(SUMIFS(AS$10:AS106,$A$10:$A106,$A107)-ROUNDDOWN($K107*$S107/100,0)&lt;-$S107*1000,-$S107*1000-SUMIFS(AS$10:AS106,$A$10:$A106,$A107),-ROUNDDOWN($K107*$S107/100,0))</f>
        <v>0</v>
      </c>
      <c r="AT107" s="38">
        <f>IF(AND(X107="○",$A107&gt;=AT$8,$A107&lt;=AT$9,K107&gt;=3980),IF(SUM(AT$10:AT106)-ROUNDDOWN($K107*AT$5/100,0)&lt;-AT$6,-AT$6-SUM(AT$10:AT106),-ROUNDDOWN($K107*AT$5/100,0)),0)</f>
        <v>0</v>
      </c>
      <c r="AU107" s="38">
        <f>IF(O107="○",IF(SUM(AU$10:AU106)-ROUNDDOWN($K107*AU$5/100,0)&lt;-AU$6,-AU$6-SUM(AU$10:AU106),-ROUNDDOWN($K107*AU$5/100,0)),0)</f>
        <v>0</v>
      </c>
      <c r="AV107" s="38">
        <f>IF(P107="○",IF(SUM(AV$10:AV106)-ROUNDDOWN($K107*AV$5/100,0)&lt;-AV$6,-AV$6-SUM(AV$10:AV106),-ROUNDDOWN($K107*AV$5/100,0)),0)</f>
        <v>0</v>
      </c>
      <c r="AW107" s="38">
        <f>IF(Q107="○",IF(SUM(AW$10:AW106)-ROUNDDOWN($K107*AW$5/100,0)&lt;-AW$6,-AW$6-SUM(AW$10:AW106),-ROUNDDOWN($K107*AW$5/100,0)),0)</f>
        <v>0</v>
      </c>
      <c r="AX107" s="38">
        <f>IF(R107="○",IF(SUM(AX$10:AX106)-ROUNDDOWN($K107*AX$5/100,0)&lt;-AX$6,-AX$6-SUM(AX$10:AX106),-ROUNDDOWN($K107*AX$5/100,0)),0)</f>
        <v>0</v>
      </c>
      <c r="AY107" s="70">
        <v>0</v>
      </c>
      <c r="AZ107" s="65">
        <f t="shared" si="88"/>
        <v>0</v>
      </c>
      <c r="BA107" s="65">
        <f t="shared" si="89"/>
        <v>0</v>
      </c>
      <c r="BB107" s="70"/>
      <c r="BC107" s="65">
        <f t="shared" si="90"/>
        <v>0</v>
      </c>
      <c r="BD107" s="70">
        <v>0</v>
      </c>
      <c r="BE107" s="65">
        <f t="shared" si="91"/>
        <v>0</v>
      </c>
      <c r="BF107" s="70">
        <v>0</v>
      </c>
      <c r="BG107" s="65">
        <f t="shared" si="92"/>
        <v>0</v>
      </c>
      <c r="BH107" s="70">
        <v>0</v>
      </c>
      <c r="BI107" s="65">
        <f t="shared" si="93"/>
        <v>0</v>
      </c>
      <c r="BJ107" s="38">
        <f>IF(AND(BJ$7="○",$A107&gt;=BJ$8,$A107&lt;=BJ$9),IF(SUM(BJ$10:BJ106)-ROUNDDOWN($M107*BJ$5/100,0)&lt;-BJ$6,-BJ$6-SUM(BJ$10:BJ106),-ROUNDDOWN($M107*BJ$5/100,0)),0)</f>
        <v>0</v>
      </c>
      <c r="BK107" s="38">
        <f>IF(AND(BK$7="○",$A107&gt;=BK$8,$A107&lt;=BK$9),IF(SUM(BK$10:BK106)-ROUNDDOWN($L107*BK$5/100,0)&lt;-BK$6,-BK$6-SUM(BK$10:BK106),-ROUNDDOWN($L107*BK$5/100,0)),0)</f>
        <v>0</v>
      </c>
      <c r="BL107" s="38">
        <f>IF(AND(BL$7="○",$A107&gt;=BL$8,$A107&lt;=BL$9),IF(SUM(BL$10:BL106)-ROUNDDOWN($L107*BL$5/100,0)&lt;-BL$6,-BL$6-SUM(BL$10:BL106),-ROUNDDOWN($L107*BL$5/100,0)),0)</f>
        <v>0</v>
      </c>
      <c r="BM107" s="38">
        <f>IF(AND(BM$7="○",$A107&gt;=BM$8,$A107&lt;=BM$9),IF(SUM(BM$10:BM106)-ROUNDDOWN($M107*BM$5/100,0)&lt;-BM$6,-BM$6-SUM(BM$10:BM106),-ROUNDDOWN($M107*BM$5/100,0)),0)</f>
        <v>0</v>
      </c>
      <c r="BN107" s="38">
        <f>IF(AND(BN$7="○",$A107&gt;=BN$8,$A107&lt;=BN$9),IF(SUM(BN$10:BN106)-ROUNDDOWN($M107*BN$5/100,0)&lt;-BN$6,-BN$6-SUM(BN$10:BN106),-ROUNDDOWN($M107*BN$5/100,0)),0)</f>
        <v>0</v>
      </c>
      <c r="BO107" s="38">
        <f>IF(AND(BO$7="○",$A107&gt;=BO$8,$A107&lt;=BO$9),IF(SUM(BO$10:BO106)-ROUNDDOWN($M107*BO$5/100,0)&lt;-BO$6,-BO$6-SUM(BO$10:BO106),-ROUNDDOWN($M107*BO$5/100,0)),0)</f>
        <v>0</v>
      </c>
      <c r="BP107" s="38">
        <f>IF(AND(BP$7="○",$A107&gt;=BP$8,$A107&lt;=BP$9),IF(SUM(BP$10:BP106)-ROUNDDOWN($M107*BP$5/100,0)&lt;-BP$6,-BP$6-SUM(BP$10:BP106),-ROUNDDOWN($M107*BP$5/100,0)),0)</f>
        <v>0</v>
      </c>
      <c r="BQ107" s="38">
        <f>IF(AND(BQ$7="○",$A107&gt;=BQ$8,$A107&lt;=BQ$9),IF(SUM(BQ$10:BQ106)-ROUNDDOWN($L107*BQ$5/100,0)&lt;-BQ$6,-BQ$6-SUM(BQ$10:BQ106),-ROUNDDOWN($L107*BQ$5/100,0)),0)</f>
        <v>0</v>
      </c>
      <c r="BR107" s="38">
        <f>IF(AND(BR$7="○",$A107&gt;=BR$8,$A107&lt;=BR$9),IF(SUM(BR$10:BR106)-ROUNDDOWN($M107*BR$5/100,0)&lt;-BR$6,-BR$6-SUM(BR$10:BR106),-ROUNDDOWN($M107*BR$5/100,0)),0)</f>
        <v>0</v>
      </c>
      <c r="BS107" s="38">
        <f>IF(AND(BS$7="○",$A107&gt;=BS$8,$A107&lt;=BS$9),IF(SUM(BS$10:BS106)-ROUNDDOWN($M107*BS$5/100,0)&lt;-BS$6,-BS$6-SUM(BS$10:BS106),-ROUNDDOWN($M107*BS$5/100,0)),0)</f>
        <v>0</v>
      </c>
      <c r="BT107" s="38">
        <f>IF(AND(BT$7="○",$A107&gt;=BT$8,$A107&lt;=BT$9),IF(SUM(BT$10:BT106)-ROUNDDOWN($M107*BT$5/100,0)&lt;-BT$6,-BT$6-SUM(BT$10:BT106),-ROUNDDOWN($M107*BT$5/100,0)),0)</f>
        <v>0</v>
      </c>
      <c r="BU107" s="38">
        <f>IF(AND(BU$7="○",$A107&gt;=BU$8,$A107&lt;=BU$9),IF(SUM(BU$10:BU106)-ROUNDDOWN($M107*BU$5/100,0)&lt;-BU$6,-BU$6-SUM(BU$10:BU106),-ROUNDDOWN($M107*BU$5/100,0)),0)</f>
        <v>0</v>
      </c>
      <c r="BV107" s="38">
        <f>IF(AND(BV$7="○",$A107&gt;=BV$8,$A107&lt;=BV$9),IF(SUM(BV$10:BV106)-ROUNDDOWN($M107*BV$5/100,0)&lt;-BV$6,-BV$6-SUM(BV$10:BV106),-ROUNDDOWN($M107*BV$5/100,0)),0)</f>
        <v>0</v>
      </c>
      <c r="BW107" s="38">
        <f>IF(AND(BW$7="○",$A107&gt;=BW$8,$A107&lt;=BW$9),IF(SUM(BW$10:BW106)-ROUNDDOWN($M107*BW$5/100,0)&lt;-BW$6,-BW$6-SUM(BW$10:BW106),-ROUNDDOWN($M107*BW$5/100,0)),0)</f>
        <v>0</v>
      </c>
      <c r="BX107" s="38">
        <f>IF(AND(T107="○",$A107&gt;=BX$8,$A107&lt;=BX$9),IF(SUM(BX$10:BX106)-ROUNDDOWN($K107*BX$5/100,0)&lt;-BX$6,-BX$6-SUM(BX$10:BX106),-ROUNDDOWN($K107*BX$5/100,0)),0)</f>
        <v>0</v>
      </c>
      <c r="BY107" s="38">
        <f>IF(AND(U107="○",$A107&gt;=BY$8,$A107&lt;=BY$9),IF(SUM(BY$10:BY106)-ROUNDDOWN($K107*BY$5/100,0)&lt;-BY$6,-BY$6-SUM(BY$10:BY106),-ROUNDDOWN($K107*BY$5/100,0)),0)</f>
        <v>0</v>
      </c>
      <c r="BZ107" s="38">
        <f>IF(AND(V107="○",$A107&gt;=BZ$8,$A107&lt;=BZ$9),IF(SUM(BZ$10:BZ106)-ROUNDDOWN($K107*BZ$5/100,0)&lt;-BZ$6,-BZ$6-SUM(BZ$10:BZ106),-ROUNDDOWN($K107*BZ$5/100,0)),0)</f>
        <v>0</v>
      </c>
      <c r="CA107" s="38">
        <f>IF(AND(W107="○",$A107&gt;=CA$8,$A107&lt;=CA$9),IF(SUM(CA$10:CA106)-ROUNDDOWN($K107*CA$5/100,0)&lt;-CA$6,-CA$6-SUM(CA$10:CA106),-ROUNDDOWN($K107*CA$5/100,0)),0)</f>
        <v>0</v>
      </c>
      <c r="CB107" s="38"/>
      <c r="CC107" s="38"/>
      <c r="CD107" s="38"/>
      <c r="CE107" s="38"/>
      <c r="CF107" s="38"/>
      <c r="CG107" s="65">
        <f t="shared" si="94"/>
        <v>0</v>
      </c>
      <c r="CH107" s="71">
        <f t="shared" si="95"/>
        <v>0</v>
      </c>
      <c r="CI107" s="1">
        <f t="shared" si="109"/>
        <v>0</v>
      </c>
      <c r="CJ107" s="1"/>
      <c r="CK107" s="72"/>
      <c r="CL107" s="72"/>
      <c r="CM107" s="2"/>
      <c r="CN107" s="2"/>
      <c r="CO107" s="73">
        <f t="shared" si="110"/>
        <v>0</v>
      </c>
      <c r="CP107" s="5">
        <f t="shared" si="111"/>
        <v>0</v>
      </c>
      <c r="CQ107" s="1"/>
      <c r="CR107" s="1">
        <f t="shared" si="112"/>
        <v>0</v>
      </c>
      <c r="CS107" s="1"/>
      <c r="CT107" s="1" t="e">
        <f>INDEX([2]マスタ!$A:$A,MATCH(D107,[2]マスタ!$C:$C,0))</f>
        <v>#N/A</v>
      </c>
      <c r="CU107" s="1" t="str">
        <f t="shared" ca="1" si="113"/>
        <v>20260620_0-0</v>
      </c>
    </row>
    <row r="108" spans="1:99" x14ac:dyDescent="0.4">
      <c r="A108" s="61"/>
      <c r="B108" s="62"/>
      <c r="C108" s="62"/>
      <c r="D108" s="62"/>
      <c r="E108" s="63"/>
      <c r="F108" s="62"/>
      <c r="G108" s="62">
        <v>1</v>
      </c>
      <c r="H108" s="64">
        <f t="shared" si="100"/>
        <v>0</v>
      </c>
      <c r="I108" s="64"/>
      <c r="J108" s="64"/>
      <c r="K108" s="65">
        <f t="shared" si="101"/>
        <v>0</v>
      </c>
      <c r="L108" s="65">
        <f t="shared" si="102"/>
        <v>0</v>
      </c>
      <c r="M108" s="65">
        <f t="shared" si="103"/>
        <v>0</v>
      </c>
      <c r="N108" s="65">
        <f t="shared" si="104"/>
        <v>0</v>
      </c>
      <c r="O108" s="66" t="str">
        <f t="shared" si="105"/>
        <v>✕</v>
      </c>
      <c r="P108" s="67" t="str">
        <f t="shared" si="106"/>
        <v>○</v>
      </c>
      <c r="Q108" s="67" t="str">
        <f t="shared" si="107"/>
        <v>✕</v>
      </c>
      <c r="R108" s="67" t="str">
        <f t="shared" si="108"/>
        <v>✕</v>
      </c>
      <c r="S108" s="68">
        <v>0</v>
      </c>
      <c r="T108" s="69" t="s">
        <v>85</v>
      </c>
      <c r="U108" s="69" t="s">
        <v>85</v>
      </c>
      <c r="V108" s="69" t="s">
        <v>85</v>
      </c>
      <c r="W108" s="69" t="s">
        <v>85</v>
      </c>
      <c r="X108" s="69" t="s">
        <v>84</v>
      </c>
      <c r="Y108" s="69" t="s">
        <v>85</v>
      </c>
      <c r="Z108" s="69" t="s">
        <v>85</v>
      </c>
      <c r="AA108" s="69" t="s">
        <v>85</v>
      </c>
      <c r="AB108" s="69" t="s">
        <v>85</v>
      </c>
      <c r="AC108" s="69" t="s">
        <v>85</v>
      </c>
      <c r="AD108" s="38" t="str">
        <f>+IF(ISERROR(VLOOKUP($B108,AD$10:AD107,1,0)),IF(AND($N108&gt;=1000,$A108&gt;=AO$8,$A108&lt;=AO$9),$B108,""),"")</f>
        <v/>
      </c>
      <c r="AE108" s="38" t="str">
        <f>+IF(ISERROR(VLOOKUP($B108,AE$10:AE107,1,0)),IF(AND($N108&gt;=1000,$A108&gt;=AP$8,$A108&lt;=AP$9),$B108,""),"")</f>
        <v/>
      </c>
      <c r="AF108" s="38" t="str">
        <f>+IF(ISERROR(VLOOKUP($B108,AF$10:AF107,1,0)),IF(AND($N108&gt;=1000,$A108&gt;=AQ$8,$A108&lt;=AQ$9),$B108,""),"")</f>
        <v/>
      </c>
      <c r="AG108" s="38" t="str">
        <f>+IF(ISERROR(VLOOKUP($B108,AG$10:AG107,1,0)),IF(AND($N108&gt;=1000,$A108&gt;=AR$8,$A108&lt;=AR$9),$B108,""),"")</f>
        <v/>
      </c>
      <c r="AH108" s="38"/>
      <c r="AI108" s="70">
        <v>0</v>
      </c>
      <c r="AJ108" s="38">
        <f>IF(AND(AJ$7="○",$A108&gt;=AJ$8,$A108&lt;=AJ$9),IF(SUM(AJ$10:AJ107)-ROUNDDOWN($K108*AJ$5/100,0)&lt;-AJ$6,-AJ$6-SUM(AJ$10:AJ107),-ROUNDDOWN($K108*AJ$5/100,0)),0)</f>
        <v>0</v>
      </c>
      <c r="AK108" s="38">
        <f>IF(AND(AK$7="○",$A108&gt;=AK$8,$A108&lt;=AK$9),IF(SUM(AK$10:AK107)-ROUNDDOWN($L108*AK$5/100,0)&lt;-AK$6,-AK$6-SUM(AK$10:AK107),-ROUNDDOWN($L108*AK$5/100,0)),0)</f>
        <v>0</v>
      </c>
      <c r="AL108" s="38">
        <f>IF(AND(AL$7="○",$A108&gt;=AL$8,$A108&lt;=AL$9),IF(SUM(AL$10:AL107)-ROUNDDOWN($N108*AL$5/100,0)&lt;-AL$6,-AL$6-SUM(AL$10:AL107),-ROUNDDOWN($N108*AL$5/100,0)),0)</f>
        <v>0</v>
      </c>
      <c r="AM108" s="38">
        <f>IF(AND(AM$7="○",$A108&gt;=AM$8,$A108&lt;=AM$9),IF(SUM(AM$10:AM107)-ROUNDDOWN($L108*AM$5/100,0)&lt;-AM$6,-AM$6-SUM(AM$10:AM107),-ROUNDDOWN($L108*AM$5/100,0)),0)</f>
        <v>0</v>
      </c>
      <c r="AN108" s="38">
        <f>IF(AND(AN$7="○",$A108&gt;=AN$8,$A108&lt;=AN$9),IF(SUM(AN$10:AN107)-ROUNDDOWN($M108*AN$5/100,0)&lt;-AN$6,-AN$6-SUM(AN$10:AN107),-ROUNDDOWN($M108*AN$5/100,0)),0)</f>
        <v>0</v>
      </c>
      <c r="AO108" s="38">
        <f>IF(AND($A108&gt;=AO$8,$A108&lt;=AO$9),IF(SUM(AO$10:AO107)-ROUNDDOWN($K108*AO$5/100,0)&lt;-AO$6,-AO$6-SUM(AO$10:AO107),-ROUNDDOWN($K108*AO$5/100,0)),0)</f>
        <v>0</v>
      </c>
      <c r="AP108" s="38">
        <f>IF(AND($A108&gt;=AP$8,$A108&lt;=AP$9),IF(SUM(AP$10:AP107)-ROUNDDOWN($K108*AP$5/100,0)&lt;-AP$6,-AP$6-SUM(AP$10:AP107),-ROUNDDOWN($K108*AP$5/100,0)),0)</f>
        <v>0</v>
      </c>
      <c r="AQ108" s="38">
        <f>IF(AND($A108&gt;=AQ$8,$A108&lt;=AQ$9),IF(SUM(AQ$10:AQ107)-ROUNDDOWN($K108*AQ$5/100,0)&lt;-AQ$6,-AQ$6-SUM(AQ$10:AQ107),-ROUNDDOWN($K108*AQ$5/100,0)),0)</f>
        <v>0</v>
      </c>
      <c r="AR108" s="38">
        <f>IF(AND($A108&gt;=AR$8,$A108&lt;=AR$9),IF(SUM(AR$10:AR107)-ROUNDDOWN($K108*AR$5/100,0)&lt;-AR$6,-AR$6-SUM(AR$10:AR107),-ROUNDDOWN($K108*AR$5/100,0)),0)</f>
        <v>0</v>
      </c>
      <c r="AS108" s="38">
        <f>IF(SUMIFS(AS$10:AS107,$A$10:$A107,$A108)-ROUNDDOWN($K108*$S108/100,0)&lt;-$S108*1000,-$S108*1000-SUMIFS(AS$10:AS107,$A$10:$A107,$A108),-ROUNDDOWN($K108*$S108/100,0))</f>
        <v>0</v>
      </c>
      <c r="AT108" s="38">
        <f>IF(AND(X108="○",$A108&gt;=AT$8,$A108&lt;=AT$9,K108&gt;=3980),IF(SUM(AT$10:AT107)-ROUNDDOWN($K108*AT$5/100,0)&lt;-AT$6,-AT$6-SUM(AT$10:AT107),-ROUNDDOWN($K108*AT$5/100,0)),0)</f>
        <v>0</v>
      </c>
      <c r="AU108" s="38">
        <f>IF(O108="○",IF(SUM(AU$10:AU107)-ROUNDDOWN($K108*AU$5/100,0)&lt;-AU$6,-AU$6-SUM(AU$10:AU107),-ROUNDDOWN($K108*AU$5/100,0)),0)</f>
        <v>0</v>
      </c>
      <c r="AV108" s="38">
        <f>IF(P108="○",IF(SUM(AV$10:AV107)-ROUNDDOWN($K108*AV$5/100,0)&lt;-AV$6,-AV$6-SUM(AV$10:AV107),-ROUNDDOWN($K108*AV$5/100,0)),0)</f>
        <v>0</v>
      </c>
      <c r="AW108" s="38">
        <f>IF(Q108="○",IF(SUM(AW$10:AW107)-ROUNDDOWN($K108*AW$5/100,0)&lt;-AW$6,-AW$6-SUM(AW$10:AW107),-ROUNDDOWN($K108*AW$5/100,0)),0)</f>
        <v>0</v>
      </c>
      <c r="AX108" s="38">
        <f>IF(R108="○",IF(SUM(AX$10:AX107)-ROUNDDOWN($K108*AX$5/100,0)&lt;-AX$6,-AX$6-SUM(AX$10:AX107),-ROUNDDOWN($K108*AX$5/100,0)),0)</f>
        <v>0</v>
      </c>
      <c r="AY108" s="70">
        <v>0</v>
      </c>
      <c r="AZ108" s="65">
        <f t="shared" si="88"/>
        <v>0</v>
      </c>
      <c r="BA108" s="65">
        <f t="shared" si="89"/>
        <v>0</v>
      </c>
      <c r="BB108" s="70"/>
      <c r="BC108" s="65">
        <f t="shared" si="90"/>
        <v>0</v>
      </c>
      <c r="BD108" s="70">
        <v>0</v>
      </c>
      <c r="BE108" s="65">
        <f t="shared" si="91"/>
        <v>0</v>
      </c>
      <c r="BF108" s="70">
        <v>0</v>
      </c>
      <c r="BG108" s="65">
        <f t="shared" si="92"/>
        <v>0</v>
      </c>
      <c r="BH108" s="70">
        <v>0</v>
      </c>
      <c r="BI108" s="65">
        <f t="shared" si="93"/>
        <v>0</v>
      </c>
      <c r="BJ108" s="38">
        <f>IF(AND(BJ$7="○",$A108&gt;=BJ$8,$A108&lt;=BJ$9),IF(SUM(BJ$10:BJ107)-ROUNDDOWN($M108*BJ$5/100,0)&lt;-BJ$6,-BJ$6-SUM(BJ$10:BJ107),-ROUNDDOWN($M108*BJ$5/100,0)),0)</f>
        <v>0</v>
      </c>
      <c r="BK108" s="38">
        <f>IF(AND(BK$7="○",$A108&gt;=BK$8,$A108&lt;=BK$9),IF(SUM(BK$10:BK107)-ROUNDDOWN($L108*BK$5/100,0)&lt;-BK$6,-BK$6-SUM(BK$10:BK107),-ROUNDDOWN($L108*BK$5/100,0)),0)</f>
        <v>0</v>
      </c>
      <c r="BL108" s="38">
        <f>IF(AND(BL$7="○",$A108&gt;=BL$8,$A108&lt;=BL$9),IF(SUM(BL$10:BL107)-ROUNDDOWN($L108*BL$5/100,0)&lt;-BL$6,-BL$6-SUM(BL$10:BL107),-ROUNDDOWN($L108*BL$5/100,0)),0)</f>
        <v>0</v>
      </c>
      <c r="BM108" s="38">
        <f>IF(AND(BM$7="○",$A108&gt;=BM$8,$A108&lt;=BM$9),IF(SUM(BM$10:BM107)-ROUNDDOWN($M108*BM$5/100,0)&lt;-BM$6,-BM$6-SUM(BM$10:BM107),-ROUNDDOWN($M108*BM$5/100,0)),0)</f>
        <v>0</v>
      </c>
      <c r="BN108" s="38">
        <f>IF(AND(BN$7="○",$A108&gt;=BN$8,$A108&lt;=BN$9),IF(SUM(BN$10:BN107)-ROUNDDOWN($M108*BN$5/100,0)&lt;-BN$6,-BN$6-SUM(BN$10:BN107),-ROUNDDOWN($M108*BN$5/100,0)),0)</f>
        <v>0</v>
      </c>
      <c r="BO108" s="38">
        <f>IF(AND(BO$7="○",$A108&gt;=BO$8,$A108&lt;=BO$9),IF(SUM(BO$10:BO107)-ROUNDDOWN($M108*BO$5/100,0)&lt;-BO$6,-BO$6-SUM(BO$10:BO107),-ROUNDDOWN($M108*BO$5/100,0)),0)</f>
        <v>0</v>
      </c>
      <c r="BP108" s="38">
        <f>IF(AND(BP$7="○",$A108&gt;=BP$8,$A108&lt;=BP$9),IF(SUM(BP$10:BP107)-ROUNDDOWN($M108*BP$5/100,0)&lt;-BP$6,-BP$6-SUM(BP$10:BP107),-ROUNDDOWN($M108*BP$5/100,0)),0)</f>
        <v>0</v>
      </c>
      <c r="BQ108" s="38">
        <f>IF(AND(BQ$7="○",$A108&gt;=BQ$8,$A108&lt;=BQ$9),IF(SUM(BQ$10:BQ107)-ROUNDDOWN($L108*BQ$5/100,0)&lt;-BQ$6,-BQ$6-SUM(BQ$10:BQ107),-ROUNDDOWN($L108*BQ$5/100,0)),0)</f>
        <v>0</v>
      </c>
      <c r="BR108" s="38">
        <f>IF(AND(BR$7="○",$A108&gt;=BR$8,$A108&lt;=BR$9),IF(SUM(BR$10:BR107)-ROUNDDOWN($M108*BR$5/100,0)&lt;-BR$6,-BR$6-SUM(BR$10:BR107),-ROUNDDOWN($M108*BR$5/100,0)),0)</f>
        <v>0</v>
      </c>
      <c r="BS108" s="38">
        <f>IF(AND(BS$7="○",$A108&gt;=BS$8,$A108&lt;=BS$9),IF(SUM(BS$10:BS107)-ROUNDDOWN($M108*BS$5/100,0)&lt;-BS$6,-BS$6-SUM(BS$10:BS107),-ROUNDDOWN($M108*BS$5/100,0)),0)</f>
        <v>0</v>
      </c>
      <c r="BT108" s="38">
        <f>IF(AND(BT$7="○",$A108&gt;=BT$8,$A108&lt;=BT$9),IF(SUM(BT$10:BT107)-ROUNDDOWN($M108*BT$5/100,0)&lt;-BT$6,-BT$6-SUM(BT$10:BT107),-ROUNDDOWN($M108*BT$5/100,0)),0)</f>
        <v>0</v>
      </c>
      <c r="BU108" s="38">
        <f>IF(AND(BU$7="○",$A108&gt;=BU$8,$A108&lt;=BU$9),IF(SUM(BU$10:BU107)-ROUNDDOWN($M108*BU$5/100,0)&lt;-BU$6,-BU$6-SUM(BU$10:BU107),-ROUNDDOWN($M108*BU$5/100,0)),0)</f>
        <v>0</v>
      </c>
      <c r="BV108" s="38">
        <f>IF(AND(BV$7="○",$A108&gt;=BV$8,$A108&lt;=BV$9),IF(SUM(BV$10:BV107)-ROUNDDOWN($M108*BV$5/100,0)&lt;-BV$6,-BV$6-SUM(BV$10:BV107),-ROUNDDOWN($M108*BV$5/100,0)),0)</f>
        <v>0</v>
      </c>
      <c r="BW108" s="38">
        <f>IF(AND(BW$7="○",$A108&gt;=BW$8,$A108&lt;=BW$9),IF(SUM(BW$10:BW107)-ROUNDDOWN($M108*BW$5/100,0)&lt;-BW$6,-BW$6-SUM(BW$10:BW107),-ROUNDDOWN($M108*BW$5/100,0)),0)</f>
        <v>0</v>
      </c>
      <c r="BX108" s="38">
        <f>IF(AND(T108="○",$A108&gt;=BX$8,$A108&lt;=BX$9),IF(SUM(BX$10:BX107)-ROUNDDOWN($K108*BX$5/100,0)&lt;-BX$6,-BX$6-SUM(BX$10:BX107),-ROUNDDOWN($K108*BX$5/100,0)),0)</f>
        <v>0</v>
      </c>
      <c r="BY108" s="38">
        <f>IF(AND(U108="○",$A108&gt;=BY$8,$A108&lt;=BY$9),IF(SUM(BY$10:BY107)-ROUNDDOWN($K108*BY$5/100,0)&lt;-BY$6,-BY$6-SUM(BY$10:BY107),-ROUNDDOWN($K108*BY$5/100,0)),0)</f>
        <v>0</v>
      </c>
      <c r="BZ108" s="38">
        <f>IF(AND(V108="○",$A108&gt;=BZ$8,$A108&lt;=BZ$9),IF(SUM(BZ$10:BZ107)-ROUNDDOWN($K108*BZ$5/100,0)&lt;-BZ$6,-BZ$6-SUM(BZ$10:BZ107),-ROUNDDOWN($K108*BZ$5/100,0)),0)</f>
        <v>0</v>
      </c>
      <c r="CA108" s="38">
        <f>IF(AND(W108="○",$A108&gt;=CA$8,$A108&lt;=CA$9),IF(SUM(CA$10:CA107)-ROUNDDOWN($K108*CA$5/100,0)&lt;-CA$6,-CA$6-SUM(CA$10:CA107),-ROUNDDOWN($K108*CA$5/100,0)),0)</f>
        <v>0</v>
      </c>
      <c r="CB108" s="38"/>
      <c r="CC108" s="38"/>
      <c r="CD108" s="38"/>
      <c r="CE108" s="38"/>
      <c r="CF108" s="38"/>
      <c r="CG108" s="65">
        <f t="shared" si="94"/>
        <v>0</v>
      </c>
      <c r="CH108" s="71">
        <f t="shared" si="95"/>
        <v>0</v>
      </c>
      <c r="CI108" s="1">
        <f t="shared" si="109"/>
        <v>0</v>
      </c>
      <c r="CJ108" s="1"/>
      <c r="CK108" s="72"/>
      <c r="CL108" s="72"/>
      <c r="CM108" s="2"/>
      <c r="CN108" s="2"/>
      <c r="CO108" s="73">
        <f t="shared" si="110"/>
        <v>0</v>
      </c>
      <c r="CP108" s="5">
        <f t="shared" si="111"/>
        <v>0</v>
      </c>
      <c r="CQ108" s="1"/>
      <c r="CR108" s="1">
        <f t="shared" si="112"/>
        <v>0</v>
      </c>
      <c r="CS108" s="1"/>
      <c r="CT108" s="1" t="e">
        <f>INDEX([2]マスタ!$A:$A,MATCH(D108,[2]マスタ!$C:$C,0))</f>
        <v>#N/A</v>
      </c>
      <c r="CU108" s="1" t="str">
        <f t="shared" ca="1" si="113"/>
        <v>20260620_0-0</v>
      </c>
    </row>
    <row r="109" spans="1:99" x14ac:dyDescent="0.4">
      <c r="A109" s="61"/>
      <c r="B109" s="62"/>
      <c r="C109" s="62"/>
      <c r="D109" s="62"/>
      <c r="E109" s="74"/>
      <c r="F109" s="62"/>
      <c r="G109" s="62">
        <v>1</v>
      </c>
      <c r="H109" s="64">
        <f t="shared" si="100"/>
        <v>0</v>
      </c>
      <c r="I109" s="64"/>
      <c r="J109" s="64"/>
      <c r="K109" s="65">
        <f t="shared" si="101"/>
        <v>0</v>
      </c>
      <c r="L109" s="65">
        <f t="shared" si="102"/>
        <v>0</v>
      </c>
      <c r="M109" s="65">
        <f t="shared" si="103"/>
        <v>0</v>
      </c>
      <c r="N109" s="65">
        <f t="shared" si="104"/>
        <v>0</v>
      </c>
      <c r="O109" s="66" t="str">
        <f t="shared" si="105"/>
        <v>✕</v>
      </c>
      <c r="P109" s="67" t="str">
        <f t="shared" si="106"/>
        <v>○</v>
      </c>
      <c r="Q109" s="67" t="str">
        <f t="shared" si="107"/>
        <v>✕</v>
      </c>
      <c r="R109" s="67" t="str">
        <f t="shared" si="108"/>
        <v>✕</v>
      </c>
      <c r="S109" s="68">
        <v>0</v>
      </c>
      <c r="T109" s="69" t="s">
        <v>85</v>
      </c>
      <c r="U109" s="69" t="s">
        <v>85</v>
      </c>
      <c r="V109" s="69" t="s">
        <v>85</v>
      </c>
      <c r="W109" s="69" t="s">
        <v>85</v>
      </c>
      <c r="X109" s="69" t="s">
        <v>84</v>
      </c>
      <c r="Y109" s="69" t="s">
        <v>85</v>
      </c>
      <c r="Z109" s="69" t="s">
        <v>85</v>
      </c>
      <c r="AA109" s="69" t="s">
        <v>85</v>
      </c>
      <c r="AB109" s="69" t="s">
        <v>85</v>
      </c>
      <c r="AC109" s="69" t="s">
        <v>85</v>
      </c>
      <c r="AD109" s="38" t="str">
        <f>+IF(ISERROR(VLOOKUP($B109,AD$10:AD108,1,0)),IF(AND($N109&gt;=1000,$A109&gt;=AO$8,$A109&lt;=AO$9),$B109,""),"")</f>
        <v/>
      </c>
      <c r="AE109" s="38" t="str">
        <f>+IF(ISERROR(VLOOKUP($B109,AE$10:AE108,1,0)),IF(AND($N109&gt;=1000,$A109&gt;=AP$8,$A109&lt;=AP$9),$B109,""),"")</f>
        <v/>
      </c>
      <c r="AF109" s="38" t="str">
        <f>+IF(ISERROR(VLOOKUP($B109,AF$10:AF108,1,0)),IF(AND($N109&gt;=1000,$A109&gt;=AQ$8,$A109&lt;=AQ$9),$B109,""),"")</f>
        <v/>
      </c>
      <c r="AG109" s="38" t="str">
        <f>+IF(ISERROR(VLOOKUP($B109,AG$10:AG108,1,0)),IF(AND($N109&gt;=1000,$A109&gt;=AR$8,$A109&lt;=AR$9),$B109,""),"")</f>
        <v/>
      </c>
      <c r="AH109" s="38"/>
      <c r="AI109" s="70">
        <v>0</v>
      </c>
      <c r="AJ109" s="38">
        <f>IF(AND(AJ$7="○",$A109&gt;=AJ$8,$A109&lt;=AJ$9),IF(SUM(AJ$10:AJ108)-ROUNDDOWN($K109*AJ$5/100,0)&lt;-AJ$6,-AJ$6-SUM(AJ$10:AJ108),-ROUNDDOWN($K109*AJ$5/100,0)),0)</f>
        <v>0</v>
      </c>
      <c r="AK109" s="38">
        <f>IF(AND(AK$7="○",$A109&gt;=AK$8,$A109&lt;=AK$9),IF(SUM(AK$10:AK108)-ROUNDDOWN($L109*AK$5/100,0)&lt;-AK$6,-AK$6-SUM(AK$10:AK108),-ROUNDDOWN($L109*AK$5/100,0)),0)</f>
        <v>0</v>
      </c>
      <c r="AL109" s="38">
        <f>IF(AND(AL$7="○",$A109&gt;=AL$8,$A109&lt;=AL$9),IF(SUM(AL$10:AL108)-ROUNDDOWN($N109*AL$5/100,0)&lt;-AL$6,-AL$6-SUM(AL$10:AL108),-ROUNDDOWN($N109*AL$5/100,0)),0)</f>
        <v>0</v>
      </c>
      <c r="AM109" s="38">
        <f>IF(AND(AM$7="○",$A109&gt;=AM$8,$A109&lt;=AM$9),IF(SUM(AM$10:AM108)-ROUNDDOWN($L109*AM$5/100,0)&lt;-AM$6,-AM$6-SUM(AM$10:AM108),-ROUNDDOWN($L109*AM$5/100,0)),0)</f>
        <v>0</v>
      </c>
      <c r="AN109" s="38">
        <f>IF(AND(AN$7="○",$A109&gt;=AN$8,$A109&lt;=AN$9),IF(SUM(AN$10:AN108)-ROUNDDOWN($M109*AN$5/100,0)&lt;-AN$6,-AN$6-SUM(AN$10:AN108),-ROUNDDOWN($M109*AN$5/100,0)),0)</f>
        <v>0</v>
      </c>
      <c r="AO109" s="38">
        <f>IF(AND($A109&gt;=AO$8,$A109&lt;=AO$9),IF(SUM(AO$10:AO108)-ROUNDDOWN($K109*AO$5/100,0)&lt;-AO$6,-AO$6-SUM(AO$10:AO108),-ROUNDDOWN($K109*AO$5/100,0)),0)</f>
        <v>0</v>
      </c>
      <c r="AP109" s="38">
        <f>IF(AND($A109&gt;=AP$8,$A109&lt;=AP$9),IF(SUM(AP$10:AP108)-ROUNDDOWN($K109*AP$5/100,0)&lt;-AP$6,-AP$6-SUM(AP$10:AP108),-ROUNDDOWN($K109*AP$5/100,0)),0)</f>
        <v>0</v>
      </c>
      <c r="AQ109" s="38">
        <f>IF(AND($A109&gt;=AQ$8,$A109&lt;=AQ$9),IF(SUM(AQ$10:AQ108)-ROUNDDOWN($K109*AQ$5/100,0)&lt;-AQ$6,-AQ$6-SUM(AQ$10:AQ108),-ROUNDDOWN($K109*AQ$5/100,0)),0)</f>
        <v>0</v>
      </c>
      <c r="AR109" s="38">
        <f>IF(AND($A109&gt;=AR$8,$A109&lt;=AR$9),IF(SUM(AR$10:AR108)-ROUNDDOWN($K109*AR$5/100,0)&lt;-AR$6,-AR$6-SUM(AR$10:AR108),-ROUNDDOWN($K109*AR$5/100,0)),0)</f>
        <v>0</v>
      </c>
      <c r="AS109" s="38">
        <f>IF(SUMIFS(AS$10:AS108,$A$10:$A108,$A109)-ROUNDDOWN($K109*$S109/100,0)&lt;-$S109*1000,-$S109*1000-SUMIFS(AS$10:AS108,$A$10:$A108,$A109),-ROUNDDOWN($K109*$S109/100,0))</f>
        <v>0</v>
      </c>
      <c r="AT109" s="38">
        <f>IF(AND(X109="○",$A109&gt;=AT$8,$A109&lt;=AT$9,K109&gt;=3980),IF(SUM(AT$10:AT108)-ROUNDDOWN($K109*AT$5/100,0)&lt;-AT$6,-AT$6-SUM(AT$10:AT108),-ROUNDDOWN($K109*AT$5/100,0)),0)</f>
        <v>0</v>
      </c>
      <c r="AU109" s="38">
        <f>IF(O109="○",IF(SUM(AU$10:AU108)-ROUNDDOWN($K109*AU$5/100,0)&lt;-AU$6,-AU$6-SUM(AU$10:AU108),-ROUNDDOWN($K109*AU$5/100,0)),0)</f>
        <v>0</v>
      </c>
      <c r="AV109" s="38">
        <f>IF(P109="○",IF(SUM(AV$10:AV108)-ROUNDDOWN($K109*AV$5/100,0)&lt;-AV$6,-AV$6-SUM(AV$10:AV108),-ROUNDDOWN($K109*AV$5/100,0)),0)</f>
        <v>0</v>
      </c>
      <c r="AW109" s="38">
        <f>IF(Q109="○",IF(SUM(AW$10:AW108)-ROUNDDOWN($K109*AW$5/100,0)&lt;-AW$6,-AW$6-SUM(AW$10:AW108),-ROUNDDOWN($K109*AW$5/100,0)),0)</f>
        <v>0</v>
      </c>
      <c r="AX109" s="38">
        <f>IF(R109="○",IF(SUM(AX$10:AX108)-ROUNDDOWN($K109*AX$5/100,0)&lt;-AX$6,-AX$6-SUM(AX$10:AX108),-ROUNDDOWN($K109*AX$5/100,0)),0)</f>
        <v>0</v>
      </c>
      <c r="AY109" s="70">
        <v>0</v>
      </c>
      <c r="AZ109" s="65">
        <f t="shared" si="88"/>
        <v>0</v>
      </c>
      <c r="BA109" s="65">
        <f t="shared" si="89"/>
        <v>0</v>
      </c>
      <c r="BB109" s="70"/>
      <c r="BC109" s="65">
        <f t="shared" si="90"/>
        <v>0</v>
      </c>
      <c r="BD109" s="70">
        <v>0</v>
      </c>
      <c r="BE109" s="65">
        <f t="shared" si="91"/>
        <v>0</v>
      </c>
      <c r="BF109" s="70">
        <v>0</v>
      </c>
      <c r="BG109" s="65">
        <f t="shared" si="92"/>
        <v>0</v>
      </c>
      <c r="BH109" s="70">
        <v>0</v>
      </c>
      <c r="BI109" s="65">
        <f t="shared" si="93"/>
        <v>0</v>
      </c>
      <c r="BJ109" s="38">
        <f>IF(AND(BJ$7="○",$A109&gt;=BJ$8,$A109&lt;=BJ$9),IF(SUM(BJ$10:BJ108)-ROUNDDOWN($M109*BJ$5/100,0)&lt;-BJ$6,-BJ$6-SUM(BJ$10:BJ108),-ROUNDDOWN($M109*BJ$5/100,0)),0)</f>
        <v>0</v>
      </c>
      <c r="BK109" s="38">
        <f>IF(AND(BK$7="○",$A109&gt;=BK$8,$A109&lt;=BK$9),IF(SUM(BK$10:BK108)-ROUNDDOWN($L109*BK$5/100,0)&lt;-BK$6,-BK$6-SUM(BK$10:BK108),-ROUNDDOWN($L109*BK$5/100,0)),0)</f>
        <v>0</v>
      </c>
      <c r="BL109" s="38">
        <f>IF(AND(BL$7="○",$A109&gt;=BL$8,$A109&lt;=BL$9),IF(SUM(BL$10:BL108)-ROUNDDOWN($L109*BL$5/100,0)&lt;-BL$6,-BL$6-SUM(BL$10:BL108),-ROUNDDOWN($L109*BL$5/100,0)),0)</f>
        <v>0</v>
      </c>
      <c r="BM109" s="38">
        <f>IF(AND(BM$7="○",$A109&gt;=BM$8,$A109&lt;=BM$9),IF(SUM(BM$10:BM108)-ROUNDDOWN($M109*BM$5/100,0)&lt;-BM$6,-BM$6-SUM(BM$10:BM108),-ROUNDDOWN($M109*BM$5/100,0)),0)</f>
        <v>0</v>
      </c>
      <c r="BN109" s="38">
        <f>IF(AND(BN$7="○",$A109&gt;=BN$8,$A109&lt;=BN$9),IF(SUM(BN$10:BN108)-ROUNDDOWN($M109*BN$5/100,0)&lt;-BN$6,-BN$6-SUM(BN$10:BN108),-ROUNDDOWN($M109*BN$5/100,0)),0)</f>
        <v>0</v>
      </c>
      <c r="BO109" s="38">
        <f>IF(AND(BO$7="○",$A109&gt;=BO$8,$A109&lt;=BO$9),IF(SUM(BO$10:BO108)-ROUNDDOWN($M109*BO$5/100,0)&lt;-BO$6,-BO$6-SUM(BO$10:BO108),-ROUNDDOWN($M109*BO$5/100,0)),0)</f>
        <v>0</v>
      </c>
      <c r="BP109" s="38">
        <f>IF(AND(BP$7="○",$A109&gt;=BP$8,$A109&lt;=BP$9),IF(SUM(BP$10:BP108)-ROUNDDOWN($M109*BP$5/100,0)&lt;-BP$6,-BP$6-SUM(BP$10:BP108),-ROUNDDOWN($M109*BP$5/100,0)),0)</f>
        <v>0</v>
      </c>
      <c r="BQ109" s="38">
        <f>IF(AND(BQ$7="○",$A109&gt;=BQ$8,$A109&lt;=BQ$9),IF(SUM(BQ$10:BQ108)-ROUNDDOWN($L109*BQ$5/100,0)&lt;-BQ$6,-BQ$6-SUM(BQ$10:BQ108),-ROUNDDOWN($L109*BQ$5/100,0)),0)</f>
        <v>0</v>
      </c>
      <c r="BR109" s="38">
        <f>IF(AND(BR$7="○",$A109&gt;=BR$8,$A109&lt;=BR$9),IF(SUM(BR$10:BR108)-ROUNDDOWN($M109*BR$5/100,0)&lt;-BR$6,-BR$6-SUM(BR$10:BR108),-ROUNDDOWN($M109*BR$5/100,0)),0)</f>
        <v>0</v>
      </c>
      <c r="BS109" s="38">
        <f>IF(AND(BS$7="○",$A109&gt;=BS$8,$A109&lt;=BS$9),IF(SUM(BS$10:BS108)-ROUNDDOWN($M109*BS$5/100,0)&lt;-BS$6,-BS$6-SUM(BS$10:BS108),-ROUNDDOWN($M109*BS$5/100,0)),0)</f>
        <v>0</v>
      </c>
      <c r="BT109" s="38">
        <f>IF(AND(BT$7="○",$A109&gt;=BT$8,$A109&lt;=BT$9),IF(SUM(BT$10:BT108)-ROUNDDOWN($M109*BT$5/100,0)&lt;-BT$6,-BT$6-SUM(BT$10:BT108),-ROUNDDOWN($M109*BT$5/100,0)),0)</f>
        <v>0</v>
      </c>
      <c r="BU109" s="38">
        <f>IF(AND(BU$7="○",$A109&gt;=BU$8,$A109&lt;=BU$9),IF(SUM(BU$10:BU108)-ROUNDDOWN($M109*BU$5/100,0)&lt;-BU$6,-BU$6-SUM(BU$10:BU108),-ROUNDDOWN($M109*BU$5/100,0)),0)</f>
        <v>0</v>
      </c>
      <c r="BV109" s="38">
        <f>IF(AND(BV$7="○",$A109&gt;=BV$8,$A109&lt;=BV$9),IF(SUM(BV$10:BV108)-ROUNDDOWN($M109*BV$5/100,0)&lt;-BV$6,-BV$6-SUM(BV$10:BV108),-ROUNDDOWN($M109*BV$5/100,0)),0)</f>
        <v>0</v>
      </c>
      <c r="BW109" s="38">
        <f>IF(AND(BW$7="○",$A109&gt;=BW$8,$A109&lt;=BW$9),IF(SUM(BW$10:BW108)-ROUNDDOWN($M109*BW$5/100,0)&lt;-BW$6,-BW$6-SUM(BW$10:BW108),-ROUNDDOWN($M109*BW$5/100,0)),0)</f>
        <v>0</v>
      </c>
      <c r="BX109" s="38">
        <f>IF(AND(T109="○",$A109&gt;=BX$8,$A109&lt;=BX$9),IF(SUM(BX$10:BX108)-ROUNDDOWN($K109*BX$5/100,0)&lt;-BX$6,-BX$6-SUM(BX$10:BX108),-ROUNDDOWN($K109*BX$5/100,0)),0)</f>
        <v>0</v>
      </c>
      <c r="BY109" s="38">
        <f>IF(AND(U109="○",$A109&gt;=BY$8,$A109&lt;=BY$9),IF(SUM(BY$10:BY108)-ROUNDDOWN($K109*BY$5/100,0)&lt;-BY$6,-BY$6-SUM(BY$10:BY108),-ROUNDDOWN($K109*BY$5/100,0)),0)</f>
        <v>0</v>
      </c>
      <c r="BZ109" s="38">
        <f>IF(AND(V109="○",$A109&gt;=BZ$8,$A109&lt;=BZ$9),IF(SUM(BZ$10:BZ108)-ROUNDDOWN($K109*BZ$5/100,0)&lt;-BZ$6,-BZ$6-SUM(BZ$10:BZ108),-ROUNDDOWN($K109*BZ$5/100,0)),0)</f>
        <v>0</v>
      </c>
      <c r="CA109" s="38">
        <f>IF(AND(W109="○",$A109&gt;=CA$8,$A109&lt;=CA$9),IF(SUM(CA$10:CA108)-ROUNDDOWN($K109*CA$5/100,0)&lt;-CA$6,-CA$6-SUM(CA$10:CA108),-ROUNDDOWN($K109*CA$5/100,0)),0)</f>
        <v>0</v>
      </c>
      <c r="CB109" s="38"/>
      <c r="CC109" s="38"/>
      <c r="CD109" s="38"/>
      <c r="CE109" s="38"/>
      <c r="CF109" s="38"/>
      <c r="CG109" s="65">
        <f t="shared" si="94"/>
        <v>0</v>
      </c>
      <c r="CH109" s="71">
        <f t="shared" si="95"/>
        <v>0</v>
      </c>
      <c r="CI109" s="1">
        <f t="shared" si="109"/>
        <v>0</v>
      </c>
      <c r="CJ109" s="1"/>
      <c r="CK109" s="72"/>
      <c r="CL109" s="72"/>
      <c r="CM109" s="2"/>
      <c r="CN109" s="2"/>
      <c r="CO109" s="73">
        <f t="shared" si="110"/>
        <v>0</v>
      </c>
      <c r="CP109" s="5">
        <f t="shared" si="111"/>
        <v>0</v>
      </c>
      <c r="CQ109" s="1"/>
      <c r="CR109" s="1">
        <f t="shared" si="112"/>
        <v>0</v>
      </c>
      <c r="CS109" s="1"/>
      <c r="CT109" s="1" t="e">
        <f>INDEX([2]マスタ!$A:$A,MATCH(D109,[2]マスタ!$C:$C,0))</f>
        <v>#N/A</v>
      </c>
      <c r="CU109" s="1" t="str">
        <f t="shared" ca="1" si="113"/>
        <v>20260620_0-0</v>
      </c>
    </row>
    <row r="110" spans="1:99" x14ac:dyDescent="0.4">
      <c r="A110" s="61"/>
      <c r="B110" s="62"/>
      <c r="C110" s="62"/>
      <c r="D110" s="62"/>
      <c r="E110" s="74"/>
      <c r="F110" s="62"/>
      <c r="G110" s="62">
        <v>1</v>
      </c>
      <c r="H110" s="64">
        <f t="shared" si="100"/>
        <v>0</v>
      </c>
      <c r="I110" s="64"/>
      <c r="J110" s="64"/>
      <c r="K110" s="65">
        <f t="shared" si="101"/>
        <v>0</v>
      </c>
      <c r="L110" s="65">
        <f t="shared" si="102"/>
        <v>0</v>
      </c>
      <c r="M110" s="65">
        <f t="shared" si="103"/>
        <v>0</v>
      </c>
      <c r="N110" s="65">
        <f t="shared" si="104"/>
        <v>0</v>
      </c>
      <c r="O110" s="66" t="str">
        <f t="shared" si="105"/>
        <v>✕</v>
      </c>
      <c r="P110" s="67" t="str">
        <f t="shared" si="106"/>
        <v>○</v>
      </c>
      <c r="Q110" s="67" t="str">
        <f t="shared" si="107"/>
        <v>✕</v>
      </c>
      <c r="R110" s="67" t="str">
        <f t="shared" si="108"/>
        <v>✕</v>
      </c>
      <c r="S110" s="68">
        <v>0</v>
      </c>
      <c r="T110" s="69" t="s">
        <v>85</v>
      </c>
      <c r="U110" s="69" t="s">
        <v>85</v>
      </c>
      <c r="V110" s="69" t="s">
        <v>85</v>
      </c>
      <c r="W110" s="69" t="s">
        <v>85</v>
      </c>
      <c r="X110" s="69" t="s">
        <v>84</v>
      </c>
      <c r="Y110" s="69" t="s">
        <v>85</v>
      </c>
      <c r="Z110" s="69" t="s">
        <v>85</v>
      </c>
      <c r="AA110" s="69" t="s">
        <v>85</v>
      </c>
      <c r="AB110" s="69" t="s">
        <v>85</v>
      </c>
      <c r="AC110" s="69" t="s">
        <v>85</v>
      </c>
      <c r="AD110" s="38" t="str">
        <f>+IF(ISERROR(VLOOKUP($B110,AD$10:AD109,1,0)),IF(AND($N110&gt;=1000,$A110&gt;=AO$8,$A110&lt;=AO$9),$B110,""),"")</f>
        <v/>
      </c>
      <c r="AE110" s="38" t="str">
        <f>+IF(ISERROR(VLOOKUP($B110,AE$10:AE109,1,0)),IF(AND($N110&gt;=1000,$A110&gt;=AP$8,$A110&lt;=AP$9),$B110,""),"")</f>
        <v/>
      </c>
      <c r="AF110" s="38" t="str">
        <f>+IF(ISERROR(VLOOKUP($B110,AF$10:AF109,1,0)),IF(AND($N110&gt;=1000,$A110&gt;=AQ$8,$A110&lt;=AQ$9),$B110,""),"")</f>
        <v/>
      </c>
      <c r="AG110" s="38" t="str">
        <f>+IF(ISERROR(VLOOKUP($B110,AG$10:AG109,1,0)),IF(AND($N110&gt;=1000,$A110&gt;=AR$8,$A110&lt;=AR$9),$B110,""),"")</f>
        <v/>
      </c>
      <c r="AH110" s="38"/>
      <c r="AI110" s="70">
        <v>0</v>
      </c>
      <c r="AJ110" s="38">
        <f>IF(AND(AJ$7="○",$A110&gt;=AJ$8,$A110&lt;=AJ$9),IF(SUM(AJ$10:AJ109)-ROUNDDOWN($K110*AJ$5/100,0)&lt;-AJ$6,-AJ$6-SUM(AJ$10:AJ109),-ROUNDDOWN($K110*AJ$5/100,0)),0)</f>
        <v>0</v>
      </c>
      <c r="AK110" s="38">
        <f>IF(AND(AK$7="○",$A110&gt;=AK$8,$A110&lt;=AK$9),IF(SUM(AK$10:AK109)-ROUNDDOWN($L110*AK$5/100,0)&lt;-AK$6,-AK$6-SUM(AK$10:AK109),-ROUNDDOWN($L110*AK$5/100,0)),0)</f>
        <v>0</v>
      </c>
      <c r="AL110" s="38">
        <f>IF(AND(AL$7="○",$A110&gt;=AL$8,$A110&lt;=AL$9),IF(SUM(AL$10:AL109)-ROUNDDOWN($N110*AL$5/100,0)&lt;-AL$6,-AL$6-SUM(AL$10:AL109),-ROUNDDOWN($N110*AL$5/100,0)),0)</f>
        <v>0</v>
      </c>
      <c r="AM110" s="38">
        <f>IF(AND(AM$7="○",$A110&gt;=AM$8,$A110&lt;=AM$9),IF(SUM(AM$10:AM109)-ROUNDDOWN($L110*AM$5/100,0)&lt;-AM$6,-AM$6-SUM(AM$10:AM109),-ROUNDDOWN($L110*AM$5/100,0)),0)</f>
        <v>0</v>
      </c>
      <c r="AN110" s="38">
        <f>IF(AND(AN$7="○",$A110&gt;=AN$8,$A110&lt;=AN$9),IF(SUM(AN$10:AN109)-ROUNDDOWN($M110*AN$5/100,0)&lt;-AN$6,-AN$6-SUM(AN$10:AN109),-ROUNDDOWN($M110*AN$5/100,0)),0)</f>
        <v>0</v>
      </c>
      <c r="AO110" s="38">
        <f>IF(AND($A110&gt;=AO$8,$A110&lt;=AO$9),IF(SUM(AO$10:AO109)-ROUNDDOWN($K110*AO$5/100,0)&lt;-AO$6,-AO$6-SUM(AO$10:AO109),-ROUNDDOWN($K110*AO$5/100,0)),0)</f>
        <v>0</v>
      </c>
      <c r="AP110" s="38">
        <f>IF(AND($A110&gt;=AP$8,$A110&lt;=AP$9),IF(SUM(AP$10:AP109)-ROUNDDOWN($K110*AP$5/100,0)&lt;-AP$6,-AP$6-SUM(AP$10:AP109),-ROUNDDOWN($K110*AP$5/100,0)),0)</f>
        <v>0</v>
      </c>
      <c r="AQ110" s="38">
        <f>IF(AND($A110&gt;=AQ$8,$A110&lt;=AQ$9),IF(SUM(AQ$10:AQ109)-ROUNDDOWN($K110*AQ$5/100,0)&lt;-AQ$6,-AQ$6-SUM(AQ$10:AQ109),-ROUNDDOWN($K110*AQ$5/100,0)),0)</f>
        <v>0</v>
      </c>
      <c r="AR110" s="38">
        <f>IF(AND($A110&gt;=AR$8,$A110&lt;=AR$9),IF(SUM(AR$10:AR109)-ROUNDDOWN($K110*AR$5/100,0)&lt;-AR$6,-AR$6-SUM(AR$10:AR109),-ROUNDDOWN($K110*AR$5/100,0)),0)</f>
        <v>0</v>
      </c>
      <c r="AS110" s="38">
        <f>IF(SUMIFS(AS$10:AS109,$A$10:$A109,$A110)-ROUNDDOWN($K110*$S110/100,0)&lt;-$S110*1000,-$S110*1000-SUMIFS(AS$10:AS109,$A$10:$A109,$A110),-ROUNDDOWN($K110*$S110/100,0))</f>
        <v>0</v>
      </c>
      <c r="AT110" s="38">
        <f>IF(AND(X110="○",$A110&gt;=AT$8,$A110&lt;=AT$9,K110&gt;=3980),IF(SUM(AT$10:AT109)-ROUNDDOWN($K110*AT$5/100,0)&lt;-AT$6,-AT$6-SUM(AT$10:AT109),-ROUNDDOWN($K110*AT$5/100,0)),0)</f>
        <v>0</v>
      </c>
      <c r="AU110" s="38">
        <f>IF(O110="○",IF(SUM(AU$10:AU109)-ROUNDDOWN($K110*AU$5/100,0)&lt;-AU$6,-AU$6-SUM(AU$10:AU109),-ROUNDDOWN($K110*AU$5/100,0)),0)</f>
        <v>0</v>
      </c>
      <c r="AV110" s="38">
        <f>IF(P110="○",IF(SUM(AV$10:AV109)-ROUNDDOWN($K110*AV$5/100,0)&lt;-AV$6,-AV$6-SUM(AV$10:AV109),-ROUNDDOWN($K110*AV$5/100,0)),0)</f>
        <v>0</v>
      </c>
      <c r="AW110" s="38">
        <f>IF(Q110="○",IF(SUM(AW$10:AW109)-ROUNDDOWN($K110*AW$5/100,0)&lt;-AW$6,-AW$6-SUM(AW$10:AW109),-ROUNDDOWN($K110*AW$5/100,0)),0)</f>
        <v>0</v>
      </c>
      <c r="AX110" s="38">
        <f>IF(R110="○",IF(SUM(AX$10:AX109)-ROUNDDOWN($K110*AX$5/100,0)&lt;-AX$6,-AX$6-SUM(AX$10:AX109),-ROUNDDOWN($K110*AX$5/100,0)),0)</f>
        <v>0</v>
      </c>
      <c r="AY110" s="70">
        <v>0</v>
      </c>
      <c r="AZ110" s="65">
        <f t="shared" si="88"/>
        <v>0</v>
      </c>
      <c r="BA110" s="65">
        <f t="shared" si="89"/>
        <v>0</v>
      </c>
      <c r="BB110" s="70"/>
      <c r="BC110" s="65">
        <f t="shared" si="90"/>
        <v>0</v>
      </c>
      <c r="BD110" s="70">
        <v>0</v>
      </c>
      <c r="BE110" s="65">
        <f t="shared" si="91"/>
        <v>0</v>
      </c>
      <c r="BF110" s="70">
        <v>0</v>
      </c>
      <c r="BG110" s="65">
        <f t="shared" si="92"/>
        <v>0</v>
      </c>
      <c r="BH110" s="70">
        <v>0</v>
      </c>
      <c r="BI110" s="65">
        <f t="shared" si="93"/>
        <v>0</v>
      </c>
      <c r="BJ110" s="38">
        <f>IF(AND(BJ$7="○",$A110&gt;=BJ$8,$A110&lt;=BJ$9),IF(SUM(BJ$10:BJ109)-ROUNDDOWN($M110*BJ$5/100,0)&lt;-BJ$6,-BJ$6-SUM(BJ$10:BJ109),-ROUNDDOWN($M110*BJ$5/100,0)),0)</f>
        <v>0</v>
      </c>
      <c r="BK110" s="38">
        <f>IF(AND(BK$7="○",$A110&gt;=BK$8,$A110&lt;=BK$9),IF(SUM(BK$10:BK109)-ROUNDDOWN($L110*BK$5/100,0)&lt;-BK$6,-BK$6-SUM(BK$10:BK109),-ROUNDDOWN($L110*BK$5/100,0)),0)</f>
        <v>0</v>
      </c>
      <c r="BL110" s="38">
        <f>IF(AND(BL$7="○",$A110&gt;=BL$8,$A110&lt;=BL$9),IF(SUM(BL$10:BL109)-ROUNDDOWN($L110*BL$5/100,0)&lt;-BL$6,-BL$6-SUM(BL$10:BL109),-ROUNDDOWN($L110*BL$5/100,0)),0)</f>
        <v>0</v>
      </c>
      <c r="BM110" s="38">
        <f>IF(AND(BM$7="○",$A110&gt;=BM$8,$A110&lt;=BM$9),IF(SUM(BM$10:BM109)-ROUNDDOWN($M110*BM$5/100,0)&lt;-BM$6,-BM$6-SUM(BM$10:BM109),-ROUNDDOWN($M110*BM$5/100,0)),0)</f>
        <v>0</v>
      </c>
      <c r="BN110" s="38">
        <f>IF(AND(BN$7="○",$A110&gt;=BN$8,$A110&lt;=BN$9),IF(SUM(BN$10:BN109)-ROUNDDOWN($M110*BN$5/100,0)&lt;-BN$6,-BN$6-SUM(BN$10:BN109),-ROUNDDOWN($M110*BN$5/100,0)),0)</f>
        <v>0</v>
      </c>
      <c r="BO110" s="38">
        <f>IF(AND(BO$7="○",$A110&gt;=BO$8,$A110&lt;=BO$9),IF(SUM(BO$10:BO109)-ROUNDDOWN($M110*BO$5/100,0)&lt;-BO$6,-BO$6-SUM(BO$10:BO109),-ROUNDDOWN($M110*BO$5/100,0)),0)</f>
        <v>0</v>
      </c>
      <c r="BP110" s="38">
        <f>IF(AND(BP$7="○",$A110&gt;=BP$8,$A110&lt;=BP$9),IF(SUM(BP$10:BP109)-ROUNDDOWN($M110*BP$5/100,0)&lt;-BP$6,-BP$6-SUM(BP$10:BP109),-ROUNDDOWN($M110*BP$5/100,0)),0)</f>
        <v>0</v>
      </c>
      <c r="BQ110" s="38">
        <f>IF(AND(BQ$7="○",$A110&gt;=BQ$8,$A110&lt;=BQ$9),IF(SUM(BQ$10:BQ109)-ROUNDDOWN($L110*BQ$5/100,0)&lt;-BQ$6,-BQ$6-SUM(BQ$10:BQ109),-ROUNDDOWN($L110*BQ$5/100,0)),0)</f>
        <v>0</v>
      </c>
      <c r="BR110" s="38">
        <f>IF(AND(BR$7="○",$A110&gt;=BR$8,$A110&lt;=BR$9),IF(SUM(BR$10:BR109)-ROUNDDOWN($M110*BR$5/100,0)&lt;-BR$6,-BR$6-SUM(BR$10:BR109),-ROUNDDOWN($M110*BR$5/100,0)),0)</f>
        <v>0</v>
      </c>
      <c r="BS110" s="38">
        <f>IF(AND(BS$7="○",$A110&gt;=BS$8,$A110&lt;=BS$9),IF(SUM(BS$10:BS109)-ROUNDDOWN($M110*BS$5/100,0)&lt;-BS$6,-BS$6-SUM(BS$10:BS109),-ROUNDDOWN($M110*BS$5/100,0)),0)</f>
        <v>0</v>
      </c>
      <c r="BT110" s="38">
        <f>IF(AND(BT$7="○",$A110&gt;=BT$8,$A110&lt;=BT$9),IF(SUM(BT$10:BT109)-ROUNDDOWN($M110*BT$5/100,0)&lt;-BT$6,-BT$6-SUM(BT$10:BT109),-ROUNDDOWN($M110*BT$5/100,0)),0)</f>
        <v>0</v>
      </c>
      <c r="BU110" s="38">
        <f>IF(AND(BU$7="○",$A110&gt;=BU$8,$A110&lt;=BU$9),IF(SUM(BU$10:BU109)-ROUNDDOWN($M110*BU$5/100,0)&lt;-BU$6,-BU$6-SUM(BU$10:BU109),-ROUNDDOWN($M110*BU$5/100,0)),0)</f>
        <v>0</v>
      </c>
      <c r="BV110" s="38">
        <f>IF(AND(BV$7="○",$A110&gt;=BV$8,$A110&lt;=BV$9),IF(SUM(BV$10:BV109)-ROUNDDOWN($M110*BV$5/100,0)&lt;-BV$6,-BV$6-SUM(BV$10:BV109),-ROUNDDOWN($M110*BV$5/100,0)),0)</f>
        <v>0</v>
      </c>
      <c r="BW110" s="38">
        <f>IF(AND(BW$7="○",$A110&gt;=BW$8,$A110&lt;=BW$9),IF(SUM(BW$10:BW109)-ROUNDDOWN($M110*BW$5/100,0)&lt;-BW$6,-BW$6-SUM(BW$10:BW109),-ROUNDDOWN($M110*BW$5/100,0)),0)</f>
        <v>0</v>
      </c>
      <c r="BX110" s="38">
        <f>IF(AND(T110="○",$A110&gt;=BX$8,$A110&lt;=BX$9),IF(SUM(BX$10:BX109)-ROUNDDOWN($K110*BX$5/100,0)&lt;-BX$6,-BX$6-SUM(BX$10:BX109),-ROUNDDOWN($K110*BX$5/100,0)),0)</f>
        <v>0</v>
      </c>
      <c r="BY110" s="38">
        <f>IF(AND(U110="○",$A110&gt;=BY$8,$A110&lt;=BY$9),IF(SUM(BY$10:BY109)-ROUNDDOWN($K110*BY$5/100,0)&lt;-BY$6,-BY$6-SUM(BY$10:BY109),-ROUNDDOWN($K110*BY$5/100,0)),0)</f>
        <v>0</v>
      </c>
      <c r="BZ110" s="38">
        <f>IF(AND(V110="○",$A110&gt;=BZ$8,$A110&lt;=BZ$9),IF(SUM(BZ$10:BZ109)-ROUNDDOWN($K110*BZ$5/100,0)&lt;-BZ$6,-BZ$6-SUM(BZ$10:BZ109),-ROUNDDOWN($K110*BZ$5/100,0)),0)</f>
        <v>0</v>
      </c>
      <c r="CA110" s="38">
        <f>IF(AND(W110="○",$A110&gt;=CA$8,$A110&lt;=CA$9),IF(SUM(CA$10:CA109)-ROUNDDOWN($K110*CA$5/100,0)&lt;-CA$6,-CA$6-SUM(CA$10:CA109),-ROUNDDOWN($K110*CA$5/100,0)),0)</f>
        <v>0</v>
      </c>
      <c r="CB110" s="38"/>
      <c r="CC110" s="38"/>
      <c r="CD110" s="38"/>
      <c r="CE110" s="38"/>
      <c r="CF110" s="38"/>
      <c r="CG110" s="65">
        <f t="shared" si="94"/>
        <v>0</v>
      </c>
      <c r="CH110" s="71">
        <f t="shared" si="95"/>
        <v>0</v>
      </c>
      <c r="CI110" s="1">
        <f t="shared" si="109"/>
        <v>0</v>
      </c>
      <c r="CJ110" s="1"/>
      <c r="CK110" s="72"/>
      <c r="CL110" s="72"/>
      <c r="CM110" s="2"/>
      <c r="CN110" s="2"/>
      <c r="CO110" s="73">
        <f t="shared" si="110"/>
        <v>0</v>
      </c>
      <c r="CP110" s="5">
        <f t="shared" si="111"/>
        <v>0</v>
      </c>
      <c r="CQ110" s="1"/>
      <c r="CR110" s="1">
        <f t="shared" si="112"/>
        <v>0</v>
      </c>
      <c r="CS110" s="1"/>
      <c r="CT110" s="1" t="e">
        <f>INDEX([2]マスタ!$A:$A,MATCH(D110,[2]マスタ!$C:$C,0))</f>
        <v>#N/A</v>
      </c>
      <c r="CU110" s="1" t="str">
        <f t="shared" ca="1" si="113"/>
        <v>20260620_0-0</v>
      </c>
    </row>
    <row r="111" spans="1:99" x14ac:dyDescent="0.4">
      <c r="A111" s="61"/>
      <c r="B111" s="62"/>
      <c r="C111" s="62"/>
      <c r="D111" s="62"/>
      <c r="E111" s="74"/>
      <c r="F111" s="62"/>
      <c r="G111" s="62">
        <v>1</v>
      </c>
      <c r="H111" s="64">
        <f t="shared" si="100"/>
        <v>0</v>
      </c>
      <c r="I111" s="64"/>
      <c r="J111" s="64"/>
      <c r="K111" s="65">
        <f t="shared" si="101"/>
        <v>0</v>
      </c>
      <c r="L111" s="65">
        <f t="shared" si="102"/>
        <v>0</v>
      </c>
      <c r="M111" s="65">
        <f t="shared" si="103"/>
        <v>0</v>
      </c>
      <c r="N111" s="65">
        <f t="shared" si="104"/>
        <v>0</v>
      </c>
      <c r="O111" s="66" t="str">
        <f t="shared" si="105"/>
        <v>✕</v>
      </c>
      <c r="P111" s="67" t="str">
        <f t="shared" si="106"/>
        <v>○</v>
      </c>
      <c r="Q111" s="67" t="str">
        <f t="shared" si="107"/>
        <v>✕</v>
      </c>
      <c r="R111" s="67" t="str">
        <f t="shared" si="108"/>
        <v>✕</v>
      </c>
      <c r="S111" s="68">
        <v>0</v>
      </c>
      <c r="T111" s="69" t="s">
        <v>85</v>
      </c>
      <c r="U111" s="69" t="s">
        <v>85</v>
      </c>
      <c r="V111" s="69" t="s">
        <v>85</v>
      </c>
      <c r="W111" s="69" t="s">
        <v>85</v>
      </c>
      <c r="X111" s="69" t="s">
        <v>84</v>
      </c>
      <c r="Y111" s="69" t="s">
        <v>85</v>
      </c>
      <c r="Z111" s="69" t="s">
        <v>85</v>
      </c>
      <c r="AA111" s="69" t="s">
        <v>85</v>
      </c>
      <c r="AB111" s="69" t="s">
        <v>85</v>
      </c>
      <c r="AC111" s="69" t="s">
        <v>85</v>
      </c>
      <c r="AD111" s="38" t="str">
        <f>+IF(ISERROR(VLOOKUP($B111,AD$10:AD110,1,0)),IF(AND($N111&gt;=1000,$A111&gt;=AO$8,$A111&lt;=AO$9),$B111,""),"")</f>
        <v/>
      </c>
      <c r="AE111" s="38" t="str">
        <f>+IF(ISERROR(VLOOKUP($B111,AE$10:AE110,1,0)),IF(AND($N111&gt;=1000,$A111&gt;=AP$8,$A111&lt;=AP$9),$B111,""),"")</f>
        <v/>
      </c>
      <c r="AF111" s="38" t="str">
        <f>+IF(ISERROR(VLOOKUP($B111,AF$10:AF110,1,0)),IF(AND($N111&gt;=1000,$A111&gt;=AQ$8,$A111&lt;=AQ$9),$B111,""),"")</f>
        <v/>
      </c>
      <c r="AG111" s="38" t="str">
        <f>+IF(ISERROR(VLOOKUP($B111,AG$10:AG110,1,0)),IF(AND($N111&gt;=1000,$A111&gt;=AR$8,$A111&lt;=AR$9),$B111,""),"")</f>
        <v/>
      </c>
      <c r="AH111" s="38"/>
      <c r="AI111" s="70">
        <v>0</v>
      </c>
      <c r="AJ111" s="38">
        <f>IF(AND(AJ$7="○",$A111&gt;=AJ$8,$A111&lt;=AJ$9),IF(SUM(AJ$10:AJ110)-ROUNDDOWN($K111*AJ$5/100,0)&lt;-AJ$6,-AJ$6-SUM(AJ$10:AJ110),-ROUNDDOWN($K111*AJ$5/100,0)),0)</f>
        <v>0</v>
      </c>
      <c r="AK111" s="38">
        <f>IF(AND(AK$7="○",$A111&gt;=AK$8,$A111&lt;=AK$9),IF(SUM(AK$10:AK110)-ROUNDDOWN($L111*AK$5/100,0)&lt;-AK$6,-AK$6-SUM(AK$10:AK110),-ROUNDDOWN($L111*AK$5/100,0)),0)</f>
        <v>0</v>
      </c>
      <c r="AL111" s="38">
        <f>IF(AND(AL$7="○",$A111&gt;=AL$8,$A111&lt;=AL$9),IF(SUM(AL$10:AL110)-ROUNDDOWN($N111*AL$5/100,0)&lt;-AL$6,-AL$6-SUM(AL$10:AL110),-ROUNDDOWN($N111*AL$5/100,0)),0)</f>
        <v>0</v>
      </c>
      <c r="AM111" s="38">
        <f>IF(AND(AM$7="○",$A111&gt;=AM$8,$A111&lt;=AM$9),IF(SUM(AM$10:AM110)-ROUNDDOWN($L111*AM$5/100,0)&lt;-AM$6,-AM$6-SUM(AM$10:AM110),-ROUNDDOWN($L111*AM$5/100,0)),0)</f>
        <v>0</v>
      </c>
      <c r="AN111" s="38">
        <f>IF(AND(AN$7="○",$A111&gt;=AN$8,$A111&lt;=AN$9),IF(SUM(AN$10:AN110)-ROUNDDOWN($M111*AN$5/100,0)&lt;-AN$6,-AN$6-SUM(AN$10:AN110),-ROUNDDOWN($M111*AN$5/100,0)),0)</f>
        <v>0</v>
      </c>
      <c r="AO111" s="38">
        <f>IF(AND($A111&gt;=AO$8,$A111&lt;=AO$9),IF(SUM(AO$10:AO110)-ROUNDDOWN($K111*AO$5/100,0)&lt;-AO$6,-AO$6-SUM(AO$10:AO110),-ROUNDDOWN($K111*AO$5/100,0)),0)</f>
        <v>0</v>
      </c>
      <c r="AP111" s="38">
        <f>IF(AND($A111&gt;=AP$8,$A111&lt;=AP$9),IF(SUM(AP$10:AP110)-ROUNDDOWN($K111*AP$5/100,0)&lt;-AP$6,-AP$6-SUM(AP$10:AP110),-ROUNDDOWN($K111*AP$5/100,0)),0)</f>
        <v>0</v>
      </c>
      <c r="AQ111" s="38">
        <f>IF(AND($A111&gt;=AQ$8,$A111&lt;=AQ$9),IF(SUM(AQ$10:AQ110)-ROUNDDOWN($K111*AQ$5/100,0)&lt;-AQ$6,-AQ$6-SUM(AQ$10:AQ110),-ROUNDDOWN($K111*AQ$5/100,0)),0)</f>
        <v>0</v>
      </c>
      <c r="AR111" s="38">
        <f>IF(AND($A111&gt;=AR$8,$A111&lt;=AR$9),IF(SUM(AR$10:AR110)-ROUNDDOWN($K111*AR$5/100,0)&lt;-AR$6,-AR$6-SUM(AR$10:AR110),-ROUNDDOWN($K111*AR$5/100,0)),0)</f>
        <v>0</v>
      </c>
      <c r="AS111" s="38">
        <f>IF(SUMIFS(AS$10:AS110,$A$10:$A110,$A111)-ROUNDDOWN($K111*$S111/100,0)&lt;-$S111*1000,-$S111*1000-SUMIFS(AS$10:AS110,$A$10:$A110,$A111),-ROUNDDOWN($K111*$S111/100,0))</f>
        <v>0</v>
      </c>
      <c r="AT111" s="38">
        <f>IF(AND(X111="○",$A111&gt;=AT$8,$A111&lt;=AT$9,K111&gt;=3980),IF(SUM(AT$10:AT110)-ROUNDDOWN($K111*AT$5/100,0)&lt;-AT$6,-AT$6-SUM(AT$10:AT110),-ROUNDDOWN($K111*AT$5/100,0)),0)</f>
        <v>0</v>
      </c>
      <c r="AU111" s="38">
        <f>IF(O111="○",IF(SUM(AU$10:AU110)-ROUNDDOWN($K111*AU$5/100,0)&lt;-AU$6,-AU$6-SUM(AU$10:AU110),-ROUNDDOWN($K111*AU$5/100,0)),0)</f>
        <v>0</v>
      </c>
      <c r="AV111" s="38">
        <f>IF(P111="○",IF(SUM(AV$10:AV110)-ROUNDDOWN($K111*AV$5/100,0)&lt;-AV$6,-AV$6-SUM(AV$10:AV110),-ROUNDDOWN($K111*AV$5/100,0)),0)</f>
        <v>0</v>
      </c>
      <c r="AW111" s="38">
        <f>IF(Q111="○",IF(SUM(AW$10:AW110)-ROUNDDOWN($K111*AW$5/100,0)&lt;-AW$6,-AW$6-SUM(AW$10:AW110),-ROUNDDOWN($K111*AW$5/100,0)),0)</f>
        <v>0</v>
      </c>
      <c r="AX111" s="38">
        <f>IF(R111="○",IF(SUM(AX$10:AX110)-ROUNDDOWN($K111*AX$5/100,0)&lt;-AX$6,-AX$6-SUM(AX$10:AX110),-ROUNDDOWN($K111*AX$5/100,0)),0)</f>
        <v>0</v>
      </c>
      <c r="AY111" s="70">
        <v>0</v>
      </c>
      <c r="AZ111" s="65">
        <f t="shared" si="88"/>
        <v>0</v>
      </c>
      <c r="BA111" s="65">
        <f t="shared" si="89"/>
        <v>0</v>
      </c>
      <c r="BB111" s="70"/>
      <c r="BC111" s="65">
        <f t="shared" si="90"/>
        <v>0</v>
      </c>
      <c r="BD111" s="70">
        <v>0</v>
      </c>
      <c r="BE111" s="65">
        <f t="shared" si="91"/>
        <v>0</v>
      </c>
      <c r="BF111" s="70">
        <v>0</v>
      </c>
      <c r="BG111" s="65">
        <f t="shared" si="92"/>
        <v>0</v>
      </c>
      <c r="BH111" s="70">
        <v>0</v>
      </c>
      <c r="BI111" s="65">
        <f t="shared" si="93"/>
        <v>0</v>
      </c>
      <c r="BJ111" s="38">
        <f>IF(AND(BJ$7="○",$A111&gt;=BJ$8,$A111&lt;=BJ$9),IF(SUM(BJ$10:BJ110)-ROUNDDOWN($M111*BJ$5/100,0)&lt;-BJ$6,-BJ$6-SUM(BJ$10:BJ110),-ROUNDDOWN($M111*BJ$5/100,0)),0)</f>
        <v>0</v>
      </c>
      <c r="BK111" s="38">
        <f>IF(AND(BK$7="○",$A111&gt;=BK$8,$A111&lt;=BK$9),IF(SUM(BK$10:BK110)-ROUNDDOWN($L111*BK$5/100,0)&lt;-BK$6,-BK$6-SUM(BK$10:BK110),-ROUNDDOWN($L111*BK$5/100,0)),0)</f>
        <v>0</v>
      </c>
      <c r="BL111" s="38">
        <f>IF(AND(BL$7="○",$A111&gt;=BL$8,$A111&lt;=BL$9),IF(SUM(BL$10:BL110)-ROUNDDOWN($L111*BL$5/100,0)&lt;-BL$6,-BL$6-SUM(BL$10:BL110),-ROUNDDOWN($L111*BL$5/100,0)),0)</f>
        <v>0</v>
      </c>
      <c r="BM111" s="38">
        <f>IF(AND(BM$7="○",$A111&gt;=BM$8,$A111&lt;=BM$9),IF(SUM(BM$10:BM110)-ROUNDDOWN($M111*BM$5/100,0)&lt;-BM$6,-BM$6-SUM(BM$10:BM110),-ROUNDDOWN($M111*BM$5/100,0)),0)</f>
        <v>0</v>
      </c>
      <c r="BN111" s="38">
        <f>IF(AND(BN$7="○",$A111&gt;=BN$8,$A111&lt;=BN$9),IF(SUM(BN$10:BN110)-ROUNDDOWN($M111*BN$5/100,0)&lt;-BN$6,-BN$6-SUM(BN$10:BN110),-ROUNDDOWN($M111*BN$5/100,0)),0)</f>
        <v>0</v>
      </c>
      <c r="BO111" s="38">
        <f>IF(AND(BO$7="○",$A111&gt;=BO$8,$A111&lt;=BO$9),IF(SUM(BO$10:BO110)-ROUNDDOWN($M111*BO$5/100,0)&lt;-BO$6,-BO$6-SUM(BO$10:BO110),-ROUNDDOWN($M111*BO$5/100,0)),0)</f>
        <v>0</v>
      </c>
      <c r="BP111" s="38">
        <f>IF(AND(BP$7="○",$A111&gt;=BP$8,$A111&lt;=BP$9),IF(SUM(BP$10:BP110)-ROUNDDOWN($M111*BP$5/100,0)&lt;-BP$6,-BP$6-SUM(BP$10:BP110),-ROUNDDOWN($M111*BP$5/100,0)),0)</f>
        <v>0</v>
      </c>
      <c r="BQ111" s="38">
        <f>IF(AND(BQ$7="○",$A111&gt;=BQ$8,$A111&lt;=BQ$9),IF(SUM(BQ$10:BQ110)-ROUNDDOWN($L111*BQ$5/100,0)&lt;-BQ$6,-BQ$6-SUM(BQ$10:BQ110),-ROUNDDOWN($L111*BQ$5/100,0)),0)</f>
        <v>0</v>
      </c>
      <c r="BR111" s="38">
        <f>IF(AND(BR$7="○",$A111&gt;=BR$8,$A111&lt;=BR$9),IF(SUM(BR$10:BR110)-ROUNDDOWN($M111*BR$5/100,0)&lt;-BR$6,-BR$6-SUM(BR$10:BR110),-ROUNDDOWN($M111*BR$5/100,0)),0)</f>
        <v>0</v>
      </c>
      <c r="BS111" s="38">
        <f>IF(AND(BS$7="○",$A111&gt;=BS$8,$A111&lt;=BS$9),IF(SUM(BS$10:BS110)-ROUNDDOWN($M111*BS$5/100,0)&lt;-BS$6,-BS$6-SUM(BS$10:BS110),-ROUNDDOWN($M111*BS$5/100,0)),0)</f>
        <v>0</v>
      </c>
      <c r="BT111" s="38">
        <f>IF(AND(BT$7="○",$A111&gt;=BT$8,$A111&lt;=BT$9),IF(SUM(BT$10:BT110)-ROUNDDOWN($M111*BT$5/100,0)&lt;-BT$6,-BT$6-SUM(BT$10:BT110),-ROUNDDOWN($M111*BT$5/100,0)),0)</f>
        <v>0</v>
      </c>
      <c r="BU111" s="38">
        <f>IF(AND(BU$7="○",$A111&gt;=BU$8,$A111&lt;=BU$9),IF(SUM(BU$10:BU110)-ROUNDDOWN($M111*BU$5/100,0)&lt;-BU$6,-BU$6-SUM(BU$10:BU110),-ROUNDDOWN($M111*BU$5/100,0)),0)</f>
        <v>0</v>
      </c>
      <c r="BV111" s="38">
        <f>IF(AND(BV$7="○",$A111&gt;=BV$8,$A111&lt;=BV$9),IF(SUM(BV$10:BV110)-ROUNDDOWN($M111*BV$5/100,0)&lt;-BV$6,-BV$6-SUM(BV$10:BV110),-ROUNDDOWN($M111*BV$5/100,0)),0)</f>
        <v>0</v>
      </c>
      <c r="BW111" s="38">
        <f>IF(AND(BW$7="○",$A111&gt;=BW$8,$A111&lt;=BW$9),IF(SUM(BW$10:BW110)-ROUNDDOWN($M111*BW$5/100,0)&lt;-BW$6,-BW$6-SUM(BW$10:BW110),-ROUNDDOWN($M111*BW$5/100,0)),0)</f>
        <v>0</v>
      </c>
      <c r="BX111" s="38">
        <f>IF(AND(T111="○",$A111&gt;=BX$8,$A111&lt;=BX$9),IF(SUM(BX$10:BX110)-ROUNDDOWN($K111*BX$5/100,0)&lt;-BX$6,-BX$6-SUM(BX$10:BX110),-ROUNDDOWN($K111*BX$5/100,0)),0)</f>
        <v>0</v>
      </c>
      <c r="BY111" s="38">
        <f>IF(AND(U111="○",$A111&gt;=BY$8,$A111&lt;=BY$9),IF(SUM(BY$10:BY110)-ROUNDDOWN($K111*BY$5/100,0)&lt;-BY$6,-BY$6-SUM(BY$10:BY110),-ROUNDDOWN($K111*BY$5/100,0)),0)</f>
        <v>0</v>
      </c>
      <c r="BZ111" s="38">
        <f>IF(AND(V111="○",$A111&gt;=BZ$8,$A111&lt;=BZ$9),IF(SUM(BZ$10:BZ110)-ROUNDDOWN($K111*BZ$5/100,0)&lt;-BZ$6,-BZ$6-SUM(BZ$10:BZ110),-ROUNDDOWN($K111*BZ$5/100,0)),0)</f>
        <v>0</v>
      </c>
      <c r="CA111" s="38">
        <f>IF(AND(W111="○",$A111&gt;=CA$8,$A111&lt;=CA$9),IF(SUM(CA$10:CA110)-ROUNDDOWN($K111*CA$5/100,0)&lt;-CA$6,-CA$6-SUM(CA$10:CA110),-ROUNDDOWN($K111*CA$5/100,0)),0)</f>
        <v>0</v>
      </c>
      <c r="CB111" s="38"/>
      <c r="CC111" s="38"/>
      <c r="CD111" s="38"/>
      <c r="CE111" s="38"/>
      <c r="CF111" s="38"/>
      <c r="CG111" s="65">
        <f t="shared" si="94"/>
        <v>0</v>
      </c>
      <c r="CH111" s="71">
        <f t="shared" si="95"/>
        <v>0</v>
      </c>
      <c r="CI111" s="1">
        <f t="shared" si="109"/>
        <v>0</v>
      </c>
      <c r="CJ111" s="1"/>
      <c r="CK111" s="72"/>
      <c r="CL111" s="72"/>
      <c r="CM111" s="2"/>
      <c r="CN111" s="2"/>
      <c r="CO111" s="73">
        <f t="shared" si="110"/>
        <v>0</v>
      </c>
      <c r="CP111" s="5">
        <f t="shared" si="111"/>
        <v>0</v>
      </c>
      <c r="CQ111" s="1"/>
      <c r="CR111" s="1">
        <f t="shared" si="112"/>
        <v>0</v>
      </c>
      <c r="CS111" s="1"/>
      <c r="CT111" s="1" t="e">
        <f>INDEX([2]マスタ!$A:$A,MATCH(D111,[2]マスタ!$C:$C,0))</f>
        <v>#N/A</v>
      </c>
      <c r="CU111" s="1" t="str">
        <f t="shared" ca="1" si="113"/>
        <v>20260620_0-0</v>
      </c>
    </row>
    <row r="112" spans="1:99" x14ac:dyDescent="0.4">
      <c r="A112" s="61"/>
      <c r="B112" s="62"/>
      <c r="C112" s="62"/>
      <c r="D112" s="62"/>
      <c r="E112" s="74"/>
      <c r="F112" s="62"/>
      <c r="G112" s="62">
        <v>1</v>
      </c>
      <c r="H112" s="64">
        <f t="shared" si="100"/>
        <v>0</v>
      </c>
      <c r="I112" s="64"/>
      <c r="J112" s="64"/>
      <c r="K112" s="65">
        <f t="shared" si="101"/>
        <v>0</v>
      </c>
      <c r="L112" s="65">
        <f t="shared" si="102"/>
        <v>0</v>
      </c>
      <c r="M112" s="65">
        <f t="shared" si="103"/>
        <v>0</v>
      </c>
      <c r="N112" s="65">
        <f t="shared" si="104"/>
        <v>0</v>
      </c>
      <c r="O112" s="66" t="str">
        <f t="shared" si="105"/>
        <v>✕</v>
      </c>
      <c r="P112" s="67" t="str">
        <f t="shared" si="106"/>
        <v>○</v>
      </c>
      <c r="Q112" s="67" t="str">
        <f t="shared" si="107"/>
        <v>✕</v>
      </c>
      <c r="R112" s="67" t="str">
        <f t="shared" si="108"/>
        <v>✕</v>
      </c>
      <c r="S112" s="68">
        <v>0</v>
      </c>
      <c r="T112" s="69" t="s">
        <v>85</v>
      </c>
      <c r="U112" s="69" t="s">
        <v>85</v>
      </c>
      <c r="V112" s="69" t="s">
        <v>85</v>
      </c>
      <c r="W112" s="69" t="s">
        <v>85</v>
      </c>
      <c r="X112" s="69" t="s">
        <v>84</v>
      </c>
      <c r="Y112" s="69" t="s">
        <v>85</v>
      </c>
      <c r="Z112" s="69" t="s">
        <v>85</v>
      </c>
      <c r="AA112" s="69" t="s">
        <v>85</v>
      </c>
      <c r="AB112" s="69" t="s">
        <v>85</v>
      </c>
      <c r="AC112" s="69" t="s">
        <v>85</v>
      </c>
      <c r="AD112" s="38" t="str">
        <f>+IF(ISERROR(VLOOKUP($B112,AD$10:AD111,1,0)),IF(AND($N112&gt;=1000,$A112&gt;=AO$8,$A112&lt;=AO$9),$B112,""),"")</f>
        <v/>
      </c>
      <c r="AE112" s="38" t="str">
        <f>+IF(ISERROR(VLOOKUP($B112,AE$10:AE111,1,0)),IF(AND($N112&gt;=1000,$A112&gt;=AP$8,$A112&lt;=AP$9),$B112,""),"")</f>
        <v/>
      </c>
      <c r="AF112" s="38" t="str">
        <f>+IF(ISERROR(VLOOKUP($B112,AF$10:AF111,1,0)),IF(AND($N112&gt;=1000,$A112&gt;=AQ$8,$A112&lt;=AQ$9),$B112,""),"")</f>
        <v/>
      </c>
      <c r="AG112" s="38" t="str">
        <f>+IF(ISERROR(VLOOKUP($B112,AG$10:AG111,1,0)),IF(AND($N112&gt;=1000,$A112&gt;=AR$8,$A112&lt;=AR$9),$B112,""),"")</f>
        <v/>
      </c>
      <c r="AH112" s="38"/>
      <c r="AI112" s="70">
        <v>0</v>
      </c>
      <c r="AJ112" s="38">
        <f>IF(AND(AJ$7="○",$A112&gt;=AJ$8,$A112&lt;=AJ$9),IF(SUM(AJ$10:AJ111)-ROUNDDOWN($K112*AJ$5/100,0)&lt;-AJ$6,-AJ$6-SUM(AJ$10:AJ111),-ROUNDDOWN($K112*AJ$5/100,0)),0)</f>
        <v>0</v>
      </c>
      <c r="AK112" s="38">
        <f>IF(AND(AK$7="○",$A112&gt;=AK$8,$A112&lt;=AK$9),IF(SUM(AK$10:AK111)-ROUNDDOWN($L112*AK$5/100,0)&lt;-AK$6,-AK$6-SUM(AK$10:AK111),-ROUNDDOWN($L112*AK$5/100,0)),0)</f>
        <v>0</v>
      </c>
      <c r="AL112" s="38">
        <f>IF(AND(AL$7="○",$A112&gt;=AL$8,$A112&lt;=AL$9),IF(SUM(AL$10:AL111)-ROUNDDOWN($N112*AL$5/100,0)&lt;-AL$6,-AL$6-SUM(AL$10:AL111),-ROUNDDOWN($N112*AL$5/100,0)),0)</f>
        <v>0</v>
      </c>
      <c r="AM112" s="38">
        <f>IF(AND(AM$7="○",$A112&gt;=AM$8,$A112&lt;=AM$9),IF(SUM(AM$10:AM111)-ROUNDDOWN($L112*AM$5/100,0)&lt;-AM$6,-AM$6-SUM(AM$10:AM111),-ROUNDDOWN($L112*AM$5/100,0)),0)</f>
        <v>0</v>
      </c>
      <c r="AN112" s="38">
        <f>IF(AND(AN$7="○",$A112&gt;=AN$8,$A112&lt;=AN$9),IF(SUM(AN$10:AN111)-ROUNDDOWN($M112*AN$5/100,0)&lt;-AN$6,-AN$6-SUM(AN$10:AN111),-ROUNDDOWN($M112*AN$5/100,0)),0)</f>
        <v>0</v>
      </c>
      <c r="AO112" s="38">
        <f>IF(AND($A112&gt;=AO$8,$A112&lt;=AO$9),IF(SUM(AO$10:AO111)-ROUNDDOWN($K112*AO$5/100,0)&lt;-AO$6,-AO$6-SUM(AO$10:AO111),-ROUNDDOWN($K112*AO$5/100,0)),0)</f>
        <v>0</v>
      </c>
      <c r="AP112" s="38">
        <f>IF(AND($A112&gt;=AP$8,$A112&lt;=AP$9),IF(SUM(AP$10:AP111)-ROUNDDOWN($K112*AP$5/100,0)&lt;-AP$6,-AP$6-SUM(AP$10:AP111),-ROUNDDOWN($K112*AP$5/100,0)),0)</f>
        <v>0</v>
      </c>
      <c r="AQ112" s="38">
        <f>IF(AND($A112&gt;=AQ$8,$A112&lt;=AQ$9),IF(SUM(AQ$10:AQ111)-ROUNDDOWN($K112*AQ$5/100,0)&lt;-AQ$6,-AQ$6-SUM(AQ$10:AQ111),-ROUNDDOWN($K112*AQ$5/100,0)),0)</f>
        <v>0</v>
      </c>
      <c r="AR112" s="38">
        <f>IF(AND($A112&gt;=AR$8,$A112&lt;=AR$9),IF(SUM(AR$10:AR111)-ROUNDDOWN($K112*AR$5/100,0)&lt;-AR$6,-AR$6-SUM(AR$10:AR111),-ROUNDDOWN($K112*AR$5/100,0)),0)</f>
        <v>0</v>
      </c>
      <c r="AS112" s="38">
        <f>IF(SUMIFS(AS$10:AS111,$A$10:$A111,$A112)-ROUNDDOWN($K112*$S112/100,0)&lt;-$S112*1000,-$S112*1000-SUMIFS(AS$10:AS111,$A$10:$A111,$A112),-ROUNDDOWN($K112*$S112/100,0))</f>
        <v>0</v>
      </c>
      <c r="AT112" s="38">
        <f>IF(AND(X112="○",$A112&gt;=AT$8,$A112&lt;=AT$9,K112&gt;=3980),IF(SUM(AT$10:AT111)-ROUNDDOWN($K112*AT$5/100,0)&lt;-AT$6,-AT$6-SUM(AT$10:AT111),-ROUNDDOWN($K112*AT$5/100,0)),0)</f>
        <v>0</v>
      </c>
      <c r="AU112" s="38">
        <f>IF(O112="○",IF(SUM(AU$10:AU111)-ROUNDDOWN($K112*AU$5/100,0)&lt;-AU$6,-AU$6-SUM(AU$10:AU111),-ROUNDDOWN($K112*AU$5/100,0)),0)</f>
        <v>0</v>
      </c>
      <c r="AV112" s="38">
        <f>IF(P112="○",IF(SUM(AV$10:AV111)-ROUNDDOWN($K112*AV$5/100,0)&lt;-AV$6,-AV$6-SUM(AV$10:AV111),-ROUNDDOWN($K112*AV$5/100,0)),0)</f>
        <v>0</v>
      </c>
      <c r="AW112" s="38">
        <f>IF(Q112="○",IF(SUM(AW$10:AW111)-ROUNDDOWN($K112*AW$5/100,0)&lt;-AW$6,-AW$6-SUM(AW$10:AW111),-ROUNDDOWN($K112*AW$5/100,0)),0)</f>
        <v>0</v>
      </c>
      <c r="AX112" s="38">
        <f>IF(R112="○",IF(SUM(AX$10:AX111)-ROUNDDOWN($K112*AX$5/100,0)&lt;-AX$6,-AX$6-SUM(AX$10:AX111),-ROUNDDOWN($K112*AX$5/100,0)),0)</f>
        <v>0</v>
      </c>
      <c r="AY112" s="70">
        <v>0</v>
      </c>
      <c r="AZ112" s="65">
        <f t="shared" si="88"/>
        <v>0</v>
      </c>
      <c r="BA112" s="65">
        <f t="shared" si="89"/>
        <v>0</v>
      </c>
      <c r="BB112" s="70"/>
      <c r="BC112" s="65">
        <f t="shared" si="90"/>
        <v>0</v>
      </c>
      <c r="BD112" s="70">
        <v>0</v>
      </c>
      <c r="BE112" s="65">
        <f t="shared" si="91"/>
        <v>0</v>
      </c>
      <c r="BF112" s="70">
        <v>0</v>
      </c>
      <c r="BG112" s="65">
        <f t="shared" si="92"/>
        <v>0</v>
      </c>
      <c r="BH112" s="70">
        <v>0</v>
      </c>
      <c r="BI112" s="65">
        <f t="shared" si="93"/>
        <v>0</v>
      </c>
      <c r="BJ112" s="38">
        <f>IF(AND(BJ$7="○",$A112&gt;=BJ$8,$A112&lt;=BJ$9),IF(SUM(BJ$10:BJ111)-ROUNDDOWN($M112*BJ$5/100,0)&lt;-BJ$6,-BJ$6-SUM(BJ$10:BJ111),-ROUNDDOWN($M112*BJ$5/100,0)),0)</f>
        <v>0</v>
      </c>
      <c r="BK112" s="38">
        <f>IF(AND(BK$7="○",$A112&gt;=BK$8,$A112&lt;=BK$9),IF(SUM(BK$10:BK111)-ROUNDDOWN($L112*BK$5/100,0)&lt;-BK$6,-BK$6-SUM(BK$10:BK111),-ROUNDDOWN($L112*BK$5/100,0)),0)</f>
        <v>0</v>
      </c>
      <c r="BL112" s="38">
        <f>IF(AND(BL$7="○",$A112&gt;=BL$8,$A112&lt;=BL$9),IF(SUM(BL$10:BL111)-ROUNDDOWN($L112*BL$5/100,0)&lt;-BL$6,-BL$6-SUM(BL$10:BL111),-ROUNDDOWN($L112*BL$5/100,0)),0)</f>
        <v>0</v>
      </c>
      <c r="BM112" s="38">
        <f>IF(AND(BM$7="○",$A112&gt;=BM$8,$A112&lt;=BM$9),IF(SUM(BM$10:BM111)-ROUNDDOWN($M112*BM$5/100,0)&lt;-BM$6,-BM$6-SUM(BM$10:BM111),-ROUNDDOWN($M112*BM$5/100,0)),0)</f>
        <v>0</v>
      </c>
      <c r="BN112" s="38">
        <f>IF(AND(BN$7="○",$A112&gt;=BN$8,$A112&lt;=BN$9),IF(SUM(BN$10:BN111)-ROUNDDOWN($M112*BN$5/100,0)&lt;-BN$6,-BN$6-SUM(BN$10:BN111),-ROUNDDOWN($M112*BN$5/100,0)),0)</f>
        <v>0</v>
      </c>
      <c r="BO112" s="38">
        <f>IF(AND(BO$7="○",$A112&gt;=BO$8,$A112&lt;=BO$9),IF(SUM(BO$10:BO111)-ROUNDDOWN($M112*BO$5/100,0)&lt;-BO$6,-BO$6-SUM(BO$10:BO111),-ROUNDDOWN($M112*BO$5/100,0)),0)</f>
        <v>0</v>
      </c>
      <c r="BP112" s="38">
        <f>IF(AND(BP$7="○",$A112&gt;=BP$8,$A112&lt;=BP$9),IF(SUM(BP$10:BP111)-ROUNDDOWN($M112*BP$5/100,0)&lt;-BP$6,-BP$6-SUM(BP$10:BP111),-ROUNDDOWN($M112*BP$5/100,0)),0)</f>
        <v>0</v>
      </c>
      <c r="BQ112" s="38">
        <f>IF(AND(BQ$7="○",$A112&gt;=BQ$8,$A112&lt;=BQ$9),IF(SUM(BQ$10:BQ111)-ROUNDDOWN($L112*BQ$5/100,0)&lt;-BQ$6,-BQ$6-SUM(BQ$10:BQ111),-ROUNDDOWN($L112*BQ$5/100,0)),0)</f>
        <v>0</v>
      </c>
      <c r="BR112" s="38">
        <f>IF(AND(BR$7="○",$A112&gt;=BR$8,$A112&lt;=BR$9),IF(SUM(BR$10:BR111)-ROUNDDOWN($M112*BR$5/100,0)&lt;-BR$6,-BR$6-SUM(BR$10:BR111),-ROUNDDOWN($M112*BR$5/100,0)),0)</f>
        <v>0</v>
      </c>
      <c r="BS112" s="38">
        <f>IF(AND(BS$7="○",$A112&gt;=BS$8,$A112&lt;=BS$9),IF(SUM(BS$10:BS111)-ROUNDDOWN($M112*BS$5/100,0)&lt;-BS$6,-BS$6-SUM(BS$10:BS111),-ROUNDDOWN($M112*BS$5/100,0)),0)</f>
        <v>0</v>
      </c>
      <c r="BT112" s="38">
        <f>IF(AND(BT$7="○",$A112&gt;=BT$8,$A112&lt;=BT$9),IF(SUM(BT$10:BT111)-ROUNDDOWN($M112*BT$5/100,0)&lt;-BT$6,-BT$6-SUM(BT$10:BT111),-ROUNDDOWN($M112*BT$5/100,0)),0)</f>
        <v>0</v>
      </c>
      <c r="BU112" s="38">
        <f>IF(AND(BU$7="○",$A112&gt;=BU$8,$A112&lt;=BU$9),IF(SUM(BU$10:BU111)-ROUNDDOWN($M112*BU$5/100,0)&lt;-BU$6,-BU$6-SUM(BU$10:BU111),-ROUNDDOWN($M112*BU$5/100,0)),0)</f>
        <v>0</v>
      </c>
      <c r="BV112" s="38">
        <f>IF(AND(BV$7="○",$A112&gt;=BV$8,$A112&lt;=BV$9),IF(SUM(BV$10:BV111)-ROUNDDOWN($M112*BV$5/100,0)&lt;-BV$6,-BV$6-SUM(BV$10:BV111),-ROUNDDOWN($M112*BV$5/100,0)),0)</f>
        <v>0</v>
      </c>
      <c r="BW112" s="38">
        <f>IF(AND(BW$7="○",$A112&gt;=BW$8,$A112&lt;=BW$9),IF(SUM(BW$10:BW111)-ROUNDDOWN($M112*BW$5/100,0)&lt;-BW$6,-BW$6-SUM(BW$10:BW111),-ROUNDDOWN($M112*BW$5/100,0)),0)</f>
        <v>0</v>
      </c>
      <c r="BX112" s="38">
        <f>IF(AND(T112="○",$A112&gt;=BX$8,$A112&lt;=BX$9),IF(SUM(BX$10:BX111)-ROUNDDOWN($K112*BX$5/100,0)&lt;-BX$6,-BX$6-SUM(BX$10:BX111),-ROUNDDOWN($K112*BX$5/100,0)),0)</f>
        <v>0</v>
      </c>
      <c r="BY112" s="38">
        <f>IF(AND(U112="○",$A112&gt;=BY$8,$A112&lt;=BY$9),IF(SUM(BY$10:BY111)-ROUNDDOWN($K112*BY$5/100,0)&lt;-BY$6,-BY$6-SUM(BY$10:BY111),-ROUNDDOWN($K112*BY$5/100,0)),0)</f>
        <v>0</v>
      </c>
      <c r="BZ112" s="38">
        <f>IF(AND(V112="○",$A112&gt;=BZ$8,$A112&lt;=BZ$9),IF(SUM(BZ$10:BZ111)-ROUNDDOWN($K112*BZ$5/100,0)&lt;-BZ$6,-BZ$6-SUM(BZ$10:BZ111),-ROUNDDOWN($K112*BZ$5/100,0)),0)</f>
        <v>0</v>
      </c>
      <c r="CA112" s="38">
        <f>IF(AND(W112="○",$A112&gt;=CA$8,$A112&lt;=CA$9),IF(SUM(CA$10:CA111)-ROUNDDOWN($K112*CA$5/100,0)&lt;-CA$6,-CA$6-SUM(CA$10:CA111),-ROUNDDOWN($K112*CA$5/100,0)),0)</f>
        <v>0</v>
      </c>
      <c r="CB112" s="38"/>
      <c r="CC112" s="38"/>
      <c r="CD112" s="38"/>
      <c r="CE112" s="38"/>
      <c r="CF112" s="38"/>
      <c r="CG112" s="65">
        <f t="shared" si="94"/>
        <v>0</v>
      </c>
      <c r="CH112" s="71">
        <f t="shared" si="95"/>
        <v>0</v>
      </c>
      <c r="CI112" s="1">
        <f t="shared" si="109"/>
        <v>0</v>
      </c>
      <c r="CJ112" s="1"/>
      <c r="CK112" s="72"/>
      <c r="CL112" s="72"/>
      <c r="CM112" s="2"/>
      <c r="CN112" s="2"/>
      <c r="CO112" s="73">
        <f t="shared" si="110"/>
        <v>0</v>
      </c>
      <c r="CP112" s="5">
        <f t="shared" si="111"/>
        <v>0</v>
      </c>
      <c r="CQ112" s="1"/>
      <c r="CR112" s="1">
        <f t="shared" si="112"/>
        <v>0</v>
      </c>
      <c r="CS112" s="1"/>
      <c r="CT112" s="1" t="e">
        <f>INDEX([2]マスタ!$A:$A,MATCH(D112,[2]マスタ!$C:$C,0))</f>
        <v>#N/A</v>
      </c>
      <c r="CU112" s="1" t="str">
        <f t="shared" ca="1" si="113"/>
        <v>20260620_0-0</v>
      </c>
    </row>
    <row r="113" spans="1:99" x14ac:dyDescent="0.4">
      <c r="A113" s="61"/>
      <c r="B113" s="62"/>
      <c r="C113" s="62"/>
      <c r="D113" s="62"/>
      <c r="E113" s="74"/>
      <c r="F113" s="62"/>
      <c r="G113" s="62">
        <v>1</v>
      </c>
      <c r="H113" s="64">
        <f t="shared" si="100"/>
        <v>0</v>
      </c>
      <c r="I113" s="64"/>
      <c r="J113" s="64"/>
      <c r="K113" s="65">
        <f t="shared" si="101"/>
        <v>0</v>
      </c>
      <c r="L113" s="65">
        <f t="shared" si="102"/>
        <v>0</v>
      </c>
      <c r="M113" s="65">
        <f t="shared" si="103"/>
        <v>0</v>
      </c>
      <c r="N113" s="65">
        <f t="shared" si="104"/>
        <v>0</v>
      </c>
      <c r="O113" s="66" t="str">
        <f t="shared" si="105"/>
        <v>✕</v>
      </c>
      <c r="P113" s="67" t="str">
        <f t="shared" si="106"/>
        <v>○</v>
      </c>
      <c r="Q113" s="67" t="str">
        <f t="shared" si="107"/>
        <v>✕</v>
      </c>
      <c r="R113" s="67" t="str">
        <f t="shared" si="108"/>
        <v>✕</v>
      </c>
      <c r="S113" s="68">
        <v>0</v>
      </c>
      <c r="T113" s="69" t="s">
        <v>85</v>
      </c>
      <c r="U113" s="69" t="s">
        <v>85</v>
      </c>
      <c r="V113" s="69" t="s">
        <v>85</v>
      </c>
      <c r="W113" s="69" t="s">
        <v>85</v>
      </c>
      <c r="X113" s="69" t="s">
        <v>84</v>
      </c>
      <c r="Y113" s="69" t="s">
        <v>85</v>
      </c>
      <c r="Z113" s="69" t="s">
        <v>85</v>
      </c>
      <c r="AA113" s="69" t="s">
        <v>85</v>
      </c>
      <c r="AB113" s="69" t="s">
        <v>85</v>
      </c>
      <c r="AC113" s="69" t="s">
        <v>85</v>
      </c>
      <c r="AD113" s="38" t="str">
        <f>+IF(ISERROR(VLOOKUP($B113,AD$10:AD112,1,0)),IF(AND($N113&gt;=1000,$A113&gt;=AO$8,$A113&lt;=AO$9),$B113,""),"")</f>
        <v/>
      </c>
      <c r="AE113" s="38" t="str">
        <f>+IF(ISERROR(VLOOKUP($B113,AE$10:AE112,1,0)),IF(AND($N113&gt;=1000,$A113&gt;=AP$8,$A113&lt;=AP$9),$B113,""),"")</f>
        <v/>
      </c>
      <c r="AF113" s="38" t="str">
        <f>+IF(ISERROR(VLOOKUP($B113,AF$10:AF112,1,0)),IF(AND($N113&gt;=1000,$A113&gt;=AQ$8,$A113&lt;=AQ$9),$B113,""),"")</f>
        <v/>
      </c>
      <c r="AG113" s="38" t="str">
        <f>+IF(ISERROR(VLOOKUP($B113,AG$10:AG112,1,0)),IF(AND($N113&gt;=1000,$A113&gt;=AR$8,$A113&lt;=AR$9),$B113,""),"")</f>
        <v/>
      </c>
      <c r="AH113" s="38"/>
      <c r="AI113" s="70">
        <v>0</v>
      </c>
      <c r="AJ113" s="38">
        <f>IF(AND(AJ$7="○",$A113&gt;=AJ$8,$A113&lt;=AJ$9),IF(SUM(AJ$10:AJ112)-ROUNDDOWN($K113*AJ$5/100,0)&lt;-AJ$6,-AJ$6-SUM(AJ$10:AJ112),-ROUNDDOWN($K113*AJ$5/100,0)),0)</f>
        <v>0</v>
      </c>
      <c r="AK113" s="38">
        <f>IF(AND(AK$7="○",$A113&gt;=AK$8,$A113&lt;=AK$9),IF(SUM(AK$10:AK112)-ROUNDDOWN($L113*AK$5/100,0)&lt;-AK$6,-AK$6-SUM(AK$10:AK112),-ROUNDDOWN($L113*AK$5/100,0)),0)</f>
        <v>0</v>
      </c>
      <c r="AL113" s="38">
        <f>IF(AND(AL$7="○",$A113&gt;=AL$8,$A113&lt;=AL$9),IF(SUM(AL$10:AL112)-ROUNDDOWN($N113*AL$5/100,0)&lt;-AL$6,-AL$6-SUM(AL$10:AL112),-ROUNDDOWN($N113*AL$5/100,0)),0)</f>
        <v>0</v>
      </c>
      <c r="AM113" s="38">
        <f>IF(AND(AM$7="○",$A113&gt;=AM$8,$A113&lt;=AM$9),IF(SUM(AM$10:AM112)-ROUNDDOWN($L113*AM$5/100,0)&lt;-AM$6,-AM$6-SUM(AM$10:AM112),-ROUNDDOWN($L113*AM$5/100,0)),0)</f>
        <v>0</v>
      </c>
      <c r="AN113" s="38">
        <f>IF(AND(AN$7="○",$A113&gt;=AN$8,$A113&lt;=AN$9),IF(SUM(AN$10:AN112)-ROUNDDOWN($M113*AN$5/100,0)&lt;-AN$6,-AN$6-SUM(AN$10:AN112),-ROUNDDOWN($M113*AN$5/100,0)),0)</f>
        <v>0</v>
      </c>
      <c r="AO113" s="38">
        <f>IF(AND($A113&gt;=AO$8,$A113&lt;=AO$9),IF(SUM(AO$10:AO112)-ROUNDDOWN($K113*AO$5/100,0)&lt;-AO$6,-AO$6-SUM(AO$10:AO112),-ROUNDDOWN($K113*AO$5/100,0)),0)</f>
        <v>0</v>
      </c>
      <c r="AP113" s="38">
        <f>IF(AND($A113&gt;=AP$8,$A113&lt;=AP$9),IF(SUM(AP$10:AP112)-ROUNDDOWN($K113*AP$5/100,0)&lt;-AP$6,-AP$6-SUM(AP$10:AP112),-ROUNDDOWN($K113*AP$5/100,0)),0)</f>
        <v>0</v>
      </c>
      <c r="AQ113" s="38">
        <f>IF(AND($A113&gt;=AQ$8,$A113&lt;=AQ$9),IF(SUM(AQ$10:AQ112)-ROUNDDOWN($K113*AQ$5/100,0)&lt;-AQ$6,-AQ$6-SUM(AQ$10:AQ112),-ROUNDDOWN($K113*AQ$5/100,0)),0)</f>
        <v>0</v>
      </c>
      <c r="AR113" s="38">
        <f>IF(AND($A113&gt;=AR$8,$A113&lt;=AR$9),IF(SUM(AR$10:AR112)-ROUNDDOWN($K113*AR$5/100,0)&lt;-AR$6,-AR$6-SUM(AR$10:AR112),-ROUNDDOWN($K113*AR$5/100,0)),0)</f>
        <v>0</v>
      </c>
      <c r="AS113" s="38">
        <f>IF(SUMIFS(AS$10:AS112,$A$10:$A112,$A113)-ROUNDDOWN($K113*$S113/100,0)&lt;-$S113*1000,-$S113*1000-SUMIFS(AS$10:AS112,$A$10:$A112,$A113),-ROUNDDOWN($K113*$S113/100,0))</f>
        <v>0</v>
      </c>
      <c r="AT113" s="38">
        <f>IF(AND(X113="○",$A113&gt;=AT$8,$A113&lt;=AT$9,K113&gt;=3980),IF(SUM(AT$10:AT112)-ROUNDDOWN($K113*AT$5/100,0)&lt;-AT$6,-AT$6-SUM(AT$10:AT112),-ROUNDDOWN($K113*AT$5/100,0)),0)</f>
        <v>0</v>
      </c>
      <c r="AU113" s="38">
        <f>IF(O113="○",IF(SUM(AU$10:AU112)-ROUNDDOWN($K113*AU$5/100,0)&lt;-AU$6,-AU$6-SUM(AU$10:AU112),-ROUNDDOWN($K113*AU$5/100,0)),0)</f>
        <v>0</v>
      </c>
      <c r="AV113" s="38">
        <f>IF(P113="○",IF(SUM(AV$10:AV112)-ROUNDDOWN($K113*AV$5/100,0)&lt;-AV$6,-AV$6-SUM(AV$10:AV112),-ROUNDDOWN($K113*AV$5/100,0)),0)</f>
        <v>0</v>
      </c>
      <c r="AW113" s="38">
        <f>IF(Q113="○",IF(SUM(AW$10:AW112)-ROUNDDOWN($K113*AW$5/100,0)&lt;-AW$6,-AW$6-SUM(AW$10:AW112),-ROUNDDOWN($K113*AW$5/100,0)),0)</f>
        <v>0</v>
      </c>
      <c r="AX113" s="38">
        <f>IF(R113="○",IF(SUM(AX$10:AX112)-ROUNDDOWN($K113*AX$5/100,0)&lt;-AX$6,-AX$6-SUM(AX$10:AX112),-ROUNDDOWN($K113*AX$5/100,0)),0)</f>
        <v>0</v>
      </c>
      <c r="AY113" s="70">
        <v>0</v>
      </c>
      <c r="AZ113" s="65">
        <f t="shared" si="88"/>
        <v>0</v>
      </c>
      <c r="BA113" s="65">
        <f t="shared" si="89"/>
        <v>0</v>
      </c>
      <c r="BB113" s="70"/>
      <c r="BC113" s="65">
        <f t="shared" si="90"/>
        <v>0</v>
      </c>
      <c r="BD113" s="70">
        <v>0</v>
      </c>
      <c r="BE113" s="65">
        <f t="shared" si="91"/>
        <v>0</v>
      </c>
      <c r="BF113" s="70">
        <v>0</v>
      </c>
      <c r="BG113" s="65">
        <f t="shared" si="92"/>
        <v>0</v>
      </c>
      <c r="BH113" s="70">
        <v>0</v>
      </c>
      <c r="BI113" s="65">
        <f t="shared" si="93"/>
        <v>0</v>
      </c>
      <c r="BJ113" s="38">
        <f>IF(AND(BJ$7="○",$A113&gt;=BJ$8,$A113&lt;=BJ$9),IF(SUM(BJ$10:BJ112)-ROUNDDOWN($M113*BJ$5/100,0)&lt;-BJ$6,-BJ$6-SUM(BJ$10:BJ112),-ROUNDDOWN($M113*BJ$5/100,0)),0)</f>
        <v>0</v>
      </c>
      <c r="BK113" s="38">
        <f>IF(AND(BK$7="○",$A113&gt;=BK$8,$A113&lt;=BK$9),IF(SUM(BK$10:BK112)-ROUNDDOWN($L113*BK$5/100,0)&lt;-BK$6,-BK$6-SUM(BK$10:BK112),-ROUNDDOWN($L113*BK$5/100,0)),0)</f>
        <v>0</v>
      </c>
      <c r="BL113" s="38">
        <f>IF(AND(BL$7="○",$A113&gt;=BL$8,$A113&lt;=BL$9),IF(SUM(BL$10:BL112)-ROUNDDOWN($L113*BL$5/100,0)&lt;-BL$6,-BL$6-SUM(BL$10:BL112),-ROUNDDOWN($L113*BL$5/100,0)),0)</f>
        <v>0</v>
      </c>
      <c r="BM113" s="38">
        <f>IF(AND(BM$7="○",$A113&gt;=BM$8,$A113&lt;=BM$9),IF(SUM(BM$10:BM112)-ROUNDDOWN($M113*BM$5/100,0)&lt;-BM$6,-BM$6-SUM(BM$10:BM112),-ROUNDDOWN($M113*BM$5/100,0)),0)</f>
        <v>0</v>
      </c>
      <c r="BN113" s="38">
        <f>IF(AND(BN$7="○",$A113&gt;=BN$8,$A113&lt;=BN$9),IF(SUM(BN$10:BN112)-ROUNDDOWN($M113*BN$5/100,0)&lt;-BN$6,-BN$6-SUM(BN$10:BN112),-ROUNDDOWN($M113*BN$5/100,0)),0)</f>
        <v>0</v>
      </c>
      <c r="BO113" s="38">
        <f>IF(AND(BO$7="○",$A113&gt;=BO$8,$A113&lt;=BO$9),IF(SUM(BO$10:BO112)-ROUNDDOWN($M113*BO$5/100,0)&lt;-BO$6,-BO$6-SUM(BO$10:BO112),-ROUNDDOWN($M113*BO$5/100,0)),0)</f>
        <v>0</v>
      </c>
      <c r="BP113" s="38">
        <f>IF(AND(BP$7="○",$A113&gt;=BP$8,$A113&lt;=BP$9),IF(SUM(BP$10:BP112)-ROUNDDOWN($M113*BP$5/100,0)&lt;-BP$6,-BP$6-SUM(BP$10:BP112),-ROUNDDOWN($M113*BP$5/100,0)),0)</f>
        <v>0</v>
      </c>
      <c r="BQ113" s="38">
        <f>IF(AND(BQ$7="○",$A113&gt;=BQ$8,$A113&lt;=BQ$9),IF(SUM(BQ$10:BQ112)-ROUNDDOWN($L113*BQ$5/100,0)&lt;-BQ$6,-BQ$6-SUM(BQ$10:BQ112),-ROUNDDOWN($L113*BQ$5/100,0)),0)</f>
        <v>0</v>
      </c>
      <c r="BR113" s="38">
        <f>IF(AND(BR$7="○",$A113&gt;=BR$8,$A113&lt;=BR$9),IF(SUM(BR$10:BR112)-ROUNDDOWN($M113*BR$5/100,0)&lt;-BR$6,-BR$6-SUM(BR$10:BR112),-ROUNDDOWN($M113*BR$5/100,0)),0)</f>
        <v>0</v>
      </c>
      <c r="BS113" s="38">
        <f>IF(AND(BS$7="○",$A113&gt;=BS$8,$A113&lt;=BS$9),IF(SUM(BS$10:BS112)-ROUNDDOWN($M113*BS$5/100,0)&lt;-BS$6,-BS$6-SUM(BS$10:BS112),-ROUNDDOWN($M113*BS$5/100,0)),0)</f>
        <v>0</v>
      </c>
      <c r="BT113" s="38">
        <f>IF(AND(BT$7="○",$A113&gt;=BT$8,$A113&lt;=BT$9),IF(SUM(BT$10:BT112)-ROUNDDOWN($M113*BT$5/100,0)&lt;-BT$6,-BT$6-SUM(BT$10:BT112),-ROUNDDOWN($M113*BT$5/100,0)),0)</f>
        <v>0</v>
      </c>
      <c r="BU113" s="38">
        <f>IF(AND(BU$7="○",$A113&gt;=BU$8,$A113&lt;=BU$9),IF(SUM(BU$10:BU112)-ROUNDDOWN($M113*BU$5/100,0)&lt;-BU$6,-BU$6-SUM(BU$10:BU112),-ROUNDDOWN($M113*BU$5/100,0)),0)</f>
        <v>0</v>
      </c>
      <c r="BV113" s="38">
        <f>IF(AND(BV$7="○",$A113&gt;=BV$8,$A113&lt;=BV$9),IF(SUM(BV$10:BV112)-ROUNDDOWN($M113*BV$5/100,0)&lt;-BV$6,-BV$6-SUM(BV$10:BV112),-ROUNDDOWN($M113*BV$5/100,0)),0)</f>
        <v>0</v>
      </c>
      <c r="BW113" s="38">
        <f>IF(AND(BW$7="○",$A113&gt;=BW$8,$A113&lt;=BW$9),IF(SUM(BW$10:BW112)-ROUNDDOWN($M113*BW$5/100,0)&lt;-BW$6,-BW$6-SUM(BW$10:BW112),-ROUNDDOWN($M113*BW$5/100,0)),0)</f>
        <v>0</v>
      </c>
      <c r="BX113" s="38">
        <f>IF(AND(T113="○",$A113&gt;=BX$8,$A113&lt;=BX$9),IF(SUM(BX$10:BX112)-ROUNDDOWN($K113*BX$5/100,0)&lt;-BX$6,-BX$6-SUM(BX$10:BX112),-ROUNDDOWN($K113*BX$5/100,0)),0)</f>
        <v>0</v>
      </c>
      <c r="BY113" s="38">
        <f>IF(AND(U113="○",$A113&gt;=BY$8,$A113&lt;=BY$9),IF(SUM(BY$10:BY112)-ROUNDDOWN($K113*BY$5/100,0)&lt;-BY$6,-BY$6-SUM(BY$10:BY112),-ROUNDDOWN($K113*BY$5/100,0)),0)</f>
        <v>0</v>
      </c>
      <c r="BZ113" s="38">
        <f>IF(AND(V113="○",$A113&gt;=BZ$8,$A113&lt;=BZ$9),IF(SUM(BZ$10:BZ112)-ROUNDDOWN($K113*BZ$5/100,0)&lt;-BZ$6,-BZ$6-SUM(BZ$10:BZ112),-ROUNDDOWN($K113*BZ$5/100,0)),0)</f>
        <v>0</v>
      </c>
      <c r="CA113" s="38">
        <f>IF(AND(W113="○",$A113&gt;=CA$8,$A113&lt;=CA$9),IF(SUM(CA$10:CA112)-ROUNDDOWN($K113*CA$5/100,0)&lt;-CA$6,-CA$6-SUM(CA$10:CA112),-ROUNDDOWN($K113*CA$5/100,0)),0)</f>
        <v>0</v>
      </c>
      <c r="CB113" s="38"/>
      <c r="CC113" s="38"/>
      <c r="CD113" s="38"/>
      <c r="CE113" s="38"/>
      <c r="CF113" s="38"/>
      <c r="CG113" s="65">
        <f t="shared" si="94"/>
        <v>0</v>
      </c>
      <c r="CH113" s="71">
        <f t="shared" si="95"/>
        <v>0</v>
      </c>
      <c r="CI113" s="1">
        <f t="shared" si="109"/>
        <v>0</v>
      </c>
      <c r="CJ113" s="1"/>
      <c r="CK113" s="72"/>
      <c r="CL113" s="72"/>
      <c r="CM113" s="2"/>
      <c r="CN113" s="2"/>
      <c r="CO113" s="73">
        <f t="shared" si="110"/>
        <v>0</v>
      </c>
      <c r="CP113" s="5">
        <f t="shared" si="111"/>
        <v>0</v>
      </c>
      <c r="CQ113" s="1"/>
      <c r="CR113" s="1">
        <f t="shared" si="112"/>
        <v>0</v>
      </c>
      <c r="CS113" s="1"/>
      <c r="CT113" s="1" t="e">
        <f>INDEX([2]マスタ!$A:$A,MATCH(D113,[2]マスタ!$C:$C,0))</f>
        <v>#N/A</v>
      </c>
      <c r="CU113" s="1" t="str">
        <f t="shared" ca="1" si="113"/>
        <v>20260620_0-0</v>
      </c>
    </row>
    <row r="114" spans="1:99" x14ac:dyDescent="0.4">
      <c r="A114" s="61"/>
      <c r="B114" s="62"/>
      <c r="C114" s="62"/>
      <c r="D114" s="62"/>
      <c r="E114" s="74"/>
      <c r="F114" s="62"/>
      <c r="G114" s="62">
        <v>1</v>
      </c>
      <c r="H114" s="64">
        <f t="shared" si="100"/>
        <v>0</v>
      </c>
      <c r="I114" s="64"/>
      <c r="J114" s="64"/>
      <c r="K114" s="65">
        <f t="shared" si="101"/>
        <v>0</v>
      </c>
      <c r="L114" s="65">
        <f t="shared" si="102"/>
        <v>0</v>
      </c>
      <c r="M114" s="65">
        <f t="shared" si="103"/>
        <v>0</v>
      </c>
      <c r="N114" s="65">
        <f t="shared" si="104"/>
        <v>0</v>
      </c>
      <c r="O114" s="66" t="str">
        <f t="shared" si="105"/>
        <v>✕</v>
      </c>
      <c r="P114" s="67" t="str">
        <f t="shared" si="106"/>
        <v>○</v>
      </c>
      <c r="Q114" s="67" t="str">
        <f t="shared" si="107"/>
        <v>✕</v>
      </c>
      <c r="R114" s="67" t="str">
        <f t="shared" si="108"/>
        <v>✕</v>
      </c>
      <c r="S114" s="68">
        <v>0</v>
      </c>
      <c r="T114" s="69" t="s">
        <v>85</v>
      </c>
      <c r="U114" s="69" t="s">
        <v>85</v>
      </c>
      <c r="V114" s="69" t="s">
        <v>85</v>
      </c>
      <c r="W114" s="69" t="s">
        <v>85</v>
      </c>
      <c r="X114" s="69" t="s">
        <v>84</v>
      </c>
      <c r="Y114" s="69" t="s">
        <v>85</v>
      </c>
      <c r="Z114" s="69" t="s">
        <v>85</v>
      </c>
      <c r="AA114" s="69" t="s">
        <v>85</v>
      </c>
      <c r="AB114" s="69" t="s">
        <v>85</v>
      </c>
      <c r="AC114" s="69" t="s">
        <v>85</v>
      </c>
      <c r="AD114" s="38" t="str">
        <f>+IF(ISERROR(VLOOKUP($B114,AD$10:AD113,1,0)),IF(AND($N114&gt;=1000,$A114&gt;=AO$8,$A114&lt;=AO$9),$B114,""),"")</f>
        <v/>
      </c>
      <c r="AE114" s="38" t="str">
        <f>+IF(ISERROR(VLOOKUP($B114,AE$10:AE113,1,0)),IF(AND($N114&gt;=1000,$A114&gt;=AP$8,$A114&lt;=AP$9),$B114,""),"")</f>
        <v/>
      </c>
      <c r="AF114" s="38" t="str">
        <f>+IF(ISERROR(VLOOKUP($B114,AF$10:AF113,1,0)),IF(AND($N114&gt;=1000,$A114&gt;=AQ$8,$A114&lt;=AQ$9),$B114,""),"")</f>
        <v/>
      </c>
      <c r="AG114" s="38" t="str">
        <f>+IF(ISERROR(VLOOKUP($B114,AG$10:AG113,1,0)),IF(AND($N114&gt;=1000,$A114&gt;=AR$8,$A114&lt;=AR$9),$B114,""),"")</f>
        <v/>
      </c>
      <c r="AH114" s="38"/>
      <c r="AI114" s="70">
        <v>0</v>
      </c>
      <c r="AJ114" s="38">
        <f>IF(AND(AJ$7="○",$A114&gt;=AJ$8,$A114&lt;=AJ$9),IF(SUM(AJ$10:AJ113)-ROUNDDOWN($K114*AJ$5/100,0)&lt;-AJ$6,-AJ$6-SUM(AJ$10:AJ113),-ROUNDDOWN($K114*AJ$5/100,0)),0)</f>
        <v>0</v>
      </c>
      <c r="AK114" s="38">
        <f>IF(AND(AK$7="○",$A114&gt;=AK$8,$A114&lt;=AK$9),IF(SUM(AK$10:AK113)-ROUNDDOWN($L114*AK$5/100,0)&lt;-AK$6,-AK$6-SUM(AK$10:AK113),-ROUNDDOWN($L114*AK$5/100,0)),0)</f>
        <v>0</v>
      </c>
      <c r="AL114" s="38">
        <f>IF(AND(AL$7="○",$A114&gt;=AL$8,$A114&lt;=AL$9),IF(SUM(AL$10:AL113)-ROUNDDOWN($N114*AL$5/100,0)&lt;-AL$6,-AL$6-SUM(AL$10:AL113),-ROUNDDOWN($N114*AL$5/100,0)),0)</f>
        <v>0</v>
      </c>
      <c r="AM114" s="38">
        <f>IF(AND(AM$7="○",$A114&gt;=AM$8,$A114&lt;=AM$9),IF(SUM(AM$10:AM113)-ROUNDDOWN($L114*AM$5/100,0)&lt;-AM$6,-AM$6-SUM(AM$10:AM113),-ROUNDDOWN($L114*AM$5/100,0)),0)</f>
        <v>0</v>
      </c>
      <c r="AN114" s="38">
        <f>IF(AND(AN$7="○",$A114&gt;=AN$8,$A114&lt;=AN$9),IF(SUM(AN$10:AN113)-ROUNDDOWN($M114*AN$5/100,0)&lt;-AN$6,-AN$6-SUM(AN$10:AN113),-ROUNDDOWN($M114*AN$5/100,0)),0)</f>
        <v>0</v>
      </c>
      <c r="AO114" s="38">
        <f>IF(AND($A114&gt;=AO$8,$A114&lt;=AO$9),IF(SUM(AO$10:AO113)-ROUNDDOWN($K114*AO$5/100,0)&lt;-AO$6,-AO$6-SUM(AO$10:AO113),-ROUNDDOWN($K114*AO$5/100,0)),0)</f>
        <v>0</v>
      </c>
      <c r="AP114" s="38">
        <f>IF(AND($A114&gt;=AP$8,$A114&lt;=AP$9),IF(SUM(AP$10:AP113)-ROUNDDOWN($K114*AP$5/100,0)&lt;-AP$6,-AP$6-SUM(AP$10:AP113),-ROUNDDOWN($K114*AP$5/100,0)),0)</f>
        <v>0</v>
      </c>
      <c r="AQ114" s="38">
        <f>IF(AND($A114&gt;=AQ$8,$A114&lt;=AQ$9),IF(SUM(AQ$10:AQ113)-ROUNDDOWN($K114*AQ$5/100,0)&lt;-AQ$6,-AQ$6-SUM(AQ$10:AQ113),-ROUNDDOWN($K114*AQ$5/100,0)),0)</f>
        <v>0</v>
      </c>
      <c r="AR114" s="38">
        <f>IF(AND($A114&gt;=AR$8,$A114&lt;=AR$9),IF(SUM(AR$10:AR113)-ROUNDDOWN($K114*AR$5/100,0)&lt;-AR$6,-AR$6-SUM(AR$10:AR113),-ROUNDDOWN($K114*AR$5/100,0)),0)</f>
        <v>0</v>
      </c>
      <c r="AS114" s="38">
        <f>IF(SUMIFS(AS$10:AS113,$A$10:$A113,$A114)-ROUNDDOWN($K114*$S114/100,0)&lt;-$S114*1000,-$S114*1000-SUMIFS(AS$10:AS113,$A$10:$A113,$A114),-ROUNDDOWN($K114*$S114/100,0))</f>
        <v>0</v>
      </c>
      <c r="AT114" s="38">
        <f>IF(AND(X114="○",$A114&gt;=AT$8,$A114&lt;=AT$9,K114&gt;=3980),IF(SUM(AT$10:AT113)-ROUNDDOWN($K114*AT$5/100,0)&lt;-AT$6,-AT$6-SUM(AT$10:AT113),-ROUNDDOWN($K114*AT$5/100,0)),0)</f>
        <v>0</v>
      </c>
      <c r="AU114" s="38">
        <f>IF(O114="○",IF(SUM(AU$10:AU113)-ROUNDDOWN($K114*AU$5/100,0)&lt;-AU$6,-AU$6-SUM(AU$10:AU113),-ROUNDDOWN($K114*AU$5/100,0)),0)</f>
        <v>0</v>
      </c>
      <c r="AV114" s="38">
        <f>IF(P114="○",IF(SUM(AV$10:AV113)-ROUNDDOWN($K114*AV$5/100,0)&lt;-AV$6,-AV$6-SUM(AV$10:AV113),-ROUNDDOWN($K114*AV$5/100,0)),0)</f>
        <v>0</v>
      </c>
      <c r="AW114" s="38">
        <f>IF(Q114="○",IF(SUM(AW$10:AW113)-ROUNDDOWN($K114*AW$5/100,0)&lt;-AW$6,-AW$6-SUM(AW$10:AW113),-ROUNDDOWN($K114*AW$5/100,0)),0)</f>
        <v>0</v>
      </c>
      <c r="AX114" s="38">
        <f>IF(R114="○",IF(SUM(AX$10:AX113)-ROUNDDOWN($K114*AX$5/100,0)&lt;-AX$6,-AX$6-SUM(AX$10:AX113),-ROUNDDOWN($K114*AX$5/100,0)),0)</f>
        <v>0</v>
      </c>
      <c r="AY114" s="70">
        <v>0</v>
      </c>
      <c r="AZ114" s="65">
        <f t="shared" si="88"/>
        <v>0</v>
      </c>
      <c r="BA114" s="65">
        <f t="shared" si="89"/>
        <v>0</v>
      </c>
      <c r="BB114" s="70"/>
      <c r="BC114" s="65">
        <f t="shared" si="90"/>
        <v>0</v>
      </c>
      <c r="BD114" s="70">
        <v>0</v>
      </c>
      <c r="BE114" s="65">
        <f t="shared" si="91"/>
        <v>0</v>
      </c>
      <c r="BF114" s="70">
        <v>0</v>
      </c>
      <c r="BG114" s="65">
        <f t="shared" si="92"/>
        <v>0</v>
      </c>
      <c r="BH114" s="70">
        <v>0</v>
      </c>
      <c r="BI114" s="65">
        <f t="shared" si="93"/>
        <v>0</v>
      </c>
      <c r="BJ114" s="38">
        <f>IF(AND(BJ$7="○",$A114&gt;=BJ$8,$A114&lt;=BJ$9),IF(SUM(BJ$10:BJ113)-ROUNDDOWN($M114*BJ$5/100,0)&lt;-BJ$6,-BJ$6-SUM(BJ$10:BJ113),-ROUNDDOWN($M114*BJ$5/100,0)),0)</f>
        <v>0</v>
      </c>
      <c r="BK114" s="38">
        <f>IF(AND(BK$7="○",$A114&gt;=BK$8,$A114&lt;=BK$9),IF(SUM(BK$10:BK113)-ROUNDDOWN($L114*BK$5/100,0)&lt;-BK$6,-BK$6-SUM(BK$10:BK113),-ROUNDDOWN($L114*BK$5/100,0)),0)</f>
        <v>0</v>
      </c>
      <c r="BL114" s="38">
        <f>IF(AND(BL$7="○",$A114&gt;=BL$8,$A114&lt;=BL$9),IF(SUM(BL$10:BL113)-ROUNDDOWN($L114*BL$5/100,0)&lt;-BL$6,-BL$6-SUM(BL$10:BL113),-ROUNDDOWN($L114*BL$5/100,0)),0)</f>
        <v>0</v>
      </c>
      <c r="BM114" s="38">
        <f>IF(AND(BM$7="○",$A114&gt;=BM$8,$A114&lt;=BM$9),IF(SUM(BM$10:BM113)-ROUNDDOWN($M114*BM$5/100,0)&lt;-BM$6,-BM$6-SUM(BM$10:BM113),-ROUNDDOWN($M114*BM$5/100,0)),0)</f>
        <v>0</v>
      </c>
      <c r="BN114" s="38">
        <f>IF(AND(BN$7="○",$A114&gt;=BN$8,$A114&lt;=BN$9),IF(SUM(BN$10:BN113)-ROUNDDOWN($M114*BN$5/100,0)&lt;-BN$6,-BN$6-SUM(BN$10:BN113),-ROUNDDOWN($M114*BN$5/100,0)),0)</f>
        <v>0</v>
      </c>
      <c r="BO114" s="38">
        <f>IF(AND(BO$7="○",$A114&gt;=BO$8,$A114&lt;=BO$9),IF(SUM(BO$10:BO113)-ROUNDDOWN($M114*BO$5/100,0)&lt;-BO$6,-BO$6-SUM(BO$10:BO113),-ROUNDDOWN($M114*BO$5/100,0)),0)</f>
        <v>0</v>
      </c>
      <c r="BP114" s="38">
        <f>IF(AND(BP$7="○",$A114&gt;=BP$8,$A114&lt;=BP$9),IF(SUM(BP$10:BP113)-ROUNDDOWN($M114*BP$5/100,0)&lt;-BP$6,-BP$6-SUM(BP$10:BP113),-ROUNDDOWN($M114*BP$5/100,0)),0)</f>
        <v>0</v>
      </c>
      <c r="BQ114" s="38">
        <f>IF(AND(BQ$7="○",$A114&gt;=BQ$8,$A114&lt;=BQ$9),IF(SUM(BQ$10:BQ113)-ROUNDDOWN($L114*BQ$5/100,0)&lt;-BQ$6,-BQ$6-SUM(BQ$10:BQ113),-ROUNDDOWN($L114*BQ$5/100,0)),0)</f>
        <v>0</v>
      </c>
      <c r="BR114" s="38">
        <f>IF(AND(BR$7="○",$A114&gt;=BR$8,$A114&lt;=BR$9),IF(SUM(BR$10:BR113)-ROUNDDOWN($M114*BR$5/100,0)&lt;-BR$6,-BR$6-SUM(BR$10:BR113),-ROUNDDOWN($M114*BR$5/100,0)),0)</f>
        <v>0</v>
      </c>
      <c r="BS114" s="38">
        <f>IF(AND(BS$7="○",$A114&gt;=BS$8,$A114&lt;=BS$9),IF(SUM(BS$10:BS113)-ROUNDDOWN($M114*BS$5/100,0)&lt;-BS$6,-BS$6-SUM(BS$10:BS113),-ROUNDDOWN($M114*BS$5/100,0)),0)</f>
        <v>0</v>
      </c>
      <c r="BT114" s="38">
        <f>IF(AND(BT$7="○",$A114&gt;=BT$8,$A114&lt;=BT$9),IF(SUM(BT$10:BT113)-ROUNDDOWN($M114*BT$5/100,0)&lt;-BT$6,-BT$6-SUM(BT$10:BT113),-ROUNDDOWN($M114*BT$5/100,0)),0)</f>
        <v>0</v>
      </c>
      <c r="BU114" s="38">
        <f>IF(AND(BU$7="○",$A114&gt;=BU$8,$A114&lt;=BU$9),IF(SUM(BU$10:BU113)-ROUNDDOWN($M114*BU$5/100,0)&lt;-BU$6,-BU$6-SUM(BU$10:BU113),-ROUNDDOWN($M114*BU$5/100,0)),0)</f>
        <v>0</v>
      </c>
      <c r="BV114" s="38">
        <f>IF(AND(BV$7="○",$A114&gt;=BV$8,$A114&lt;=BV$9),IF(SUM(BV$10:BV113)-ROUNDDOWN($M114*BV$5/100,0)&lt;-BV$6,-BV$6-SUM(BV$10:BV113),-ROUNDDOWN($M114*BV$5/100,0)),0)</f>
        <v>0</v>
      </c>
      <c r="BW114" s="38">
        <f>IF(AND(BW$7="○",$A114&gt;=BW$8,$A114&lt;=BW$9),IF(SUM(BW$10:BW113)-ROUNDDOWN($M114*BW$5/100,0)&lt;-BW$6,-BW$6-SUM(BW$10:BW113),-ROUNDDOWN($M114*BW$5/100,0)),0)</f>
        <v>0</v>
      </c>
      <c r="BX114" s="38">
        <f>IF(AND(T114="○",$A114&gt;=BX$8,$A114&lt;=BX$9),IF(SUM(BX$10:BX113)-ROUNDDOWN($K114*BX$5/100,0)&lt;-BX$6,-BX$6-SUM(BX$10:BX113),-ROUNDDOWN($K114*BX$5/100,0)),0)</f>
        <v>0</v>
      </c>
      <c r="BY114" s="38">
        <f>IF(AND(U114="○",$A114&gt;=BY$8,$A114&lt;=BY$9),IF(SUM(BY$10:BY113)-ROUNDDOWN($K114*BY$5/100,0)&lt;-BY$6,-BY$6-SUM(BY$10:BY113),-ROUNDDOWN($K114*BY$5/100,0)),0)</f>
        <v>0</v>
      </c>
      <c r="BZ114" s="38">
        <f>IF(AND(V114="○",$A114&gt;=BZ$8,$A114&lt;=BZ$9),IF(SUM(BZ$10:BZ113)-ROUNDDOWN($K114*BZ$5/100,0)&lt;-BZ$6,-BZ$6-SUM(BZ$10:BZ113),-ROUNDDOWN($K114*BZ$5/100,0)),0)</f>
        <v>0</v>
      </c>
      <c r="CA114" s="38">
        <f>IF(AND(W114="○",$A114&gt;=CA$8,$A114&lt;=CA$9),IF(SUM(CA$10:CA113)-ROUNDDOWN($K114*CA$5/100,0)&lt;-CA$6,-CA$6-SUM(CA$10:CA113),-ROUNDDOWN($K114*CA$5/100,0)),0)</f>
        <v>0</v>
      </c>
      <c r="CB114" s="38"/>
      <c r="CC114" s="38"/>
      <c r="CD114" s="38"/>
      <c r="CE114" s="38"/>
      <c r="CF114" s="38"/>
      <c r="CG114" s="65">
        <f t="shared" si="94"/>
        <v>0</v>
      </c>
      <c r="CH114" s="71">
        <f t="shared" si="95"/>
        <v>0</v>
      </c>
      <c r="CI114" s="1">
        <f t="shared" si="109"/>
        <v>0</v>
      </c>
      <c r="CJ114" s="1"/>
      <c r="CK114" s="72"/>
      <c r="CL114" s="72"/>
      <c r="CM114" s="2"/>
      <c r="CN114" s="2"/>
      <c r="CO114" s="73">
        <f t="shared" si="110"/>
        <v>0</v>
      </c>
      <c r="CP114" s="5">
        <f t="shared" si="111"/>
        <v>0</v>
      </c>
      <c r="CQ114" s="1"/>
      <c r="CR114" s="1">
        <f t="shared" si="112"/>
        <v>0</v>
      </c>
      <c r="CS114" s="1"/>
      <c r="CT114" s="1" t="e">
        <f>INDEX([2]マスタ!$A:$A,MATCH(D114,[2]マスタ!$C:$C,0))</f>
        <v>#N/A</v>
      </c>
      <c r="CU114" s="1" t="str">
        <f t="shared" ca="1" si="113"/>
        <v>20260620_0-0</v>
      </c>
    </row>
    <row r="115" spans="1:99" x14ac:dyDescent="0.4">
      <c r="A115" s="61"/>
      <c r="B115" s="62"/>
      <c r="C115" s="62"/>
      <c r="D115" s="62"/>
      <c r="E115" s="74"/>
      <c r="F115" s="62"/>
      <c r="G115" s="62">
        <v>1</v>
      </c>
      <c r="H115" s="64">
        <f t="shared" si="100"/>
        <v>0</v>
      </c>
      <c r="I115" s="64"/>
      <c r="J115" s="64"/>
      <c r="K115" s="65">
        <f t="shared" si="101"/>
        <v>0</v>
      </c>
      <c r="L115" s="65">
        <f t="shared" si="102"/>
        <v>0</v>
      </c>
      <c r="M115" s="65">
        <f t="shared" si="103"/>
        <v>0</v>
      </c>
      <c r="N115" s="65">
        <f t="shared" si="104"/>
        <v>0</v>
      </c>
      <c r="O115" s="66" t="str">
        <f t="shared" si="105"/>
        <v>✕</v>
      </c>
      <c r="P115" s="67" t="str">
        <f t="shared" si="106"/>
        <v>○</v>
      </c>
      <c r="Q115" s="67" t="str">
        <f t="shared" si="107"/>
        <v>✕</v>
      </c>
      <c r="R115" s="67" t="str">
        <f t="shared" si="108"/>
        <v>✕</v>
      </c>
      <c r="S115" s="68">
        <v>0</v>
      </c>
      <c r="T115" s="69" t="s">
        <v>85</v>
      </c>
      <c r="U115" s="69" t="s">
        <v>85</v>
      </c>
      <c r="V115" s="69" t="s">
        <v>85</v>
      </c>
      <c r="W115" s="69" t="s">
        <v>85</v>
      </c>
      <c r="X115" s="69" t="s">
        <v>84</v>
      </c>
      <c r="Y115" s="69" t="s">
        <v>85</v>
      </c>
      <c r="Z115" s="69" t="s">
        <v>85</v>
      </c>
      <c r="AA115" s="69" t="s">
        <v>85</v>
      </c>
      <c r="AB115" s="69" t="s">
        <v>85</v>
      </c>
      <c r="AC115" s="69" t="s">
        <v>85</v>
      </c>
      <c r="AD115" s="38" t="str">
        <f>+IF(ISERROR(VLOOKUP($B115,AD$10:AD114,1,0)),IF(AND($N115&gt;=1000,$A115&gt;=AO$8,$A115&lt;=AO$9),$B115,""),"")</f>
        <v/>
      </c>
      <c r="AE115" s="38" t="str">
        <f>+IF(ISERROR(VLOOKUP($B115,AE$10:AE114,1,0)),IF(AND($N115&gt;=1000,$A115&gt;=AP$8,$A115&lt;=AP$9),$B115,""),"")</f>
        <v/>
      </c>
      <c r="AF115" s="38" t="str">
        <f>+IF(ISERROR(VLOOKUP($B115,AF$10:AF114,1,0)),IF(AND($N115&gt;=1000,$A115&gt;=AQ$8,$A115&lt;=AQ$9),$B115,""),"")</f>
        <v/>
      </c>
      <c r="AG115" s="38" t="str">
        <f>+IF(ISERROR(VLOOKUP($B115,AG$10:AG114,1,0)),IF(AND($N115&gt;=1000,$A115&gt;=AR$8,$A115&lt;=AR$9),$B115,""),"")</f>
        <v/>
      </c>
      <c r="AH115" s="38"/>
      <c r="AI115" s="70">
        <v>0</v>
      </c>
      <c r="AJ115" s="38">
        <f>IF(AND(AJ$7="○",$A115&gt;=AJ$8,$A115&lt;=AJ$9),IF(SUM(AJ$10:AJ114)-ROUNDDOWN($K115*AJ$5/100,0)&lt;-AJ$6,-AJ$6-SUM(AJ$10:AJ114),-ROUNDDOWN($K115*AJ$5/100,0)),0)</f>
        <v>0</v>
      </c>
      <c r="AK115" s="38">
        <f>IF(AND(AK$7="○",$A115&gt;=AK$8,$A115&lt;=AK$9),IF(SUM(AK$10:AK114)-ROUNDDOWN($L115*AK$5/100,0)&lt;-AK$6,-AK$6-SUM(AK$10:AK114),-ROUNDDOWN($L115*AK$5/100,0)),0)</f>
        <v>0</v>
      </c>
      <c r="AL115" s="38">
        <f>IF(AND(AL$7="○",$A115&gt;=AL$8,$A115&lt;=AL$9),IF(SUM(AL$10:AL114)-ROUNDDOWN($N115*AL$5/100,0)&lt;-AL$6,-AL$6-SUM(AL$10:AL114),-ROUNDDOWN($N115*AL$5/100,0)),0)</f>
        <v>0</v>
      </c>
      <c r="AM115" s="38">
        <f>IF(AND(AM$7="○",$A115&gt;=AM$8,$A115&lt;=AM$9),IF(SUM(AM$10:AM114)-ROUNDDOWN($L115*AM$5/100,0)&lt;-AM$6,-AM$6-SUM(AM$10:AM114),-ROUNDDOWN($L115*AM$5/100,0)),0)</f>
        <v>0</v>
      </c>
      <c r="AN115" s="38">
        <f>IF(AND(AN$7="○",$A115&gt;=AN$8,$A115&lt;=AN$9),IF(SUM(AN$10:AN114)-ROUNDDOWN($M115*AN$5/100,0)&lt;-AN$6,-AN$6-SUM(AN$10:AN114),-ROUNDDOWN($M115*AN$5/100,0)),0)</f>
        <v>0</v>
      </c>
      <c r="AO115" s="38">
        <f>IF(AND($A115&gt;=AO$8,$A115&lt;=AO$9),IF(SUM(AO$10:AO114)-ROUNDDOWN($K115*AO$5/100,0)&lt;-AO$6,-AO$6-SUM(AO$10:AO114),-ROUNDDOWN($K115*AO$5/100,0)),0)</f>
        <v>0</v>
      </c>
      <c r="AP115" s="38">
        <f>IF(AND($A115&gt;=AP$8,$A115&lt;=AP$9),IF(SUM(AP$10:AP114)-ROUNDDOWN($K115*AP$5/100,0)&lt;-AP$6,-AP$6-SUM(AP$10:AP114),-ROUNDDOWN($K115*AP$5/100,0)),0)</f>
        <v>0</v>
      </c>
      <c r="AQ115" s="38">
        <f>IF(AND($A115&gt;=AQ$8,$A115&lt;=AQ$9),IF(SUM(AQ$10:AQ114)-ROUNDDOWN($K115*AQ$5/100,0)&lt;-AQ$6,-AQ$6-SUM(AQ$10:AQ114),-ROUNDDOWN($K115*AQ$5/100,0)),0)</f>
        <v>0</v>
      </c>
      <c r="AR115" s="38">
        <f>IF(AND($A115&gt;=AR$8,$A115&lt;=AR$9),IF(SUM(AR$10:AR114)-ROUNDDOWN($K115*AR$5/100,0)&lt;-AR$6,-AR$6-SUM(AR$10:AR114),-ROUNDDOWN($K115*AR$5/100,0)),0)</f>
        <v>0</v>
      </c>
      <c r="AS115" s="38">
        <f>IF(SUMIFS(AS$10:AS114,$A$10:$A114,$A115)-ROUNDDOWN($K115*$S115/100,0)&lt;-$S115*1000,-$S115*1000-SUMIFS(AS$10:AS114,$A$10:$A114,$A115),-ROUNDDOWN($K115*$S115/100,0))</f>
        <v>0</v>
      </c>
      <c r="AT115" s="38">
        <f>IF(AND(X115="○",$A115&gt;=AT$8,$A115&lt;=AT$9,K115&gt;=3980),IF(SUM(AT$10:AT114)-ROUNDDOWN($K115*AT$5/100,0)&lt;-AT$6,-AT$6-SUM(AT$10:AT114),-ROUNDDOWN($K115*AT$5/100,0)),0)</f>
        <v>0</v>
      </c>
      <c r="AU115" s="38">
        <f>IF(O115="○",IF(SUM(AU$10:AU114)-ROUNDDOWN($K115*AU$5/100,0)&lt;-AU$6,-AU$6-SUM(AU$10:AU114),-ROUNDDOWN($K115*AU$5/100,0)),0)</f>
        <v>0</v>
      </c>
      <c r="AV115" s="38">
        <f>IF(P115="○",IF(SUM(AV$10:AV114)-ROUNDDOWN($K115*AV$5/100,0)&lt;-AV$6,-AV$6-SUM(AV$10:AV114),-ROUNDDOWN($K115*AV$5/100,0)),0)</f>
        <v>0</v>
      </c>
      <c r="AW115" s="38">
        <f>IF(Q115="○",IF(SUM(AW$10:AW114)-ROUNDDOWN($K115*AW$5/100,0)&lt;-AW$6,-AW$6-SUM(AW$10:AW114),-ROUNDDOWN($K115*AW$5/100,0)),0)</f>
        <v>0</v>
      </c>
      <c r="AX115" s="38">
        <f>IF(R115="○",IF(SUM(AX$10:AX114)-ROUNDDOWN($K115*AX$5/100,0)&lt;-AX$6,-AX$6-SUM(AX$10:AX114),-ROUNDDOWN($K115*AX$5/100,0)),0)</f>
        <v>0</v>
      </c>
      <c r="AY115" s="70">
        <v>0</v>
      </c>
      <c r="AZ115" s="65">
        <f t="shared" si="88"/>
        <v>0</v>
      </c>
      <c r="BA115" s="65">
        <f t="shared" si="89"/>
        <v>0</v>
      </c>
      <c r="BB115" s="70"/>
      <c r="BC115" s="65">
        <f t="shared" si="90"/>
        <v>0</v>
      </c>
      <c r="BD115" s="70">
        <v>0</v>
      </c>
      <c r="BE115" s="65">
        <f t="shared" si="91"/>
        <v>0</v>
      </c>
      <c r="BF115" s="70">
        <v>0</v>
      </c>
      <c r="BG115" s="65">
        <f t="shared" si="92"/>
        <v>0</v>
      </c>
      <c r="BH115" s="70">
        <v>0</v>
      </c>
      <c r="BI115" s="65">
        <f t="shared" si="93"/>
        <v>0</v>
      </c>
      <c r="BJ115" s="38">
        <f>IF(AND(BJ$7="○",$A115&gt;=BJ$8,$A115&lt;=BJ$9),IF(SUM(BJ$10:BJ114)-ROUNDDOWN($M115*BJ$5/100,0)&lt;-BJ$6,-BJ$6-SUM(BJ$10:BJ114),-ROUNDDOWN($M115*BJ$5/100,0)),0)</f>
        <v>0</v>
      </c>
      <c r="BK115" s="38">
        <f>IF(AND(BK$7="○",$A115&gt;=BK$8,$A115&lt;=BK$9),IF(SUM(BK$10:BK114)-ROUNDDOWN($L115*BK$5/100,0)&lt;-BK$6,-BK$6-SUM(BK$10:BK114),-ROUNDDOWN($L115*BK$5/100,0)),0)</f>
        <v>0</v>
      </c>
      <c r="BL115" s="38">
        <f>IF(AND(BL$7="○",$A115&gt;=BL$8,$A115&lt;=BL$9),IF(SUM(BL$10:BL114)-ROUNDDOWN($L115*BL$5/100,0)&lt;-BL$6,-BL$6-SUM(BL$10:BL114),-ROUNDDOWN($L115*BL$5/100,0)),0)</f>
        <v>0</v>
      </c>
      <c r="BM115" s="38">
        <f>IF(AND(BM$7="○",$A115&gt;=BM$8,$A115&lt;=BM$9),IF(SUM(BM$10:BM114)-ROUNDDOWN($M115*BM$5/100,0)&lt;-BM$6,-BM$6-SUM(BM$10:BM114),-ROUNDDOWN($M115*BM$5/100,0)),0)</f>
        <v>0</v>
      </c>
      <c r="BN115" s="38">
        <f>IF(AND(BN$7="○",$A115&gt;=BN$8,$A115&lt;=BN$9),IF(SUM(BN$10:BN114)-ROUNDDOWN($M115*BN$5/100,0)&lt;-BN$6,-BN$6-SUM(BN$10:BN114),-ROUNDDOWN($M115*BN$5/100,0)),0)</f>
        <v>0</v>
      </c>
      <c r="BO115" s="38">
        <f>IF(AND(BO$7="○",$A115&gt;=BO$8,$A115&lt;=BO$9),IF(SUM(BO$10:BO114)-ROUNDDOWN($M115*BO$5/100,0)&lt;-BO$6,-BO$6-SUM(BO$10:BO114),-ROUNDDOWN($M115*BO$5/100,0)),0)</f>
        <v>0</v>
      </c>
      <c r="BP115" s="38">
        <f>IF(AND(BP$7="○",$A115&gt;=BP$8,$A115&lt;=BP$9),IF(SUM(BP$10:BP114)-ROUNDDOWN($M115*BP$5/100,0)&lt;-BP$6,-BP$6-SUM(BP$10:BP114),-ROUNDDOWN($M115*BP$5/100,0)),0)</f>
        <v>0</v>
      </c>
      <c r="BQ115" s="38">
        <f>IF(AND(BQ$7="○",$A115&gt;=BQ$8,$A115&lt;=BQ$9),IF(SUM(BQ$10:BQ114)-ROUNDDOWN($L115*BQ$5/100,0)&lt;-BQ$6,-BQ$6-SUM(BQ$10:BQ114),-ROUNDDOWN($L115*BQ$5/100,0)),0)</f>
        <v>0</v>
      </c>
      <c r="BR115" s="38">
        <f>IF(AND(BR$7="○",$A115&gt;=BR$8,$A115&lt;=BR$9),IF(SUM(BR$10:BR114)-ROUNDDOWN($M115*BR$5/100,0)&lt;-BR$6,-BR$6-SUM(BR$10:BR114),-ROUNDDOWN($M115*BR$5/100,0)),0)</f>
        <v>0</v>
      </c>
      <c r="BS115" s="38">
        <f>IF(AND(BS$7="○",$A115&gt;=BS$8,$A115&lt;=BS$9),IF(SUM(BS$10:BS114)-ROUNDDOWN($M115*BS$5/100,0)&lt;-BS$6,-BS$6-SUM(BS$10:BS114),-ROUNDDOWN($M115*BS$5/100,0)),0)</f>
        <v>0</v>
      </c>
      <c r="BT115" s="38">
        <f>IF(AND(BT$7="○",$A115&gt;=BT$8,$A115&lt;=BT$9),IF(SUM(BT$10:BT114)-ROUNDDOWN($M115*BT$5/100,0)&lt;-BT$6,-BT$6-SUM(BT$10:BT114),-ROUNDDOWN($M115*BT$5/100,0)),0)</f>
        <v>0</v>
      </c>
      <c r="BU115" s="38">
        <f>IF(AND(BU$7="○",$A115&gt;=BU$8,$A115&lt;=BU$9),IF(SUM(BU$10:BU114)-ROUNDDOWN($M115*BU$5/100,0)&lt;-BU$6,-BU$6-SUM(BU$10:BU114),-ROUNDDOWN($M115*BU$5/100,0)),0)</f>
        <v>0</v>
      </c>
      <c r="BV115" s="38">
        <f>IF(AND(BV$7="○",$A115&gt;=BV$8,$A115&lt;=BV$9),IF(SUM(BV$10:BV114)-ROUNDDOWN($M115*BV$5/100,0)&lt;-BV$6,-BV$6-SUM(BV$10:BV114),-ROUNDDOWN($M115*BV$5/100,0)),0)</f>
        <v>0</v>
      </c>
      <c r="BW115" s="38">
        <f>IF(AND(BW$7="○",$A115&gt;=BW$8,$A115&lt;=BW$9),IF(SUM(BW$10:BW114)-ROUNDDOWN($M115*BW$5/100,0)&lt;-BW$6,-BW$6-SUM(BW$10:BW114),-ROUNDDOWN($M115*BW$5/100,0)),0)</f>
        <v>0</v>
      </c>
      <c r="BX115" s="38">
        <f>IF(AND(T115="○",$A115&gt;=BX$8,$A115&lt;=BX$9),IF(SUM(BX$10:BX114)-ROUNDDOWN($K115*BX$5/100,0)&lt;-BX$6,-BX$6-SUM(BX$10:BX114),-ROUNDDOWN($K115*BX$5/100,0)),0)</f>
        <v>0</v>
      </c>
      <c r="BY115" s="38">
        <f>IF(AND(U115="○",$A115&gt;=BY$8,$A115&lt;=BY$9),IF(SUM(BY$10:BY114)-ROUNDDOWN($K115*BY$5/100,0)&lt;-BY$6,-BY$6-SUM(BY$10:BY114),-ROUNDDOWN($K115*BY$5/100,0)),0)</f>
        <v>0</v>
      </c>
      <c r="BZ115" s="38">
        <f>IF(AND(V115="○",$A115&gt;=BZ$8,$A115&lt;=BZ$9),IF(SUM(BZ$10:BZ114)-ROUNDDOWN($K115*BZ$5/100,0)&lt;-BZ$6,-BZ$6-SUM(BZ$10:BZ114),-ROUNDDOWN($K115*BZ$5/100,0)),0)</f>
        <v>0</v>
      </c>
      <c r="CA115" s="38">
        <f>IF(AND(W115="○",$A115&gt;=CA$8,$A115&lt;=CA$9),IF(SUM(CA$10:CA114)-ROUNDDOWN($K115*CA$5/100,0)&lt;-CA$6,-CA$6-SUM(CA$10:CA114),-ROUNDDOWN($K115*CA$5/100,0)),0)</f>
        <v>0</v>
      </c>
      <c r="CB115" s="38"/>
      <c r="CC115" s="38"/>
      <c r="CD115" s="38"/>
      <c r="CE115" s="38"/>
      <c r="CF115" s="38"/>
      <c r="CG115" s="65">
        <f t="shared" si="94"/>
        <v>0</v>
      </c>
      <c r="CH115" s="71">
        <f t="shared" si="95"/>
        <v>0</v>
      </c>
      <c r="CI115" s="1">
        <f t="shared" si="109"/>
        <v>0</v>
      </c>
      <c r="CJ115" s="1"/>
      <c r="CK115" s="72"/>
      <c r="CL115" s="72"/>
      <c r="CM115" s="2"/>
      <c r="CN115" s="2"/>
      <c r="CO115" s="73">
        <f t="shared" si="110"/>
        <v>0</v>
      </c>
      <c r="CP115" s="5">
        <f t="shared" si="111"/>
        <v>0</v>
      </c>
      <c r="CQ115" s="1"/>
      <c r="CR115" s="1">
        <f t="shared" si="112"/>
        <v>0</v>
      </c>
      <c r="CS115" s="1"/>
      <c r="CT115" s="1" t="e">
        <f>INDEX([2]マスタ!$A:$A,MATCH(D115,[2]マスタ!$C:$C,0))</f>
        <v>#N/A</v>
      </c>
      <c r="CU115" s="1" t="str">
        <f t="shared" ca="1" si="113"/>
        <v>20260620_0-0</v>
      </c>
    </row>
    <row r="116" spans="1:99" x14ac:dyDescent="0.4">
      <c r="A116" s="61"/>
      <c r="B116" s="62"/>
      <c r="C116" s="62"/>
      <c r="D116" s="62"/>
      <c r="E116" s="74"/>
      <c r="F116" s="62"/>
      <c r="G116" s="62">
        <v>1</v>
      </c>
      <c r="H116" s="64">
        <f t="shared" si="100"/>
        <v>0</v>
      </c>
      <c r="I116" s="64"/>
      <c r="J116" s="64"/>
      <c r="K116" s="65">
        <f t="shared" si="101"/>
        <v>0</v>
      </c>
      <c r="L116" s="65">
        <f t="shared" si="102"/>
        <v>0</v>
      </c>
      <c r="M116" s="65">
        <f t="shared" si="103"/>
        <v>0</v>
      </c>
      <c r="N116" s="65">
        <f t="shared" si="104"/>
        <v>0</v>
      </c>
      <c r="O116" s="66" t="str">
        <f t="shared" si="105"/>
        <v>✕</v>
      </c>
      <c r="P116" s="67" t="str">
        <f t="shared" si="106"/>
        <v>○</v>
      </c>
      <c r="Q116" s="67" t="str">
        <f t="shared" si="107"/>
        <v>✕</v>
      </c>
      <c r="R116" s="67" t="str">
        <f t="shared" si="108"/>
        <v>✕</v>
      </c>
      <c r="S116" s="68">
        <v>0</v>
      </c>
      <c r="T116" s="69" t="s">
        <v>85</v>
      </c>
      <c r="U116" s="69" t="s">
        <v>85</v>
      </c>
      <c r="V116" s="69" t="s">
        <v>85</v>
      </c>
      <c r="W116" s="69" t="s">
        <v>85</v>
      </c>
      <c r="X116" s="69" t="s">
        <v>84</v>
      </c>
      <c r="Y116" s="69" t="s">
        <v>85</v>
      </c>
      <c r="Z116" s="69" t="s">
        <v>85</v>
      </c>
      <c r="AA116" s="69" t="s">
        <v>85</v>
      </c>
      <c r="AB116" s="69" t="s">
        <v>85</v>
      </c>
      <c r="AC116" s="69" t="s">
        <v>85</v>
      </c>
      <c r="AD116" s="38" t="str">
        <f>+IF(ISERROR(VLOOKUP($B116,AD$10:AD115,1,0)),IF(AND($N116&gt;=1000,$A116&gt;=AO$8,$A116&lt;=AO$9),$B116,""),"")</f>
        <v/>
      </c>
      <c r="AE116" s="38" t="str">
        <f>+IF(ISERROR(VLOOKUP($B116,AE$10:AE115,1,0)),IF(AND($N116&gt;=1000,$A116&gt;=AP$8,$A116&lt;=AP$9),$B116,""),"")</f>
        <v/>
      </c>
      <c r="AF116" s="38" t="str">
        <f>+IF(ISERROR(VLOOKUP($B116,AF$10:AF115,1,0)),IF(AND($N116&gt;=1000,$A116&gt;=AQ$8,$A116&lt;=AQ$9),$B116,""),"")</f>
        <v/>
      </c>
      <c r="AG116" s="38" t="str">
        <f>+IF(ISERROR(VLOOKUP($B116,AG$10:AG115,1,0)),IF(AND($N116&gt;=1000,$A116&gt;=AR$8,$A116&lt;=AR$9),$B116,""),"")</f>
        <v/>
      </c>
      <c r="AH116" s="38"/>
      <c r="AI116" s="70">
        <v>0</v>
      </c>
      <c r="AJ116" s="38">
        <f>IF(AND(AJ$7="○",$A116&gt;=AJ$8,$A116&lt;=AJ$9),IF(SUM(AJ$10:AJ115)-ROUNDDOWN($K116*AJ$5/100,0)&lt;-AJ$6,-AJ$6-SUM(AJ$10:AJ115),-ROUNDDOWN($K116*AJ$5/100,0)),0)</f>
        <v>0</v>
      </c>
      <c r="AK116" s="38">
        <f>IF(AND(AK$7="○",$A116&gt;=AK$8,$A116&lt;=AK$9),IF(SUM(AK$10:AK115)-ROUNDDOWN($L116*AK$5/100,0)&lt;-AK$6,-AK$6-SUM(AK$10:AK115),-ROUNDDOWN($L116*AK$5/100,0)),0)</f>
        <v>0</v>
      </c>
      <c r="AL116" s="38">
        <f>IF(AND(AL$7="○",$A116&gt;=AL$8,$A116&lt;=AL$9),IF(SUM(AL$10:AL115)-ROUNDDOWN($N116*AL$5/100,0)&lt;-AL$6,-AL$6-SUM(AL$10:AL115),-ROUNDDOWN($N116*AL$5/100,0)),0)</f>
        <v>0</v>
      </c>
      <c r="AM116" s="38">
        <f>IF(AND(AM$7="○",$A116&gt;=AM$8,$A116&lt;=AM$9),IF(SUM(AM$10:AM115)-ROUNDDOWN($L116*AM$5/100,0)&lt;-AM$6,-AM$6-SUM(AM$10:AM115),-ROUNDDOWN($L116*AM$5/100,0)),0)</f>
        <v>0</v>
      </c>
      <c r="AN116" s="38">
        <f>IF(AND(AN$7="○",$A116&gt;=AN$8,$A116&lt;=AN$9),IF(SUM(AN$10:AN115)-ROUNDDOWN($M116*AN$5/100,0)&lt;-AN$6,-AN$6-SUM(AN$10:AN115),-ROUNDDOWN($M116*AN$5/100,0)),0)</f>
        <v>0</v>
      </c>
      <c r="AO116" s="38">
        <f>IF(AND($A116&gt;=AO$8,$A116&lt;=AO$9),IF(SUM(AO$10:AO115)-ROUNDDOWN($K116*AO$5/100,0)&lt;-AO$6,-AO$6-SUM(AO$10:AO115),-ROUNDDOWN($K116*AO$5/100,0)),0)</f>
        <v>0</v>
      </c>
      <c r="AP116" s="38">
        <f>IF(AND($A116&gt;=AP$8,$A116&lt;=AP$9),IF(SUM(AP$10:AP115)-ROUNDDOWN($K116*AP$5/100,0)&lt;-AP$6,-AP$6-SUM(AP$10:AP115),-ROUNDDOWN($K116*AP$5/100,0)),0)</f>
        <v>0</v>
      </c>
      <c r="AQ116" s="38">
        <f>IF(AND($A116&gt;=AQ$8,$A116&lt;=AQ$9),IF(SUM(AQ$10:AQ115)-ROUNDDOWN($K116*AQ$5/100,0)&lt;-AQ$6,-AQ$6-SUM(AQ$10:AQ115),-ROUNDDOWN($K116*AQ$5/100,0)),0)</f>
        <v>0</v>
      </c>
      <c r="AR116" s="38">
        <f>IF(AND($A116&gt;=AR$8,$A116&lt;=AR$9),IF(SUM(AR$10:AR115)-ROUNDDOWN($K116*AR$5/100,0)&lt;-AR$6,-AR$6-SUM(AR$10:AR115),-ROUNDDOWN($K116*AR$5/100,0)),0)</f>
        <v>0</v>
      </c>
      <c r="AS116" s="38">
        <f>IF(SUMIFS(AS$10:AS115,$A$10:$A115,$A116)-ROUNDDOWN($K116*$S116/100,0)&lt;-$S116*1000,-$S116*1000-SUMIFS(AS$10:AS115,$A$10:$A115,$A116),-ROUNDDOWN($K116*$S116/100,0))</f>
        <v>0</v>
      </c>
      <c r="AT116" s="38">
        <f>IF(AND(X116="○",$A116&gt;=AT$8,$A116&lt;=AT$9,K116&gt;=3980),IF(SUM(AT$10:AT115)-ROUNDDOWN($K116*AT$5/100,0)&lt;-AT$6,-AT$6-SUM(AT$10:AT115),-ROUNDDOWN($K116*AT$5/100,0)),0)</f>
        <v>0</v>
      </c>
      <c r="AU116" s="38">
        <f>IF(O116="○",IF(SUM(AU$10:AU115)-ROUNDDOWN($K116*AU$5/100,0)&lt;-AU$6,-AU$6-SUM(AU$10:AU115),-ROUNDDOWN($K116*AU$5/100,0)),0)</f>
        <v>0</v>
      </c>
      <c r="AV116" s="38">
        <f>IF(P116="○",IF(SUM(AV$10:AV115)-ROUNDDOWN($K116*AV$5/100,0)&lt;-AV$6,-AV$6-SUM(AV$10:AV115),-ROUNDDOWN($K116*AV$5/100,0)),0)</f>
        <v>0</v>
      </c>
      <c r="AW116" s="38">
        <f>IF(Q116="○",IF(SUM(AW$10:AW115)-ROUNDDOWN($K116*AW$5/100,0)&lt;-AW$6,-AW$6-SUM(AW$10:AW115),-ROUNDDOWN($K116*AW$5/100,0)),0)</f>
        <v>0</v>
      </c>
      <c r="AX116" s="38">
        <f>IF(R116="○",IF(SUM(AX$10:AX115)-ROUNDDOWN($K116*AX$5/100,0)&lt;-AX$6,-AX$6-SUM(AX$10:AX115),-ROUNDDOWN($K116*AX$5/100,0)),0)</f>
        <v>0</v>
      </c>
      <c r="AY116" s="70">
        <v>0</v>
      </c>
      <c r="AZ116" s="65">
        <f t="shared" si="88"/>
        <v>0</v>
      </c>
      <c r="BA116" s="65">
        <f t="shared" si="89"/>
        <v>0</v>
      </c>
      <c r="BB116" s="70"/>
      <c r="BC116" s="65">
        <f t="shared" si="90"/>
        <v>0</v>
      </c>
      <c r="BD116" s="70">
        <v>0</v>
      </c>
      <c r="BE116" s="65">
        <f t="shared" si="91"/>
        <v>0</v>
      </c>
      <c r="BF116" s="70">
        <v>0</v>
      </c>
      <c r="BG116" s="65">
        <f t="shared" si="92"/>
        <v>0</v>
      </c>
      <c r="BH116" s="70">
        <v>0</v>
      </c>
      <c r="BI116" s="65">
        <f t="shared" si="93"/>
        <v>0</v>
      </c>
      <c r="BJ116" s="38">
        <f>IF(AND(BJ$7="○",$A116&gt;=BJ$8,$A116&lt;=BJ$9),IF(SUM(BJ$10:BJ115)-ROUNDDOWN($M116*BJ$5/100,0)&lt;-BJ$6,-BJ$6-SUM(BJ$10:BJ115),-ROUNDDOWN($M116*BJ$5/100,0)),0)</f>
        <v>0</v>
      </c>
      <c r="BK116" s="38">
        <f>IF(AND(BK$7="○",$A116&gt;=BK$8,$A116&lt;=BK$9),IF(SUM(BK$10:BK115)-ROUNDDOWN($L116*BK$5/100,0)&lt;-BK$6,-BK$6-SUM(BK$10:BK115),-ROUNDDOWN($L116*BK$5/100,0)),0)</f>
        <v>0</v>
      </c>
      <c r="BL116" s="38">
        <f>IF(AND(BL$7="○",$A116&gt;=BL$8,$A116&lt;=BL$9),IF(SUM(BL$10:BL115)-ROUNDDOWN($L116*BL$5/100,0)&lt;-BL$6,-BL$6-SUM(BL$10:BL115),-ROUNDDOWN($L116*BL$5/100,0)),0)</f>
        <v>0</v>
      </c>
      <c r="BM116" s="38">
        <f>IF(AND(BM$7="○",$A116&gt;=BM$8,$A116&lt;=BM$9),IF(SUM(BM$10:BM115)-ROUNDDOWN($M116*BM$5/100,0)&lt;-BM$6,-BM$6-SUM(BM$10:BM115),-ROUNDDOWN($M116*BM$5/100,0)),0)</f>
        <v>0</v>
      </c>
      <c r="BN116" s="38">
        <f>IF(AND(BN$7="○",$A116&gt;=BN$8,$A116&lt;=BN$9),IF(SUM(BN$10:BN115)-ROUNDDOWN($M116*BN$5/100,0)&lt;-BN$6,-BN$6-SUM(BN$10:BN115),-ROUNDDOWN($M116*BN$5/100,0)),0)</f>
        <v>0</v>
      </c>
      <c r="BO116" s="38">
        <f>IF(AND(BO$7="○",$A116&gt;=BO$8,$A116&lt;=BO$9),IF(SUM(BO$10:BO115)-ROUNDDOWN($M116*BO$5/100,0)&lt;-BO$6,-BO$6-SUM(BO$10:BO115),-ROUNDDOWN($M116*BO$5/100,0)),0)</f>
        <v>0</v>
      </c>
      <c r="BP116" s="38">
        <f>IF(AND(BP$7="○",$A116&gt;=BP$8,$A116&lt;=BP$9),IF(SUM(BP$10:BP115)-ROUNDDOWN($M116*BP$5/100,0)&lt;-BP$6,-BP$6-SUM(BP$10:BP115),-ROUNDDOWN($M116*BP$5/100,0)),0)</f>
        <v>0</v>
      </c>
      <c r="BQ116" s="38">
        <f>IF(AND(BQ$7="○",$A116&gt;=BQ$8,$A116&lt;=BQ$9),IF(SUM(BQ$10:BQ115)-ROUNDDOWN($L116*BQ$5/100,0)&lt;-BQ$6,-BQ$6-SUM(BQ$10:BQ115),-ROUNDDOWN($L116*BQ$5/100,0)),0)</f>
        <v>0</v>
      </c>
      <c r="BR116" s="38">
        <f>IF(AND(BR$7="○",$A116&gt;=BR$8,$A116&lt;=BR$9),IF(SUM(BR$10:BR115)-ROUNDDOWN($M116*BR$5/100,0)&lt;-BR$6,-BR$6-SUM(BR$10:BR115),-ROUNDDOWN($M116*BR$5/100,0)),0)</f>
        <v>0</v>
      </c>
      <c r="BS116" s="38">
        <f>IF(AND(BS$7="○",$A116&gt;=BS$8,$A116&lt;=BS$9),IF(SUM(BS$10:BS115)-ROUNDDOWN($M116*BS$5/100,0)&lt;-BS$6,-BS$6-SUM(BS$10:BS115),-ROUNDDOWN($M116*BS$5/100,0)),0)</f>
        <v>0</v>
      </c>
      <c r="BT116" s="38">
        <f>IF(AND(BT$7="○",$A116&gt;=BT$8,$A116&lt;=BT$9),IF(SUM(BT$10:BT115)-ROUNDDOWN($M116*BT$5/100,0)&lt;-BT$6,-BT$6-SUM(BT$10:BT115),-ROUNDDOWN($M116*BT$5/100,0)),0)</f>
        <v>0</v>
      </c>
      <c r="BU116" s="38">
        <f>IF(AND(BU$7="○",$A116&gt;=BU$8,$A116&lt;=BU$9),IF(SUM(BU$10:BU115)-ROUNDDOWN($M116*BU$5/100,0)&lt;-BU$6,-BU$6-SUM(BU$10:BU115),-ROUNDDOWN($M116*BU$5/100,0)),0)</f>
        <v>0</v>
      </c>
      <c r="BV116" s="38">
        <f>IF(AND(BV$7="○",$A116&gt;=BV$8,$A116&lt;=BV$9),IF(SUM(BV$10:BV115)-ROUNDDOWN($M116*BV$5/100,0)&lt;-BV$6,-BV$6-SUM(BV$10:BV115),-ROUNDDOWN($M116*BV$5/100,0)),0)</f>
        <v>0</v>
      </c>
      <c r="BW116" s="38">
        <f>IF(AND(BW$7="○",$A116&gt;=BW$8,$A116&lt;=BW$9),IF(SUM(BW$10:BW115)-ROUNDDOWN($M116*BW$5/100,0)&lt;-BW$6,-BW$6-SUM(BW$10:BW115),-ROUNDDOWN($M116*BW$5/100,0)),0)</f>
        <v>0</v>
      </c>
      <c r="BX116" s="38">
        <f>IF(AND(T116="○",$A116&gt;=BX$8,$A116&lt;=BX$9),IF(SUM(BX$10:BX115)-ROUNDDOWN($K116*BX$5/100,0)&lt;-BX$6,-BX$6-SUM(BX$10:BX115),-ROUNDDOWN($K116*BX$5/100,0)),0)</f>
        <v>0</v>
      </c>
      <c r="BY116" s="38">
        <f>IF(AND(U116="○",$A116&gt;=BY$8,$A116&lt;=BY$9),IF(SUM(BY$10:BY115)-ROUNDDOWN($K116*BY$5/100,0)&lt;-BY$6,-BY$6-SUM(BY$10:BY115),-ROUNDDOWN($K116*BY$5/100,0)),0)</f>
        <v>0</v>
      </c>
      <c r="BZ116" s="38">
        <f>IF(AND(V116="○",$A116&gt;=BZ$8,$A116&lt;=BZ$9),IF(SUM(BZ$10:BZ115)-ROUNDDOWN($K116*BZ$5/100,0)&lt;-BZ$6,-BZ$6-SUM(BZ$10:BZ115),-ROUNDDOWN($K116*BZ$5/100,0)),0)</f>
        <v>0</v>
      </c>
      <c r="CA116" s="38">
        <f>IF(AND(W116="○",$A116&gt;=CA$8,$A116&lt;=CA$9),IF(SUM(CA$10:CA115)-ROUNDDOWN($K116*CA$5/100,0)&lt;-CA$6,-CA$6-SUM(CA$10:CA115),-ROUNDDOWN($K116*CA$5/100,0)),0)</f>
        <v>0</v>
      </c>
      <c r="CB116" s="38"/>
      <c r="CC116" s="38"/>
      <c r="CD116" s="38"/>
      <c r="CE116" s="38"/>
      <c r="CF116" s="38"/>
      <c r="CG116" s="65">
        <f t="shared" si="94"/>
        <v>0</v>
      </c>
      <c r="CH116" s="71">
        <f t="shared" si="95"/>
        <v>0</v>
      </c>
      <c r="CI116" s="1">
        <f t="shared" si="109"/>
        <v>0</v>
      </c>
      <c r="CJ116" s="1"/>
      <c r="CK116" s="72"/>
      <c r="CL116" s="72"/>
      <c r="CM116" s="2"/>
      <c r="CN116" s="2"/>
      <c r="CO116" s="73">
        <f t="shared" si="110"/>
        <v>0</v>
      </c>
      <c r="CP116" s="5">
        <f t="shared" si="111"/>
        <v>0</v>
      </c>
      <c r="CQ116" s="1"/>
      <c r="CR116" s="1">
        <f t="shared" si="112"/>
        <v>0</v>
      </c>
      <c r="CS116" s="1"/>
      <c r="CT116" s="1" t="e">
        <f>INDEX([2]マスタ!$A:$A,MATCH(D116,[2]マスタ!$C:$C,0))</f>
        <v>#N/A</v>
      </c>
      <c r="CU116" s="1" t="str">
        <f t="shared" ca="1" si="113"/>
        <v>20260620_0-0</v>
      </c>
    </row>
    <row r="117" spans="1:99" x14ac:dyDescent="0.4">
      <c r="A117" s="61"/>
      <c r="B117" s="62"/>
      <c r="C117" s="62"/>
      <c r="D117" s="62"/>
      <c r="E117" s="74"/>
      <c r="F117" s="62"/>
      <c r="G117" s="62">
        <v>1</v>
      </c>
      <c r="H117" s="64">
        <f t="shared" si="100"/>
        <v>0</v>
      </c>
      <c r="I117" s="64"/>
      <c r="J117" s="64"/>
      <c r="K117" s="65">
        <f t="shared" si="101"/>
        <v>0</v>
      </c>
      <c r="L117" s="65">
        <f t="shared" si="102"/>
        <v>0</v>
      </c>
      <c r="M117" s="65">
        <f t="shared" si="103"/>
        <v>0</v>
      </c>
      <c r="N117" s="65">
        <f t="shared" si="104"/>
        <v>0</v>
      </c>
      <c r="O117" s="66" t="str">
        <f t="shared" si="105"/>
        <v>✕</v>
      </c>
      <c r="P117" s="67" t="str">
        <f t="shared" si="106"/>
        <v>○</v>
      </c>
      <c r="Q117" s="67" t="str">
        <f t="shared" si="107"/>
        <v>✕</v>
      </c>
      <c r="R117" s="67" t="str">
        <f t="shared" si="108"/>
        <v>✕</v>
      </c>
      <c r="S117" s="68">
        <v>0</v>
      </c>
      <c r="T117" s="69" t="s">
        <v>85</v>
      </c>
      <c r="U117" s="69" t="s">
        <v>85</v>
      </c>
      <c r="V117" s="69" t="s">
        <v>85</v>
      </c>
      <c r="W117" s="69" t="s">
        <v>85</v>
      </c>
      <c r="X117" s="69" t="s">
        <v>84</v>
      </c>
      <c r="Y117" s="69" t="s">
        <v>85</v>
      </c>
      <c r="Z117" s="69" t="s">
        <v>85</v>
      </c>
      <c r="AA117" s="69" t="s">
        <v>85</v>
      </c>
      <c r="AB117" s="69" t="s">
        <v>85</v>
      </c>
      <c r="AC117" s="69" t="s">
        <v>85</v>
      </c>
      <c r="AD117" s="38" t="str">
        <f>+IF(ISERROR(VLOOKUP($B117,AD$10:AD116,1,0)),IF(AND($N117&gt;=1000,$A117&gt;=AO$8,$A117&lt;=AO$9),$B117,""),"")</f>
        <v/>
      </c>
      <c r="AE117" s="38" t="str">
        <f>+IF(ISERROR(VLOOKUP($B117,AE$10:AE116,1,0)),IF(AND($N117&gt;=1000,$A117&gt;=AP$8,$A117&lt;=AP$9),$B117,""),"")</f>
        <v/>
      </c>
      <c r="AF117" s="38" t="str">
        <f>+IF(ISERROR(VLOOKUP($B117,AF$10:AF116,1,0)),IF(AND($N117&gt;=1000,$A117&gt;=AQ$8,$A117&lt;=AQ$9),$B117,""),"")</f>
        <v/>
      </c>
      <c r="AG117" s="38" t="str">
        <f>+IF(ISERROR(VLOOKUP($B117,AG$10:AG116,1,0)),IF(AND($N117&gt;=1000,$A117&gt;=AR$8,$A117&lt;=AR$9),$B117,""),"")</f>
        <v/>
      </c>
      <c r="AH117" s="38"/>
      <c r="AI117" s="70">
        <v>0</v>
      </c>
      <c r="AJ117" s="38">
        <f>IF(AND(AJ$7="○",$A117&gt;=AJ$8,$A117&lt;=AJ$9),IF(SUM(AJ$10:AJ116)-ROUNDDOWN($K117*AJ$5/100,0)&lt;-AJ$6,-AJ$6-SUM(AJ$10:AJ116),-ROUNDDOWN($K117*AJ$5/100,0)),0)</f>
        <v>0</v>
      </c>
      <c r="AK117" s="38">
        <f>IF(AND(AK$7="○",$A117&gt;=AK$8,$A117&lt;=AK$9),IF(SUM(AK$10:AK116)-ROUNDDOWN($L117*AK$5/100,0)&lt;-AK$6,-AK$6-SUM(AK$10:AK116),-ROUNDDOWN($L117*AK$5/100,0)),0)</f>
        <v>0</v>
      </c>
      <c r="AL117" s="38">
        <f>IF(AND(AL$7="○",$A117&gt;=AL$8,$A117&lt;=AL$9),IF(SUM(AL$10:AL116)-ROUNDDOWN($N117*AL$5/100,0)&lt;-AL$6,-AL$6-SUM(AL$10:AL116),-ROUNDDOWN($N117*AL$5/100,0)),0)</f>
        <v>0</v>
      </c>
      <c r="AM117" s="38">
        <f>IF(AND(AM$7="○",$A117&gt;=AM$8,$A117&lt;=AM$9),IF(SUM(AM$10:AM116)-ROUNDDOWN($L117*AM$5/100,0)&lt;-AM$6,-AM$6-SUM(AM$10:AM116),-ROUNDDOWN($L117*AM$5/100,0)),0)</f>
        <v>0</v>
      </c>
      <c r="AN117" s="38">
        <f>IF(AND(AN$7="○",$A117&gt;=AN$8,$A117&lt;=AN$9),IF(SUM(AN$10:AN116)-ROUNDDOWN($M117*AN$5/100,0)&lt;-AN$6,-AN$6-SUM(AN$10:AN116),-ROUNDDOWN($M117*AN$5/100,0)),0)</f>
        <v>0</v>
      </c>
      <c r="AO117" s="38">
        <f>IF(AND($A117&gt;=AO$8,$A117&lt;=AO$9),IF(SUM(AO$10:AO116)-ROUNDDOWN($K117*AO$5/100,0)&lt;-AO$6,-AO$6-SUM(AO$10:AO116),-ROUNDDOWN($K117*AO$5/100,0)),0)</f>
        <v>0</v>
      </c>
      <c r="AP117" s="38">
        <f>IF(AND($A117&gt;=AP$8,$A117&lt;=AP$9),IF(SUM(AP$10:AP116)-ROUNDDOWN($K117*AP$5/100,0)&lt;-AP$6,-AP$6-SUM(AP$10:AP116),-ROUNDDOWN($K117*AP$5/100,0)),0)</f>
        <v>0</v>
      </c>
      <c r="AQ117" s="38">
        <f>IF(AND($A117&gt;=AQ$8,$A117&lt;=AQ$9),IF(SUM(AQ$10:AQ116)-ROUNDDOWN($K117*AQ$5/100,0)&lt;-AQ$6,-AQ$6-SUM(AQ$10:AQ116),-ROUNDDOWN($K117*AQ$5/100,0)),0)</f>
        <v>0</v>
      </c>
      <c r="AR117" s="38">
        <f>IF(AND($A117&gt;=AR$8,$A117&lt;=AR$9),IF(SUM(AR$10:AR116)-ROUNDDOWN($K117*AR$5/100,0)&lt;-AR$6,-AR$6-SUM(AR$10:AR116),-ROUNDDOWN($K117*AR$5/100,0)),0)</f>
        <v>0</v>
      </c>
      <c r="AS117" s="38">
        <f>IF(SUMIFS(AS$10:AS116,$A$10:$A116,$A117)-ROUNDDOWN($K117*$S117/100,0)&lt;-$S117*1000,-$S117*1000-SUMIFS(AS$10:AS116,$A$10:$A116,$A117),-ROUNDDOWN($K117*$S117/100,0))</f>
        <v>0</v>
      </c>
      <c r="AT117" s="38">
        <f>IF(AND(X117="○",$A117&gt;=AT$8,$A117&lt;=AT$9,K117&gt;=3980),IF(SUM(AT$10:AT116)-ROUNDDOWN($K117*AT$5/100,0)&lt;-AT$6,-AT$6-SUM(AT$10:AT116),-ROUNDDOWN($K117*AT$5/100,0)),0)</f>
        <v>0</v>
      </c>
      <c r="AU117" s="38">
        <f>IF(O117="○",IF(SUM(AU$10:AU116)-ROUNDDOWN($K117*AU$5/100,0)&lt;-AU$6,-AU$6-SUM(AU$10:AU116),-ROUNDDOWN($K117*AU$5/100,0)),0)</f>
        <v>0</v>
      </c>
      <c r="AV117" s="38">
        <f>IF(P117="○",IF(SUM(AV$10:AV116)-ROUNDDOWN($K117*AV$5/100,0)&lt;-AV$6,-AV$6-SUM(AV$10:AV116),-ROUNDDOWN($K117*AV$5/100,0)),0)</f>
        <v>0</v>
      </c>
      <c r="AW117" s="38">
        <f>IF(Q117="○",IF(SUM(AW$10:AW116)-ROUNDDOWN($K117*AW$5/100,0)&lt;-AW$6,-AW$6-SUM(AW$10:AW116),-ROUNDDOWN($K117*AW$5/100,0)),0)</f>
        <v>0</v>
      </c>
      <c r="AX117" s="38">
        <f>IF(R117="○",IF(SUM(AX$10:AX116)-ROUNDDOWN($K117*AX$5/100,0)&lt;-AX$6,-AX$6-SUM(AX$10:AX116),-ROUNDDOWN($K117*AX$5/100,0)),0)</f>
        <v>0</v>
      </c>
      <c r="AY117" s="70">
        <v>0</v>
      </c>
      <c r="AZ117" s="65">
        <f t="shared" si="88"/>
        <v>0</v>
      </c>
      <c r="BA117" s="65">
        <f t="shared" si="89"/>
        <v>0</v>
      </c>
      <c r="BB117" s="70"/>
      <c r="BC117" s="65">
        <f t="shared" si="90"/>
        <v>0</v>
      </c>
      <c r="BD117" s="70">
        <v>0</v>
      </c>
      <c r="BE117" s="65">
        <f t="shared" si="91"/>
        <v>0</v>
      </c>
      <c r="BF117" s="70">
        <v>0</v>
      </c>
      <c r="BG117" s="65">
        <f t="shared" si="92"/>
        <v>0</v>
      </c>
      <c r="BH117" s="70">
        <v>0</v>
      </c>
      <c r="BI117" s="65">
        <f t="shared" si="93"/>
        <v>0</v>
      </c>
      <c r="BJ117" s="38">
        <f>IF(AND(BJ$7="○",$A117&gt;=BJ$8,$A117&lt;=BJ$9),IF(SUM(BJ$10:BJ116)-ROUNDDOWN($M117*BJ$5/100,0)&lt;-BJ$6,-BJ$6-SUM(BJ$10:BJ116),-ROUNDDOWN($M117*BJ$5/100,0)),0)</f>
        <v>0</v>
      </c>
      <c r="BK117" s="38">
        <f>IF(AND(BK$7="○",$A117&gt;=BK$8,$A117&lt;=BK$9),IF(SUM(BK$10:BK116)-ROUNDDOWN($L117*BK$5/100,0)&lt;-BK$6,-BK$6-SUM(BK$10:BK116),-ROUNDDOWN($L117*BK$5/100,0)),0)</f>
        <v>0</v>
      </c>
      <c r="BL117" s="38">
        <f>IF(AND(BL$7="○",$A117&gt;=BL$8,$A117&lt;=BL$9),IF(SUM(BL$10:BL116)-ROUNDDOWN($L117*BL$5/100,0)&lt;-BL$6,-BL$6-SUM(BL$10:BL116),-ROUNDDOWN($L117*BL$5/100,0)),0)</f>
        <v>0</v>
      </c>
      <c r="BM117" s="38">
        <f>IF(AND(BM$7="○",$A117&gt;=BM$8,$A117&lt;=BM$9),IF(SUM(BM$10:BM116)-ROUNDDOWN($M117*BM$5/100,0)&lt;-BM$6,-BM$6-SUM(BM$10:BM116),-ROUNDDOWN($M117*BM$5/100,0)),0)</f>
        <v>0</v>
      </c>
      <c r="BN117" s="38">
        <f>IF(AND(BN$7="○",$A117&gt;=BN$8,$A117&lt;=BN$9),IF(SUM(BN$10:BN116)-ROUNDDOWN($M117*BN$5/100,0)&lt;-BN$6,-BN$6-SUM(BN$10:BN116),-ROUNDDOWN($M117*BN$5/100,0)),0)</f>
        <v>0</v>
      </c>
      <c r="BO117" s="38">
        <f>IF(AND(BO$7="○",$A117&gt;=BO$8,$A117&lt;=BO$9),IF(SUM(BO$10:BO116)-ROUNDDOWN($M117*BO$5/100,0)&lt;-BO$6,-BO$6-SUM(BO$10:BO116),-ROUNDDOWN($M117*BO$5/100,0)),0)</f>
        <v>0</v>
      </c>
      <c r="BP117" s="38">
        <f>IF(AND(BP$7="○",$A117&gt;=BP$8,$A117&lt;=BP$9),IF(SUM(BP$10:BP116)-ROUNDDOWN($M117*BP$5/100,0)&lt;-BP$6,-BP$6-SUM(BP$10:BP116),-ROUNDDOWN($M117*BP$5/100,0)),0)</f>
        <v>0</v>
      </c>
      <c r="BQ117" s="38">
        <f>IF(AND(BQ$7="○",$A117&gt;=BQ$8,$A117&lt;=BQ$9),IF(SUM(BQ$10:BQ116)-ROUNDDOWN($L117*BQ$5/100,0)&lt;-BQ$6,-BQ$6-SUM(BQ$10:BQ116),-ROUNDDOWN($L117*BQ$5/100,0)),0)</f>
        <v>0</v>
      </c>
      <c r="BR117" s="38">
        <f>IF(AND(BR$7="○",$A117&gt;=BR$8,$A117&lt;=BR$9),IF(SUM(BR$10:BR116)-ROUNDDOWN($M117*BR$5/100,0)&lt;-BR$6,-BR$6-SUM(BR$10:BR116),-ROUNDDOWN($M117*BR$5/100,0)),0)</f>
        <v>0</v>
      </c>
      <c r="BS117" s="38">
        <f>IF(AND(BS$7="○",$A117&gt;=BS$8,$A117&lt;=BS$9),IF(SUM(BS$10:BS116)-ROUNDDOWN($M117*BS$5/100,0)&lt;-BS$6,-BS$6-SUM(BS$10:BS116),-ROUNDDOWN($M117*BS$5/100,0)),0)</f>
        <v>0</v>
      </c>
      <c r="BT117" s="38">
        <f>IF(AND(BT$7="○",$A117&gt;=BT$8,$A117&lt;=BT$9),IF(SUM(BT$10:BT116)-ROUNDDOWN($M117*BT$5/100,0)&lt;-BT$6,-BT$6-SUM(BT$10:BT116),-ROUNDDOWN($M117*BT$5/100,0)),0)</f>
        <v>0</v>
      </c>
      <c r="BU117" s="38">
        <f>IF(AND(BU$7="○",$A117&gt;=BU$8,$A117&lt;=BU$9),IF(SUM(BU$10:BU116)-ROUNDDOWN($M117*BU$5/100,0)&lt;-BU$6,-BU$6-SUM(BU$10:BU116),-ROUNDDOWN($M117*BU$5/100,0)),0)</f>
        <v>0</v>
      </c>
      <c r="BV117" s="38">
        <f>IF(AND(BV$7="○",$A117&gt;=BV$8,$A117&lt;=BV$9),IF(SUM(BV$10:BV116)-ROUNDDOWN($M117*BV$5/100,0)&lt;-BV$6,-BV$6-SUM(BV$10:BV116),-ROUNDDOWN($M117*BV$5/100,0)),0)</f>
        <v>0</v>
      </c>
      <c r="BW117" s="38">
        <f>IF(AND(BW$7="○",$A117&gt;=BW$8,$A117&lt;=BW$9),IF(SUM(BW$10:BW116)-ROUNDDOWN($M117*BW$5/100,0)&lt;-BW$6,-BW$6-SUM(BW$10:BW116),-ROUNDDOWN($M117*BW$5/100,0)),0)</f>
        <v>0</v>
      </c>
      <c r="BX117" s="38">
        <f>IF(AND(T117="○",$A117&gt;=BX$8,$A117&lt;=BX$9),IF(SUM(BX$10:BX116)-ROUNDDOWN($K117*BX$5/100,0)&lt;-BX$6,-BX$6-SUM(BX$10:BX116),-ROUNDDOWN($K117*BX$5/100,0)),0)</f>
        <v>0</v>
      </c>
      <c r="BY117" s="38">
        <f>IF(AND(U117="○",$A117&gt;=BY$8,$A117&lt;=BY$9),IF(SUM(BY$10:BY116)-ROUNDDOWN($K117*BY$5/100,0)&lt;-BY$6,-BY$6-SUM(BY$10:BY116),-ROUNDDOWN($K117*BY$5/100,0)),0)</f>
        <v>0</v>
      </c>
      <c r="BZ117" s="38">
        <f>IF(AND(V117="○",$A117&gt;=BZ$8,$A117&lt;=BZ$9),IF(SUM(BZ$10:BZ116)-ROUNDDOWN($K117*BZ$5/100,0)&lt;-BZ$6,-BZ$6-SUM(BZ$10:BZ116),-ROUNDDOWN($K117*BZ$5/100,0)),0)</f>
        <v>0</v>
      </c>
      <c r="CA117" s="38">
        <f>IF(AND(W117="○",$A117&gt;=CA$8,$A117&lt;=CA$9),IF(SUM(CA$10:CA116)-ROUNDDOWN($K117*CA$5/100,0)&lt;-CA$6,-CA$6-SUM(CA$10:CA116),-ROUNDDOWN($K117*CA$5/100,0)),0)</f>
        <v>0</v>
      </c>
      <c r="CB117" s="38"/>
      <c r="CC117" s="38"/>
      <c r="CD117" s="38"/>
      <c r="CE117" s="38"/>
      <c r="CF117" s="38"/>
      <c r="CG117" s="65">
        <f t="shared" si="94"/>
        <v>0</v>
      </c>
      <c r="CH117" s="71">
        <f t="shared" si="95"/>
        <v>0</v>
      </c>
      <c r="CI117" s="1">
        <f t="shared" si="109"/>
        <v>0</v>
      </c>
      <c r="CJ117" s="1"/>
      <c r="CK117" s="72"/>
      <c r="CL117" s="72"/>
      <c r="CM117" s="2"/>
      <c r="CN117" s="2"/>
      <c r="CO117" s="73">
        <f t="shared" si="110"/>
        <v>0</v>
      </c>
      <c r="CP117" s="5">
        <f t="shared" si="111"/>
        <v>0</v>
      </c>
      <c r="CQ117" s="1"/>
      <c r="CR117" s="1">
        <f t="shared" si="112"/>
        <v>0</v>
      </c>
      <c r="CS117" s="1"/>
      <c r="CT117" s="1" t="e">
        <f>INDEX([2]マスタ!$A:$A,MATCH(D117,[2]マスタ!$C:$C,0))</f>
        <v>#N/A</v>
      </c>
      <c r="CU117" s="1" t="str">
        <f t="shared" ca="1" si="113"/>
        <v>20260620_0-0</v>
      </c>
    </row>
    <row r="118" spans="1:99" x14ac:dyDescent="0.4">
      <c r="A118" s="61"/>
      <c r="B118" s="62"/>
      <c r="C118" s="62"/>
      <c r="D118" s="62"/>
      <c r="E118" s="74"/>
      <c r="F118" s="62"/>
      <c r="G118" s="62">
        <v>1</v>
      </c>
      <c r="H118" s="64">
        <f t="shared" si="100"/>
        <v>0</v>
      </c>
      <c r="I118" s="64"/>
      <c r="J118" s="64"/>
      <c r="K118" s="65">
        <f t="shared" ref="K118:K121" si="114">+ROUNDDOWN((H118+I118+J118)/100,0)*100</f>
        <v>0</v>
      </c>
      <c r="L118" s="65">
        <f t="shared" si="102"/>
        <v>0</v>
      </c>
      <c r="M118" s="65">
        <f t="shared" si="103"/>
        <v>0</v>
      </c>
      <c r="N118" s="65">
        <f t="shared" si="104"/>
        <v>0</v>
      </c>
      <c r="O118" s="66" t="str">
        <f t="shared" si="105"/>
        <v>✕</v>
      </c>
      <c r="P118" s="67" t="str">
        <f t="shared" si="106"/>
        <v>○</v>
      </c>
      <c r="Q118" s="67" t="str">
        <f t="shared" ref="Q118:Q121" si="115">+IF((TEXT(A118,"DD")+0)=1,"○","✕")</f>
        <v>✕</v>
      </c>
      <c r="R118" s="67" t="str">
        <f t="shared" si="108"/>
        <v>✕</v>
      </c>
      <c r="S118" s="68">
        <v>0</v>
      </c>
      <c r="T118" s="69" t="s">
        <v>85</v>
      </c>
      <c r="U118" s="69" t="s">
        <v>85</v>
      </c>
      <c r="V118" s="69" t="s">
        <v>85</v>
      </c>
      <c r="W118" s="69" t="s">
        <v>85</v>
      </c>
      <c r="X118" s="69" t="s">
        <v>84</v>
      </c>
      <c r="Y118" s="69" t="s">
        <v>85</v>
      </c>
      <c r="Z118" s="69" t="s">
        <v>85</v>
      </c>
      <c r="AA118" s="69" t="s">
        <v>85</v>
      </c>
      <c r="AB118" s="69" t="s">
        <v>85</v>
      </c>
      <c r="AC118" s="69" t="s">
        <v>85</v>
      </c>
      <c r="AD118" s="38" t="str">
        <f>+IF(ISERROR(VLOOKUP($B118,AD$10:AD110,1,0)),IF(AND($N118&gt;=1000,$A118&gt;=AO$8,$A118&lt;=AO$9),$B118,""),"")</f>
        <v/>
      </c>
      <c r="AE118" s="38" t="str">
        <f>+IF(ISERROR(VLOOKUP($B118,AE$10:AE110,1,0)),IF(AND($N118&gt;=1000,$A118&gt;=AP$8,$A118&lt;=AP$9),$B118,""),"")</f>
        <v/>
      </c>
      <c r="AF118" s="38" t="str">
        <f>+IF(ISERROR(VLOOKUP($B118,AF$10:AF110,1,0)),IF(AND($N118&gt;=1000,$A118&gt;=AQ$8,$A118&lt;=AQ$9),$B118,""),"")</f>
        <v/>
      </c>
      <c r="AG118" s="38" t="str">
        <f>+IF(ISERROR(VLOOKUP($B118,AG$10:AG110,1,0)),IF(AND($N118&gt;=1000,$A118&gt;=AR$8,$A118&lt;=AR$9),$B118,""),"")</f>
        <v/>
      </c>
      <c r="AH118" s="38"/>
      <c r="AI118" s="70">
        <v>0</v>
      </c>
      <c r="AJ118" s="38">
        <f>IF(AND(AJ$7="○",$A118&gt;=AJ$8,$A118&lt;=AJ$9),IF(SUM(AJ$10:AJ117)-ROUNDDOWN($K118*AJ$5/100,0)&lt;-AJ$6,-AJ$6-SUM(AJ$10:AJ117),-ROUNDDOWN($K118*AJ$5/100,0)),0)</f>
        <v>0</v>
      </c>
      <c r="AK118" s="38">
        <f>IF(AND(AK$7="○",$A118&gt;=AK$8,$A118&lt;=AK$9),IF(SUM(AK$10:AK117)-ROUNDDOWN($L118*AK$5/100,0)&lt;-AK$6,-AK$6-SUM(AK$10:AK117),-ROUNDDOWN($L118*AK$5/100,0)),0)</f>
        <v>0</v>
      </c>
      <c r="AL118" s="38">
        <f>IF(AND(AL$7="○",$A118&gt;=AL$8,$A118&lt;=AL$9),IF(SUM(AL$10:AL117)-ROUNDDOWN($N118*AL$5/100,0)&lt;-AL$6,-AL$6-SUM(AL$10:AL117),-ROUNDDOWN($N118*AL$5/100,0)),0)</f>
        <v>0</v>
      </c>
      <c r="AM118" s="38">
        <f>IF(AND(AM$7="○",$A118&gt;=AM$8,$A118&lt;=AM$9),IF(SUM(AM$10:AM117)-ROUNDDOWN($L118*AM$5/100,0)&lt;-AM$6,-AM$6-SUM(AM$10:AM117),-ROUNDDOWN($L118*AM$5/100,0)),0)</f>
        <v>0</v>
      </c>
      <c r="AN118" s="38">
        <f>IF(AND(AN$7="○",$A118&gt;=AN$8,$A118&lt;=AN$9),IF(SUM(AN$10:AN117)-ROUNDDOWN($M118*AN$5/100,0)&lt;-AN$6,-AN$6-SUM(AN$10:AN117),-ROUNDDOWN($M118*AN$5/100,0)),0)</f>
        <v>0</v>
      </c>
      <c r="AO118" s="38">
        <f>IF(AND($A118&gt;=AO$8,$A118&lt;=AO$9),IF(SUM(AO$10:AO117)-ROUNDDOWN($K118*AO$5/100,0)&lt;-AO$6,-AO$6-SUM(AO$10:AO117),-ROUNDDOWN($K118*AO$5/100,0)),0)</f>
        <v>0</v>
      </c>
      <c r="AP118" s="38">
        <f>IF(AND($A118&gt;=AP$8,$A118&lt;=AP$9),IF(SUM(AP$10:AP117)-ROUNDDOWN($K118*AP$5/100,0)&lt;-AP$6,-AP$6-SUM(AP$10:AP117),-ROUNDDOWN($K118*AP$5/100,0)),0)</f>
        <v>0</v>
      </c>
      <c r="AQ118" s="38">
        <f>IF(AND($A118&gt;=AQ$8,$A118&lt;=AQ$9),IF(SUM(AQ$10:AQ117)-ROUNDDOWN($K118*AQ$5/100,0)&lt;-AQ$6,-AQ$6-SUM(AQ$10:AQ117),-ROUNDDOWN($K118*AQ$5/100,0)),0)</f>
        <v>0</v>
      </c>
      <c r="AR118" s="38">
        <f>IF(AND($A118&gt;=AR$8,$A118&lt;=AR$9),IF(SUM(AR$10:AR117)-ROUNDDOWN($K118*AR$5/100,0)&lt;-AR$6,-AR$6-SUM(AR$10:AR117),-ROUNDDOWN($K118*AR$5/100,0)),0)</f>
        <v>0</v>
      </c>
      <c r="AS118" s="38">
        <f>IF(SUMIFS(AS$10:AS117,$A$10:$A117,$A118)-ROUNDDOWN($K118*$S118/100,0)&lt;-$S118*1000,-$S118*1000-SUMIFS(AS$10:AS117,$A$10:$A117,$A118),-ROUNDDOWN($K118*$S118/100,0))</f>
        <v>0</v>
      </c>
      <c r="AT118" s="38">
        <f>IF(AND(X118="○",$A118&gt;=AT$8,$A118&lt;=AT$9,K118&gt;=3980),IF(SUM(AT$10:AT117)-ROUNDDOWN($K118*AT$5/100,0)&lt;-AT$6,-AT$6-SUM(AT$10:AT117),-ROUNDDOWN($K118*AT$5/100,0)),0)</f>
        <v>0</v>
      </c>
      <c r="AU118" s="38">
        <f>IF(O118="○",IF(SUM(AU$10:AU117)-ROUNDDOWN($K118*AU$5/100,0)&lt;-AU$6,-AU$6-SUM(AU$10:AU117),-ROUNDDOWN($K118*AU$5/100,0)),0)</f>
        <v>0</v>
      </c>
      <c r="AV118" s="38">
        <f>IF(P118="○",IF(SUM(AV$10:AV117)-ROUNDDOWN($K118*AV$5/100,0)&lt;-AV$6,-AV$6-SUM(AV$10:AV117),-ROUNDDOWN($K118*AV$5/100,0)),0)</f>
        <v>0</v>
      </c>
      <c r="AW118" s="38">
        <f>IF(Q118="○",IF(SUM(AW$10:AW117)-ROUNDDOWN($K118*AW$5/100,0)&lt;-AW$6,-AW$6-SUM(AW$10:AW117),-ROUNDDOWN($K118*AW$5/100,0)),0)</f>
        <v>0</v>
      </c>
      <c r="AX118" s="38">
        <f>IF(R118="○",IF(SUM(AX$10:AX117)-ROUNDDOWN($K118*AX$5/100,0)&lt;-AX$6,-AX$6-SUM(AX$10:AX117),-ROUNDDOWN($K118*AX$5/100,0)),0)</f>
        <v>0</v>
      </c>
      <c r="AY118" s="70">
        <v>0</v>
      </c>
      <c r="AZ118" s="65">
        <f t="shared" si="88"/>
        <v>0</v>
      </c>
      <c r="BA118" s="65">
        <f t="shared" si="89"/>
        <v>0</v>
      </c>
      <c r="BB118" s="70"/>
      <c r="BC118" s="65">
        <f t="shared" si="90"/>
        <v>0</v>
      </c>
      <c r="BD118" s="70">
        <v>0</v>
      </c>
      <c r="BE118" s="65">
        <f t="shared" si="91"/>
        <v>0</v>
      </c>
      <c r="BF118" s="70">
        <v>0</v>
      </c>
      <c r="BG118" s="65">
        <f t="shared" si="92"/>
        <v>0</v>
      </c>
      <c r="BH118" s="70">
        <v>0</v>
      </c>
      <c r="BI118" s="65">
        <f t="shared" si="93"/>
        <v>0</v>
      </c>
      <c r="BJ118" s="38">
        <f>IF(AND(BJ$7="○",$A118&gt;=BJ$8,$A118&lt;=BJ$9),IF(SUM(BJ$10:BJ117)-ROUNDDOWN($M118*BJ$5/100,0)&lt;-BJ$6,-BJ$6-SUM(BJ$10:BJ117),-ROUNDDOWN($M118*BJ$5/100,0)),0)</f>
        <v>0</v>
      </c>
      <c r="BK118" s="38">
        <f>IF(AND(BK$7="○",$A118&gt;=BK$8,$A118&lt;=BK$9),IF(SUM(BK$10:BK117)-ROUNDDOWN($L118*BK$5/100,0)&lt;-BK$6,-BK$6-SUM(BK$10:BK117),-ROUNDDOWN($L118*BK$5/100,0)),0)</f>
        <v>0</v>
      </c>
      <c r="BL118" s="38">
        <f>IF(AND(BL$7="○",$A118&gt;=BL$8,$A118&lt;=BL$9),IF(SUM(BL$10:BL117)-ROUNDDOWN($L118*BL$5/100,0)&lt;-BL$6,-BL$6-SUM(BL$10:BL117),-ROUNDDOWN($L118*BL$5/100,0)),0)</f>
        <v>0</v>
      </c>
      <c r="BM118" s="38">
        <f>IF(AND(BM$7="○",$A118&gt;=BM$8,$A118&lt;=BM$9),IF(SUM(BM$10:BM117)-ROUNDDOWN($M118*BM$5/100,0)&lt;-BM$6,-BM$6-SUM(BM$10:BM117),-ROUNDDOWN($M118*BM$5/100,0)),0)</f>
        <v>0</v>
      </c>
      <c r="BN118" s="38">
        <f>IF(AND(BN$7="○",$A118&gt;=BN$8,$A118&lt;=BN$9),IF(SUM(BN$10:BN117)-ROUNDDOWN($M118*BN$5/100,0)&lt;-BN$6,-BN$6-SUM(BN$10:BN117),-ROUNDDOWN($M118*BN$5/100,0)),0)</f>
        <v>0</v>
      </c>
      <c r="BO118" s="38">
        <f>IF(AND(BO$7="○",$A118&gt;=BO$8,$A118&lt;=BO$9),IF(SUM(BO$10:BO117)-ROUNDDOWN($M118*BO$5/100,0)&lt;-BO$6,-BO$6-SUM(BO$10:BO117),-ROUNDDOWN($M118*BO$5/100,0)),0)</f>
        <v>0</v>
      </c>
      <c r="BP118" s="38">
        <f>IF(AND(BP$7="○",$A118&gt;=BP$8,$A118&lt;=BP$9),IF(SUM(BP$10:BP117)-ROUNDDOWN($M118*BP$5/100,0)&lt;-BP$6,-BP$6-SUM(BP$10:BP117),-ROUNDDOWN($M118*BP$5/100,0)),0)</f>
        <v>0</v>
      </c>
      <c r="BQ118" s="38">
        <f>IF(AND(BQ$7="○",$A118&gt;=BQ$8,$A118&lt;=BQ$9),IF(SUM(BQ$10:BQ117)-ROUNDDOWN($L118*BQ$5/100,0)&lt;-BQ$6,-BQ$6-SUM(BQ$10:BQ117),-ROUNDDOWN($L118*BQ$5/100,0)),0)</f>
        <v>0</v>
      </c>
      <c r="BR118" s="38">
        <f>IF(AND(BR$7="○",$A118&gt;=BR$8,$A118&lt;=BR$9),IF(SUM(BR$10:BR117)-ROUNDDOWN($M118*BR$5/100,0)&lt;-BR$6,-BR$6-SUM(BR$10:BR117),-ROUNDDOWN($M118*BR$5/100,0)),0)</f>
        <v>0</v>
      </c>
      <c r="BS118" s="38">
        <f>IF(AND(BS$7="○",$A118&gt;=BS$8,$A118&lt;=BS$9),IF(SUM(BS$10:BS117)-ROUNDDOWN($M118*BS$5/100,0)&lt;-BS$6,-BS$6-SUM(BS$10:BS117),-ROUNDDOWN($M118*BS$5/100,0)),0)</f>
        <v>0</v>
      </c>
      <c r="BT118" s="38">
        <f>IF(AND(BT$7="○",$A118&gt;=BT$8,$A118&lt;=BT$9),IF(SUM(BT$10:BT117)-ROUNDDOWN($M118*BT$5/100,0)&lt;-BT$6,-BT$6-SUM(BT$10:BT117),-ROUNDDOWN($M118*BT$5/100,0)),0)</f>
        <v>0</v>
      </c>
      <c r="BU118" s="38">
        <f>IF(AND(BU$7="○",$A118&gt;=BU$8,$A118&lt;=BU$9),IF(SUM(BU$10:BU117)-ROUNDDOWN($M118*BU$5/100,0)&lt;-BU$6,-BU$6-SUM(BU$10:BU117),-ROUNDDOWN($M118*BU$5/100,0)),0)</f>
        <v>0</v>
      </c>
      <c r="BV118" s="38">
        <f>IF(AND(BV$7="○",$A118&gt;=BV$8,$A118&lt;=BV$9),IF(SUM(BV$10:BV117)-ROUNDDOWN($M118*BV$5/100,0)&lt;-BV$6,-BV$6-SUM(BV$10:BV117),-ROUNDDOWN($M118*BV$5/100,0)),0)</f>
        <v>0</v>
      </c>
      <c r="BW118" s="38">
        <f>IF(AND(BW$7="○",$A118&gt;=BW$8,$A118&lt;=BW$9),IF(SUM(BW$10:BW117)-ROUNDDOWN($M118*BW$5/100,0)&lt;-BW$6,-BW$6-SUM(BW$10:BW117),-ROUNDDOWN($M118*BW$5/100,0)),0)</f>
        <v>0</v>
      </c>
      <c r="BX118" s="38">
        <f>IF(AND(T118="○",$A118&gt;=BX$8,$A118&lt;=BX$9),IF(SUM(BX$10:BX117)-ROUNDDOWN($K118*BX$5/100,0)&lt;-BX$6,-BX$6-SUM(BX$10:BX117),-ROUNDDOWN($K118*BX$5/100,0)),0)</f>
        <v>0</v>
      </c>
      <c r="BY118" s="38">
        <f>IF(AND(U118="○",$A118&gt;=BY$8,$A118&lt;=BY$9),IF(SUM(BY$10:BY117)-ROUNDDOWN($K118*BY$5/100,0)&lt;-BY$6,-BY$6-SUM(BY$10:BY117),-ROUNDDOWN($K118*BY$5/100,0)),0)</f>
        <v>0</v>
      </c>
      <c r="BZ118" s="38">
        <f>IF(AND(V118="○",$A118&gt;=BZ$8,$A118&lt;=BZ$9),IF(SUM(BZ$10:BZ117)-ROUNDDOWN($K118*BZ$5/100,0)&lt;-BZ$6,-BZ$6-SUM(BZ$10:BZ117),-ROUNDDOWN($K118*BZ$5/100,0)),0)</f>
        <v>0</v>
      </c>
      <c r="CA118" s="38">
        <f>IF(AND(W118="○",$A118&gt;=CA$8,$A118&lt;=CA$9),IF(SUM(CA$10:CA117)-ROUNDDOWN($K118*CA$5/100,0)&lt;-CA$6,-CA$6-SUM(CA$10:CA117),-ROUNDDOWN($K118*CA$5/100,0)),0)</f>
        <v>0</v>
      </c>
      <c r="CB118" s="38"/>
      <c r="CC118" s="38"/>
      <c r="CD118" s="38"/>
      <c r="CE118" s="38"/>
      <c r="CF118" s="38"/>
      <c r="CG118" s="65">
        <f t="shared" si="94"/>
        <v>0</v>
      </c>
      <c r="CH118" s="71">
        <f t="shared" si="95"/>
        <v>0</v>
      </c>
      <c r="CI118" s="1">
        <f t="shared" si="109"/>
        <v>0</v>
      </c>
      <c r="CJ118" s="1"/>
      <c r="CK118" s="75"/>
      <c r="CL118" s="75"/>
      <c r="CM118" s="2"/>
      <c r="CN118" s="2"/>
      <c r="CO118" s="73">
        <f t="shared" si="110"/>
        <v>0</v>
      </c>
      <c r="CP118" s="5">
        <f t="shared" si="111"/>
        <v>0</v>
      </c>
      <c r="CQ118" s="1"/>
      <c r="CR118" s="1">
        <f t="shared" si="112"/>
        <v>0</v>
      </c>
      <c r="CS118" s="1"/>
      <c r="CT118" s="1" t="e">
        <f>INDEX([2]マスタ!$A:$A,MATCH(D118,[2]マスタ!$C:$C,0))</f>
        <v>#N/A</v>
      </c>
      <c r="CU118" s="1" t="str">
        <f t="shared" ca="1" si="113"/>
        <v>20260620_0-0</v>
      </c>
    </row>
    <row r="119" spans="1:99" x14ac:dyDescent="0.4">
      <c r="A119" s="61"/>
      <c r="B119" s="62"/>
      <c r="C119" s="62"/>
      <c r="D119" s="62"/>
      <c r="E119" s="74"/>
      <c r="F119" s="62"/>
      <c r="G119" s="62">
        <v>1</v>
      </c>
      <c r="H119" s="64">
        <f t="shared" si="100"/>
        <v>0</v>
      </c>
      <c r="I119" s="64"/>
      <c r="J119" s="64"/>
      <c r="K119" s="65">
        <f t="shared" si="114"/>
        <v>0</v>
      </c>
      <c r="L119" s="65">
        <f t="shared" si="102"/>
        <v>0</v>
      </c>
      <c r="M119" s="65">
        <f t="shared" si="103"/>
        <v>0</v>
      </c>
      <c r="N119" s="65">
        <f t="shared" si="104"/>
        <v>0</v>
      </c>
      <c r="O119" s="66" t="str">
        <f t="shared" si="105"/>
        <v>✕</v>
      </c>
      <c r="P119" s="67" t="str">
        <f t="shared" si="106"/>
        <v>○</v>
      </c>
      <c r="Q119" s="67" t="str">
        <f t="shared" si="115"/>
        <v>✕</v>
      </c>
      <c r="R119" s="67" t="str">
        <f t="shared" si="108"/>
        <v>✕</v>
      </c>
      <c r="S119" s="68">
        <v>0</v>
      </c>
      <c r="T119" s="69" t="s">
        <v>85</v>
      </c>
      <c r="U119" s="69" t="s">
        <v>85</v>
      </c>
      <c r="V119" s="69" t="s">
        <v>85</v>
      </c>
      <c r="W119" s="69" t="s">
        <v>85</v>
      </c>
      <c r="X119" s="69" t="s">
        <v>84</v>
      </c>
      <c r="Y119" s="69" t="s">
        <v>85</v>
      </c>
      <c r="Z119" s="69" t="s">
        <v>85</v>
      </c>
      <c r="AA119" s="69" t="s">
        <v>85</v>
      </c>
      <c r="AB119" s="69" t="s">
        <v>85</v>
      </c>
      <c r="AC119" s="69" t="s">
        <v>85</v>
      </c>
      <c r="AD119" s="38" t="str">
        <f>+IF(ISERROR(VLOOKUP($B119,AD$10:AD118,1,0)),IF(AND($N119&gt;=1000,$A119&gt;=AO$8,$A119&lt;=AO$9),$B119,""),"")</f>
        <v/>
      </c>
      <c r="AE119" s="38" t="str">
        <f>+IF(ISERROR(VLOOKUP($B119,AE$10:AE118,1,0)),IF(AND($N119&gt;=1000,$A119&gt;=AP$8,$A119&lt;=AP$9),$B119,""),"")</f>
        <v/>
      </c>
      <c r="AF119" s="38" t="str">
        <f>+IF(ISERROR(VLOOKUP($B119,AF$10:AF118,1,0)),IF(AND($N119&gt;=1000,$A119&gt;=AQ$8,$A119&lt;=AQ$9),$B119,""),"")</f>
        <v/>
      </c>
      <c r="AG119" s="38" t="str">
        <f>+IF(ISERROR(VLOOKUP($B119,AG$10:AG118,1,0)),IF(AND($N119&gt;=1000,$A119&gt;=AR$8,$A119&lt;=AR$9),$B119,""),"")</f>
        <v/>
      </c>
      <c r="AH119" s="38"/>
      <c r="AI119" s="70">
        <v>0</v>
      </c>
      <c r="AJ119" s="38">
        <f>IF(AND(AJ$7="○",$A119&gt;=AJ$8,$A119&lt;=AJ$9),IF(SUM(AJ$10:AJ118)-ROUNDDOWN($K119*AJ$5/100,0)&lt;-AJ$6,-AJ$6-SUM(AJ$10:AJ118),-ROUNDDOWN($K119*AJ$5/100,0)),0)</f>
        <v>0</v>
      </c>
      <c r="AK119" s="38">
        <f>IF(AND(AK$7="○",$A119&gt;=AK$8,$A119&lt;=AK$9),IF(SUM(AK$10:AK118)-ROUNDDOWN($L119*AK$5/100,0)&lt;-AK$6,-AK$6-SUM(AK$10:AK118),-ROUNDDOWN($L119*AK$5/100,0)),0)</f>
        <v>0</v>
      </c>
      <c r="AL119" s="38">
        <f>IF(AND(AL$7="○",$A119&gt;=AL$8,$A119&lt;=AL$9),IF(SUM(AL$10:AL118)-ROUNDDOWN($N119*AL$5/100,0)&lt;-AL$6,-AL$6-SUM(AL$10:AL118),-ROUNDDOWN($N119*AL$5/100,0)),0)</f>
        <v>0</v>
      </c>
      <c r="AM119" s="38">
        <f>IF(AND(AM$7="○",$A119&gt;=AM$8,$A119&lt;=AM$9),IF(SUM(AM$10:AM118)-ROUNDDOWN($L119*AM$5/100,0)&lt;-AM$6,-AM$6-SUM(AM$10:AM118),-ROUNDDOWN($L119*AM$5/100,0)),0)</f>
        <v>0</v>
      </c>
      <c r="AN119" s="38">
        <f>IF(AND(AN$7="○",$A119&gt;=AN$8,$A119&lt;=AN$9),IF(SUM(AN$10:AN118)-ROUNDDOWN($M119*AN$5/100,0)&lt;-AN$6,-AN$6-SUM(AN$10:AN118),-ROUNDDOWN($M119*AN$5/100,0)),0)</f>
        <v>0</v>
      </c>
      <c r="AO119" s="38">
        <f>IF(AND($A119&gt;=AO$8,$A119&lt;=AO$9),IF(SUM(AO$10:AO118)-ROUNDDOWN($K119*AO$5/100,0)&lt;-AO$6,-AO$6-SUM(AO$10:AO118),-ROUNDDOWN($K119*AO$5/100,0)),0)</f>
        <v>0</v>
      </c>
      <c r="AP119" s="38">
        <f>IF(AND($A119&gt;=AP$8,$A119&lt;=AP$9),IF(SUM(AP$10:AP118)-ROUNDDOWN($K119*AP$5/100,0)&lt;-AP$6,-AP$6-SUM(AP$10:AP118),-ROUNDDOWN($K119*AP$5/100,0)),0)</f>
        <v>0</v>
      </c>
      <c r="AQ119" s="38">
        <f>IF(AND($A119&gt;=AQ$8,$A119&lt;=AQ$9),IF(SUM(AQ$10:AQ118)-ROUNDDOWN($K119*AQ$5/100,0)&lt;-AQ$6,-AQ$6-SUM(AQ$10:AQ118),-ROUNDDOWN($K119*AQ$5/100,0)),0)</f>
        <v>0</v>
      </c>
      <c r="AR119" s="38">
        <f>IF(AND($A119&gt;=AR$8,$A119&lt;=AR$9),IF(SUM(AR$10:AR118)-ROUNDDOWN($K119*AR$5/100,0)&lt;-AR$6,-AR$6-SUM(AR$10:AR118),-ROUNDDOWN($K119*AR$5/100,0)),0)</f>
        <v>0</v>
      </c>
      <c r="AS119" s="38">
        <f>IF(SUMIFS(AS$10:AS118,$A$10:$A118,$A119)-ROUNDDOWN($K119*$S119/100,0)&lt;-$S119*1000,-$S119*1000-SUMIFS(AS$10:AS118,$A$10:$A118,$A119),-ROUNDDOWN($K119*$S119/100,0))</f>
        <v>0</v>
      </c>
      <c r="AT119" s="38">
        <f>IF(AND(X119="○",$A119&gt;=AT$8,$A119&lt;=AT$9,K119&gt;=3980),IF(SUM(AT$10:AT118)-ROUNDDOWN($K119*AT$5/100,0)&lt;-AT$6,-AT$6-SUM(AT$10:AT118),-ROUNDDOWN($K119*AT$5/100,0)),0)</f>
        <v>0</v>
      </c>
      <c r="AU119" s="38">
        <f>IF(O119="○",IF(SUM(AU$10:AU118)-ROUNDDOWN($K119*AU$5/100,0)&lt;-AU$6,-AU$6-SUM(AU$10:AU118),-ROUNDDOWN($K119*AU$5/100,0)),0)</f>
        <v>0</v>
      </c>
      <c r="AV119" s="38">
        <f>IF(P119="○",IF(SUM(AV$10:AV118)-ROUNDDOWN($K119*AV$5/100,0)&lt;-AV$6,-AV$6-SUM(AV$10:AV118),-ROUNDDOWN($K119*AV$5/100,0)),0)</f>
        <v>0</v>
      </c>
      <c r="AW119" s="38">
        <f>IF(Q119="○",IF(SUM(AW$10:AW118)-ROUNDDOWN($K119*AW$5/100,0)&lt;-AW$6,-AW$6-SUM(AW$10:AW118),-ROUNDDOWN($K119*AW$5/100,0)),0)</f>
        <v>0</v>
      </c>
      <c r="AX119" s="38">
        <f>IF(R119="○",IF(SUM(AX$10:AX118)-ROUNDDOWN($K119*AX$5/100,0)&lt;-AX$6,-AX$6-SUM(AX$10:AX118),-ROUNDDOWN($K119*AX$5/100,0)),0)</f>
        <v>0</v>
      </c>
      <c r="AY119" s="70">
        <v>0</v>
      </c>
      <c r="AZ119" s="65">
        <f t="shared" si="88"/>
        <v>0</v>
      </c>
      <c r="BA119" s="65">
        <f t="shared" si="89"/>
        <v>0</v>
      </c>
      <c r="BB119" s="70"/>
      <c r="BC119" s="65">
        <f t="shared" si="90"/>
        <v>0</v>
      </c>
      <c r="BD119" s="70">
        <v>0</v>
      </c>
      <c r="BE119" s="65">
        <f t="shared" si="91"/>
        <v>0</v>
      </c>
      <c r="BF119" s="70">
        <v>0</v>
      </c>
      <c r="BG119" s="65">
        <f t="shared" si="92"/>
        <v>0</v>
      </c>
      <c r="BH119" s="70">
        <v>0</v>
      </c>
      <c r="BI119" s="65">
        <f t="shared" si="93"/>
        <v>0</v>
      </c>
      <c r="BJ119" s="38">
        <f>IF(AND(BJ$7="○",$A119&gt;=BJ$8,$A119&lt;=BJ$9),IF(SUM(BJ$10:BJ118)-ROUNDDOWN($M119*BJ$5/100,0)&lt;-BJ$6,-BJ$6-SUM(BJ$10:BJ118),-ROUNDDOWN($M119*BJ$5/100,0)),0)</f>
        <v>0</v>
      </c>
      <c r="BK119" s="38">
        <f>IF(AND(BK$7="○",$A119&gt;=BK$8,$A119&lt;=BK$9),IF(SUM(BK$10:BK118)-ROUNDDOWN($L119*BK$5/100,0)&lt;-BK$6,-BK$6-SUM(BK$10:BK118),-ROUNDDOWN($L119*BK$5/100,0)),0)</f>
        <v>0</v>
      </c>
      <c r="BL119" s="38">
        <f>IF(AND(BL$7="○",$A119&gt;=BL$8,$A119&lt;=BL$9),IF(SUM(BL$10:BL118)-ROUNDDOWN($L119*BL$5/100,0)&lt;-BL$6,-BL$6-SUM(BL$10:BL118),-ROUNDDOWN($L119*BL$5/100,0)),0)</f>
        <v>0</v>
      </c>
      <c r="BM119" s="38">
        <f>IF(AND(BM$7="○",$A119&gt;=BM$8,$A119&lt;=BM$9),IF(SUM(BM$10:BM118)-ROUNDDOWN($M119*BM$5/100,0)&lt;-BM$6,-BM$6-SUM(BM$10:BM118),-ROUNDDOWN($M119*BM$5/100,0)),0)</f>
        <v>0</v>
      </c>
      <c r="BN119" s="38">
        <f>IF(AND(BN$7="○",$A119&gt;=BN$8,$A119&lt;=BN$9),IF(SUM(BN$10:BN118)-ROUNDDOWN($M119*BN$5/100,0)&lt;-BN$6,-BN$6-SUM(BN$10:BN118),-ROUNDDOWN($M119*BN$5/100,0)),0)</f>
        <v>0</v>
      </c>
      <c r="BO119" s="38">
        <f>IF(AND(BO$7="○",$A119&gt;=BO$8,$A119&lt;=BO$9),IF(SUM(BO$10:BO118)-ROUNDDOWN($M119*BO$5/100,0)&lt;-BO$6,-BO$6-SUM(BO$10:BO118),-ROUNDDOWN($M119*BO$5/100,0)),0)</f>
        <v>0</v>
      </c>
      <c r="BP119" s="38">
        <f>IF(AND(BP$7="○",$A119&gt;=BP$8,$A119&lt;=BP$9),IF(SUM(BP$10:BP118)-ROUNDDOWN($M119*BP$5/100,0)&lt;-BP$6,-BP$6-SUM(BP$10:BP118),-ROUNDDOWN($M119*BP$5/100,0)),0)</f>
        <v>0</v>
      </c>
      <c r="BQ119" s="38">
        <f>IF(AND(BQ$7="○",$A119&gt;=BQ$8,$A119&lt;=BQ$9),IF(SUM(BQ$10:BQ118)-ROUNDDOWN($L119*BQ$5/100,0)&lt;-BQ$6,-BQ$6-SUM(BQ$10:BQ118),-ROUNDDOWN($L119*BQ$5/100,0)),0)</f>
        <v>0</v>
      </c>
      <c r="BR119" s="38">
        <f>IF(AND(BR$7="○",$A119&gt;=BR$8,$A119&lt;=BR$9),IF(SUM(BR$10:BR118)-ROUNDDOWN($M119*BR$5/100,0)&lt;-BR$6,-BR$6-SUM(BR$10:BR118),-ROUNDDOWN($M119*BR$5/100,0)),0)</f>
        <v>0</v>
      </c>
      <c r="BS119" s="38">
        <f>IF(AND(BS$7="○",$A119&gt;=BS$8,$A119&lt;=BS$9),IF(SUM(BS$10:BS118)-ROUNDDOWN($M119*BS$5/100,0)&lt;-BS$6,-BS$6-SUM(BS$10:BS118),-ROUNDDOWN($M119*BS$5/100,0)),0)</f>
        <v>0</v>
      </c>
      <c r="BT119" s="38">
        <f>IF(AND(BT$7="○",$A119&gt;=BT$8,$A119&lt;=BT$9),IF(SUM(BT$10:BT118)-ROUNDDOWN($M119*BT$5/100,0)&lt;-BT$6,-BT$6-SUM(BT$10:BT118),-ROUNDDOWN($M119*BT$5/100,0)),0)</f>
        <v>0</v>
      </c>
      <c r="BU119" s="38">
        <f>IF(AND(BU$7="○",$A119&gt;=BU$8,$A119&lt;=BU$9),IF(SUM(BU$10:BU118)-ROUNDDOWN($M119*BU$5/100,0)&lt;-BU$6,-BU$6-SUM(BU$10:BU118),-ROUNDDOWN($M119*BU$5/100,0)),0)</f>
        <v>0</v>
      </c>
      <c r="BV119" s="38">
        <f>IF(AND(BV$7="○",$A119&gt;=BV$8,$A119&lt;=BV$9),IF(SUM(BV$10:BV118)-ROUNDDOWN($M119*BV$5/100,0)&lt;-BV$6,-BV$6-SUM(BV$10:BV118),-ROUNDDOWN($M119*BV$5/100,0)),0)</f>
        <v>0</v>
      </c>
      <c r="BW119" s="38">
        <f>IF(AND(BW$7="○",$A119&gt;=BW$8,$A119&lt;=BW$9),IF(SUM(BW$10:BW118)-ROUNDDOWN($M119*BW$5/100,0)&lt;-BW$6,-BW$6-SUM(BW$10:BW118),-ROUNDDOWN($M119*BW$5/100,0)),0)</f>
        <v>0</v>
      </c>
      <c r="BX119" s="38">
        <f>IF(AND(T119="○",$A119&gt;=BX$8,$A119&lt;=BX$9),IF(SUM(BX$10:BX118)-ROUNDDOWN($K119*BX$5/100,0)&lt;-BX$6,-BX$6-SUM(BX$10:BX118),-ROUNDDOWN($K119*BX$5/100,0)),0)</f>
        <v>0</v>
      </c>
      <c r="BY119" s="38">
        <f>IF(AND(U119="○",$A119&gt;=BY$8,$A119&lt;=BY$9),IF(SUM(BY$10:BY118)-ROUNDDOWN($K119*BY$5/100,0)&lt;-BY$6,-BY$6-SUM(BY$10:BY118),-ROUNDDOWN($K119*BY$5/100,0)),0)</f>
        <v>0</v>
      </c>
      <c r="BZ119" s="38">
        <f>IF(AND(V119="○",$A119&gt;=BZ$8,$A119&lt;=BZ$9),IF(SUM(BZ$10:BZ118)-ROUNDDOWN($K119*BZ$5/100,0)&lt;-BZ$6,-BZ$6-SUM(BZ$10:BZ118),-ROUNDDOWN($K119*BZ$5/100,0)),0)</f>
        <v>0</v>
      </c>
      <c r="CA119" s="38">
        <f>IF(AND(W119="○",$A119&gt;=CA$8,$A119&lt;=CA$9),IF(SUM(CA$10:CA118)-ROUNDDOWN($K119*CA$5/100,0)&lt;-CA$6,-CA$6-SUM(CA$10:CA118),-ROUNDDOWN($K119*CA$5/100,0)),0)</f>
        <v>0</v>
      </c>
      <c r="CB119" s="38"/>
      <c r="CC119" s="38"/>
      <c r="CD119" s="38"/>
      <c r="CE119" s="38"/>
      <c r="CF119" s="38"/>
      <c r="CG119" s="65">
        <f t="shared" si="94"/>
        <v>0</v>
      </c>
      <c r="CH119" s="71">
        <f t="shared" si="95"/>
        <v>0</v>
      </c>
      <c r="CI119" s="1">
        <f t="shared" si="109"/>
        <v>0</v>
      </c>
      <c r="CJ119" s="1"/>
      <c r="CK119" s="75"/>
      <c r="CL119" s="75"/>
      <c r="CM119" s="2"/>
      <c r="CN119" s="2"/>
      <c r="CO119" s="73">
        <f t="shared" si="110"/>
        <v>0</v>
      </c>
      <c r="CP119" s="5">
        <f t="shared" si="111"/>
        <v>0</v>
      </c>
      <c r="CQ119" s="1"/>
      <c r="CR119" s="1">
        <f t="shared" si="112"/>
        <v>0</v>
      </c>
      <c r="CS119" s="1"/>
      <c r="CT119" s="1" t="e">
        <f>INDEX([2]マスタ!$A:$A,MATCH(D119,[2]マスタ!$C:$C,0))</f>
        <v>#N/A</v>
      </c>
      <c r="CU119" s="1" t="str">
        <f t="shared" ca="1" si="113"/>
        <v>20260620_0-0</v>
      </c>
    </row>
    <row r="120" spans="1:99" x14ac:dyDescent="0.4">
      <c r="A120" s="61"/>
      <c r="B120" s="62"/>
      <c r="C120" s="62"/>
      <c r="D120" s="62"/>
      <c r="E120" s="74"/>
      <c r="F120" s="62"/>
      <c r="G120" s="62">
        <v>1</v>
      </c>
      <c r="H120" s="64">
        <f t="shared" si="100"/>
        <v>0</v>
      </c>
      <c r="I120" s="64"/>
      <c r="J120" s="64"/>
      <c r="K120" s="65">
        <f t="shared" si="114"/>
        <v>0</v>
      </c>
      <c r="L120" s="65">
        <f t="shared" si="102"/>
        <v>0</v>
      </c>
      <c r="M120" s="65">
        <f t="shared" si="103"/>
        <v>0</v>
      </c>
      <c r="N120" s="65">
        <f t="shared" si="104"/>
        <v>0</v>
      </c>
      <c r="O120" s="66" t="str">
        <f t="shared" si="105"/>
        <v>✕</v>
      </c>
      <c r="P120" s="67" t="str">
        <f t="shared" si="106"/>
        <v>○</v>
      </c>
      <c r="Q120" s="67" t="str">
        <f t="shared" si="115"/>
        <v>✕</v>
      </c>
      <c r="R120" s="67" t="str">
        <f t="shared" si="108"/>
        <v>✕</v>
      </c>
      <c r="S120" s="68">
        <v>0</v>
      </c>
      <c r="T120" s="69" t="s">
        <v>85</v>
      </c>
      <c r="U120" s="69" t="s">
        <v>85</v>
      </c>
      <c r="V120" s="69" t="s">
        <v>85</v>
      </c>
      <c r="W120" s="69" t="s">
        <v>85</v>
      </c>
      <c r="X120" s="69" t="s">
        <v>84</v>
      </c>
      <c r="Y120" s="69" t="s">
        <v>85</v>
      </c>
      <c r="Z120" s="69" t="s">
        <v>85</v>
      </c>
      <c r="AA120" s="69" t="s">
        <v>85</v>
      </c>
      <c r="AB120" s="69" t="s">
        <v>85</v>
      </c>
      <c r="AC120" s="69" t="s">
        <v>85</v>
      </c>
      <c r="AD120" s="38" t="str">
        <f>+IF(ISERROR(VLOOKUP($B120,AD$10:AD119,1,0)),IF(AND($N120&gt;=1000,$A120&gt;=AO$8,$A120&lt;=AO$9),$B120,""),"")</f>
        <v/>
      </c>
      <c r="AE120" s="38" t="str">
        <f>+IF(ISERROR(VLOOKUP($B120,AE$10:AE119,1,0)),IF(AND($N120&gt;=1000,$A120&gt;=AP$8,$A120&lt;=AP$9),$B120,""),"")</f>
        <v/>
      </c>
      <c r="AF120" s="38" t="str">
        <f>+IF(ISERROR(VLOOKUP($B120,AF$10:AF119,1,0)),IF(AND($N120&gt;=1000,$A120&gt;=AQ$8,$A120&lt;=AQ$9),$B120,""),"")</f>
        <v/>
      </c>
      <c r="AG120" s="38" t="str">
        <f>+IF(ISERROR(VLOOKUP($B120,AG$10:AG119,1,0)),IF(AND($N120&gt;=1000,$A120&gt;=AR$8,$A120&lt;=AR$9),$B120,""),"")</f>
        <v/>
      </c>
      <c r="AH120" s="38"/>
      <c r="AI120" s="70">
        <v>0</v>
      </c>
      <c r="AJ120" s="38">
        <f>IF(AND(AJ$7="○",$A120&gt;=AJ$8,$A120&lt;=AJ$9),IF(SUM(AJ$10:AJ119)-ROUNDDOWN($K120*AJ$5/100,0)&lt;-AJ$6,-AJ$6-SUM(AJ$10:AJ119),-ROUNDDOWN($K120*AJ$5/100,0)),0)</f>
        <v>0</v>
      </c>
      <c r="AK120" s="38">
        <f>IF(AND(AK$7="○",$A120&gt;=AK$8,$A120&lt;=AK$9),IF(SUM(AK$10:AK119)-ROUNDDOWN($L120*AK$5/100,0)&lt;-AK$6,-AK$6-SUM(AK$10:AK119),-ROUNDDOWN($L120*AK$5/100,0)),0)</f>
        <v>0</v>
      </c>
      <c r="AL120" s="38">
        <f>IF(AND(AL$7="○",$A120&gt;=AL$8,$A120&lt;=AL$9),IF(SUM(AL$10:AL119)-ROUNDDOWN($N120*AL$5/100,0)&lt;-AL$6,-AL$6-SUM(AL$10:AL119),-ROUNDDOWN($N120*AL$5/100,0)),0)</f>
        <v>0</v>
      </c>
      <c r="AM120" s="38">
        <f>IF(AND(AM$7="○",$A120&gt;=AM$8,$A120&lt;=AM$9),IF(SUM(AM$10:AM119)-ROUNDDOWN($L120*AM$5/100,0)&lt;-AM$6,-AM$6-SUM(AM$10:AM119),-ROUNDDOWN($L120*AM$5/100,0)),0)</f>
        <v>0</v>
      </c>
      <c r="AN120" s="38">
        <f>IF(AND(AN$7="○",$A120&gt;=AN$8,$A120&lt;=AN$9),IF(SUM(AN$10:AN119)-ROUNDDOWN($M120*AN$5/100,0)&lt;-AN$6,-AN$6-SUM(AN$10:AN119),-ROUNDDOWN($M120*AN$5/100,0)),0)</f>
        <v>0</v>
      </c>
      <c r="AO120" s="38">
        <f>IF(AND($A120&gt;=AO$8,$A120&lt;=AO$9),IF(SUM(AO$10:AO119)-ROUNDDOWN($K120*AO$5/100,0)&lt;-AO$6,-AO$6-SUM(AO$10:AO119),-ROUNDDOWN($K120*AO$5/100,0)),0)</f>
        <v>0</v>
      </c>
      <c r="AP120" s="38">
        <f>IF(AND($A120&gt;=AP$8,$A120&lt;=AP$9),IF(SUM(AP$10:AP119)-ROUNDDOWN($K120*AP$5/100,0)&lt;-AP$6,-AP$6-SUM(AP$10:AP119),-ROUNDDOWN($K120*AP$5/100,0)),0)</f>
        <v>0</v>
      </c>
      <c r="AQ120" s="38">
        <f>IF(AND($A120&gt;=AQ$8,$A120&lt;=AQ$9),IF(SUM(AQ$10:AQ119)-ROUNDDOWN($K120*AQ$5/100,0)&lt;-AQ$6,-AQ$6-SUM(AQ$10:AQ119),-ROUNDDOWN($K120*AQ$5/100,0)),0)</f>
        <v>0</v>
      </c>
      <c r="AR120" s="38">
        <f>IF(AND($A120&gt;=AR$8,$A120&lt;=AR$9),IF(SUM(AR$10:AR119)-ROUNDDOWN($K120*AR$5/100,0)&lt;-AR$6,-AR$6-SUM(AR$10:AR119),-ROUNDDOWN($K120*AR$5/100,0)),0)</f>
        <v>0</v>
      </c>
      <c r="AS120" s="38">
        <f>IF(SUMIFS(AS$10:AS119,$A$10:$A119,$A120)-ROUNDDOWN($K120*$S120/100,0)&lt;-$S120*1000,-$S120*1000-SUMIFS(AS$10:AS119,$A$10:$A119,$A120),-ROUNDDOWN($K120*$S120/100,0))</f>
        <v>0</v>
      </c>
      <c r="AT120" s="38">
        <f>IF(AND(X120="○",$A120&gt;=AT$8,$A120&lt;=AT$9,K120&gt;=3980),IF(SUM(AT$10:AT119)-ROUNDDOWN($K120*AT$5/100,0)&lt;-AT$6,-AT$6-SUM(AT$10:AT119),-ROUNDDOWN($K120*AT$5/100,0)),0)</f>
        <v>0</v>
      </c>
      <c r="AU120" s="38">
        <f>IF(O120="○",IF(SUM(AU$10:AU119)-ROUNDDOWN($K120*AU$5/100,0)&lt;-AU$6,-AU$6-SUM(AU$10:AU119),-ROUNDDOWN($K120*AU$5/100,0)),0)</f>
        <v>0</v>
      </c>
      <c r="AV120" s="38">
        <f>IF(P120="○",IF(SUM(AV$10:AV119)-ROUNDDOWN($K120*AV$5/100,0)&lt;-AV$6,-AV$6-SUM(AV$10:AV119),-ROUNDDOWN($K120*AV$5/100,0)),0)</f>
        <v>0</v>
      </c>
      <c r="AW120" s="38">
        <f>IF(Q120="○",IF(SUM(AW$10:AW119)-ROUNDDOWN($K120*AW$5/100,0)&lt;-AW$6,-AW$6-SUM(AW$10:AW119),-ROUNDDOWN($K120*AW$5/100,0)),0)</f>
        <v>0</v>
      </c>
      <c r="AX120" s="38">
        <f>IF(R120="○",IF(SUM(AX$10:AX119)-ROUNDDOWN($K120*AX$5/100,0)&lt;-AX$6,-AX$6-SUM(AX$10:AX119),-ROUNDDOWN($K120*AX$5/100,0)),0)</f>
        <v>0</v>
      </c>
      <c r="AY120" s="70">
        <v>0</v>
      </c>
      <c r="AZ120" s="65">
        <f t="shared" si="88"/>
        <v>0</v>
      </c>
      <c r="BA120" s="65">
        <f t="shared" si="89"/>
        <v>0</v>
      </c>
      <c r="BB120" s="70"/>
      <c r="BC120" s="65">
        <f t="shared" si="90"/>
        <v>0</v>
      </c>
      <c r="BD120" s="70">
        <v>0</v>
      </c>
      <c r="BE120" s="65">
        <f t="shared" si="91"/>
        <v>0</v>
      </c>
      <c r="BF120" s="70">
        <v>0</v>
      </c>
      <c r="BG120" s="65">
        <f t="shared" si="92"/>
        <v>0</v>
      </c>
      <c r="BH120" s="70">
        <v>0</v>
      </c>
      <c r="BI120" s="65">
        <f t="shared" si="93"/>
        <v>0</v>
      </c>
      <c r="BJ120" s="38">
        <f>IF(AND(BJ$7="○",$A120&gt;=BJ$8,$A120&lt;=BJ$9),IF(SUM(BJ$10:BJ119)-ROUNDDOWN($M120*BJ$5/100,0)&lt;-BJ$6,-BJ$6-SUM(BJ$10:BJ119),-ROUNDDOWN($M120*BJ$5/100,0)),0)</f>
        <v>0</v>
      </c>
      <c r="BK120" s="38">
        <f>IF(AND(BK$7="○",$A120&gt;=BK$8,$A120&lt;=BK$9),IF(SUM(BK$10:BK119)-ROUNDDOWN($L120*BK$5/100,0)&lt;-BK$6,-BK$6-SUM(BK$10:BK119),-ROUNDDOWN($L120*BK$5/100,0)),0)</f>
        <v>0</v>
      </c>
      <c r="BL120" s="38">
        <f>IF(AND(BL$7="○",$A120&gt;=BL$8,$A120&lt;=BL$9),IF(SUM(BL$10:BL119)-ROUNDDOWN($L120*BL$5/100,0)&lt;-BL$6,-BL$6-SUM(BL$10:BL119),-ROUNDDOWN($L120*BL$5/100,0)),0)</f>
        <v>0</v>
      </c>
      <c r="BM120" s="38">
        <f>IF(AND(BM$7="○",$A120&gt;=BM$8,$A120&lt;=BM$9),IF(SUM(BM$10:BM119)-ROUNDDOWN($M120*BM$5/100,0)&lt;-BM$6,-BM$6-SUM(BM$10:BM119),-ROUNDDOWN($M120*BM$5/100,0)),0)</f>
        <v>0</v>
      </c>
      <c r="BN120" s="38">
        <f>IF(AND(BN$7="○",$A120&gt;=BN$8,$A120&lt;=BN$9),IF(SUM(BN$10:BN119)-ROUNDDOWN($M120*BN$5/100,0)&lt;-BN$6,-BN$6-SUM(BN$10:BN119),-ROUNDDOWN($M120*BN$5/100,0)),0)</f>
        <v>0</v>
      </c>
      <c r="BO120" s="38">
        <f>IF(AND(BO$7="○",$A120&gt;=BO$8,$A120&lt;=BO$9),IF(SUM(BO$10:BO119)-ROUNDDOWN($M120*BO$5/100,0)&lt;-BO$6,-BO$6-SUM(BO$10:BO119),-ROUNDDOWN($M120*BO$5/100,0)),0)</f>
        <v>0</v>
      </c>
      <c r="BP120" s="38">
        <f>IF(AND(BP$7="○",$A120&gt;=BP$8,$A120&lt;=BP$9),IF(SUM(BP$10:BP119)-ROUNDDOWN($M120*BP$5/100,0)&lt;-BP$6,-BP$6-SUM(BP$10:BP119),-ROUNDDOWN($M120*BP$5/100,0)),0)</f>
        <v>0</v>
      </c>
      <c r="BQ120" s="38">
        <f>IF(AND(BQ$7="○",$A120&gt;=BQ$8,$A120&lt;=BQ$9),IF(SUM(BQ$10:BQ119)-ROUNDDOWN($L120*BQ$5/100,0)&lt;-BQ$6,-BQ$6-SUM(BQ$10:BQ119),-ROUNDDOWN($L120*BQ$5/100,0)),0)</f>
        <v>0</v>
      </c>
      <c r="BR120" s="38">
        <f>IF(AND(BR$7="○",$A120&gt;=BR$8,$A120&lt;=BR$9),IF(SUM(BR$10:BR119)-ROUNDDOWN($M120*BR$5/100,0)&lt;-BR$6,-BR$6-SUM(BR$10:BR119),-ROUNDDOWN($M120*BR$5/100,0)),0)</f>
        <v>0</v>
      </c>
      <c r="BS120" s="38">
        <f>IF(AND(BS$7="○",$A120&gt;=BS$8,$A120&lt;=BS$9),IF(SUM(BS$10:BS119)-ROUNDDOWN($M120*BS$5/100,0)&lt;-BS$6,-BS$6-SUM(BS$10:BS119),-ROUNDDOWN($M120*BS$5/100,0)),0)</f>
        <v>0</v>
      </c>
      <c r="BT120" s="38">
        <f>IF(AND(BT$7="○",$A120&gt;=BT$8,$A120&lt;=BT$9),IF(SUM(BT$10:BT119)-ROUNDDOWN($M120*BT$5/100,0)&lt;-BT$6,-BT$6-SUM(BT$10:BT119),-ROUNDDOWN($M120*BT$5/100,0)),0)</f>
        <v>0</v>
      </c>
      <c r="BU120" s="38">
        <f>IF(AND(BU$7="○",$A120&gt;=BU$8,$A120&lt;=BU$9),IF(SUM(BU$10:BU119)-ROUNDDOWN($M120*BU$5/100,0)&lt;-BU$6,-BU$6-SUM(BU$10:BU119),-ROUNDDOWN($M120*BU$5/100,0)),0)</f>
        <v>0</v>
      </c>
      <c r="BV120" s="38">
        <f>IF(AND(BV$7="○",$A120&gt;=BV$8,$A120&lt;=BV$9),IF(SUM(BV$10:BV119)-ROUNDDOWN($M120*BV$5/100,0)&lt;-BV$6,-BV$6-SUM(BV$10:BV119),-ROUNDDOWN($M120*BV$5/100,0)),0)</f>
        <v>0</v>
      </c>
      <c r="BW120" s="38">
        <f>IF(AND(BW$7="○",$A120&gt;=BW$8,$A120&lt;=BW$9),IF(SUM(BW$10:BW119)-ROUNDDOWN($M120*BW$5/100,0)&lt;-BW$6,-BW$6-SUM(BW$10:BW119),-ROUNDDOWN($M120*BW$5/100,0)),0)</f>
        <v>0</v>
      </c>
      <c r="BX120" s="38">
        <f>IF(AND(T120="○",$A120&gt;=BX$8,$A120&lt;=BX$9),IF(SUM(BX$10:BX119)-ROUNDDOWN($K120*BX$5/100,0)&lt;-BX$6,-BX$6-SUM(BX$10:BX119),-ROUNDDOWN($K120*BX$5/100,0)),0)</f>
        <v>0</v>
      </c>
      <c r="BY120" s="38">
        <f>IF(AND(U120="○",$A120&gt;=BY$8,$A120&lt;=BY$9),IF(SUM(BY$10:BY119)-ROUNDDOWN($K120*BY$5/100,0)&lt;-BY$6,-BY$6-SUM(BY$10:BY119),-ROUNDDOWN($K120*BY$5/100,0)),0)</f>
        <v>0</v>
      </c>
      <c r="BZ120" s="38">
        <f>IF(AND(V120="○",$A120&gt;=BZ$8,$A120&lt;=BZ$9),IF(SUM(BZ$10:BZ119)-ROUNDDOWN($K120*BZ$5/100,0)&lt;-BZ$6,-BZ$6-SUM(BZ$10:BZ119),-ROUNDDOWN($K120*BZ$5/100,0)),0)</f>
        <v>0</v>
      </c>
      <c r="CA120" s="38">
        <f>IF(AND(W120="○",$A120&gt;=CA$8,$A120&lt;=CA$9),IF(SUM(CA$10:CA119)-ROUNDDOWN($K120*CA$5/100,0)&lt;-CA$6,-CA$6-SUM(CA$10:CA119),-ROUNDDOWN($K120*CA$5/100,0)),0)</f>
        <v>0</v>
      </c>
      <c r="CB120" s="38"/>
      <c r="CC120" s="38"/>
      <c r="CD120" s="38"/>
      <c r="CE120" s="38"/>
      <c r="CF120" s="38"/>
      <c r="CG120" s="65">
        <f t="shared" si="94"/>
        <v>0</v>
      </c>
      <c r="CH120" s="71">
        <f t="shared" si="95"/>
        <v>0</v>
      </c>
      <c r="CI120" s="1">
        <f t="shared" si="109"/>
        <v>0</v>
      </c>
      <c r="CJ120" s="1"/>
      <c r="CK120" s="75"/>
      <c r="CL120" s="75"/>
      <c r="CM120" s="2"/>
      <c r="CN120" s="2"/>
      <c r="CO120" s="73">
        <f t="shared" si="110"/>
        <v>0</v>
      </c>
      <c r="CP120" s="5">
        <f t="shared" si="111"/>
        <v>0</v>
      </c>
      <c r="CQ120" s="1"/>
      <c r="CR120" s="1">
        <f t="shared" si="112"/>
        <v>0</v>
      </c>
      <c r="CS120" s="1"/>
      <c r="CT120" s="1" t="e">
        <f>INDEX([2]マスタ!$A:$A,MATCH(D120,[2]マスタ!$C:$C,0))</f>
        <v>#N/A</v>
      </c>
      <c r="CU120" s="1" t="str">
        <f t="shared" ca="1" si="113"/>
        <v>20260620_0-0</v>
      </c>
    </row>
    <row r="121" spans="1:99" x14ac:dyDescent="0.4">
      <c r="A121" s="61"/>
      <c r="B121" s="62"/>
      <c r="C121" s="62"/>
      <c r="D121" s="62"/>
      <c r="E121" s="74"/>
      <c r="F121" s="62"/>
      <c r="G121" s="62">
        <v>1</v>
      </c>
      <c r="H121" s="64">
        <f t="shared" si="100"/>
        <v>0</v>
      </c>
      <c r="I121" s="64"/>
      <c r="J121" s="64"/>
      <c r="K121" s="65">
        <f t="shared" si="114"/>
        <v>0</v>
      </c>
      <c r="L121" s="65">
        <f t="shared" si="102"/>
        <v>0</v>
      </c>
      <c r="M121" s="65">
        <f t="shared" si="103"/>
        <v>0</v>
      </c>
      <c r="N121" s="65">
        <f t="shared" si="104"/>
        <v>0</v>
      </c>
      <c r="O121" s="66" t="str">
        <f t="shared" si="105"/>
        <v>✕</v>
      </c>
      <c r="P121" s="67" t="str">
        <f t="shared" si="106"/>
        <v>○</v>
      </c>
      <c r="Q121" s="67" t="str">
        <f t="shared" si="115"/>
        <v>✕</v>
      </c>
      <c r="R121" s="67" t="str">
        <f t="shared" si="108"/>
        <v>✕</v>
      </c>
      <c r="S121" s="68">
        <v>0</v>
      </c>
      <c r="T121" s="69" t="s">
        <v>85</v>
      </c>
      <c r="U121" s="69" t="s">
        <v>85</v>
      </c>
      <c r="V121" s="69" t="s">
        <v>85</v>
      </c>
      <c r="W121" s="69" t="s">
        <v>85</v>
      </c>
      <c r="X121" s="69" t="s">
        <v>84</v>
      </c>
      <c r="Y121" s="69" t="s">
        <v>85</v>
      </c>
      <c r="Z121" s="69" t="s">
        <v>85</v>
      </c>
      <c r="AA121" s="69" t="s">
        <v>85</v>
      </c>
      <c r="AB121" s="69" t="s">
        <v>85</v>
      </c>
      <c r="AC121" s="69" t="s">
        <v>85</v>
      </c>
      <c r="AD121" s="38" t="str">
        <f>+IF(ISERROR(VLOOKUP($B121,AD$10:AD120,1,0)),IF(AND($N121&gt;=1000,$A121&gt;=AO$8,$A121&lt;=AO$9),$B121,""),"")</f>
        <v/>
      </c>
      <c r="AE121" s="38" t="str">
        <f>+IF(ISERROR(VLOOKUP($B121,AE$10:AE120,1,0)),IF(AND($N121&gt;=1000,$A121&gt;=AP$8,$A121&lt;=AP$9),$B121,""),"")</f>
        <v/>
      </c>
      <c r="AF121" s="38" t="str">
        <f>+IF(ISERROR(VLOOKUP($B121,AF$10:AF120,1,0)),IF(AND($N121&gt;=1000,$A121&gt;=AQ$8,$A121&lt;=AQ$9),$B121,""),"")</f>
        <v/>
      </c>
      <c r="AG121" s="38" t="str">
        <f>+IF(ISERROR(VLOOKUP($B121,AG$10:AG120,1,0)),IF(AND($N121&gt;=1000,$A121&gt;=AR$8,$A121&lt;=AR$9),$B121,""),"")</f>
        <v/>
      </c>
      <c r="AH121" s="38"/>
      <c r="AI121" s="70">
        <v>0</v>
      </c>
      <c r="AJ121" s="38">
        <f>IF(AND(AJ$7="○",$A121&gt;=AJ$8,$A121&lt;=AJ$9),IF(SUM(AJ$10:AJ120)-ROUNDDOWN($K121*AJ$5/100,0)&lt;-AJ$6,-AJ$6-SUM(AJ$10:AJ120),-ROUNDDOWN($K121*AJ$5/100,0)),0)</f>
        <v>0</v>
      </c>
      <c r="AK121" s="38">
        <f>IF(AND(AK$7="○",$A121&gt;=AK$8,$A121&lt;=AK$9),IF(SUM(AK$10:AK120)-ROUNDDOWN($L121*AK$5/100,0)&lt;-AK$6,-AK$6-SUM(AK$10:AK120),-ROUNDDOWN($L121*AK$5/100,0)),0)</f>
        <v>0</v>
      </c>
      <c r="AL121" s="38">
        <f>IF(AND(AL$7="○",$A121&gt;=AL$8,$A121&lt;=AL$9),IF(SUM(AL$10:AL120)-ROUNDDOWN($N121*AL$5/100,0)&lt;-AL$6,-AL$6-SUM(AL$10:AL120),-ROUNDDOWN($N121*AL$5/100,0)),0)</f>
        <v>0</v>
      </c>
      <c r="AM121" s="38">
        <f>IF(AND(AM$7="○",$A121&gt;=AM$8,$A121&lt;=AM$9),IF(SUM(AM$10:AM120)-ROUNDDOWN($L121*AM$5/100,0)&lt;-AM$6,-AM$6-SUM(AM$10:AM120),-ROUNDDOWN($L121*AM$5/100,0)),0)</f>
        <v>0</v>
      </c>
      <c r="AN121" s="38">
        <f>IF(AND(AN$7="○",$A121&gt;=AN$8,$A121&lt;=AN$9),IF(SUM(AN$10:AN120)-ROUNDDOWN($M121*AN$5/100,0)&lt;-AN$6,-AN$6-SUM(AN$10:AN120),-ROUNDDOWN($M121*AN$5/100,0)),0)</f>
        <v>0</v>
      </c>
      <c r="AO121" s="38">
        <f>IF(AND($A121&gt;=AO$8,$A121&lt;=AO$9),IF(SUM(AO$10:AO120)-ROUNDDOWN($K121*AO$5/100,0)&lt;-AO$6,-AO$6-SUM(AO$10:AO120),-ROUNDDOWN($K121*AO$5/100,0)),0)</f>
        <v>0</v>
      </c>
      <c r="AP121" s="38">
        <f>IF(AND($A121&gt;=AP$8,$A121&lt;=AP$9),IF(SUM(AP$10:AP120)-ROUNDDOWN($K121*AP$5/100,0)&lt;-AP$6,-AP$6-SUM(AP$10:AP120),-ROUNDDOWN($K121*AP$5/100,0)),0)</f>
        <v>0</v>
      </c>
      <c r="AQ121" s="38">
        <f>IF(AND($A121&gt;=AQ$8,$A121&lt;=AQ$9),IF(SUM(AQ$10:AQ120)-ROUNDDOWN($K121*AQ$5/100,0)&lt;-AQ$6,-AQ$6-SUM(AQ$10:AQ120),-ROUNDDOWN($K121*AQ$5/100,0)),0)</f>
        <v>0</v>
      </c>
      <c r="AR121" s="38">
        <f>IF(AND($A121&gt;=AR$8,$A121&lt;=AR$9),IF(SUM(AR$10:AR120)-ROUNDDOWN($K121*AR$5/100,0)&lt;-AR$6,-AR$6-SUM(AR$10:AR120),-ROUNDDOWN($K121*AR$5/100,0)),0)</f>
        <v>0</v>
      </c>
      <c r="AS121" s="38">
        <f>IF(SUMIFS(AS$10:AS120,$A$10:$A120,$A121)-ROUNDDOWN($K121*$S121/100,0)&lt;-$S121*1000,-$S121*1000-SUMIFS(AS$10:AS120,$A$10:$A120,$A121),-ROUNDDOWN($K121*$S121/100,0))</f>
        <v>0</v>
      </c>
      <c r="AT121" s="38">
        <f>IF(AND(X121="○",$A121&gt;=AT$8,$A121&lt;=AT$9,K121&gt;=3980),IF(SUM(AT$10:AT120)-ROUNDDOWN($K121*AT$5/100,0)&lt;-AT$6,-AT$6-SUM(AT$10:AT120),-ROUNDDOWN($K121*AT$5/100,0)),0)</f>
        <v>0</v>
      </c>
      <c r="AU121" s="38">
        <f>IF(O121="○",IF(SUM(AU$10:AU120)-ROUNDDOWN($K121*AU$5/100,0)&lt;-AU$6,-AU$6-SUM(AU$10:AU120),-ROUNDDOWN($K121*AU$5/100,0)),0)</f>
        <v>0</v>
      </c>
      <c r="AV121" s="38">
        <f>IF(P121="○",IF(SUM(AV$10:AV120)-ROUNDDOWN($K121*AV$5/100,0)&lt;-AV$6,-AV$6-SUM(AV$10:AV120),-ROUNDDOWN($K121*AV$5/100,0)),0)</f>
        <v>0</v>
      </c>
      <c r="AW121" s="38">
        <f>IF(Q121="○",IF(SUM(AW$10:AW120)-ROUNDDOWN($K121*AW$5/100,0)&lt;-AW$6,-AW$6-SUM(AW$10:AW120),-ROUNDDOWN($K121*AW$5/100,0)),0)</f>
        <v>0</v>
      </c>
      <c r="AX121" s="38">
        <f>IF(R121="○",IF(SUM(AX$10:AX120)-ROUNDDOWN($K121*AX$5/100,0)&lt;-AX$6,-AX$6-SUM(AX$10:AX120),-ROUNDDOWN($K121*AX$5/100,0)),0)</f>
        <v>0</v>
      </c>
      <c r="AY121" s="70">
        <v>0</v>
      </c>
      <c r="AZ121" s="65">
        <f t="shared" si="88"/>
        <v>0</v>
      </c>
      <c r="BA121" s="65">
        <f t="shared" si="89"/>
        <v>0</v>
      </c>
      <c r="BB121" s="70"/>
      <c r="BC121" s="65">
        <f t="shared" si="90"/>
        <v>0</v>
      </c>
      <c r="BD121" s="70">
        <v>0</v>
      </c>
      <c r="BE121" s="65">
        <f t="shared" si="91"/>
        <v>0</v>
      </c>
      <c r="BF121" s="70">
        <v>0</v>
      </c>
      <c r="BG121" s="65">
        <f t="shared" si="92"/>
        <v>0</v>
      </c>
      <c r="BH121" s="70">
        <v>0</v>
      </c>
      <c r="BI121" s="65">
        <f t="shared" si="93"/>
        <v>0</v>
      </c>
      <c r="BJ121" s="38">
        <f>IF(AND(BJ$7="○",$A121&gt;=BJ$8,$A121&lt;=BJ$9),IF(SUM(BJ$10:BJ120)-ROUNDDOWN($M121*BJ$5/100,0)&lt;-BJ$6,-BJ$6-SUM(BJ$10:BJ120),-ROUNDDOWN($M121*BJ$5/100,0)),0)</f>
        <v>0</v>
      </c>
      <c r="BK121" s="38">
        <f>IF(AND(BK$7="○",$A121&gt;=BK$8,$A121&lt;=BK$9),IF(SUM(BK$10:BK120)-ROUNDDOWN($L121*BK$5/100,0)&lt;-BK$6,-BK$6-SUM(BK$10:BK120),-ROUNDDOWN($L121*BK$5/100,0)),0)</f>
        <v>0</v>
      </c>
      <c r="BL121" s="38">
        <f>IF(AND(BL$7="○",$A121&gt;=BL$8,$A121&lt;=BL$9),IF(SUM(BL$10:BL120)-ROUNDDOWN($L121*BL$5/100,0)&lt;-BL$6,-BL$6-SUM(BL$10:BL120),-ROUNDDOWN($L121*BL$5/100,0)),0)</f>
        <v>0</v>
      </c>
      <c r="BM121" s="38">
        <f>IF(AND(BM$7="○",$A121&gt;=BM$8,$A121&lt;=BM$9),IF(SUM(BM$10:BM120)-ROUNDDOWN($M121*BM$5/100,0)&lt;-BM$6,-BM$6-SUM(BM$10:BM120),-ROUNDDOWN($M121*BM$5/100,0)),0)</f>
        <v>0</v>
      </c>
      <c r="BN121" s="38">
        <f>IF(AND(BN$7="○",$A121&gt;=BN$8,$A121&lt;=BN$9),IF(SUM(BN$10:BN120)-ROUNDDOWN($M121*BN$5/100,0)&lt;-BN$6,-BN$6-SUM(BN$10:BN120),-ROUNDDOWN($M121*BN$5/100,0)),0)</f>
        <v>0</v>
      </c>
      <c r="BO121" s="38">
        <f>IF(AND(BO$7="○",$A121&gt;=BO$8,$A121&lt;=BO$9),IF(SUM(BO$10:BO120)-ROUNDDOWN($M121*BO$5/100,0)&lt;-BO$6,-BO$6-SUM(BO$10:BO120),-ROUNDDOWN($M121*BO$5/100,0)),0)</f>
        <v>0</v>
      </c>
      <c r="BP121" s="38">
        <f>IF(AND(BP$7="○",$A121&gt;=BP$8,$A121&lt;=BP$9),IF(SUM(BP$10:BP120)-ROUNDDOWN($M121*BP$5/100,0)&lt;-BP$6,-BP$6-SUM(BP$10:BP120),-ROUNDDOWN($M121*BP$5/100,0)),0)</f>
        <v>0</v>
      </c>
      <c r="BQ121" s="38">
        <f>IF(AND(BQ$7="○",$A121&gt;=BQ$8,$A121&lt;=BQ$9),IF(SUM(BQ$10:BQ120)-ROUNDDOWN($L121*BQ$5/100,0)&lt;-BQ$6,-BQ$6-SUM(BQ$10:BQ120),-ROUNDDOWN($L121*BQ$5/100,0)),0)</f>
        <v>0</v>
      </c>
      <c r="BR121" s="38">
        <f>IF(AND(BR$7="○",$A121&gt;=BR$8,$A121&lt;=BR$9),IF(SUM(BR$10:BR120)-ROUNDDOWN($M121*BR$5/100,0)&lt;-BR$6,-BR$6-SUM(BR$10:BR120),-ROUNDDOWN($M121*BR$5/100,0)),0)</f>
        <v>0</v>
      </c>
      <c r="BS121" s="38">
        <f>IF(AND(BS$7="○",$A121&gt;=BS$8,$A121&lt;=BS$9),IF(SUM(BS$10:BS120)-ROUNDDOWN($M121*BS$5/100,0)&lt;-BS$6,-BS$6-SUM(BS$10:BS120),-ROUNDDOWN($M121*BS$5/100,0)),0)</f>
        <v>0</v>
      </c>
      <c r="BT121" s="38">
        <f>IF(AND(BT$7="○",$A121&gt;=BT$8,$A121&lt;=BT$9),IF(SUM(BT$10:BT120)-ROUNDDOWN($M121*BT$5/100,0)&lt;-BT$6,-BT$6-SUM(BT$10:BT120),-ROUNDDOWN($M121*BT$5/100,0)),0)</f>
        <v>0</v>
      </c>
      <c r="BU121" s="38">
        <f>IF(AND(BU$7="○",$A121&gt;=BU$8,$A121&lt;=BU$9),IF(SUM(BU$10:BU120)-ROUNDDOWN($M121*BU$5/100,0)&lt;-BU$6,-BU$6-SUM(BU$10:BU120),-ROUNDDOWN($M121*BU$5/100,0)),0)</f>
        <v>0</v>
      </c>
      <c r="BV121" s="38">
        <f>IF(AND(BV$7="○",$A121&gt;=BV$8,$A121&lt;=BV$9),IF(SUM(BV$10:BV120)-ROUNDDOWN($M121*BV$5/100,0)&lt;-BV$6,-BV$6-SUM(BV$10:BV120),-ROUNDDOWN($M121*BV$5/100,0)),0)</f>
        <v>0</v>
      </c>
      <c r="BW121" s="38">
        <f>IF(AND(BW$7="○",$A121&gt;=BW$8,$A121&lt;=BW$9),IF(SUM(BW$10:BW120)-ROUNDDOWN($M121*BW$5/100,0)&lt;-BW$6,-BW$6-SUM(BW$10:BW120),-ROUNDDOWN($M121*BW$5/100,0)),0)</f>
        <v>0</v>
      </c>
      <c r="BX121" s="38">
        <f>IF(AND(T121="○",$A121&gt;=BX$8,$A121&lt;=BX$9),IF(SUM(BX$10:BX120)-ROUNDDOWN($K121*BX$5/100,0)&lt;-BX$6,-BX$6-SUM(BX$10:BX120),-ROUNDDOWN($K121*BX$5/100,0)),0)</f>
        <v>0</v>
      </c>
      <c r="BY121" s="38">
        <f>IF(AND(U121="○",$A121&gt;=BY$8,$A121&lt;=BY$9),IF(SUM(BY$10:BY120)-ROUNDDOWN($K121*BY$5/100,0)&lt;-BY$6,-BY$6-SUM(BY$10:BY120),-ROUNDDOWN($K121*BY$5/100,0)),0)</f>
        <v>0</v>
      </c>
      <c r="BZ121" s="38">
        <f>IF(AND(V121="○",$A121&gt;=BZ$8,$A121&lt;=BZ$9),IF(SUM(BZ$10:BZ120)-ROUNDDOWN($K121*BZ$5/100,0)&lt;-BZ$6,-BZ$6-SUM(BZ$10:BZ120),-ROUNDDOWN($K121*BZ$5/100,0)),0)</f>
        <v>0</v>
      </c>
      <c r="CA121" s="38">
        <f>IF(AND(W121="○",$A121&gt;=CA$8,$A121&lt;=CA$9),IF(SUM(CA$10:CA120)-ROUNDDOWN($K121*CA$5/100,0)&lt;-CA$6,-CA$6-SUM(CA$10:CA120),-ROUNDDOWN($K121*CA$5/100,0)),0)</f>
        <v>0</v>
      </c>
      <c r="CB121" s="38"/>
      <c r="CC121" s="38"/>
      <c r="CD121" s="38"/>
      <c r="CE121" s="38"/>
      <c r="CF121" s="38"/>
      <c r="CG121" s="65">
        <f t="shared" si="94"/>
        <v>0</v>
      </c>
      <c r="CH121" s="71">
        <f t="shared" si="95"/>
        <v>0</v>
      </c>
      <c r="CI121" s="1">
        <f t="shared" si="109"/>
        <v>0</v>
      </c>
      <c r="CJ121" s="1"/>
      <c r="CK121" s="75"/>
      <c r="CL121" s="75"/>
      <c r="CM121" s="2"/>
      <c r="CN121" s="2"/>
      <c r="CO121" s="73">
        <f t="shared" si="110"/>
        <v>0</v>
      </c>
      <c r="CP121" s="5">
        <f t="shared" si="111"/>
        <v>0</v>
      </c>
      <c r="CQ121" s="1"/>
      <c r="CR121" s="1">
        <f t="shared" si="112"/>
        <v>0</v>
      </c>
      <c r="CS121" s="1"/>
      <c r="CT121" s="1" t="e">
        <f>INDEX([2]マスタ!$A:$A,MATCH(D121,[2]マスタ!$C:$C,0))</f>
        <v>#N/A</v>
      </c>
      <c r="CU121" s="1" t="str">
        <f t="shared" ca="1" si="113"/>
        <v>20260620_0-0</v>
      </c>
    </row>
    <row r="122" spans="1:99" x14ac:dyDescent="0.4">
      <c r="A122" s="61"/>
      <c r="B122" s="62"/>
      <c r="C122" s="62"/>
      <c r="D122" s="62"/>
      <c r="E122" s="74"/>
      <c r="F122" s="62"/>
      <c r="G122" s="62">
        <v>1</v>
      </c>
      <c r="H122" s="64">
        <f t="shared" si="100"/>
        <v>0</v>
      </c>
      <c r="I122" s="64"/>
      <c r="J122" s="64"/>
      <c r="K122" s="65">
        <f>+ROUNDDOWN((H122+I122)/100,0)*100</f>
        <v>0</v>
      </c>
      <c r="L122" s="65">
        <f t="shared" si="102"/>
        <v>0</v>
      </c>
      <c r="M122" s="65">
        <f t="shared" si="103"/>
        <v>0</v>
      </c>
      <c r="N122" s="65">
        <f t="shared" si="104"/>
        <v>0</v>
      </c>
      <c r="O122" s="66" t="str">
        <f t="shared" si="105"/>
        <v>✕</v>
      </c>
      <c r="P122" s="67" t="str">
        <f t="shared" si="106"/>
        <v>○</v>
      </c>
      <c r="Q122" s="67" t="str">
        <f>+IF((TEXT($A122,"DD")+0)=1,"○","✕")</f>
        <v>✕</v>
      </c>
      <c r="R122" s="67" t="str">
        <f t="shared" si="108"/>
        <v>✕</v>
      </c>
      <c r="S122" s="68">
        <v>0</v>
      </c>
      <c r="T122" s="69" t="s">
        <v>85</v>
      </c>
      <c r="U122" s="69" t="s">
        <v>85</v>
      </c>
      <c r="V122" s="69" t="s">
        <v>85</v>
      </c>
      <c r="W122" s="69" t="s">
        <v>85</v>
      </c>
      <c r="X122" s="69" t="s">
        <v>84</v>
      </c>
      <c r="Y122" s="69" t="s">
        <v>85</v>
      </c>
      <c r="Z122" s="69" t="s">
        <v>85</v>
      </c>
      <c r="AA122" s="69" t="s">
        <v>85</v>
      </c>
      <c r="AB122" s="69" t="s">
        <v>85</v>
      </c>
      <c r="AC122" s="69" t="s">
        <v>85</v>
      </c>
      <c r="AD122" s="38" t="str">
        <f>+IF(ISERROR(VLOOKUP($B122,AD$10:AD121,1,0)),IF(AND($N122&gt;=1000,$A122&gt;=AO$8,$A122&lt;=AO$9),$B122,""),"")</f>
        <v/>
      </c>
      <c r="AE122" s="38" t="str">
        <f>+IF(ISERROR(VLOOKUP($B122,AE$10:AE121,1,0)),IF(AND($N122&gt;=1000,$A122&gt;=AP$8,$A122&lt;=AP$9),$B122,""),"")</f>
        <v/>
      </c>
      <c r="AF122" s="38" t="str">
        <f>+IF(ISERROR(VLOOKUP($B122,AF$10:AF121,1,0)),IF(AND($N122&gt;=1000,$A122&gt;=AQ$8,$A122&lt;=AQ$9),$B122,""),"")</f>
        <v/>
      </c>
      <c r="AG122" s="38" t="str">
        <f>+IF(ISERROR(VLOOKUP($B122,AG$10:AG121,1,0)),IF(AND($N122&gt;=1000,$A122&gt;=AR$8,$A122&lt;=AR$9),$B122,""),"")</f>
        <v/>
      </c>
      <c r="AH122" s="38"/>
      <c r="AI122" s="70">
        <v>0</v>
      </c>
      <c r="AJ122" s="38">
        <f>IF(AND(AJ$7="○",$A122&gt;=AJ$8,$A122&lt;=AJ$9),IF(SUM(AJ$10:AJ121)-ROUNDDOWN($K122*AJ$5/100,0)&lt;-AJ$6,-AJ$6-SUM(AJ$10:AJ121),-ROUNDDOWN($K122*AJ$5/100,0)),0)</f>
        <v>0</v>
      </c>
      <c r="AK122" s="38">
        <f>IF(AND(AK$7="○",$A122&gt;=AK$8,$A122&lt;=AK$9),IF(SUM(AK$10:AK121)-ROUNDDOWN($L122*AK$5/100,0)&lt;-AK$6,-AK$6-SUM(AK$10:AK121),-ROUNDDOWN($L122*AK$5/100,0)),0)</f>
        <v>0</v>
      </c>
      <c r="AL122" s="38">
        <f>IF(AND(AL$7="○",$A122&gt;=AL$8,$A122&lt;=AL$9),IF(SUM(AL$10:AL121)-ROUNDDOWN($N122*AL$5/100,0)&lt;-AL$6,-AL$6-SUM(AL$10:AL121),-ROUNDDOWN($N122*AL$5/100,0)),0)</f>
        <v>0</v>
      </c>
      <c r="AM122" s="38">
        <f>IF(AND(AM$7="○",$A122&gt;=AM$8,$A122&lt;=AM$9),IF(SUM(AM$10:AM121)-ROUNDDOWN($L122*AM$5/100,0)&lt;-AM$6,-AM$6-SUM(AM$10:AM121),-ROUNDDOWN($L122*AM$5/100,0)),0)</f>
        <v>0</v>
      </c>
      <c r="AN122" s="38">
        <f>IF(AND(AN$7="○",$A122&gt;=AN$8,$A122&lt;=AN$9),IF(SUM(AN$10:AN121)-ROUNDDOWN($M122*AN$5/100,0)&lt;-AN$6,-AN$6-SUM(AN$10:AN121),-ROUNDDOWN($M122*AN$5/100,0)),0)</f>
        <v>0</v>
      </c>
      <c r="AO122" s="38">
        <f>IF(AND($A122&gt;=AO$8,$A122&lt;=AO$9),IF(SUM(AO$10:AO121)-ROUNDDOWN($K122*AO$5/100,0)&lt;-AO$6,-AO$6-SUM(AO$10:AO121),-ROUNDDOWN($K122*AO$5/100,0)),0)</f>
        <v>0</v>
      </c>
      <c r="AP122" s="38">
        <f>IF(AND($A122&gt;=AP$8,$A122&lt;=AP$9),IF(SUM(AP$10:AP121)-ROUNDDOWN($K122*AP$5/100,0)&lt;-AP$6,-AP$6-SUM(AP$10:AP121),-ROUNDDOWN($K122*AP$5/100,0)),0)</f>
        <v>0</v>
      </c>
      <c r="AQ122" s="38">
        <f>IF(AND($A122&gt;=AQ$8,$A122&lt;=AQ$9),IF(SUM(AQ$10:AQ121)-ROUNDDOWN($K122*AQ$5/100,0)&lt;-AQ$6,-AQ$6-SUM(AQ$10:AQ121),-ROUNDDOWN($K122*AQ$5/100,0)),0)</f>
        <v>0</v>
      </c>
      <c r="AR122" s="38">
        <f>IF(AND($A122&gt;=AR$8,$A122&lt;=AR$9),IF(SUM(AR$10:AR121)-ROUNDDOWN($K122*AR$5/100,0)&lt;-AR$6,-AR$6-SUM(AR$10:AR121),-ROUNDDOWN($K122*AR$5/100,0)),0)</f>
        <v>0</v>
      </c>
      <c r="AS122" s="38">
        <f>IF(SUMIFS(AS$10:AS121,$A$10:$A121,$A122)-ROUNDDOWN($K122*$S122/100,0)&lt;-$S122*1000,-$S122*1000-SUMIFS(AS$10:AS121,$A$10:$A121,$A122),-ROUNDDOWN($K122*$S122/100,0))</f>
        <v>0</v>
      </c>
      <c r="AT122" s="38">
        <f>IF(AND(X122="○",$A122&gt;=AT$8,$A122&lt;=AT$9,K122&gt;=3980),IF(SUM(AT$10:AT121)-ROUNDDOWN($K122*AT$5/100,0)&lt;-AT$6,-AT$6-SUM(AT$10:AT121),-ROUNDDOWN($K122*AT$5/100,0)),0)</f>
        <v>0</v>
      </c>
      <c r="AU122" s="38">
        <f>IF(O122="○",IF(SUM(AU$10:AU121)-ROUNDDOWN($K122*AU$5/100,0)&lt;-AU$6,-AU$6-SUM(AU$10:AU121),-ROUNDDOWN($K122*AU$5/100,0)),0)</f>
        <v>0</v>
      </c>
      <c r="AV122" s="38">
        <f>IF(P122="○",IF(SUM(AV$10:AV121)-ROUNDDOWN($K122*AV$5/100,0)&lt;-AV$6,-AV$6-SUM(AV$10:AV121),-ROUNDDOWN($K122*AV$5/100,0)),0)</f>
        <v>0</v>
      </c>
      <c r="AW122" s="38">
        <f>IF(Q122="○",IF(SUM(AW$10:AW121)-ROUNDDOWN($K122*AW$5/100,0)&lt;-AW$6,-AW$6-SUM(AW$10:AW121),-ROUNDDOWN($K122*AW$5/100,0)),0)</f>
        <v>0</v>
      </c>
      <c r="AX122" s="38">
        <f>IF(R122="○",IF(SUM(AX$10:AX121)-ROUNDDOWN($K122*AX$5/100,0)&lt;-AX$6,-AX$6-SUM(AX$10:AX121),-ROUNDDOWN($K122*AX$5/100,0)),0)</f>
        <v>0</v>
      </c>
      <c r="AY122" s="70">
        <v>0</v>
      </c>
      <c r="AZ122" s="65">
        <f t="shared" si="88"/>
        <v>0</v>
      </c>
      <c r="BA122" s="65">
        <f t="shared" si="89"/>
        <v>0</v>
      </c>
      <c r="BB122" s="70"/>
      <c r="BC122" s="65">
        <f t="shared" si="90"/>
        <v>0</v>
      </c>
      <c r="BD122" s="70">
        <v>0</v>
      </c>
      <c r="BE122" s="65">
        <f t="shared" si="91"/>
        <v>0</v>
      </c>
      <c r="BF122" s="70">
        <v>0</v>
      </c>
      <c r="BG122" s="65">
        <f t="shared" si="92"/>
        <v>0</v>
      </c>
      <c r="BH122" s="70">
        <v>0</v>
      </c>
      <c r="BI122" s="65">
        <f t="shared" si="93"/>
        <v>0</v>
      </c>
      <c r="BJ122" s="38">
        <f>IF(AND(BJ$7="○",$A122&gt;=BJ$8,$A122&lt;=BJ$9),IF(SUM(BJ$10:BJ121)-ROUNDDOWN($M122*BJ$5/100,0)&lt;-BJ$6,-BJ$6-SUM(BJ$10:BJ121),-ROUNDDOWN($M122*BJ$5/100,0)),0)</f>
        <v>0</v>
      </c>
      <c r="BK122" s="38">
        <f>IF(AND(BK$7="○",$A122&gt;=BK$8,$A122&lt;=BK$9),IF(SUM(BK$10:BK121)-ROUNDDOWN($L122*BK$5/100,0)&lt;-BK$6,-BK$6-SUM(BK$10:BK121),-ROUNDDOWN($L122*BK$5/100,0)),0)</f>
        <v>0</v>
      </c>
      <c r="BL122" s="38">
        <f>IF(AND(BL$7="○",$A122&gt;=BL$8,$A122&lt;=BL$9),IF(SUM(BL$10:BL121)-ROUNDDOWN($L122*BL$5/100,0)&lt;-BL$6,-BL$6-SUM(BL$10:BL121),-ROUNDDOWN($L122*BL$5/100,0)),0)</f>
        <v>0</v>
      </c>
      <c r="BM122" s="38">
        <f>IF(AND(BM$7="○",$A122&gt;=BM$8,$A122&lt;=BM$9),IF(SUM(BM$10:BM121)-ROUNDDOWN($M122*BM$5/100,0)&lt;-BM$6,-BM$6-SUM(BM$10:BM121),-ROUNDDOWN($M122*BM$5/100,0)),0)</f>
        <v>0</v>
      </c>
      <c r="BN122" s="38">
        <f>IF(AND(BN$7="○",$A122&gt;=BN$8,$A122&lt;=BN$9),IF(SUM(BN$10:BN121)-ROUNDDOWN($M122*BN$5/100,0)&lt;-BN$6,-BN$6-SUM(BN$10:BN121),-ROUNDDOWN($M122*BN$5/100,0)),0)</f>
        <v>0</v>
      </c>
      <c r="BO122" s="38">
        <f>IF(AND(BO$7="○",$A122&gt;=BO$8,$A122&lt;=BO$9),IF(SUM(BO$10:BO121)-ROUNDDOWN($M122*BO$5/100,0)&lt;-BO$6,-BO$6-SUM(BO$10:BO121),-ROUNDDOWN($M122*BO$5/100,0)),0)</f>
        <v>0</v>
      </c>
      <c r="BP122" s="38">
        <f>IF(AND(BP$7="○",$A122&gt;=BP$8,$A122&lt;=BP$9),IF(SUM(BP$10:BP121)-ROUNDDOWN($M122*BP$5/100,0)&lt;-BP$6,-BP$6-SUM(BP$10:BP121),-ROUNDDOWN($M122*BP$5/100,0)),0)</f>
        <v>0</v>
      </c>
      <c r="BQ122" s="38">
        <f>IF(AND(BQ$7="○",$A122&gt;=BQ$8,$A122&lt;=BQ$9),IF(SUM(BQ$10:BQ121)-ROUNDDOWN($L122*BQ$5/100,0)&lt;-BQ$6,-BQ$6-SUM(BQ$10:BQ121),-ROUNDDOWN($L122*BQ$5/100,0)),0)</f>
        <v>0</v>
      </c>
      <c r="BR122" s="38">
        <f>IF(AND(BR$7="○",$A122&gt;=BR$8,$A122&lt;=BR$9),IF(SUM(BR$10:BR121)-ROUNDDOWN($M122*BR$5/100,0)&lt;-BR$6,-BR$6-SUM(BR$10:BR121),-ROUNDDOWN($M122*BR$5/100,0)),0)</f>
        <v>0</v>
      </c>
      <c r="BS122" s="38">
        <f>IF(AND(BS$7="○",$A122&gt;=BS$8,$A122&lt;=BS$9),IF(SUM(BS$10:BS121)-ROUNDDOWN($M122*BS$5/100,0)&lt;-BS$6,-BS$6-SUM(BS$10:BS121),-ROUNDDOWN($M122*BS$5/100,0)),0)</f>
        <v>0</v>
      </c>
      <c r="BT122" s="38">
        <f>IF(AND(BT$7="○",$A122&gt;=BT$8,$A122&lt;=BT$9),IF(SUM(BT$10:BT121)-ROUNDDOWN($M122*BT$5/100,0)&lt;-BT$6,-BT$6-SUM(BT$10:BT121),-ROUNDDOWN($M122*BT$5/100,0)),0)</f>
        <v>0</v>
      </c>
      <c r="BU122" s="38">
        <f>IF(AND(BU$7="○",$A122&gt;=BU$8,$A122&lt;=BU$9),IF(SUM(BU$10:BU121)-ROUNDDOWN($M122*BU$5/100,0)&lt;-BU$6,-BU$6-SUM(BU$10:BU121),-ROUNDDOWN($M122*BU$5/100,0)),0)</f>
        <v>0</v>
      </c>
      <c r="BV122" s="38">
        <f>IF(AND(BV$7="○",$A122&gt;=BV$8,$A122&lt;=BV$9),IF(SUM(BV$10:BV121)-ROUNDDOWN($M122*BV$5/100,0)&lt;-BV$6,-BV$6-SUM(BV$10:BV121),-ROUNDDOWN($M122*BV$5/100,0)),0)</f>
        <v>0</v>
      </c>
      <c r="BW122" s="38">
        <f>IF(AND(BW$7="○",$A122&gt;=BW$8,$A122&lt;=BW$9),IF(SUM(BW$10:BW121)-ROUNDDOWN($M122*BW$5/100,0)&lt;-BW$6,-BW$6-SUM(BW$10:BW121),-ROUNDDOWN($M122*BW$5/100,0)),0)</f>
        <v>0</v>
      </c>
      <c r="BX122" s="38">
        <f>IF(AND(T122="○",$A122&gt;=BX$8,$A122&lt;=BX$9),IF(SUM(BX$10:BX121)-ROUNDDOWN($K122*BX$5/100,0)&lt;-BX$6,-BX$6-SUM(BX$10:BX121),-ROUNDDOWN($K122*BX$5/100,0)),0)</f>
        <v>0</v>
      </c>
      <c r="BY122" s="38">
        <f>IF(AND(U122="○",$A122&gt;=BY$8,$A122&lt;=BY$9),IF(SUM(BY$10:BY121)-ROUNDDOWN($K122*BY$5/100,0)&lt;-BY$6,-BY$6-SUM(BY$10:BY121),-ROUNDDOWN($K122*BY$5/100,0)),0)</f>
        <v>0</v>
      </c>
      <c r="BZ122" s="38">
        <f>IF(AND(V122="○",$A122&gt;=BZ$8,$A122&lt;=BZ$9),IF(SUM(BZ$10:BZ121)-ROUNDDOWN($K122*BZ$5/100,0)&lt;-BZ$6,-BZ$6-SUM(BZ$10:BZ121),-ROUNDDOWN($K122*BZ$5/100,0)),0)</f>
        <v>0</v>
      </c>
      <c r="CA122" s="38">
        <f>IF(AND(W122="○",$A122&gt;=CA$8,$A122&lt;=CA$9),IF(SUM(CA$10:CA121)-ROUNDDOWN($K122*CA$5/100,0)&lt;-CA$6,-CA$6-SUM(CA$10:CA121),-ROUNDDOWN($K122*CA$5/100,0)),0)</f>
        <v>0</v>
      </c>
      <c r="CB122" s="38"/>
      <c r="CC122" s="38"/>
      <c r="CD122" s="38"/>
      <c r="CE122" s="38"/>
      <c r="CF122" s="38"/>
      <c r="CG122" s="65">
        <f t="shared" si="94"/>
        <v>0</v>
      </c>
      <c r="CH122" s="71">
        <f t="shared" si="95"/>
        <v>0</v>
      </c>
      <c r="CI122" s="1">
        <f t="shared" si="109"/>
        <v>0</v>
      </c>
      <c r="CJ122" s="1"/>
      <c r="CK122" s="75"/>
      <c r="CL122" s="75"/>
      <c r="CM122" s="2"/>
      <c r="CN122" s="2"/>
      <c r="CO122" s="73">
        <f t="shared" si="110"/>
        <v>0</v>
      </c>
      <c r="CP122" s="5">
        <f t="shared" si="111"/>
        <v>0</v>
      </c>
      <c r="CQ122" s="1"/>
      <c r="CR122" s="1">
        <f t="shared" si="112"/>
        <v>0</v>
      </c>
      <c r="CS122" s="1"/>
      <c r="CT122" s="1" t="e">
        <f>INDEX([2]マスタ!$A:$A,MATCH(D122,[2]マスタ!$C:$C,0))</f>
        <v>#N/A</v>
      </c>
      <c r="CU122" s="1" t="str">
        <f t="shared" ca="1" si="113"/>
        <v>20260620_0-0</v>
      </c>
    </row>
    <row r="123" spans="1:99" x14ac:dyDescent="0.4">
      <c r="A123" s="61"/>
      <c r="B123" s="62"/>
      <c r="C123" s="62"/>
      <c r="D123" s="62"/>
      <c r="E123" s="63"/>
      <c r="F123" s="62"/>
      <c r="G123" s="62">
        <v>1</v>
      </c>
      <c r="H123" s="64">
        <f t="shared" si="100"/>
        <v>0</v>
      </c>
      <c r="I123" s="64"/>
      <c r="J123" s="64"/>
      <c r="K123" s="65">
        <f>+ROUNDDOWN((H123+I123)/100,0)*100</f>
        <v>0</v>
      </c>
      <c r="L123" s="65">
        <f t="shared" si="102"/>
        <v>0</v>
      </c>
      <c r="M123" s="65">
        <f t="shared" si="103"/>
        <v>0</v>
      </c>
      <c r="N123" s="65">
        <f t="shared" si="104"/>
        <v>0</v>
      </c>
      <c r="O123" s="66" t="str">
        <f t="shared" si="105"/>
        <v>✕</v>
      </c>
      <c r="P123" s="67" t="str">
        <f t="shared" si="106"/>
        <v>○</v>
      </c>
      <c r="Q123" s="67" t="str">
        <f>+IF((TEXT($A123,"DD")+0)=1,"○","✕")</f>
        <v>✕</v>
      </c>
      <c r="R123" s="67" t="str">
        <f t="shared" si="108"/>
        <v>✕</v>
      </c>
      <c r="S123" s="68">
        <v>0</v>
      </c>
      <c r="T123" s="69" t="s">
        <v>85</v>
      </c>
      <c r="U123" s="69" t="s">
        <v>85</v>
      </c>
      <c r="V123" s="69" t="s">
        <v>85</v>
      </c>
      <c r="W123" s="69" t="s">
        <v>85</v>
      </c>
      <c r="X123" s="69" t="s">
        <v>84</v>
      </c>
      <c r="Y123" s="69" t="s">
        <v>85</v>
      </c>
      <c r="Z123" s="69" t="s">
        <v>85</v>
      </c>
      <c r="AA123" s="69" t="s">
        <v>85</v>
      </c>
      <c r="AB123" s="69" t="s">
        <v>85</v>
      </c>
      <c r="AC123" s="69" t="s">
        <v>85</v>
      </c>
      <c r="AD123" s="38" t="str">
        <f>+IF(ISERROR(VLOOKUP($B123,AD$10:AD122,1,0)),IF(AND($N123&gt;=1000,$A123&gt;=AO$8,$A123&lt;=AO$9),$B123,""),"")</f>
        <v/>
      </c>
      <c r="AE123" s="38" t="str">
        <f>+IF(ISERROR(VLOOKUP($B123,AE$10:AE122,1,0)),IF(AND($N123&gt;=1000,$A123&gt;=AP$8,$A123&lt;=AP$9),$B123,""),"")</f>
        <v/>
      </c>
      <c r="AF123" s="38" t="str">
        <f>+IF(ISERROR(VLOOKUP($B123,AF$10:AF122,1,0)),IF(AND($N123&gt;=1000,$A123&gt;=AQ$8,$A123&lt;=AQ$9),$B123,""),"")</f>
        <v/>
      </c>
      <c r="AG123" s="38" t="str">
        <f>+IF(ISERROR(VLOOKUP($B123,AG$10:AG122,1,0)),IF(AND($N123&gt;=1000,$A123&gt;=AR$8,$A123&lt;=AR$9),$B123,""),"")</f>
        <v/>
      </c>
      <c r="AH123" s="38"/>
      <c r="AI123" s="70">
        <v>0</v>
      </c>
      <c r="AJ123" s="38">
        <f>IF(AND(AJ$7="○",$A123&gt;=AJ$8,$A123&lt;=AJ$9),IF(SUM(AJ$10:AJ122)-ROUNDDOWN($K123*AJ$5/100,0)&lt;-AJ$6,-AJ$6-SUM(AJ$10:AJ122),-ROUNDDOWN($K123*AJ$5/100,0)),0)</f>
        <v>0</v>
      </c>
      <c r="AK123" s="38">
        <f>IF(AND(AK$7="○",$A123&gt;=AK$8,$A123&lt;=AK$9),IF(SUM(AK$10:AK122)-ROUNDDOWN($L123*AK$5/100,0)&lt;-AK$6,-AK$6-SUM(AK$10:AK122),-ROUNDDOWN($L123*AK$5/100,0)),0)</f>
        <v>0</v>
      </c>
      <c r="AL123" s="38">
        <f>IF(AND(AL$7="○",$A123&gt;=AL$8,$A123&lt;=AL$9),IF(SUM(AL$10:AL122)-ROUNDDOWN($N123*AL$5/100,0)&lt;-AL$6,-AL$6-SUM(AL$10:AL122),-ROUNDDOWN($N123*AL$5/100,0)),0)</f>
        <v>0</v>
      </c>
      <c r="AM123" s="38">
        <f>IF(AND(AM$7="○",$A123&gt;=AM$8,$A123&lt;=AM$9),IF(SUM(AM$10:AM122)-ROUNDDOWN($L123*AM$5/100,0)&lt;-AM$6,-AM$6-SUM(AM$10:AM122),-ROUNDDOWN($L123*AM$5/100,0)),0)</f>
        <v>0</v>
      </c>
      <c r="AN123" s="38">
        <f>IF(AND(AN$7="○",$A123&gt;=AN$8,$A123&lt;=AN$9),IF(SUM(AN$10:AN122)-ROUNDDOWN($M123*AN$5/100,0)&lt;-AN$6,-AN$6-SUM(AN$10:AN122),-ROUNDDOWN($M123*AN$5/100,0)),0)</f>
        <v>0</v>
      </c>
      <c r="AO123" s="38">
        <f>IF(AND($A123&gt;=AO$8,$A123&lt;=AO$9),IF(SUM(AO$10:AO122)-ROUNDDOWN($K123*AO$5/100,0)&lt;-AO$6,-AO$6-SUM(AO$10:AO122),-ROUNDDOWN($K123*AO$5/100,0)),0)</f>
        <v>0</v>
      </c>
      <c r="AP123" s="38">
        <f>IF(AND($A123&gt;=AP$8,$A123&lt;=AP$9),IF(SUM(AP$10:AP122)-ROUNDDOWN($K123*AP$5/100,0)&lt;-AP$6,-AP$6-SUM(AP$10:AP122),-ROUNDDOWN($K123*AP$5/100,0)),0)</f>
        <v>0</v>
      </c>
      <c r="AQ123" s="38">
        <f>IF(AND($A123&gt;=AQ$8,$A123&lt;=AQ$9),IF(SUM(AQ$10:AQ122)-ROUNDDOWN($K123*AQ$5/100,0)&lt;-AQ$6,-AQ$6-SUM(AQ$10:AQ122),-ROUNDDOWN($K123*AQ$5/100,0)),0)</f>
        <v>0</v>
      </c>
      <c r="AR123" s="38">
        <f>IF(AND($A123&gt;=AR$8,$A123&lt;=AR$9),IF(SUM(AR$10:AR122)-ROUNDDOWN($K123*AR$5/100,0)&lt;-AR$6,-AR$6-SUM(AR$10:AR122),-ROUNDDOWN($K123*AR$5/100,0)),0)</f>
        <v>0</v>
      </c>
      <c r="AS123" s="38">
        <f>IF(SUMIFS(AS$10:AS122,$A$10:$A122,$A123)-ROUNDDOWN($K123*$S123/100,0)&lt;-$S123*1000,-$S123*1000-SUMIFS(AS$10:AS122,$A$10:$A122,$A123),-ROUNDDOWN($K123*$S123/100,0))</f>
        <v>0</v>
      </c>
      <c r="AT123" s="38">
        <f>IF(AND(X123="○",$A123&gt;=AT$8,$A123&lt;=AT$9,K123&gt;=3980),IF(SUM(AT$10:AT122)-ROUNDDOWN($K123*AT$5/100,0)&lt;-AT$6,-AT$6-SUM(AT$10:AT122),-ROUNDDOWN($K123*AT$5/100,0)),0)</f>
        <v>0</v>
      </c>
      <c r="AU123" s="38">
        <f>IF(O123="○",IF(SUM(AU$10:AU122)-ROUNDDOWN($K123*AU$5/100,0)&lt;-AU$6,-AU$6-SUM(AU$10:AU122),-ROUNDDOWN($K123*AU$5/100,0)),0)</f>
        <v>0</v>
      </c>
      <c r="AV123" s="38">
        <f>IF(P123="○",IF(SUM(AV$10:AV122)-ROUNDDOWN($K123*AV$5/100,0)&lt;-AV$6,-AV$6-SUM(AV$10:AV122),-ROUNDDOWN($K123*AV$5/100,0)),0)</f>
        <v>0</v>
      </c>
      <c r="AW123" s="38">
        <f>IF(Q123="○",IF(SUM(AW$10:AW122)-ROUNDDOWN($K123*AW$5/100,0)&lt;-AW$6,-AW$6-SUM(AW$10:AW122),-ROUNDDOWN($K123*AW$5/100,0)),0)</f>
        <v>0</v>
      </c>
      <c r="AX123" s="38">
        <f>IF(R123="○",IF(SUM(AX$10:AX122)-ROUNDDOWN($K123*AX$5/100,0)&lt;-AX$6,-AX$6-SUM(AX$10:AX122),-ROUNDDOWN($K123*AX$5/100,0)),0)</f>
        <v>0</v>
      </c>
      <c r="AY123" s="70">
        <v>0</v>
      </c>
      <c r="AZ123" s="65">
        <f t="shared" si="88"/>
        <v>0</v>
      </c>
      <c r="BA123" s="65">
        <f t="shared" si="89"/>
        <v>0</v>
      </c>
      <c r="BB123" s="70"/>
      <c r="BC123" s="65">
        <f t="shared" si="90"/>
        <v>0</v>
      </c>
      <c r="BD123" s="70">
        <v>0</v>
      </c>
      <c r="BE123" s="65">
        <f t="shared" si="91"/>
        <v>0</v>
      </c>
      <c r="BF123" s="70">
        <v>0</v>
      </c>
      <c r="BG123" s="65">
        <f t="shared" si="92"/>
        <v>0</v>
      </c>
      <c r="BH123" s="70">
        <v>0</v>
      </c>
      <c r="BI123" s="65">
        <f t="shared" si="93"/>
        <v>0</v>
      </c>
      <c r="BJ123" s="38">
        <f>IF(AND(BJ$7="○",$A123&gt;=BJ$8,$A123&lt;=BJ$9),IF(SUM(BJ$10:BJ122)-ROUNDDOWN($M123*BJ$5/100,0)&lt;-BJ$6,-BJ$6-SUM(BJ$10:BJ122),-ROUNDDOWN($M123*BJ$5/100,0)),0)</f>
        <v>0</v>
      </c>
      <c r="BK123" s="38">
        <f>IF(AND(BK$7="○",$A123&gt;=BK$8,$A123&lt;=BK$9),IF(SUM(BK$10:BK122)-ROUNDDOWN($L123*BK$5/100,0)&lt;-BK$6,-BK$6-SUM(BK$10:BK122),-ROUNDDOWN($L123*BK$5/100,0)),0)</f>
        <v>0</v>
      </c>
      <c r="BL123" s="38">
        <f>IF(AND(BL$7="○",$A123&gt;=BL$8,$A123&lt;=BL$9),IF(SUM(BL$10:BL122)-ROUNDDOWN($L123*BL$5/100,0)&lt;-BL$6,-BL$6-SUM(BL$10:BL122),-ROUNDDOWN($L123*BL$5/100,0)),0)</f>
        <v>0</v>
      </c>
      <c r="BM123" s="38">
        <f>IF(AND(BM$7="○",$A123&gt;=BM$8,$A123&lt;=BM$9),IF(SUM(BM$10:BM122)-ROUNDDOWN($M123*BM$5/100,0)&lt;-BM$6,-BM$6-SUM(BM$10:BM122),-ROUNDDOWN($M123*BM$5/100,0)),0)</f>
        <v>0</v>
      </c>
      <c r="BN123" s="38">
        <f>IF(AND(BN$7="○",$A123&gt;=BN$8,$A123&lt;=BN$9),IF(SUM(BN$10:BN122)-ROUNDDOWN($M123*BN$5/100,0)&lt;-BN$6,-BN$6-SUM(BN$10:BN122),-ROUNDDOWN($M123*BN$5/100,0)),0)</f>
        <v>0</v>
      </c>
      <c r="BO123" s="38">
        <f>IF(AND(BO$7="○",$A123&gt;=BO$8,$A123&lt;=BO$9),IF(SUM(BO$10:BO122)-ROUNDDOWN($M123*BO$5/100,0)&lt;-BO$6,-BO$6-SUM(BO$10:BO122),-ROUNDDOWN($M123*BO$5/100,0)),0)</f>
        <v>0</v>
      </c>
      <c r="BP123" s="38">
        <f>IF(AND(BP$7="○",$A123&gt;=BP$8,$A123&lt;=BP$9),IF(SUM(BP$10:BP122)-ROUNDDOWN($M123*BP$5/100,0)&lt;-BP$6,-BP$6-SUM(BP$10:BP122),-ROUNDDOWN($M123*BP$5/100,0)),0)</f>
        <v>0</v>
      </c>
      <c r="BQ123" s="38">
        <f>IF(AND(BQ$7="○",$A123&gt;=BQ$8,$A123&lt;=BQ$9),IF(SUM(BQ$10:BQ122)-ROUNDDOWN($L123*BQ$5/100,0)&lt;-BQ$6,-BQ$6-SUM(BQ$10:BQ122),-ROUNDDOWN($L123*BQ$5/100,0)),0)</f>
        <v>0</v>
      </c>
      <c r="BR123" s="38">
        <f>IF(AND(BR$7="○",$A123&gt;=BR$8,$A123&lt;=BR$9),IF(SUM(BR$10:BR122)-ROUNDDOWN($M123*BR$5/100,0)&lt;-BR$6,-BR$6-SUM(BR$10:BR122),-ROUNDDOWN($M123*BR$5/100,0)),0)</f>
        <v>0</v>
      </c>
      <c r="BS123" s="38">
        <f>IF(AND(BS$7="○",$A123&gt;=BS$8,$A123&lt;=BS$9),IF(SUM(BS$10:BS122)-ROUNDDOWN($M123*BS$5/100,0)&lt;-BS$6,-BS$6-SUM(BS$10:BS122),-ROUNDDOWN($M123*BS$5/100,0)),0)</f>
        <v>0</v>
      </c>
      <c r="BT123" s="38">
        <f>IF(AND(BT$7="○",$A123&gt;=BT$8,$A123&lt;=BT$9),IF(SUM(BT$10:BT122)-ROUNDDOWN($M123*BT$5/100,0)&lt;-BT$6,-BT$6-SUM(BT$10:BT122),-ROUNDDOWN($M123*BT$5/100,0)),0)</f>
        <v>0</v>
      </c>
      <c r="BU123" s="38">
        <f>IF(AND(BU$7="○",$A123&gt;=BU$8,$A123&lt;=BU$9),IF(SUM(BU$10:BU122)-ROUNDDOWN($M123*BU$5/100,0)&lt;-BU$6,-BU$6-SUM(BU$10:BU122),-ROUNDDOWN($M123*BU$5/100,0)),0)</f>
        <v>0</v>
      </c>
      <c r="BV123" s="38">
        <f>IF(AND(BV$7="○",$A123&gt;=BV$8,$A123&lt;=BV$9),IF(SUM(BV$10:BV122)-ROUNDDOWN($M123*BV$5/100,0)&lt;-BV$6,-BV$6-SUM(BV$10:BV122),-ROUNDDOWN($M123*BV$5/100,0)),0)</f>
        <v>0</v>
      </c>
      <c r="BW123" s="38">
        <f>IF(AND(BW$7="○",$A123&gt;=BW$8,$A123&lt;=BW$9),IF(SUM(BW$10:BW122)-ROUNDDOWN($M123*BW$5/100,0)&lt;-BW$6,-BW$6-SUM(BW$10:BW122),-ROUNDDOWN($M123*BW$5/100,0)),0)</f>
        <v>0</v>
      </c>
      <c r="BX123" s="38">
        <f>IF(AND(T123="○",$A123&gt;=BX$8,$A123&lt;=BX$9),IF(SUM(BX$10:BX122)-ROUNDDOWN($K123*BX$5/100,0)&lt;-BX$6,-BX$6-SUM(BX$10:BX122),-ROUNDDOWN($K123*BX$5/100,0)),0)</f>
        <v>0</v>
      </c>
      <c r="BY123" s="38">
        <f>IF(AND(U123="○",$A123&gt;=BY$8,$A123&lt;=BY$9),IF(SUM(BY$10:BY122)-ROUNDDOWN($K123*BY$5/100,0)&lt;-BY$6,-BY$6-SUM(BY$10:BY122),-ROUNDDOWN($K123*BY$5/100,0)),0)</f>
        <v>0</v>
      </c>
      <c r="BZ123" s="38">
        <f>IF(AND(V123="○",$A123&gt;=BZ$8,$A123&lt;=BZ$9),IF(SUM(BZ$10:BZ122)-ROUNDDOWN($K123*BZ$5/100,0)&lt;-BZ$6,-BZ$6-SUM(BZ$10:BZ122),-ROUNDDOWN($K123*BZ$5/100,0)),0)</f>
        <v>0</v>
      </c>
      <c r="CA123" s="38">
        <f>IF(AND(W123="○",$A123&gt;=CA$8,$A123&lt;=CA$9),IF(SUM(CA$10:CA122)-ROUNDDOWN($K123*CA$5/100,0)&lt;-CA$6,-CA$6-SUM(CA$10:CA122),-ROUNDDOWN($K123*CA$5/100,0)),0)</f>
        <v>0</v>
      </c>
      <c r="CB123" s="38"/>
      <c r="CC123" s="38"/>
      <c r="CD123" s="38"/>
      <c r="CE123" s="38"/>
      <c r="CF123" s="38"/>
      <c r="CG123" s="65">
        <f t="shared" si="94"/>
        <v>0</v>
      </c>
      <c r="CH123" s="71">
        <f t="shared" si="95"/>
        <v>0</v>
      </c>
      <c r="CI123" s="1">
        <f t="shared" si="109"/>
        <v>0</v>
      </c>
      <c r="CJ123" s="1"/>
      <c r="CK123" s="72"/>
      <c r="CL123" s="72"/>
      <c r="CM123" s="2"/>
      <c r="CN123" s="2"/>
      <c r="CO123" s="73">
        <f t="shared" si="110"/>
        <v>0</v>
      </c>
      <c r="CP123" s="5">
        <f t="shared" si="111"/>
        <v>0</v>
      </c>
      <c r="CQ123" s="1"/>
      <c r="CR123" s="1">
        <f t="shared" si="112"/>
        <v>0</v>
      </c>
      <c r="CS123" s="1"/>
      <c r="CT123" s="1" t="e">
        <f>INDEX([2]マスタ!$A:$A,MATCH(D123,[2]マスタ!$C:$C,0))</f>
        <v>#N/A</v>
      </c>
      <c r="CU123" s="1" t="str">
        <f t="shared" ca="1" si="113"/>
        <v>20260620_0-0</v>
      </c>
    </row>
    <row r="124" spans="1:99" x14ac:dyDescent="0.4">
      <c r="A124" s="61"/>
      <c r="B124" s="62"/>
      <c r="C124" s="62"/>
      <c r="D124" s="62"/>
      <c r="E124" s="77"/>
      <c r="F124" s="62"/>
      <c r="G124" s="62">
        <v>1</v>
      </c>
      <c r="H124" s="64">
        <f t="shared" si="100"/>
        <v>0</v>
      </c>
      <c r="I124" s="64"/>
      <c r="J124" s="64"/>
      <c r="K124" s="65">
        <f>+ROUNDDOWN((H124+I124)/100,0)*100</f>
        <v>0</v>
      </c>
      <c r="L124" s="65">
        <f t="shared" si="102"/>
        <v>0</v>
      </c>
      <c r="M124" s="65">
        <f t="shared" si="103"/>
        <v>0</v>
      </c>
      <c r="N124" s="65">
        <f t="shared" si="104"/>
        <v>0</v>
      </c>
      <c r="O124" s="66" t="str">
        <f t="shared" si="105"/>
        <v>✕</v>
      </c>
      <c r="P124" s="67" t="str">
        <f t="shared" si="106"/>
        <v>○</v>
      </c>
      <c r="Q124" s="67" t="str">
        <f>+IF((TEXT($A124,"DD")+0)=1,"○","✕")</f>
        <v>✕</v>
      </c>
      <c r="R124" s="67" t="str">
        <f t="shared" si="108"/>
        <v>✕</v>
      </c>
      <c r="S124" s="68">
        <v>0</v>
      </c>
      <c r="T124" s="69" t="s">
        <v>85</v>
      </c>
      <c r="U124" s="69" t="s">
        <v>85</v>
      </c>
      <c r="V124" s="69" t="s">
        <v>85</v>
      </c>
      <c r="W124" s="69" t="s">
        <v>85</v>
      </c>
      <c r="X124" s="69" t="s">
        <v>84</v>
      </c>
      <c r="Y124" s="69" t="s">
        <v>85</v>
      </c>
      <c r="Z124" s="69" t="s">
        <v>85</v>
      </c>
      <c r="AA124" s="69" t="s">
        <v>85</v>
      </c>
      <c r="AB124" s="69" t="s">
        <v>85</v>
      </c>
      <c r="AC124" s="69" t="s">
        <v>85</v>
      </c>
      <c r="AD124" s="38" t="str">
        <f>+IF(ISERROR(VLOOKUP($B124,AD$10:AD123,1,0)),IF(AND($N124&gt;=1000,$A124&gt;=AO$8,$A124&lt;=AO$9),$B124,""),"")</f>
        <v/>
      </c>
      <c r="AE124" s="38" t="str">
        <f>+IF(ISERROR(VLOOKUP($B124,AE$10:AE123,1,0)),IF(AND($N124&gt;=1000,$A124&gt;=AP$8,$A124&lt;=AP$9),$B124,""),"")</f>
        <v/>
      </c>
      <c r="AF124" s="38" t="str">
        <f>+IF(ISERROR(VLOOKUP($B124,AF$10:AF123,1,0)),IF(AND($N124&gt;=1000,$A124&gt;=AQ$8,$A124&lt;=AQ$9),$B124,""),"")</f>
        <v/>
      </c>
      <c r="AG124" s="38" t="str">
        <f>+IF(ISERROR(VLOOKUP($B124,AG$10:AG123,1,0)),IF(AND($N124&gt;=1000,$A124&gt;=AR$8,$A124&lt;=AR$9),$B124,""),"")</f>
        <v/>
      </c>
      <c r="AH124" s="38"/>
      <c r="AI124" s="70">
        <v>0</v>
      </c>
      <c r="AJ124" s="38">
        <f>IF(AND(AJ$7="○",$A124&gt;=AJ$8,$A124&lt;=AJ$9),IF(SUM(AJ$10:AJ123)-ROUNDDOWN($K124*AJ$5/100,0)&lt;-AJ$6,-AJ$6-SUM(AJ$10:AJ123),-ROUNDDOWN($K124*AJ$5/100,0)),0)</f>
        <v>0</v>
      </c>
      <c r="AK124" s="38">
        <f>IF(AND(AK$7="○",$A124&gt;=AK$8,$A124&lt;=AK$9),IF(SUM(AK$10:AK123)-ROUNDDOWN($L124*AK$5/100,0)&lt;-AK$6,-AK$6-SUM(AK$10:AK123),-ROUNDDOWN($L124*AK$5/100,0)),0)</f>
        <v>0</v>
      </c>
      <c r="AL124" s="38">
        <f>IF(AND(AL$7="○",$A124&gt;=AL$8,$A124&lt;=AL$9),IF(SUM(AL$10:AL123)-ROUNDDOWN($N124*AL$5/100,0)&lt;-AL$6,-AL$6-SUM(AL$10:AL123),-ROUNDDOWN($N124*AL$5/100,0)),0)</f>
        <v>0</v>
      </c>
      <c r="AM124" s="38">
        <f>IF(AND(AM$7="○",$A124&gt;=AM$8,$A124&lt;=AM$9),IF(SUM(AM$10:AM123)-ROUNDDOWN($L124*AM$5/100,0)&lt;-AM$6,-AM$6-SUM(AM$10:AM123),-ROUNDDOWN($L124*AM$5/100,0)),0)</f>
        <v>0</v>
      </c>
      <c r="AN124" s="38">
        <f>IF(AND(AN$7="○",$A124&gt;=AN$8,$A124&lt;=AN$9),IF(SUM(AN$10:AN123)-ROUNDDOWN($M124*AN$5/100,0)&lt;-AN$6,-AN$6-SUM(AN$10:AN123),-ROUNDDOWN($M124*AN$5/100,0)),0)</f>
        <v>0</v>
      </c>
      <c r="AO124" s="38">
        <f>IF(AND($A124&gt;=AO$8,$A124&lt;=AO$9),IF(SUM(AO$10:AO123)-ROUNDDOWN($K124*AO$5/100,0)&lt;-AO$6,-AO$6-SUM(AO$10:AO123),-ROUNDDOWN($K124*AO$5/100,0)),0)</f>
        <v>0</v>
      </c>
      <c r="AP124" s="38">
        <f>IF(AND($A124&gt;=AP$8,$A124&lt;=AP$9),IF(SUM(AP$10:AP123)-ROUNDDOWN($K124*AP$5/100,0)&lt;-AP$6,-AP$6-SUM(AP$10:AP123),-ROUNDDOWN($K124*AP$5/100,0)),0)</f>
        <v>0</v>
      </c>
      <c r="AQ124" s="38">
        <f>IF(AND($A124&gt;=AQ$8,$A124&lt;=AQ$9),IF(SUM(AQ$10:AQ123)-ROUNDDOWN($K124*AQ$5/100,0)&lt;-AQ$6,-AQ$6-SUM(AQ$10:AQ123),-ROUNDDOWN($K124*AQ$5/100,0)),0)</f>
        <v>0</v>
      </c>
      <c r="AR124" s="38">
        <f>IF(AND($A124&gt;=AR$8,$A124&lt;=AR$9),IF(SUM(AR$10:AR123)-ROUNDDOWN($K124*AR$5/100,0)&lt;-AR$6,-AR$6-SUM(AR$10:AR123),-ROUNDDOWN($K124*AR$5/100,0)),0)</f>
        <v>0</v>
      </c>
      <c r="AS124" s="38">
        <f>IF(SUMIFS(AS$10:AS123,$A$10:$A123,$A124)-ROUNDDOWN($K124*$S124/100,0)&lt;-$S124*1000,-$S124*1000-SUMIFS(AS$10:AS123,$A$10:$A123,$A124),-ROUNDDOWN($K124*$S124/100,0))</f>
        <v>0</v>
      </c>
      <c r="AT124" s="38">
        <f>IF(AND(X124="○",$A124&gt;=AT$8,$A124&lt;=AT$9,K124&gt;=3980),IF(SUM(AT$10:AT123)-ROUNDDOWN($K124*AT$5/100,0)&lt;-AT$6,-AT$6-SUM(AT$10:AT123),-ROUNDDOWN($K124*AT$5/100,0)),0)</f>
        <v>0</v>
      </c>
      <c r="AU124" s="38">
        <f>IF(O124="○",IF(SUM(AU$10:AU123)-ROUNDDOWN($K124*AU$5/100,0)&lt;-AU$6,-AU$6-SUM(AU$10:AU123),-ROUNDDOWN($K124*AU$5/100,0)),0)</f>
        <v>0</v>
      </c>
      <c r="AV124" s="38">
        <f>IF(P124="○",IF(SUM(AV$10:AV123)-ROUNDDOWN($K124*AV$5/100,0)&lt;-AV$6,-AV$6-SUM(AV$10:AV123),-ROUNDDOWN($K124*AV$5/100,0)),0)</f>
        <v>0</v>
      </c>
      <c r="AW124" s="38">
        <f>IF(Q124="○",IF(SUM(AW$10:AW123)-ROUNDDOWN($K124*AW$5/100,0)&lt;-AW$6,-AW$6-SUM(AW$10:AW123),-ROUNDDOWN($K124*AW$5/100,0)),0)</f>
        <v>0</v>
      </c>
      <c r="AX124" s="38">
        <f>IF(R124="○",IF(SUM(AX$10:AX123)-ROUNDDOWN($K124*AX$5/100,0)&lt;-AX$6,-AX$6-SUM(AX$10:AX123),-ROUNDDOWN($K124*AX$5/100,0)),0)</f>
        <v>0</v>
      </c>
      <c r="AY124" s="70">
        <v>0</v>
      </c>
      <c r="AZ124" s="65">
        <f t="shared" si="88"/>
        <v>0</v>
      </c>
      <c r="BA124" s="65">
        <f t="shared" si="89"/>
        <v>0</v>
      </c>
      <c r="BB124" s="70"/>
      <c r="BC124" s="65">
        <f t="shared" si="90"/>
        <v>0</v>
      </c>
      <c r="BD124" s="70">
        <v>0</v>
      </c>
      <c r="BE124" s="65">
        <f t="shared" si="91"/>
        <v>0</v>
      </c>
      <c r="BF124" s="70">
        <v>0</v>
      </c>
      <c r="BG124" s="65">
        <f t="shared" si="92"/>
        <v>0</v>
      </c>
      <c r="BH124" s="70">
        <v>0</v>
      </c>
      <c r="BI124" s="65">
        <f t="shared" si="93"/>
        <v>0</v>
      </c>
      <c r="BJ124" s="38">
        <f>IF(AND(BJ$7="○",$A124&gt;=BJ$8,$A124&lt;=BJ$9),IF(SUM(BJ$10:BJ123)-ROUNDDOWN($M124*BJ$5/100,0)&lt;-BJ$6,-BJ$6-SUM(BJ$10:BJ123),-ROUNDDOWN($M124*BJ$5/100,0)),0)</f>
        <v>0</v>
      </c>
      <c r="BK124" s="38">
        <f>IF(AND(BK$7="○",$A124&gt;=BK$8,$A124&lt;=BK$9),IF(SUM(BK$10:BK123)-ROUNDDOWN($L124*BK$5/100,0)&lt;-BK$6,-BK$6-SUM(BK$10:BK123),-ROUNDDOWN($L124*BK$5/100,0)),0)</f>
        <v>0</v>
      </c>
      <c r="BL124" s="38">
        <f>IF(AND(BL$7="○",$A124&gt;=BL$8,$A124&lt;=BL$9),IF(SUM(BL$10:BL123)-ROUNDDOWN($L124*BL$5/100,0)&lt;-BL$6,-BL$6-SUM(BL$10:BL123),-ROUNDDOWN($L124*BL$5/100,0)),0)</f>
        <v>0</v>
      </c>
      <c r="BM124" s="38">
        <f>IF(AND(BM$7="○",$A124&gt;=BM$8,$A124&lt;=BM$9),IF(SUM(BM$10:BM123)-ROUNDDOWN($M124*BM$5/100,0)&lt;-BM$6,-BM$6-SUM(BM$10:BM123),-ROUNDDOWN($M124*BM$5/100,0)),0)</f>
        <v>0</v>
      </c>
      <c r="BN124" s="38">
        <f>IF(AND(BN$7="○",$A124&gt;=BN$8,$A124&lt;=BN$9),IF(SUM(BN$10:BN123)-ROUNDDOWN($M124*BN$5/100,0)&lt;-BN$6,-BN$6-SUM(BN$10:BN123),-ROUNDDOWN($M124*BN$5/100,0)),0)</f>
        <v>0</v>
      </c>
      <c r="BO124" s="38">
        <f>IF(AND(BO$7="○",$A124&gt;=BO$8,$A124&lt;=BO$9),IF(SUM(BO$10:BO123)-ROUNDDOWN($M124*BO$5/100,0)&lt;-BO$6,-BO$6-SUM(BO$10:BO123),-ROUNDDOWN($M124*BO$5/100,0)),0)</f>
        <v>0</v>
      </c>
      <c r="BP124" s="38">
        <f>IF(AND(BP$7="○",$A124&gt;=BP$8,$A124&lt;=BP$9),IF(SUM(BP$10:BP123)-ROUNDDOWN($M124*BP$5/100,0)&lt;-BP$6,-BP$6-SUM(BP$10:BP123),-ROUNDDOWN($M124*BP$5/100,0)),0)</f>
        <v>0</v>
      </c>
      <c r="BQ124" s="38">
        <f>IF(AND(BQ$7="○",$A124&gt;=BQ$8,$A124&lt;=BQ$9),IF(SUM(BQ$10:BQ123)-ROUNDDOWN($L124*BQ$5/100,0)&lt;-BQ$6,-BQ$6-SUM(BQ$10:BQ123),-ROUNDDOWN($L124*BQ$5/100,0)),0)</f>
        <v>0</v>
      </c>
      <c r="BR124" s="38">
        <f>IF(AND(BR$7="○",$A124&gt;=BR$8,$A124&lt;=BR$9),IF(SUM(BR$10:BR123)-ROUNDDOWN($M124*BR$5/100,0)&lt;-BR$6,-BR$6-SUM(BR$10:BR123),-ROUNDDOWN($M124*BR$5/100,0)),0)</f>
        <v>0</v>
      </c>
      <c r="BS124" s="38">
        <f>IF(AND(BS$7="○",$A124&gt;=BS$8,$A124&lt;=BS$9),IF(SUM(BS$10:BS123)-ROUNDDOWN($M124*BS$5/100,0)&lt;-BS$6,-BS$6-SUM(BS$10:BS123),-ROUNDDOWN($M124*BS$5/100,0)),0)</f>
        <v>0</v>
      </c>
      <c r="BT124" s="38">
        <f>IF(AND(BT$7="○",$A124&gt;=BT$8,$A124&lt;=BT$9),IF(SUM(BT$10:BT123)-ROUNDDOWN($M124*BT$5/100,0)&lt;-BT$6,-BT$6-SUM(BT$10:BT123),-ROUNDDOWN($M124*BT$5/100,0)),0)</f>
        <v>0</v>
      </c>
      <c r="BU124" s="38">
        <f>IF(AND(BU$7="○",$A124&gt;=BU$8,$A124&lt;=BU$9),IF(SUM(BU$10:BU123)-ROUNDDOWN($M124*BU$5/100,0)&lt;-BU$6,-BU$6-SUM(BU$10:BU123),-ROUNDDOWN($M124*BU$5/100,0)),0)</f>
        <v>0</v>
      </c>
      <c r="BV124" s="38">
        <f>IF(AND(BV$7="○",$A124&gt;=BV$8,$A124&lt;=BV$9),IF(SUM(BV$10:BV123)-ROUNDDOWN($M124*BV$5/100,0)&lt;-BV$6,-BV$6-SUM(BV$10:BV123),-ROUNDDOWN($M124*BV$5/100,0)),0)</f>
        <v>0</v>
      </c>
      <c r="BW124" s="38">
        <f>IF(AND(BW$7="○",$A124&gt;=BW$8,$A124&lt;=BW$9),IF(SUM(BW$10:BW123)-ROUNDDOWN($M124*BW$5/100,0)&lt;-BW$6,-BW$6-SUM(BW$10:BW123),-ROUNDDOWN($M124*BW$5/100,0)),0)</f>
        <v>0</v>
      </c>
      <c r="BX124" s="38">
        <f>IF(AND(T124="○",$A124&gt;=BX$8,$A124&lt;=BX$9),IF(SUM(BX$10:BX123)-ROUNDDOWN($K124*BX$5/100,0)&lt;-BX$6,-BX$6-SUM(BX$10:BX123),-ROUNDDOWN($K124*BX$5/100,0)),0)</f>
        <v>0</v>
      </c>
      <c r="BY124" s="38">
        <f>IF(AND(U124="○",$A124&gt;=BY$8,$A124&lt;=BY$9),IF(SUM(BY$10:BY123)-ROUNDDOWN($K124*BY$5/100,0)&lt;-BY$6,-BY$6-SUM(BY$10:BY123),-ROUNDDOWN($K124*BY$5/100,0)),0)</f>
        <v>0</v>
      </c>
      <c r="BZ124" s="38">
        <f>IF(AND(V124="○",$A124&gt;=BZ$8,$A124&lt;=BZ$9),IF(SUM(BZ$10:BZ123)-ROUNDDOWN($K124*BZ$5/100,0)&lt;-BZ$6,-BZ$6-SUM(BZ$10:BZ123),-ROUNDDOWN($K124*BZ$5/100,0)),0)</f>
        <v>0</v>
      </c>
      <c r="CA124" s="38">
        <f>IF(AND(W124="○",$A124&gt;=CA$8,$A124&lt;=CA$9),IF(SUM(CA$10:CA123)-ROUNDDOWN($K124*CA$5/100,0)&lt;-CA$6,-CA$6-SUM(CA$10:CA123),-ROUNDDOWN($K124*CA$5/100,0)),0)</f>
        <v>0</v>
      </c>
      <c r="CB124" s="38"/>
      <c r="CC124" s="38"/>
      <c r="CD124" s="38"/>
      <c r="CE124" s="38"/>
      <c r="CF124" s="38"/>
      <c r="CG124" s="65">
        <f t="shared" si="94"/>
        <v>0</v>
      </c>
      <c r="CH124" s="71">
        <f t="shared" si="95"/>
        <v>0</v>
      </c>
      <c r="CI124" s="1">
        <f t="shared" si="109"/>
        <v>0</v>
      </c>
      <c r="CJ124" s="1"/>
      <c r="CK124" s="79"/>
      <c r="CL124" s="79"/>
      <c r="CM124" s="2"/>
      <c r="CN124" s="2"/>
      <c r="CO124" s="73">
        <f t="shared" si="110"/>
        <v>0</v>
      </c>
      <c r="CP124" s="5">
        <f t="shared" si="111"/>
        <v>0</v>
      </c>
      <c r="CQ124" s="1"/>
      <c r="CR124" s="1">
        <f t="shared" si="112"/>
        <v>0</v>
      </c>
      <c r="CS124" s="1"/>
      <c r="CT124" s="1" t="e">
        <f>INDEX([2]マスタ!$A:$A,MATCH(D124,[2]マスタ!$C:$C,0))</f>
        <v>#N/A</v>
      </c>
      <c r="CU124" s="1" t="str">
        <f t="shared" ca="1" si="113"/>
        <v>20260620_0-0</v>
      </c>
    </row>
    <row r="125" spans="1:99" x14ac:dyDescent="0.4">
      <c r="A125" s="61"/>
      <c r="B125" s="62"/>
      <c r="C125" s="62"/>
      <c r="D125" s="62"/>
      <c r="E125" s="63"/>
      <c r="F125" s="62"/>
      <c r="G125" s="62">
        <v>1</v>
      </c>
      <c r="H125" s="64">
        <f t="shared" si="100"/>
        <v>0</v>
      </c>
      <c r="I125" s="64"/>
      <c r="J125" s="64"/>
      <c r="K125" s="65">
        <f>+ROUNDDOWN((H125+I125)/100,0)*100</f>
        <v>0</v>
      </c>
      <c r="L125" s="65">
        <f t="shared" si="102"/>
        <v>0</v>
      </c>
      <c r="M125" s="65">
        <f t="shared" si="103"/>
        <v>0</v>
      </c>
      <c r="N125" s="65">
        <f t="shared" si="104"/>
        <v>0</v>
      </c>
      <c r="O125" s="66" t="str">
        <f t="shared" si="105"/>
        <v>✕</v>
      </c>
      <c r="P125" s="67" t="str">
        <f t="shared" si="106"/>
        <v>○</v>
      </c>
      <c r="Q125" s="67" t="str">
        <f>+IF((TEXT($A125,"DD")+0)=1,"○","✕")</f>
        <v>✕</v>
      </c>
      <c r="R125" s="67" t="str">
        <f t="shared" si="108"/>
        <v>✕</v>
      </c>
      <c r="S125" s="68">
        <v>0</v>
      </c>
      <c r="T125" s="69" t="s">
        <v>85</v>
      </c>
      <c r="U125" s="69" t="s">
        <v>85</v>
      </c>
      <c r="V125" s="69" t="s">
        <v>85</v>
      </c>
      <c r="W125" s="69" t="s">
        <v>85</v>
      </c>
      <c r="X125" s="69" t="s">
        <v>84</v>
      </c>
      <c r="Y125" s="69" t="s">
        <v>85</v>
      </c>
      <c r="Z125" s="69" t="s">
        <v>85</v>
      </c>
      <c r="AA125" s="69" t="s">
        <v>85</v>
      </c>
      <c r="AB125" s="69" t="s">
        <v>85</v>
      </c>
      <c r="AC125" s="69" t="s">
        <v>85</v>
      </c>
      <c r="AD125" s="38" t="str">
        <f>+IF(ISERROR(VLOOKUP($B125,AD$10:AD124,1,0)),IF(AND($N125&gt;=1000,$A125&gt;=AO$8,$A125&lt;=AO$9),$B125,""),"")</f>
        <v/>
      </c>
      <c r="AE125" s="38" t="str">
        <f>+IF(ISERROR(VLOOKUP($B125,AE$10:AE124,1,0)),IF(AND($N125&gt;=1000,$A125&gt;=AP$8,$A125&lt;=AP$9),$B125,""),"")</f>
        <v/>
      </c>
      <c r="AF125" s="38" t="str">
        <f>+IF(ISERROR(VLOOKUP($B125,AF$10:AF124,1,0)),IF(AND($N125&gt;=1000,$A125&gt;=AQ$8,$A125&lt;=AQ$9),$B125,""),"")</f>
        <v/>
      </c>
      <c r="AG125" s="38" t="str">
        <f>+IF(ISERROR(VLOOKUP($B125,AG$10:AG124,1,0)),IF(AND($N125&gt;=1000,$A125&gt;=AR$8,$A125&lt;=AR$9),$B125,""),"")</f>
        <v/>
      </c>
      <c r="AH125" s="38"/>
      <c r="AI125" s="70">
        <v>0</v>
      </c>
      <c r="AJ125" s="38">
        <f>IF(AND(AJ$7="○",$A125&gt;=AJ$8,$A125&lt;=AJ$9),IF(SUM(AJ$10:AJ124)-ROUNDDOWN($K125*AJ$5/100,0)&lt;-AJ$6,-AJ$6-SUM(AJ$10:AJ124),-ROUNDDOWN($K125*AJ$5/100,0)),0)</f>
        <v>0</v>
      </c>
      <c r="AK125" s="38">
        <f>IF(AND(AK$7="○",$A125&gt;=AK$8,$A125&lt;=AK$9),IF(SUM(AK$10:AK124)-ROUNDDOWN($L125*AK$5/100,0)&lt;-AK$6,-AK$6-SUM(AK$10:AK124),-ROUNDDOWN($L125*AK$5/100,0)),0)</f>
        <v>0</v>
      </c>
      <c r="AL125" s="38">
        <f>IF(AND(AL$7="○",$A125&gt;=AL$8,$A125&lt;=AL$9),IF(SUM(AL$10:AL124)-ROUNDDOWN($N125*AL$5/100,0)&lt;-AL$6,-AL$6-SUM(AL$10:AL124),-ROUNDDOWN($N125*AL$5/100,0)),0)</f>
        <v>0</v>
      </c>
      <c r="AM125" s="38">
        <f>IF(AND(AM$7="○",$A125&gt;=AM$8,$A125&lt;=AM$9),IF(SUM(AM$10:AM124)-ROUNDDOWN($L125*AM$5/100,0)&lt;-AM$6,-AM$6-SUM(AM$10:AM124),-ROUNDDOWN($L125*AM$5/100,0)),0)</f>
        <v>0</v>
      </c>
      <c r="AN125" s="38">
        <f>IF(AND(AN$7="○",$A125&gt;=AN$8,$A125&lt;=AN$9),IF(SUM(AN$10:AN124)-ROUNDDOWN($M125*AN$5/100,0)&lt;-AN$6,-AN$6-SUM(AN$10:AN124),-ROUNDDOWN($M125*AN$5/100,0)),0)</f>
        <v>0</v>
      </c>
      <c r="AO125" s="38">
        <f>IF(AND($A125&gt;=AO$8,$A125&lt;=AO$9),IF(SUM(AO$10:AO124)-ROUNDDOWN($K125*AO$5/100,0)&lt;-AO$6,-AO$6-SUM(AO$10:AO124),-ROUNDDOWN($K125*AO$5/100,0)),0)</f>
        <v>0</v>
      </c>
      <c r="AP125" s="38">
        <f>IF(AND($A125&gt;=AP$8,$A125&lt;=AP$9),IF(SUM(AP$10:AP124)-ROUNDDOWN($K125*AP$5/100,0)&lt;-AP$6,-AP$6-SUM(AP$10:AP124),-ROUNDDOWN($K125*AP$5/100,0)),0)</f>
        <v>0</v>
      </c>
      <c r="AQ125" s="38">
        <f>IF(AND($A125&gt;=AQ$8,$A125&lt;=AQ$9),IF(SUM(AQ$10:AQ124)-ROUNDDOWN($K125*AQ$5/100,0)&lt;-AQ$6,-AQ$6-SUM(AQ$10:AQ124),-ROUNDDOWN($K125*AQ$5/100,0)),0)</f>
        <v>0</v>
      </c>
      <c r="AR125" s="38">
        <f>IF(AND($A125&gt;=AR$8,$A125&lt;=AR$9),IF(SUM(AR$10:AR124)-ROUNDDOWN($K125*AR$5/100,0)&lt;-AR$6,-AR$6-SUM(AR$10:AR124),-ROUNDDOWN($K125*AR$5/100,0)),0)</f>
        <v>0</v>
      </c>
      <c r="AS125" s="38">
        <f>IF(SUMIFS(AS$10:AS124,$A$10:$A124,$A125)-ROUNDDOWN($K125*$S125/100,0)&lt;-$S125*1000,-$S125*1000-SUMIFS(AS$10:AS124,$A$10:$A124,$A125),-ROUNDDOWN($K125*$S125/100,0))</f>
        <v>0</v>
      </c>
      <c r="AT125" s="38">
        <f>IF(AND(X125="○",$A125&gt;=AT$8,$A125&lt;=AT$9,K125&gt;=3980),IF(SUM(AT$10:AT124)-ROUNDDOWN($K125*AT$5/100,0)&lt;-AT$6,-AT$6-SUM(AT$10:AT124),-ROUNDDOWN($K125*AT$5/100,0)),0)</f>
        <v>0</v>
      </c>
      <c r="AU125" s="38">
        <f>IF(O125="○",IF(SUM(AU$10:AU124)-ROUNDDOWN($K125*AU$5/100,0)&lt;-AU$6,-AU$6-SUM(AU$10:AU124),-ROUNDDOWN($K125*AU$5/100,0)),0)</f>
        <v>0</v>
      </c>
      <c r="AV125" s="38">
        <f>IF(P125="○",IF(SUM(AV$10:AV124)-ROUNDDOWN($K125*AV$5/100,0)&lt;-AV$6,-AV$6-SUM(AV$10:AV124),-ROUNDDOWN($K125*AV$5/100,0)),0)</f>
        <v>0</v>
      </c>
      <c r="AW125" s="38">
        <f>IF(Q125="○",IF(SUM(AW$10:AW124)-ROUNDDOWN($K125*AW$5/100,0)&lt;-AW$6,-AW$6-SUM(AW$10:AW124),-ROUNDDOWN($K125*AW$5/100,0)),0)</f>
        <v>0</v>
      </c>
      <c r="AX125" s="38">
        <f>IF(R125="○",IF(SUM(AX$10:AX124)-ROUNDDOWN($K125*AX$5/100,0)&lt;-AX$6,-AX$6-SUM(AX$10:AX124),-ROUNDDOWN($K125*AX$5/100,0)),0)</f>
        <v>0</v>
      </c>
      <c r="AY125" s="70">
        <v>0</v>
      </c>
      <c r="AZ125" s="65">
        <f t="shared" si="88"/>
        <v>0</v>
      </c>
      <c r="BA125" s="65">
        <f t="shared" si="89"/>
        <v>0</v>
      </c>
      <c r="BB125" s="70"/>
      <c r="BC125" s="65">
        <f t="shared" si="90"/>
        <v>0</v>
      </c>
      <c r="BD125" s="70">
        <v>0</v>
      </c>
      <c r="BE125" s="65">
        <f t="shared" si="91"/>
        <v>0</v>
      </c>
      <c r="BF125" s="70">
        <v>0</v>
      </c>
      <c r="BG125" s="65">
        <f t="shared" si="92"/>
        <v>0</v>
      </c>
      <c r="BH125" s="70">
        <v>0</v>
      </c>
      <c r="BI125" s="65">
        <f t="shared" si="93"/>
        <v>0</v>
      </c>
      <c r="BJ125" s="38">
        <f>IF(AND(BJ$7="○",$A125&gt;=BJ$8,$A125&lt;=BJ$9),IF(SUM(BJ$10:BJ124)-ROUNDDOWN($M125*BJ$5/100,0)&lt;-BJ$6,-BJ$6-SUM(BJ$10:BJ124),-ROUNDDOWN($M125*BJ$5/100,0)),0)</f>
        <v>0</v>
      </c>
      <c r="BK125" s="38">
        <f>IF(AND(BK$7="○",$A125&gt;=BK$8,$A125&lt;=BK$9),IF(SUM(BK$10:BK124)-ROUNDDOWN($L125*BK$5/100,0)&lt;-BK$6,-BK$6-SUM(BK$10:BK124),-ROUNDDOWN($L125*BK$5/100,0)),0)</f>
        <v>0</v>
      </c>
      <c r="BL125" s="38">
        <f>IF(AND(BL$7="○",$A125&gt;=BL$8,$A125&lt;=BL$9),IF(SUM(BL$10:BL124)-ROUNDDOWN($L125*BL$5/100,0)&lt;-BL$6,-BL$6-SUM(BL$10:BL124),-ROUNDDOWN($L125*BL$5/100,0)),0)</f>
        <v>0</v>
      </c>
      <c r="BM125" s="38">
        <f>IF(AND(BM$7="○",$A125&gt;=BM$8,$A125&lt;=BM$9),IF(SUM(BM$10:BM124)-ROUNDDOWN($M125*BM$5/100,0)&lt;-BM$6,-BM$6-SUM(BM$10:BM124),-ROUNDDOWN($M125*BM$5/100,0)),0)</f>
        <v>0</v>
      </c>
      <c r="BN125" s="38">
        <f>IF(AND(BN$7="○",$A125&gt;=BN$8,$A125&lt;=BN$9),IF(SUM(BN$10:BN124)-ROUNDDOWN($M125*BN$5/100,0)&lt;-BN$6,-BN$6-SUM(BN$10:BN124),-ROUNDDOWN($M125*BN$5/100,0)),0)</f>
        <v>0</v>
      </c>
      <c r="BO125" s="38">
        <f>IF(AND(BO$7="○",$A125&gt;=BO$8,$A125&lt;=BO$9),IF(SUM(BO$10:BO124)-ROUNDDOWN($M125*BO$5/100,0)&lt;-BO$6,-BO$6-SUM(BO$10:BO124),-ROUNDDOWN($M125*BO$5/100,0)),0)</f>
        <v>0</v>
      </c>
      <c r="BP125" s="38">
        <f>IF(AND(BP$7="○",$A125&gt;=BP$8,$A125&lt;=BP$9),IF(SUM(BP$10:BP124)-ROUNDDOWN($M125*BP$5/100,0)&lt;-BP$6,-BP$6-SUM(BP$10:BP124),-ROUNDDOWN($M125*BP$5/100,0)),0)</f>
        <v>0</v>
      </c>
      <c r="BQ125" s="38">
        <f>IF(AND(BQ$7="○",$A125&gt;=BQ$8,$A125&lt;=BQ$9),IF(SUM(BQ$10:BQ124)-ROUNDDOWN($L125*BQ$5/100,0)&lt;-BQ$6,-BQ$6-SUM(BQ$10:BQ124),-ROUNDDOWN($L125*BQ$5/100,0)),0)</f>
        <v>0</v>
      </c>
      <c r="BR125" s="38">
        <f>IF(AND(BR$7="○",$A125&gt;=BR$8,$A125&lt;=BR$9),IF(SUM(BR$10:BR124)-ROUNDDOWN($M125*BR$5/100,0)&lt;-BR$6,-BR$6-SUM(BR$10:BR124),-ROUNDDOWN($M125*BR$5/100,0)),0)</f>
        <v>0</v>
      </c>
      <c r="BS125" s="38">
        <f>IF(AND(BS$7="○",$A125&gt;=BS$8,$A125&lt;=BS$9),IF(SUM(BS$10:BS124)-ROUNDDOWN($M125*BS$5/100,0)&lt;-BS$6,-BS$6-SUM(BS$10:BS124),-ROUNDDOWN($M125*BS$5/100,0)),0)</f>
        <v>0</v>
      </c>
      <c r="BT125" s="38">
        <f>IF(AND(BT$7="○",$A125&gt;=BT$8,$A125&lt;=BT$9),IF(SUM(BT$10:BT124)-ROUNDDOWN($M125*BT$5/100,0)&lt;-BT$6,-BT$6-SUM(BT$10:BT124),-ROUNDDOWN($M125*BT$5/100,0)),0)</f>
        <v>0</v>
      </c>
      <c r="BU125" s="38">
        <f>IF(AND(BU$7="○",$A125&gt;=BU$8,$A125&lt;=BU$9),IF(SUM(BU$10:BU124)-ROUNDDOWN($M125*BU$5/100,0)&lt;-BU$6,-BU$6-SUM(BU$10:BU124),-ROUNDDOWN($M125*BU$5/100,0)),0)</f>
        <v>0</v>
      </c>
      <c r="BV125" s="38">
        <f>IF(AND(BV$7="○",$A125&gt;=BV$8,$A125&lt;=BV$9),IF(SUM(BV$10:BV124)-ROUNDDOWN($M125*BV$5/100,0)&lt;-BV$6,-BV$6-SUM(BV$10:BV124),-ROUNDDOWN($M125*BV$5/100,0)),0)</f>
        <v>0</v>
      </c>
      <c r="BW125" s="38">
        <f>IF(AND(BW$7="○",$A125&gt;=BW$8,$A125&lt;=BW$9),IF(SUM(BW$10:BW124)-ROUNDDOWN($M125*BW$5/100,0)&lt;-BW$6,-BW$6-SUM(BW$10:BW124),-ROUNDDOWN($M125*BW$5/100,0)),0)</f>
        <v>0</v>
      </c>
      <c r="BX125" s="38">
        <f>IF(AND(T125="○",$A125&gt;=BX$8,$A125&lt;=BX$9),IF(SUM(BX$10:BX124)-ROUNDDOWN($K125*BX$5/100,0)&lt;-BX$6,-BX$6-SUM(BX$10:BX124),-ROUNDDOWN($K125*BX$5/100,0)),0)</f>
        <v>0</v>
      </c>
      <c r="BY125" s="38">
        <f>IF(AND(U125="○",$A125&gt;=BY$8,$A125&lt;=BY$9),IF(SUM(BY$10:BY124)-ROUNDDOWN($K125*BY$5/100,0)&lt;-BY$6,-BY$6-SUM(BY$10:BY124),-ROUNDDOWN($K125*BY$5/100,0)),0)</f>
        <v>0</v>
      </c>
      <c r="BZ125" s="38">
        <f>IF(AND(V125="○",$A125&gt;=BZ$8,$A125&lt;=BZ$9),IF(SUM(BZ$10:BZ124)-ROUNDDOWN($K125*BZ$5/100,0)&lt;-BZ$6,-BZ$6-SUM(BZ$10:BZ124),-ROUNDDOWN($K125*BZ$5/100,0)),0)</f>
        <v>0</v>
      </c>
      <c r="CA125" s="38">
        <f>IF(AND(W125="○",$A125&gt;=CA$8,$A125&lt;=CA$9),IF(SUM(CA$10:CA124)-ROUNDDOWN($K125*CA$5/100,0)&lt;-CA$6,-CA$6-SUM(CA$10:CA124),-ROUNDDOWN($K125*CA$5/100,0)),0)</f>
        <v>0</v>
      </c>
      <c r="CB125" s="38"/>
      <c r="CC125" s="38"/>
      <c r="CD125" s="38"/>
      <c r="CE125" s="38"/>
      <c r="CF125" s="38"/>
      <c r="CG125" s="65">
        <f t="shared" si="94"/>
        <v>0</v>
      </c>
      <c r="CH125" s="71">
        <f t="shared" si="95"/>
        <v>0</v>
      </c>
      <c r="CI125" s="1">
        <f t="shared" si="109"/>
        <v>0</v>
      </c>
      <c r="CJ125" s="1"/>
      <c r="CK125" s="79"/>
      <c r="CL125" s="79"/>
      <c r="CM125" s="2"/>
      <c r="CN125" s="2"/>
      <c r="CO125" s="73">
        <f t="shared" si="110"/>
        <v>0</v>
      </c>
      <c r="CP125" s="5">
        <f t="shared" si="111"/>
        <v>0</v>
      </c>
      <c r="CQ125" s="1"/>
      <c r="CR125" s="1">
        <f t="shared" si="112"/>
        <v>0</v>
      </c>
      <c r="CS125" s="1"/>
      <c r="CT125" s="1" t="e">
        <f>INDEX([2]マスタ!$A:$A,MATCH(D125,[2]マスタ!$C:$C,0))</f>
        <v>#N/A</v>
      </c>
      <c r="CU125" s="1" t="str">
        <f t="shared" ca="1" si="113"/>
        <v>20260620_0-0</v>
      </c>
    </row>
    <row r="126" spans="1:99" x14ac:dyDescent="0.4">
      <c r="A126" s="61"/>
      <c r="B126" s="62"/>
      <c r="C126" s="62"/>
      <c r="D126" s="62"/>
      <c r="E126" s="63"/>
      <c r="F126" s="62"/>
      <c r="G126" s="62">
        <v>1</v>
      </c>
      <c r="H126" s="64">
        <f t="shared" si="100"/>
        <v>0</v>
      </c>
      <c r="I126" s="64"/>
      <c r="J126" s="64"/>
      <c r="K126" s="65">
        <f t="shared" ref="K126:K135" si="116">+ROUNDDOWN((H126+I126+J126)/100,0)*100</f>
        <v>0</v>
      </c>
      <c r="L126" s="65">
        <f t="shared" si="102"/>
        <v>0</v>
      </c>
      <c r="M126" s="65">
        <f t="shared" si="103"/>
        <v>0</v>
      </c>
      <c r="N126" s="65">
        <f t="shared" si="104"/>
        <v>0</v>
      </c>
      <c r="O126" s="66" t="str">
        <f t="shared" si="105"/>
        <v>✕</v>
      </c>
      <c r="P126" s="67" t="str">
        <f t="shared" si="106"/>
        <v>○</v>
      </c>
      <c r="Q126" s="67" t="str">
        <f t="shared" ref="Q126:Q135" si="117">+IF((TEXT(A126,"DD")+0)=1,"○","✕")</f>
        <v>✕</v>
      </c>
      <c r="R126" s="67" t="str">
        <f t="shared" si="108"/>
        <v>✕</v>
      </c>
      <c r="S126" s="68">
        <v>0</v>
      </c>
      <c r="T126" s="69" t="s">
        <v>85</v>
      </c>
      <c r="U126" s="69" t="s">
        <v>85</v>
      </c>
      <c r="V126" s="69" t="s">
        <v>85</v>
      </c>
      <c r="W126" s="69" t="s">
        <v>85</v>
      </c>
      <c r="X126" s="69" t="s">
        <v>84</v>
      </c>
      <c r="Y126" s="69" t="s">
        <v>85</v>
      </c>
      <c r="Z126" s="69" t="s">
        <v>85</v>
      </c>
      <c r="AA126" s="69" t="s">
        <v>85</v>
      </c>
      <c r="AB126" s="69" t="s">
        <v>85</v>
      </c>
      <c r="AC126" s="69" t="s">
        <v>85</v>
      </c>
      <c r="AD126" s="38" t="str">
        <f>+IF(ISERROR(VLOOKUP($B126,AD$10:AD125,1,0)),IF(AND($N126&gt;=1000,$A126&gt;=AO$8,$A126&lt;=AO$9),$B126,""),"")</f>
        <v/>
      </c>
      <c r="AE126" s="38" t="str">
        <f>+IF(ISERROR(VLOOKUP($B126,AE$10:AE125,1,0)),IF(AND($N126&gt;=1000,$A126&gt;=AP$8,$A126&lt;=AP$9),$B126,""),"")</f>
        <v/>
      </c>
      <c r="AF126" s="38" t="str">
        <f>+IF(ISERROR(VLOOKUP($B126,AF$10:AF125,1,0)),IF(AND($N126&gt;=1000,$A126&gt;=AQ$8,$A126&lt;=AQ$9),$B126,""),"")</f>
        <v/>
      </c>
      <c r="AG126" s="38" t="str">
        <f>+IF(ISERROR(VLOOKUP($B126,AG$10:AG125,1,0)),IF(AND($N126&gt;=1000,$A126&gt;=AR$8,$A126&lt;=AR$9),$B126,""),"")</f>
        <v/>
      </c>
      <c r="AH126" s="38"/>
      <c r="AI126" s="70">
        <v>0</v>
      </c>
      <c r="AJ126" s="38">
        <f>IF(AND(AJ$7="○",$A126&gt;=AJ$8,$A126&lt;=AJ$9),IF(SUM(AJ$10:AJ125)-ROUNDDOWN($K126*AJ$5/100,0)&lt;-AJ$6,-AJ$6-SUM(AJ$10:AJ125),-ROUNDDOWN($K126*AJ$5/100,0)),0)</f>
        <v>0</v>
      </c>
      <c r="AK126" s="38">
        <f>IF(AND(AK$7="○",$A126&gt;=AK$8,$A126&lt;=AK$9),IF(SUM(AK$10:AK125)-ROUNDDOWN($L126*AK$5/100,0)&lt;-AK$6,-AK$6-SUM(AK$10:AK125),-ROUNDDOWN($L126*AK$5/100,0)),0)</f>
        <v>0</v>
      </c>
      <c r="AL126" s="38">
        <f>IF(AND(AL$7="○",$A126&gt;=AL$8,$A126&lt;=AL$9),IF(SUM(AL$10:AL125)-ROUNDDOWN($N126*AL$5/100,0)&lt;-AL$6,-AL$6-SUM(AL$10:AL125),-ROUNDDOWN($N126*AL$5/100,0)),0)</f>
        <v>0</v>
      </c>
      <c r="AM126" s="38">
        <f>IF(AND(AM$7="○",$A126&gt;=AM$8,$A126&lt;=AM$9),IF(SUM(AM$10:AM125)-ROUNDDOWN($L126*AM$5/100,0)&lt;-AM$6,-AM$6-SUM(AM$10:AM125),-ROUNDDOWN($L126*AM$5/100,0)),0)</f>
        <v>0</v>
      </c>
      <c r="AN126" s="38">
        <f>IF(AND(AN$7="○",$A126&gt;=AN$8,$A126&lt;=AN$9),IF(SUM(AN$10:AN125)-ROUNDDOWN($M126*AN$5/100,0)&lt;-AN$6,-AN$6-SUM(AN$10:AN125),-ROUNDDOWN($M126*AN$5/100,0)),0)</f>
        <v>0</v>
      </c>
      <c r="AO126" s="38">
        <f>IF(AND($A126&gt;=AO$8,$A126&lt;=AO$9),IF(SUM(AO$10:AO125)-ROUNDDOWN($K126*AO$5/100,0)&lt;-AO$6,-AO$6-SUM(AO$10:AO125),-ROUNDDOWN($K126*AO$5/100,0)),0)</f>
        <v>0</v>
      </c>
      <c r="AP126" s="38">
        <f>IF(AND($A126&gt;=AP$8,$A126&lt;=AP$9),IF(SUM(AP$10:AP125)-ROUNDDOWN($K126*AP$5/100,0)&lt;-AP$6,-AP$6-SUM(AP$10:AP125),-ROUNDDOWN($K126*AP$5/100,0)),0)</f>
        <v>0</v>
      </c>
      <c r="AQ126" s="38">
        <f>IF(AND($A126&gt;=AQ$8,$A126&lt;=AQ$9),IF(SUM(AQ$10:AQ125)-ROUNDDOWN($K126*AQ$5/100,0)&lt;-AQ$6,-AQ$6-SUM(AQ$10:AQ125),-ROUNDDOWN($K126*AQ$5/100,0)),0)</f>
        <v>0</v>
      </c>
      <c r="AR126" s="38">
        <f>IF(AND($A126&gt;=AR$8,$A126&lt;=AR$9),IF(SUM(AR$10:AR125)-ROUNDDOWN($K126*AR$5/100,0)&lt;-AR$6,-AR$6-SUM(AR$10:AR125),-ROUNDDOWN($K126*AR$5/100,0)),0)</f>
        <v>0</v>
      </c>
      <c r="AS126" s="38">
        <f>IF(SUMIFS(AS$10:AS125,$A$10:$A125,$A126)-ROUNDDOWN($K126*$S126/100,0)&lt;-$S126*1000,-$S126*1000-SUMIFS(AS$10:AS125,$A$10:$A125,$A126),-ROUNDDOWN($K126*$S126/100,0))</f>
        <v>0</v>
      </c>
      <c r="AT126" s="38">
        <f>IF(AND(X126="○",$A126&gt;=AT$8,$A126&lt;=AT$9,K126&gt;=3980),IF(SUM(AT$10:AT125)-ROUNDDOWN($K126*AT$5/100,0)&lt;-AT$6,-AT$6-SUM(AT$10:AT125),-ROUNDDOWN($K126*AT$5/100,0)),0)</f>
        <v>0</v>
      </c>
      <c r="AU126" s="38">
        <f>IF(O126="○",IF(SUM(AU$10:AU125)-ROUNDDOWN($K126*AU$5/100,0)&lt;-AU$6,-AU$6-SUM(AU$10:AU125),-ROUNDDOWN($K126*AU$5/100,0)),0)</f>
        <v>0</v>
      </c>
      <c r="AV126" s="38">
        <f>IF(P126="○",IF(SUM(AV$10:AV125)-ROUNDDOWN($K126*AV$5/100,0)&lt;-AV$6,-AV$6-SUM(AV$10:AV125),-ROUNDDOWN($K126*AV$5/100,0)),0)</f>
        <v>0</v>
      </c>
      <c r="AW126" s="38">
        <f>IF(Q126="○",IF(SUM(AW$10:AW125)-ROUNDDOWN($K126*AW$5/100,0)&lt;-AW$6,-AW$6-SUM(AW$10:AW125),-ROUNDDOWN($K126*AW$5/100,0)),0)</f>
        <v>0</v>
      </c>
      <c r="AX126" s="38">
        <f>IF(R126="○",IF(SUM(AX$10:AX125)-ROUNDDOWN($K126*AX$5/100,0)&lt;-AX$6,-AX$6-SUM(AX$10:AX125),-ROUNDDOWN($K126*AX$5/100,0)),0)</f>
        <v>0</v>
      </c>
      <c r="AY126" s="70">
        <v>0</v>
      </c>
      <c r="AZ126" s="65">
        <f t="shared" si="88"/>
        <v>0</v>
      </c>
      <c r="BA126" s="65">
        <f t="shared" si="89"/>
        <v>0</v>
      </c>
      <c r="BB126" s="70"/>
      <c r="BC126" s="65">
        <f t="shared" si="90"/>
        <v>0</v>
      </c>
      <c r="BD126" s="70">
        <v>0</v>
      </c>
      <c r="BE126" s="65">
        <f t="shared" si="91"/>
        <v>0</v>
      </c>
      <c r="BF126" s="70">
        <v>0</v>
      </c>
      <c r="BG126" s="65">
        <f t="shared" si="92"/>
        <v>0</v>
      </c>
      <c r="BH126" s="70">
        <v>0</v>
      </c>
      <c r="BI126" s="65">
        <f t="shared" si="93"/>
        <v>0</v>
      </c>
      <c r="BJ126" s="38">
        <f>IF(AND(BJ$7="○",$A126&gt;=BJ$8,$A126&lt;=BJ$9),IF(SUM(BJ$10:BJ125)-ROUNDDOWN($M126*BJ$5/100,0)&lt;-BJ$6,-BJ$6-SUM(BJ$10:BJ125),-ROUNDDOWN($M126*BJ$5/100,0)),0)</f>
        <v>0</v>
      </c>
      <c r="BK126" s="38">
        <f>IF(AND(BK$7="○",$A126&gt;=BK$8,$A126&lt;=BK$9),IF(SUM(BK$10:BK125)-ROUNDDOWN($L126*BK$5/100,0)&lt;-BK$6,-BK$6-SUM(BK$10:BK125),-ROUNDDOWN($L126*BK$5/100,0)),0)</f>
        <v>0</v>
      </c>
      <c r="BL126" s="38">
        <f>IF(AND(BL$7="○",$A126&gt;=BL$8,$A126&lt;=BL$9),IF(SUM(BL$10:BL125)-ROUNDDOWN($L126*BL$5/100,0)&lt;-BL$6,-BL$6-SUM(BL$10:BL125),-ROUNDDOWN($L126*BL$5/100,0)),0)</f>
        <v>0</v>
      </c>
      <c r="BM126" s="38">
        <f>IF(AND(BM$7="○",$A126&gt;=BM$8,$A126&lt;=BM$9),IF(SUM(BM$10:BM125)-ROUNDDOWN($M126*BM$5/100,0)&lt;-BM$6,-BM$6-SUM(BM$10:BM125),-ROUNDDOWN($M126*BM$5/100,0)),0)</f>
        <v>0</v>
      </c>
      <c r="BN126" s="38">
        <f>IF(AND(BN$7="○",$A126&gt;=BN$8,$A126&lt;=BN$9),IF(SUM(BN$10:BN125)-ROUNDDOWN($M126*BN$5/100,0)&lt;-BN$6,-BN$6-SUM(BN$10:BN125),-ROUNDDOWN($M126*BN$5/100,0)),0)</f>
        <v>0</v>
      </c>
      <c r="BO126" s="38">
        <f>IF(AND(BO$7="○",$A126&gt;=BO$8,$A126&lt;=BO$9),IF(SUM(BO$10:BO125)-ROUNDDOWN($M126*BO$5/100,0)&lt;-BO$6,-BO$6-SUM(BO$10:BO125),-ROUNDDOWN($M126*BO$5/100,0)),0)</f>
        <v>0</v>
      </c>
      <c r="BP126" s="38">
        <f>IF(AND(BP$7="○",$A126&gt;=BP$8,$A126&lt;=BP$9),IF(SUM(BP$10:BP125)-ROUNDDOWN($M126*BP$5/100,0)&lt;-BP$6,-BP$6-SUM(BP$10:BP125),-ROUNDDOWN($M126*BP$5/100,0)),0)</f>
        <v>0</v>
      </c>
      <c r="BQ126" s="38">
        <f>IF(AND(BQ$7="○",$A126&gt;=BQ$8,$A126&lt;=BQ$9),IF(SUM(BQ$10:BQ125)-ROUNDDOWN($L126*BQ$5/100,0)&lt;-BQ$6,-BQ$6-SUM(BQ$10:BQ125),-ROUNDDOWN($L126*BQ$5/100,0)),0)</f>
        <v>0</v>
      </c>
      <c r="BR126" s="38">
        <f>IF(AND(BR$7="○",$A126&gt;=BR$8,$A126&lt;=BR$9),IF(SUM(BR$10:BR125)-ROUNDDOWN($M126*BR$5/100,0)&lt;-BR$6,-BR$6-SUM(BR$10:BR125),-ROUNDDOWN($M126*BR$5/100,0)),0)</f>
        <v>0</v>
      </c>
      <c r="BS126" s="38">
        <f>IF(AND(BS$7="○",$A126&gt;=BS$8,$A126&lt;=BS$9),IF(SUM(BS$10:BS125)-ROUNDDOWN($M126*BS$5/100,0)&lt;-BS$6,-BS$6-SUM(BS$10:BS125),-ROUNDDOWN($M126*BS$5/100,0)),0)</f>
        <v>0</v>
      </c>
      <c r="BT126" s="38">
        <f>IF(AND(BT$7="○",$A126&gt;=BT$8,$A126&lt;=BT$9),IF(SUM(BT$10:BT125)-ROUNDDOWN($M126*BT$5/100,0)&lt;-BT$6,-BT$6-SUM(BT$10:BT125),-ROUNDDOWN($M126*BT$5/100,0)),0)</f>
        <v>0</v>
      </c>
      <c r="BU126" s="38">
        <f>IF(AND(BU$7="○",$A126&gt;=BU$8,$A126&lt;=BU$9),IF(SUM(BU$10:BU125)-ROUNDDOWN($M126*BU$5/100,0)&lt;-BU$6,-BU$6-SUM(BU$10:BU125),-ROUNDDOWN($M126*BU$5/100,0)),0)</f>
        <v>0</v>
      </c>
      <c r="BV126" s="38">
        <f>IF(AND(BV$7="○",$A126&gt;=BV$8,$A126&lt;=BV$9),IF(SUM(BV$10:BV125)-ROUNDDOWN($M126*BV$5/100,0)&lt;-BV$6,-BV$6-SUM(BV$10:BV125),-ROUNDDOWN($M126*BV$5/100,0)),0)</f>
        <v>0</v>
      </c>
      <c r="BW126" s="38">
        <f>IF(AND(BW$7="○",$A126&gt;=BW$8,$A126&lt;=BW$9),IF(SUM(BW$10:BW125)-ROUNDDOWN($M126*BW$5/100,0)&lt;-BW$6,-BW$6-SUM(BW$10:BW125),-ROUNDDOWN($M126*BW$5/100,0)),0)</f>
        <v>0</v>
      </c>
      <c r="BX126" s="38">
        <f>IF(AND(T126="○",$A126&gt;=BX$8,$A126&lt;=BX$9),IF(SUM(BX$10:BX125)-ROUNDDOWN($K126*BX$5/100,0)&lt;-BX$6,-BX$6-SUM(BX$10:BX125),-ROUNDDOWN($K126*BX$5/100,0)),0)</f>
        <v>0</v>
      </c>
      <c r="BY126" s="38">
        <f>IF(AND(U126="○",$A126&gt;=BY$8,$A126&lt;=BY$9),IF(SUM(BY$10:BY125)-ROUNDDOWN($K126*BY$5/100,0)&lt;-BY$6,-BY$6-SUM(BY$10:BY125),-ROUNDDOWN($K126*BY$5/100,0)),0)</f>
        <v>0</v>
      </c>
      <c r="BZ126" s="38">
        <f>IF(AND(V126="○",$A126&gt;=BZ$8,$A126&lt;=BZ$9),IF(SUM(BZ$10:BZ125)-ROUNDDOWN($K126*BZ$5/100,0)&lt;-BZ$6,-BZ$6-SUM(BZ$10:BZ125),-ROUNDDOWN($K126*BZ$5/100,0)),0)</f>
        <v>0</v>
      </c>
      <c r="CA126" s="38">
        <f>IF(AND(W126="○",$A126&gt;=CA$8,$A126&lt;=CA$9),IF(SUM(CA$10:CA125)-ROUNDDOWN($K126*CA$5/100,0)&lt;-CA$6,-CA$6-SUM(CA$10:CA125),-ROUNDDOWN($K126*CA$5/100,0)),0)</f>
        <v>0</v>
      </c>
      <c r="CB126" s="38"/>
      <c r="CC126" s="38"/>
      <c r="CD126" s="38"/>
      <c r="CE126" s="38"/>
      <c r="CF126" s="38"/>
      <c r="CG126" s="65">
        <f t="shared" si="94"/>
        <v>0</v>
      </c>
      <c r="CH126" s="71">
        <f t="shared" si="95"/>
        <v>0</v>
      </c>
      <c r="CI126" s="1">
        <f t="shared" si="109"/>
        <v>0</v>
      </c>
      <c r="CJ126" s="1"/>
      <c r="CK126" s="72"/>
      <c r="CL126" s="72"/>
      <c r="CM126" s="2"/>
      <c r="CN126" s="2"/>
      <c r="CO126" s="73">
        <f t="shared" si="110"/>
        <v>0</v>
      </c>
      <c r="CP126" s="5">
        <f t="shared" si="111"/>
        <v>0</v>
      </c>
      <c r="CQ126" s="1"/>
      <c r="CR126" s="1">
        <f t="shared" si="112"/>
        <v>0</v>
      </c>
      <c r="CS126" s="1"/>
      <c r="CT126" s="1" t="e">
        <f>INDEX([2]マスタ!$A:$A,MATCH(D126,[2]マスタ!$C:$C,0))</f>
        <v>#N/A</v>
      </c>
      <c r="CU126" s="1" t="str">
        <f t="shared" ca="1" si="113"/>
        <v>20260620_0-0</v>
      </c>
    </row>
    <row r="127" spans="1:99" x14ac:dyDescent="0.4">
      <c r="A127" s="61"/>
      <c r="B127" s="62"/>
      <c r="C127" s="62"/>
      <c r="D127" s="62"/>
      <c r="E127" s="63"/>
      <c r="F127" s="62"/>
      <c r="G127" s="62">
        <v>1</v>
      </c>
      <c r="H127" s="64">
        <f t="shared" si="100"/>
        <v>0</v>
      </c>
      <c r="I127" s="64"/>
      <c r="J127" s="64"/>
      <c r="K127" s="65">
        <f t="shared" si="116"/>
        <v>0</v>
      </c>
      <c r="L127" s="65">
        <f t="shared" si="102"/>
        <v>0</v>
      </c>
      <c r="M127" s="65">
        <f t="shared" si="103"/>
        <v>0</v>
      </c>
      <c r="N127" s="65">
        <f t="shared" si="104"/>
        <v>0</v>
      </c>
      <c r="O127" s="66" t="str">
        <f t="shared" si="105"/>
        <v>✕</v>
      </c>
      <c r="P127" s="67" t="str">
        <f t="shared" si="106"/>
        <v>○</v>
      </c>
      <c r="Q127" s="67" t="str">
        <f t="shared" si="117"/>
        <v>✕</v>
      </c>
      <c r="R127" s="67" t="str">
        <f t="shared" si="108"/>
        <v>✕</v>
      </c>
      <c r="S127" s="68">
        <v>0</v>
      </c>
      <c r="T127" s="69" t="s">
        <v>85</v>
      </c>
      <c r="U127" s="69" t="s">
        <v>85</v>
      </c>
      <c r="V127" s="69" t="s">
        <v>85</v>
      </c>
      <c r="W127" s="69" t="s">
        <v>85</v>
      </c>
      <c r="X127" s="69" t="s">
        <v>84</v>
      </c>
      <c r="Y127" s="69" t="s">
        <v>85</v>
      </c>
      <c r="Z127" s="69" t="s">
        <v>85</v>
      </c>
      <c r="AA127" s="69" t="s">
        <v>85</v>
      </c>
      <c r="AB127" s="69" t="s">
        <v>85</v>
      </c>
      <c r="AC127" s="69" t="s">
        <v>85</v>
      </c>
      <c r="AD127" s="38" t="str">
        <f>+IF(ISERROR(VLOOKUP($B127,AD$10:AD126,1,0)),IF(AND($N127&gt;=1000,$A127&gt;=AO$8,$A127&lt;=AO$9),$B127,""),"")</f>
        <v/>
      </c>
      <c r="AE127" s="38" t="str">
        <f>+IF(ISERROR(VLOOKUP($B127,AE$10:AE126,1,0)),IF(AND($N127&gt;=1000,$A127&gt;=AP$8,$A127&lt;=AP$9),$B127,""),"")</f>
        <v/>
      </c>
      <c r="AF127" s="38" t="str">
        <f>+IF(ISERROR(VLOOKUP($B127,AF$10:AF126,1,0)),IF(AND($N127&gt;=1000,$A127&gt;=AQ$8,$A127&lt;=AQ$9),$B127,""),"")</f>
        <v/>
      </c>
      <c r="AG127" s="38" t="str">
        <f>+IF(ISERROR(VLOOKUP($B127,AG$10:AG126,1,0)),IF(AND($N127&gt;=1000,$A127&gt;=AR$8,$A127&lt;=AR$9),$B127,""),"")</f>
        <v/>
      </c>
      <c r="AH127" s="38"/>
      <c r="AI127" s="70">
        <v>0</v>
      </c>
      <c r="AJ127" s="38">
        <f>IF(AND(AJ$7="○",$A127&gt;=AJ$8,$A127&lt;=AJ$9),IF(SUM(AJ$10:AJ126)-ROUNDDOWN($K127*AJ$5/100,0)&lt;-AJ$6,-AJ$6-SUM(AJ$10:AJ126),-ROUNDDOWN($K127*AJ$5/100,0)),0)</f>
        <v>0</v>
      </c>
      <c r="AK127" s="38">
        <f>IF(AND(AK$7="○",$A127&gt;=AK$8,$A127&lt;=AK$9),IF(SUM(AK$10:AK126)-ROUNDDOWN($L127*AK$5/100,0)&lt;-AK$6,-AK$6-SUM(AK$10:AK126),-ROUNDDOWN($L127*AK$5/100,0)),0)</f>
        <v>0</v>
      </c>
      <c r="AL127" s="38">
        <f>IF(AND(AL$7="○",$A127&gt;=AL$8,$A127&lt;=AL$9),IF(SUM(AL$10:AL126)-ROUNDDOWN($N127*AL$5/100,0)&lt;-AL$6,-AL$6-SUM(AL$10:AL126),-ROUNDDOWN($N127*AL$5/100,0)),0)</f>
        <v>0</v>
      </c>
      <c r="AM127" s="38">
        <f>IF(AND(AM$7="○",$A127&gt;=AM$8,$A127&lt;=AM$9),IF(SUM(AM$10:AM126)-ROUNDDOWN($L127*AM$5/100,0)&lt;-AM$6,-AM$6-SUM(AM$10:AM126),-ROUNDDOWN($L127*AM$5/100,0)),0)</f>
        <v>0</v>
      </c>
      <c r="AN127" s="38">
        <f>IF(AND(AN$7="○",$A127&gt;=AN$8,$A127&lt;=AN$9),IF(SUM(AN$10:AN126)-ROUNDDOWN($M127*AN$5/100,0)&lt;-AN$6,-AN$6-SUM(AN$10:AN126),-ROUNDDOWN($M127*AN$5/100,0)),0)</f>
        <v>0</v>
      </c>
      <c r="AO127" s="38">
        <f>IF(AND($A127&gt;=AO$8,$A127&lt;=AO$9),IF(SUM(AO$10:AO126)-ROUNDDOWN($K127*AO$5/100,0)&lt;-AO$6,-AO$6-SUM(AO$10:AO126),-ROUNDDOWN($K127*AO$5/100,0)),0)</f>
        <v>0</v>
      </c>
      <c r="AP127" s="38">
        <f>IF(AND($A127&gt;=AP$8,$A127&lt;=AP$9),IF(SUM(AP$10:AP126)-ROUNDDOWN($K127*AP$5/100,0)&lt;-AP$6,-AP$6-SUM(AP$10:AP126),-ROUNDDOWN($K127*AP$5/100,0)),0)</f>
        <v>0</v>
      </c>
      <c r="AQ127" s="38">
        <f>IF(AND($A127&gt;=AQ$8,$A127&lt;=AQ$9),IF(SUM(AQ$10:AQ126)-ROUNDDOWN($K127*AQ$5/100,0)&lt;-AQ$6,-AQ$6-SUM(AQ$10:AQ126),-ROUNDDOWN($K127*AQ$5/100,0)),0)</f>
        <v>0</v>
      </c>
      <c r="AR127" s="38">
        <f>IF(AND($A127&gt;=AR$8,$A127&lt;=AR$9),IF(SUM(AR$10:AR126)-ROUNDDOWN($K127*AR$5/100,0)&lt;-AR$6,-AR$6-SUM(AR$10:AR126),-ROUNDDOWN($K127*AR$5/100,0)),0)</f>
        <v>0</v>
      </c>
      <c r="AS127" s="38">
        <f>IF(SUMIFS(AS$10:AS126,$A$10:$A126,$A127)-ROUNDDOWN($K127*$S127/100,0)&lt;-$S127*1000,-$S127*1000-SUMIFS(AS$10:AS126,$A$10:$A126,$A127),-ROUNDDOWN($K127*$S127/100,0))</f>
        <v>0</v>
      </c>
      <c r="AT127" s="38">
        <f>IF(AND(X127="○",$A127&gt;=AT$8,$A127&lt;=AT$9,K127&gt;=3980),IF(SUM(AT$10:AT126)-ROUNDDOWN($K127*AT$5/100,0)&lt;-AT$6,-AT$6-SUM(AT$10:AT126),-ROUNDDOWN($K127*AT$5/100,0)),0)</f>
        <v>0</v>
      </c>
      <c r="AU127" s="38">
        <f>IF(O127="○",IF(SUM(AU$10:AU126)-ROUNDDOWN($K127*AU$5/100,0)&lt;-AU$6,-AU$6-SUM(AU$10:AU126),-ROUNDDOWN($K127*AU$5/100,0)),0)</f>
        <v>0</v>
      </c>
      <c r="AV127" s="38">
        <f>IF(P127="○",IF(SUM(AV$10:AV126)-ROUNDDOWN($K127*AV$5/100,0)&lt;-AV$6,-AV$6-SUM(AV$10:AV126),-ROUNDDOWN($K127*AV$5/100,0)),0)</f>
        <v>0</v>
      </c>
      <c r="AW127" s="38">
        <f>IF(Q127="○",IF(SUM(AW$10:AW126)-ROUNDDOWN($K127*AW$5/100,0)&lt;-AW$6,-AW$6-SUM(AW$10:AW126),-ROUNDDOWN($K127*AW$5/100,0)),0)</f>
        <v>0</v>
      </c>
      <c r="AX127" s="38">
        <f>IF(R127="○",IF(SUM(AX$10:AX126)-ROUNDDOWN($K127*AX$5/100,0)&lt;-AX$6,-AX$6-SUM(AX$10:AX126),-ROUNDDOWN($K127*AX$5/100,0)),0)</f>
        <v>0</v>
      </c>
      <c r="AY127" s="70">
        <v>0</v>
      </c>
      <c r="AZ127" s="65">
        <f t="shared" si="88"/>
        <v>0</v>
      </c>
      <c r="BA127" s="65">
        <f t="shared" si="89"/>
        <v>0</v>
      </c>
      <c r="BB127" s="70"/>
      <c r="BC127" s="65">
        <f t="shared" si="90"/>
        <v>0</v>
      </c>
      <c r="BD127" s="70">
        <v>0</v>
      </c>
      <c r="BE127" s="65">
        <f t="shared" si="91"/>
        <v>0</v>
      </c>
      <c r="BF127" s="70">
        <v>0</v>
      </c>
      <c r="BG127" s="65">
        <f t="shared" si="92"/>
        <v>0</v>
      </c>
      <c r="BH127" s="70">
        <v>0</v>
      </c>
      <c r="BI127" s="65">
        <f t="shared" si="93"/>
        <v>0</v>
      </c>
      <c r="BJ127" s="38">
        <f>IF(AND(BJ$7="○",$A127&gt;=BJ$8,$A127&lt;=BJ$9),IF(SUM(BJ$10:BJ126)-ROUNDDOWN($M127*BJ$5/100,0)&lt;-BJ$6,-BJ$6-SUM(BJ$10:BJ126),-ROUNDDOWN($M127*BJ$5/100,0)),0)</f>
        <v>0</v>
      </c>
      <c r="BK127" s="38">
        <f>IF(AND(BK$7="○",$A127&gt;=BK$8,$A127&lt;=BK$9),IF(SUM(BK$10:BK126)-ROUNDDOWN($L127*BK$5/100,0)&lt;-BK$6,-BK$6-SUM(BK$10:BK126),-ROUNDDOWN($L127*BK$5/100,0)),0)</f>
        <v>0</v>
      </c>
      <c r="BL127" s="38">
        <f>IF(AND(BL$7="○",$A127&gt;=BL$8,$A127&lt;=BL$9),IF(SUM(BL$10:BL126)-ROUNDDOWN($L127*BL$5/100,0)&lt;-BL$6,-BL$6-SUM(BL$10:BL126),-ROUNDDOWN($L127*BL$5/100,0)),0)</f>
        <v>0</v>
      </c>
      <c r="BM127" s="38">
        <f>IF(AND(BM$7="○",$A127&gt;=BM$8,$A127&lt;=BM$9),IF(SUM(BM$10:BM126)-ROUNDDOWN($M127*BM$5/100,0)&lt;-BM$6,-BM$6-SUM(BM$10:BM126),-ROUNDDOWN($M127*BM$5/100,0)),0)</f>
        <v>0</v>
      </c>
      <c r="BN127" s="38">
        <f>IF(AND(BN$7="○",$A127&gt;=BN$8,$A127&lt;=BN$9),IF(SUM(BN$10:BN126)-ROUNDDOWN($M127*BN$5/100,0)&lt;-BN$6,-BN$6-SUM(BN$10:BN126),-ROUNDDOWN($M127*BN$5/100,0)),0)</f>
        <v>0</v>
      </c>
      <c r="BO127" s="38">
        <f>IF(AND(BO$7="○",$A127&gt;=BO$8,$A127&lt;=BO$9),IF(SUM(BO$10:BO126)-ROUNDDOWN($M127*BO$5/100,0)&lt;-BO$6,-BO$6-SUM(BO$10:BO126),-ROUNDDOWN($M127*BO$5/100,0)),0)</f>
        <v>0</v>
      </c>
      <c r="BP127" s="38">
        <f>IF(AND(BP$7="○",$A127&gt;=BP$8,$A127&lt;=BP$9),IF(SUM(BP$10:BP126)-ROUNDDOWN($M127*BP$5/100,0)&lt;-BP$6,-BP$6-SUM(BP$10:BP126),-ROUNDDOWN($M127*BP$5/100,0)),0)</f>
        <v>0</v>
      </c>
      <c r="BQ127" s="38">
        <f>IF(AND(BQ$7="○",$A127&gt;=BQ$8,$A127&lt;=BQ$9),IF(SUM(BQ$10:BQ126)-ROUNDDOWN($L127*BQ$5/100,0)&lt;-BQ$6,-BQ$6-SUM(BQ$10:BQ126),-ROUNDDOWN($L127*BQ$5/100,0)),0)</f>
        <v>0</v>
      </c>
      <c r="BR127" s="38">
        <f>IF(AND(BR$7="○",$A127&gt;=BR$8,$A127&lt;=BR$9),IF(SUM(BR$10:BR126)-ROUNDDOWN($M127*BR$5/100,0)&lt;-BR$6,-BR$6-SUM(BR$10:BR126),-ROUNDDOWN($M127*BR$5/100,0)),0)</f>
        <v>0</v>
      </c>
      <c r="BS127" s="38">
        <f>IF(AND(BS$7="○",$A127&gt;=BS$8,$A127&lt;=BS$9),IF(SUM(BS$10:BS126)-ROUNDDOWN($M127*BS$5/100,0)&lt;-BS$6,-BS$6-SUM(BS$10:BS126),-ROUNDDOWN($M127*BS$5/100,0)),0)</f>
        <v>0</v>
      </c>
      <c r="BT127" s="38">
        <f>IF(AND(BT$7="○",$A127&gt;=BT$8,$A127&lt;=BT$9),IF(SUM(BT$10:BT126)-ROUNDDOWN($M127*BT$5/100,0)&lt;-BT$6,-BT$6-SUM(BT$10:BT126),-ROUNDDOWN($M127*BT$5/100,0)),0)</f>
        <v>0</v>
      </c>
      <c r="BU127" s="38">
        <f>IF(AND(BU$7="○",$A127&gt;=BU$8,$A127&lt;=BU$9),IF(SUM(BU$10:BU126)-ROUNDDOWN($M127*BU$5/100,0)&lt;-BU$6,-BU$6-SUM(BU$10:BU126),-ROUNDDOWN($M127*BU$5/100,0)),0)</f>
        <v>0</v>
      </c>
      <c r="BV127" s="38">
        <f>IF(AND(BV$7="○",$A127&gt;=BV$8,$A127&lt;=BV$9),IF(SUM(BV$10:BV126)-ROUNDDOWN($M127*BV$5/100,0)&lt;-BV$6,-BV$6-SUM(BV$10:BV126),-ROUNDDOWN($M127*BV$5/100,0)),0)</f>
        <v>0</v>
      </c>
      <c r="BW127" s="38">
        <f>IF(AND(BW$7="○",$A127&gt;=BW$8,$A127&lt;=BW$9),IF(SUM(BW$10:BW126)-ROUNDDOWN($M127*BW$5/100,0)&lt;-BW$6,-BW$6-SUM(BW$10:BW126),-ROUNDDOWN($M127*BW$5/100,0)),0)</f>
        <v>0</v>
      </c>
      <c r="BX127" s="38">
        <f>IF(AND(T127="○",$A127&gt;=BX$8,$A127&lt;=BX$9),IF(SUM(BX$10:BX126)-ROUNDDOWN($K127*BX$5/100,0)&lt;-BX$6,-BX$6-SUM(BX$10:BX126),-ROUNDDOWN($K127*BX$5/100,0)),0)</f>
        <v>0</v>
      </c>
      <c r="BY127" s="38">
        <f>IF(AND(U127="○",$A127&gt;=BY$8,$A127&lt;=BY$9),IF(SUM(BY$10:BY126)-ROUNDDOWN($K127*BY$5/100,0)&lt;-BY$6,-BY$6-SUM(BY$10:BY126),-ROUNDDOWN($K127*BY$5/100,0)),0)</f>
        <v>0</v>
      </c>
      <c r="BZ127" s="38">
        <f>IF(AND(V127="○",$A127&gt;=BZ$8,$A127&lt;=BZ$9),IF(SUM(BZ$10:BZ126)-ROUNDDOWN($K127*BZ$5/100,0)&lt;-BZ$6,-BZ$6-SUM(BZ$10:BZ126),-ROUNDDOWN($K127*BZ$5/100,0)),0)</f>
        <v>0</v>
      </c>
      <c r="CA127" s="38">
        <f>IF(AND(W127="○",$A127&gt;=CA$8,$A127&lt;=CA$9),IF(SUM(CA$10:CA126)-ROUNDDOWN($K127*CA$5/100,0)&lt;-CA$6,-CA$6-SUM(CA$10:CA126),-ROUNDDOWN($K127*CA$5/100,0)),0)</f>
        <v>0</v>
      </c>
      <c r="CB127" s="38"/>
      <c r="CC127" s="38"/>
      <c r="CD127" s="38"/>
      <c r="CE127" s="38"/>
      <c r="CF127" s="38"/>
      <c r="CG127" s="65">
        <f t="shared" si="94"/>
        <v>0</v>
      </c>
      <c r="CH127" s="71">
        <f t="shared" si="95"/>
        <v>0</v>
      </c>
      <c r="CI127" s="1">
        <f t="shared" si="109"/>
        <v>0</v>
      </c>
      <c r="CJ127" s="1"/>
      <c r="CK127" s="72"/>
      <c r="CL127" s="72"/>
      <c r="CM127" s="2"/>
      <c r="CN127" s="2"/>
      <c r="CO127" s="73">
        <f t="shared" si="110"/>
        <v>0</v>
      </c>
      <c r="CP127" s="5">
        <f t="shared" si="111"/>
        <v>0</v>
      </c>
      <c r="CQ127" s="1"/>
      <c r="CR127" s="1">
        <f t="shared" si="112"/>
        <v>0</v>
      </c>
      <c r="CS127" s="1"/>
      <c r="CT127" s="1" t="e">
        <f>INDEX([2]マスタ!$A:$A,MATCH(D127,[2]マスタ!$C:$C,0))</f>
        <v>#N/A</v>
      </c>
      <c r="CU127" s="1" t="str">
        <f t="shared" ca="1" si="113"/>
        <v>20260620_0-0</v>
      </c>
    </row>
    <row r="128" spans="1:99" x14ac:dyDescent="0.4">
      <c r="A128" s="61"/>
      <c r="B128" s="62"/>
      <c r="C128" s="62"/>
      <c r="D128" s="63"/>
      <c r="E128" s="63"/>
      <c r="F128" s="62"/>
      <c r="G128" s="62">
        <v>1</v>
      </c>
      <c r="H128" s="64">
        <f t="shared" si="100"/>
        <v>0</v>
      </c>
      <c r="I128" s="64"/>
      <c r="J128" s="64"/>
      <c r="K128" s="65">
        <f t="shared" si="116"/>
        <v>0</v>
      </c>
      <c r="L128" s="65">
        <f t="shared" si="102"/>
        <v>0</v>
      </c>
      <c r="M128" s="65">
        <f t="shared" si="103"/>
        <v>0</v>
      </c>
      <c r="N128" s="65">
        <f t="shared" si="104"/>
        <v>0</v>
      </c>
      <c r="O128" s="66" t="str">
        <f t="shared" si="105"/>
        <v>✕</v>
      </c>
      <c r="P128" s="67" t="str">
        <f t="shared" si="106"/>
        <v>○</v>
      </c>
      <c r="Q128" s="67" t="str">
        <f t="shared" si="117"/>
        <v>✕</v>
      </c>
      <c r="R128" s="67" t="str">
        <f t="shared" si="108"/>
        <v>✕</v>
      </c>
      <c r="S128" s="68">
        <v>0</v>
      </c>
      <c r="T128" s="69" t="s">
        <v>85</v>
      </c>
      <c r="U128" s="69" t="s">
        <v>85</v>
      </c>
      <c r="V128" s="69" t="s">
        <v>85</v>
      </c>
      <c r="W128" s="69" t="s">
        <v>85</v>
      </c>
      <c r="X128" s="69" t="s">
        <v>84</v>
      </c>
      <c r="Y128" s="69" t="s">
        <v>85</v>
      </c>
      <c r="Z128" s="69" t="s">
        <v>85</v>
      </c>
      <c r="AA128" s="69" t="s">
        <v>85</v>
      </c>
      <c r="AB128" s="69" t="s">
        <v>85</v>
      </c>
      <c r="AC128" s="69" t="s">
        <v>85</v>
      </c>
      <c r="AD128" s="38" t="str">
        <f>+IF(ISERROR(VLOOKUP($B128,AD$10:AD127,1,0)),IF(AND($N128&gt;=1000,$A128&gt;=AO$8,$A128&lt;=AO$9),$B128,""),"")</f>
        <v/>
      </c>
      <c r="AE128" s="38" t="str">
        <f>+IF(ISERROR(VLOOKUP($B128,AE$10:AE127,1,0)),IF(AND($N128&gt;=1000,$A128&gt;=AP$8,$A128&lt;=AP$9),$B128,""),"")</f>
        <v/>
      </c>
      <c r="AF128" s="38" t="str">
        <f>+IF(ISERROR(VLOOKUP($B128,AF$10:AF127,1,0)),IF(AND($N128&gt;=1000,$A128&gt;=AQ$8,$A128&lt;=AQ$9),$B128,""),"")</f>
        <v/>
      </c>
      <c r="AG128" s="38" t="str">
        <f>+IF(ISERROR(VLOOKUP($B128,AG$10:AG127,1,0)),IF(AND($N128&gt;=1000,$A128&gt;=AR$8,$A128&lt;=AR$9),$B128,""),"")</f>
        <v/>
      </c>
      <c r="AH128" s="38"/>
      <c r="AI128" s="70">
        <v>0</v>
      </c>
      <c r="AJ128" s="38">
        <f>IF(AND(AJ$7="○",$A128&gt;=AJ$8,$A128&lt;=AJ$9),IF(SUM(AJ$10:AJ127)-ROUNDDOWN($K128*AJ$5/100,0)&lt;-AJ$6,-AJ$6-SUM(AJ$10:AJ127),-ROUNDDOWN($K128*AJ$5/100,0)),0)</f>
        <v>0</v>
      </c>
      <c r="AK128" s="38">
        <f>IF(AND(AK$7="○",$A128&gt;=AK$8,$A128&lt;=AK$9),IF(SUM(AK$10:AK127)-ROUNDDOWN($L128*AK$5/100,0)&lt;-AK$6,-AK$6-SUM(AK$10:AK127),-ROUNDDOWN($L128*AK$5/100,0)),0)</f>
        <v>0</v>
      </c>
      <c r="AL128" s="38">
        <f>IF(AND(AL$7="○",$A128&gt;=AL$8,$A128&lt;=AL$9),IF(SUM(AL$10:AL127)-ROUNDDOWN($N128*AL$5/100,0)&lt;-AL$6,-AL$6-SUM(AL$10:AL127),-ROUNDDOWN($N128*AL$5/100,0)),0)</f>
        <v>0</v>
      </c>
      <c r="AM128" s="38">
        <f>IF(AND(AM$7="○",$A128&gt;=AM$8,$A128&lt;=AM$9),IF(SUM(AM$10:AM127)-ROUNDDOWN($L128*AM$5/100,0)&lt;-AM$6,-AM$6-SUM(AM$10:AM127),-ROUNDDOWN($L128*AM$5/100,0)),0)</f>
        <v>0</v>
      </c>
      <c r="AN128" s="38">
        <f>IF(AND(AN$7="○",$A128&gt;=AN$8,$A128&lt;=AN$9),IF(SUM(AN$10:AN127)-ROUNDDOWN($M128*AN$5/100,0)&lt;-AN$6,-AN$6-SUM(AN$10:AN127),-ROUNDDOWN($M128*AN$5/100,0)),0)</f>
        <v>0</v>
      </c>
      <c r="AO128" s="38">
        <f>IF(AND($A128&gt;=AO$8,$A128&lt;=AO$9),IF(SUM(AO$10:AO127)-ROUNDDOWN($K128*AO$5/100,0)&lt;-AO$6,-AO$6-SUM(AO$10:AO127),-ROUNDDOWN($K128*AO$5/100,0)),0)</f>
        <v>0</v>
      </c>
      <c r="AP128" s="38">
        <f>IF(AND($A128&gt;=AP$8,$A128&lt;=AP$9),IF(SUM(AP$10:AP127)-ROUNDDOWN($K128*AP$5/100,0)&lt;-AP$6,-AP$6-SUM(AP$10:AP127),-ROUNDDOWN($K128*AP$5/100,0)),0)</f>
        <v>0</v>
      </c>
      <c r="AQ128" s="38">
        <f>IF(AND($A128&gt;=AQ$8,$A128&lt;=AQ$9),IF(SUM(AQ$10:AQ127)-ROUNDDOWN($K128*AQ$5/100,0)&lt;-AQ$6,-AQ$6-SUM(AQ$10:AQ127),-ROUNDDOWN($K128*AQ$5/100,0)),0)</f>
        <v>0</v>
      </c>
      <c r="AR128" s="38">
        <f>IF(AND($A128&gt;=AR$8,$A128&lt;=AR$9),IF(SUM(AR$10:AR127)-ROUNDDOWN($K128*AR$5/100,0)&lt;-AR$6,-AR$6-SUM(AR$10:AR127),-ROUNDDOWN($K128*AR$5/100,0)),0)</f>
        <v>0</v>
      </c>
      <c r="AS128" s="38">
        <f>IF(SUMIFS(AS$10:AS127,$A$10:$A127,$A128)-ROUNDDOWN($K128*$S128/100,0)&lt;-$S128*1000,-$S128*1000-SUMIFS(AS$10:AS127,$A$10:$A127,$A128),-ROUNDDOWN($K128*$S128/100,0))</f>
        <v>0</v>
      </c>
      <c r="AT128" s="38">
        <f>IF(AND(X128="○",$A128&gt;=AT$8,$A128&lt;=AT$9,K128&gt;=3980),IF(SUM(AT$10:AT127)-ROUNDDOWN($K128*AT$5/100,0)&lt;-AT$6,-AT$6-SUM(AT$10:AT127),-ROUNDDOWN($K128*AT$5/100,0)),0)</f>
        <v>0</v>
      </c>
      <c r="AU128" s="38">
        <f>IF(O128="○",IF(SUM(AU$10:AU127)-ROUNDDOWN($K128*AU$5/100,0)&lt;-AU$6,-AU$6-SUM(AU$10:AU127),-ROUNDDOWN($K128*AU$5/100,0)),0)</f>
        <v>0</v>
      </c>
      <c r="AV128" s="38">
        <f>IF(P128="○",IF(SUM(AV$10:AV127)-ROUNDDOWN($K128*AV$5/100,0)&lt;-AV$6,-AV$6-SUM(AV$10:AV127),-ROUNDDOWN($K128*AV$5/100,0)),0)</f>
        <v>0</v>
      </c>
      <c r="AW128" s="38">
        <f>IF(Q128="○",IF(SUM(AW$10:AW127)-ROUNDDOWN($K128*AW$5/100,0)&lt;-AW$6,-AW$6-SUM(AW$10:AW127),-ROUNDDOWN($K128*AW$5/100,0)),0)</f>
        <v>0</v>
      </c>
      <c r="AX128" s="38">
        <f>IF(R128="○",IF(SUM(AX$10:AX127)-ROUNDDOWN($K128*AX$5/100,0)&lt;-AX$6,-AX$6-SUM(AX$10:AX127),-ROUNDDOWN($K128*AX$5/100,0)),0)</f>
        <v>0</v>
      </c>
      <c r="AY128" s="70">
        <v>0</v>
      </c>
      <c r="AZ128" s="65">
        <f t="shared" si="88"/>
        <v>0</v>
      </c>
      <c r="BA128" s="65">
        <f t="shared" si="89"/>
        <v>0</v>
      </c>
      <c r="BB128" s="70"/>
      <c r="BC128" s="65">
        <f t="shared" si="90"/>
        <v>0</v>
      </c>
      <c r="BD128" s="70">
        <v>0</v>
      </c>
      <c r="BE128" s="65">
        <f t="shared" si="91"/>
        <v>0</v>
      </c>
      <c r="BF128" s="70">
        <v>0</v>
      </c>
      <c r="BG128" s="65">
        <f t="shared" si="92"/>
        <v>0</v>
      </c>
      <c r="BH128" s="70">
        <v>0</v>
      </c>
      <c r="BI128" s="65">
        <f t="shared" si="93"/>
        <v>0</v>
      </c>
      <c r="BJ128" s="38">
        <f>IF(AND(BJ$7="○",$A128&gt;=BJ$8,$A128&lt;=BJ$9),IF(SUM(BJ$10:BJ127)-ROUNDDOWN($M128*BJ$5/100,0)&lt;-BJ$6,-BJ$6-SUM(BJ$10:BJ127),-ROUNDDOWN($M128*BJ$5/100,0)),0)</f>
        <v>0</v>
      </c>
      <c r="BK128" s="38">
        <f>IF(AND(BK$7="○",$A128&gt;=BK$8,$A128&lt;=BK$9),IF(SUM(BK$10:BK127)-ROUNDDOWN($L128*BK$5/100,0)&lt;-BK$6,-BK$6-SUM(BK$10:BK127),-ROUNDDOWN($L128*BK$5/100,0)),0)</f>
        <v>0</v>
      </c>
      <c r="BL128" s="38">
        <f>IF(AND(BL$7="○",$A128&gt;=BL$8,$A128&lt;=BL$9),IF(SUM(BL$10:BL127)-ROUNDDOWN($L128*BL$5/100,0)&lt;-BL$6,-BL$6-SUM(BL$10:BL127),-ROUNDDOWN($L128*BL$5/100,0)),0)</f>
        <v>0</v>
      </c>
      <c r="BM128" s="38">
        <f>IF(AND(BM$7="○",$A128&gt;=BM$8,$A128&lt;=BM$9),IF(SUM(BM$10:BM127)-ROUNDDOWN($M128*BM$5/100,0)&lt;-BM$6,-BM$6-SUM(BM$10:BM127),-ROUNDDOWN($M128*BM$5/100,0)),0)</f>
        <v>0</v>
      </c>
      <c r="BN128" s="38">
        <f>IF(AND(BN$7="○",$A128&gt;=BN$8,$A128&lt;=BN$9),IF(SUM(BN$10:BN127)-ROUNDDOWN($M128*BN$5/100,0)&lt;-BN$6,-BN$6-SUM(BN$10:BN127),-ROUNDDOWN($M128*BN$5/100,0)),0)</f>
        <v>0</v>
      </c>
      <c r="BO128" s="38">
        <f>IF(AND(BO$7="○",$A128&gt;=BO$8,$A128&lt;=BO$9),IF(SUM(BO$10:BO127)-ROUNDDOWN($M128*BO$5/100,0)&lt;-BO$6,-BO$6-SUM(BO$10:BO127),-ROUNDDOWN($M128*BO$5/100,0)),0)</f>
        <v>0</v>
      </c>
      <c r="BP128" s="38">
        <f>IF(AND(BP$7="○",$A128&gt;=BP$8,$A128&lt;=BP$9),IF(SUM(BP$10:BP127)-ROUNDDOWN($M128*BP$5/100,0)&lt;-BP$6,-BP$6-SUM(BP$10:BP127),-ROUNDDOWN($M128*BP$5/100,0)),0)</f>
        <v>0</v>
      </c>
      <c r="BQ128" s="38">
        <f>IF(AND(BQ$7="○",$A128&gt;=BQ$8,$A128&lt;=BQ$9),IF(SUM(BQ$10:BQ127)-ROUNDDOWN($L128*BQ$5/100,0)&lt;-BQ$6,-BQ$6-SUM(BQ$10:BQ127),-ROUNDDOWN($L128*BQ$5/100,0)),0)</f>
        <v>0</v>
      </c>
      <c r="BR128" s="38">
        <f>IF(AND(BR$7="○",$A128&gt;=BR$8,$A128&lt;=BR$9),IF(SUM(BR$10:BR127)-ROUNDDOWN($M128*BR$5/100,0)&lt;-BR$6,-BR$6-SUM(BR$10:BR127),-ROUNDDOWN($M128*BR$5/100,0)),0)</f>
        <v>0</v>
      </c>
      <c r="BS128" s="38">
        <f>IF(AND(BS$7="○",$A128&gt;=BS$8,$A128&lt;=BS$9),IF(SUM(BS$10:BS127)-ROUNDDOWN($M128*BS$5/100,0)&lt;-BS$6,-BS$6-SUM(BS$10:BS127),-ROUNDDOWN($M128*BS$5/100,0)),0)</f>
        <v>0</v>
      </c>
      <c r="BT128" s="38">
        <f>IF(AND(BT$7="○",$A128&gt;=BT$8,$A128&lt;=BT$9),IF(SUM(BT$10:BT127)-ROUNDDOWN($M128*BT$5/100,0)&lt;-BT$6,-BT$6-SUM(BT$10:BT127),-ROUNDDOWN($M128*BT$5/100,0)),0)</f>
        <v>0</v>
      </c>
      <c r="BU128" s="38">
        <f>IF(AND(BU$7="○",$A128&gt;=BU$8,$A128&lt;=BU$9),IF(SUM(BU$10:BU127)-ROUNDDOWN($M128*BU$5/100,0)&lt;-BU$6,-BU$6-SUM(BU$10:BU127),-ROUNDDOWN($M128*BU$5/100,0)),0)</f>
        <v>0</v>
      </c>
      <c r="BV128" s="38">
        <f>IF(AND(BV$7="○",$A128&gt;=BV$8,$A128&lt;=BV$9),IF(SUM(BV$10:BV127)-ROUNDDOWN($M128*BV$5/100,0)&lt;-BV$6,-BV$6-SUM(BV$10:BV127),-ROUNDDOWN($M128*BV$5/100,0)),0)</f>
        <v>0</v>
      </c>
      <c r="BW128" s="38">
        <f>IF(AND(BW$7="○",$A128&gt;=BW$8,$A128&lt;=BW$9),IF(SUM(BW$10:BW127)-ROUNDDOWN($M128*BW$5/100,0)&lt;-BW$6,-BW$6-SUM(BW$10:BW127),-ROUNDDOWN($M128*BW$5/100,0)),0)</f>
        <v>0</v>
      </c>
      <c r="BX128" s="38">
        <f>IF(AND(T128="○",$A128&gt;=BX$8,$A128&lt;=BX$9),IF(SUM(BX$10:BX127)-ROUNDDOWN($K128*BX$5/100,0)&lt;-BX$6,-BX$6-SUM(BX$10:BX127),-ROUNDDOWN($K128*BX$5/100,0)),0)</f>
        <v>0</v>
      </c>
      <c r="BY128" s="38">
        <f>IF(AND(U128="○",$A128&gt;=BY$8,$A128&lt;=BY$9),IF(SUM(BY$10:BY127)-ROUNDDOWN($K128*BY$5/100,0)&lt;-BY$6,-BY$6-SUM(BY$10:BY127),-ROUNDDOWN($K128*BY$5/100,0)),0)</f>
        <v>0</v>
      </c>
      <c r="BZ128" s="38">
        <f>IF(AND(V128="○",$A128&gt;=BZ$8,$A128&lt;=BZ$9),IF(SUM(BZ$10:BZ127)-ROUNDDOWN($K128*BZ$5/100,0)&lt;-BZ$6,-BZ$6-SUM(BZ$10:BZ127),-ROUNDDOWN($K128*BZ$5/100,0)),0)</f>
        <v>0</v>
      </c>
      <c r="CA128" s="38">
        <f>IF(AND(W128="○",$A128&gt;=CA$8,$A128&lt;=CA$9),IF(SUM(CA$10:CA127)-ROUNDDOWN($K128*CA$5/100,0)&lt;-CA$6,-CA$6-SUM(CA$10:CA127),-ROUNDDOWN($K128*CA$5/100,0)),0)</f>
        <v>0</v>
      </c>
      <c r="CB128" s="38"/>
      <c r="CC128" s="38"/>
      <c r="CD128" s="38"/>
      <c r="CE128" s="38"/>
      <c r="CF128" s="38"/>
      <c r="CG128" s="65">
        <f t="shared" si="94"/>
        <v>0</v>
      </c>
      <c r="CH128" s="71">
        <f t="shared" si="95"/>
        <v>0</v>
      </c>
      <c r="CI128" s="1">
        <f t="shared" si="109"/>
        <v>0</v>
      </c>
      <c r="CJ128" s="1"/>
      <c r="CK128" s="2"/>
      <c r="CL128" s="2"/>
      <c r="CM128" s="2"/>
      <c r="CN128" s="2"/>
      <c r="CO128" s="73">
        <f t="shared" si="110"/>
        <v>0</v>
      </c>
      <c r="CP128" s="5">
        <f t="shared" si="111"/>
        <v>0</v>
      </c>
      <c r="CQ128" s="1"/>
      <c r="CR128" s="1">
        <f t="shared" si="112"/>
        <v>0</v>
      </c>
      <c r="CS128" s="1"/>
      <c r="CT128" s="1" t="e">
        <f>INDEX([2]マスタ!$A:$A,MATCH(D128,[2]マスタ!$C:$C,0))</f>
        <v>#N/A</v>
      </c>
      <c r="CU128" s="1" t="str">
        <f t="shared" ca="1" si="113"/>
        <v>20260620_0-0</v>
      </c>
    </row>
    <row r="129" spans="1:99" x14ac:dyDescent="0.4">
      <c r="A129" s="61"/>
      <c r="B129" s="62"/>
      <c r="C129" s="62"/>
      <c r="D129" s="62"/>
      <c r="E129" s="63"/>
      <c r="F129" s="62"/>
      <c r="G129" s="62">
        <v>1</v>
      </c>
      <c r="H129" s="64">
        <f t="shared" si="100"/>
        <v>0</v>
      </c>
      <c r="I129" s="64"/>
      <c r="J129" s="78"/>
      <c r="K129" s="65">
        <f t="shared" si="116"/>
        <v>0</v>
      </c>
      <c r="L129" s="65">
        <f t="shared" si="102"/>
        <v>0</v>
      </c>
      <c r="M129" s="65">
        <f t="shared" si="103"/>
        <v>0</v>
      </c>
      <c r="N129" s="65">
        <f t="shared" si="104"/>
        <v>0</v>
      </c>
      <c r="O129" s="66" t="str">
        <f t="shared" si="105"/>
        <v>✕</v>
      </c>
      <c r="P129" s="67" t="str">
        <f t="shared" si="106"/>
        <v>○</v>
      </c>
      <c r="Q129" s="67" t="str">
        <f t="shared" si="117"/>
        <v>✕</v>
      </c>
      <c r="R129" s="67" t="str">
        <f t="shared" si="108"/>
        <v>✕</v>
      </c>
      <c r="S129" s="68">
        <v>0</v>
      </c>
      <c r="T129" s="69" t="s">
        <v>85</v>
      </c>
      <c r="U129" s="69" t="s">
        <v>85</v>
      </c>
      <c r="V129" s="69" t="s">
        <v>85</v>
      </c>
      <c r="W129" s="69" t="s">
        <v>85</v>
      </c>
      <c r="X129" s="69" t="s">
        <v>84</v>
      </c>
      <c r="Y129" s="69" t="s">
        <v>85</v>
      </c>
      <c r="Z129" s="69" t="s">
        <v>85</v>
      </c>
      <c r="AA129" s="69" t="s">
        <v>85</v>
      </c>
      <c r="AB129" s="69" t="s">
        <v>85</v>
      </c>
      <c r="AC129" s="69" t="s">
        <v>85</v>
      </c>
      <c r="AD129" s="38" t="str">
        <f>+IF(ISERROR(VLOOKUP($B129,AD$10:AD128,1,0)),IF(AND($N129&gt;=1000,$A129&gt;=AO$8,$A129&lt;=AO$9),$B129,""),"")</f>
        <v/>
      </c>
      <c r="AE129" s="38" t="str">
        <f>+IF(ISERROR(VLOOKUP($B129,AE$10:AE128,1,0)),IF(AND($N129&gt;=1000,$A129&gt;=AP$8,$A129&lt;=AP$9),$B129,""),"")</f>
        <v/>
      </c>
      <c r="AF129" s="38" t="str">
        <f>+IF(ISERROR(VLOOKUP($B129,AF$10:AF128,1,0)),IF(AND($N129&gt;=1000,$A129&gt;=AQ$8,$A129&lt;=AQ$9),$B129,""),"")</f>
        <v/>
      </c>
      <c r="AG129" s="38" t="str">
        <f>+IF(ISERROR(VLOOKUP($B129,AG$10:AG128,1,0)),IF(AND($N129&gt;=1000,$A129&gt;=AR$8,$A129&lt;=AR$9),$B129,""),"")</f>
        <v/>
      </c>
      <c r="AH129" s="38"/>
      <c r="AI129" s="70">
        <v>0</v>
      </c>
      <c r="AJ129" s="38">
        <f>IF(AND(AJ$7="○",$A129&gt;=AJ$8,$A129&lt;=AJ$9),IF(SUM(AJ$10:AJ128)-ROUNDDOWN($K129*AJ$5/100,0)&lt;-AJ$6,-AJ$6-SUM(AJ$10:AJ128),-ROUNDDOWN($K129*AJ$5/100,0)),0)</f>
        <v>0</v>
      </c>
      <c r="AK129" s="38">
        <f>IF(AND(AK$7="○",$A129&gt;=AK$8,$A129&lt;=AK$9),IF(SUM(AK$10:AK128)-ROUNDDOWN($L129*AK$5/100,0)&lt;-AK$6,-AK$6-SUM(AK$10:AK128),-ROUNDDOWN($L129*AK$5/100,0)),0)</f>
        <v>0</v>
      </c>
      <c r="AL129" s="38">
        <f>IF(AND(AL$7="○",$A129&gt;=AL$8,$A129&lt;=AL$9),IF(SUM(AL$10:AL128)-ROUNDDOWN($N129*AL$5/100,0)&lt;-AL$6,-AL$6-SUM(AL$10:AL128),-ROUNDDOWN($N129*AL$5/100,0)),0)</f>
        <v>0</v>
      </c>
      <c r="AM129" s="38">
        <f>IF(AND(AM$7="○",$A129&gt;=AM$8,$A129&lt;=AM$9),IF(SUM(AM$10:AM128)-ROUNDDOWN($L129*AM$5/100,0)&lt;-AM$6,-AM$6-SUM(AM$10:AM128),-ROUNDDOWN($L129*AM$5/100,0)),0)</f>
        <v>0</v>
      </c>
      <c r="AN129" s="38">
        <f>IF(AND(AN$7="○",$A129&gt;=AN$8,$A129&lt;=AN$9),IF(SUM(AN$10:AN128)-ROUNDDOWN($M129*AN$5/100,0)&lt;-AN$6,-AN$6-SUM(AN$10:AN128),-ROUNDDOWN($M129*AN$5/100,0)),0)</f>
        <v>0</v>
      </c>
      <c r="AO129" s="38">
        <f>IF(AND($A129&gt;=AO$8,$A129&lt;=AO$9),IF(SUM(AO$10:AO128)-ROUNDDOWN($K129*AO$5/100,0)&lt;-AO$6,-AO$6-SUM(AO$10:AO128),-ROUNDDOWN($K129*AO$5/100,0)),0)</f>
        <v>0</v>
      </c>
      <c r="AP129" s="38">
        <f>IF(AND($A129&gt;=AP$8,$A129&lt;=AP$9),IF(SUM(AP$10:AP128)-ROUNDDOWN($K129*AP$5/100,0)&lt;-AP$6,-AP$6-SUM(AP$10:AP128),-ROUNDDOWN($K129*AP$5/100,0)),0)</f>
        <v>0</v>
      </c>
      <c r="AQ129" s="38">
        <f>IF(AND($A129&gt;=AQ$8,$A129&lt;=AQ$9),IF(SUM(AQ$10:AQ128)-ROUNDDOWN($K129*AQ$5/100,0)&lt;-AQ$6,-AQ$6-SUM(AQ$10:AQ128),-ROUNDDOWN($K129*AQ$5/100,0)),0)</f>
        <v>0</v>
      </c>
      <c r="AR129" s="38">
        <f>IF(AND($A129&gt;=AR$8,$A129&lt;=AR$9),IF(SUM(AR$10:AR128)-ROUNDDOWN($K129*AR$5/100,0)&lt;-AR$6,-AR$6-SUM(AR$10:AR128),-ROUNDDOWN($K129*AR$5/100,0)),0)</f>
        <v>0</v>
      </c>
      <c r="AS129" s="38">
        <f>IF(SUMIFS(AS$10:AS128,$A$10:$A128,$A129)-ROUNDDOWN($K129*$S129/100,0)&lt;-$S129*1000,-$S129*1000-SUMIFS(AS$10:AS128,$A$10:$A128,$A129),-ROUNDDOWN($K129*$S129/100,0))</f>
        <v>0</v>
      </c>
      <c r="AT129" s="38">
        <f>IF(AND(X129="○",$A129&gt;=AT$8,$A129&lt;=AT$9,K129&gt;=3980),IF(SUM(AT$10:AT128)-ROUNDDOWN($K129*AT$5/100,0)&lt;-AT$6,-AT$6-SUM(AT$10:AT128),-ROUNDDOWN($K129*AT$5/100,0)),0)</f>
        <v>0</v>
      </c>
      <c r="AU129" s="38">
        <f>IF(O129="○",IF(SUM(AU$10:AU128)-ROUNDDOWN($K129*AU$5/100,0)&lt;-AU$6,-AU$6-SUM(AU$10:AU128),-ROUNDDOWN($K129*AU$5/100,0)),0)</f>
        <v>0</v>
      </c>
      <c r="AV129" s="38">
        <f>IF(P129="○",IF(SUM(AV$10:AV128)-ROUNDDOWN($K129*AV$5/100,0)&lt;-AV$6,-AV$6-SUM(AV$10:AV128),-ROUNDDOWN($K129*AV$5/100,0)),0)</f>
        <v>0</v>
      </c>
      <c r="AW129" s="38">
        <f>IF(Q129="○",IF(SUM(AW$10:AW128)-ROUNDDOWN($K129*AW$5/100,0)&lt;-AW$6,-AW$6-SUM(AW$10:AW128),-ROUNDDOWN($K129*AW$5/100,0)),0)</f>
        <v>0</v>
      </c>
      <c r="AX129" s="38">
        <f>IF(R129="○",IF(SUM(AX$10:AX128)-ROUNDDOWN($K129*AX$5/100,0)&lt;-AX$6,-AX$6-SUM(AX$10:AX128),-ROUNDDOWN($K129*AX$5/100,0)),0)</f>
        <v>0</v>
      </c>
      <c r="AY129" s="70">
        <v>0</v>
      </c>
      <c r="AZ129" s="65">
        <f t="shared" si="88"/>
        <v>0</v>
      </c>
      <c r="BA129" s="65">
        <f t="shared" si="89"/>
        <v>0</v>
      </c>
      <c r="BB129" s="70"/>
      <c r="BC129" s="65">
        <f t="shared" si="90"/>
        <v>0</v>
      </c>
      <c r="BD129" s="70">
        <v>0</v>
      </c>
      <c r="BE129" s="65">
        <f t="shared" si="91"/>
        <v>0</v>
      </c>
      <c r="BF129" s="70">
        <v>0</v>
      </c>
      <c r="BG129" s="65">
        <f t="shared" si="92"/>
        <v>0</v>
      </c>
      <c r="BH129" s="70">
        <v>0</v>
      </c>
      <c r="BI129" s="65">
        <f t="shared" si="93"/>
        <v>0</v>
      </c>
      <c r="BJ129" s="38">
        <f>IF(AND(BJ$7="○",$A129&gt;=BJ$8,$A129&lt;=BJ$9),IF(SUM(BJ$10:BJ128)-ROUNDDOWN($M129*BJ$5/100,0)&lt;-BJ$6,-BJ$6-SUM(BJ$10:BJ128),-ROUNDDOWN($M129*BJ$5/100,0)),0)</f>
        <v>0</v>
      </c>
      <c r="BK129" s="38">
        <f>IF(AND(BK$7="○",$A129&gt;=BK$8,$A129&lt;=BK$9),IF(SUM(BK$10:BK128)-ROUNDDOWN($L129*BK$5/100,0)&lt;-BK$6,-BK$6-SUM(BK$10:BK128),-ROUNDDOWN($L129*BK$5/100,0)),0)</f>
        <v>0</v>
      </c>
      <c r="BL129" s="38">
        <f>IF(AND(BL$7="○",$A129&gt;=BL$8,$A129&lt;=BL$9),IF(SUM(BL$10:BL128)-ROUNDDOWN($L129*BL$5/100,0)&lt;-BL$6,-BL$6-SUM(BL$10:BL128),-ROUNDDOWN($L129*BL$5/100,0)),0)</f>
        <v>0</v>
      </c>
      <c r="BM129" s="38">
        <f>IF(AND(BM$7="○",$A129&gt;=BM$8,$A129&lt;=BM$9),IF(SUM(BM$10:BM128)-ROUNDDOWN($M129*BM$5/100,0)&lt;-BM$6,-BM$6-SUM(BM$10:BM128),-ROUNDDOWN($M129*BM$5/100,0)),0)</f>
        <v>0</v>
      </c>
      <c r="BN129" s="38">
        <f>IF(AND(BN$7="○",$A129&gt;=BN$8,$A129&lt;=BN$9),IF(SUM(BN$10:BN128)-ROUNDDOWN($M129*BN$5/100,0)&lt;-BN$6,-BN$6-SUM(BN$10:BN128),-ROUNDDOWN($M129*BN$5/100,0)),0)</f>
        <v>0</v>
      </c>
      <c r="BO129" s="38">
        <f>IF(AND(BO$7="○",$A129&gt;=BO$8,$A129&lt;=BO$9),IF(SUM(BO$10:BO128)-ROUNDDOWN($M129*BO$5/100,0)&lt;-BO$6,-BO$6-SUM(BO$10:BO128),-ROUNDDOWN($M129*BO$5/100,0)),0)</f>
        <v>0</v>
      </c>
      <c r="BP129" s="38">
        <f>IF(AND(BP$7="○",$A129&gt;=BP$8,$A129&lt;=BP$9),IF(SUM(BP$10:BP128)-ROUNDDOWN($M129*BP$5/100,0)&lt;-BP$6,-BP$6-SUM(BP$10:BP128),-ROUNDDOWN($M129*BP$5/100,0)),0)</f>
        <v>0</v>
      </c>
      <c r="BQ129" s="38">
        <f>IF(AND(BQ$7="○",$A129&gt;=BQ$8,$A129&lt;=BQ$9),IF(SUM(BQ$10:BQ128)-ROUNDDOWN($L129*BQ$5/100,0)&lt;-BQ$6,-BQ$6-SUM(BQ$10:BQ128),-ROUNDDOWN($L129*BQ$5/100,0)),0)</f>
        <v>0</v>
      </c>
      <c r="BR129" s="38">
        <f>IF(AND(BR$7="○",$A129&gt;=BR$8,$A129&lt;=BR$9),IF(SUM(BR$10:BR128)-ROUNDDOWN($M129*BR$5/100,0)&lt;-BR$6,-BR$6-SUM(BR$10:BR128),-ROUNDDOWN($M129*BR$5/100,0)),0)</f>
        <v>0</v>
      </c>
      <c r="BS129" s="38">
        <f>IF(AND(BS$7="○",$A129&gt;=BS$8,$A129&lt;=BS$9),IF(SUM(BS$10:BS128)-ROUNDDOWN($M129*BS$5/100,0)&lt;-BS$6,-BS$6-SUM(BS$10:BS128),-ROUNDDOWN($M129*BS$5/100,0)),0)</f>
        <v>0</v>
      </c>
      <c r="BT129" s="38">
        <f>IF(AND(BT$7="○",$A129&gt;=BT$8,$A129&lt;=BT$9),IF(SUM(BT$10:BT128)-ROUNDDOWN($M129*BT$5/100,0)&lt;-BT$6,-BT$6-SUM(BT$10:BT128),-ROUNDDOWN($M129*BT$5/100,0)),0)</f>
        <v>0</v>
      </c>
      <c r="BU129" s="38">
        <f>IF(AND(BU$7="○",$A129&gt;=BU$8,$A129&lt;=BU$9),IF(SUM(BU$10:BU128)-ROUNDDOWN($M129*BU$5/100,0)&lt;-BU$6,-BU$6-SUM(BU$10:BU128),-ROUNDDOWN($M129*BU$5/100,0)),0)</f>
        <v>0</v>
      </c>
      <c r="BV129" s="38">
        <f>IF(AND(BV$7="○",$A129&gt;=BV$8,$A129&lt;=BV$9),IF(SUM(BV$10:BV128)-ROUNDDOWN($M129*BV$5/100,0)&lt;-BV$6,-BV$6-SUM(BV$10:BV128),-ROUNDDOWN($M129*BV$5/100,0)),0)</f>
        <v>0</v>
      </c>
      <c r="BW129" s="38">
        <f>IF(AND(BW$7="○",$A129&gt;=BW$8,$A129&lt;=BW$9),IF(SUM(BW$10:BW128)-ROUNDDOWN($M129*BW$5/100,0)&lt;-BW$6,-BW$6-SUM(BW$10:BW128),-ROUNDDOWN($M129*BW$5/100,0)),0)</f>
        <v>0</v>
      </c>
      <c r="BX129" s="38">
        <f>IF(AND(T129="○",$A129&gt;=BX$8,$A129&lt;=BX$9),IF(SUM(BX$10:BX128)-ROUNDDOWN($K129*BX$5/100,0)&lt;-BX$6,-BX$6-SUM(BX$10:BX128),-ROUNDDOWN($K129*BX$5/100,0)),0)</f>
        <v>0</v>
      </c>
      <c r="BY129" s="38">
        <f>IF(AND(U129="○",$A129&gt;=BY$8,$A129&lt;=BY$9),IF(SUM(BY$10:BY128)-ROUNDDOWN($K129*BY$5/100,0)&lt;-BY$6,-BY$6-SUM(BY$10:BY128),-ROUNDDOWN($K129*BY$5/100,0)),0)</f>
        <v>0</v>
      </c>
      <c r="BZ129" s="38">
        <f>IF(AND(V129="○",$A129&gt;=BZ$8,$A129&lt;=BZ$9),IF(SUM(BZ$10:BZ128)-ROUNDDOWN($K129*BZ$5/100,0)&lt;-BZ$6,-BZ$6-SUM(BZ$10:BZ128),-ROUNDDOWN($K129*BZ$5/100,0)),0)</f>
        <v>0</v>
      </c>
      <c r="CA129" s="38">
        <f>IF(AND(W129="○",$A129&gt;=CA$8,$A129&lt;=CA$9),IF(SUM(CA$10:CA128)-ROUNDDOWN($K129*CA$5/100,0)&lt;-CA$6,-CA$6-SUM(CA$10:CA128),-ROUNDDOWN($K129*CA$5/100,0)),0)</f>
        <v>0</v>
      </c>
      <c r="CB129" s="38"/>
      <c r="CC129" s="38"/>
      <c r="CD129" s="38"/>
      <c r="CE129" s="38"/>
      <c r="CF129" s="38"/>
      <c r="CG129" s="65">
        <f t="shared" si="94"/>
        <v>0</v>
      </c>
      <c r="CH129" s="71">
        <f t="shared" si="95"/>
        <v>0</v>
      </c>
      <c r="CI129" s="1">
        <f t="shared" si="109"/>
        <v>0</v>
      </c>
      <c r="CJ129" s="1"/>
      <c r="CK129" s="79"/>
      <c r="CL129" s="79"/>
      <c r="CM129" s="2"/>
      <c r="CN129" s="2"/>
      <c r="CO129" s="73">
        <f t="shared" si="110"/>
        <v>0</v>
      </c>
      <c r="CP129" s="5">
        <f t="shared" si="111"/>
        <v>0</v>
      </c>
      <c r="CQ129" s="1"/>
      <c r="CR129" s="1">
        <f t="shared" si="112"/>
        <v>0</v>
      </c>
      <c r="CS129" s="1"/>
      <c r="CT129" s="1" t="e">
        <f>INDEX([2]マスタ!$A:$A,MATCH(D129,[2]マスタ!$C:$C,0))</f>
        <v>#N/A</v>
      </c>
      <c r="CU129" s="1" t="str">
        <f t="shared" ca="1" si="113"/>
        <v>20260620_0-0</v>
      </c>
    </row>
    <row r="130" spans="1:99" x14ac:dyDescent="0.4">
      <c r="A130" s="61"/>
      <c r="B130" s="62"/>
      <c r="C130" s="62"/>
      <c r="D130" s="62"/>
      <c r="E130" s="63"/>
      <c r="F130" s="62"/>
      <c r="G130" s="62">
        <v>1</v>
      </c>
      <c r="H130" s="64">
        <f t="shared" si="100"/>
        <v>0</v>
      </c>
      <c r="I130" s="64"/>
      <c r="J130" s="64"/>
      <c r="K130" s="65">
        <f t="shared" si="116"/>
        <v>0</v>
      </c>
      <c r="L130" s="65">
        <f t="shared" si="102"/>
        <v>0</v>
      </c>
      <c r="M130" s="65">
        <f t="shared" si="103"/>
        <v>0</v>
      </c>
      <c r="N130" s="65">
        <f t="shared" si="104"/>
        <v>0</v>
      </c>
      <c r="O130" s="66" t="str">
        <f t="shared" si="105"/>
        <v>✕</v>
      </c>
      <c r="P130" s="67" t="str">
        <f t="shared" si="106"/>
        <v>○</v>
      </c>
      <c r="Q130" s="67" t="str">
        <f t="shared" si="117"/>
        <v>✕</v>
      </c>
      <c r="R130" s="67" t="str">
        <f t="shared" si="108"/>
        <v>✕</v>
      </c>
      <c r="S130" s="68">
        <v>0</v>
      </c>
      <c r="T130" s="69" t="s">
        <v>85</v>
      </c>
      <c r="U130" s="69" t="s">
        <v>85</v>
      </c>
      <c r="V130" s="69" t="s">
        <v>85</v>
      </c>
      <c r="W130" s="69" t="s">
        <v>85</v>
      </c>
      <c r="X130" s="69" t="s">
        <v>84</v>
      </c>
      <c r="Y130" s="69" t="s">
        <v>85</v>
      </c>
      <c r="Z130" s="69" t="s">
        <v>85</v>
      </c>
      <c r="AA130" s="69" t="s">
        <v>85</v>
      </c>
      <c r="AB130" s="69" t="s">
        <v>85</v>
      </c>
      <c r="AC130" s="69" t="s">
        <v>85</v>
      </c>
      <c r="AD130" s="38" t="str">
        <f>+IF(ISERROR(VLOOKUP($B130,AD$10:AD129,1,0)),IF(AND($N130&gt;=1000,$A130&gt;=AO$8,$A130&lt;=AO$9),$B130,""),"")</f>
        <v/>
      </c>
      <c r="AE130" s="38" t="str">
        <f>+IF(ISERROR(VLOOKUP($B130,AE$10:AE129,1,0)),IF(AND($N130&gt;=1000,$A130&gt;=AP$8,$A130&lt;=AP$9),$B130,""),"")</f>
        <v/>
      </c>
      <c r="AF130" s="38" t="str">
        <f>+IF(ISERROR(VLOOKUP($B130,AF$10:AF129,1,0)),IF(AND($N130&gt;=1000,$A130&gt;=AQ$8,$A130&lt;=AQ$9),$B130,""),"")</f>
        <v/>
      </c>
      <c r="AG130" s="38" t="str">
        <f>+IF(ISERROR(VLOOKUP($B130,AG$10:AG129,1,0)),IF(AND($N130&gt;=1000,$A130&gt;=AR$8,$A130&lt;=AR$9),$B130,""),"")</f>
        <v/>
      </c>
      <c r="AH130" s="38"/>
      <c r="AI130" s="70">
        <v>0</v>
      </c>
      <c r="AJ130" s="38">
        <f>IF(AND(AJ$7="○",$A130&gt;=AJ$8,$A130&lt;=AJ$9),IF(SUM(AJ$10:AJ129)-ROUNDDOWN($K130*AJ$5/100,0)&lt;-AJ$6,-AJ$6-SUM(AJ$10:AJ129),-ROUNDDOWN($K130*AJ$5/100,0)),0)</f>
        <v>0</v>
      </c>
      <c r="AK130" s="38">
        <f>IF(AND(AK$7="○",$A130&gt;=AK$8,$A130&lt;=AK$9),IF(SUM(AK$10:AK129)-ROUNDDOWN($L130*AK$5/100,0)&lt;-AK$6,-AK$6-SUM(AK$10:AK129),-ROUNDDOWN($L130*AK$5/100,0)),0)</f>
        <v>0</v>
      </c>
      <c r="AL130" s="38">
        <f>IF(AND(AL$7="○",$A130&gt;=AL$8,$A130&lt;=AL$9),IF(SUM(AL$10:AL129)-ROUNDDOWN($N130*AL$5/100,0)&lt;-AL$6,-AL$6-SUM(AL$10:AL129),-ROUNDDOWN($N130*AL$5/100,0)),0)</f>
        <v>0</v>
      </c>
      <c r="AM130" s="38">
        <f>IF(AND(AM$7="○",$A130&gt;=AM$8,$A130&lt;=AM$9),IF(SUM(AM$10:AM129)-ROUNDDOWN($L130*AM$5/100,0)&lt;-AM$6,-AM$6-SUM(AM$10:AM129),-ROUNDDOWN($L130*AM$5/100,0)),0)</f>
        <v>0</v>
      </c>
      <c r="AN130" s="38">
        <f>IF(AND(AN$7="○",$A130&gt;=AN$8,$A130&lt;=AN$9),IF(SUM(AN$10:AN129)-ROUNDDOWN($M130*AN$5/100,0)&lt;-AN$6,-AN$6-SUM(AN$10:AN129),-ROUNDDOWN($M130*AN$5/100,0)),0)</f>
        <v>0</v>
      </c>
      <c r="AO130" s="38">
        <f>IF(AND($A130&gt;=AO$8,$A130&lt;=AO$9),IF(SUM(AO$10:AO129)-ROUNDDOWN($K130*AO$5/100,0)&lt;-AO$6,-AO$6-SUM(AO$10:AO129),-ROUNDDOWN($K130*AO$5/100,0)),0)</f>
        <v>0</v>
      </c>
      <c r="AP130" s="38">
        <f>IF(AND($A130&gt;=AP$8,$A130&lt;=AP$9),IF(SUM(AP$10:AP129)-ROUNDDOWN($K130*AP$5/100,0)&lt;-AP$6,-AP$6-SUM(AP$10:AP129),-ROUNDDOWN($K130*AP$5/100,0)),0)</f>
        <v>0</v>
      </c>
      <c r="AQ130" s="38">
        <f>IF(AND($A130&gt;=AQ$8,$A130&lt;=AQ$9),IF(SUM(AQ$10:AQ129)-ROUNDDOWN($K130*AQ$5/100,0)&lt;-AQ$6,-AQ$6-SUM(AQ$10:AQ129),-ROUNDDOWN($K130*AQ$5/100,0)),0)</f>
        <v>0</v>
      </c>
      <c r="AR130" s="38">
        <f>IF(AND($A130&gt;=AR$8,$A130&lt;=AR$9),IF(SUM(AR$10:AR129)-ROUNDDOWN($K130*AR$5/100,0)&lt;-AR$6,-AR$6-SUM(AR$10:AR129),-ROUNDDOWN($K130*AR$5/100,0)),0)</f>
        <v>0</v>
      </c>
      <c r="AS130" s="38">
        <f>IF(SUMIFS(AS$10:AS129,$A$10:$A129,$A130)-ROUNDDOWN($K130*$S130/100,0)&lt;-$S130*1000,-$S130*1000-SUMIFS(AS$10:AS129,$A$10:$A129,$A130),-ROUNDDOWN($K130*$S130/100,0))</f>
        <v>0</v>
      </c>
      <c r="AT130" s="38">
        <f>IF(AND(X130="○",$A130&gt;=AT$8,$A130&lt;=AT$9,K130&gt;=3980),IF(SUM(AT$10:AT129)-ROUNDDOWN($K130*AT$5/100,0)&lt;-AT$6,-AT$6-SUM(AT$10:AT129),-ROUNDDOWN($K130*AT$5/100,0)),0)</f>
        <v>0</v>
      </c>
      <c r="AU130" s="38">
        <f>IF(O130="○",IF(SUM(AU$10:AU129)-ROUNDDOWN($K130*AU$5/100,0)&lt;-AU$6,-AU$6-SUM(AU$10:AU129),-ROUNDDOWN($K130*AU$5/100,0)),0)</f>
        <v>0</v>
      </c>
      <c r="AV130" s="38">
        <f>IF(P130="○",IF(SUM(AV$10:AV129)-ROUNDDOWN($K130*AV$5/100,0)&lt;-AV$6,-AV$6-SUM(AV$10:AV129),-ROUNDDOWN($K130*AV$5/100,0)),0)</f>
        <v>0</v>
      </c>
      <c r="AW130" s="38">
        <f>IF(Q130="○",IF(SUM(AW$10:AW129)-ROUNDDOWN($K130*AW$5/100,0)&lt;-AW$6,-AW$6-SUM(AW$10:AW129),-ROUNDDOWN($K130*AW$5/100,0)),0)</f>
        <v>0</v>
      </c>
      <c r="AX130" s="38">
        <f>IF(R130="○",IF(SUM(AX$10:AX129)-ROUNDDOWN($K130*AX$5/100,0)&lt;-AX$6,-AX$6-SUM(AX$10:AX129),-ROUNDDOWN($K130*AX$5/100,0)),0)</f>
        <v>0</v>
      </c>
      <c r="AY130" s="70">
        <v>0</v>
      </c>
      <c r="AZ130" s="65">
        <f t="shared" si="88"/>
        <v>0</v>
      </c>
      <c r="BA130" s="65">
        <f t="shared" si="89"/>
        <v>0</v>
      </c>
      <c r="BB130" s="70"/>
      <c r="BC130" s="65">
        <f t="shared" si="90"/>
        <v>0</v>
      </c>
      <c r="BD130" s="70">
        <v>0</v>
      </c>
      <c r="BE130" s="65">
        <f t="shared" si="91"/>
        <v>0</v>
      </c>
      <c r="BF130" s="70">
        <v>0</v>
      </c>
      <c r="BG130" s="65">
        <f t="shared" si="92"/>
        <v>0</v>
      </c>
      <c r="BH130" s="70">
        <v>0</v>
      </c>
      <c r="BI130" s="65">
        <f t="shared" si="93"/>
        <v>0</v>
      </c>
      <c r="BJ130" s="38">
        <f>IF(AND(BJ$7="○",$A130&gt;=BJ$8,$A130&lt;=BJ$9),IF(SUM(BJ$10:BJ129)-ROUNDDOWN($M130*BJ$5/100,0)&lt;-BJ$6,-BJ$6-SUM(BJ$10:BJ129),-ROUNDDOWN($M130*BJ$5/100,0)),0)</f>
        <v>0</v>
      </c>
      <c r="BK130" s="38">
        <f>IF(AND(BK$7="○",$A130&gt;=BK$8,$A130&lt;=BK$9),IF(SUM(BK$10:BK129)-ROUNDDOWN($L130*BK$5/100,0)&lt;-BK$6,-BK$6-SUM(BK$10:BK129),-ROUNDDOWN($L130*BK$5/100,0)),0)</f>
        <v>0</v>
      </c>
      <c r="BL130" s="38">
        <f>IF(AND(BL$7="○",$A130&gt;=BL$8,$A130&lt;=BL$9),IF(SUM(BL$10:BL129)-ROUNDDOWN($L130*BL$5/100,0)&lt;-BL$6,-BL$6-SUM(BL$10:BL129),-ROUNDDOWN($L130*BL$5/100,0)),0)</f>
        <v>0</v>
      </c>
      <c r="BM130" s="38">
        <f>IF(AND(BM$7="○",$A130&gt;=BM$8,$A130&lt;=BM$9),IF(SUM(BM$10:BM129)-ROUNDDOWN($M130*BM$5/100,0)&lt;-BM$6,-BM$6-SUM(BM$10:BM129),-ROUNDDOWN($M130*BM$5/100,0)),0)</f>
        <v>0</v>
      </c>
      <c r="BN130" s="38">
        <f>IF(AND(BN$7="○",$A130&gt;=BN$8,$A130&lt;=BN$9),IF(SUM(BN$10:BN129)-ROUNDDOWN($M130*BN$5/100,0)&lt;-BN$6,-BN$6-SUM(BN$10:BN129),-ROUNDDOWN($M130*BN$5/100,0)),0)</f>
        <v>0</v>
      </c>
      <c r="BO130" s="38">
        <f>IF(AND(BO$7="○",$A130&gt;=BO$8,$A130&lt;=BO$9),IF(SUM(BO$10:BO129)-ROUNDDOWN($M130*BO$5/100,0)&lt;-BO$6,-BO$6-SUM(BO$10:BO129),-ROUNDDOWN($M130*BO$5/100,0)),0)</f>
        <v>0</v>
      </c>
      <c r="BP130" s="38">
        <f>IF(AND(BP$7="○",$A130&gt;=BP$8,$A130&lt;=BP$9),IF(SUM(BP$10:BP129)-ROUNDDOWN($M130*BP$5/100,0)&lt;-BP$6,-BP$6-SUM(BP$10:BP129),-ROUNDDOWN($M130*BP$5/100,0)),0)</f>
        <v>0</v>
      </c>
      <c r="BQ130" s="38">
        <f>IF(AND(BQ$7="○",$A130&gt;=BQ$8,$A130&lt;=BQ$9),IF(SUM(BQ$10:BQ129)-ROUNDDOWN($L130*BQ$5/100,0)&lt;-BQ$6,-BQ$6-SUM(BQ$10:BQ129),-ROUNDDOWN($L130*BQ$5/100,0)),0)</f>
        <v>0</v>
      </c>
      <c r="BR130" s="38">
        <f>IF(AND(BR$7="○",$A130&gt;=BR$8,$A130&lt;=BR$9),IF(SUM(BR$10:BR129)-ROUNDDOWN($M130*BR$5/100,0)&lt;-BR$6,-BR$6-SUM(BR$10:BR129),-ROUNDDOWN($M130*BR$5/100,0)),0)</f>
        <v>0</v>
      </c>
      <c r="BS130" s="38">
        <f>IF(AND(BS$7="○",$A130&gt;=BS$8,$A130&lt;=BS$9),IF(SUM(BS$10:BS129)-ROUNDDOWN($M130*BS$5/100,0)&lt;-BS$6,-BS$6-SUM(BS$10:BS129),-ROUNDDOWN($M130*BS$5/100,0)),0)</f>
        <v>0</v>
      </c>
      <c r="BT130" s="38">
        <f>IF(AND(BT$7="○",$A130&gt;=BT$8,$A130&lt;=BT$9),IF(SUM(BT$10:BT129)-ROUNDDOWN($M130*BT$5/100,0)&lt;-BT$6,-BT$6-SUM(BT$10:BT129),-ROUNDDOWN($M130*BT$5/100,0)),0)</f>
        <v>0</v>
      </c>
      <c r="BU130" s="38">
        <f>IF(AND(BU$7="○",$A130&gt;=BU$8,$A130&lt;=BU$9),IF(SUM(BU$10:BU129)-ROUNDDOWN($M130*BU$5/100,0)&lt;-BU$6,-BU$6-SUM(BU$10:BU129),-ROUNDDOWN($M130*BU$5/100,0)),0)</f>
        <v>0</v>
      </c>
      <c r="BV130" s="38">
        <f>IF(AND(BV$7="○",$A130&gt;=BV$8,$A130&lt;=BV$9),IF(SUM(BV$10:BV129)-ROUNDDOWN($M130*BV$5/100,0)&lt;-BV$6,-BV$6-SUM(BV$10:BV129),-ROUNDDOWN($M130*BV$5/100,0)),0)</f>
        <v>0</v>
      </c>
      <c r="BW130" s="38">
        <f>IF(AND(BW$7="○",$A130&gt;=BW$8,$A130&lt;=BW$9),IF(SUM(BW$10:BW129)-ROUNDDOWN($M130*BW$5/100,0)&lt;-BW$6,-BW$6-SUM(BW$10:BW129),-ROUNDDOWN($M130*BW$5/100,0)),0)</f>
        <v>0</v>
      </c>
      <c r="BX130" s="38">
        <f>IF(AND(T130="○",$A130&gt;=BX$8,$A130&lt;=BX$9),IF(SUM(BX$10:BX129)-ROUNDDOWN($K130*BX$5/100,0)&lt;-BX$6,-BX$6-SUM(BX$10:BX129),-ROUNDDOWN($K130*BX$5/100,0)),0)</f>
        <v>0</v>
      </c>
      <c r="BY130" s="38">
        <f>IF(AND(U130="○",$A130&gt;=BY$8,$A130&lt;=BY$9),IF(SUM(BY$10:BY129)-ROUNDDOWN($K130*BY$5/100,0)&lt;-BY$6,-BY$6-SUM(BY$10:BY129),-ROUNDDOWN($K130*BY$5/100,0)),0)</f>
        <v>0</v>
      </c>
      <c r="BZ130" s="38">
        <f>IF(AND(V130="○",$A130&gt;=BZ$8,$A130&lt;=BZ$9),IF(SUM(BZ$10:BZ129)-ROUNDDOWN($K130*BZ$5/100,0)&lt;-BZ$6,-BZ$6-SUM(BZ$10:BZ129),-ROUNDDOWN($K130*BZ$5/100,0)),0)</f>
        <v>0</v>
      </c>
      <c r="CA130" s="38">
        <f>IF(AND(W130="○",$A130&gt;=CA$8,$A130&lt;=CA$9),IF(SUM(CA$10:CA129)-ROUNDDOWN($K130*CA$5/100,0)&lt;-CA$6,-CA$6-SUM(CA$10:CA129),-ROUNDDOWN($K130*CA$5/100,0)),0)</f>
        <v>0</v>
      </c>
      <c r="CB130" s="38"/>
      <c r="CC130" s="38"/>
      <c r="CD130" s="38"/>
      <c r="CE130" s="38"/>
      <c r="CF130" s="38"/>
      <c r="CG130" s="65">
        <f t="shared" si="94"/>
        <v>0</v>
      </c>
      <c r="CH130" s="71">
        <f t="shared" si="95"/>
        <v>0</v>
      </c>
      <c r="CI130" s="1">
        <f t="shared" si="109"/>
        <v>0</v>
      </c>
      <c r="CJ130" s="1"/>
      <c r="CK130" s="72"/>
      <c r="CL130" s="72"/>
      <c r="CM130" s="2"/>
      <c r="CN130" s="2"/>
      <c r="CO130" s="73">
        <f t="shared" si="110"/>
        <v>0</v>
      </c>
      <c r="CP130" s="5">
        <f t="shared" si="111"/>
        <v>0</v>
      </c>
      <c r="CQ130" s="1"/>
      <c r="CR130" s="1">
        <f t="shared" si="112"/>
        <v>0</v>
      </c>
      <c r="CS130" s="1"/>
      <c r="CT130" s="1" t="e">
        <f>INDEX([2]マスタ!$A:$A,MATCH(D130,[2]マスタ!$C:$C,0))</f>
        <v>#N/A</v>
      </c>
      <c r="CU130" s="1" t="str">
        <f t="shared" ca="1" si="113"/>
        <v>20260620_0-0</v>
      </c>
    </row>
    <row r="131" spans="1:99" x14ac:dyDescent="0.4">
      <c r="A131" s="61"/>
      <c r="B131" s="62"/>
      <c r="C131" s="62"/>
      <c r="D131" s="62"/>
      <c r="E131" s="63"/>
      <c r="F131" s="62"/>
      <c r="G131" s="62">
        <v>1</v>
      </c>
      <c r="H131" s="64">
        <f t="shared" si="100"/>
        <v>0</v>
      </c>
      <c r="I131" s="64"/>
      <c r="J131" s="64"/>
      <c r="K131" s="65">
        <f t="shared" si="116"/>
        <v>0</v>
      </c>
      <c r="L131" s="65">
        <f t="shared" si="102"/>
        <v>0</v>
      </c>
      <c r="M131" s="65">
        <f t="shared" si="103"/>
        <v>0</v>
      </c>
      <c r="N131" s="65">
        <f t="shared" si="104"/>
        <v>0</v>
      </c>
      <c r="O131" s="66" t="str">
        <f t="shared" si="105"/>
        <v>✕</v>
      </c>
      <c r="P131" s="67" t="str">
        <f t="shared" si="106"/>
        <v>○</v>
      </c>
      <c r="Q131" s="67" t="str">
        <f t="shared" si="117"/>
        <v>✕</v>
      </c>
      <c r="R131" s="67" t="str">
        <f t="shared" si="108"/>
        <v>✕</v>
      </c>
      <c r="S131" s="68">
        <v>0</v>
      </c>
      <c r="T131" s="69" t="s">
        <v>85</v>
      </c>
      <c r="U131" s="69" t="s">
        <v>85</v>
      </c>
      <c r="V131" s="69" t="s">
        <v>85</v>
      </c>
      <c r="W131" s="69" t="s">
        <v>85</v>
      </c>
      <c r="X131" s="69" t="s">
        <v>84</v>
      </c>
      <c r="Y131" s="69" t="s">
        <v>85</v>
      </c>
      <c r="Z131" s="69" t="s">
        <v>85</v>
      </c>
      <c r="AA131" s="69" t="s">
        <v>85</v>
      </c>
      <c r="AB131" s="69" t="s">
        <v>85</v>
      </c>
      <c r="AC131" s="69" t="s">
        <v>85</v>
      </c>
      <c r="AD131" s="38" t="str">
        <f>+IF(ISERROR(VLOOKUP($B131,AD$10:AD130,1,0)),IF(AND($N131&gt;=1000,$A131&gt;=AO$8,$A131&lt;=AO$9),$B131,""),"")</f>
        <v/>
      </c>
      <c r="AE131" s="38" t="str">
        <f>+IF(ISERROR(VLOOKUP($B131,AE$10:AE130,1,0)),IF(AND($N131&gt;=1000,$A131&gt;=AP$8,$A131&lt;=AP$9),$B131,""),"")</f>
        <v/>
      </c>
      <c r="AF131" s="38" t="str">
        <f>+IF(ISERROR(VLOOKUP($B131,AF$10:AF130,1,0)),IF(AND($N131&gt;=1000,$A131&gt;=AQ$8,$A131&lt;=AQ$9),$B131,""),"")</f>
        <v/>
      </c>
      <c r="AG131" s="38" t="str">
        <f>+IF(ISERROR(VLOOKUP($B131,AG$10:AG130,1,0)),IF(AND($N131&gt;=1000,$A131&gt;=AR$8,$A131&lt;=AR$9),$B131,""),"")</f>
        <v/>
      </c>
      <c r="AH131" s="38"/>
      <c r="AI131" s="70">
        <v>0</v>
      </c>
      <c r="AJ131" s="38">
        <f>IF(AND(AJ$7="○",$A131&gt;=AJ$8,$A131&lt;=AJ$9),IF(SUM(AJ$10:AJ130)-ROUNDDOWN($K131*AJ$5/100,0)&lt;-AJ$6,-AJ$6-SUM(AJ$10:AJ130),-ROUNDDOWN($K131*AJ$5/100,0)),0)</f>
        <v>0</v>
      </c>
      <c r="AK131" s="38">
        <f>IF(AND(AK$7="○",$A131&gt;=AK$8,$A131&lt;=AK$9),IF(SUM(AK$10:AK130)-ROUNDDOWN($L131*AK$5/100,0)&lt;-AK$6,-AK$6-SUM(AK$10:AK130),-ROUNDDOWN($L131*AK$5/100,0)),0)</f>
        <v>0</v>
      </c>
      <c r="AL131" s="38">
        <f>IF(AND(AL$7="○",$A131&gt;=AL$8,$A131&lt;=AL$9),IF(SUM(AL$10:AL130)-ROUNDDOWN($N131*AL$5/100,0)&lt;-AL$6,-AL$6-SUM(AL$10:AL130),-ROUNDDOWN($N131*AL$5/100,0)),0)</f>
        <v>0</v>
      </c>
      <c r="AM131" s="38">
        <f>IF(AND(AM$7="○",$A131&gt;=AM$8,$A131&lt;=AM$9),IF(SUM(AM$10:AM130)-ROUNDDOWN($L131*AM$5/100,0)&lt;-AM$6,-AM$6-SUM(AM$10:AM130),-ROUNDDOWN($L131*AM$5/100,0)),0)</f>
        <v>0</v>
      </c>
      <c r="AN131" s="38">
        <f>IF(AND(AN$7="○",$A131&gt;=AN$8,$A131&lt;=AN$9),IF(SUM(AN$10:AN130)-ROUNDDOWN($M131*AN$5/100,0)&lt;-AN$6,-AN$6-SUM(AN$10:AN130),-ROUNDDOWN($M131*AN$5/100,0)),0)</f>
        <v>0</v>
      </c>
      <c r="AO131" s="38">
        <f>IF(AND($A131&gt;=AO$8,$A131&lt;=AO$9),IF(SUM(AO$10:AO130)-ROUNDDOWN($K131*AO$5/100,0)&lt;-AO$6,-AO$6-SUM(AO$10:AO130),-ROUNDDOWN($K131*AO$5/100,0)),0)</f>
        <v>0</v>
      </c>
      <c r="AP131" s="38">
        <f>IF(AND($A131&gt;=AP$8,$A131&lt;=AP$9),IF(SUM(AP$10:AP130)-ROUNDDOWN($K131*AP$5/100,0)&lt;-AP$6,-AP$6-SUM(AP$10:AP130),-ROUNDDOWN($K131*AP$5/100,0)),0)</f>
        <v>0</v>
      </c>
      <c r="AQ131" s="38">
        <f>IF(AND($A131&gt;=AQ$8,$A131&lt;=AQ$9),IF(SUM(AQ$10:AQ130)-ROUNDDOWN($K131*AQ$5/100,0)&lt;-AQ$6,-AQ$6-SUM(AQ$10:AQ130),-ROUNDDOWN($K131*AQ$5/100,0)),0)</f>
        <v>0</v>
      </c>
      <c r="AR131" s="38">
        <f>IF(AND($A131&gt;=AR$8,$A131&lt;=AR$9),IF(SUM(AR$10:AR130)-ROUNDDOWN($K131*AR$5/100,0)&lt;-AR$6,-AR$6-SUM(AR$10:AR130),-ROUNDDOWN($K131*AR$5/100,0)),0)</f>
        <v>0</v>
      </c>
      <c r="AS131" s="38">
        <f>IF(SUMIFS(AS$10:AS130,$A$10:$A130,$A131)-ROUNDDOWN($K131*$S131/100,0)&lt;-$S131*1000,-$S131*1000-SUMIFS(AS$10:AS130,$A$10:$A130,$A131),-ROUNDDOWN($K131*$S131/100,0))</f>
        <v>0</v>
      </c>
      <c r="AT131" s="38">
        <f>IF(AND(X131="○",$A131&gt;=AT$8,$A131&lt;=AT$9,K131&gt;=3980),IF(SUM(AT$10:AT130)-ROUNDDOWN($K131*AT$5/100,0)&lt;-AT$6,-AT$6-SUM(AT$10:AT130),-ROUNDDOWN($K131*AT$5/100,0)),0)</f>
        <v>0</v>
      </c>
      <c r="AU131" s="38">
        <f>IF(O131="○",IF(SUM(AU$10:AU130)-ROUNDDOWN($K131*AU$5/100,0)&lt;-AU$6,-AU$6-SUM(AU$10:AU130),-ROUNDDOWN($K131*AU$5/100,0)),0)</f>
        <v>0</v>
      </c>
      <c r="AV131" s="38">
        <f>IF(P131="○",IF(SUM(AV$10:AV130)-ROUNDDOWN($K131*AV$5/100,0)&lt;-AV$6,-AV$6-SUM(AV$10:AV130),-ROUNDDOWN($K131*AV$5/100,0)),0)</f>
        <v>0</v>
      </c>
      <c r="AW131" s="38">
        <f>IF(Q131="○",IF(SUM(AW$10:AW130)-ROUNDDOWN($K131*AW$5/100,0)&lt;-AW$6,-AW$6-SUM(AW$10:AW130),-ROUNDDOWN($K131*AW$5/100,0)),0)</f>
        <v>0</v>
      </c>
      <c r="AX131" s="38">
        <f>IF(R131="○",IF(SUM(AX$10:AX130)-ROUNDDOWN($K131*AX$5/100,0)&lt;-AX$6,-AX$6-SUM(AX$10:AX130),-ROUNDDOWN($K131*AX$5/100,0)),0)</f>
        <v>0</v>
      </c>
      <c r="AY131" s="70">
        <v>0</v>
      </c>
      <c r="AZ131" s="65">
        <f t="shared" si="88"/>
        <v>0</v>
      </c>
      <c r="BA131" s="65">
        <f t="shared" si="89"/>
        <v>0</v>
      </c>
      <c r="BB131" s="70"/>
      <c r="BC131" s="65">
        <f t="shared" si="90"/>
        <v>0</v>
      </c>
      <c r="BD131" s="70">
        <v>0</v>
      </c>
      <c r="BE131" s="65">
        <f t="shared" si="91"/>
        <v>0</v>
      </c>
      <c r="BF131" s="70">
        <v>0</v>
      </c>
      <c r="BG131" s="65">
        <f t="shared" si="92"/>
        <v>0</v>
      </c>
      <c r="BH131" s="70">
        <v>0</v>
      </c>
      <c r="BI131" s="65">
        <f t="shared" si="93"/>
        <v>0</v>
      </c>
      <c r="BJ131" s="38">
        <f>IF(AND(BJ$7="○",$A131&gt;=BJ$8,$A131&lt;=BJ$9),IF(SUM(BJ$10:BJ130)-ROUNDDOWN($M131*BJ$5/100,0)&lt;-BJ$6,-BJ$6-SUM(BJ$10:BJ130),-ROUNDDOWN($M131*BJ$5/100,0)),0)</f>
        <v>0</v>
      </c>
      <c r="BK131" s="38">
        <f>IF(AND(BK$7="○",$A131&gt;=BK$8,$A131&lt;=BK$9),IF(SUM(BK$10:BK130)-ROUNDDOWN($L131*BK$5/100,0)&lt;-BK$6,-BK$6-SUM(BK$10:BK130),-ROUNDDOWN($L131*BK$5/100,0)),0)</f>
        <v>0</v>
      </c>
      <c r="BL131" s="38">
        <f>IF(AND(BL$7="○",$A131&gt;=BL$8,$A131&lt;=BL$9),IF(SUM(BL$10:BL130)-ROUNDDOWN($L131*BL$5/100,0)&lt;-BL$6,-BL$6-SUM(BL$10:BL130),-ROUNDDOWN($L131*BL$5/100,0)),0)</f>
        <v>0</v>
      </c>
      <c r="BM131" s="38">
        <f>IF(AND(BM$7="○",$A131&gt;=BM$8,$A131&lt;=BM$9),IF(SUM(BM$10:BM130)-ROUNDDOWN($M131*BM$5/100,0)&lt;-BM$6,-BM$6-SUM(BM$10:BM130),-ROUNDDOWN($M131*BM$5/100,0)),0)</f>
        <v>0</v>
      </c>
      <c r="BN131" s="38">
        <f>IF(AND(BN$7="○",$A131&gt;=BN$8,$A131&lt;=BN$9),IF(SUM(BN$10:BN130)-ROUNDDOWN($M131*BN$5/100,0)&lt;-BN$6,-BN$6-SUM(BN$10:BN130),-ROUNDDOWN($M131*BN$5/100,0)),0)</f>
        <v>0</v>
      </c>
      <c r="BO131" s="38">
        <f>IF(AND(BO$7="○",$A131&gt;=BO$8,$A131&lt;=BO$9),IF(SUM(BO$10:BO130)-ROUNDDOWN($M131*BO$5/100,0)&lt;-BO$6,-BO$6-SUM(BO$10:BO130),-ROUNDDOWN($M131*BO$5/100,0)),0)</f>
        <v>0</v>
      </c>
      <c r="BP131" s="38">
        <f>IF(AND(BP$7="○",$A131&gt;=BP$8,$A131&lt;=BP$9),IF(SUM(BP$10:BP130)-ROUNDDOWN($M131*BP$5/100,0)&lt;-BP$6,-BP$6-SUM(BP$10:BP130),-ROUNDDOWN($M131*BP$5/100,0)),0)</f>
        <v>0</v>
      </c>
      <c r="BQ131" s="38">
        <f>IF(AND(BQ$7="○",$A131&gt;=BQ$8,$A131&lt;=BQ$9),IF(SUM(BQ$10:BQ130)-ROUNDDOWN($L131*BQ$5/100,0)&lt;-BQ$6,-BQ$6-SUM(BQ$10:BQ130),-ROUNDDOWN($L131*BQ$5/100,0)),0)</f>
        <v>0</v>
      </c>
      <c r="BR131" s="38">
        <f>IF(AND(BR$7="○",$A131&gt;=BR$8,$A131&lt;=BR$9),IF(SUM(BR$10:BR130)-ROUNDDOWN($M131*BR$5/100,0)&lt;-BR$6,-BR$6-SUM(BR$10:BR130),-ROUNDDOWN($M131*BR$5/100,0)),0)</f>
        <v>0</v>
      </c>
      <c r="BS131" s="38">
        <f>IF(AND(BS$7="○",$A131&gt;=BS$8,$A131&lt;=BS$9),IF(SUM(BS$10:BS130)-ROUNDDOWN($M131*BS$5/100,0)&lt;-BS$6,-BS$6-SUM(BS$10:BS130),-ROUNDDOWN($M131*BS$5/100,0)),0)</f>
        <v>0</v>
      </c>
      <c r="BT131" s="38">
        <f>IF(AND(BT$7="○",$A131&gt;=BT$8,$A131&lt;=BT$9),IF(SUM(BT$10:BT130)-ROUNDDOWN($M131*BT$5/100,0)&lt;-BT$6,-BT$6-SUM(BT$10:BT130),-ROUNDDOWN($M131*BT$5/100,0)),0)</f>
        <v>0</v>
      </c>
      <c r="BU131" s="38">
        <f>IF(AND(BU$7="○",$A131&gt;=BU$8,$A131&lt;=BU$9),IF(SUM(BU$10:BU130)-ROUNDDOWN($M131*BU$5/100,0)&lt;-BU$6,-BU$6-SUM(BU$10:BU130),-ROUNDDOWN($M131*BU$5/100,0)),0)</f>
        <v>0</v>
      </c>
      <c r="BV131" s="38">
        <f>IF(AND(BV$7="○",$A131&gt;=BV$8,$A131&lt;=BV$9),IF(SUM(BV$10:BV130)-ROUNDDOWN($M131*BV$5/100,0)&lt;-BV$6,-BV$6-SUM(BV$10:BV130),-ROUNDDOWN($M131*BV$5/100,0)),0)</f>
        <v>0</v>
      </c>
      <c r="BW131" s="38">
        <f>IF(AND(BW$7="○",$A131&gt;=BW$8,$A131&lt;=BW$9),IF(SUM(BW$10:BW130)-ROUNDDOWN($M131*BW$5/100,0)&lt;-BW$6,-BW$6-SUM(BW$10:BW130),-ROUNDDOWN($M131*BW$5/100,0)),0)</f>
        <v>0</v>
      </c>
      <c r="BX131" s="38">
        <f>IF(AND(T131="○",$A131&gt;=BX$8,$A131&lt;=BX$9),IF(SUM(BX$10:BX130)-ROUNDDOWN($K131*BX$5/100,0)&lt;-BX$6,-BX$6-SUM(BX$10:BX130),-ROUNDDOWN($K131*BX$5/100,0)),0)</f>
        <v>0</v>
      </c>
      <c r="BY131" s="38">
        <f>IF(AND(U131="○",$A131&gt;=BY$8,$A131&lt;=BY$9),IF(SUM(BY$10:BY130)-ROUNDDOWN($K131*BY$5/100,0)&lt;-BY$6,-BY$6-SUM(BY$10:BY130),-ROUNDDOWN($K131*BY$5/100,0)),0)</f>
        <v>0</v>
      </c>
      <c r="BZ131" s="38">
        <f>IF(AND(V131="○",$A131&gt;=BZ$8,$A131&lt;=BZ$9),IF(SUM(BZ$10:BZ130)-ROUNDDOWN($K131*BZ$5/100,0)&lt;-BZ$6,-BZ$6-SUM(BZ$10:BZ130),-ROUNDDOWN($K131*BZ$5/100,0)),0)</f>
        <v>0</v>
      </c>
      <c r="CA131" s="38">
        <f>IF(AND(W131="○",$A131&gt;=CA$8,$A131&lt;=CA$9),IF(SUM(CA$10:CA130)-ROUNDDOWN($K131*CA$5/100,0)&lt;-CA$6,-CA$6-SUM(CA$10:CA130),-ROUNDDOWN($K131*CA$5/100,0)),0)</f>
        <v>0</v>
      </c>
      <c r="CB131" s="38"/>
      <c r="CC131" s="38"/>
      <c r="CD131" s="38"/>
      <c r="CE131" s="38"/>
      <c r="CF131" s="38"/>
      <c r="CG131" s="65">
        <f t="shared" si="94"/>
        <v>0</v>
      </c>
      <c r="CH131" s="71">
        <f t="shared" si="95"/>
        <v>0</v>
      </c>
      <c r="CI131" s="1">
        <f t="shared" si="109"/>
        <v>0</v>
      </c>
      <c r="CJ131" s="1"/>
      <c r="CK131" s="2"/>
      <c r="CL131" s="2"/>
      <c r="CM131" s="2"/>
      <c r="CN131" s="2"/>
      <c r="CO131" s="73">
        <f t="shared" si="110"/>
        <v>0</v>
      </c>
      <c r="CP131" s="5">
        <f t="shared" si="111"/>
        <v>0</v>
      </c>
      <c r="CQ131" s="1"/>
      <c r="CR131" s="1">
        <f t="shared" si="112"/>
        <v>0</v>
      </c>
      <c r="CS131" s="1"/>
      <c r="CT131" s="1" t="e">
        <f>INDEX([2]マスタ!$A:$A,MATCH(D131,[2]マスタ!$C:$C,0))</f>
        <v>#N/A</v>
      </c>
      <c r="CU131" s="1" t="str">
        <f t="shared" ca="1" si="113"/>
        <v>20260620_0-0</v>
      </c>
    </row>
    <row r="132" spans="1:99" x14ac:dyDescent="0.4">
      <c r="A132" s="61"/>
      <c r="B132" s="62"/>
      <c r="C132" s="62"/>
      <c r="D132" s="62"/>
      <c r="E132" s="63"/>
      <c r="F132" s="62"/>
      <c r="G132" s="62">
        <v>1</v>
      </c>
      <c r="H132" s="64">
        <f t="shared" si="100"/>
        <v>0</v>
      </c>
      <c r="I132" s="64"/>
      <c r="J132" s="78"/>
      <c r="K132" s="65">
        <f t="shared" si="116"/>
        <v>0</v>
      </c>
      <c r="L132" s="65">
        <f t="shared" si="102"/>
        <v>0</v>
      </c>
      <c r="M132" s="65">
        <f t="shared" si="103"/>
        <v>0</v>
      </c>
      <c r="N132" s="65">
        <f t="shared" si="104"/>
        <v>0</v>
      </c>
      <c r="O132" s="66" t="str">
        <f t="shared" si="105"/>
        <v>✕</v>
      </c>
      <c r="P132" s="67" t="str">
        <f t="shared" si="106"/>
        <v>○</v>
      </c>
      <c r="Q132" s="67" t="str">
        <f t="shared" si="117"/>
        <v>✕</v>
      </c>
      <c r="R132" s="67" t="str">
        <f t="shared" si="108"/>
        <v>✕</v>
      </c>
      <c r="S132" s="68">
        <v>0</v>
      </c>
      <c r="T132" s="69" t="s">
        <v>85</v>
      </c>
      <c r="U132" s="69" t="s">
        <v>85</v>
      </c>
      <c r="V132" s="69" t="s">
        <v>85</v>
      </c>
      <c r="W132" s="69" t="s">
        <v>85</v>
      </c>
      <c r="X132" s="69" t="s">
        <v>84</v>
      </c>
      <c r="Y132" s="69" t="s">
        <v>85</v>
      </c>
      <c r="Z132" s="69" t="s">
        <v>85</v>
      </c>
      <c r="AA132" s="69" t="s">
        <v>85</v>
      </c>
      <c r="AB132" s="69" t="s">
        <v>85</v>
      </c>
      <c r="AC132" s="69" t="s">
        <v>85</v>
      </c>
      <c r="AD132" s="38" t="str">
        <f>+IF(ISERROR(VLOOKUP($B132,AD$10:AD131,1,0)),IF(AND($N132&gt;=1000,$A132&gt;=AO$8,$A132&lt;=AO$9),$B132,""),"")</f>
        <v/>
      </c>
      <c r="AE132" s="38" t="str">
        <f>+IF(ISERROR(VLOOKUP($B132,AE$10:AE131,1,0)),IF(AND($N132&gt;=1000,$A132&gt;=AP$8,$A132&lt;=AP$9),$B132,""),"")</f>
        <v/>
      </c>
      <c r="AF132" s="38" t="str">
        <f>+IF(ISERROR(VLOOKUP($B132,AF$10:AF131,1,0)),IF(AND($N132&gt;=1000,$A132&gt;=AQ$8,$A132&lt;=AQ$9),$B132,""),"")</f>
        <v/>
      </c>
      <c r="AG132" s="38" t="str">
        <f>+IF(ISERROR(VLOOKUP($B132,AG$10:AG131,1,0)),IF(AND($N132&gt;=1000,$A132&gt;=AR$8,$A132&lt;=AR$9),$B132,""),"")</f>
        <v/>
      </c>
      <c r="AH132" s="38"/>
      <c r="AI132" s="70">
        <v>0</v>
      </c>
      <c r="AJ132" s="38">
        <f>IF(AND(AJ$7="○",$A132&gt;=AJ$8,$A132&lt;=AJ$9),IF(SUM(AJ$10:AJ131)-ROUNDDOWN($K132*AJ$5/100,0)&lt;-AJ$6,-AJ$6-SUM(AJ$10:AJ131),-ROUNDDOWN($K132*AJ$5/100,0)),0)</f>
        <v>0</v>
      </c>
      <c r="AK132" s="38">
        <f>IF(AND(AK$7="○",$A132&gt;=AK$8,$A132&lt;=AK$9),IF(SUM(AK$10:AK131)-ROUNDDOWN($L132*AK$5/100,0)&lt;-AK$6,-AK$6-SUM(AK$10:AK131),-ROUNDDOWN($L132*AK$5/100,0)),0)</f>
        <v>0</v>
      </c>
      <c r="AL132" s="38">
        <f>IF(AND(AL$7="○",$A132&gt;=AL$8,$A132&lt;=AL$9),IF(SUM(AL$10:AL131)-ROUNDDOWN($N132*AL$5/100,0)&lt;-AL$6,-AL$6-SUM(AL$10:AL131),-ROUNDDOWN($N132*AL$5/100,0)),0)</f>
        <v>0</v>
      </c>
      <c r="AM132" s="38">
        <f>IF(AND(AM$7="○",$A132&gt;=AM$8,$A132&lt;=AM$9),IF(SUM(AM$10:AM131)-ROUNDDOWN($L132*AM$5/100,0)&lt;-AM$6,-AM$6-SUM(AM$10:AM131),-ROUNDDOWN($L132*AM$5/100,0)),0)</f>
        <v>0</v>
      </c>
      <c r="AN132" s="38">
        <f>IF(AND(AN$7="○",$A132&gt;=AN$8,$A132&lt;=AN$9),IF(SUM(AN$10:AN131)-ROUNDDOWN($M132*AN$5/100,0)&lt;-AN$6,-AN$6-SUM(AN$10:AN131),-ROUNDDOWN($M132*AN$5/100,0)),0)</f>
        <v>0</v>
      </c>
      <c r="AO132" s="38">
        <f>IF(AND($A132&gt;=AO$8,$A132&lt;=AO$9),IF(SUM(AO$10:AO131)-ROUNDDOWN($K132*AO$5/100,0)&lt;-AO$6,-AO$6-SUM(AO$10:AO131),-ROUNDDOWN($K132*AO$5/100,0)),0)</f>
        <v>0</v>
      </c>
      <c r="AP132" s="38">
        <f>IF(AND($A132&gt;=AP$8,$A132&lt;=AP$9),IF(SUM(AP$10:AP131)-ROUNDDOWN($K132*AP$5/100,0)&lt;-AP$6,-AP$6-SUM(AP$10:AP131),-ROUNDDOWN($K132*AP$5/100,0)),0)</f>
        <v>0</v>
      </c>
      <c r="AQ132" s="38">
        <f>IF(AND($A132&gt;=AQ$8,$A132&lt;=AQ$9),IF(SUM(AQ$10:AQ131)-ROUNDDOWN($K132*AQ$5/100,0)&lt;-AQ$6,-AQ$6-SUM(AQ$10:AQ131),-ROUNDDOWN($K132*AQ$5/100,0)),0)</f>
        <v>0</v>
      </c>
      <c r="AR132" s="38">
        <f>IF(AND($A132&gt;=AR$8,$A132&lt;=AR$9),IF(SUM(AR$10:AR131)-ROUNDDOWN($K132*AR$5/100,0)&lt;-AR$6,-AR$6-SUM(AR$10:AR131),-ROUNDDOWN($K132*AR$5/100,0)),0)</f>
        <v>0</v>
      </c>
      <c r="AS132" s="38">
        <f>IF(SUMIFS(AS$10:AS131,$A$10:$A131,$A132)-ROUNDDOWN($K132*$S132/100,0)&lt;-$S132*1000,-$S132*1000-SUMIFS(AS$10:AS131,$A$10:$A131,$A132),-ROUNDDOWN($K132*$S132/100,0))</f>
        <v>0</v>
      </c>
      <c r="AT132" s="38">
        <f>IF(AND(X132="○",$A132&gt;=AT$8,$A132&lt;=AT$9,K132&gt;=3980),IF(SUM(AT$10:AT131)-ROUNDDOWN($K132*AT$5/100,0)&lt;-AT$6,-AT$6-SUM(AT$10:AT131),-ROUNDDOWN($K132*AT$5/100,0)),0)</f>
        <v>0</v>
      </c>
      <c r="AU132" s="38">
        <f>IF(O132="○",IF(SUM(AU$10:AU131)-ROUNDDOWN($K132*AU$5/100,0)&lt;-AU$6,-AU$6-SUM(AU$10:AU131),-ROUNDDOWN($K132*AU$5/100,0)),0)</f>
        <v>0</v>
      </c>
      <c r="AV132" s="38">
        <f>IF(P132="○",IF(SUM(AV$10:AV131)-ROUNDDOWN($K132*AV$5/100,0)&lt;-AV$6,-AV$6-SUM(AV$10:AV131),-ROUNDDOWN($K132*AV$5/100,0)),0)</f>
        <v>0</v>
      </c>
      <c r="AW132" s="38">
        <f>IF(Q132="○",IF(SUM(AW$10:AW131)-ROUNDDOWN($K132*AW$5/100,0)&lt;-AW$6,-AW$6-SUM(AW$10:AW131),-ROUNDDOWN($K132*AW$5/100,0)),0)</f>
        <v>0</v>
      </c>
      <c r="AX132" s="38">
        <f>IF(R132="○",IF(SUM(AX$10:AX131)-ROUNDDOWN($K132*AX$5/100,0)&lt;-AX$6,-AX$6-SUM(AX$10:AX131),-ROUNDDOWN($K132*AX$5/100,0)),0)</f>
        <v>0</v>
      </c>
      <c r="AY132" s="70">
        <v>0</v>
      </c>
      <c r="AZ132" s="65">
        <f t="shared" si="88"/>
        <v>0</v>
      </c>
      <c r="BA132" s="65">
        <f t="shared" si="89"/>
        <v>0</v>
      </c>
      <c r="BB132" s="70"/>
      <c r="BC132" s="65">
        <f t="shared" si="90"/>
        <v>0</v>
      </c>
      <c r="BD132" s="70">
        <v>0</v>
      </c>
      <c r="BE132" s="65">
        <f t="shared" si="91"/>
        <v>0</v>
      </c>
      <c r="BF132" s="70">
        <v>0</v>
      </c>
      <c r="BG132" s="65">
        <f t="shared" si="92"/>
        <v>0</v>
      </c>
      <c r="BH132" s="70">
        <v>0</v>
      </c>
      <c r="BI132" s="65">
        <f t="shared" si="93"/>
        <v>0</v>
      </c>
      <c r="BJ132" s="38">
        <f>IF(AND(BJ$7="○",$A132&gt;=BJ$8,$A132&lt;=BJ$9),IF(SUM(BJ$10:BJ131)-ROUNDDOWN($M132*BJ$5/100,0)&lt;-BJ$6,-BJ$6-SUM(BJ$10:BJ131),-ROUNDDOWN($M132*BJ$5/100,0)),0)</f>
        <v>0</v>
      </c>
      <c r="BK132" s="38">
        <f>IF(AND(BK$7="○",$A132&gt;=BK$8,$A132&lt;=BK$9),IF(SUM(BK$10:BK131)-ROUNDDOWN($L132*BK$5/100,0)&lt;-BK$6,-BK$6-SUM(BK$10:BK131),-ROUNDDOWN($L132*BK$5/100,0)),0)</f>
        <v>0</v>
      </c>
      <c r="BL132" s="38">
        <f>IF(AND(BL$7="○",$A132&gt;=BL$8,$A132&lt;=BL$9),IF(SUM(BL$10:BL131)-ROUNDDOWN($L132*BL$5/100,0)&lt;-BL$6,-BL$6-SUM(BL$10:BL131),-ROUNDDOWN($L132*BL$5/100,0)),0)</f>
        <v>0</v>
      </c>
      <c r="BM132" s="38">
        <f>IF(AND(BM$7="○",$A132&gt;=BM$8,$A132&lt;=BM$9),IF(SUM(BM$10:BM131)-ROUNDDOWN($M132*BM$5/100,0)&lt;-BM$6,-BM$6-SUM(BM$10:BM131),-ROUNDDOWN($M132*BM$5/100,0)),0)</f>
        <v>0</v>
      </c>
      <c r="BN132" s="38">
        <f>IF(AND(BN$7="○",$A132&gt;=BN$8,$A132&lt;=BN$9),IF(SUM(BN$10:BN131)-ROUNDDOWN($M132*BN$5/100,0)&lt;-BN$6,-BN$6-SUM(BN$10:BN131),-ROUNDDOWN($M132*BN$5/100,0)),0)</f>
        <v>0</v>
      </c>
      <c r="BO132" s="38">
        <f>IF(AND(BO$7="○",$A132&gt;=BO$8,$A132&lt;=BO$9),IF(SUM(BO$10:BO131)-ROUNDDOWN($M132*BO$5/100,0)&lt;-BO$6,-BO$6-SUM(BO$10:BO131),-ROUNDDOWN($M132*BO$5/100,0)),0)</f>
        <v>0</v>
      </c>
      <c r="BP132" s="38">
        <f>IF(AND(BP$7="○",$A132&gt;=BP$8,$A132&lt;=BP$9),IF(SUM(BP$10:BP131)-ROUNDDOWN($M132*BP$5/100,0)&lt;-BP$6,-BP$6-SUM(BP$10:BP131),-ROUNDDOWN($M132*BP$5/100,0)),0)</f>
        <v>0</v>
      </c>
      <c r="BQ132" s="38">
        <f>IF(AND(BQ$7="○",$A132&gt;=BQ$8,$A132&lt;=BQ$9),IF(SUM(BQ$10:BQ131)-ROUNDDOWN($L132*BQ$5/100,0)&lt;-BQ$6,-BQ$6-SUM(BQ$10:BQ131),-ROUNDDOWN($L132*BQ$5/100,0)),0)</f>
        <v>0</v>
      </c>
      <c r="BR132" s="38">
        <f>IF(AND(BR$7="○",$A132&gt;=BR$8,$A132&lt;=BR$9),IF(SUM(BR$10:BR131)-ROUNDDOWN($M132*BR$5/100,0)&lt;-BR$6,-BR$6-SUM(BR$10:BR131),-ROUNDDOWN($M132*BR$5/100,0)),0)</f>
        <v>0</v>
      </c>
      <c r="BS132" s="38">
        <f>IF(AND(BS$7="○",$A132&gt;=BS$8,$A132&lt;=BS$9),IF(SUM(BS$10:BS131)-ROUNDDOWN($M132*BS$5/100,0)&lt;-BS$6,-BS$6-SUM(BS$10:BS131),-ROUNDDOWN($M132*BS$5/100,0)),0)</f>
        <v>0</v>
      </c>
      <c r="BT132" s="38">
        <f>IF(AND(BT$7="○",$A132&gt;=BT$8,$A132&lt;=BT$9),IF(SUM(BT$10:BT131)-ROUNDDOWN($M132*BT$5/100,0)&lt;-BT$6,-BT$6-SUM(BT$10:BT131),-ROUNDDOWN($M132*BT$5/100,0)),0)</f>
        <v>0</v>
      </c>
      <c r="BU132" s="38">
        <f>IF(AND(BU$7="○",$A132&gt;=BU$8,$A132&lt;=BU$9),IF(SUM(BU$10:BU131)-ROUNDDOWN($M132*BU$5/100,0)&lt;-BU$6,-BU$6-SUM(BU$10:BU131),-ROUNDDOWN($M132*BU$5/100,0)),0)</f>
        <v>0</v>
      </c>
      <c r="BV132" s="38">
        <f>IF(AND(BV$7="○",$A132&gt;=BV$8,$A132&lt;=BV$9),IF(SUM(BV$10:BV131)-ROUNDDOWN($M132*BV$5/100,0)&lt;-BV$6,-BV$6-SUM(BV$10:BV131),-ROUNDDOWN($M132*BV$5/100,0)),0)</f>
        <v>0</v>
      </c>
      <c r="BW132" s="38">
        <f>IF(AND(BW$7="○",$A132&gt;=BW$8,$A132&lt;=BW$9),IF(SUM(BW$10:BW131)-ROUNDDOWN($M132*BW$5/100,0)&lt;-BW$6,-BW$6-SUM(BW$10:BW131),-ROUNDDOWN($M132*BW$5/100,0)),0)</f>
        <v>0</v>
      </c>
      <c r="BX132" s="38">
        <f>IF(AND(T132="○",$A132&gt;=BX$8,$A132&lt;=BX$9),IF(SUM(BX$10:BX131)-ROUNDDOWN($K132*BX$5/100,0)&lt;-BX$6,-BX$6-SUM(BX$10:BX131),-ROUNDDOWN($K132*BX$5/100,0)),0)</f>
        <v>0</v>
      </c>
      <c r="BY132" s="38">
        <f>IF(AND(U132="○",$A132&gt;=BY$8,$A132&lt;=BY$9),IF(SUM(BY$10:BY131)-ROUNDDOWN($K132*BY$5/100,0)&lt;-BY$6,-BY$6-SUM(BY$10:BY131),-ROUNDDOWN($K132*BY$5/100,0)),0)</f>
        <v>0</v>
      </c>
      <c r="BZ132" s="38">
        <f>IF(AND(V132="○",$A132&gt;=BZ$8,$A132&lt;=BZ$9),IF(SUM(BZ$10:BZ131)-ROUNDDOWN($K132*BZ$5/100,0)&lt;-BZ$6,-BZ$6-SUM(BZ$10:BZ131),-ROUNDDOWN($K132*BZ$5/100,0)),0)</f>
        <v>0</v>
      </c>
      <c r="CA132" s="38">
        <f>IF(AND(W132="○",$A132&gt;=CA$8,$A132&lt;=CA$9),IF(SUM(CA$10:CA131)-ROUNDDOWN($K132*CA$5/100,0)&lt;-CA$6,-CA$6-SUM(CA$10:CA131),-ROUNDDOWN($K132*CA$5/100,0)),0)</f>
        <v>0</v>
      </c>
      <c r="CB132" s="38"/>
      <c r="CC132" s="38"/>
      <c r="CD132" s="38"/>
      <c r="CE132" s="38"/>
      <c r="CF132" s="38"/>
      <c r="CG132" s="65">
        <f t="shared" si="94"/>
        <v>0</v>
      </c>
      <c r="CH132" s="71">
        <f t="shared" si="95"/>
        <v>0</v>
      </c>
      <c r="CI132" s="1">
        <f t="shared" si="109"/>
        <v>0</v>
      </c>
      <c r="CJ132" s="1"/>
      <c r="CK132" s="79"/>
      <c r="CL132" s="79"/>
      <c r="CM132" s="2"/>
      <c r="CN132" s="2"/>
      <c r="CO132" s="73">
        <f t="shared" si="110"/>
        <v>0</v>
      </c>
      <c r="CP132" s="5">
        <f t="shared" si="111"/>
        <v>0</v>
      </c>
      <c r="CQ132" s="1"/>
      <c r="CR132" s="1">
        <f t="shared" si="112"/>
        <v>0</v>
      </c>
      <c r="CS132" s="1"/>
      <c r="CT132" s="1" t="e">
        <f>INDEX([2]マスタ!$A:$A,MATCH(D132,[2]マスタ!$C:$C,0))</f>
        <v>#N/A</v>
      </c>
      <c r="CU132" s="1" t="str">
        <f t="shared" ca="1" si="113"/>
        <v>20260620_0-0</v>
      </c>
    </row>
    <row r="133" spans="1:99" x14ac:dyDescent="0.4">
      <c r="A133" s="61"/>
      <c r="B133" s="62"/>
      <c r="C133" s="62"/>
      <c r="D133" s="62"/>
      <c r="E133" s="63"/>
      <c r="F133" s="62"/>
      <c r="G133" s="62">
        <v>1</v>
      </c>
      <c r="H133" s="64">
        <f t="shared" si="100"/>
        <v>0</v>
      </c>
      <c r="I133" s="64"/>
      <c r="J133" s="78"/>
      <c r="K133" s="65">
        <f t="shared" si="116"/>
        <v>0</v>
      </c>
      <c r="L133" s="65">
        <f t="shared" si="102"/>
        <v>0</v>
      </c>
      <c r="M133" s="65">
        <f t="shared" si="103"/>
        <v>0</v>
      </c>
      <c r="N133" s="65">
        <f t="shared" si="104"/>
        <v>0</v>
      </c>
      <c r="O133" s="66" t="str">
        <f t="shared" si="105"/>
        <v>✕</v>
      </c>
      <c r="P133" s="67" t="str">
        <f t="shared" si="106"/>
        <v>○</v>
      </c>
      <c r="Q133" s="67" t="str">
        <f t="shared" si="117"/>
        <v>✕</v>
      </c>
      <c r="R133" s="67" t="str">
        <f t="shared" si="108"/>
        <v>✕</v>
      </c>
      <c r="S133" s="68">
        <v>0</v>
      </c>
      <c r="T133" s="69" t="s">
        <v>85</v>
      </c>
      <c r="U133" s="69" t="s">
        <v>85</v>
      </c>
      <c r="V133" s="69" t="s">
        <v>85</v>
      </c>
      <c r="W133" s="69" t="s">
        <v>85</v>
      </c>
      <c r="X133" s="69" t="s">
        <v>84</v>
      </c>
      <c r="Y133" s="69" t="s">
        <v>85</v>
      </c>
      <c r="Z133" s="69" t="s">
        <v>85</v>
      </c>
      <c r="AA133" s="69" t="s">
        <v>85</v>
      </c>
      <c r="AB133" s="69" t="s">
        <v>85</v>
      </c>
      <c r="AC133" s="69" t="s">
        <v>85</v>
      </c>
      <c r="AD133" s="38" t="str">
        <f>+IF(ISERROR(VLOOKUP($B133,AD$10:AD132,1,0)),IF(AND($N133&gt;=1000,$A133&gt;=AO$8,$A133&lt;=AO$9),$B133,""),"")</f>
        <v/>
      </c>
      <c r="AE133" s="38" t="str">
        <f>+IF(ISERROR(VLOOKUP($B133,AE$10:AE132,1,0)),IF(AND($N133&gt;=1000,$A133&gt;=AP$8,$A133&lt;=AP$9),$B133,""),"")</f>
        <v/>
      </c>
      <c r="AF133" s="38" t="str">
        <f>+IF(ISERROR(VLOOKUP($B133,AF$10:AF132,1,0)),IF(AND($N133&gt;=1000,$A133&gt;=AQ$8,$A133&lt;=AQ$9),$B133,""),"")</f>
        <v/>
      </c>
      <c r="AG133" s="38" t="str">
        <f>+IF(ISERROR(VLOOKUP($B133,AG$10:AG132,1,0)),IF(AND($N133&gt;=1000,$A133&gt;=AR$8,$A133&lt;=AR$9),$B133,""),"")</f>
        <v/>
      </c>
      <c r="AH133" s="38"/>
      <c r="AI133" s="70">
        <v>0</v>
      </c>
      <c r="AJ133" s="38">
        <f>IF(AND(AJ$7="○",$A133&gt;=AJ$8,$A133&lt;=AJ$9),IF(SUM(AJ$10:AJ132)-ROUNDDOWN($K133*AJ$5/100,0)&lt;-AJ$6,-AJ$6-SUM(AJ$10:AJ132),-ROUNDDOWN($K133*AJ$5/100,0)),0)</f>
        <v>0</v>
      </c>
      <c r="AK133" s="38">
        <f>IF(AND(AK$7="○",$A133&gt;=AK$8,$A133&lt;=AK$9),IF(SUM(AK$10:AK132)-ROUNDDOWN($L133*AK$5/100,0)&lt;-AK$6,-AK$6-SUM(AK$10:AK132),-ROUNDDOWN($L133*AK$5/100,0)),0)</f>
        <v>0</v>
      </c>
      <c r="AL133" s="38">
        <f>IF(AND(AL$7="○",$A133&gt;=AL$8,$A133&lt;=AL$9),IF(SUM(AL$10:AL132)-ROUNDDOWN($N133*AL$5/100,0)&lt;-AL$6,-AL$6-SUM(AL$10:AL132),-ROUNDDOWN($N133*AL$5/100,0)),0)</f>
        <v>0</v>
      </c>
      <c r="AM133" s="38">
        <f>IF(AND(AM$7="○",$A133&gt;=AM$8,$A133&lt;=AM$9),IF(SUM(AM$10:AM132)-ROUNDDOWN($L133*AM$5/100,0)&lt;-AM$6,-AM$6-SUM(AM$10:AM132),-ROUNDDOWN($L133*AM$5/100,0)),0)</f>
        <v>0</v>
      </c>
      <c r="AN133" s="38">
        <f>IF(AND(AN$7="○",$A133&gt;=AN$8,$A133&lt;=AN$9),IF(SUM(AN$10:AN132)-ROUNDDOWN($M133*AN$5/100,0)&lt;-AN$6,-AN$6-SUM(AN$10:AN132),-ROUNDDOWN($M133*AN$5/100,0)),0)</f>
        <v>0</v>
      </c>
      <c r="AO133" s="38">
        <f>IF(AND($A133&gt;=AO$8,$A133&lt;=AO$9),IF(SUM(AO$10:AO132)-ROUNDDOWN($K133*AO$5/100,0)&lt;-AO$6,-AO$6-SUM(AO$10:AO132),-ROUNDDOWN($K133*AO$5/100,0)),0)</f>
        <v>0</v>
      </c>
      <c r="AP133" s="38">
        <f>IF(AND($A133&gt;=AP$8,$A133&lt;=AP$9),IF(SUM(AP$10:AP132)-ROUNDDOWN($K133*AP$5/100,0)&lt;-AP$6,-AP$6-SUM(AP$10:AP132),-ROUNDDOWN($K133*AP$5/100,0)),0)</f>
        <v>0</v>
      </c>
      <c r="AQ133" s="38">
        <f>IF(AND($A133&gt;=AQ$8,$A133&lt;=AQ$9),IF(SUM(AQ$10:AQ132)-ROUNDDOWN($K133*AQ$5/100,0)&lt;-AQ$6,-AQ$6-SUM(AQ$10:AQ132),-ROUNDDOWN($K133*AQ$5/100,0)),0)</f>
        <v>0</v>
      </c>
      <c r="AR133" s="38">
        <f>IF(AND($A133&gt;=AR$8,$A133&lt;=AR$9),IF(SUM(AR$10:AR132)-ROUNDDOWN($K133*AR$5/100,0)&lt;-AR$6,-AR$6-SUM(AR$10:AR132),-ROUNDDOWN($K133*AR$5/100,0)),0)</f>
        <v>0</v>
      </c>
      <c r="AS133" s="38">
        <f>IF(SUMIFS(AS$10:AS132,$A$10:$A132,$A133)-ROUNDDOWN($K133*$S133/100,0)&lt;-$S133*1000,-$S133*1000-SUMIFS(AS$10:AS132,$A$10:$A132,$A133),-ROUNDDOWN($K133*$S133/100,0))</f>
        <v>0</v>
      </c>
      <c r="AT133" s="38">
        <f>IF(AND(X133="○",$A133&gt;=AT$8,$A133&lt;=AT$9,K133&gt;=3980),IF(SUM(AT$10:AT132)-ROUNDDOWN($K133*AT$5/100,0)&lt;-AT$6,-AT$6-SUM(AT$10:AT132),-ROUNDDOWN($K133*AT$5/100,0)),0)</f>
        <v>0</v>
      </c>
      <c r="AU133" s="38">
        <f>IF(O133="○",IF(SUM(AU$10:AU132)-ROUNDDOWN($K133*AU$5/100,0)&lt;-AU$6,-AU$6-SUM(AU$10:AU132),-ROUNDDOWN($K133*AU$5/100,0)),0)</f>
        <v>0</v>
      </c>
      <c r="AV133" s="38">
        <f>IF(P133="○",IF(SUM(AV$10:AV132)-ROUNDDOWN($K133*AV$5/100,0)&lt;-AV$6,-AV$6-SUM(AV$10:AV132),-ROUNDDOWN($K133*AV$5/100,0)),0)</f>
        <v>0</v>
      </c>
      <c r="AW133" s="38">
        <f>IF(Q133="○",IF(SUM(AW$10:AW132)-ROUNDDOWN($K133*AW$5/100,0)&lt;-AW$6,-AW$6-SUM(AW$10:AW132),-ROUNDDOWN($K133*AW$5/100,0)),0)</f>
        <v>0</v>
      </c>
      <c r="AX133" s="38">
        <f>IF(R133="○",IF(SUM(AX$10:AX132)-ROUNDDOWN($K133*AX$5/100,0)&lt;-AX$6,-AX$6-SUM(AX$10:AX132),-ROUNDDOWN($K133*AX$5/100,0)),0)</f>
        <v>0</v>
      </c>
      <c r="AY133" s="70">
        <v>0</v>
      </c>
      <c r="AZ133" s="65">
        <f t="shared" si="88"/>
        <v>0</v>
      </c>
      <c r="BA133" s="65">
        <f t="shared" si="89"/>
        <v>0</v>
      </c>
      <c r="BB133" s="70"/>
      <c r="BC133" s="65">
        <f t="shared" si="90"/>
        <v>0</v>
      </c>
      <c r="BD133" s="70">
        <v>0</v>
      </c>
      <c r="BE133" s="65">
        <f t="shared" si="91"/>
        <v>0</v>
      </c>
      <c r="BF133" s="70">
        <v>0</v>
      </c>
      <c r="BG133" s="65">
        <f t="shared" si="92"/>
        <v>0</v>
      </c>
      <c r="BH133" s="70">
        <v>0</v>
      </c>
      <c r="BI133" s="65">
        <f t="shared" si="93"/>
        <v>0</v>
      </c>
      <c r="BJ133" s="38">
        <f>IF(AND(BJ$7="○",$A133&gt;=BJ$8,$A133&lt;=BJ$9),IF(SUM(BJ$10:BJ132)-ROUNDDOWN($M133*BJ$5/100,0)&lt;-BJ$6,-BJ$6-SUM(BJ$10:BJ132),-ROUNDDOWN($M133*BJ$5/100,0)),0)</f>
        <v>0</v>
      </c>
      <c r="BK133" s="38">
        <f>IF(AND(BK$7="○",$A133&gt;=BK$8,$A133&lt;=BK$9),IF(SUM(BK$10:BK132)-ROUNDDOWN($L133*BK$5/100,0)&lt;-BK$6,-BK$6-SUM(BK$10:BK132),-ROUNDDOWN($L133*BK$5/100,0)),0)</f>
        <v>0</v>
      </c>
      <c r="BL133" s="38">
        <f>IF(AND(BL$7="○",$A133&gt;=BL$8,$A133&lt;=BL$9),IF(SUM(BL$10:BL132)-ROUNDDOWN($L133*BL$5/100,0)&lt;-BL$6,-BL$6-SUM(BL$10:BL132),-ROUNDDOWN($L133*BL$5/100,0)),0)</f>
        <v>0</v>
      </c>
      <c r="BM133" s="38">
        <f>IF(AND(BM$7="○",$A133&gt;=BM$8,$A133&lt;=BM$9),IF(SUM(BM$10:BM132)-ROUNDDOWN($M133*BM$5/100,0)&lt;-BM$6,-BM$6-SUM(BM$10:BM132),-ROUNDDOWN($M133*BM$5/100,0)),0)</f>
        <v>0</v>
      </c>
      <c r="BN133" s="38">
        <f>IF(AND(BN$7="○",$A133&gt;=BN$8,$A133&lt;=BN$9),IF(SUM(BN$10:BN132)-ROUNDDOWN($M133*BN$5/100,0)&lt;-BN$6,-BN$6-SUM(BN$10:BN132),-ROUNDDOWN($M133*BN$5/100,0)),0)</f>
        <v>0</v>
      </c>
      <c r="BO133" s="38">
        <f>IF(AND(BO$7="○",$A133&gt;=BO$8,$A133&lt;=BO$9),IF(SUM(BO$10:BO132)-ROUNDDOWN($M133*BO$5/100,0)&lt;-BO$6,-BO$6-SUM(BO$10:BO132),-ROUNDDOWN($M133*BO$5/100,0)),0)</f>
        <v>0</v>
      </c>
      <c r="BP133" s="38">
        <f>IF(AND(BP$7="○",$A133&gt;=BP$8,$A133&lt;=BP$9),IF(SUM(BP$10:BP132)-ROUNDDOWN($M133*BP$5/100,0)&lt;-BP$6,-BP$6-SUM(BP$10:BP132),-ROUNDDOWN($M133*BP$5/100,0)),0)</f>
        <v>0</v>
      </c>
      <c r="BQ133" s="38">
        <f>IF(AND(BQ$7="○",$A133&gt;=BQ$8,$A133&lt;=BQ$9),IF(SUM(BQ$10:BQ132)-ROUNDDOWN($L133*BQ$5/100,0)&lt;-BQ$6,-BQ$6-SUM(BQ$10:BQ132),-ROUNDDOWN($L133*BQ$5/100,0)),0)</f>
        <v>0</v>
      </c>
      <c r="BR133" s="38">
        <f>IF(AND(BR$7="○",$A133&gt;=BR$8,$A133&lt;=BR$9),IF(SUM(BR$10:BR132)-ROUNDDOWN($M133*BR$5/100,0)&lt;-BR$6,-BR$6-SUM(BR$10:BR132),-ROUNDDOWN($M133*BR$5/100,0)),0)</f>
        <v>0</v>
      </c>
      <c r="BS133" s="38">
        <f>IF(AND(BS$7="○",$A133&gt;=BS$8,$A133&lt;=BS$9),IF(SUM(BS$10:BS132)-ROUNDDOWN($M133*BS$5/100,0)&lt;-BS$6,-BS$6-SUM(BS$10:BS132),-ROUNDDOWN($M133*BS$5/100,0)),0)</f>
        <v>0</v>
      </c>
      <c r="BT133" s="38">
        <f>IF(AND(BT$7="○",$A133&gt;=BT$8,$A133&lt;=BT$9),IF(SUM(BT$10:BT132)-ROUNDDOWN($M133*BT$5/100,0)&lt;-BT$6,-BT$6-SUM(BT$10:BT132),-ROUNDDOWN($M133*BT$5/100,0)),0)</f>
        <v>0</v>
      </c>
      <c r="BU133" s="38">
        <f>IF(AND(BU$7="○",$A133&gt;=BU$8,$A133&lt;=BU$9),IF(SUM(BU$10:BU132)-ROUNDDOWN($M133*BU$5/100,0)&lt;-BU$6,-BU$6-SUM(BU$10:BU132),-ROUNDDOWN($M133*BU$5/100,0)),0)</f>
        <v>0</v>
      </c>
      <c r="BV133" s="38">
        <f>IF(AND(BV$7="○",$A133&gt;=BV$8,$A133&lt;=BV$9),IF(SUM(BV$10:BV132)-ROUNDDOWN($M133*BV$5/100,0)&lt;-BV$6,-BV$6-SUM(BV$10:BV132),-ROUNDDOWN($M133*BV$5/100,0)),0)</f>
        <v>0</v>
      </c>
      <c r="BW133" s="38">
        <f>IF(AND(BW$7="○",$A133&gt;=BW$8,$A133&lt;=BW$9),IF(SUM(BW$10:BW132)-ROUNDDOWN($M133*BW$5/100,0)&lt;-BW$6,-BW$6-SUM(BW$10:BW132),-ROUNDDOWN($M133*BW$5/100,0)),0)</f>
        <v>0</v>
      </c>
      <c r="BX133" s="38">
        <f>IF(AND(T133="○",$A133&gt;=BX$8,$A133&lt;=BX$9),IF(SUM(BX$10:BX132)-ROUNDDOWN($K133*BX$5/100,0)&lt;-BX$6,-BX$6-SUM(BX$10:BX132),-ROUNDDOWN($K133*BX$5/100,0)),0)</f>
        <v>0</v>
      </c>
      <c r="BY133" s="38">
        <f>IF(AND(U133="○",$A133&gt;=BY$8,$A133&lt;=BY$9),IF(SUM(BY$10:BY132)-ROUNDDOWN($K133*BY$5/100,0)&lt;-BY$6,-BY$6-SUM(BY$10:BY132),-ROUNDDOWN($K133*BY$5/100,0)),0)</f>
        <v>0</v>
      </c>
      <c r="BZ133" s="38">
        <f>IF(AND(V133="○",$A133&gt;=BZ$8,$A133&lt;=BZ$9),IF(SUM(BZ$10:BZ132)-ROUNDDOWN($K133*BZ$5/100,0)&lt;-BZ$6,-BZ$6-SUM(BZ$10:BZ132),-ROUNDDOWN($K133*BZ$5/100,0)),0)</f>
        <v>0</v>
      </c>
      <c r="CA133" s="38">
        <f>IF(AND(W133="○",$A133&gt;=CA$8,$A133&lt;=CA$9),IF(SUM(CA$10:CA132)-ROUNDDOWN($K133*CA$5/100,0)&lt;-CA$6,-CA$6-SUM(CA$10:CA132),-ROUNDDOWN($K133*CA$5/100,0)),0)</f>
        <v>0</v>
      </c>
      <c r="CB133" s="38"/>
      <c r="CC133" s="38"/>
      <c r="CD133" s="38"/>
      <c r="CE133" s="38"/>
      <c r="CF133" s="38"/>
      <c r="CG133" s="65">
        <f t="shared" si="94"/>
        <v>0</v>
      </c>
      <c r="CH133" s="71">
        <f t="shared" si="95"/>
        <v>0</v>
      </c>
      <c r="CI133" s="1">
        <f t="shared" si="109"/>
        <v>0</v>
      </c>
      <c r="CJ133" s="1"/>
      <c r="CK133" s="79"/>
      <c r="CL133" s="79"/>
      <c r="CM133" s="2"/>
      <c r="CN133" s="2"/>
      <c r="CO133" s="73">
        <f t="shared" si="110"/>
        <v>0</v>
      </c>
      <c r="CP133" s="5">
        <f t="shared" si="111"/>
        <v>0</v>
      </c>
      <c r="CQ133" s="1"/>
      <c r="CR133" s="1">
        <f t="shared" si="112"/>
        <v>0</v>
      </c>
      <c r="CS133" s="1"/>
      <c r="CT133" s="1" t="e">
        <f>INDEX([2]マスタ!$A:$A,MATCH(D133,[2]マスタ!$C:$C,0))</f>
        <v>#N/A</v>
      </c>
      <c r="CU133" s="1" t="str">
        <f t="shared" ca="1" si="113"/>
        <v>20260620_0-0</v>
      </c>
    </row>
    <row r="134" spans="1:99" x14ac:dyDescent="0.4">
      <c r="A134" s="61"/>
      <c r="B134" s="62"/>
      <c r="C134" s="62"/>
      <c r="D134" s="62"/>
      <c r="E134" s="77"/>
      <c r="F134" s="62"/>
      <c r="G134" s="62">
        <v>1</v>
      </c>
      <c r="H134" s="64">
        <f t="shared" si="100"/>
        <v>0</v>
      </c>
      <c r="I134" s="64"/>
      <c r="J134" s="64"/>
      <c r="K134" s="65">
        <f t="shared" si="116"/>
        <v>0</v>
      </c>
      <c r="L134" s="65">
        <f t="shared" si="102"/>
        <v>0</v>
      </c>
      <c r="M134" s="65">
        <f t="shared" si="103"/>
        <v>0</v>
      </c>
      <c r="N134" s="65">
        <f t="shared" si="104"/>
        <v>0</v>
      </c>
      <c r="O134" s="66" t="str">
        <f t="shared" si="105"/>
        <v>✕</v>
      </c>
      <c r="P134" s="67" t="str">
        <f t="shared" si="106"/>
        <v>○</v>
      </c>
      <c r="Q134" s="67" t="str">
        <f t="shared" si="117"/>
        <v>✕</v>
      </c>
      <c r="R134" s="67" t="str">
        <f t="shared" si="108"/>
        <v>✕</v>
      </c>
      <c r="S134" s="68">
        <v>0</v>
      </c>
      <c r="T134" s="69" t="s">
        <v>85</v>
      </c>
      <c r="U134" s="69" t="s">
        <v>85</v>
      </c>
      <c r="V134" s="69" t="s">
        <v>85</v>
      </c>
      <c r="W134" s="69" t="s">
        <v>85</v>
      </c>
      <c r="X134" s="69" t="s">
        <v>84</v>
      </c>
      <c r="Y134" s="69" t="s">
        <v>85</v>
      </c>
      <c r="Z134" s="69" t="s">
        <v>85</v>
      </c>
      <c r="AA134" s="69" t="s">
        <v>85</v>
      </c>
      <c r="AB134" s="69" t="s">
        <v>85</v>
      </c>
      <c r="AC134" s="69" t="s">
        <v>85</v>
      </c>
      <c r="AD134" s="38" t="str">
        <f>+IF(ISERROR(VLOOKUP($B134,AD$10:AD133,1,0)),IF(AND($N134&gt;=1000,$A134&gt;=AO$8,$A134&lt;=AO$9),$B134,""),"")</f>
        <v/>
      </c>
      <c r="AE134" s="38" t="str">
        <f>+IF(ISERROR(VLOOKUP($B134,AE$10:AE133,1,0)),IF(AND($N134&gt;=1000,$A134&gt;=AP$8,$A134&lt;=AP$9),$B134,""),"")</f>
        <v/>
      </c>
      <c r="AF134" s="38" t="str">
        <f>+IF(ISERROR(VLOOKUP($B134,AF$10:AF133,1,0)),IF(AND($N134&gt;=1000,$A134&gt;=AQ$8,$A134&lt;=AQ$9),$B134,""),"")</f>
        <v/>
      </c>
      <c r="AG134" s="38" t="str">
        <f>+IF(ISERROR(VLOOKUP($B134,AG$10:AG133,1,0)),IF(AND($N134&gt;=1000,$A134&gt;=AR$8,$A134&lt;=AR$9),$B134,""),"")</f>
        <v/>
      </c>
      <c r="AH134" s="38"/>
      <c r="AI134" s="70">
        <v>0</v>
      </c>
      <c r="AJ134" s="38">
        <f>IF(AND(AJ$7="○",$A134&gt;=AJ$8,$A134&lt;=AJ$9),IF(SUM(AJ$10:AJ133)-ROUNDDOWN($K134*AJ$5/100,0)&lt;-AJ$6,-AJ$6-SUM(AJ$10:AJ133),-ROUNDDOWN($K134*AJ$5/100,0)),0)</f>
        <v>0</v>
      </c>
      <c r="AK134" s="38">
        <f>IF(AND(AK$7="○",$A134&gt;=AK$8,$A134&lt;=AK$9),IF(SUM(AK$10:AK133)-ROUNDDOWN($L134*AK$5/100,0)&lt;-AK$6,-AK$6-SUM(AK$10:AK133),-ROUNDDOWN($L134*AK$5/100,0)),0)</f>
        <v>0</v>
      </c>
      <c r="AL134" s="38">
        <f>IF(AND(AL$7="○",$A134&gt;=AL$8,$A134&lt;=AL$9),IF(SUM(AL$10:AL133)-ROUNDDOWN($N134*AL$5/100,0)&lt;-AL$6,-AL$6-SUM(AL$10:AL133),-ROUNDDOWN($N134*AL$5/100,0)),0)</f>
        <v>0</v>
      </c>
      <c r="AM134" s="38">
        <f>IF(AND(AM$7="○",$A134&gt;=AM$8,$A134&lt;=AM$9),IF(SUM(AM$10:AM133)-ROUNDDOWN($L134*AM$5/100,0)&lt;-AM$6,-AM$6-SUM(AM$10:AM133),-ROUNDDOWN($L134*AM$5/100,0)),0)</f>
        <v>0</v>
      </c>
      <c r="AN134" s="38">
        <f>IF(AND(AN$7="○",$A134&gt;=AN$8,$A134&lt;=AN$9),IF(SUM(AN$10:AN133)-ROUNDDOWN($M134*AN$5/100,0)&lt;-AN$6,-AN$6-SUM(AN$10:AN133),-ROUNDDOWN($M134*AN$5/100,0)),0)</f>
        <v>0</v>
      </c>
      <c r="AO134" s="38">
        <f>IF(AND($A134&gt;=AO$8,$A134&lt;=AO$9),IF(SUM(AO$10:AO133)-ROUNDDOWN($K134*AO$5/100,0)&lt;-AO$6,-AO$6-SUM(AO$10:AO133),-ROUNDDOWN($K134*AO$5/100,0)),0)</f>
        <v>0</v>
      </c>
      <c r="AP134" s="38">
        <f>IF(AND($A134&gt;=AP$8,$A134&lt;=AP$9),IF(SUM(AP$10:AP133)-ROUNDDOWN($K134*AP$5/100,0)&lt;-AP$6,-AP$6-SUM(AP$10:AP133),-ROUNDDOWN($K134*AP$5/100,0)),0)</f>
        <v>0</v>
      </c>
      <c r="AQ134" s="38">
        <f>IF(AND($A134&gt;=AQ$8,$A134&lt;=AQ$9),IF(SUM(AQ$10:AQ133)-ROUNDDOWN($K134*AQ$5/100,0)&lt;-AQ$6,-AQ$6-SUM(AQ$10:AQ133),-ROUNDDOWN($K134*AQ$5/100,0)),0)</f>
        <v>0</v>
      </c>
      <c r="AR134" s="38">
        <f>IF(AND($A134&gt;=AR$8,$A134&lt;=AR$9),IF(SUM(AR$10:AR133)-ROUNDDOWN($K134*AR$5/100,0)&lt;-AR$6,-AR$6-SUM(AR$10:AR133),-ROUNDDOWN($K134*AR$5/100,0)),0)</f>
        <v>0</v>
      </c>
      <c r="AS134" s="38">
        <f>IF(SUMIFS(AS$10:AS133,$A$10:$A133,$A134)-ROUNDDOWN($K134*$S134/100,0)&lt;-$S134*1000,-$S134*1000-SUMIFS(AS$10:AS133,$A$10:$A133,$A134),-ROUNDDOWN($K134*$S134/100,0))</f>
        <v>0</v>
      </c>
      <c r="AT134" s="38">
        <f>IF(AND(X134="○",$A134&gt;=AT$8,$A134&lt;=AT$9,K134&gt;=3980),IF(SUM(AT$10:AT133)-ROUNDDOWN($K134*AT$5/100,0)&lt;-AT$6,-AT$6-SUM(AT$10:AT133),-ROUNDDOWN($K134*AT$5/100,0)),0)</f>
        <v>0</v>
      </c>
      <c r="AU134" s="38">
        <f>IF(O134="○",IF(SUM(AU$10:AU133)-ROUNDDOWN($K134*AU$5/100,0)&lt;-AU$6,-AU$6-SUM(AU$10:AU133),-ROUNDDOWN($K134*AU$5/100,0)),0)</f>
        <v>0</v>
      </c>
      <c r="AV134" s="38">
        <f>IF(P134="○",IF(SUM(AV$10:AV133)-ROUNDDOWN($K134*AV$5/100,0)&lt;-AV$6,-AV$6-SUM(AV$10:AV133),-ROUNDDOWN($K134*AV$5/100,0)),0)</f>
        <v>0</v>
      </c>
      <c r="AW134" s="38">
        <f>IF(Q134="○",IF(SUM(AW$10:AW133)-ROUNDDOWN($K134*AW$5/100,0)&lt;-AW$6,-AW$6-SUM(AW$10:AW133),-ROUNDDOWN($K134*AW$5/100,0)),0)</f>
        <v>0</v>
      </c>
      <c r="AX134" s="38">
        <f>IF(R134="○",IF(SUM(AX$10:AX133)-ROUNDDOWN($K134*AX$5/100,0)&lt;-AX$6,-AX$6-SUM(AX$10:AX133),-ROUNDDOWN($K134*AX$5/100,0)),0)</f>
        <v>0</v>
      </c>
      <c r="AY134" s="70">
        <v>0</v>
      </c>
      <c r="AZ134" s="65">
        <f t="shared" si="88"/>
        <v>0</v>
      </c>
      <c r="BA134" s="65">
        <f t="shared" si="89"/>
        <v>0</v>
      </c>
      <c r="BB134" s="70"/>
      <c r="BC134" s="65">
        <f t="shared" si="90"/>
        <v>0</v>
      </c>
      <c r="BD134" s="70">
        <v>0</v>
      </c>
      <c r="BE134" s="65">
        <f t="shared" si="91"/>
        <v>0</v>
      </c>
      <c r="BF134" s="70">
        <v>0</v>
      </c>
      <c r="BG134" s="65">
        <f t="shared" si="92"/>
        <v>0</v>
      </c>
      <c r="BH134" s="70">
        <v>0</v>
      </c>
      <c r="BI134" s="65">
        <f t="shared" si="93"/>
        <v>0</v>
      </c>
      <c r="BJ134" s="38">
        <f>IF(AND(BJ$7="○",$A134&gt;=BJ$8,$A134&lt;=BJ$9),IF(SUM(BJ$10:BJ133)-ROUNDDOWN($M134*BJ$5/100,0)&lt;-BJ$6,-BJ$6-SUM(BJ$10:BJ133),-ROUNDDOWN($M134*BJ$5/100,0)),0)</f>
        <v>0</v>
      </c>
      <c r="BK134" s="38">
        <f>IF(AND(BK$7="○",$A134&gt;=BK$8,$A134&lt;=BK$9),IF(SUM(BK$10:BK133)-ROUNDDOWN($L134*BK$5/100,0)&lt;-BK$6,-BK$6-SUM(BK$10:BK133),-ROUNDDOWN($L134*BK$5/100,0)),0)</f>
        <v>0</v>
      </c>
      <c r="BL134" s="38">
        <f>IF(AND(BL$7="○",$A134&gt;=BL$8,$A134&lt;=BL$9),IF(SUM(BL$10:BL133)-ROUNDDOWN($L134*BL$5/100,0)&lt;-BL$6,-BL$6-SUM(BL$10:BL133),-ROUNDDOWN($L134*BL$5/100,0)),0)</f>
        <v>0</v>
      </c>
      <c r="BM134" s="38">
        <f>IF(AND(BM$7="○",$A134&gt;=BM$8,$A134&lt;=BM$9),IF(SUM(BM$10:BM133)-ROUNDDOWN($M134*BM$5/100,0)&lt;-BM$6,-BM$6-SUM(BM$10:BM133),-ROUNDDOWN($M134*BM$5/100,0)),0)</f>
        <v>0</v>
      </c>
      <c r="BN134" s="38">
        <f>IF(AND(BN$7="○",$A134&gt;=BN$8,$A134&lt;=BN$9),IF(SUM(BN$10:BN133)-ROUNDDOWN($M134*BN$5/100,0)&lt;-BN$6,-BN$6-SUM(BN$10:BN133),-ROUNDDOWN($M134*BN$5/100,0)),0)</f>
        <v>0</v>
      </c>
      <c r="BO134" s="38">
        <f>IF(AND(BO$7="○",$A134&gt;=BO$8,$A134&lt;=BO$9),IF(SUM(BO$10:BO133)-ROUNDDOWN($M134*BO$5/100,0)&lt;-BO$6,-BO$6-SUM(BO$10:BO133),-ROUNDDOWN($M134*BO$5/100,0)),0)</f>
        <v>0</v>
      </c>
      <c r="BP134" s="38">
        <f>IF(AND(BP$7="○",$A134&gt;=BP$8,$A134&lt;=BP$9),IF(SUM(BP$10:BP133)-ROUNDDOWN($M134*BP$5/100,0)&lt;-BP$6,-BP$6-SUM(BP$10:BP133),-ROUNDDOWN($M134*BP$5/100,0)),0)</f>
        <v>0</v>
      </c>
      <c r="BQ134" s="38">
        <f>IF(AND(BQ$7="○",$A134&gt;=BQ$8,$A134&lt;=BQ$9),IF(SUM(BQ$10:BQ133)-ROUNDDOWN($L134*BQ$5/100,0)&lt;-BQ$6,-BQ$6-SUM(BQ$10:BQ133),-ROUNDDOWN($L134*BQ$5/100,0)),0)</f>
        <v>0</v>
      </c>
      <c r="BR134" s="38">
        <f>IF(AND(BR$7="○",$A134&gt;=BR$8,$A134&lt;=BR$9),IF(SUM(BR$10:BR133)-ROUNDDOWN($M134*BR$5/100,0)&lt;-BR$6,-BR$6-SUM(BR$10:BR133),-ROUNDDOWN($M134*BR$5/100,0)),0)</f>
        <v>0</v>
      </c>
      <c r="BS134" s="38">
        <f>IF(AND(BS$7="○",$A134&gt;=BS$8,$A134&lt;=BS$9),IF(SUM(BS$10:BS133)-ROUNDDOWN($M134*BS$5/100,0)&lt;-BS$6,-BS$6-SUM(BS$10:BS133),-ROUNDDOWN($M134*BS$5/100,0)),0)</f>
        <v>0</v>
      </c>
      <c r="BT134" s="38">
        <f>IF(AND(BT$7="○",$A134&gt;=BT$8,$A134&lt;=BT$9),IF(SUM(BT$10:BT133)-ROUNDDOWN($M134*BT$5/100,0)&lt;-BT$6,-BT$6-SUM(BT$10:BT133),-ROUNDDOWN($M134*BT$5/100,0)),0)</f>
        <v>0</v>
      </c>
      <c r="BU134" s="38">
        <f>IF(AND(BU$7="○",$A134&gt;=BU$8,$A134&lt;=BU$9),IF(SUM(BU$10:BU133)-ROUNDDOWN($M134*BU$5/100,0)&lt;-BU$6,-BU$6-SUM(BU$10:BU133),-ROUNDDOWN($M134*BU$5/100,0)),0)</f>
        <v>0</v>
      </c>
      <c r="BV134" s="38">
        <f>IF(AND(BV$7="○",$A134&gt;=BV$8,$A134&lt;=BV$9),IF(SUM(BV$10:BV133)-ROUNDDOWN($M134*BV$5/100,0)&lt;-BV$6,-BV$6-SUM(BV$10:BV133),-ROUNDDOWN($M134*BV$5/100,0)),0)</f>
        <v>0</v>
      </c>
      <c r="BW134" s="38">
        <f>IF(AND(BW$7="○",$A134&gt;=BW$8,$A134&lt;=BW$9),IF(SUM(BW$10:BW133)-ROUNDDOWN($M134*BW$5/100,0)&lt;-BW$6,-BW$6-SUM(BW$10:BW133),-ROUNDDOWN($M134*BW$5/100,0)),0)</f>
        <v>0</v>
      </c>
      <c r="BX134" s="38">
        <f>IF(AND(T134="○",$A134&gt;=BX$8,$A134&lt;=BX$9),IF(SUM(BX$10:BX133)-ROUNDDOWN($K134*BX$5/100,0)&lt;-BX$6,-BX$6-SUM(BX$10:BX133),-ROUNDDOWN($K134*BX$5/100,0)),0)</f>
        <v>0</v>
      </c>
      <c r="BY134" s="38">
        <f>IF(AND(U134="○",$A134&gt;=BY$8,$A134&lt;=BY$9),IF(SUM(BY$10:BY133)-ROUNDDOWN($K134*BY$5/100,0)&lt;-BY$6,-BY$6-SUM(BY$10:BY133),-ROUNDDOWN($K134*BY$5/100,0)),0)</f>
        <v>0</v>
      </c>
      <c r="BZ134" s="38">
        <f>IF(AND(V134="○",$A134&gt;=BZ$8,$A134&lt;=BZ$9),IF(SUM(BZ$10:BZ133)-ROUNDDOWN($K134*BZ$5/100,0)&lt;-BZ$6,-BZ$6-SUM(BZ$10:BZ133),-ROUNDDOWN($K134*BZ$5/100,0)),0)</f>
        <v>0</v>
      </c>
      <c r="CA134" s="38">
        <f>IF(AND(W134="○",$A134&gt;=CA$8,$A134&lt;=CA$9),IF(SUM(CA$10:CA133)-ROUNDDOWN($K134*CA$5/100,0)&lt;-CA$6,-CA$6-SUM(CA$10:CA133),-ROUNDDOWN($K134*CA$5/100,0)),0)</f>
        <v>0</v>
      </c>
      <c r="CB134" s="38"/>
      <c r="CC134" s="38"/>
      <c r="CD134" s="38"/>
      <c r="CE134" s="38"/>
      <c r="CF134" s="38"/>
      <c r="CG134" s="65">
        <f t="shared" si="94"/>
        <v>0</v>
      </c>
      <c r="CH134" s="71">
        <f t="shared" si="95"/>
        <v>0</v>
      </c>
      <c r="CI134" s="1">
        <f t="shared" si="109"/>
        <v>0</v>
      </c>
      <c r="CJ134" s="1"/>
      <c r="CK134" s="79"/>
      <c r="CL134" s="79"/>
      <c r="CM134" s="2"/>
      <c r="CN134" s="2"/>
      <c r="CO134" s="73">
        <f t="shared" si="110"/>
        <v>0</v>
      </c>
      <c r="CP134" s="5">
        <f t="shared" si="111"/>
        <v>0</v>
      </c>
      <c r="CQ134" s="1"/>
      <c r="CR134" s="1">
        <f t="shared" si="112"/>
        <v>0</v>
      </c>
      <c r="CS134" s="1"/>
      <c r="CT134" s="1" t="e">
        <f>INDEX([2]マスタ!$A:$A,MATCH(D134,[2]マスタ!$C:$C,0))</f>
        <v>#N/A</v>
      </c>
      <c r="CU134" s="1" t="str">
        <f t="shared" ca="1" si="113"/>
        <v>20260620_0-0</v>
      </c>
    </row>
    <row r="135" spans="1:99" x14ac:dyDescent="0.4">
      <c r="A135" s="61"/>
      <c r="B135" s="62"/>
      <c r="C135" s="62"/>
      <c r="D135" s="62"/>
      <c r="E135" s="63"/>
      <c r="F135" s="62"/>
      <c r="G135" s="62">
        <v>1</v>
      </c>
      <c r="H135" s="64">
        <f t="shared" si="100"/>
        <v>0</v>
      </c>
      <c r="I135" s="64"/>
      <c r="J135" s="64"/>
      <c r="K135" s="65">
        <f t="shared" si="116"/>
        <v>0</v>
      </c>
      <c r="L135" s="65">
        <f t="shared" si="102"/>
        <v>0</v>
      </c>
      <c r="M135" s="65">
        <f t="shared" si="103"/>
        <v>0</v>
      </c>
      <c r="N135" s="65">
        <f t="shared" si="104"/>
        <v>0</v>
      </c>
      <c r="O135" s="66" t="str">
        <f t="shared" si="105"/>
        <v>✕</v>
      </c>
      <c r="P135" s="67" t="str">
        <f t="shared" si="106"/>
        <v>○</v>
      </c>
      <c r="Q135" s="67" t="str">
        <f t="shared" si="117"/>
        <v>✕</v>
      </c>
      <c r="R135" s="67" t="str">
        <f t="shared" si="108"/>
        <v>✕</v>
      </c>
      <c r="S135" s="68">
        <v>0</v>
      </c>
      <c r="T135" s="69" t="s">
        <v>85</v>
      </c>
      <c r="U135" s="69" t="s">
        <v>85</v>
      </c>
      <c r="V135" s="69" t="s">
        <v>85</v>
      </c>
      <c r="W135" s="69" t="s">
        <v>85</v>
      </c>
      <c r="X135" s="69" t="s">
        <v>84</v>
      </c>
      <c r="Y135" s="69" t="s">
        <v>85</v>
      </c>
      <c r="Z135" s="69" t="s">
        <v>85</v>
      </c>
      <c r="AA135" s="69" t="s">
        <v>85</v>
      </c>
      <c r="AB135" s="69" t="s">
        <v>85</v>
      </c>
      <c r="AC135" s="69" t="s">
        <v>85</v>
      </c>
      <c r="AD135" s="38" t="str">
        <f>+IF(ISERROR(VLOOKUP($B135,AD$10:AD134,1,0)),IF(AND($N135&gt;=1000,$A135&gt;=AO$8,$A135&lt;=AO$9),$B135,""),"")</f>
        <v/>
      </c>
      <c r="AE135" s="38" t="str">
        <f>+IF(ISERROR(VLOOKUP($B135,AE$10:AE134,1,0)),IF(AND($N135&gt;=1000,$A135&gt;=AP$8,$A135&lt;=AP$9),$B135,""),"")</f>
        <v/>
      </c>
      <c r="AF135" s="38" t="str">
        <f>+IF(ISERROR(VLOOKUP($B135,AF$10:AF134,1,0)),IF(AND($N135&gt;=1000,$A135&gt;=AQ$8,$A135&lt;=AQ$9),$B135,""),"")</f>
        <v/>
      </c>
      <c r="AG135" s="38" t="str">
        <f>+IF(ISERROR(VLOOKUP($B135,AG$10:AG134,1,0)),IF(AND($N135&gt;=1000,$A135&gt;=AR$8,$A135&lt;=AR$9),$B135,""),"")</f>
        <v/>
      </c>
      <c r="AH135" s="38"/>
      <c r="AI135" s="70">
        <v>0</v>
      </c>
      <c r="AJ135" s="38">
        <f>IF(AND(AJ$7="○",$A135&gt;=AJ$8,$A135&lt;=AJ$9),IF(SUM(AJ$10:AJ134)-ROUNDDOWN($K135*AJ$5/100,0)&lt;-AJ$6,-AJ$6-SUM(AJ$10:AJ134),-ROUNDDOWN($K135*AJ$5/100,0)),0)</f>
        <v>0</v>
      </c>
      <c r="AK135" s="38">
        <f>IF(AND(AK$7="○",$A135&gt;=AK$8,$A135&lt;=AK$9),IF(SUM(AK$10:AK134)-ROUNDDOWN($L135*AK$5/100,0)&lt;-AK$6,-AK$6-SUM(AK$10:AK134),-ROUNDDOWN($L135*AK$5/100,0)),0)</f>
        <v>0</v>
      </c>
      <c r="AL135" s="38">
        <f>IF(AND(AL$7="○",$A135&gt;=AL$8,$A135&lt;=AL$9),IF(SUM(AL$10:AL134)-ROUNDDOWN($N135*AL$5/100,0)&lt;-AL$6,-AL$6-SUM(AL$10:AL134),-ROUNDDOWN($N135*AL$5/100,0)),0)</f>
        <v>0</v>
      </c>
      <c r="AM135" s="38">
        <f>IF(AND(AM$7="○",$A135&gt;=AM$8,$A135&lt;=AM$9),IF(SUM(AM$10:AM134)-ROUNDDOWN($L135*AM$5/100,0)&lt;-AM$6,-AM$6-SUM(AM$10:AM134),-ROUNDDOWN($L135*AM$5/100,0)),0)</f>
        <v>0</v>
      </c>
      <c r="AN135" s="38">
        <f>IF(AND(AN$7="○",$A135&gt;=AN$8,$A135&lt;=AN$9),IF(SUM(AN$10:AN134)-ROUNDDOWN($M135*AN$5/100,0)&lt;-AN$6,-AN$6-SUM(AN$10:AN134),-ROUNDDOWN($M135*AN$5/100,0)),0)</f>
        <v>0</v>
      </c>
      <c r="AO135" s="38">
        <f>IF(AND($A135&gt;=AO$8,$A135&lt;=AO$9),IF(SUM(AO$10:AO134)-ROUNDDOWN($K135*AO$5/100,0)&lt;-AO$6,-AO$6-SUM(AO$10:AO134),-ROUNDDOWN($K135*AO$5/100,0)),0)</f>
        <v>0</v>
      </c>
      <c r="AP135" s="38">
        <f>IF(AND($A135&gt;=AP$8,$A135&lt;=AP$9),IF(SUM(AP$10:AP134)-ROUNDDOWN($K135*AP$5/100,0)&lt;-AP$6,-AP$6-SUM(AP$10:AP134),-ROUNDDOWN($K135*AP$5/100,0)),0)</f>
        <v>0</v>
      </c>
      <c r="AQ135" s="38">
        <f>IF(AND($A135&gt;=AQ$8,$A135&lt;=AQ$9),IF(SUM(AQ$10:AQ134)-ROUNDDOWN($K135*AQ$5/100,0)&lt;-AQ$6,-AQ$6-SUM(AQ$10:AQ134),-ROUNDDOWN($K135*AQ$5/100,0)),0)</f>
        <v>0</v>
      </c>
      <c r="AR135" s="38">
        <f>IF(AND($A135&gt;=AR$8,$A135&lt;=AR$9),IF(SUM(AR$10:AR134)-ROUNDDOWN($K135*AR$5/100,0)&lt;-AR$6,-AR$6-SUM(AR$10:AR134),-ROUNDDOWN($K135*AR$5/100,0)),0)</f>
        <v>0</v>
      </c>
      <c r="AS135" s="38">
        <f>IF(SUMIFS(AS$10:AS134,$A$10:$A134,$A135)-ROUNDDOWN($K135*$S135/100,0)&lt;-$S135*1000,-$S135*1000-SUMIFS(AS$10:AS134,$A$10:$A134,$A135),-ROUNDDOWN($K135*$S135/100,0))</f>
        <v>0</v>
      </c>
      <c r="AT135" s="38">
        <f>IF(AND(X135="○",$A135&gt;=AT$8,$A135&lt;=AT$9,K135&gt;=3980),IF(SUM(AT$10:AT134)-ROUNDDOWN($K135*AT$5/100,0)&lt;-AT$6,-AT$6-SUM(AT$10:AT134),-ROUNDDOWN($K135*AT$5/100,0)),0)</f>
        <v>0</v>
      </c>
      <c r="AU135" s="38">
        <f>IF(O135="○",IF(SUM(AU$10:AU134)-ROUNDDOWN($K135*AU$5/100,0)&lt;-AU$6,-AU$6-SUM(AU$10:AU134),-ROUNDDOWN($K135*AU$5/100,0)),0)</f>
        <v>0</v>
      </c>
      <c r="AV135" s="38">
        <f>IF(P135="○",IF(SUM(AV$10:AV134)-ROUNDDOWN($K135*AV$5/100,0)&lt;-AV$6,-AV$6-SUM(AV$10:AV134),-ROUNDDOWN($K135*AV$5/100,0)),0)</f>
        <v>0</v>
      </c>
      <c r="AW135" s="38">
        <f>IF(Q135="○",IF(SUM(AW$10:AW134)-ROUNDDOWN($K135*AW$5/100,0)&lt;-AW$6,-AW$6-SUM(AW$10:AW134),-ROUNDDOWN($K135*AW$5/100,0)),0)</f>
        <v>0</v>
      </c>
      <c r="AX135" s="38">
        <f>IF(R135="○",IF(SUM(AX$10:AX134)-ROUNDDOWN($K135*AX$5/100,0)&lt;-AX$6,-AX$6-SUM(AX$10:AX134),-ROUNDDOWN($K135*AX$5/100,0)),0)</f>
        <v>0</v>
      </c>
      <c r="AY135" s="70">
        <v>0</v>
      </c>
      <c r="AZ135" s="65">
        <f t="shared" si="88"/>
        <v>0</v>
      </c>
      <c r="BA135" s="65">
        <f t="shared" si="89"/>
        <v>0</v>
      </c>
      <c r="BB135" s="70"/>
      <c r="BC135" s="65">
        <f t="shared" si="90"/>
        <v>0</v>
      </c>
      <c r="BD135" s="70">
        <v>0</v>
      </c>
      <c r="BE135" s="65">
        <f t="shared" si="91"/>
        <v>0</v>
      </c>
      <c r="BF135" s="70">
        <v>0</v>
      </c>
      <c r="BG135" s="65">
        <f t="shared" si="92"/>
        <v>0</v>
      </c>
      <c r="BH135" s="70">
        <v>0</v>
      </c>
      <c r="BI135" s="65">
        <f t="shared" si="93"/>
        <v>0</v>
      </c>
      <c r="BJ135" s="38">
        <f>IF(AND(BJ$7="○",$A135&gt;=BJ$8,$A135&lt;=BJ$9),IF(SUM(BJ$10:BJ134)-ROUNDDOWN($M135*BJ$5/100,0)&lt;-BJ$6,-BJ$6-SUM(BJ$10:BJ134),-ROUNDDOWN($M135*BJ$5/100,0)),0)</f>
        <v>0</v>
      </c>
      <c r="BK135" s="38">
        <f>IF(AND(BK$7="○",$A135&gt;=BK$8,$A135&lt;=BK$9),IF(SUM(BK$10:BK134)-ROUNDDOWN($L135*BK$5/100,0)&lt;-BK$6,-BK$6-SUM(BK$10:BK134),-ROUNDDOWN($L135*BK$5/100,0)),0)</f>
        <v>0</v>
      </c>
      <c r="BL135" s="38">
        <f>IF(AND(BL$7="○",$A135&gt;=BL$8,$A135&lt;=BL$9),IF(SUM(BL$10:BL134)-ROUNDDOWN($L135*BL$5/100,0)&lt;-BL$6,-BL$6-SUM(BL$10:BL134),-ROUNDDOWN($L135*BL$5/100,0)),0)</f>
        <v>0</v>
      </c>
      <c r="BM135" s="38">
        <f>IF(AND(BM$7="○",$A135&gt;=BM$8,$A135&lt;=BM$9),IF(SUM(BM$10:BM134)-ROUNDDOWN($M135*BM$5/100,0)&lt;-BM$6,-BM$6-SUM(BM$10:BM134),-ROUNDDOWN($M135*BM$5/100,0)),0)</f>
        <v>0</v>
      </c>
      <c r="BN135" s="38">
        <f>IF(AND(BN$7="○",$A135&gt;=BN$8,$A135&lt;=BN$9),IF(SUM(BN$10:BN134)-ROUNDDOWN($M135*BN$5/100,0)&lt;-BN$6,-BN$6-SUM(BN$10:BN134),-ROUNDDOWN($M135*BN$5/100,0)),0)</f>
        <v>0</v>
      </c>
      <c r="BO135" s="38">
        <f>IF(AND(BO$7="○",$A135&gt;=BO$8,$A135&lt;=BO$9),IF(SUM(BO$10:BO134)-ROUNDDOWN($M135*BO$5/100,0)&lt;-BO$6,-BO$6-SUM(BO$10:BO134),-ROUNDDOWN($M135*BO$5/100,0)),0)</f>
        <v>0</v>
      </c>
      <c r="BP135" s="38">
        <f>IF(AND(BP$7="○",$A135&gt;=BP$8,$A135&lt;=BP$9),IF(SUM(BP$10:BP134)-ROUNDDOWN($M135*BP$5/100,0)&lt;-BP$6,-BP$6-SUM(BP$10:BP134),-ROUNDDOWN($M135*BP$5/100,0)),0)</f>
        <v>0</v>
      </c>
      <c r="BQ135" s="38">
        <f>IF(AND(BQ$7="○",$A135&gt;=BQ$8,$A135&lt;=BQ$9),IF(SUM(BQ$10:BQ134)-ROUNDDOWN($L135*BQ$5/100,0)&lt;-BQ$6,-BQ$6-SUM(BQ$10:BQ134),-ROUNDDOWN($L135*BQ$5/100,0)),0)</f>
        <v>0</v>
      </c>
      <c r="BR135" s="38">
        <f>IF(AND(BR$7="○",$A135&gt;=BR$8,$A135&lt;=BR$9),IF(SUM(BR$10:BR134)-ROUNDDOWN($M135*BR$5/100,0)&lt;-BR$6,-BR$6-SUM(BR$10:BR134),-ROUNDDOWN($M135*BR$5/100,0)),0)</f>
        <v>0</v>
      </c>
      <c r="BS135" s="38">
        <f>IF(AND(BS$7="○",$A135&gt;=BS$8,$A135&lt;=BS$9),IF(SUM(BS$10:BS134)-ROUNDDOWN($M135*BS$5/100,0)&lt;-BS$6,-BS$6-SUM(BS$10:BS134),-ROUNDDOWN($M135*BS$5/100,0)),0)</f>
        <v>0</v>
      </c>
      <c r="BT135" s="38">
        <f>IF(AND(BT$7="○",$A135&gt;=BT$8,$A135&lt;=BT$9),IF(SUM(BT$10:BT134)-ROUNDDOWN($M135*BT$5/100,0)&lt;-BT$6,-BT$6-SUM(BT$10:BT134),-ROUNDDOWN($M135*BT$5/100,0)),0)</f>
        <v>0</v>
      </c>
      <c r="BU135" s="38">
        <f>IF(AND(BU$7="○",$A135&gt;=BU$8,$A135&lt;=BU$9),IF(SUM(BU$10:BU134)-ROUNDDOWN($M135*BU$5/100,0)&lt;-BU$6,-BU$6-SUM(BU$10:BU134),-ROUNDDOWN($M135*BU$5/100,0)),0)</f>
        <v>0</v>
      </c>
      <c r="BV135" s="38">
        <f>IF(AND(BV$7="○",$A135&gt;=BV$8,$A135&lt;=BV$9),IF(SUM(BV$10:BV134)-ROUNDDOWN($M135*BV$5/100,0)&lt;-BV$6,-BV$6-SUM(BV$10:BV134),-ROUNDDOWN($M135*BV$5/100,0)),0)</f>
        <v>0</v>
      </c>
      <c r="BW135" s="38">
        <f>IF(AND(BW$7="○",$A135&gt;=BW$8,$A135&lt;=BW$9),IF(SUM(BW$10:BW134)-ROUNDDOWN($M135*BW$5/100,0)&lt;-BW$6,-BW$6-SUM(BW$10:BW134),-ROUNDDOWN($M135*BW$5/100,0)),0)</f>
        <v>0</v>
      </c>
      <c r="BX135" s="38">
        <f>IF(AND(T135="○",$A135&gt;=BX$8,$A135&lt;=BX$9),IF(SUM(BX$10:BX134)-ROUNDDOWN($K135*BX$5/100,0)&lt;-BX$6,-BX$6-SUM(BX$10:BX134),-ROUNDDOWN($K135*BX$5/100,0)),0)</f>
        <v>0</v>
      </c>
      <c r="BY135" s="38">
        <f>IF(AND(U135="○",$A135&gt;=BY$8,$A135&lt;=BY$9),IF(SUM(BY$10:BY134)-ROUNDDOWN($K135*BY$5/100,0)&lt;-BY$6,-BY$6-SUM(BY$10:BY134),-ROUNDDOWN($K135*BY$5/100,0)),0)</f>
        <v>0</v>
      </c>
      <c r="BZ135" s="38">
        <f>IF(AND(V135="○",$A135&gt;=BZ$8,$A135&lt;=BZ$9),IF(SUM(BZ$10:BZ134)-ROUNDDOWN($K135*BZ$5/100,0)&lt;-BZ$6,-BZ$6-SUM(BZ$10:BZ134),-ROUNDDOWN($K135*BZ$5/100,0)),0)</f>
        <v>0</v>
      </c>
      <c r="CA135" s="38">
        <f>IF(AND(W135="○",$A135&gt;=CA$8,$A135&lt;=CA$9),IF(SUM(CA$10:CA134)-ROUNDDOWN($K135*CA$5/100,0)&lt;-CA$6,-CA$6-SUM(CA$10:CA134),-ROUNDDOWN($K135*CA$5/100,0)),0)</f>
        <v>0</v>
      </c>
      <c r="CB135" s="38"/>
      <c r="CC135" s="38"/>
      <c r="CD135" s="38"/>
      <c r="CE135" s="38"/>
      <c r="CF135" s="38"/>
      <c r="CG135" s="65">
        <f t="shared" si="94"/>
        <v>0</v>
      </c>
      <c r="CH135" s="71">
        <f t="shared" si="95"/>
        <v>0</v>
      </c>
      <c r="CI135" s="1">
        <f t="shared" si="109"/>
        <v>0</v>
      </c>
      <c r="CJ135" s="1"/>
      <c r="CK135" s="2"/>
      <c r="CL135" s="2"/>
      <c r="CM135" s="2"/>
      <c r="CN135" s="2"/>
      <c r="CO135" s="73">
        <f t="shared" si="110"/>
        <v>0</v>
      </c>
      <c r="CP135" s="5">
        <f t="shared" si="111"/>
        <v>0</v>
      </c>
      <c r="CQ135" s="1"/>
      <c r="CR135" s="1">
        <f t="shared" si="112"/>
        <v>0</v>
      </c>
      <c r="CS135" s="1"/>
      <c r="CT135" s="1" t="e">
        <f>INDEX([2]マスタ!$A:$A,MATCH(D135,[2]マスタ!$C:$C,0))</f>
        <v>#N/A</v>
      </c>
      <c r="CU135" s="1" t="str">
        <f t="shared" ca="1" si="113"/>
        <v>20260620_0-0</v>
      </c>
    </row>
    <row r="136" spans="1:99" x14ac:dyDescent="0.4">
      <c r="A136" s="61"/>
      <c r="B136" s="62"/>
      <c r="C136" s="62"/>
      <c r="D136" s="62"/>
      <c r="E136" s="74"/>
      <c r="F136" s="62"/>
      <c r="G136" s="62">
        <v>1</v>
      </c>
      <c r="H136" s="64">
        <f t="shared" ref="H136:H165" si="118">+F136*G136</f>
        <v>0</v>
      </c>
      <c r="I136" s="64"/>
      <c r="J136" s="64"/>
      <c r="K136" s="65">
        <f t="shared" ref="K136:K147" si="119">+ROUNDDOWN((H136+I136)/100,0)*100</f>
        <v>0</v>
      </c>
      <c r="L136" s="65">
        <f t="shared" ref="L136:L165" si="120">+ROUNDDOWN((H136+I136)/1.1/100,0)*100</f>
        <v>0</v>
      </c>
      <c r="M136" s="65">
        <f t="shared" ref="M136:M165" si="121">+ROUNDDOWN((H136+I136)/1.1/200,0)*200</f>
        <v>0</v>
      </c>
      <c r="N136" s="65">
        <f t="shared" ref="N136:N165" si="122">+H136+I136+J136</f>
        <v>0</v>
      </c>
      <c r="O136" s="66" t="str">
        <f t="shared" ref="O136:O165" si="123">IF(OR(WEEKDAY($A136,2)=2,WEEKDAY($A136,2)=4),"○","✕")</f>
        <v>✕</v>
      </c>
      <c r="P136" s="67" t="str">
        <f t="shared" ref="P136:P165" si="124">+IF(MOD(TEXT($A136,"DD"),5)=0,"○","✕")</f>
        <v>○</v>
      </c>
      <c r="Q136" s="67" t="str">
        <f t="shared" ref="Q136:Q147" si="125">+IF((TEXT($A136,"DD")+0)=1,"○","✕")</f>
        <v>✕</v>
      </c>
      <c r="R136" s="67" t="str">
        <f t="shared" ref="R136:R165" si="126">+IF((TEXT($A136,"DD")+0)=18,"○","✕")</f>
        <v>✕</v>
      </c>
      <c r="S136" s="68">
        <v>0</v>
      </c>
      <c r="T136" s="69" t="s">
        <v>85</v>
      </c>
      <c r="U136" s="69" t="s">
        <v>85</v>
      </c>
      <c r="V136" s="69" t="s">
        <v>85</v>
      </c>
      <c r="W136" s="69" t="s">
        <v>85</v>
      </c>
      <c r="X136" s="69" t="s">
        <v>84</v>
      </c>
      <c r="Y136" s="69" t="s">
        <v>85</v>
      </c>
      <c r="Z136" s="69" t="s">
        <v>85</v>
      </c>
      <c r="AA136" s="69" t="s">
        <v>85</v>
      </c>
      <c r="AB136" s="69" t="s">
        <v>85</v>
      </c>
      <c r="AC136" s="69" t="s">
        <v>85</v>
      </c>
      <c r="AD136" s="38" t="str">
        <f>+IF(ISERROR(VLOOKUP($B136,#REF!,1,0)),IF(AND($N136&gt;=1000,$A136&gt;=AO$8,$A136&lt;=AO$9),$B136,""),"")</f>
        <v/>
      </c>
      <c r="AE136" s="38" t="str">
        <f>+IF(ISERROR(VLOOKUP($B136,#REF!,1,0)),IF(AND($N136&gt;=1000,$A136&gt;=AP$8,$A136&lt;=AP$9),$B136,""),"")</f>
        <v/>
      </c>
      <c r="AF136" s="38" t="str">
        <f>+IF(ISERROR(VLOOKUP($B136,#REF!,1,0)),IF(AND($N136&gt;=1000,$A136&gt;=AQ$8,$A136&lt;=AQ$9),$B136,""),"")</f>
        <v/>
      </c>
      <c r="AG136" s="38" t="str">
        <f>+IF(ISERROR(VLOOKUP($B136,#REF!,1,0)),IF(AND($N136&gt;=1000,$A136&gt;=AR$8,$A136&lt;=AR$9),$B136,""),"")</f>
        <v/>
      </c>
      <c r="AH136" s="38"/>
      <c r="AI136" s="70">
        <v>0</v>
      </c>
      <c r="AJ136" s="38">
        <f>IF(AND(AJ$7="○",$A136&gt;=AJ$8,$A136&lt;=AJ$9),IF(SUM(AJ$10:AJ135)-ROUNDDOWN($K136*AJ$5/100,0)&lt;-AJ$6,-AJ$6-SUM(AJ$10:AJ135),-ROUNDDOWN($K136*AJ$5/100,0)),0)</f>
        <v>0</v>
      </c>
      <c r="AK136" s="38">
        <f>IF(AND(AK$7="○",$A136&gt;=AK$8,$A136&lt;=AK$9),IF(SUM(AK$10:AK135)-ROUNDDOWN($L136*AK$5/100,0)&lt;-AK$6,-AK$6-SUM(AK$10:AK135),-ROUNDDOWN($L136*AK$5/100,0)),0)</f>
        <v>0</v>
      </c>
      <c r="AL136" s="38">
        <f>IF(AND(AL$7="○",$A136&gt;=AL$8,$A136&lt;=AL$9),IF(SUM(AL$10:AL135)-ROUNDDOWN($N136*AL$5/100,0)&lt;-AL$6,-AL$6-SUM(AL$10:AL135),-ROUNDDOWN($N136*AL$5/100,0)),0)</f>
        <v>0</v>
      </c>
      <c r="AM136" s="38">
        <f>IF(AND(AM$7="○",$A136&gt;=AM$8,$A136&lt;=AM$9),IF(SUM(AM$10:AM135)-ROUNDDOWN($L136*AM$5/100,0)&lt;-AM$6,-AM$6-SUM(AM$10:AM135),-ROUNDDOWN($L136*AM$5/100,0)),0)</f>
        <v>0</v>
      </c>
      <c r="AN136" s="38">
        <f>IF(AND(AN$7="○",$A136&gt;=AN$8,$A136&lt;=AN$9),IF(SUM(AN$10:AN135)-ROUNDDOWN($M136*AN$5/100,0)&lt;-AN$6,-AN$6-SUM(AN$10:AN135),-ROUNDDOWN($M136*AN$5/100,0)),0)</f>
        <v>0</v>
      </c>
      <c r="AO136" s="38">
        <f>IF(AND($A136&gt;=AO$8,$A136&lt;=AO$9),IF(SUM(AO$10:AO135)-ROUNDDOWN($K136*AO$5/100,0)&lt;-AO$6,-AO$6-SUM(AO$10:AO135),-ROUNDDOWN($K136*AO$5/100,0)),0)</f>
        <v>0</v>
      </c>
      <c r="AP136" s="38">
        <f>IF(AND($A136&gt;=AP$8,$A136&lt;=AP$9),IF(SUM(AP$10:AP135)-ROUNDDOWN($K136*AP$5/100,0)&lt;-AP$6,-AP$6-SUM(AP$10:AP135),-ROUNDDOWN($K136*AP$5/100,0)),0)</f>
        <v>0</v>
      </c>
      <c r="AQ136" s="38">
        <f>IF(AND($A136&gt;=AQ$8,$A136&lt;=AQ$9),IF(SUM(AQ$10:AQ135)-ROUNDDOWN($K136*AQ$5/100,0)&lt;-AQ$6,-AQ$6-SUM(AQ$10:AQ135),-ROUNDDOWN($K136*AQ$5/100,0)),0)</f>
        <v>0</v>
      </c>
      <c r="AR136" s="38">
        <f>IF(AND($A136&gt;=AR$8,$A136&lt;=AR$9),IF(SUM(AR$10:AR135)-ROUNDDOWN($K136*AR$5/100,0)&lt;-AR$6,-AR$6-SUM(AR$10:AR135),-ROUNDDOWN($K136*AR$5/100,0)),0)</f>
        <v>0</v>
      </c>
      <c r="AS136" s="38">
        <f>IF(SUMIFS(AS$10:AS135,$A$10:$A135,$A136)-ROUNDDOWN($K136*$S136/100,0)&lt;-$S136*1000,-$S136*1000-SUMIFS(AS$10:AS135,$A$10:$A135,$A136),-ROUNDDOWN($K136*$S136/100,0))</f>
        <v>0</v>
      </c>
      <c r="AT136" s="38">
        <f>IF(AND(X136="○",$A136&gt;=AT$8,$A136&lt;=AT$9,K136&gt;=3980),IF(SUM(AT$10:AT135)-ROUNDDOWN($K136*AT$5/100,0)&lt;-AT$6,-AT$6-SUM(AT$10:AT135),-ROUNDDOWN($K136*AT$5/100,0)),0)</f>
        <v>0</v>
      </c>
      <c r="AU136" s="38">
        <f>IF(O136="○",IF(SUM(AU$10:AU135)-ROUNDDOWN($K136*AU$5/100,0)&lt;-AU$6,-AU$6-SUM(AU$10:AU135),-ROUNDDOWN($K136*AU$5/100,0)),0)</f>
        <v>0</v>
      </c>
      <c r="AV136" s="38">
        <f>IF(P136="○",IF(SUM(AV$10:AV135)-ROUNDDOWN($K136*AV$5/100,0)&lt;-AV$6,-AV$6-SUM(AV$10:AV135),-ROUNDDOWN($K136*AV$5/100,0)),0)</f>
        <v>0</v>
      </c>
      <c r="AW136" s="38">
        <f>IF(Q136="○",IF(SUM(AW$10:AW135)-ROUNDDOWN($K136*AW$5/100,0)&lt;-AW$6,-AW$6-SUM(AW$10:AW135),-ROUNDDOWN($K136*AW$5/100,0)),0)</f>
        <v>0</v>
      </c>
      <c r="AX136" s="38">
        <f>IF(R136="○",IF(SUM(AX$10:AX135)-ROUNDDOWN($K136*AX$5/100,0)&lt;-AX$6,-AX$6-SUM(AX$10:AX135),-ROUNDDOWN($K136*AX$5/100,0)),0)</f>
        <v>0</v>
      </c>
      <c r="AY136" s="70">
        <v>0</v>
      </c>
      <c r="AZ136" s="65">
        <f t="shared" si="88"/>
        <v>0</v>
      </c>
      <c r="BA136" s="65">
        <f t="shared" si="89"/>
        <v>0</v>
      </c>
      <c r="BB136" s="70"/>
      <c r="BC136" s="65">
        <f t="shared" si="90"/>
        <v>0</v>
      </c>
      <c r="BD136" s="70">
        <v>0</v>
      </c>
      <c r="BE136" s="65">
        <f t="shared" si="91"/>
        <v>0</v>
      </c>
      <c r="BF136" s="70">
        <v>0</v>
      </c>
      <c r="BG136" s="65">
        <f t="shared" si="92"/>
        <v>0</v>
      </c>
      <c r="BH136" s="70">
        <v>0</v>
      </c>
      <c r="BI136" s="65">
        <f t="shared" si="93"/>
        <v>0</v>
      </c>
      <c r="BJ136" s="38">
        <f>IF(AND(BJ$7="○",$A136&gt;=BJ$8,$A136&lt;=BJ$9),IF(SUM(BJ$10:BJ135)-ROUNDDOWN($M136*BJ$5/100,0)&lt;-BJ$6,-BJ$6-SUM(BJ$10:BJ135),-ROUNDDOWN($M136*BJ$5/100,0)),0)</f>
        <v>0</v>
      </c>
      <c r="BK136" s="38">
        <f>IF(AND(BK$7="○",$A136&gt;=BK$8,$A136&lt;=BK$9),IF(SUM(BK$10:BK135)-ROUNDDOWN($L136*BK$5/100,0)&lt;-BK$6,-BK$6-SUM(BK$10:BK135),-ROUNDDOWN($L136*BK$5/100,0)),0)</f>
        <v>0</v>
      </c>
      <c r="BL136" s="38">
        <f>IF(AND(BL$7="○",$A136&gt;=BL$8,$A136&lt;=BL$9),IF(SUM(BL$10:BL135)-ROUNDDOWN($L136*BL$5/100,0)&lt;-BL$6,-BL$6-SUM(BL$10:BL135),-ROUNDDOWN($L136*BL$5/100,0)),0)</f>
        <v>0</v>
      </c>
      <c r="BM136" s="38">
        <f>IF(AND(BM$7="○",$A136&gt;=BM$8,$A136&lt;=BM$9),IF(SUM(BM$10:BM135)-ROUNDDOWN($M136*BM$5/100,0)&lt;-BM$6,-BM$6-SUM(BM$10:BM135),-ROUNDDOWN($M136*BM$5/100,0)),0)</f>
        <v>0</v>
      </c>
      <c r="BN136" s="38">
        <f>IF(AND(BN$7="○",$A136&gt;=BN$8,$A136&lt;=BN$9),IF(SUM(BN$10:BN135)-ROUNDDOWN($M136*BN$5/100,0)&lt;-BN$6,-BN$6-SUM(BN$10:BN135),-ROUNDDOWN($M136*BN$5/100,0)),0)</f>
        <v>0</v>
      </c>
      <c r="BO136" s="38">
        <f>IF(AND(BO$7="○",$A136&gt;=BO$8,$A136&lt;=BO$9),IF(SUM(BO$10:BO135)-ROUNDDOWN($M136*BO$5/100,0)&lt;-BO$6,-BO$6-SUM(BO$10:BO135),-ROUNDDOWN($M136*BO$5/100,0)),0)</f>
        <v>0</v>
      </c>
      <c r="BP136" s="38">
        <f>IF(AND(BP$7="○",$A136&gt;=BP$8,$A136&lt;=BP$9),IF(SUM(BP$10:BP135)-ROUNDDOWN($M136*BP$5/100,0)&lt;-BP$6,-BP$6-SUM(BP$10:BP135),-ROUNDDOWN($M136*BP$5/100,0)),0)</f>
        <v>0</v>
      </c>
      <c r="BQ136" s="38">
        <f>IF(AND(BQ$7="○",$A136&gt;=BQ$8,$A136&lt;=BQ$9),IF(SUM(BQ$10:BQ135)-ROUNDDOWN($L136*BQ$5/100,0)&lt;-BQ$6,-BQ$6-SUM(BQ$10:BQ135),-ROUNDDOWN($L136*BQ$5/100,0)),0)</f>
        <v>0</v>
      </c>
      <c r="BR136" s="38">
        <f>IF(AND(BR$7="○",$A136&gt;=BR$8,$A136&lt;=BR$9),IF(SUM(BR$10:BR135)-ROUNDDOWN($M136*BR$5/100,0)&lt;-BR$6,-BR$6-SUM(BR$10:BR135),-ROUNDDOWN($M136*BR$5/100,0)),0)</f>
        <v>0</v>
      </c>
      <c r="BS136" s="38">
        <f>IF(AND(BS$7="○",$A136&gt;=BS$8,$A136&lt;=BS$9),IF(SUM(BS$10:BS135)-ROUNDDOWN($M136*BS$5/100,0)&lt;-BS$6,-BS$6-SUM(BS$10:BS135),-ROUNDDOWN($M136*BS$5/100,0)),0)</f>
        <v>0</v>
      </c>
      <c r="BT136" s="38">
        <f>IF(AND(BT$7="○",$A136&gt;=BT$8,$A136&lt;=BT$9),IF(SUM(BT$10:BT135)-ROUNDDOWN($M136*BT$5/100,0)&lt;-BT$6,-BT$6-SUM(BT$10:BT135),-ROUNDDOWN($M136*BT$5/100,0)),0)</f>
        <v>0</v>
      </c>
      <c r="BU136" s="38">
        <f>IF(AND(BU$7="○",$A136&gt;=BU$8,$A136&lt;=BU$9),IF(SUM(BU$10:BU135)-ROUNDDOWN($M136*BU$5/100,0)&lt;-BU$6,-BU$6-SUM(BU$10:BU135),-ROUNDDOWN($M136*BU$5/100,0)),0)</f>
        <v>0</v>
      </c>
      <c r="BV136" s="38">
        <f>IF(AND(BV$7="○",$A136&gt;=BV$8,$A136&lt;=BV$9),IF(SUM(BV$10:BV135)-ROUNDDOWN($M136*BV$5/100,0)&lt;-BV$6,-BV$6-SUM(BV$10:BV135),-ROUNDDOWN($M136*BV$5/100,0)),0)</f>
        <v>0</v>
      </c>
      <c r="BW136" s="38">
        <f>IF(AND(BW$7="○",$A136&gt;=BW$8,$A136&lt;=BW$9),IF(SUM(BW$10:BW135)-ROUNDDOWN($M136*BW$5/100,0)&lt;-BW$6,-BW$6-SUM(BW$10:BW135),-ROUNDDOWN($M136*BW$5/100,0)),0)</f>
        <v>0</v>
      </c>
      <c r="BX136" s="38">
        <f>IF(AND(T136="○",$A136&gt;=BX$8,$A136&lt;=BX$9),IF(SUM(BX$10:BX135)-ROUNDDOWN($K136*BX$5/100,0)&lt;-BX$6,-BX$6-SUM(BX$10:BX135),-ROUNDDOWN($K136*BX$5/100,0)),0)</f>
        <v>0</v>
      </c>
      <c r="BY136" s="38">
        <f>IF(AND(U136="○",$A136&gt;=BY$8,$A136&lt;=BY$9),IF(SUM(BY$10:BY135)-ROUNDDOWN($K136*BY$5/100,0)&lt;-BY$6,-BY$6-SUM(BY$10:BY135),-ROUNDDOWN($K136*BY$5/100,0)),0)</f>
        <v>0</v>
      </c>
      <c r="BZ136" s="38">
        <f>IF(AND(V136="○",$A136&gt;=BZ$8,$A136&lt;=BZ$9),IF(SUM(BZ$10:BZ135)-ROUNDDOWN($K136*BZ$5/100,0)&lt;-BZ$6,-BZ$6-SUM(BZ$10:BZ135),-ROUNDDOWN($K136*BZ$5/100,0)),0)</f>
        <v>0</v>
      </c>
      <c r="CA136" s="38">
        <f>IF(AND(W136="○",$A136&gt;=CA$8,$A136&lt;=CA$9),IF(SUM(CA$10:CA135)-ROUNDDOWN($K136*CA$5/100,0)&lt;-CA$6,-CA$6-SUM(CA$10:CA135),-ROUNDDOWN($K136*CA$5/100,0)),0)</f>
        <v>0</v>
      </c>
      <c r="CB136" s="38"/>
      <c r="CC136" s="38"/>
      <c r="CD136" s="38"/>
      <c r="CE136" s="38"/>
      <c r="CF136" s="38"/>
      <c r="CG136" s="65">
        <f t="shared" si="94"/>
        <v>0</v>
      </c>
      <c r="CH136" s="71">
        <f t="shared" si="95"/>
        <v>0</v>
      </c>
      <c r="CI136" s="1">
        <f t="shared" ref="CI136:CI165" si="127">IFERROR(ROUNDDOWN((CH136/G136),0),0)</f>
        <v>0</v>
      </c>
      <c r="CJ136" s="1"/>
      <c r="CK136" s="72"/>
      <c r="CL136" s="72"/>
      <c r="CM136" s="2"/>
      <c r="CN136" s="2"/>
      <c r="CO136" s="73">
        <f t="shared" ref="CO136:CO165" si="128">IFERROR(CN136-CI136,0)</f>
        <v>0</v>
      </c>
      <c r="CP136" s="5">
        <f t="shared" ref="CP136:CP165" si="129">IFERROR(CN136/CI136,0)</f>
        <v>0</v>
      </c>
      <c r="CQ136" s="1"/>
      <c r="CR136" s="1">
        <f t="shared" ref="CR136:CR165" si="130">+CO136*G136</f>
        <v>0</v>
      </c>
      <c r="CS136" s="1"/>
      <c r="CT136" s="1" t="e">
        <f>INDEX([2]マスタ!$A:$A,MATCH(D136,[2]マスタ!$C:$C,0))</f>
        <v>#N/A</v>
      </c>
      <c r="CU136" s="1" t="str">
        <f t="shared" ref="CU136:CU165" ca="1" si="131">IFERROR(TEXT(TODAY(),"yyyymmdd")&amp;"_"&amp;ROUNDDOWN(H136+I136,0)&amp;"-"&amp;ROUNDDOWN(CI136,0),"")</f>
        <v>20260620_0-0</v>
      </c>
    </row>
    <row r="137" spans="1:99" x14ac:dyDescent="0.4">
      <c r="A137" s="61"/>
      <c r="B137" s="62"/>
      <c r="C137" s="62"/>
      <c r="D137" s="62"/>
      <c r="E137" s="76"/>
      <c r="F137" s="62"/>
      <c r="G137" s="62">
        <v>1</v>
      </c>
      <c r="H137" s="64">
        <f t="shared" si="118"/>
        <v>0</v>
      </c>
      <c r="I137" s="64"/>
      <c r="J137" s="64"/>
      <c r="K137" s="65">
        <f t="shared" si="119"/>
        <v>0</v>
      </c>
      <c r="L137" s="65">
        <f t="shared" si="120"/>
        <v>0</v>
      </c>
      <c r="M137" s="65">
        <f t="shared" si="121"/>
        <v>0</v>
      </c>
      <c r="N137" s="65">
        <f t="shared" si="122"/>
        <v>0</v>
      </c>
      <c r="O137" s="66" t="str">
        <f t="shared" si="123"/>
        <v>✕</v>
      </c>
      <c r="P137" s="67" t="str">
        <f t="shared" si="124"/>
        <v>○</v>
      </c>
      <c r="Q137" s="67" t="str">
        <f t="shared" si="125"/>
        <v>✕</v>
      </c>
      <c r="R137" s="67" t="str">
        <f t="shared" si="126"/>
        <v>✕</v>
      </c>
      <c r="S137" s="68">
        <v>0</v>
      </c>
      <c r="T137" s="69" t="s">
        <v>85</v>
      </c>
      <c r="U137" s="69" t="s">
        <v>85</v>
      </c>
      <c r="V137" s="69" t="s">
        <v>85</v>
      </c>
      <c r="W137" s="69" t="s">
        <v>85</v>
      </c>
      <c r="X137" s="69" t="s">
        <v>84</v>
      </c>
      <c r="Y137" s="69" t="s">
        <v>85</v>
      </c>
      <c r="Z137" s="69" t="s">
        <v>85</v>
      </c>
      <c r="AA137" s="69" t="s">
        <v>85</v>
      </c>
      <c r="AB137" s="69" t="s">
        <v>85</v>
      </c>
      <c r="AC137" s="69" t="s">
        <v>85</v>
      </c>
      <c r="AD137" s="38" t="str">
        <f>+IF(ISERROR(VLOOKUP($B137,AD$10:AD136,1,0)),IF(AND($N137&gt;=1000,$A137&gt;=AO$8,$A137&lt;=AO$9),$B137,""),"")</f>
        <v/>
      </c>
      <c r="AE137" s="38" t="str">
        <f>+IF(ISERROR(VLOOKUP($B137,AE$10:AE136,1,0)),IF(AND($N137&gt;=1000,$A137&gt;=AP$8,$A137&lt;=AP$9),$B137,""),"")</f>
        <v/>
      </c>
      <c r="AF137" s="38" t="str">
        <f>+IF(ISERROR(VLOOKUP($B137,AF$10:AF136,1,0)),IF(AND($N137&gt;=1000,$A137&gt;=AQ$8,$A137&lt;=AQ$9),$B137,""),"")</f>
        <v/>
      </c>
      <c r="AG137" s="38" t="str">
        <f>+IF(ISERROR(VLOOKUP($B137,AG$10:AG136,1,0)),IF(AND($N137&gt;=1000,$A137&gt;=AR$8,$A137&lt;=AR$9),$B137,""),"")</f>
        <v/>
      </c>
      <c r="AH137" s="38"/>
      <c r="AI137" s="70">
        <v>0</v>
      </c>
      <c r="AJ137" s="38">
        <f>IF(AND(AJ$7="○",$A137&gt;=AJ$8,$A137&lt;=AJ$9),IF(SUM(AJ$10:AJ136)-ROUNDDOWN($K137*AJ$5/100,0)&lt;-AJ$6,-AJ$6-SUM(AJ$10:AJ136),-ROUNDDOWN($K137*AJ$5/100,0)),0)</f>
        <v>0</v>
      </c>
      <c r="AK137" s="38">
        <f>IF(AND(AK$7="○",$A137&gt;=AK$8,$A137&lt;=AK$9),IF(SUM(AK$10:AK136)-ROUNDDOWN($L137*AK$5/100,0)&lt;-AK$6,-AK$6-SUM(AK$10:AK136),-ROUNDDOWN($L137*AK$5/100,0)),0)</f>
        <v>0</v>
      </c>
      <c r="AL137" s="38">
        <f>IF(AND(AL$7="○",$A137&gt;=AL$8,$A137&lt;=AL$9),IF(SUM(AL$10:AL136)-ROUNDDOWN($N137*AL$5/100,0)&lt;-AL$6,-AL$6-SUM(AL$10:AL136),-ROUNDDOWN($N137*AL$5/100,0)),0)</f>
        <v>0</v>
      </c>
      <c r="AM137" s="38">
        <f>IF(AND(AM$7="○",$A137&gt;=AM$8,$A137&lt;=AM$9),IF(SUM(AM$10:AM136)-ROUNDDOWN($L137*AM$5/100,0)&lt;-AM$6,-AM$6-SUM(AM$10:AM136),-ROUNDDOWN($L137*AM$5/100,0)),0)</f>
        <v>0</v>
      </c>
      <c r="AN137" s="38">
        <f>IF(AND(AN$7="○",$A137&gt;=AN$8,$A137&lt;=AN$9),IF(SUM(AN$10:AN136)-ROUNDDOWN($M137*AN$5/100,0)&lt;-AN$6,-AN$6-SUM(AN$10:AN136),-ROUNDDOWN($M137*AN$5/100,0)),0)</f>
        <v>0</v>
      </c>
      <c r="AO137" s="38">
        <f>IF(AND($A137&gt;=AO$8,$A137&lt;=AO$9),IF(SUM(AO$10:AO136)-ROUNDDOWN($K137*AO$5/100,0)&lt;-AO$6,-AO$6-SUM(AO$10:AO136),-ROUNDDOWN($K137*AO$5/100,0)),0)</f>
        <v>0</v>
      </c>
      <c r="AP137" s="38">
        <f>IF(AND($A137&gt;=AP$8,$A137&lt;=AP$9),IF(SUM(AP$10:AP136)-ROUNDDOWN($K137*AP$5/100,0)&lt;-AP$6,-AP$6-SUM(AP$10:AP136),-ROUNDDOWN($K137*AP$5/100,0)),0)</f>
        <v>0</v>
      </c>
      <c r="AQ137" s="38">
        <f>IF(AND($A137&gt;=AQ$8,$A137&lt;=AQ$9),IF(SUM(AQ$10:AQ136)-ROUNDDOWN($K137*AQ$5/100,0)&lt;-AQ$6,-AQ$6-SUM(AQ$10:AQ136),-ROUNDDOWN($K137*AQ$5/100,0)),0)</f>
        <v>0</v>
      </c>
      <c r="AR137" s="38">
        <f>IF(AND($A137&gt;=AR$8,$A137&lt;=AR$9),IF(SUM(AR$10:AR136)-ROUNDDOWN($K137*AR$5/100,0)&lt;-AR$6,-AR$6-SUM(AR$10:AR136),-ROUNDDOWN($K137*AR$5/100,0)),0)</f>
        <v>0</v>
      </c>
      <c r="AS137" s="38">
        <f>IF(SUMIFS(AS$10:AS136,$A$10:$A136,$A137)-ROUNDDOWN($K137*$S137/100,0)&lt;-$S137*1000,-$S137*1000-SUMIFS(AS$10:AS136,$A$10:$A136,$A137),-ROUNDDOWN($K137*$S137/100,0))</f>
        <v>0</v>
      </c>
      <c r="AT137" s="38">
        <f>IF(AND(X137="○",$A137&gt;=AT$8,$A137&lt;=AT$9,K137&gt;=3980),IF(SUM(AT$10:AT136)-ROUNDDOWN($K137*AT$5/100,0)&lt;-AT$6,-AT$6-SUM(AT$10:AT136),-ROUNDDOWN($K137*AT$5/100,0)),0)</f>
        <v>0</v>
      </c>
      <c r="AU137" s="38">
        <f>IF(O137="○",IF(SUM(AU$10:AU136)-ROUNDDOWN($K137*AU$5/100,0)&lt;-AU$6,-AU$6-SUM(AU$10:AU136),-ROUNDDOWN($K137*AU$5/100,0)),0)</f>
        <v>0</v>
      </c>
      <c r="AV137" s="38">
        <f>IF(P137="○",IF(SUM(AV$10:AV136)-ROUNDDOWN($K137*AV$5/100,0)&lt;-AV$6,-AV$6-SUM(AV$10:AV136),-ROUNDDOWN($K137*AV$5/100,0)),0)</f>
        <v>0</v>
      </c>
      <c r="AW137" s="38">
        <f>IF(Q137="○",IF(SUM(AW$10:AW136)-ROUNDDOWN($K137*AW$5/100,0)&lt;-AW$6,-AW$6-SUM(AW$10:AW136),-ROUNDDOWN($K137*AW$5/100,0)),0)</f>
        <v>0</v>
      </c>
      <c r="AX137" s="38">
        <f>IF(R137="○",IF(SUM(AX$10:AX136)-ROUNDDOWN($K137*AX$5/100,0)&lt;-AX$6,-AX$6-SUM(AX$10:AX136),-ROUNDDOWN($K137*AX$5/100,0)),0)</f>
        <v>0</v>
      </c>
      <c r="AY137" s="70">
        <v>0</v>
      </c>
      <c r="AZ137" s="65">
        <f t="shared" si="88"/>
        <v>0</v>
      </c>
      <c r="BA137" s="65">
        <f t="shared" si="89"/>
        <v>0</v>
      </c>
      <c r="BB137" s="70"/>
      <c r="BC137" s="65">
        <f t="shared" si="90"/>
        <v>0</v>
      </c>
      <c r="BD137" s="70">
        <v>0</v>
      </c>
      <c r="BE137" s="65">
        <f t="shared" si="91"/>
        <v>0</v>
      </c>
      <c r="BF137" s="70">
        <v>0</v>
      </c>
      <c r="BG137" s="65">
        <f t="shared" si="92"/>
        <v>0</v>
      </c>
      <c r="BH137" s="70">
        <v>0</v>
      </c>
      <c r="BI137" s="65">
        <f t="shared" si="93"/>
        <v>0</v>
      </c>
      <c r="BJ137" s="38">
        <f>IF(AND(BJ$7="○",$A137&gt;=BJ$8,$A137&lt;=BJ$9),IF(SUM(BJ$10:BJ136)-ROUNDDOWN($M137*BJ$5/100,0)&lt;-BJ$6,-BJ$6-SUM(BJ$10:BJ136),-ROUNDDOWN($M137*BJ$5/100,0)),0)</f>
        <v>0</v>
      </c>
      <c r="BK137" s="38">
        <f>IF(AND(BK$7="○",$A137&gt;=BK$8,$A137&lt;=BK$9),IF(SUM(BK$10:BK136)-ROUNDDOWN($L137*BK$5/100,0)&lt;-BK$6,-BK$6-SUM(BK$10:BK136),-ROUNDDOWN($L137*BK$5/100,0)),0)</f>
        <v>0</v>
      </c>
      <c r="BL137" s="38">
        <f>IF(AND(BL$7="○",$A137&gt;=BL$8,$A137&lt;=BL$9),IF(SUM(BL$10:BL136)-ROUNDDOWN($L137*BL$5/100,0)&lt;-BL$6,-BL$6-SUM(BL$10:BL136),-ROUNDDOWN($L137*BL$5/100,0)),0)</f>
        <v>0</v>
      </c>
      <c r="BM137" s="38">
        <f>IF(AND(BM$7="○",$A137&gt;=BM$8,$A137&lt;=BM$9),IF(SUM(BM$10:BM136)-ROUNDDOWN($M137*BM$5/100,0)&lt;-BM$6,-BM$6-SUM(BM$10:BM136),-ROUNDDOWN($M137*BM$5/100,0)),0)</f>
        <v>0</v>
      </c>
      <c r="BN137" s="38">
        <f>IF(AND(BN$7="○",$A137&gt;=BN$8,$A137&lt;=BN$9),IF(SUM(BN$10:BN136)-ROUNDDOWN($M137*BN$5/100,0)&lt;-BN$6,-BN$6-SUM(BN$10:BN136),-ROUNDDOWN($M137*BN$5/100,0)),0)</f>
        <v>0</v>
      </c>
      <c r="BO137" s="38">
        <f>IF(AND(BO$7="○",$A137&gt;=BO$8,$A137&lt;=BO$9),IF(SUM(BO$10:BO136)-ROUNDDOWN($M137*BO$5/100,0)&lt;-BO$6,-BO$6-SUM(BO$10:BO136),-ROUNDDOWN($M137*BO$5/100,0)),0)</f>
        <v>0</v>
      </c>
      <c r="BP137" s="38">
        <f>IF(AND(BP$7="○",$A137&gt;=BP$8,$A137&lt;=BP$9),IF(SUM(BP$10:BP136)-ROUNDDOWN($M137*BP$5/100,0)&lt;-BP$6,-BP$6-SUM(BP$10:BP136),-ROUNDDOWN($M137*BP$5/100,0)),0)</f>
        <v>0</v>
      </c>
      <c r="BQ137" s="38">
        <f>IF(AND(BQ$7="○",$A137&gt;=BQ$8,$A137&lt;=BQ$9),IF(SUM(BQ$10:BQ136)-ROUNDDOWN($L137*BQ$5/100,0)&lt;-BQ$6,-BQ$6-SUM(BQ$10:BQ136),-ROUNDDOWN($L137*BQ$5/100,0)),0)</f>
        <v>0</v>
      </c>
      <c r="BR137" s="38">
        <f>IF(AND(BR$7="○",$A137&gt;=BR$8,$A137&lt;=BR$9),IF(SUM(BR$10:BR136)-ROUNDDOWN($M137*BR$5/100,0)&lt;-BR$6,-BR$6-SUM(BR$10:BR136),-ROUNDDOWN($M137*BR$5/100,0)),0)</f>
        <v>0</v>
      </c>
      <c r="BS137" s="38">
        <f>IF(AND(BS$7="○",$A137&gt;=BS$8,$A137&lt;=BS$9),IF(SUM(BS$10:BS136)-ROUNDDOWN($M137*BS$5/100,0)&lt;-BS$6,-BS$6-SUM(BS$10:BS136),-ROUNDDOWN($M137*BS$5/100,0)),0)</f>
        <v>0</v>
      </c>
      <c r="BT137" s="38">
        <f>IF(AND(BT$7="○",$A137&gt;=BT$8,$A137&lt;=BT$9),IF(SUM(BT$10:BT136)-ROUNDDOWN($M137*BT$5/100,0)&lt;-BT$6,-BT$6-SUM(BT$10:BT136),-ROUNDDOWN($M137*BT$5/100,0)),0)</f>
        <v>0</v>
      </c>
      <c r="BU137" s="38">
        <f>IF(AND(BU$7="○",$A137&gt;=BU$8,$A137&lt;=BU$9),IF(SUM(BU$10:BU136)-ROUNDDOWN($M137*BU$5/100,0)&lt;-BU$6,-BU$6-SUM(BU$10:BU136),-ROUNDDOWN($M137*BU$5/100,0)),0)</f>
        <v>0</v>
      </c>
      <c r="BV137" s="38">
        <f>IF(AND(BV$7="○",$A137&gt;=BV$8,$A137&lt;=BV$9),IF(SUM(BV$10:BV136)-ROUNDDOWN($M137*BV$5/100,0)&lt;-BV$6,-BV$6-SUM(BV$10:BV136),-ROUNDDOWN($M137*BV$5/100,0)),0)</f>
        <v>0</v>
      </c>
      <c r="BW137" s="38">
        <f>IF(AND(BW$7="○",$A137&gt;=BW$8,$A137&lt;=BW$9),IF(SUM(BW$10:BW136)-ROUNDDOWN($M137*BW$5/100,0)&lt;-BW$6,-BW$6-SUM(BW$10:BW136),-ROUNDDOWN($M137*BW$5/100,0)),0)</f>
        <v>0</v>
      </c>
      <c r="BX137" s="38">
        <f>IF(AND(T137="○",$A137&gt;=BX$8,$A137&lt;=BX$9),IF(SUM(BX$10:BX136)-ROUNDDOWN($K137*BX$5/100,0)&lt;-BX$6,-BX$6-SUM(BX$10:BX136),-ROUNDDOWN($K137*BX$5/100,0)),0)</f>
        <v>0</v>
      </c>
      <c r="BY137" s="38">
        <f>IF(AND(U137="○",$A137&gt;=BY$8,$A137&lt;=BY$9),IF(SUM(BY$10:BY136)-ROUNDDOWN($K137*BY$5/100,0)&lt;-BY$6,-BY$6-SUM(BY$10:BY136),-ROUNDDOWN($K137*BY$5/100,0)),0)</f>
        <v>0</v>
      </c>
      <c r="BZ137" s="38">
        <f>IF(AND(V137="○",$A137&gt;=BZ$8,$A137&lt;=BZ$9),IF(SUM(BZ$10:BZ136)-ROUNDDOWN($K137*BZ$5/100,0)&lt;-BZ$6,-BZ$6-SUM(BZ$10:BZ136),-ROUNDDOWN($K137*BZ$5/100,0)),0)</f>
        <v>0</v>
      </c>
      <c r="CA137" s="38">
        <f>IF(AND(W137="○",$A137&gt;=CA$8,$A137&lt;=CA$9),IF(SUM(CA$10:CA136)-ROUNDDOWN($K137*CA$5/100,0)&lt;-CA$6,-CA$6-SUM(CA$10:CA136),-ROUNDDOWN($K137*CA$5/100,0)),0)</f>
        <v>0</v>
      </c>
      <c r="CB137" s="38"/>
      <c r="CC137" s="38"/>
      <c r="CD137" s="38"/>
      <c r="CE137" s="38"/>
      <c r="CF137" s="38"/>
      <c r="CG137" s="65">
        <f t="shared" si="94"/>
        <v>0</v>
      </c>
      <c r="CH137" s="71">
        <f t="shared" si="95"/>
        <v>0</v>
      </c>
      <c r="CI137" s="1">
        <f t="shared" si="127"/>
        <v>0</v>
      </c>
      <c r="CJ137" s="1"/>
      <c r="CK137" s="72"/>
      <c r="CL137" s="72"/>
      <c r="CM137" s="2"/>
      <c r="CN137" s="2"/>
      <c r="CO137" s="73">
        <f t="shared" si="128"/>
        <v>0</v>
      </c>
      <c r="CP137" s="5">
        <f t="shared" si="129"/>
        <v>0</v>
      </c>
      <c r="CQ137" s="1"/>
      <c r="CR137" s="1">
        <f t="shared" si="130"/>
        <v>0</v>
      </c>
      <c r="CS137" s="1"/>
      <c r="CT137" s="1" t="e">
        <f>INDEX([2]マスタ!$A:$A,MATCH(D137,[2]マスタ!$C:$C,0))</f>
        <v>#N/A</v>
      </c>
      <c r="CU137" s="1" t="str">
        <f t="shared" ca="1" si="131"/>
        <v>20260620_0-0</v>
      </c>
    </row>
    <row r="138" spans="1:99" x14ac:dyDescent="0.4">
      <c r="A138" s="61"/>
      <c r="B138" s="62"/>
      <c r="C138" s="62"/>
      <c r="D138" s="62"/>
      <c r="E138" s="63"/>
      <c r="F138" s="62"/>
      <c r="G138" s="62">
        <v>1</v>
      </c>
      <c r="H138" s="64">
        <f t="shared" si="118"/>
        <v>0</v>
      </c>
      <c r="I138" s="64"/>
      <c r="J138" s="64"/>
      <c r="K138" s="65">
        <f t="shared" si="119"/>
        <v>0</v>
      </c>
      <c r="L138" s="65">
        <f t="shared" si="120"/>
        <v>0</v>
      </c>
      <c r="M138" s="65">
        <f t="shared" si="121"/>
        <v>0</v>
      </c>
      <c r="N138" s="65">
        <f t="shared" si="122"/>
        <v>0</v>
      </c>
      <c r="O138" s="66" t="str">
        <f t="shared" si="123"/>
        <v>✕</v>
      </c>
      <c r="P138" s="67" t="str">
        <f t="shared" si="124"/>
        <v>○</v>
      </c>
      <c r="Q138" s="67" t="str">
        <f t="shared" si="125"/>
        <v>✕</v>
      </c>
      <c r="R138" s="67" t="str">
        <f t="shared" si="126"/>
        <v>✕</v>
      </c>
      <c r="S138" s="68">
        <v>0</v>
      </c>
      <c r="T138" s="69" t="s">
        <v>85</v>
      </c>
      <c r="U138" s="69" t="s">
        <v>85</v>
      </c>
      <c r="V138" s="69" t="s">
        <v>85</v>
      </c>
      <c r="W138" s="69" t="s">
        <v>85</v>
      </c>
      <c r="X138" s="69" t="s">
        <v>84</v>
      </c>
      <c r="Y138" s="69" t="s">
        <v>85</v>
      </c>
      <c r="Z138" s="69" t="s">
        <v>85</v>
      </c>
      <c r="AA138" s="69" t="s">
        <v>85</v>
      </c>
      <c r="AB138" s="69" t="s">
        <v>85</v>
      </c>
      <c r="AC138" s="69" t="s">
        <v>85</v>
      </c>
      <c r="AD138" s="38" t="str">
        <f>+IF(ISERROR(VLOOKUP($B138,AD$10:AD137,1,0)),IF(AND($N138&gt;=1000,$A138&gt;=AO$8,$A138&lt;=AO$9),$B138,""),"")</f>
        <v/>
      </c>
      <c r="AE138" s="38" t="str">
        <f>+IF(ISERROR(VLOOKUP($B138,AE$10:AE137,1,0)),IF(AND($N138&gt;=1000,$A138&gt;=AP$8,$A138&lt;=AP$9),$B138,""),"")</f>
        <v/>
      </c>
      <c r="AF138" s="38" t="str">
        <f>+IF(ISERROR(VLOOKUP($B138,AF$10:AF137,1,0)),IF(AND($N138&gt;=1000,$A138&gt;=AQ$8,$A138&lt;=AQ$9),$B138,""),"")</f>
        <v/>
      </c>
      <c r="AG138" s="38" t="str">
        <f>+IF(ISERROR(VLOOKUP($B138,AG$10:AG137,1,0)),IF(AND($N138&gt;=1000,$A138&gt;=AR$8,$A138&lt;=AR$9),$B138,""),"")</f>
        <v/>
      </c>
      <c r="AH138" s="38"/>
      <c r="AI138" s="70">
        <v>0</v>
      </c>
      <c r="AJ138" s="38">
        <f>IF(AND(AJ$7="○",$A138&gt;=AJ$8,$A138&lt;=AJ$9),IF(SUM(AJ$10:AJ137)-ROUNDDOWN($K138*AJ$5/100,0)&lt;-AJ$6,-AJ$6-SUM(AJ$10:AJ137),-ROUNDDOWN($K138*AJ$5/100,0)),0)</f>
        <v>0</v>
      </c>
      <c r="AK138" s="38">
        <f>IF(AND(AK$7="○",$A138&gt;=AK$8,$A138&lt;=AK$9),IF(SUM(AK$10:AK137)-ROUNDDOWN($L138*AK$5/100,0)&lt;-AK$6,-AK$6-SUM(AK$10:AK137),-ROUNDDOWN($L138*AK$5/100,0)),0)</f>
        <v>0</v>
      </c>
      <c r="AL138" s="38">
        <f>IF(AND(AL$7="○",$A138&gt;=AL$8,$A138&lt;=AL$9),IF(SUM(AL$10:AL137)-ROUNDDOWN($N138*AL$5/100,0)&lt;-AL$6,-AL$6-SUM(AL$10:AL137),-ROUNDDOWN($N138*AL$5/100,0)),0)</f>
        <v>0</v>
      </c>
      <c r="AM138" s="38">
        <f>IF(AND(AM$7="○",$A138&gt;=AM$8,$A138&lt;=AM$9),IF(SUM(AM$10:AM137)-ROUNDDOWN($L138*AM$5/100,0)&lt;-AM$6,-AM$6-SUM(AM$10:AM137),-ROUNDDOWN($L138*AM$5/100,0)),0)</f>
        <v>0</v>
      </c>
      <c r="AN138" s="38">
        <f>IF(AND(AN$7="○",$A138&gt;=AN$8,$A138&lt;=AN$9),IF(SUM(AN$10:AN137)-ROUNDDOWN($M138*AN$5/100,0)&lt;-AN$6,-AN$6-SUM(AN$10:AN137),-ROUNDDOWN($M138*AN$5/100,0)),0)</f>
        <v>0</v>
      </c>
      <c r="AO138" s="38">
        <f>IF(AND($A138&gt;=AO$8,$A138&lt;=AO$9),IF(SUM(AO$10:AO137)-ROUNDDOWN($K138*AO$5/100,0)&lt;-AO$6,-AO$6-SUM(AO$10:AO137),-ROUNDDOWN($K138*AO$5/100,0)),0)</f>
        <v>0</v>
      </c>
      <c r="AP138" s="38">
        <f>IF(AND($A138&gt;=AP$8,$A138&lt;=AP$9),IF(SUM(AP$10:AP137)-ROUNDDOWN($K138*AP$5/100,0)&lt;-AP$6,-AP$6-SUM(AP$10:AP137),-ROUNDDOWN($K138*AP$5/100,0)),0)</f>
        <v>0</v>
      </c>
      <c r="AQ138" s="38">
        <f>IF(AND($A138&gt;=AQ$8,$A138&lt;=AQ$9),IF(SUM(AQ$10:AQ137)-ROUNDDOWN($K138*AQ$5/100,0)&lt;-AQ$6,-AQ$6-SUM(AQ$10:AQ137),-ROUNDDOWN($K138*AQ$5/100,0)),0)</f>
        <v>0</v>
      </c>
      <c r="AR138" s="38">
        <f>IF(AND($A138&gt;=AR$8,$A138&lt;=AR$9),IF(SUM(AR$10:AR137)-ROUNDDOWN($K138*AR$5/100,0)&lt;-AR$6,-AR$6-SUM(AR$10:AR137),-ROUNDDOWN($K138*AR$5/100,0)),0)</f>
        <v>0</v>
      </c>
      <c r="AS138" s="38">
        <f>IF(SUMIFS(AS$10:AS137,$A$10:$A137,$A138)-ROUNDDOWN($K138*$S138/100,0)&lt;-$S138*1000,-$S138*1000-SUMIFS(AS$10:AS137,$A$10:$A137,$A138),-ROUNDDOWN($K138*$S138/100,0))</f>
        <v>0</v>
      </c>
      <c r="AT138" s="38">
        <f>IF(AND(X138="○",$A138&gt;=AT$8,$A138&lt;=AT$9,K138&gt;=3980),IF(SUM(AT$10:AT137)-ROUNDDOWN($K138*AT$5/100,0)&lt;-AT$6,-AT$6-SUM(AT$10:AT137),-ROUNDDOWN($K138*AT$5/100,0)),0)</f>
        <v>0</v>
      </c>
      <c r="AU138" s="38">
        <f>IF(O138="○",IF(SUM(AU$10:AU137)-ROUNDDOWN($K138*AU$5/100,0)&lt;-AU$6,-AU$6-SUM(AU$10:AU137),-ROUNDDOWN($K138*AU$5/100,0)),0)</f>
        <v>0</v>
      </c>
      <c r="AV138" s="38">
        <f>IF(P138="○",IF(SUM(AV$10:AV137)-ROUNDDOWN($K138*AV$5/100,0)&lt;-AV$6,-AV$6-SUM(AV$10:AV137),-ROUNDDOWN($K138*AV$5/100,0)),0)</f>
        <v>0</v>
      </c>
      <c r="AW138" s="38">
        <f>IF(Q138="○",IF(SUM(AW$10:AW137)-ROUNDDOWN($K138*AW$5/100,0)&lt;-AW$6,-AW$6-SUM(AW$10:AW137),-ROUNDDOWN($K138*AW$5/100,0)),0)</f>
        <v>0</v>
      </c>
      <c r="AX138" s="38">
        <f>IF(R138="○",IF(SUM(AX$10:AX137)-ROUNDDOWN($K138*AX$5/100,0)&lt;-AX$6,-AX$6-SUM(AX$10:AX137),-ROUNDDOWN($K138*AX$5/100,0)),0)</f>
        <v>0</v>
      </c>
      <c r="AY138" s="70">
        <v>0</v>
      </c>
      <c r="AZ138" s="65">
        <f t="shared" si="88"/>
        <v>0</v>
      </c>
      <c r="BA138" s="65">
        <f t="shared" si="89"/>
        <v>0</v>
      </c>
      <c r="BB138" s="70"/>
      <c r="BC138" s="65">
        <f t="shared" si="90"/>
        <v>0</v>
      </c>
      <c r="BD138" s="70">
        <v>0</v>
      </c>
      <c r="BE138" s="65">
        <f t="shared" si="91"/>
        <v>0</v>
      </c>
      <c r="BF138" s="70">
        <v>0</v>
      </c>
      <c r="BG138" s="65">
        <f t="shared" si="92"/>
        <v>0</v>
      </c>
      <c r="BH138" s="70">
        <v>0</v>
      </c>
      <c r="BI138" s="65">
        <f t="shared" si="93"/>
        <v>0</v>
      </c>
      <c r="BJ138" s="38">
        <f>IF(AND(BJ$7="○",$A138&gt;=BJ$8,$A138&lt;=BJ$9),IF(SUM(BJ$10:BJ137)-ROUNDDOWN($M138*BJ$5/100,0)&lt;-BJ$6,-BJ$6-SUM(BJ$10:BJ137),-ROUNDDOWN($M138*BJ$5/100,0)),0)</f>
        <v>0</v>
      </c>
      <c r="BK138" s="38">
        <f>IF(AND(BK$7="○",$A138&gt;=BK$8,$A138&lt;=BK$9),IF(SUM(BK$10:BK137)-ROUNDDOWN($L138*BK$5/100,0)&lt;-BK$6,-BK$6-SUM(BK$10:BK137),-ROUNDDOWN($L138*BK$5/100,0)),0)</f>
        <v>0</v>
      </c>
      <c r="BL138" s="38">
        <f>IF(AND(BL$7="○",$A138&gt;=BL$8,$A138&lt;=BL$9),IF(SUM(BL$10:BL137)-ROUNDDOWN($L138*BL$5/100,0)&lt;-BL$6,-BL$6-SUM(BL$10:BL137),-ROUNDDOWN($L138*BL$5/100,0)),0)</f>
        <v>0</v>
      </c>
      <c r="BM138" s="38">
        <f>IF(AND(BM$7="○",$A138&gt;=BM$8,$A138&lt;=BM$9),IF(SUM(BM$10:BM137)-ROUNDDOWN($M138*BM$5/100,0)&lt;-BM$6,-BM$6-SUM(BM$10:BM137),-ROUNDDOWN($M138*BM$5/100,0)),0)</f>
        <v>0</v>
      </c>
      <c r="BN138" s="38">
        <f>IF(AND(BN$7="○",$A138&gt;=BN$8,$A138&lt;=BN$9),IF(SUM(BN$10:BN137)-ROUNDDOWN($M138*BN$5/100,0)&lt;-BN$6,-BN$6-SUM(BN$10:BN137),-ROUNDDOWN($M138*BN$5/100,0)),0)</f>
        <v>0</v>
      </c>
      <c r="BO138" s="38">
        <f>IF(AND(BO$7="○",$A138&gt;=BO$8,$A138&lt;=BO$9),IF(SUM(BO$10:BO137)-ROUNDDOWN($M138*BO$5/100,0)&lt;-BO$6,-BO$6-SUM(BO$10:BO137),-ROUNDDOWN($M138*BO$5/100,0)),0)</f>
        <v>0</v>
      </c>
      <c r="BP138" s="38">
        <f>IF(AND(BP$7="○",$A138&gt;=BP$8,$A138&lt;=BP$9),IF(SUM(BP$10:BP137)-ROUNDDOWN($M138*BP$5/100,0)&lt;-BP$6,-BP$6-SUM(BP$10:BP137),-ROUNDDOWN($M138*BP$5/100,0)),0)</f>
        <v>0</v>
      </c>
      <c r="BQ138" s="38">
        <f>IF(AND(BQ$7="○",$A138&gt;=BQ$8,$A138&lt;=BQ$9),IF(SUM(BQ$10:BQ137)-ROUNDDOWN($L138*BQ$5/100,0)&lt;-BQ$6,-BQ$6-SUM(BQ$10:BQ137),-ROUNDDOWN($L138*BQ$5/100,0)),0)</f>
        <v>0</v>
      </c>
      <c r="BR138" s="38">
        <f>IF(AND(BR$7="○",$A138&gt;=BR$8,$A138&lt;=BR$9),IF(SUM(BR$10:BR137)-ROUNDDOWN($M138*BR$5/100,0)&lt;-BR$6,-BR$6-SUM(BR$10:BR137),-ROUNDDOWN($M138*BR$5/100,0)),0)</f>
        <v>0</v>
      </c>
      <c r="BS138" s="38">
        <f>IF(AND(BS$7="○",$A138&gt;=BS$8,$A138&lt;=BS$9),IF(SUM(BS$10:BS137)-ROUNDDOWN($M138*BS$5/100,0)&lt;-BS$6,-BS$6-SUM(BS$10:BS137),-ROUNDDOWN($M138*BS$5/100,0)),0)</f>
        <v>0</v>
      </c>
      <c r="BT138" s="38">
        <f>IF(AND(BT$7="○",$A138&gt;=BT$8,$A138&lt;=BT$9),IF(SUM(BT$10:BT137)-ROUNDDOWN($M138*BT$5/100,0)&lt;-BT$6,-BT$6-SUM(BT$10:BT137),-ROUNDDOWN($M138*BT$5/100,0)),0)</f>
        <v>0</v>
      </c>
      <c r="BU138" s="38">
        <f>IF(AND(BU$7="○",$A138&gt;=BU$8,$A138&lt;=BU$9),IF(SUM(BU$10:BU137)-ROUNDDOWN($M138*BU$5/100,0)&lt;-BU$6,-BU$6-SUM(BU$10:BU137),-ROUNDDOWN($M138*BU$5/100,0)),0)</f>
        <v>0</v>
      </c>
      <c r="BV138" s="38">
        <f>IF(AND(BV$7="○",$A138&gt;=BV$8,$A138&lt;=BV$9),IF(SUM(BV$10:BV137)-ROUNDDOWN($M138*BV$5/100,0)&lt;-BV$6,-BV$6-SUM(BV$10:BV137),-ROUNDDOWN($M138*BV$5/100,0)),0)</f>
        <v>0</v>
      </c>
      <c r="BW138" s="38">
        <f>IF(AND(BW$7="○",$A138&gt;=BW$8,$A138&lt;=BW$9),IF(SUM(BW$10:BW137)-ROUNDDOWN($M138*BW$5/100,0)&lt;-BW$6,-BW$6-SUM(BW$10:BW137),-ROUNDDOWN($M138*BW$5/100,0)),0)</f>
        <v>0</v>
      </c>
      <c r="BX138" s="38">
        <f>IF(AND(T138="○",$A138&gt;=BX$8,$A138&lt;=BX$9),IF(SUM(BX$10:BX137)-ROUNDDOWN($K138*BX$5/100,0)&lt;-BX$6,-BX$6-SUM(BX$10:BX137),-ROUNDDOWN($K138*BX$5/100,0)),0)</f>
        <v>0</v>
      </c>
      <c r="BY138" s="38">
        <f>IF(AND(U138="○",$A138&gt;=BY$8,$A138&lt;=BY$9),IF(SUM(BY$10:BY137)-ROUNDDOWN($K138*BY$5/100,0)&lt;-BY$6,-BY$6-SUM(BY$10:BY137),-ROUNDDOWN($K138*BY$5/100,0)),0)</f>
        <v>0</v>
      </c>
      <c r="BZ138" s="38">
        <f>IF(AND(V138="○",$A138&gt;=BZ$8,$A138&lt;=BZ$9),IF(SUM(BZ$10:BZ137)-ROUNDDOWN($K138*BZ$5/100,0)&lt;-BZ$6,-BZ$6-SUM(BZ$10:BZ137),-ROUNDDOWN($K138*BZ$5/100,0)),0)</f>
        <v>0</v>
      </c>
      <c r="CA138" s="38">
        <f>IF(AND(W138="○",$A138&gt;=CA$8,$A138&lt;=CA$9),IF(SUM(CA$10:CA137)-ROUNDDOWN($K138*CA$5/100,0)&lt;-CA$6,-CA$6-SUM(CA$10:CA137),-ROUNDDOWN($K138*CA$5/100,0)),0)</f>
        <v>0</v>
      </c>
      <c r="CB138" s="38"/>
      <c r="CC138" s="38"/>
      <c r="CD138" s="38"/>
      <c r="CE138" s="38"/>
      <c r="CF138" s="38"/>
      <c r="CG138" s="65">
        <f t="shared" si="94"/>
        <v>0</v>
      </c>
      <c r="CH138" s="71">
        <f t="shared" si="95"/>
        <v>0</v>
      </c>
      <c r="CI138" s="1">
        <f t="shared" si="127"/>
        <v>0</v>
      </c>
      <c r="CJ138" s="1"/>
      <c r="CK138" s="72"/>
      <c r="CL138" s="72"/>
      <c r="CM138" s="2"/>
      <c r="CN138" s="2"/>
      <c r="CO138" s="73">
        <f t="shared" si="128"/>
        <v>0</v>
      </c>
      <c r="CP138" s="5">
        <f t="shared" si="129"/>
        <v>0</v>
      </c>
      <c r="CQ138" s="1"/>
      <c r="CR138" s="1">
        <f t="shared" si="130"/>
        <v>0</v>
      </c>
      <c r="CS138" s="1"/>
      <c r="CT138" s="1" t="e">
        <f>INDEX([2]マスタ!$A:$A,MATCH(D138,[2]マスタ!$C:$C,0))</f>
        <v>#N/A</v>
      </c>
      <c r="CU138" s="1" t="str">
        <f t="shared" ca="1" si="131"/>
        <v>20260620_0-0</v>
      </c>
    </row>
    <row r="139" spans="1:99" x14ac:dyDescent="0.4">
      <c r="A139" s="61"/>
      <c r="B139" s="62"/>
      <c r="C139" s="62"/>
      <c r="D139" s="62"/>
      <c r="E139" s="74"/>
      <c r="F139" s="62"/>
      <c r="G139" s="62">
        <v>1</v>
      </c>
      <c r="H139" s="64">
        <f t="shared" si="118"/>
        <v>0</v>
      </c>
      <c r="I139" s="64"/>
      <c r="J139" s="64"/>
      <c r="K139" s="65">
        <f t="shared" si="119"/>
        <v>0</v>
      </c>
      <c r="L139" s="65">
        <f t="shared" si="120"/>
        <v>0</v>
      </c>
      <c r="M139" s="65">
        <f t="shared" si="121"/>
        <v>0</v>
      </c>
      <c r="N139" s="65">
        <f t="shared" si="122"/>
        <v>0</v>
      </c>
      <c r="O139" s="66" t="str">
        <f t="shared" si="123"/>
        <v>✕</v>
      </c>
      <c r="P139" s="67" t="str">
        <f t="shared" si="124"/>
        <v>○</v>
      </c>
      <c r="Q139" s="67" t="str">
        <f t="shared" si="125"/>
        <v>✕</v>
      </c>
      <c r="R139" s="67" t="str">
        <f t="shared" si="126"/>
        <v>✕</v>
      </c>
      <c r="S139" s="68">
        <v>0</v>
      </c>
      <c r="T139" s="69" t="s">
        <v>85</v>
      </c>
      <c r="U139" s="69" t="s">
        <v>85</v>
      </c>
      <c r="V139" s="69" t="s">
        <v>85</v>
      </c>
      <c r="W139" s="69" t="s">
        <v>85</v>
      </c>
      <c r="X139" s="69" t="s">
        <v>84</v>
      </c>
      <c r="Y139" s="69" t="s">
        <v>85</v>
      </c>
      <c r="Z139" s="69" t="s">
        <v>85</v>
      </c>
      <c r="AA139" s="69" t="s">
        <v>85</v>
      </c>
      <c r="AB139" s="69" t="s">
        <v>85</v>
      </c>
      <c r="AC139" s="69" t="s">
        <v>85</v>
      </c>
      <c r="AD139" s="38" t="str">
        <f>+IF(ISERROR(VLOOKUP($B139,AD$10:AD138,1,0)),IF(AND($N139&gt;=1000,$A139&gt;=AO$8,$A139&lt;=AO$9),$B139,""),"")</f>
        <v/>
      </c>
      <c r="AE139" s="38" t="str">
        <f>+IF(ISERROR(VLOOKUP($B139,AE$10:AE138,1,0)),IF(AND($N139&gt;=1000,$A139&gt;=AP$8,$A139&lt;=AP$9),$B139,""),"")</f>
        <v/>
      </c>
      <c r="AF139" s="38" t="str">
        <f>+IF(ISERROR(VLOOKUP($B139,AF$10:AF138,1,0)),IF(AND($N139&gt;=1000,$A139&gt;=AQ$8,$A139&lt;=AQ$9),$B139,""),"")</f>
        <v/>
      </c>
      <c r="AG139" s="38" t="str">
        <f>+IF(ISERROR(VLOOKUP($B139,AG$10:AG138,1,0)),IF(AND($N139&gt;=1000,$A139&gt;=AR$8,$A139&lt;=AR$9),$B139,""),"")</f>
        <v/>
      </c>
      <c r="AH139" s="38"/>
      <c r="AI139" s="70">
        <v>0</v>
      </c>
      <c r="AJ139" s="38">
        <f>IF(AND(AJ$7="○",$A139&gt;=AJ$8,$A139&lt;=AJ$9),IF(SUM(AJ$10:AJ138)-ROUNDDOWN($K139*AJ$5/100,0)&lt;-AJ$6,-AJ$6-SUM(AJ$10:AJ138),-ROUNDDOWN($K139*AJ$5/100,0)),0)</f>
        <v>0</v>
      </c>
      <c r="AK139" s="38">
        <f>IF(AND(AK$7="○",$A139&gt;=AK$8,$A139&lt;=AK$9),IF(SUM(AK$10:AK138)-ROUNDDOWN($L139*AK$5/100,0)&lt;-AK$6,-AK$6-SUM(AK$10:AK138),-ROUNDDOWN($L139*AK$5/100,0)),0)</f>
        <v>0</v>
      </c>
      <c r="AL139" s="38">
        <f>IF(AND(AL$7="○",$A139&gt;=AL$8,$A139&lt;=AL$9),IF(SUM(AL$10:AL138)-ROUNDDOWN($N139*AL$5/100,0)&lt;-AL$6,-AL$6-SUM(AL$10:AL138),-ROUNDDOWN($N139*AL$5/100,0)),0)</f>
        <v>0</v>
      </c>
      <c r="AM139" s="38">
        <f>IF(AND(AM$7="○",$A139&gt;=AM$8,$A139&lt;=AM$9),IF(SUM(AM$10:AM138)-ROUNDDOWN($L139*AM$5/100,0)&lt;-AM$6,-AM$6-SUM(AM$10:AM138),-ROUNDDOWN($L139*AM$5/100,0)),0)</f>
        <v>0</v>
      </c>
      <c r="AN139" s="38">
        <f>IF(AND(AN$7="○",$A139&gt;=AN$8,$A139&lt;=AN$9),IF(SUM(AN$10:AN138)-ROUNDDOWN($M139*AN$5/100,0)&lt;-AN$6,-AN$6-SUM(AN$10:AN138),-ROUNDDOWN($M139*AN$5/100,0)),0)</f>
        <v>0</v>
      </c>
      <c r="AO139" s="38">
        <f>IF(AND($A139&gt;=AO$8,$A139&lt;=AO$9),IF(SUM(AO$10:AO138)-ROUNDDOWN($K139*AO$5/100,0)&lt;-AO$6,-AO$6-SUM(AO$10:AO138),-ROUNDDOWN($K139*AO$5/100,0)),0)</f>
        <v>0</v>
      </c>
      <c r="AP139" s="38">
        <f>IF(AND($A139&gt;=AP$8,$A139&lt;=AP$9),IF(SUM(AP$10:AP138)-ROUNDDOWN($K139*AP$5/100,0)&lt;-AP$6,-AP$6-SUM(AP$10:AP138),-ROUNDDOWN($K139*AP$5/100,0)),0)</f>
        <v>0</v>
      </c>
      <c r="AQ139" s="38">
        <f>IF(AND($A139&gt;=AQ$8,$A139&lt;=AQ$9),IF(SUM(AQ$10:AQ138)-ROUNDDOWN($K139*AQ$5/100,0)&lt;-AQ$6,-AQ$6-SUM(AQ$10:AQ138),-ROUNDDOWN($K139*AQ$5/100,0)),0)</f>
        <v>0</v>
      </c>
      <c r="AR139" s="38">
        <f>IF(AND($A139&gt;=AR$8,$A139&lt;=AR$9),IF(SUM(AR$10:AR138)-ROUNDDOWN($K139*AR$5/100,0)&lt;-AR$6,-AR$6-SUM(AR$10:AR138),-ROUNDDOWN($K139*AR$5/100,0)),0)</f>
        <v>0</v>
      </c>
      <c r="AS139" s="38">
        <f>IF(SUMIFS(AS$10:AS138,$A$10:$A138,$A139)-ROUNDDOWN($K139*$S139/100,0)&lt;-$S139*1000,-$S139*1000-SUMIFS(AS$10:AS138,$A$10:$A138,$A139),-ROUNDDOWN($K139*$S139/100,0))</f>
        <v>0</v>
      </c>
      <c r="AT139" s="38">
        <f>IF(AND(X139="○",$A139&gt;=AT$8,$A139&lt;=AT$9,K139&gt;=3980),IF(SUM(AT$10:AT138)-ROUNDDOWN($K139*AT$5/100,0)&lt;-AT$6,-AT$6-SUM(AT$10:AT138),-ROUNDDOWN($K139*AT$5/100,0)),0)</f>
        <v>0</v>
      </c>
      <c r="AU139" s="38">
        <f>IF(O139="○",IF(SUM(AU$10:AU138)-ROUNDDOWN($K139*AU$5/100,0)&lt;-AU$6,-AU$6-SUM(AU$10:AU138),-ROUNDDOWN($K139*AU$5/100,0)),0)</f>
        <v>0</v>
      </c>
      <c r="AV139" s="38">
        <f>IF(P139="○",IF(SUM(AV$10:AV138)-ROUNDDOWN($K139*AV$5/100,0)&lt;-AV$6,-AV$6-SUM(AV$10:AV138),-ROUNDDOWN($K139*AV$5/100,0)),0)</f>
        <v>0</v>
      </c>
      <c r="AW139" s="38">
        <f>IF(Q139="○",IF(SUM(AW$10:AW138)-ROUNDDOWN($K139*AW$5/100,0)&lt;-AW$6,-AW$6-SUM(AW$10:AW138),-ROUNDDOWN($K139*AW$5/100,0)),0)</f>
        <v>0</v>
      </c>
      <c r="AX139" s="38">
        <f>IF(R139="○",IF(SUM(AX$10:AX138)-ROUNDDOWN($K139*AX$5/100,0)&lt;-AX$6,-AX$6-SUM(AX$10:AX138),-ROUNDDOWN($K139*AX$5/100,0)),0)</f>
        <v>0</v>
      </c>
      <c r="AY139" s="70">
        <v>0</v>
      </c>
      <c r="AZ139" s="65">
        <f t="shared" si="88"/>
        <v>0</v>
      </c>
      <c r="BA139" s="65">
        <f t="shared" si="89"/>
        <v>0</v>
      </c>
      <c r="BB139" s="70"/>
      <c r="BC139" s="65">
        <f t="shared" si="90"/>
        <v>0</v>
      </c>
      <c r="BD139" s="70">
        <v>0</v>
      </c>
      <c r="BE139" s="65">
        <f t="shared" si="91"/>
        <v>0</v>
      </c>
      <c r="BF139" s="70">
        <v>0</v>
      </c>
      <c r="BG139" s="65">
        <f t="shared" si="92"/>
        <v>0</v>
      </c>
      <c r="BH139" s="70">
        <v>0</v>
      </c>
      <c r="BI139" s="65">
        <f t="shared" si="93"/>
        <v>0</v>
      </c>
      <c r="BJ139" s="38">
        <f>IF(AND(BJ$7="○",$A139&gt;=BJ$8,$A139&lt;=BJ$9),IF(SUM(BJ$10:BJ138)-ROUNDDOWN($M139*BJ$5/100,0)&lt;-BJ$6,-BJ$6-SUM(BJ$10:BJ138),-ROUNDDOWN($M139*BJ$5/100,0)),0)</f>
        <v>0</v>
      </c>
      <c r="BK139" s="38">
        <f>IF(AND(BK$7="○",$A139&gt;=BK$8,$A139&lt;=BK$9),IF(SUM(BK$10:BK138)-ROUNDDOWN($L139*BK$5/100,0)&lt;-BK$6,-BK$6-SUM(BK$10:BK138),-ROUNDDOWN($L139*BK$5/100,0)),0)</f>
        <v>0</v>
      </c>
      <c r="BL139" s="38">
        <f>IF(AND(BL$7="○",$A139&gt;=BL$8,$A139&lt;=BL$9),IF(SUM(BL$10:BL138)-ROUNDDOWN($L139*BL$5/100,0)&lt;-BL$6,-BL$6-SUM(BL$10:BL138),-ROUNDDOWN($L139*BL$5/100,0)),0)</f>
        <v>0</v>
      </c>
      <c r="BM139" s="38">
        <f>IF(AND(BM$7="○",$A139&gt;=BM$8,$A139&lt;=BM$9),IF(SUM(BM$10:BM138)-ROUNDDOWN($M139*BM$5/100,0)&lt;-BM$6,-BM$6-SUM(BM$10:BM138),-ROUNDDOWN($M139*BM$5/100,0)),0)</f>
        <v>0</v>
      </c>
      <c r="BN139" s="38">
        <f>IF(AND(BN$7="○",$A139&gt;=BN$8,$A139&lt;=BN$9),IF(SUM(BN$10:BN138)-ROUNDDOWN($M139*BN$5/100,0)&lt;-BN$6,-BN$6-SUM(BN$10:BN138),-ROUNDDOWN($M139*BN$5/100,0)),0)</f>
        <v>0</v>
      </c>
      <c r="BO139" s="38">
        <f>IF(AND(BO$7="○",$A139&gt;=BO$8,$A139&lt;=BO$9),IF(SUM(BO$10:BO138)-ROUNDDOWN($M139*BO$5/100,0)&lt;-BO$6,-BO$6-SUM(BO$10:BO138),-ROUNDDOWN($M139*BO$5/100,0)),0)</f>
        <v>0</v>
      </c>
      <c r="BP139" s="38">
        <f>IF(AND(BP$7="○",$A139&gt;=BP$8,$A139&lt;=BP$9),IF(SUM(BP$10:BP138)-ROUNDDOWN($M139*BP$5/100,0)&lt;-BP$6,-BP$6-SUM(BP$10:BP138),-ROUNDDOWN($M139*BP$5/100,0)),0)</f>
        <v>0</v>
      </c>
      <c r="BQ139" s="38">
        <f>IF(AND(BQ$7="○",$A139&gt;=BQ$8,$A139&lt;=BQ$9),IF(SUM(BQ$10:BQ138)-ROUNDDOWN($L139*BQ$5/100,0)&lt;-BQ$6,-BQ$6-SUM(BQ$10:BQ138),-ROUNDDOWN($L139*BQ$5/100,0)),0)</f>
        <v>0</v>
      </c>
      <c r="BR139" s="38">
        <f>IF(AND(BR$7="○",$A139&gt;=BR$8,$A139&lt;=BR$9),IF(SUM(BR$10:BR138)-ROUNDDOWN($M139*BR$5/100,0)&lt;-BR$6,-BR$6-SUM(BR$10:BR138),-ROUNDDOWN($M139*BR$5/100,0)),0)</f>
        <v>0</v>
      </c>
      <c r="BS139" s="38">
        <f>IF(AND(BS$7="○",$A139&gt;=BS$8,$A139&lt;=BS$9),IF(SUM(BS$10:BS138)-ROUNDDOWN($M139*BS$5/100,0)&lt;-BS$6,-BS$6-SUM(BS$10:BS138),-ROUNDDOWN($M139*BS$5/100,0)),0)</f>
        <v>0</v>
      </c>
      <c r="BT139" s="38">
        <f>IF(AND(BT$7="○",$A139&gt;=BT$8,$A139&lt;=BT$9),IF(SUM(BT$10:BT138)-ROUNDDOWN($M139*BT$5/100,0)&lt;-BT$6,-BT$6-SUM(BT$10:BT138),-ROUNDDOWN($M139*BT$5/100,0)),0)</f>
        <v>0</v>
      </c>
      <c r="BU139" s="38">
        <f>IF(AND(BU$7="○",$A139&gt;=BU$8,$A139&lt;=BU$9),IF(SUM(BU$10:BU138)-ROUNDDOWN($M139*BU$5/100,0)&lt;-BU$6,-BU$6-SUM(BU$10:BU138),-ROUNDDOWN($M139*BU$5/100,0)),0)</f>
        <v>0</v>
      </c>
      <c r="BV139" s="38">
        <f>IF(AND(BV$7="○",$A139&gt;=BV$8,$A139&lt;=BV$9),IF(SUM(BV$10:BV138)-ROUNDDOWN($M139*BV$5/100,0)&lt;-BV$6,-BV$6-SUM(BV$10:BV138),-ROUNDDOWN($M139*BV$5/100,0)),0)</f>
        <v>0</v>
      </c>
      <c r="BW139" s="38">
        <f>IF(AND(BW$7="○",$A139&gt;=BW$8,$A139&lt;=BW$9),IF(SUM(BW$10:BW138)-ROUNDDOWN($M139*BW$5/100,0)&lt;-BW$6,-BW$6-SUM(BW$10:BW138),-ROUNDDOWN($M139*BW$5/100,0)),0)</f>
        <v>0</v>
      </c>
      <c r="BX139" s="38">
        <f>IF(AND(T139="○",$A139&gt;=BX$8,$A139&lt;=BX$9),IF(SUM(BX$10:BX138)-ROUNDDOWN($K139*BX$5/100,0)&lt;-BX$6,-BX$6-SUM(BX$10:BX138),-ROUNDDOWN($K139*BX$5/100,0)),0)</f>
        <v>0</v>
      </c>
      <c r="BY139" s="38">
        <f>IF(AND(U139="○",$A139&gt;=BY$8,$A139&lt;=BY$9),IF(SUM(BY$10:BY138)-ROUNDDOWN($K139*BY$5/100,0)&lt;-BY$6,-BY$6-SUM(BY$10:BY138),-ROUNDDOWN($K139*BY$5/100,0)),0)</f>
        <v>0</v>
      </c>
      <c r="BZ139" s="38">
        <f>IF(AND(V139="○",$A139&gt;=BZ$8,$A139&lt;=BZ$9),IF(SUM(BZ$10:BZ138)-ROUNDDOWN($K139*BZ$5/100,0)&lt;-BZ$6,-BZ$6-SUM(BZ$10:BZ138),-ROUNDDOWN($K139*BZ$5/100,0)),0)</f>
        <v>0</v>
      </c>
      <c r="CA139" s="38">
        <f>IF(AND(W139="○",$A139&gt;=CA$8,$A139&lt;=CA$9),IF(SUM(CA$10:CA138)-ROUNDDOWN($K139*CA$5/100,0)&lt;-CA$6,-CA$6-SUM(CA$10:CA138),-ROUNDDOWN($K139*CA$5/100,0)),0)</f>
        <v>0</v>
      </c>
      <c r="CB139" s="38"/>
      <c r="CC139" s="38"/>
      <c r="CD139" s="38"/>
      <c r="CE139" s="38"/>
      <c r="CF139" s="38"/>
      <c r="CG139" s="65">
        <f t="shared" si="94"/>
        <v>0</v>
      </c>
      <c r="CH139" s="71">
        <f t="shared" si="95"/>
        <v>0</v>
      </c>
      <c r="CI139" s="1">
        <f t="shared" si="127"/>
        <v>0</v>
      </c>
      <c r="CJ139" s="1"/>
      <c r="CK139" s="72"/>
      <c r="CL139" s="72"/>
      <c r="CM139" s="2"/>
      <c r="CN139" s="2"/>
      <c r="CO139" s="73">
        <f t="shared" si="128"/>
        <v>0</v>
      </c>
      <c r="CP139" s="5">
        <f t="shared" si="129"/>
        <v>0</v>
      </c>
      <c r="CQ139" s="1"/>
      <c r="CR139" s="1">
        <f t="shared" si="130"/>
        <v>0</v>
      </c>
      <c r="CS139" s="1"/>
      <c r="CT139" s="1" t="e">
        <f>INDEX([2]マスタ!$A:$A,MATCH(D139,[2]マスタ!$C:$C,0))</f>
        <v>#N/A</v>
      </c>
      <c r="CU139" s="1" t="str">
        <f t="shared" ca="1" si="131"/>
        <v>20260620_0-0</v>
      </c>
    </row>
    <row r="140" spans="1:99" x14ac:dyDescent="0.4">
      <c r="A140" s="61"/>
      <c r="B140" s="62"/>
      <c r="C140" s="62"/>
      <c r="D140" s="62"/>
      <c r="E140" s="74"/>
      <c r="F140" s="62"/>
      <c r="G140" s="62">
        <v>1</v>
      </c>
      <c r="H140" s="64">
        <f t="shared" si="118"/>
        <v>0</v>
      </c>
      <c r="I140" s="64"/>
      <c r="J140" s="64"/>
      <c r="K140" s="65">
        <f t="shared" si="119"/>
        <v>0</v>
      </c>
      <c r="L140" s="65">
        <f t="shared" si="120"/>
        <v>0</v>
      </c>
      <c r="M140" s="65">
        <f t="shared" si="121"/>
        <v>0</v>
      </c>
      <c r="N140" s="65">
        <f t="shared" si="122"/>
        <v>0</v>
      </c>
      <c r="O140" s="66" t="str">
        <f t="shared" si="123"/>
        <v>✕</v>
      </c>
      <c r="P140" s="67" t="str">
        <f t="shared" si="124"/>
        <v>○</v>
      </c>
      <c r="Q140" s="67" t="str">
        <f t="shared" si="125"/>
        <v>✕</v>
      </c>
      <c r="R140" s="67" t="str">
        <f t="shared" si="126"/>
        <v>✕</v>
      </c>
      <c r="S140" s="68">
        <v>0</v>
      </c>
      <c r="T140" s="69" t="s">
        <v>85</v>
      </c>
      <c r="U140" s="69" t="s">
        <v>85</v>
      </c>
      <c r="V140" s="69" t="s">
        <v>85</v>
      </c>
      <c r="W140" s="69" t="s">
        <v>85</v>
      </c>
      <c r="X140" s="69" t="s">
        <v>84</v>
      </c>
      <c r="Y140" s="69" t="s">
        <v>85</v>
      </c>
      <c r="Z140" s="69" t="s">
        <v>85</v>
      </c>
      <c r="AA140" s="69" t="s">
        <v>85</v>
      </c>
      <c r="AB140" s="69" t="s">
        <v>85</v>
      </c>
      <c r="AC140" s="69" t="s">
        <v>85</v>
      </c>
      <c r="AD140" s="38" t="str">
        <f>+IF(ISERROR(VLOOKUP($B140,AD$10:AD139,1,0)),IF(AND($N140&gt;=1000,$A140&gt;=AO$8,$A140&lt;=AO$9),$B140,""),"")</f>
        <v/>
      </c>
      <c r="AE140" s="38" t="str">
        <f>+IF(ISERROR(VLOOKUP($B140,AE$10:AE139,1,0)),IF(AND($N140&gt;=1000,$A140&gt;=AP$8,$A140&lt;=AP$9),$B140,""),"")</f>
        <v/>
      </c>
      <c r="AF140" s="38" t="str">
        <f>+IF(ISERROR(VLOOKUP($B140,AF$10:AF139,1,0)),IF(AND($N140&gt;=1000,$A140&gt;=AQ$8,$A140&lt;=AQ$9),$B140,""),"")</f>
        <v/>
      </c>
      <c r="AG140" s="38" t="str">
        <f>+IF(ISERROR(VLOOKUP($B140,AG$10:AG139,1,0)),IF(AND($N140&gt;=1000,$A140&gt;=AR$8,$A140&lt;=AR$9),$B140,""),"")</f>
        <v/>
      </c>
      <c r="AH140" s="38"/>
      <c r="AI140" s="70">
        <v>0</v>
      </c>
      <c r="AJ140" s="38">
        <f>IF(AND(AJ$7="○",$A140&gt;=AJ$8,$A140&lt;=AJ$9),IF(SUM(AJ$10:AJ139)-ROUNDDOWN($K140*AJ$5/100,0)&lt;-AJ$6,-AJ$6-SUM(AJ$10:AJ139),-ROUNDDOWN($K140*AJ$5/100,0)),0)</f>
        <v>0</v>
      </c>
      <c r="AK140" s="38">
        <f>IF(AND(AK$7="○",$A140&gt;=AK$8,$A140&lt;=AK$9),IF(SUM(AK$10:AK139)-ROUNDDOWN($L140*AK$5/100,0)&lt;-AK$6,-AK$6-SUM(AK$10:AK139),-ROUNDDOWN($L140*AK$5/100,0)),0)</f>
        <v>0</v>
      </c>
      <c r="AL140" s="38">
        <f>IF(AND(AL$7="○",$A140&gt;=AL$8,$A140&lt;=AL$9),IF(SUM(AL$10:AL139)-ROUNDDOWN($N140*AL$5/100,0)&lt;-AL$6,-AL$6-SUM(AL$10:AL139),-ROUNDDOWN($N140*AL$5/100,0)),0)</f>
        <v>0</v>
      </c>
      <c r="AM140" s="38">
        <f>IF(AND(AM$7="○",$A140&gt;=AM$8,$A140&lt;=AM$9),IF(SUM(AM$10:AM139)-ROUNDDOWN($L140*AM$5/100,0)&lt;-AM$6,-AM$6-SUM(AM$10:AM139),-ROUNDDOWN($L140*AM$5/100,0)),0)</f>
        <v>0</v>
      </c>
      <c r="AN140" s="38">
        <f>IF(AND(AN$7="○",$A140&gt;=AN$8,$A140&lt;=AN$9),IF(SUM(AN$10:AN139)-ROUNDDOWN($M140*AN$5/100,0)&lt;-AN$6,-AN$6-SUM(AN$10:AN139),-ROUNDDOWN($M140*AN$5/100,0)),0)</f>
        <v>0</v>
      </c>
      <c r="AO140" s="38">
        <f>IF(AND($A140&gt;=AO$8,$A140&lt;=AO$9),IF(SUM(AO$10:AO139)-ROUNDDOWN($K140*AO$5/100,0)&lt;-AO$6,-AO$6-SUM(AO$10:AO139),-ROUNDDOWN($K140*AO$5/100,0)),0)</f>
        <v>0</v>
      </c>
      <c r="AP140" s="38">
        <f>IF(AND($A140&gt;=AP$8,$A140&lt;=AP$9),IF(SUM(AP$10:AP139)-ROUNDDOWN($K140*AP$5/100,0)&lt;-AP$6,-AP$6-SUM(AP$10:AP139),-ROUNDDOWN($K140*AP$5/100,0)),0)</f>
        <v>0</v>
      </c>
      <c r="AQ140" s="38">
        <f>IF(AND($A140&gt;=AQ$8,$A140&lt;=AQ$9),IF(SUM(AQ$10:AQ139)-ROUNDDOWN($K140*AQ$5/100,0)&lt;-AQ$6,-AQ$6-SUM(AQ$10:AQ139),-ROUNDDOWN($K140*AQ$5/100,0)),0)</f>
        <v>0</v>
      </c>
      <c r="AR140" s="38">
        <f>IF(AND($A140&gt;=AR$8,$A140&lt;=AR$9),IF(SUM(AR$10:AR139)-ROUNDDOWN($K140*AR$5/100,0)&lt;-AR$6,-AR$6-SUM(AR$10:AR139),-ROUNDDOWN($K140*AR$5/100,0)),0)</f>
        <v>0</v>
      </c>
      <c r="AS140" s="38">
        <f>IF(SUMIFS(AS$10:AS139,$A$10:$A139,$A140)-ROUNDDOWN($K140*$S140/100,0)&lt;-$S140*1000,-$S140*1000-SUMIFS(AS$10:AS139,$A$10:$A139,$A140),-ROUNDDOWN($K140*$S140/100,0))</f>
        <v>0</v>
      </c>
      <c r="AT140" s="38">
        <f>IF(AND(X140="○",$A140&gt;=AT$8,$A140&lt;=AT$9,K140&gt;=3980),IF(SUM(AT$10:AT139)-ROUNDDOWN($K140*AT$5/100,0)&lt;-AT$6,-AT$6-SUM(AT$10:AT139),-ROUNDDOWN($K140*AT$5/100,0)),0)</f>
        <v>0</v>
      </c>
      <c r="AU140" s="38">
        <f>IF(O140="○",IF(SUM(AU$10:AU139)-ROUNDDOWN($K140*AU$5/100,0)&lt;-AU$6,-AU$6-SUM(AU$10:AU139),-ROUNDDOWN($K140*AU$5/100,0)),0)</f>
        <v>0</v>
      </c>
      <c r="AV140" s="38">
        <f>IF(P140="○",IF(SUM(AV$10:AV139)-ROUNDDOWN($K140*AV$5/100,0)&lt;-AV$6,-AV$6-SUM(AV$10:AV139),-ROUNDDOWN($K140*AV$5/100,0)),0)</f>
        <v>0</v>
      </c>
      <c r="AW140" s="38">
        <f>IF(Q140="○",IF(SUM(AW$10:AW139)-ROUNDDOWN($K140*AW$5/100,0)&lt;-AW$6,-AW$6-SUM(AW$10:AW139),-ROUNDDOWN($K140*AW$5/100,0)),0)</f>
        <v>0</v>
      </c>
      <c r="AX140" s="38">
        <f>IF(R140="○",IF(SUM(AX$10:AX139)-ROUNDDOWN($K140*AX$5/100,0)&lt;-AX$6,-AX$6-SUM(AX$10:AX139),-ROUNDDOWN($K140*AX$5/100,0)),0)</f>
        <v>0</v>
      </c>
      <c r="AY140" s="70">
        <v>0</v>
      </c>
      <c r="AZ140" s="65">
        <f t="shared" si="88"/>
        <v>0</v>
      </c>
      <c r="BA140" s="65">
        <f t="shared" si="89"/>
        <v>0</v>
      </c>
      <c r="BB140" s="70"/>
      <c r="BC140" s="65">
        <f t="shared" si="90"/>
        <v>0</v>
      </c>
      <c r="BD140" s="70">
        <v>0</v>
      </c>
      <c r="BE140" s="65">
        <f t="shared" si="91"/>
        <v>0</v>
      </c>
      <c r="BF140" s="70">
        <v>0</v>
      </c>
      <c r="BG140" s="65">
        <f t="shared" si="92"/>
        <v>0</v>
      </c>
      <c r="BH140" s="70">
        <v>0</v>
      </c>
      <c r="BI140" s="65">
        <f t="shared" si="93"/>
        <v>0</v>
      </c>
      <c r="BJ140" s="38">
        <f>IF(AND(BJ$7="○",$A140&gt;=BJ$8,$A140&lt;=BJ$9),IF(SUM(BJ$10:BJ139)-ROUNDDOWN($M140*BJ$5/100,0)&lt;-BJ$6,-BJ$6-SUM(BJ$10:BJ139),-ROUNDDOWN($M140*BJ$5/100,0)),0)</f>
        <v>0</v>
      </c>
      <c r="BK140" s="38">
        <f>IF(AND(BK$7="○",$A140&gt;=BK$8,$A140&lt;=BK$9),IF(SUM(BK$10:BK139)-ROUNDDOWN($L140*BK$5/100,0)&lt;-BK$6,-BK$6-SUM(BK$10:BK139),-ROUNDDOWN($L140*BK$5/100,0)),0)</f>
        <v>0</v>
      </c>
      <c r="BL140" s="38">
        <f>IF(AND(BL$7="○",$A140&gt;=BL$8,$A140&lt;=BL$9),IF(SUM(BL$10:BL139)-ROUNDDOWN($L140*BL$5/100,0)&lt;-BL$6,-BL$6-SUM(BL$10:BL139),-ROUNDDOWN($L140*BL$5/100,0)),0)</f>
        <v>0</v>
      </c>
      <c r="BM140" s="38">
        <f>IF(AND(BM$7="○",$A140&gt;=BM$8,$A140&lt;=BM$9),IF(SUM(BM$10:BM139)-ROUNDDOWN($M140*BM$5/100,0)&lt;-BM$6,-BM$6-SUM(BM$10:BM139),-ROUNDDOWN($M140*BM$5/100,0)),0)</f>
        <v>0</v>
      </c>
      <c r="BN140" s="38">
        <f>IF(AND(BN$7="○",$A140&gt;=BN$8,$A140&lt;=BN$9),IF(SUM(BN$10:BN139)-ROUNDDOWN($M140*BN$5/100,0)&lt;-BN$6,-BN$6-SUM(BN$10:BN139),-ROUNDDOWN($M140*BN$5/100,0)),0)</f>
        <v>0</v>
      </c>
      <c r="BO140" s="38">
        <f>IF(AND(BO$7="○",$A140&gt;=BO$8,$A140&lt;=BO$9),IF(SUM(BO$10:BO139)-ROUNDDOWN($M140*BO$5/100,0)&lt;-BO$6,-BO$6-SUM(BO$10:BO139),-ROUNDDOWN($M140*BO$5/100,0)),0)</f>
        <v>0</v>
      </c>
      <c r="BP140" s="38">
        <f>IF(AND(BP$7="○",$A140&gt;=BP$8,$A140&lt;=BP$9),IF(SUM(BP$10:BP139)-ROUNDDOWN($M140*BP$5/100,0)&lt;-BP$6,-BP$6-SUM(BP$10:BP139),-ROUNDDOWN($M140*BP$5/100,0)),0)</f>
        <v>0</v>
      </c>
      <c r="BQ140" s="38">
        <f>IF(AND(BQ$7="○",$A140&gt;=BQ$8,$A140&lt;=BQ$9),IF(SUM(BQ$10:BQ139)-ROUNDDOWN($L140*BQ$5/100,0)&lt;-BQ$6,-BQ$6-SUM(BQ$10:BQ139),-ROUNDDOWN($L140*BQ$5/100,0)),0)</f>
        <v>0</v>
      </c>
      <c r="BR140" s="38">
        <f>IF(AND(BR$7="○",$A140&gt;=BR$8,$A140&lt;=BR$9),IF(SUM(BR$10:BR139)-ROUNDDOWN($M140*BR$5/100,0)&lt;-BR$6,-BR$6-SUM(BR$10:BR139),-ROUNDDOWN($M140*BR$5/100,0)),0)</f>
        <v>0</v>
      </c>
      <c r="BS140" s="38">
        <f>IF(AND(BS$7="○",$A140&gt;=BS$8,$A140&lt;=BS$9),IF(SUM(BS$10:BS139)-ROUNDDOWN($M140*BS$5/100,0)&lt;-BS$6,-BS$6-SUM(BS$10:BS139),-ROUNDDOWN($M140*BS$5/100,0)),0)</f>
        <v>0</v>
      </c>
      <c r="BT140" s="38">
        <f>IF(AND(BT$7="○",$A140&gt;=BT$8,$A140&lt;=BT$9),IF(SUM(BT$10:BT139)-ROUNDDOWN($M140*BT$5/100,0)&lt;-BT$6,-BT$6-SUM(BT$10:BT139),-ROUNDDOWN($M140*BT$5/100,0)),0)</f>
        <v>0</v>
      </c>
      <c r="BU140" s="38">
        <f>IF(AND(BU$7="○",$A140&gt;=BU$8,$A140&lt;=BU$9),IF(SUM(BU$10:BU139)-ROUNDDOWN($M140*BU$5/100,0)&lt;-BU$6,-BU$6-SUM(BU$10:BU139),-ROUNDDOWN($M140*BU$5/100,0)),0)</f>
        <v>0</v>
      </c>
      <c r="BV140" s="38">
        <f>IF(AND(BV$7="○",$A140&gt;=BV$8,$A140&lt;=BV$9),IF(SUM(BV$10:BV139)-ROUNDDOWN($M140*BV$5/100,0)&lt;-BV$6,-BV$6-SUM(BV$10:BV139),-ROUNDDOWN($M140*BV$5/100,0)),0)</f>
        <v>0</v>
      </c>
      <c r="BW140" s="38">
        <f>IF(AND(BW$7="○",$A140&gt;=BW$8,$A140&lt;=BW$9),IF(SUM(BW$10:BW139)-ROUNDDOWN($M140*BW$5/100,0)&lt;-BW$6,-BW$6-SUM(BW$10:BW139),-ROUNDDOWN($M140*BW$5/100,0)),0)</f>
        <v>0</v>
      </c>
      <c r="BX140" s="38">
        <f>IF(AND(T140="○",$A140&gt;=BX$8,$A140&lt;=BX$9),IF(SUM(BX$10:BX139)-ROUNDDOWN($K140*BX$5/100,0)&lt;-BX$6,-BX$6-SUM(BX$10:BX139),-ROUNDDOWN($K140*BX$5/100,0)),0)</f>
        <v>0</v>
      </c>
      <c r="BY140" s="38">
        <f>IF(AND(U140="○",$A140&gt;=BY$8,$A140&lt;=BY$9),IF(SUM(BY$10:BY139)-ROUNDDOWN($K140*BY$5/100,0)&lt;-BY$6,-BY$6-SUM(BY$10:BY139),-ROUNDDOWN($K140*BY$5/100,0)),0)</f>
        <v>0</v>
      </c>
      <c r="BZ140" s="38">
        <f>IF(AND(V140="○",$A140&gt;=BZ$8,$A140&lt;=BZ$9),IF(SUM(BZ$10:BZ139)-ROUNDDOWN($K140*BZ$5/100,0)&lt;-BZ$6,-BZ$6-SUM(BZ$10:BZ139),-ROUNDDOWN($K140*BZ$5/100,0)),0)</f>
        <v>0</v>
      </c>
      <c r="CA140" s="38">
        <f>IF(AND(W140="○",$A140&gt;=CA$8,$A140&lt;=CA$9),IF(SUM(CA$10:CA139)-ROUNDDOWN($K140*CA$5/100,0)&lt;-CA$6,-CA$6-SUM(CA$10:CA139),-ROUNDDOWN($K140*CA$5/100,0)),0)</f>
        <v>0</v>
      </c>
      <c r="CB140" s="38"/>
      <c r="CC140" s="38"/>
      <c r="CD140" s="38"/>
      <c r="CE140" s="38"/>
      <c r="CF140" s="38"/>
      <c r="CG140" s="65">
        <f t="shared" si="94"/>
        <v>0</v>
      </c>
      <c r="CH140" s="71">
        <f t="shared" si="95"/>
        <v>0</v>
      </c>
      <c r="CI140" s="1">
        <f t="shared" si="127"/>
        <v>0</v>
      </c>
      <c r="CJ140" s="1"/>
      <c r="CK140" s="72"/>
      <c r="CL140" s="72"/>
      <c r="CM140" s="2"/>
      <c r="CN140" s="2"/>
      <c r="CO140" s="73">
        <f t="shared" si="128"/>
        <v>0</v>
      </c>
      <c r="CP140" s="5">
        <f t="shared" si="129"/>
        <v>0</v>
      </c>
      <c r="CQ140" s="1"/>
      <c r="CR140" s="1">
        <f t="shared" si="130"/>
        <v>0</v>
      </c>
      <c r="CS140" s="1"/>
      <c r="CT140" s="1" t="e">
        <f>INDEX([2]マスタ!$A:$A,MATCH(D140,[2]マスタ!$C:$C,0))</f>
        <v>#N/A</v>
      </c>
      <c r="CU140" s="1" t="str">
        <f t="shared" ca="1" si="131"/>
        <v>20260620_0-0</v>
      </c>
    </row>
    <row r="141" spans="1:99" x14ac:dyDescent="0.4">
      <c r="A141" s="61"/>
      <c r="B141" s="62"/>
      <c r="C141" s="62"/>
      <c r="D141" s="62"/>
      <c r="E141" s="74"/>
      <c r="F141" s="62"/>
      <c r="G141" s="62">
        <v>1</v>
      </c>
      <c r="H141" s="64">
        <f t="shared" si="118"/>
        <v>0</v>
      </c>
      <c r="I141" s="64"/>
      <c r="J141" s="64"/>
      <c r="K141" s="65">
        <f t="shared" si="119"/>
        <v>0</v>
      </c>
      <c r="L141" s="65">
        <f t="shared" si="120"/>
        <v>0</v>
      </c>
      <c r="M141" s="65">
        <f t="shared" si="121"/>
        <v>0</v>
      </c>
      <c r="N141" s="65">
        <f t="shared" si="122"/>
        <v>0</v>
      </c>
      <c r="O141" s="66" t="str">
        <f t="shared" si="123"/>
        <v>✕</v>
      </c>
      <c r="P141" s="67" t="str">
        <f t="shared" si="124"/>
        <v>○</v>
      </c>
      <c r="Q141" s="67" t="str">
        <f t="shared" si="125"/>
        <v>✕</v>
      </c>
      <c r="R141" s="67" t="str">
        <f t="shared" si="126"/>
        <v>✕</v>
      </c>
      <c r="S141" s="68">
        <v>0</v>
      </c>
      <c r="T141" s="69" t="s">
        <v>85</v>
      </c>
      <c r="U141" s="69" t="s">
        <v>85</v>
      </c>
      <c r="V141" s="69" t="s">
        <v>85</v>
      </c>
      <c r="W141" s="69" t="s">
        <v>85</v>
      </c>
      <c r="X141" s="69" t="s">
        <v>84</v>
      </c>
      <c r="Y141" s="69" t="s">
        <v>85</v>
      </c>
      <c r="Z141" s="69" t="s">
        <v>85</v>
      </c>
      <c r="AA141" s="69" t="s">
        <v>85</v>
      </c>
      <c r="AB141" s="69" t="s">
        <v>85</v>
      </c>
      <c r="AC141" s="69" t="s">
        <v>85</v>
      </c>
      <c r="AD141" s="38" t="str">
        <f>+IF(ISERROR(VLOOKUP($B141,AD$10:AD140,1,0)),IF(AND($N141&gt;=1000,$A141&gt;=AO$8,$A141&lt;=AO$9),$B141,""),"")</f>
        <v/>
      </c>
      <c r="AE141" s="38" t="str">
        <f>+IF(ISERROR(VLOOKUP($B141,AE$10:AE140,1,0)),IF(AND($N141&gt;=1000,$A141&gt;=AP$8,$A141&lt;=AP$9),$B141,""),"")</f>
        <v/>
      </c>
      <c r="AF141" s="38" t="str">
        <f>+IF(ISERROR(VLOOKUP($B141,AF$10:AF140,1,0)),IF(AND($N141&gt;=1000,$A141&gt;=AQ$8,$A141&lt;=AQ$9),$B141,""),"")</f>
        <v/>
      </c>
      <c r="AG141" s="38" t="str">
        <f>+IF(ISERROR(VLOOKUP($B141,AG$10:AG140,1,0)),IF(AND($N141&gt;=1000,$A141&gt;=AR$8,$A141&lt;=AR$9),$B141,""),"")</f>
        <v/>
      </c>
      <c r="AH141" s="38"/>
      <c r="AI141" s="70">
        <v>0</v>
      </c>
      <c r="AJ141" s="38">
        <f>IF(AND(AJ$7="○",$A141&gt;=AJ$8,$A141&lt;=AJ$9),IF(SUM(AJ$10:AJ140)-ROUNDDOWN($K141*AJ$5/100,0)&lt;-AJ$6,-AJ$6-SUM(AJ$10:AJ140),-ROUNDDOWN($K141*AJ$5/100,0)),0)</f>
        <v>0</v>
      </c>
      <c r="AK141" s="38">
        <f>IF(AND(AK$7="○",$A141&gt;=AK$8,$A141&lt;=AK$9),IF(SUM(AK$10:AK140)-ROUNDDOWN($L141*AK$5/100,0)&lt;-AK$6,-AK$6-SUM(AK$10:AK140),-ROUNDDOWN($L141*AK$5/100,0)),0)</f>
        <v>0</v>
      </c>
      <c r="AL141" s="38">
        <f>IF(AND(AL$7="○",$A141&gt;=AL$8,$A141&lt;=AL$9),IF(SUM(AL$10:AL140)-ROUNDDOWN($N141*AL$5/100,0)&lt;-AL$6,-AL$6-SUM(AL$10:AL140),-ROUNDDOWN($N141*AL$5/100,0)),0)</f>
        <v>0</v>
      </c>
      <c r="AM141" s="38">
        <f>IF(AND(AM$7="○",$A141&gt;=AM$8,$A141&lt;=AM$9),IF(SUM(AM$10:AM140)-ROUNDDOWN($L141*AM$5/100,0)&lt;-AM$6,-AM$6-SUM(AM$10:AM140),-ROUNDDOWN($L141*AM$5/100,0)),0)</f>
        <v>0</v>
      </c>
      <c r="AN141" s="38">
        <f>IF(AND(AN$7="○",$A141&gt;=AN$8,$A141&lt;=AN$9),IF(SUM(AN$10:AN140)-ROUNDDOWN($M141*AN$5/100,0)&lt;-AN$6,-AN$6-SUM(AN$10:AN140),-ROUNDDOWN($M141*AN$5/100,0)),0)</f>
        <v>0</v>
      </c>
      <c r="AO141" s="38">
        <f>IF(AND($A141&gt;=AO$8,$A141&lt;=AO$9),IF(SUM(AO$10:AO140)-ROUNDDOWN($K141*AO$5/100,0)&lt;-AO$6,-AO$6-SUM(AO$10:AO140),-ROUNDDOWN($K141*AO$5/100,0)),0)</f>
        <v>0</v>
      </c>
      <c r="AP141" s="38">
        <f>IF(AND($A141&gt;=AP$8,$A141&lt;=AP$9),IF(SUM(AP$10:AP140)-ROUNDDOWN($K141*AP$5/100,0)&lt;-AP$6,-AP$6-SUM(AP$10:AP140),-ROUNDDOWN($K141*AP$5/100,0)),0)</f>
        <v>0</v>
      </c>
      <c r="AQ141" s="38">
        <f>IF(AND($A141&gt;=AQ$8,$A141&lt;=AQ$9),IF(SUM(AQ$10:AQ140)-ROUNDDOWN($K141*AQ$5/100,0)&lt;-AQ$6,-AQ$6-SUM(AQ$10:AQ140),-ROUNDDOWN($K141*AQ$5/100,0)),0)</f>
        <v>0</v>
      </c>
      <c r="AR141" s="38">
        <f>IF(AND($A141&gt;=AR$8,$A141&lt;=AR$9),IF(SUM(AR$10:AR140)-ROUNDDOWN($K141*AR$5/100,0)&lt;-AR$6,-AR$6-SUM(AR$10:AR140),-ROUNDDOWN($K141*AR$5/100,0)),0)</f>
        <v>0</v>
      </c>
      <c r="AS141" s="38">
        <f>IF(SUMIFS(AS$10:AS140,$A$10:$A140,$A141)-ROUNDDOWN($K141*$S141/100,0)&lt;-$S141*1000,-$S141*1000-SUMIFS(AS$10:AS140,$A$10:$A140,$A141),-ROUNDDOWN($K141*$S141/100,0))</f>
        <v>0</v>
      </c>
      <c r="AT141" s="38">
        <f>IF(AND(X141="○",$A141&gt;=AT$8,$A141&lt;=AT$9,K141&gt;=3980),IF(SUM(AT$10:AT140)-ROUNDDOWN($K141*AT$5/100,0)&lt;-AT$6,-AT$6-SUM(AT$10:AT140),-ROUNDDOWN($K141*AT$5/100,0)),0)</f>
        <v>0</v>
      </c>
      <c r="AU141" s="38">
        <f>IF(O141="○",IF(SUM(AU$10:AU140)-ROUNDDOWN($K141*AU$5/100,0)&lt;-AU$6,-AU$6-SUM(AU$10:AU140),-ROUNDDOWN($K141*AU$5/100,0)),0)</f>
        <v>0</v>
      </c>
      <c r="AV141" s="38">
        <f>IF(P141="○",IF(SUM(AV$10:AV140)-ROUNDDOWN($K141*AV$5/100,0)&lt;-AV$6,-AV$6-SUM(AV$10:AV140),-ROUNDDOWN($K141*AV$5/100,0)),0)</f>
        <v>0</v>
      </c>
      <c r="AW141" s="38">
        <f>IF(Q141="○",IF(SUM(AW$10:AW140)-ROUNDDOWN($K141*AW$5/100,0)&lt;-AW$6,-AW$6-SUM(AW$10:AW140),-ROUNDDOWN($K141*AW$5/100,0)),0)</f>
        <v>0</v>
      </c>
      <c r="AX141" s="38">
        <f>IF(R141="○",IF(SUM(AX$10:AX140)-ROUNDDOWN($K141*AX$5/100,0)&lt;-AX$6,-AX$6-SUM(AX$10:AX140),-ROUNDDOWN($K141*AX$5/100,0)),0)</f>
        <v>0</v>
      </c>
      <c r="AY141" s="70">
        <v>0</v>
      </c>
      <c r="AZ141" s="65">
        <f t="shared" si="88"/>
        <v>0</v>
      </c>
      <c r="BA141" s="65">
        <f t="shared" si="89"/>
        <v>0</v>
      </c>
      <c r="BB141" s="70"/>
      <c r="BC141" s="65">
        <f t="shared" si="90"/>
        <v>0</v>
      </c>
      <c r="BD141" s="70">
        <v>0</v>
      </c>
      <c r="BE141" s="65">
        <f t="shared" si="91"/>
        <v>0</v>
      </c>
      <c r="BF141" s="70">
        <v>0</v>
      </c>
      <c r="BG141" s="65">
        <f t="shared" si="92"/>
        <v>0</v>
      </c>
      <c r="BH141" s="70">
        <v>0</v>
      </c>
      <c r="BI141" s="65">
        <f t="shared" si="93"/>
        <v>0</v>
      </c>
      <c r="BJ141" s="38">
        <f>IF(AND(BJ$7="○",$A141&gt;=BJ$8,$A141&lt;=BJ$9),IF(SUM(BJ$10:BJ140)-ROUNDDOWN($M141*BJ$5/100,0)&lt;-BJ$6,-BJ$6-SUM(BJ$10:BJ140),-ROUNDDOWN($M141*BJ$5/100,0)),0)</f>
        <v>0</v>
      </c>
      <c r="BK141" s="38">
        <f>IF(AND(BK$7="○",$A141&gt;=BK$8,$A141&lt;=BK$9),IF(SUM(BK$10:BK140)-ROUNDDOWN($L141*BK$5/100,0)&lt;-BK$6,-BK$6-SUM(BK$10:BK140),-ROUNDDOWN($L141*BK$5/100,0)),0)</f>
        <v>0</v>
      </c>
      <c r="BL141" s="38">
        <f>IF(AND(BL$7="○",$A141&gt;=BL$8,$A141&lt;=BL$9),IF(SUM(BL$10:BL140)-ROUNDDOWN($L141*BL$5/100,0)&lt;-BL$6,-BL$6-SUM(BL$10:BL140),-ROUNDDOWN($L141*BL$5/100,0)),0)</f>
        <v>0</v>
      </c>
      <c r="BM141" s="38">
        <f>IF(AND(BM$7="○",$A141&gt;=BM$8,$A141&lt;=BM$9),IF(SUM(BM$10:BM140)-ROUNDDOWN($M141*BM$5/100,0)&lt;-BM$6,-BM$6-SUM(BM$10:BM140),-ROUNDDOWN($M141*BM$5/100,0)),0)</f>
        <v>0</v>
      </c>
      <c r="BN141" s="38">
        <f>IF(AND(BN$7="○",$A141&gt;=BN$8,$A141&lt;=BN$9),IF(SUM(BN$10:BN140)-ROUNDDOWN($M141*BN$5/100,0)&lt;-BN$6,-BN$6-SUM(BN$10:BN140),-ROUNDDOWN($M141*BN$5/100,0)),0)</f>
        <v>0</v>
      </c>
      <c r="BO141" s="38">
        <f>IF(AND(BO$7="○",$A141&gt;=BO$8,$A141&lt;=BO$9),IF(SUM(BO$10:BO140)-ROUNDDOWN($M141*BO$5/100,0)&lt;-BO$6,-BO$6-SUM(BO$10:BO140),-ROUNDDOWN($M141*BO$5/100,0)),0)</f>
        <v>0</v>
      </c>
      <c r="BP141" s="38">
        <f>IF(AND(BP$7="○",$A141&gt;=BP$8,$A141&lt;=BP$9),IF(SUM(BP$10:BP140)-ROUNDDOWN($M141*BP$5/100,0)&lt;-BP$6,-BP$6-SUM(BP$10:BP140),-ROUNDDOWN($M141*BP$5/100,0)),0)</f>
        <v>0</v>
      </c>
      <c r="BQ141" s="38">
        <f>IF(AND(BQ$7="○",$A141&gt;=BQ$8,$A141&lt;=BQ$9),IF(SUM(BQ$10:BQ140)-ROUNDDOWN($L141*BQ$5/100,0)&lt;-BQ$6,-BQ$6-SUM(BQ$10:BQ140),-ROUNDDOWN($L141*BQ$5/100,0)),0)</f>
        <v>0</v>
      </c>
      <c r="BR141" s="38">
        <f>IF(AND(BR$7="○",$A141&gt;=BR$8,$A141&lt;=BR$9),IF(SUM(BR$10:BR140)-ROUNDDOWN($M141*BR$5/100,0)&lt;-BR$6,-BR$6-SUM(BR$10:BR140),-ROUNDDOWN($M141*BR$5/100,0)),0)</f>
        <v>0</v>
      </c>
      <c r="BS141" s="38">
        <f>IF(AND(BS$7="○",$A141&gt;=BS$8,$A141&lt;=BS$9),IF(SUM(BS$10:BS140)-ROUNDDOWN($M141*BS$5/100,0)&lt;-BS$6,-BS$6-SUM(BS$10:BS140),-ROUNDDOWN($M141*BS$5/100,0)),0)</f>
        <v>0</v>
      </c>
      <c r="BT141" s="38">
        <f>IF(AND(BT$7="○",$A141&gt;=BT$8,$A141&lt;=BT$9),IF(SUM(BT$10:BT140)-ROUNDDOWN($M141*BT$5/100,0)&lt;-BT$6,-BT$6-SUM(BT$10:BT140),-ROUNDDOWN($M141*BT$5/100,0)),0)</f>
        <v>0</v>
      </c>
      <c r="BU141" s="38">
        <f>IF(AND(BU$7="○",$A141&gt;=BU$8,$A141&lt;=BU$9),IF(SUM(BU$10:BU140)-ROUNDDOWN($M141*BU$5/100,0)&lt;-BU$6,-BU$6-SUM(BU$10:BU140),-ROUNDDOWN($M141*BU$5/100,0)),0)</f>
        <v>0</v>
      </c>
      <c r="BV141" s="38">
        <f>IF(AND(BV$7="○",$A141&gt;=BV$8,$A141&lt;=BV$9),IF(SUM(BV$10:BV140)-ROUNDDOWN($M141*BV$5/100,0)&lt;-BV$6,-BV$6-SUM(BV$10:BV140),-ROUNDDOWN($M141*BV$5/100,0)),0)</f>
        <v>0</v>
      </c>
      <c r="BW141" s="38">
        <f>IF(AND(BW$7="○",$A141&gt;=BW$8,$A141&lt;=BW$9),IF(SUM(BW$10:BW140)-ROUNDDOWN($M141*BW$5/100,0)&lt;-BW$6,-BW$6-SUM(BW$10:BW140),-ROUNDDOWN($M141*BW$5/100,0)),0)</f>
        <v>0</v>
      </c>
      <c r="BX141" s="38">
        <f>IF(AND(T141="○",$A141&gt;=BX$8,$A141&lt;=BX$9),IF(SUM(BX$10:BX140)-ROUNDDOWN($K141*BX$5/100,0)&lt;-BX$6,-BX$6-SUM(BX$10:BX140),-ROUNDDOWN($K141*BX$5/100,0)),0)</f>
        <v>0</v>
      </c>
      <c r="BY141" s="38">
        <f>IF(AND(U141="○",$A141&gt;=BY$8,$A141&lt;=BY$9),IF(SUM(BY$10:BY140)-ROUNDDOWN($K141*BY$5/100,0)&lt;-BY$6,-BY$6-SUM(BY$10:BY140),-ROUNDDOWN($K141*BY$5/100,0)),0)</f>
        <v>0</v>
      </c>
      <c r="BZ141" s="38">
        <f>IF(AND(V141="○",$A141&gt;=BZ$8,$A141&lt;=BZ$9),IF(SUM(BZ$10:BZ140)-ROUNDDOWN($K141*BZ$5/100,0)&lt;-BZ$6,-BZ$6-SUM(BZ$10:BZ140),-ROUNDDOWN($K141*BZ$5/100,0)),0)</f>
        <v>0</v>
      </c>
      <c r="CA141" s="38">
        <f>IF(AND(W141="○",$A141&gt;=CA$8,$A141&lt;=CA$9),IF(SUM(CA$10:CA140)-ROUNDDOWN($K141*CA$5/100,0)&lt;-CA$6,-CA$6-SUM(CA$10:CA140),-ROUNDDOWN($K141*CA$5/100,0)),0)</f>
        <v>0</v>
      </c>
      <c r="CB141" s="38"/>
      <c r="CC141" s="38"/>
      <c r="CD141" s="38"/>
      <c r="CE141" s="38"/>
      <c r="CF141" s="38"/>
      <c r="CG141" s="65">
        <f t="shared" si="94"/>
        <v>0</v>
      </c>
      <c r="CH141" s="71">
        <f t="shared" si="95"/>
        <v>0</v>
      </c>
      <c r="CI141" s="1">
        <f t="shared" si="127"/>
        <v>0</v>
      </c>
      <c r="CJ141" s="1"/>
      <c r="CK141" s="72"/>
      <c r="CL141" s="72"/>
      <c r="CM141" s="2"/>
      <c r="CN141" s="2"/>
      <c r="CO141" s="73">
        <f t="shared" si="128"/>
        <v>0</v>
      </c>
      <c r="CP141" s="5">
        <f t="shared" si="129"/>
        <v>0</v>
      </c>
      <c r="CQ141" s="1"/>
      <c r="CR141" s="1">
        <f t="shared" si="130"/>
        <v>0</v>
      </c>
      <c r="CS141" s="1"/>
      <c r="CT141" s="1" t="e">
        <f>INDEX([2]マスタ!$A:$A,MATCH(D141,[2]マスタ!$C:$C,0))</f>
        <v>#N/A</v>
      </c>
      <c r="CU141" s="1" t="str">
        <f t="shared" ca="1" si="131"/>
        <v>20260620_0-0</v>
      </c>
    </row>
    <row r="142" spans="1:99" x14ac:dyDescent="0.4">
      <c r="A142" s="61"/>
      <c r="B142" s="62"/>
      <c r="C142" s="62"/>
      <c r="D142" s="62"/>
      <c r="E142" s="74"/>
      <c r="F142" s="62"/>
      <c r="G142" s="62">
        <v>1</v>
      </c>
      <c r="H142" s="64">
        <f t="shared" si="118"/>
        <v>0</v>
      </c>
      <c r="I142" s="64"/>
      <c r="J142" s="64"/>
      <c r="K142" s="65">
        <f t="shared" si="119"/>
        <v>0</v>
      </c>
      <c r="L142" s="65">
        <f t="shared" si="120"/>
        <v>0</v>
      </c>
      <c r="M142" s="65">
        <f t="shared" si="121"/>
        <v>0</v>
      </c>
      <c r="N142" s="65">
        <f t="shared" si="122"/>
        <v>0</v>
      </c>
      <c r="O142" s="66" t="str">
        <f t="shared" si="123"/>
        <v>✕</v>
      </c>
      <c r="P142" s="67" t="str">
        <f t="shared" si="124"/>
        <v>○</v>
      </c>
      <c r="Q142" s="67" t="str">
        <f t="shared" si="125"/>
        <v>✕</v>
      </c>
      <c r="R142" s="67" t="str">
        <f t="shared" si="126"/>
        <v>✕</v>
      </c>
      <c r="S142" s="68">
        <v>0</v>
      </c>
      <c r="T142" s="69" t="s">
        <v>85</v>
      </c>
      <c r="U142" s="69" t="s">
        <v>85</v>
      </c>
      <c r="V142" s="69" t="s">
        <v>85</v>
      </c>
      <c r="W142" s="69" t="s">
        <v>85</v>
      </c>
      <c r="X142" s="69" t="s">
        <v>84</v>
      </c>
      <c r="Y142" s="69" t="s">
        <v>85</v>
      </c>
      <c r="Z142" s="69" t="s">
        <v>85</v>
      </c>
      <c r="AA142" s="69" t="s">
        <v>85</v>
      </c>
      <c r="AB142" s="69" t="s">
        <v>85</v>
      </c>
      <c r="AC142" s="69" t="s">
        <v>85</v>
      </c>
      <c r="AD142" s="38" t="str">
        <f>+IF(ISERROR(VLOOKUP($B142,AD$10:AD141,1,0)),IF(AND($N142&gt;=1000,$A142&gt;=AO$8,$A142&lt;=AO$9),$B142,""),"")</f>
        <v/>
      </c>
      <c r="AE142" s="38" t="str">
        <f>+IF(ISERROR(VLOOKUP($B142,AE$10:AE141,1,0)),IF(AND($N142&gt;=1000,$A142&gt;=AP$8,$A142&lt;=AP$9),$B142,""),"")</f>
        <v/>
      </c>
      <c r="AF142" s="38" t="str">
        <f>+IF(ISERROR(VLOOKUP($B142,AF$10:AF141,1,0)),IF(AND($N142&gt;=1000,$A142&gt;=AQ$8,$A142&lt;=AQ$9),$B142,""),"")</f>
        <v/>
      </c>
      <c r="AG142" s="38" t="str">
        <f>+IF(ISERROR(VLOOKUP($B142,AG$10:AG141,1,0)),IF(AND($N142&gt;=1000,$A142&gt;=AR$8,$A142&lt;=AR$9),$B142,""),"")</f>
        <v/>
      </c>
      <c r="AH142" s="38"/>
      <c r="AI142" s="70">
        <v>0</v>
      </c>
      <c r="AJ142" s="38">
        <f>IF(AND(AJ$7="○",$A142&gt;=AJ$8,$A142&lt;=AJ$9),IF(SUM(AJ$10:AJ141)-ROUNDDOWN($K142*AJ$5/100,0)&lt;-AJ$6,-AJ$6-SUM(AJ$10:AJ141),-ROUNDDOWN($K142*AJ$5/100,0)),0)</f>
        <v>0</v>
      </c>
      <c r="AK142" s="38">
        <f>IF(AND(AK$7="○",$A142&gt;=AK$8,$A142&lt;=AK$9),IF(SUM(AK$10:AK141)-ROUNDDOWN($L142*AK$5/100,0)&lt;-AK$6,-AK$6-SUM(AK$10:AK141),-ROUNDDOWN($L142*AK$5/100,0)),0)</f>
        <v>0</v>
      </c>
      <c r="AL142" s="38">
        <f>IF(AND(AL$7="○",$A142&gt;=AL$8,$A142&lt;=AL$9),IF(SUM(AL$10:AL141)-ROUNDDOWN($N142*AL$5/100,0)&lt;-AL$6,-AL$6-SUM(AL$10:AL141),-ROUNDDOWN($N142*AL$5/100,0)),0)</f>
        <v>0</v>
      </c>
      <c r="AM142" s="38">
        <f>IF(AND(AM$7="○",$A142&gt;=AM$8,$A142&lt;=AM$9),IF(SUM(AM$10:AM141)-ROUNDDOWN($L142*AM$5/100,0)&lt;-AM$6,-AM$6-SUM(AM$10:AM141),-ROUNDDOWN($L142*AM$5/100,0)),0)</f>
        <v>0</v>
      </c>
      <c r="AN142" s="38">
        <f>IF(AND(AN$7="○",$A142&gt;=AN$8,$A142&lt;=AN$9),IF(SUM(AN$10:AN141)-ROUNDDOWN($M142*AN$5/100,0)&lt;-AN$6,-AN$6-SUM(AN$10:AN141),-ROUNDDOWN($M142*AN$5/100,0)),0)</f>
        <v>0</v>
      </c>
      <c r="AO142" s="38">
        <f>IF(AND($A142&gt;=AO$8,$A142&lt;=AO$9),IF(SUM(AO$10:AO141)-ROUNDDOWN($K142*AO$5/100,0)&lt;-AO$6,-AO$6-SUM(AO$10:AO141),-ROUNDDOWN($K142*AO$5/100,0)),0)</f>
        <v>0</v>
      </c>
      <c r="AP142" s="38">
        <f>IF(AND($A142&gt;=AP$8,$A142&lt;=AP$9),IF(SUM(AP$10:AP141)-ROUNDDOWN($K142*AP$5/100,0)&lt;-AP$6,-AP$6-SUM(AP$10:AP141),-ROUNDDOWN($K142*AP$5/100,0)),0)</f>
        <v>0</v>
      </c>
      <c r="AQ142" s="38">
        <f>IF(AND($A142&gt;=AQ$8,$A142&lt;=AQ$9),IF(SUM(AQ$10:AQ141)-ROUNDDOWN($K142*AQ$5/100,0)&lt;-AQ$6,-AQ$6-SUM(AQ$10:AQ141),-ROUNDDOWN($K142*AQ$5/100,0)),0)</f>
        <v>0</v>
      </c>
      <c r="AR142" s="38">
        <f>IF(AND($A142&gt;=AR$8,$A142&lt;=AR$9),IF(SUM(AR$10:AR141)-ROUNDDOWN($K142*AR$5/100,0)&lt;-AR$6,-AR$6-SUM(AR$10:AR141),-ROUNDDOWN($K142*AR$5/100,0)),0)</f>
        <v>0</v>
      </c>
      <c r="AS142" s="38">
        <f>IF(SUMIFS(AS$10:AS141,$A$10:$A141,$A142)-ROUNDDOWN($K142*$S142/100,0)&lt;-$S142*1000,-$S142*1000-SUMIFS(AS$10:AS141,$A$10:$A141,$A142),-ROUNDDOWN($K142*$S142/100,0))</f>
        <v>0</v>
      </c>
      <c r="AT142" s="38">
        <f>IF(AND(X142="○",$A142&gt;=AT$8,$A142&lt;=AT$9,K142&gt;=3980),IF(SUM(AT$10:AT141)-ROUNDDOWN($K142*AT$5/100,0)&lt;-AT$6,-AT$6-SUM(AT$10:AT141),-ROUNDDOWN($K142*AT$5/100,0)),0)</f>
        <v>0</v>
      </c>
      <c r="AU142" s="38">
        <f>IF(O142="○",IF(SUM(AU$10:AU141)-ROUNDDOWN($K142*AU$5/100,0)&lt;-AU$6,-AU$6-SUM(AU$10:AU141),-ROUNDDOWN($K142*AU$5/100,0)),0)</f>
        <v>0</v>
      </c>
      <c r="AV142" s="38">
        <f>IF(P142="○",IF(SUM(AV$10:AV141)-ROUNDDOWN($K142*AV$5/100,0)&lt;-AV$6,-AV$6-SUM(AV$10:AV141),-ROUNDDOWN($K142*AV$5/100,0)),0)</f>
        <v>0</v>
      </c>
      <c r="AW142" s="38">
        <f>IF(Q142="○",IF(SUM(AW$10:AW141)-ROUNDDOWN($K142*AW$5/100,0)&lt;-AW$6,-AW$6-SUM(AW$10:AW141),-ROUNDDOWN($K142*AW$5/100,0)),0)</f>
        <v>0</v>
      </c>
      <c r="AX142" s="38">
        <f>IF(R142="○",IF(SUM(AX$10:AX141)-ROUNDDOWN($K142*AX$5/100,0)&lt;-AX$6,-AX$6-SUM(AX$10:AX141),-ROUNDDOWN($K142*AX$5/100,0)),0)</f>
        <v>0</v>
      </c>
      <c r="AY142" s="70">
        <v>0</v>
      </c>
      <c r="AZ142" s="65">
        <f t="shared" si="88"/>
        <v>0</v>
      </c>
      <c r="BA142" s="65">
        <f t="shared" si="89"/>
        <v>0</v>
      </c>
      <c r="BB142" s="70"/>
      <c r="BC142" s="65">
        <f t="shared" si="90"/>
        <v>0</v>
      </c>
      <c r="BD142" s="70">
        <v>0</v>
      </c>
      <c r="BE142" s="65">
        <f t="shared" si="91"/>
        <v>0</v>
      </c>
      <c r="BF142" s="70">
        <v>0</v>
      </c>
      <c r="BG142" s="65">
        <f t="shared" si="92"/>
        <v>0</v>
      </c>
      <c r="BH142" s="70">
        <v>0</v>
      </c>
      <c r="BI142" s="65">
        <f t="shared" si="93"/>
        <v>0</v>
      </c>
      <c r="BJ142" s="38">
        <f>IF(AND(BJ$7="○",$A142&gt;=BJ$8,$A142&lt;=BJ$9),IF(SUM(BJ$10:BJ141)-ROUNDDOWN($M142*BJ$5/100,0)&lt;-BJ$6,-BJ$6-SUM(BJ$10:BJ141),-ROUNDDOWN($M142*BJ$5/100,0)),0)</f>
        <v>0</v>
      </c>
      <c r="BK142" s="38">
        <f>IF(AND(BK$7="○",$A142&gt;=BK$8,$A142&lt;=BK$9),IF(SUM(BK$10:BK141)-ROUNDDOWN($L142*BK$5/100,0)&lt;-BK$6,-BK$6-SUM(BK$10:BK141),-ROUNDDOWN($L142*BK$5/100,0)),0)</f>
        <v>0</v>
      </c>
      <c r="BL142" s="38">
        <f>IF(AND(BL$7="○",$A142&gt;=BL$8,$A142&lt;=BL$9),IF(SUM(BL$10:BL141)-ROUNDDOWN($L142*BL$5/100,0)&lt;-BL$6,-BL$6-SUM(BL$10:BL141),-ROUNDDOWN($L142*BL$5/100,0)),0)</f>
        <v>0</v>
      </c>
      <c r="BM142" s="38">
        <f>IF(AND(BM$7="○",$A142&gt;=BM$8,$A142&lt;=BM$9),IF(SUM(BM$10:BM141)-ROUNDDOWN($M142*BM$5/100,0)&lt;-BM$6,-BM$6-SUM(BM$10:BM141),-ROUNDDOWN($M142*BM$5/100,0)),0)</f>
        <v>0</v>
      </c>
      <c r="BN142" s="38">
        <f>IF(AND(BN$7="○",$A142&gt;=BN$8,$A142&lt;=BN$9),IF(SUM(BN$10:BN141)-ROUNDDOWN($M142*BN$5/100,0)&lt;-BN$6,-BN$6-SUM(BN$10:BN141),-ROUNDDOWN($M142*BN$5/100,0)),0)</f>
        <v>0</v>
      </c>
      <c r="BO142" s="38">
        <f>IF(AND(BO$7="○",$A142&gt;=BO$8,$A142&lt;=BO$9),IF(SUM(BO$10:BO141)-ROUNDDOWN($M142*BO$5/100,0)&lt;-BO$6,-BO$6-SUM(BO$10:BO141),-ROUNDDOWN($M142*BO$5/100,0)),0)</f>
        <v>0</v>
      </c>
      <c r="BP142" s="38">
        <f>IF(AND(BP$7="○",$A142&gt;=BP$8,$A142&lt;=BP$9),IF(SUM(BP$10:BP141)-ROUNDDOWN($M142*BP$5/100,0)&lt;-BP$6,-BP$6-SUM(BP$10:BP141),-ROUNDDOWN($M142*BP$5/100,0)),0)</f>
        <v>0</v>
      </c>
      <c r="BQ142" s="38">
        <f>IF(AND(BQ$7="○",$A142&gt;=BQ$8,$A142&lt;=BQ$9),IF(SUM(BQ$10:BQ141)-ROUNDDOWN($L142*BQ$5/100,0)&lt;-BQ$6,-BQ$6-SUM(BQ$10:BQ141),-ROUNDDOWN($L142*BQ$5/100,0)),0)</f>
        <v>0</v>
      </c>
      <c r="BR142" s="38">
        <f>IF(AND(BR$7="○",$A142&gt;=BR$8,$A142&lt;=BR$9),IF(SUM(BR$10:BR141)-ROUNDDOWN($M142*BR$5/100,0)&lt;-BR$6,-BR$6-SUM(BR$10:BR141),-ROUNDDOWN($M142*BR$5/100,0)),0)</f>
        <v>0</v>
      </c>
      <c r="BS142" s="38">
        <f>IF(AND(BS$7="○",$A142&gt;=BS$8,$A142&lt;=BS$9),IF(SUM(BS$10:BS141)-ROUNDDOWN($M142*BS$5/100,0)&lt;-BS$6,-BS$6-SUM(BS$10:BS141),-ROUNDDOWN($M142*BS$5/100,0)),0)</f>
        <v>0</v>
      </c>
      <c r="BT142" s="38">
        <f>IF(AND(BT$7="○",$A142&gt;=BT$8,$A142&lt;=BT$9),IF(SUM(BT$10:BT141)-ROUNDDOWN($M142*BT$5/100,0)&lt;-BT$6,-BT$6-SUM(BT$10:BT141),-ROUNDDOWN($M142*BT$5/100,0)),0)</f>
        <v>0</v>
      </c>
      <c r="BU142" s="38">
        <f>IF(AND(BU$7="○",$A142&gt;=BU$8,$A142&lt;=BU$9),IF(SUM(BU$10:BU141)-ROUNDDOWN($M142*BU$5/100,0)&lt;-BU$6,-BU$6-SUM(BU$10:BU141),-ROUNDDOWN($M142*BU$5/100,0)),0)</f>
        <v>0</v>
      </c>
      <c r="BV142" s="38">
        <f>IF(AND(BV$7="○",$A142&gt;=BV$8,$A142&lt;=BV$9),IF(SUM(BV$10:BV141)-ROUNDDOWN($M142*BV$5/100,0)&lt;-BV$6,-BV$6-SUM(BV$10:BV141),-ROUNDDOWN($M142*BV$5/100,0)),0)</f>
        <v>0</v>
      </c>
      <c r="BW142" s="38">
        <f>IF(AND(BW$7="○",$A142&gt;=BW$8,$A142&lt;=BW$9),IF(SUM(BW$10:BW141)-ROUNDDOWN($M142*BW$5/100,0)&lt;-BW$6,-BW$6-SUM(BW$10:BW141),-ROUNDDOWN($M142*BW$5/100,0)),0)</f>
        <v>0</v>
      </c>
      <c r="BX142" s="38">
        <f>IF(AND(T142="○",$A142&gt;=BX$8,$A142&lt;=BX$9),IF(SUM(BX$10:BX141)-ROUNDDOWN($K142*BX$5/100,0)&lt;-BX$6,-BX$6-SUM(BX$10:BX141),-ROUNDDOWN($K142*BX$5/100,0)),0)</f>
        <v>0</v>
      </c>
      <c r="BY142" s="38">
        <f>IF(AND(U142="○",$A142&gt;=BY$8,$A142&lt;=BY$9),IF(SUM(BY$10:BY141)-ROUNDDOWN($K142*BY$5/100,0)&lt;-BY$6,-BY$6-SUM(BY$10:BY141),-ROUNDDOWN($K142*BY$5/100,0)),0)</f>
        <v>0</v>
      </c>
      <c r="BZ142" s="38">
        <f>IF(AND(V142="○",$A142&gt;=BZ$8,$A142&lt;=BZ$9),IF(SUM(BZ$10:BZ141)-ROUNDDOWN($K142*BZ$5/100,0)&lt;-BZ$6,-BZ$6-SUM(BZ$10:BZ141),-ROUNDDOWN($K142*BZ$5/100,0)),0)</f>
        <v>0</v>
      </c>
      <c r="CA142" s="38">
        <f>IF(AND(W142="○",$A142&gt;=CA$8,$A142&lt;=CA$9),IF(SUM(CA$10:CA141)-ROUNDDOWN($K142*CA$5/100,0)&lt;-CA$6,-CA$6-SUM(CA$10:CA141),-ROUNDDOWN($K142*CA$5/100,0)),0)</f>
        <v>0</v>
      </c>
      <c r="CB142" s="38"/>
      <c r="CC142" s="38"/>
      <c r="CD142" s="38"/>
      <c r="CE142" s="38"/>
      <c r="CF142" s="38"/>
      <c r="CG142" s="65">
        <f t="shared" si="94"/>
        <v>0</v>
      </c>
      <c r="CH142" s="71">
        <f t="shared" si="95"/>
        <v>0</v>
      </c>
      <c r="CI142" s="1">
        <f t="shared" si="127"/>
        <v>0</v>
      </c>
      <c r="CJ142" s="1"/>
      <c r="CK142" s="72"/>
      <c r="CL142" s="72"/>
      <c r="CM142" s="2"/>
      <c r="CN142" s="2"/>
      <c r="CO142" s="73">
        <f t="shared" si="128"/>
        <v>0</v>
      </c>
      <c r="CP142" s="5">
        <f t="shared" si="129"/>
        <v>0</v>
      </c>
      <c r="CQ142" s="1"/>
      <c r="CR142" s="1">
        <f t="shared" si="130"/>
        <v>0</v>
      </c>
      <c r="CS142" s="1"/>
      <c r="CT142" s="1" t="e">
        <f>INDEX([2]マスタ!$A:$A,MATCH(D142,[2]マスタ!$C:$C,0))</f>
        <v>#N/A</v>
      </c>
      <c r="CU142" s="1" t="str">
        <f t="shared" ca="1" si="131"/>
        <v>20260620_0-0</v>
      </c>
    </row>
    <row r="143" spans="1:99" x14ac:dyDescent="0.4">
      <c r="A143" s="61"/>
      <c r="B143" s="62"/>
      <c r="C143" s="62"/>
      <c r="D143" s="62"/>
      <c r="E143" s="74"/>
      <c r="F143" s="62"/>
      <c r="G143" s="62">
        <v>1</v>
      </c>
      <c r="H143" s="64">
        <f t="shared" si="118"/>
        <v>0</v>
      </c>
      <c r="I143" s="64"/>
      <c r="J143" s="64"/>
      <c r="K143" s="65">
        <f t="shared" si="119"/>
        <v>0</v>
      </c>
      <c r="L143" s="65">
        <f t="shared" si="120"/>
        <v>0</v>
      </c>
      <c r="M143" s="65">
        <f t="shared" si="121"/>
        <v>0</v>
      </c>
      <c r="N143" s="65">
        <f t="shared" si="122"/>
        <v>0</v>
      </c>
      <c r="O143" s="66" t="str">
        <f t="shared" si="123"/>
        <v>✕</v>
      </c>
      <c r="P143" s="67" t="str">
        <f t="shared" si="124"/>
        <v>○</v>
      </c>
      <c r="Q143" s="67" t="str">
        <f t="shared" si="125"/>
        <v>✕</v>
      </c>
      <c r="R143" s="67" t="str">
        <f t="shared" si="126"/>
        <v>✕</v>
      </c>
      <c r="S143" s="68">
        <v>0</v>
      </c>
      <c r="T143" s="69" t="s">
        <v>85</v>
      </c>
      <c r="U143" s="69" t="s">
        <v>85</v>
      </c>
      <c r="V143" s="69" t="s">
        <v>85</v>
      </c>
      <c r="W143" s="69" t="s">
        <v>85</v>
      </c>
      <c r="X143" s="69" t="s">
        <v>84</v>
      </c>
      <c r="Y143" s="69" t="s">
        <v>85</v>
      </c>
      <c r="Z143" s="69" t="s">
        <v>85</v>
      </c>
      <c r="AA143" s="69" t="s">
        <v>85</v>
      </c>
      <c r="AB143" s="69" t="s">
        <v>85</v>
      </c>
      <c r="AC143" s="69" t="s">
        <v>85</v>
      </c>
      <c r="AD143" s="38" t="str">
        <f>+IF(ISERROR(VLOOKUP($B143,AD$10:AD142,1,0)),IF(AND($N143&gt;=1000,$A143&gt;=AO$8,$A143&lt;=AO$9),$B143,""),"")</f>
        <v/>
      </c>
      <c r="AE143" s="38" t="str">
        <f>+IF(ISERROR(VLOOKUP($B143,AE$10:AE142,1,0)),IF(AND($N143&gt;=1000,$A143&gt;=AP$8,$A143&lt;=AP$9),$B143,""),"")</f>
        <v/>
      </c>
      <c r="AF143" s="38" t="str">
        <f>+IF(ISERROR(VLOOKUP($B143,AF$10:AF142,1,0)),IF(AND($N143&gt;=1000,$A143&gt;=AQ$8,$A143&lt;=AQ$9),$B143,""),"")</f>
        <v/>
      </c>
      <c r="AG143" s="38" t="str">
        <f>+IF(ISERROR(VLOOKUP($B143,AG$10:AG142,1,0)),IF(AND($N143&gt;=1000,$A143&gt;=AR$8,$A143&lt;=AR$9),$B143,""),"")</f>
        <v/>
      </c>
      <c r="AH143" s="38"/>
      <c r="AI143" s="70">
        <v>0</v>
      </c>
      <c r="AJ143" s="38">
        <f>IF(AND(AJ$7="○",$A143&gt;=AJ$8,$A143&lt;=AJ$9),IF(SUM(AJ$10:AJ142)-ROUNDDOWN($K143*AJ$5/100,0)&lt;-AJ$6,-AJ$6-SUM(AJ$10:AJ142),-ROUNDDOWN($K143*AJ$5/100,0)),0)</f>
        <v>0</v>
      </c>
      <c r="AK143" s="38">
        <f>IF(AND(AK$7="○",$A143&gt;=AK$8,$A143&lt;=AK$9),IF(SUM(AK$10:AK142)-ROUNDDOWN($L143*AK$5/100,0)&lt;-AK$6,-AK$6-SUM(AK$10:AK142),-ROUNDDOWN($L143*AK$5/100,0)),0)</f>
        <v>0</v>
      </c>
      <c r="AL143" s="38">
        <f>IF(AND(AL$7="○",$A143&gt;=AL$8,$A143&lt;=AL$9),IF(SUM(AL$10:AL142)-ROUNDDOWN($N143*AL$5/100,0)&lt;-AL$6,-AL$6-SUM(AL$10:AL142),-ROUNDDOWN($N143*AL$5/100,0)),0)</f>
        <v>0</v>
      </c>
      <c r="AM143" s="38">
        <f>IF(AND(AM$7="○",$A143&gt;=AM$8,$A143&lt;=AM$9),IF(SUM(AM$10:AM142)-ROUNDDOWN($L143*AM$5/100,0)&lt;-AM$6,-AM$6-SUM(AM$10:AM142),-ROUNDDOWN($L143*AM$5/100,0)),0)</f>
        <v>0</v>
      </c>
      <c r="AN143" s="38">
        <f>IF(AND(AN$7="○",$A143&gt;=AN$8,$A143&lt;=AN$9),IF(SUM(AN$10:AN142)-ROUNDDOWN($M143*AN$5/100,0)&lt;-AN$6,-AN$6-SUM(AN$10:AN142),-ROUNDDOWN($M143*AN$5/100,0)),0)</f>
        <v>0</v>
      </c>
      <c r="AO143" s="38">
        <f>IF(AND($A143&gt;=AO$8,$A143&lt;=AO$9),IF(SUM(AO$10:AO142)-ROUNDDOWN($K143*AO$5/100,0)&lt;-AO$6,-AO$6-SUM(AO$10:AO142),-ROUNDDOWN($K143*AO$5/100,0)),0)</f>
        <v>0</v>
      </c>
      <c r="AP143" s="38">
        <f>IF(AND($A143&gt;=AP$8,$A143&lt;=AP$9),IF(SUM(AP$10:AP142)-ROUNDDOWN($K143*AP$5/100,0)&lt;-AP$6,-AP$6-SUM(AP$10:AP142),-ROUNDDOWN($K143*AP$5/100,0)),0)</f>
        <v>0</v>
      </c>
      <c r="AQ143" s="38">
        <f>IF(AND($A143&gt;=AQ$8,$A143&lt;=AQ$9),IF(SUM(AQ$10:AQ142)-ROUNDDOWN($K143*AQ$5/100,0)&lt;-AQ$6,-AQ$6-SUM(AQ$10:AQ142),-ROUNDDOWN($K143*AQ$5/100,0)),0)</f>
        <v>0</v>
      </c>
      <c r="AR143" s="38">
        <f>IF(AND($A143&gt;=AR$8,$A143&lt;=AR$9),IF(SUM(AR$10:AR142)-ROUNDDOWN($K143*AR$5/100,0)&lt;-AR$6,-AR$6-SUM(AR$10:AR142),-ROUNDDOWN($K143*AR$5/100,0)),0)</f>
        <v>0</v>
      </c>
      <c r="AS143" s="38">
        <f>IF(SUMIFS(AS$10:AS142,$A$10:$A142,$A143)-ROUNDDOWN($K143*$S143/100,0)&lt;-$S143*1000,-$S143*1000-SUMIFS(AS$10:AS142,$A$10:$A142,$A143),-ROUNDDOWN($K143*$S143/100,0))</f>
        <v>0</v>
      </c>
      <c r="AT143" s="38">
        <f>IF(AND(X143="○",$A143&gt;=AT$8,$A143&lt;=AT$9,K143&gt;=3980),IF(SUM(AT$10:AT142)-ROUNDDOWN($K143*AT$5/100,0)&lt;-AT$6,-AT$6-SUM(AT$10:AT142),-ROUNDDOWN($K143*AT$5/100,0)),0)</f>
        <v>0</v>
      </c>
      <c r="AU143" s="38">
        <f>IF(O143="○",IF(SUM(AU$10:AU142)-ROUNDDOWN($K143*AU$5/100,0)&lt;-AU$6,-AU$6-SUM(AU$10:AU142),-ROUNDDOWN($K143*AU$5/100,0)),0)</f>
        <v>0</v>
      </c>
      <c r="AV143" s="38">
        <f>IF(P143="○",IF(SUM(AV$10:AV142)-ROUNDDOWN($K143*AV$5/100,0)&lt;-AV$6,-AV$6-SUM(AV$10:AV142),-ROUNDDOWN($K143*AV$5/100,0)),0)</f>
        <v>0</v>
      </c>
      <c r="AW143" s="38">
        <f>IF(Q143="○",IF(SUM(AW$10:AW142)-ROUNDDOWN($K143*AW$5/100,0)&lt;-AW$6,-AW$6-SUM(AW$10:AW142),-ROUNDDOWN($K143*AW$5/100,0)),0)</f>
        <v>0</v>
      </c>
      <c r="AX143" s="38">
        <f>IF(R143="○",IF(SUM(AX$10:AX142)-ROUNDDOWN($K143*AX$5/100,0)&lt;-AX$6,-AX$6-SUM(AX$10:AX142),-ROUNDDOWN($K143*AX$5/100,0)),0)</f>
        <v>0</v>
      </c>
      <c r="AY143" s="70">
        <v>0</v>
      </c>
      <c r="AZ143" s="65">
        <f t="shared" si="88"/>
        <v>0</v>
      </c>
      <c r="BA143" s="65">
        <f t="shared" si="89"/>
        <v>0</v>
      </c>
      <c r="BB143" s="70"/>
      <c r="BC143" s="65">
        <f t="shared" si="90"/>
        <v>0</v>
      </c>
      <c r="BD143" s="70">
        <v>0</v>
      </c>
      <c r="BE143" s="65">
        <f t="shared" si="91"/>
        <v>0</v>
      </c>
      <c r="BF143" s="70">
        <v>0</v>
      </c>
      <c r="BG143" s="65">
        <f t="shared" si="92"/>
        <v>0</v>
      </c>
      <c r="BH143" s="70">
        <v>0</v>
      </c>
      <c r="BI143" s="65">
        <f t="shared" si="93"/>
        <v>0</v>
      </c>
      <c r="BJ143" s="38">
        <f>IF(AND(BJ$7="○",$A143&gt;=BJ$8,$A143&lt;=BJ$9),IF(SUM(BJ$10:BJ142)-ROUNDDOWN($M143*BJ$5/100,0)&lt;-BJ$6,-BJ$6-SUM(BJ$10:BJ142),-ROUNDDOWN($M143*BJ$5/100,0)),0)</f>
        <v>0</v>
      </c>
      <c r="BK143" s="38">
        <f>IF(AND(BK$7="○",$A143&gt;=BK$8,$A143&lt;=BK$9),IF(SUM(BK$10:BK142)-ROUNDDOWN($L143*BK$5/100,0)&lt;-BK$6,-BK$6-SUM(BK$10:BK142),-ROUNDDOWN($L143*BK$5/100,0)),0)</f>
        <v>0</v>
      </c>
      <c r="BL143" s="38">
        <f>IF(AND(BL$7="○",$A143&gt;=BL$8,$A143&lt;=BL$9),IF(SUM(BL$10:BL142)-ROUNDDOWN($L143*BL$5/100,0)&lt;-BL$6,-BL$6-SUM(BL$10:BL142),-ROUNDDOWN($L143*BL$5/100,0)),0)</f>
        <v>0</v>
      </c>
      <c r="BM143" s="38">
        <f>IF(AND(BM$7="○",$A143&gt;=BM$8,$A143&lt;=BM$9),IF(SUM(BM$10:BM142)-ROUNDDOWN($M143*BM$5/100,0)&lt;-BM$6,-BM$6-SUM(BM$10:BM142),-ROUNDDOWN($M143*BM$5/100,0)),0)</f>
        <v>0</v>
      </c>
      <c r="BN143" s="38">
        <f>IF(AND(BN$7="○",$A143&gt;=BN$8,$A143&lt;=BN$9),IF(SUM(BN$10:BN142)-ROUNDDOWN($M143*BN$5/100,0)&lt;-BN$6,-BN$6-SUM(BN$10:BN142),-ROUNDDOWN($M143*BN$5/100,0)),0)</f>
        <v>0</v>
      </c>
      <c r="BO143" s="38">
        <f>IF(AND(BO$7="○",$A143&gt;=BO$8,$A143&lt;=BO$9),IF(SUM(BO$10:BO142)-ROUNDDOWN($M143*BO$5/100,0)&lt;-BO$6,-BO$6-SUM(BO$10:BO142),-ROUNDDOWN($M143*BO$5/100,0)),0)</f>
        <v>0</v>
      </c>
      <c r="BP143" s="38">
        <f>IF(AND(BP$7="○",$A143&gt;=BP$8,$A143&lt;=BP$9),IF(SUM(BP$10:BP142)-ROUNDDOWN($M143*BP$5/100,0)&lt;-BP$6,-BP$6-SUM(BP$10:BP142),-ROUNDDOWN($M143*BP$5/100,0)),0)</f>
        <v>0</v>
      </c>
      <c r="BQ143" s="38">
        <f>IF(AND(BQ$7="○",$A143&gt;=BQ$8,$A143&lt;=BQ$9),IF(SUM(BQ$10:BQ142)-ROUNDDOWN($L143*BQ$5/100,0)&lt;-BQ$6,-BQ$6-SUM(BQ$10:BQ142),-ROUNDDOWN($L143*BQ$5/100,0)),0)</f>
        <v>0</v>
      </c>
      <c r="BR143" s="38">
        <f>IF(AND(BR$7="○",$A143&gt;=BR$8,$A143&lt;=BR$9),IF(SUM(BR$10:BR142)-ROUNDDOWN($M143*BR$5/100,0)&lt;-BR$6,-BR$6-SUM(BR$10:BR142),-ROUNDDOWN($M143*BR$5/100,0)),0)</f>
        <v>0</v>
      </c>
      <c r="BS143" s="38">
        <f>IF(AND(BS$7="○",$A143&gt;=BS$8,$A143&lt;=BS$9),IF(SUM(BS$10:BS142)-ROUNDDOWN($M143*BS$5/100,0)&lt;-BS$6,-BS$6-SUM(BS$10:BS142),-ROUNDDOWN($M143*BS$5/100,0)),0)</f>
        <v>0</v>
      </c>
      <c r="BT143" s="38">
        <f>IF(AND(BT$7="○",$A143&gt;=BT$8,$A143&lt;=BT$9),IF(SUM(BT$10:BT142)-ROUNDDOWN($M143*BT$5/100,0)&lt;-BT$6,-BT$6-SUM(BT$10:BT142),-ROUNDDOWN($M143*BT$5/100,0)),0)</f>
        <v>0</v>
      </c>
      <c r="BU143" s="38">
        <f>IF(AND(BU$7="○",$A143&gt;=BU$8,$A143&lt;=BU$9),IF(SUM(BU$10:BU142)-ROUNDDOWN($M143*BU$5/100,0)&lt;-BU$6,-BU$6-SUM(BU$10:BU142),-ROUNDDOWN($M143*BU$5/100,0)),0)</f>
        <v>0</v>
      </c>
      <c r="BV143" s="38">
        <f>IF(AND(BV$7="○",$A143&gt;=BV$8,$A143&lt;=BV$9),IF(SUM(BV$10:BV142)-ROUNDDOWN($M143*BV$5/100,0)&lt;-BV$6,-BV$6-SUM(BV$10:BV142),-ROUNDDOWN($M143*BV$5/100,0)),0)</f>
        <v>0</v>
      </c>
      <c r="BW143" s="38">
        <f>IF(AND(BW$7="○",$A143&gt;=BW$8,$A143&lt;=BW$9),IF(SUM(BW$10:BW142)-ROUNDDOWN($M143*BW$5/100,0)&lt;-BW$6,-BW$6-SUM(BW$10:BW142),-ROUNDDOWN($M143*BW$5/100,0)),0)</f>
        <v>0</v>
      </c>
      <c r="BX143" s="38">
        <f>IF(AND(T143="○",$A143&gt;=BX$8,$A143&lt;=BX$9),IF(SUM(BX$10:BX142)-ROUNDDOWN($K143*BX$5/100,0)&lt;-BX$6,-BX$6-SUM(BX$10:BX142),-ROUNDDOWN($K143*BX$5/100,0)),0)</f>
        <v>0</v>
      </c>
      <c r="BY143" s="38">
        <f>IF(AND(U143="○",$A143&gt;=BY$8,$A143&lt;=BY$9),IF(SUM(BY$10:BY142)-ROUNDDOWN($K143*BY$5/100,0)&lt;-BY$6,-BY$6-SUM(BY$10:BY142),-ROUNDDOWN($K143*BY$5/100,0)),0)</f>
        <v>0</v>
      </c>
      <c r="BZ143" s="38">
        <f>IF(AND(V143="○",$A143&gt;=BZ$8,$A143&lt;=BZ$9),IF(SUM(BZ$10:BZ142)-ROUNDDOWN($K143*BZ$5/100,0)&lt;-BZ$6,-BZ$6-SUM(BZ$10:BZ142),-ROUNDDOWN($K143*BZ$5/100,0)),0)</f>
        <v>0</v>
      </c>
      <c r="CA143" s="38">
        <f>IF(AND(W143="○",$A143&gt;=CA$8,$A143&lt;=CA$9),IF(SUM(CA$10:CA142)-ROUNDDOWN($K143*CA$5/100,0)&lt;-CA$6,-CA$6-SUM(CA$10:CA142),-ROUNDDOWN($K143*CA$5/100,0)),0)</f>
        <v>0</v>
      </c>
      <c r="CB143" s="38"/>
      <c r="CC143" s="38"/>
      <c r="CD143" s="38"/>
      <c r="CE143" s="38"/>
      <c r="CF143" s="38"/>
      <c r="CG143" s="65">
        <f t="shared" si="94"/>
        <v>0</v>
      </c>
      <c r="CH143" s="71">
        <f t="shared" si="95"/>
        <v>0</v>
      </c>
      <c r="CI143" s="1">
        <f t="shared" si="127"/>
        <v>0</v>
      </c>
      <c r="CJ143" s="1"/>
      <c r="CK143" s="72"/>
      <c r="CL143" s="72"/>
      <c r="CM143" s="2"/>
      <c r="CN143" s="2"/>
      <c r="CO143" s="73">
        <f t="shared" si="128"/>
        <v>0</v>
      </c>
      <c r="CP143" s="5">
        <f t="shared" si="129"/>
        <v>0</v>
      </c>
      <c r="CQ143" s="1"/>
      <c r="CR143" s="1">
        <f t="shared" si="130"/>
        <v>0</v>
      </c>
      <c r="CS143" s="1"/>
      <c r="CT143" s="1" t="e">
        <f>INDEX([2]マスタ!$A:$A,MATCH(D143,[2]マスタ!$C:$C,0))</f>
        <v>#N/A</v>
      </c>
      <c r="CU143" s="1" t="str">
        <f t="shared" ca="1" si="131"/>
        <v>20260620_0-0</v>
      </c>
    </row>
    <row r="144" spans="1:99" x14ac:dyDescent="0.4">
      <c r="A144" s="61"/>
      <c r="B144" s="62"/>
      <c r="C144" s="62"/>
      <c r="D144" s="62"/>
      <c r="E144" s="74"/>
      <c r="F144" s="62"/>
      <c r="G144" s="62">
        <v>1</v>
      </c>
      <c r="H144" s="64">
        <f t="shared" si="118"/>
        <v>0</v>
      </c>
      <c r="I144" s="64"/>
      <c r="J144" s="64"/>
      <c r="K144" s="65">
        <f t="shared" si="119"/>
        <v>0</v>
      </c>
      <c r="L144" s="65">
        <f t="shared" si="120"/>
        <v>0</v>
      </c>
      <c r="M144" s="65">
        <f t="shared" si="121"/>
        <v>0</v>
      </c>
      <c r="N144" s="65">
        <f t="shared" si="122"/>
        <v>0</v>
      </c>
      <c r="O144" s="66" t="str">
        <f t="shared" si="123"/>
        <v>✕</v>
      </c>
      <c r="P144" s="67" t="str">
        <f t="shared" si="124"/>
        <v>○</v>
      </c>
      <c r="Q144" s="67" t="str">
        <f t="shared" si="125"/>
        <v>✕</v>
      </c>
      <c r="R144" s="67" t="str">
        <f t="shared" si="126"/>
        <v>✕</v>
      </c>
      <c r="S144" s="68">
        <v>0</v>
      </c>
      <c r="T144" s="69" t="s">
        <v>85</v>
      </c>
      <c r="U144" s="69" t="s">
        <v>85</v>
      </c>
      <c r="V144" s="69" t="s">
        <v>85</v>
      </c>
      <c r="W144" s="69" t="s">
        <v>85</v>
      </c>
      <c r="X144" s="69" t="s">
        <v>84</v>
      </c>
      <c r="Y144" s="69" t="s">
        <v>85</v>
      </c>
      <c r="Z144" s="69" t="s">
        <v>85</v>
      </c>
      <c r="AA144" s="69" t="s">
        <v>85</v>
      </c>
      <c r="AB144" s="69" t="s">
        <v>85</v>
      </c>
      <c r="AC144" s="69" t="s">
        <v>85</v>
      </c>
      <c r="AD144" s="38" t="str">
        <f>+IF(ISERROR(VLOOKUP($B144,AD$10:AD143,1,0)),IF(AND($N144&gt;=1000,$A144&gt;=AO$8,$A144&lt;=AO$9),$B144,""),"")</f>
        <v/>
      </c>
      <c r="AE144" s="38" t="str">
        <f>+IF(ISERROR(VLOOKUP($B144,AE$10:AE143,1,0)),IF(AND($N144&gt;=1000,$A144&gt;=AP$8,$A144&lt;=AP$9),$B144,""),"")</f>
        <v/>
      </c>
      <c r="AF144" s="38" t="str">
        <f>+IF(ISERROR(VLOOKUP($B144,AF$10:AF143,1,0)),IF(AND($N144&gt;=1000,$A144&gt;=AQ$8,$A144&lt;=AQ$9),$B144,""),"")</f>
        <v/>
      </c>
      <c r="AG144" s="38" t="str">
        <f>+IF(ISERROR(VLOOKUP($B144,AG$10:AG143,1,0)),IF(AND($N144&gt;=1000,$A144&gt;=AR$8,$A144&lt;=AR$9),$B144,""),"")</f>
        <v/>
      </c>
      <c r="AH144" s="38"/>
      <c r="AI144" s="70">
        <v>0</v>
      </c>
      <c r="AJ144" s="38">
        <f>IF(AND(AJ$7="○",$A144&gt;=AJ$8,$A144&lt;=AJ$9),IF(SUM(AJ$10:AJ143)-ROUNDDOWN($K144*AJ$5/100,0)&lt;-AJ$6,-AJ$6-SUM(AJ$10:AJ143),-ROUNDDOWN($K144*AJ$5/100,0)),0)</f>
        <v>0</v>
      </c>
      <c r="AK144" s="38">
        <f>IF(AND(AK$7="○",$A144&gt;=AK$8,$A144&lt;=AK$9),IF(SUM(AK$10:AK143)-ROUNDDOWN($L144*AK$5/100,0)&lt;-AK$6,-AK$6-SUM(AK$10:AK143),-ROUNDDOWN($L144*AK$5/100,0)),0)</f>
        <v>0</v>
      </c>
      <c r="AL144" s="38">
        <f>IF(AND(AL$7="○",$A144&gt;=AL$8,$A144&lt;=AL$9),IF(SUM(AL$10:AL143)-ROUNDDOWN($N144*AL$5/100,0)&lt;-AL$6,-AL$6-SUM(AL$10:AL143),-ROUNDDOWN($N144*AL$5/100,0)),0)</f>
        <v>0</v>
      </c>
      <c r="AM144" s="38">
        <f>IF(AND(AM$7="○",$A144&gt;=AM$8,$A144&lt;=AM$9),IF(SUM(AM$10:AM143)-ROUNDDOWN($L144*AM$5/100,0)&lt;-AM$6,-AM$6-SUM(AM$10:AM143),-ROUNDDOWN($L144*AM$5/100,0)),0)</f>
        <v>0</v>
      </c>
      <c r="AN144" s="38">
        <f>IF(AND(AN$7="○",$A144&gt;=AN$8,$A144&lt;=AN$9),IF(SUM(AN$10:AN143)-ROUNDDOWN($M144*AN$5/100,0)&lt;-AN$6,-AN$6-SUM(AN$10:AN143),-ROUNDDOWN($M144*AN$5/100,0)),0)</f>
        <v>0</v>
      </c>
      <c r="AO144" s="38">
        <f>IF(AND($A144&gt;=AO$8,$A144&lt;=AO$9),IF(SUM(AO$10:AO143)-ROUNDDOWN($K144*AO$5/100,0)&lt;-AO$6,-AO$6-SUM(AO$10:AO143),-ROUNDDOWN($K144*AO$5/100,0)),0)</f>
        <v>0</v>
      </c>
      <c r="AP144" s="38">
        <f>IF(AND($A144&gt;=AP$8,$A144&lt;=AP$9),IF(SUM(AP$10:AP143)-ROUNDDOWN($K144*AP$5/100,0)&lt;-AP$6,-AP$6-SUM(AP$10:AP143),-ROUNDDOWN($K144*AP$5/100,0)),0)</f>
        <v>0</v>
      </c>
      <c r="AQ144" s="38">
        <f>IF(AND($A144&gt;=AQ$8,$A144&lt;=AQ$9),IF(SUM(AQ$10:AQ143)-ROUNDDOWN($K144*AQ$5/100,0)&lt;-AQ$6,-AQ$6-SUM(AQ$10:AQ143),-ROUNDDOWN($K144*AQ$5/100,0)),0)</f>
        <v>0</v>
      </c>
      <c r="AR144" s="38">
        <f>IF(AND($A144&gt;=AR$8,$A144&lt;=AR$9),IF(SUM(AR$10:AR143)-ROUNDDOWN($K144*AR$5/100,0)&lt;-AR$6,-AR$6-SUM(AR$10:AR143),-ROUNDDOWN($K144*AR$5/100,0)),0)</f>
        <v>0</v>
      </c>
      <c r="AS144" s="38">
        <f>IF(SUMIFS(AS$10:AS143,$A$10:$A143,$A144)-ROUNDDOWN($K144*$S144/100,0)&lt;-$S144*1000,-$S144*1000-SUMIFS(AS$10:AS143,$A$10:$A143,$A144),-ROUNDDOWN($K144*$S144/100,0))</f>
        <v>0</v>
      </c>
      <c r="AT144" s="38">
        <f>IF(AND(X144="○",$A144&gt;=AT$8,$A144&lt;=AT$9,K144&gt;=3980),IF(SUM(AT$10:AT143)-ROUNDDOWN($K144*AT$5/100,0)&lt;-AT$6,-AT$6-SUM(AT$10:AT143),-ROUNDDOWN($K144*AT$5/100,0)),0)</f>
        <v>0</v>
      </c>
      <c r="AU144" s="38">
        <f>IF(O144="○",IF(SUM(AU$10:AU143)-ROUNDDOWN($K144*AU$5/100,0)&lt;-AU$6,-AU$6-SUM(AU$10:AU143),-ROUNDDOWN($K144*AU$5/100,0)),0)</f>
        <v>0</v>
      </c>
      <c r="AV144" s="38">
        <f>IF(P144="○",IF(SUM(AV$10:AV143)-ROUNDDOWN($K144*AV$5/100,0)&lt;-AV$6,-AV$6-SUM(AV$10:AV143),-ROUNDDOWN($K144*AV$5/100,0)),0)</f>
        <v>0</v>
      </c>
      <c r="AW144" s="38">
        <f>IF(Q144="○",IF(SUM(AW$10:AW143)-ROUNDDOWN($K144*AW$5/100,0)&lt;-AW$6,-AW$6-SUM(AW$10:AW143),-ROUNDDOWN($K144*AW$5/100,0)),0)</f>
        <v>0</v>
      </c>
      <c r="AX144" s="38">
        <f>IF(R144="○",IF(SUM(AX$10:AX143)-ROUNDDOWN($K144*AX$5/100,0)&lt;-AX$6,-AX$6-SUM(AX$10:AX143),-ROUNDDOWN($K144*AX$5/100,0)),0)</f>
        <v>0</v>
      </c>
      <c r="AY144" s="70">
        <v>0</v>
      </c>
      <c r="AZ144" s="65">
        <f t="shared" si="88"/>
        <v>0</v>
      </c>
      <c r="BA144" s="65">
        <f t="shared" si="89"/>
        <v>0</v>
      </c>
      <c r="BB144" s="70"/>
      <c r="BC144" s="65">
        <f t="shared" si="90"/>
        <v>0</v>
      </c>
      <c r="BD144" s="70">
        <v>0</v>
      </c>
      <c r="BE144" s="65">
        <f t="shared" si="91"/>
        <v>0</v>
      </c>
      <c r="BF144" s="70">
        <v>0</v>
      </c>
      <c r="BG144" s="65">
        <f t="shared" si="92"/>
        <v>0</v>
      </c>
      <c r="BH144" s="70">
        <v>0</v>
      </c>
      <c r="BI144" s="65">
        <f t="shared" si="93"/>
        <v>0</v>
      </c>
      <c r="BJ144" s="38">
        <f>IF(AND(BJ$7="○",$A144&gt;=BJ$8,$A144&lt;=BJ$9),IF(SUM(BJ$10:BJ143)-ROUNDDOWN($M144*BJ$5/100,0)&lt;-BJ$6,-BJ$6-SUM(BJ$10:BJ143),-ROUNDDOWN($M144*BJ$5/100,0)),0)</f>
        <v>0</v>
      </c>
      <c r="BK144" s="38">
        <f>IF(AND(BK$7="○",$A144&gt;=BK$8,$A144&lt;=BK$9),IF(SUM(BK$10:BK143)-ROUNDDOWN($L144*BK$5/100,0)&lt;-BK$6,-BK$6-SUM(BK$10:BK143),-ROUNDDOWN($L144*BK$5/100,0)),0)</f>
        <v>0</v>
      </c>
      <c r="BL144" s="38">
        <f>IF(AND(BL$7="○",$A144&gt;=BL$8,$A144&lt;=BL$9),IF(SUM(BL$10:BL143)-ROUNDDOWN($L144*BL$5/100,0)&lt;-BL$6,-BL$6-SUM(BL$10:BL143),-ROUNDDOWN($L144*BL$5/100,0)),0)</f>
        <v>0</v>
      </c>
      <c r="BM144" s="38">
        <f>IF(AND(BM$7="○",$A144&gt;=BM$8,$A144&lt;=BM$9),IF(SUM(BM$10:BM143)-ROUNDDOWN($M144*BM$5/100,0)&lt;-BM$6,-BM$6-SUM(BM$10:BM143),-ROUNDDOWN($M144*BM$5/100,0)),0)</f>
        <v>0</v>
      </c>
      <c r="BN144" s="38">
        <f>IF(AND(BN$7="○",$A144&gt;=BN$8,$A144&lt;=BN$9),IF(SUM(BN$10:BN143)-ROUNDDOWN($M144*BN$5/100,0)&lt;-BN$6,-BN$6-SUM(BN$10:BN143),-ROUNDDOWN($M144*BN$5/100,0)),0)</f>
        <v>0</v>
      </c>
      <c r="BO144" s="38">
        <f>IF(AND(BO$7="○",$A144&gt;=BO$8,$A144&lt;=BO$9),IF(SUM(BO$10:BO143)-ROUNDDOWN($M144*BO$5/100,0)&lt;-BO$6,-BO$6-SUM(BO$10:BO143),-ROUNDDOWN($M144*BO$5/100,0)),0)</f>
        <v>0</v>
      </c>
      <c r="BP144" s="38">
        <f>IF(AND(BP$7="○",$A144&gt;=BP$8,$A144&lt;=BP$9),IF(SUM(BP$10:BP143)-ROUNDDOWN($M144*BP$5/100,0)&lt;-BP$6,-BP$6-SUM(BP$10:BP143),-ROUNDDOWN($M144*BP$5/100,0)),0)</f>
        <v>0</v>
      </c>
      <c r="BQ144" s="38">
        <f>IF(AND(BQ$7="○",$A144&gt;=BQ$8,$A144&lt;=BQ$9),IF(SUM(BQ$10:BQ143)-ROUNDDOWN($L144*BQ$5/100,0)&lt;-BQ$6,-BQ$6-SUM(BQ$10:BQ143),-ROUNDDOWN($L144*BQ$5/100,0)),0)</f>
        <v>0</v>
      </c>
      <c r="BR144" s="38">
        <f>IF(AND(BR$7="○",$A144&gt;=BR$8,$A144&lt;=BR$9),IF(SUM(BR$10:BR143)-ROUNDDOWN($M144*BR$5/100,0)&lt;-BR$6,-BR$6-SUM(BR$10:BR143),-ROUNDDOWN($M144*BR$5/100,0)),0)</f>
        <v>0</v>
      </c>
      <c r="BS144" s="38">
        <f>IF(AND(BS$7="○",$A144&gt;=BS$8,$A144&lt;=BS$9),IF(SUM(BS$10:BS143)-ROUNDDOWN($M144*BS$5/100,0)&lt;-BS$6,-BS$6-SUM(BS$10:BS143),-ROUNDDOWN($M144*BS$5/100,0)),0)</f>
        <v>0</v>
      </c>
      <c r="BT144" s="38">
        <f>IF(AND(BT$7="○",$A144&gt;=BT$8,$A144&lt;=BT$9),IF(SUM(BT$10:BT143)-ROUNDDOWN($M144*BT$5/100,0)&lt;-BT$6,-BT$6-SUM(BT$10:BT143),-ROUNDDOWN($M144*BT$5/100,0)),0)</f>
        <v>0</v>
      </c>
      <c r="BU144" s="38">
        <f>IF(AND(BU$7="○",$A144&gt;=BU$8,$A144&lt;=BU$9),IF(SUM(BU$10:BU143)-ROUNDDOWN($M144*BU$5/100,0)&lt;-BU$6,-BU$6-SUM(BU$10:BU143),-ROUNDDOWN($M144*BU$5/100,0)),0)</f>
        <v>0</v>
      </c>
      <c r="BV144" s="38">
        <f>IF(AND(BV$7="○",$A144&gt;=BV$8,$A144&lt;=BV$9),IF(SUM(BV$10:BV143)-ROUNDDOWN($M144*BV$5/100,0)&lt;-BV$6,-BV$6-SUM(BV$10:BV143),-ROUNDDOWN($M144*BV$5/100,0)),0)</f>
        <v>0</v>
      </c>
      <c r="BW144" s="38">
        <f>IF(AND(BW$7="○",$A144&gt;=BW$8,$A144&lt;=BW$9),IF(SUM(BW$10:BW143)-ROUNDDOWN($M144*BW$5/100,0)&lt;-BW$6,-BW$6-SUM(BW$10:BW143),-ROUNDDOWN($M144*BW$5/100,0)),0)</f>
        <v>0</v>
      </c>
      <c r="BX144" s="38">
        <f>IF(AND(T144="○",$A144&gt;=BX$8,$A144&lt;=BX$9),IF(SUM(BX$10:BX143)-ROUNDDOWN($K144*BX$5/100,0)&lt;-BX$6,-BX$6-SUM(BX$10:BX143),-ROUNDDOWN($K144*BX$5/100,0)),0)</f>
        <v>0</v>
      </c>
      <c r="BY144" s="38">
        <f>IF(AND(U144="○",$A144&gt;=BY$8,$A144&lt;=BY$9),IF(SUM(BY$10:BY143)-ROUNDDOWN($K144*BY$5/100,0)&lt;-BY$6,-BY$6-SUM(BY$10:BY143),-ROUNDDOWN($K144*BY$5/100,0)),0)</f>
        <v>0</v>
      </c>
      <c r="BZ144" s="38">
        <f>IF(AND(V144="○",$A144&gt;=BZ$8,$A144&lt;=BZ$9),IF(SUM(BZ$10:BZ143)-ROUNDDOWN($K144*BZ$5/100,0)&lt;-BZ$6,-BZ$6-SUM(BZ$10:BZ143),-ROUNDDOWN($K144*BZ$5/100,0)),0)</f>
        <v>0</v>
      </c>
      <c r="CA144" s="38">
        <f>IF(AND(W144="○",$A144&gt;=CA$8,$A144&lt;=CA$9),IF(SUM(CA$10:CA143)-ROUNDDOWN($K144*CA$5/100,0)&lt;-CA$6,-CA$6-SUM(CA$10:CA143),-ROUNDDOWN($K144*CA$5/100,0)),0)</f>
        <v>0</v>
      </c>
      <c r="CB144" s="38"/>
      <c r="CC144" s="38"/>
      <c r="CD144" s="38"/>
      <c r="CE144" s="38"/>
      <c r="CF144" s="38"/>
      <c r="CG144" s="65">
        <f t="shared" si="94"/>
        <v>0</v>
      </c>
      <c r="CH144" s="71">
        <f t="shared" si="95"/>
        <v>0</v>
      </c>
      <c r="CI144" s="1">
        <f t="shared" si="127"/>
        <v>0</v>
      </c>
      <c r="CJ144" s="1"/>
      <c r="CK144" s="72"/>
      <c r="CL144" s="72"/>
      <c r="CM144" s="2"/>
      <c r="CN144" s="2"/>
      <c r="CO144" s="73">
        <f t="shared" si="128"/>
        <v>0</v>
      </c>
      <c r="CP144" s="5">
        <f t="shared" si="129"/>
        <v>0</v>
      </c>
      <c r="CQ144" s="1"/>
      <c r="CR144" s="1">
        <f t="shared" si="130"/>
        <v>0</v>
      </c>
      <c r="CS144" s="1"/>
      <c r="CT144" s="1" t="e">
        <f>INDEX([2]マスタ!$A:$A,MATCH(D144,[2]マスタ!$C:$C,0))</f>
        <v>#N/A</v>
      </c>
      <c r="CU144" s="1" t="str">
        <f t="shared" ca="1" si="131"/>
        <v>20260620_0-0</v>
      </c>
    </row>
    <row r="145" spans="1:99" x14ac:dyDescent="0.4">
      <c r="A145" s="61"/>
      <c r="B145" s="62"/>
      <c r="C145" s="62"/>
      <c r="D145" s="62"/>
      <c r="E145" s="74"/>
      <c r="F145" s="62"/>
      <c r="G145" s="62">
        <v>1</v>
      </c>
      <c r="H145" s="64">
        <f t="shared" si="118"/>
        <v>0</v>
      </c>
      <c r="I145" s="64"/>
      <c r="J145" s="64"/>
      <c r="K145" s="65">
        <f t="shared" si="119"/>
        <v>0</v>
      </c>
      <c r="L145" s="65">
        <f t="shared" si="120"/>
        <v>0</v>
      </c>
      <c r="M145" s="65">
        <f t="shared" si="121"/>
        <v>0</v>
      </c>
      <c r="N145" s="65">
        <f t="shared" si="122"/>
        <v>0</v>
      </c>
      <c r="O145" s="66" t="str">
        <f t="shared" si="123"/>
        <v>✕</v>
      </c>
      <c r="P145" s="67" t="str">
        <f t="shared" si="124"/>
        <v>○</v>
      </c>
      <c r="Q145" s="67" t="str">
        <f t="shared" si="125"/>
        <v>✕</v>
      </c>
      <c r="R145" s="67" t="str">
        <f t="shared" si="126"/>
        <v>✕</v>
      </c>
      <c r="S145" s="68">
        <v>0</v>
      </c>
      <c r="T145" s="69" t="s">
        <v>85</v>
      </c>
      <c r="U145" s="69" t="s">
        <v>85</v>
      </c>
      <c r="V145" s="69" t="s">
        <v>85</v>
      </c>
      <c r="W145" s="69" t="s">
        <v>85</v>
      </c>
      <c r="X145" s="69" t="s">
        <v>84</v>
      </c>
      <c r="Y145" s="69" t="s">
        <v>85</v>
      </c>
      <c r="Z145" s="69" t="s">
        <v>85</v>
      </c>
      <c r="AA145" s="69" t="s">
        <v>85</v>
      </c>
      <c r="AB145" s="69" t="s">
        <v>85</v>
      </c>
      <c r="AC145" s="69" t="s">
        <v>85</v>
      </c>
      <c r="AD145" s="38" t="str">
        <f>+IF(ISERROR(VLOOKUP($B145,AD$10:AD144,1,0)),IF(AND($N145&gt;=1000,$A145&gt;=AO$8,$A145&lt;=AO$9),$B145,""),"")</f>
        <v/>
      </c>
      <c r="AE145" s="38" t="str">
        <f>+IF(ISERROR(VLOOKUP($B145,AE$10:AE144,1,0)),IF(AND($N145&gt;=1000,$A145&gt;=AP$8,$A145&lt;=AP$9),$B145,""),"")</f>
        <v/>
      </c>
      <c r="AF145" s="38" t="str">
        <f>+IF(ISERROR(VLOOKUP($B145,AF$10:AF144,1,0)),IF(AND($N145&gt;=1000,$A145&gt;=AQ$8,$A145&lt;=AQ$9),$B145,""),"")</f>
        <v/>
      </c>
      <c r="AG145" s="38" t="str">
        <f>+IF(ISERROR(VLOOKUP($B145,AG$10:AG144,1,0)),IF(AND($N145&gt;=1000,$A145&gt;=AR$8,$A145&lt;=AR$9),$B145,""),"")</f>
        <v/>
      </c>
      <c r="AH145" s="38"/>
      <c r="AI145" s="70">
        <v>0</v>
      </c>
      <c r="AJ145" s="38">
        <f>IF(AND(AJ$7="○",$A145&gt;=AJ$8,$A145&lt;=AJ$9),IF(SUM(AJ$10:AJ144)-ROUNDDOWN($K145*AJ$5/100,0)&lt;-AJ$6,-AJ$6-SUM(AJ$10:AJ144),-ROUNDDOWN($K145*AJ$5/100,0)),0)</f>
        <v>0</v>
      </c>
      <c r="AK145" s="38">
        <f>IF(AND(AK$7="○",$A145&gt;=AK$8,$A145&lt;=AK$9),IF(SUM(AK$10:AK144)-ROUNDDOWN($L145*AK$5/100,0)&lt;-AK$6,-AK$6-SUM(AK$10:AK144),-ROUNDDOWN($L145*AK$5/100,0)),0)</f>
        <v>0</v>
      </c>
      <c r="AL145" s="38">
        <f>IF(AND(AL$7="○",$A145&gt;=AL$8,$A145&lt;=AL$9),IF(SUM(AL$10:AL144)-ROUNDDOWN($N145*AL$5/100,0)&lt;-AL$6,-AL$6-SUM(AL$10:AL144),-ROUNDDOWN($N145*AL$5/100,0)),0)</f>
        <v>0</v>
      </c>
      <c r="AM145" s="38">
        <f>IF(AND(AM$7="○",$A145&gt;=AM$8,$A145&lt;=AM$9),IF(SUM(AM$10:AM144)-ROUNDDOWN($L145*AM$5/100,0)&lt;-AM$6,-AM$6-SUM(AM$10:AM144),-ROUNDDOWN($L145*AM$5/100,0)),0)</f>
        <v>0</v>
      </c>
      <c r="AN145" s="38">
        <f>IF(AND(AN$7="○",$A145&gt;=AN$8,$A145&lt;=AN$9),IF(SUM(AN$10:AN144)-ROUNDDOWN($M145*AN$5/100,0)&lt;-AN$6,-AN$6-SUM(AN$10:AN144),-ROUNDDOWN($M145*AN$5/100,0)),0)</f>
        <v>0</v>
      </c>
      <c r="AO145" s="38">
        <f>IF(AND($A145&gt;=AO$8,$A145&lt;=AO$9),IF(SUM(AO$10:AO144)-ROUNDDOWN($K145*AO$5/100,0)&lt;-AO$6,-AO$6-SUM(AO$10:AO144),-ROUNDDOWN($K145*AO$5/100,0)),0)</f>
        <v>0</v>
      </c>
      <c r="AP145" s="38">
        <f>IF(AND($A145&gt;=AP$8,$A145&lt;=AP$9),IF(SUM(AP$10:AP144)-ROUNDDOWN($K145*AP$5/100,0)&lt;-AP$6,-AP$6-SUM(AP$10:AP144),-ROUNDDOWN($K145*AP$5/100,0)),0)</f>
        <v>0</v>
      </c>
      <c r="AQ145" s="38">
        <f>IF(AND($A145&gt;=AQ$8,$A145&lt;=AQ$9),IF(SUM(AQ$10:AQ144)-ROUNDDOWN($K145*AQ$5/100,0)&lt;-AQ$6,-AQ$6-SUM(AQ$10:AQ144),-ROUNDDOWN($K145*AQ$5/100,0)),0)</f>
        <v>0</v>
      </c>
      <c r="AR145" s="38">
        <f>IF(AND($A145&gt;=AR$8,$A145&lt;=AR$9),IF(SUM(AR$10:AR144)-ROUNDDOWN($K145*AR$5/100,0)&lt;-AR$6,-AR$6-SUM(AR$10:AR144),-ROUNDDOWN($K145*AR$5/100,0)),0)</f>
        <v>0</v>
      </c>
      <c r="AS145" s="38">
        <f>IF(SUMIFS(AS$10:AS144,$A$10:$A144,$A145)-ROUNDDOWN($K145*$S145/100,0)&lt;-$S145*1000,-$S145*1000-SUMIFS(AS$10:AS144,$A$10:$A144,$A145),-ROUNDDOWN($K145*$S145/100,0))</f>
        <v>0</v>
      </c>
      <c r="AT145" s="38">
        <f>IF(AND(X145="○",$A145&gt;=AT$8,$A145&lt;=AT$9,K145&gt;=3980),IF(SUM(AT$10:AT144)-ROUNDDOWN($K145*AT$5/100,0)&lt;-AT$6,-AT$6-SUM(AT$10:AT144),-ROUNDDOWN($K145*AT$5/100,0)),0)</f>
        <v>0</v>
      </c>
      <c r="AU145" s="38">
        <f>IF(O145="○",IF(SUM(AU$10:AU144)-ROUNDDOWN($K145*AU$5/100,0)&lt;-AU$6,-AU$6-SUM(AU$10:AU144),-ROUNDDOWN($K145*AU$5/100,0)),0)</f>
        <v>0</v>
      </c>
      <c r="AV145" s="38">
        <f>IF(P145="○",IF(SUM(AV$10:AV144)-ROUNDDOWN($K145*AV$5/100,0)&lt;-AV$6,-AV$6-SUM(AV$10:AV144),-ROUNDDOWN($K145*AV$5/100,0)),0)</f>
        <v>0</v>
      </c>
      <c r="AW145" s="38">
        <f>IF(Q145="○",IF(SUM(AW$10:AW144)-ROUNDDOWN($K145*AW$5/100,0)&lt;-AW$6,-AW$6-SUM(AW$10:AW144),-ROUNDDOWN($K145*AW$5/100,0)),0)</f>
        <v>0</v>
      </c>
      <c r="AX145" s="38">
        <f>IF(R145="○",IF(SUM(AX$10:AX144)-ROUNDDOWN($K145*AX$5/100,0)&lt;-AX$6,-AX$6-SUM(AX$10:AX144),-ROUNDDOWN($K145*AX$5/100,0)),0)</f>
        <v>0</v>
      </c>
      <c r="AY145" s="70">
        <v>0</v>
      </c>
      <c r="AZ145" s="65">
        <f t="shared" si="88"/>
        <v>0</v>
      </c>
      <c r="BA145" s="65">
        <f t="shared" si="89"/>
        <v>0</v>
      </c>
      <c r="BB145" s="70"/>
      <c r="BC145" s="65">
        <f t="shared" si="90"/>
        <v>0</v>
      </c>
      <c r="BD145" s="70">
        <v>0</v>
      </c>
      <c r="BE145" s="65">
        <f t="shared" si="91"/>
        <v>0</v>
      </c>
      <c r="BF145" s="70">
        <v>0</v>
      </c>
      <c r="BG145" s="65">
        <f t="shared" si="92"/>
        <v>0</v>
      </c>
      <c r="BH145" s="70">
        <v>0</v>
      </c>
      <c r="BI145" s="65">
        <f t="shared" si="93"/>
        <v>0</v>
      </c>
      <c r="BJ145" s="38">
        <f>IF(AND(BJ$7="○",$A145&gt;=BJ$8,$A145&lt;=BJ$9),IF(SUM(BJ$10:BJ144)-ROUNDDOWN($M145*BJ$5/100,0)&lt;-BJ$6,-BJ$6-SUM(BJ$10:BJ144),-ROUNDDOWN($M145*BJ$5/100,0)),0)</f>
        <v>0</v>
      </c>
      <c r="BK145" s="38">
        <f>IF(AND(BK$7="○",$A145&gt;=BK$8,$A145&lt;=BK$9),IF(SUM(BK$10:BK144)-ROUNDDOWN($L145*BK$5/100,0)&lt;-BK$6,-BK$6-SUM(BK$10:BK144),-ROUNDDOWN($L145*BK$5/100,0)),0)</f>
        <v>0</v>
      </c>
      <c r="BL145" s="38">
        <f>IF(AND(BL$7="○",$A145&gt;=BL$8,$A145&lt;=BL$9),IF(SUM(BL$10:BL144)-ROUNDDOWN($L145*BL$5/100,0)&lt;-BL$6,-BL$6-SUM(BL$10:BL144),-ROUNDDOWN($L145*BL$5/100,0)),0)</f>
        <v>0</v>
      </c>
      <c r="BM145" s="38">
        <f>IF(AND(BM$7="○",$A145&gt;=BM$8,$A145&lt;=BM$9),IF(SUM(BM$10:BM144)-ROUNDDOWN($M145*BM$5/100,0)&lt;-BM$6,-BM$6-SUM(BM$10:BM144),-ROUNDDOWN($M145*BM$5/100,0)),0)</f>
        <v>0</v>
      </c>
      <c r="BN145" s="38">
        <f>IF(AND(BN$7="○",$A145&gt;=BN$8,$A145&lt;=BN$9),IF(SUM(BN$10:BN144)-ROUNDDOWN($M145*BN$5/100,0)&lt;-BN$6,-BN$6-SUM(BN$10:BN144),-ROUNDDOWN($M145*BN$5/100,0)),0)</f>
        <v>0</v>
      </c>
      <c r="BO145" s="38">
        <f>IF(AND(BO$7="○",$A145&gt;=BO$8,$A145&lt;=BO$9),IF(SUM(BO$10:BO144)-ROUNDDOWN($M145*BO$5/100,0)&lt;-BO$6,-BO$6-SUM(BO$10:BO144),-ROUNDDOWN($M145*BO$5/100,0)),0)</f>
        <v>0</v>
      </c>
      <c r="BP145" s="38">
        <f>IF(AND(BP$7="○",$A145&gt;=BP$8,$A145&lt;=BP$9),IF(SUM(BP$10:BP144)-ROUNDDOWN($M145*BP$5/100,0)&lt;-BP$6,-BP$6-SUM(BP$10:BP144),-ROUNDDOWN($M145*BP$5/100,0)),0)</f>
        <v>0</v>
      </c>
      <c r="BQ145" s="38">
        <f>IF(AND(BQ$7="○",$A145&gt;=BQ$8,$A145&lt;=BQ$9),IF(SUM(BQ$10:BQ144)-ROUNDDOWN($L145*BQ$5/100,0)&lt;-BQ$6,-BQ$6-SUM(BQ$10:BQ144),-ROUNDDOWN($L145*BQ$5/100,0)),0)</f>
        <v>0</v>
      </c>
      <c r="BR145" s="38">
        <f>IF(AND(BR$7="○",$A145&gt;=BR$8,$A145&lt;=BR$9),IF(SUM(BR$10:BR144)-ROUNDDOWN($M145*BR$5/100,0)&lt;-BR$6,-BR$6-SUM(BR$10:BR144),-ROUNDDOWN($M145*BR$5/100,0)),0)</f>
        <v>0</v>
      </c>
      <c r="BS145" s="38">
        <f>IF(AND(BS$7="○",$A145&gt;=BS$8,$A145&lt;=BS$9),IF(SUM(BS$10:BS144)-ROUNDDOWN($M145*BS$5/100,0)&lt;-BS$6,-BS$6-SUM(BS$10:BS144),-ROUNDDOWN($M145*BS$5/100,0)),0)</f>
        <v>0</v>
      </c>
      <c r="BT145" s="38">
        <f>IF(AND(BT$7="○",$A145&gt;=BT$8,$A145&lt;=BT$9),IF(SUM(BT$10:BT144)-ROUNDDOWN($M145*BT$5/100,0)&lt;-BT$6,-BT$6-SUM(BT$10:BT144),-ROUNDDOWN($M145*BT$5/100,0)),0)</f>
        <v>0</v>
      </c>
      <c r="BU145" s="38">
        <f>IF(AND(BU$7="○",$A145&gt;=BU$8,$A145&lt;=BU$9),IF(SUM(BU$10:BU144)-ROUNDDOWN($M145*BU$5/100,0)&lt;-BU$6,-BU$6-SUM(BU$10:BU144),-ROUNDDOWN($M145*BU$5/100,0)),0)</f>
        <v>0</v>
      </c>
      <c r="BV145" s="38">
        <f>IF(AND(BV$7="○",$A145&gt;=BV$8,$A145&lt;=BV$9),IF(SUM(BV$10:BV144)-ROUNDDOWN($M145*BV$5/100,0)&lt;-BV$6,-BV$6-SUM(BV$10:BV144),-ROUNDDOWN($M145*BV$5/100,0)),0)</f>
        <v>0</v>
      </c>
      <c r="BW145" s="38">
        <f>IF(AND(BW$7="○",$A145&gt;=BW$8,$A145&lt;=BW$9),IF(SUM(BW$10:BW144)-ROUNDDOWN($M145*BW$5/100,0)&lt;-BW$6,-BW$6-SUM(BW$10:BW144),-ROUNDDOWN($M145*BW$5/100,0)),0)</f>
        <v>0</v>
      </c>
      <c r="BX145" s="38">
        <f>IF(AND(T145="○",$A145&gt;=BX$8,$A145&lt;=BX$9),IF(SUM(BX$10:BX144)-ROUNDDOWN($K145*BX$5/100,0)&lt;-BX$6,-BX$6-SUM(BX$10:BX144),-ROUNDDOWN($K145*BX$5/100,0)),0)</f>
        <v>0</v>
      </c>
      <c r="BY145" s="38">
        <f>IF(AND(U145="○",$A145&gt;=BY$8,$A145&lt;=BY$9),IF(SUM(BY$10:BY144)-ROUNDDOWN($K145*BY$5/100,0)&lt;-BY$6,-BY$6-SUM(BY$10:BY144),-ROUNDDOWN($K145*BY$5/100,0)),0)</f>
        <v>0</v>
      </c>
      <c r="BZ145" s="38">
        <f>IF(AND(V145="○",$A145&gt;=BZ$8,$A145&lt;=BZ$9),IF(SUM(BZ$10:BZ144)-ROUNDDOWN($K145*BZ$5/100,0)&lt;-BZ$6,-BZ$6-SUM(BZ$10:BZ144),-ROUNDDOWN($K145*BZ$5/100,0)),0)</f>
        <v>0</v>
      </c>
      <c r="CA145" s="38">
        <f>IF(AND(W145="○",$A145&gt;=CA$8,$A145&lt;=CA$9),IF(SUM(CA$10:CA144)-ROUNDDOWN($K145*CA$5/100,0)&lt;-CA$6,-CA$6-SUM(CA$10:CA144),-ROUNDDOWN($K145*CA$5/100,0)),0)</f>
        <v>0</v>
      </c>
      <c r="CB145" s="38"/>
      <c r="CC145" s="38"/>
      <c r="CD145" s="38"/>
      <c r="CE145" s="38"/>
      <c r="CF145" s="38"/>
      <c r="CG145" s="65">
        <f t="shared" si="94"/>
        <v>0</v>
      </c>
      <c r="CH145" s="71">
        <f t="shared" si="95"/>
        <v>0</v>
      </c>
      <c r="CI145" s="1">
        <f t="shared" si="127"/>
        <v>0</v>
      </c>
      <c r="CJ145" s="1"/>
      <c r="CK145" s="72"/>
      <c r="CL145" s="72"/>
      <c r="CM145" s="2"/>
      <c r="CN145" s="2"/>
      <c r="CO145" s="73">
        <f t="shared" si="128"/>
        <v>0</v>
      </c>
      <c r="CP145" s="5">
        <f t="shared" si="129"/>
        <v>0</v>
      </c>
      <c r="CQ145" s="1"/>
      <c r="CR145" s="1">
        <f t="shared" si="130"/>
        <v>0</v>
      </c>
      <c r="CS145" s="1"/>
      <c r="CT145" s="1" t="e">
        <f>INDEX([2]マスタ!$A:$A,MATCH(D145,[2]マスタ!$C:$C,0))</f>
        <v>#N/A</v>
      </c>
      <c r="CU145" s="1" t="str">
        <f t="shared" ca="1" si="131"/>
        <v>20260620_0-0</v>
      </c>
    </row>
    <row r="146" spans="1:99" x14ac:dyDescent="0.4">
      <c r="A146" s="61"/>
      <c r="B146" s="62"/>
      <c r="C146" s="62"/>
      <c r="D146" s="62"/>
      <c r="E146" s="74"/>
      <c r="F146" s="62"/>
      <c r="G146" s="62">
        <v>1</v>
      </c>
      <c r="H146" s="64">
        <f t="shared" si="118"/>
        <v>0</v>
      </c>
      <c r="I146" s="64"/>
      <c r="J146" s="64"/>
      <c r="K146" s="65">
        <f t="shared" si="119"/>
        <v>0</v>
      </c>
      <c r="L146" s="65">
        <f t="shared" si="120"/>
        <v>0</v>
      </c>
      <c r="M146" s="65">
        <f t="shared" si="121"/>
        <v>0</v>
      </c>
      <c r="N146" s="65">
        <f t="shared" si="122"/>
        <v>0</v>
      </c>
      <c r="O146" s="66" t="str">
        <f t="shared" si="123"/>
        <v>✕</v>
      </c>
      <c r="P146" s="67" t="str">
        <f t="shared" si="124"/>
        <v>○</v>
      </c>
      <c r="Q146" s="67" t="str">
        <f t="shared" si="125"/>
        <v>✕</v>
      </c>
      <c r="R146" s="67" t="str">
        <f t="shared" si="126"/>
        <v>✕</v>
      </c>
      <c r="S146" s="68">
        <v>0</v>
      </c>
      <c r="T146" s="69" t="s">
        <v>85</v>
      </c>
      <c r="U146" s="69" t="s">
        <v>85</v>
      </c>
      <c r="V146" s="69" t="s">
        <v>85</v>
      </c>
      <c r="W146" s="69" t="s">
        <v>85</v>
      </c>
      <c r="X146" s="69" t="s">
        <v>84</v>
      </c>
      <c r="Y146" s="69" t="s">
        <v>85</v>
      </c>
      <c r="Z146" s="69" t="s">
        <v>85</v>
      </c>
      <c r="AA146" s="69" t="s">
        <v>85</v>
      </c>
      <c r="AB146" s="69" t="s">
        <v>85</v>
      </c>
      <c r="AC146" s="69" t="s">
        <v>85</v>
      </c>
      <c r="AD146" s="38" t="str">
        <f>+IF(ISERROR(VLOOKUP($B146,AD$10:AD145,1,0)),IF(AND($N146&gt;=1000,$A146&gt;=AO$8,$A146&lt;=AO$9),$B146,""),"")</f>
        <v/>
      </c>
      <c r="AE146" s="38" t="str">
        <f>+IF(ISERROR(VLOOKUP($B146,AE$10:AE145,1,0)),IF(AND($N146&gt;=1000,$A146&gt;=AP$8,$A146&lt;=AP$9),$B146,""),"")</f>
        <v/>
      </c>
      <c r="AF146" s="38" t="str">
        <f>+IF(ISERROR(VLOOKUP($B146,AF$10:AF145,1,0)),IF(AND($N146&gt;=1000,$A146&gt;=AQ$8,$A146&lt;=AQ$9),$B146,""),"")</f>
        <v/>
      </c>
      <c r="AG146" s="38" t="str">
        <f>+IF(ISERROR(VLOOKUP($B146,AG$10:AG145,1,0)),IF(AND($N146&gt;=1000,$A146&gt;=AR$8,$A146&lt;=AR$9),$B146,""),"")</f>
        <v/>
      </c>
      <c r="AH146" s="38"/>
      <c r="AI146" s="70">
        <v>0</v>
      </c>
      <c r="AJ146" s="38">
        <f>IF(AND(AJ$7="○",$A146&gt;=AJ$8,$A146&lt;=AJ$9),IF(SUM(AJ$10:AJ145)-ROUNDDOWN($K146*AJ$5/100,0)&lt;-AJ$6,-AJ$6-SUM(AJ$10:AJ145),-ROUNDDOWN($K146*AJ$5/100,0)),0)</f>
        <v>0</v>
      </c>
      <c r="AK146" s="38">
        <f>IF(AND(AK$7="○",$A146&gt;=AK$8,$A146&lt;=AK$9),IF(SUM(AK$10:AK145)-ROUNDDOWN($L146*AK$5/100,0)&lt;-AK$6,-AK$6-SUM(AK$10:AK145),-ROUNDDOWN($L146*AK$5/100,0)),0)</f>
        <v>0</v>
      </c>
      <c r="AL146" s="38">
        <f>IF(AND(AL$7="○",$A146&gt;=AL$8,$A146&lt;=AL$9),IF(SUM(AL$10:AL145)-ROUNDDOWN($N146*AL$5/100,0)&lt;-AL$6,-AL$6-SUM(AL$10:AL145),-ROUNDDOWN($N146*AL$5/100,0)),0)</f>
        <v>0</v>
      </c>
      <c r="AM146" s="38">
        <f>IF(AND(AM$7="○",$A146&gt;=AM$8,$A146&lt;=AM$9),IF(SUM(AM$10:AM145)-ROUNDDOWN($L146*AM$5/100,0)&lt;-AM$6,-AM$6-SUM(AM$10:AM145),-ROUNDDOWN($L146*AM$5/100,0)),0)</f>
        <v>0</v>
      </c>
      <c r="AN146" s="38">
        <f>IF(AND(AN$7="○",$A146&gt;=AN$8,$A146&lt;=AN$9),IF(SUM(AN$10:AN145)-ROUNDDOWN($M146*AN$5/100,0)&lt;-AN$6,-AN$6-SUM(AN$10:AN145),-ROUNDDOWN($M146*AN$5/100,0)),0)</f>
        <v>0</v>
      </c>
      <c r="AO146" s="38">
        <f>IF(AND($A146&gt;=AO$8,$A146&lt;=AO$9),IF(SUM(AO$10:AO145)-ROUNDDOWN($K146*AO$5/100,0)&lt;-AO$6,-AO$6-SUM(AO$10:AO145),-ROUNDDOWN($K146*AO$5/100,0)),0)</f>
        <v>0</v>
      </c>
      <c r="AP146" s="38">
        <f>IF(AND($A146&gt;=AP$8,$A146&lt;=AP$9),IF(SUM(AP$10:AP145)-ROUNDDOWN($K146*AP$5/100,0)&lt;-AP$6,-AP$6-SUM(AP$10:AP145),-ROUNDDOWN($K146*AP$5/100,0)),0)</f>
        <v>0</v>
      </c>
      <c r="AQ146" s="38">
        <f>IF(AND($A146&gt;=AQ$8,$A146&lt;=AQ$9),IF(SUM(AQ$10:AQ145)-ROUNDDOWN($K146*AQ$5/100,0)&lt;-AQ$6,-AQ$6-SUM(AQ$10:AQ145),-ROUNDDOWN($K146*AQ$5/100,0)),0)</f>
        <v>0</v>
      </c>
      <c r="AR146" s="38">
        <f>IF(AND($A146&gt;=AR$8,$A146&lt;=AR$9),IF(SUM(AR$10:AR145)-ROUNDDOWN($K146*AR$5/100,0)&lt;-AR$6,-AR$6-SUM(AR$10:AR145),-ROUNDDOWN($K146*AR$5/100,0)),0)</f>
        <v>0</v>
      </c>
      <c r="AS146" s="38">
        <f>IF(SUMIFS(AS$10:AS145,$A$10:$A145,$A146)-ROUNDDOWN($K146*$S146/100,0)&lt;-$S146*1000,-$S146*1000-SUMIFS(AS$10:AS145,$A$10:$A145,$A146),-ROUNDDOWN($K146*$S146/100,0))</f>
        <v>0</v>
      </c>
      <c r="AT146" s="38">
        <f>IF(AND(X146="○",$A146&gt;=AT$8,$A146&lt;=AT$9,K146&gt;=3980),IF(SUM(AT$10:AT145)-ROUNDDOWN($K146*AT$5/100,0)&lt;-AT$6,-AT$6-SUM(AT$10:AT145),-ROUNDDOWN($K146*AT$5/100,0)),0)</f>
        <v>0</v>
      </c>
      <c r="AU146" s="38">
        <f>IF(O146="○",IF(SUM(AU$10:AU145)-ROUNDDOWN($K146*AU$5/100,0)&lt;-AU$6,-AU$6-SUM(AU$10:AU145),-ROUNDDOWN($K146*AU$5/100,0)),0)</f>
        <v>0</v>
      </c>
      <c r="AV146" s="38">
        <f>IF(P146="○",IF(SUM(AV$10:AV145)-ROUNDDOWN($K146*AV$5/100,0)&lt;-AV$6,-AV$6-SUM(AV$10:AV145),-ROUNDDOWN($K146*AV$5/100,0)),0)</f>
        <v>0</v>
      </c>
      <c r="AW146" s="38">
        <f>IF(Q146="○",IF(SUM(AW$10:AW145)-ROUNDDOWN($K146*AW$5/100,0)&lt;-AW$6,-AW$6-SUM(AW$10:AW145),-ROUNDDOWN($K146*AW$5/100,0)),0)</f>
        <v>0</v>
      </c>
      <c r="AX146" s="38">
        <f>IF(R146="○",IF(SUM(AX$10:AX145)-ROUNDDOWN($K146*AX$5/100,0)&lt;-AX$6,-AX$6-SUM(AX$10:AX145),-ROUNDDOWN($K146*AX$5/100,0)),0)</f>
        <v>0</v>
      </c>
      <c r="AY146" s="70">
        <v>0</v>
      </c>
      <c r="AZ146" s="65">
        <f t="shared" si="88"/>
        <v>0</v>
      </c>
      <c r="BA146" s="65">
        <f t="shared" si="89"/>
        <v>0</v>
      </c>
      <c r="BB146" s="70"/>
      <c r="BC146" s="65">
        <f t="shared" si="90"/>
        <v>0</v>
      </c>
      <c r="BD146" s="70">
        <v>0</v>
      </c>
      <c r="BE146" s="65">
        <f t="shared" si="91"/>
        <v>0</v>
      </c>
      <c r="BF146" s="70">
        <v>0</v>
      </c>
      <c r="BG146" s="65">
        <f t="shared" si="92"/>
        <v>0</v>
      </c>
      <c r="BH146" s="70">
        <v>0</v>
      </c>
      <c r="BI146" s="65">
        <f t="shared" si="93"/>
        <v>0</v>
      </c>
      <c r="BJ146" s="38">
        <f>IF(AND(BJ$7="○",$A146&gt;=BJ$8,$A146&lt;=BJ$9),IF(SUM(BJ$10:BJ145)-ROUNDDOWN($M146*BJ$5/100,0)&lt;-BJ$6,-BJ$6-SUM(BJ$10:BJ145),-ROUNDDOWN($M146*BJ$5/100,0)),0)</f>
        <v>0</v>
      </c>
      <c r="BK146" s="38">
        <f>IF(AND(BK$7="○",$A146&gt;=BK$8,$A146&lt;=BK$9),IF(SUM(BK$10:BK145)-ROUNDDOWN($L146*BK$5/100,0)&lt;-BK$6,-BK$6-SUM(BK$10:BK145),-ROUNDDOWN($L146*BK$5/100,0)),0)</f>
        <v>0</v>
      </c>
      <c r="BL146" s="38">
        <f>IF(AND(BL$7="○",$A146&gt;=BL$8,$A146&lt;=BL$9),IF(SUM(BL$10:BL145)-ROUNDDOWN($L146*BL$5/100,0)&lt;-BL$6,-BL$6-SUM(BL$10:BL145),-ROUNDDOWN($L146*BL$5/100,0)),0)</f>
        <v>0</v>
      </c>
      <c r="BM146" s="38">
        <f>IF(AND(BM$7="○",$A146&gt;=BM$8,$A146&lt;=BM$9),IF(SUM(BM$10:BM145)-ROUNDDOWN($M146*BM$5/100,0)&lt;-BM$6,-BM$6-SUM(BM$10:BM145),-ROUNDDOWN($M146*BM$5/100,0)),0)</f>
        <v>0</v>
      </c>
      <c r="BN146" s="38">
        <f>IF(AND(BN$7="○",$A146&gt;=BN$8,$A146&lt;=BN$9),IF(SUM(BN$10:BN145)-ROUNDDOWN($M146*BN$5/100,0)&lt;-BN$6,-BN$6-SUM(BN$10:BN145),-ROUNDDOWN($M146*BN$5/100,0)),0)</f>
        <v>0</v>
      </c>
      <c r="BO146" s="38">
        <f>IF(AND(BO$7="○",$A146&gt;=BO$8,$A146&lt;=BO$9),IF(SUM(BO$10:BO145)-ROUNDDOWN($M146*BO$5/100,0)&lt;-BO$6,-BO$6-SUM(BO$10:BO145),-ROUNDDOWN($M146*BO$5/100,0)),0)</f>
        <v>0</v>
      </c>
      <c r="BP146" s="38">
        <f>IF(AND(BP$7="○",$A146&gt;=BP$8,$A146&lt;=BP$9),IF(SUM(BP$10:BP145)-ROUNDDOWN($M146*BP$5/100,0)&lt;-BP$6,-BP$6-SUM(BP$10:BP145),-ROUNDDOWN($M146*BP$5/100,0)),0)</f>
        <v>0</v>
      </c>
      <c r="BQ146" s="38">
        <f>IF(AND(BQ$7="○",$A146&gt;=BQ$8,$A146&lt;=BQ$9),IF(SUM(BQ$10:BQ145)-ROUNDDOWN($L146*BQ$5/100,0)&lt;-BQ$6,-BQ$6-SUM(BQ$10:BQ145),-ROUNDDOWN($L146*BQ$5/100,0)),0)</f>
        <v>0</v>
      </c>
      <c r="BR146" s="38">
        <f>IF(AND(BR$7="○",$A146&gt;=BR$8,$A146&lt;=BR$9),IF(SUM(BR$10:BR145)-ROUNDDOWN($M146*BR$5/100,0)&lt;-BR$6,-BR$6-SUM(BR$10:BR145),-ROUNDDOWN($M146*BR$5/100,0)),0)</f>
        <v>0</v>
      </c>
      <c r="BS146" s="38">
        <f>IF(AND(BS$7="○",$A146&gt;=BS$8,$A146&lt;=BS$9),IF(SUM(BS$10:BS145)-ROUNDDOWN($M146*BS$5/100,0)&lt;-BS$6,-BS$6-SUM(BS$10:BS145),-ROUNDDOWN($M146*BS$5/100,0)),0)</f>
        <v>0</v>
      </c>
      <c r="BT146" s="38">
        <f>IF(AND(BT$7="○",$A146&gt;=BT$8,$A146&lt;=BT$9),IF(SUM(BT$10:BT145)-ROUNDDOWN($M146*BT$5/100,0)&lt;-BT$6,-BT$6-SUM(BT$10:BT145),-ROUNDDOWN($M146*BT$5/100,0)),0)</f>
        <v>0</v>
      </c>
      <c r="BU146" s="38">
        <f>IF(AND(BU$7="○",$A146&gt;=BU$8,$A146&lt;=BU$9),IF(SUM(BU$10:BU145)-ROUNDDOWN($M146*BU$5/100,0)&lt;-BU$6,-BU$6-SUM(BU$10:BU145),-ROUNDDOWN($M146*BU$5/100,0)),0)</f>
        <v>0</v>
      </c>
      <c r="BV146" s="38">
        <f>IF(AND(BV$7="○",$A146&gt;=BV$8,$A146&lt;=BV$9),IF(SUM(BV$10:BV145)-ROUNDDOWN($M146*BV$5/100,0)&lt;-BV$6,-BV$6-SUM(BV$10:BV145),-ROUNDDOWN($M146*BV$5/100,0)),0)</f>
        <v>0</v>
      </c>
      <c r="BW146" s="38">
        <f>IF(AND(BW$7="○",$A146&gt;=BW$8,$A146&lt;=BW$9),IF(SUM(BW$10:BW145)-ROUNDDOWN($M146*BW$5/100,0)&lt;-BW$6,-BW$6-SUM(BW$10:BW145),-ROUNDDOWN($M146*BW$5/100,0)),0)</f>
        <v>0</v>
      </c>
      <c r="BX146" s="38">
        <f>IF(AND(T146="○",$A146&gt;=BX$8,$A146&lt;=BX$9),IF(SUM(BX$10:BX145)-ROUNDDOWN($K146*BX$5/100,0)&lt;-BX$6,-BX$6-SUM(BX$10:BX145),-ROUNDDOWN($K146*BX$5/100,0)),0)</f>
        <v>0</v>
      </c>
      <c r="BY146" s="38">
        <f>IF(AND(U146="○",$A146&gt;=BY$8,$A146&lt;=BY$9),IF(SUM(BY$10:BY145)-ROUNDDOWN($K146*BY$5/100,0)&lt;-BY$6,-BY$6-SUM(BY$10:BY145),-ROUNDDOWN($K146*BY$5/100,0)),0)</f>
        <v>0</v>
      </c>
      <c r="BZ146" s="38">
        <f>IF(AND(V146="○",$A146&gt;=BZ$8,$A146&lt;=BZ$9),IF(SUM(BZ$10:BZ145)-ROUNDDOWN($K146*BZ$5/100,0)&lt;-BZ$6,-BZ$6-SUM(BZ$10:BZ145),-ROUNDDOWN($K146*BZ$5/100,0)),0)</f>
        <v>0</v>
      </c>
      <c r="CA146" s="38">
        <f>IF(AND(W146="○",$A146&gt;=CA$8,$A146&lt;=CA$9),IF(SUM(CA$10:CA145)-ROUNDDOWN($K146*CA$5/100,0)&lt;-CA$6,-CA$6-SUM(CA$10:CA145),-ROUNDDOWN($K146*CA$5/100,0)),0)</f>
        <v>0</v>
      </c>
      <c r="CB146" s="38"/>
      <c r="CC146" s="38"/>
      <c r="CD146" s="38"/>
      <c r="CE146" s="38"/>
      <c r="CF146" s="38"/>
      <c r="CG146" s="65">
        <f t="shared" si="94"/>
        <v>0</v>
      </c>
      <c r="CH146" s="71">
        <f t="shared" si="95"/>
        <v>0</v>
      </c>
      <c r="CI146" s="1">
        <f t="shared" si="127"/>
        <v>0</v>
      </c>
      <c r="CJ146" s="1"/>
      <c r="CK146" s="72"/>
      <c r="CL146" s="72"/>
      <c r="CM146" s="2"/>
      <c r="CN146" s="2"/>
      <c r="CO146" s="73">
        <f t="shared" si="128"/>
        <v>0</v>
      </c>
      <c r="CP146" s="5">
        <f t="shared" si="129"/>
        <v>0</v>
      </c>
      <c r="CQ146" s="1"/>
      <c r="CR146" s="1">
        <f t="shared" si="130"/>
        <v>0</v>
      </c>
      <c r="CS146" s="1"/>
      <c r="CT146" s="1" t="e">
        <f>INDEX([2]マスタ!$A:$A,MATCH(D146,[2]マスタ!$C:$C,0))</f>
        <v>#N/A</v>
      </c>
      <c r="CU146" s="1" t="str">
        <f t="shared" ca="1" si="131"/>
        <v>20260620_0-0</v>
      </c>
    </row>
    <row r="147" spans="1:99" x14ac:dyDescent="0.4">
      <c r="A147" s="61"/>
      <c r="B147" s="62"/>
      <c r="C147" s="62"/>
      <c r="D147" s="62"/>
      <c r="E147" s="74"/>
      <c r="F147" s="62"/>
      <c r="G147" s="62">
        <v>1</v>
      </c>
      <c r="H147" s="64">
        <f t="shared" si="118"/>
        <v>0</v>
      </c>
      <c r="I147" s="64"/>
      <c r="J147" s="64"/>
      <c r="K147" s="65">
        <f t="shared" si="119"/>
        <v>0</v>
      </c>
      <c r="L147" s="65">
        <f t="shared" si="120"/>
        <v>0</v>
      </c>
      <c r="M147" s="65">
        <f t="shared" si="121"/>
        <v>0</v>
      </c>
      <c r="N147" s="65">
        <f t="shared" si="122"/>
        <v>0</v>
      </c>
      <c r="O147" s="66" t="str">
        <f t="shared" si="123"/>
        <v>✕</v>
      </c>
      <c r="P147" s="67" t="str">
        <f t="shared" si="124"/>
        <v>○</v>
      </c>
      <c r="Q147" s="67" t="str">
        <f t="shared" si="125"/>
        <v>✕</v>
      </c>
      <c r="R147" s="67" t="str">
        <f t="shared" si="126"/>
        <v>✕</v>
      </c>
      <c r="S147" s="68">
        <v>0</v>
      </c>
      <c r="T147" s="69" t="s">
        <v>85</v>
      </c>
      <c r="U147" s="69" t="s">
        <v>85</v>
      </c>
      <c r="V147" s="69" t="s">
        <v>85</v>
      </c>
      <c r="W147" s="69" t="s">
        <v>85</v>
      </c>
      <c r="X147" s="69" t="s">
        <v>84</v>
      </c>
      <c r="Y147" s="69" t="s">
        <v>85</v>
      </c>
      <c r="Z147" s="69" t="s">
        <v>85</v>
      </c>
      <c r="AA147" s="69" t="s">
        <v>85</v>
      </c>
      <c r="AB147" s="69" t="s">
        <v>85</v>
      </c>
      <c r="AC147" s="69" t="s">
        <v>85</v>
      </c>
      <c r="AD147" s="38" t="str">
        <f>+IF(ISERROR(VLOOKUP($B147,AD$10:AD146,1,0)),IF(AND($N147&gt;=1000,$A147&gt;=AO$8,$A147&lt;=AO$9),$B147,""),"")</f>
        <v/>
      </c>
      <c r="AE147" s="38" t="str">
        <f>+IF(ISERROR(VLOOKUP($B147,AE$10:AE146,1,0)),IF(AND($N147&gt;=1000,$A147&gt;=AP$8,$A147&lt;=AP$9),$B147,""),"")</f>
        <v/>
      </c>
      <c r="AF147" s="38" t="str">
        <f>+IF(ISERROR(VLOOKUP($B147,AF$10:AF146,1,0)),IF(AND($N147&gt;=1000,$A147&gt;=AQ$8,$A147&lt;=AQ$9),$B147,""),"")</f>
        <v/>
      </c>
      <c r="AG147" s="38" t="str">
        <f>+IF(ISERROR(VLOOKUP($B147,AG$10:AG146,1,0)),IF(AND($N147&gt;=1000,$A147&gt;=AR$8,$A147&lt;=AR$9),$B147,""),"")</f>
        <v/>
      </c>
      <c r="AH147" s="38"/>
      <c r="AI147" s="70">
        <v>0</v>
      </c>
      <c r="AJ147" s="38">
        <f>IF(AND(AJ$7="○",$A147&gt;=AJ$8,$A147&lt;=AJ$9),IF(SUM(AJ$10:AJ146)-ROUNDDOWN($K147*AJ$5/100,0)&lt;-AJ$6,-AJ$6-SUM(AJ$10:AJ146),-ROUNDDOWN($K147*AJ$5/100,0)),0)</f>
        <v>0</v>
      </c>
      <c r="AK147" s="38">
        <f>IF(AND(AK$7="○",$A147&gt;=AK$8,$A147&lt;=AK$9),IF(SUM(AK$10:AK146)-ROUNDDOWN($L147*AK$5/100,0)&lt;-AK$6,-AK$6-SUM(AK$10:AK146),-ROUNDDOWN($L147*AK$5/100,0)),0)</f>
        <v>0</v>
      </c>
      <c r="AL147" s="38">
        <f>IF(AND(AL$7="○",$A147&gt;=AL$8,$A147&lt;=AL$9),IF(SUM(AL$10:AL146)-ROUNDDOWN($N147*AL$5/100,0)&lt;-AL$6,-AL$6-SUM(AL$10:AL146),-ROUNDDOWN($N147*AL$5/100,0)),0)</f>
        <v>0</v>
      </c>
      <c r="AM147" s="38">
        <f>IF(AND(AM$7="○",$A147&gt;=AM$8,$A147&lt;=AM$9),IF(SUM(AM$10:AM146)-ROUNDDOWN($L147*AM$5/100,0)&lt;-AM$6,-AM$6-SUM(AM$10:AM146),-ROUNDDOWN($L147*AM$5/100,0)),0)</f>
        <v>0</v>
      </c>
      <c r="AN147" s="38">
        <f>IF(AND(AN$7="○",$A147&gt;=AN$8,$A147&lt;=AN$9),IF(SUM(AN$10:AN146)-ROUNDDOWN($M147*AN$5/100,0)&lt;-AN$6,-AN$6-SUM(AN$10:AN146),-ROUNDDOWN($M147*AN$5/100,0)),0)</f>
        <v>0</v>
      </c>
      <c r="AO147" s="38">
        <f>IF(AND($A147&gt;=AO$8,$A147&lt;=AO$9),IF(SUM(AO$10:AO146)-ROUNDDOWN($K147*AO$5/100,0)&lt;-AO$6,-AO$6-SUM(AO$10:AO146),-ROUNDDOWN($K147*AO$5/100,0)),0)</f>
        <v>0</v>
      </c>
      <c r="AP147" s="38">
        <f>IF(AND($A147&gt;=AP$8,$A147&lt;=AP$9),IF(SUM(AP$10:AP146)-ROUNDDOWN($K147*AP$5/100,0)&lt;-AP$6,-AP$6-SUM(AP$10:AP146),-ROUNDDOWN($K147*AP$5/100,0)),0)</f>
        <v>0</v>
      </c>
      <c r="AQ147" s="38">
        <f>IF(AND($A147&gt;=AQ$8,$A147&lt;=AQ$9),IF(SUM(AQ$10:AQ146)-ROUNDDOWN($K147*AQ$5/100,0)&lt;-AQ$6,-AQ$6-SUM(AQ$10:AQ146),-ROUNDDOWN($K147*AQ$5/100,0)),0)</f>
        <v>0</v>
      </c>
      <c r="AR147" s="38">
        <f>IF(AND($A147&gt;=AR$8,$A147&lt;=AR$9),IF(SUM(AR$10:AR146)-ROUNDDOWN($K147*AR$5/100,0)&lt;-AR$6,-AR$6-SUM(AR$10:AR146),-ROUNDDOWN($K147*AR$5/100,0)),0)</f>
        <v>0</v>
      </c>
      <c r="AS147" s="38">
        <f>IF(SUMIFS(AS$10:AS146,$A$10:$A146,$A147)-ROUNDDOWN($K147*$S147/100,0)&lt;-$S147*1000,-$S147*1000-SUMIFS(AS$10:AS146,$A$10:$A146,$A147),-ROUNDDOWN($K147*$S147/100,0))</f>
        <v>0</v>
      </c>
      <c r="AT147" s="38">
        <f>IF(AND(X147="○",$A147&gt;=AT$8,$A147&lt;=AT$9,K147&gt;=3980),IF(SUM(AT$10:AT146)-ROUNDDOWN($K147*AT$5/100,0)&lt;-AT$6,-AT$6-SUM(AT$10:AT146),-ROUNDDOWN($K147*AT$5/100,0)),0)</f>
        <v>0</v>
      </c>
      <c r="AU147" s="38">
        <f>IF(O147="○",IF(SUM(AU$10:AU146)-ROUNDDOWN($K147*AU$5/100,0)&lt;-AU$6,-AU$6-SUM(AU$10:AU146),-ROUNDDOWN($K147*AU$5/100,0)),0)</f>
        <v>0</v>
      </c>
      <c r="AV147" s="38">
        <f>IF(P147="○",IF(SUM(AV$10:AV146)-ROUNDDOWN($K147*AV$5/100,0)&lt;-AV$6,-AV$6-SUM(AV$10:AV146),-ROUNDDOWN($K147*AV$5/100,0)),0)</f>
        <v>0</v>
      </c>
      <c r="AW147" s="38">
        <f>IF(Q147="○",IF(SUM(AW$10:AW146)-ROUNDDOWN($K147*AW$5/100,0)&lt;-AW$6,-AW$6-SUM(AW$10:AW146),-ROUNDDOWN($K147*AW$5/100,0)),0)</f>
        <v>0</v>
      </c>
      <c r="AX147" s="38">
        <f>IF(R147="○",IF(SUM(AX$10:AX146)-ROUNDDOWN($K147*AX$5/100,0)&lt;-AX$6,-AX$6-SUM(AX$10:AX146),-ROUNDDOWN($K147*AX$5/100,0)),0)</f>
        <v>0</v>
      </c>
      <c r="AY147" s="70">
        <v>0</v>
      </c>
      <c r="AZ147" s="65">
        <f t="shared" ref="AZ147:AZ210" si="132">-ROUNDDOWN($K147*AY147/100,0)</f>
        <v>0</v>
      </c>
      <c r="BA147" s="65">
        <f t="shared" ref="BA147:BA210" si="133">-ROUNDDOWN($K147*AI147/100,0)</f>
        <v>0</v>
      </c>
      <c r="BB147" s="70"/>
      <c r="BC147" s="65">
        <f t="shared" ref="BC147:BC210" si="134">-ROUNDDOWN($K147*BB147/100,0)</f>
        <v>0</v>
      </c>
      <c r="BD147" s="70">
        <v>0</v>
      </c>
      <c r="BE147" s="65">
        <f t="shared" ref="BE147:BE210" si="135">-ROUNDDOWN($K147*BD147/100,0)</f>
        <v>0</v>
      </c>
      <c r="BF147" s="70">
        <v>0</v>
      </c>
      <c r="BG147" s="65">
        <f t="shared" ref="BG147:BG210" si="136">-ROUNDDOWN($K147*BF147/100,0)</f>
        <v>0</v>
      </c>
      <c r="BH147" s="70">
        <v>0</v>
      </c>
      <c r="BI147" s="65">
        <f t="shared" ref="BI147:BI210" si="137">-ROUNDDOWN($K147*BH147/100,0)</f>
        <v>0</v>
      </c>
      <c r="BJ147" s="38">
        <f>IF(AND(BJ$7="○",$A147&gt;=BJ$8,$A147&lt;=BJ$9),IF(SUM(BJ$10:BJ146)-ROUNDDOWN($M147*BJ$5/100,0)&lt;-BJ$6,-BJ$6-SUM(BJ$10:BJ146),-ROUNDDOWN($M147*BJ$5/100,0)),0)</f>
        <v>0</v>
      </c>
      <c r="BK147" s="38">
        <f>IF(AND(BK$7="○",$A147&gt;=BK$8,$A147&lt;=BK$9),IF(SUM(BK$10:BK146)-ROUNDDOWN($L147*BK$5/100,0)&lt;-BK$6,-BK$6-SUM(BK$10:BK146),-ROUNDDOWN($L147*BK$5/100,0)),0)</f>
        <v>0</v>
      </c>
      <c r="BL147" s="38">
        <f>IF(AND(BL$7="○",$A147&gt;=BL$8,$A147&lt;=BL$9),IF(SUM(BL$10:BL146)-ROUNDDOWN($L147*BL$5/100,0)&lt;-BL$6,-BL$6-SUM(BL$10:BL146),-ROUNDDOWN($L147*BL$5/100,0)),0)</f>
        <v>0</v>
      </c>
      <c r="BM147" s="38">
        <f>IF(AND(BM$7="○",$A147&gt;=BM$8,$A147&lt;=BM$9),IF(SUM(BM$10:BM146)-ROUNDDOWN($M147*BM$5/100,0)&lt;-BM$6,-BM$6-SUM(BM$10:BM146),-ROUNDDOWN($M147*BM$5/100,0)),0)</f>
        <v>0</v>
      </c>
      <c r="BN147" s="38">
        <f>IF(AND(BN$7="○",$A147&gt;=BN$8,$A147&lt;=BN$9),IF(SUM(BN$10:BN146)-ROUNDDOWN($M147*BN$5/100,0)&lt;-BN$6,-BN$6-SUM(BN$10:BN146),-ROUNDDOWN($M147*BN$5/100,0)),0)</f>
        <v>0</v>
      </c>
      <c r="BO147" s="38">
        <f>IF(AND(BO$7="○",$A147&gt;=BO$8,$A147&lt;=BO$9),IF(SUM(BO$10:BO146)-ROUNDDOWN($M147*BO$5/100,0)&lt;-BO$6,-BO$6-SUM(BO$10:BO146),-ROUNDDOWN($M147*BO$5/100,0)),0)</f>
        <v>0</v>
      </c>
      <c r="BP147" s="38">
        <f>IF(AND(BP$7="○",$A147&gt;=BP$8,$A147&lt;=BP$9),IF(SUM(BP$10:BP146)-ROUNDDOWN($M147*BP$5/100,0)&lt;-BP$6,-BP$6-SUM(BP$10:BP146),-ROUNDDOWN($M147*BP$5/100,0)),0)</f>
        <v>0</v>
      </c>
      <c r="BQ147" s="38">
        <f>IF(AND(BQ$7="○",$A147&gt;=BQ$8,$A147&lt;=BQ$9),IF(SUM(BQ$10:BQ146)-ROUNDDOWN($L147*BQ$5/100,0)&lt;-BQ$6,-BQ$6-SUM(BQ$10:BQ146),-ROUNDDOWN($L147*BQ$5/100,0)),0)</f>
        <v>0</v>
      </c>
      <c r="BR147" s="38">
        <f>IF(AND(BR$7="○",$A147&gt;=BR$8,$A147&lt;=BR$9),IF(SUM(BR$10:BR146)-ROUNDDOWN($M147*BR$5/100,0)&lt;-BR$6,-BR$6-SUM(BR$10:BR146),-ROUNDDOWN($M147*BR$5/100,0)),0)</f>
        <v>0</v>
      </c>
      <c r="BS147" s="38">
        <f>IF(AND(BS$7="○",$A147&gt;=BS$8,$A147&lt;=BS$9),IF(SUM(BS$10:BS146)-ROUNDDOWN($M147*BS$5/100,0)&lt;-BS$6,-BS$6-SUM(BS$10:BS146),-ROUNDDOWN($M147*BS$5/100,0)),0)</f>
        <v>0</v>
      </c>
      <c r="BT147" s="38">
        <f>IF(AND(BT$7="○",$A147&gt;=BT$8,$A147&lt;=BT$9),IF(SUM(BT$10:BT146)-ROUNDDOWN($M147*BT$5/100,0)&lt;-BT$6,-BT$6-SUM(BT$10:BT146),-ROUNDDOWN($M147*BT$5/100,0)),0)</f>
        <v>0</v>
      </c>
      <c r="BU147" s="38">
        <f>IF(AND(BU$7="○",$A147&gt;=BU$8,$A147&lt;=BU$9),IF(SUM(BU$10:BU146)-ROUNDDOWN($M147*BU$5/100,0)&lt;-BU$6,-BU$6-SUM(BU$10:BU146),-ROUNDDOWN($M147*BU$5/100,0)),0)</f>
        <v>0</v>
      </c>
      <c r="BV147" s="38">
        <f>IF(AND(BV$7="○",$A147&gt;=BV$8,$A147&lt;=BV$9),IF(SUM(BV$10:BV146)-ROUNDDOWN($M147*BV$5/100,0)&lt;-BV$6,-BV$6-SUM(BV$10:BV146),-ROUNDDOWN($M147*BV$5/100,0)),0)</f>
        <v>0</v>
      </c>
      <c r="BW147" s="38">
        <f>IF(AND(BW$7="○",$A147&gt;=BW$8,$A147&lt;=BW$9),IF(SUM(BW$10:BW146)-ROUNDDOWN($M147*BW$5/100,0)&lt;-BW$6,-BW$6-SUM(BW$10:BW146),-ROUNDDOWN($M147*BW$5/100,0)),0)</f>
        <v>0</v>
      </c>
      <c r="BX147" s="38">
        <f>IF(AND(T147="○",$A147&gt;=BX$8,$A147&lt;=BX$9),IF(SUM(BX$10:BX146)-ROUNDDOWN($K147*BX$5/100,0)&lt;-BX$6,-BX$6-SUM(BX$10:BX146),-ROUNDDOWN($K147*BX$5/100,0)),0)</f>
        <v>0</v>
      </c>
      <c r="BY147" s="38">
        <f>IF(AND(U147="○",$A147&gt;=BY$8,$A147&lt;=BY$9),IF(SUM(BY$10:BY146)-ROUNDDOWN($K147*BY$5/100,0)&lt;-BY$6,-BY$6-SUM(BY$10:BY146),-ROUNDDOWN($K147*BY$5/100,0)),0)</f>
        <v>0</v>
      </c>
      <c r="BZ147" s="38">
        <f>IF(AND(V147="○",$A147&gt;=BZ$8,$A147&lt;=BZ$9),IF(SUM(BZ$10:BZ146)-ROUNDDOWN($K147*BZ$5/100,0)&lt;-BZ$6,-BZ$6-SUM(BZ$10:BZ146),-ROUNDDOWN($K147*BZ$5/100,0)),0)</f>
        <v>0</v>
      </c>
      <c r="CA147" s="38">
        <f>IF(AND(W147="○",$A147&gt;=CA$8,$A147&lt;=CA$9),IF(SUM(CA$10:CA146)-ROUNDDOWN($K147*CA$5/100,0)&lt;-CA$6,-CA$6-SUM(CA$10:CA146),-ROUNDDOWN($K147*CA$5/100,0)),0)</f>
        <v>0</v>
      </c>
      <c r="CB147" s="38"/>
      <c r="CC147" s="38"/>
      <c r="CD147" s="38"/>
      <c r="CE147" s="38"/>
      <c r="CF147" s="38"/>
      <c r="CG147" s="65">
        <f t="shared" ref="CG147:CG210" si="138">+SUM(AJ147:CF147,BC147,BE147,AZ147,BA147,BG147,BI147)</f>
        <v>0</v>
      </c>
      <c r="CH147" s="71">
        <f t="shared" ref="CH147:CH210" si="139">+CG147+N147</f>
        <v>0</v>
      </c>
      <c r="CI147" s="1">
        <f t="shared" si="127"/>
        <v>0</v>
      </c>
      <c r="CJ147" s="1"/>
      <c r="CK147" s="72"/>
      <c r="CL147" s="72"/>
      <c r="CM147" s="2"/>
      <c r="CN147" s="2"/>
      <c r="CO147" s="73">
        <f t="shared" si="128"/>
        <v>0</v>
      </c>
      <c r="CP147" s="5">
        <f t="shared" si="129"/>
        <v>0</v>
      </c>
      <c r="CQ147" s="1"/>
      <c r="CR147" s="1">
        <f t="shared" si="130"/>
        <v>0</v>
      </c>
      <c r="CS147" s="1"/>
      <c r="CT147" s="1" t="e">
        <f>INDEX([2]マスタ!$A:$A,MATCH(D147,[2]マスタ!$C:$C,0))</f>
        <v>#N/A</v>
      </c>
      <c r="CU147" s="1" t="str">
        <f t="shared" ca="1" si="131"/>
        <v>20260620_0-0</v>
      </c>
    </row>
    <row r="148" spans="1:99" x14ac:dyDescent="0.4">
      <c r="A148" s="61"/>
      <c r="B148" s="62"/>
      <c r="C148" s="62"/>
      <c r="D148" s="62"/>
      <c r="E148" s="74"/>
      <c r="F148" s="62"/>
      <c r="G148" s="62">
        <v>1</v>
      </c>
      <c r="H148" s="64">
        <f t="shared" si="118"/>
        <v>0</v>
      </c>
      <c r="I148" s="64"/>
      <c r="J148" s="64"/>
      <c r="K148" s="65">
        <f t="shared" ref="K148:K151" si="140">+ROUNDDOWN((H148+I148+J148)/100,0)*100</f>
        <v>0</v>
      </c>
      <c r="L148" s="65">
        <f t="shared" si="120"/>
        <v>0</v>
      </c>
      <c r="M148" s="65">
        <f t="shared" si="121"/>
        <v>0</v>
      </c>
      <c r="N148" s="65">
        <f t="shared" si="122"/>
        <v>0</v>
      </c>
      <c r="O148" s="66" t="str">
        <f t="shared" si="123"/>
        <v>✕</v>
      </c>
      <c r="P148" s="67" t="str">
        <f t="shared" si="124"/>
        <v>○</v>
      </c>
      <c r="Q148" s="67" t="str">
        <f t="shared" ref="Q148:Q151" si="141">+IF((TEXT(A148,"DD")+0)=1,"○","✕")</f>
        <v>✕</v>
      </c>
      <c r="R148" s="67" t="str">
        <f t="shared" si="126"/>
        <v>✕</v>
      </c>
      <c r="S148" s="68">
        <v>0</v>
      </c>
      <c r="T148" s="69" t="s">
        <v>85</v>
      </c>
      <c r="U148" s="69" t="s">
        <v>85</v>
      </c>
      <c r="V148" s="69" t="s">
        <v>85</v>
      </c>
      <c r="W148" s="69" t="s">
        <v>85</v>
      </c>
      <c r="X148" s="69" t="s">
        <v>84</v>
      </c>
      <c r="Y148" s="69" t="s">
        <v>85</v>
      </c>
      <c r="Z148" s="69" t="s">
        <v>85</v>
      </c>
      <c r="AA148" s="69" t="s">
        <v>85</v>
      </c>
      <c r="AB148" s="69" t="s">
        <v>85</v>
      </c>
      <c r="AC148" s="69" t="s">
        <v>85</v>
      </c>
      <c r="AD148" s="38" t="str">
        <f>+IF(ISERROR(VLOOKUP($B148,AD$10:AD140,1,0)),IF(AND($N148&gt;=1000,$A148&gt;=AO$8,$A148&lt;=AO$9),$B148,""),"")</f>
        <v/>
      </c>
      <c r="AE148" s="38" t="str">
        <f>+IF(ISERROR(VLOOKUP($B148,AE$10:AE140,1,0)),IF(AND($N148&gt;=1000,$A148&gt;=AP$8,$A148&lt;=AP$9),$B148,""),"")</f>
        <v/>
      </c>
      <c r="AF148" s="38" t="str">
        <f>+IF(ISERROR(VLOOKUP($B148,AF$10:AF140,1,0)),IF(AND($N148&gt;=1000,$A148&gt;=AQ$8,$A148&lt;=AQ$9),$B148,""),"")</f>
        <v/>
      </c>
      <c r="AG148" s="38" t="str">
        <f>+IF(ISERROR(VLOOKUP($B148,AG$10:AG140,1,0)),IF(AND($N148&gt;=1000,$A148&gt;=AR$8,$A148&lt;=AR$9),$B148,""),"")</f>
        <v/>
      </c>
      <c r="AH148" s="38"/>
      <c r="AI148" s="70">
        <v>0</v>
      </c>
      <c r="AJ148" s="38">
        <f>IF(AND(AJ$7="○",$A148&gt;=AJ$8,$A148&lt;=AJ$9),IF(SUM(AJ$10:AJ147)-ROUNDDOWN($K148*AJ$5/100,0)&lt;-AJ$6,-AJ$6-SUM(AJ$10:AJ147),-ROUNDDOWN($K148*AJ$5/100,0)),0)</f>
        <v>0</v>
      </c>
      <c r="AK148" s="38">
        <f>IF(AND(AK$7="○",$A148&gt;=AK$8,$A148&lt;=AK$9),IF(SUM(AK$10:AK147)-ROUNDDOWN($L148*AK$5/100,0)&lt;-AK$6,-AK$6-SUM(AK$10:AK147),-ROUNDDOWN($L148*AK$5/100,0)),0)</f>
        <v>0</v>
      </c>
      <c r="AL148" s="38">
        <f>IF(AND(AL$7="○",$A148&gt;=AL$8,$A148&lt;=AL$9),IF(SUM(AL$10:AL147)-ROUNDDOWN($N148*AL$5/100,0)&lt;-AL$6,-AL$6-SUM(AL$10:AL147),-ROUNDDOWN($N148*AL$5/100,0)),0)</f>
        <v>0</v>
      </c>
      <c r="AM148" s="38">
        <f>IF(AND(AM$7="○",$A148&gt;=AM$8,$A148&lt;=AM$9),IF(SUM(AM$10:AM147)-ROUNDDOWN($L148*AM$5/100,0)&lt;-AM$6,-AM$6-SUM(AM$10:AM147),-ROUNDDOWN($L148*AM$5/100,0)),0)</f>
        <v>0</v>
      </c>
      <c r="AN148" s="38">
        <f>IF(AND(AN$7="○",$A148&gt;=AN$8,$A148&lt;=AN$9),IF(SUM(AN$10:AN147)-ROUNDDOWN($M148*AN$5/100,0)&lt;-AN$6,-AN$6-SUM(AN$10:AN147),-ROUNDDOWN($M148*AN$5/100,0)),0)</f>
        <v>0</v>
      </c>
      <c r="AO148" s="38">
        <f>IF(AND($A148&gt;=AO$8,$A148&lt;=AO$9),IF(SUM(AO$10:AO147)-ROUNDDOWN($K148*AO$5/100,0)&lt;-AO$6,-AO$6-SUM(AO$10:AO147),-ROUNDDOWN($K148*AO$5/100,0)),0)</f>
        <v>0</v>
      </c>
      <c r="AP148" s="38">
        <f>IF(AND($A148&gt;=AP$8,$A148&lt;=AP$9),IF(SUM(AP$10:AP147)-ROUNDDOWN($K148*AP$5/100,0)&lt;-AP$6,-AP$6-SUM(AP$10:AP147),-ROUNDDOWN($K148*AP$5/100,0)),0)</f>
        <v>0</v>
      </c>
      <c r="AQ148" s="38">
        <f>IF(AND($A148&gt;=AQ$8,$A148&lt;=AQ$9),IF(SUM(AQ$10:AQ147)-ROUNDDOWN($K148*AQ$5/100,0)&lt;-AQ$6,-AQ$6-SUM(AQ$10:AQ147),-ROUNDDOWN($K148*AQ$5/100,0)),0)</f>
        <v>0</v>
      </c>
      <c r="AR148" s="38">
        <f>IF(AND($A148&gt;=AR$8,$A148&lt;=AR$9),IF(SUM(AR$10:AR147)-ROUNDDOWN($K148*AR$5/100,0)&lt;-AR$6,-AR$6-SUM(AR$10:AR147),-ROUNDDOWN($K148*AR$5/100,0)),0)</f>
        <v>0</v>
      </c>
      <c r="AS148" s="38">
        <f>IF(SUMIFS(AS$10:AS147,$A$10:$A147,$A148)-ROUNDDOWN($K148*$S148/100,0)&lt;-$S148*1000,-$S148*1000-SUMIFS(AS$10:AS147,$A$10:$A147,$A148),-ROUNDDOWN($K148*$S148/100,0))</f>
        <v>0</v>
      </c>
      <c r="AT148" s="38">
        <f>IF(AND(X148="○",$A148&gt;=AT$8,$A148&lt;=AT$9,K148&gt;=3980),IF(SUM(AT$10:AT147)-ROUNDDOWN($K148*AT$5/100,0)&lt;-AT$6,-AT$6-SUM(AT$10:AT147),-ROUNDDOWN($K148*AT$5/100,0)),0)</f>
        <v>0</v>
      </c>
      <c r="AU148" s="38">
        <f>IF(O148="○",IF(SUM(AU$10:AU147)-ROUNDDOWN($K148*AU$5/100,0)&lt;-AU$6,-AU$6-SUM(AU$10:AU147),-ROUNDDOWN($K148*AU$5/100,0)),0)</f>
        <v>0</v>
      </c>
      <c r="AV148" s="38">
        <f>IF(P148="○",IF(SUM(AV$10:AV147)-ROUNDDOWN($K148*AV$5/100,0)&lt;-AV$6,-AV$6-SUM(AV$10:AV147),-ROUNDDOWN($K148*AV$5/100,0)),0)</f>
        <v>0</v>
      </c>
      <c r="AW148" s="38">
        <f>IF(Q148="○",IF(SUM(AW$10:AW147)-ROUNDDOWN($K148*AW$5/100,0)&lt;-AW$6,-AW$6-SUM(AW$10:AW147),-ROUNDDOWN($K148*AW$5/100,0)),0)</f>
        <v>0</v>
      </c>
      <c r="AX148" s="38">
        <f>IF(R148="○",IF(SUM(AX$10:AX147)-ROUNDDOWN($K148*AX$5/100,0)&lt;-AX$6,-AX$6-SUM(AX$10:AX147),-ROUNDDOWN($K148*AX$5/100,0)),0)</f>
        <v>0</v>
      </c>
      <c r="AY148" s="70">
        <v>0</v>
      </c>
      <c r="AZ148" s="65">
        <f t="shared" si="132"/>
        <v>0</v>
      </c>
      <c r="BA148" s="65">
        <f t="shared" si="133"/>
        <v>0</v>
      </c>
      <c r="BB148" s="70"/>
      <c r="BC148" s="65">
        <f t="shared" si="134"/>
        <v>0</v>
      </c>
      <c r="BD148" s="70">
        <v>0</v>
      </c>
      <c r="BE148" s="65">
        <f t="shared" si="135"/>
        <v>0</v>
      </c>
      <c r="BF148" s="70">
        <v>0</v>
      </c>
      <c r="BG148" s="65">
        <f t="shared" si="136"/>
        <v>0</v>
      </c>
      <c r="BH148" s="70">
        <v>0</v>
      </c>
      <c r="BI148" s="65">
        <f t="shared" si="137"/>
        <v>0</v>
      </c>
      <c r="BJ148" s="38">
        <f>IF(AND(BJ$7="○",$A148&gt;=BJ$8,$A148&lt;=BJ$9),IF(SUM(BJ$10:BJ147)-ROUNDDOWN($M148*BJ$5/100,0)&lt;-BJ$6,-BJ$6-SUM(BJ$10:BJ147),-ROUNDDOWN($M148*BJ$5/100,0)),0)</f>
        <v>0</v>
      </c>
      <c r="BK148" s="38">
        <f>IF(AND(BK$7="○",$A148&gt;=BK$8,$A148&lt;=BK$9),IF(SUM(BK$10:BK147)-ROUNDDOWN($L148*BK$5/100,0)&lt;-BK$6,-BK$6-SUM(BK$10:BK147),-ROUNDDOWN($L148*BK$5/100,0)),0)</f>
        <v>0</v>
      </c>
      <c r="BL148" s="38">
        <f>IF(AND(BL$7="○",$A148&gt;=BL$8,$A148&lt;=BL$9),IF(SUM(BL$10:BL147)-ROUNDDOWN($L148*BL$5/100,0)&lt;-BL$6,-BL$6-SUM(BL$10:BL147),-ROUNDDOWN($L148*BL$5/100,0)),0)</f>
        <v>0</v>
      </c>
      <c r="BM148" s="38">
        <f>IF(AND(BM$7="○",$A148&gt;=BM$8,$A148&lt;=BM$9),IF(SUM(BM$10:BM147)-ROUNDDOWN($M148*BM$5/100,0)&lt;-BM$6,-BM$6-SUM(BM$10:BM147),-ROUNDDOWN($M148*BM$5/100,0)),0)</f>
        <v>0</v>
      </c>
      <c r="BN148" s="38">
        <f>IF(AND(BN$7="○",$A148&gt;=BN$8,$A148&lt;=BN$9),IF(SUM(BN$10:BN147)-ROUNDDOWN($M148*BN$5/100,0)&lt;-BN$6,-BN$6-SUM(BN$10:BN147),-ROUNDDOWN($M148*BN$5/100,0)),0)</f>
        <v>0</v>
      </c>
      <c r="BO148" s="38">
        <f>IF(AND(BO$7="○",$A148&gt;=BO$8,$A148&lt;=BO$9),IF(SUM(BO$10:BO147)-ROUNDDOWN($M148*BO$5/100,0)&lt;-BO$6,-BO$6-SUM(BO$10:BO147),-ROUNDDOWN($M148*BO$5/100,0)),0)</f>
        <v>0</v>
      </c>
      <c r="BP148" s="38">
        <f>IF(AND(BP$7="○",$A148&gt;=BP$8,$A148&lt;=BP$9),IF(SUM(BP$10:BP147)-ROUNDDOWN($M148*BP$5/100,0)&lt;-BP$6,-BP$6-SUM(BP$10:BP147),-ROUNDDOWN($M148*BP$5/100,0)),0)</f>
        <v>0</v>
      </c>
      <c r="BQ148" s="38">
        <f>IF(AND(BQ$7="○",$A148&gt;=BQ$8,$A148&lt;=BQ$9),IF(SUM(BQ$10:BQ147)-ROUNDDOWN($L148*BQ$5/100,0)&lt;-BQ$6,-BQ$6-SUM(BQ$10:BQ147),-ROUNDDOWN($L148*BQ$5/100,0)),0)</f>
        <v>0</v>
      </c>
      <c r="BR148" s="38">
        <f>IF(AND(BR$7="○",$A148&gt;=BR$8,$A148&lt;=BR$9),IF(SUM(BR$10:BR147)-ROUNDDOWN($M148*BR$5/100,0)&lt;-BR$6,-BR$6-SUM(BR$10:BR147),-ROUNDDOWN($M148*BR$5/100,0)),0)</f>
        <v>0</v>
      </c>
      <c r="BS148" s="38">
        <f>IF(AND(BS$7="○",$A148&gt;=BS$8,$A148&lt;=BS$9),IF(SUM(BS$10:BS147)-ROUNDDOWN($M148*BS$5/100,0)&lt;-BS$6,-BS$6-SUM(BS$10:BS147),-ROUNDDOWN($M148*BS$5/100,0)),0)</f>
        <v>0</v>
      </c>
      <c r="BT148" s="38">
        <f>IF(AND(BT$7="○",$A148&gt;=BT$8,$A148&lt;=BT$9),IF(SUM(BT$10:BT147)-ROUNDDOWN($M148*BT$5/100,0)&lt;-BT$6,-BT$6-SUM(BT$10:BT147),-ROUNDDOWN($M148*BT$5/100,0)),0)</f>
        <v>0</v>
      </c>
      <c r="BU148" s="38">
        <f>IF(AND(BU$7="○",$A148&gt;=BU$8,$A148&lt;=BU$9),IF(SUM(BU$10:BU147)-ROUNDDOWN($M148*BU$5/100,0)&lt;-BU$6,-BU$6-SUM(BU$10:BU147),-ROUNDDOWN($M148*BU$5/100,0)),0)</f>
        <v>0</v>
      </c>
      <c r="BV148" s="38">
        <f>IF(AND(BV$7="○",$A148&gt;=BV$8,$A148&lt;=BV$9),IF(SUM(BV$10:BV147)-ROUNDDOWN($M148*BV$5/100,0)&lt;-BV$6,-BV$6-SUM(BV$10:BV147),-ROUNDDOWN($M148*BV$5/100,0)),0)</f>
        <v>0</v>
      </c>
      <c r="BW148" s="38">
        <f>IF(AND(BW$7="○",$A148&gt;=BW$8,$A148&lt;=BW$9),IF(SUM(BW$10:BW147)-ROUNDDOWN($M148*BW$5/100,0)&lt;-BW$6,-BW$6-SUM(BW$10:BW147),-ROUNDDOWN($M148*BW$5/100,0)),0)</f>
        <v>0</v>
      </c>
      <c r="BX148" s="38">
        <f>IF(AND(T148="○",$A148&gt;=BX$8,$A148&lt;=BX$9),IF(SUM(BX$10:BX147)-ROUNDDOWN($K148*BX$5/100,0)&lt;-BX$6,-BX$6-SUM(BX$10:BX147),-ROUNDDOWN($K148*BX$5/100,0)),0)</f>
        <v>0</v>
      </c>
      <c r="BY148" s="38">
        <f>IF(AND(U148="○",$A148&gt;=BY$8,$A148&lt;=BY$9),IF(SUM(BY$10:BY147)-ROUNDDOWN($K148*BY$5/100,0)&lt;-BY$6,-BY$6-SUM(BY$10:BY147),-ROUNDDOWN($K148*BY$5/100,0)),0)</f>
        <v>0</v>
      </c>
      <c r="BZ148" s="38">
        <f>IF(AND(V148="○",$A148&gt;=BZ$8,$A148&lt;=BZ$9),IF(SUM(BZ$10:BZ147)-ROUNDDOWN($K148*BZ$5/100,0)&lt;-BZ$6,-BZ$6-SUM(BZ$10:BZ147),-ROUNDDOWN($K148*BZ$5/100,0)),0)</f>
        <v>0</v>
      </c>
      <c r="CA148" s="38">
        <f>IF(AND(W148="○",$A148&gt;=CA$8,$A148&lt;=CA$9),IF(SUM(CA$10:CA147)-ROUNDDOWN($K148*CA$5/100,0)&lt;-CA$6,-CA$6-SUM(CA$10:CA147),-ROUNDDOWN($K148*CA$5/100,0)),0)</f>
        <v>0</v>
      </c>
      <c r="CB148" s="38"/>
      <c r="CC148" s="38"/>
      <c r="CD148" s="38"/>
      <c r="CE148" s="38"/>
      <c r="CF148" s="38"/>
      <c r="CG148" s="65">
        <f t="shared" si="138"/>
        <v>0</v>
      </c>
      <c r="CH148" s="71">
        <f t="shared" si="139"/>
        <v>0</v>
      </c>
      <c r="CI148" s="1">
        <f t="shared" si="127"/>
        <v>0</v>
      </c>
      <c r="CJ148" s="1"/>
      <c r="CK148" s="75"/>
      <c r="CL148" s="75"/>
      <c r="CM148" s="2"/>
      <c r="CN148" s="2"/>
      <c r="CO148" s="73">
        <f t="shared" si="128"/>
        <v>0</v>
      </c>
      <c r="CP148" s="5">
        <f t="shared" si="129"/>
        <v>0</v>
      </c>
      <c r="CQ148" s="1"/>
      <c r="CR148" s="1">
        <f t="shared" si="130"/>
        <v>0</v>
      </c>
      <c r="CS148" s="1"/>
      <c r="CT148" s="1" t="e">
        <f>INDEX([2]マスタ!$A:$A,MATCH(D148,[2]マスタ!$C:$C,0))</f>
        <v>#N/A</v>
      </c>
      <c r="CU148" s="1" t="str">
        <f t="shared" ca="1" si="131"/>
        <v>20260620_0-0</v>
      </c>
    </row>
    <row r="149" spans="1:99" x14ac:dyDescent="0.4">
      <c r="A149" s="61"/>
      <c r="B149" s="62"/>
      <c r="C149" s="62"/>
      <c r="D149" s="62"/>
      <c r="E149" s="74"/>
      <c r="F149" s="62"/>
      <c r="G149" s="62">
        <v>1</v>
      </c>
      <c r="H149" s="64">
        <f t="shared" si="118"/>
        <v>0</v>
      </c>
      <c r="I149" s="64"/>
      <c r="J149" s="64"/>
      <c r="K149" s="65">
        <f t="shared" si="140"/>
        <v>0</v>
      </c>
      <c r="L149" s="65">
        <f t="shared" si="120"/>
        <v>0</v>
      </c>
      <c r="M149" s="65">
        <f t="shared" si="121"/>
        <v>0</v>
      </c>
      <c r="N149" s="65">
        <f t="shared" si="122"/>
        <v>0</v>
      </c>
      <c r="O149" s="66" t="str">
        <f t="shared" si="123"/>
        <v>✕</v>
      </c>
      <c r="P149" s="67" t="str">
        <f t="shared" si="124"/>
        <v>○</v>
      </c>
      <c r="Q149" s="67" t="str">
        <f t="shared" si="141"/>
        <v>✕</v>
      </c>
      <c r="R149" s="67" t="str">
        <f t="shared" si="126"/>
        <v>✕</v>
      </c>
      <c r="S149" s="68">
        <v>0</v>
      </c>
      <c r="T149" s="69" t="s">
        <v>85</v>
      </c>
      <c r="U149" s="69" t="s">
        <v>85</v>
      </c>
      <c r="V149" s="69" t="s">
        <v>85</v>
      </c>
      <c r="W149" s="69" t="s">
        <v>85</v>
      </c>
      <c r="X149" s="69" t="s">
        <v>84</v>
      </c>
      <c r="Y149" s="69" t="s">
        <v>85</v>
      </c>
      <c r="Z149" s="69" t="s">
        <v>85</v>
      </c>
      <c r="AA149" s="69" t="s">
        <v>85</v>
      </c>
      <c r="AB149" s="69" t="s">
        <v>85</v>
      </c>
      <c r="AC149" s="69" t="s">
        <v>85</v>
      </c>
      <c r="AD149" s="38" t="str">
        <f>+IF(ISERROR(VLOOKUP($B149,AD$10:AD148,1,0)),IF(AND($N149&gt;=1000,$A149&gt;=AO$8,$A149&lt;=AO$9),$B149,""),"")</f>
        <v/>
      </c>
      <c r="AE149" s="38" t="str">
        <f>+IF(ISERROR(VLOOKUP($B149,AE$10:AE148,1,0)),IF(AND($N149&gt;=1000,$A149&gt;=AP$8,$A149&lt;=AP$9),$B149,""),"")</f>
        <v/>
      </c>
      <c r="AF149" s="38" t="str">
        <f>+IF(ISERROR(VLOOKUP($B149,AF$10:AF148,1,0)),IF(AND($N149&gt;=1000,$A149&gt;=AQ$8,$A149&lt;=AQ$9),$B149,""),"")</f>
        <v/>
      </c>
      <c r="AG149" s="38" t="str">
        <f>+IF(ISERROR(VLOOKUP($B149,AG$10:AG148,1,0)),IF(AND($N149&gt;=1000,$A149&gt;=AR$8,$A149&lt;=AR$9),$B149,""),"")</f>
        <v/>
      </c>
      <c r="AH149" s="38"/>
      <c r="AI149" s="70">
        <v>0</v>
      </c>
      <c r="AJ149" s="38">
        <f>IF(AND(AJ$7="○",$A149&gt;=AJ$8,$A149&lt;=AJ$9),IF(SUM(AJ$10:AJ148)-ROUNDDOWN($K149*AJ$5/100,0)&lt;-AJ$6,-AJ$6-SUM(AJ$10:AJ148),-ROUNDDOWN($K149*AJ$5/100,0)),0)</f>
        <v>0</v>
      </c>
      <c r="AK149" s="38">
        <f>IF(AND(AK$7="○",$A149&gt;=AK$8,$A149&lt;=AK$9),IF(SUM(AK$10:AK148)-ROUNDDOWN($L149*AK$5/100,0)&lt;-AK$6,-AK$6-SUM(AK$10:AK148),-ROUNDDOWN($L149*AK$5/100,0)),0)</f>
        <v>0</v>
      </c>
      <c r="AL149" s="38">
        <f>IF(AND(AL$7="○",$A149&gt;=AL$8,$A149&lt;=AL$9),IF(SUM(AL$10:AL148)-ROUNDDOWN($N149*AL$5/100,0)&lt;-AL$6,-AL$6-SUM(AL$10:AL148),-ROUNDDOWN($N149*AL$5/100,0)),0)</f>
        <v>0</v>
      </c>
      <c r="AM149" s="38">
        <f>IF(AND(AM$7="○",$A149&gt;=AM$8,$A149&lt;=AM$9),IF(SUM(AM$10:AM148)-ROUNDDOWN($L149*AM$5/100,0)&lt;-AM$6,-AM$6-SUM(AM$10:AM148),-ROUNDDOWN($L149*AM$5/100,0)),0)</f>
        <v>0</v>
      </c>
      <c r="AN149" s="38">
        <f>IF(AND(AN$7="○",$A149&gt;=AN$8,$A149&lt;=AN$9),IF(SUM(AN$10:AN148)-ROUNDDOWN($M149*AN$5/100,0)&lt;-AN$6,-AN$6-SUM(AN$10:AN148),-ROUNDDOWN($M149*AN$5/100,0)),0)</f>
        <v>0</v>
      </c>
      <c r="AO149" s="38">
        <f>IF(AND($A149&gt;=AO$8,$A149&lt;=AO$9),IF(SUM(AO$10:AO148)-ROUNDDOWN($K149*AO$5/100,0)&lt;-AO$6,-AO$6-SUM(AO$10:AO148),-ROUNDDOWN($K149*AO$5/100,0)),0)</f>
        <v>0</v>
      </c>
      <c r="AP149" s="38">
        <f>IF(AND($A149&gt;=AP$8,$A149&lt;=AP$9),IF(SUM(AP$10:AP148)-ROUNDDOWN($K149*AP$5/100,0)&lt;-AP$6,-AP$6-SUM(AP$10:AP148),-ROUNDDOWN($K149*AP$5/100,0)),0)</f>
        <v>0</v>
      </c>
      <c r="AQ149" s="38">
        <f>IF(AND($A149&gt;=AQ$8,$A149&lt;=AQ$9),IF(SUM(AQ$10:AQ148)-ROUNDDOWN($K149*AQ$5/100,0)&lt;-AQ$6,-AQ$6-SUM(AQ$10:AQ148),-ROUNDDOWN($K149*AQ$5/100,0)),0)</f>
        <v>0</v>
      </c>
      <c r="AR149" s="38">
        <f>IF(AND($A149&gt;=AR$8,$A149&lt;=AR$9),IF(SUM(AR$10:AR148)-ROUNDDOWN($K149*AR$5/100,0)&lt;-AR$6,-AR$6-SUM(AR$10:AR148),-ROUNDDOWN($K149*AR$5/100,0)),0)</f>
        <v>0</v>
      </c>
      <c r="AS149" s="38">
        <f>IF(SUMIFS(AS$10:AS148,$A$10:$A148,$A149)-ROUNDDOWN($K149*$S149/100,0)&lt;-$S149*1000,-$S149*1000-SUMIFS(AS$10:AS148,$A$10:$A148,$A149),-ROUNDDOWN($K149*$S149/100,0))</f>
        <v>0</v>
      </c>
      <c r="AT149" s="38">
        <f>IF(AND(X149="○",$A149&gt;=AT$8,$A149&lt;=AT$9,K149&gt;=3980),IF(SUM(AT$10:AT148)-ROUNDDOWN($K149*AT$5/100,0)&lt;-AT$6,-AT$6-SUM(AT$10:AT148),-ROUNDDOWN($K149*AT$5/100,0)),0)</f>
        <v>0</v>
      </c>
      <c r="AU149" s="38">
        <f>IF(O149="○",IF(SUM(AU$10:AU148)-ROUNDDOWN($K149*AU$5/100,0)&lt;-AU$6,-AU$6-SUM(AU$10:AU148),-ROUNDDOWN($K149*AU$5/100,0)),0)</f>
        <v>0</v>
      </c>
      <c r="AV149" s="38">
        <f>IF(P149="○",IF(SUM(AV$10:AV148)-ROUNDDOWN($K149*AV$5/100,0)&lt;-AV$6,-AV$6-SUM(AV$10:AV148),-ROUNDDOWN($K149*AV$5/100,0)),0)</f>
        <v>0</v>
      </c>
      <c r="AW149" s="38">
        <f>IF(Q149="○",IF(SUM(AW$10:AW148)-ROUNDDOWN($K149*AW$5/100,0)&lt;-AW$6,-AW$6-SUM(AW$10:AW148),-ROUNDDOWN($K149*AW$5/100,0)),0)</f>
        <v>0</v>
      </c>
      <c r="AX149" s="38">
        <f>IF(R149="○",IF(SUM(AX$10:AX148)-ROUNDDOWN($K149*AX$5/100,0)&lt;-AX$6,-AX$6-SUM(AX$10:AX148),-ROUNDDOWN($K149*AX$5/100,0)),0)</f>
        <v>0</v>
      </c>
      <c r="AY149" s="70">
        <v>0</v>
      </c>
      <c r="AZ149" s="65">
        <f t="shared" si="132"/>
        <v>0</v>
      </c>
      <c r="BA149" s="65">
        <f t="shared" si="133"/>
        <v>0</v>
      </c>
      <c r="BB149" s="70"/>
      <c r="BC149" s="65">
        <f t="shared" si="134"/>
        <v>0</v>
      </c>
      <c r="BD149" s="70">
        <v>0</v>
      </c>
      <c r="BE149" s="65">
        <f t="shared" si="135"/>
        <v>0</v>
      </c>
      <c r="BF149" s="70">
        <v>0</v>
      </c>
      <c r="BG149" s="65">
        <f t="shared" si="136"/>
        <v>0</v>
      </c>
      <c r="BH149" s="70">
        <v>0</v>
      </c>
      <c r="BI149" s="65">
        <f t="shared" si="137"/>
        <v>0</v>
      </c>
      <c r="BJ149" s="38">
        <f>IF(AND(BJ$7="○",$A149&gt;=BJ$8,$A149&lt;=BJ$9),IF(SUM(BJ$10:BJ148)-ROUNDDOWN($M149*BJ$5/100,0)&lt;-BJ$6,-BJ$6-SUM(BJ$10:BJ148),-ROUNDDOWN($M149*BJ$5/100,0)),0)</f>
        <v>0</v>
      </c>
      <c r="BK149" s="38">
        <f>IF(AND(BK$7="○",$A149&gt;=BK$8,$A149&lt;=BK$9),IF(SUM(BK$10:BK148)-ROUNDDOWN($L149*BK$5/100,0)&lt;-BK$6,-BK$6-SUM(BK$10:BK148),-ROUNDDOWN($L149*BK$5/100,0)),0)</f>
        <v>0</v>
      </c>
      <c r="BL149" s="38">
        <f>IF(AND(BL$7="○",$A149&gt;=BL$8,$A149&lt;=BL$9),IF(SUM(BL$10:BL148)-ROUNDDOWN($L149*BL$5/100,0)&lt;-BL$6,-BL$6-SUM(BL$10:BL148),-ROUNDDOWN($L149*BL$5/100,0)),0)</f>
        <v>0</v>
      </c>
      <c r="BM149" s="38">
        <f>IF(AND(BM$7="○",$A149&gt;=BM$8,$A149&lt;=BM$9),IF(SUM(BM$10:BM148)-ROUNDDOWN($M149*BM$5/100,0)&lt;-BM$6,-BM$6-SUM(BM$10:BM148),-ROUNDDOWN($M149*BM$5/100,0)),0)</f>
        <v>0</v>
      </c>
      <c r="BN149" s="38">
        <f>IF(AND(BN$7="○",$A149&gt;=BN$8,$A149&lt;=BN$9),IF(SUM(BN$10:BN148)-ROUNDDOWN($M149*BN$5/100,0)&lt;-BN$6,-BN$6-SUM(BN$10:BN148),-ROUNDDOWN($M149*BN$5/100,0)),0)</f>
        <v>0</v>
      </c>
      <c r="BO149" s="38">
        <f>IF(AND(BO$7="○",$A149&gt;=BO$8,$A149&lt;=BO$9),IF(SUM(BO$10:BO148)-ROUNDDOWN($M149*BO$5/100,0)&lt;-BO$6,-BO$6-SUM(BO$10:BO148),-ROUNDDOWN($M149*BO$5/100,0)),0)</f>
        <v>0</v>
      </c>
      <c r="BP149" s="38">
        <f>IF(AND(BP$7="○",$A149&gt;=BP$8,$A149&lt;=BP$9),IF(SUM(BP$10:BP148)-ROUNDDOWN($M149*BP$5/100,0)&lt;-BP$6,-BP$6-SUM(BP$10:BP148),-ROUNDDOWN($M149*BP$5/100,0)),0)</f>
        <v>0</v>
      </c>
      <c r="BQ149" s="38">
        <f>IF(AND(BQ$7="○",$A149&gt;=BQ$8,$A149&lt;=BQ$9),IF(SUM(BQ$10:BQ148)-ROUNDDOWN($L149*BQ$5/100,0)&lt;-BQ$6,-BQ$6-SUM(BQ$10:BQ148),-ROUNDDOWN($L149*BQ$5/100,0)),0)</f>
        <v>0</v>
      </c>
      <c r="BR149" s="38">
        <f>IF(AND(BR$7="○",$A149&gt;=BR$8,$A149&lt;=BR$9),IF(SUM(BR$10:BR148)-ROUNDDOWN($M149*BR$5/100,0)&lt;-BR$6,-BR$6-SUM(BR$10:BR148),-ROUNDDOWN($M149*BR$5/100,0)),0)</f>
        <v>0</v>
      </c>
      <c r="BS149" s="38">
        <f>IF(AND(BS$7="○",$A149&gt;=BS$8,$A149&lt;=BS$9),IF(SUM(BS$10:BS148)-ROUNDDOWN($M149*BS$5/100,0)&lt;-BS$6,-BS$6-SUM(BS$10:BS148),-ROUNDDOWN($M149*BS$5/100,0)),0)</f>
        <v>0</v>
      </c>
      <c r="BT149" s="38">
        <f>IF(AND(BT$7="○",$A149&gt;=BT$8,$A149&lt;=BT$9),IF(SUM(BT$10:BT148)-ROUNDDOWN($M149*BT$5/100,0)&lt;-BT$6,-BT$6-SUM(BT$10:BT148),-ROUNDDOWN($M149*BT$5/100,0)),0)</f>
        <v>0</v>
      </c>
      <c r="BU149" s="38">
        <f>IF(AND(BU$7="○",$A149&gt;=BU$8,$A149&lt;=BU$9),IF(SUM(BU$10:BU148)-ROUNDDOWN($M149*BU$5/100,0)&lt;-BU$6,-BU$6-SUM(BU$10:BU148),-ROUNDDOWN($M149*BU$5/100,0)),0)</f>
        <v>0</v>
      </c>
      <c r="BV149" s="38">
        <f>IF(AND(BV$7="○",$A149&gt;=BV$8,$A149&lt;=BV$9),IF(SUM(BV$10:BV148)-ROUNDDOWN($M149*BV$5/100,0)&lt;-BV$6,-BV$6-SUM(BV$10:BV148),-ROUNDDOWN($M149*BV$5/100,0)),0)</f>
        <v>0</v>
      </c>
      <c r="BW149" s="38">
        <f>IF(AND(BW$7="○",$A149&gt;=BW$8,$A149&lt;=BW$9),IF(SUM(BW$10:BW148)-ROUNDDOWN($M149*BW$5/100,0)&lt;-BW$6,-BW$6-SUM(BW$10:BW148),-ROUNDDOWN($M149*BW$5/100,0)),0)</f>
        <v>0</v>
      </c>
      <c r="BX149" s="38">
        <f>IF(AND(T149="○",$A149&gt;=BX$8,$A149&lt;=BX$9),IF(SUM(BX$10:BX148)-ROUNDDOWN($K149*BX$5/100,0)&lt;-BX$6,-BX$6-SUM(BX$10:BX148),-ROUNDDOWN($K149*BX$5/100,0)),0)</f>
        <v>0</v>
      </c>
      <c r="BY149" s="38">
        <f>IF(AND(U149="○",$A149&gt;=BY$8,$A149&lt;=BY$9),IF(SUM(BY$10:BY148)-ROUNDDOWN($K149*BY$5/100,0)&lt;-BY$6,-BY$6-SUM(BY$10:BY148),-ROUNDDOWN($K149*BY$5/100,0)),0)</f>
        <v>0</v>
      </c>
      <c r="BZ149" s="38">
        <f>IF(AND(V149="○",$A149&gt;=BZ$8,$A149&lt;=BZ$9),IF(SUM(BZ$10:BZ148)-ROUNDDOWN($K149*BZ$5/100,0)&lt;-BZ$6,-BZ$6-SUM(BZ$10:BZ148),-ROUNDDOWN($K149*BZ$5/100,0)),0)</f>
        <v>0</v>
      </c>
      <c r="CA149" s="38">
        <f>IF(AND(W149="○",$A149&gt;=CA$8,$A149&lt;=CA$9),IF(SUM(CA$10:CA148)-ROUNDDOWN($K149*CA$5/100,0)&lt;-CA$6,-CA$6-SUM(CA$10:CA148),-ROUNDDOWN($K149*CA$5/100,0)),0)</f>
        <v>0</v>
      </c>
      <c r="CB149" s="38"/>
      <c r="CC149" s="38"/>
      <c r="CD149" s="38"/>
      <c r="CE149" s="38"/>
      <c r="CF149" s="38"/>
      <c r="CG149" s="65">
        <f t="shared" si="138"/>
        <v>0</v>
      </c>
      <c r="CH149" s="71">
        <f t="shared" si="139"/>
        <v>0</v>
      </c>
      <c r="CI149" s="1">
        <f t="shared" si="127"/>
        <v>0</v>
      </c>
      <c r="CJ149" s="1"/>
      <c r="CK149" s="75"/>
      <c r="CL149" s="75"/>
      <c r="CM149" s="2"/>
      <c r="CN149" s="2"/>
      <c r="CO149" s="73">
        <f t="shared" si="128"/>
        <v>0</v>
      </c>
      <c r="CP149" s="5">
        <f t="shared" si="129"/>
        <v>0</v>
      </c>
      <c r="CQ149" s="1"/>
      <c r="CR149" s="1">
        <f t="shared" si="130"/>
        <v>0</v>
      </c>
      <c r="CS149" s="1"/>
      <c r="CT149" s="1" t="e">
        <f>INDEX([2]マスタ!$A:$A,MATCH(D149,[2]マスタ!$C:$C,0))</f>
        <v>#N/A</v>
      </c>
      <c r="CU149" s="1" t="str">
        <f t="shared" ca="1" si="131"/>
        <v>20260620_0-0</v>
      </c>
    </row>
    <row r="150" spans="1:99" x14ac:dyDescent="0.4">
      <c r="A150" s="61"/>
      <c r="B150" s="62"/>
      <c r="C150" s="62"/>
      <c r="D150" s="62"/>
      <c r="E150" s="74"/>
      <c r="F150" s="62"/>
      <c r="G150" s="62">
        <v>1</v>
      </c>
      <c r="H150" s="64">
        <f t="shared" si="118"/>
        <v>0</v>
      </c>
      <c r="I150" s="64"/>
      <c r="J150" s="64"/>
      <c r="K150" s="65">
        <f t="shared" si="140"/>
        <v>0</v>
      </c>
      <c r="L150" s="65">
        <f t="shared" si="120"/>
        <v>0</v>
      </c>
      <c r="M150" s="65">
        <f t="shared" si="121"/>
        <v>0</v>
      </c>
      <c r="N150" s="65">
        <f t="shared" si="122"/>
        <v>0</v>
      </c>
      <c r="O150" s="66" t="str">
        <f t="shared" si="123"/>
        <v>✕</v>
      </c>
      <c r="P150" s="67" t="str">
        <f t="shared" si="124"/>
        <v>○</v>
      </c>
      <c r="Q150" s="67" t="str">
        <f t="shared" si="141"/>
        <v>✕</v>
      </c>
      <c r="R150" s="67" t="str">
        <f t="shared" si="126"/>
        <v>✕</v>
      </c>
      <c r="S150" s="68">
        <v>0</v>
      </c>
      <c r="T150" s="69" t="s">
        <v>85</v>
      </c>
      <c r="U150" s="69" t="s">
        <v>85</v>
      </c>
      <c r="V150" s="69" t="s">
        <v>85</v>
      </c>
      <c r="W150" s="69" t="s">
        <v>85</v>
      </c>
      <c r="X150" s="69" t="s">
        <v>84</v>
      </c>
      <c r="Y150" s="69" t="s">
        <v>85</v>
      </c>
      <c r="Z150" s="69" t="s">
        <v>85</v>
      </c>
      <c r="AA150" s="69" t="s">
        <v>85</v>
      </c>
      <c r="AB150" s="69" t="s">
        <v>85</v>
      </c>
      <c r="AC150" s="69" t="s">
        <v>85</v>
      </c>
      <c r="AD150" s="38" t="str">
        <f>+IF(ISERROR(VLOOKUP($B150,AD$10:AD149,1,0)),IF(AND($N150&gt;=1000,$A150&gt;=AO$8,$A150&lt;=AO$9),$B150,""),"")</f>
        <v/>
      </c>
      <c r="AE150" s="38" t="str">
        <f>+IF(ISERROR(VLOOKUP($B150,AE$10:AE149,1,0)),IF(AND($N150&gt;=1000,$A150&gt;=AP$8,$A150&lt;=AP$9),$B150,""),"")</f>
        <v/>
      </c>
      <c r="AF150" s="38" t="str">
        <f>+IF(ISERROR(VLOOKUP($B150,AF$10:AF149,1,0)),IF(AND($N150&gt;=1000,$A150&gt;=AQ$8,$A150&lt;=AQ$9),$B150,""),"")</f>
        <v/>
      </c>
      <c r="AG150" s="38" t="str">
        <f>+IF(ISERROR(VLOOKUP($B150,AG$10:AG149,1,0)),IF(AND($N150&gt;=1000,$A150&gt;=AR$8,$A150&lt;=AR$9),$B150,""),"")</f>
        <v/>
      </c>
      <c r="AH150" s="38"/>
      <c r="AI150" s="70">
        <v>0</v>
      </c>
      <c r="AJ150" s="38">
        <f>IF(AND(AJ$7="○",$A150&gt;=AJ$8,$A150&lt;=AJ$9),IF(SUM(AJ$10:AJ149)-ROUNDDOWN($K150*AJ$5/100,0)&lt;-AJ$6,-AJ$6-SUM(AJ$10:AJ149),-ROUNDDOWN($K150*AJ$5/100,0)),0)</f>
        <v>0</v>
      </c>
      <c r="AK150" s="38">
        <f>IF(AND(AK$7="○",$A150&gt;=AK$8,$A150&lt;=AK$9),IF(SUM(AK$10:AK149)-ROUNDDOWN($L150*AK$5/100,0)&lt;-AK$6,-AK$6-SUM(AK$10:AK149),-ROUNDDOWN($L150*AK$5/100,0)),0)</f>
        <v>0</v>
      </c>
      <c r="AL150" s="38">
        <f>IF(AND(AL$7="○",$A150&gt;=AL$8,$A150&lt;=AL$9),IF(SUM(AL$10:AL149)-ROUNDDOWN($N150*AL$5/100,0)&lt;-AL$6,-AL$6-SUM(AL$10:AL149),-ROUNDDOWN($N150*AL$5/100,0)),0)</f>
        <v>0</v>
      </c>
      <c r="AM150" s="38">
        <f>IF(AND(AM$7="○",$A150&gt;=AM$8,$A150&lt;=AM$9),IF(SUM(AM$10:AM149)-ROUNDDOWN($L150*AM$5/100,0)&lt;-AM$6,-AM$6-SUM(AM$10:AM149),-ROUNDDOWN($L150*AM$5/100,0)),0)</f>
        <v>0</v>
      </c>
      <c r="AN150" s="38">
        <f>IF(AND(AN$7="○",$A150&gt;=AN$8,$A150&lt;=AN$9),IF(SUM(AN$10:AN149)-ROUNDDOWN($M150*AN$5/100,0)&lt;-AN$6,-AN$6-SUM(AN$10:AN149),-ROUNDDOWN($M150*AN$5/100,0)),0)</f>
        <v>0</v>
      </c>
      <c r="AO150" s="38">
        <f>IF(AND($A150&gt;=AO$8,$A150&lt;=AO$9),IF(SUM(AO$10:AO149)-ROUNDDOWN($K150*AO$5/100,0)&lt;-AO$6,-AO$6-SUM(AO$10:AO149),-ROUNDDOWN($K150*AO$5/100,0)),0)</f>
        <v>0</v>
      </c>
      <c r="AP150" s="38">
        <f>IF(AND($A150&gt;=AP$8,$A150&lt;=AP$9),IF(SUM(AP$10:AP149)-ROUNDDOWN($K150*AP$5/100,0)&lt;-AP$6,-AP$6-SUM(AP$10:AP149),-ROUNDDOWN($K150*AP$5/100,0)),0)</f>
        <v>0</v>
      </c>
      <c r="AQ150" s="38">
        <f>IF(AND($A150&gt;=AQ$8,$A150&lt;=AQ$9),IF(SUM(AQ$10:AQ149)-ROUNDDOWN($K150*AQ$5/100,0)&lt;-AQ$6,-AQ$6-SUM(AQ$10:AQ149),-ROUNDDOWN($K150*AQ$5/100,0)),0)</f>
        <v>0</v>
      </c>
      <c r="AR150" s="38">
        <f>IF(AND($A150&gt;=AR$8,$A150&lt;=AR$9),IF(SUM(AR$10:AR149)-ROUNDDOWN($K150*AR$5/100,0)&lt;-AR$6,-AR$6-SUM(AR$10:AR149),-ROUNDDOWN($K150*AR$5/100,0)),0)</f>
        <v>0</v>
      </c>
      <c r="AS150" s="38">
        <f>IF(SUMIFS(AS$10:AS149,$A$10:$A149,$A150)-ROUNDDOWN($K150*$S150/100,0)&lt;-$S150*1000,-$S150*1000-SUMIFS(AS$10:AS149,$A$10:$A149,$A150),-ROUNDDOWN($K150*$S150/100,0))</f>
        <v>0</v>
      </c>
      <c r="AT150" s="38">
        <f>IF(AND(X150="○",$A150&gt;=AT$8,$A150&lt;=AT$9,K150&gt;=3980),IF(SUM(AT$10:AT149)-ROUNDDOWN($K150*AT$5/100,0)&lt;-AT$6,-AT$6-SUM(AT$10:AT149),-ROUNDDOWN($K150*AT$5/100,0)),0)</f>
        <v>0</v>
      </c>
      <c r="AU150" s="38">
        <f>IF(O150="○",IF(SUM(AU$10:AU149)-ROUNDDOWN($K150*AU$5/100,0)&lt;-AU$6,-AU$6-SUM(AU$10:AU149),-ROUNDDOWN($K150*AU$5/100,0)),0)</f>
        <v>0</v>
      </c>
      <c r="AV150" s="38">
        <f>IF(P150="○",IF(SUM(AV$10:AV149)-ROUNDDOWN($K150*AV$5/100,0)&lt;-AV$6,-AV$6-SUM(AV$10:AV149),-ROUNDDOWN($K150*AV$5/100,0)),0)</f>
        <v>0</v>
      </c>
      <c r="AW150" s="38">
        <f>IF(Q150="○",IF(SUM(AW$10:AW149)-ROUNDDOWN($K150*AW$5/100,0)&lt;-AW$6,-AW$6-SUM(AW$10:AW149),-ROUNDDOWN($K150*AW$5/100,0)),0)</f>
        <v>0</v>
      </c>
      <c r="AX150" s="38">
        <f>IF(R150="○",IF(SUM(AX$10:AX149)-ROUNDDOWN($K150*AX$5/100,0)&lt;-AX$6,-AX$6-SUM(AX$10:AX149),-ROUNDDOWN($K150*AX$5/100,0)),0)</f>
        <v>0</v>
      </c>
      <c r="AY150" s="70">
        <v>0</v>
      </c>
      <c r="AZ150" s="65">
        <f t="shared" si="132"/>
        <v>0</v>
      </c>
      <c r="BA150" s="65">
        <f t="shared" si="133"/>
        <v>0</v>
      </c>
      <c r="BB150" s="70"/>
      <c r="BC150" s="65">
        <f t="shared" si="134"/>
        <v>0</v>
      </c>
      <c r="BD150" s="70">
        <v>0</v>
      </c>
      <c r="BE150" s="65">
        <f t="shared" si="135"/>
        <v>0</v>
      </c>
      <c r="BF150" s="70">
        <v>0</v>
      </c>
      <c r="BG150" s="65">
        <f t="shared" si="136"/>
        <v>0</v>
      </c>
      <c r="BH150" s="70">
        <v>0</v>
      </c>
      <c r="BI150" s="65">
        <f t="shared" si="137"/>
        <v>0</v>
      </c>
      <c r="BJ150" s="38">
        <f>IF(AND(BJ$7="○",$A150&gt;=BJ$8,$A150&lt;=BJ$9),IF(SUM(BJ$10:BJ149)-ROUNDDOWN($M150*BJ$5/100,0)&lt;-BJ$6,-BJ$6-SUM(BJ$10:BJ149),-ROUNDDOWN($M150*BJ$5/100,0)),0)</f>
        <v>0</v>
      </c>
      <c r="BK150" s="38">
        <f>IF(AND(BK$7="○",$A150&gt;=BK$8,$A150&lt;=BK$9),IF(SUM(BK$10:BK149)-ROUNDDOWN($L150*BK$5/100,0)&lt;-BK$6,-BK$6-SUM(BK$10:BK149),-ROUNDDOWN($L150*BK$5/100,0)),0)</f>
        <v>0</v>
      </c>
      <c r="BL150" s="38">
        <f>IF(AND(BL$7="○",$A150&gt;=BL$8,$A150&lt;=BL$9),IF(SUM(BL$10:BL149)-ROUNDDOWN($L150*BL$5/100,0)&lt;-BL$6,-BL$6-SUM(BL$10:BL149),-ROUNDDOWN($L150*BL$5/100,0)),0)</f>
        <v>0</v>
      </c>
      <c r="BM150" s="38">
        <f>IF(AND(BM$7="○",$A150&gt;=BM$8,$A150&lt;=BM$9),IF(SUM(BM$10:BM149)-ROUNDDOWN($M150*BM$5/100,0)&lt;-BM$6,-BM$6-SUM(BM$10:BM149),-ROUNDDOWN($M150*BM$5/100,0)),0)</f>
        <v>0</v>
      </c>
      <c r="BN150" s="38">
        <f>IF(AND(BN$7="○",$A150&gt;=BN$8,$A150&lt;=BN$9),IF(SUM(BN$10:BN149)-ROUNDDOWN($M150*BN$5/100,0)&lt;-BN$6,-BN$6-SUM(BN$10:BN149),-ROUNDDOWN($M150*BN$5/100,0)),0)</f>
        <v>0</v>
      </c>
      <c r="BO150" s="38">
        <f>IF(AND(BO$7="○",$A150&gt;=BO$8,$A150&lt;=BO$9),IF(SUM(BO$10:BO149)-ROUNDDOWN($M150*BO$5/100,0)&lt;-BO$6,-BO$6-SUM(BO$10:BO149),-ROUNDDOWN($M150*BO$5/100,0)),0)</f>
        <v>0</v>
      </c>
      <c r="BP150" s="38">
        <f>IF(AND(BP$7="○",$A150&gt;=BP$8,$A150&lt;=BP$9),IF(SUM(BP$10:BP149)-ROUNDDOWN($M150*BP$5/100,0)&lt;-BP$6,-BP$6-SUM(BP$10:BP149),-ROUNDDOWN($M150*BP$5/100,0)),0)</f>
        <v>0</v>
      </c>
      <c r="BQ150" s="38">
        <f>IF(AND(BQ$7="○",$A150&gt;=BQ$8,$A150&lt;=BQ$9),IF(SUM(BQ$10:BQ149)-ROUNDDOWN($L150*BQ$5/100,0)&lt;-BQ$6,-BQ$6-SUM(BQ$10:BQ149),-ROUNDDOWN($L150*BQ$5/100,0)),0)</f>
        <v>0</v>
      </c>
      <c r="BR150" s="38">
        <f>IF(AND(BR$7="○",$A150&gt;=BR$8,$A150&lt;=BR$9),IF(SUM(BR$10:BR149)-ROUNDDOWN($M150*BR$5/100,0)&lt;-BR$6,-BR$6-SUM(BR$10:BR149),-ROUNDDOWN($M150*BR$5/100,0)),0)</f>
        <v>0</v>
      </c>
      <c r="BS150" s="38">
        <f>IF(AND(BS$7="○",$A150&gt;=BS$8,$A150&lt;=BS$9),IF(SUM(BS$10:BS149)-ROUNDDOWN($M150*BS$5/100,0)&lt;-BS$6,-BS$6-SUM(BS$10:BS149),-ROUNDDOWN($M150*BS$5/100,0)),0)</f>
        <v>0</v>
      </c>
      <c r="BT150" s="38">
        <f>IF(AND(BT$7="○",$A150&gt;=BT$8,$A150&lt;=BT$9),IF(SUM(BT$10:BT149)-ROUNDDOWN($M150*BT$5/100,0)&lt;-BT$6,-BT$6-SUM(BT$10:BT149),-ROUNDDOWN($M150*BT$5/100,0)),0)</f>
        <v>0</v>
      </c>
      <c r="BU150" s="38">
        <f>IF(AND(BU$7="○",$A150&gt;=BU$8,$A150&lt;=BU$9),IF(SUM(BU$10:BU149)-ROUNDDOWN($M150*BU$5/100,0)&lt;-BU$6,-BU$6-SUM(BU$10:BU149),-ROUNDDOWN($M150*BU$5/100,0)),0)</f>
        <v>0</v>
      </c>
      <c r="BV150" s="38">
        <f>IF(AND(BV$7="○",$A150&gt;=BV$8,$A150&lt;=BV$9),IF(SUM(BV$10:BV149)-ROUNDDOWN($M150*BV$5/100,0)&lt;-BV$6,-BV$6-SUM(BV$10:BV149),-ROUNDDOWN($M150*BV$5/100,0)),0)</f>
        <v>0</v>
      </c>
      <c r="BW150" s="38">
        <f>IF(AND(BW$7="○",$A150&gt;=BW$8,$A150&lt;=BW$9),IF(SUM(BW$10:BW149)-ROUNDDOWN($M150*BW$5/100,0)&lt;-BW$6,-BW$6-SUM(BW$10:BW149),-ROUNDDOWN($M150*BW$5/100,0)),0)</f>
        <v>0</v>
      </c>
      <c r="BX150" s="38">
        <f>IF(AND(T150="○",$A150&gt;=BX$8,$A150&lt;=BX$9),IF(SUM(BX$10:BX149)-ROUNDDOWN($K150*BX$5/100,0)&lt;-BX$6,-BX$6-SUM(BX$10:BX149),-ROUNDDOWN($K150*BX$5/100,0)),0)</f>
        <v>0</v>
      </c>
      <c r="BY150" s="38">
        <f>IF(AND(U150="○",$A150&gt;=BY$8,$A150&lt;=BY$9),IF(SUM(BY$10:BY149)-ROUNDDOWN($K150*BY$5/100,0)&lt;-BY$6,-BY$6-SUM(BY$10:BY149),-ROUNDDOWN($K150*BY$5/100,0)),0)</f>
        <v>0</v>
      </c>
      <c r="BZ150" s="38">
        <f>IF(AND(V150="○",$A150&gt;=BZ$8,$A150&lt;=BZ$9),IF(SUM(BZ$10:BZ149)-ROUNDDOWN($K150*BZ$5/100,0)&lt;-BZ$6,-BZ$6-SUM(BZ$10:BZ149),-ROUNDDOWN($K150*BZ$5/100,0)),0)</f>
        <v>0</v>
      </c>
      <c r="CA150" s="38">
        <f>IF(AND(W150="○",$A150&gt;=CA$8,$A150&lt;=CA$9),IF(SUM(CA$10:CA149)-ROUNDDOWN($K150*CA$5/100,0)&lt;-CA$6,-CA$6-SUM(CA$10:CA149),-ROUNDDOWN($K150*CA$5/100,0)),0)</f>
        <v>0</v>
      </c>
      <c r="CB150" s="38"/>
      <c r="CC150" s="38"/>
      <c r="CD150" s="38"/>
      <c r="CE150" s="38"/>
      <c r="CF150" s="38"/>
      <c r="CG150" s="65">
        <f t="shared" si="138"/>
        <v>0</v>
      </c>
      <c r="CH150" s="71">
        <f t="shared" si="139"/>
        <v>0</v>
      </c>
      <c r="CI150" s="1">
        <f t="shared" si="127"/>
        <v>0</v>
      </c>
      <c r="CJ150" s="1"/>
      <c r="CK150" s="75"/>
      <c r="CL150" s="75"/>
      <c r="CM150" s="2"/>
      <c r="CN150" s="2"/>
      <c r="CO150" s="73">
        <f t="shared" si="128"/>
        <v>0</v>
      </c>
      <c r="CP150" s="5">
        <f t="shared" si="129"/>
        <v>0</v>
      </c>
      <c r="CQ150" s="1"/>
      <c r="CR150" s="1">
        <f t="shared" si="130"/>
        <v>0</v>
      </c>
      <c r="CS150" s="1"/>
      <c r="CT150" s="1" t="e">
        <f>INDEX([2]マスタ!$A:$A,MATCH(D150,[2]マスタ!$C:$C,0))</f>
        <v>#N/A</v>
      </c>
      <c r="CU150" s="1" t="str">
        <f t="shared" ca="1" si="131"/>
        <v>20260620_0-0</v>
      </c>
    </row>
    <row r="151" spans="1:99" x14ac:dyDescent="0.4">
      <c r="A151" s="61"/>
      <c r="B151" s="62"/>
      <c r="C151" s="62"/>
      <c r="D151" s="62"/>
      <c r="E151" s="74"/>
      <c r="F151" s="62"/>
      <c r="G151" s="62">
        <v>1</v>
      </c>
      <c r="H151" s="64">
        <f t="shared" si="118"/>
        <v>0</v>
      </c>
      <c r="I151" s="64"/>
      <c r="J151" s="64"/>
      <c r="K151" s="65">
        <f t="shared" si="140"/>
        <v>0</v>
      </c>
      <c r="L151" s="65">
        <f t="shared" si="120"/>
        <v>0</v>
      </c>
      <c r="M151" s="65">
        <f t="shared" si="121"/>
        <v>0</v>
      </c>
      <c r="N151" s="65">
        <f t="shared" si="122"/>
        <v>0</v>
      </c>
      <c r="O151" s="66" t="str">
        <f t="shared" si="123"/>
        <v>✕</v>
      </c>
      <c r="P151" s="67" t="str">
        <f t="shared" si="124"/>
        <v>○</v>
      </c>
      <c r="Q151" s="67" t="str">
        <f t="shared" si="141"/>
        <v>✕</v>
      </c>
      <c r="R151" s="67" t="str">
        <f t="shared" si="126"/>
        <v>✕</v>
      </c>
      <c r="S151" s="68">
        <v>0</v>
      </c>
      <c r="T151" s="69" t="s">
        <v>85</v>
      </c>
      <c r="U151" s="69" t="s">
        <v>85</v>
      </c>
      <c r="V151" s="69" t="s">
        <v>85</v>
      </c>
      <c r="W151" s="69" t="s">
        <v>85</v>
      </c>
      <c r="X151" s="69" t="s">
        <v>84</v>
      </c>
      <c r="Y151" s="69" t="s">
        <v>85</v>
      </c>
      <c r="Z151" s="69" t="s">
        <v>85</v>
      </c>
      <c r="AA151" s="69" t="s">
        <v>85</v>
      </c>
      <c r="AB151" s="69" t="s">
        <v>85</v>
      </c>
      <c r="AC151" s="69" t="s">
        <v>85</v>
      </c>
      <c r="AD151" s="38" t="str">
        <f>+IF(ISERROR(VLOOKUP($B151,AD$10:AD150,1,0)),IF(AND($N151&gt;=1000,$A151&gt;=AO$8,$A151&lt;=AO$9),$B151,""),"")</f>
        <v/>
      </c>
      <c r="AE151" s="38" t="str">
        <f>+IF(ISERROR(VLOOKUP($B151,AE$10:AE150,1,0)),IF(AND($N151&gt;=1000,$A151&gt;=AP$8,$A151&lt;=AP$9),$B151,""),"")</f>
        <v/>
      </c>
      <c r="AF151" s="38" t="str">
        <f>+IF(ISERROR(VLOOKUP($B151,AF$10:AF150,1,0)),IF(AND($N151&gt;=1000,$A151&gt;=AQ$8,$A151&lt;=AQ$9),$B151,""),"")</f>
        <v/>
      </c>
      <c r="AG151" s="38" t="str">
        <f>+IF(ISERROR(VLOOKUP($B151,AG$10:AG150,1,0)),IF(AND($N151&gt;=1000,$A151&gt;=AR$8,$A151&lt;=AR$9),$B151,""),"")</f>
        <v/>
      </c>
      <c r="AH151" s="38"/>
      <c r="AI151" s="70">
        <v>0</v>
      </c>
      <c r="AJ151" s="38">
        <f>IF(AND(AJ$7="○",$A151&gt;=AJ$8,$A151&lt;=AJ$9),IF(SUM(AJ$10:AJ150)-ROUNDDOWN($K151*AJ$5/100,0)&lt;-AJ$6,-AJ$6-SUM(AJ$10:AJ150),-ROUNDDOWN($K151*AJ$5/100,0)),0)</f>
        <v>0</v>
      </c>
      <c r="AK151" s="38">
        <f>IF(AND(AK$7="○",$A151&gt;=AK$8,$A151&lt;=AK$9),IF(SUM(AK$10:AK150)-ROUNDDOWN($L151*AK$5/100,0)&lt;-AK$6,-AK$6-SUM(AK$10:AK150),-ROUNDDOWN($L151*AK$5/100,0)),0)</f>
        <v>0</v>
      </c>
      <c r="AL151" s="38">
        <f>IF(AND(AL$7="○",$A151&gt;=AL$8,$A151&lt;=AL$9),IF(SUM(AL$10:AL150)-ROUNDDOWN($N151*AL$5/100,0)&lt;-AL$6,-AL$6-SUM(AL$10:AL150),-ROUNDDOWN($N151*AL$5/100,0)),0)</f>
        <v>0</v>
      </c>
      <c r="AM151" s="38">
        <f>IF(AND(AM$7="○",$A151&gt;=AM$8,$A151&lt;=AM$9),IF(SUM(AM$10:AM150)-ROUNDDOWN($L151*AM$5/100,0)&lt;-AM$6,-AM$6-SUM(AM$10:AM150),-ROUNDDOWN($L151*AM$5/100,0)),0)</f>
        <v>0</v>
      </c>
      <c r="AN151" s="38">
        <f>IF(AND(AN$7="○",$A151&gt;=AN$8,$A151&lt;=AN$9),IF(SUM(AN$10:AN150)-ROUNDDOWN($M151*AN$5/100,0)&lt;-AN$6,-AN$6-SUM(AN$10:AN150),-ROUNDDOWN($M151*AN$5/100,0)),0)</f>
        <v>0</v>
      </c>
      <c r="AO151" s="38">
        <f>IF(AND($A151&gt;=AO$8,$A151&lt;=AO$9),IF(SUM(AO$10:AO150)-ROUNDDOWN($K151*AO$5/100,0)&lt;-AO$6,-AO$6-SUM(AO$10:AO150),-ROUNDDOWN($K151*AO$5/100,0)),0)</f>
        <v>0</v>
      </c>
      <c r="AP151" s="38">
        <f>IF(AND($A151&gt;=AP$8,$A151&lt;=AP$9),IF(SUM(AP$10:AP150)-ROUNDDOWN($K151*AP$5/100,0)&lt;-AP$6,-AP$6-SUM(AP$10:AP150),-ROUNDDOWN($K151*AP$5/100,0)),0)</f>
        <v>0</v>
      </c>
      <c r="AQ151" s="38">
        <f>IF(AND($A151&gt;=AQ$8,$A151&lt;=AQ$9),IF(SUM(AQ$10:AQ150)-ROUNDDOWN($K151*AQ$5/100,0)&lt;-AQ$6,-AQ$6-SUM(AQ$10:AQ150),-ROUNDDOWN($K151*AQ$5/100,0)),0)</f>
        <v>0</v>
      </c>
      <c r="AR151" s="38">
        <f>IF(AND($A151&gt;=AR$8,$A151&lt;=AR$9),IF(SUM(AR$10:AR150)-ROUNDDOWN($K151*AR$5/100,0)&lt;-AR$6,-AR$6-SUM(AR$10:AR150),-ROUNDDOWN($K151*AR$5/100,0)),0)</f>
        <v>0</v>
      </c>
      <c r="AS151" s="38">
        <f>IF(SUMIFS(AS$10:AS150,$A$10:$A150,$A151)-ROUNDDOWN($K151*$S151/100,0)&lt;-$S151*1000,-$S151*1000-SUMIFS(AS$10:AS150,$A$10:$A150,$A151),-ROUNDDOWN($K151*$S151/100,0))</f>
        <v>0</v>
      </c>
      <c r="AT151" s="38">
        <f>IF(AND(X151="○",$A151&gt;=AT$8,$A151&lt;=AT$9,K151&gt;=3980),IF(SUM(AT$10:AT150)-ROUNDDOWN($K151*AT$5/100,0)&lt;-AT$6,-AT$6-SUM(AT$10:AT150),-ROUNDDOWN($K151*AT$5/100,0)),0)</f>
        <v>0</v>
      </c>
      <c r="AU151" s="38">
        <f>IF(O151="○",IF(SUM(AU$10:AU150)-ROUNDDOWN($K151*AU$5/100,0)&lt;-AU$6,-AU$6-SUM(AU$10:AU150),-ROUNDDOWN($K151*AU$5/100,0)),0)</f>
        <v>0</v>
      </c>
      <c r="AV151" s="38">
        <f>IF(P151="○",IF(SUM(AV$10:AV150)-ROUNDDOWN($K151*AV$5/100,0)&lt;-AV$6,-AV$6-SUM(AV$10:AV150),-ROUNDDOWN($K151*AV$5/100,0)),0)</f>
        <v>0</v>
      </c>
      <c r="AW151" s="38">
        <f>IF(Q151="○",IF(SUM(AW$10:AW150)-ROUNDDOWN($K151*AW$5/100,0)&lt;-AW$6,-AW$6-SUM(AW$10:AW150),-ROUNDDOWN($K151*AW$5/100,0)),0)</f>
        <v>0</v>
      </c>
      <c r="AX151" s="38">
        <f>IF(R151="○",IF(SUM(AX$10:AX150)-ROUNDDOWN($K151*AX$5/100,0)&lt;-AX$6,-AX$6-SUM(AX$10:AX150),-ROUNDDOWN($K151*AX$5/100,0)),0)</f>
        <v>0</v>
      </c>
      <c r="AY151" s="70">
        <v>0</v>
      </c>
      <c r="AZ151" s="65">
        <f t="shared" si="132"/>
        <v>0</v>
      </c>
      <c r="BA151" s="65">
        <f t="shared" si="133"/>
        <v>0</v>
      </c>
      <c r="BB151" s="70"/>
      <c r="BC151" s="65">
        <f t="shared" si="134"/>
        <v>0</v>
      </c>
      <c r="BD151" s="70">
        <v>0</v>
      </c>
      <c r="BE151" s="65">
        <f t="shared" si="135"/>
        <v>0</v>
      </c>
      <c r="BF151" s="70">
        <v>0</v>
      </c>
      <c r="BG151" s="65">
        <f t="shared" si="136"/>
        <v>0</v>
      </c>
      <c r="BH151" s="70">
        <v>0</v>
      </c>
      <c r="BI151" s="65">
        <f t="shared" si="137"/>
        <v>0</v>
      </c>
      <c r="BJ151" s="38">
        <f>IF(AND(BJ$7="○",$A151&gt;=BJ$8,$A151&lt;=BJ$9),IF(SUM(BJ$10:BJ150)-ROUNDDOWN($M151*BJ$5/100,0)&lt;-BJ$6,-BJ$6-SUM(BJ$10:BJ150),-ROUNDDOWN($M151*BJ$5/100,0)),0)</f>
        <v>0</v>
      </c>
      <c r="BK151" s="38">
        <f>IF(AND(BK$7="○",$A151&gt;=BK$8,$A151&lt;=BK$9),IF(SUM(BK$10:BK150)-ROUNDDOWN($L151*BK$5/100,0)&lt;-BK$6,-BK$6-SUM(BK$10:BK150),-ROUNDDOWN($L151*BK$5/100,0)),0)</f>
        <v>0</v>
      </c>
      <c r="BL151" s="38">
        <f>IF(AND(BL$7="○",$A151&gt;=BL$8,$A151&lt;=BL$9),IF(SUM(BL$10:BL150)-ROUNDDOWN($L151*BL$5/100,0)&lt;-BL$6,-BL$6-SUM(BL$10:BL150),-ROUNDDOWN($L151*BL$5/100,0)),0)</f>
        <v>0</v>
      </c>
      <c r="BM151" s="38">
        <f>IF(AND(BM$7="○",$A151&gt;=BM$8,$A151&lt;=BM$9),IF(SUM(BM$10:BM150)-ROUNDDOWN($M151*BM$5/100,0)&lt;-BM$6,-BM$6-SUM(BM$10:BM150),-ROUNDDOWN($M151*BM$5/100,0)),0)</f>
        <v>0</v>
      </c>
      <c r="BN151" s="38">
        <f>IF(AND(BN$7="○",$A151&gt;=BN$8,$A151&lt;=BN$9),IF(SUM(BN$10:BN150)-ROUNDDOWN($M151*BN$5/100,0)&lt;-BN$6,-BN$6-SUM(BN$10:BN150),-ROUNDDOWN($M151*BN$5/100,0)),0)</f>
        <v>0</v>
      </c>
      <c r="BO151" s="38">
        <f>IF(AND(BO$7="○",$A151&gt;=BO$8,$A151&lt;=BO$9),IF(SUM(BO$10:BO150)-ROUNDDOWN($M151*BO$5/100,0)&lt;-BO$6,-BO$6-SUM(BO$10:BO150),-ROUNDDOWN($M151*BO$5/100,0)),0)</f>
        <v>0</v>
      </c>
      <c r="BP151" s="38">
        <f>IF(AND(BP$7="○",$A151&gt;=BP$8,$A151&lt;=BP$9),IF(SUM(BP$10:BP150)-ROUNDDOWN($M151*BP$5/100,0)&lt;-BP$6,-BP$6-SUM(BP$10:BP150),-ROUNDDOWN($M151*BP$5/100,0)),0)</f>
        <v>0</v>
      </c>
      <c r="BQ151" s="38">
        <f>IF(AND(BQ$7="○",$A151&gt;=BQ$8,$A151&lt;=BQ$9),IF(SUM(BQ$10:BQ150)-ROUNDDOWN($L151*BQ$5/100,0)&lt;-BQ$6,-BQ$6-SUM(BQ$10:BQ150),-ROUNDDOWN($L151*BQ$5/100,0)),0)</f>
        <v>0</v>
      </c>
      <c r="BR151" s="38">
        <f>IF(AND(BR$7="○",$A151&gt;=BR$8,$A151&lt;=BR$9),IF(SUM(BR$10:BR150)-ROUNDDOWN($M151*BR$5/100,0)&lt;-BR$6,-BR$6-SUM(BR$10:BR150),-ROUNDDOWN($M151*BR$5/100,0)),0)</f>
        <v>0</v>
      </c>
      <c r="BS151" s="38">
        <f>IF(AND(BS$7="○",$A151&gt;=BS$8,$A151&lt;=BS$9),IF(SUM(BS$10:BS150)-ROUNDDOWN($M151*BS$5/100,0)&lt;-BS$6,-BS$6-SUM(BS$10:BS150),-ROUNDDOWN($M151*BS$5/100,0)),0)</f>
        <v>0</v>
      </c>
      <c r="BT151" s="38">
        <f>IF(AND(BT$7="○",$A151&gt;=BT$8,$A151&lt;=BT$9),IF(SUM(BT$10:BT150)-ROUNDDOWN($M151*BT$5/100,0)&lt;-BT$6,-BT$6-SUM(BT$10:BT150),-ROUNDDOWN($M151*BT$5/100,0)),0)</f>
        <v>0</v>
      </c>
      <c r="BU151" s="38">
        <f>IF(AND(BU$7="○",$A151&gt;=BU$8,$A151&lt;=BU$9),IF(SUM(BU$10:BU150)-ROUNDDOWN($M151*BU$5/100,0)&lt;-BU$6,-BU$6-SUM(BU$10:BU150),-ROUNDDOWN($M151*BU$5/100,0)),0)</f>
        <v>0</v>
      </c>
      <c r="BV151" s="38">
        <f>IF(AND(BV$7="○",$A151&gt;=BV$8,$A151&lt;=BV$9),IF(SUM(BV$10:BV150)-ROUNDDOWN($M151*BV$5/100,0)&lt;-BV$6,-BV$6-SUM(BV$10:BV150),-ROUNDDOWN($M151*BV$5/100,0)),0)</f>
        <v>0</v>
      </c>
      <c r="BW151" s="38">
        <f>IF(AND(BW$7="○",$A151&gt;=BW$8,$A151&lt;=BW$9),IF(SUM(BW$10:BW150)-ROUNDDOWN($M151*BW$5/100,0)&lt;-BW$6,-BW$6-SUM(BW$10:BW150),-ROUNDDOWN($M151*BW$5/100,0)),0)</f>
        <v>0</v>
      </c>
      <c r="BX151" s="38">
        <f>IF(AND(T151="○",$A151&gt;=BX$8,$A151&lt;=BX$9),IF(SUM(BX$10:BX150)-ROUNDDOWN($K151*BX$5/100,0)&lt;-BX$6,-BX$6-SUM(BX$10:BX150),-ROUNDDOWN($K151*BX$5/100,0)),0)</f>
        <v>0</v>
      </c>
      <c r="BY151" s="38">
        <f>IF(AND(U151="○",$A151&gt;=BY$8,$A151&lt;=BY$9),IF(SUM(BY$10:BY150)-ROUNDDOWN($K151*BY$5/100,0)&lt;-BY$6,-BY$6-SUM(BY$10:BY150),-ROUNDDOWN($K151*BY$5/100,0)),0)</f>
        <v>0</v>
      </c>
      <c r="BZ151" s="38">
        <f>IF(AND(V151="○",$A151&gt;=BZ$8,$A151&lt;=BZ$9),IF(SUM(BZ$10:BZ150)-ROUNDDOWN($K151*BZ$5/100,0)&lt;-BZ$6,-BZ$6-SUM(BZ$10:BZ150),-ROUNDDOWN($K151*BZ$5/100,0)),0)</f>
        <v>0</v>
      </c>
      <c r="CA151" s="38">
        <f>IF(AND(W151="○",$A151&gt;=CA$8,$A151&lt;=CA$9),IF(SUM(CA$10:CA150)-ROUNDDOWN($K151*CA$5/100,0)&lt;-CA$6,-CA$6-SUM(CA$10:CA150),-ROUNDDOWN($K151*CA$5/100,0)),0)</f>
        <v>0</v>
      </c>
      <c r="CB151" s="38"/>
      <c r="CC151" s="38"/>
      <c r="CD151" s="38"/>
      <c r="CE151" s="38"/>
      <c r="CF151" s="38"/>
      <c r="CG151" s="65">
        <f t="shared" si="138"/>
        <v>0</v>
      </c>
      <c r="CH151" s="71">
        <f t="shared" si="139"/>
        <v>0</v>
      </c>
      <c r="CI151" s="1">
        <f t="shared" si="127"/>
        <v>0</v>
      </c>
      <c r="CJ151" s="1"/>
      <c r="CK151" s="75"/>
      <c r="CL151" s="75"/>
      <c r="CM151" s="2"/>
      <c r="CN151" s="2"/>
      <c r="CO151" s="73">
        <f t="shared" si="128"/>
        <v>0</v>
      </c>
      <c r="CP151" s="5">
        <f t="shared" si="129"/>
        <v>0</v>
      </c>
      <c r="CQ151" s="1"/>
      <c r="CR151" s="1">
        <f t="shared" si="130"/>
        <v>0</v>
      </c>
      <c r="CS151" s="1"/>
      <c r="CT151" s="1" t="e">
        <f>INDEX([2]マスタ!$A:$A,MATCH(D151,[2]マスタ!$C:$C,0))</f>
        <v>#N/A</v>
      </c>
      <c r="CU151" s="1" t="str">
        <f t="shared" ca="1" si="131"/>
        <v>20260620_0-0</v>
      </c>
    </row>
    <row r="152" spans="1:99" x14ac:dyDescent="0.4">
      <c r="A152" s="61"/>
      <c r="B152" s="62"/>
      <c r="C152" s="62"/>
      <c r="D152" s="62"/>
      <c r="E152" s="74"/>
      <c r="F152" s="62"/>
      <c r="G152" s="62">
        <v>1</v>
      </c>
      <c r="H152" s="64">
        <f t="shared" si="118"/>
        <v>0</v>
      </c>
      <c r="I152" s="64"/>
      <c r="J152" s="64"/>
      <c r="K152" s="65">
        <f>+ROUNDDOWN((H152+I152)/100,0)*100</f>
        <v>0</v>
      </c>
      <c r="L152" s="65">
        <f t="shared" si="120"/>
        <v>0</v>
      </c>
      <c r="M152" s="65">
        <f t="shared" si="121"/>
        <v>0</v>
      </c>
      <c r="N152" s="65">
        <f t="shared" si="122"/>
        <v>0</v>
      </c>
      <c r="O152" s="66" t="str">
        <f t="shared" si="123"/>
        <v>✕</v>
      </c>
      <c r="P152" s="67" t="str">
        <f t="shared" si="124"/>
        <v>○</v>
      </c>
      <c r="Q152" s="67" t="str">
        <f>+IF((TEXT($A152,"DD")+0)=1,"○","✕")</f>
        <v>✕</v>
      </c>
      <c r="R152" s="67" t="str">
        <f t="shared" si="126"/>
        <v>✕</v>
      </c>
      <c r="S152" s="68">
        <v>0</v>
      </c>
      <c r="T152" s="69" t="s">
        <v>85</v>
      </c>
      <c r="U152" s="69" t="s">
        <v>85</v>
      </c>
      <c r="V152" s="69" t="s">
        <v>85</v>
      </c>
      <c r="W152" s="69" t="s">
        <v>85</v>
      </c>
      <c r="X152" s="69" t="s">
        <v>84</v>
      </c>
      <c r="Y152" s="69" t="s">
        <v>85</v>
      </c>
      <c r="Z152" s="69" t="s">
        <v>85</v>
      </c>
      <c r="AA152" s="69" t="s">
        <v>85</v>
      </c>
      <c r="AB152" s="69" t="s">
        <v>85</v>
      </c>
      <c r="AC152" s="69" t="s">
        <v>85</v>
      </c>
      <c r="AD152" s="38" t="str">
        <f>+IF(ISERROR(VLOOKUP($B152,AD$10:AD151,1,0)),IF(AND($N152&gt;=1000,$A152&gt;=AO$8,$A152&lt;=AO$9),$B152,""),"")</f>
        <v/>
      </c>
      <c r="AE152" s="38" t="str">
        <f>+IF(ISERROR(VLOOKUP($B152,AE$10:AE151,1,0)),IF(AND($N152&gt;=1000,$A152&gt;=AP$8,$A152&lt;=AP$9),$B152,""),"")</f>
        <v/>
      </c>
      <c r="AF152" s="38" t="str">
        <f>+IF(ISERROR(VLOOKUP($B152,AF$10:AF151,1,0)),IF(AND($N152&gt;=1000,$A152&gt;=AQ$8,$A152&lt;=AQ$9),$B152,""),"")</f>
        <v/>
      </c>
      <c r="AG152" s="38" t="str">
        <f>+IF(ISERROR(VLOOKUP($B152,AG$10:AG151,1,0)),IF(AND($N152&gt;=1000,$A152&gt;=AR$8,$A152&lt;=AR$9),$B152,""),"")</f>
        <v/>
      </c>
      <c r="AH152" s="38"/>
      <c r="AI152" s="70">
        <v>0</v>
      </c>
      <c r="AJ152" s="38">
        <f>IF(AND(AJ$7="○",$A152&gt;=AJ$8,$A152&lt;=AJ$9),IF(SUM(AJ$10:AJ151)-ROUNDDOWN($K152*AJ$5/100,0)&lt;-AJ$6,-AJ$6-SUM(AJ$10:AJ151),-ROUNDDOWN($K152*AJ$5/100,0)),0)</f>
        <v>0</v>
      </c>
      <c r="AK152" s="38">
        <f>IF(AND(AK$7="○",$A152&gt;=AK$8,$A152&lt;=AK$9),IF(SUM(AK$10:AK151)-ROUNDDOWN($L152*AK$5/100,0)&lt;-AK$6,-AK$6-SUM(AK$10:AK151),-ROUNDDOWN($L152*AK$5/100,0)),0)</f>
        <v>0</v>
      </c>
      <c r="AL152" s="38">
        <f>IF(AND(AL$7="○",$A152&gt;=AL$8,$A152&lt;=AL$9),IF(SUM(AL$10:AL151)-ROUNDDOWN($N152*AL$5/100,0)&lt;-AL$6,-AL$6-SUM(AL$10:AL151),-ROUNDDOWN($N152*AL$5/100,0)),0)</f>
        <v>0</v>
      </c>
      <c r="AM152" s="38">
        <f>IF(AND(AM$7="○",$A152&gt;=AM$8,$A152&lt;=AM$9),IF(SUM(AM$10:AM151)-ROUNDDOWN($L152*AM$5/100,0)&lt;-AM$6,-AM$6-SUM(AM$10:AM151),-ROUNDDOWN($L152*AM$5/100,0)),0)</f>
        <v>0</v>
      </c>
      <c r="AN152" s="38">
        <f>IF(AND(AN$7="○",$A152&gt;=AN$8,$A152&lt;=AN$9),IF(SUM(AN$10:AN151)-ROUNDDOWN($M152*AN$5/100,0)&lt;-AN$6,-AN$6-SUM(AN$10:AN151),-ROUNDDOWN($M152*AN$5/100,0)),0)</f>
        <v>0</v>
      </c>
      <c r="AO152" s="38">
        <f>IF(AND($A152&gt;=AO$8,$A152&lt;=AO$9),IF(SUM(AO$10:AO151)-ROUNDDOWN($K152*AO$5/100,0)&lt;-AO$6,-AO$6-SUM(AO$10:AO151),-ROUNDDOWN($K152*AO$5/100,0)),0)</f>
        <v>0</v>
      </c>
      <c r="AP152" s="38">
        <f>IF(AND($A152&gt;=AP$8,$A152&lt;=AP$9),IF(SUM(AP$10:AP151)-ROUNDDOWN($K152*AP$5/100,0)&lt;-AP$6,-AP$6-SUM(AP$10:AP151),-ROUNDDOWN($K152*AP$5/100,0)),0)</f>
        <v>0</v>
      </c>
      <c r="AQ152" s="38">
        <f>IF(AND($A152&gt;=AQ$8,$A152&lt;=AQ$9),IF(SUM(AQ$10:AQ151)-ROUNDDOWN($K152*AQ$5/100,0)&lt;-AQ$6,-AQ$6-SUM(AQ$10:AQ151),-ROUNDDOWN($K152*AQ$5/100,0)),0)</f>
        <v>0</v>
      </c>
      <c r="AR152" s="38">
        <f>IF(AND($A152&gt;=AR$8,$A152&lt;=AR$9),IF(SUM(AR$10:AR151)-ROUNDDOWN($K152*AR$5/100,0)&lt;-AR$6,-AR$6-SUM(AR$10:AR151),-ROUNDDOWN($K152*AR$5/100,0)),0)</f>
        <v>0</v>
      </c>
      <c r="AS152" s="38">
        <f>IF(SUMIFS(AS$10:AS151,$A$10:$A151,$A152)-ROUNDDOWN($K152*$S152/100,0)&lt;-$S152*1000,-$S152*1000-SUMIFS(AS$10:AS151,$A$10:$A151,$A152),-ROUNDDOWN($K152*$S152/100,0))</f>
        <v>0</v>
      </c>
      <c r="AT152" s="38">
        <f>IF(AND(X152="○",$A152&gt;=AT$8,$A152&lt;=AT$9,K152&gt;=3980),IF(SUM(AT$10:AT151)-ROUNDDOWN($K152*AT$5/100,0)&lt;-AT$6,-AT$6-SUM(AT$10:AT151),-ROUNDDOWN($K152*AT$5/100,0)),0)</f>
        <v>0</v>
      </c>
      <c r="AU152" s="38">
        <f>IF(O152="○",IF(SUM(AU$10:AU151)-ROUNDDOWN($K152*AU$5/100,0)&lt;-AU$6,-AU$6-SUM(AU$10:AU151),-ROUNDDOWN($K152*AU$5/100,0)),0)</f>
        <v>0</v>
      </c>
      <c r="AV152" s="38">
        <f>IF(P152="○",IF(SUM(AV$10:AV151)-ROUNDDOWN($K152*AV$5/100,0)&lt;-AV$6,-AV$6-SUM(AV$10:AV151),-ROUNDDOWN($K152*AV$5/100,0)),0)</f>
        <v>0</v>
      </c>
      <c r="AW152" s="38">
        <f>IF(Q152="○",IF(SUM(AW$10:AW151)-ROUNDDOWN($K152*AW$5/100,0)&lt;-AW$6,-AW$6-SUM(AW$10:AW151),-ROUNDDOWN($K152*AW$5/100,0)),0)</f>
        <v>0</v>
      </c>
      <c r="AX152" s="38">
        <f>IF(R152="○",IF(SUM(AX$10:AX151)-ROUNDDOWN($K152*AX$5/100,0)&lt;-AX$6,-AX$6-SUM(AX$10:AX151),-ROUNDDOWN($K152*AX$5/100,0)),0)</f>
        <v>0</v>
      </c>
      <c r="AY152" s="70">
        <v>0</v>
      </c>
      <c r="AZ152" s="65">
        <f t="shared" si="132"/>
        <v>0</v>
      </c>
      <c r="BA152" s="65">
        <f t="shared" si="133"/>
        <v>0</v>
      </c>
      <c r="BB152" s="70"/>
      <c r="BC152" s="65">
        <f t="shared" si="134"/>
        <v>0</v>
      </c>
      <c r="BD152" s="70">
        <v>0</v>
      </c>
      <c r="BE152" s="65">
        <f t="shared" si="135"/>
        <v>0</v>
      </c>
      <c r="BF152" s="70">
        <v>0</v>
      </c>
      <c r="BG152" s="65">
        <f t="shared" si="136"/>
        <v>0</v>
      </c>
      <c r="BH152" s="70">
        <v>0</v>
      </c>
      <c r="BI152" s="65">
        <f t="shared" si="137"/>
        <v>0</v>
      </c>
      <c r="BJ152" s="38">
        <f>IF(AND(BJ$7="○",$A152&gt;=BJ$8,$A152&lt;=BJ$9),IF(SUM(BJ$10:BJ151)-ROUNDDOWN($M152*BJ$5/100,0)&lt;-BJ$6,-BJ$6-SUM(BJ$10:BJ151),-ROUNDDOWN($M152*BJ$5/100,0)),0)</f>
        <v>0</v>
      </c>
      <c r="BK152" s="38">
        <f>IF(AND(BK$7="○",$A152&gt;=BK$8,$A152&lt;=BK$9),IF(SUM(BK$10:BK151)-ROUNDDOWN($L152*BK$5/100,0)&lt;-BK$6,-BK$6-SUM(BK$10:BK151),-ROUNDDOWN($L152*BK$5/100,0)),0)</f>
        <v>0</v>
      </c>
      <c r="BL152" s="38">
        <f>IF(AND(BL$7="○",$A152&gt;=BL$8,$A152&lt;=BL$9),IF(SUM(BL$10:BL151)-ROUNDDOWN($L152*BL$5/100,0)&lt;-BL$6,-BL$6-SUM(BL$10:BL151),-ROUNDDOWN($L152*BL$5/100,0)),0)</f>
        <v>0</v>
      </c>
      <c r="BM152" s="38">
        <f>IF(AND(BM$7="○",$A152&gt;=BM$8,$A152&lt;=BM$9),IF(SUM(BM$10:BM151)-ROUNDDOWN($M152*BM$5/100,0)&lt;-BM$6,-BM$6-SUM(BM$10:BM151),-ROUNDDOWN($M152*BM$5/100,0)),0)</f>
        <v>0</v>
      </c>
      <c r="BN152" s="38">
        <f>IF(AND(BN$7="○",$A152&gt;=BN$8,$A152&lt;=BN$9),IF(SUM(BN$10:BN151)-ROUNDDOWN($M152*BN$5/100,0)&lt;-BN$6,-BN$6-SUM(BN$10:BN151),-ROUNDDOWN($M152*BN$5/100,0)),0)</f>
        <v>0</v>
      </c>
      <c r="BO152" s="38">
        <f>IF(AND(BO$7="○",$A152&gt;=BO$8,$A152&lt;=BO$9),IF(SUM(BO$10:BO151)-ROUNDDOWN($M152*BO$5/100,0)&lt;-BO$6,-BO$6-SUM(BO$10:BO151),-ROUNDDOWN($M152*BO$5/100,0)),0)</f>
        <v>0</v>
      </c>
      <c r="BP152" s="38">
        <f>IF(AND(BP$7="○",$A152&gt;=BP$8,$A152&lt;=BP$9),IF(SUM(BP$10:BP151)-ROUNDDOWN($M152*BP$5/100,0)&lt;-BP$6,-BP$6-SUM(BP$10:BP151),-ROUNDDOWN($M152*BP$5/100,0)),0)</f>
        <v>0</v>
      </c>
      <c r="BQ152" s="38">
        <f>IF(AND(BQ$7="○",$A152&gt;=BQ$8,$A152&lt;=BQ$9),IF(SUM(BQ$10:BQ151)-ROUNDDOWN($L152*BQ$5/100,0)&lt;-BQ$6,-BQ$6-SUM(BQ$10:BQ151),-ROUNDDOWN($L152*BQ$5/100,0)),0)</f>
        <v>0</v>
      </c>
      <c r="BR152" s="38">
        <f>IF(AND(BR$7="○",$A152&gt;=BR$8,$A152&lt;=BR$9),IF(SUM(BR$10:BR151)-ROUNDDOWN($M152*BR$5/100,0)&lt;-BR$6,-BR$6-SUM(BR$10:BR151),-ROUNDDOWN($M152*BR$5/100,0)),0)</f>
        <v>0</v>
      </c>
      <c r="BS152" s="38">
        <f>IF(AND(BS$7="○",$A152&gt;=BS$8,$A152&lt;=BS$9),IF(SUM(BS$10:BS151)-ROUNDDOWN($M152*BS$5/100,0)&lt;-BS$6,-BS$6-SUM(BS$10:BS151),-ROUNDDOWN($M152*BS$5/100,0)),0)</f>
        <v>0</v>
      </c>
      <c r="BT152" s="38">
        <f>IF(AND(BT$7="○",$A152&gt;=BT$8,$A152&lt;=BT$9),IF(SUM(BT$10:BT151)-ROUNDDOWN($M152*BT$5/100,0)&lt;-BT$6,-BT$6-SUM(BT$10:BT151),-ROUNDDOWN($M152*BT$5/100,0)),0)</f>
        <v>0</v>
      </c>
      <c r="BU152" s="38">
        <f>IF(AND(BU$7="○",$A152&gt;=BU$8,$A152&lt;=BU$9),IF(SUM(BU$10:BU151)-ROUNDDOWN($M152*BU$5/100,0)&lt;-BU$6,-BU$6-SUM(BU$10:BU151),-ROUNDDOWN($M152*BU$5/100,0)),0)</f>
        <v>0</v>
      </c>
      <c r="BV152" s="38">
        <f>IF(AND(BV$7="○",$A152&gt;=BV$8,$A152&lt;=BV$9),IF(SUM(BV$10:BV151)-ROUNDDOWN($M152*BV$5/100,0)&lt;-BV$6,-BV$6-SUM(BV$10:BV151),-ROUNDDOWN($M152*BV$5/100,0)),0)</f>
        <v>0</v>
      </c>
      <c r="BW152" s="38">
        <f>IF(AND(BW$7="○",$A152&gt;=BW$8,$A152&lt;=BW$9),IF(SUM(BW$10:BW151)-ROUNDDOWN($M152*BW$5/100,0)&lt;-BW$6,-BW$6-SUM(BW$10:BW151),-ROUNDDOWN($M152*BW$5/100,0)),0)</f>
        <v>0</v>
      </c>
      <c r="BX152" s="38">
        <f>IF(AND(T152="○",$A152&gt;=BX$8,$A152&lt;=BX$9),IF(SUM(BX$10:BX151)-ROUNDDOWN($K152*BX$5/100,0)&lt;-BX$6,-BX$6-SUM(BX$10:BX151),-ROUNDDOWN($K152*BX$5/100,0)),0)</f>
        <v>0</v>
      </c>
      <c r="BY152" s="38">
        <f>IF(AND(U152="○",$A152&gt;=BY$8,$A152&lt;=BY$9),IF(SUM(BY$10:BY151)-ROUNDDOWN($K152*BY$5/100,0)&lt;-BY$6,-BY$6-SUM(BY$10:BY151),-ROUNDDOWN($K152*BY$5/100,0)),0)</f>
        <v>0</v>
      </c>
      <c r="BZ152" s="38">
        <f>IF(AND(V152="○",$A152&gt;=BZ$8,$A152&lt;=BZ$9),IF(SUM(BZ$10:BZ151)-ROUNDDOWN($K152*BZ$5/100,0)&lt;-BZ$6,-BZ$6-SUM(BZ$10:BZ151),-ROUNDDOWN($K152*BZ$5/100,0)),0)</f>
        <v>0</v>
      </c>
      <c r="CA152" s="38">
        <f>IF(AND(W152="○",$A152&gt;=CA$8,$A152&lt;=CA$9),IF(SUM(CA$10:CA151)-ROUNDDOWN($K152*CA$5/100,0)&lt;-CA$6,-CA$6-SUM(CA$10:CA151),-ROUNDDOWN($K152*CA$5/100,0)),0)</f>
        <v>0</v>
      </c>
      <c r="CB152" s="38"/>
      <c r="CC152" s="38"/>
      <c r="CD152" s="38"/>
      <c r="CE152" s="38"/>
      <c r="CF152" s="38"/>
      <c r="CG152" s="65">
        <f t="shared" si="138"/>
        <v>0</v>
      </c>
      <c r="CH152" s="71">
        <f t="shared" si="139"/>
        <v>0</v>
      </c>
      <c r="CI152" s="1">
        <f t="shared" si="127"/>
        <v>0</v>
      </c>
      <c r="CJ152" s="1"/>
      <c r="CK152" s="75"/>
      <c r="CL152" s="75"/>
      <c r="CM152" s="2"/>
      <c r="CN152" s="2"/>
      <c r="CO152" s="73">
        <f t="shared" si="128"/>
        <v>0</v>
      </c>
      <c r="CP152" s="5">
        <f t="shared" si="129"/>
        <v>0</v>
      </c>
      <c r="CQ152" s="1"/>
      <c r="CR152" s="1">
        <f t="shared" si="130"/>
        <v>0</v>
      </c>
      <c r="CS152" s="1"/>
      <c r="CT152" s="1" t="e">
        <f>INDEX([2]マスタ!$A:$A,MATCH(D152,[2]マスタ!$C:$C,0))</f>
        <v>#N/A</v>
      </c>
      <c r="CU152" s="1" t="str">
        <f t="shared" ca="1" si="131"/>
        <v>20260620_0-0</v>
      </c>
    </row>
    <row r="153" spans="1:99" x14ac:dyDescent="0.4">
      <c r="A153" s="61"/>
      <c r="B153" s="62"/>
      <c r="C153" s="62"/>
      <c r="D153" s="62"/>
      <c r="E153" s="63"/>
      <c r="F153" s="62"/>
      <c r="G153" s="62">
        <v>1</v>
      </c>
      <c r="H153" s="64">
        <f t="shared" si="118"/>
        <v>0</v>
      </c>
      <c r="I153" s="64"/>
      <c r="J153" s="64"/>
      <c r="K153" s="65">
        <f>+ROUNDDOWN((H153+I153)/100,0)*100</f>
        <v>0</v>
      </c>
      <c r="L153" s="65">
        <f t="shared" si="120"/>
        <v>0</v>
      </c>
      <c r="M153" s="65">
        <f t="shared" si="121"/>
        <v>0</v>
      </c>
      <c r="N153" s="65">
        <f t="shared" si="122"/>
        <v>0</v>
      </c>
      <c r="O153" s="66" t="str">
        <f t="shared" si="123"/>
        <v>✕</v>
      </c>
      <c r="P153" s="67" t="str">
        <f t="shared" si="124"/>
        <v>○</v>
      </c>
      <c r="Q153" s="67" t="str">
        <f>+IF((TEXT($A153,"DD")+0)=1,"○","✕")</f>
        <v>✕</v>
      </c>
      <c r="R153" s="67" t="str">
        <f t="shared" si="126"/>
        <v>✕</v>
      </c>
      <c r="S153" s="68">
        <v>0</v>
      </c>
      <c r="T153" s="69" t="s">
        <v>85</v>
      </c>
      <c r="U153" s="69" t="s">
        <v>85</v>
      </c>
      <c r="V153" s="69" t="s">
        <v>85</v>
      </c>
      <c r="W153" s="69" t="s">
        <v>85</v>
      </c>
      <c r="X153" s="69" t="s">
        <v>84</v>
      </c>
      <c r="Y153" s="69" t="s">
        <v>85</v>
      </c>
      <c r="Z153" s="69" t="s">
        <v>85</v>
      </c>
      <c r="AA153" s="69" t="s">
        <v>85</v>
      </c>
      <c r="AB153" s="69" t="s">
        <v>85</v>
      </c>
      <c r="AC153" s="69" t="s">
        <v>85</v>
      </c>
      <c r="AD153" s="38" t="str">
        <f>+IF(ISERROR(VLOOKUP($B153,AD$10:AD152,1,0)),IF(AND($N153&gt;=1000,$A153&gt;=AO$8,$A153&lt;=AO$9),$B153,""),"")</f>
        <v/>
      </c>
      <c r="AE153" s="38" t="str">
        <f>+IF(ISERROR(VLOOKUP($B153,AE$10:AE152,1,0)),IF(AND($N153&gt;=1000,$A153&gt;=AP$8,$A153&lt;=AP$9),$B153,""),"")</f>
        <v/>
      </c>
      <c r="AF153" s="38" t="str">
        <f>+IF(ISERROR(VLOOKUP($B153,AF$10:AF152,1,0)),IF(AND($N153&gt;=1000,$A153&gt;=AQ$8,$A153&lt;=AQ$9),$B153,""),"")</f>
        <v/>
      </c>
      <c r="AG153" s="38" t="str">
        <f>+IF(ISERROR(VLOOKUP($B153,AG$10:AG152,1,0)),IF(AND($N153&gt;=1000,$A153&gt;=AR$8,$A153&lt;=AR$9),$B153,""),"")</f>
        <v/>
      </c>
      <c r="AH153" s="38"/>
      <c r="AI153" s="70">
        <v>0</v>
      </c>
      <c r="AJ153" s="38">
        <f>IF(AND(AJ$7="○",$A153&gt;=AJ$8,$A153&lt;=AJ$9),IF(SUM(AJ$10:AJ152)-ROUNDDOWN($K153*AJ$5/100,0)&lt;-AJ$6,-AJ$6-SUM(AJ$10:AJ152),-ROUNDDOWN($K153*AJ$5/100,0)),0)</f>
        <v>0</v>
      </c>
      <c r="AK153" s="38">
        <f>IF(AND(AK$7="○",$A153&gt;=AK$8,$A153&lt;=AK$9),IF(SUM(AK$10:AK152)-ROUNDDOWN($L153*AK$5/100,0)&lt;-AK$6,-AK$6-SUM(AK$10:AK152),-ROUNDDOWN($L153*AK$5/100,0)),0)</f>
        <v>0</v>
      </c>
      <c r="AL153" s="38">
        <f>IF(AND(AL$7="○",$A153&gt;=AL$8,$A153&lt;=AL$9),IF(SUM(AL$10:AL152)-ROUNDDOWN($N153*AL$5/100,0)&lt;-AL$6,-AL$6-SUM(AL$10:AL152),-ROUNDDOWN($N153*AL$5/100,0)),0)</f>
        <v>0</v>
      </c>
      <c r="AM153" s="38">
        <f>IF(AND(AM$7="○",$A153&gt;=AM$8,$A153&lt;=AM$9),IF(SUM(AM$10:AM152)-ROUNDDOWN($L153*AM$5/100,0)&lt;-AM$6,-AM$6-SUM(AM$10:AM152),-ROUNDDOWN($L153*AM$5/100,0)),0)</f>
        <v>0</v>
      </c>
      <c r="AN153" s="38">
        <f>IF(AND(AN$7="○",$A153&gt;=AN$8,$A153&lt;=AN$9),IF(SUM(AN$10:AN152)-ROUNDDOWN($M153*AN$5/100,0)&lt;-AN$6,-AN$6-SUM(AN$10:AN152),-ROUNDDOWN($M153*AN$5/100,0)),0)</f>
        <v>0</v>
      </c>
      <c r="AO153" s="38">
        <f>IF(AND($A153&gt;=AO$8,$A153&lt;=AO$9),IF(SUM(AO$10:AO152)-ROUNDDOWN($K153*AO$5/100,0)&lt;-AO$6,-AO$6-SUM(AO$10:AO152),-ROUNDDOWN($K153*AO$5/100,0)),0)</f>
        <v>0</v>
      </c>
      <c r="AP153" s="38">
        <f>IF(AND($A153&gt;=AP$8,$A153&lt;=AP$9),IF(SUM(AP$10:AP152)-ROUNDDOWN($K153*AP$5/100,0)&lt;-AP$6,-AP$6-SUM(AP$10:AP152),-ROUNDDOWN($K153*AP$5/100,0)),0)</f>
        <v>0</v>
      </c>
      <c r="AQ153" s="38">
        <f>IF(AND($A153&gt;=AQ$8,$A153&lt;=AQ$9),IF(SUM(AQ$10:AQ152)-ROUNDDOWN($K153*AQ$5/100,0)&lt;-AQ$6,-AQ$6-SUM(AQ$10:AQ152),-ROUNDDOWN($K153*AQ$5/100,0)),0)</f>
        <v>0</v>
      </c>
      <c r="AR153" s="38">
        <f>IF(AND($A153&gt;=AR$8,$A153&lt;=AR$9),IF(SUM(AR$10:AR152)-ROUNDDOWN($K153*AR$5/100,0)&lt;-AR$6,-AR$6-SUM(AR$10:AR152),-ROUNDDOWN($K153*AR$5/100,0)),0)</f>
        <v>0</v>
      </c>
      <c r="AS153" s="38">
        <f>IF(SUMIFS(AS$10:AS152,$A$10:$A152,$A153)-ROUNDDOWN($K153*$S153/100,0)&lt;-$S153*1000,-$S153*1000-SUMIFS(AS$10:AS152,$A$10:$A152,$A153),-ROUNDDOWN($K153*$S153/100,0))</f>
        <v>0</v>
      </c>
      <c r="AT153" s="38">
        <f>IF(AND(X153="○",$A153&gt;=AT$8,$A153&lt;=AT$9,K153&gt;=3980),IF(SUM(AT$10:AT152)-ROUNDDOWN($K153*AT$5/100,0)&lt;-AT$6,-AT$6-SUM(AT$10:AT152),-ROUNDDOWN($K153*AT$5/100,0)),0)</f>
        <v>0</v>
      </c>
      <c r="AU153" s="38">
        <f>IF(O153="○",IF(SUM(AU$10:AU152)-ROUNDDOWN($K153*AU$5/100,0)&lt;-AU$6,-AU$6-SUM(AU$10:AU152),-ROUNDDOWN($K153*AU$5/100,0)),0)</f>
        <v>0</v>
      </c>
      <c r="AV153" s="38">
        <f>IF(P153="○",IF(SUM(AV$10:AV152)-ROUNDDOWN($K153*AV$5/100,0)&lt;-AV$6,-AV$6-SUM(AV$10:AV152),-ROUNDDOWN($K153*AV$5/100,0)),0)</f>
        <v>0</v>
      </c>
      <c r="AW153" s="38">
        <f>IF(Q153="○",IF(SUM(AW$10:AW152)-ROUNDDOWN($K153*AW$5/100,0)&lt;-AW$6,-AW$6-SUM(AW$10:AW152),-ROUNDDOWN($K153*AW$5/100,0)),0)</f>
        <v>0</v>
      </c>
      <c r="AX153" s="38">
        <f>IF(R153="○",IF(SUM(AX$10:AX152)-ROUNDDOWN($K153*AX$5/100,0)&lt;-AX$6,-AX$6-SUM(AX$10:AX152),-ROUNDDOWN($K153*AX$5/100,0)),0)</f>
        <v>0</v>
      </c>
      <c r="AY153" s="70">
        <v>0</v>
      </c>
      <c r="AZ153" s="65">
        <f t="shared" si="132"/>
        <v>0</v>
      </c>
      <c r="BA153" s="65">
        <f t="shared" si="133"/>
        <v>0</v>
      </c>
      <c r="BB153" s="70"/>
      <c r="BC153" s="65">
        <f t="shared" si="134"/>
        <v>0</v>
      </c>
      <c r="BD153" s="70">
        <v>0</v>
      </c>
      <c r="BE153" s="65">
        <f t="shared" si="135"/>
        <v>0</v>
      </c>
      <c r="BF153" s="70">
        <v>0</v>
      </c>
      <c r="BG153" s="65">
        <f t="shared" si="136"/>
        <v>0</v>
      </c>
      <c r="BH153" s="70">
        <v>0</v>
      </c>
      <c r="BI153" s="65">
        <f t="shared" si="137"/>
        <v>0</v>
      </c>
      <c r="BJ153" s="38">
        <f>IF(AND(BJ$7="○",$A153&gt;=BJ$8,$A153&lt;=BJ$9),IF(SUM(BJ$10:BJ152)-ROUNDDOWN($M153*BJ$5/100,0)&lt;-BJ$6,-BJ$6-SUM(BJ$10:BJ152),-ROUNDDOWN($M153*BJ$5/100,0)),0)</f>
        <v>0</v>
      </c>
      <c r="BK153" s="38">
        <f>IF(AND(BK$7="○",$A153&gt;=BK$8,$A153&lt;=BK$9),IF(SUM(BK$10:BK152)-ROUNDDOWN($L153*BK$5/100,0)&lt;-BK$6,-BK$6-SUM(BK$10:BK152),-ROUNDDOWN($L153*BK$5/100,0)),0)</f>
        <v>0</v>
      </c>
      <c r="BL153" s="38">
        <f>IF(AND(BL$7="○",$A153&gt;=BL$8,$A153&lt;=BL$9),IF(SUM(BL$10:BL152)-ROUNDDOWN($L153*BL$5/100,0)&lt;-BL$6,-BL$6-SUM(BL$10:BL152),-ROUNDDOWN($L153*BL$5/100,0)),0)</f>
        <v>0</v>
      </c>
      <c r="BM153" s="38">
        <f>IF(AND(BM$7="○",$A153&gt;=BM$8,$A153&lt;=BM$9),IF(SUM(BM$10:BM152)-ROUNDDOWN($M153*BM$5/100,0)&lt;-BM$6,-BM$6-SUM(BM$10:BM152),-ROUNDDOWN($M153*BM$5/100,0)),0)</f>
        <v>0</v>
      </c>
      <c r="BN153" s="38">
        <f>IF(AND(BN$7="○",$A153&gt;=BN$8,$A153&lt;=BN$9),IF(SUM(BN$10:BN152)-ROUNDDOWN($M153*BN$5/100,0)&lt;-BN$6,-BN$6-SUM(BN$10:BN152),-ROUNDDOWN($M153*BN$5/100,0)),0)</f>
        <v>0</v>
      </c>
      <c r="BO153" s="38">
        <f>IF(AND(BO$7="○",$A153&gt;=BO$8,$A153&lt;=BO$9),IF(SUM(BO$10:BO152)-ROUNDDOWN($M153*BO$5/100,0)&lt;-BO$6,-BO$6-SUM(BO$10:BO152),-ROUNDDOWN($M153*BO$5/100,0)),0)</f>
        <v>0</v>
      </c>
      <c r="BP153" s="38">
        <f>IF(AND(BP$7="○",$A153&gt;=BP$8,$A153&lt;=BP$9),IF(SUM(BP$10:BP152)-ROUNDDOWN($M153*BP$5/100,0)&lt;-BP$6,-BP$6-SUM(BP$10:BP152),-ROUNDDOWN($M153*BP$5/100,0)),0)</f>
        <v>0</v>
      </c>
      <c r="BQ153" s="38">
        <f>IF(AND(BQ$7="○",$A153&gt;=BQ$8,$A153&lt;=BQ$9),IF(SUM(BQ$10:BQ152)-ROUNDDOWN($L153*BQ$5/100,0)&lt;-BQ$6,-BQ$6-SUM(BQ$10:BQ152),-ROUNDDOWN($L153*BQ$5/100,0)),0)</f>
        <v>0</v>
      </c>
      <c r="BR153" s="38">
        <f>IF(AND(BR$7="○",$A153&gt;=BR$8,$A153&lt;=BR$9),IF(SUM(BR$10:BR152)-ROUNDDOWN($M153*BR$5/100,0)&lt;-BR$6,-BR$6-SUM(BR$10:BR152),-ROUNDDOWN($M153*BR$5/100,0)),0)</f>
        <v>0</v>
      </c>
      <c r="BS153" s="38">
        <f>IF(AND(BS$7="○",$A153&gt;=BS$8,$A153&lt;=BS$9),IF(SUM(BS$10:BS152)-ROUNDDOWN($M153*BS$5/100,0)&lt;-BS$6,-BS$6-SUM(BS$10:BS152),-ROUNDDOWN($M153*BS$5/100,0)),0)</f>
        <v>0</v>
      </c>
      <c r="BT153" s="38">
        <f>IF(AND(BT$7="○",$A153&gt;=BT$8,$A153&lt;=BT$9),IF(SUM(BT$10:BT152)-ROUNDDOWN($M153*BT$5/100,0)&lt;-BT$6,-BT$6-SUM(BT$10:BT152),-ROUNDDOWN($M153*BT$5/100,0)),0)</f>
        <v>0</v>
      </c>
      <c r="BU153" s="38">
        <f>IF(AND(BU$7="○",$A153&gt;=BU$8,$A153&lt;=BU$9),IF(SUM(BU$10:BU152)-ROUNDDOWN($M153*BU$5/100,0)&lt;-BU$6,-BU$6-SUM(BU$10:BU152),-ROUNDDOWN($M153*BU$5/100,0)),0)</f>
        <v>0</v>
      </c>
      <c r="BV153" s="38">
        <f>IF(AND(BV$7="○",$A153&gt;=BV$8,$A153&lt;=BV$9),IF(SUM(BV$10:BV152)-ROUNDDOWN($M153*BV$5/100,0)&lt;-BV$6,-BV$6-SUM(BV$10:BV152),-ROUNDDOWN($M153*BV$5/100,0)),0)</f>
        <v>0</v>
      </c>
      <c r="BW153" s="38">
        <f>IF(AND(BW$7="○",$A153&gt;=BW$8,$A153&lt;=BW$9),IF(SUM(BW$10:BW152)-ROUNDDOWN($M153*BW$5/100,0)&lt;-BW$6,-BW$6-SUM(BW$10:BW152),-ROUNDDOWN($M153*BW$5/100,0)),0)</f>
        <v>0</v>
      </c>
      <c r="BX153" s="38">
        <f>IF(AND(T153="○",$A153&gt;=BX$8,$A153&lt;=BX$9),IF(SUM(BX$10:BX152)-ROUNDDOWN($K153*BX$5/100,0)&lt;-BX$6,-BX$6-SUM(BX$10:BX152),-ROUNDDOWN($K153*BX$5/100,0)),0)</f>
        <v>0</v>
      </c>
      <c r="BY153" s="38">
        <f>IF(AND(U153="○",$A153&gt;=BY$8,$A153&lt;=BY$9),IF(SUM(BY$10:BY152)-ROUNDDOWN($K153*BY$5/100,0)&lt;-BY$6,-BY$6-SUM(BY$10:BY152),-ROUNDDOWN($K153*BY$5/100,0)),0)</f>
        <v>0</v>
      </c>
      <c r="BZ153" s="38">
        <f>IF(AND(V153="○",$A153&gt;=BZ$8,$A153&lt;=BZ$9),IF(SUM(BZ$10:BZ152)-ROUNDDOWN($K153*BZ$5/100,0)&lt;-BZ$6,-BZ$6-SUM(BZ$10:BZ152),-ROUNDDOWN($K153*BZ$5/100,0)),0)</f>
        <v>0</v>
      </c>
      <c r="CA153" s="38">
        <f>IF(AND(W153="○",$A153&gt;=CA$8,$A153&lt;=CA$9),IF(SUM(CA$10:CA152)-ROUNDDOWN($K153*CA$5/100,0)&lt;-CA$6,-CA$6-SUM(CA$10:CA152),-ROUNDDOWN($K153*CA$5/100,0)),0)</f>
        <v>0</v>
      </c>
      <c r="CB153" s="38"/>
      <c r="CC153" s="38"/>
      <c r="CD153" s="38"/>
      <c r="CE153" s="38"/>
      <c r="CF153" s="38"/>
      <c r="CG153" s="65">
        <f t="shared" si="138"/>
        <v>0</v>
      </c>
      <c r="CH153" s="71">
        <f t="shared" si="139"/>
        <v>0</v>
      </c>
      <c r="CI153" s="1">
        <f t="shared" si="127"/>
        <v>0</v>
      </c>
      <c r="CJ153" s="1"/>
      <c r="CK153" s="72"/>
      <c r="CL153" s="72"/>
      <c r="CM153" s="2"/>
      <c r="CN153" s="2"/>
      <c r="CO153" s="73">
        <f t="shared" si="128"/>
        <v>0</v>
      </c>
      <c r="CP153" s="5">
        <f t="shared" si="129"/>
        <v>0</v>
      </c>
      <c r="CQ153" s="1"/>
      <c r="CR153" s="1">
        <f t="shared" si="130"/>
        <v>0</v>
      </c>
      <c r="CS153" s="1"/>
      <c r="CT153" s="1" t="e">
        <f>INDEX([2]マスタ!$A:$A,MATCH(D153,[2]マスタ!$C:$C,0))</f>
        <v>#N/A</v>
      </c>
      <c r="CU153" s="1" t="str">
        <f t="shared" ca="1" si="131"/>
        <v>20260620_0-0</v>
      </c>
    </row>
    <row r="154" spans="1:99" x14ac:dyDescent="0.4">
      <c r="A154" s="61"/>
      <c r="B154" s="62"/>
      <c r="C154" s="62"/>
      <c r="D154" s="62"/>
      <c r="E154" s="77"/>
      <c r="F154" s="62"/>
      <c r="G154" s="62">
        <v>1</v>
      </c>
      <c r="H154" s="64">
        <f t="shared" si="118"/>
        <v>0</v>
      </c>
      <c r="I154" s="64"/>
      <c r="J154" s="64"/>
      <c r="K154" s="65">
        <f>+ROUNDDOWN((H154+I154)/100,0)*100</f>
        <v>0</v>
      </c>
      <c r="L154" s="65">
        <f t="shared" si="120"/>
        <v>0</v>
      </c>
      <c r="M154" s="65">
        <f t="shared" si="121"/>
        <v>0</v>
      </c>
      <c r="N154" s="65">
        <f t="shared" si="122"/>
        <v>0</v>
      </c>
      <c r="O154" s="66" t="str">
        <f t="shared" si="123"/>
        <v>✕</v>
      </c>
      <c r="P154" s="67" t="str">
        <f t="shared" si="124"/>
        <v>○</v>
      </c>
      <c r="Q154" s="67" t="str">
        <f>+IF((TEXT($A154,"DD")+0)=1,"○","✕")</f>
        <v>✕</v>
      </c>
      <c r="R154" s="67" t="str">
        <f t="shared" si="126"/>
        <v>✕</v>
      </c>
      <c r="S154" s="68">
        <v>0</v>
      </c>
      <c r="T154" s="69" t="s">
        <v>85</v>
      </c>
      <c r="U154" s="69" t="s">
        <v>85</v>
      </c>
      <c r="V154" s="69" t="s">
        <v>85</v>
      </c>
      <c r="W154" s="69" t="s">
        <v>85</v>
      </c>
      <c r="X154" s="69" t="s">
        <v>84</v>
      </c>
      <c r="Y154" s="69" t="s">
        <v>85</v>
      </c>
      <c r="Z154" s="69" t="s">
        <v>85</v>
      </c>
      <c r="AA154" s="69" t="s">
        <v>85</v>
      </c>
      <c r="AB154" s="69" t="s">
        <v>85</v>
      </c>
      <c r="AC154" s="69" t="s">
        <v>85</v>
      </c>
      <c r="AD154" s="38" t="str">
        <f>+IF(ISERROR(VLOOKUP($B154,AD$10:AD153,1,0)),IF(AND($N154&gt;=1000,$A154&gt;=AO$8,$A154&lt;=AO$9),$B154,""),"")</f>
        <v/>
      </c>
      <c r="AE154" s="38" t="str">
        <f>+IF(ISERROR(VLOOKUP($B154,AE$10:AE153,1,0)),IF(AND($N154&gt;=1000,$A154&gt;=AP$8,$A154&lt;=AP$9),$B154,""),"")</f>
        <v/>
      </c>
      <c r="AF154" s="38" t="str">
        <f>+IF(ISERROR(VLOOKUP($B154,AF$10:AF153,1,0)),IF(AND($N154&gt;=1000,$A154&gt;=AQ$8,$A154&lt;=AQ$9),$B154,""),"")</f>
        <v/>
      </c>
      <c r="AG154" s="38" t="str">
        <f>+IF(ISERROR(VLOOKUP($B154,AG$10:AG153,1,0)),IF(AND($N154&gt;=1000,$A154&gt;=AR$8,$A154&lt;=AR$9),$B154,""),"")</f>
        <v/>
      </c>
      <c r="AH154" s="38"/>
      <c r="AI154" s="70">
        <v>0</v>
      </c>
      <c r="AJ154" s="38">
        <f>IF(AND(AJ$7="○",$A154&gt;=AJ$8,$A154&lt;=AJ$9),IF(SUM(AJ$10:AJ153)-ROUNDDOWN($K154*AJ$5/100,0)&lt;-AJ$6,-AJ$6-SUM(AJ$10:AJ153),-ROUNDDOWN($K154*AJ$5/100,0)),0)</f>
        <v>0</v>
      </c>
      <c r="AK154" s="38">
        <f>IF(AND(AK$7="○",$A154&gt;=AK$8,$A154&lt;=AK$9),IF(SUM(AK$10:AK153)-ROUNDDOWN($L154*AK$5/100,0)&lt;-AK$6,-AK$6-SUM(AK$10:AK153),-ROUNDDOWN($L154*AK$5/100,0)),0)</f>
        <v>0</v>
      </c>
      <c r="AL154" s="38">
        <f>IF(AND(AL$7="○",$A154&gt;=AL$8,$A154&lt;=AL$9),IF(SUM(AL$10:AL153)-ROUNDDOWN($N154*AL$5/100,0)&lt;-AL$6,-AL$6-SUM(AL$10:AL153),-ROUNDDOWN($N154*AL$5/100,0)),0)</f>
        <v>0</v>
      </c>
      <c r="AM154" s="38">
        <f>IF(AND(AM$7="○",$A154&gt;=AM$8,$A154&lt;=AM$9),IF(SUM(AM$10:AM153)-ROUNDDOWN($L154*AM$5/100,0)&lt;-AM$6,-AM$6-SUM(AM$10:AM153),-ROUNDDOWN($L154*AM$5/100,0)),0)</f>
        <v>0</v>
      </c>
      <c r="AN154" s="38">
        <f>IF(AND(AN$7="○",$A154&gt;=AN$8,$A154&lt;=AN$9),IF(SUM(AN$10:AN153)-ROUNDDOWN($M154*AN$5/100,0)&lt;-AN$6,-AN$6-SUM(AN$10:AN153),-ROUNDDOWN($M154*AN$5/100,0)),0)</f>
        <v>0</v>
      </c>
      <c r="AO154" s="38">
        <f>IF(AND($A154&gt;=AO$8,$A154&lt;=AO$9),IF(SUM(AO$10:AO153)-ROUNDDOWN($K154*AO$5/100,0)&lt;-AO$6,-AO$6-SUM(AO$10:AO153),-ROUNDDOWN($K154*AO$5/100,0)),0)</f>
        <v>0</v>
      </c>
      <c r="AP154" s="38">
        <f>IF(AND($A154&gt;=AP$8,$A154&lt;=AP$9),IF(SUM(AP$10:AP153)-ROUNDDOWN($K154*AP$5/100,0)&lt;-AP$6,-AP$6-SUM(AP$10:AP153),-ROUNDDOWN($K154*AP$5/100,0)),0)</f>
        <v>0</v>
      </c>
      <c r="AQ154" s="38">
        <f>IF(AND($A154&gt;=AQ$8,$A154&lt;=AQ$9),IF(SUM(AQ$10:AQ153)-ROUNDDOWN($K154*AQ$5/100,0)&lt;-AQ$6,-AQ$6-SUM(AQ$10:AQ153),-ROUNDDOWN($K154*AQ$5/100,0)),0)</f>
        <v>0</v>
      </c>
      <c r="AR154" s="38">
        <f>IF(AND($A154&gt;=AR$8,$A154&lt;=AR$9),IF(SUM(AR$10:AR153)-ROUNDDOWN($K154*AR$5/100,0)&lt;-AR$6,-AR$6-SUM(AR$10:AR153),-ROUNDDOWN($K154*AR$5/100,0)),0)</f>
        <v>0</v>
      </c>
      <c r="AS154" s="38">
        <f>IF(SUMIFS(AS$10:AS153,$A$10:$A153,$A154)-ROUNDDOWN($K154*$S154/100,0)&lt;-$S154*1000,-$S154*1000-SUMIFS(AS$10:AS153,$A$10:$A153,$A154),-ROUNDDOWN($K154*$S154/100,0))</f>
        <v>0</v>
      </c>
      <c r="AT154" s="38">
        <f>IF(AND(X154="○",$A154&gt;=AT$8,$A154&lt;=AT$9,K154&gt;=3980),IF(SUM(AT$10:AT153)-ROUNDDOWN($K154*AT$5/100,0)&lt;-AT$6,-AT$6-SUM(AT$10:AT153),-ROUNDDOWN($K154*AT$5/100,0)),0)</f>
        <v>0</v>
      </c>
      <c r="AU154" s="38">
        <f>IF(O154="○",IF(SUM(AU$10:AU153)-ROUNDDOWN($K154*AU$5/100,0)&lt;-AU$6,-AU$6-SUM(AU$10:AU153),-ROUNDDOWN($K154*AU$5/100,0)),0)</f>
        <v>0</v>
      </c>
      <c r="AV154" s="38">
        <f>IF(P154="○",IF(SUM(AV$10:AV153)-ROUNDDOWN($K154*AV$5/100,0)&lt;-AV$6,-AV$6-SUM(AV$10:AV153),-ROUNDDOWN($K154*AV$5/100,0)),0)</f>
        <v>0</v>
      </c>
      <c r="AW154" s="38">
        <f>IF(Q154="○",IF(SUM(AW$10:AW153)-ROUNDDOWN($K154*AW$5/100,0)&lt;-AW$6,-AW$6-SUM(AW$10:AW153),-ROUNDDOWN($K154*AW$5/100,0)),0)</f>
        <v>0</v>
      </c>
      <c r="AX154" s="38">
        <f>IF(R154="○",IF(SUM(AX$10:AX153)-ROUNDDOWN($K154*AX$5/100,0)&lt;-AX$6,-AX$6-SUM(AX$10:AX153),-ROUNDDOWN($K154*AX$5/100,0)),0)</f>
        <v>0</v>
      </c>
      <c r="AY154" s="70">
        <v>0</v>
      </c>
      <c r="AZ154" s="65">
        <f t="shared" si="132"/>
        <v>0</v>
      </c>
      <c r="BA154" s="65">
        <f t="shared" si="133"/>
        <v>0</v>
      </c>
      <c r="BB154" s="70"/>
      <c r="BC154" s="65">
        <f t="shared" si="134"/>
        <v>0</v>
      </c>
      <c r="BD154" s="70">
        <v>0</v>
      </c>
      <c r="BE154" s="65">
        <f t="shared" si="135"/>
        <v>0</v>
      </c>
      <c r="BF154" s="70">
        <v>0</v>
      </c>
      <c r="BG154" s="65">
        <f t="shared" si="136"/>
        <v>0</v>
      </c>
      <c r="BH154" s="70">
        <v>0</v>
      </c>
      <c r="BI154" s="65">
        <f t="shared" si="137"/>
        <v>0</v>
      </c>
      <c r="BJ154" s="38">
        <f>IF(AND(BJ$7="○",$A154&gt;=BJ$8,$A154&lt;=BJ$9),IF(SUM(BJ$10:BJ153)-ROUNDDOWN($M154*BJ$5/100,0)&lt;-BJ$6,-BJ$6-SUM(BJ$10:BJ153),-ROUNDDOWN($M154*BJ$5/100,0)),0)</f>
        <v>0</v>
      </c>
      <c r="BK154" s="38">
        <f>IF(AND(BK$7="○",$A154&gt;=BK$8,$A154&lt;=BK$9),IF(SUM(BK$10:BK153)-ROUNDDOWN($L154*BK$5/100,0)&lt;-BK$6,-BK$6-SUM(BK$10:BK153),-ROUNDDOWN($L154*BK$5/100,0)),0)</f>
        <v>0</v>
      </c>
      <c r="BL154" s="38">
        <f>IF(AND(BL$7="○",$A154&gt;=BL$8,$A154&lt;=BL$9),IF(SUM(BL$10:BL153)-ROUNDDOWN($L154*BL$5/100,0)&lt;-BL$6,-BL$6-SUM(BL$10:BL153),-ROUNDDOWN($L154*BL$5/100,0)),0)</f>
        <v>0</v>
      </c>
      <c r="BM154" s="38">
        <f>IF(AND(BM$7="○",$A154&gt;=BM$8,$A154&lt;=BM$9),IF(SUM(BM$10:BM153)-ROUNDDOWN($M154*BM$5/100,0)&lt;-BM$6,-BM$6-SUM(BM$10:BM153),-ROUNDDOWN($M154*BM$5/100,0)),0)</f>
        <v>0</v>
      </c>
      <c r="BN154" s="38">
        <f>IF(AND(BN$7="○",$A154&gt;=BN$8,$A154&lt;=BN$9),IF(SUM(BN$10:BN153)-ROUNDDOWN($M154*BN$5/100,0)&lt;-BN$6,-BN$6-SUM(BN$10:BN153),-ROUNDDOWN($M154*BN$5/100,0)),0)</f>
        <v>0</v>
      </c>
      <c r="BO154" s="38">
        <f>IF(AND(BO$7="○",$A154&gt;=BO$8,$A154&lt;=BO$9),IF(SUM(BO$10:BO153)-ROUNDDOWN($M154*BO$5/100,0)&lt;-BO$6,-BO$6-SUM(BO$10:BO153),-ROUNDDOWN($M154*BO$5/100,0)),0)</f>
        <v>0</v>
      </c>
      <c r="BP154" s="38">
        <f>IF(AND(BP$7="○",$A154&gt;=BP$8,$A154&lt;=BP$9),IF(SUM(BP$10:BP153)-ROUNDDOWN($M154*BP$5/100,0)&lt;-BP$6,-BP$6-SUM(BP$10:BP153),-ROUNDDOWN($M154*BP$5/100,0)),0)</f>
        <v>0</v>
      </c>
      <c r="BQ154" s="38">
        <f>IF(AND(BQ$7="○",$A154&gt;=BQ$8,$A154&lt;=BQ$9),IF(SUM(BQ$10:BQ153)-ROUNDDOWN($L154*BQ$5/100,0)&lt;-BQ$6,-BQ$6-SUM(BQ$10:BQ153),-ROUNDDOWN($L154*BQ$5/100,0)),0)</f>
        <v>0</v>
      </c>
      <c r="BR154" s="38">
        <f>IF(AND(BR$7="○",$A154&gt;=BR$8,$A154&lt;=BR$9),IF(SUM(BR$10:BR153)-ROUNDDOWN($M154*BR$5/100,0)&lt;-BR$6,-BR$6-SUM(BR$10:BR153),-ROUNDDOWN($M154*BR$5/100,0)),0)</f>
        <v>0</v>
      </c>
      <c r="BS154" s="38">
        <f>IF(AND(BS$7="○",$A154&gt;=BS$8,$A154&lt;=BS$9),IF(SUM(BS$10:BS153)-ROUNDDOWN($M154*BS$5/100,0)&lt;-BS$6,-BS$6-SUM(BS$10:BS153),-ROUNDDOWN($M154*BS$5/100,0)),0)</f>
        <v>0</v>
      </c>
      <c r="BT154" s="38">
        <f>IF(AND(BT$7="○",$A154&gt;=BT$8,$A154&lt;=BT$9),IF(SUM(BT$10:BT153)-ROUNDDOWN($M154*BT$5/100,0)&lt;-BT$6,-BT$6-SUM(BT$10:BT153),-ROUNDDOWN($M154*BT$5/100,0)),0)</f>
        <v>0</v>
      </c>
      <c r="BU154" s="38">
        <f>IF(AND(BU$7="○",$A154&gt;=BU$8,$A154&lt;=BU$9),IF(SUM(BU$10:BU153)-ROUNDDOWN($M154*BU$5/100,0)&lt;-BU$6,-BU$6-SUM(BU$10:BU153),-ROUNDDOWN($M154*BU$5/100,0)),0)</f>
        <v>0</v>
      </c>
      <c r="BV154" s="38">
        <f>IF(AND(BV$7="○",$A154&gt;=BV$8,$A154&lt;=BV$9),IF(SUM(BV$10:BV153)-ROUNDDOWN($M154*BV$5/100,0)&lt;-BV$6,-BV$6-SUM(BV$10:BV153),-ROUNDDOWN($M154*BV$5/100,0)),0)</f>
        <v>0</v>
      </c>
      <c r="BW154" s="38">
        <f>IF(AND(BW$7="○",$A154&gt;=BW$8,$A154&lt;=BW$9),IF(SUM(BW$10:BW153)-ROUNDDOWN($M154*BW$5/100,0)&lt;-BW$6,-BW$6-SUM(BW$10:BW153),-ROUNDDOWN($M154*BW$5/100,0)),0)</f>
        <v>0</v>
      </c>
      <c r="BX154" s="38">
        <f>IF(AND(T154="○",$A154&gt;=BX$8,$A154&lt;=BX$9),IF(SUM(BX$10:BX153)-ROUNDDOWN($K154*BX$5/100,0)&lt;-BX$6,-BX$6-SUM(BX$10:BX153),-ROUNDDOWN($K154*BX$5/100,0)),0)</f>
        <v>0</v>
      </c>
      <c r="BY154" s="38">
        <f>IF(AND(U154="○",$A154&gt;=BY$8,$A154&lt;=BY$9),IF(SUM(BY$10:BY153)-ROUNDDOWN($K154*BY$5/100,0)&lt;-BY$6,-BY$6-SUM(BY$10:BY153),-ROUNDDOWN($K154*BY$5/100,0)),0)</f>
        <v>0</v>
      </c>
      <c r="BZ154" s="38">
        <f>IF(AND(V154="○",$A154&gt;=BZ$8,$A154&lt;=BZ$9),IF(SUM(BZ$10:BZ153)-ROUNDDOWN($K154*BZ$5/100,0)&lt;-BZ$6,-BZ$6-SUM(BZ$10:BZ153),-ROUNDDOWN($K154*BZ$5/100,0)),0)</f>
        <v>0</v>
      </c>
      <c r="CA154" s="38">
        <f>IF(AND(W154="○",$A154&gt;=CA$8,$A154&lt;=CA$9),IF(SUM(CA$10:CA153)-ROUNDDOWN($K154*CA$5/100,0)&lt;-CA$6,-CA$6-SUM(CA$10:CA153),-ROUNDDOWN($K154*CA$5/100,0)),0)</f>
        <v>0</v>
      </c>
      <c r="CB154" s="38"/>
      <c r="CC154" s="38"/>
      <c r="CD154" s="38"/>
      <c r="CE154" s="38"/>
      <c r="CF154" s="38"/>
      <c r="CG154" s="65">
        <f t="shared" si="138"/>
        <v>0</v>
      </c>
      <c r="CH154" s="71">
        <f t="shared" si="139"/>
        <v>0</v>
      </c>
      <c r="CI154" s="1">
        <f t="shared" si="127"/>
        <v>0</v>
      </c>
      <c r="CJ154" s="1"/>
      <c r="CK154" s="79"/>
      <c r="CL154" s="79"/>
      <c r="CM154" s="2"/>
      <c r="CN154" s="2"/>
      <c r="CO154" s="73">
        <f t="shared" si="128"/>
        <v>0</v>
      </c>
      <c r="CP154" s="5">
        <f t="shared" si="129"/>
        <v>0</v>
      </c>
      <c r="CQ154" s="1"/>
      <c r="CR154" s="1">
        <f t="shared" si="130"/>
        <v>0</v>
      </c>
      <c r="CS154" s="1"/>
      <c r="CT154" s="1" t="e">
        <f>INDEX([2]マスタ!$A:$A,MATCH(D154,[2]マスタ!$C:$C,0))</f>
        <v>#N/A</v>
      </c>
      <c r="CU154" s="1" t="str">
        <f t="shared" ca="1" si="131"/>
        <v>20260620_0-0</v>
      </c>
    </row>
    <row r="155" spans="1:99" x14ac:dyDescent="0.4">
      <c r="A155" s="61"/>
      <c r="B155" s="62"/>
      <c r="C155" s="62"/>
      <c r="D155" s="62"/>
      <c r="E155" s="63"/>
      <c r="F155" s="62"/>
      <c r="G155" s="62">
        <v>1</v>
      </c>
      <c r="H155" s="64">
        <f t="shared" si="118"/>
        <v>0</v>
      </c>
      <c r="I155" s="64"/>
      <c r="J155" s="64"/>
      <c r="K155" s="65">
        <f>+ROUNDDOWN((H155+I155)/100,0)*100</f>
        <v>0</v>
      </c>
      <c r="L155" s="65">
        <f t="shared" si="120"/>
        <v>0</v>
      </c>
      <c r="M155" s="65">
        <f t="shared" si="121"/>
        <v>0</v>
      </c>
      <c r="N155" s="65">
        <f t="shared" si="122"/>
        <v>0</v>
      </c>
      <c r="O155" s="66" t="str">
        <f t="shared" si="123"/>
        <v>✕</v>
      </c>
      <c r="P155" s="67" t="str">
        <f t="shared" si="124"/>
        <v>○</v>
      </c>
      <c r="Q155" s="67" t="str">
        <f>+IF((TEXT($A155,"DD")+0)=1,"○","✕")</f>
        <v>✕</v>
      </c>
      <c r="R155" s="67" t="str">
        <f t="shared" si="126"/>
        <v>✕</v>
      </c>
      <c r="S155" s="68">
        <v>0</v>
      </c>
      <c r="T155" s="69" t="s">
        <v>85</v>
      </c>
      <c r="U155" s="69" t="s">
        <v>85</v>
      </c>
      <c r="V155" s="69" t="s">
        <v>85</v>
      </c>
      <c r="W155" s="69" t="s">
        <v>85</v>
      </c>
      <c r="X155" s="69" t="s">
        <v>84</v>
      </c>
      <c r="Y155" s="69" t="s">
        <v>85</v>
      </c>
      <c r="Z155" s="69" t="s">
        <v>85</v>
      </c>
      <c r="AA155" s="69" t="s">
        <v>85</v>
      </c>
      <c r="AB155" s="69" t="s">
        <v>85</v>
      </c>
      <c r="AC155" s="69" t="s">
        <v>85</v>
      </c>
      <c r="AD155" s="38" t="str">
        <f>+IF(ISERROR(VLOOKUP($B155,AD$10:AD154,1,0)),IF(AND($N155&gt;=1000,$A155&gt;=AO$8,$A155&lt;=AO$9),$B155,""),"")</f>
        <v/>
      </c>
      <c r="AE155" s="38" t="str">
        <f>+IF(ISERROR(VLOOKUP($B155,AE$10:AE154,1,0)),IF(AND($N155&gt;=1000,$A155&gt;=AP$8,$A155&lt;=AP$9),$B155,""),"")</f>
        <v/>
      </c>
      <c r="AF155" s="38" t="str">
        <f>+IF(ISERROR(VLOOKUP($B155,AF$10:AF154,1,0)),IF(AND($N155&gt;=1000,$A155&gt;=AQ$8,$A155&lt;=AQ$9),$B155,""),"")</f>
        <v/>
      </c>
      <c r="AG155" s="38" t="str">
        <f>+IF(ISERROR(VLOOKUP($B155,AG$10:AG154,1,0)),IF(AND($N155&gt;=1000,$A155&gt;=AR$8,$A155&lt;=AR$9),$B155,""),"")</f>
        <v/>
      </c>
      <c r="AH155" s="38"/>
      <c r="AI155" s="70">
        <v>0</v>
      </c>
      <c r="AJ155" s="38">
        <f>IF(AND(AJ$7="○",$A155&gt;=AJ$8,$A155&lt;=AJ$9),IF(SUM(AJ$10:AJ154)-ROUNDDOWN($K155*AJ$5/100,0)&lt;-AJ$6,-AJ$6-SUM(AJ$10:AJ154),-ROUNDDOWN($K155*AJ$5/100,0)),0)</f>
        <v>0</v>
      </c>
      <c r="AK155" s="38">
        <f>IF(AND(AK$7="○",$A155&gt;=AK$8,$A155&lt;=AK$9),IF(SUM(AK$10:AK154)-ROUNDDOWN($L155*AK$5/100,0)&lt;-AK$6,-AK$6-SUM(AK$10:AK154),-ROUNDDOWN($L155*AK$5/100,0)),0)</f>
        <v>0</v>
      </c>
      <c r="AL155" s="38">
        <f>IF(AND(AL$7="○",$A155&gt;=AL$8,$A155&lt;=AL$9),IF(SUM(AL$10:AL154)-ROUNDDOWN($N155*AL$5/100,0)&lt;-AL$6,-AL$6-SUM(AL$10:AL154),-ROUNDDOWN($N155*AL$5/100,0)),0)</f>
        <v>0</v>
      </c>
      <c r="AM155" s="38">
        <f>IF(AND(AM$7="○",$A155&gt;=AM$8,$A155&lt;=AM$9),IF(SUM(AM$10:AM154)-ROUNDDOWN($L155*AM$5/100,0)&lt;-AM$6,-AM$6-SUM(AM$10:AM154),-ROUNDDOWN($L155*AM$5/100,0)),0)</f>
        <v>0</v>
      </c>
      <c r="AN155" s="38">
        <f>IF(AND(AN$7="○",$A155&gt;=AN$8,$A155&lt;=AN$9),IF(SUM(AN$10:AN154)-ROUNDDOWN($M155*AN$5/100,0)&lt;-AN$6,-AN$6-SUM(AN$10:AN154),-ROUNDDOWN($M155*AN$5/100,0)),0)</f>
        <v>0</v>
      </c>
      <c r="AO155" s="38">
        <f>IF(AND($A155&gt;=AO$8,$A155&lt;=AO$9),IF(SUM(AO$10:AO154)-ROUNDDOWN($K155*AO$5/100,0)&lt;-AO$6,-AO$6-SUM(AO$10:AO154),-ROUNDDOWN($K155*AO$5/100,0)),0)</f>
        <v>0</v>
      </c>
      <c r="AP155" s="38">
        <f>IF(AND($A155&gt;=AP$8,$A155&lt;=AP$9),IF(SUM(AP$10:AP154)-ROUNDDOWN($K155*AP$5/100,0)&lt;-AP$6,-AP$6-SUM(AP$10:AP154),-ROUNDDOWN($K155*AP$5/100,0)),0)</f>
        <v>0</v>
      </c>
      <c r="AQ155" s="38">
        <f>IF(AND($A155&gt;=AQ$8,$A155&lt;=AQ$9),IF(SUM(AQ$10:AQ154)-ROUNDDOWN($K155*AQ$5/100,0)&lt;-AQ$6,-AQ$6-SUM(AQ$10:AQ154),-ROUNDDOWN($K155*AQ$5/100,0)),0)</f>
        <v>0</v>
      </c>
      <c r="AR155" s="38">
        <f>IF(AND($A155&gt;=AR$8,$A155&lt;=AR$9),IF(SUM(AR$10:AR154)-ROUNDDOWN($K155*AR$5/100,0)&lt;-AR$6,-AR$6-SUM(AR$10:AR154),-ROUNDDOWN($K155*AR$5/100,0)),0)</f>
        <v>0</v>
      </c>
      <c r="AS155" s="38">
        <f>IF(SUMIFS(AS$10:AS154,$A$10:$A154,$A155)-ROUNDDOWN($K155*$S155/100,0)&lt;-$S155*1000,-$S155*1000-SUMIFS(AS$10:AS154,$A$10:$A154,$A155),-ROUNDDOWN($K155*$S155/100,0))</f>
        <v>0</v>
      </c>
      <c r="AT155" s="38">
        <f>IF(AND(X155="○",$A155&gt;=AT$8,$A155&lt;=AT$9,K155&gt;=3980),IF(SUM(AT$10:AT154)-ROUNDDOWN($K155*AT$5/100,0)&lt;-AT$6,-AT$6-SUM(AT$10:AT154),-ROUNDDOWN($K155*AT$5/100,0)),0)</f>
        <v>0</v>
      </c>
      <c r="AU155" s="38">
        <f>IF(O155="○",IF(SUM(AU$10:AU154)-ROUNDDOWN($K155*AU$5/100,0)&lt;-AU$6,-AU$6-SUM(AU$10:AU154),-ROUNDDOWN($K155*AU$5/100,0)),0)</f>
        <v>0</v>
      </c>
      <c r="AV155" s="38">
        <f>IF(P155="○",IF(SUM(AV$10:AV154)-ROUNDDOWN($K155*AV$5/100,0)&lt;-AV$6,-AV$6-SUM(AV$10:AV154),-ROUNDDOWN($K155*AV$5/100,0)),0)</f>
        <v>0</v>
      </c>
      <c r="AW155" s="38">
        <f>IF(Q155="○",IF(SUM(AW$10:AW154)-ROUNDDOWN($K155*AW$5/100,0)&lt;-AW$6,-AW$6-SUM(AW$10:AW154),-ROUNDDOWN($K155*AW$5/100,0)),0)</f>
        <v>0</v>
      </c>
      <c r="AX155" s="38">
        <f>IF(R155="○",IF(SUM(AX$10:AX154)-ROUNDDOWN($K155*AX$5/100,0)&lt;-AX$6,-AX$6-SUM(AX$10:AX154),-ROUNDDOWN($K155*AX$5/100,0)),0)</f>
        <v>0</v>
      </c>
      <c r="AY155" s="70">
        <v>0</v>
      </c>
      <c r="AZ155" s="65">
        <f t="shared" si="132"/>
        <v>0</v>
      </c>
      <c r="BA155" s="65">
        <f t="shared" si="133"/>
        <v>0</v>
      </c>
      <c r="BB155" s="70"/>
      <c r="BC155" s="65">
        <f t="shared" si="134"/>
        <v>0</v>
      </c>
      <c r="BD155" s="70">
        <v>0</v>
      </c>
      <c r="BE155" s="65">
        <f t="shared" si="135"/>
        <v>0</v>
      </c>
      <c r="BF155" s="70">
        <v>0</v>
      </c>
      <c r="BG155" s="65">
        <f t="shared" si="136"/>
        <v>0</v>
      </c>
      <c r="BH155" s="70">
        <v>0</v>
      </c>
      <c r="BI155" s="65">
        <f t="shared" si="137"/>
        <v>0</v>
      </c>
      <c r="BJ155" s="38">
        <f>IF(AND(BJ$7="○",$A155&gt;=BJ$8,$A155&lt;=BJ$9),IF(SUM(BJ$10:BJ154)-ROUNDDOWN($M155*BJ$5/100,0)&lt;-BJ$6,-BJ$6-SUM(BJ$10:BJ154),-ROUNDDOWN($M155*BJ$5/100,0)),0)</f>
        <v>0</v>
      </c>
      <c r="BK155" s="38">
        <f>IF(AND(BK$7="○",$A155&gt;=BK$8,$A155&lt;=BK$9),IF(SUM(BK$10:BK154)-ROUNDDOWN($L155*BK$5/100,0)&lt;-BK$6,-BK$6-SUM(BK$10:BK154),-ROUNDDOWN($L155*BK$5/100,0)),0)</f>
        <v>0</v>
      </c>
      <c r="BL155" s="38">
        <f>IF(AND(BL$7="○",$A155&gt;=BL$8,$A155&lt;=BL$9),IF(SUM(BL$10:BL154)-ROUNDDOWN($L155*BL$5/100,0)&lt;-BL$6,-BL$6-SUM(BL$10:BL154),-ROUNDDOWN($L155*BL$5/100,0)),0)</f>
        <v>0</v>
      </c>
      <c r="BM155" s="38">
        <f>IF(AND(BM$7="○",$A155&gt;=BM$8,$A155&lt;=BM$9),IF(SUM(BM$10:BM154)-ROUNDDOWN($M155*BM$5/100,0)&lt;-BM$6,-BM$6-SUM(BM$10:BM154),-ROUNDDOWN($M155*BM$5/100,0)),0)</f>
        <v>0</v>
      </c>
      <c r="BN155" s="38">
        <f>IF(AND(BN$7="○",$A155&gt;=BN$8,$A155&lt;=BN$9),IF(SUM(BN$10:BN154)-ROUNDDOWN($M155*BN$5/100,0)&lt;-BN$6,-BN$6-SUM(BN$10:BN154),-ROUNDDOWN($M155*BN$5/100,0)),0)</f>
        <v>0</v>
      </c>
      <c r="BO155" s="38">
        <f>IF(AND(BO$7="○",$A155&gt;=BO$8,$A155&lt;=BO$9),IF(SUM(BO$10:BO154)-ROUNDDOWN($M155*BO$5/100,0)&lt;-BO$6,-BO$6-SUM(BO$10:BO154),-ROUNDDOWN($M155*BO$5/100,0)),0)</f>
        <v>0</v>
      </c>
      <c r="BP155" s="38">
        <f>IF(AND(BP$7="○",$A155&gt;=BP$8,$A155&lt;=BP$9),IF(SUM(BP$10:BP154)-ROUNDDOWN($M155*BP$5/100,0)&lt;-BP$6,-BP$6-SUM(BP$10:BP154),-ROUNDDOWN($M155*BP$5/100,0)),0)</f>
        <v>0</v>
      </c>
      <c r="BQ155" s="38">
        <f>IF(AND(BQ$7="○",$A155&gt;=BQ$8,$A155&lt;=BQ$9),IF(SUM(BQ$10:BQ154)-ROUNDDOWN($L155*BQ$5/100,0)&lt;-BQ$6,-BQ$6-SUM(BQ$10:BQ154),-ROUNDDOWN($L155*BQ$5/100,0)),0)</f>
        <v>0</v>
      </c>
      <c r="BR155" s="38">
        <f>IF(AND(BR$7="○",$A155&gt;=BR$8,$A155&lt;=BR$9),IF(SUM(BR$10:BR154)-ROUNDDOWN($M155*BR$5/100,0)&lt;-BR$6,-BR$6-SUM(BR$10:BR154),-ROUNDDOWN($M155*BR$5/100,0)),0)</f>
        <v>0</v>
      </c>
      <c r="BS155" s="38">
        <f>IF(AND(BS$7="○",$A155&gt;=BS$8,$A155&lt;=BS$9),IF(SUM(BS$10:BS154)-ROUNDDOWN($M155*BS$5/100,0)&lt;-BS$6,-BS$6-SUM(BS$10:BS154),-ROUNDDOWN($M155*BS$5/100,0)),0)</f>
        <v>0</v>
      </c>
      <c r="BT155" s="38">
        <f>IF(AND(BT$7="○",$A155&gt;=BT$8,$A155&lt;=BT$9),IF(SUM(BT$10:BT154)-ROUNDDOWN($M155*BT$5/100,0)&lt;-BT$6,-BT$6-SUM(BT$10:BT154),-ROUNDDOWN($M155*BT$5/100,0)),0)</f>
        <v>0</v>
      </c>
      <c r="BU155" s="38">
        <f>IF(AND(BU$7="○",$A155&gt;=BU$8,$A155&lt;=BU$9),IF(SUM(BU$10:BU154)-ROUNDDOWN($M155*BU$5/100,0)&lt;-BU$6,-BU$6-SUM(BU$10:BU154),-ROUNDDOWN($M155*BU$5/100,0)),0)</f>
        <v>0</v>
      </c>
      <c r="BV155" s="38">
        <f>IF(AND(BV$7="○",$A155&gt;=BV$8,$A155&lt;=BV$9),IF(SUM(BV$10:BV154)-ROUNDDOWN($M155*BV$5/100,0)&lt;-BV$6,-BV$6-SUM(BV$10:BV154),-ROUNDDOWN($M155*BV$5/100,0)),0)</f>
        <v>0</v>
      </c>
      <c r="BW155" s="38">
        <f>IF(AND(BW$7="○",$A155&gt;=BW$8,$A155&lt;=BW$9),IF(SUM(BW$10:BW154)-ROUNDDOWN($M155*BW$5/100,0)&lt;-BW$6,-BW$6-SUM(BW$10:BW154),-ROUNDDOWN($M155*BW$5/100,0)),0)</f>
        <v>0</v>
      </c>
      <c r="BX155" s="38">
        <f>IF(AND(T155="○",$A155&gt;=BX$8,$A155&lt;=BX$9),IF(SUM(BX$10:BX154)-ROUNDDOWN($K155*BX$5/100,0)&lt;-BX$6,-BX$6-SUM(BX$10:BX154),-ROUNDDOWN($K155*BX$5/100,0)),0)</f>
        <v>0</v>
      </c>
      <c r="BY155" s="38">
        <f>IF(AND(U155="○",$A155&gt;=BY$8,$A155&lt;=BY$9),IF(SUM(BY$10:BY154)-ROUNDDOWN($K155*BY$5/100,0)&lt;-BY$6,-BY$6-SUM(BY$10:BY154),-ROUNDDOWN($K155*BY$5/100,0)),0)</f>
        <v>0</v>
      </c>
      <c r="BZ155" s="38">
        <f>IF(AND(V155="○",$A155&gt;=BZ$8,$A155&lt;=BZ$9),IF(SUM(BZ$10:BZ154)-ROUNDDOWN($K155*BZ$5/100,0)&lt;-BZ$6,-BZ$6-SUM(BZ$10:BZ154),-ROUNDDOWN($K155*BZ$5/100,0)),0)</f>
        <v>0</v>
      </c>
      <c r="CA155" s="38">
        <f>IF(AND(W155="○",$A155&gt;=CA$8,$A155&lt;=CA$9),IF(SUM(CA$10:CA154)-ROUNDDOWN($K155*CA$5/100,0)&lt;-CA$6,-CA$6-SUM(CA$10:CA154),-ROUNDDOWN($K155*CA$5/100,0)),0)</f>
        <v>0</v>
      </c>
      <c r="CB155" s="38"/>
      <c r="CC155" s="38"/>
      <c r="CD155" s="38"/>
      <c r="CE155" s="38"/>
      <c r="CF155" s="38"/>
      <c r="CG155" s="65">
        <f t="shared" si="138"/>
        <v>0</v>
      </c>
      <c r="CH155" s="71">
        <f t="shared" si="139"/>
        <v>0</v>
      </c>
      <c r="CI155" s="1">
        <f t="shared" si="127"/>
        <v>0</v>
      </c>
      <c r="CJ155" s="1"/>
      <c r="CK155" s="79"/>
      <c r="CL155" s="79"/>
      <c r="CM155" s="2"/>
      <c r="CN155" s="2"/>
      <c r="CO155" s="73">
        <f t="shared" si="128"/>
        <v>0</v>
      </c>
      <c r="CP155" s="5">
        <f t="shared" si="129"/>
        <v>0</v>
      </c>
      <c r="CQ155" s="1"/>
      <c r="CR155" s="1">
        <f t="shared" si="130"/>
        <v>0</v>
      </c>
      <c r="CS155" s="1"/>
      <c r="CT155" s="1" t="e">
        <f>INDEX([2]マスタ!$A:$A,MATCH(D155,[2]マスタ!$C:$C,0))</f>
        <v>#N/A</v>
      </c>
      <c r="CU155" s="1" t="str">
        <f t="shared" ca="1" si="131"/>
        <v>20260620_0-0</v>
      </c>
    </row>
    <row r="156" spans="1:99" x14ac:dyDescent="0.4">
      <c r="A156" s="61"/>
      <c r="B156" s="62"/>
      <c r="C156" s="62"/>
      <c r="D156" s="62"/>
      <c r="E156" s="63"/>
      <c r="F156" s="62"/>
      <c r="G156" s="62">
        <v>1</v>
      </c>
      <c r="H156" s="64">
        <f t="shared" si="118"/>
        <v>0</v>
      </c>
      <c r="I156" s="64"/>
      <c r="J156" s="64"/>
      <c r="K156" s="65">
        <f t="shared" ref="K156:K165" si="142">+ROUNDDOWN((H156+I156+J156)/100,0)*100</f>
        <v>0</v>
      </c>
      <c r="L156" s="65">
        <f t="shared" si="120"/>
        <v>0</v>
      </c>
      <c r="M156" s="65">
        <f t="shared" si="121"/>
        <v>0</v>
      </c>
      <c r="N156" s="65">
        <f t="shared" si="122"/>
        <v>0</v>
      </c>
      <c r="O156" s="66" t="str">
        <f t="shared" si="123"/>
        <v>✕</v>
      </c>
      <c r="P156" s="67" t="str">
        <f t="shared" si="124"/>
        <v>○</v>
      </c>
      <c r="Q156" s="67" t="str">
        <f t="shared" ref="Q156:Q165" si="143">+IF((TEXT(A156,"DD")+0)=1,"○","✕")</f>
        <v>✕</v>
      </c>
      <c r="R156" s="67" t="str">
        <f t="shared" si="126"/>
        <v>✕</v>
      </c>
      <c r="S156" s="68">
        <v>0</v>
      </c>
      <c r="T156" s="69" t="s">
        <v>85</v>
      </c>
      <c r="U156" s="69" t="s">
        <v>85</v>
      </c>
      <c r="V156" s="69" t="s">
        <v>85</v>
      </c>
      <c r="W156" s="69" t="s">
        <v>85</v>
      </c>
      <c r="X156" s="69" t="s">
        <v>84</v>
      </c>
      <c r="Y156" s="69" t="s">
        <v>85</v>
      </c>
      <c r="Z156" s="69" t="s">
        <v>85</v>
      </c>
      <c r="AA156" s="69" t="s">
        <v>85</v>
      </c>
      <c r="AB156" s="69" t="s">
        <v>85</v>
      </c>
      <c r="AC156" s="69" t="s">
        <v>85</v>
      </c>
      <c r="AD156" s="38" t="str">
        <f>+IF(ISERROR(VLOOKUP($B156,AD$10:AD155,1,0)),IF(AND($N156&gt;=1000,$A156&gt;=AO$8,$A156&lt;=AO$9),$B156,""),"")</f>
        <v/>
      </c>
      <c r="AE156" s="38" t="str">
        <f>+IF(ISERROR(VLOOKUP($B156,AE$10:AE155,1,0)),IF(AND($N156&gt;=1000,$A156&gt;=AP$8,$A156&lt;=AP$9),$B156,""),"")</f>
        <v/>
      </c>
      <c r="AF156" s="38" t="str">
        <f>+IF(ISERROR(VLOOKUP($B156,AF$10:AF155,1,0)),IF(AND($N156&gt;=1000,$A156&gt;=AQ$8,$A156&lt;=AQ$9),$B156,""),"")</f>
        <v/>
      </c>
      <c r="AG156" s="38" t="str">
        <f>+IF(ISERROR(VLOOKUP($B156,AG$10:AG155,1,0)),IF(AND($N156&gt;=1000,$A156&gt;=AR$8,$A156&lt;=AR$9),$B156,""),"")</f>
        <v/>
      </c>
      <c r="AH156" s="38"/>
      <c r="AI156" s="70">
        <v>0</v>
      </c>
      <c r="AJ156" s="38">
        <f>IF(AND(AJ$7="○",$A156&gt;=AJ$8,$A156&lt;=AJ$9),IF(SUM(AJ$10:AJ155)-ROUNDDOWN($K156*AJ$5/100,0)&lt;-AJ$6,-AJ$6-SUM(AJ$10:AJ155),-ROUNDDOWN($K156*AJ$5/100,0)),0)</f>
        <v>0</v>
      </c>
      <c r="AK156" s="38">
        <f>IF(AND(AK$7="○",$A156&gt;=AK$8,$A156&lt;=AK$9),IF(SUM(AK$10:AK155)-ROUNDDOWN($L156*AK$5/100,0)&lt;-AK$6,-AK$6-SUM(AK$10:AK155),-ROUNDDOWN($L156*AK$5/100,0)),0)</f>
        <v>0</v>
      </c>
      <c r="AL156" s="38">
        <f>IF(AND(AL$7="○",$A156&gt;=AL$8,$A156&lt;=AL$9),IF(SUM(AL$10:AL155)-ROUNDDOWN($N156*AL$5/100,0)&lt;-AL$6,-AL$6-SUM(AL$10:AL155),-ROUNDDOWN($N156*AL$5/100,0)),0)</f>
        <v>0</v>
      </c>
      <c r="AM156" s="38">
        <f>IF(AND(AM$7="○",$A156&gt;=AM$8,$A156&lt;=AM$9),IF(SUM(AM$10:AM155)-ROUNDDOWN($L156*AM$5/100,0)&lt;-AM$6,-AM$6-SUM(AM$10:AM155),-ROUNDDOWN($L156*AM$5/100,0)),0)</f>
        <v>0</v>
      </c>
      <c r="AN156" s="38">
        <f>IF(AND(AN$7="○",$A156&gt;=AN$8,$A156&lt;=AN$9),IF(SUM(AN$10:AN155)-ROUNDDOWN($M156*AN$5/100,0)&lt;-AN$6,-AN$6-SUM(AN$10:AN155),-ROUNDDOWN($M156*AN$5/100,0)),0)</f>
        <v>0</v>
      </c>
      <c r="AO156" s="38">
        <f>IF(AND($A156&gt;=AO$8,$A156&lt;=AO$9),IF(SUM(AO$10:AO155)-ROUNDDOWN($K156*AO$5/100,0)&lt;-AO$6,-AO$6-SUM(AO$10:AO155),-ROUNDDOWN($K156*AO$5/100,0)),0)</f>
        <v>0</v>
      </c>
      <c r="AP156" s="38">
        <f>IF(AND($A156&gt;=AP$8,$A156&lt;=AP$9),IF(SUM(AP$10:AP155)-ROUNDDOWN($K156*AP$5/100,0)&lt;-AP$6,-AP$6-SUM(AP$10:AP155),-ROUNDDOWN($K156*AP$5/100,0)),0)</f>
        <v>0</v>
      </c>
      <c r="AQ156" s="38">
        <f>IF(AND($A156&gt;=AQ$8,$A156&lt;=AQ$9),IF(SUM(AQ$10:AQ155)-ROUNDDOWN($K156*AQ$5/100,0)&lt;-AQ$6,-AQ$6-SUM(AQ$10:AQ155),-ROUNDDOWN($K156*AQ$5/100,0)),0)</f>
        <v>0</v>
      </c>
      <c r="AR156" s="38">
        <f>IF(AND($A156&gt;=AR$8,$A156&lt;=AR$9),IF(SUM(AR$10:AR155)-ROUNDDOWN($K156*AR$5/100,0)&lt;-AR$6,-AR$6-SUM(AR$10:AR155),-ROUNDDOWN($K156*AR$5/100,0)),0)</f>
        <v>0</v>
      </c>
      <c r="AS156" s="38">
        <f>IF(SUMIFS(AS$10:AS155,$A$10:$A155,$A156)-ROUNDDOWN($K156*$S156/100,0)&lt;-$S156*1000,-$S156*1000-SUMIFS(AS$10:AS155,$A$10:$A155,$A156),-ROUNDDOWN($K156*$S156/100,0))</f>
        <v>0</v>
      </c>
      <c r="AT156" s="38">
        <f>IF(AND(X156="○",$A156&gt;=AT$8,$A156&lt;=AT$9,K156&gt;=3980),IF(SUM(AT$10:AT155)-ROUNDDOWN($K156*AT$5/100,0)&lt;-AT$6,-AT$6-SUM(AT$10:AT155),-ROUNDDOWN($K156*AT$5/100,0)),0)</f>
        <v>0</v>
      </c>
      <c r="AU156" s="38">
        <f>IF(O156="○",IF(SUM(AU$10:AU155)-ROUNDDOWN($K156*AU$5/100,0)&lt;-AU$6,-AU$6-SUM(AU$10:AU155),-ROUNDDOWN($K156*AU$5/100,0)),0)</f>
        <v>0</v>
      </c>
      <c r="AV156" s="38">
        <f>IF(P156="○",IF(SUM(AV$10:AV155)-ROUNDDOWN($K156*AV$5/100,0)&lt;-AV$6,-AV$6-SUM(AV$10:AV155),-ROUNDDOWN($K156*AV$5/100,0)),0)</f>
        <v>0</v>
      </c>
      <c r="AW156" s="38">
        <f>IF(Q156="○",IF(SUM(AW$10:AW155)-ROUNDDOWN($K156*AW$5/100,0)&lt;-AW$6,-AW$6-SUM(AW$10:AW155),-ROUNDDOWN($K156*AW$5/100,0)),0)</f>
        <v>0</v>
      </c>
      <c r="AX156" s="38">
        <f>IF(R156="○",IF(SUM(AX$10:AX155)-ROUNDDOWN($K156*AX$5/100,0)&lt;-AX$6,-AX$6-SUM(AX$10:AX155),-ROUNDDOWN($K156*AX$5/100,0)),0)</f>
        <v>0</v>
      </c>
      <c r="AY156" s="70">
        <v>0</v>
      </c>
      <c r="AZ156" s="65">
        <f t="shared" si="132"/>
        <v>0</v>
      </c>
      <c r="BA156" s="65">
        <f t="shared" si="133"/>
        <v>0</v>
      </c>
      <c r="BB156" s="70"/>
      <c r="BC156" s="65">
        <f t="shared" si="134"/>
        <v>0</v>
      </c>
      <c r="BD156" s="70">
        <v>0</v>
      </c>
      <c r="BE156" s="65">
        <f t="shared" si="135"/>
        <v>0</v>
      </c>
      <c r="BF156" s="70">
        <v>0</v>
      </c>
      <c r="BG156" s="65">
        <f t="shared" si="136"/>
        <v>0</v>
      </c>
      <c r="BH156" s="70">
        <v>0</v>
      </c>
      <c r="BI156" s="65">
        <f t="shared" si="137"/>
        <v>0</v>
      </c>
      <c r="BJ156" s="38">
        <f>IF(AND(BJ$7="○",$A156&gt;=BJ$8,$A156&lt;=BJ$9),IF(SUM(BJ$10:BJ155)-ROUNDDOWN($M156*BJ$5/100,0)&lt;-BJ$6,-BJ$6-SUM(BJ$10:BJ155),-ROUNDDOWN($M156*BJ$5/100,0)),0)</f>
        <v>0</v>
      </c>
      <c r="BK156" s="38">
        <f>IF(AND(BK$7="○",$A156&gt;=BK$8,$A156&lt;=BK$9),IF(SUM(BK$10:BK155)-ROUNDDOWN($L156*BK$5/100,0)&lt;-BK$6,-BK$6-SUM(BK$10:BK155),-ROUNDDOWN($L156*BK$5/100,0)),0)</f>
        <v>0</v>
      </c>
      <c r="BL156" s="38">
        <f>IF(AND(BL$7="○",$A156&gt;=BL$8,$A156&lt;=BL$9),IF(SUM(BL$10:BL155)-ROUNDDOWN($L156*BL$5/100,0)&lt;-BL$6,-BL$6-SUM(BL$10:BL155),-ROUNDDOWN($L156*BL$5/100,0)),0)</f>
        <v>0</v>
      </c>
      <c r="BM156" s="38">
        <f>IF(AND(BM$7="○",$A156&gt;=BM$8,$A156&lt;=BM$9),IF(SUM(BM$10:BM155)-ROUNDDOWN($M156*BM$5/100,0)&lt;-BM$6,-BM$6-SUM(BM$10:BM155),-ROUNDDOWN($M156*BM$5/100,0)),0)</f>
        <v>0</v>
      </c>
      <c r="BN156" s="38">
        <f>IF(AND(BN$7="○",$A156&gt;=BN$8,$A156&lt;=BN$9),IF(SUM(BN$10:BN155)-ROUNDDOWN($M156*BN$5/100,0)&lt;-BN$6,-BN$6-SUM(BN$10:BN155),-ROUNDDOWN($M156*BN$5/100,0)),0)</f>
        <v>0</v>
      </c>
      <c r="BO156" s="38">
        <f>IF(AND(BO$7="○",$A156&gt;=BO$8,$A156&lt;=BO$9),IF(SUM(BO$10:BO155)-ROUNDDOWN($M156*BO$5/100,0)&lt;-BO$6,-BO$6-SUM(BO$10:BO155),-ROUNDDOWN($M156*BO$5/100,0)),0)</f>
        <v>0</v>
      </c>
      <c r="BP156" s="38">
        <f>IF(AND(BP$7="○",$A156&gt;=BP$8,$A156&lt;=BP$9),IF(SUM(BP$10:BP155)-ROUNDDOWN($M156*BP$5/100,0)&lt;-BP$6,-BP$6-SUM(BP$10:BP155),-ROUNDDOWN($M156*BP$5/100,0)),0)</f>
        <v>0</v>
      </c>
      <c r="BQ156" s="38">
        <f>IF(AND(BQ$7="○",$A156&gt;=BQ$8,$A156&lt;=BQ$9),IF(SUM(BQ$10:BQ155)-ROUNDDOWN($L156*BQ$5/100,0)&lt;-BQ$6,-BQ$6-SUM(BQ$10:BQ155),-ROUNDDOWN($L156*BQ$5/100,0)),0)</f>
        <v>0</v>
      </c>
      <c r="BR156" s="38">
        <f>IF(AND(BR$7="○",$A156&gt;=BR$8,$A156&lt;=BR$9),IF(SUM(BR$10:BR155)-ROUNDDOWN($M156*BR$5/100,0)&lt;-BR$6,-BR$6-SUM(BR$10:BR155),-ROUNDDOWN($M156*BR$5/100,0)),0)</f>
        <v>0</v>
      </c>
      <c r="BS156" s="38">
        <f>IF(AND(BS$7="○",$A156&gt;=BS$8,$A156&lt;=BS$9),IF(SUM(BS$10:BS155)-ROUNDDOWN($M156*BS$5/100,0)&lt;-BS$6,-BS$6-SUM(BS$10:BS155),-ROUNDDOWN($M156*BS$5/100,0)),0)</f>
        <v>0</v>
      </c>
      <c r="BT156" s="38">
        <f>IF(AND(BT$7="○",$A156&gt;=BT$8,$A156&lt;=BT$9),IF(SUM(BT$10:BT155)-ROUNDDOWN($M156*BT$5/100,0)&lt;-BT$6,-BT$6-SUM(BT$10:BT155),-ROUNDDOWN($M156*BT$5/100,0)),0)</f>
        <v>0</v>
      </c>
      <c r="BU156" s="38">
        <f>IF(AND(BU$7="○",$A156&gt;=BU$8,$A156&lt;=BU$9),IF(SUM(BU$10:BU155)-ROUNDDOWN($M156*BU$5/100,0)&lt;-BU$6,-BU$6-SUM(BU$10:BU155),-ROUNDDOWN($M156*BU$5/100,0)),0)</f>
        <v>0</v>
      </c>
      <c r="BV156" s="38">
        <f>IF(AND(BV$7="○",$A156&gt;=BV$8,$A156&lt;=BV$9),IF(SUM(BV$10:BV155)-ROUNDDOWN($M156*BV$5/100,0)&lt;-BV$6,-BV$6-SUM(BV$10:BV155),-ROUNDDOWN($M156*BV$5/100,0)),0)</f>
        <v>0</v>
      </c>
      <c r="BW156" s="38">
        <f>IF(AND(BW$7="○",$A156&gt;=BW$8,$A156&lt;=BW$9),IF(SUM(BW$10:BW155)-ROUNDDOWN($M156*BW$5/100,0)&lt;-BW$6,-BW$6-SUM(BW$10:BW155),-ROUNDDOWN($M156*BW$5/100,0)),0)</f>
        <v>0</v>
      </c>
      <c r="BX156" s="38">
        <f>IF(AND(T156="○",$A156&gt;=BX$8,$A156&lt;=BX$9),IF(SUM(BX$10:BX155)-ROUNDDOWN($K156*BX$5/100,0)&lt;-BX$6,-BX$6-SUM(BX$10:BX155),-ROUNDDOWN($K156*BX$5/100,0)),0)</f>
        <v>0</v>
      </c>
      <c r="BY156" s="38">
        <f>IF(AND(U156="○",$A156&gt;=BY$8,$A156&lt;=BY$9),IF(SUM(BY$10:BY155)-ROUNDDOWN($K156*BY$5/100,0)&lt;-BY$6,-BY$6-SUM(BY$10:BY155),-ROUNDDOWN($K156*BY$5/100,0)),0)</f>
        <v>0</v>
      </c>
      <c r="BZ156" s="38">
        <f>IF(AND(V156="○",$A156&gt;=BZ$8,$A156&lt;=BZ$9),IF(SUM(BZ$10:BZ155)-ROUNDDOWN($K156*BZ$5/100,0)&lt;-BZ$6,-BZ$6-SUM(BZ$10:BZ155),-ROUNDDOWN($K156*BZ$5/100,0)),0)</f>
        <v>0</v>
      </c>
      <c r="CA156" s="38">
        <f>IF(AND(W156="○",$A156&gt;=CA$8,$A156&lt;=CA$9),IF(SUM(CA$10:CA155)-ROUNDDOWN($K156*CA$5/100,0)&lt;-CA$6,-CA$6-SUM(CA$10:CA155),-ROUNDDOWN($K156*CA$5/100,0)),0)</f>
        <v>0</v>
      </c>
      <c r="CB156" s="38"/>
      <c r="CC156" s="38"/>
      <c r="CD156" s="38"/>
      <c r="CE156" s="38"/>
      <c r="CF156" s="38"/>
      <c r="CG156" s="65">
        <f t="shared" si="138"/>
        <v>0</v>
      </c>
      <c r="CH156" s="71">
        <f t="shared" si="139"/>
        <v>0</v>
      </c>
      <c r="CI156" s="1">
        <f t="shared" si="127"/>
        <v>0</v>
      </c>
      <c r="CJ156" s="1"/>
      <c r="CK156" s="72"/>
      <c r="CL156" s="72"/>
      <c r="CM156" s="2"/>
      <c r="CN156" s="2"/>
      <c r="CO156" s="73">
        <f t="shared" si="128"/>
        <v>0</v>
      </c>
      <c r="CP156" s="5">
        <f t="shared" si="129"/>
        <v>0</v>
      </c>
      <c r="CQ156" s="1"/>
      <c r="CR156" s="1">
        <f t="shared" si="130"/>
        <v>0</v>
      </c>
      <c r="CS156" s="1"/>
      <c r="CT156" s="1" t="e">
        <f>INDEX([2]マスタ!$A:$A,MATCH(D156,[2]マスタ!$C:$C,0))</f>
        <v>#N/A</v>
      </c>
      <c r="CU156" s="1" t="str">
        <f t="shared" ca="1" si="131"/>
        <v>20260620_0-0</v>
      </c>
    </row>
    <row r="157" spans="1:99" x14ac:dyDescent="0.4">
      <c r="A157" s="61"/>
      <c r="B157" s="62"/>
      <c r="C157" s="62"/>
      <c r="D157" s="62"/>
      <c r="E157" s="63"/>
      <c r="F157" s="62"/>
      <c r="G157" s="62">
        <v>1</v>
      </c>
      <c r="H157" s="64">
        <f t="shared" si="118"/>
        <v>0</v>
      </c>
      <c r="I157" s="64"/>
      <c r="J157" s="64"/>
      <c r="K157" s="65">
        <f t="shared" si="142"/>
        <v>0</v>
      </c>
      <c r="L157" s="65">
        <f t="shared" si="120"/>
        <v>0</v>
      </c>
      <c r="M157" s="65">
        <f t="shared" si="121"/>
        <v>0</v>
      </c>
      <c r="N157" s="65">
        <f t="shared" si="122"/>
        <v>0</v>
      </c>
      <c r="O157" s="66" t="str">
        <f t="shared" si="123"/>
        <v>✕</v>
      </c>
      <c r="P157" s="67" t="str">
        <f t="shared" si="124"/>
        <v>○</v>
      </c>
      <c r="Q157" s="67" t="str">
        <f t="shared" si="143"/>
        <v>✕</v>
      </c>
      <c r="R157" s="67" t="str">
        <f t="shared" si="126"/>
        <v>✕</v>
      </c>
      <c r="S157" s="68">
        <v>0</v>
      </c>
      <c r="T157" s="69" t="s">
        <v>85</v>
      </c>
      <c r="U157" s="69" t="s">
        <v>85</v>
      </c>
      <c r="V157" s="69" t="s">
        <v>85</v>
      </c>
      <c r="W157" s="69" t="s">
        <v>85</v>
      </c>
      <c r="X157" s="69" t="s">
        <v>84</v>
      </c>
      <c r="Y157" s="69" t="s">
        <v>85</v>
      </c>
      <c r="Z157" s="69" t="s">
        <v>85</v>
      </c>
      <c r="AA157" s="69" t="s">
        <v>85</v>
      </c>
      <c r="AB157" s="69" t="s">
        <v>85</v>
      </c>
      <c r="AC157" s="69" t="s">
        <v>85</v>
      </c>
      <c r="AD157" s="38" t="str">
        <f>+IF(ISERROR(VLOOKUP($B157,AD$10:AD156,1,0)),IF(AND($N157&gt;=1000,$A157&gt;=AO$8,$A157&lt;=AO$9),$B157,""),"")</f>
        <v/>
      </c>
      <c r="AE157" s="38" t="str">
        <f>+IF(ISERROR(VLOOKUP($B157,AE$10:AE156,1,0)),IF(AND($N157&gt;=1000,$A157&gt;=AP$8,$A157&lt;=AP$9),$B157,""),"")</f>
        <v/>
      </c>
      <c r="AF157" s="38" t="str">
        <f>+IF(ISERROR(VLOOKUP($B157,AF$10:AF156,1,0)),IF(AND($N157&gt;=1000,$A157&gt;=AQ$8,$A157&lt;=AQ$9),$B157,""),"")</f>
        <v/>
      </c>
      <c r="AG157" s="38" t="str">
        <f>+IF(ISERROR(VLOOKUP($B157,AG$10:AG156,1,0)),IF(AND($N157&gt;=1000,$A157&gt;=AR$8,$A157&lt;=AR$9),$B157,""),"")</f>
        <v/>
      </c>
      <c r="AH157" s="38"/>
      <c r="AI157" s="70">
        <v>0</v>
      </c>
      <c r="AJ157" s="38">
        <f>IF(AND(AJ$7="○",$A157&gt;=AJ$8,$A157&lt;=AJ$9),IF(SUM(AJ$10:AJ156)-ROUNDDOWN($K157*AJ$5/100,0)&lt;-AJ$6,-AJ$6-SUM(AJ$10:AJ156),-ROUNDDOWN($K157*AJ$5/100,0)),0)</f>
        <v>0</v>
      </c>
      <c r="AK157" s="38">
        <f>IF(AND(AK$7="○",$A157&gt;=AK$8,$A157&lt;=AK$9),IF(SUM(AK$10:AK156)-ROUNDDOWN($L157*AK$5/100,0)&lt;-AK$6,-AK$6-SUM(AK$10:AK156),-ROUNDDOWN($L157*AK$5/100,0)),0)</f>
        <v>0</v>
      </c>
      <c r="AL157" s="38">
        <f>IF(AND(AL$7="○",$A157&gt;=AL$8,$A157&lt;=AL$9),IF(SUM(AL$10:AL156)-ROUNDDOWN($N157*AL$5/100,0)&lt;-AL$6,-AL$6-SUM(AL$10:AL156),-ROUNDDOWN($N157*AL$5/100,0)),0)</f>
        <v>0</v>
      </c>
      <c r="AM157" s="38">
        <f>IF(AND(AM$7="○",$A157&gt;=AM$8,$A157&lt;=AM$9),IF(SUM(AM$10:AM156)-ROUNDDOWN($L157*AM$5/100,0)&lt;-AM$6,-AM$6-SUM(AM$10:AM156),-ROUNDDOWN($L157*AM$5/100,0)),0)</f>
        <v>0</v>
      </c>
      <c r="AN157" s="38">
        <f>IF(AND(AN$7="○",$A157&gt;=AN$8,$A157&lt;=AN$9),IF(SUM(AN$10:AN156)-ROUNDDOWN($M157*AN$5/100,0)&lt;-AN$6,-AN$6-SUM(AN$10:AN156),-ROUNDDOWN($M157*AN$5/100,0)),0)</f>
        <v>0</v>
      </c>
      <c r="AO157" s="38">
        <f>IF(AND($A157&gt;=AO$8,$A157&lt;=AO$9),IF(SUM(AO$10:AO156)-ROUNDDOWN($K157*AO$5/100,0)&lt;-AO$6,-AO$6-SUM(AO$10:AO156),-ROUNDDOWN($K157*AO$5/100,0)),0)</f>
        <v>0</v>
      </c>
      <c r="AP157" s="38">
        <f>IF(AND($A157&gt;=AP$8,$A157&lt;=AP$9),IF(SUM(AP$10:AP156)-ROUNDDOWN($K157*AP$5/100,0)&lt;-AP$6,-AP$6-SUM(AP$10:AP156),-ROUNDDOWN($K157*AP$5/100,0)),0)</f>
        <v>0</v>
      </c>
      <c r="AQ157" s="38">
        <f>IF(AND($A157&gt;=AQ$8,$A157&lt;=AQ$9),IF(SUM(AQ$10:AQ156)-ROUNDDOWN($K157*AQ$5/100,0)&lt;-AQ$6,-AQ$6-SUM(AQ$10:AQ156),-ROUNDDOWN($K157*AQ$5/100,0)),0)</f>
        <v>0</v>
      </c>
      <c r="AR157" s="38">
        <f>IF(AND($A157&gt;=AR$8,$A157&lt;=AR$9),IF(SUM(AR$10:AR156)-ROUNDDOWN($K157*AR$5/100,0)&lt;-AR$6,-AR$6-SUM(AR$10:AR156),-ROUNDDOWN($K157*AR$5/100,0)),0)</f>
        <v>0</v>
      </c>
      <c r="AS157" s="38">
        <f>IF(SUMIFS(AS$10:AS156,$A$10:$A156,$A157)-ROUNDDOWN($K157*$S157/100,0)&lt;-$S157*1000,-$S157*1000-SUMIFS(AS$10:AS156,$A$10:$A156,$A157),-ROUNDDOWN($K157*$S157/100,0))</f>
        <v>0</v>
      </c>
      <c r="AT157" s="38">
        <f>IF(AND(X157="○",$A157&gt;=AT$8,$A157&lt;=AT$9,K157&gt;=3980),IF(SUM(AT$10:AT156)-ROUNDDOWN($K157*AT$5/100,0)&lt;-AT$6,-AT$6-SUM(AT$10:AT156),-ROUNDDOWN($K157*AT$5/100,0)),0)</f>
        <v>0</v>
      </c>
      <c r="AU157" s="38">
        <f>IF(O157="○",IF(SUM(AU$10:AU156)-ROUNDDOWN($K157*AU$5/100,0)&lt;-AU$6,-AU$6-SUM(AU$10:AU156),-ROUNDDOWN($K157*AU$5/100,0)),0)</f>
        <v>0</v>
      </c>
      <c r="AV157" s="38">
        <f>IF(P157="○",IF(SUM(AV$10:AV156)-ROUNDDOWN($K157*AV$5/100,0)&lt;-AV$6,-AV$6-SUM(AV$10:AV156),-ROUNDDOWN($K157*AV$5/100,0)),0)</f>
        <v>0</v>
      </c>
      <c r="AW157" s="38">
        <f>IF(Q157="○",IF(SUM(AW$10:AW156)-ROUNDDOWN($K157*AW$5/100,0)&lt;-AW$6,-AW$6-SUM(AW$10:AW156),-ROUNDDOWN($K157*AW$5/100,0)),0)</f>
        <v>0</v>
      </c>
      <c r="AX157" s="38">
        <f>IF(R157="○",IF(SUM(AX$10:AX156)-ROUNDDOWN($K157*AX$5/100,0)&lt;-AX$6,-AX$6-SUM(AX$10:AX156),-ROUNDDOWN($K157*AX$5/100,0)),0)</f>
        <v>0</v>
      </c>
      <c r="AY157" s="70">
        <v>0</v>
      </c>
      <c r="AZ157" s="65">
        <f t="shared" si="132"/>
        <v>0</v>
      </c>
      <c r="BA157" s="65">
        <f t="shared" si="133"/>
        <v>0</v>
      </c>
      <c r="BB157" s="70"/>
      <c r="BC157" s="65">
        <f t="shared" si="134"/>
        <v>0</v>
      </c>
      <c r="BD157" s="70">
        <v>0</v>
      </c>
      <c r="BE157" s="65">
        <f t="shared" si="135"/>
        <v>0</v>
      </c>
      <c r="BF157" s="70">
        <v>0</v>
      </c>
      <c r="BG157" s="65">
        <f t="shared" si="136"/>
        <v>0</v>
      </c>
      <c r="BH157" s="70">
        <v>0</v>
      </c>
      <c r="BI157" s="65">
        <f t="shared" si="137"/>
        <v>0</v>
      </c>
      <c r="BJ157" s="38">
        <f>IF(AND(BJ$7="○",$A157&gt;=BJ$8,$A157&lt;=BJ$9),IF(SUM(BJ$10:BJ156)-ROUNDDOWN($M157*BJ$5/100,0)&lt;-BJ$6,-BJ$6-SUM(BJ$10:BJ156),-ROUNDDOWN($M157*BJ$5/100,0)),0)</f>
        <v>0</v>
      </c>
      <c r="BK157" s="38">
        <f>IF(AND(BK$7="○",$A157&gt;=BK$8,$A157&lt;=BK$9),IF(SUM(BK$10:BK156)-ROUNDDOWN($L157*BK$5/100,0)&lt;-BK$6,-BK$6-SUM(BK$10:BK156),-ROUNDDOWN($L157*BK$5/100,0)),0)</f>
        <v>0</v>
      </c>
      <c r="BL157" s="38">
        <f>IF(AND(BL$7="○",$A157&gt;=BL$8,$A157&lt;=BL$9),IF(SUM(BL$10:BL156)-ROUNDDOWN($L157*BL$5/100,0)&lt;-BL$6,-BL$6-SUM(BL$10:BL156),-ROUNDDOWN($L157*BL$5/100,0)),0)</f>
        <v>0</v>
      </c>
      <c r="BM157" s="38">
        <f>IF(AND(BM$7="○",$A157&gt;=BM$8,$A157&lt;=BM$9),IF(SUM(BM$10:BM156)-ROUNDDOWN($M157*BM$5/100,0)&lt;-BM$6,-BM$6-SUM(BM$10:BM156),-ROUNDDOWN($M157*BM$5/100,0)),0)</f>
        <v>0</v>
      </c>
      <c r="BN157" s="38">
        <f>IF(AND(BN$7="○",$A157&gt;=BN$8,$A157&lt;=BN$9),IF(SUM(BN$10:BN156)-ROUNDDOWN($M157*BN$5/100,0)&lt;-BN$6,-BN$6-SUM(BN$10:BN156),-ROUNDDOWN($M157*BN$5/100,0)),0)</f>
        <v>0</v>
      </c>
      <c r="BO157" s="38">
        <f>IF(AND(BO$7="○",$A157&gt;=BO$8,$A157&lt;=BO$9),IF(SUM(BO$10:BO156)-ROUNDDOWN($M157*BO$5/100,0)&lt;-BO$6,-BO$6-SUM(BO$10:BO156),-ROUNDDOWN($M157*BO$5/100,0)),0)</f>
        <v>0</v>
      </c>
      <c r="BP157" s="38">
        <f>IF(AND(BP$7="○",$A157&gt;=BP$8,$A157&lt;=BP$9),IF(SUM(BP$10:BP156)-ROUNDDOWN($M157*BP$5/100,0)&lt;-BP$6,-BP$6-SUM(BP$10:BP156),-ROUNDDOWN($M157*BP$5/100,0)),0)</f>
        <v>0</v>
      </c>
      <c r="BQ157" s="38">
        <f>IF(AND(BQ$7="○",$A157&gt;=BQ$8,$A157&lt;=BQ$9),IF(SUM(BQ$10:BQ156)-ROUNDDOWN($L157*BQ$5/100,0)&lt;-BQ$6,-BQ$6-SUM(BQ$10:BQ156),-ROUNDDOWN($L157*BQ$5/100,0)),0)</f>
        <v>0</v>
      </c>
      <c r="BR157" s="38">
        <f>IF(AND(BR$7="○",$A157&gt;=BR$8,$A157&lt;=BR$9),IF(SUM(BR$10:BR156)-ROUNDDOWN($M157*BR$5/100,0)&lt;-BR$6,-BR$6-SUM(BR$10:BR156),-ROUNDDOWN($M157*BR$5/100,0)),0)</f>
        <v>0</v>
      </c>
      <c r="BS157" s="38">
        <f>IF(AND(BS$7="○",$A157&gt;=BS$8,$A157&lt;=BS$9),IF(SUM(BS$10:BS156)-ROUNDDOWN($M157*BS$5/100,0)&lt;-BS$6,-BS$6-SUM(BS$10:BS156),-ROUNDDOWN($M157*BS$5/100,0)),0)</f>
        <v>0</v>
      </c>
      <c r="BT157" s="38">
        <f>IF(AND(BT$7="○",$A157&gt;=BT$8,$A157&lt;=BT$9),IF(SUM(BT$10:BT156)-ROUNDDOWN($M157*BT$5/100,0)&lt;-BT$6,-BT$6-SUM(BT$10:BT156),-ROUNDDOWN($M157*BT$5/100,0)),0)</f>
        <v>0</v>
      </c>
      <c r="BU157" s="38">
        <f>IF(AND(BU$7="○",$A157&gt;=BU$8,$A157&lt;=BU$9),IF(SUM(BU$10:BU156)-ROUNDDOWN($M157*BU$5/100,0)&lt;-BU$6,-BU$6-SUM(BU$10:BU156),-ROUNDDOWN($M157*BU$5/100,0)),0)</f>
        <v>0</v>
      </c>
      <c r="BV157" s="38">
        <f>IF(AND(BV$7="○",$A157&gt;=BV$8,$A157&lt;=BV$9),IF(SUM(BV$10:BV156)-ROUNDDOWN($M157*BV$5/100,0)&lt;-BV$6,-BV$6-SUM(BV$10:BV156),-ROUNDDOWN($M157*BV$5/100,0)),0)</f>
        <v>0</v>
      </c>
      <c r="BW157" s="38">
        <f>IF(AND(BW$7="○",$A157&gt;=BW$8,$A157&lt;=BW$9),IF(SUM(BW$10:BW156)-ROUNDDOWN($M157*BW$5/100,0)&lt;-BW$6,-BW$6-SUM(BW$10:BW156),-ROUNDDOWN($M157*BW$5/100,0)),0)</f>
        <v>0</v>
      </c>
      <c r="BX157" s="38">
        <f>IF(AND(T157="○",$A157&gt;=BX$8,$A157&lt;=BX$9),IF(SUM(BX$10:BX156)-ROUNDDOWN($K157*BX$5/100,0)&lt;-BX$6,-BX$6-SUM(BX$10:BX156),-ROUNDDOWN($K157*BX$5/100,0)),0)</f>
        <v>0</v>
      </c>
      <c r="BY157" s="38">
        <f>IF(AND(U157="○",$A157&gt;=BY$8,$A157&lt;=BY$9),IF(SUM(BY$10:BY156)-ROUNDDOWN($K157*BY$5/100,0)&lt;-BY$6,-BY$6-SUM(BY$10:BY156),-ROUNDDOWN($K157*BY$5/100,0)),0)</f>
        <v>0</v>
      </c>
      <c r="BZ157" s="38">
        <f>IF(AND(V157="○",$A157&gt;=BZ$8,$A157&lt;=BZ$9),IF(SUM(BZ$10:BZ156)-ROUNDDOWN($K157*BZ$5/100,0)&lt;-BZ$6,-BZ$6-SUM(BZ$10:BZ156),-ROUNDDOWN($K157*BZ$5/100,0)),0)</f>
        <v>0</v>
      </c>
      <c r="CA157" s="38">
        <f>IF(AND(W157="○",$A157&gt;=CA$8,$A157&lt;=CA$9),IF(SUM(CA$10:CA156)-ROUNDDOWN($K157*CA$5/100,0)&lt;-CA$6,-CA$6-SUM(CA$10:CA156),-ROUNDDOWN($K157*CA$5/100,0)),0)</f>
        <v>0</v>
      </c>
      <c r="CB157" s="38"/>
      <c r="CC157" s="38"/>
      <c r="CD157" s="38"/>
      <c r="CE157" s="38"/>
      <c r="CF157" s="38"/>
      <c r="CG157" s="65">
        <f t="shared" si="138"/>
        <v>0</v>
      </c>
      <c r="CH157" s="71">
        <f t="shared" si="139"/>
        <v>0</v>
      </c>
      <c r="CI157" s="1">
        <f t="shared" si="127"/>
        <v>0</v>
      </c>
      <c r="CJ157" s="1"/>
      <c r="CK157" s="72"/>
      <c r="CL157" s="72"/>
      <c r="CM157" s="2"/>
      <c r="CN157" s="2"/>
      <c r="CO157" s="73">
        <f t="shared" si="128"/>
        <v>0</v>
      </c>
      <c r="CP157" s="5">
        <f t="shared" si="129"/>
        <v>0</v>
      </c>
      <c r="CQ157" s="1"/>
      <c r="CR157" s="1">
        <f t="shared" si="130"/>
        <v>0</v>
      </c>
      <c r="CS157" s="1"/>
      <c r="CT157" s="1" t="e">
        <f>INDEX([2]マスタ!$A:$A,MATCH(D157,[2]マスタ!$C:$C,0))</f>
        <v>#N/A</v>
      </c>
      <c r="CU157" s="1" t="str">
        <f t="shared" ca="1" si="131"/>
        <v>20260620_0-0</v>
      </c>
    </row>
    <row r="158" spans="1:99" x14ac:dyDescent="0.4">
      <c r="A158" s="61"/>
      <c r="B158" s="62"/>
      <c r="C158" s="62"/>
      <c r="D158" s="63"/>
      <c r="E158" s="63"/>
      <c r="F158" s="62"/>
      <c r="G158" s="62">
        <v>1</v>
      </c>
      <c r="H158" s="64">
        <f t="shared" si="118"/>
        <v>0</v>
      </c>
      <c r="I158" s="64"/>
      <c r="J158" s="64"/>
      <c r="K158" s="65">
        <f t="shared" si="142"/>
        <v>0</v>
      </c>
      <c r="L158" s="65">
        <f t="shared" si="120"/>
        <v>0</v>
      </c>
      <c r="M158" s="65">
        <f t="shared" si="121"/>
        <v>0</v>
      </c>
      <c r="N158" s="65">
        <f t="shared" si="122"/>
        <v>0</v>
      </c>
      <c r="O158" s="66" t="str">
        <f t="shared" si="123"/>
        <v>✕</v>
      </c>
      <c r="P158" s="67" t="str">
        <f t="shared" si="124"/>
        <v>○</v>
      </c>
      <c r="Q158" s="67" t="str">
        <f t="shared" si="143"/>
        <v>✕</v>
      </c>
      <c r="R158" s="67" t="str">
        <f t="shared" si="126"/>
        <v>✕</v>
      </c>
      <c r="S158" s="68">
        <v>0</v>
      </c>
      <c r="T158" s="69" t="s">
        <v>85</v>
      </c>
      <c r="U158" s="69" t="s">
        <v>85</v>
      </c>
      <c r="V158" s="69" t="s">
        <v>85</v>
      </c>
      <c r="W158" s="69" t="s">
        <v>85</v>
      </c>
      <c r="X158" s="69" t="s">
        <v>84</v>
      </c>
      <c r="Y158" s="69" t="s">
        <v>85</v>
      </c>
      <c r="Z158" s="69" t="s">
        <v>85</v>
      </c>
      <c r="AA158" s="69" t="s">
        <v>85</v>
      </c>
      <c r="AB158" s="69" t="s">
        <v>85</v>
      </c>
      <c r="AC158" s="69" t="s">
        <v>85</v>
      </c>
      <c r="AD158" s="38" t="str">
        <f>+IF(ISERROR(VLOOKUP($B158,AD$10:AD157,1,0)),IF(AND($N158&gt;=1000,$A158&gt;=AO$8,$A158&lt;=AO$9),$B158,""),"")</f>
        <v/>
      </c>
      <c r="AE158" s="38" t="str">
        <f>+IF(ISERROR(VLOOKUP($B158,AE$10:AE157,1,0)),IF(AND($N158&gt;=1000,$A158&gt;=AP$8,$A158&lt;=AP$9),$B158,""),"")</f>
        <v/>
      </c>
      <c r="AF158" s="38" t="str">
        <f>+IF(ISERROR(VLOOKUP($B158,AF$10:AF157,1,0)),IF(AND($N158&gt;=1000,$A158&gt;=AQ$8,$A158&lt;=AQ$9),$B158,""),"")</f>
        <v/>
      </c>
      <c r="AG158" s="38" t="str">
        <f>+IF(ISERROR(VLOOKUP($B158,AG$10:AG157,1,0)),IF(AND($N158&gt;=1000,$A158&gt;=AR$8,$A158&lt;=AR$9),$B158,""),"")</f>
        <v/>
      </c>
      <c r="AH158" s="38"/>
      <c r="AI158" s="70">
        <v>0</v>
      </c>
      <c r="AJ158" s="38">
        <f>IF(AND(AJ$7="○",$A158&gt;=AJ$8,$A158&lt;=AJ$9),IF(SUM(AJ$10:AJ157)-ROUNDDOWN($K158*AJ$5/100,0)&lt;-AJ$6,-AJ$6-SUM(AJ$10:AJ157),-ROUNDDOWN($K158*AJ$5/100,0)),0)</f>
        <v>0</v>
      </c>
      <c r="AK158" s="38">
        <f>IF(AND(AK$7="○",$A158&gt;=AK$8,$A158&lt;=AK$9),IF(SUM(AK$10:AK157)-ROUNDDOWN($L158*AK$5/100,0)&lt;-AK$6,-AK$6-SUM(AK$10:AK157),-ROUNDDOWN($L158*AK$5/100,0)),0)</f>
        <v>0</v>
      </c>
      <c r="AL158" s="38">
        <f>IF(AND(AL$7="○",$A158&gt;=AL$8,$A158&lt;=AL$9),IF(SUM(AL$10:AL157)-ROUNDDOWN($N158*AL$5/100,0)&lt;-AL$6,-AL$6-SUM(AL$10:AL157),-ROUNDDOWN($N158*AL$5/100,0)),0)</f>
        <v>0</v>
      </c>
      <c r="AM158" s="38">
        <f>IF(AND(AM$7="○",$A158&gt;=AM$8,$A158&lt;=AM$9),IF(SUM(AM$10:AM157)-ROUNDDOWN($L158*AM$5/100,0)&lt;-AM$6,-AM$6-SUM(AM$10:AM157),-ROUNDDOWN($L158*AM$5/100,0)),0)</f>
        <v>0</v>
      </c>
      <c r="AN158" s="38">
        <f>IF(AND(AN$7="○",$A158&gt;=AN$8,$A158&lt;=AN$9),IF(SUM(AN$10:AN157)-ROUNDDOWN($M158*AN$5/100,0)&lt;-AN$6,-AN$6-SUM(AN$10:AN157),-ROUNDDOWN($M158*AN$5/100,0)),0)</f>
        <v>0</v>
      </c>
      <c r="AO158" s="38">
        <f>IF(AND($A158&gt;=AO$8,$A158&lt;=AO$9),IF(SUM(AO$10:AO157)-ROUNDDOWN($K158*AO$5/100,0)&lt;-AO$6,-AO$6-SUM(AO$10:AO157),-ROUNDDOWN($K158*AO$5/100,0)),0)</f>
        <v>0</v>
      </c>
      <c r="AP158" s="38">
        <f>IF(AND($A158&gt;=AP$8,$A158&lt;=AP$9),IF(SUM(AP$10:AP157)-ROUNDDOWN($K158*AP$5/100,0)&lt;-AP$6,-AP$6-SUM(AP$10:AP157),-ROUNDDOWN($K158*AP$5/100,0)),0)</f>
        <v>0</v>
      </c>
      <c r="AQ158" s="38">
        <f>IF(AND($A158&gt;=AQ$8,$A158&lt;=AQ$9),IF(SUM(AQ$10:AQ157)-ROUNDDOWN($K158*AQ$5/100,0)&lt;-AQ$6,-AQ$6-SUM(AQ$10:AQ157),-ROUNDDOWN($K158*AQ$5/100,0)),0)</f>
        <v>0</v>
      </c>
      <c r="AR158" s="38">
        <f>IF(AND($A158&gt;=AR$8,$A158&lt;=AR$9),IF(SUM(AR$10:AR157)-ROUNDDOWN($K158*AR$5/100,0)&lt;-AR$6,-AR$6-SUM(AR$10:AR157),-ROUNDDOWN($K158*AR$5/100,0)),0)</f>
        <v>0</v>
      </c>
      <c r="AS158" s="38">
        <f>IF(SUMIFS(AS$10:AS157,$A$10:$A157,$A158)-ROUNDDOWN($K158*$S158/100,0)&lt;-$S158*1000,-$S158*1000-SUMIFS(AS$10:AS157,$A$10:$A157,$A158),-ROUNDDOWN($K158*$S158/100,0))</f>
        <v>0</v>
      </c>
      <c r="AT158" s="38">
        <f>IF(AND(X158="○",$A158&gt;=AT$8,$A158&lt;=AT$9,K158&gt;=3980),IF(SUM(AT$10:AT157)-ROUNDDOWN($K158*AT$5/100,0)&lt;-AT$6,-AT$6-SUM(AT$10:AT157),-ROUNDDOWN($K158*AT$5/100,0)),0)</f>
        <v>0</v>
      </c>
      <c r="AU158" s="38">
        <f>IF(O158="○",IF(SUM(AU$10:AU157)-ROUNDDOWN($K158*AU$5/100,0)&lt;-AU$6,-AU$6-SUM(AU$10:AU157),-ROUNDDOWN($K158*AU$5/100,0)),0)</f>
        <v>0</v>
      </c>
      <c r="AV158" s="38">
        <f>IF(P158="○",IF(SUM(AV$10:AV157)-ROUNDDOWN($K158*AV$5/100,0)&lt;-AV$6,-AV$6-SUM(AV$10:AV157),-ROUNDDOWN($K158*AV$5/100,0)),0)</f>
        <v>0</v>
      </c>
      <c r="AW158" s="38">
        <f>IF(Q158="○",IF(SUM(AW$10:AW157)-ROUNDDOWN($K158*AW$5/100,0)&lt;-AW$6,-AW$6-SUM(AW$10:AW157),-ROUNDDOWN($K158*AW$5/100,0)),0)</f>
        <v>0</v>
      </c>
      <c r="AX158" s="38">
        <f>IF(R158="○",IF(SUM(AX$10:AX157)-ROUNDDOWN($K158*AX$5/100,0)&lt;-AX$6,-AX$6-SUM(AX$10:AX157),-ROUNDDOWN($K158*AX$5/100,0)),0)</f>
        <v>0</v>
      </c>
      <c r="AY158" s="70">
        <v>0</v>
      </c>
      <c r="AZ158" s="65">
        <f t="shared" si="132"/>
        <v>0</v>
      </c>
      <c r="BA158" s="65">
        <f t="shared" si="133"/>
        <v>0</v>
      </c>
      <c r="BB158" s="70"/>
      <c r="BC158" s="65">
        <f t="shared" si="134"/>
        <v>0</v>
      </c>
      <c r="BD158" s="70">
        <v>0</v>
      </c>
      <c r="BE158" s="65">
        <f t="shared" si="135"/>
        <v>0</v>
      </c>
      <c r="BF158" s="70">
        <v>0</v>
      </c>
      <c r="BG158" s="65">
        <f t="shared" si="136"/>
        <v>0</v>
      </c>
      <c r="BH158" s="70">
        <v>0</v>
      </c>
      <c r="BI158" s="65">
        <f t="shared" si="137"/>
        <v>0</v>
      </c>
      <c r="BJ158" s="38">
        <f>IF(AND(BJ$7="○",$A158&gt;=BJ$8,$A158&lt;=BJ$9),IF(SUM(BJ$10:BJ157)-ROUNDDOWN($M158*BJ$5/100,0)&lt;-BJ$6,-BJ$6-SUM(BJ$10:BJ157),-ROUNDDOWN($M158*BJ$5/100,0)),0)</f>
        <v>0</v>
      </c>
      <c r="BK158" s="38">
        <f>IF(AND(BK$7="○",$A158&gt;=BK$8,$A158&lt;=BK$9),IF(SUM(BK$10:BK157)-ROUNDDOWN($L158*BK$5/100,0)&lt;-BK$6,-BK$6-SUM(BK$10:BK157),-ROUNDDOWN($L158*BK$5/100,0)),0)</f>
        <v>0</v>
      </c>
      <c r="BL158" s="38">
        <f>IF(AND(BL$7="○",$A158&gt;=BL$8,$A158&lt;=BL$9),IF(SUM(BL$10:BL157)-ROUNDDOWN($L158*BL$5/100,0)&lt;-BL$6,-BL$6-SUM(BL$10:BL157),-ROUNDDOWN($L158*BL$5/100,0)),0)</f>
        <v>0</v>
      </c>
      <c r="BM158" s="38">
        <f>IF(AND(BM$7="○",$A158&gt;=BM$8,$A158&lt;=BM$9),IF(SUM(BM$10:BM157)-ROUNDDOWN($M158*BM$5/100,0)&lt;-BM$6,-BM$6-SUM(BM$10:BM157),-ROUNDDOWN($M158*BM$5/100,0)),0)</f>
        <v>0</v>
      </c>
      <c r="BN158" s="38">
        <f>IF(AND(BN$7="○",$A158&gt;=BN$8,$A158&lt;=BN$9),IF(SUM(BN$10:BN157)-ROUNDDOWN($M158*BN$5/100,0)&lt;-BN$6,-BN$6-SUM(BN$10:BN157),-ROUNDDOWN($M158*BN$5/100,0)),0)</f>
        <v>0</v>
      </c>
      <c r="BO158" s="38">
        <f>IF(AND(BO$7="○",$A158&gt;=BO$8,$A158&lt;=BO$9),IF(SUM(BO$10:BO157)-ROUNDDOWN($M158*BO$5/100,0)&lt;-BO$6,-BO$6-SUM(BO$10:BO157),-ROUNDDOWN($M158*BO$5/100,0)),0)</f>
        <v>0</v>
      </c>
      <c r="BP158" s="38">
        <f>IF(AND(BP$7="○",$A158&gt;=BP$8,$A158&lt;=BP$9),IF(SUM(BP$10:BP157)-ROUNDDOWN($M158*BP$5/100,0)&lt;-BP$6,-BP$6-SUM(BP$10:BP157),-ROUNDDOWN($M158*BP$5/100,0)),0)</f>
        <v>0</v>
      </c>
      <c r="BQ158" s="38">
        <f>IF(AND(BQ$7="○",$A158&gt;=BQ$8,$A158&lt;=BQ$9),IF(SUM(BQ$10:BQ157)-ROUNDDOWN($L158*BQ$5/100,0)&lt;-BQ$6,-BQ$6-SUM(BQ$10:BQ157),-ROUNDDOWN($L158*BQ$5/100,0)),0)</f>
        <v>0</v>
      </c>
      <c r="BR158" s="38">
        <f>IF(AND(BR$7="○",$A158&gt;=BR$8,$A158&lt;=BR$9),IF(SUM(BR$10:BR157)-ROUNDDOWN($M158*BR$5/100,0)&lt;-BR$6,-BR$6-SUM(BR$10:BR157),-ROUNDDOWN($M158*BR$5/100,0)),0)</f>
        <v>0</v>
      </c>
      <c r="BS158" s="38">
        <f>IF(AND(BS$7="○",$A158&gt;=BS$8,$A158&lt;=BS$9),IF(SUM(BS$10:BS157)-ROUNDDOWN($M158*BS$5/100,0)&lt;-BS$6,-BS$6-SUM(BS$10:BS157),-ROUNDDOWN($M158*BS$5/100,0)),0)</f>
        <v>0</v>
      </c>
      <c r="BT158" s="38">
        <f>IF(AND(BT$7="○",$A158&gt;=BT$8,$A158&lt;=BT$9),IF(SUM(BT$10:BT157)-ROUNDDOWN($M158*BT$5/100,0)&lt;-BT$6,-BT$6-SUM(BT$10:BT157),-ROUNDDOWN($M158*BT$5/100,0)),0)</f>
        <v>0</v>
      </c>
      <c r="BU158" s="38">
        <f>IF(AND(BU$7="○",$A158&gt;=BU$8,$A158&lt;=BU$9),IF(SUM(BU$10:BU157)-ROUNDDOWN($M158*BU$5/100,0)&lt;-BU$6,-BU$6-SUM(BU$10:BU157),-ROUNDDOWN($M158*BU$5/100,0)),0)</f>
        <v>0</v>
      </c>
      <c r="BV158" s="38">
        <f>IF(AND(BV$7="○",$A158&gt;=BV$8,$A158&lt;=BV$9),IF(SUM(BV$10:BV157)-ROUNDDOWN($M158*BV$5/100,0)&lt;-BV$6,-BV$6-SUM(BV$10:BV157),-ROUNDDOWN($M158*BV$5/100,0)),0)</f>
        <v>0</v>
      </c>
      <c r="BW158" s="38">
        <f>IF(AND(BW$7="○",$A158&gt;=BW$8,$A158&lt;=BW$9),IF(SUM(BW$10:BW157)-ROUNDDOWN($M158*BW$5/100,0)&lt;-BW$6,-BW$6-SUM(BW$10:BW157),-ROUNDDOWN($M158*BW$5/100,0)),0)</f>
        <v>0</v>
      </c>
      <c r="BX158" s="38">
        <f>IF(AND(T158="○",$A158&gt;=BX$8,$A158&lt;=BX$9),IF(SUM(BX$10:BX157)-ROUNDDOWN($K158*BX$5/100,0)&lt;-BX$6,-BX$6-SUM(BX$10:BX157),-ROUNDDOWN($K158*BX$5/100,0)),0)</f>
        <v>0</v>
      </c>
      <c r="BY158" s="38">
        <f>IF(AND(U158="○",$A158&gt;=BY$8,$A158&lt;=BY$9),IF(SUM(BY$10:BY157)-ROUNDDOWN($K158*BY$5/100,0)&lt;-BY$6,-BY$6-SUM(BY$10:BY157),-ROUNDDOWN($K158*BY$5/100,0)),0)</f>
        <v>0</v>
      </c>
      <c r="BZ158" s="38">
        <f>IF(AND(V158="○",$A158&gt;=BZ$8,$A158&lt;=BZ$9),IF(SUM(BZ$10:BZ157)-ROUNDDOWN($K158*BZ$5/100,0)&lt;-BZ$6,-BZ$6-SUM(BZ$10:BZ157),-ROUNDDOWN($K158*BZ$5/100,0)),0)</f>
        <v>0</v>
      </c>
      <c r="CA158" s="38">
        <f>IF(AND(W158="○",$A158&gt;=CA$8,$A158&lt;=CA$9),IF(SUM(CA$10:CA157)-ROUNDDOWN($K158*CA$5/100,0)&lt;-CA$6,-CA$6-SUM(CA$10:CA157),-ROUNDDOWN($K158*CA$5/100,0)),0)</f>
        <v>0</v>
      </c>
      <c r="CB158" s="38"/>
      <c r="CC158" s="38"/>
      <c r="CD158" s="38"/>
      <c r="CE158" s="38"/>
      <c r="CF158" s="38"/>
      <c r="CG158" s="65">
        <f t="shared" si="138"/>
        <v>0</v>
      </c>
      <c r="CH158" s="71">
        <f t="shared" si="139"/>
        <v>0</v>
      </c>
      <c r="CI158" s="1">
        <f t="shared" si="127"/>
        <v>0</v>
      </c>
      <c r="CJ158" s="1"/>
      <c r="CK158" s="2"/>
      <c r="CL158" s="2"/>
      <c r="CM158" s="2"/>
      <c r="CN158" s="2"/>
      <c r="CO158" s="73">
        <f t="shared" si="128"/>
        <v>0</v>
      </c>
      <c r="CP158" s="5">
        <f t="shared" si="129"/>
        <v>0</v>
      </c>
      <c r="CQ158" s="1"/>
      <c r="CR158" s="1">
        <f t="shared" si="130"/>
        <v>0</v>
      </c>
      <c r="CS158" s="1"/>
      <c r="CT158" s="1" t="e">
        <f>INDEX([2]マスタ!$A:$A,MATCH(D158,[2]マスタ!$C:$C,0))</f>
        <v>#N/A</v>
      </c>
      <c r="CU158" s="1" t="str">
        <f t="shared" ca="1" si="131"/>
        <v>20260620_0-0</v>
      </c>
    </row>
    <row r="159" spans="1:99" x14ac:dyDescent="0.4">
      <c r="A159" s="61"/>
      <c r="B159" s="62"/>
      <c r="C159" s="62"/>
      <c r="D159" s="62"/>
      <c r="E159" s="63"/>
      <c r="F159" s="62"/>
      <c r="G159" s="62">
        <v>1</v>
      </c>
      <c r="H159" s="64">
        <f t="shared" si="118"/>
        <v>0</v>
      </c>
      <c r="I159" s="64"/>
      <c r="J159" s="78"/>
      <c r="K159" s="65">
        <f t="shared" si="142"/>
        <v>0</v>
      </c>
      <c r="L159" s="65">
        <f t="shared" si="120"/>
        <v>0</v>
      </c>
      <c r="M159" s="65">
        <f t="shared" si="121"/>
        <v>0</v>
      </c>
      <c r="N159" s="65">
        <f t="shared" si="122"/>
        <v>0</v>
      </c>
      <c r="O159" s="66" t="str">
        <f t="shared" si="123"/>
        <v>✕</v>
      </c>
      <c r="P159" s="67" t="str">
        <f t="shared" si="124"/>
        <v>○</v>
      </c>
      <c r="Q159" s="67" t="str">
        <f t="shared" si="143"/>
        <v>✕</v>
      </c>
      <c r="R159" s="67" t="str">
        <f t="shared" si="126"/>
        <v>✕</v>
      </c>
      <c r="S159" s="68">
        <v>0</v>
      </c>
      <c r="T159" s="69" t="s">
        <v>85</v>
      </c>
      <c r="U159" s="69" t="s">
        <v>85</v>
      </c>
      <c r="V159" s="69" t="s">
        <v>85</v>
      </c>
      <c r="W159" s="69" t="s">
        <v>85</v>
      </c>
      <c r="X159" s="69" t="s">
        <v>84</v>
      </c>
      <c r="Y159" s="69" t="s">
        <v>85</v>
      </c>
      <c r="Z159" s="69" t="s">
        <v>85</v>
      </c>
      <c r="AA159" s="69" t="s">
        <v>85</v>
      </c>
      <c r="AB159" s="69" t="s">
        <v>85</v>
      </c>
      <c r="AC159" s="69" t="s">
        <v>85</v>
      </c>
      <c r="AD159" s="38" t="str">
        <f>+IF(ISERROR(VLOOKUP($B159,AD$10:AD158,1,0)),IF(AND($N159&gt;=1000,$A159&gt;=AO$8,$A159&lt;=AO$9),$B159,""),"")</f>
        <v/>
      </c>
      <c r="AE159" s="38" t="str">
        <f>+IF(ISERROR(VLOOKUP($B159,AE$10:AE158,1,0)),IF(AND($N159&gt;=1000,$A159&gt;=AP$8,$A159&lt;=AP$9),$B159,""),"")</f>
        <v/>
      </c>
      <c r="AF159" s="38" t="str">
        <f>+IF(ISERROR(VLOOKUP($B159,AF$10:AF158,1,0)),IF(AND($N159&gt;=1000,$A159&gt;=AQ$8,$A159&lt;=AQ$9),$B159,""),"")</f>
        <v/>
      </c>
      <c r="AG159" s="38" t="str">
        <f>+IF(ISERROR(VLOOKUP($B159,AG$10:AG158,1,0)),IF(AND($N159&gt;=1000,$A159&gt;=AR$8,$A159&lt;=AR$9),$B159,""),"")</f>
        <v/>
      </c>
      <c r="AH159" s="38"/>
      <c r="AI159" s="70">
        <v>0</v>
      </c>
      <c r="AJ159" s="38">
        <f>IF(AND(AJ$7="○",$A159&gt;=AJ$8,$A159&lt;=AJ$9),IF(SUM(AJ$10:AJ158)-ROUNDDOWN($K159*AJ$5/100,0)&lt;-AJ$6,-AJ$6-SUM(AJ$10:AJ158),-ROUNDDOWN($K159*AJ$5/100,0)),0)</f>
        <v>0</v>
      </c>
      <c r="AK159" s="38">
        <f>IF(AND(AK$7="○",$A159&gt;=AK$8,$A159&lt;=AK$9),IF(SUM(AK$10:AK158)-ROUNDDOWN($L159*AK$5/100,0)&lt;-AK$6,-AK$6-SUM(AK$10:AK158),-ROUNDDOWN($L159*AK$5/100,0)),0)</f>
        <v>0</v>
      </c>
      <c r="AL159" s="38">
        <f>IF(AND(AL$7="○",$A159&gt;=AL$8,$A159&lt;=AL$9),IF(SUM(AL$10:AL158)-ROUNDDOWN($N159*AL$5/100,0)&lt;-AL$6,-AL$6-SUM(AL$10:AL158),-ROUNDDOWN($N159*AL$5/100,0)),0)</f>
        <v>0</v>
      </c>
      <c r="AM159" s="38">
        <f>IF(AND(AM$7="○",$A159&gt;=AM$8,$A159&lt;=AM$9),IF(SUM(AM$10:AM158)-ROUNDDOWN($L159*AM$5/100,0)&lt;-AM$6,-AM$6-SUM(AM$10:AM158),-ROUNDDOWN($L159*AM$5/100,0)),0)</f>
        <v>0</v>
      </c>
      <c r="AN159" s="38">
        <f>IF(AND(AN$7="○",$A159&gt;=AN$8,$A159&lt;=AN$9),IF(SUM(AN$10:AN158)-ROUNDDOWN($M159*AN$5/100,0)&lt;-AN$6,-AN$6-SUM(AN$10:AN158),-ROUNDDOWN($M159*AN$5/100,0)),0)</f>
        <v>0</v>
      </c>
      <c r="AO159" s="38">
        <f>IF(AND($A159&gt;=AO$8,$A159&lt;=AO$9),IF(SUM(AO$10:AO158)-ROUNDDOWN($K159*AO$5/100,0)&lt;-AO$6,-AO$6-SUM(AO$10:AO158),-ROUNDDOWN($K159*AO$5/100,0)),0)</f>
        <v>0</v>
      </c>
      <c r="AP159" s="38">
        <f>IF(AND($A159&gt;=AP$8,$A159&lt;=AP$9),IF(SUM(AP$10:AP158)-ROUNDDOWN($K159*AP$5/100,0)&lt;-AP$6,-AP$6-SUM(AP$10:AP158),-ROUNDDOWN($K159*AP$5/100,0)),0)</f>
        <v>0</v>
      </c>
      <c r="AQ159" s="38">
        <f>IF(AND($A159&gt;=AQ$8,$A159&lt;=AQ$9),IF(SUM(AQ$10:AQ158)-ROUNDDOWN($K159*AQ$5/100,0)&lt;-AQ$6,-AQ$6-SUM(AQ$10:AQ158),-ROUNDDOWN($K159*AQ$5/100,0)),0)</f>
        <v>0</v>
      </c>
      <c r="AR159" s="38">
        <f>IF(AND($A159&gt;=AR$8,$A159&lt;=AR$9),IF(SUM(AR$10:AR158)-ROUNDDOWN($K159*AR$5/100,0)&lt;-AR$6,-AR$6-SUM(AR$10:AR158),-ROUNDDOWN($K159*AR$5/100,0)),0)</f>
        <v>0</v>
      </c>
      <c r="AS159" s="38">
        <f>IF(SUMIFS(AS$10:AS158,$A$10:$A158,$A159)-ROUNDDOWN($K159*$S159/100,0)&lt;-$S159*1000,-$S159*1000-SUMIFS(AS$10:AS158,$A$10:$A158,$A159),-ROUNDDOWN($K159*$S159/100,0))</f>
        <v>0</v>
      </c>
      <c r="AT159" s="38">
        <f>IF(AND(X159="○",$A159&gt;=AT$8,$A159&lt;=AT$9,K159&gt;=3980),IF(SUM(AT$10:AT158)-ROUNDDOWN($K159*AT$5/100,0)&lt;-AT$6,-AT$6-SUM(AT$10:AT158),-ROUNDDOWN($K159*AT$5/100,0)),0)</f>
        <v>0</v>
      </c>
      <c r="AU159" s="38">
        <f>IF(O159="○",IF(SUM(AU$10:AU158)-ROUNDDOWN($K159*AU$5/100,0)&lt;-AU$6,-AU$6-SUM(AU$10:AU158),-ROUNDDOWN($K159*AU$5/100,0)),0)</f>
        <v>0</v>
      </c>
      <c r="AV159" s="38">
        <f>IF(P159="○",IF(SUM(AV$10:AV158)-ROUNDDOWN($K159*AV$5/100,0)&lt;-AV$6,-AV$6-SUM(AV$10:AV158),-ROUNDDOWN($K159*AV$5/100,0)),0)</f>
        <v>0</v>
      </c>
      <c r="AW159" s="38">
        <f>IF(Q159="○",IF(SUM(AW$10:AW158)-ROUNDDOWN($K159*AW$5/100,0)&lt;-AW$6,-AW$6-SUM(AW$10:AW158),-ROUNDDOWN($K159*AW$5/100,0)),0)</f>
        <v>0</v>
      </c>
      <c r="AX159" s="38">
        <f>IF(R159="○",IF(SUM(AX$10:AX158)-ROUNDDOWN($K159*AX$5/100,0)&lt;-AX$6,-AX$6-SUM(AX$10:AX158),-ROUNDDOWN($K159*AX$5/100,0)),0)</f>
        <v>0</v>
      </c>
      <c r="AY159" s="70">
        <v>0</v>
      </c>
      <c r="AZ159" s="65">
        <f t="shared" si="132"/>
        <v>0</v>
      </c>
      <c r="BA159" s="65">
        <f t="shared" si="133"/>
        <v>0</v>
      </c>
      <c r="BB159" s="70"/>
      <c r="BC159" s="65">
        <f t="shared" si="134"/>
        <v>0</v>
      </c>
      <c r="BD159" s="70">
        <v>0</v>
      </c>
      <c r="BE159" s="65">
        <f t="shared" si="135"/>
        <v>0</v>
      </c>
      <c r="BF159" s="70">
        <v>0</v>
      </c>
      <c r="BG159" s="65">
        <f t="shared" si="136"/>
        <v>0</v>
      </c>
      <c r="BH159" s="70">
        <v>0</v>
      </c>
      <c r="BI159" s="65">
        <f t="shared" si="137"/>
        <v>0</v>
      </c>
      <c r="BJ159" s="38">
        <f>IF(AND(BJ$7="○",$A159&gt;=BJ$8,$A159&lt;=BJ$9),IF(SUM(BJ$10:BJ158)-ROUNDDOWN($M159*BJ$5/100,0)&lt;-BJ$6,-BJ$6-SUM(BJ$10:BJ158),-ROUNDDOWN($M159*BJ$5/100,0)),0)</f>
        <v>0</v>
      </c>
      <c r="BK159" s="38">
        <f>IF(AND(BK$7="○",$A159&gt;=BK$8,$A159&lt;=BK$9),IF(SUM(BK$10:BK158)-ROUNDDOWN($L159*BK$5/100,0)&lt;-BK$6,-BK$6-SUM(BK$10:BK158),-ROUNDDOWN($L159*BK$5/100,0)),0)</f>
        <v>0</v>
      </c>
      <c r="BL159" s="38">
        <f>IF(AND(BL$7="○",$A159&gt;=BL$8,$A159&lt;=BL$9),IF(SUM(BL$10:BL158)-ROUNDDOWN($L159*BL$5/100,0)&lt;-BL$6,-BL$6-SUM(BL$10:BL158),-ROUNDDOWN($L159*BL$5/100,0)),0)</f>
        <v>0</v>
      </c>
      <c r="BM159" s="38">
        <f>IF(AND(BM$7="○",$A159&gt;=BM$8,$A159&lt;=BM$9),IF(SUM(BM$10:BM158)-ROUNDDOWN($M159*BM$5/100,0)&lt;-BM$6,-BM$6-SUM(BM$10:BM158),-ROUNDDOWN($M159*BM$5/100,0)),0)</f>
        <v>0</v>
      </c>
      <c r="BN159" s="38">
        <f>IF(AND(BN$7="○",$A159&gt;=BN$8,$A159&lt;=BN$9),IF(SUM(BN$10:BN158)-ROUNDDOWN($M159*BN$5/100,0)&lt;-BN$6,-BN$6-SUM(BN$10:BN158),-ROUNDDOWN($M159*BN$5/100,0)),0)</f>
        <v>0</v>
      </c>
      <c r="BO159" s="38">
        <f>IF(AND(BO$7="○",$A159&gt;=BO$8,$A159&lt;=BO$9),IF(SUM(BO$10:BO158)-ROUNDDOWN($M159*BO$5/100,0)&lt;-BO$6,-BO$6-SUM(BO$10:BO158),-ROUNDDOWN($M159*BO$5/100,0)),0)</f>
        <v>0</v>
      </c>
      <c r="BP159" s="38">
        <f>IF(AND(BP$7="○",$A159&gt;=BP$8,$A159&lt;=BP$9),IF(SUM(BP$10:BP158)-ROUNDDOWN($M159*BP$5/100,0)&lt;-BP$6,-BP$6-SUM(BP$10:BP158),-ROUNDDOWN($M159*BP$5/100,0)),0)</f>
        <v>0</v>
      </c>
      <c r="BQ159" s="38">
        <f>IF(AND(BQ$7="○",$A159&gt;=BQ$8,$A159&lt;=BQ$9),IF(SUM(BQ$10:BQ158)-ROUNDDOWN($L159*BQ$5/100,0)&lt;-BQ$6,-BQ$6-SUM(BQ$10:BQ158),-ROUNDDOWN($L159*BQ$5/100,0)),0)</f>
        <v>0</v>
      </c>
      <c r="BR159" s="38">
        <f>IF(AND(BR$7="○",$A159&gt;=BR$8,$A159&lt;=BR$9),IF(SUM(BR$10:BR158)-ROUNDDOWN($M159*BR$5/100,0)&lt;-BR$6,-BR$6-SUM(BR$10:BR158),-ROUNDDOWN($M159*BR$5/100,0)),0)</f>
        <v>0</v>
      </c>
      <c r="BS159" s="38">
        <f>IF(AND(BS$7="○",$A159&gt;=BS$8,$A159&lt;=BS$9),IF(SUM(BS$10:BS158)-ROUNDDOWN($M159*BS$5/100,0)&lt;-BS$6,-BS$6-SUM(BS$10:BS158),-ROUNDDOWN($M159*BS$5/100,0)),0)</f>
        <v>0</v>
      </c>
      <c r="BT159" s="38">
        <f>IF(AND(BT$7="○",$A159&gt;=BT$8,$A159&lt;=BT$9),IF(SUM(BT$10:BT158)-ROUNDDOWN($M159*BT$5/100,0)&lt;-BT$6,-BT$6-SUM(BT$10:BT158),-ROUNDDOWN($M159*BT$5/100,0)),0)</f>
        <v>0</v>
      </c>
      <c r="BU159" s="38">
        <f>IF(AND(BU$7="○",$A159&gt;=BU$8,$A159&lt;=BU$9),IF(SUM(BU$10:BU158)-ROUNDDOWN($M159*BU$5/100,0)&lt;-BU$6,-BU$6-SUM(BU$10:BU158),-ROUNDDOWN($M159*BU$5/100,0)),0)</f>
        <v>0</v>
      </c>
      <c r="BV159" s="38">
        <f>IF(AND(BV$7="○",$A159&gt;=BV$8,$A159&lt;=BV$9),IF(SUM(BV$10:BV158)-ROUNDDOWN($M159*BV$5/100,0)&lt;-BV$6,-BV$6-SUM(BV$10:BV158),-ROUNDDOWN($M159*BV$5/100,0)),0)</f>
        <v>0</v>
      </c>
      <c r="BW159" s="38">
        <f>IF(AND(BW$7="○",$A159&gt;=BW$8,$A159&lt;=BW$9),IF(SUM(BW$10:BW158)-ROUNDDOWN($M159*BW$5/100,0)&lt;-BW$6,-BW$6-SUM(BW$10:BW158),-ROUNDDOWN($M159*BW$5/100,0)),0)</f>
        <v>0</v>
      </c>
      <c r="BX159" s="38">
        <f>IF(AND(T159="○",$A159&gt;=BX$8,$A159&lt;=BX$9),IF(SUM(BX$10:BX158)-ROUNDDOWN($K159*BX$5/100,0)&lt;-BX$6,-BX$6-SUM(BX$10:BX158),-ROUNDDOWN($K159*BX$5/100,0)),0)</f>
        <v>0</v>
      </c>
      <c r="BY159" s="38">
        <f>IF(AND(U159="○",$A159&gt;=BY$8,$A159&lt;=BY$9),IF(SUM(BY$10:BY158)-ROUNDDOWN($K159*BY$5/100,0)&lt;-BY$6,-BY$6-SUM(BY$10:BY158),-ROUNDDOWN($K159*BY$5/100,0)),0)</f>
        <v>0</v>
      </c>
      <c r="BZ159" s="38">
        <f>IF(AND(V159="○",$A159&gt;=BZ$8,$A159&lt;=BZ$9),IF(SUM(BZ$10:BZ158)-ROUNDDOWN($K159*BZ$5/100,0)&lt;-BZ$6,-BZ$6-SUM(BZ$10:BZ158),-ROUNDDOWN($K159*BZ$5/100,0)),0)</f>
        <v>0</v>
      </c>
      <c r="CA159" s="38">
        <f>IF(AND(W159="○",$A159&gt;=CA$8,$A159&lt;=CA$9),IF(SUM(CA$10:CA158)-ROUNDDOWN($K159*CA$5/100,0)&lt;-CA$6,-CA$6-SUM(CA$10:CA158),-ROUNDDOWN($K159*CA$5/100,0)),0)</f>
        <v>0</v>
      </c>
      <c r="CB159" s="38"/>
      <c r="CC159" s="38"/>
      <c r="CD159" s="38"/>
      <c r="CE159" s="38"/>
      <c r="CF159" s="38"/>
      <c r="CG159" s="65">
        <f t="shared" si="138"/>
        <v>0</v>
      </c>
      <c r="CH159" s="71">
        <f t="shared" si="139"/>
        <v>0</v>
      </c>
      <c r="CI159" s="1">
        <f t="shared" si="127"/>
        <v>0</v>
      </c>
      <c r="CJ159" s="1"/>
      <c r="CK159" s="79"/>
      <c r="CL159" s="79"/>
      <c r="CM159" s="2"/>
      <c r="CN159" s="2"/>
      <c r="CO159" s="73">
        <f t="shared" si="128"/>
        <v>0</v>
      </c>
      <c r="CP159" s="5">
        <f t="shared" si="129"/>
        <v>0</v>
      </c>
      <c r="CQ159" s="1"/>
      <c r="CR159" s="1">
        <f t="shared" si="130"/>
        <v>0</v>
      </c>
      <c r="CS159" s="1"/>
      <c r="CT159" s="1" t="e">
        <f>INDEX([2]マスタ!$A:$A,MATCH(D159,[2]マスタ!$C:$C,0))</f>
        <v>#N/A</v>
      </c>
      <c r="CU159" s="1" t="str">
        <f t="shared" ca="1" si="131"/>
        <v>20260620_0-0</v>
      </c>
    </row>
    <row r="160" spans="1:99" x14ac:dyDescent="0.4">
      <c r="A160" s="61"/>
      <c r="B160" s="62"/>
      <c r="C160" s="62"/>
      <c r="D160" s="62"/>
      <c r="E160" s="63"/>
      <c r="F160" s="62"/>
      <c r="G160" s="62">
        <v>1</v>
      </c>
      <c r="H160" s="64">
        <f t="shared" si="118"/>
        <v>0</v>
      </c>
      <c r="I160" s="64"/>
      <c r="J160" s="64"/>
      <c r="K160" s="65">
        <f t="shared" si="142"/>
        <v>0</v>
      </c>
      <c r="L160" s="65">
        <f t="shared" si="120"/>
        <v>0</v>
      </c>
      <c r="M160" s="65">
        <f t="shared" si="121"/>
        <v>0</v>
      </c>
      <c r="N160" s="65">
        <f t="shared" si="122"/>
        <v>0</v>
      </c>
      <c r="O160" s="66" t="str">
        <f t="shared" si="123"/>
        <v>✕</v>
      </c>
      <c r="P160" s="67" t="str">
        <f t="shared" si="124"/>
        <v>○</v>
      </c>
      <c r="Q160" s="67" t="str">
        <f t="shared" si="143"/>
        <v>✕</v>
      </c>
      <c r="R160" s="67" t="str">
        <f t="shared" si="126"/>
        <v>✕</v>
      </c>
      <c r="S160" s="68">
        <v>0</v>
      </c>
      <c r="T160" s="69" t="s">
        <v>85</v>
      </c>
      <c r="U160" s="69" t="s">
        <v>85</v>
      </c>
      <c r="V160" s="69" t="s">
        <v>85</v>
      </c>
      <c r="W160" s="69" t="s">
        <v>85</v>
      </c>
      <c r="X160" s="69" t="s">
        <v>84</v>
      </c>
      <c r="Y160" s="69" t="s">
        <v>85</v>
      </c>
      <c r="Z160" s="69" t="s">
        <v>85</v>
      </c>
      <c r="AA160" s="69" t="s">
        <v>85</v>
      </c>
      <c r="AB160" s="69" t="s">
        <v>85</v>
      </c>
      <c r="AC160" s="69" t="s">
        <v>85</v>
      </c>
      <c r="AD160" s="38" t="str">
        <f>+IF(ISERROR(VLOOKUP($B160,AD$10:AD159,1,0)),IF(AND($N160&gt;=1000,$A160&gt;=AO$8,$A160&lt;=AO$9),$B160,""),"")</f>
        <v/>
      </c>
      <c r="AE160" s="38" t="str">
        <f>+IF(ISERROR(VLOOKUP($B160,AE$10:AE159,1,0)),IF(AND($N160&gt;=1000,$A160&gt;=AP$8,$A160&lt;=AP$9),$B160,""),"")</f>
        <v/>
      </c>
      <c r="AF160" s="38" t="str">
        <f>+IF(ISERROR(VLOOKUP($B160,AF$10:AF159,1,0)),IF(AND($N160&gt;=1000,$A160&gt;=AQ$8,$A160&lt;=AQ$9),$B160,""),"")</f>
        <v/>
      </c>
      <c r="AG160" s="38" t="str">
        <f>+IF(ISERROR(VLOOKUP($B160,AG$10:AG159,1,0)),IF(AND($N160&gt;=1000,$A160&gt;=AR$8,$A160&lt;=AR$9),$B160,""),"")</f>
        <v/>
      </c>
      <c r="AH160" s="38"/>
      <c r="AI160" s="70">
        <v>0</v>
      </c>
      <c r="AJ160" s="38">
        <f>IF(AND(AJ$7="○",$A160&gt;=AJ$8,$A160&lt;=AJ$9),IF(SUM(AJ$10:AJ159)-ROUNDDOWN($K160*AJ$5/100,0)&lt;-AJ$6,-AJ$6-SUM(AJ$10:AJ159),-ROUNDDOWN($K160*AJ$5/100,0)),0)</f>
        <v>0</v>
      </c>
      <c r="AK160" s="38">
        <f>IF(AND(AK$7="○",$A160&gt;=AK$8,$A160&lt;=AK$9),IF(SUM(AK$10:AK159)-ROUNDDOWN($L160*AK$5/100,0)&lt;-AK$6,-AK$6-SUM(AK$10:AK159),-ROUNDDOWN($L160*AK$5/100,0)),0)</f>
        <v>0</v>
      </c>
      <c r="AL160" s="38">
        <f>IF(AND(AL$7="○",$A160&gt;=AL$8,$A160&lt;=AL$9),IF(SUM(AL$10:AL159)-ROUNDDOWN($N160*AL$5/100,0)&lt;-AL$6,-AL$6-SUM(AL$10:AL159),-ROUNDDOWN($N160*AL$5/100,0)),0)</f>
        <v>0</v>
      </c>
      <c r="AM160" s="38">
        <f>IF(AND(AM$7="○",$A160&gt;=AM$8,$A160&lt;=AM$9),IF(SUM(AM$10:AM159)-ROUNDDOWN($L160*AM$5/100,0)&lt;-AM$6,-AM$6-SUM(AM$10:AM159),-ROUNDDOWN($L160*AM$5/100,0)),0)</f>
        <v>0</v>
      </c>
      <c r="AN160" s="38">
        <f>IF(AND(AN$7="○",$A160&gt;=AN$8,$A160&lt;=AN$9),IF(SUM(AN$10:AN159)-ROUNDDOWN($M160*AN$5/100,0)&lt;-AN$6,-AN$6-SUM(AN$10:AN159),-ROUNDDOWN($M160*AN$5/100,0)),0)</f>
        <v>0</v>
      </c>
      <c r="AO160" s="38">
        <f>IF(AND($A160&gt;=AO$8,$A160&lt;=AO$9),IF(SUM(AO$10:AO159)-ROUNDDOWN($K160*AO$5/100,0)&lt;-AO$6,-AO$6-SUM(AO$10:AO159),-ROUNDDOWN($K160*AO$5/100,0)),0)</f>
        <v>0</v>
      </c>
      <c r="AP160" s="38">
        <f>IF(AND($A160&gt;=AP$8,$A160&lt;=AP$9),IF(SUM(AP$10:AP159)-ROUNDDOWN($K160*AP$5/100,0)&lt;-AP$6,-AP$6-SUM(AP$10:AP159),-ROUNDDOWN($K160*AP$5/100,0)),0)</f>
        <v>0</v>
      </c>
      <c r="AQ160" s="38">
        <f>IF(AND($A160&gt;=AQ$8,$A160&lt;=AQ$9),IF(SUM(AQ$10:AQ159)-ROUNDDOWN($K160*AQ$5/100,0)&lt;-AQ$6,-AQ$6-SUM(AQ$10:AQ159),-ROUNDDOWN($K160*AQ$5/100,0)),0)</f>
        <v>0</v>
      </c>
      <c r="AR160" s="38">
        <f>IF(AND($A160&gt;=AR$8,$A160&lt;=AR$9),IF(SUM(AR$10:AR159)-ROUNDDOWN($K160*AR$5/100,0)&lt;-AR$6,-AR$6-SUM(AR$10:AR159),-ROUNDDOWN($K160*AR$5/100,0)),0)</f>
        <v>0</v>
      </c>
      <c r="AS160" s="38">
        <f>IF(SUMIFS(AS$10:AS159,$A$10:$A159,$A160)-ROUNDDOWN($K160*$S160/100,0)&lt;-$S160*1000,-$S160*1000-SUMIFS(AS$10:AS159,$A$10:$A159,$A160),-ROUNDDOWN($K160*$S160/100,0))</f>
        <v>0</v>
      </c>
      <c r="AT160" s="38">
        <f>IF(AND(X160="○",$A160&gt;=AT$8,$A160&lt;=AT$9,K160&gt;=3980),IF(SUM(AT$10:AT159)-ROUNDDOWN($K160*AT$5/100,0)&lt;-AT$6,-AT$6-SUM(AT$10:AT159),-ROUNDDOWN($K160*AT$5/100,0)),0)</f>
        <v>0</v>
      </c>
      <c r="AU160" s="38">
        <f>IF(O160="○",IF(SUM(AU$10:AU159)-ROUNDDOWN($K160*AU$5/100,0)&lt;-AU$6,-AU$6-SUM(AU$10:AU159),-ROUNDDOWN($K160*AU$5/100,0)),0)</f>
        <v>0</v>
      </c>
      <c r="AV160" s="38">
        <f>IF(P160="○",IF(SUM(AV$10:AV159)-ROUNDDOWN($K160*AV$5/100,0)&lt;-AV$6,-AV$6-SUM(AV$10:AV159),-ROUNDDOWN($K160*AV$5/100,0)),0)</f>
        <v>0</v>
      </c>
      <c r="AW160" s="38">
        <f>IF(Q160="○",IF(SUM(AW$10:AW159)-ROUNDDOWN($K160*AW$5/100,0)&lt;-AW$6,-AW$6-SUM(AW$10:AW159),-ROUNDDOWN($K160*AW$5/100,0)),0)</f>
        <v>0</v>
      </c>
      <c r="AX160" s="38">
        <f>IF(R160="○",IF(SUM(AX$10:AX159)-ROUNDDOWN($K160*AX$5/100,0)&lt;-AX$6,-AX$6-SUM(AX$10:AX159),-ROUNDDOWN($K160*AX$5/100,0)),0)</f>
        <v>0</v>
      </c>
      <c r="AY160" s="70">
        <v>0</v>
      </c>
      <c r="AZ160" s="65">
        <f t="shared" si="132"/>
        <v>0</v>
      </c>
      <c r="BA160" s="65">
        <f t="shared" si="133"/>
        <v>0</v>
      </c>
      <c r="BB160" s="70"/>
      <c r="BC160" s="65">
        <f t="shared" si="134"/>
        <v>0</v>
      </c>
      <c r="BD160" s="70">
        <v>0</v>
      </c>
      <c r="BE160" s="65">
        <f t="shared" si="135"/>
        <v>0</v>
      </c>
      <c r="BF160" s="70">
        <v>0</v>
      </c>
      <c r="BG160" s="65">
        <f t="shared" si="136"/>
        <v>0</v>
      </c>
      <c r="BH160" s="70">
        <v>0</v>
      </c>
      <c r="BI160" s="65">
        <f t="shared" si="137"/>
        <v>0</v>
      </c>
      <c r="BJ160" s="38">
        <f>IF(AND(BJ$7="○",$A160&gt;=BJ$8,$A160&lt;=BJ$9),IF(SUM(BJ$10:BJ159)-ROUNDDOWN($M160*BJ$5/100,0)&lt;-BJ$6,-BJ$6-SUM(BJ$10:BJ159),-ROUNDDOWN($M160*BJ$5/100,0)),0)</f>
        <v>0</v>
      </c>
      <c r="BK160" s="38">
        <f>IF(AND(BK$7="○",$A160&gt;=BK$8,$A160&lt;=BK$9),IF(SUM(BK$10:BK159)-ROUNDDOWN($L160*BK$5/100,0)&lt;-BK$6,-BK$6-SUM(BK$10:BK159),-ROUNDDOWN($L160*BK$5/100,0)),0)</f>
        <v>0</v>
      </c>
      <c r="BL160" s="38">
        <f>IF(AND(BL$7="○",$A160&gt;=BL$8,$A160&lt;=BL$9),IF(SUM(BL$10:BL159)-ROUNDDOWN($L160*BL$5/100,0)&lt;-BL$6,-BL$6-SUM(BL$10:BL159),-ROUNDDOWN($L160*BL$5/100,0)),0)</f>
        <v>0</v>
      </c>
      <c r="BM160" s="38">
        <f>IF(AND(BM$7="○",$A160&gt;=BM$8,$A160&lt;=BM$9),IF(SUM(BM$10:BM159)-ROUNDDOWN($M160*BM$5/100,0)&lt;-BM$6,-BM$6-SUM(BM$10:BM159),-ROUNDDOWN($M160*BM$5/100,0)),0)</f>
        <v>0</v>
      </c>
      <c r="BN160" s="38">
        <f>IF(AND(BN$7="○",$A160&gt;=BN$8,$A160&lt;=BN$9),IF(SUM(BN$10:BN159)-ROUNDDOWN($M160*BN$5/100,0)&lt;-BN$6,-BN$6-SUM(BN$10:BN159),-ROUNDDOWN($M160*BN$5/100,0)),0)</f>
        <v>0</v>
      </c>
      <c r="BO160" s="38">
        <f>IF(AND(BO$7="○",$A160&gt;=BO$8,$A160&lt;=BO$9),IF(SUM(BO$10:BO159)-ROUNDDOWN($M160*BO$5/100,0)&lt;-BO$6,-BO$6-SUM(BO$10:BO159),-ROUNDDOWN($M160*BO$5/100,0)),0)</f>
        <v>0</v>
      </c>
      <c r="BP160" s="38">
        <f>IF(AND(BP$7="○",$A160&gt;=BP$8,$A160&lt;=BP$9),IF(SUM(BP$10:BP159)-ROUNDDOWN($M160*BP$5/100,0)&lt;-BP$6,-BP$6-SUM(BP$10:BP159),-ROUNDDOWN($M160*BP$5/100,0)),0)</f>
        <v>0</v>
      </c>
      <c r="BQ160" s="38">
        <f>IF(AND(BQ$7="○",$A160&gt;=BQ$8,$A160&lt;=BQ$9),IF(SUM(BQ$10:BQ159)-ROUNDDOWN($L160*BQ$5/100,0)&lt;-BQ$6,-BQ$6-SUM(BQ$10:BQ159),-ROUNDDOWN($L160*BQ$5/100,0)),0)</f>
        <v>0</v>
      </c>
      <c r="BR160" s="38">
        <f>IF(AND(BR$7="○",$A160&gt;=BR$8,$A160&lt;=BR$9),IF(SUM(BR$10:BR159)-ROUNDDOWN($M160*BR$5/100,0)&lt;-BR$6,-BR$6-SUM(BR$10:BR159),-ROUNDDOWN($M160*BR$5/100,0)),0)</f>
        <v>0</v>
      </c>
      <c r="BS160" s="38">
        <f>IF(AND(BS$7="○",$A160&gt;=BS$8,$A160&lt;=BS$9),IF(SUM(BS$10:BS159)-ROUNDDOWN($M160*BS$5/100,0)&lt;-BS$6,-BS$6-SUM(BS$10:BS159),-ROUNDDOWN($M160*BS$5/100,0)),0)</f>
        <v>0</v>
      </c>
      <c r="BT160" s="38">
        <f>IF(AND(BT$7="○",$A160&gt;=BT$8,$A160&lt;=BT$9),IF(SUM(BT$10:BT159)-ROUNDDOWN($M160*BT$5/100,0)&lt;-BT$6,-BT$6-SUM(BT$10:BT159),-ROUNDDOWN($M160*BT$5/100,0)),0)</f>
        <v>0</v>
      </c>
      <c r="BU160" s="38">
        <f>IF(AND(BU$7="○",$A160&gt;=BU$8,$A160&lt;=BU$9),IF(SUM(BU$10:BU159)-ROUNDDOWN($M160*BU$5/100,0)&lt;-BU$6,-BU$6-SUM(BU$10:BU159),-ROUNDDOWN($M160*BU$5/100,0)),0)</f>
        <v>0</v>
      </c>
      <c r="BV160" s="38">
        <f>IF(AND(BV$7="○",$A160&gt;=BV$8,$A160&lt;=BV$9),IF(SUM(BV$10:BV159)-ROUNDDOWN($M160*BV$5/100,0)&lt;-BV$6,-BV$6-SUM(BV$10:BV159),-ROUNDDOWN($M160*BV$5/100,0)),0)</f>
        <v>0</v>
      </c>
      <c r="BW160" s="38">
        <f>IF(AND(BW$7="○",$A160&gt;=BW$8,$A160&lt;=BW$9),IF(SUM(BW$10:BW159)-ROUNDDOWN($M160*BW$5/100,0)&lt;-BW$6,-BW$6-SUM(BW$10:BW159),-ROUNDDOWN($M160*BW$5/100,0)),0)</f>
        <v>0</v>
      </c>
      <c r="BX160" s="38">
        <f>IF(AND(T160="○",$A160&gt;=BX$8,$A160&lt;=BX$9),IF(SUM(BX$10:BX159)-ROUNDDOWN($K160*BX$5/100,0)&lt;-BX$6,-BX$6-SUM(BX$10:BX159),-ROUNDDOWN($K160*BX$5/100,0)),0)</f>
        <v>0</v>
      </c>
      <c r="BY160" s="38">
        <f>IF(AND(U160="○",$A160&gt;=BY$8,$A160&lt;=BY$9),IF(SUM(BY$10:BY159)-ROUNDDOWN($K160*BY$5/100,0)&lt;-BY$6,-BY$6-SUM(BY$10:BY159),-ROUNDDOWN($K160*BY$5/100,0)),0)</f>
        <v>0</v>
      </c>
      <c r="BZ160" s="38">
        <f>IF(AND(V160="○",$A160&gt;=BZ$8,$A160&lt;=BZ$9),IF(SUM(BZ$10:BZ159)-ROUNDDOWN($K160*BZ$5/100,0)&lt;-BZ$6,-BZ$6-SUM(BZ$10:BZ159),-ROUNDDOWN($K160*BZ$5/100,0)),0)</f>
        <v>0</v>
      </c>
      <c r="CA160" s="38">
        <f>IF(AND(W160="○",$A160&gt;=CA$8,$A160&lt;=CA$9),IF(SUM(CA$10:CA159)-ROUNDDOWN($K160*CA$5/100,0)&lt;-CA$6,-CA$6-SUM(CA$10:CA159),-ROUNDDOWN($K160*CA$5/100,0)),0)</f>
        <v>0</v>
      </c>
      <c r="CB160" s="38"/>
      <c r="CC160" s="38"/>
      <c r="CD160" s="38"/>
      <c r="CE160" s="38"/>
      <c r="CF160" s="38"/>
      <c r="CG160" s="65">
        <f t="shared" si="138"/>
        <v>0</v>
      </c>
      <c r="CH160" s="71">
        <f t="shared" si="139"/>
        <v>0</v>
      </c>
      <c r="CI160" s="1">
        <f t="shared" si="127"/>
        <v>0</v>
      </c>
      <c r="CJ160" s="1"/>
      <c r="CK160" s="72"/>
      <c r="CL160" s="72"/>
      <c r="CM160" s="2"/>
      <c r="CN160" s="2"/>
      <c r="CO160" s="73">
        <f t="shared" si="128"/>
        <v>0</v>
      </c>
      <c r="CP160" s="5">
        <f t="shared" si="129"/>
        <v>0</v>
      </c>
      <c r="CQ160" s="1"/>
      <c r="CR160" s="1">
        <f t="shared" si="130"/>
        <v>0</v>
      </c>
      <c r="CS160" s="1"/>
      <c r="CT160" s="1" t="e">
        <f>INDEX([2]マスタ!$A:$A,MATCH(D160,[2]マスタ!$C:$C,0))</f>
        <v>#N/A</v>
      </c>
      <c r="CU160" s="1" t="str">
        <f t="shared" ca="1" si="131"/>
        <v>20260620_0-0</v>
      </c>
    </row>
    <row r="161" spans="1:99" x14ac:dyDescent="0.4">
      <c r="A161" s="61"/>
      <c r="B161" s="62"/>
      <c r="C161" s="62"/>
      <c r="D161" s="62"/>
      <c r="E161" s="63"/>
      <c r="F161" s="62"/>
      <c r="G161" s="62">
        <v>1</v>
      </c>
      <c r="H161" s="64">
        <f t="shared" si="118"/>
        <v>0</v>
      </c>
      <c r="I161" s="64"/>
      <c r="J161" s="64"/>
      <c r="K161" s="65">
        <f t="shared" si="142"/>
        <v>0</v>
      </c>
      <c r="L161" s="65">
        <f t="shared" si="120"/>
        <v>0</v>
      </c>
      <c r="M161" s="65">
        <f t="shared" si="121"/>
        <v>0</v>
      </c>
      <c r="N161" s="65">
        <f t="shared" si="122"/>
        <v>0</v>
      </c>
      <c r="O161" s="66" t="str">
        <f t="shared" si="123"/>
        <v>✕</v>
      </c>
      <c r="P161" s="67" t="str">
        <f t="shared" si="124"/>
        <v>○</v>
      </c>
      <c r="Q161" s="67" t="str">
        <f t="shared" si="143"/>
        <v>✕</v>
      </c>
      <c r="R161" s="67" t="str">
        <f t="shared" si="126"/>
        <v>✕</v>
      </c>
      <c r="S161" s="68">
        <v>0</v>
      </c>
      <c r="T161" s="69" t="s">
        <v>85</v>
      </c>
      <c r="U161" s="69" t="s">
        <v>85</v>
      </c>
      <c r="V161" s="69" t="s">
        <v>85</v>
      </c>
      <c r="W161" s="69" t="s">
        <v>85</v>
      </c>
      <c r="X161" s="69" t="s">
        <v>84</v>
      </c>
      <c r="Y161" s="69" t="s">
        <v>85</v>
      </c>
      <c r="Z161" s="69" t="s">
        <v>85</v>
      </c>
      <c r="AA161" s="69" t="s">
        <v>85</v>
      </c>
      <c r="AB161" s="69" t="s">
        <v>85</v>
      </c>
      <c r="AC161" s="69" t="s">
        <v>85</v>
      </c>
      <c r="AD161" s="38" t="str">
        <f>+IF(ISERROR(VLOOKUP($B161,AD$10:AD160,1,0)),IF(AND($N161&gt;=1000,$A161&gt;=AO$8,$A161&lt;=AO$9),$B161,""),"")</f>
        <v/>
      </c>
      <c r="AE161" s="38" t="str">
        <f>+IF(ISERROR(VLOOKUP($B161,AE$10:AE160,1,0)),IF(AND($N161&gt;=1000,$A161&gt;=AP$8,$A161&lt;=AP$9),$B161,""),"")</f>
        <v/>
      </c>
      <c r="AF161" s="38" t="str">
        <f>+IF(ISERROR(VLOOKUP($B161,AF$10:AF160,1,0)),IF(AND($N161&gt;=1000,$A161&gt;=AQ$8,$A161&lt;=AQ$9),$B161,""),"")</f>
        <v/>
      </c>
      <c r="AG161" s="38" t="str">
        <f>+IF(ISERROR(VLOOKUP($B161,AG$10:AG160,1,0)),IF(AND($N161&gt;=1000,$A161&gt;=AR$8,$A161&lt;=AR$9),$B161,""),"")</f>
        <v/>
      </c>
      <c r="AH161" s="38"/>
      <c r="AI161" s="70">
        <v>0</v>
      </c>
      <c r="AJ161" s="38">
        <f>IF(AND(AJ$7="○",$A161&gt;=AJ$8,$A161&lt;=AJ$9),IF(SUM(AJ$10:AJ160)-ROUNDDOWN($K161*AJ$5/100,0)&lt;-AJ$6,-AJ$6-SUM(AJ$10:AJ160),-ROUNDDOWN($K161*AJ$5/100,0)),0)</f>
        <v>0</v>
      </c>
      <c r="AK161" s="38">
        <f>IF(AND(AK$7="○",$A161&gt;=AK$8,$A161&lt;=AK$9),IF(SUM(AK$10:AK160)-ROUNDDOWN($L161*AK$5/100,0)&lt;-AK$6,-AK$6-SUM(AK$10:AK160),-ROUNDDOWN($L161*AK$5/100,0)),0)</f>
        <v>0</v>
      </c>
      <c r="AL161" s="38">
        <f>IF(AND(AL$7="○",$A161&gt;=AL$8,$A161&lt;=AL$9),IF(SUM(AL$10:AL160)-ROUNDDOWN($N161*AL$5/100,0)&lt;-AL$6,-AL$6-SUM(AL$10:AL160),-ROUNDDOWN($N161*AL$5/100,0)),0)</f>
        <v>0</v>
      </c>
      <c r="AM161" s="38">
        <f>IF(AND(AM$7="○",$A161&gt;=AM$8,$A161&lt;=AM$9),IF(SUM(AM$10:AM160)-ROUNDDOWN($L161*AM$5/100,0)&lt;-AM$6,-AM$6-SUM(AM$10:AM160),-ROUNDDOWN($L161*AM$5/100,0)),0)</f>
        <v>0</v>
      </c>
      <c r="AN161" s="38">
        <f>IF(AND(AN$7="○",$A161&gt;=AN$8,$A161&lt;=AN$9),IF(SUM(AN$10:AN160)-ROUNDDOWN($M161*AN$5/100,0)&lt;-AN$6,-AN$6-SUM(AN$10:AN160),-ROUNDDOWN($M161*AN$5/100,0)),0)</f>
        <v>0</v>
      </c>
      <c r="AO161" s="38">
        <f>IF(AND($A161&gt;=AO$8,$A161&lt;=AO$9),IF(SUM(AO$10:AO160)-ROUNDDOWN($K161*AO$5/100,0)&lt;-AO$6,-AO$6-SUM(AO$10:AO160),-ROUNDDOWN($K161*AO$5/100,0)),0)</f>
        <v>0</v>
      </c>
      <c r="AP161" s="38">
        <f>IF(AND($A161&gt;=AP$8,$A161&lt;=AP$9),IF(SUM(AP$10:AP160)-ROUNDDOWN($K161*AP$5/100,0)&lt;-AP$6,-AP$6-SUM(AP$10:AP160),-ROUNDDOWN($K161*AP$5/100,0)),0)</f>
        <v>0</v>
      </c>
      <c r="AQ161" s="38">
        <f>IF(AND($A161&gt;=AQ$8,$A161&lt;=AQ$9),IF(SUM(AQ$10:AQ160)-ROUNDDOWN($K161*AQ$5/100,0)&lt;-AQ$6,-AQ$6-SUM(AQ$10:AQ160),-ROUNDDOWN($K161*AQ$5/100,0)),0)</f>
        <v>0</v>
      </c>
      <c r="AR161" s="38">
        <f>IF(AND($A161&gt;=AR$8,$A161&lt;=AR$9),IF(SUM(AR$10:AR160)-ROUNDDOWN($K161*AR$5/100,0)&lt;-AR$6,-AR$6-SUM(AR$10:AR160),-ROUNDDOWN($K161*AR$5/100,0)),0)</f>
        <v>0</v>
      </c>
      <c r="AS161" s="38">
        <f>IF(SUMIFS(AS$10:AS160,$A$10:$A160,$A161)-ROUNDDOWN($K161*$S161/100,0)&lt;-$S161*1000,-$S161*1000-SUMIFS(AS$10:AS160,$A$10:$A160,$A161),-ROUNDDOWN($K161*$S161/100,0))</f>
        <v>0</v>
      </c>
      <c r="AT161" s="38">
        <f>IF(AND(X161="○",$A161&gt;=AT$8,$A161&lt;=AT$9,K161&gt;=3980),IF(SUM(AT$10:AT160)-ROUNDDOWN($K161*AT$5/100,0)&lt;-AT$6,-AT$6-SUM(AT$10:AT160),-ROUNDDOWN($K161*AT$5/100,0)),0)</f>
        <v>0</v>
      </c>
      <c r="AU161" s="38">
        <f>IF(O161="○",IF(SUM(AU$10:AU160)-ROUNDDOWN($K161*AU$5/100,0)&lt;-AU$6,-AU$6-SUM(AU$10:AU160),-ROUNDDOWN($K161*AU$5/100,0)),0)</f>
        <v>0</v>
      </c>
      <c r="AV161" s="38">
        <f>IF(P161="○",IF(SUM(AV$10:AV160)-ROUNDDOWN($K161*AV$5/100,0)&lt;-AV$6,-AV$6-SUM(AV$10:AV160),-ROUNDDOWN($K161*AV$5/100,0)),0)</f>
        <v>0</v>
      </c>
      <c r="AW161" s="38">
        <f>IF(Q161="○",IF(SUM(AW$10:AW160)-ROUNDDOWN($K161*AW$5/100,0)&lt;-AW$6,-AW$6-SUM(AW$10:AW160),-ROUNDDOWN($K161*AW$5/100,0)),0)</f>
        <v>0</v>
      </c>
      <c r="AX161" s="38">
        <f>IF(R161="○",IF(SUM(AX$10:AX160)-ROUNDDOWN($K161*AX$5/100,0)&lt;-AX$6,-AX$6-SUM(AX$10:AX160),-ROUNDDOWN($K161*AX$5/100,0)),0)</f>
        <v>0</v>
      </c>
      <c r="AY161" s="70">
        <v>0</v>
      </c>
      <c r="AZ161" s="65">
        <f t="shared" si="132"/>
        <v>0</v>
      </c>
      <c r="BA161" s="65">
        <f t="shared" si="133"/>
        <v>0</v>
      </c>
      <c r="BB161" s="70"/>
      <c r="BC161" s="65">
        <f t="shared" si="134"/>
        <v>0</v>
      </c>
      <c r="BD161" s="70">
        <v>0</v>
      </c>
      <c r="BE161" s="65">
        <f t="shared" si="135"/>
        <v>0</v>
      </c>
      <c r="BF161" s="70">
        <v>0</v>
      </c>
      <c r="BG161" s="65">
        <f t="shared" si="136"/>
        <v>0</v>
      </c>
      <c r="BH161" s="70">
        <v>0</v>
      </c>
      <c r="BI161" s="65">
        <f t="shared" si="137"/>
        <v>0</v>
      </c>
      <c r="BJ161" s="38">
        <f>IF(AND(BJ$7="○",$A161&gt;=BJ$8,$A161&lt;=BJ$9),IF(SUM(BJ$10:BJ160)-ROUNDDOWN($M161*BJ$5/100,0)&lt;-BJ$6,-BJ$6-SUM(BJ$10:BJ160),-ROUNDDOWN($M161*BJ$5/100,0)),0)</f>
        <v>0</v>
      </c>
      <c r="BK161" s="38">
        <f>IF(AND(BK$7="○",$A161&gt;=BK$8,$A161&lt;=BK$9),IF(SUM(BK$10:BK160)-ROUNDDOWN($L161*BK$5/100,0)&lt;-BK$6,-BK$6-SUM(BK$10:BK160),-ROUNDDOWN($L161*BK$5/100,0)),0)</f>
        <v>0</v>
      </c>
      <c r="BL161" s="38">
        <f>IF(AND(BL$7="○",$A161&gt;=BL$8,$A161&lt;=BL$9),IF(SUM(BL$10:BL160)-ROUNDDOWN($L161*BL$5/100,0)&lt;-BL$6,-BL$6-SUM(BL$10:BL160),-ROUNDDOWN($L161*BL$5/100,0)),0)</f>
        <v>0</v>
      </c>
      <c r="BM161" s="38">
        <f>IF(AND(BM$7="○",$A161&gt;=BM$8,$A161&lt;=BM$9),IF(SUM(BM$10:BM160)-ROUNDDOWN($M161*BM$5/100,0)&lt;-BM$6,-BM$6-SUM(BM$10:BM160),-ROUNDDOWN($M161*BM$5/100,0)),0)</f>
        <v>0</v>
      </c>
      <c r="BN161" s="38">
        <f>IF(AND(BN$7="○",$A161&gt;=BN$8,$A161&lt;=BN$9),IF(SUM(BN$10:BN160)-ROUNDDOWN($M161*BN$5/100,0)&lt;-BN$6,-BN$6-SUM(BN$10:BN160),-ROUNDDOWN($M161*BN$5/100,0)),0)</f>
        <v>0</v>
      </c>
      <c r="BO161" s="38">
        <f>IF(AND(BO$7="○",$A161&gt;=BO$8,$A161&lt;=BO$9),IF(SUM(BO$10:BO160)-ROUNDDOWN($M161*BO$5/100,0)&lt;-BO$6,-BO$6-SUM(BO$10:BO160),-ROUNDDOWN($M161*BO$5/100,0)),0)</f>
        <v>0</v>
      </c>
      <c r="BP161" s="38">
        <f>IF(AND(BP$7="○",$A161&gt;=BP$8,$A161&lt;=BP$9),IF(SUM(BP$10:BP160)-ROUNDDOWN($M161*BP$5/100,0)&lt;-BP$6,-BP$6-SUM(BP$10:BP160),-ROUNDDOWN($M161*BP$5/100,0)),0)</f>
        <v>0</v>
      </c>
      <c r="BQ161" s="38">
        <f>IF(AND(BQ$7="○",$A161&gt;=BQ$8,$A161&lt;=BQ$9),IF(SUM(BQ$10:BQ160)-ROUNDDOWN($L161*BQ$5/100,0)&lt;-BQ$6,-BQ$6-SUM(BQ$10:BQ160),-ROUNDDOWN($L161*BQ$5/100,0)),0)</f>
        <v>0</v>
      </c>
      <c r="BR161" s="38">
        <f>IF(AND(BR$7="○",$A161&gt;=BR$8,$A161&lt;=BR$9),IF(SUM(BR$10:BR160)-ROUNDDOWN($M161*BR$5/100,0)&lt;-BR$6,-BR$6-SUM(BR$10:BR160),-ROUNDDOWN($M161*BR$5/100,0)),0)</f>
        <v>0</v>
      </c>
      <c r="BS161" s="38">
        <f>IF(AND(BS$7="○",$A161&gt;=BS$8,$A161&lt;=BS$9),IF(SUM(BS$10:BS160)-ROUNDDOWN($M161*BS$5/100,0)&lt;-BS$6,-BS$6-SUM(BS$10:BS160),-ROUNDDOWN($M161*BS$5/100,0)),0)</f>
        <v>0</v>
      </c>
      <c r="BT161" s="38">
        <f>IF(AND(BT$7="○",$A161&gt;=BT$8,$A161&lt;=BT$9),IF(SUM(BT$10:BT160)-ROUNDDOWN($M161*BT$5/100,0)&lt;-BT$6,-BT$6-SUM(BT$10:BT160),-ROUNDDOWN($M161*BT$5/100,0)),0)</f>
        <v>0</v>
      </c>
      <c r="BU161" s="38">
        <f>IF(AND(BU$7="○",$A161&gt;=BU$8,$A161&lt;=BU$9),IF(SUM(BU$10:BU160)-ROUNDDOWN($M161*BU$5/100,0)&lt;-BU$6,-BU$6-SUM(BU$10:BU160),-ROUNDDOWN($M161*BU$5/100,0)),0)</f>
        <v>0</v>
      </c>
      <c r="BV161" s="38">
        <f>IF(AND(BV$7="○",$A161&gt;=BV$8,$A161&lt;=BV$9),IF(SUM(BV$10:BV160)-ROUNDDOWN($M161*BV$5/100,0)&lt;-BV$6,-BV$6-SUM(BV$10:BV160),-ROUNDDOWN($M161*BV$5/100,0)),0)</f>
        <v>0</v>
      </c>
      <c r="BW161" s="38">
        <f>IF(AND(BW$7="○",$A161&gt;=BW$8,$A161&lt;=BW$9),IF(SUM(BW$10:BW160)-ROUNDDOWN($M161*BW$5/100,0)&lt;-BW$6,-BW$6-SUM(BW$10:BW160),-ROUNDDOWN($M161*BW$5/100,0)),0)</f>
        <v>0</v>
      </c>
      <c r="BX161" s="38">
        <f>IF(AND(T161="○",$A161&gt;=BX$8,$A161&lt;=BX$9),IF(SUM(BX$10:BX160)-ROUNDDOWN($K161*BX$5/100,0)&lt;-BX$6,-BX$6-SUM(BX$10:BX160),-ROUNDDOWN($K161*BX$5/100,0)),0)</f>
        <v>0</v>
      </c>
      <c r="BY161" s="38">
        <f>IF(AND(U161="○",$A161&gt;=BY$8,$A161&lt;=BY$9),IF(SUM(BY$10:BY160)-ROUNDDOWN($K161*BY$5/100,0)&lt;-BY$6,-BY$6-SUM(BY$10:BY160),-ROUNDDOWN($K161*BY$5/100,0)),0)</f>
        <v>0</v>
      </c>
      <c r="BZ161" s="38">
        <f>IF(AND(V161="○",$A161&gt;=BZ$8,$A161&lt;=BZ$9),IF(SUM(BZ$10:BZ160)-ROUNDDOWN($K161*BZ$5/100,0)&lt;-BZ$6,-BZ$6-SUM(BZ$10:BZ160),-ROUNDDOWN($K161*BZ$5/100,0)),0)</f>
        <v>0</v>
      </c>
      <c r="CA161" s="38">
        <f>IF(AND(W161="○",$A161&gt;=CA$8,$A161&lt;=CA$9),IF(SUM(CA$10:CA160)-ROUNDDOWN($K161*CA$5/100,0)&lt;-CA$6,-CA$6-SUM(CA$10:CA160),-ROUNDDOWN($K161*CA$5/100,0)),0)</f>
        <v>0</v>
      </c>
      <c r="CB161" s="38"/>
      <c r="CC161" s="38"/>
      <c r="CD161" s="38"/>
      <c r="CE161" s="38"/>
      <c r="CF161" s="38"/>
      <c r="CG161" s="65">
        <f t="shared" si="138"/>
        <v>0</v>
      </c>
      <c r="CH161" s="71">
        <f t="shared" si="139"/>
        <v>0</v>
      </c>
      <c r="CI161" s="1">
        <f t="shared" si="127"/>
        <v>0</v>
      </c>
      <c r="CJ161" s="1"/>
      <c r="CK161" s="2"/>
      <c r="CL161" s="2"/>
      <c r="CM161" s="2"/>
      <c r="CN161" s="2"/>
      <c r="CO161" s="73">
        <f t="shared" si="128"/>
        <v>0</v>
      </c>
      <c r="CP161" s="5">
        <f t="shared" si="129"/>
        <v>0</v>
      </c>
      <c r="CQ161" s="1"/>
      <c r="CR161" s="1">
        <f t="shared" si="130"/>
        <v>0</v>
      </c>
      <c r="CS161" s="1"/>
      <c r="CT161" s="1" t="e">
        <f>INDEX([2]マスタ!$A:$A,MATCH(D161,[2]マスタ!$C:$C,0))</f>
        <v>#N/A</v>
      </c>
      <c r="CU161" s="1" t="str">
        <f t="shared" ca="1" si="131"/>
        <v>20260620_0-0</v>
      </c>
    </row>
    <row r="162" spans="1:99" x14ac:dyDescent="0.4">
      <c r="A162" s="61"/>
      <c r="B162" s="62"/>
      <c r="C162" s="62"/>
      <c r="D162" s="62"/>
      <c r="E162" s="63"/>
      <c r="F162" s="62"/>
      <c r="G162" s="62">
        <v>1</v>
      </c>
      <c r="H162" s="64">
        <f t="shared" si="118"/>
        <v>0</v>
      </c>
      <c r="I162" s="64"/>
      <c r="J162" s="78"/>
      <c r="K162" s="65">
        <f t="shared" si="142"/>
        <v>0</v>
      </c>
      <c r="L162" s="65">
        <f t="shared" si="120"/>
        <v>0</v>
      </c>
      <c r="M162" s="65">
        <f t="shared" si="121"/>
        <v>0</v>
      </c>
      <c r="N162" s="65">
        <f t="shared" si="122"/>
        <v>0</v>
      </c>
      <c r="O162" s="66" t="str">
        <f t="shared" si="123"/>
        <v>✕</v>
      </c>
      <c r="P162" s="67" t="str">
        <f t="shared" si="124"/>
        <v>○</v>
      </c>
      <c r="Q162" s="67" t="str">
        <f t="shared" si="143"/>
        <v>✕</v>
      </c>
      <c r="R162" s="67" t="str">
        <f t="shared" si="126"/>
        <v>✕</v>
      </c>
      <c r="S162" s="68">
        <v>0</v>
      </c>
      <c r="T162" s="69" t="s">
        <v>85</v>
      </c>
      <c r="U162" s="69" t="s">
        <v>85</v>
      </c>
      <c r="V162" s="69" t="s">
        <v>85</v>
      </c>
      <c r="W162" s="69" t="s">
        <v>85</v>
      </c>
      <c r="X162" s="69" t="s">
        <v>84</v>
      </c>
      <c r="Y162" s="69" t="s">
        <v>85</v>
      </c>
      <c r="Z162" s="69" t="s">
        <v>85</v>
      </c>
      <c r="AA162" s="69" t="s">
        <v>85</v>
      </c>
      <c r="AB162" s="69" t="s">
        <v>85</v>
      </c>
      <c r="AC162" s="69" t="s">
        <v>85</v>
      </c>
      <c r="AD162" s="38" t="str">
        <f>+IF(ISERROR(VLOOKUP($B162,AD$10:AD161,1,0)),IF(AND($N162&gt;=1000,$A162&gt;=AO$8,$A162&lt;=AO$9),$B162,""),"")</f>
        <v/>
      </c>
      <c r="AE162" s="38" t="str">
        <f>+IF(ISERROR(VLOOKUP($B162,AE$10:AE161,1,0)),IF(AND($N162&gt;=1000,$A162&gt;=AP$8,$A162&lt;=AP$9),$B162,""),"")</f>
        <v/>
      </c>
      <c r="AF162" s="38" t="str">
        <f>+IF(ISERROR(VLOOKUP($B162,AF$10:AF161,1,0)),IF(AND($N162&gt;=1000,$A162&gt;=AQ$8,$A162&lt;=AQ$9),$B162,""),"")</f>
        <v/>
      </c>
      <c r="AG162" s="38" t="str">
        <f>+IF(ISERROR(VLOOKUP($B162,AG$10:AG161,1,0)),IF(AND($N162&gt;=1000,$A162&gt;=AR$8,$A162&lt;=AR$9),$B162,""),"")</f>
        <v/>
      </c>
      <c r="AH162" s="38"/>
      <c r="AI162" s="70">
        <v>0</v>
      </c>
      <c r="AJ162" s="38">
        <f>IF(AND(AJ$7="○",$A162&gt;=AJ$8,$A162&lt;=AJ$9),IF(SUM(AJ$10:AJ161)-ROUNDDOWN($K162*AJ$5/100,0)&lt;-AJ$6,-AJ$6-SUM(AJ$10:AJ161),-ROUNDDOWN($K162*AJ$5/100,0)),0)</f>
        <v>0</v>
      </c>
      <c r="AK162" s="38">
        <f>IF(AND(AK$7="○",$A162&gt;=AK$8,$A162&lt;=AK$9),IF(SUM(AK$10:AK161)-ROUNDDOWN($L162*AK$5/100,0)&lt;-AK$6,-AK$6-SUM(AK$10:AK161),-ROUNDDOWN($L162*AK$5/100,0)),0)</f>
        <v>0</v>
      </c>
      <c r="AL162" s="38">
        <f>IF(AND(AL$7="○",$A162&gt;=AL$8,$A162&lt;=AL$9),IF(SUM(AL$10:AL161)-ROUNDDOWN($N162*AL$5/100,0)&lt;-AL$6,-AL$6-SUM(AL$10:AL161),-ROUNDDOWN($N162*AL$5/100,0)),0)</f>
        <v>0</v>
      </c>
      <c r="AM162" s="38">
        <f>IF(AND(AM$7="○",$A162&gt;=AM$8,$A162&lt;=AM$9),IF(SUM(AM$10:AM161)-ROUNDDOWN($L162*AM$5/100,0)&lt;-AM$6,-AM$6-SUM(AM$10:AM161),-ROUNDDOWN($L162*AM$5/100,0)),0)</f>
        <v>0</v>
      </c>
      <c r="AN162" s="38">
        <f>IF(AND(AN$7="○",$A162&gt;=AN$8,$A162&lt;=AN$9),IF(SUM(AN$10:AN161)-ROUNDDOWN($M162*AN$5/100,0)&lt;-AN$6,-AN$6-SUM(AN$10:AN161),-ROUNDDOWN($M162*AN$5/100,0)),0)</f>
        <v>0</v>
      </c>
      <c r="AO162" s="38">
        <f>IF(AND($A162&gt;=AO$8,$A162&lt;=AO$9),IF(SUM(AO$10:AO161)-ROUNDDOWN($K162*AO$5/100,0)&lt;-AO$6,-AO$6-SUM(AO$10:AO161),-ROUNDDOWN($K162*AO$5/100,0)),0)</f>
        <v>0</v>
      </c>
      <c r="AP162" s="38">
        <f>IF(AND($A162&gt;=AP$8,$A162&lt;=AP$9),IF(SUM(AP$10:AP161)-ROUNDDOWN($K162*AP$5/100,0)&lt;-AP$6,-AP$6-SUM(AP$10:AP161),-ROUNDDOWN($K162*AP$5/100,0)),0)</f>
        <v>0</v>
      </c>
      <c r="AQ162" s="38">
        <f>IF(AND($A162&gt;=AQ$8,$A162&lt;=AQ$9),IF(SUM(AQ$10:AQ161)-ROUNDDOWN($K162*AQ$5/100,0)&lt;-AQ$6,-AQ$6-SUM(AQ$10:AQ161),-ROUNDDOWN($K162*AQ$5/100,0)),0)</f>
        <v>0</v>
      </c>
      <c r="AR162" s="38">
        <f>IF(AND($A162&gt;=AR$8,$A162&lt;=AR$9),IF(SUM(AR$10:AR161)-ROUNDDOWN($K162*AR$5/100,0)&lt;-AR$6,-AR$6-SUM(AR$10:AR161),-ROUNDDOWN($K162*AR$5/100,0)),0)</f>
        <v>0</v>
      </c>
      <c r="AS162" s="38">
        <f>IF(SUMIFS(AS$10:AS161,$A$10:$A161,$A162)-ROUNDDOWN($K162*$S162/100,0)&lt;-$S162*1000,-$S162*1000-SUMIFS(AS$10:AS161,$A$10:$A161,$A162),-ROUNDDOWN($K162*$S162/100,0))</f>
        <v>0</v>
      </c>
      <c r="AT162" s="38">
        <f>IF(AND(X162="○",$A162&gt;=AT$8,$A162&lt;=AT$9,K162&gt;=3980),IF(SUM(AT$10:AT161)-ROUNDDOWN($K162*AT$5/100,0)&lt;-AT$6,-AT$6-SUM(AT$10:AT161),-ROUNDDOWN($K162*AT$5/100,0)),0)</f>
        <v>0</v>
      </c>
      <c r="AU162" s="38">
        <f>IF(O162="○",IF(SUM(AU$10:AU161)-ROUNDDOWN($K162*AU$5/100,0)&lt;-AU$6,-AU$6-SUM(AU$10:AU161),-ROUNDDOWN($K162*AU$5/100,0)),0)</f>
        <v>0</v>
      </c>
      <c r="AV162" s="38">
        <f>IF(P162="○",IF(SUM(AV$10:AV161)-ROUNDDOWN($K162*AV$5/100,0)&lt;-AV$6,-AV$6-SUM(AV$10:AV161),-ROUNDDOWN($K162*AV$5/100,0)),0)</f>
        <v>0</v>
      </c>
      <c r="AW162" s="38">
        <f>IF(Q162="○",IF(SUM(AW$10:AW161)-ROUNDDOWN($K162*AW$5/100,0)&lt;-AW$6,-AW$6-SUM(AW$10:AW161),-ROUNDDOWN($K162*AW$5/100,0)),0)</f>
        <v>0</v>
      </c>
      <c r="AX162" s="38">
        <f>IF(R162="○",IF(SUM(AX$10:AX161)-ROUNDDOWN($K162*AX$5/100,0)&lt;-AX$6,-AX$6-SUM(AX$10:AX161),-ROUNDDOWN($K162*AX$5/100,0)),0)</f>
        <v>0</v>
      </c>
      <c r="AY162" s="70">
        <v>0</v>
      </c>
      <c r="AZ162" s="65">
        <f t="shared" si="132"/>
        <v>0</v>
      </c>
      <c r="BA162" s="65">
        <f t="shared" si="133"/>
        <v>0</v>
      </c>
      <c r="BB162" s="70"/>
      <c r="BC162" s="65">
        <f t="shared" si="134"/>
        <v>0</v>
      </c>
      <c r="BD162" s="70">
        <v>0</v>
      </c>
      <c r="BE162" s="65">
        <f t="shared" si="135"/>
        <v>0</v>
      </c>
      <c r="BF162" s="70">
        <v>0</v>
      </c>
      <c r="BG162" s="65">
        <f t="shared" si="136"/>
        <v>0</v>
      </c>
      <c r="BH162" s="70">
        <v>0</v>
      </c>
      <c r="BI162" s="65">
        <f t="shared" si="137"/>
        <v>0</v>
      </c>
      <c r="BJ162" s="38">
        <f>IF(AND(BJ$7="○",$A162&gt;=BJ$8,$A162&lt;=BJ$9),IF(SUM(BJ$10:BJ161)-ROUNDDOWN($M162*BJ$5/100,0)&lt;-BJ$6,-BJ$6-SUM(BJ$10:BJ161),-ROUNDDOWN($M162*BJ$5/100,0)),0)</f>
        <v>0</v>
      </c>
      <c r="BK162" s="38">
        <f>IF(AND(BK$7="○",$A162&gt;=BK$8,$A162&lt;=BK$9),IF(SUM(BK$10:BK161)-ROUNDDOWN($L162*BK$5/100,0)&lt;-BK$6,-BK$6-SUM(BK$10:BK161),-ROUNDDOWN($L162*BK$5/100,0)),0)</f>
        <v>0</v>
      </c>
      <c r="BL162" s="38">
        <f>IF(AND(BL$7="○",$A162&gt;=BL$8,$A162&lt;=BL$9),IF(SUM(BL$10:BL161)-ROUNDDOWN($L162*BL$5/100,0)&lt;-BL$6,-BL$6-SUM(BL$10:BL161),-ROUNDDOWN($L162*BL$5/100,0)),0)</f>
        <v>0</v>
      </c>
      <c r="BM162" s="38">
        <f>IF(AND(BM$7="○",$A162&gt;=BM$8,$A162&lt;=BM$9),IF(SUM(BM$10:BM161)-ROUNDDOWN($M162*BM$5/100,0)&lt;-BM$6,-BM$6-SUM(BM$10:BM161),-ROUNDDOWN($M162*BM$5/100,0)),0)</f>
        <v>0</v>
      </c>
      <c r="BN162" s="38">
        <f>IF(AND(BN$7="○",$A162&gt;=BN$8,$A162&lt;=BN$9),IF(SUM(BN$10:BN161)-ROUNDDOWN($M162*BN$5/100,0)&lt;-BN$6,-BN$6-SUM(BN$10:BN161),-ROUNDDOWN($M162*BN$5/100,0)),0)</f>
        <v>0</v>
      </c>
      <c r="BO162" s="38">
        <f>IF(AND(BO$7="○",$A162&gt;=BO$8,$A162&lt;=BO$9),IF(SUM(BO$10:BO161)-ROUNDDOWN($M162*BO$5/100,0)&lt;-BO$6,-BO$6-SUM(BO$10:BO161),-ROUNDDOWN($M162*BO$5/100,0)),0)</f>
        <v>0</v>
      </c>
      <c r="BP162" s="38">
        <f>IF(AND(BP$7="○",$A162&gt;=BP$8,$A162&lt;=BP$9),IF(SUM(BP$10:BP161)-ROUNDDOWN($M162*BP$5/100,0)&lt;-BP$6,-BP$6-SUM(BP$10:BP161),-ROUNDDOWN($M162*BP$5/100,0)),0)</f>
        <v>0</v>
      </c>
      <c r="BQ162" s="38">
        <f>IF(AND(BQ$7="○",$A162&gt;=BQ$8,$A162&lt;=BQ$9),IF(SUM(BQ$10:BQ161)-ROUNDDOWN($L162*BQ$5/100,0)&lt;-BQ$6,-BQ$6-SUM(BQ$10:BQ161),-ROUNDDOWN($L162*BQ$5/100,0)),0)</f>
        <v>0</v>
      </c>
      <c r="BR162" s="38">
        <f>IF(AND(BR$7="○",$A162&gt;=BR$8,$A162&lt;=BR$9),IF(SUM(BR$10:BR161)-ROUNDDOWN($M162*BR$5/100,0)&lt;-BR$6,-BR$6-SUM(BR$10:BR161),-ROUNDDOWN($M162*BR$5/100,0)),0)</f>
        <v>0</v>
      </c>
      <c r="BS162" s="38">
        <f>IF(AND(BS$7="○",$A162&gt;=BS$8,$A162&lt;=BS$9),IF(SUM(BS$10:BS161)-ROUNDDOWN($M162*BS$5/100,0)&lt;-BS$6,-BS$6-SUM(BS$10:BS161),-ROUNDDOWN($M162*BS$5/100,0)),0)</f>
        <v>0</v>
      </c>
      <c r="BT162" s="38">
        <f>IF(AND(BT$7="○",$A162&gt;=BT$8,$A162&lt;=BT$9),IF(SUM(BT$10:BT161)-ROUNDDOWN($M162*BT$5/100,0)&lt;-BT$6,-BT$6-SUM(BT$10:BT161),-ROUNDDOWN($M162*BT$5/100,0)),0)</f>
        <v>0</v>
      </c>
      <c r="BU162" s="38">
        <f>IF(AND(BU$7="○",$A162&gt;=BU$8,$A162&lt;=BU$9),IF(SUM(BU$10:BU161)-ROUNDDOWN($M162*BU$5/100,0)&lt;-BU$6,-BU$6-SUM(BU$10:BU161),-ROUNDDOWN($M162*BU$5/100,0)),0)</f>
        <v>0</v>
      </c>
      <c r="BV162" s="38">
        <f>IF(AND(BV$7="○",$A162&gt;=BV$8,$A162&lt;=BV$9),IF(SUM(BV$10:BV161)-ROUNDDOWN($M162*BV$5/100,0)&lt;-BV$6,-BV$6-SUM(BV$10:BV161),-ROUNDDOWN($M162*BV$5/100,0)),0)</f>
        <v>0</v>
      </c>
      <c r="BW162" s="38">
        <f>IF(AND(BW$7="○",$A162&gt;=BW$8,$A162&lt;=BW$9),IF(SUM(BW$10:BW161)-ROUNDDOWN($M162*BW$5/100,0)&lt;-BW$6,-BW$6-SUM(BW$10:BW161),-ROUNDDOWN($M162*BW$5/100,0)),0)</f>
        <v>0</v>
      </c>
      <c r="BX162" s="38">
        <f>IF(AND(T162="○",$A162&gt;=BX$8,$A162&lt;=BX$9),IF(SUM(BX$10:BX161)-ROUNDDOWN($K162*BX$5/100,0)&lt;-BX$6,-BX$6-SUM(BX$10:BX161),-ROUNDDOWN($K162*BX$5/100,0)),0)</f>
        <v>0</v>
      </c>
      <c r="BY162" s="38">
        <f>IF(AND(U162="○",$A162&gt;=BY$8,$A162&lt;=BY$9),IF(SUM(BY$10:BY161)-ROUNDDOWN($K162*BY$5/100,0)&lt;-BY$6,-BY$6-SUM(BY$10:BY161),-ROUNDDOWN($K162*BY$5/100,0)),0)</f>
        <v>0</v>
      </c>
      <c r="BZ162" s="38">
        <f>IF(AND(V162="○",$A162&gt;=BZ$8,$A162&lt;=BZ$9),IF(SUM(BZ$10:BZ161)-ROUNDDOWN($K162*BZ$5/100,0)&lt;-BZ$6,-BZ$6-SUM(BZ$10:BZ161),-ROUNDDOWN($K162*BZ$5/100,0)),0)</f>
        <v>0</v>
      </c>
      <c r="CA162" s="38">
        <f>IF(AND(W162="○",$A162&gt;=CA$8,$A162&lt;=CA$9),IF(SUM(CA$10:CA161)-ROUNDDOWN($K162*CA$5/100,0)&lt;-CA$6,-CA$6-SUM(CA$10:CA161),-ROUNDDOWN($K162*CA$5/100,0)),0)</f>
        <v>0</v>
      </c>
      <c r="CB162" s="38"/>
      <c r="CC162" s="38"/>
      <c r="CD162" s="38"/>
      <c r="CE162" s="38"/>
      <c r="CF162" s="38"/>
      <c r="CG162" s="65">
        <f t="shared" si="138"/>
        <v>0</v>
      </c>
      <c r="CH162" s="71">
        <f t="shared" si="139"/>
        <v>0</v>
      </c>
      <c r="CI162" s="1">
        <f t="shared" si="127"/>
        <v>0</v>
      </c>
      <c r="CJ162" s="1"/>
      <c r="CK162" s="79"/>
      <c r="CL162" s="79"/>
      <c r="CM162" s="2"/>
      <c r="CN162" s="2"/>
      <c r="CO162" s="73">
        <f t="shared" si="128"/>
        <v>0</v>
      </c>
      <c r="CP162" s="5">
        <f t="shared" si="129"/>
        <v>0</v>
      </c>
      <c r="CQ162" s="1"/>
      <c r="CR162" s="1">
        <f t="shared" si="130"/>
        <v>0</v>
      </c>
      <c r="CS162" s="1"/>
      <c r="CT162" s="1" t="e">
        <f>INDEX([2]マスタ!$A:$A,MATCH(D162,[2]マスタ!$C:$C,0))</f>
        <v>#N/A</v>
      </c>
      <c r="CU162" s="1" t="str">
        <f t="shared" ca="1" si="131"/>
        <v>20260620_0-0</v>
      </c>
    </row>
    <row r="163" spans="1:99" x14ac:dyDescent="0.4">
      <c r="A163" s="61"/>
      <c r="B163" s="62"/>
      <c r="C163" s="62"/>
      <c r="D163" s="62"/>
      <c r="E163" s="63"/>
      <c r="F163" s="62"/>
      <c r="G163" s="62">
        <v>1</v>
      </c>
      <c r="H163" s="64">
        <f t="shared" si="118"/>
        <v>0</v>
      </c>
      <c r="I163" s="64"/>
      <c r="J163" s="78"/>
      <c r="K163" s="65">
        <f t="shared" si="142"/>
        <v>0</v>
      </c>
      <c r="L163" s="65">
        <f t="shared" si="120"/>
        <v>0</v>
      </c>
      <c r="M163" s="65">
        <f t="shared" si="121"/>
        <v>0</v>
      </c>
      <c r="N163" s="65">
        <f t="shared" si="122"/>
        <v>0</v>
      </c>
      <c r="O163" s="66" t="str">
        <f t="shared" si="123"/>
        <v>✕</v>
      </c>
      <c r="P163" s="67" t="str">
        <f t="shared" si="124"/>
        <v>○</v>
      </c>
      <c r="Q163" s="67" t="str">
        <f t="shared" si="143"/>
        <v>✕</v>
      </c>
      <c r="R163" s="67" t="str">
        <f t="shared" si="126"/>
        <v>✕</v>
      </c>
      <c r="S163" s="68">
        <v>0</v>
      </c>
      <c r="T163" s="69" t="s">
        <v>85</v>
      </c>
      <c r="U163" s="69" t="s">
        <v>85</v>
      </c>
      <c r="V163" s="69" t="s">
        <v>85</v>
      </c>
      <c r="W163" s="69" t="s">
        <v>85</v>
      </c>
      <c r="X163" s="69" t="s">
        <v>84</v>
      </c>
      <c r="Y163" s="69" t="s">
        <v>85</v>
      </c>
      <c r="Z163" s="69" t="s">
        <v>85</v>
      </c>
      <c r="AA163" s="69" t="s">
        <v>85</v>
      </c>
      <c r="AB163" s="69" t="s">
        <v>85</v>
      </c>
      <c r="AC163" s="69" t="s">
        <v>85</v>
      </c>
      <c r="AD163" s="38" t="str">
        <f>+IF(ISERROR(VLOOKUP($B163,AD$10:AD162,1,0)),IF(AND($N163&gt;=1000,$A163&gt;=AO$8,$A163&lt;=AO$9),$B163,""),"")</f>
        <v/>
      </c>
      <c r="AE163" s="38" t="str">
        <f>+IF(ISERROR(VLOOKUP($B163,AE$10:AE162,1,0)),IF(AND($N163&gt;=1000,$A163&gt;=AP$8,$A163&lt;=AP$9),$B163,""),"")</f>
        <v/>
      </c>
      <c r="AF163" s="38" t="str">
        <f>+IF(ISERROR(VLOOKUP($B163,AF$10:AF162,1,0)),IF(AND($N163&gt;=1000,$A163&gt;=AQ$8,$A163&lt;=AQ$9),$B163,""),"")</f>
        <v/>
      </c>
      <c r="AG163" s="38" t="str">
        <f>+IF(ISERROR(VLOOKUP($B163,AG$10:AG162,1,0)),IF(AND($N163&gt;=1000,$A163&gt;=AR$8,$A163&lt;=AR$9),$B163,""),"")</f>
        <v/>
      </c>
      <c r="AH163" s="38"/>
      <c r="AI163" s="70">
        <v>0</v>
      </c>
      <c r="AJ163" s="38">
        <f>IF(AND(AJ$7="○",$A163&gt;=AJ$8,$A163&lt;=AJ$9),IF(SUM(AJ$10:AJ162)-ROUNDDOWN($K163*AJ$5/100,0)&lt;-AJ$6,-AJ$6-SUM(AJ$10:AJ162),-ROUNDDOWN($K163*AJ$5/100,0)),0)</f>
        <v>0</v>
      </c>
      <c r="AK163" s="38">
        <f>IF(AND(AK$7="○",$A163&gt;=AK$8,$A163&lt;=AK$9),IF(SUM(AK$10:AK162)-ROUNDDOWN($L163*AK$5/100,0)&lt;-AK$6,-AK$6-SUM(AK$10:AK162),-ROUNDDOWN($L163*AK$5/100,0)),0)</f>
        <v>0</v>
      </c>
      <c r="AL163" s="38">
        <f>IF(AND(AL$7="○",$A163&gt;=AL$8,$A163&lt;=AL$9),IF(SUM(AL$10:AL162)-ROUNDDOWN($N163*AL$5/100,0)&lt;-AL$6,-AL$6-SUM(AL$10:AL162),-ROUNDDOWN($N163*AL$5/100,0)),0)</f>
        <v>0</v>
      </c>
      <c r="AM163" s="38">
        <f>IF(AND(AM$7="○",$A163&gt;=AM$8,$A163&lt;=AM$9),IF(SUM(AM$10:AM162)-ROUNDDOWN($L163*AM$5/100,0)&lt;-AM$6,-AM$6-SUM(AM$10:AM162),-ROUNDDOWN($L163*AM$5/100,0)),0)</f>
        <v>0</v>
      </c>
      <c r="AN163" s="38">
        <f>IF(AND(AN$7="○",$A163&gt;=AN$8,$A163&lt;=AN$9),IF(SUM(AN$10:AN162)-ROUNDDOWN($M163*AN$5/100,0)&lt;-AN$6,-AN$6-SUM(AN$10:AN162),-ROUNDDOWN($M163*AN$5/100,0)),0)</f>
        <v>0</v>
      </c>
      <c r="AO163" s="38">
        <f>IF(AND($A163&gt;=AO$8,$A163&lt;=AO$9),IF(SUM(AO$10:AO162)-ROUNDDOWN($K163*AO$5/100,0)&lt;-AO$6,-AO$6-SUM(AO$10:AO162),-ROUNDDOWN($K163*AO$5/100,0)),0)</f>
        <v>0</v>
      </c>
      <c r="AP163" s="38">
        <f>IF(AND($A163&gt;=AP$8,$A163&lt;=AP$9),IF(SUM(AP$10:AP162)-ROUNDDOWN($K163*AP$5/100,0)&lt;-AP$6,-AP$6-SUM(AP$10:AP162),-ROUNDDOWN($K163*AP$5/100,0)),0)</f>
        <v>0</v>
      </c>
      <c r="AQ163" s="38">
        <f>IF(AND($A163&gt;=AQ$8,$A163&lt;=AQ$9),IF(SUM(AQ$10:AQ162)-ROUNDDOWN($K163*AQ$5/100,0)&lt;-AQ$6,-AQ$6-SUM(AQ$10:AQ162),-ROUNDDOWN($K163*AQ$5/100,0)),0)</f>
        <v>0</v>
      </c>
      <c r="AR163" s="38">
        <f>IF(AND($A163&gt;=AR$8,$A163&lt;=AR$9),IF(SUM(AR$10:AR162)-ROUNDDOWN($K163*AR$5/100,0)&lt;-AR$6,-AR$6-SUM(AR$10:AR162),-ROUNDDOWN($K163*AR$5/100,0)),0)</f>
        <v>0</v>
      </c>
      <c r="AS163" s="38">
        <f>IF(SUMIFS(AS$10:AS162,$A$10:$A162,$A163)-ROUNDDOWN($K163*$S163/100,0)&lt;-$S163*1000,-$S163*1000-SUMIFS(AS$10:AS162,$A$10:$A162,$A163),-ROUNDDOWN($K163*$S163/100,0))</f>
        <v>0</v>
      </c>
      <c r="AT163" s="38">
        <f>IF(AND(X163="○",$A163&gt;=AT$8,$A163&lt;=AT$9,K163&gt;=3980),IF(SUM(AT$10:AT162)-ROUNDDOWN($K163*AT$5/100,0)&lt;-AT$6,-AT$6-SUM(AT$10:AT162),-ROUNDDOWN($K163*AT$5/100,0)),0)</f>
        <v>0</v>
      </c>
      <c r="AU163" s="38">
        <f>IF(O163="○",IF(SUM(AU$10:AU162)-ROUNDDOWN($K163*AU$5/100,0)&lt;-AU$6,-AU$6-SUM(AU$10:AU162),-ROUNDDOWN($K163*AU$5/100,0)),0)</f>
        <v>0</v>
      </c>
      <c r="AV163" s="38">
        <f>IF(P163="○",IF(SUM(AV$10:AV162)-ROUNDDOWN($K163*AV$5/100,0)&lt;-AV$6,-AV$6-SUM(AV$10:AV162),-ROUNDDOWN($K163*AV$5/100,0)),0)</f>
        <v>0</v>
      </c>
      <c r="AW163" s="38">
        <f>IF(Q163="○",IF(SUM(AW$10:AW162)-ROUNDDOWN($K163*AW$5/100,0)&lt;-AW$6,-AW$6-SUM(AW$10:AW162),-ROUNDDOWN($K163*AW$5/100,0)),0)</f>
        <v>0</v>
      </c>
      <c r="AX163" s="38">
        <f>IF(R163="○",IF(SUM(AX$10:AX162)-ROUNDDOWN($K163*AX$5/100,0)&lt;-AX$6,-AX$6-SUM(AX$10:AX162),-ROUNDDOWN($K163*AX$5/100,0)),0)</f>
        <v>0</v>
      </c>
      <c r="AY163" s="70">
        <v>0</v>
      </c>
      <c r="AZ163" s="65">
        <f t="shared" si="132"/>
        <v>0</v>
      </c>
      <c r="BA163" s="65">
        <f t="shared" si="133"/>
        <v>0</v>
      </c>
      <c r="BB163" s="70"/>
      <c r="BC163" s="65">
        <f t="shared" si="134"/>
        <v>0</v>
      </c>
      <c r="BD163" s="70">
        <v>0</v>
      </c>
      <c r="BE163" s="65">
        <f t="shared" si="135"/>
        <v>0</v>
      </c>
      <c r="BF163" s="70">
        <v>0</v>
      </c>
      <c r="BG163" s="65">
        <f t="shared" si="136"/>
        <v>0</v>
      </c>
      <c r="BH163" s="70">
        <v>0</v>
      </c>
      <c r="BI163" s="65">
        <f t="shared" si="137"/>
        <v>0</v>
      </c>
      <c r="BJ163" s="38">
        <f>IF(AND(BJ$7="○",$A163&gt;=BJ$8,$A163&lt;=BJ$9),IF(SUM(BJ$10:BJ162)-ROUNDDOWN($M163*BJ$5/100,0)&lt;-BJ$6,-BJ$6-SUM(BJ$10:BJ162),-ROUNDDOWN($M163*BJ$5/100,0)),0)</f>
        <v>0</v>
      </c>
      <c r="BK163" s="38">
        <f>IF(AND(BK$7="○",$A163&gt;=BK$8,$A163&lt;=BK$9),IF(SUM(BK$10:BK162)-ROUNDDOWN($L163*BK$5/100,0)&lt;-BK$6,-BK$6-SUM(BK$10:BK162),-ROUNDDOWN($L163*BK$5/100,0)),0)</f>
        <v>0</v>
      </c>
      <c r="BL163" s="38">
        <f>IF(AND(BL$7="○",$A163&gt;=BL$8,$A163&lt;=BL$9),IF(SUM(BL$10:BL162)-ROUNDDOWN($L163*BL$5/100,0)&lt;-BL$6,-BL$6-SUM(BL$10:BL162),-ROUNDDOWN($L163*BL$5/100,0)),0)</f>
        <v>0</v>
      </c>
      <c r="BM163" s="38">
        <f>IF(AND(BM$7="○",$A163&gt;=BM$8,$A163&lt;=BM$9),IF(SUM(BM$10:BM162)-ROUNDDOWN($M163*BM$5/100,0)&lt;-BM$6,-BM$6-SUM(BM$10:BM162),-ROUNDDOWN($M163*BM$5/100,0)),0)</f>
        <v>0</v>
      </c>
      <c r="BN163" s="38">
        <f>IF(AND(BN$7="○",$A163&gt;=BN$8,$A163&lt;=BN$9),IF(SUM(BN$10:BN162)-ROUNDDOWN($M163*BN$5/100,0)&lt;-BN$6,-BN$6-SUM(BN$10:BN162),-ROUNDDOWN($M163*BN$5/100,0)),0)</f>
        <v>0</v>
      </c>
      <c r="BO163" s="38">
        <f>IF(AND(BO$7="○",$A163&gt;=BO$8,$A163&lt;=BO$9),IF(SUM(BO$10:BO162)-ROUNDDOWN($M163*BO$5/100,0)&lt;-BO$6,-BO$6-SUM(BO$10:BO162),-ROUNDDOWN($M163*BO$5/100,0)),0)</f>
        <v>0</v>
      </c>
      <c r="BP163" s="38">
        <f>IF(AND(BP$7="○",$A163&gt;=BP$8,$A163&lt;=BP$9),IF(SUM(BP$10:BP162)-ROUNDDOWN($M163*BP$5/100,0)&lt;-BP$6,-BP$6-SUM(BP$10:BP162),-ROUNDDOWN($M163*BP$5/100,0)),0)</f>
        <v>0</v>
      </c>
      <c r="BQ163" s="38">
        <f>IF(AND(BQ$7="○",$A163&gt;=BQ$8,$A163&lt;=BQ$9),IF(SUM(BQ$10:BQ162)-ROUNDDOWN($L163*BQ$5/100,0)&lt;-BQ$6,-BQ$6-SUM(BQ$10:BQ162),-ROUNDDOWN($L163*BQ$5/100,0)),0)</f>
        <v>0</v>
      </c>
      <c r="BR163" s="38">
        <f>IF(AND(BR$7="○",$A163&gt;=BR$8,$A163&lt;=BR$9),IF(SUM(BR$10:BR162)-ROUNDDOWN($M163*BR$5/100,0)&lt;-BR$6,-BR$6-SUM(BR$10:BR162),-ROUNDDOWN($M163*BR$5/100,0)),0)</f>
        <v>0</v>
      </c>
      <c r="BS163" s="38">
        <f>IF(AND(BS$7="○",$A163&gt;=BS$8,$A163&lt;=BS$9),IF(SUM(BS$10:BS162)-ROUNDDOWN($M163*BS$5/100,0)&lt;-BS$6,-BS$6-SUM(BS$10:BS162),-ROUNDDOWN($M163*BS$5/100,0)),0)</f>
        <v>0</v>
      </c>
      <c r="BT163" s="38">
        <f>IF(AND(BT$7="○",$A163&gt;=BT$8,$A163&lt;=BT$9),IF(SUM(BT$10:BT162)-ROUNDDOWN($M163*BT$5/100,0)&lt;-BT$6,-BT$6-SUM(BT$10:BT162),-ROUNDDOWN($M163*BT$5/100,0)),0)</f>
        <v>0</v>
      </c>
      <c r="BU163" s="38">
        <f>IF(AND(BU$7="○",$A163&gt;=BU$8,$A163&lt;=BU$9),IF(SUM(BU$10:BU162)-ROUNDDOWN($M163*BU$5/100,0)&lt;-BU$6,-BU$6-SUM(BU$10:BU162),-ROUNDDOWN($M163*BU$5/100,0)),0)</f>
        <v>0</v>
      </c>
      <c r="BV163" s="38">
        <f>IF(AND(BV$7="○",$A163&gt;=BV$8,$A163&lt;=BV$9),IF(SUM(BV$10:BV162)-ROUNDDOWN($M163*BV$5/100,0)&lt;-BV$6,-BV$6-SUM(BV$10:BV162),-ROUNDDOWN($M163*BV$5/100,0)),0)</f>
        <v>0</v>
      </c>
      <c r="BW163" s="38">
        <f>IF(AND(BW$7="○",$A163&gt;=BW$8,$A163&lt;=BW$9),IF(SUM(BW$10:BW162)-ROUNDDOWN($M163*BW$5/100,0)&lt;-BW$6,-BW$6-SUM(BW$10:BW162),-ROUNDDOWN($M163*BW$5/100,0)),0)</f>
        <v>0</v>
      </c>
      <c r="BX163" s="38">
        <f>IF(AND(T163="○",$A163&gt;=BX$8,$A163&lt;=BX$9),IF(SUM(BX$10:BX162)-ROUNDDOWN($K163*BX$5/100,0)&lt;-BX$6,-BX$6-SUM(BX$10:BX162),-ROUNDDOWN($K163*BX$5/100,0)),0)</f>
        <v>0</v>
      </c>
      <c r="BY163" s="38">
        <f>IF(AND(U163="○",$A163&gt;=BY$8,$A163&lt;=BY$9),IF(SUM(BY$10:BY162)-ROUNDDOWN($K163*BY$5/100,0)&lt;-BY$6,-BY$6-SUM(BY$10:BY162),-ROUNDDOWN($K163*BY$5/100,0)),0)</f>
        <v>0</v>
      </c>
      <c r="BZ163" s="38">
        <f>IF(AND(V163="○",$A163&gt;=BZ$8,$A163&lt;=BZ$9),IF(SUM(BZ$10:BZ162)-ROUNDDOWN($K163*BZ$5/100,0)&lt;-BZ$6,-BZ$6-SUM(BZ$10:BZ162),-ROUNDDOWN($K163*BZ$5/100,0)),0)</f>
        <v>0</v>
      </c>
      <c r="CA163" s="38">
        <f>IF(AND(W163="○",$A163&gt;=CA$8,$A163&lt;=CA$9),IF(SUM(CA$10:CA162)-ROUNDDOWN($K163*CA$5/100,0)&lt;-CA$6,-CA$6-SUM(CA$10:CA162),-ROUNDDOWN($K163*CA$5/100,0)),0)</f>
        <v>0</v>
      </c>
      <c r="CB163" s="38"/>
      <c r="CC163" s="38"/>
      <c r="CD163" s="38"/>
      <c r="CE163" s="38"/>
      <c r="CF163" s="38"/>
      <c r="CG163" s="65">
        <f t="shared" si="138"/>
        <v>0</v>
      </c>
      <c r="CH163" s="71">
        <f t="shared" si="139"/>
        <v>0</v>
      </c>
      <c r="CI163" s="1">
        <f t="shared" si="127"/>
        <v>0</v>
      </c>
      <c r="CJ163" s="1"/>
      <c r="CK163" s="79"/>
      <c r="CL163" s="79"/>
      <c r="CM163" s="2"/>
      <c r="CN163" s="2"/>
      <c r="CO163" s="73">
        <f t="shared" si="128"/>
        <v>0</v>
      </c>
      <c r="CP163" s="5">
        <f t="shared" si="129"/>
        <v>0</v>
      </c>
      <c r="CQ163" s="1"/>
      <c r="CR163" s="1">
        <f t="shared" si="130"/>
        <v>0</v>
      </c>
      <c r="CS163" s="1"/>
      <c r="CT163" s="1" t="e">
        <f>INDEX([2]マスタ!$A:$A,MATCH(D163,[2]マスタ!$C:$C,0))</f>
        <v>#N/A</v>
      </c>
      <c r="CU163" s="1" t="str">
        <f t="shared" ca="1" si="131"/>
        <v>20260620_0-0</v>
      </c>
    </row>
    <row r="164" spans="1:99" x14ac:dyDescent="0.4">
      <c r="A164" s="61"/>
      <c r="B164" s="62"/>
      <c r="C164" s="62"/>
      <c r="D164" s="62"/>
      <c r="E164" s="77"/>
      <c r="F164" s="62"/>
      <c r="G164" s="62">
        <v>1</v>
      </c>
      <c r="H164" s="64">
        <f t="shared" si="118"/>
        <v>0</v>
      </c>
      <c r="I164" s="64"/>
      <c r="J164" s="64"/>
      <c r="K164" s="65">
        <f t="shared" si="142"/>
        <v>0</v>
      </c>
      <c r="L164" s="65">
        <f t="shared" si="120"/>
        <v>0</v>
      </c>
      <c r="M164" s="65">
        <f t="shared" si="121"/>
        <v>0</v>
      </c>
      <c r="N164" s="65">
        <f t="shared" si="122"/>
        <v>0</v>
      </c>
      <c r="O164" s="66" t="str">
        <f t="shared" si="123"/>
        <v>✕</v>
      </c>
      <c r="P164" s="67" t="str">
        <f t="shared" si="124"/>
        <v>○</v>
      </c>
      <c r="Q164" s="67" t="str">
        <f t="shared" si="143"/>
        <v>✕</v>
      </c>
      <c r="R164" s="67" t="str">
        <f t="shared" si="126"/>
        <v>✕</v>
      </c>
      <c r="S164" s="68">
        <v>0</v>
      </c>
      <c r="T164" s="69" t="s">
        <v>85</v>
      </c>
      <c r="U164" s="69" t="s">
        <v>85</v>
      </c>
      <c r="V164" s="69" t="s">
        <v>85</v>
      </c>
      <c r="W164" s="69" t="s">
        <v>85</v>
      </c>
      <c r="X164" s="69" t="s">
        <v>84</v>
      </c>
      <c r="Y164" s="69" t="s">
        <v>85</v>
      </c>
      <c r="Z164" s="69" t="s">
        <v>85</v>
      </c>
      <c r="AA164" s="69" t="s">
        <v>85</v>
      </c>
      <c r="AB164" s="69" t="s">
        <v>85</v>
      </c>
      <c r="AC164" s="69" t="s">
        <v>85</v>
      </c>
      <c r="AD164" s="38" t="str">
        <f>+IF(ISERROR(VLOOKUP($B164,AD$10:AD163,1,0)),IF(AND($N164&gt;=1000,$A164&gt;=AO$8,$A164&lt;=AO$9),$B164,""),"")</f>
        <v/>
      </c>
      <c r="AE164" s="38" t="str">
        <f>+IF(ISERROR(VLOOKUP($B164,AE$10:AE163,1,0)),IF(AND($N164&gt;=1000,$A164&gt;=AP$8,$A164&lt;=AP$9),$B164,""),"")</f>
        <v/>
      </c>
      <c r="AF164" s="38" t="str">
        <f>+IF(ISERROR(VLOOKUP($B164,AF$10:AF163,1,0)),IF(AND($N164&gt;=1000,$A164&gt;=AQ$8,$A164&lt;=AQ$9),$B164,""),"")</f>
        <v/>
      </c>
      <c r="AG164" s="38" t="str">
        <f>+IF(ISERROR(VLOOKUP($B164,AG$10:AG163,1,0)),IF(AND($N164&gt;=1000,$A164&gt;=AR$8,$A164&lt;=AR$9),$B164,""),"")</f>
        <v/>
      </c>
      <c r="AH164" s="38"/>
      <c r="AI164" s="70">
        <v>0</v>
      </c>
      <c r="AJ164" s="38">
        <f>IF(AND(AJ$7="○",$A164&gt;=AJ$8,$A164&lt;=AJ$9),IF(SUM(AJ$10:AJ163)-ROUNDDOWN($K164*AJ$5/100,0)&lt;-AJ$6,-AJ$6-SUM(AJ$10:AJ163),-ROUNDDOWN($K164*AJ$5/100,0)),0)</f>
        <v>0</v>
      </c>
      <c r="AK164" s="38">
        <f>IF(AND(AK$7="○",$A164&gt;=AK$8,$A164&lt;=AK$9),IF(SUM(AK$10:AK163)-ROUNDDOWN($L164*AK$5/100,0)&lt;-AK$6,-AK$6-SUM(AK$10:AK163),-ROUNDDOWN($L164*AK$5/100,0)),0)</f>
        <v>0</v>
      </c>
      <c r="AL164" s="38">
        <f>IF(AND(AL$7="○",$A164&gt;=AL$8,$A164&lt;=AL$9),IF(SUM(AL$10:AL163)-ROUNDDOWN($N164*AL$5/100,0)&lt;-AL$6,-AL$6-SUM(AL$10:AL163),-ROUNDDOWN($N164*AL$5/100,0)),0)</f>
        <v>0</v>
      </c>
      <c r="AM164" s="38">
        <f>IF(AND(AM$7="○",$A164&gt;=AM$8,$A164&lt;=AM$9),IF(SUM(AM$10:AM163)-ROUNDDOWN($L164*AM$5/100,0)&lt;-AM$6,-AM$6-SUM(AM$10:AM163),-ROUNDDOWN($L164*AM$5/100,0)),0)</f>
        <v>0</v>
      </c>
      <c r="AN164" s="38">
        <f>IF(AND(AN$7="○",$A164&gt;=AN$8,$A164&lt;=AN$9),IF(SUM(AN$10:AN163)-ROUNDDOWN($M164*AN$5/100,0)&lt;-AN$6,-AN$6-SUM(AN$10:AN163),-ROUNDDOWN($M164*AN$5/100,0)),0)</f>
        <v>0</v>
      </c>
      <c r="AO164" s="38">
        <f>IF(AND($A164&gt;=AO$8,$A164&lt;=AO$9),IF(SUM(AO$10:AO163)-ROUNDDOWN($K164*AO$5/100,0)&lt;-AO$6,-AO$6-SUM(AO$10:AO163),-ROUNDDOWN($K164*AO$5/100,0)),0)</f>
        <v>0</v>
      </c>
      <c r="AP164" s="38">
        <f>IF(AND($A164&gt;=AP$8,$A164&lt;=AP$9),IF(SUM(AP$10:AP163)-ROUNDDOWN($K164*AP$5/100,0)&lt;-AP$6,-AP$6-SUM(AP$10:AP163),-ROUNDDOWN($K164*AP$5/100,0)),0)</f>
        <v>0</v>
      </c>
      <c r="AQ164" s="38">
        <f>IF(AND($A164&gt;=AQ$8,$A164&lt;=AQ$9),IF(SUM(AQ$10:AQ163)-ROUNDDOWN($K164*AQ$5/100,0)&lt;-AQ$6,-AQ$6-SUM(AQ$10:AQ163),-ROUNDDOWN($K164*AQ$5/100,0)),0)</f>
        <v>0</v>
      </c>
      <c r="AR164" s="38">
        <f>IF(AND($A164&gt;=AR$8,$A164&lt;=AR$9),IF(SUM(AR$10:AR163)-ROUNDDOWN($K164*AR$5/100,0)&lt;-AR$6,-AR$6-SUM(AR$10:AR163),-ROUNDDOWN($K164*AR$5/100,0)),0)</f>
        <v>0</v>
      </c>
      <c r="AS164" s="38">
        <f>IF(SUMIFS(AS$10:AS163,$A$10:$A163,$A164)-ROUNDDOWN($K164*$S164/100,0)&lt;-$S164*1000,-$S164*1000-SUMIFS(AS$10:AS163,$A$10:$A163,$A164),-ROUNDDOWN($K164*$S164/100,0))</f>
        <v>0</v>
      </c>
      <c r="AT164" s="38">
        <f>IF(AND(X164="○",$A164&gt;=AT$8,$A164&lt;=AT$9,K164&gt;=3980),IF(SUM(AT$10:AT163)-ROUNDDOWN($K164*AT$5/100,0)&lt;-AT$6,-AT$6-SUM(AT$10:AT163),-ROUNDDOWN($K164*AT$5/100,0)),0)</f>
        <v>0</v>
      </c>
      <c r="AU164" s="38">
        <f>IF(O164="○",IF(SUM(AU$10:AU163)-ROUNDDOWN($K164*AU$5/100,0)&lt;-AU$6,-AU$6-SUM(AU$10:AU163),-ROUNDDOWN($K164*AU$5/100,0)),0)</f>
        <v>0</v>
      </c>
      <c r="AV164" s="38">
        <f>IF(P164="○",IF(SUM(AV$10:AV163)-ROUNDDOWN($K164*AV$5/100,0)&lt;-AV$6,-AV$6-SUM(AV$10:AV163),-ROUNDDOWN($K164*AV$5/100,0)),0)</f>
        <v>0</v>
      </c>
      <c r="AW164" s="38">
        <f>IF(Q164="○",IF(SUM(AW$10:AW163)-ROUNDDOWN($K164*AW$5/100,0)&lt;-AW$6,-AW$6-SUM(AW$10:AW163),-ROUNDDOWN($K164*AW$5/100,0)),0)</f>
        <v>0</v>
      </c>
      <c r="AX164" s="38">
        <f>IF(R164="○",IF(SUM(AX$10:AX163)-ROUNDDOWN($K164*AX$5/100,0)&lt;-AX$6,-AX$6-SUM(AX$10:AX163),-ROUNDDOWN($K164*AX$5/100,0)),0)</f>
        <v>0</v>
      </c>
      <c r="AY164" s="70">
        <v>0</v>
      </c>
      <c r="AZ164" s="65">
        <f t="shared" si="132"/>
        <v>0</v>
      </c>
      <c r="BA164" s="65">
        <f t="shared" si="133"/>
        <v>0</v>
      </c>
      <c r="BB164" s="70"/>
      <c r="BC164" s="65">
        <f t="shared" si="134"/>
        <v>0</v>
      </c>
      <c r="BD164" s="70">
        <v>0</v>
      </c>
      <c r="BE164" s="65">
        <f t="shared" si="135"/>
        <v>0</v>
      </c>
      <c r="BF164" s="70">
        <v>0</v>
      </c>
      <c r="BG164" s="65">
        <f t="shared" si="136"/>
        <v>0</v>
      </c>
      <c r="BH164" s="70">
        <v>0</v>
      </c>
      <c r="BI164" s="65">
        <f t="shared" si="137"/>
        <v>0</v>
      </c>
      <c r="BJ164" s="38">
        <f>IF(AND(BJ$7="○",$A164&gt;=BJ$8,$A164&lt;=BJ$9),IF(SUM(BJ$10:BJ163)-ROUNDDOWN($M164*BJ$5/100,0)&lt;-BJ$6,-BJ$6-SUM(BJ$10:BJ163),-ROUNDDOWN($M164*BJ$5/100,0)),0)</f>
        <v>0</v>
      </c>
      <c r="BK164" s="38">
        <f>IF(AND(BK$7="○",$A164&gt;=BK$8,$A164&lt;=BK$9),IF(SUM(BK$10:BK163)-ROUNDDOWN($L164*BK$5/100,0)&lt;-BK$6,-BK$6-SUM(BK$10:BK163),-ROUNDDOWN($L164*BK$5/100,0)),0)</f>
        <v>0</v>
      </c>
      <c r="BL164" s="38">
        <f>IF(AND(BL$7="○",$A164&gt;=BL$8,$A164&lt;=BL$9),IF(SUM(BL$10:BL163)-ROUNDDOWN($L164*BL$5/100,0)&lt;-BL$6,-BL$6-SUM(BL$10:BL163),-ROUNDDOWN($L164*BL$5/100,0)),0)</f>
        <v>0</v>
      </c>
      <c r="BM164" s="38">
        <f>IF(AND(BM$7="○",$A164&gt;=BM$8,$A164&lt;=BM$9),IF(SUM(BM$10:BM163)-ROUNDDOWN($M164*BM$5/100,0)&lt;-BM$6,-BM$6-SUM(BM$10:BM163),-ROUNDDOWN($M164*BM$5/100,0)),0)</f>
        <v>0</v>
      </c>
      <c r="BN164" s="38">
        <f>IF(AND(BN$7="○",$A164&gt;=BN$8,$A164&lt;=BN$9),IF(SUM(BN$10:BN163)-ROUNDDOWN($M164*BN$5/100,0)&lt;-BN$6,-BN$6-SUM(BN$10:BN163),-ROUNDDOWN($M164*BN$5/100,0)),0)</f>
        <v>0</v>
      </c>
      <c r="BO164" s="38">
        <f>IF(AND(BO$7="○",$A164&gt;=BO$8,$A164&lt;=BO$9),IF(SUM(BO$10:BO163)-ROUNDDOWN($M164*BO$5/100,0)&lt;-BO$6,-BO$6-SUM(BO$10:BO163),-ROUNDDOWN($M164*BO$5/100,0)),0)</f>
        <v>0</v>
      </c>
      <c r="BP164" s="38">
        <f>IF(AND(BP$7="○",$A164&gt;=BP$8,$A164&lt;=BP$9),IF(SUM(BP$10:BP163)-ROUNDDOWN($M164*BP$5/100,0)&lt;-BP$6,-BP$6-SUM(BP$10:BP163),-ROUNDDOWN($M164*BP$5/100,0)),0)</f>
        <v>0</v>
      </c>
      <c r="BQ164" s="38">
        <f>IF(AND(BQ$7="○",$A164&gt;=BQ$8,$A164&lt;=BQ$9),IF(SUM(BQ$10:BQ163)-ROUNDDOWN($L164*BQ$5/100,0)&lt;-BQ$6,-BQ$6-SUM(BQ$10:BQ163),-ROUNDDOWN($L164*BQ$5/100,0)),0)</f>
        <v>0</v>
      </c>
      <c r="BR164" s="38">
        <f>IF(AND(BR$7="○",$A164&gt;=BR$8,$A164&lt;=BR$9),IF(SUM(BR$10:BR163)-ROUNDDOWN($M164*BR$5/100,0)&lt;-BR$6,-BR$6-SUM(BR$10:BR163),-ROUNDDOWN($M164*BR$5/100,0)),0)</f>
        <v>0</v>
      </c>
      <c r="BS164" s="38">
        <f>IF(AND(BS$7="○",$A164&gt;=BS$8,$A164&lt;=BS$9),IF(SUM(BS$10:BS163)-ROUNDDOWN($M164*BS$5/100,0)&lt;-BS$6,-BS$6-SUM(BS$10:BS163),-ROUNDDOWN($M164*BS$5/100,0)),0)</f>
        <v>0</v>
      </c>
      <c r="BT164" s="38">
        <f>IF(AND(BT$7="○",$A164&gt;=BT$8,$A164&lt;=BT$9),IF(SUM(BT$10:BT163)-ROUNDDOWN($M164*BT$5/100,0)&lt;-BT$6,-BT$6-SUM(BT$10:BT163),-ROUNDDOWN($M164*BT$5/100,0)),0)</f>
        <v>0</v>
      </c>
      <c r="BU164" s="38">
        <f>IF(AND(BU$7="○",$A164&gt;=BU$8,$A164&lt;=BU$9),IF(SUM(BU$10:BU163)-ROUNDDOWN($M164*BU$5/100,0)&lt;-BU$6,-BU$6-SUM(BU$10:BU163),-ROUNDDOWN($M164*BU$5/100,0)),0)</f>
        <v>0</v>
      </c>
      <c r="BV164" s="38">
        <f>IF(AND(BV$7="○",$A164&gt;=BV$8,$A164&lt;=BV$9),IF(SUM(BV$10:BV163)-ROUNDDOWN($M164*BV$5/100,0)&lt;-BV$6,-BV$6-SUM(BV$10:BV163),-ROUNDDOWN($M164*BV$5/100,0)),0)</f>
        <v>0</v>
      </c>
      <c r="BW164" s="38">
        <f>IF(AND(BW$7="○",$A164&gt;=BW$8,$A164&lt;=BW$9),IF(SUM(BW$10:BW163)-ROUNDDOWN($M164*BW$5/100,0)&lt;-BW$6,-BW$6-SUM(BW$10:BW163),-ROUNDDOWN($M164*BW$5/100,0)),0)</f>
        <v>0</v>
      </c>
      <c r="BX164" s="38">
        <f>IF(AND(T164="○",$A164&gt;=BX$8,$A164&lt;=BX$9),IF(SUM(BX$10:BX163)-ROUNDDOWN($K164*BX$5/100,0)&lt;-BX$6,-BX$6-SUM(BX$10:BX163),-ROUNDDOWN($K164*BX$5/100,0)),0)</f>
        <v>0</v>
      </c>
      <c r="BY164" s="38">
        <f>IF(AND(U164="○",$A164&gt;=BY$8,$A164&lt;=BY$9),IF(SUM(BY$10:BY163)-ROUNDDOWN($K164*BY$5/100,0)&lt;-BY$6,-BY$6-SUM(BY$10:BY163),-ROUNDDOWN($K164*BY$5/100,0)),0)</f>
        <v>0</v>
      </c>
      <c r="BZ164" s="38">
        <f>IF(AND(V164="○",$A164&gt;=BZ$8,$A164&lt;=BZ$9),IF(SUM(BZ$10:BZ163)-ROUNDDOWN($K164*BZ$5/100,0)&lt;-BZ$6,-BZ$6-SUM(BZ$10:BZ163),-ROUNDDOWN($K164*BZ$5/100,0)),0)</f>
        <v>0</v>
      </c>
      <c r="CA164" s="38">
        <f>IF(AND(W164="○",$A164&gt;=CA$8,$A164&lt;=CA$9),IF(SUM(CA$10:CA163)-ROUNDDOWN($K164*CA$5/100,0)&lt;-CA$6,-CA$6-SUM(CA$10:CA163),-ROUNDDOWN($K164*CA$5/100,0)),0)</f>
        <v>0</v>
      </c>
      <c r="CB164" s="38"/>
      <c r="CC164" s="38"/>
      <c r="CD164" s="38"/>
      <c r="CE164" s="38"/>
      <c r="CF164" s="38"/>
      <c r="CG164" s="65">
        <f t="shared" si="138"/>
        <v>0</v>
      </c>
      <c r="CH164" s="71">
        <f t="shared" si="139"/>
        <v>0</v>
      </c>
      <c r="CI164" s="1">
        <f t="shared" si="127"/>
        <v>0</v>
      </c>
      <c r="CJ164" s="1"/>
      <c r="CK164" s="79"/>
      <c r="CL164" s="79"/>
      <c r="CM164" s="2"/>
      <c r="CN164" s="2"/>
      <c r="CO164" s="73">
        <f t="shared" si="128"/>
        <v>0</v>
      </c>
      <c r="CP164" s="5">
        <f t="shared" si="129"/>
        <v>0</v>
      </c>
      <c r="CQ164" s="1"/>
      <c r="CR164" s="1">
        <f t="shared" si="130"/>
        <v>0</v>
      </c>
      <c r="CS164" s="1"/>
      <c r="CT164" s="1" t="e">
        <f>INDEX([2]マスタ!$A:$A,MATCH(D164,[2]マスタ!$C:$C,0))</f>
        <v>#N/A</v>
      </c>
      <c r="CU164" s="1" t="str">
        <f t="shared" ca="1" si="131"/>
        <v>20260620_0-0</v>
      </c>
    </row>
    <row r="165" spans="1:99" x14ac:dyDescent="0.4">
      <c r="A165" s="61"/>
      <c r="B165" s="62"/>
      <c r="C165" s="62"/>
      <c r="D165" s="62"/>
      <c r="E165" s="63"/>
      <c r="F165" s="62"/>
      <c r="G165" s="62">
        <v>1</v>
      </c>
      <c r="H165" s="64">
        <f t="shared" si="118"/>
        <v>0</v>
      </c>
      <c r="I165" s="64"/>
      <c r="J165" s="64"/>
      <c r="K165" s="65">
        <f t="shared" si="142"/>
        <v>0</v>
      </c>
      <c r="L165" s="65">
        <f t="shared" si="120"/>
        <v>0</v>
      </c>
      <c r="M165" s="65">
        <f t="shared" si="121"/>
        <v>0</v>
      </c>
      <c r="N165" s="65">
        <f t="shared" si="122"/>
        <v>0</v>
      </c>
      <c r="O165" s="66" t="str">
        <f t="shared" si="123"/>
        <v>✕</v>
      </c>
      <c r="P165" s="67" t="str">
        <f t="shared" si="124"/>
        <v>○</v>
      </c>
      <c r="Q165" s="67" t="str">
        <f t="shared" si="143"/>
        <v>✕</v>
      </c>
      <c r="R165" s="67" t="str">
        <f t="shared" si="126"/>
        <v>✕</v>
      </c>
      <c r="S165" s="68">
        <v>0</v>
      </c>
      <c r="T165" s="69" t="s">
        <v>85</v>
      </c>
      <c r="U165" s="69" t="s">
        <v>85</v>
      </c>
      <c r="V165" s="69" t="s">
        <v>85</v>
      </c>
      <c r="W165" s="69" t="s">
        <v>85</v>
      </c>
      <c r="X165" s="69" t="s">
        <v>84</v>
      </c>
      <c r="Y165" s="69" t="s">
        <v>85</v>
      </c>
      <c r="Z165" s="69" t="s">
        <v>85</v>
      </c>
      <c r="AA165" s="69" t="s">
        <v>85</v>
      </c>
      <c r="AB165" s="69" t="s">
        <v>85</v>
      </c>
      <c r="AC165" s="69" t="s">
        <v>85</v>
      </c>
      <c r="AD165" s="38" t="str">
        <f>+IF(ISERROR(VLOOKUP($B165,AD$10:AD164,1,0)),IF(AND($N165&gt;=1000,$A165&gt;=AO$8,$A165&lt;=AO$9),$B165,""),"")</f>
        <v/>
      </c>
      <c r="AE165" s="38" t="str">
        <f>+IF(ISERROR(VLOOKUP($B165,AE$10:AE164,1,0)),IF(AND($N165&gt;=1000,$A165&gt;=AP$8,$A165&lt;=AP$9),$B165,""),"")</f>
        <v/>
      </c>
      <c r="AF165" s="38" t="str">
        <f>+IF(ISERROR(VLOOKUP($B165,AF$10:AF164,1,0)),IF(AND($N165&gt;=1000,$A165&gt;=AQ$8,$A165&lt;=AQ$9),$B165,""),"")</f>
        <v/>
      </c>
      <c r="AG165" s="38" t="str">
        <f>+IF(ISERROR(VLOOKUP($B165,AG$10:AG164,1,0)),IF(AND($N165&gt;=1000,$A165&gt;=AR$8,$A165&lt;=AR$9),$B165,""),"")</f>
        <v/>
      </c>
      <c r="AH165" s="38"/>
      <c r="AI165" s="70">
        <v>0</v>
      </c>
      <c r="AJ165" s="38">
        <f>IF(AND(AJ$7="○",$A165&gt;=AJ$8,$A165&lt;=AJ$9),IF(SUM(AJ$10:AJ164)-ROUNDDOWN($K165*AJ$5/100,0)&lt;-AJ$6,-AJ$6-SUM(AJ$10:AJ164),-ROUNDDOWN($K165*AJ$5/100,0)),0)</f>
        <v>0</v>
      </c>
      <c r="AK165" s="38">
        <f>IF(AND(AK$7="○",$A165&gt;=AK$8,$A165&lt;=AK$9),IF(SUM(AK$10:AK164)-ROUNDDOWN($L165*AK$5/100,0)&lt;-AK$6,-AK$6-SUM(AK$10:AK164),-ROUNDDOWN($L165*AK$5/100,0)),0)</f>
        <v>0</v>
      </c>
      <c r="AL165" s="38">
        <f>IF(AND(AL$7="○",$A165&gt;=AL$8,$A165&lt;=AL$9),IF(SUM(AL$10:AL164)-ROUNDDOWN($N165*AL$5/100,0)&lt;-AL$6,-AL$6-SUM(AL$10:AL164),-ROUNDDOWN($N165*AL$5/100,0)),0)</f>
        <v>0</v>
      </c>
      <c r="AM165" s="38">
        <f>IF(AND(AM$7="○",$A165&gt;=AM$8,$A165&lt;=AM$9),IF(SUM(AM$10:AM164)-ROUNDDOWN($L165*AM$5/100,0)&lt;-AM$6,-AM$6-SUM(AM$10:AM164),-ROUNDDOWN($L165*AM$5/100,0)),0)</f>
        <v>0</v>
      </c>
      <c r="AN165" s="38">
        <f>IF(AND(AN$7="○",$A165&gt;=AN$8,$A165&lt;=AN$9),IF(SUM(AN$10:AN164)-ROUNDDOWN($M165*AN$5/100,0)&lt;-AN$6,-AN$6-SUM(AN$10:AN164),-ROUNDDOWN($M165*AN$5/100,0)),0)</f>
        <v>0</v>
      </c>
      <c r="AO165" s="38">
        <f>IF(AND($A165&gt;=AO$8,$A165&lt;=AO$9),IF(SUM(AO$10:AO164)-ROUNDDOWN($K165*AO$5/100,0)&lt;-AO$6,-AO$6-SUM(AO$10:AO164),-ROUNDDOWN($K165*AO$5/100,0)),0)</f>
        <v>0</v>
      </c>
      <c r="AP165" s="38">
        <f>IF(AND($A165&gt;=AP$8,$A165&lt;=AP$9),IF(SUM(AP$10:AP164)-ROUNDDOWN($K165*AP$5/100,0)&lt;-AP$6,-AP$6-SUM(AP$10:AP164),-ROUNDDOWN($K165*AP$5/100,0)),0)</f>
        <v>0</v>
      </c>
      <c r="AQ165" s="38">
        <f>IF(AND($A165&gt;=AQ$8,$A165&lt;=AQ$9),IF(SUM(AQ$10:AQ164)-ROUNDDOWN($K165*AQ$5/100,0)&lt;-AQ$6,-AQ$6-SUM(AQ$10:AQ164),-ROUNDDOWN($K165*AQ$5/100,0)),0)</f>
        <v>0</v>
      </c>
      <c r="AR165" s="38">
        <f>IF(AND($A165&gt;=AR$8,$A165&lt;=AR$9),IF(SUM(AR$10:AR164)-ROUNDDOWN($K165*AR$5/100,0)&lt;-AR$6,-AR$6-SUM(AR$10:AR164),-ROUNDDOWN($K165*AR$5/100,0)),0)</f>
        <v>0</v>
      </c>
      <c r="AS165" s="38">
        <f>IF(SUMIFS(AS$10:AS164,$A$10:$A164,$A165)-ROUNDDOWN($K165*$S165/100,0)&lt;-$S165*1000,-$S165*1000-SUMIFS(AS$10:AS164,$A$10:$A164,$A165),-ROUNDDOWN($K165*$S165/100,0))</f>
        <v>0</v>
      </c>
      <c r="AT165" s="38">
        <f>IF(AND(X165="○",$A165&gt;=AT$8,$A165&lt;=AT$9,K165&gt;=3980),IF(SUM(AT$10:AT164)-ROUNDDOWN($K165*AT$5/100,0)&lt;-AT$6,-AT$6-SUM(AT$10:AT164),-ROUNDDOWN($K165*AT$5/100,0)),0)</f>
        <v>0</v>
      </c>
      <c r="AU165" s="38">
        <f>IF(O165="○",IF(SUM(AU$10:AU164)-ROUNDDOWN($K165*AU$5/100,0)&lt;-AU$6,-AU$6-SUM(AU$10:AU164),-ROUNDDOWN($K165*AU$5/100,0)),0)</f>
        <v>0</v>
      </c>
      <c r="AV165" s="38">
        <f>IF(P165="○",IF(SUM(AV$10:AV164)-ROUNDDOWN($K165*AV$5/100,0)&lt;-AV$6,-AV$6-SUM(AV$10:AV164),-ROUNDDOWN($K165*AV$5/100,0)),0)</f>
        <v>0</v>
      </c>
      <c r="AW165" s="38">
        <f>IF(Q165="○",IF(SUM(AW$10:AW164)-ROUNDDOWN($K165*AW$5/100,0)&lt;-AW$6,-AW$6-SUM(AW$10:AW164),-ROUNDDOWN($K165*AW$5/100,0)),0)</f>
        <v>0</v>
      </c>
      <c r="AX165" s="38">
        <f>IF(R165="○",IF(SUM(AX$10:AX164)-ROUNDDOWN($K165*AX$5/100,0)&lt;-AX$6,-AX$6-SUM(AX$10:AX164),-ROUNDDOWN($K165*AX$5/100,0)),0)</f>
        <v>0</v>
      </c>
      <c r="AY165" s="70">
        <v>0</v>
      </c>
      <c r="AZ165" s="65">
        <f t="shared" si="132"/>
        <v>0</v>
      </c>
      <c r="BA165" s="65">
        <f t="shared" si="133"/>
        <v>0</v>
      </c>
      <c r="BB165" s="70"/>
      <c r="BC165" s="65">
        <f t="shared" si="134"/>
        <v>0</v>
      </c>
      <c r="BD165" s="70">
        <v>0</v>
      </c>
      <c r="BE165" s="65">
        <f t="shared" si="135"/>
        <v>0</v>
      </c>
      <c r="BF165" s="70">
        <v>0</v>
      </c>
      <c r="BG165" s="65">
        <f t="shared" si="136"/>
        <v>0</v>
      </c>
      <c r="BH165" s="70">
        <v>0</v>
      </c>
      <c r="BI165" s="65">
        <f t="shared" si="137"/>
        <v>0</v>
      </c>
      <c r="BJ165" s="38">
        <f>IF(AND(BJ$7="○",$A165&gt;=BJ$8,$A165&lt;=BJ$9),IF(SUM(BJ$10:BJ164)-ROUNDDOWN($M165*BJ$5/100,0)&lt;-BJ$6,-BJ$6-SUM(BJ$10:BJ164),-ROUNDDOWN($M165*BJ$5/100,0)),0)</f>
        <v>0</v>
      </c>
      <c r="BK165" s="38">
        <f>IF(AND(BK$7="○",$A165&gt;=BK$8,$A165&lt;=BK$9),IF(SUM(BK$10:BK164)-ROUNDDOWN($L165*BK$5/100,0)&lt;-BK$6,-BK$6-SUM(BK$10:BK164),-ROUNDDOWN($L165*BK$5/100,0)),0)</f>
        <v>0</v>
      </c>
      <c r="BL165" s="38">
        <f>IF(AND(BL$7="○",$A165&gt;=BL$8,$A165&lt;=BL$9),IF(SUM(BL$10:BL164)-ROUNDDOWN($L165*BL$5/100,0)&lt;-BL$6,-BL$6-SUM(BL$10:BL164),-ROUNDDOWN($L165*BL$5/100,0)),0)</f>
        <v>0</v>
      </c>
      <c r="BM165" s="38">
        <f>IF(AND(BM$7="○",$A165&gt;=BM$8,$A165&lt;=BM$9),IF(SUM(BM$10:BM164)-ROUNDDOWN($M165*BM$5/100,0)&lt;-BM$6,-BM$6-SUM(BM$10:BM164),-ROUNDDOWN($M165*BM$5/100,0)),0)</f>
        <v>0</v>
      </c>
      <c r="BN165" s="38">
        <f>IF(AND(BN$7="○",$A165&gt;=BN$8,$A165&lt;=BN$9),IF(SUM(BN$10:BN164)-ROUNDDOWN($M165*BN$5/100,0)&lt;-BN$6,-BN$6-SUM(BN$10:BN164),-ROUNDDOWN($M165*BN$5/100,0)),0)</f>
        <v>0</v>
      </c>
      <c r="BO165" s="38">
        <f>IF(AND(BO$7="○",$A165&gt;=BO$8,$A165&lt;=BO$9),IF(SUM(BO$10:BO164)-ROUNDDOWN($M165*BO$5/100,0)&lt;-BO$6,-BO$6-SUM(BO$10:BO164),-ROUNDDOWN($M165*BO$5/100,0)),0)</f>
        <v>0</v>
      </c>
      <c r="BP165" s="38">
        <f>IF(AND(BP$7="○",$A165&gt;=BP$8,$A165&lt;=BP$9),IF(SUM(BP$10:BP164)-ROUNDDOWN($M165*BP$5/100,0)&lt;-BP$6,-BP$6-SUM(BP$10:BP164),-ROUNDDOWN($M165*BP$5/100,0)),0)</f>
        <v>0</v>
      </c>
      <c r="BQ165" s="38">
        <f>IF(AND(BQ$7="○",$A165&gt;=BQ$8,$A165&lt;=BQ$9),IF(SUM(BQ$10:BQ164)-ROUNDDOWN($L165*BQ$5/100,0)&lt;-BQ$6,-BQ$6-SUM(BQ$10:BQ164),-ROUNDDOWN($L165*BQ$5/100,0)),0)</f>
        <v>0</v>
      </c>
      <c r="BR165" s="38">
        <f>IF(AND(BR$7="○",$A165&gt;=BR$8,$A165&lt;=BR$9),IF(SUM(BR$10:BR164)-ROUNDDOWN($M165*BR$5/100,0)&lt;-BR$6,-BR$6-SUM(BR$10:BR164),-ROUNDDOWN($M165*BR$5/100,0)),0)</f>
        <v>0</v>
      </c>
      <c r="BS165" s="38">
        <f>IF(AND(BS$7="○",$A165&gt;=BS$8,$A165&lt;=BS$9),IF(SUM(BS$10:BS164)-ROUNDDOWN($M165*BS$5/100,0)&lt;-BS$6,-BS$6-SUM(BS$10:BS164),-ROUNDDOWN($M165*BS$5/100,0)),0)</f>
        <v>0</v>
      </c>
      <c r="BT165" s="38">
        <f>IF(AND(BT$7="○",$A165&gt;=BT$8,$A165&lt;=BT$9),IF(SUM(BT$10:BT164)-ROUNDDOWN($M165*BT$5/100,0)&lt;-BT$6,-BT$6-SUM(BT$10:BT164),-ROUNDDOWN($M165*BT$5/100,0)),0)</f>
        <v>0</v>
      </c>
      <c r="BU165" s="38">
        <f>IF(AND(BU$7="○",$A165&gt;=BU$8,$A165&lt;=BU$9),IF(SUM(BU$10:BU164)-ROUNDDOWN($M165*BU$5/100,0)&lt;-BU$6,-BU$6-SUM(BU$10:BU164),-ROUNDDOWN($M165*BU$5/100,0)),0)</f>
        <v>0</v>
      </c>
      <c r="BV165" s="38">
        <f>IF(AND(BV$7="○",$A165&gt;=BV$8,$A165&lt;=BV$9),IF(SUM(BV$10:BV164)-ROUNDDOWN($M165*BV$5/100,0)&lt;-BV$6,-BV$6-SUM(BV$10:BV164),-ROUNDDOWN($M165*BV$5/100,0)),0)</f>
        <v>0</v>
      </c>
      <c r="BW165" s="38">
        <f>IF(AND(BW$7="○",$A165&gt;=BW$8,$A165&lt;=BW$9),IF(SUM(BW$10:BW164)-ROUNDDOWN($M165*BW$5/100,0)&lt;-BW$6,-BW$6-SUM(BW$10:BW164),-ROUNDDOWN($M165*BW$5/100,0)),0)</f>
        <v>0</v>
      </c>
      <c r="BX165" s="38">
        <f>IF(AND(T165="○",$A165&gt;=BX$8,$A165&lt;=BX$9),IF(SUM(BX$10:BX164)-ROUNDDOWN($K165*BX$5/100,0)&lt;-BX$6,-BX$6-SUM(BX$10:BX164),-ROUNDDOWN($K165*BX$5/100,0)),0)</f>
        <v>0</v>
      </c>
      <c r="BY165" s="38">
        <f>IF(AND(U165="○",$A165&gt;=BY$8,$A165&lt;=BY$9),IF(SUM(BY$10:BY164)-ROUNDDOWN($K165*BY$5/100,0)&lt;-BY$6,-BY$6-SUM(BY$10:BY164),-ROUNDDOWN($K165*BY$5/100,0)),0)</f>
        <v>0</v>
      </c>
      <c r="BZ165" s="38">
        <f>IF(AND(V165="○",$A165&gt;=BZ$8,$A165&lt;=BZ$9),IF(SUM(BZ$10:BZ164)-ROUNDDOWN($K165*BZ$5/100,0)&lt;-BZ$6,-BZ$6-SUM(BZ$10:BZ164),-ROUNDDOWN($K165*BZ$5/100,0)),0)</f>
        <v>0</v>
      </c>
      <c r="CA165" s="38">
        <f>IF(AND(W165="○",$A165&gt;=CA$8,$A165&lt;=CA$9),IF(SUM(CA$10:CA164)-ROUNDDOWN($K165*CA$5/100,0)&lt;-CA$6,-CA$6-SUM(CA$10:CA164),-ROUNDDOWN($K165*CA$5/100,0)),0)</f>
        <v>0</v>
      </c>
      <c r="CB165" s="38"/>
      <c r="CC165" s="38"/>
      <c r="CD165" s="38"/>
      <c r="CE165" s="38"/>
      <c r="CF165" s="38"/>
      <c r="CG165" s="65">
        <f t="shared" si="138"/>
        <v>0</v>
      </c>
      <c r="CH165" s="71">
        <f t="shared" si="139"/>
        <v>0</v>
      </c>
      <c r="CI165" s="1">
        <f t="shared" si="127"/>
        <v>0</v>
      </c>
      <c r="CJ165" s="1"/>
      <c r="CK165" s="2"/>
      <c r="CL165" s="2"/>
      <c r="CM165" s="2"/>
      <c r="CN165" s="2"/>
      <c r="CO165" s="73">
        <f t="shared" si="128"/>
        <v>0</v>
      </c>
      <c r="CP165" s="5">
        <f t="shared" si="129"/>
        <v>0</v>
      </c>
      <c r="CQ165" s="1"/>
      <c r="CR165" s="1">
        <f t="shared" si="130"/>
        <v>0</v>
      </c>
      <c r="CS165" s="1"/>
      <c r="CT165" s="1" t="e">
        <f>INDEX([2]マスタ!$A:$A,MATCH(D165,[2]マスタ!$C:$C,0))</f>
        <v>#N/A</v>
      </c>
      <c r="CU165" s="1" t="str">
        <f t="shared" ca="1" si="131"/>
        <v>20260620_0-0</v>
      </c>
    </row>
    <row r="166" spans="1:99" x14ac:dyDescent="0.4">
      <c r="A166" s="61"/>
      <c r="B166" s="62"/>
      <c r="C166" s="62"/>
      <c r="D166" s="62"/>
      <c r="E166" s="74"/>
      <c r="F166" s="62"/>
      <c r="G166" s="62">
        <v>1</v>
      </c>
      <c r="H166" s="64">
        <f t="shared" si="4"/>
        <v>0</v>
      </c>
      <c r="I166" s="64"/>
      <c r="J166" s="64"/>
      <c r="K166" s="65">
        <f t="shared" ref="K166:K177" si="144">+ROUNDDOWN((H166+I166)/100,0)*100</f>
        <v>0</v>
      </c>
      <c r="L166" s="65">
        <f t="shared" si="6"/>
        <v>0</v>
      </c>
      <c r="M166" s="65">
        <f t="shared" si="7"/>
        <v>0</v>
      </c>
      <c r="N166" s="65">
        <f t="shared" si="8"/>
        <v>0</v>
      </c>
      <c r="O166" s="66" t="str">
        <f t="shared" ref="O166:O195" si="145">IF(OR(WEEKDAY($A166,2)=2,WEEKDAY($A166,2)=4),"○","✕")</f>
        <v>✕</v>
      </c>
      <c r="P166" s="67" t="str">
        <f t="shared" ref="P166:P195" si="146">+IF(MOD(TEXT($A166,"DD"),5)=0,"○","✕")</f>
        <v>○</v>
      </c>
      <c r="Q166" s="67" t="str">
        <f t="shared" ref="Q166:Q177" si="147">+IF((TEXT($A166,"DD")+0)=1,"○","✕")</f>
        <v>✕</v>
      </c>
      <c r="R166" s="67" t="str">
        <f t="shared" ref="R166:R195" si="148">+IF((TEXT($A166,"DD")+0)=18,"○","✕")</f>
        <v>✕</v>
      </c>
      <c r="S166" s="68">
        <v>0</v>
      </c>
      <c r="T166" s="69" t="s">
        <v>85</v>
      </c>
      <c r="U166" s="69" t="s">
        <v>85</v>
      </c>
      <c r="V166" s="69" t="s">
        <v>85</v>
      </c>
      <c r="W166" s="69" t="s">
        <v>85</v>
      </c>
      <c r="X166" s="69" t="s">
        <v>84</v>
      </c>
      <c r="Y166" s="69" t="s">
        <v>85</v>
      </c>
      <c r="Z166" s="69" t="s">
        <v>85</v>
      </c>
      <c r="AA166" s="69" t="s">
        <v>85</v>
      </c>
      <c r="AB166" s="69" t="s">
        <v>85</v>
      </c>
      <c r="AC166" s="69" t="s">
        <v>85</v>
      </c>
      <c r="AD166" s="38" t="str">
        <f>+IF(ISERROR(VLOOKUP($B166,#REF!,1,0)),IF(AND($N166&gt;=1000,$A166&gt;=AO$8,$A166&lt;=AO$9),$B166,""),"")</f>
        <v/>
      </c>
      <c r="AE166" s="38" t="str">
        <f>+IF(ISERROR(VLOOKUP($B166,#REF!,1,0)),IF(AND($N166&gt;=1000,$A166&gt;=AP$8,$A166&lt;=AP$9),$B166,""),"")</f>
        <v/>
      </c>
      <c r="AF166" s="38" t="str">
        <f>+IF(ISERROR(VLOOKUP($B166,#REF!,1,0)),IF(AND($N166&gt;=1000,$A166&gt;=AQ$8,$A166&lt;=AQ$9),$B166,""),"")</f>
        <v/>
      </c>
      <c r="AG166" s="38" t="str">
        <f>+IF(ISERROR(VLOOKUP($B166,#REF!,1,0)),IF(AND($N166&gt;=1000,$A166&gt;=AR$8,$A166&lt;=AR$9),$B166,""),"")</f>
        <v/>
      </c>
      <c r="AH166" s="38"/>
      <c r="AI166" s="70">
        <v>0</v>
      </c>
      <c r="AJ166" s="38">
        <f>IF(AND(AJ$7="○",$A166&gt;=AJ$8,$A166&lt;=AJ$9),IF(SUM(AJ$10:AJ165)-ROUNDDOWN($K166*AJ$5/100,0)&lt;-AJ$6,-AJ$6-SUM(AJ$10:AJ165),-ROUNDDOWN($K166*AJ$5/100,0)),0)</f>
        <v>0</v>
      </c>
      <c r="AK166" s="38">
        <f>IF(AND(AK$7="○",$A166&gt;=AK$8,$A166&lt;=AK$9),IF(SUM(AK$10:AK165)-ROUNDDOWN($L166*AK$5/100,0)&lt;-AK$6,-AK$6-SUM(AK$10:AK165),-ROUNDDOWN($L166*AK$5/100,0)),0)</f>
        <v>0</v>
      </c>
      <c r="AL166" s="38">
        <f>IF(AND(AL$7="○",$A166&gt;=AL$8,$A166&lt;=AL$9),IF(SUM(AL$10:AL165)-ROUNDDOWN($N166*AL$5/100,0)&lt;-AL$6,-AL$6-SUM(AL$10:AL165),-ROUNDDOWN($N166*AL$5/100,0)),0)</f>
        <v>0</v>
      </c>
      <c r="AM166" s="38">
        <f>IF(AND(AM$7="○",$A166&gt;=AM$8,$A166&lt;=AM$9),IF(SUM(AM$10:AM165)-ROUNDDOWN($L166*AM$5/100,0)&lt;-AM$6,-AM$6-SUM(AM$10:AM165),-ROUNDDOWN($L166*AM$5/100,0)),0)</f>
        <v>0</v>
      </c>
      <c r="AN166" s="38">
        <f>IF(AND(AN$7="○",$A166&gt;=AN$8,$A166&lt;=AN$9),IF(SUM(AN$10:AN165)-ROUNDDOWN($M166*AN$5/100,0)&lt;-AN$6,-AN$6-SUM(AN$10:AN165),-ROUNDDOWN($M166*AN$5/100,0)),0)</f>
        <v>0</v>
      </c>
      <c r="AO166" s="38">
        <f>IF(AND($A166&gt;=AO$8,$A166&lt;=AO$9),IF(SUM(AO$10:AO165)-ROUNDDOWN($K166*AO$5/100,0)&lt;-AO$6,-AO$6-SUM(AO$10:AO165),-ROUNDDOWN($K166*AO$5/100,0)),0)</f>
        <v>0</v>
      </c>
      <c r="AP166" s="38">
        <f>IF(AND($A166&gt;=AP$8,$A166&lt;=AP$9),IF(SUM(AP$10:AP165)-ROUNDDOWN($K166*AP$5/100,0)&lt;-AP$6,-AP$6-SUM(AP$10:AP165),-ROUNDDOWN($K166*AP$5/100,0)),0)</f>
        <v>0</v>
      </c>
      <c r="AQ166" s="38">
        <f>IF(AND($A166&gt;=AQ$8,$A166&lt;=AQ$9),IF(SUM(AQ$10:AQ165)-ROUNDDOWN($K166*AQ$5/100,0)&lt;-AQ$6,-AQ$6-SUM(AQ$10:AQ165),-ROUNDDOWN($K166*AQ$5/100,0)),0)</f>
        <v>0</v>
      </c>
      <c r="AR166" s="38">
        <f>IF(AND($A166&gt;=AR$8,$A166&lt;=AR$9),IF(SUM(AR$10:AR165)-ROUNDDOWN($K166*AR$5/100,0)&lt;-AR$6,-AR$6-SUM(AR$10:AR165),-ROUNDDOWN($K166*AR$5/100,0)),0)</f>
        <v>0</v>
      </c>
      <c r="AS166" s="38">
        <f>IF(SUMIFS(AS$10:AS165,$A$10:$A165,$A166)-ROUNDDOWN($K166*$S166/100,0)&lt;-$S166*1000,-$S166*1000-SUMIFS(AS$10:AS165,$A$10:$A165,$A166),-ROUNDDOWN($K166*$S166/100,0))</f>
        <v>0</v>
      </c>
      <c r="AT166" s="38">
        <f>IF(AND(X166="○",$A166&gt;=AT$8,$A166&lt;=AT$9,K166&gt;=3980),IF(SUM(AT$10:AT165)-ROUNDDOWN($K166*AT$5/100,0)&lt;-AT$6,-AT$6-SUM(AT$10:AT165),-ROUNDDOWN($K166*AT$5/100,0)),0)</f>
        <v>0</v>
      </c>
      <c r="AU166" s="38">
        <f>IF(O166="○",IF(SUM(AU$10:AU165)-ROUNDDOWN($K166*AU$5/100,0)&lt;-AU$6,-AU$6-SUM(AU$10:AU165),-ROUNDDOWN($K166*AU$5/100,0)),0)</f>
        <v>0</v>
      </c>
      <c r="AV166" s="38">
        <f>IF(P166="○",IF(SUM(AV$10:AV165)-ROUNDDOWN($K166*AV$5/100,0)&lt;-AV$6,-AV$6-SUM(AV$10:AV165),-ROUNDDOWN($K166*AV$5/100,0)),0)</f>
        <v>0</v>
      </c>
      <c r="AW166" s="38">
        <f>IF(Q166="○",IF(SUM(AW$10:AW165)-ROUNDDOWN($K166*AW$5/100,0)&lt;-AW$6,-AW$6-SUM(AW$10:AW165),-ROUNDDOWN($K166*AW$5/100,0)),0)</f>
        <v>0</v>
      </c>
      <c r="AX166" s="38">
        <f>IF(R166="○",IF(SUM(AX$10:AX165)-ROUNDDOWN($K166*AX$5/100,0)&lt;-AX$6,-AX$6-SUM(AX$10:AX165),-ROUNDDOWN($K166*AX$5/100,0)),0)</f>
        <v>0</v>
      </c>
      <c r="AY166" s="70">
        <v>0</v>
      </c>
      <c r="AZ166" s="65">
        <f t="shared" si="132"/>
        <v>0</v>
      </c>
      <c r="BA166" s="65">
        <f t="shared" si="133"/>
        <v>0</v>
      </c>
      <c r="BB166" s="70"/>
      <c r="BC166" s="65">
        <f t="shared" si="134"/>
        <v>0</v>
      </c>
      <c r="BD166" s="70">
        <v>0</v>
      </c>
      <c r="BE166" s="65">
        <f t="shared" si="135"/>
        <v>0</v>
      </c>
      <c r="BF166" s="70">
        <v>0</v>
      </c>
      <c r="BG166" s="65">
        <f t="shared" si="136"/>
        <v>0</v>
      </c>
      <c r="BH166" s="70">
        <v>0</v>
      </c>
      <c r="BI166" s="65">
        <f t="shared" si="137"/>
        <v>0</v>
      </c>
      <c r="BJ166" s="38">
        <f>IF(AND(BJ$7="○",$A166&gt;=BJ$8,$A166&lt;=BJ$9),IF(SUM(BJ$10:BJ165)-ROUNDDOWN($M166*BJ$5/100,0)&lt;-BJ$6,-BJ$6-SUM(BJ$10:BJ165),-ROUNDDOWN($M166*BJ$5/100,0)),0)</f>
        <v>0</v>
      </c>
      <c r="BK166" s="38">
        <f>IF(AND(BK$7="○",$A166&gt;=BK$8,$A166&lt;=BK$9),IF(SUM(BK$10:BK165)-ROUNDDOWN($L166*BK$5/100,0)&lt;-BK$6,-BK$6-SUM(BK$10:BK165),-ROUNDDOWN($L166*BK$5/100,0)),0)</f>
        <v>0</v>
      </c>
      <c r="BL166" s="38">
        <f>IF(AND(BL$7="○",$A166&gt;=BL$8,$A166&lt;=BL$9),IF(SUM(BL$10:BL165)-ROUNDDOWN($L166*BL$5/100,0)&lt;-BL$6,-BL$6-SUM(BL$10:BL165),-ROUNDDOWN($L166*BL$5/100,0)),0)</f>
        <v>0</v>
      </c>
      <c r="BM166" s="38">
        <f>IF(AND(BM$7="○",$A166&gt;=BM$8,$A166&lt;=BM$9),IF(SUM(BM$10:BM165)-ROUNDDOWN($M166*BM$5/100,0)&lt;-BM$6,-BM$6-SUM(BM$10:BM165),-ROUNDDOWN($M166*BM$5/100,0)),0)</f>
        <v>0</v>
      </c>
      <c r="BN166" s="38">
        <f>IF(AND(BN$7="○",$A166&gt;=BN$8,$A166&lt;=BN$9),IF(SUM(BN$10:BN165)-ROUNDDOWN($M166*BN$5/100,0)&lt;-BN$6,-BN$6-SUM(BN$10:BN165),-ROUNDDOWN($M166*BN$5/100,0)),0)</f>
        <v>0</v>
      </c>
      <c r="BO166" s="38">
        <f>IF(AND(BO$7="○",$A166&gt;=BO$8,$A166&lt;=BO$9),IF(SUM(BO$10:BO165)-ROUNDDOWN($M166*BO$5/100,0)&lt;-BO$6,-BO$6-SUM(BO$10:BO165),-ROUNDDOWN($M166*BO$5/100,0)),0)</f>
        <v>0</v>
      </c>
      <c r="BP166" s="38">
        <f>IF(AND(BP$7="○",$A166&gt;=BP$8,$A166&lt;=BP$9),IF(SUM(BP$10:BP165)-ROUNDDOWN($M166*BP$5/100,0)&lt;-BP$6,-BP$6-SUM(BP$10:BP165),-ROUNDDOWN($M166*BP$5/100,0)),0)</f>
        <v>0</v>
      </c>
      <c r="BQ166" s="38">
        <f>IF(AND(BQ$7="○",$A166&gt;=BQ$8,$A166&lt;=BQ$9),IF(SUM(BQ$10:BQ165)-ROUNDDOWN($L166*BQ$5/100,0)&lt;-BQ$6,-BQ$6-SUM(BQ$10:BQ165),-ROUNDDOWN($L166*BQ$5/100,0)),0)</f>
        <v>0</v>
      </c>
      <c r="BR166" s="38">
        <f>IF(AND(BR$7="○",$A166&gt;=BR$8,$A166&lt;=BR$9),IF(SUM(BR$10:BR165)-ROUNDDOWN($M166*BR$5/100,0)&lt;-BR$6,-BR$6-SUM(BR$10:BR165),-ROUNDDOWN($M166*BR$5/100,0)),0)</f>
        <v>0</v>
      </c>
      <c r="BS166" s="38">
        <f>IF(AND(BS$7="○",$A166&gt;=BS$8,$A166&lt;=BS$9),IF(SUM(BS$10:BS165)-ROUNDDOWN($M166*BS$5/100,0)&lt;-BS$6,-BS$6-SUM(BS$10:BS165),-ROUNDDOWN($M166*BS$5/100,0)),0)</f>
        <v>0</v>
      </c>
      <c r="BT166" s="38">
        <f>IF(AND(BT$7="○",$A166&gt;=BT$8,$A166&lt;=BT$9),IF(SUM(BT$10:BT165)-ROUNDDOWN($M166*BT$5/100,0)&lt;-BT$6,-BT$6-SUM(BT$10:BT165),-ROUNDDOWN($M166*BT$5/100,0)),0)</f>
        <v>0</v>
      </c>
      <c r="BU166" s="38">
        <f>IF(AND(BU$7="○",$A166&gt;=BU$8,$A166&lt;=BU$9),IF(SUM(BU$10:BU165)-ROUNDDOWN($M166*BU$5/100,0)&lt;-BU$6,-BU$6-SUM(BU$10:BU165),-ROUNDDOWN($M166*BU$5/100,0)),0)</f>
        <v>0</v>
      </c>
      <c r="BV166" s="38">
        <f>IF(AND(BV$7="○",$A166&gt;=BV$8,$A166&lt;=BV$9),IF(SUM(BV$10:BV165)-ROUNDDOWN($M166*BV$5/100,0)&lt;-BV$6,-BV$6-SUM(BV$10:BV165),-ROUNDDOWN($M166*BV$5/100,0)),0)</f>
        <v>0</v>
      </c>
      <c r="BW166" s="38">
        <f>IF(AND(BW$7="○",$A166&gt;=BW$8,$A166&lt;=BW$9),IF(SUM(BW$10:BW165)-ROUNDDOWN($M166*BW$5/100,0)&lt;-BW$6,-BW$6-SUM(BW$10:BW165),-ROUNDDOWN($M166*BW$5/100,0)),0)</f>
        <v>0</v>
      </c>
      <c r="BX166" s="38">
        <f>IF(AND(T166="○",$A166&gt;=BX$8,$A166&lt;=BX$9),IF(SUM(BX$10:BX165)-ROUNDDOWN($K166*BX$5/100,0)&lt;-BX$6,-BX$6-SUM(BX$10:BX165),-ROUNDDOWN($K166*BX$5/100,0)),0)</f>
        <v>0</v>
      </c>
      <c r="BY166" s="38">
        <f>IF(AND(U166="○",$A166&gt;=BY$8,$A166&lt;=BY$9),IF(SUM(BY$10:BY165)-ROUNDDOWN($K166*BY$5/100,0)&lt;-BY$6,-BY$6-SUM(BY$10:BY165),-ROUNDDOWN($K166*BY$5/100,0)),0)</f>
        <v>0</v>
      </c>
      <c r="BZ166" s="38">
        <f>IF(AND(V166="○",$A166&gt;=BZ$8,$A166&lt;=BZ$9),IF(SUM(BZ$10:BZ165)-ROUNDDOWN($K166*BZ$5/100,0)&lt;-BZ$6,-BZ$6-SUM(BZ$10:BZ165),-ROUNDDOWN($K166*BZ$5/100,0)),0)</f>
        <v>0</v>
      </c>
      <c r="CA166" s="38">
        <f>IF(AND(W166="○",$A166&gt;=CA$8,$A166&lt;=CA$9),IF(SUM(CA$10:CA165)-ROUNDDOWN($K166*CA$5/100,0)&lt;-CA$6,-CA$6-SUM(CA$10:CA165),-ROUNDDOWN($K166*CA$5/100,0)),0)</f>
        <v>0</v>
      </c>
      <c r="CB166" s="38"/>
      <c r="CC166" s="38"/>
      <c r="CD166" s="38"/>
      <c r="CE166" s="38"/>
      <c r="CF166" s="38"/>
      <c r="CG166" s="65">
        <f t="shared" si="138"/>
        <v>0</v>
      </c>
      <c r="CH166" s="71">
        <f t="shared" si="139"/>
        <v>0</v>
      </c>
      <c r="CI166" s="1">
        <f t="shared" si="19"/>
        <v>0</v>
      </c>
      <c r="CJ166" s="1"/>
      <c r="CK166" s="72"/>
      <c r="CL166" s="72"/>
      <c r="CM166" s="2"/>
      <c r="CN166" s="2"/>
      <c r="CO166" s="73">
        <f t="shared" si="20"/>
        <v>0</v>
      </c>
      <c r="CP166" s="5">
        <f t="shared" si="21"/>
        <v>0</v>
      </c>
      <c r="CQ166" s="1"/>
      <c r="CR166" s="1">
        <f t="shared" si="22"/>
        <v>0</v>
      </c>
      <c r="CS166" s="1"/>
      <c r="CT166" s="1" t="e">
        <f>INDEX([2]マスタ!$A:$A,MATCH(D166,[2]マスタ!$C:$C,0))</f>
        <v>#N/A</v>
      </c>
      <c r="CU166" s="1" t="str">
        <f t="shared" ca="1" si="23"/>
        <v>20260620_0-0</v>
      </c>
    </row>
    <row r="167" spans="1:99" x14ac:dyDescent="0.4">
      <c r="A167" s="61"/>
      <c r="B167" s="62"/>
      <c r="C167" s="62"/>
      <c r="D167" s="62"/>
      <c r="E167" s="76"/>
      <c r="F167" s="62"/>
      <c r="G167" s="62">
        <v>1</v>
      </c>
      <c r="H167" s="64">
        <f t="shared" si="4"/>
        <v>0</v>
      </c>
      <c r="I167" s="64"/>
      <c r="J167" s="64"/>
      <c r="K167" s="65">
        <f t="shared" si="144"/>
        <v>0</v>
      </c>
      <c r="L167" s="65">
        <f t="shared" si="6"/>
        <v>0</v>
      </c>
      <c r="M167" s="65">
        <f t="shared" si="7"/>
        <v>0</v>
      </c>
      <c r="N167" s="65">
        <f t="shared" si="8"/>
        <v>0</v>
      </c>
      <c r="O167" s="66" t="str">
        <f t="shared" si="145"/>
        <v>✕</v>
      </c>
      <c r="P167" s="67" t="str">
        <f t="shared" si="146"/>
        <v>○</v>
      </c>
      <c r="Q167" s="67" t="str">
        <f t="shared" si="147"/>
        <v>✕</v>
      </c>
      <c r="R167" s="67" t="str">
        <f t="shared" si="148"/>
        <v>✕</v>
      </c>
      <c r="S167" s="68">
        <v>0</v>
      </c>
      <c r="T167" s="69" t="s">
        <v>85</v>
      </c>
      <c r="U167" s="69" t="s">
        <v>85</v>
      </c>
      <c r="V167" s="69" t="s">
        <v>85</v>
      </c>
      <c r="W167" s="69" t="s">
        <v>85</v>
      </c>
      <c r="X167" s="69" t="s">
        <v>84</v>
      </c>
      <c r="Y167" s="69" t="s">
        <v>85</v>
      </c>
      <c r="Z167" s="69" t="s">
        <v>85</v>
      </c>
      <c r="AA167" s="69" t="s">
        <v>85</v>
      </c>
      <c r="AB167" s="69" t="s">
        <v>85</v>
      </c>
      <c r="AC167" s="69" t="s">
        <v>85</v>
      </c>
      <c r="AD167" s="38" t="str">
        <f>+IF(ISERROR(VLOOKUP($B167,AD$10:AD166,1,0)),IF(AND($N167&gt;=1000,$A167&gt;=AO$8,$A167&lt;=AO$9),$B167,""),"")</f>
        <v/>
      </c>
      <c r="AE167" s="38" t="str">
        <f>+IF(ISERROR(VLOOKUP($B167,AE$10:AE166,1,0)),IF(AND($N167&gt;=1000,$A167&gt;=AP$8,$A167&lt;=AP$9),$B167,""),"")</f>
        <v/>
      </c>
      <c r="AF167" s="38" t="str">
        <f>+IF(ISERROR(VLOOKUP($B167,AF$10:AF166,1,0)),IF(AND($N167&gt;=1000,$A167&gt;=AQ$8,$A167&lt;=AQ$9),$B167,""),"")</f>
        <v/>
      </c>
      <c r="AG167" s="38" t="str">
        <f>+IF(ISERROR(VLOOKUP($B167,AG$10:AG166,1,0)),IF(AND($N167&gt;=1000,$A167&gt;=AR$8,$A167&lt;=AR$9),$B167,""),"")</f>
        <v/>
      </c>
      <c r="AH167" s="38"/>
      <c r="AI167" s="70">
        <v>0</v>
      </c>
      <c r="AJ167" s="38">
        <f>IF(AND(AJ$7="○",$A167&gt;=AJ$8,$A167&lt;=AJ$9),IF(SUM(AJ$10:AJ166)-ROUNDDOWN($K167*AJ$5/100,0)&lt;-AJ$6,-AJ$6-SUM(AJ$10:AJ166),-ROUNDDOWN($K167*AJ$5/100,0)),0)</f>
        <v>0</v>
      </c>
      <c r="AK167" s="38">
        <f>IF(AND(AK$7="○",$A167&gt;=AK$8,$A167&lt;=AK$9),IF(SUM(AK$10:AK166)-ROUNDDOWN($L167*AK$5/100,0)&lt;-AK$6,-AK$6-SUM(AK$10:AK166),-ROUNDDOWN($L167*AK$5/100,0)),0)</f>
        <v>0</v>
      </c>
      <c r="AL167" s="38">
        <f>IF(AND(AL$7="○",$A167&gt;=AL$8,$A167&lt;=AL$9),IF(SUM(AL$10:AL166)-ROUNDDOWN($N167*AL$5/100,0)&lt;-AL$6,-AL$6-SUM(AL$10:AL166),-ROUNDDOWN($N167*AL$5/100,0)),0)</f>
        <v>0</v>
      </c>
      <c r="AM167" s="38">
        <f>IF(AND(AM$7="○",$A167&gt;=AM$8,$A167&lt;=AM$9),IF(SUM(AM$10:AM166)-ROUNDDOWN($L167*AM$5/100,0)&lt;-AM$6,-AM$6-SUM(AM$10:AM166),-ROUNDDOWN($L167*AM$5/100,0)),0)</f>
        <v>0</v>
      </c>
      <c r="AN167" s="38">
        <f>IF(AND(AN$7="○",$A167&gt;=AN$8,$A167&lt;=AN$9),IF(SUM(AN$10:AN166)-ROUNDDOWN($M167*AN$5/100,0)&lt;-AN$6,-AN$6-SUM(AN$10:AN166),-ROUNDDOWN($M167*AN$5/100,0)),0)</f>
        <v>0</v>
      </c>
      <c r="AO167" s="38">
        <f>IF(AND($A167&gt;=AO$8,$A167&lt;=AO$9),IF(SUM(AO$10:AO166)-ROUNDDOWN($K167*AO$5/100,0)&lt;-AO$6,-AO$6-SUM(AO$10:AO166),-ROUNDDOWN($K167*AO$5/100,0)),0)</f>
        <v>0</v>
      </c>
      <c r="AP167" s="38">
        <f>IF(AND($A167&gt;=AP$8,$A167&lt;=AP$9),IF(SUM(AP$10:AP166)-ROUNDDOWN($K167*AP$5/100,0)&lt;-AP$6,-AP$6-SUM(AP$10:AP166),-ROUNDDOWN($K167*AP$5/100,0)),0)</f>
        <v>0</v>
      </c>
      <c r="AQ167" s="38">
        <f>IF(AND($A167&gt;=AQ$8,$A167&lt;=AQ$9),IF(SUM(AQ$10:AQ166)-ROUNDDOWN($K167*AQ$5/100,0)&lt;-AQ$6,-AQ$6-SUM(AQ$10:AQ166),-ROUNDDOWN($K167*AQ$5/100,0)),0)</f>
        <v>0</v>
      </c>
      <c r="AR167" s="38">
        <f>IF(AND($A167&gt;=AR$8,$A167&lt;=AR$9),IF(SUM(AR$10:AR166)-ROUNDDOWN($K167*AR$5/100,0)&lt;-AR$6,-AR$6-SUM(AR$10:AR166),-ROUNDDOWN($K167*AR$5/100,0)),0)</f>
        <v>0</v>
      </c>
      <c r="AS167" s="38">
        <f>IF(SUMIFS(AS$10:AS166,$A$10:$A166,$A167)-ROUNDDOWN($K167*$S167/100,0)&lt;-$S167*1000,-$S167*1000-SUMIFS(AS$10:AS166,$A$10:$A166,$A167),-ROUNDDOWN($K167*$S167/100,0))</f>
        <v>0</v>
      </c>
      <c r="AT167" s="38">
        <f>IF(AND(X167="○",$A167&gt;=AT$8,$A167&lt;=AT$9,K167&gt;=3980),IF(SUM(AT$10:AT166)-ROUNDDOWN($K167*AT$5/100,0)&lt;-AT$6,-AT$6-SUM(AT$10:AT166),-ROUNDDOWN($K167*AT$5/100,0)),0)</f>
        <v>0</v>
      </c>
      <c r="AU167" s="38">
        <f>IF(O167="○",IF(SUM(AU$10:AU166)-ROUNDDOWN($K167*AU$5/100,0)&lt;-AU$6,-AU$6-SUM(AU$10:AU166),-ROUNDDOWN($K167*AU$5/100,0)),0)</f>
        <v>0</v>
      </c>
      <c r="AV167" s="38">
        <f>IF(P167="○",IF(SUM(AV$10:AV166)-ROUNDDOWN($K167*AV$5/100,0)&lt;-AV$6,-AV$6-SUM(AV$10:AV166),-ROUNDDOWN($K167*AV$5/100,0)),0)</f>
        <v>0</v>
      </c>
      <c r="AW167" s="38">
        <f>IF(Q167="○",IF(SUM(AW$10:AW166)-ROUNDDOWN($K167*AW$5/100,0)&lt;-AW$6,-AW$6-SUM(AW$10:AW166),-ROUNDDOWN($K167*AW$5/100,0)),0)</f>
        <v>0</v>
      </c>
      <c r="AX167" s="38">
        <f>IF(R167="○",IF(SUM(AX$10:AX166)-ROUNDDOWN($K167*AX$5/100,0)&lt;-AX$6,-AX$6-SUM(AX$10:AX166),-ROUNDDOWN($K167*AX$5/100,0)),0)</f>
        <v>0</v>
      </c>
      <c r="AY167" s="70">
        <v>0</v>
      </c>
      <c r="AZ167" s="65">
        <f t="shared" si="132"/>
        <v>0</v>
      </c>
      <c r="BA167" s="65">
        <f t="shared" si="133"/>
        <v>0</v>
      </c>
      <c r="BB167" s="70"/>
      <c r="BC167" s="65">
        <f t="shared" si="134"/>
        <v>0</v>
      </c>
      <c r="BD167" s="70">
        <v>0</v>
      </c>
      <c r="BE167" s="65">
        <f t="shared" si="135"/>
        <v>0</v>
      </c>
      <c r="BF167" s="70">
        <v>0</v>
      </c>
      <c r="BG167" s="65">
        <f t="shared" si="136"/>
        <v>0</v>
      </c>
      <c r="BH167" s="70">
        <v>0</v>
      </c>
      <c r="BI167" s="65">
        <f t="shared" si="137"/>
        <v>0</v>
      </c>
      <c r="BJ167" s="38">
        <f>IF(AND(BJ$7="○",$A167&gt;=BJ$8,$A167&lt;=BJ$9),IF(SUM(BJ$10:BJ166)-ROUNDDOWN($M167*BJ$5/100,0)&lt;-BJ$6,-BJ$6-SUM(BJ$10:BJ166),-ROUNDDOWN($M167*BJ$5/100,0)),0)</f>
        <v>0</v>
      </c>
      <c r="BK167" s="38">
        <f>IF(AND(BK$7="○",$A167&gt;=BK$8,$A167&lt;=BK$9),IF(SUM(BK$10:BK166)-ROUNDDOWN($L167*BK$5/100,0)&lt;-BK$6,-BK$6-SUM(BK$10:BK166),-ROUNDDOWN($L167*BK$5/100,0)),0)</f>
        <v>0</v>
      </c>
      <c r="BL167" s="38">
        <f>IF(AND(BL$7="○",$A167&gt;=BL$8,$A167&lt;=BL$9),IF(SUM(BL$10:BL166)-ROUNDDOWN($L167*BL$5/100,0)&lt;-BL$6,-BL$6-SUM(BL$10:BL166),-ROUNDDOWN($L167*BL$5/100,0)),0)</f>
        <v>0</v>
      </c>
      <c r="BM167" s="38">
        <f>IF(AND(BM$7="○",$A167&gt;=BM$8,$A167&lt;=BM$9),IF(SUM(BM$10:BM166)-ROUNDDOWN($M167*BM$5/100,0)&lt;-BM$6,-BM$6-SUM(BM$10:BM166),-ROUNDDOWN($M167*BM$5/100,0)),0)</f>
        <v>0</v>
      </c>
      <c r="BN167" s="38">
        <f>IF(AND(BN$7="○",$A167&gt;=BN$8,$A167&lt;=BN$9),IF(SUM(BN$10:BN166)-ROUNDDOWN($M167*BN$5/100,0)&lt;-BN$6,-BN$6-SUM(BN$10:BN166),-ROUNDDOWN($M167*BN$5/100,0)),0)</f>
        <v>0</v>
      </c>
      <c r="BO167" s="38">
        <f>IF(AND(BO$7="○",$A167&gt;=BO$8,$A167&lt;=BO$9),IF(SUM(BO$10:BO166)-ROUNDDOWN($M167*BO$5/100,0)&lt;-BO$6,-BO$6-SUM(BO$10:BO166),-ROUNDDOWN($M167*BO$5/100,0)),0)</f>
        <v>0</v>
      </c>
      <c r="BP167" s="38">
        <f>IF(AND(BP$7="○",$A167&gt;=BP$8,$A167&lt;=BP$9),IF(SUM(BP$10:BP166)-ROUNDDOWN($M167*BP$5/100,0)&lt;-BP$6,-BP$6-SUM(BP$10:BP166),-ROUNDDOWN($M167*BP$5/100,0)),0)</f>
        <v>0</v>
      </c>
      <c r="BQ167" s="38">
        <f>IF(AND(BQ$7="○",$A167&gt;=BQ$8,$A167&lt;=BQ$9),IF(SUM(BQ$10:BQ166)-ROUNDDOWN($L167*BQ$5/100,0)&lt;-BQ$6,-BQ$6-SUM(BQ$10:BQ166),-ROUNDDOWN($L167*BQ$5/100,0)),0)</f>
        <v>0</v>
      </c>
      <c r="BR167" s="38">
        <f>IF(AND(BR$7="○",$A167&gt;=BR$8,$A167&lt;=BR$9),IF(SUM(BR$10:BR166)-ROUNDDOWN($M167*BR$5/100,0)&lt;-BR$6,-BR$6-SUM(BR$10:BR166),-ROUNDDOWN($M167*BR$5/100,0)),0)</f>
        <v>0</v>
      </c>
      <c r="BS167" s="38">
        <f>IF(AND(BS$7="○",$A167&gt;=BS$8,$A167&lt;=BS$9),IF(SUM(BS$10:BS166)-ROUNDDOWN($M167*BS$5/100,0)&lt;-BS$6,-BS$6-SUM(BS$10:BS166),-ROUNDDOWN($M167*BS$5/100,0)),0)</f>
        <v>0</v>
      </c>
      <c r="BT167" s="38">
        <f>IF(AND(BT$7="○",$A167&gt;=BT$8,$A167&lt;=BT$9),IF(SUM(BT$10:BT166)-ROUNDDOWN($M167*BT$5/100,0)&lt;-BT$6,-BT$6-SUM(BT$10:BT166),-ROUNDDOWN($M167*BT$5/100,0)),0)</f>
        <v>0</v>
      </c>
      <c r="BU167" s="38">
        <f>IF(AND(BU$7="○",$A167&gt;=BU$8,$A167&lt;=BU$9),IF(SUM(BU$10:BU166)-ROUNDDOWN($M167*BU$5/100,0)&lt;-BU$6,-BU$6-SUM(BU$10:BU166),-ROUNDDOWN($M167*BU$5/100,0)),0)</f>
        <v>0</v>
      </c>
      <c r="BV167" s="38">
        <f>IF(AND(BV$7="○",$A167&gt;=BV$8,$A167&lt;=BV$9),IF(SUM(BV$10:BV166)-ROUNDDOWN($M167*BV$5/100,0)&lt;-BV$6,-BV$6-SUM(BV$10:BV166),-ROUNDDOWN($M167*BV$5/100,0)),0)</f>
        <v>0</v>
      </c>
      <c r="BW167" s="38">
        <f>IF(AND(BW$7="○",$A167&gt;=BW$8,$A167&lt;=BW$9),IF(SUM(BW$10:BW166)-ROUNDDOWN($M167*BW$5/100,0)&lt;-BW$6,-BW$6-SUM(BW$10:BW166),-ROUNDDOWN($M167*BW$5/100,0)),0)</f>
        <v>0</v>
      </c>
      <c r="BX167" s="38">
        <f>IF(AND(T167="○",$A167&gt;=BX$8,$A167&lt;=BX$9),IF(SUM(BX$10:BX166)-ROUNDDOWN($K167*BX$5/100,0)&lt;-BX$6,-BX$6-SUM(BX$10:BX166),-ROUNDDOWN($K167*BX$5/100,0)),0)</f>
        <v>0</v>
      </c>
      <c r="BY167" s="38">
        <f>IF(AND(U167="○",$A167&gt;=BY$8,$A167&lt;=BY$9),IF(SUM(BY$10:BY166)-ROUNDDOWN($K167*BY$5/100,0)&lt;-BY$6,-BY$6-SUM(BY$10:BY166),-ROUNDDOWN($K167*BY$5/100,0)),0)</f>
        <v>0</v>
      </c>
      <c r="BZ167" s="38">
        <f>IF(AND(V167="○",$A167&gt;=BZ$8,$A167&lt;=BZ$9),IF(SUM(BZ$10:BZ166)-ROUNDDOWN($K167*BZ$5/100,0)&lt;-BZ$6,-BZ$6-SUM(BZ$10:BZ166),-ROUNDDOWN($K167*BZ$5/100,0)),0)</f>
        <v>0</v>
      </c>
      <c r="CA167" s="38">
        <f>IF(AND(W167="○",$A167&gt;=CA$8,$A167&lt;=CA$9),IF(SUM(CA$10:CA166)-ROUNDDOWN($K167*CA$5/100,0)&lt;-CA$6,-CA$6-SUM(CA$10:CA166),-ROUNDDOWN($K167*CA$5/100,0)),0)</f>
        <v>0</v>
      </c>
      <c r="CB167" s="38"/>
      <c r="CC167" s="38"/>
      <c r="CD167" s="38"/>
      <c r="CE167" s="38"/>
      <c r="CF167" s="38"/>
      <c r="CG167" s="65">
        <f t="shared" si="138"/>
        <v>0</v>
      </c>
      <c r="CH167" s="71">
        <f t="shared" si="139"/>
        <v>0</v>
      </c>
      <c r="CI167" s="1">
        <f t="shared" si="19"/>
        <v>0</v>
      </c>
      <c r="CJ167" s="1"/>
      <c r="CK167" s="72"/>
      <c r="CL167" s="72"/>
      <c r="CM167" s="2"/>
      <c r="CN167" s="2"/>
      <c r="CO167" s="73">
        <f t="shared" si="20"/>
        <v>0</v>
      </c>
      <c r="CP167" s="5">
        <f t="shared" si="21"/>
        <v>0</v>
      </c>
      <c r="CQ167" s="1"/>
      <c r="CR167" s="1">
        <f t="shared" si="22"/>
        <v>0</v>
      </c>
      <c r="CS167" s="1"/>
      <c r="CT167" s="1" t="e">
        <f>INDEX([2]マスタ!$A:$A,MATCH(D167,[2]マスタ!$C:$C,0))</f>
        <v>#N/A</v>
      </c>
      <c r="CU167" s="1" t="str">
        <f t="shared" ca="1" si="23"/>
        <v>20260620_0-0</v>
      </c>
    </row>
    <row r="168" spans="1:99" x14ac:dyDescent="0.4">
      <c r="A168" s="61"/>
      <c r="B168" s="62"/>
      <c r="C168" s="62"/>
      <c r="D168" s="62"/>
      <c r="E168" s="63"/>
      <c r="F168" s="62"/>
      <c r="G168" s="62">
        <v>1</v>
      </c>
      <c r="H168" s="64">
        <f t="shared" si="4"/>
        <v>0</v>
      </c>
      <c r="I168" s="64"/>
      <c r="J168" s="64"/>
      <c r="K168" s="65">
        <f t="shared" si="144"/>
        <v>0</v>
      </c>
      <c r="L168" s="65">
        <f t="shared" si="6"/>
        <v>0</v>
      </c>
      <c r="M168" s="65">
        <f t="shared" si="7"/>
        <v>0</v>
      </c>
      <c r="N168" s="65">
        <f t="shared" si="8"/>
        <v>0</v>
      </c>
      <c r="O168" s="66" t="str">
        <f t="shared" si="145"/>
        <v>✕</v>
      </c>
      <c r="P168" s="67" t="str">
        <f t="shared" si="146"/>
        <v>○</v>
      </c>
      <c r="Q168" s="67" t="str">
        <f t="shared" si="147"/>
        <v>✕</v>
      </c>
      <c r="R168" s="67" t="str">
        <f t="shared" si="148"/>
        <v>✕</v>
      </c>
      <c r="S168" s="68">
        <v>0</v>
      </c>
      <c r="T168" s="69" t="s">
        <v>85</v>
      </c>
      <c r="U168" s="69" t="s">
        <v>85</v>
      </c>
      <c r="V168" s="69" t="s">
        <v>85</v>
      </c>
      <c r="W168" s="69" t="s">
        <v>85</v>
      </c>
      <c r="X168" s="69" t="s">
        <v>84</v>
      </c>
      <c r="Y168" s="69" t="s">
        <v>85</v>
      </c>
      <c r="Z168" s="69" t="s">
        <v>85</v>
      </c>
      <c r="AA168" s="69" t="s">
        <v>85</v>
      </c>
      <c r="AB168" s="69" t="s">
        <v>85</v>
      </c>
      <c r="AC168" s="69" t="s">
        <v>85</v>
      </c>
      <c r="AD168" s="38" t="str">
        <f>+IF(ISERROR(VLOOKUP($B168,AD$10:AD167,1,0)),IF(AND($N168&gt;=1000,$A168&gt;=AO$8,$A168&lt;=AO$9),$B168,""),"")</f>
        <v/>
      </c>
      <c r="AE168" s="38" t="str">
        <f>+IF(ISERROR(VLOOKUP($B168,AE$10:AE167,1,0)),IF(AND($N168&gt;=1000,$A168&gt;=AP$8,$A168&lt;=AP$9),$B168,""),"")</f>
        <v/>
      </c>
      <c r="AF168" s="38" t="str">
        <f>+IF(ISERROR(VLOOKUP($B168,AF$10:AF167,1,0)),IF(AND($N168&gt;=1000,$A168&gt;=AQ$8,$A168&lt;=AQ$9),$B168,""),"")</f>
        <v/>
      </c>
      <c r="AG168" s="38" t="str">
        <f>+IF(ISERROR(VLOOKUP($B168,AG$10:AG167,1,0)),IF(AND($N168&gt;=1000,$A168&gt;=AR$8,$A168&lt;=AR$9),$B168,""),"")</f>
        <v/>
      </c>
      <c r="AH168" s="38"/>
      <c r="AI168" s="70">
        <v>0</v>
      </c>
      <c r="AJ168" s="38">
        <f>IF(AND(AJ$7="○",$A168&gt;=AJ$8,$A168&lt;=AJ$9),IF(SUM(AJ$10:AJ167)-ROUNDDOWN($K168*AJ$5/100,0)&lt;-AJ$6,-AJ$6-SUM(AJ$10:AJ167),-ROUNDDOWN($K168*AJ$5/100,0)),0)</f>
        <v>0</v>
      </c>
      <c r="AK168" s="38">
        <f>IF(AND(AK$7="○",$A168&gt;=AK$8,$A168&lt;=AK$9),IF(SUM(AK$10:AK167)-ROUNDDOWN($L168*AK$5/100,0)&lt;-AK$6,-AK$6-SUM(AK$10:AK167),-ROUNDDOWN($L168*AK$5/100,0)),0)</f>
        <v>0</v>
      </c>
      <c r="AL168" s="38">
        <f>IF(AND(AL$7="○",$A168&gt;=AL$8,$A168&lt;=AL$9),IF(SUM(AL$10:AL167)-ROUNDDOWN($N168*AL$5/100,0)&lt;-AL$6,-AL$6-SUM(AL$10:AL167),-ROUNDDOWN($N168*AL$5/100,0)),0)</f>
        <v>0</v>
      </c>
      <c r="AM168" s="38">
        <f>IF(AND(AM$7="○",$A168&gt;=AM$8,$A168&lt;=AM$9),IF(SUM(AM$10:AM167)-ROUNDDOWN($L168*AM$5/100,0)&lt;-AM$6,-AM$6-SUM(AM$10:AM167),-ROUNDDOWN($L168*AM$5/100,0)),0)</f>
        <v>0</v>
      </c>
      <c r="AN168" s="38">
        <f>IF(AND(AN$7="○",$A168&gt;=AN$8,$A168&lt;=AN$9),IF(SUM(AN$10:AN167)-ROUNDDOWN($M168*AN$5/100,0)&lt;-AN$6,-AN$6-SUM(AN$10:AN167),-ROUNDDOWN($M168*AN$5/100,0)),0)</f>
        <v>0</v>
      </c>
      <c r="AO168" s="38">
        <f>IF(AND($A168&gt;=AO$8,$A168&lt;=AO$9),IF(SUM(AO$10:AO167)-ROUNDDOWN($K168*AO$5/100,0)&lt;-AO$6,-AO$6-SUM(AO$10:AO167),-ROUNDDOWN($K168*AO$5/100,0)),0)</f>
        <v>0</v>
      </c>
      <c r="AP168" s="38">
        <f>IF(AND($A168&gt;=AP$8,$A168&lt;=AP$9),IF(SUM(AP$10:AP167)-ROUNDDOWN($K168*AP$5/100,0)&lt;-AP$6,-AP$6-SUM(AP$10:AP167),-ROUNDDOWN($K168*AP$5/100,0)),0)</f>
        <v>0</v>
      </c>
      <c r="AQ168" s="38">
        <f>IF(AND($A168&gt;=AQ$8,$A168&lt;=AQ$9),IF(SUM(AQ$10:AQ167)-ROUNDDOWN($K168*AQ$5/100,0)&lt;-AQ$6,-AQ$6-SUM(AQ$10:AQ167),-ROUNDDOWN($K168*AQ$5/100,0)),0)</f>
        <v>0</v>
      </c>
      <c r="AR168" s="38">
        <f>IF(AND($A168&gt;=AR$8,$A168&lt;=AR$9),IF(SUM(AR$10:AR167)-ROUNDDOWN($K168*AR$5/100,0)&lt;-AR$6,-AR$6-SUM(AR$10:AR167),-ROUNDDOWN($K168*AR$5/100,0)),0)</f>
        <v>0</v>
      </c>
      <c r="AS168" s="38">
        <f>IF(SUMIFS(AS$10:AS167,$A$10:$A167,$A168)-ROUNDDOWN($K168*$S168/100,0)&lt;-$S168*1000,-$S168*1000-SUMIFS(AS$10:AS167,$A$10:$A167,$A168),-ROUNDDOWN($K168*$S168/100,0))</f>
        <v>0</v>
      </c>
      <c r="AT168" s="38">
        <f>IF(AND(X168="○",$A168&gt;=AT$8,$A168&lt;=AT$9,K168&gt;=3980),IF(SUM(AT$10:AT167)-ROUNDDOWN($K168*AT$5/100,0)&lt;-AT$6,-AT$6-SUM(AT$10:AT167),-ROUNDDOWN($K168*AT$5/100,0)),0)</f>
        <v>0</v>
      </c>
      <c r="AU168" s="38">
        <f>IF(O168="○",IF(SUM(AU$10:AU167)-ROUNDDOWN($K168*AU$5/100,0)&lt;-AU$6,-AU$6-SUM(AU$10:AU167),-ROUNDDOWN($K168*AU$5/100,0)),0)</f>
        <v>0</v>
      </c>
      <c r="AV168" s="38">
        <f>IF(P168="○",IF(SUM(AV$10:AV167)-ROUNDDOWN($K168*AV$5/100,0)&lt;-AV$6,-AV$6-SUM(AV$10:AV167),-ROUNDDOWN($K168*AV$5/100,0)),0)</f>
        <v>0</v>
      </c>
      <c r="AW168" s="38">
        <f>IF(Q168="○",IF(SUM(AW$10:AW167)-ROUNDDOWN($K168*AW$5/100,0)&lt;-AW$6,-AW$6-SUM(AW$10:AW167),-ROUNDDOWN($K168*AW$5/100,0)),0)</f>
        <v>0</v>
      </c>
      <c r="AX168" s="38">
        <f>IF(R168="○",IF(SUM(AX$10:AX167)-ROUNDDOWN($K168*AX$5/100,0)&lt;-AX$6,-AX$6-SUM(AX$10:AX167),-ROUNDDOWN($K168*AX$5/100,0)),0)</f>
        <v>0</v>
      </c>
      <c r="AY168" s="70">
        <v>0</v>
      </c>
      <c r="AZ168" s="65">
        <f t="shared" si="132"/>
        <v>0</v>
      </c>
      <c r="BA168" s="65">
        <f t="shared" si="133"/>
        <v>0</v>
      </c>
      <c r="BB168" s="70"/>
      <c r="BC168" s="65">
        <f t="shared" si="134"/>
        <v>0</v>
      </c>
      <c r="BD168" s="70">
        <v>0</v>
      </c>
      <c r="BE168" s="65">
        <f t="shared" si="135"/>
        <v>0</v>
      </c>
      <c r="BF168" s="70">
        <v>0</v>
      </c>
      <c r="BG168" s="65">
        <f t="shared" si="136"/>
        <v>0</v>
      </c>
      <c r="BH168" s="70">
        <v>0</v>
      </c>
      <c r="BI168" s="65">
        <f t="shared" si="137"/>
        <v>0</v>
      </c>
      <c r="BJ168" s="38">
        <f>IF(AND(BJ$7="○",$A168&gt;=BJ$8,$A168&lt;=BJ$9),IF(SUM(BJ$10:BJ167)-ROUNDDOWN($M168*BJ$5/100,0)&lt;-BJ$6,-BJ$6-SUM(BJ$10:BJ167),-ROUNDDOWN($M168*BJ$5/100,0)),0)</f>
        <v>0</v>
      </c>
      <c r="BK168" s="38">
        <f>IF(AND(BK$7="○",$A168&gt;=BK$8,$A168&lt;=BK$9),IF(SUM(BK$10:BK167)-ROUNDDOWN($L168*BK$5/100,0)&lt;-BK$6,-BK$6-SUM(BK$10:BK167),-ROUNDDOWN($L168*BK$5/100,0)),0)</f>
        <v>0</v>
      </c>
      <c r="BL168" s="38">
        <f>IF(AND(BL$7="○",$A168&gt;=BL$8,$A168&lt;=BL$9),IF(SUM(BL$10:BL167)-ROUNDDOWN($L168*BL$5/100,0)&lt;-BL$6,-BL$6-SUM(BL$10:BL167),-ROUNDDOWN($L168*BL$5/100,0)),0)</f>
        <v>0</v>
      </c>
      <c r="BM168" s="38">
        <f>IF(AND(BM$7="○",$A168&gt;=BM$8,$A168&lt;=BM$9),IF(SUM(BM$10:BM167)-ROUNDDOWN($M168*BM$5/100,0)&lt;-BM$6,-BM$6-SUM(BM$10:BM167),-ROUNDDOWN($M168*BM$5/100,0)),0)</f>
        <v>0</v>
      </c>
      <c r="BN168" s="38">
        <f>IF(AND(BN$7="○",$A168&gt;=BN$8,$A168&lt;=BN$9),IF(SUM(BN$10:BN167)-ROUNDDOWN($M168*BN$5/100,0)&lt;-BN$6,-BN$6-SUM(BN$10:BN167),-ROUNDDOWN($M168*BN$5/100,0)),0)</f>
        <v>0</v>
      </c>
      <c r="BO168" s="38">
        <f>IF(AND(BO$7="○",$A168&gt;=BO$8,$A168&lt;=BO$9),IF(SUM(BO$10:BO167)-ROUNDDOWN($M168*BO$5/100,0)&lt;-BO$6,-BO$6-SUM(BO$10:BO167),-ROUNDDOWN($M168*BO$5/100,0)),0)</f>
        <v>0</v>
      </c>
      <c r="BP168" s="38">
        <f>IF(AND(BP$7="○",$A168&gt;=BP$8,$A168&lt;=BP$9),IF(SUM(BP$10:BP167)-ROUNDDOWN($M168*BP$5/100,0)&lt;-BP$6,-BP$6-SUM(BP$10:BP167),-ROUNDDOWN($M168*BP$5/100,0)),0)</f>
        <v>0</v>
      </c>
      <c r="BQ168" s="38">
        <f>IF(AND(BQ$7="○",$A168&gt;=BQ$8,$A168&lt;=BQ$9),IF(SUM(BQ$10:BQ167)-ROUNDDOWN($L168*BQ$5/100,0)&lt;-BQ$6,-BQ$6-SUM(BQ$10:BQ167),-ROUNDDOWN($L168*BQ$5/100,0)),0)</f>
        <v>0</v>
      </c>
      <c r="BR168" s="38">
        <f>IF(AND(BR$7="○",$A168&gt;=BR$8,$A168&lt;=BR$9),IF(SUM(BR$10:BR167)-ROUNDDOWN($M168*BR$5/100,0)&lt;-BR$6,-BR$6-SUM(BR$10:BR167),-ROUNDDOWN($M168*BR$5/100,0)),0)</f>
        <v>0</v>
      </c>
      <c r="BS168" s="38">
        <f>IF(AND(BS$7="○",$A168&gt;=BS$8,$A168&lt;=BS$9),IF(SUM(BS$10:BS167)-ROUNDDOWN($M168*BS$5/100,0)&lt;-BS$6,-BS$6-SUM(BS$10:BS167),-ROUNDDOWN($M168*BS$5/100,0)),0)</f>
        <v>0</v>
      </c>
      <c r="BT168" s="38">
        <f>IF(AND(BT$7="○",$A168&gt;=BT$8,$A168&lt;=BT$9),IF(SUM(BT$10:BT167)-ROUNDDOWN($M168*BT$5/100,0)&lt;-BT$6,-BT$6-SUM(BT$10:BT167),-ROUNDDOWN($M168*BT$5/100,0)),0)</f>
        <v>0</v>
      </c>
      <c r="BU168" s="38">
        <f>IF(AND(BU$7="○",$A168&gt;=BU$8,$A168&lt;=BU$9),IF(SUM(BU$10:BU167)-ROUNDDOWN($M168*BU$5/100,0)&lt;-BU$6,-BU$6-SUM(BU$10:BU167),-ROUNDDOWN($M168*BU$5/100,0)),0)</f>
        <v>0</v>
      </c>
      <c r="BV168" s="38">
        <f>IF(AND(BV$7="○",$A168&gt;=BV$8,$A168&lt;=BV$9),IF(SUM(BV$10:BV167)-ROUNDDOWN($M168*BV$5/100,0)&lt;-BV$6,-BV$6-SUM(BV$10:BV167),-ROUNDDOWN($M168*BV$5/100,0)),0)</f>
        <v>0</v>
      </c>
      <c r="BW168" s="38">
        <f>IF(AND(BW$7="○",$A168&gt;=BW$8,$A168&lt;=BW$9),IF(SUM(BW$10:BW167)-ROUNDDOWN($M168*BW$5/100,0)&lt;-BW$6,-BW$6-SUM(BW$10:BW167),-ROUNDDOWN($M168*BW$5/100,0)),0)</f>
        <v>0</v>
      </c>
      <c r="BX168" s="38">
        <f>IF(AND(T168="○",$A168&gt;=BX$8,$A168&lt;=BX$9),IF(SUM(BX$10:BX167)-ROUNDDOWN($K168*BX$5/100,0)&lt;-BX$6,-BX$6-SUM(BX$10:BX167),-ROUNDDOWN($K168*BX$5/100,0)),0)</f>
        <v>0</v>
      </c>
      <c r="BY168" s="38">
        <f>IF(AND(U168="○",$A168&gt;=BY$8,$A168&lt;=BY$9),IF(SUM(BY$10:BY167)-ROUNDDOWN($K168*BY$5/100,0)&lt;-BY$6,-BY$6-SUM(BY$10:BY167),-ROUNDDOWN($K168*BY$5/100,0)),0)</f>
        <v>0</v>
      </c>
      <c r="BZ168" s="38">
        <f>IF(AND(V168="○",$A168&gt;=BZ$8,$A168&lt;=BZ$9),IF(SUM(BZ$10:BZ167)-ROUNDDOWN($K168*BZ$5/100,0)&lt;-BZ$6,-BZ$6-SUM(BZ$10:BZ167),-ROUNDDOWN($K168*BZ$5/100,0)),0)</f>
        <v>0</v>
      </c>
      <c r="CA168" s="38">
        <f>IF(AND(W168="○",$A168&gt;=CA$8,$A168&lt;=CA$9),IF(SUM(CA$10:CA167)-ROUNDDOWN($K168*CA$5/100,0)&lt;-CA$6,-CA$6-SUM(CA$10:CA167),-ROUNDDOWN($K168*CA$5/100,0)),0)</f>
        <v>0</v>
      </c>
      <c r="CB168" s="38"/>
      <c r="CC168" s="38"/>
      <c r="CD168" s="38"/>
      <c r="CE168" s="38"/>
      <c r="CF168" s="38"/>
      <c r="CG168" s="65">
        <f t="shared" si="138"/>
        <v>0</v>
      </c>
      <c r="CH168" s="71">
        <f t="shared" si="139"/>
        <v>0</v>
      </c>
      <c r="CI168" s="1">
        <f t="shared" si="19"/>
        <v>0</v>
      </c>
      <c r="CJ168" s="1"/>
      <c r="CK168" s="72"/>
      <c r="CL168" s="72"/>
      <c r="CM168" s="2"/>
      <c r="CN168" s="2"/>
      <c r="CO168" s="73">
        <f t="shared" si="20"/>
        <v>0</v>
      </c>
      <c r="CP168" s="5">
        <f t="shared" si="21"/>
        <v>0</v>
      </c>
      <c r="CQ168" s="1"/>
      <c r="CR168" s="1">
        <f t="shared" si="22"/>
        <v>0</v>
      </c>
      <c r="CS168" s="1"/>
      <c r="CT168" s="1" t="e">
        <f>INDEX([2]マスタ!$A:$A,MATCH(D168,[2]マスタ!$C:$C,0))</f>
        <v>#N/A</v>
      </c>
      <c r="CU168" s="1" t="str">
        <f t="shared" ca="1" si="23"/>
        <v>20260620_0-0</v>
      </c>
    </row>
    <row r="169" spans="1:99" x14ac:dyDescent="0.4">
      <c r="A169" s="61"/>
      <c r="B169" s="62"/>
      <c r="C169" s="62"/>
      <c r="D169" s="62"/>
      <c r="E169" s="74"/>
      <c r="F169" s="62"/>
      <c r="G169" s="62">
        <v>1</v>
      </c>
      <c r="H169" s="64">
        <f t="shared" si="4"/>
        <v>0</v>
      </c>
      <c r="I169" s="64"/>
      <c r="J169" s="64"/>
      <c r="K169" s="65">
        <f t="shared" si="144"/>
        <v>0</v>
      </c>
      <c r="L169" s="65">
        <f t="shared" si="6"/>
        <v>0</v>
      </c>
      <c r="M169" s="65">
        <f t="shared" si="7"/>
        <v>0</v>
      </c>
      <c r="N169" s="65">
        <f t="shared" si="8"/>
        <v>0</v>
      </c>
      <c r="O169" s="66" t="str">
        <f t="shared" si="145"/>
        <v>✕</v>
      </c>
      <c r="P169" s="67" t="str">
        <f t="shared" si="146"/>
        <v>○</v>
      </c>
      <c r="Q169" s="67" t="str">
        <f t="shared" si="147"/>
        <v>✕</v>
      </c>
      <c r="R169" s="67" t="str">
        <f t="shared" si="148"/>
        <v>✕</v>
      </c>
      <c r="S169" s="68">
        <v>0</v>
      </c>
      <c r="T169" s="69" t="s">
        <v>85</v>
      </c>
      <c r="U169" s="69" t="s">
        <v>85</v>
      </c>
      <c r="V169" s="69" t="s">
        <v>85</v>
      </c>
      <c r="W169" s="69" t="s">
        <v>85</v>
      </c>
      <c r="X169" s="69" t="s">
        <v>84</v>
      </c>
      <c r="Y169" s="69" t="s">
        <v>85</v>
      </c>
      <c r="Z169" s="69" t="s">
        <v>85</v>
      </c>
      <c r="AA169" s="69" t="s">
        <v>85</v>
      </c>
      <c r="AB169" s="69" t="s">
        <v>85</v>
      </c>
      <c r="AC169" s="69" t="s">
        <v>85</v>
      </c>
      <c r="AD169" s="38" t="str">
        <f>+IF(ISERROR(VLOOKUP($B169,AD$10:AD168,1,0)),IF(AND($N169&gt;=1000,$A169&gt;=AO$8,$A169&lt;=AO$9),$B169,""),"")</f>
        <v/>
      </c>
      <c r="AE169" s="38" t="str">
        <f>+IF(ISERROR(VLOOKUP($B169,AE$10:AE168,1,0)),IF(AND($N169&gt;=1000,$A169&gt;=AP$8,$A169&lt;=AP$9),$B169,""),"")</f>
        <v/>
      </c>
      <c r="AF169" s="38" t="str">
        <f>+IF(ISERROR(VLOOKUP($B169,AF$10:AF168,1,0)),IF(AND($N169&gt;=1000,$A169&gt;=AQ$8,$A169&lt;=AQ$9),$B169,""),"")</f>
        <v/>
      </c>
      <c r="AG169" s="38" t="str">
        <f>+IF(ISERROR(VLOOKUP($B169,AG$10:AG168,1,0)),IF(AND($N169&gt;=1000,$A169&gt;=AR$8,$A169&lt;=AR$9),$B169,""),"")</f>
        <v/>
      </c>
      <c r="AH169" s="38"/>
      <c r="AI169" s="70">
        <v>0</v>
      </c>
      <c r="AJ169" s="38">
        <f>IF(AND(AJ$7="○",$A169&gt;=AJ$8,$A169&lt;=AJ$9),IF(SUM(AJ$10:AJ168)-ROUNDDOWN($K169*AJ$5/100,0)&lt;-AJ$6,-AJ$6-SUM(AJ$10:AJ168),-ROUNDDOWN($K169*AJ$5/100,0)),0)</f>
        <v>0</v>
      </c>
      <c r="AK169" s="38">
        <f>IF(AND(AK$7="○",$A169&gt;=AK$8,$A169&lt;=AK$9),IF(SUM(AK$10:AK168)-ROUNDDOWN($L169*AK$5/100,0)&lt;-AK$6,-AK$6-SUM(AK$10:AK168),-ROUNDDOWN($L169*AK$5/100,0)),0)</f>
        <v>0</v>
      </c>
      <c r="AL169" s="38">
        <f>IF(AND(AL$7="○",$A169&gt;=AL$8,$A169&lt;=AL$9),IF(SUM(AL$10:AL168)-ROUNDDOWN($N169*AL$5/100,0)&lt;-AL$6,-AL$6-SUM(AL$10:AL168),-ROUNDDOWN($N169*AL$5/100,0)),0)</f>
        <v>0</v>
      </c>
      <c r="AM169" s="38">
        <f>IF(AND(AM$7="○",$A169&gt;=AM$8,$A169&lt;=AM$9),IF(SUM(AM$10:AM168)-ROUNDDOWN($L169*AM$5/100,0)&lt;-AM$6,-AM$6-SUM(AM$10:AM168),-ROUNDDOWN($L169*AM$5/100,0)),0)</f>
        <v>0</v>
      </c>
      <c r="AN169" s="38">
        <f>IF(AND(AN$7="○",$A169&gt;=AN$8,$A169&lt;=AN$9),IF(SUM(AN$10:AN168)-ROUNDDOWN($M169*AN$5/100,0)&lt;-AN$6,-AN$6-SUM(AN$10:AN168),-ROUNDDOWN($M169*AN$5/100,0)),0)</f>
        <v>0</v>
      </c>
      <c r="AO169" s="38">
        <f>IF(AND($A169&gt;=AO$8,$A169&lt;=AO$9),IF(SUM(AO$10:AO168)-ROUNDDOWN($K169*AO$5/100,0)&lt;-AO$6,-AO$6-SUM(AO$10:AO168),-ROUNDDOWN($K169*AO$5/100,0)),0)</f>
        <v>0</v>
      </c>
      <c r="AP169" s="38">
        <f>IF(AND($A169&gt;=AP$8,$A169&lt;=AP$9),IF(SUM(AP$10:AP168)-ROUNDDOWN($K169*AP$5/100,0)&lt;-AP$6,-AP$6-SUM(AP$10:AP168),-ROUNDDOWN($K169*AP$5/100,0)),0)</f>
        <v>0</v>
      </c>
      <c r="AQ169" s="38">
        <f>IF(AND($A169&gt;=AQ$8,$A169&lt;=AQ$9),IF(SUM(AQ$10:AQ168)-ROUNDDOWN($K169*AQ$5/100,0)&lt;-AQ$6,-AQ$6-SUM(AQ$10:AQ168),-ROUNDDOWN($K169*AQ$5/100,0)),0)</f>
        <v>0</v>
      </c>
      <c r="AR169" s="38">
        <f>IF(AND($A169&gt;=AR$8,$A169&lt;=AR$9),IF(SUM(AR$10:AR168)-ROUNDDOWN($K169*AR$5/100,0)&lt;-AR$6,-AR$6-SUM(AR$10:AR168),-ROUNDDOWN($K169*AR$5/100,0)),0)</f>
        <v>0</v>
      </c>
      <c r="AS169" s="38">
        <f>IF(SUMIFS(AS$10:AS168,$A$10:$A168,$A169)-ROUNDDOWN($K169*$S169/100,0)&lt;-$S169*1000,-$S169*1000-SUMIFS(AS$10:AS168,$A$10:$A168,$A169),-ROUNDDOWN($K169*$S169/100,0))</f>
        <v>0</v>
      </c>
      <c r="AT169" s="38">
        <f>IF(AND(X169="○",$A169&gt;=AT$8,$A169&lt;=AT$9,K169&gt;=3980),IF(SUM(AT$10:AT168)-ROUNDDOWN($K169*AT$5/100,0)&lt;-AT$6,-AT$6-SUM(AT$10:AT168),-ROUNDDOWN($K169*AT$5/100,0)),0)</f>
        <v>0</v>
      </c>
      <c r="AU169" s="38">
        <f>IF(O169="○",IF(SUM(AU$10:AU168)-ROUNDDOWN($K169*AU$5/100,0)&lt;-AU$6,-AU$6-SUM(AU$10:AU168),-ROUNDDOWN($K169*AU$5/100,0)),0)</f>
        <v>0</v>
      </c>
      <c r="AV169" s="38">
        <f>IF(P169="○",IF(SUM(AV$10:AV168)-ROUNDDOWN($K169*AV$5/100,0)&lt;-AV$6,-AV$6-SUM(AV$10:AV168),-ROUNDDOWN($K169*AV$5/100,0)),0)</f>
        <v>0</v>
      </c>
      <c r="AW169" s="38">
        <f>IF(Q169="○",IF(SUM(AW$10:AW168)-ROUNDDOWN($K169*AW$5/100,0)&lt;-AW$6,-AW$6-SUM(AW$10:AW168),-ROUNDDOWN($K169*AW$5/100,0)),0)</f>
        <v>0</v>
      </c>
      <c r="AX169" s="38">
        <f>IF(R169="○",IF(SUM(AX$10:AX168)-ROUNDDOWN($K169*AX$5/100,0)&lt;-AX$6,-AX$6-SUM(AX$10:AX168),-ROUNDDOWN($K169*AX$5/100,0)),0)</f>
        <v>0</v>
      </c>
      <c r="AY169" s="70">
        <v>0</v>
      </c>
      <c r="AZ169" s="65">
        <f t="shared" si="132"/>
        <v>0</v>
      </c>
      <c r="BA169" s="65">
        <f t="shared" si="133"/>
        <v>0</v>
      </c>
      <c r="BB169" s="70"/>
      <c r="BC169" s="65">
        <f t="shared" si="134"/>
        <v>0</v>
      </c>
      <c r="BD169" s="70">
        <v>0</v>
      </c>
      <c r="BE169" s="65">
        <f t="shared" si="135"/>
        <v>0</v>
      </c>
      <c r="BF169" s="70">
        <v>0</v>
      </c>
      <c r="BG169" s="65">
        <f t="shared" si="136"/>
        <v>0</v>
      </c>
      <c r="BH169" s="70">
        <v>0</v>
      </c>
      <c r="BI169" s="65">
        <f t="shared" si="137"/>
        <v>0</v>
      </c>
      <c r="BJ169" s="38">
        <f>IF(AND(BJ$7="○",$A169&gt;=BJ$8,$A169&lt;=BJ$9),IF(SUM(BJ$10:BJ168)-ROUNDDOWN($M169*BJ$5/100,0)&lt;-BJ$6,-BJ$6-SUM(BJ$10:BJ168),-ROUNDDOWN($M169*BJ$5/100,0)),0)</f>
        <v>0</v>
      </c>
      <c r="BK169" s="38">
        <f>IF(AND(BK$7="○",$A169&gt;=BK$8,$A169&lt;=BK$9),IF(SUM(BK$10:BK168)-ROUNDDOWN($L169*BK$5/100,0)&lt;-BK$6,-BK$6-SUM(BK$10:BK168),-ROUNDDOWN($L169*BK$5/100,0)),0)</f>
        <v>0</v>
      </c>
      <c r="BL169" s="38">
        <f>IF(AND(BL$7="○",$A169&gt;=BL$8,$A169&lt;=BL$9),IF(SUM(BL$10:BL168)-ROUNDDOWN($L169*BL$5/100,0)&lt;-BL$6,-BL$6-SUM(BL$10:BL168),-ROUNDDOWN($L169*BL$5/100,0)),0)</f>
        <v>0</v>
      </c>
      <c r="BM169" s="38">
        <f>IF(AND(BM$7="○",$A169&gt;=BM$8,$A169&lt;=BM$9),IF(SUM(BM$10:BM168)-ROUNDDOWN($M169*BM$5/100,0)&lt;-BM$6,-BM$6-SUM(BM$10:BM168),-ROUNDDOWN($M169*BM$5/100,0)),0)</f>
        <v>0</v>
      </c>
      <c r="BN169" s="38">
        <f>IF(AND(BN$7="○",$A169&gt;=BN$8,$A169&lt;=BN$9),IF(SUM(BN$10:BN168)-ROUNDDOWN($M169*BN$5/100,0)&lt;-BN$6,-BN$6-SUM(BN$10:BN168),-ROUNDDOWN($M169*BN$5/100,0)),0)</f>
        <v>0</v>
      </c>
      <c r="BO169" s="38">
        <f>IF(AND(BO$7="○",$A169&gt;=BO$8,$A169&lt;=BO$9),IF(SUM(BO$10:BO168)-ROUNDDOWN($M169*BO$5/100,0)&lt;-BO$6,-BO$6-SUM(BO$10:BO168),-ROUNDDOWN($M169*BO$5/100,0)),0)</f>
        <v>0</v>
      </c>
      <c r="BP169" s="38">
        <f>IF(AND(BP$7="○",$A169&gt;=BP$8,$A169&lt;=BP$9),IF(SUM(BP$10:BP168)-ROUNDDOWN($M169*BP$5/100,0)&lt;-BP$6,-BP$6-SUM(BP$10:BP168),-ROUNDDOWN($M169*BP$5/100,0)),0)</f>
        <v>0</v>
      </c>
      <c r="BQ169" s="38">
        <f>IF(AND(BQ$7="○",$A169&gt;=BQ$8,$A169&lt;=BQ$9),IF(SUM(BQ$10:BQ168)-ROUNDDOWN($L169*BQ$5/100,0)&lt;-BQ$6,-BQ$6-SUM(BQ$10:BQ168),-ROUNDDOWN($L169*BQ$5/100,0)),0)</f>
        <v>0</v>
      </c>
      <c r="BR169" s="38">
        <f>IF(AND(BR$7="○",$A169&gt;=BR$8,$A169&lt;=BR$9),IF(SUM(BR$10:BR168)-ROUNDDOWN($M169*BR$5/100,0)&lt;-BR$6,-BR$6-SUM(BR$10:BR168),-ROUNDDOWN($M169*BR$5/100,0)),0)</f>
        <v>0</v>
      </c>
      <c r="BS169" s="38">
        <f>IF(AND(BS$7="○",$A169&gt;=BS$8,$A169&lt;=BS$9),IF(SUM(BS$10:BS168)-ROUNDDOWN($M169*BS$5/100,0)&lt;-BS$6,-BS$6-SUM(BS$10:BS168),-ROUNDDOWN($M169*BS$5/100,0)),0)</f>
        <v>0</v>
      </c>
      <c r="BT169" s="38">
        <f>IF(AND(BT$7="○",$A169&gt;=BT$8,$A169&lt;=BT$9),IF(SUM(BT$10:BT168)-ROUNDDOWN($M169*BT$5/100,0)&lt;-BT$6,-BT$6-SUM(BT$10:BT168),-ROUNDDOWN($M169*BT$5/100,0)),0)</f>
        <v>0</v>
      </c>
      <c r="BU169" s="38">
        <f>IF(AND(BU$7="○",$A169&gt;=BU$8,$A169&lt;=BU$9),IF(SUM(BU$10:BU168)-ROUNDDOWN($M169*BU$5/100,0)&lt;-BU$6,-BU$6-SUM(BU$10:BU168),-ROUNDDOWN($M169*BU$5/100,0)),0)</f>
        <v>0</v>
      </c>
      <c r="BV169" s="38">
        <f>IF(AND(BV$7="○",$A169&gt;=BV$8,$A169&lt;=BV$9),IF(SUM(BV$10:BV168)-ROUNDDOWN($M169*BV$5/100,0)&lt;-BV$6,-BV$6-SUM(BV$10:BV168),-ROUNDDOWN($M169*BV$5/100,0)),0)</f>
        <v>0</v>
      </c>
      <c r="BW169" s="38">
        <f>IF(AND(BW$7="○",$A169&gt;=BW$8,$A169&lt;=BW$9),IF(SUM(BW$10:BW168)-ROUNDDOWN($M169*BW$5/100,0)&lt;-BW$6,-BW$6-SUM(BW$10:BW168),-ROUNDDOWN($M169*BW$5/100,0)),0)</f>
        <v>0</v>
      </c>
      <c r="BX169" s="38">
        <f>IF(AND(T169="○",$A169&gt;=BX$8,$A169&lt;=BX$9),IF(SUM(BX$10:BX168)-ROUNDDOWN($K169*BX$5/100,0)&lt;-BX$6,-BX$6-SUM(BX$10:BX168),-ROUNDDOWN($K169*BX$5/100,0)),0)</f>
        <v>0</v>
      </c>
      <c r="BY169" s="38">
        <f>IF(AND(U169="○",$A169&gt;=BY$8,$A169&lt;=BY$9),IF(SUM(BY$10:BY168)-ROUNDDOWN($K169*BY$5/100,0)&lt;-BY$6,-BY$6-SUM(BY$10:BY168),-ROUNDDOWN($K169*BY$5/100,0)),0)</f>
        <v>0</v>
      </c>
      <c r="BZ169" s="38">
        <f>IF(AND(V169="○",$A169&gt;=BZ$8,$A169&lt;=BZ$9),IF(SUM(BZ$10:BZ168)-ROUNDDOWN($K169*BZ$5/100,0)&lt;-BZ$6,-BZ$6-SUM(BZ$10:BZ168),-ROUNDDOWN($K169*BZ$5/100,0)),0)</f>
        <v>0</v>
      </c>
      <c r="CA169" s="38">
        <f>IF(AND(W169="○",$A169&gt;=CA$8,$A169&lt;=CA$9),IF(SUM(CA$10:CA168)-ROUNDDOWN($K169*CA$5/100,0)&lt;-CA$6,-CA$6-SUM(CA$10:CA168),-ROUNDDOWN($K169*CA$5/100,0)),0)</f>
        <v>0</v>
      </c>
      <c r="CB169" s="38"/>
      <c r="CC169" s="38"/>
      <c r="CD169" s="38"/>
      <c r="CE169" s="38"/>
      <c r="CF169" s="38"/>
      <c r="CG169" s="65">
        <f t="shared" si="138"/>
        <v>0</v>
      </c>
      <c r="CH169" s="71">
        <f t="shared" si="139"/>
        <v>0</v>
      </c>
      <c r="CI169" s="1">
        <f t="shared" si="19"/>
        <v>0</v>
      </c>
      <c r="CJ169" s="1"/>
      <c r="CK169" s="72"/>
      <c r="CL169" s="72"/>
      <c r="CM169" s="2"/>
      <c r="CN169" s="2"/>
      <c r="CO169" s="73">
        <f t="shared" si="20"/>
        <v>0</v>
      </c>
      <c r="CP169" s="5">
        <f t="shared" si="21"/>
        <v>0</v>
      </c>
      <c r="CQ169" s="1"/>
      <c r="CR169" s="1">
        <f t="shared" si="22"/>
        <v>0</v>
      </c>
      <c r="CS169" s="1"/>
      <c r="CT169" s="1" t="e">
        <f>INDEX([2]マスタ!$A:$A,MATCH(D169,[2]マスタ!$C:$C,0))</f>
        <v>#N/A</v>
      </c>
      <c r="CU169" s="1" t="str">
        <f t="shared" ca="1" si="23"/>
        <v>20260620_0-0</v>
      </c>
    </row>
    <row r="170" spans="1:99" x14ac:dyDescent="0.4">
      <c r="A170" s="61"/>
      <c r="B170" s="62"/>
      <c r="C170" s="62"/>
      <c r="D170" s="62"/>
      <c r="E170" s="74"/>
      <c r="F170" s="62"/>
      <c r="G170" s="62">
        <v>1</v>
      </c>
      <c r="H170" s="64">
        <f t="shared" si="4"/>
        <v>0</v>
      </c>
      <c r="I170" s="64"/>
      <c r="J170" s="64"/>
      <c r="K170" s="65">
        <f t="shared" si="144"/>
        <v>0</v>
      </c>
      <c r="L170" s="65">
        <f t="shared" si="6"/>
        <v>0</v>
      </c>
      <c r="M170" s="65">
        <f t="shared" si="7"/>
        <v>0</v>
      </c>
      <c r="N170" s="65">
        <f t="shared" si="8"/>
        <v>0</v>
      </c>
      <c r="O170" s="66" t="str">
        <f t="shared" si="145"/>
        <v>✕</v>
      </c>
      <c r="P170" s="67" t="str">
        <f t="shared" si="146"/>
        <v>○</v>
      </c>
      <c r="Q170" s="67" t="str">
        <f t="shared" si="147"/>
        <v>✕</v>
      </c>
      <c r="R170" s="67" t="str">
        <f t="shared" si="148"/>
        <v>✕</v>
      </c>
      <c r="S170" s="68">
        <v>0</v>
      </c>
      <c r="T170" s="69" t="s">
        <v>85</v>
      </c>
      <c r="U170" s="69" t="s">
        <v>85</v>
      </c>
      <c r="V170" s="69" t="s">
        <v>85</v>
      </c>
      <c r="W170" s="69" t="s">
        <v>85</v>
      </c>
      <c r="X170" s="69" t="s">
        <v>84</v>
      </c>
      <c r="Y170" s="69" t="s">
        <v>85</v>
      </c>
      <c r="Z170" s="69" t="s">
        <v>85</v>
      </c>
      <c r="AA170" s="69" t="s">
        <v>85</v>
      </c>
      <c r="AB170" s="69" t="s">
        <v>85</v>
      </c>
      <c r="AC170" s="69" t="s">
        <v>85</v>
      </c>
      <c r="AD170" s="38" t="str">
        <f>+IF(ISERROR(VLOOKUP($B170,AD$10:AD169,1,0)),IF(AND($N170&gt;=1000,$A170&gt;=AO$8,$A170&lt;=AO$9),$B170,""),"")</f>
        <v/>
      </c>
      <c r="AE170" s="38" t="str">
        <f>+IF(ISERROR(VLOOKUP($B170,AE$10:AE169,1,0)),IF(AND($N170&gt;=1000,$A170&gt;=AP$8,$A170&lt;=AP$9),$B170,""),"")</f>
        <v/>
      </c>
      <c r="AF170" s="38" t="str">
        <f>+IF(ISERROR(VLOOKUP($B170,AF$10:AF169,1,0)),IF(AND($N170&gt;=1000,$A170&gt;=AQ$8,$A170&lt;=AQ$9),$B170,""),"")</f>
        <v/>
      </c>
      <c r="AG170" s="38" t="str">
        <f>+IF(ISERROR(VLOOKUP($B170,AG$10:AG169,1,0)),IF(AND($N170&gt;=1000,$A170&gt;=AR$8,$A170&lt;=AR$9),$B170,""),"")</f>
        <v/>
      </c>
      <c r="AH170" s="38"/>
      <c r="AI170" s="70">
        <v>0</v>
      </c>
      <c r="AJ170" s="38">
        <f>IF(AND(AJ$7="○",$A170&gt;=AJ$8,$A170&lt;=AJ$9),IF(SUM(AJ$10:AJ169)-ROUNDDOWN($K170*AJ$5/100,0)&lt;-AJ$6,-AJ$6-SUM(AJ$10:AJ169),-ROUNDDOWN($K170*AJ$5/100,0)),0)</f>
        <v>0</v>
      </c>
      <c r="AK170" s="38">
        <f>IF(AND(AK$7="○",$A170&gt;=AK$8,$A170&lt;=AK$9),IF(SUM(AK$10:AK169)-ROUNDDOWN($L170*AK$5/100,0)&lt;-AK$6,-AK$6-SUM(AK$10:AK169),-ROUNDDOWN($L170*AK$5/100,0)),0)</f>
        <v>0</v>
      </c>
      <c r="AL170" s="38">
        <f>IF(AND(AL$7="○",$A170&gt;=AL$8,$A170&lt;=AL$9),IF(SUM(AL$10:AL169)-ROUNDDOWN($N170*AL$5/100,0)&lt;-AL$6,-AL$6-SUM(AL$10:AL169),-ROUNDDOWN($N170*AL$5/100,0)),0)</f>
        <v>0</v>
      </c>
      <c r="AM170" s="38">
        <f>IF(AND(AM$7="○",$A170&gt;=AM$8,$A170&lt;=AM$9),IF(SUM(AM$10:AM169)-ROUNDDOWN($L170*AM$5/100,0)&lt;-AM$6,-AM$6-SUM(AM$10:AM169),-ROUNDDOWN($L170*AM$5/100,0)),0)</f>
        <v>0</v>
      </c>
      <c r="AN170" s="38">
        <f>IF(AND(AN$7="○",$A170&gt;=AN$8,$A170&lt;=AN$9),IF(SUM(AN$10:AN169)-ROUNDDOWN($M170*AN$5/100,0)&lt;-AN$6,-AN$6-SUM(AN$10:AN169),-ROUNDDOWN($M170*AN$5/100,0)),0)</f>
        <v>0</v>
      </c>
      <c r="AO170" s="38">
        <f>IF(AND($A170&gt;=AO$8,$A170&lt;=AO$9),IF(SUM(AO$10:AO169)-ROUNDDOWN($K170*AO$5/100,0)&lt;-AO$6,-AO$6-SUM(AO$10:AO169),-ROUNDDOWN($K170*AO$5/100,0)),0)</f>
        <v>0</v>
      </c>
      <c r="AP170" s="38">
        <f>IF(AND($A170&gt;=AP$8,$A170&lt;=AP$9),IF(SUM(AP$10:AP169)-ROUNDDOWN($K170*AP$5/100,0)&lt;-AP$6,-AP$6-SUM(AP$10:AP169),-ROUNDDOWN($K170*AP$5/100,0)),0)</f>
        <v>0</v>
      </c>
      <c r="AQ170" s="38">
        <f>IF(AND($A170&gt;=AQ$8,$A170&lt;=AQ$9),IF(SUM(AQ$10:AQ169)-ROUNDDOWN($K170*AQ$5/100,0)&lt;-AQ$6,-AQ$6-SUM(AQ$10:AQ169),-ROUNDDOWN($K170*AQ$5/100,0)),0)</f>
        <v>0</v>
      </c>
      <c r="AR170" s="38">
        <f>IF(AND($A170&gt;=AR$8,$A170&lt;=AR$9),IF(SUM(AR$10:AR169)-ROUNDDOWN($K170*AR$5/100,0)&lt;-AR$6,-AR$6-SUM(AR$10:AR169),-ROUNDDOWN($K170*AR$5/100,0)),0)</f>
        <v>0</v>
      </c>
      <c r="AS170" s="38">
        <f>IF(SUMIFS(AS$10:AS169,$A$10:$A169,$A170)-ROUNDDOWN($K170*$S170/100,0)&lt;-$S170*1000,-$S170*1000-SUMIFS(AS$10:AS169,$A$10:$A169,$A170),-ROUNDDOWN($K170*$S170/100,0))</f>
        <v>0</v>
      </c>
      <c r="AT170" s="38">
        <f>IF(AND(X170="○",$A170&gt;=AT$8,$A170&lt;=AT$9,K170&gt;=3980),IF(SUM(AT$10:AT169)-ROUNDDOWN($K170*AT$5/100,0)&lt;-AT$6,-AT$6-SUM(AT$10:AT169),-ROUNDDOWN($K170*AT$5/100,0)),0)</f>
        <v>0</v>
      </c>
      <c r="AU170" s="38">
        <f>IF(O170="○",IF(SUM(AU$10:AU169)-ROUNDDOWN($K170*AU$5/100,0)&lt;-AU$6,-AU$6-SUM(AU$10:AU169),-ROUNDDOWN($K170*AU$5/100,0)),0)</f>
        <v>0</v>
      </c>
      <c r="AV170" s="38">
        <f>IF(P170="○",IF(SUM(AV$10:AV169)-ROUNDDOWN($K170*AV$5/100,0)&lt;-AV$6,-AV$6-SUM(AV$10:AV169),-ROUNDDOWN($K170*AV$5/100,0)),0)</f>
        <v>0</v>
      </c>
      <c r="AW170" s="38">
        <f>IF(Q170="○",IF(SUM(AW$10:AW169)-ROUNDDOWN($K170*AW$5/100,0)&lt;-AW$6,-AW$6-SUM(AW$10:AW169),-ROUNDDOWN($K170*AW$5/100,0)),0)</f>
        <v>0</v>
      </c>
      <c r="AX170" s="38">
        <f>IF(R170="○",IF(SUM(AX$10:AX169)-ROUNDDOWN($K170*AX$5/100,0)&lt;-AX$6,-AX$6-SUM(AX$10:AX169),-ROUNDDOWN($K170*AX$5/100,0)),0)</f>
        <v>0</v>
      </c>
      <c r="AY170" s="70">
        <v>0</v>
      </c>
      <c r="AZ170" s="65">
        <f t="shared" si="132"/>
        <v>0</v>
      </c>
      <c r="BA170" s="65">
        <f t="shared" si="133"/>
        <v>0</v>
      </c>
      <c r="BB170" s="70"/>
      <c r="BC170" s="65">
        <f t="shared" si="134"/>
        <v>0</v>
      </c>
      <c r="BD170" s="70">
        <v>0</v>
      </c>
      <c r="BE170" s="65">
        <f t="shared" si="135"/>
        <v>0</v>
      </c>
      <c r="BF170" s="70">
        <v>0</v>
      </c>
      <c r="BG170" s="65">
        <f t="shared" si="136"/>
        <v>0</v>
      </c>
      <c r="BH170" s="70">
        <v>0</v>
      </c>
      <c r="BI170" s="65">
        <f t="shared" si="137"/>
        <v>0</v>
      </c>
      <c r="BJ170" s="38">
        <f>IF(AND(BJ$7="○",$A170&gt;=BJ$8,$A170&lt;=BJ$9),IF(SUM(BJ$10:BJ169)-ROUNDDOWN($M170*BJ$5/100,0)&lt;-BJ$6,-BJ$6-SUM(BJ$10:BJ169),-ROUNDDOWN($M170*BJ$5/100,0)),0)</f>
        <v>0</v>
      </c>
      <c r="BK170" s="38">
        <f>IF(AND(BK$7="○",$A170&gt;=BK$8,$A170&lt;=BK$9),IF(SUM(BK$10:BK169)-ROUNDDOWN($L170*BK$5/100,0)&lt;-BK$6,-BK$6-SUM(BK$10:BK169),-ROUNDDOWN($L170*BK$5/100,0)),0)</f>
        <v>0</v>
      </c>
      <c r="BL170" s="38">
        <f>IF(AND(BL$7="○",$A170&gt;=BL$8,$A170&lt;=BL$9),IF(SUM(BL$10:BL169)-ROUNDDOWN($L170*BL$5/100,0)&lt;-BL$6,-BL$6-SUM(BL$10:BL169),-ROUNDDOWN($L170*BL$5/100,0)),0)</f>
        <v>0</v>
      </c>
      <c r="BM170" s="38">
        <f>IF(AND(BM$7="○",$A170&gt;=BM$8,$A170&lt;=BM$9),IF(SUM(BM$10:BM169)-ROUNDDOWN($M170*BM$5/100,0)&lt;-BM$6,-BM$6-SUM(BM$10:BM169),-ROUNDDOWN($M170*BM$5/100,0)),0)</f>
        <v>0</v>
      </c>
      <c r="BN170" s="38">
        <f>IF(AND(BN$7="○",$A170&gt;=BN$8,$A170&lt;=BN$9),IF(SUM(BN$10:BN169)-ROUNDDOWN($M170*BN$5/100,0)&lt;-BN$6,-BN$6-SUM(BN$10:BN169),-ROUNDDOWN($M170*BN$5/100,0)),0)</f>
        <v>0</v>
      </c>
      <c r="BO170" s="38">
        <f>IF(AND(BO$7="○",$A170&gt;=BO$8,$A170&lt;=BO$9),IF(SUM(BO$10:BO169)-ROUNDDOWN($M170*BO$5/100,0)&lt;-BO$6,-BO$6-SUM(BO$10:BO169),-ROUNDDOWN($M170*BO$5/100,0)),0)</f>
        <v>0</v>
      </c>
      <c r="BP170" s="38">
        <f>IF(AND(BP$7="○",$A170&gt;=BP$8,$A170&lt;=BP$9),IF(SUM(BP$10:BP169)-ROUNDDOWN($M170*BP$5/100,0)&lt;-BP$6,-BP$6-SUM(BP$10:BP169),-ROUNDDOWN($M170*BP$5/100,0)),0)</f>
        <v>0</v>
      </c>
      <c r="BQ170" s="38">
        <f>IF(AND(BQ$7="○",$A170&gt;=BQ$8,$A170&lt;=BQ$9),IF(SUM(BQ$10:BQ169)-ROUNDDOWN($L170*BQ$5/100,0)&lt;-BQ$6,-BQ$6-SUM(BQ$10:BQ169),-ROUNDDOWN($L170*BQ$5/100,0)),0)</f>
        <v>0</v>
      </c>
      <c r="BR170" s="38">
        <f>IF(AND(BR$7="○",$A170&gt;=BR$8,$A170&lt;=BR$9),IF(SUM(BR$10:BR169)-ROUNDDOWN($M170*BR$5/100,0)&lt;-BR$6,-BR$6-SUM(BR$10:BR169),-ROUNDDOWN($M170*BR$5/100,0)),0)</f>
        <v>0</v>
      </c>
      <c r="BS170" s="38">
        <f>IF(AND(BS$7="○",$A170&gt;=BS$8,$A170&lt;=BS$9),IF(SUM(BS$10:BS169)-ROUNDDOWN($M170*BS$5/100,0)&lt;-BS$6,-BS$6-SUM(BS$10:BS169),-ROUNDDOWN($M170*BS$5/100,0)),0)</f>
        <v>0</v>
      </c>
      <c r="BT170" s="38">
        <f>IF(AND(BT$7="○",$A170&gt;=BT$8,$A170&lt;=BT$9),IF(SUM(BT$10:BT169)-ROUNDDOWN($M170*BT$5/100,0)&lt;-BT$6,-BT$6-SUM(BT$10:BT169),-ROUNDDOWN($M170*BT$5/100,0)),0)</f>
        <v>0</v>
      </c>
      <c r="BU170" s="38">
        <f>IF(AND(BU$7="○",$A170&gt;=BU$8,$A170&lt;=BU$9),IF(SUM(BU$10:BU169)-ROUNDDOWN($M170*BU$5/100,0)&lt;-BU$6,-BU$6-SUM(BU$10:BU169),-ROUNDDOWN($M170*BU$5/100,0)),0)</f>
        <v>0</v>
      </c>
      <c r="BV170" s="38">
        <f>IF(AND(BV$7="○",$A170&gt;=BV$8,$A170&lt;=BV$9),IF(SUM(BV$10:BV169)-ROUNDDOWN($M170*BV$5/100,0)&lt;-BV$6,-BV$6-SUM(BV$10:BV169),-ROUNDDOWN($M170*BV$5/100,0)),0)</f>
        <v>0</v>
      </c>
      <c r="BW170" s="38">
        <f>IF(AND(BW$7="○",$A170&gt;=BW$8,$A170&lt;=BW$9),IF(SUM(BW$10:BW169)-ROUNDDOWN($M170*BW$5/100,0)&lt;-BW$6,-BW$6-SUM(BW$10:BW169),-ROUNDDOWN($M170*BW$5/100,0)),0)</f>
        <v>0</v>
      </c>
      <c r="BX170" s="38">
        <f>IF(AND(T170="○",$A170&gt;=BX$8,$A170&lt;=BX$9),IF(SUM(BX$10:BX169)-ROUNDDOWN($K170*BX$5/100,0)&lt;-BX$6,-BX$6-SUM(BX$10:BX169),-ROUNDDOWN($K170*BX$5/100,0)),0)</f>
        <v>0</v>
      </c>
      <c r="BY170" s="38">
        <f>IF(AND(U170="○",$A170&gt;=BY$8,$A170&lt;=BY$9),IF(SUM(BY$10:BY169)-ROUNDDOWN($K170*BY$5/100,0)&lt;-BY$6,-BY$6-SUM(BY$10:BY169),-ROUNDDOWN($K170*BY$5/100,0)),0)</f>
        <v>0</v>
      </c>
      <c r="BZ170" s="38">
        <f>IF(AND(V170="○",$A170&gt;=BZ$8,$A170&lt;=BZ$9),IF(SUM(BZ$10:BZ169)-ROUNDDOWN($K170*BZ$5/100,0)&lt;-BZ$6,-BZ$6-SUM(BZ$10:BZ169),-ROUNDDOWN($K170*BZ$5/100,0)),0)</f>
        <v>0</v>
      </c>
      <c r="CA170" s="38">
        <f>IF(AND(W170="○",$A170&gt;=CA$8,$A170&lt;=CA$9),IF(SUM(CA$10:CA169)-ROUNDDOWN($K170*CA$5/100,0)&lt;-CA$6,-CA$6-SUM(CA$10:CA169),-ROUNDDOWN($K170*CA$5/100,0)),0)</f>
        <v>0</v>
      </c>
      <c r="CB170" s="38"/>
      <c r="CC170" s="38"/>
      <c r="CD170" s="38"/>
      <c r="CE170" s="38"/>
      <c r="CF170" s="38"/>
      <c r="CG170" s="65">
        <f t="shared" si="138"/>
        <v>0</v>
      </c>
      <c r="CH170" s="71">
        <f t="shared" si="139"/>
        <v>0</v>
      </c>
      <c r="CI170" s="1">
        <f t="shared" si="19"/>
        <v>0</v>
      </c>
      <c r="CJ170" s="1"/>
      <c r="CK170" s="72"/>
      <c r="CL170" s="72"/>
      <c r="CM170" s="2"/>
      <c r="CN170" s="2"/>
      <c r="CO170" s="73">
        <f t="shared" si="20"/>
        <v>0</v>
      </c>
      <c r="CP170" s="5">
        <f t="shared" si="21"/>
        <v>0</v>
      </c>
      <c r="CQ170" s="1"/>
      <c r="CR170" s="1">
        <f t="shared" si="22"/>
        <v>0</v>
      </c>
      <c r="CS170" s="1"/>
      <c r="CT170" s="1" t="e">
        <f>INDEX([2]マスタ!$A:$A,MATCH(D170,[2]マスタ!$C:$C,0))</f>
        <v>#N/A</v>
      </c>
      <c r="CU170" s="1" t="str">
        <f t="shared" ca="1" si="23"/>
        <v>20260620_0-0</v>
      </c>
    </row>
    <row r="171" spans="1:99" x14ac:dyDescent="0.4">
      <c r="A171" s="61"/>
      <c r="B171" s="62"/>
      <c r="C171" s="62"/>
      <c r="D171" s="62"/>
      <c r="E171" s="74"/>
      <c r="F171" s="62"/>
      <c r="G171" s="62">
        <v>1</v>
      </c>
      <c r="H171" s="64">
        <f t="shared" si="4"/>
        <v>0</v>
      </c>
      <c r="I171" s="64"/>
      <c r="J171" s="64"/>
      <c r="K171" s="65">
        <f t="shared" si="144"/>
        <v>0</v>
      </c>
      <c r="L171" s="65">
        <f t="shared" si="6"/>
        <v>0</v>
      </c>
      <c r="M171" s="65">
        <f t="shared" si="7"/>
        <v>0</v>
      </c>
      <c r="N171" s="65">
        <f t="shared" si="8"/>
        <v>0</v>
      </c>
      <c r="O171" s="66" t="str">
        <f t="shared" si="145"/>
        <v>✕</v>
      </c>
      <c r="P171" s="67" t="str">
        <f t="shared" si="146"/>
        <v>○</v>
      </c>
      <c r="Q171" s="67" t="str">
        <f t="shared" si="147"/>
        <v>✕</v>
      </c>
      <c r="R171" s="67" t="str">
        <f t="shared" si="148"/>
        <v>✕</v>
      </c>
      <c r="S171" s="68">
        <v>0</v>
      </c>
      <c r="T171" s="69" t="s">
        <v>85</v>
      </c>
      <c r="U171" s="69" t="s">
        <v>85</v>
      </c>
      <c r="V171" s="69" t="s">
        <v>85</v>
      </c>
      <c r="W171" s="69" t="s">
        <v>85</v>
      </c>
      <c r="X171" s="69" t="s">
        <v>84</v>
      </c>
      <c r="Y171" s="69" t="s">
        <v>85</v>
      </c>
      <c r="Z171" s="69" t="s">
        <v>85</v>
      </c>
      <c r="AA171" s="69" t="s">
        <v>85</v>
      </c>
      <c r="AB171" s="69" t="s">
        <v>85</v>
      </c>
      <c r="AC171" s="69" t="s">
        <v>85</v>
      </c>
      <c r="AD171" s="38" t="str">
        <f>+IF(ISERROR(VLOOKUP($B171,AD$10:AD170,1,0)),IF(AND($N171&gt;=1000,$A171&gt;=AO$8,$A171&lt;=AO$9),$B171,""),"")</f>
        <v/>
      </c>
      <c r="AE171" s="38" t="str">
        <f>+IF(ISERROR(VLOOKUP($B171,AE$10:AE170,1,0)),IF(AND($N171&gt;=1000,$A171&gt;=AP$8,$A171&lt;=AP$9),$B171,""),"")</f>
        <v/>
      </c>
      <c r="AF171" s="38" t="str">
        <f>+IF(ISERROR(VLOOKUP($B171,AF$10:AF170,1,0)),IF(AND($N171&gt;=1000,$A171&gt;=AQ$8,$A171&lt;=AQ$9),$B171,""),"")</f>
        <v/>
      </c>
      <c r="AG171" s="38" t="str">
        <f>+IF(ISERROR(VLOOKUP($B171,AG$10:AG170,1,0)),IF(AND($N171&gt;=1000,$A171&gt;=AR$8,$A171&lt;=AR$9),$B171,""),"")</f>
        <v/>
      </c>
      <c r="AH171" s="38"/>
      <c r="AI171" s="70">
        <v>0</v>
      </c>
      <c r="AJ171" s="38">
        <f>IF(AND(AJ$7="○",$A171&gt;=AJ$8,$A171&lt;=AJ$9),IF(SUM(AJ$10:AJ170)-ROUNDDOWN($K171*AJ$5/100,0)&lt;-AJ$6,-AJ$6-SUM(AJ$10:AJ170),-ROUNDDOWN($K171*AJ$5/100,0)),0)</f>
        <v>0</v>
      </c>
      <c r="AK171" s="38">
        <f>IF(AND(AK$7="○",$A171&gt;=AK$8,$A171&lt;=AK$9),IF(SUM(AK$10:AK170)-ROUNDDOWN($L171*AK$5/100,0)&lt;-AK$6,-AK$6-SUM(AK$10:AK170),-ROUNDDOWN($L171*AK$5/100,0)),0)</f>
        <v>0</v>
      </c>
      <c r="AL171" s="38">
        <f>IF(AND(AL$7="○",$A171&gt;=AL$8,$A171&lt;=AL$9),IF(SUM(AL$10:AL170)-ROUNDDOWN($N171*AL$5/100,0)&lt;-AL$6,-AL$6-SUM(AL$10:AL170),-ROUNDDOWN($N171*AL$5/100,0)),0)</f>
        <v>0</v>
      </c>
      <c r="AM171" s="38">
        <f>IF(AND(AM$7="○",$A171&gt;=AM$8,$A171&lt;=AM$9),IF(SUM(AM$10:AM170)-ROUNDDOWN($L171*AM$5/100,0)&lt;-AM$6,-AM$6-SUM(AM$10:AM170),-ROUNDDOWN($L171*AM$5/100,0)),0)</f>
        <v>0</v>
      </c>
      <c r="AN171" s="38">
        <f>IF(AND(AN$7="○",$A171&gt;=AN$8,$A171&lt;=AN$9),IF(SUM(AN$10:AN170)-ROUNDDOWN($M171*AN$5/100,0)&lt;-AN$6,-AN$6-SUM(AN$10:AN170),-ROUNDDOWN($M171*AN$5/100,0)),0)</f>
        <v>0</v>
      </c>
      <c r="AO171" s="38">
        <f>IF(AND($A171&gt;=AO$8,$A171&lt;=AO$9),IF(SUM(AO$10:AO170)-ROUNDDOWN($K171*AO$5/100,0)&lt;-AO$6,-AO$6-SUM(AO$10:AO170),-ROUNDDOWN($K171*AO$5/100,0)),0)</f>
        <v>0</v>
      </c>
      <c r="AP171" s="38">
        <f>IF(AND($A171&gt;=AP$8,$A171&lt;=AP$9),IF(SUM(AP$10:AP170)-ROUNDDOWN($K171*AP$5/100,0)&lt;-AP$6,-AP$6-SUM(AP$10:AP170),-ROUNDDOWN($K171*AP$5/100,0)),0)</f>
        <v>0</v>
      </c>
      <c r="AQ171" s="38">
        <f>IF(AND($A171&gt;=AQ$8,$A171&lt;=AQ$9),IF(SUM(AQ$10:AQ170)-ROUNDDOWN($K171*AQ$5/100,0)&lt;-AQ$6,-AQ$6-SUM(AQ$10:AQ170),-ROUNDDOWN($K171*AQ$5/100,0)),0)</f>
        <v>0</v>
      </c>
      <c r="AR171" s="38">
        <f>IF(AND($A171&gt;=AR$8,$A171&lt;=AR$9),IF(SUM(AR$10:AR170)-ROUNDDOWN($K171*AR$5/100,0)&lt;-AR$6,-AR$6-SUM(AR$10:AR170),-ROUNDDOWN($K171*AR$5/100,0)),0)</f>
        <v>0</v>
      </c>
      <c r="AS171" s="38">
        <f>IF(SUMIFS(AS$10:AS170,$A$10:$A170,$A171)-ROUNDDOWN($K171*$S171/100,0)&lt;-$S171*1000,-$S171*1000-SUMIFS(AS$10:AS170,$A$10:$A170,$A171),-ROUNDDOWN($K171*$S171/100,0))</f>
        <v>0</v>
      </c>
      <c r="AT171" s="38">
        <f>IF(AND(X171="○",$A171&gt;=AT$8,$A171&lt;=AT$9,K171&gt;=3980),IF(SUM(AT$10:AT170)-ROUNDDOWN($K171*AT$5/100,0)&lt;-AT$6,-AT$6-SUM(AT$10:AT170),-ROUNDDOWN($K171*AT$5/100,0)),0)</f>
        <v>0</v>
      </c>
      <c r="AU171" s="38">
        <f>IF(O171="○",IF(SUM(AU$10:AU170)-ROUNDDOWN($K171*AU$5/100,0)&lt;-AU$6,-AU$6-SUM(AU$10:AU170),-ROUNDDOWN($K171*AU$5/100,0)),0)</f>
        <v>0</v>
      </c>
      <c r="AV171" s="38">
        <f>IF(P171="○",IF(SUM(AV$10:AV170)-ROUNDDOWN($K171*AV$5/100,0)&lt;-AV$6,-AV$6-SUM(AV$10:AV170),-ROUNDDOWN($K171*AV$5/100,0)),0)</f>
        <v>0</v>
      </c>
      <c r="AW171" s="38">
        <f>IF(Q171="○",IF(SUM(AW$10:AW170)-ROUNDDOWN($K171*AW$5/100,0)&lt;-AW$6,-AW$6-SUM(AW$10:AW170),-ROUNDDOWN($K171*AW$5/100,0)),0)</f>
        <v>0</v>
      </c>
      <c r="AX171" s="38">
        <f>IF(R171="○",IF(SUM(AX$10:AX170)-ROUNDDOWN($K171*AX$5/100,0)&lt;-AX$6,-AX$6-SUM(AX$10:AX170),-ROUNDDOWN($K171*AX$5/100,0)),0)</f>
        <v>0</v>
      </c>
      <c r="AY171" s="70">
        <v>0</v>
      </c>
      <c r="AZ171" s="65">
        <f t="shared" si="132"/>
        <v>0</v>
      </c>
      <c r="BA171" s="65">
        <f t="shared" si="133"/>
        <v>0</v>
      </c>
      <c r="BB171" s="70"/>
      <c r="BC171" s="65">
        <f t="shared" si="134"/>
        <v>0</v>
      </c>
      <c r="BD171" s="70">
        <v>0</v>
      </c>
      <c r="BE171" s="65">
        <f t="shared" si="135"/>
        <v>0</v>
      </c>
      <c r="BF171" s="70">
        <v>0</v>
      </c>
      <c r="BG171" s="65">
        <f t="shared" si="136"/>
        <v>0</v>
      </c>
      <c r="BH171" s="70">
        <v>0</v>
      </c>
      <c r="BI171" s="65">
        <f t="shared" si="137"/>
        <v>0</v>
      </c>
      <c r="BJ171" s="38">
        <f>IF(AND(BJ$7="○",$A171&gt;=BJ$8,$A171&lt;=BJ$9),IF(SUM(BJ$10:BJ170)-ROUNDDOWN($M171*BJ$5/100,0)&lt;-BJ$6,-BJ$6-SUM(BJ$10:BJ170),-ROUNDDOWN($M171*BJ$5/100,0)),0)</f>
        <v>0</v>
      </c>
      <c r="BK171" s="38">
        <f>IF(AND(BK$7="○",$A171&gt;=BK$8,$A171&lt;=BK$9),IF(SUM(BK$10:BK170)-ROUNDDOWN($L171*BK$5/100,0)&lt;-BK$6,-BK$6-SUM(BK$10:BK170),-ROUNDDOWN($L171*BK$5/100,0)),0)</f>
        <v>0</v>
      </c>
      <c r="BL171" s="38">
        <f>IF(AND(BL$7="○",$A171&gt;=BL$8,$A171&lt;=BL$9),IF(SUM(BL$10:BL170)-ROUNDDOWN($L171*BL$5/100,0)&lt;-BL$6,-BL$6-SUM(BL$10:BL170),-ROUNDDOWN($L171*BL$5/100,0)),0)</f>
        <v>0</v>
      </c>
      <c r="BM171" s="38">
        <f>IF(AND(BM$7="○",$A171&gt;=BM$8,$A171&lt;=BM$9),IF(SUM(BM$10:BM170)-ROUNDDOWN($M171*BM$5/100,0)&lt;-BM$6,-BM$6-SUM(BM$10:BM170),-ROUNDDOWN($M171*BM$5/100,0)),0)</f>
        <v>0</v>
      </c>
      <c r="BN171" s="38">
        <f>IF(AND(BN$7="○",$A171&gt;=BN$8,$A171&lt;=BN$9),IF(SUM(BN$10:BN170)-ROUNDDOWN($M171*BN$5/100,0)&lt;-BN$6,-BN$6-SUM(BN$10:BN170),-ROUNDDOWN($M171*BN$5/100,0)),0)</f>
        <v>0</v>
      </c>
      <c r="BO171" s="38">
        <f>IF(AND(BO$7="○",$A171&gt;=BO$8,$A171&lt;=BO$9),IF(SUM(BO$10:BO170)-ROUNDDOWN($M171*BO$5/100,0)&lt;-BO$6,-BO$6-SUM(BO$10:BO170),-ROUNDDOWN($M171*BO$5/100,0)),0)</f>
        <v>0</v>
      </c>
      <c r="BP171" s="38">
        <f>IF(AND(BP$7="○",$A171&gt;=BP$8,$A171&lt;=BP$9),IF(SUM(BP$10:BP170)-ROUNDDOWN($M171*BP$5/100,0)&lt;-BP$6,-BP$6-SUM(BP$10:BP170),-ROUNDDOWN($M171*BP$5/100,0)),0)</f>
        <v>0</v>
      </c>
      <c r="BQ171" s="38">
        <f>IF(AND(BQ$7="○",$A171&gt;=BQ$8,$A171&lt;=BQ$9),IF(SUM(BQ$10:BQ170)-ROUNDDOWN($L171*BQ$5/100,0)&lt;-BQ$6,-BQ$6-SUM(BQ$10:BQ170),-ROUNDDOWN($L171*BQ$5/100,0)),0)</f>
        <v>0</v>
      </c>
      <c r="BR171" s="38">
        <f>IF(AND(BR$7="○",$A171&gt;=BR$8,$A171&lt;=BR$9),IF(SUM(BR$10:BR170)-ROUNDDOWN($M171*BR$5/100,0)&lt;-BR$6,-BR$6-SUM(BR$10:BR170),-ROUNDDOWN($M171*BR$5/100,0)),0)</f>
        <v>0</v>
      </c>
      <c r="BS171" s="38">
        <f>IF(AND(BS$7="○",$A171&gt;=BS$8,$A171&lt;=BS$9),IF(SUM(BS$10:BS170)-ROUNDDOWN($M171*BS$5/100,0)&lt;-BS$6,-BS$6-SUM(BS$10:BS170),-ROUNDDOWN($M171*BS$5/100,0)),0)</f>
        <v>0</v>
      </c>
      <c r="BT171" s="38">
        <f>IF(AND(BT$7="○",$A171&gt;=BT$8,$A171&lt;=BT$9),IF(SUM(BT$10:BT170)-ROUNDDOWN($M171*BT$5/100,0)&lt;-BT$6,-BT$6-SUM(BT$10:BT170),-ROUNDDOWN($M171*BT$5/100,0)),0)</f>
        <v>0</v>
      </c>
      <c r="BU171" s="38">
        <f>IF(AND(BU$7="○",$A171&gt;=BU$8,$A171&lt;=BU$9),IF(SUM(BU$10:BU170)-ROUNDDOWN($M171*BU$5/100,0)&lt;-BU$6,-BU$6-SUM(BU$10:BU170),-ROUNDDOWN($M171*BU$5/100,0)),0)</f>
        <v>0</v>
      </c>
      <c r="BV171" s="38">
        <f>IF(AND(BV$7="○",$A171&gt;=BV$8,$A171&lt;=BV$9),IF(SUM(BV$10:BV170)-ROUNDDOWN($M171*BV$5/100,0)&lt;-BV$6,-BV$6-SUM(BV$10:BV170),-ROUNDDOWN($M171*BV$5/100,0)),0)</f>
        <v>0</v>
      </c>
      <c r="BW171" s="38">
        <f>IF(AND(BW$7="○",$A171&gt;=BW$8,$A171&lt;=BW$9),IF(SUM(BW$10:BW170)-ROUNDDOWN($M171*BW$5/100,0)&lt;-BW$6,-BW$6-SUM(BW$10:BW170),-ROUNDDOWN($M171*BW$5/100,0)),0)</f>
        <v>0</v>
      </c>
      <c r="BX171" s="38">
        <f>IF(AND(T171="○",$A171&gt;=BX$8,$A171&lt;=BX$9),IF(SUM(BX$10:BX170)-ROUNDDOWN($K171*BX$5/100,0)&lt;-BX$6,-BX$6-SUM(BX$10:BX170),-ROUNDDOWN($K171*BX$5/100,0)),0)</f>
        <v>0</v>
      </c>
      <c r="BY171" s="38">
        <f>IF(AND(U171="○",$A171&gt;=BY$8,$A171&lt;=BY$9),IF(SUM(BY$10:BY170)-ROUNDDOWN($K171*BY$5/100,0)&lt;-BY$6,-BY$6-SUM(BY$10:BY170),-ROUNDDOWN($K171*BY$5/100,0)),0)</f>
        <v>0</v>
      </c>
      <c r="BZ171" s="38">
        <f>IF(AND(V171="○",$A171&gt;=BZ$8,$A171&lt;=BZ$9),IF(SUM(BZ$10:BZ170)-ROUNDDOWN($K171*BZ$5/100,0)&lt;-BZ$6,-BZ$6-SUM(BZ$10:BZ170),-ROUNDDOWN($K171*BZ$5/100,0)),0)</f>
        <v>0</v>
      </c>
      <c r="CA171" s="38">
        <f>IF(AND(W171="○",$A171&gt;=CA$8,$A171&lt;=CA$9),IF(SUM(CA$10:CA170)-ROUNDDOWN($K171*CA$5/100,0)&lt;-CA$6,-CA$6-SUM(CA$10:CA170),-ROUNDDOWN($K171*CA$5/100,0)),0)</f>
        <v>0</v>
      </c>
      <c r="CB171" s="38"/>
      <c r="CC171" s="38"/>
      <c r="CD171" s="38"/>
      <c r="CE171" s="38"/>
      <c r="CF171" s="38"/>
      <c r="CG171" s="65">
        <f t="shared" si="138"/>
        <v>0</v>
      </c>
      <c r="CH171" s="71">
        <f t="shared" si="139"/>
        <v>0</v>
      </c>
      <c r="CI171" s="1">
        <f t="shared" si="19"/>
        <v>0</v>
      </c>
      <c r="CJ171" s="1"/>
      <c r="CK171" s="72"/>
      <c r="CL171" s="72"/>
      <c r="CM171" s="2"/>
      <c r="CN171" s="2"/>
      <c r="CO171" s="73">
        <f t="shared" si="20"/>
        <v>0</v>
      </c>
      <c r="CP171" s="5">
        <f t="shared" si="21"/>
        <v>0</v>
      </c>
      <c r="CQ171" s="1"/>
      <c r="CR171" s="1">
        <f t="shared" si="22"/>
        <v>0</v>
      </c>
      <c r="CS171" s="1"/>
      <c r="CT171" s="1" t="e">
        <f>INDEX([2]マスタ!$A:$A,MATCH(D171,[2]マスタ!$C:$C,0))</f>
        <v>#N/A</v>
      </c>
      <c r="CU171" s="1" t="str">
        <f t="shared" ca="1" si="23"/>
        <v>20260620_0-0</v>
      </c>
    </row>
    <row r="172" spans="1:99" x14ac:dyDescent="0.4">
      <c r="A172" s="61"/>
      <c r="B172" s="62"/>
      <c r="C172" s="62"/>
      <c r="D172" s="62"/>
      <c r="E172" s="74"/>
      <c r="F172" s="62"/>
      <c r="G172" s="62">
        <v>1</v>
      </c>
      <c r="H172" s="64">
        <f t="shared" si="4"/>
        <v>0</v>
      </c>
      <c r="I172" s="64"/>
      <c r="J172" s="64"/>
      <c r="K172" s="65">
        <f t="shared" si="144"/>
        <v>0</v>
      </c>
      <c r="L172" s="65">
        <f t="shared" si="6"/>
        <v>0</v>
      </c>
      <c r="M172" s="65">
        <f t="shared" si="7"/>
        <v>0</v>
      </c>
      <c r="N172" s="65">
        <f t="shared" si="8"/>
        <v>0</v>
      </c>
      <c r="O172" s="66" t="str">
        <f t="shared" si="145"/>
        <v>✕</v>
      </c>
      <c r="P172" s="67" t="str">
        <f t="shared" si="146"/>
        <v>○</v>
      </c>
      <c r="Q172" s="67" t="str">
        <f t="shared" si="147"/>
        <v>✕</v>
      </c>
      <c r="R172" s="67" t="str">
        <f t="shared" si="148"/>
        <v>✕</v>
      </c>
      <c r="S172" s="68">
        <v>0</v>
      </c>
      <c r="T172" s="69" t="s">
        <v>85</v>
      </c>
      <c r="U172" s="69" t="s">
        <v>85</v>
      </c>
      <c r="V172" s="69" t="s">
        <v>85</v>
      </c>
      <c r="W172" s="69" t="s">
        <v>85</v>
      </c>
      <c r="X172" s="69" t="s">
        <v>84</v>
      </c>
      <c r="Y172" s="69" t="s">
        <v>85</v>
      </c>
      <c r="Z172" s="69" t="s">
        <v>85</v>
      </c>
      <c r="AA172" s="69" t="s">
        <v>85</v>
      </c>
      <c r="AB172" s="69" t="s">
        <v>85</v>
      </c>
      <c r="AC172" s="69" t="s">
        <v>85</v>
      </c>
      <c r="AD172" s="38" t="str">
        <f>+IF(ISERROR(VLOOKUP($B172,AD$10:AD171,1,0)),IF(AND($N172&gt;=1000,$A172&gt;=AO$8,$A172&lt;=AO$9),$B172,""),"")</f>
        <v/>
      </c>
      <c r="AE172" s="38" t="str">
        <f>+IF(ISERROR(VLOOKUP($B172,AE$10:AE171,1,0)),IF(AND($N172&gt;=1000,$A172&gt;=AP$8,$A172&lt;=AP$9),$B172,""),"")</f>
        <v/>
      </c>
      <c r="AF172" s="38" t="str">
        <f>+IF(ISERROR(VLOOKUP($B172,AF$10:AF171,1,0)),IF(AND($N172&gt;=1000,$A172&gt;=AQ$8,$A172&lt;=AQ$9),$B172,""),"")</f>
        <v/>
      </c>
      <c r="AG172" s="38" t="str">
        <f>+IF(ISERROR(VLOOKUP($B172,AG$10:AG171,1,0)),IF(AND($N172&gt;=1000,$A172&gt;=AR$8,$A172&lt;=AR$9),$B172,""),"")</f>
        <v/>
      </c>
      <c r="AH172" s="38"/>
      <c r="AI172" s="70">
        <v>0</v>
      </c>
      <c r="AJ172" s="38">
        <f>IF(AND(AJ$7="○",$A172&gt;=AJ$8,$A172&lt;=AJ$9),IF(SUM(AJ$10:AJ171)-ROUNDDOWN($K172*AJ$5/100,0)&lt;-AJ$6,-AJ$6-SUM(AJ$10:AJ171),-ROUNDDOWN($K172*AJ$5/100,0)),0)</f>
        <v>0</v>
      </c>
      <c r="AK172" s="38">
        <f>IF(AND(AK$7="○",$A172&gt;=AK$8,$A172&lt;=AK$9),IF(SUM(AK$10:AK171)-ROUNDDOWN($L172*AK$5/100,0)&lt;-AK$6,-AK$6-SUM(AK$10:AK171),-ROUNDDOWN($L172*AK$5/100,0)),0)</f>
        <v>0</v>
      </c>
      <c r="AL172" s="38">
        <f>IF(AND(AL$7="○",$A172&gt;=AL$8,$A172&lt;=AL$9),IF(SUM(AL$10:AL171)-ROUNDDOWN($N172*AL$5/100,0)&lt;-AL$6,-AL$6-SUM(AL$10:AL171),-ROUNDDOWN($N172*AL$5/100,0)),0)</f>
        <v>0</v>
      </c>
      <c r="AM172" s="38">
        <f>IF(AND(AM$7="○",$A172&gt;=AM$8,$A172&lt;=AM$9),IF(SUM(AM$10:AM171)-ROUNDDOWN($L172*AM$5/100,0)&lt;-AM$6,-AM$6-SUM(AM$10:AM171),-ROUNDDOWN($L172*AM$5/100,0)),0)</f>
        <v>0</v>
      </c>
      <c r="AN172" s="38">
        <f>IF(AND(AN$7="○",$A172&gt;=AN$8,$A172&lt;=AN$9),IF(SUM(AN$10:AN171)-ROUNDDOWN($M172*AN$5/100,0)&lt;-AN$6,-AN$6-SUM(AN$10:AN171),-ROUNDDOWN($M172*AN$5/100,0)),0)</f>
        <v>0</v>
      </c>
      <c r="AO172" s="38">
        <f>IF(AND($A172&gt;=AO$8,$A172&lt;=AO$9),IF(SUM(AO$10:AO171)-ROUNDDOWN($K172*AO$5/100,0)&lt;-AO$6,-AO$6-SUM(AO$10:AO171),-ROUNDDOWN($K172*AO$5/100,0)),0)</f>
        <v>0</v>
      </c>
      <c r="AP172" s="38">
        <f>IF(AND($A172&gt;=AP$8,$A172&lt;=AP$9),IF(SUM(AP$10:AP171)-ROUNDDOWN($K172*AP$5/100,0)&lt;-AP$6,-AP$6-SUM(AP$10:AP171),-ROUNDDOWN($K172*AP$5/100,0)),0)</f>
        <v>0</v>
      </c>
      <c r="AQ172" s="38">
        <f>IF(AND($A172&gt;=AQ$8,$A172&lt;=AQ$9),IF(SUM(AQ$10:AQ171)-ROUNDDOWN($K172*AQ$5/100,0)&lt;-AQ$6,-AQ$6-SUM(AQ$10:AQ171),-ROUNDDOWN($K172*AQ$5/100,0)),0)</f>
        <v>0</v>
      </c>
      <c r="AR172" s="38">
        <f>IF(AND($A172&gt;=AR$8,$A172&lt;=AR$9),IF(SUM(AR$10:AR171)-ROUNDDOWN($K172*AR$5/100,0)&lt;-AR$6,-AR$6-SUM(AR$10:AR171),-ROUNDDOWN($K172*AR$5/100,0)),0)</f>
        <v>0</v>
      </c>
      <c r="AS172" s="38">
        <f>IF(SUMIFS(AS$10:AS171,$A$10:$A171,$A172)-ROUNDDOWN($K172*$S172/100,0)&lt;-$S172*1000,-$S172*1000-SUMIFS(AS$10:AS171,$A$10:$A171,$A172),-ROUNDDOWN($K172*$S172/100,0))</f>
        <v>0</v>
      </c>
      <c r="AT172" s="38">
        <f>IF(AND(X172="○",$A172&gt;=AT$8,$A172&lt;=AT$9,K172&gt;=3980),IF(SUM(AT$10:AT171)-ROUNDDOWN($K172*AT$5/100,0)&lt;-AT$6,-AT$6-SUM(AT$10:AT171),-ROUNDDOWN($K172*AT$5/100,0)),0)</f>
        <v>0</v>
      </c>
      <c r="AU172" s="38">
        <f>IF(O172="○",IF(SUM(AU$10:AU171)-ROUNDDOWN($K172*AU$5/100,0)&lt;-AU$6,-AU$6-SUM(AU$10:AU171),-ROUNDDOWN($K172*AU$5/100,0)),0)</f>
        <v>0</v>
      </c>
      <c r="AV172" s="38">
        <f>IF(P172="○",IF(SUM(AV$10:AV171)-ROUNDDOWN($K172*AV$5/100,0)&lt;-AV$6,-AV$6-SUM(AV$10:AV171),-ROUNDDOWN($K172*AV$5/100,0)),0)</f>
        <v>0</v>
      </c>
      <c r="AW172" s="38">
        <f>IF(Q172="○",IF(SUM(AW$10:AW171)-ROUNDDOWN($K172*AW$5/100,0)&lt;-AW$6,-AW$6-SUM(AW$10:AW171),-ROUNDDOWN($K172*AW$5/100,0)),0)</f>
        <v>0</v>
      </c>
      <c r="AX172" s="38">
        <f>IF(R172="○",IF(SUM(AX$10:AX171)-ROUNDDOWN($K172*AX$5/100,0)&lt;-AX$6,-AX$6-SUM(AX$10:AX171),-ROUNDDOWN($K172*AX$5/100,0)),0)</f>
        <v>0</v>
      </c>
      <c r="AY172" s="70">
        <v>0</v>
      </c>
      <c r="AZ172" s="65">
        <f t="shared" si="132"/>
        <v>0</v>
      </c>
      <c r="BA172" s="65">
        <f t="shared" si="133"/>
        <v>0</v>
      </c>
      <c r="BB172" s="70"/>
      <c r="BC172" s="65">
        <f t="shared" si="134"/>
        <v>0</v>
      </c>
      <c r="BD172" s="70">
        <v>0</v>
      </c>
      <c r="BE172" s="65">
        <f t="shared" si="135"/>
        <v>0</v>
      </c>
      <c r="BF172" s="70">
        <v>0</v>
      </c>
      <c r="BG172" s="65">
        <f t="shared" si="136"/>
        <v>0</v>
      </c>
      <c r="BH172" s="70">
        <v>0</v>
      </c>
      <c r="BI172" s="65">
        <f t="shared" si="137"/>
        <v>0</v>
      </c>
      <c r="BJ172" s="38">
        <f>IF(AND(BJ$7="○",$A172&gt;=BJ$8,$A172&lt;=BJ$9),IF(SUM(BJ$10:BJ171)-ROUNDDOWN($M172*BJ$5/100,0)&lt;-BJ$6,-BJ$6-SUM(BJ$10:BJ171),-ROUNDDOWN($M172*BJ$5/100,0)),0)</f>
        <v>0</v>
      </c>
      <c r="BK172" s="38">
        <f>IF(AND(BK$7="○",$A172&gt;=BK$8,$A172&lt;=BK$9),IF(SUM(BK$10:BK171)-ROUNDDOWN($L172*BK$5/100,0)&lt;-BK$6,-BK$6-SUM(BK$10:BK171),-ROUNDDOWN($L172*BK$5/100,0)),0)</f>
        <v>0</v>
      </c>
      <c r="BL172" s="38">
        <f>IF(AND(BL$7="○",$A172&gt;=BL$8,$A172&lt;=BL$9),IF(SUM(BL$10:BL171)-ROUNDDOWN($L172*BL$5/100,0)&lt;-BL$6,-BL$6-SUM(BL$10:BL171),-ROUNDDOWN($L172*BL$5/100,0)),0)</f>
        <v>0</v>
      </c>
      <c r="BM172" s="38">
        <f>IF(AND(BM$7="○",$A172&gt;=BM$8,$A172&lt;=BM$9),IF(SUM(BM$10:BM171)-ROUNDDOWN($M172*BM$5/100,0)&lt;-BM$6,-BM$6-SUM(BM$10:BM171),-ROUNDDOWN($M172*BM$5/100,0)),0)</f>
        <v>0</v>
      </c>
      <c r="BN172" s="38">
        <f>IF(AND(BN$7="○",$A172&gt;=BN$8,$A172&lt;=BN$9),IF(SUM(BN$10:BN171)-ROUNDDOWN($M172*BN$5/100,0)&lt;-BN$6,-BN$6-SUM(BN$10:BN171),-ROUNDDOWN($M172*BN$5/100,0)),0)</f>
        <v>0</v>
      </c>
      <c r="BO172" s="38">
        <f>IF(AND(BO$7="○",$A172&gt;=BO$8,$A172&lt;=BO$9),IF(SUM(BO$10:BO171)-ROUNDDOWN($M172*BO$5/100,0)&lt;-BO$6,-BO$6-SUM(BO$10:BO171),-ROUNDDOWN($M172*BO$5/100,0)),0)</f>
        <v>0</v>
      </c>
      <c r="BP172" s="38">
        <f>IF(AND(BP$7="○",$A172&gt;=BP$8,$A172&lt;=BP$9),IF(SUM(BP$10:BP171)-ROUNDDOWN($M172*BP$5/100,0)&lt;-BP$6,-BP$6-SUM(BP$10:BP171),-ROUNDDOWN($M172*BP$5/100,0)),0)</f>
        <v>0</v>
      </c>
      <c r="BQ172" s="38">
        <f>IF(AND(BQ$7="○",$A172&gt;=BQ$8,$A172&lt;=BQ$9),IF(SUM(BQ$10:BQ171)-ROUNDDOWN($L172*BQ$5/100,0)&lt;-BQ$6,-BQ$6-SUM(BQ$10:BQ171),-ROUNDDOWN($L172*BQ$5/100,0)),0)</f>
        <v>0</v>
      </c>
      <c r="BR172" s="38">
        <f>IF(AND(BR$7="○",$A172&gt;=BR$8,$A172&lt;=BR$9),IF(SUM(BR$10:BR171)-ROUNDDOWN($M172*BR$5/100,0)&lt;-BR$6,-BR$6-SUM(BR$10:BR171),-ROUNDDOWN($M172*BR$5/100,0)),0)</f>
        <v>0</v>
      </c>
      <c r="BS172" s="38">
        <f>IF(AND(BS$7="○",$A172&gt;=BS$8,$A172&lt;=BS$9),IF(SUM(BS$10:BS171)-ROUNDDOWN($M172*BS$5/100,0)&lt;-BS$6,-BS$6-SUM(BS$10:BS171),-ROUNDDOWN($M172*BS$5/100,0)),0)</f>
        <v>0</v>
      </c>
      <c r="BT172" s="38">
        <f>IF(AND(BT$7="○",$A172&gt;=BT$8,$A172&lt;=BT$9),IF(SUM(BT$10:BT171)-ROUNDDOWN($M172*BT$5/100,0)&lt;-BT$6,-BT$6-SUM(BT$10:BT171),-ROUNDDOWN($M172*BT$5/100,0)),0)</f>
        <v>0</v>
      </c>
      <c r="BU172" s="38">
        <f>IF(AND(BU$7="○",$A172&gt;=BU$8,$A172&lt;=BU$9),IF(SUM(BU$10:BU171)-ROUNDDOWN($M172*BU$5/100,0)&lt;-BU$6,-BU$6-SUM(BU$10:BU171),-ROUNDDOWN($M172*BU$5/100,0)),0)</f>
        <v>0</v>
      </c>
      <c r="BV172" s="38">
        <f>IF(AND(BV$7="○",$A172&gt;=BV$8,$A172&lt;=BV$9),IF(SUM(BV$10:BV171)-ROUNDDOWN($M172*BV$5/100,0)&lt;-BV$6,-BV$6-SUM(BV$10:BV171),-ROUNDDOWN($M172*BV$5/100,0)),0)</f>
        <v>0</v>
      </c>
      <c r="BW172" s="38">
        <f>IF(AND(BW$7="○",$A172&gt;=BW$8,$A172&lt;=BW$9),IF(SUM(BW$10:BW171)-ROUNDDOWN($M172*BW$5/100,0)&lt;-BW$6,-BW$6-SUM(BW$10:BW171),-ROUNDDOWN($M172*BW$5/100,0)),0)</f>
        <v>0</v>
      </c>
      <c r="BX172" s="38">
        <f>IF(AND(T172="○",$A172&gt;=BX$8,$A172&lt;=BX$9),IF(SUM(BX$10:BX171)-ROUNDDOWN($K172*BX$5/100,0)&lt;-BX$6,-BX$6-SUM(BX$10:BX171),-ROUNDDOWN($K172*BX$5/100,0)),0)</f>
        <v>0</v>
      </c>
      <c r="BY172" s="38">
        <f>IF(AND(U172="○",$A172&gt;=BY$8,$A172&lt;=BY$9),IF(SUM(BY$10:BY171)-ROUNDDOWN($K172*BY$5/100,0)&lt;-BY$6,-BY$6-SUM(BY$10:BY171),-ROUNDDOWN($K172*BY$5/100,0)),0)</f>
        <v>0</v>
      </c>
      <c r="BZ172" s="38">
        <f>IF(AND(V172="○",$A172&gt;=BZ$8,$A172&lt;=BZ$9),IF(SUM(BZ$10:BZ171)-ROUNDDOWN($K172*BZ$5/100,0)&lt;-BZ$6,-BZ$6-SUM(BZ$10:BZ171),-ROUNDDOWN($K172*BZ$5/100,0)),0)</f>
        <v>0</v>
      </c>
      <c r="CA172" s="38">
        <f>IF(AND(W172="○",$A172&gt;=CA$8,$A172&lt;=CA$9),IF(SUM(CA$10:CA171)-ROUNDDOWN($K172*CA$5/100,0)&lt;-CA$6,-CA$6-SUM(CA$10:CA171),-ROUNDDOWN($K172*CA$5/100,0)),0)</f>
        <v>0</v>
      </c>
      <c r="CB172" s="38"/>
      <c r="CC172" s="38"/>
      <c r="CD172" s="38"/>
      <c r="CE172" s="38"/>
      <c r="CF172" s="38"/>
      <c r="CG172" s="65">
        <f t="shared" si="138"/>
        <v>0</v>
      </c>
      <c r="CH172" s="71">
        <f t="shared" si="139"/>
        <v>0</v>
      </c>
      <c r="CI172" s="1">
        <f t="shared" si="19"/>
        <v>0</v>
      </c>
      <c r="CJ172" s="1"/>
      <c r="CK172" s="72"/>
      <c r="CL172" s="72"/>
      <c r="CM172" s="2"/>
      <c r="CN172" s="2"/>
      <c r="CO172" s="73">
        <f t="shared" si="20"/>
        <v>0</v>
      </c>
      <c r="CP172" s="5">
        <f t="shared" si="21"/>
        <v>0</v>
      </c>
      <c r="CQ172" s="1"/>
      <c r="CR172" s="1">
        <f t="shared" si="22"/>
        <v>0</v>
      </c>
      <c r="CS172" s="1"/>
      <c r="CT172" s="1" t="e">
        <f>INDEX([2]マスタ!$A:$A,MATCH(D172,[2]マスタ!$C:$C,0))</f>
        <v>#N/A</v>
      </c>
      <c r="CU172" s="1" t="str">
        <f t="shared" ca="1" si="23"/>
        <v>20260620_0-0</v>
      </c>
    </row>
    <row r="173" spans="1:99" x14ac:dyDescent="0.4">
      <c r="A173" s="61"/>
      <c r="B173" s="62"/>
      <c r="C173" s="62"/>
      <c r="D173" s="62"/>
      <c r="E173" s="74"/>
      <c r="F173" s="62"/>
      <c r="G173" s="62">
        <v>1</v>
      </c>
      <c r="H173" s="64">
        <f t="shared" si="4"/>
        <v>0</v>
      </c>
      <c r="I173" s="64"/>
      <c r="J173" s="64"/>
      <c r="K173" s="65">
        <f t="shared" si="144"/>
        <v>0</v>
      </c>
      <c r="L173" s="65">
        <f t="shared" si="6"/>
        <v>0</v>
      </c>
      <c r="M173" s="65">
        <f t="shared" si="7"/>
        <v>0</v>
      </c>
      <c r="N173" s="65">
        <f t="shared" si="8"/>
        <v>0</v>
      </c>
      <c r="O173" s="66" t="str">
        <f t="shared" si="145"/>
        <v>✕</v>
      </c>
      <c r="P173" s="67" t="str">
        <f t="shared" si="146"/>
        <v>○</v>
      </c>
      <c r="Q173" s="67" t="str">
        <f t="shared" si="147"/>
        <v>✕</v>
      </c>
      <c r="R173" s="67" t="str">
        <f t="shared" si="148"/>
        <v>✕</v>
      </c>
      <c r="S173" s="68">
        <v>0</v>
      </c>
      <c r="T173" s="69" t="s">
        <v>85</v>
      </c>
      <c r="U173" s="69" t="s">
        <v>85</v>
      </c>
      <c r="V173" s="69" t="s">
        <v>85</v>
      </c>
      <c r="W173" s="69" t="s">
        <v>85</v>
      </c>
      <c r="X173" s="69" t="s">
        <v>84</v>
      </c>
      <c r="Y173" s="69" t="s">
        <v>85</v>
      </c>
      <c r="Z173" s="69" t="s">
        <v>85</v>
      </c>
      <c r="AA173" s="69" t="s">
        <v>85</v>
      </c>
      <c r="AB173" s="69" t="s">
        <v>85</v>
      </c>
      <c r="AC173" s="69" t="s">
        <v>85</v>
      </c>
      <c r="AD173" s="38" t="str">
        <f>+IF(ISERROR(VLOOKUP($B173,AD$10:AD172,1,0)),IF(AND($N173&gt;=1000,$A173&gt;=AO$8,$A173&lt;=AO$9),$B173,""),"")</f>
        <v/>
      </c>
      <c r="AE173" s="38" t="str">
        <f>+IF(ISERROR(VLOOKUP($B173,AE$10:AE172,1,0)),IF(AND($N173&gt;=1000,$A173&gt;=AP$8,$A173&lt;=AP$9),$B173,""),"")</f>
        <v/>
      </c>
      <c r="AF173" s="38" t="str">
        <f>+IF(ISERROR(VLOOKUP($B173,AF$10:AF172,1,0)),IF(AND($N173&gt;=1000,$A173&gt;=AQ$8,$A173&lt;=AQ$9),$B173,""),"")</f>
        <v/>
      </c>
      <c r="AG173" s="38" t="str">
        <f>+IF(ISERROR(VLOOKUP($B173,AG$10:AG172,1,0)),IF(AND($N173&gt;=1000,$A173&gt;=AR$8,$A173&lt;=AR$9),$B173,""),"")</f>
        <v/>
      </c>
      <c r="AH173" s="38"/>
      <c r="AI173" s="70">
        <v>0</v>
      </c>
      <c r="AJ173" s="38">
        <f>IF(AND(AJ$7="○",$A173&gt;=AJ$8,$A173&lt;=AJ$9),IF(SUM(AJ$10:AJ172)-ROUNDDOWN($K173*AJ$5/100,0)&lt;-AJ$6,-AJ$6-SUM(AJ$10:AJ172),-ROUNDDOWN($K173*AJ$5/100,0)),0)</f>
        <v>0</v>
      </c>
      <c r="AK173" s="38">
        <f>IF(AND(AK$7="○",$A173&gt;=AK$8,$A173&lt;=AK$9),IF(SUM(AK$10:AK172)-ROUNDDOWN($L173*AK$5/100,0)&lt;-AK$6,-AK$6-SUM(AK$10:AK172),-ROUNDDOWN($L173*AK$5/100,0)),0)</f>
        <v>0</v>
      </c>
      <c r="AL173" s="38">
        <f>IF(AND(AL$7="○",$A173&gt;=AL$8,$A173&lt;=AL$9),IF(SUM(AL$10:AL172)-ROUNDDOWN($N173*AL$5/100,0)&lt;-AL$6,-AL$6-SUM(AL$10:AL172),-ROUNDDOWN($N173*AL$5/100,0)),0)</f>
        <v>0</v>
      </c>
      <c r="AM173" s="38">
        <f>IF(AND(AM$7="○",$A173&gt;=AM$8,$A173&lt;=AM$9),IF(SUM(AM$10:AM172)-ROUNDDOWN($L173*AM$5/100,0)&lt;-AM$6,-AM$6-SUM(AM$10:AM172),-ROUNDDOWN($L173*AM$5/100,0)),0)</f>
        <v>0</v>
      </c>
      <c r="AN173" s="38">
        <f>IF(AND(AN$7="○",$A173&gt;=AN$8,$A173&lt;=AN$9),IF(SUM(AN$10:AN172)-ROUNDDOWN($M173*AN$5/100,0)&lt;-AN$6,-AN$6-SUM(AN$10:AN172),-ROUNDDOWN($M173*AN$5/100,0)),0)</f>
        <v>0</v>
      </c>
      <c r="AO173" s="38">
        <f>IF(AND($A173&gt;=AO$8,$A173&lt;=AO$9),IF(SUM(AO$10:AO172)-ROUNDDOWN($K173*AO$5/100,0)&lt;-AO$6,-AO$6-SUM(AO$10:AO172),-ROUNDDOWN($K173*AO$5/100,0)),0)</f>
        <v>0</v>
      </c>
      <c r="AP173" s="38">
        <f>IF(AND($A173&gt;=AP$8,$A173&lt;=AP$9),IF(SUM(AP$10:AP172)-ROUNDDOWN($K173*AP$5/100,0)&lt;-AP$6,-AP$6-SUM(AP$10:AP172),-ROUNDDOWN($K173*AP$5/100,0)),0)</f>
        <v>0</v>
      </c>
      <c r="AQ173" s="38">
        <f>IF(AND($A173&gt;=AQ$8,$A173&lt;=AQ$9),IF(SUM(AQ$10:AQ172)-ROUNDDOWN($K173*AQ$5/100,0)&lt;-AQ$6,-AQ$6-SUM(AQ$10:AQ172),-ROUNDDOWN($K173*AQ$5/100,0)),0)</f>
        <v>0</v>
      </c>
      <c r="AR173" s="38">
        <f>IF(AND($A173&gt;=AR$8,$A173&lt;=AR$9),IF(SUM(AR$10:AR172)-ROUNDDOWN($K173*AR$5/100,0)&lt;-AR$6,-AR$6-SUM(AR$10:AR172),-ROUNDDOWN($K173*AR$5/100,0)),0)</f>
        <v>0</v>
      </c>
      <c r="AS173" s="38">
        <f>IF(SUMIFS(AS$10:AS172,$A$10:$A172,$A173)-ROUNDDOWN($K173*$S173/100,0)&lt;-$S173*1000,-$S173*1000-SUMIFS(AS$10:AS172,$A$10:$A172,$A173),-ROUNDDOWN($K173*$S173/100,0))</f>
        <v>0</v>
      </c>
      <c r="AT173" s="38">
        <f>IF(AND(X173="○",$A173&gt;=AT$8,$A173&lt;=AT$9,K173&gt;=3980),IF(SUM(AT$10:AT172)-ROUNDDOWN($K173*AT$5/100,0)&lt;-AT$6,-AT$6-SUM(AT$10:AT172),-ROUNDDOWN($K173*AT$5/100,0)),0)</f>
        <v>0</v>
      </c>
      <c r="AU173" s="38">
        <f>IF(O173="○",IF(SUM(AU$10:AU172)-ROUNDDOWN($K173*AU$5/100,0)&lt;-AU$6,-AU$6-SUM(AU$10:AU172),-ROUNDDOWN($K173*AU$5/100,0)),0)</f>
        <v>0</v>
      </c>
      <c r="AV173" s="38">
        <f>IF(P173="○",IF(SUM(AV$10:AV172)-ROUNDDOWN($K173*AV$5/100,0)&lt;-AV$6,-AV$6-SUM(AV$10:AV172),-ROUNDDOWN($K173*AV$5/100,0)),0)</f>
        <v>0</v>
      </c>
      <c r="AW173" s="38">
        <f>IF(Q173="○",IF(SUM(AW$10:AW172)-ROUNDDOWN($K173*AW$5/100,0)&lt;-AW$6,-AW$6-SUM(AW$10:AW172),-ROUNDDOWN($K173*AW$5/100,0)),0)</f>
        <v>0</v>
      </c>
      <c r="AX173" s="38">
        <f>IF(R173="○",IF(SUM(AX$10:AX172)-ROUNDDOWN($K173*AX$5/100,0)&lt;-AX$6,-AX$6-SUM(AX$10:AX172),-ROUNDDOWN($K173*AX$5/100,0)),0)</f>
        <v>0</v>
      </c>
      <c r="AY173" s="70">
        <v>0</v>
      </c>
      <c r="AZ173" s="65">
        <f t="shared" si="132"/>
        <v>0</v>
      </c>
      <c r="BA173" s="65">
        <f t="shared" si="133"/>
        <v>0</v>
      </c>
      <c r="BB173" s="70"/>
      <c r="BC173" s="65">
        <f t="shared" si="134"/>
        <v>0</v>
      </c>
      <c r="BD173" s="70">
        <v>0</v>
      </c>
      <c r="BE173" s="65">
        <f t="shared" si="135"/>
        <v>0</v>
      </c>
      <c r="BF173" s="70">
        <v>0</v>
      </c>
      <c r="BG173" s="65">
        <f t="shared" si="136"/>
        <v>0</v>
      </c>
      <c r="BH173" s="70">
        <v>0</v>
      </c>
      <c r="BI173" s="65">
        <f t="shared" si="137"/>
        <v>0</v>
      </c>
      <c r="BJ173" s="38">
        <f>IF(AND(BJ$7="○",$A173&gt;=BJ$8,$A173&lt;=BJ$9),IF(SUM(BJ$10:BJ172)-ROUNDDOWN($M173*BJ$5/100,0)&lt;-BJ$6,-BJ$6-SUM(BJ$10:BJ172),-ROUNDDOWN($M173*BJ$5/100,0)),0)</f>
        <v>0</v>
      </c>
      <c r="BK173" s="38">
        <f>IF(AND(BK$7="○",$A173&gt;=BK$8,$A173&lt;=BK$9),IF(SUM(BK$10:BK172)-ROUNDDOWN($L173*BK$5/100,0)&lt;-BK$6,-BK$6-SUM(BK$10:BK172),-ROUNDDOWN($L173*BK$5/100,0)),0)</f>
        <v>0</v>
      </c>
      <c r="BL173" s="38">
        <f>IF(AND(BL$7="○",$A173&gt;=BL$8,$A173&lt;=BL$9),IF(SUM(BL$10:BL172)-ROUNDDOWN($L173*BL$5/100,0)&lt;-BL$6,-BL$6-SUM(BL$10:BL172),-ROUNDDOWN($L173*BL$5/100,0)),0)</f>
        <v>0</v>
      </c>
      <c r="BM173" s="38">
        <f>IF(AND(BM$7="○",$A173&gt;=BM$8,$A173&lt;=BM$9),IF(SUM(BM$10:BM172)-ROUNDDOWN($M173*BM$5/100,0)&lt;-BM$6,-BM$6-SUM(BM$10:BM172),-ROUNDDOWN($M173*BM$5/100,0)),0)</f>
        <v>0</v>
      </c>
      <c r="BN173" s="38">
        <f>IF(AND(BN$7="○",$A173&gt;=BN$8,$A173&lt;=BN$9),IF(SUM(BN$10:BN172)-ROUNDDOWN($M173*BN$5/100,0)&lt;-BN$6,-BN$6-SUM(BN$10:BN172),-ROUNDDOWN($M173*BN$5/100,0)),0)</f>
        <v>0</v>
      </c>
      <c r="BO173" s="38">
        <f>IF(AND(BO$7="○",$A173&gt;=BO$8,$A173&lt;=BO$9),IF(SUM(BO$10:BO172)-ROUNDDOWN($M173*BO$5/100,0)&lt;-BO$6,-BO$6-SUM(BO$10:BO172),-ROUNDDOWN($M173*BO$5/100,0)),0)</f>
        <v>0</v>
      </c>
      <c r="BP173" s="38">
        <f>IF(AND(BP$7="○",$A173&gt;=BP$8,$A173&lt;=BP$9),IF(SUM(BP$10:BP172)-ROUNDDOWN($M173*BP$5/100,0)&lt;-BP$6,-BP$6-SUM(BP$10:BP172),-ROUNDDOWN($M173*BP$5/100,0)),0)</f>
        <v>0</v>
      </c>
      <c r="BQ173" s="38">
        <f>IF(AND(BQ$7="○",$A173&gt;=BQ$8,$A173&lt;=BQ$9),IF(SUM(BQ$10:BQ172)-ROUNDDOWN($L173*BQ$5/100,0)&lt;-BQ$6,-BQ$6-SUM(BQ$10:BQ172),-ROUNDDOWN($L173*BQ$5/100,0)),0)</f>
        <v>0</v>
      </c>
      <c r="BR173" s="38">
        <f>IF(AND(BR$7="○",$A173&gt;=BR$8,$A173&lt;=BR$9),IF(SUM(BR$10:BR172)-ROUNDDOWN($M173*BR$5/100,0)&lt;-BR$6,-BR$6-SUM(BR$10:BR172),-ROUNDDOWN($M173*BR$5/100,0)),0)</f>
        <v>0</v>
      </c>
      <c r="BS173" s="38">
        <f>IF(AND(BS$7="○",$A173&gt;=BS$8,$A173&lt;=BS$9),IF(SUM(BS$10:BS172)-ROUNDDOWN($M173*BS$5/100,0)&lt;-BS$6,-BS$6-SUM(BS$10:BS172),-ROUNDDOWN($M173*BS$5/100,0)),0)</f>
        <v>0</v>
      </c>
      <c r="BT173" s="38">
        <f>IF(AND(BT$7="○",$A173&gt;=BT$8,$A173&lt;=BT$9),IF(SUM(BT$10:BT172)-ROUNDDOWN($M173*BT$5/100,0)&lt;-BT$6,-BT$6-SUM(BT$10:BT172),-ROUNDDOWN($M173*BT$5/100,0)),0)</f>
        <v>0</v>
      </c>
      <c r="BU173" s="38">
        <f>IF(AND(BU$7="○",$A173&gt;=BU$8,$A173&lt;=BU$9),IF(SUM(BU$10:BU172)-ROUNDDOWN($M173*BU$5/100,0)&lt;-BU$6,-BU$6-SUM(BU$10:BU172),-ROUNDDOWN($M173*BU$5/100,0)),0)</f>
        <v>0</v>
      </c>
      <c r="BV173" s="38">
        <f>IF(AND(BV$7="○",$A173&gt;=BV$8,$A173&lt;=BV$9),IF(SUM(BV$10:BV172)-ROUNDDOWN($M173*BV$5/100,0)&lt;-BV$6,-BV$6-SUM(BV$10:BV172),-ROUNDDOWN($M173*BV$5/100,0)),0)</f>
        <v>0</v>
      </c>
      <c r="BW173" s="38">
        <f>IF(AND(BW$7="○",$A173&gt;=BW$8,$A173&lt;=BW$9),IF(SUM(BW$10:BW172)-ROUNDDOWN($M173*BW$5/100,0)&lt;-BW$6,-BW$6-SUM(BW$10:BW172),-ROUNDDOWN($M173*BW$5/100,0)),0)</f>
        <v>0</v>
      </c>
      <c r="BX173" s="38">
        <f>IF(AND(T173="○",$A173&gt;=BX$8,$A173&lt;=BX$9),IF(SUM(BX$10:BX172)-ROUNDDOWN($K173*BX$5/100,0)&lt;-BX$6,-BX$6-SUM(BX$10:BX172),-ROUNDDOWN($K173*BX$5/100,0)),0)</f>
        <v>0</v>
      </c>
      <c r="BY173" s="38">
        <f>IF(AND(U173="○",$A173&gt;=BY$8,$A173&lt;=BY$9),IF(SUM(BY$10:BY172)-ROUNDDOWN($K173*BY$5/100,0)&lt;-BY$6,-BY$6-SUM(BY$10:BY172),-ROUNDDOWN($K173*BY$5/100,0)),0)</f>
        <v>0</v>
      </c>
      <c r="BZ173" s="38">
        <f>IF(AND(V173="○",$A173&gt;=BZ$8,$A173&lt;=BZ$9),IF(SUM(BZ$10:BZ172)-ROUNDDOWN($K173*BZ$5/100,0)&lt;-BZ$6,-BZ$6-SUM(BZ$10:BZ172),-ROUNDDOWN($K173*BZ$5/100,0)),0)</f>
        <v>0</v>
      </c>
      <c r="CA173" s="38">
        <f>IF(AND(W173="○",$A173&gt;=CA$8,$A173&lt;=CA$9),IF(SUM(CA$10:CA172)-ROUNDDOWN($K173*CA$5/100,0)&lt;-CA$6,-CA$6-SUM(CA$10:CA172),-ROUNDDOWN($K173*CA$5/100,0)),0)</f>
        <v>0</v>
      </c>
      <c r="CB173" s="38"/>
      <c r="CC173" s="38"/>
      <c r="CD173" s="38"/>
      <c r="CE173" s="38"/>
      <c r="CF173" s="38"/>
      <c r="CG173" s="65">
        <f t="shared" si="138"/>
        <v>0</v>
      </c>
      <c r="CH173" s="71">
        <f t="shared" si="139"/>
        <v>0</v>
      </c>
      <c r="CI173" s="1">
        <f t="shared" si="19"/>
        <v>0</v>
      </c>
      <c r="CJ173" s="1"/>
      <c r="CK173" s="72"/>
      <c r="CL173" s="72"/>
      <c r="CM173" s="2"/>
      <c r="CN173" s="2"/>
      <c r="CO173" s="73">
        <f t="shared" si="20"/>
        <v>0</v>
      </c>
      <c r="CP173" s="5">
        <f t="shared" si="21"/>
        <v>0</v>
      </c>
      <c r="CQ173" s="1"/>
      <c r="CR173" s="1">
        <f t="shared" si="22"/>
        <v>0</v>
      </c>
      <c r="CS173" s="1"/>
      <c r="CT173" s="1" t="e">
        <f>INDEX([2]マスタ!$A:$A,MATCH(D173,[2]マスタ!$C:$C,0))</f>
        <v>#N/A</v>
      </c>
      <c r="CU173" s="1" t="str">
        <f t="shared" ca="1" si="23"/>
        <v>20260620_0-0</v>
      </c>
    </row>
    <row r="174" spans="1:99" x14ac:dyDescent="0.4">
      <c r="A174" s="61"/>
      <c r="B174" s="62"/>
      <c r="C174" s="62"/>
      <c r="D174" s="62"/>
      <c r="E174" s="74"/>
      <c r="F174" s="62"/>
      <c r="G174" s="62">
        <v>1</v>
      </c>
      <c r="H174" s="64">
        <f t="shared" si="4"/>
        <v>0</v>
      </c>
      <c r="I174" s="64"/>
      <c r="J174" s="64"/>
      <c r="K174" s="65">
        <f t="shared" si="144"/>
        <v>0</v>
      </c>
      <c r="L174" s="65">
        <f t="shared" si="6"/>
        <v>0</v>
      </c>
      <c r="M174" s="65">
        <f t="shared" si="7"/>
        <v>0</v>
      </c>
      <c r="N174" s="65">
        <f t="shared" si="8"/>
        <v>0</v>
      </c>
      <c r="O174" s="66" t="str">
        <f t="shared" si="145"/>
        <v>✕</v>
      </c>
      <c r="P174" s="67" t="str">
        <f t="shared" si="146"/>
        <v>○</v>
      </c>
      <c r="Q174" s="67" t="str">
        <f t="shared" si="147"/>
        <v>✕</v>
      </c>
      <c r="R174" s="67" t="str">
        <f t="shared" si="148"/>
        <v>✕</v>
      </c>
      <c r="S174" s="68">
        <v>0</v>
      </c>
      <c r="T174" s="69" t="s">
        <v>85</v>
      </c>
      <c r="U174" s="69" t="s">
        <v>85</v>
      </c>
      <c r="V174" s="69" t="s">
        <v>85</v>
      </c>
      <c r="W174" s="69" t="s">
        <v>85</v>
      </c>
      <c r="X174" s="69" t="s">
        <v>84</v>
      </c>
      <c r="Y174" s="69" t="s">
        <v>85</v>
      </c>
      <c r="Z174" s="69" t="s">
        <v>85</v>
      </c>
      <c r="AA174" s="69" t="s">
        <v>85</v>
      </c>
      <c r="AB174" s="69" t="s">
        <v>85</v>
      </c>
      <c r="AC174" s="69" t="s">
        <v>85</v>
      </c>
      <c r="AD174" s="38" t="str">
        <f>+IF(ISERROR(VLOOKUP($B174,AD$10:AD173,1,0)),IF(AND($N174&gt;=1000,$A174&gt;=AO$8,$A174&lt;=AO$9),$B174,""),"")</f>
        <v/>
      </c>
      <c r="AE174" s="38" t="str">
        <f>+IF(ISERROR(VLOOKUP($B174,AE$10:AE173,1,0)),IF(AND($N174&gt;=1000,$A174&gt;=AP$8,$A174&lt;=AP$9),$B174,""),"")</f>
        <v/>
      </c>
      <c r="AF174" s="38" t="str">
        <f>+IF(ISERROR(VLOOKUP($B174,AF$10:AF173,1,0)),IF(AND($N174&gt;=1000,$A174&gt;=AQ$8,$A174&lt;=AQ$9),$B174,""),"")</f>
        <v/>
      </c>
      <c r="AG174" s="38" t="str">
        <f>+IF(ISERROR(VLOOKUP($B174,AG$10:AG173,1,0)),IF(AND($N174&gt;=1000,$A174&gt;=AR$8,$A174&lt;=AR$9),$B174,""),"")</f>
        <v/>
      </c>
      <c r="AH174" s="38"/>
      <c r="AI174" s="70">
        <v>0</v>
      </c>
      <c r="AJ174" s="38">
        <f>IF(AND(AJ$7="○",$A174&gt;=AJ$8,$A174&lt;=AJ$9),IF(SUM(AJ$10:AJ173)-ROUNDDOWN($K174*AJ$5/100,0)&lt;-AJ$6,-AJ$6-SUM(AJ$10:AJ173),-ROUNDDOWN($K174*AJ$5/100,0)),0)</f>
        <v>0</v>
      </c>
      <c r="AK174" s="38">
        <f>IF(AND(AK$7="○",$A174&gt;=AK$8,$A174&lt;=AK$9),IF(SUM(AK$10:AK173)-ROUNDDOWN($L174*AK$5/100,0)&lt;-AK$6,-AK$6-SUM(AK$10:AK173),-ROUNDDOWN($L174*AK$5/100,0)),0)</f>
        <v>0</v>
      </c>
      <c r="AL174" s="38">
        <f>IF(AND(AL$7="○",$A174&gt;=AL$8,$A174&lt;=AL$9),IF(SUM(AL$10:AL173)-ROUNDDOWN($N174*AL$5/100,0)&lt;-AL$6,-AL$6-SUM(AL$10:AL173),-ROUNDDOWN($N174*AL$5/100,0)),0)</f>
        <v>0</v>
      </c>
      <c r="AM174" s="38">
        <f>IF(AND(AM$7="○",$A174&gt;=AM$8,$A174&lt;=AM$9),IF(SUM(AM$10:AM173)-ROUNDDOWN($L174*AM$5/100,0)&lt;-AM$6,-AM$6-SUM(AM$10:AM173),-ROUNDDOWN($L174*AM$5/100,0)),0)</f>
        <v>0</v>
      </c>
      <c r="AN174" s="38">
        <f>IF(AND(AN$7="○",$A174&gt;=AN$8,$A174&lt;=AN$9),IF(SUM(AN$10:AN173)-ROUNDDOWN($M174*AN$5/100,0)&lt;-AN$6,-AN$6-SUM(AN$10:AN173),-ROUNDDOWN($M174*AN$5/100,0)),0)</f>
        <v>0</v>
      </c>
      <c r="AO174" s="38">
        <f>IF(AND($A174&gt;=AO$8,$A174&lt;=AO$9),IF(SUM(AO$10:AO173)-ROUNDDOWN($K174*AO$5/100,0)&lt;-AO$6,-AO$6-SUM(AO$10:AO173),-ROUNDDOWN($K174*AO$5/100,0)),0)</f>
        <v>0</v>
      </c>
      <c r="AP174" s="38">
        <f>IF(AND($A174&gt;=AP$8,$A174&lt;=AP$9),IF(SUM(AP$10:AP173)-ROUNDDOWN($K174*AP$5/100,0)&lt;-AP$6,-AP$6-SUM(AP$10:AP173),-ROUNDDOWN($K174*AP$5/100,0)),0)</f>
        <v>0</v>
      </c>
      <c r="AQ174" s="38">
        <f>IF(AND($A174&gt;=AQ$8,$A174&lt;=AQ$9),IF(SUM(AQ$10:AQ173)-ROUNDDOWN($K174*AQ$5/100,0)&lt;-AQ$6,-AQ$6-SUM(AQ$10:AQ173),-ROUNDDOWN($K174*AQ$5/100,0)),0)</f>
        <v>0</v>
      </c>
      <c r="AR174" s="38">
        <f>IF(AND($A174&gt;=AR$8,$A174&lt;=AR$9),IF(SUM(AR$10:AR173)-ROUNDDOWN($K174*AR$5/100,0)&lt;-AR$6,-AR$6-SUM(AR$10:AR173),-ROUNDDOWN($K174*AR$5/100,0)),0)</f>
        <v>0</v>
      </c>
      <c r="AS174" s="38">
        <f>IF(SUMIFS(AS$10:AS173,$A$10:$A173,$A174)-ROUNDDOWN($K174*$S174/100,0)&lt;-$S174*1000,-$S174*1000-SUMIFS(AS$10:AS173,$A$10:$A173,$A174),-ROUNDDOWN($K174*$S174/100,0))</f>
        <v>0</v>
      </c>
      <c r="AT174" s="38">
        <f>IF(AND(X174="○",$A174&gt;=AT$8,$A174&lt;=AT$9,K174&gt;=3980),IF(SUM(AT$10:AT173)-ROUNDDOWN($K174*AT$5/100,0)&lt;-AT$6,-AT$6-SUM(AT$10:AT173),-ROUNDDOWN($K174*AT$5/100,0)),0)</f>
        <v>0</v>
      </c>
      <c r="AU174" s="38">
        <f>IF(O174="○",IF(SUM(AU$10:AU173)-ROUNDDOWN($K174*AU$5/100,0)&lt;-AU$6,-AU$6-SUM(AU$10:AU173),-ROUNDDOWN($K174*AU$5/100,0)),0)</f>
        <v>0</v>
      </c>
      <c r="AV174" s="38">
        <f>IF(P174="○",IF(SUM(AV$10:AV173)-ROUNDDOWN($K174*AV$5/100,0)&lt;-AV$6,-AV$6-SUM(AV$10:AV173),-ROUNDDOWN($K174*AV$5/100,0)),0)</f>
        <v>0</v>
      </c>
      <c r="AW174" s="38">
        <f>IF(Q174="○",IF(SUM(AW$10:AW173)-ROUNDDOWN($K174*AW$5/100,0)&lt;-AW$6,-AW$6-SUM(AW$10:AW173),-ROUNDDOWN($K174*AW$5/100,0)),0)</f>
        <v>0</v>
      </c>
      <c r="AX174" s="38">
        <f>IF(R174="○",IF(SUM(AX$10:AX173)-ROUNDDOWN($K174*AX$5/100,0)&lt;-AX$6,-AX$6-SUM(AX$10:AX173),-ROUNDDOWN($K174*AX$5/100,0)),0)</f>
        <v>0</v>
      </c>
      <c r="AY174" s="70">
        <v>0</v>
      </c>
      <c r="AZ174" s="65">
        <f t="shared" si="132"/>
        <v>0</v>
      </c>
      <c r="BA174" s="65">
        <f t="shared" si="133"/>
        <v>0</v>
      </c>
      <c r="BB174" s="70"/>
      <c r="BC174" s="65">
        <f t="shared" si="134"/>
        <v>0</v>
      </c>
      <c r="BD174" s="70">
        <v>0</v>
      </c>
      <c r="BE174" s="65">
        <f t="shared" si="135"/>
        <v>0</v>
      </c>
      <c r="BF174" s="70">
        <v>0</v>
      </c>
      <c r="BG174" s="65">
        <f t="shared" si="136"/>
        <v>0</v>
      </c>
      <c r="BH174" s="70">
        <v>0</v>
      </c>
      <c r="BI174" s="65">
        <f t="shared" si="137"/>
        <v>0</v>
      </c>
      <c r="BJ174" s="38">
        <f>IF(AND(BJ$7="○",$A174&gt;=BJ$8,$A174&lt;=BJ$9),IF(SUM(BJ$10:BJ173)-ROUNDDOWN($M174*BJ$5/100,0)&lt;-BJ$6,-BJ$6-SUM(BJ$10:BJ173),-ROUNDDOWN($M174*BJ$5/100,0)),0)</f>
        <v>0</v>
      </c>
      <c r="BK174" s="38">
        <f>IF(AND(BK$7="○",$A174&gt;=BK$8,$A174&lt;=BK$9),IF(SUM(BK$10:BK173)-ROUNDDOWN($L174*BK$5/100,0)&lt;-BK$6,-BK$6-SUM(BK$10:BK173),-ROUNDDOWN($L174*BK$5/100,0)),0)</f>
        <v>0</v>
      </c>
      <c r="BL174" s="38">
        <f>IF(AND(BL$7="○",$A174&gt;=BL$8,$A174&lt;=BL$9),IF(SUM(BL$10:BL173)-ROUNDDOWN($L174*BL$5/100,0)&lt;-BL$6,-BL$6-SUM(BL$10:BL173),-ROUNDDOWN($L174*BL$5/100,0)),0)</f>
        <v>0</v>
      </c>
      <c r="BM174" s="38">
        <f>IF(AND(BM$7="○",$A174&gt;=BM$8,$A174&lt;=BM$9),IF(SUM(BM$10:BM173)-ROUNDDOWN($M174*BM$5/100,0)&lt;-BM$6,-BM$6-SUM(BM$10:BM173),-ROUNDDOWN($M174*BM$5/100,0)),0)</f>
        <v>0</v>
      </c>
      <c r="BN174" s="38">
        <f>IF(AND(BN$7="○",$A174&gt;=BN$8,$A174&lt;=BN$9),IF(SUM(BN$10:BN173)-ROUNDDOWN($M174*BN$5/100,0)&lt;-BN$6,-BN$6-SUM(BN$10:BN173),-ROUNDDOWN($M174*BN$5/100,0)),0)</f>
        <v>0</v>
      </c>
      <c r="BO174" s="38">
        <f>IF(AND(BO$7="○",$A174&gt;=BO$8,$A174&lt;=BO$9),IF(SUM(BO$10:BO173)-ROUNDDOWN($M174*BO$5/100,0)&lt;-BO$6,-BO$6-SUM(BO$10:BO173),-ROUNDDOWN($M174*BO$5/100,0)),0)</f>
        <v>0</v>
      </c>
      <c r="BP174" s="38">
        <f>IF(AND(BP$7="○",$A174&gt;=BP$8,$A174&lt;=BP$9),IF(SUM(BP$10:BP173)-ROUNDDOWN($M174*BP$5/100,0)&lt;-BP$6,-BP$6-SUM(BP$10:BP173),-ROUNDDOWN($M174*BP$5/100,0)),0)</f>
        <v>0</v>
      </c>
      <c r="BQ174" s="38">
        <f>IF(AND(BQ$7="○",$A174&gt;=BQ$8,$A174&lt;=BQ$9),IF(SUM(BQ$10:BQ173)-ROUNDDOWN($L174*BQ$5/100,0)&lt;-BQ$6,-BQ$6-SUM(BQ$10:BQ173),-ROUNDDOWN($L174*BQ$5/100,0)),0)</f>
        <v>0</v>
      </c>
      <c r="BR174" s="38">
        <f>IF(AND(BR$7="○",$A174&gt;=BR$8,$A174&lt;=BR$9),IF(SUM(BR$10:BR173)-ROUNDDOWN($M174*BR$5/100,0)&lt;-BR$6,-BR$6-SUM(BR$10:BR173),-ROUNDDOWN($M174*BR$5/100,0)),0)</f>
        <v>0</v>
      </c>
      <c r="BS174" s="38">
        <f>IF(AND(BS$7="○",$A174&gt;=BS$8,$A174&lt;=BS$9),IF(SUM(BS$10:BS173)-ROUNDDOWN($M174*BS$5/100,0)&lt;-BS$6,-BS$6-SUM(BS$10:BS173),-ROUNDDOWN($M174*BS$5/100,0)),0)</f>
        <v>0</v>
      </c>
      <c r="BT174" s="38">
        <f>IF(AND(BT$7="○",$A174&gt;=BT$8,$A174&lt;=BT$9),IF(SUM(BT$10:BT173)-ROUNDDOWN($M174*BT$5/100,0)&lt;-BT$6,-BT$6-SUM(BT$10:BT173),-ROUNDDOWN($M174*BT$5/100,0)),0)</f>
        <v>0</v>
      </c>
      <c r="BU174" s="38">
        <f>IF(AND(BU$7="○",$A174&gt;=BU$8,$A174&lt;=BU$9),IF(SUM(BU$10:BU173)-ROUNDDOWN($M174*BU$5/100,0)&lt;-BU$6,-BU$6-SUM(BU$10:BU173),-ROUNDDOWN($M174*BU$5/100,0)),0)</f>
        <v>0</v>
      </c>
      <c r="BV174" s="38">
        <f>IF(AND(BV$7="○",$A174&gt;=BV$8,$A174&lt;=BV$9),IF(SUM(BV$10:BV173)-ROUNDDOWN($M174*BV$5/100,0)&lt;-BV$6,-BV$6-SUM(BV$10:BV173),-ROUNDDOWN($M174*BV$5/100,0)),0)</f>
        <v>0</v>
      </c>
      <c r="BW174" s="38">
        <f>IF(AND(BW$7="○",$A174&gt;=BW$8,$A174&lt;=BW$9),IF(SUM(BW$10:BW173)-ROUNDDOWN($M174*BW$5/100,0)&lt;-BW$6,-BW$6-SUM(BW$10:BW173),-ROUNDDOWN($M174*BW$5/100,0)),0)</f>
        <v>0</v>
      </c>
      <c r="BX174" s="38">
        <f>IF(AND(T174="○",$A174&gt;=BX$8,$A174&lt;=BX$9),IF(SUM(BX$10:BX173)-ROUNDDOWN($K174*BX$5/100,0)&lt;-BX$6,-BX$6-SUM(BX$10:BX173),-ROUNDDOWN($K174*BX$5/100,0)),0)</f>
        <v>0</v>
      </c>
      <c r="BY174" s="38">
        <f>IF(AND(U174="○",$A174&gt;=BY$8,$A174&lt;=BY$9),IF(SUM(BY$10:BY173)-ROUNDDOWN($K174*BY$5/100,0)&lt;-BY$6,-BY$6-SUM(BY$10:BY173),-ROUNDDOWN($K174*BY$5/100,0)),0)</f>
        <v>0</v>
      </c>
      <c r="BZ174" s="38">
        <f>IF(AND(V174="○",$A174&gt;=BZ$8,$A174&lt;=BZ$9),IF(SUM(BZ$10:BZ173)-ROUNDDOWN($K174*BZ$5/100,0)&lt;-BZ$6,-BZ$6-SUM(BZ$10:BZ173),-ROUNDDOWN($K174*BZ$5/100,0)),0)</f>
        <v>0</v>
      </c>
      <c r="CA174" s="38">
        <f>IF(AND(W174="○",$A174&gt;=CA$8,$A174&lt;=CA$9),IF(SUM(CA$10:CA173)-ROUNDDOWN($K174*CA$5/100,0)&lt;-CA$6,-CA$6-SUM(CA$10:CA173),-ROUNDDOWN($K174*CA$5/100,0)),0)</f>
        <v>0</v>
      </c>
      <c r="CB174" s="38"/>
      <c r="CC174" s="38"/>
      <c r="CD174" s="38"/>
      <c r="CE174" s="38"/>
      <c r="CF174" s="38"/>
      <c r="CG174" s="65">
        <f t="shared" si="138"/>
        <v>0</v>
      </c>
      <c r="CH174" s="71">
        <f t="shared" si="139"/>
        <v>0</v>
      </c>
      <c r="CI174" s="1">
        <f t="shared" si="19"/>
        <v>0</v>
      </c>
      <c r="CJ174" s="1"/>
      <c r="CK174" s="72"/>
      <c r="CL174" s="72"/>
      <c r="CM174" s="2"/>
      <c r="CN174" s="2"/>
      <c r="CO174" s="73">
        <f t="shared" si="20"/>
        <v>0</v>
      </c>
      <c r="CP174" s="5">
        <f t="shared" si="21"/>
        <v>0</v>
      </c>
      <c r="CQ174" s="1"/>
      <c r="CR174" s="1">
        <f t="shared" si="22"/>
        <v>0</v>
      </c>
      <c r="CS174" s="1"/>
      <c r="CT174" s="1" t="e">
        <f>INDEX([2]マスタ!$A:$A,MATCH(D174,[2]マスタ!$C:$C,0))</f>
        <v>#N/A</v>
      </c>
      <c r="CU174" s="1" t="str">
        <f t="shared" ca="1" si="23"/>
        <v>20260620_0-0</v>
      </c>
    </row>
    <row r="175" spans="1:99" x14ac:dyDescent="0.4">
      <c r="A175" s="61"/>
      <c r="B175" s="62"/>
      <c r="C175" s="62"/>
      <c r="D175" s="62"/>
      <c r="E175" s="74"/>
      <c r="F175" s="62"/>
      <c r="G175" s="62">
        <v>1</v>
      </c>
      <c r="H175" s="64">
        <f t="shared" si="4"/>
        <v>0</v>
      </c>
      <c r="I175" s="64"/>
      <c r="J175" s="64"/>
      <c r="K175" s="65">
        <f t="shared" si="144"/>
        <v>0</v>
      </c>
      <c r="L175" s="65">
        <f t="shared" si="6"/>
        <v>0</v>
      </c>
      <c r="M175" s="65">
        <f t="shared" si="7"/>
        <v>0</v>
      </c>
      <c r="N175" s="65">
        <f t="shared" si="8"/>
        <v>0</v>
      </c>
      <c r="O175" s="66" t="str">
        <f t="shared" si="145"/>
        <v>✕</v>
      </c>
      <c r="P175" s="67" t="str">
        <f t="shared" si="146"/>
        <v>○</v>
      </c>
      <c r="Q175" s="67" t="str">
        <f t="shared" si="147"/>
        <v>✕</v>
      </c>
      <c r="R175" s="67" t="str">
        <f t="shared" si="148"/>
        <v>✕</v>
      </c>
      <c r="S175" s="68">
        <v>0</v>
      </c>
      <c r="T175" s="69" t="s">
        <v>85</v>
      </c>
      <c r="U175" s="69" t="s">
        <v>85</v>
      </c>
      <c r="V175" s="69" t="s">
        <v>85</v>
      </c>
      <c r="W175" s="69" t="s">
        <v>85</v>
      </c>
      <c r="X175" s="69" t="s">
        <v>84</v>
      </c>
      <c r="Y175" s="69" t="s">
        <v>85</v>
      </c>
      <c r="Z175" s="69" t="s">
        <v>85</v>
      </c>
      <c r="AA175" s="69" t="s">
        <v>85</v>
      </c>
      <c r="AB175" s="69" t="s">
        <v>85</v>
      </c>
      <c r="AC175" s="69" t="s">
        <v>85</v>
      </c>
      <c r="AD175" s="38" t="str">
        <f>+IF(ISERROR(VLOOKUP($B175,AD$10:AD174,1,0)),IF(AND($N175&gt;=1000,$A175&gt;=AO$8,$A175&lt;=AO$9),$B175,""),"")</f>
        <v/>
      </c>
      <c r="AE175" s="38" t="str">
        <f>+IF(ISERROR(VLOOKUP($B175,AE$10:AE174,1,0)),IF(AND($N175&gt;=1000,$A175&gt;=AP$8,$A175&lt;=AP$9),$B175,""),"")</f>
        <v/>
      </c>
      <c r="AF175" s="38" t="str">
        <f>+IF(ISERROR(VLOOKUP($B175,AF$10:AF174,1,0)),IF(AND($N175&gt;=1000,$A175&gt;=AQ$8,$A175&lt;=AQ$9),$B175,""),"")</f>
        <v/>
      </c>
      <c r="AG175" s="38" t="str">
        <f>+IF(ISERROR(VLOOKUP($B175,AG$10:AG174,1,0)),IF(AND($N175&gt;=1000,$A175&gt;=AR$8,$A175&lt;=AR$9),$B175,""),"")</f>
        <v/>
      </c>
      <c r="AH175" s="38"/>
      <c r="AI175" s="70">
        <v>0</v>
      </c>
      <c r="AJ175" s="38">
        <f>IF(AND(AJ$7="○",$A175&gt;=AJ$8,$A175&lt;=AJ$9),IF(SUM(AJ$10:AJ174)-ROUNDDOWN($K175*AJ$5/100,0)&lt;-AJ$6,-AJ$6-SUM(AJ$10:AJ174),-ROUNDDOWN($K175*AJ$5/100,0)),0)</f>
        <v>0</v>
      </c>
      <c r="AK175" s="38">
        <f>IF(AND(AK$7="○",$A175&gt;=AK$8,$A175&lt;=AK$9),IF(SUM(AK$10:AK174)-ROUNDDOWN($L175*AK$5/100,0)&lt;-AK$6,-AK$6-SUM(AK$10:AK174),-ROUNDDOWN($L175*AK$5/100,0)),0)</f>
        <v>0</v>
      </c>
      <c r="AL175" s="38">
        <f>IF(AND(AL$7="○",$A175&gt;=AL$8,$A175&lt;=AL$9),IF(SUM(AL$10:AL174)-ROUNDDOWN($N175*AL$5/100,0)&lt;-AL$6,-AL$6-SUM(AL$10:AL174),-ROUNDDOWN($N175*AL$5/100,0)),0)</f>
        <v>0</v>
      </c>
      <c r="AM175" s="38">
        <f>IF(AND(AM$7="○",$A175&gt;=AM$8,$A175&lt;=AM$9),IF(SUM(AM$10:AM174)-ROUNDDOWN($L175*AM$5/100,0)&lt;-AM$6,-AM$6-SUM(AM$10:AM174),-ROUNDDOWN($L175*AM$5/100,0)),0)</f>
        <v>0</v>
      </c>
      <c r="AN175" s="38">
        <f>IF(AND(AN$7="○",$A175&gt;=AN$8,$A175&lt;=AN$9),IF(SUM(AN$10:AN174)-ROUNDDOWN($M175*AN$5/100,0)&lt;-AN$6,-AN$6-SUM(AN$10:AN174),-ROUNDDOWN($M175*AN$5/100,0)),0)</f>
        <v>0</v>
      </c>
      <c r="AO175" s="38">
        <f>IF(AND($A175&gt;=AO$8,$A175&lt;=AO$9),IF(SUM(AO$10:AO174)-ROUNDDOWN($K175*AO$5/100,0)&lt;-AO$6,-AO$6-SUM(AO$10:AO174),-ROUNDDOWN($K175*AO$5/100,0)),0)</f>
        <v>0</v>
      </c>
      <c r="AP175" s="38">
        <f>IF(AND($A175&gt;=AP$8,$A175&lt;=AP$9),IF(SUM(AP$10:AP174)-ROUNDDOWN($K175*AP$5/100,0)&lt;-AP$6,-AP$6-SUM(AP$10:AP174),-ROUNDDOWN($K175*AP$5/100,0)),0)</f>
        <v>0</v>
      </c>
      <c r="AQ175" s="38">
        <f>IF(AND($A175&gt;=AQ$8,$A175&lt;=AQ$9),IF(SUM(AQ$10:AQ174)-ROUNDDOWN($K175*AQ$5/100,0)&lt;-AQ$6,-AQ$6-SUM(AQ$10:AQ174),-ROUNDDOWN($K175*AQ$5/100,0)),0)</f>
        <v>0</v>
      </c>
      <c r="AR175" s="38">
        <f>IF(AND($A175&gt;=AR$8,$A175&lt;=AR$9),IF(SUM(AR$10:AR174)-ROUNDDOWN($K175*AR$5/100,0)&lt;-AR$6,-AR$6-SUM(AR$10:AR174),-ROUNDDOWN($K175*AR$5/100,0)),0)</f>
        <v>0</v>
      </c>
      <c r="AS175" s="38">
        <f>IF(SUMIFS(AS$10:AS174,$A$10:$A174,$A175)-ROUNDDOWN($K175*$S175/100,0)&lt;-$S175*1000,-$S175*1000-SUMIFS(AS$10:AS174,$A$10:$A174,$A175),-ROUNDDOWN($K175*$S175/100,0))</f>
        <v>0</v>
      </c>
      <c r="AT175" s="38">
        <f>IF(AND(X175="○",$A175&gt;=AT$8,$A175&lt;=AT$9,K175&gt;=3980),IF(SUM(AT$10:AT174)-ROUNDDOWN($K175*AT$5/100,0)&lt;-AT$6,-AT$6-SUM(AT$10:AT174),-ROUNDDOWN($K175*AT$5/100,0)),0)</f>
        <v>0</v>
      </c>
      <c r="AU175" s="38">
        <f>IF(O175="○",IF(SUM(AU$10:AU174)-ROUNDDOWN($K175*AU$5/100,0)&lt;-AU$6,-AU$6-SUM(AU$10:AU174),-ROUNDDOWN($K175*AU$5/100,0)),0)</f>
        <v>0</v>
      </c>
      <c r="AV175" s="38">
        <f>IF(P175="○",IF(SUM(AV$10:AV174)-ROUNDDOWN($K175*AV$5/100,0)&lt;-AV$6,-AV$6-SUM(AV$10:AV174),-ROUNDDOWN($K175*AV$5/100,0)),0)</f>
        <v>0</v>
      </c>
      <c r="AW175" s="38">
        <f>IF(Q175="○",IF(SUM(AW$10:AW174)-ROUNDDOWN($K175*AW$5/100,0)&lt;-AW$6,-AW$6-SUM(AW$10:AW174),-ROUNDDOWN($K175*AW$5/100,0)),0)</f>
        <v>0</v>
      </c>
      <c r="AX175" s="38">
        <f>IF(R175="○",IF(SUM(AX$10:AX174)-ROUNDDOWN($K175*AX$5/100,0)&lt;-AX$6,-AX$6-SUM(AX$10:AX174),-ROUNDDOWN($K175*AX$5/100,0)),0)</f>
        <v>0</v>
      </c>
      <c r="AY175" s="70">
        <v>0</v>
      </c>
      <c r="AZ175" s="65">
        <f t="shared" si="132"/>
        <v>0</v>
      </c>
      <c r="BA175" s="65">
        <f t="shared" si="133"/>
        <v>0</v>
      </c>
      <c r="BB175" s="70"/>
      <c r="BC175" s="65">
        <f t="shared" si="134"/>
        <v>0</v>
      </c>
      <c r="BD175" s="70">
        <v>0</v>
      </c>
      <c r="BE175" s="65">
        <f t="shared" si="135"/>
        <v>0</v>
      </c>
      <c r="BF175" s="70">
        <v>0</v>
      </c>
      <c r="BG175" s="65">
        <f t="shared" si="136"/>
        <v>0</v>
      </c>
      <c r="BH175" s="70">
        <v>0</v>
      </c>
      <c r="BI175" s="65">
        <f t="shared" si="137"/>
        <v>0</v>
      </c>
      <c r="BJ175" s="38">
        <f>IF(AND(BJ$7="○",$A175&gt;=BJ$8,$A175&lt;=BJ$9),IF(SUM(BJ$10:BJ174)-ROUNDDOWN($M175*BJ$5/100,0)&lt;-BJ$6,-BJ$6-SUM(BJ$10:BJ174),-ROUNDDOWN($M175*BJ$5/100,0)),0)</f>
        <v>0</v>
      </c>
      <c r="BK175" s="38">
        <f>IF(AND(BK$7="○",$A175&gt;=BK$8,$A175&lt;=BK$9),IF(SUM(BK$10:BK174)-ROUNDDOWN($L175*BK$5/100,0)&lt;-BK$6,-BK$6-SUM(BK$10:BK174),-ROUNDDOWN($L175*BK$5/100,0)),0)</f>
        <v>0</v>
      </c>
      <c r="BL175" s="38">
        <f>IF(AND(BL$7="○",$A175&gt;=BL$8,$A175&lt;=BL$9),IF(SUM(BL$10:BL174)-ROUNDDOWN($L175*BL$5/100,0)&lt;-BL$6,-BL$6-SUM(BL$10:BL174),-ROUNDDOWN($L175*BL$5/100,0)),0)</f>
        <v>0</v>
      </c>
      <c r="BM175" s="38">
        <f>IF(AND(BM$7="○",$A175&gt;=BM$8,$A175&lt;=BM$9),IF(SUM(BM$10:BM174)-ROUNDDOWN($M175*BM$5/100,0)&lt;-BM$6,-BM$6-SUM(BM$10:BM174),-ROUNDDOWN($M175*BM$5/100,0)),0)</f>
        <v>0</v>
      </c>
      <c r="BN175" s="38">
        <f>IF(AND(BN$7="○",$A175&gt;=BN$8,$A175&lt;=BN$9),IF(SUM(BN$10:BN174)-ROUNDDOWN($M175*BN$5/100,0)&lt;-BN$6,-BN$6-SUM(BN$10:BN174),-ROUNDDOWN($M175*BN$5/100,0)),0)</f>
        <v>0</v>
      </c>
      <c r="BO175" s="38">
        <f>IF(AND(BO$7="○",$A175&gt;=BO$8,$A175&lt;=BO$9),IF(SUM(BO$10:BO174)-ROUNDDOWN($M175*BO$5/100,0)&lt;-BO$6,-BO$6-SUM(BO$10:BO174),-ROUNDDOWN($M175*BO$5/100,0)),0)</f>
        <v>0</v>
      </c>
      <c r="BP175" s="38">
        <f>IF(AND(BP$7="○",$A175&gt;=BP$8,$A175&lt;=BP$9),IF(SUM(BP$10:BP174)-ROUNDDOWN($M175*BP$5/100,0)&lt;-BP$6,-BP$6-SUM(BP$10:BP174),-ROUNDDOWN($M175*BP$5/100,0)),0)</f>
        <v>0</v>
      </c>
      <c r="BQ175" s="38">
        <f>IF(AND(BQ$7="○",$A175&gt;=BQ$8,$A175&lt;=BQ$9),IF(SUM(BQ$10:BQ174)-ROUNDDOWN($L175*BQ$5/100,0)&lt;-BQ$6,-BQ$6-SUM(BQ$10:BQ174),-ROUNDDOWN($L175*BQ$5/100,0)),0)</f>
        <v>0</v>
      </c>
      <c r="BR175" s="38">
        <f>IF(AND(BR$7="○",$A175&gt;=BR$8,$A175&lt;=BR$9),IF(SUM(BR$10:BR174)-ROUNDDOWN($M175*BR$5/100,0)&lt;-BR$6,-BR$6-SUM(BR$10:BR174),-ROUNDDOWN($M175*BR$5/100,0)),0)</f>
        <v>0</v>
      </c>
      <c r="BS175" s="38">
        <f>IF(AND(BS$7="○",$A175&gt;=BS$8,$A175&lt;=BS$9),IF(SUM(BS$10:BS174)-ROUNDDOWN($M175*BS$5/100,0)&lt;-BS$6,-BS$6-SUM(BS$10:BS174),-ROUNDDOWN($M175*BS$5/100,0)),0)</f>
        <v>0</v>
      </c>
      <c r="BT175" s="38">
        <f>IF(AND(BT$7="○",$A175&gt;=BT$8,$A175&lt;=BT$9),IF(SUM(BT$10:BT174)-ROUNDDOWN($M175*BT$5/100,0)&lt;-BT$6,-BT$6-SUM(BT$10:BT174),-ROUNDDOWN($M175*BT$5/100,0)),0)</f>
        <v>0</v>
      </c>
      <c r="BU175" s="38">
        <f>IF(AND(BU$7="○",$A175&gt;=BU$8,$A175&lt;=BU$9),IF(SUM(BU$10:BU174)-ROUNDDOWN($M175*BU$5/100,0)&lt;-BU$6,-BU$6-SUM(BU$10:BU174),-ROUNDDOWN($M175*BU$5/100,0)),0)</f>
        <v>0</v>
      </c>
      <c r="BV175" s="38">
        <f>IF(AND(BV$7="○",$A175&gt;=BV$8,$A175&lt;=BV$9),IF(SUM(BV$10:BV174)-ROUNDDOWN($M175*BV$5/100,0)&lt;-BV$6,-BV$6-SUM(BV$10:BV174),-ROUNDDOWN($M175*BV$5/100,0)),0)</f>
        <v>0</v>
      </c>
      <c r="BW175" s="38">
        <f>IF(AND(BW$7="○",$A175&gt;=BW$8,$A175&lt;=BW$9),IF(SUM(BW$10:BW174)-ROUNDDOWN($M175*BW$5/100,0)&lt;-BW$6,-BW$6-SUM(BW$10:BW174),-ROUNDDOWN($M175*BW$5/100,0)),0)</f>
        <v>0</v>
      </c>
      <c r="BX175" s="38">
        <f>IF(AND(T175="○",$A175&gt;=BX$8,$A175&lt;=BX$9),IF(SUM(BX$10:BX174)-ROUNDDOWN($K175*BX$5/100,0)&lt;-BX$6,-BX$6-SUM(BX$10:BX174),-ROUNDDOWN($K175*BX$5/100,0)),0)</f>
        <v>0</v>
      </c>
      <c r="BY175" s="38">
        <f>IF(AND(U175="○",$A175&gt;=BY$8,$A175&lt;=BY$9),IF(SUM(BY$10:BY174)-ROUNDDOWN($K175*BY$5/100,0)&lt;-BY$6,-BY$6-SUM(BY$10:BY174),-ROUNDDOWN($K175*BY$5/100,0)),0)</f>
        <v>0</v>
      </c>
      <c r="BZ175" s="38">
        <f>IF(AND(V175="○",$A175&gt;=BZ$8,$A175&lt;=BZ$9),IF(SUM(BZ$10:BZ174)-ROUNDDOWN($K175*BZ$5/100,0)&lt;-BZ$6,-BZ$6-SUM(BZ$10:BZ174),-ROUNDDOWN($K175*BZ$5/100,0)),0)</f>
        <v>0</v>
      </c>
      <c r="CA175" s="38">
        <f>IF(AND(W175="○",$A175&gt;=CA$8,$A175&lt;=CA$9),IF(SUM(CA$10:CA174)-ROUNDDOWN($K175*CA$5/100,0)&lt;-CA$6,-CA$6-SUM(CA$10:CA174),-ROUNDDOWN($K175*CA$5/100,0)),0)</f>
        <v>0</v>
      </c>
      <c r="CB175" s="38"/>
      <c r="CC175" s="38"/>
      <c r="CD175" s="38"/>
      <c r="CE175" s="38"/>
      <c r="CF175" s="38"/>
      <c r="CG175" s="65">
        <f t="shared" si="138"/>
        <v>0</v>
      </c>
      <c r="CH175" s="71">
        <f t="shared" si="139"/>
        <v>0</v>
      </c>
      <c r="CI175" s="1">
        <f t="shared" si="19"/>
        <v>0</v>
      </c>
      <c r="CJ175" s="1"/>
      <c r="CK175" s="72"/>
      <c r="CL175" s="72"/>
      <c r="CM175" s="2"/>
      <c r="CN175" s="2"/>
      <c r="CO175" s="73">
        <f t="shared" si="20"/>
        <v>0</v>
      </c>
      <c r="CP175" s="5">
        <f t="shared" si="21"/>
        <v>0</v>
      </c>
      <c r="CQ175" s="1"/>
      <c r="CR175" s="1">
        <f t="shared" si="22"/>
        <v>0</v>
      </c>
      <c r="CS175" s="1"/>
      <c r="CT175" s="1" t="e">
        <f>INDEX([2]マスタ!$A:$A,MATCH(D175,[2]マスタ!$C:$C,0))</f>
        <v>#N/A</v>
      </c>
      <c r="CU175" s="1" t="str">
        <f t="shared" ca="1" si="23"/>
        <v>20260620_0-0</v>
      </c>
    </row>
    <row r="176" spans="1:99" x14ac:dyDescent="0.4">
      <c r="A176" s="61"/>
      <c r="B176" s="62"/>
      <c r="C176" s="62"/>
      <c r="D176" s="62"/>
      <c r="E176" s="74"/>
      <c r="F176" s="62"/>
      <c r="G176" s="62">
        <v>1</v>
      </c>
      <c r="H176" s="64">
        <f t="shared" si="4"/>
        <v>0</v>
      </c>
      <c r="I176" s="64"/>
      <c r="J176" s="64"/>
      <c r="K176" s="65">
        <f t="shared" si="144"/>
        <v>0</v>
      </c>
      <c r="L176" s="65">
        <f t="shared" si="6"/>
        <v>0</v>
      </c>
      <c r="M176" s="65">
        <f t="shared" si="7"/>
        <v>0</v>
      </c>
      <c r="N176" s="65">
        <f t="shared" si="8"/>
        <v>0</v>
      </c>
      <c r="O176" s="66" t="str">
        <f t="shared" si="145"/>
        <v>✕</v>
      </c>
      <c r="P176" s="67" t="str">
        <f t="shared" si="146"/>
        <v>○</v>
      </c>
      <c r="Q176" s="67" t="str">
        <f t="shared" si="147"/>
        <v>✕</v>
      </c>
      <c r="R176" s="67" t="str">
        <f t="shared" si="148"/>
        <v>✕</v>
      </c>
      <c r="S176" s="68">
        <v>0</v>
      </c>
      <c r="T176" s="69" t="s">
        <v>85</v>
      </c>
      <c r="U176" s="69" t="s">
        <v>85</v>
      </c>
      <c r="V176" s="69" t="s">
        <v>85</v>
      </c>
      <c r="W176" s="69" t="s">
        <v>85</v>
      </c>
      <c r="X176" s="69" t="s">
        <v>84</v>
      </c>
      <c r="Y176" s="69" t="s">
        <v>85</v>
      </c>
      <c r="Z176" s="69" t="s">
        <v>85</v>
      </c>
      <c r="AA176" s="69" t="s">
        <v>85</v>
      </c>
      <c r="AB176" s="69" t="s">
        <v>85</v>
      </c>
      <c r="AC176" s="69" t="s">
        <v>85</v>
      </c>
      <c r="AD176" s="38" t="str">
        <f>+IF(ISERROR(VLOOKUP($B176,AD$10:AD175,1,0)),IF(AND($N176&gt;=1000,$A176&gt;=AO$8,$A176&lt;=AO$9),$B176,""),"")</f>
        <v/>
      </c>
      <c r="AE176" s="38" t="str">
        <f>+IF(ISERROR(VLOOKUP($B176,AE$10:AE175,1,0)),IF(AND($N176&gt;=1000,$A176&gt;=AP$8,$A176&lt;=AP$9),$B176,""),"")</f>
        <v/>
      </c>
      <c r="AF176" s="38" t="str">
        <f>+IF(ISERROR(VLOOKUP($B176,AF$10:AF175,1,0)),IF(AND($N176&gt;=1000,$A176&gt;=AQ$8,$A176&lt;=AQ$9),$B176,""),"")</f>
        <v/>
      </c>
      <c r="AG176" s="38" t="str">
        <f>+IF(ISERROR(VLOOKUP($B176,AG$10:AG175,1,0)),IF(AND($N176&gt;=1000,$A176&gt;=AR$8,$A176&lt;=AR$9),$B176,""),"")</f>
        <v/>
      </c>
      <c r="AH176" s="38"/>
      <c r="AI176" s="70">
        <v>0</v>
      </c>
      <c r="AJ176" s="38">
        <f>IF(AND(AJ$7="○",$A176&gt;=AJ$8,$A176&lt;=AJ$9),IF(SUM(AJ$10:AJ175)-ROUNDDOWN($K176*AJ$5/100,0)&lt;-AJ$6,-AJ$6-SUM(AJ$10:AJ175),-ROUNDDOWN($K176*AJ$5/100,0)),0)</f>
        <v>0</v>
      </c>
      <c r="AK176" s="38">
        <f>IF(AND(AK$7="○",$A176&gt;=AK$8,$A176&lt;=AK$9),IF(SUM(AK$10:AK175)-ROUNDDOWN($L176*AK$5/100,0)&lt;-AK$6,-AK$6-SUM(AK$10:AK175),-ROUNDDOWN($L176*AK$5/100,0)),0)</f>
        <v>0</v>
      </c>
      <c r="AL176" s="38">
        <f>IF(AND(AL$7="○",$A176&gt;=AL$8,$A176&lt;=AL$9),IF(SUM(AL$10:AL175)-ROUNDDOWN($N176*AL$5/100,0)&lt;-AL$6,-AL$6-SUM(AL$10:AL175),-ROUNDDOWN($N176*AL$5/100,0)),0)</f>
        <v>0</v>
      </c>
      <c r="AM176" s="38">
        <f>IF(AND(AM$7="○",$A176&gt;=AM$8,$A176&lt;=AM$9),IF(SUM(AM$10:AM175)-ROUNDDOWN($L176*AM$5/100,0)&lt;-AM$6,-AM$6-SUM(AM$10:AM175),-ROUNDDOWN($L176*AM$5/100,0)),0)</f>
        <v>0</v>
      </c>
      <c r="AN176" s="38">
        <f>IF(AND(AN$7="○",$A176&gt;=AN$8,$A176&lt;=AN$9),IF(SUM(AN$10:AN175)-ROUNDDOWN($M176*AN$5/100,0)&lt;-AN$6,-AN$6-SUM(AN$10:AN175),-ROUNDDOWN($M176*AN$5/100,0)),0)</f>
        <v>0</v>
      </c>
      <c r="AO176" s="38">
        <f>IF(AND($A176&gt;=AO$8,$A176&lt;=AO$9),IF(SUM(AO$10:AO175)-ROUNDDOWN($K176*AO$5/100,0)&lt;-AO$6,-AO$6-SUM(AO$10:AO175),-ROUNDDOWN($K176*AO$5/100,0)),0)</f>
        <v>0</v>
      </c>
      <c r="AP176" s="38">
        <f>IF(AND($A176&gt;=AP$8,$A176&lt;=AP$9),IF(SUM(AP$10:AP175)-ROUNDDOWN($K176*AP$5/100,0)&lt;-AP$6,-AP$6-SUM(AP$10:AP175),-ROUNDDOWN($K176*AP$5/100,0)),0)</f>
        <v>0</v>
      </c>
      <c r="AQ176" s="38">
        <f>IF(AND($A176&gt;=AQ$8,$A176&lt;=AQ$9),IF(SUM(AQ$10:AQ175)-ROUNDDOWN($K176*AQ$5/100,0)&lt;-AQ$6,-AQ$6-SUM(AQ$10:AQ175),-ROUNDDOWN($K176*AQ$5/100,0)),0)</f>
        <v>0</v>
      </c>
      <c r="AR176" s="38">
        <f>IF(AND($A176&gt;=AR$8,$A176&lt;=AR$9),IF(SUM(AR$10:AR175)-ROUNDDOWN($K176*AR$5/100,0)&lt;-AR$6,-AR$6-SUM(AR$10:AR175),-ROUNDDOWN($K176*AR$5/100,0)),0)</f>
        <v>0</v>
      </c>
      <c r="AS176" s="38">
        <f>IF(SUMIFS(AS$10:AS175,$A$10:$A175,$A176)-ROUNDDOWN($K176*$S176/100,0)&lt;-$S176*1000,-$S176*1000-SUMIFS(AS$10:AS175,$A$10:$A175,$A176),-ROUNDDOWN($K176*$S176/100,0))</f>
        <v>0</v>
      </c>
      <c r="AT176" s="38">
        <f>IF(AND(X176="○",$A176&gt;=AT$8,$A176&lt;=AT$9,K176&gt;=3980),IF(SUM(AT$10:AT175)-ROUNDDOWN($K176*AT$5/100,0)&lt;-AT$6,-AT$6-SUM(AT$10:AT175),-ROUNDDOWN($K176*AT$5/100,0)),0)</f>
        <v>0</v>
      </c>
      <c r="AU176" s="38">
        <f>IF(O176="○",IF(SUM(AU$10:AU175)-ROUNDDOWN($K176*AU$5/100,0)&lt;-AU$6,-AU$6-SUM(AU$10:AU175),-ROUNDDOWN($K176*AU$5/100,0)),0)</f>
        <v>0</v>
      </c>
      <c r="AV176" s="38">
        <f>IF(P176="○",IF(SUM(AV$10:AV175)-ROUNDDOWN($K176*AV$5/100,0)&lt;-AV$6,-AV$6-SUM(AV$10:AV175),-ROUNDDOWN($K176*AV$5/100,0)),0)</f>
        <v>0</v>
      </c>
      <c r="AW176" s="38">
        <f>IF(Q176="○",IF(SUM(AW$10:AW175)-ROUNDDOWN($K176*AW$5/100,0)&lt;-AW$6,-AW$6-SUM(AW$10:AW175),-ROUNDDOWN($K176*AW$5/100,0)),0)</f>
        <v>0</v>
      </c>
      <c r="AX176" s="38">
        <f>IF(R176="○",IF(SUM(AX$10:AX175)-ROUNDDOWN($K176*AX$5/100,0)&lt;-AX$6,-AX$6-SUM(AX$10:AX175),-ROUNDDOWN($K176*AX$5/100,0)),0)</f>
        <v>0</v>
      </c>
      <c r="AY176" s="70">
        <v>0</v>
      </c>
      <c r="AZ176" s="65">
        <f t="shared" si="132"/>
        <v>0</v>
      </c>
      <c r="BA176" s="65">
        <f t="shared" si="133"/>
        <v>0</v>
      </c>
      <c r="BB176" s="70"/>
      <c r="BC176" s="65">
        <f t="shared" si="134"/>
        <v>0</v>
      </c>
      <c r="BD176" s="70">
        <v>0</v>
      </c>
      <c r="BE176" s="65">
        <f t="shared" si="135"/>
        <v>0</v>
      </c>
      <c r="BF176" s="70">
        <v>0</v>
      </c>
      <c r="BG176" s="65">
        <f t="shared" si="136"/>
        <v>0</v>
      </c>
      <c r="BH176" s="70">
        <v>0</v>
      </c>
      <c r="BI176" s="65">
        <f t="shared" si="137"/>
        <v>0</v>
      </c>
      <c r="BJ176" s="38">
        <f>IF(AND(BJ$7="○",$A176&gt;=BJ$8,$A176&lt;=BJ$9),IF(SUM(BJ$10:BJ175)-ROUNDDOWN($M176*BJ$5/100,0)&lt;-BJ$6,-BJ$6-SUM(BJ$10:BJ175),-ROUNDDOWN($M176*BJ$5/100,0)),0)</f>
        <v>0</v>
      </c>
      <c r="BK176" s="38">
        <f>IF(AND(BK$7="○",$A176&gt;=BK$8,$A176&lt;=BK$9),IF(SUM(BK$10:BK175)-ROUNDDOWN($L176*BK$5/100,0)&lt;-BK$6,-BK$6-SUM(BK$10:BK175),-ROUNDDOWN($L176*BK$5/100,0)),0)</f>
        <v>0</v>
      </c>
      <c r="BL176" s="38">
        <f>IF(AND(BL$7="○",$A176&gt;=BL$8,$A176&lt;=BL$9),IF(SUM(BL$10:BL175)-ROUNDDOWN($L176*BL$5/100,0)&lt;-BL$6,-BL$6-SUM(BL$10:BL175),-ROUNDDOWN($L176*BL$5/100,0)),0)</f>
        <v>0</v>
      </c>
      <c r="BM176" s="38">
        <f>IF(AND(BM$7="○",$A176&gt;=BM$8,$A176&lt;=BM$9),IF(SUM(BM$10:BM175)-ROUNDDOWN($M176*BM$5/100,0)&lt;-BM$6,-BM$6-SUM(BM$10:BM175),-ROUNDDOWN($M176*BM$5/100,0)),0)</f>
        <v>0</v>
      </c>
      <c r="BN176" s="38">
        <f>IF(AND(BN$7="○",$A176&gt;=BN$8,$A176&lt;=BN$9),IF(SUM(BN$10:BN175)-ROUNDDOWN($M176*BN$5/100,0)&lt;-BN$6,-BN$6-SUM(BN$10:BN175),-ROUNDDOWN($M176*BN$5/100,0)),0)</f>
        <v>0</v>
      </c>
      <c r="BO176" s="38">
        <f>IF(AND(BO$7="○",$A176&gt;=BO$8,$A176&lt;=BO$9),IF(SUM(BO$10:BO175)-ROUNDDOWN($M176*BO$5/100,0)&lt;-BO$6,-BO$6-SUM(BO$10:BO175),-ROUNDDOWN($M176*BO$5/100,0)),0)</f>
        <v>0</v>
      </c>
      <c r="BP176" s="38">
        <f>IF(AND(BP$7="○",$A176&gt;=BP$8,$A176&lt;=BP$9),IF(SUM(BP$10:BP175)-ROUNDDOWN($M176*BP$5/100,0)&lt;-BP$6,-BP$6-SUM(BP$10:BP175),-ROUNDDOWN($M176*BP$5/100,0)),0)</f>
        <v>0</v>
      </c>
      <c r="BQ176" s="38">
        <f>IF(AND(BQ$7="○",$A176&gt;=BQ$8,$A176&lt;=BQ$9),IF(SUM(BQ$10:BQ175)-ROUNDDOWN($L176*BQ$5/100,0)&lt;-BQ$6,-BQ$6-SUM(BQ$10:BQ175),-ROUNDDOWN($L176*BQ$5/100,0)),0)</f>
        <v>0</v>
      </c>
      <c r="BR176" s="38">
        <f>IF(AND(BR$7="○",$A176&gt;=BR$8,$A176&lt;=BR$9),IF(SUM(BR$10:BR175)-ROUNDDOWN($M176*BR$5/100,0)&lt;-BR$6,-BR$6-SUM(BR$10:BR175),-ROUNDDOWN($M176*BR$5/100,0)),0)</f>
        <v>0</v>
      </c>
      <c r="BS176" s="38">
        <f>IF(AND(BS$7="○",$A176&gt;=BS$8,$A176&lt;=BS$9),IF(SUM(BS$10:BS175)-ROUNDDOWN($M176*BS$5/100,0)&lt;-BS$6,-BS$6-SUM(BS$10:BS175),-ROUNDDOWN($M176*BS$5/100,0)),0)</f>
        <v>0</v>
      </c>
      <c r="BT176" s="38">
        <f>IF(AND(BT$7="○",$A176&gt;=BT$8,$A176&lt;=BT$9),IF(SUM(BT$10:BT175)-ROUNDDOWN($M176*BT$5/100,0)&lt;-BT$6,-BT$6-SUM(BT$10:BT175),-ROUNDDOWN($M176*BT$5/100,0)),0)</f>
        <v>0</v>
      </c>
      <c r="BU176" s="38">
        <f>IF(AND(BU$7="○",$A176&gt;=BU$8,$A176&lt;=BU$9),IF(SUM(BU$10:BU175)-ROUNDDOWN($M176*BU$5/100,0)&lt;-BU$6,-BU$6-SUM(BU$10:BU175),-ROUNDDOWN($M176*BU$5/100,0)),0)</f>
        <v>0</v>
      </c>
      <c r="BV176" s="38">
        <f>IF(AND(BV$7="○",$A176&gt;=BV$8,$A176&lt;=BV$9),IF(SUM(BV$10:BV175)-ROUNDDOWN($M176*BV$5/100,0)&lt;-BV$6,-BV$6-SUM(BV$10:BV175),-ROUNDDOWN($M176*BV$5/100,0)),0)</f>
        <v>0</v>
      </c>
      <c r="BW176" s="38">
        <f>IF(AND(BW$7="○",$A176&gt;=BW$8,$A176&lt;=BW$9),IF(SUM(BW$10:BW175)-ROUNDDOWN($M176*BW$5/100,0)&lt;-BW$6,-BW$6-SUM(BW$10:BW175),-ROUNDDOWN($M176*BW$5/100,0)),0)</f>
        <v>0</v>
      </c>
      <c r="BX176" s="38">
        <f>IF(AND(T176="○",$A176&gt;=BX$8,$A176&lt;=BX$9),IF(SUM(BX$10:BX175)-ROUNDDOWN($K176*BX$5/100,0)&lt;-BX$6,-BX$6-SUM(BX$10:BX175),-ROUNDDOWN($K176*BX$5/100,0)),0)</f>
        <v>0</v>
      </c>
      <c r="BY176" s="38">
        <f>IF(AND(U176="○",$A176&gt;=BY$8,$A176&lt;=BY$9),IF(SUM(BY$10:BY175)-ROUNDDOWN($K176*BY$5/100,0)&lt;-BY$6,-BY$6-SUM(BY$10:BY175),-ROUNDDOWN($K176*BY$5/100,0)),0)</f>
        <v>0</v>
      </c>
      <c r="BZ176" s="38">
        <f>IF(AND(V176="○",$A176&gt;=BZ$8,$A176&lt;=BZ$9),IF(SUM(BZ$10:BZ175)-ROUNDDOWN($K176*BZ$5/100,0)&lt;-BZ$6,-BZ$6-SUM(BZ$10:BZ175),-ROUNDDOWN($K176*BZ$5/100,0)),0)</f>
        <v>0</v>
      </c>
      <c r="CA176" s="38">
        <f>IF(AND(W176="○",$A176&gt;=CA$8,$A176&lt;=CA$9),IF(SUM(CA$10:CA175)-ROUNDDOWN($K176*CA$5/100,0)&lt;-CA$6,-CA$6-SUM(CA$10:CA175),-ROUNDDOWN($K176*CA$5/100,0)),0)</f>
        <v>0</v>
      </c>
      <c r="CB176" s="38"/>
      <c r="CC176" s="38"/>
      <c r="CD176" s="38"/>
      <c r="CE176" s="38"/>
      <c r="CF176" s="38"/>
      <c r="CG176" s="65">
        <f t="shared" si="138"/>
        <v>0</v>
      </c>
      <c r="CH176" s="71">
        <f t="shared" si="139"/>
        <v>0</v>
      </c>
      <c r="CI176" s="1">
        <f t="shared" si="19"/>
        <v>0</v>
      </c>
      <c r="CJ176" s="1"/>
      <c r="CK176" s="72"/>
      <c r="CL176" s="72"/>
      <c r="CM176" s="2"/>
      <c r="CN176" s="2"/>
      <c r="CO176" s="73">
        <f t="shared" si="20"/>
        <v>0</v>
      </c>
      <c r="CP176" s="5">
        <f t="shared" si="21"/>
        <v>0</v>
      </c>
      <c r="CQ176" s="1"/>
      <c r="CR176" s="1">
        <f t="shared" si="22"/>
        <v>0</v>
      </c>
      <c r="CS176" s="1"/>
      <c r="CT176" s="1" t="e">
        <f>INDEX([2]マスタ!$A:$A,MATCH(D176,[2]マスタ!$C:$C,0))</f>
        <v>#N/A</v>
      </c>
      <c r="CU176" s="1" t="str">
        <f t="shared" ca="1" si="23"/>
        <v>20260620_0-0</v>
      </c>
    </row>
    <row r="177" spans="1:99" x14ac:dyDescent="0.4">
      <c r="A177" s="61"/>
      <c r="B177" s="62"/>
      <c r="C177" s="62"/>
      <c r="D177" s="62"/>
      <c r="E177" s="74"/>
      <c r="F177" s="62"/>
      <c r="G177" s="62">
        <v>1</v>
      </c>
      <c r="H177" s="64">
        <f t="shared" si="4"/>
        <v>0</v>
      </c>
      <c r="I177" s="64"/>
      <c r="J177" s="64"/>
      <c r="K177" s="65">
        <f t="shared" si="144"/>
        <v>0</v>
      </c>
      <c r="L177" s="65">
        <f t="shared" si="6"/>
        <v>0</v>
      </c>
      <c r="M177" s="65">
        <f t="shared" si="7"/>
        <v>0</v>
      </c>
      <c r="N177" s="65">
        <f t="shared" si="8"/>
        <v>0</v>
      </c>
      <c r="O177" s="66" t="str">
        <f t="shared" si="145"/>
        <v>✕</v>
      </c>
      <c r="P177" s="67" t="str">
        <f t="shared" si="146"/>
        <v>○</v>
      </c>
      <c r="Q177" s="67" t="str">
        <f t="shared" si="147"/>
        <v>✕</v>
      </c>
      <c r="R177" s="67" t="str">
        <f t="shared" si="148"/>
        <v>✕</v>
      </c>
      <c r="S177" s="68">
        <v>0</v>
      </c>
      <c r="T177" s="69" t="s">
        <v>85</v>
      </c>
      <c r="U177" s="69" t="s">
        <v>85</v>
      </c>
      <c r="V177" s="69" t="s">
        <v>85</v>
      </c>
      <c r="W177" s="69" t="s">
        <v>85</v>
      </c>
      <c r="X177" s="69" t="s">
        <v>84</v>
      </c>
      <c r="Y177" s="69" t="s">
        <v>85</v>
      </c>
      <c r="Z177" s="69" t="s">
        <v>85</v>
      </c>
      <c r="AA177" s="69" t="s">
        <v>85</v>
      </c>
      <c r="AB177" s="69" t="s">
        <v>85</v>
      </c>
      <c r="AC177" s="69" t="s">
        <v>85</v>
      </c>
      <c r="AD177" s="38" t="str">
        <f>+IF(ISERROR(VLOOKUP($B177,AD$10:AD176,1,0)),IF(AND($N177&gt;=1000,$A177&gt;=AO$8,$A177&lt;=AO$9),$B177,""),"")</f>
        <v/>
      </c>
      <c r="AE177" s="38" t="str">
        <f>+IF(ISERROR(VLOOKUP($B177,AE$10:AE176,1,0)),IF(AND($N177&gt;=1000,$A177&gt;=AP$8,$A177&lt;=AP$9),$B177,""),"")</f>
        <v/>
      </c>
      <c r="AF177" s="38" t="str">
        <f>+IF(ISERROR(VLOOKUP($B177,AF$10:AF176,1,0)),IF(AND($N177&gt;=1000,$A177&gt;=AQ$8,$A177&lt;=AQ$9),$B177,""),"")</f>
        <v/>
      </c>
      <c r="AG177" s="38" t="str">
        <f>+IF(ISERROR(VLOOKUP($B177,AG$10:AG176,1,0)),IF(AND($N177&gt;=1000,$A177&gt;=AR$8,$A177&lt;=AR$9),$B177,""),"")</f>
        <v/>
      </c>
      <c r="AH177" s="38"/>
      <c r="AI177" s="70">
        <v>0</v>
      </c>
      <c r="AJ177" s="38">
        <f>IF(AND(AJ$7="○",$A177&gt;=AJ$8,$A177&lt;=AJ$9),IF(SUM(AJ$10:AJ176)-ROUNDDOWN($K177*AJ$5/100,0)&lt;-AJ$6,-AJ$6-SUM(AJ$10:AJ176),-ROUNDDOWN($K177*AJ$5/100,0)),0)</f>
        <v>0</v>
      </c>
      <c r="AK177" s="38">
        <f>IF(AND(AK$7="○",$A177&gt;=AK$8,$A177&lt;=AK$9),IF(SUM(AK$10:AK176)-ROUNDDOWN($L177*AK$5/100,0)&lt;-AK$6,-AK$6-SUM(AK$10:AK176),-ROUNDDOWN($L177*AK$5/100,0)),0)</f>
        <v>0</v>
      </c>
      <c r="AL177" s="38">
        <f>IF(AND(AL$7="○",$A177&gt;=AL$8,$A177&lt;=AL$9),IF(SUM(AL$10:AL176)-ROUNDDOWN($N177*AL$5/100,0)&lt;-AL$6,-AL$6-SUM(AL$10:AL176),-ROUNDDOWN($N177*AL$5/100,0)),0)</f>
        <v>0</v>
      </c>
      <c r="AM177" s="38">
        <f>IF(AND(AM$7="○",$A177&gt;=AM$8,$A177&lt;=AM$9),IF(SUM(AM$10:AM176)-ROUNDDOWN($L177*AM$5/100,0)&lt;-AM$6,-AM$6-SUM(AM$10:AM176),-ROUNDDOWN($L177*AM$5/100,0)),0)</f>
        <v>0</v>
      </c>
      <c r="AN177" s="38">
        <f>IF(AND(AN$7="○",$A177&gt;=AN$8,$A177&lt;=AN$9),IF(SUM(AN$10:AN176)-ROUNDDOWN($M177*AN$5/100,0)&lt;-AN$6,-AN$6-SUM(AN$10:AN176),-ROUNDDOWN($M177*AN$5/100,0)),0)</f>
        <v>0</v>
      </c>
      <c r="AO177" s="38">
        <f>IF(AND($A177&gt;=AO$8,$A177&lt;=AO$9),IF(SUM(AO$10:AO176)-ROUNDDOWN($K177*AO$5/100,0)&lt;-AO$6,-AO$6-SUM(AO$10:AO176),-ROUNDDOWN($K177*AO$5/100,0)),0)</f>
        <v>0</v>
      </c>
      <c r="AP177" s="38">
        <f>IF(AND($A177&gt;=AP$8,$A177&lt;=AP$9),IF(SUM(AP$10:AP176)-ROUNDDOWN($K177*AP$5/100,0)&lt;-AP$6,-AP$6-SUM(AP$10:AP176),-ROUNDDOWN($K177*AP$5/100,0)),0)</f>
        <v>0</v>
      </c>
      <c r="AQ177" s="38">
        <f>IF(AND($A177&gt;=AQ$8,$A177&lt;=AQ$9),IF(SUM(AQ$10:AQ176)-ROUNDDOWN($K177*AQ$5/100,0)&lt;-AQ$6,-AQ$6-SUM(AQ$10:AQ176),-ROUNDDOWN($K177*AQ$5/100,0)),0)</f>
        <v>0</v>
      </c>
      <c r="AR177" s="38">
        <f>IF(AND($A177&gt;=AR$8,$A177&lt;=AR$9),IF(SUM(AR$10:AR176)-ROUNDDOWN($K177*AR$5/100,0)&lt;-AR$6,-AR$6-SUM(AR$10:AR176),-ROUNDDOWN($K177*AR$5/100,0)),0)</f>
        <v>0</v>
      </c>
      <c r="AS177" s="38">
        <f>IF(SUMIFS(AS$10:AS176,$A$10:$A176,$A177)-ROUNDDOWN($K177*$S177/100,0)&lt;-$S177*1000,-$S177*1000-SUMIFS(AS$10:AS176,$A$10:$A176,$A177),-ROUNDDOWN($K177*$S177/100,0))</f>
        <v>0</v>
      </c>
      <c r="AT177" s="38">
        <f>IF(AND(X177="○",$A177&gt;=AT$8,$A177&lt;=AT$9,K177&gt;=3980),IF(SUM(AT$10:AT176)-ROUNDDOWN($K177*AT$5/100,0)&lt;-AT$6,-AT$6-SUM(AT$10:AT176),-ROUNDDOWN($K177*AT$5/100,0)),0)</f>
        <v>0</v>
      </c>
      <c r="AU177" s="38">
        <f>IF(O177="○",IF(SUM(AU$10:AU176)-ROUNDDOWN($K177*AU$5/100,0)&lt;-AU$6,-AU$6-SUM(AU$10:AU176),-ROUNDDOWN($K177*AU$5/100,0)),0)</f>
        <v>0</v>
      </c>
      <c r="AV177" s="38">
        <f>IF(P177="○",IF(SUM(AV$10:AV176)-ROUNDDOWN($K177*AV$5/100,0)&lt;-AV$6,-AV$6-SUM(AV$10:AV176),-ROUNDDOWN($K177*AV$5/100,0)),0)</f>
        <v>0</v>
      </c>
      <c r="AW177" s="38">
        <f>IF(Q177="○",IF(SUM(AW$10:AW176)-ROUNDDOWN($K177*AW$5/100,0)&lt;-AW$6,-AW$6-SUM(AW$10:AW176),-ROUNDDOWN($K177*AW$5/100,0)),0)</f>
        <v>0</v>
      </c>
      <c r="AX177" s="38">
        <f>IF(R177="○",IF(SUM(AX$10:AX176)-ROUNDDOWN($K177*AX$5/100,0)&lt;-AX$6,-AX$6-SUM(AX$10:AX176),-ROUNDDOWN($K177*AX$5/100,0)),0)</f>
        <v>0</v>
      </c>
      <c r="AY177" s="70">
        <v>0</v>
      </c>
      <c r="AZ177" s="65">
        <f t="shared" si="132"/>
        <v>0</v>
      </c>
      <c r="BA177" s="65">
        <f t="shared" si="133"/>
        <v>0</v>
      </c>
      <c r="BB177" s="70"/>
      <c r="BC177" s="65">
        <f t="shared" si="134"/>
        <v>0</v>
      </c>
      <c r="BD177" s="70">
        <v>0</v>
      </c>
      <c r="BE177" s="65">
        <f t="shared" si="135"/>
        <v>0</v>
      </c>
      <c r="BF177" s="70">
        <v>0</v>
      </c>
      <c r="BG177" s="65">
        <f t="shared" si="136"/>
        <v>0</v>
      </c>
      <c r="BH177" s="70">
        <v>0</v>
      </c>
      <c r="BI177" s="65">
        <f t="shared" si="137"/>
        <v>0</v>
      </c>
      <c r="BJ177" s="38">
        <f>IF(AND(BJ$7="○",$A177&gt;=BJ$8,$A177&lt;=BJ$9),IF(SUM(BJ$10:BJ176)-ROUNDDOWN($M177*BJ$5/100,0)&lt;-BJ$6,-BJ$6-SUM(BJ$10:BJ176),-ROUNDDOWN($M177*BJ$5/100,0)),0)</f>
        <v>0</v>
      </c>
      <c r="BK177" s="38">
        <f>IF(AND(BK$7="○",$A177&gt;=BK$8,$A177&lt;=BK$9),IF(SUM(BK$10:BK176)-ROUNDDOWN($L177*BK$5/100,0)&lt;-BK$6,-BK$6-SUM(BK$10:BK176),-ROUNDDOWN($L177*BK$5/100,0)),0)</f>
        <v>0</v>
      </c>
      <c r="BL177" s="38">
        <f>IF(AND(BL$7="○",$A177&gt;=BL$8,$A177&lt;=BL$9),IF(SUM(BL$10:BL176)-ROUNDDOWN($L177*BL$5/100,0)&lt;-BL$6,-BL$6-SUM(BL$10:BL176),-ROUNDDOWN($L177*BL$5/100,0)),0)</f>
        <v>0</v>
      </c>
      <c r="BM177" s="38">
        <f>IF(AND(BM$7="○",$A177&gt;=BM$8,$A177&lt;=BM$9),IF(SUM(BM$10:BM176)-ROUNDDOWN($M177*BM$5/100,0)&lt;-BM$6,-BM$6-SUM(BM$10:BM176),-ROUNDDOWN($M177*BM$5/100,0)),0)</f>
        <v>0</v>
      </c>
      <c r="BN177" s="38">
        <f>IF(AND(BN$7="○",$A177&gt;=BN$8,$A177&lt;=BN$9),IF(SUM(BN$10:BN176)-ROUNDDOWN($M177*BN$5/100,0)&lt;-BN$6,-BN$6-SUM(BN$10:BN176),-ROUNDDOWN($M177*BN$5/100,0)),0)</f>
        <v>0</v>
      </c>
      <c r="BO177" s="38">
        <f>IF(AND(BO$7="○",$A177&gt;=BO$8,$A177&lt;=BO$9),IF(SUM(BO$10:BO176)-ROUNDDOWN($M177*BO$5/100,0)&lt;-BO$6,-BO$6-SUM(BO$10:BO176),-ROUNDDOWN($M177*BO$5/100,0)),0)</f>
        <v>0</v>
      </c>
      <c r="BP177" s="38">
        <f>IF(AND(BP$7="○",$A177&gt;=BP$8,$A177&lt;=BP$9),IF(SUM(BP$10:BP176)-ROUNDDOWN($M177*BP$5/100,0)&lt;-BP$6,-BP$6-SUM(BP$10:BP176),-ROUNDDOWN($M177*BP$5/100,0)),0)</f>
        <v>0</v>
      </c>
      <c r="BQ177" s="38">
        <f>IF(AND(BQ$7="○",$A177&gt;=BQ$8,$A177&lt;=BQ$9),IF(SUM(BQ$10:BQ176)-ROUNDDOWN($L177*BQ$5/100,0)&lt;-BQ$6,-BQ$6-SUM(BQ$10:BQ176),-ROUNDDOWN($L177*BQ$5/100,0)),0)</f>
        <v>0</v>
      </c>
      <c r="BR177" s="38">
        <f>IF(AND(BR$7="○",$A177&gt;=BR$8,$A177&lt;=BR$9),IF(SUM(BR$10:BR176)-ROUNDDOWN($M177*BR$5/100,0)&lt;-BR$6,-BR$6-SUM(BR$10:BR176),-ROUNDDOWN($M177*BR$5/100,0)),0)</f>
        <v>0</v>
      </c>
      <c r="BS177" s="38">
        <f>IF(AND(BS$7="○",$A177&gt;=BS$8,$A177&lt;=BS$9),IF(SUM(BS$10:BS176)-ROUNDDOWN($M177*BS$5/100,0)&lt;-BS$6,-BS$6-SUM(BS$10:BS176),-ROUNDDOWN($M177*BS$5/100,0)),0)</f>
        <v>0</v>
      </c>
      <c r="BT177" s="38">
        <f>IF(AND(BT$7="○",$A177&gt;=BT$8,$A177&lt;=BT$9),IF(SUM(BT$10:BT176)-ROUNDDOWN($M177*BT$5/100,0)&lt;-BT$6,-BT$6-SUM(BT$10:BT176),-ROUNDDOWN($M177*BT$5/100,0)),0)</f>
        <v>0</v>
      </c>
      <c r="BU177" s="38">
        <f>IF(AND(BU$7="○",$A177&gt;=BU$8,$A177&lt;=BU$9),IF(SUM(BU$10:BU176)-ROUNDDOWN($M177*BU$5/100,0)&lt;-BU$6,-BU$6-SUM(BU$10:BU176),-ROUNDDOWN($M177*BU$5/100,0)),0)</f>
        <v>0</v>
      </c>
      <c r="BV177" s="38">
        <f>IF(AND(BV$7="○",$A177&gt;=BV$8,$A177&lt;=BV$9),IF(SUM(BV$10:BV176)-ROUNDDOWN($M177*BV$5/100,0)&lt;-BV$6,-BV$6-SUM(BV$10:BV176),-ROUNDDOWN($M177*BV$5/100,0)),0)</f>
        <v>0</v>
      </c>
      <c r="BW177" s="38">
        <f>IF(AND(BW$7="○",$A177&gt;=BW$8,$A177&lt;=BW$9),IF(SUM(BW$10:BW176)-ROUNDDOWN($M177*BW$5/100,0)&lt;-BW$6,-BW$6-SUM(BW$10:BW176),-ROUNDDOWN($M177*BW$5/100,0)),0)</f>
        <v>0</v>
      </c>
      <c r="BX177" s="38">
        <f>IF(AND(T177="○",$A177&gt;=BX$8,$A177&lt;=BX$9),IF(SUM(BX$10:BX176)-ROUNDDOWN($K177*BX$5/100,0)&lt;-BX$6,-BX$6-SUM(BX$10:BX176),-ROUNDDOWN($K177*BX$5/100,0)),0)</f>
        <v>0</v>
      </c>
      <c r="BY177" s="38">
        <f>IF(AND(U177="○",$A177&gt;=BY$8,$A177&lt;=BY$9),IF(SUM(BY$10:BY176)-ROUNDDOWN($K177*BY$5/100,0)&lt;-BY$6,-BY$6-SUM(BY$10:BY176),-ROUNDDOWN($K177*BY$5/100,0)),0)</f>
        <v>0</v>
      </c>
      <c r="BZ177" s="38">
        <f>IF(AND(V177="○",$A177&gt;=BZ$8,$A177&lt;=BZ$9),IF(SUM(BZ$10:BZ176)-ROUNDDOWN($K177*BZ$5/100,0)&lt;-BZ$6,-BZ$6-SUM(BZ$10:BZ176),-ROUNDDOWN($K177*BZ$5/100,0)),0)</f>
        <v>0</v>
      </c>
      <c r="CA177" s="38">
        <f>IF(AND(W177="○",$A177&gt;=CA$8,$A177&lt;=CA$9),IF(SUM(CA$10:CA176)-ROUNDDOWN($K177*CA$5/100,0)&lt;-CA$6,-CA$6-SUM(CA$10:CA176),-ROUNDDOWN($K177*CA$5/100,0)),0)</f>
        <v>0</v>
      </c>
      <c r="CB177" s="38"/>
      <c r="CC177" s="38"/>
      <c r="CD177" s="38"/>
      <c r="CE177" s="38"/>
      <c r="CF177" s="38"/>
      <c r="CG177" s="65">
        <f t="shared" si="138"/>
        <v>0</v>
      </c>
      <c r="CH177" s="71">
        <f t="shared" si="139"/>
        <v>0</v>
      </c>
      <c r="CI177" s="1">
        <f t="shared" si="19"/>
        <v>0</v>
      </c>
      <c r="CJ177" s="1"/>
      <c r="CK177" s="72"/>
      <c r="CL177" s="72"/>
      <c r="CM177" s="2"/>
      <c r="CN177" s="2"/>
      <c r="CO177" s="73">
        <f t="shared" si="20"/>
        <v>0</v>
      </c>
      <c r="CP177" s="5">
        <f t="shared" si="21"/>
        <v>0</v>
      </c>
      <c r="CQ177" s="1"/>
      <c r="CR177" s="1">
        <f t="shared" si="22"/>
        <v>0</v>
      </c>
      <c r="CS177" s="1"/>
      <c r="CT177" s="1" t="e">
        <f>INDEX([2]マスタ!$A:$A,MATCH(D177,[2]マスタ!$C:$C,0))</f>
        <v>#N/A</v>
      </c>
      <c r="CU177" s="1" t="str">
        <f t="shared" ca="1" si="23"/>
        <v>20260620_0-0</v>
      </c>
    </row>
    <row r="178" spans="1:99" x14ac:dyDescent="0.4">
      <c r="A178" s="61"/>
      <c r="B178" s="62"/>
      <c r="C178" s="62"/>
      <c r="D178" s="62"/>
      <c r="E178" s="74"/>
      <c r="F178" s="62"/>
      <c r="G178" s="62">
        <v>1</v>
      </c>
      <c r="H178" s="64">
        <f t="shared" si="4"/>
        <v>0</v>
      </c>
      <c r="I178" s="64"/>
      <c r="J178" s="64"/>
      <c r="K178" s="65">
        <f t="shared" ref="K178:K181" si="149">+ROUNDDOWN((H178+I178+J178)/100,0)*100</f>
        <v>0</v>
      </c>
      <c r="L178" s="65">
        <f t="shared" si="6"/>
        <v>0</v>
      </c>
      <c r="M178" s="65">
        <f t="shared" si="7"/>
        <v>0</v>
      </c>
      <c r="N178" s="65">
        <f t="shared" si="8"/>
        <v>0</v>
      </c>
      <c r="O178" s="66" t="str">
        <f t="shared" si="145"/>
        <v>✕</v>
      </c>
      <c r="P178" s="67" t="str">
        <f t="shared" si="146"/>
        <v>○</v>
      </c>
      <c r="Q178" s="67" t="str">
        <f t="shared" ref="Q178:Q181" si="150">+IF((TEXT(A178,"DD")+0)=1,"○","✕")</f>
        <v>✕</v>
      </c>
      <c r="R178" s="67" t="str">
        <f t="shared" si="148"/>
        <v>✕</v>
      </c>
      <c r="S178" s="68">
        <v>0</v>
      </c>
      <c r="T178" s="69" t="s">
        <v>85</v>
      </c>
      <c r="U178" s="69" t="s">
        <v>85</v>
      </c>
      <c r="V178" s="69" t="s">
        <v>85</v>
      </c>
      <c r="W178" s="69" t="s">
        <v>85</v>
      </c>
      <c r="X178" s="69" t="s">
        <v>84</v>
      </c>
      <c r="Y178" s="69" t="s">
        <v>85</v>
      </c>
      <c r="Z178" s="69" t="s">
        <v>85</v>
      </c>
      <c r="AA178" s="69" t="s">
        <v>85</v>
      </c>
      <c r="AB178" s="69" t="s">
        <v>85</v>
      </c>
      <c r="AC178" s="69" t="s">
        <v>85</v>
      </c>
      <c r="AD178" s="38" t="str">
        <f>+IF(ISERROR(VLOOKUP($B178,AD$10:AD170,1,0)),IF(AND($N178&gt;=1000,$A178&gt;=AO$8,$A178&lt;=AO$9),$B178,""),"")</f>
        <v/>
      </c>
      <c r="AE178" s="38" t="str">
        <f>+IF(ISERROR(VLOOKUP($B178,AE$10:AE170,1,0)),IF(AND($N178&gt;=1000,$A178&gt;=AP$8,$A178&lt;=AP$9),$B178,""),"")</f>
        <v/>
      </c>
      <c r="AF178" s="38" t="str">
        <f>+IF(ISERROR(VLOOKUP($B178,AF$10:AF170,1,0)),IF(AND($N178&gt;=1000,$A178&gt;=AQ$8,$A178&lt;=AQ$9),$B178,""),"")</f>
        <v/>
      </c>
      <c r="AG178" s="38" t="str">
        <f>+IF(ISERROR(VLOOKUP($B178,AG$10:AG170,1,0)),IF(AND($N178&gt;=1000,$A178&gt;=AR$8,$A178&lt;=AR$9),$B178,""),"")</f>
        <v/>
      </c>
      <c r="AH178" s="38"/>
      <c r="AI178" s="70">
        <v>0</v>
      </c>
      <c r="AJ178" s="38">
        <f>IF(AND(AJ$7="○",$A178&gt;=AJ$8,$A178&lt;=AJ$9),IF(SUM(AJ$10:AJ177)-ROUNDDOWN($K178*AJ$5/100,0)&lt;-AJ$6,-AJ$6-SUM(AJ$10:AJ177),-ROUNDDOWN($K178*AJ$5/100,0)),0)</f>
        <v>0</v>
      </c>
      <c r="AK178" s="38">
        <f>IF(AND(AK$7="○",$A178&gt;=AK$8,$A178&lt;=AK$9),IF(SUM(AK$10:AK177)-ROUNDDOWN($L178*AK$5/100,0)&lt;-AK$6,-AK$6-SUM(AK$10:AK177),-ROUNDDOWN($L178*AK$5/100,0)),0)</f>
        <v>0</v>
      </c>
      <c r="AL178" s="38">
        <f>IF(AND(AL$7="○",$A178&gt;=AL$8,$A178&lt;=AL$9),IF(SUM(AL$10:AL177)-ROUNDDOWN($N178*AL$5/100,0)&lt;-AL$6,-AL$6-SUM(AL$10:AL177),-ROUNDDOWN($N178*AL$5/100,0)),0)</f>
        <v>0</v>
      </c>
      <c r="AM178" s="38">
        <f>IF(AND(AM$7="○",$A178&gt;=AM$8,$A178&lt;=AM$9),IF(SUM(AM$10:AM177)-ROUNDDOWN($L178*AM$5/100,0)&lt;-AM$6,-AM$6-SUM(AM$10:AM177),-ROUNDDOWN($L178*AM$5/100,0)),0)</f>
        <v>0</v>
      </c>
      <c r="AN178" s="38">
        <f>IF(AND(AN$7="○",$A178&gt;=AN$8,$A178&lt;=AN$9),IF(SUM(AN$10:AN177)-ROUNDDOWN($M178*AN$5/100,0)&lt;-AN$6,-AN$6-SUM(AN$10:AN177),-ROUNDDOWN($M178*AN$5/100,0)),0)</f>
        <v>0</v>
      </c>
      <c r="AO178" s="38">
        <f>IF(AND($A178&gt;=AO$8,$A178&lt;=AO$9),IF(SUM(AO$10:AO177)-ROUNDDOWN($K178*AO$5/100,0)&lt;-AO$6,-AO$6-SUM(AO$10:AO177),-ROUNDDOWN($K178*AO$5/100,0)),0)</f>
        <v>0</v>
      </c>
      <c r="AP178" s="38">
        <f>IF(AND($A178&gt;=AP$8,$A178&lt;=AP$9),IF(SUM(AP$10:AP177)-ROUNDDOWN($K178*AP$5/100,0)&lt;-AP$6,-AP$6-SUM(AP$10:AP177),-ROUNDDOWN($K178*AP$5/100,0)),0)</f>
        <v>0</v>
      </c>
      <c r="AQ178" s="38">
        <f>IF(AND($A178&gt;=AQ$8,$A178&lt;=AQ$9),IF(SUM(AQ$10:AQ177)-ROUNDDOWN($K178*AQ$5/100,0)&lt;-AQ$6,-AQ$6-SUM(AQ$10:AQ177),-ROUNDDOWN($K178*AQ$5/100,0)),0)</f>
        <v>0</v>
      </c>
      <c r="AR178" s="38">
        <f>IF(AND($A178&gt;=AR$8,$A178&lt;=AR$9),IF(SUM(AR$10:AR177)-ROUNDDOWN($K178*AR$5/100,0)&lt;-AR$6,-AR$6-SUM(AR$10:AR177),-ROUNDDOWN($K178*AR$5/100,0)),0)</f>
        <v>0</v>
      </c>
      <c r="AS178" s="38">
        <f>IF(SUMIFS(AS$10:AS177,$A$10:$A177,$A178)-ROUNDDOWN($K178*$S178/100,0)&lt;-$S178*1000,-$S178*1000-SUMIFS(AS$10:AS177,$A$10:$A177,$A178),-ROUNDDOWN($K178*$S178/100,0))</f>
        <v>0</v>
      </c>
      <c r="AT178" s="38">
        <f>IF(AND(X178="○",$A178&gt;=AT$8,$A178&lt;=AT$9,K178&gt;=3980),IF(SUM(AT$10:AT177)-ROUNDDOWN($K178*AT$5/100,0)&lt;-AT$6,-AT$6-SUM(AT$10:AT177),-ROUNDDOWN($K178*AT$5/100,0)),0)</f>
        <v>0</v>
      </c>
      <c r="AU178" s="38">
        <f>IF(O178="○",IF(SUM(AU$10:AU177)-ROUNDDOWN($K178*AU$5/100,0)&lt;-AU$6,-AU$6-SUM(AU$10:AU177),-ROUNDDOWN($K178*AU$5/100,0)),0)</f>
        <v>0</v>
      </c>
      <c r="AV178" s="38">
        <f>IF(P178="○",IF(SUM(AV$10:AV177)-ROUNDDOWN($K178*AV$5/100,0)&lt;-AV$6,-AV$6-SUM(AV$10:AV177),-ROUNDDOWN($K178*AV$5/100,0)),0)</f>
        <v>0</v>
      </c>
      <c r="AW178" s="38">
        <f>IF(Q178="○",IF(SUM(AW$10:AW177)-ROUNDDOWN($K178*AW$5/100,0)&lt;-AW$6,-AW$6-SUM(AW$10:AW177),-ROUNDDOWN($K178*AW$5/100,0)),0)</f>
        <v>0</v>
      </c>
      <c r="AX178" s="38">
        <f>IF(R178="○",IF(SUM(AX$10:AX177)-ROUNDDOWN($K178*AX$5/100,0)&lt;-AX$6,-AX$6-SUM(AX$10:AX177),-ROUNDDOWN($K178*AX$5/100,0)),0)</f>
        <v>0</v>
      </c>
      <c r="AY178" s="70">
        <v>0</v>
      </c>
      <c r="AZ178" s="65">
        <f t="shared" si="132"/>
        <v>0</v>
      </c>
      <c r="BA178" s="65">
        <f t="shared" si="133"/>
        <v>0</v>
      </c>
      <c r="BB178" s="70"/>
      <c r="BC178" s="65">
        <f t="shared" si="134"/>
        <v>0</v>
      </c>
      <c r="BD178" s="70">
        <v>0</v>
      </c>
      <c r="BE178" s="65">
        <f t="shared" si="135"/>
        <v>0</v>
      </c>
      <c r="BF178" s="70">
        <v>0</v>
      </c>
      <c r="BG178" s="65">
        <f t="shared" si="136"/>
        <v>0</v>
      </c>
      <c r="BH178" s="70">
        <v>0</v>
      </c>
      <c r="BI178" s="65">
        <f t="shared" si="137"/>
        <v>0</v>
      </c>
      <c r="BJ178" s="38">
        <f>IF(AND(BJ$7="○",$A178&gt;=BJ$8,$A178&lt;=BJ$9),IF(SUM(BJ$10:BJ177)-ROUNDDOWN($M178*BJ$5/100,0)&lt;-BJ$6,-BJ$6-SUM(BJ$10:BJ177),-ROUNDDOWN($M178*BJ$5/100,0)),0)</f>
        <v>0</v>
      </c>
      <c r="BK178" s="38">
        <f>IF(AND(BK$7="○",$A178&gt;=BK$8,$A178&lt;=BK$9),IF(SUM(BK$10:BK177)-ROUNDDOWN($L178*BK$5/100,0)&lt;-BK$6,-BK$6-SUM(BK$10:BK177),-ROUNDDOWN($L178*BK$5/100,0)),0)</f>
        <v>0</v>
      </c>
      <c r="BL178" s="38">
        <f>IF(AND(BL$7="○",$A178&gt;=BL$8,$A178&lt;=BL$9),IF(SUM(BL$10:BL177)-ROUNDDOWN($L178*BL$5/100,0)&lt;-BL$6,-BL$6-SUM(BL$10:BL177),-ROUNDDOWN($L178*BL$5/100,0)),0)</f>
        <v>0</v>
      </c>
      <c r="BM178" s="38">
        <f>IF(AND(BM$7="○",$A178&gt;=BM$8,$A178&lt;=BM$9),IF(SUM(BM$10:BM177)-ROUNDDOWN($M178*BM$5/100,0)&lt;-BM$6,-BM$6-SUM(BM$10:BM177),-ROUNDDOWN($M178*BM$5/100,0)),0)</f>
        <v>0</v>
      </c>
      <c r="BN178" s="38">
        <f>IF(AND(BN$7="○",$A178&gt;=BN$8,$A178&lt;=BN$9),IF(SUM(BN$10:BN177)-ROUNDDOWN($M178*BN$5/100,0)&lt;-BN$6,-BN$6-SUM(BN$10:BN177),-ROUNDDOWN($M178*BN$5/100,0)),0)</f>
        <v>0</v>
      </c>
      <c r="BO178" s="38">
        <f>IF(AND(BO$7="○",$A178&gt;=BO$8,$A178&lt;=BO$9),IF(SUM(BO$10:BO177)-ROUNDDOWN($M178*BO$5/100,0)&lt;-BO$6,-BO$6-SUM(BO$10:BO177),-ROUNDDOWN($M178*BO$5/100,0)),0)</f>
        <v>0</v>
      </c>
      <c r="BP178" s="38">
        <f>IF(AND(BP$7="○",$A178&gt;=BP$8,$A178&lt;=BP$9),IF(SUM(BP$10:BP177)-ROUNDDOWN($M178*BP$5/100,0)&lt;-BP$6,-BP$6-SUM(BP$10:BP177),-ROUNDDOWN($M178*BP$5/100,0)),0)</f>
        <v>0</v>
      </c>
      <c r="BQ178" s="38">
        <f>IF(AND(BQ$7="○",$A178&gt;=BQ$8,$A178&lt;=BQ$9),IF(SUM(BQ$10:BQ177)-ROUNDDOWN($L178*BQ$5/100,0)&lt;-BQ$6,-BQ$6-SUM(BQ$10:BQ177),-ROUNDDOWN($L178*BQ$5/100,0)),0)</f>
        <v>0</v>
      </c>
      <c r="BR178" s="38">
        <f>IF(AND(BR$7="○",$A178&gt;=BR$8,$A178&lt;=BR$9),IF(SUM(BR$10:BR177)-ROUNDDOWN($M178*BR$5/100,0)&lt;-BR$6,-BR$6-SUM(BR$10:BR177),-ROUNDDOWN($M178*BR$5/100,0)),0)</f>
        <v>0</v>
      </c>
      <c r="BS178" s="38">
        <f>IF(AND(BS$7="○",$A178&gt;=BS$8,$A178&lt;=BS$9),IF(SUM(BS$10:BS177)-ROUNDDOWN($M178*BS$5/100,0)&lt;-BS$6,-BS$6-SUM(BS$10:BS177),-ROUNDDOWN($M178*BS$5/100,0)),0)</f>
        <v>0</v>
      </c>
      <c r="BT178" s="38">
        <f>IF(AND(BT$7="○",$A178&gt;=BT$8,$A178&lt;=BT$9),IF(SUM(BT$10:BT177)-ROUNDDOWN($M178*BT$5/100,0)&lt;-BT$6,-BT$6-SUM(BT$10:BT177),-ROUNDDOWN($M178*BT$5/100,0)),0)</f>
        <v>0</v>
      </c>
      <c r="BU178" s="38">
        <f>IF(AND(BU$7="○",$A178&gt;=BU$8,$A178&lt;=BU$9),IF(SUM(BU$10:BU177)-ROUNDDOWN($M178*BU$5/100,0)&lt;-BU$6,-BU$6-SUM(BU$10:BU177),-ROUNDDOWN($M178*BU$5/100,0)),0)</f>
        <v>0</v>
      </c>
      <c r="BV178" s="38">
        <f>IF(AND(BV$7="○",$A178&gt;=BV$8,$A178&lt;=BV$9),IF(SUM(BV$10:BV177)-ROUNDDOWN($M178*BV$5/100,0)&lt;-BV$6,-BV$6-SUM(BV$10:BV177),-ROUNDDOWN($M178*BV$5/100,0)),0)</f>
        <v>0</v>
      </c>
      <c r="BW178" s="38">
        <f>IF(AND(BW$7="○",$A178&gt;=BW$8,$A178&lt;=BW$9),IF(SUM(BW$10:BW177)-ROUNDDOWN($M178*BW$5/100,0)&lt;-BW$6,-BW$6-SUM(BW$10:BW177),-ROUNDDOWN($M178*BW$5/100,0)),0)</f>
        <v>0</v>
      </c>
      <c r="BX178" s="38">
        <f>IF(AND(T178="○",$A178&gt;=BX$8,$A178&lt;=BX$9),IF(SUM(BX$10:BX177)-ROUNDDOWN($K178*BX$5/100,0)&lt;-BX$6,-BX$6-SUM(BX$10:BX177),-ROUNDDOWN($K178*BX$5/100,0)),0)</f>
        <v>0</v>
      </c>
      <c r="BY178" s="38">
        <f>IF(AND(U178="○",$A178&gt;=BY$8,$A178&lt;=BY$9),IF(SUM(BY$10:BY177)-ROUNDDOWN($K178*BY$5/100,0)&lt;-BY$6,-BY$6-SUM(BY$10:BY177),-ROUNDDOWN($K178*BY$5/100,0)),0)</f>
        <v>0</v>
      </c>
      <c r="BZ178" s="38">
        <f>IF(AND(V178="○",$A178&gt;=BZ$8,$A178&lt;=BZ$9),IF(SUM(BZ$10:BZ177)-ROUNDDOWN($K178*BZ$5/100,0)&lt;-BZ$6,-BZ$6-SUM(BZ$10:BZ177),-ROUNDDOWN($K178*BZ$5/100,0)),0)</f>
        <v>0</v>
      </c>
      <c r="CA178" s="38">
        <f>IF(AND(W178="○",$A178&gt;=CA$8,$A178&lt;=CA$9),IF(SUM(CA$10:CA177)-ROUNDDOWN($K178*CA$5/100,0)&lt;-CA$6,-CA$6-SUM(CA$10:CA177),-ROUNDDOWN($K178*CA$5/100,0)),0)</f>
        <v>0</v>
      </c>
      <c r="CB178" s="38"/>
      <c r="CC178" s="38"/>
      <c r="CD178" s="38"/>
      <c r="CE178" s="38"/>
      <c r="CF178" s="38"/>
      <c r="CG178" s="65">
        <f t="shared" si="138"/>
        <v>0</v>
      </c>
      <c r="CH178" s="71">
        <f t="shared" si="139"/>
        <v>0</v>
      </c>
      <c r="CI178" s="1">
        <f t="shared" si="19"/>
        <v>0</v>
      </c>
      <c r="CJ178" s="1"/>
      <c r="CK178" s="75"/>
      <c r="CL178" s="75"/>
      <c r="CM178" s="2"/>
      <c r="CN178" s="2"/>
      <c r="CO178" s="73">
        <f t="shared" si="20"/>
        <v>0</v>
      </c>
      <c r="CP178" s="5">
        <f t="shared" si="21"/>
        <v>0</v>
      </c>
      <c r="CQ178" s="1"/>
      <c r="CR178" s="1">
        <f t="shared" si="22"/>
        <v>0</v>
      </c>
      <c r="CS178" s="1"/>
      <c r="CT178" s="1" t="e">
        <f>INDEX([2]マスタ!$A:$A,MATCH(D178,[2]マスタ!$C:$C,0))</f>
        <v>#N/A</v>
      </c>
      <c r="CU178" s="1" t="str">
        <f t="shared" ca="1" si="23"/>
        <v>20260620_0-0</v>
      </c>
    </row>
    <row r="179" spans="1:99" x14ac:dyDescent="0.4">
      <c r="A179" s="61"/>
      <c r="B179" s="62"/>
      <c r="C179" s="62"/>
      <c r="D179" s="62"/>
      <c r="E179" s="74"/>
      <c r="F179" s="62"/>
      <c r="G179" s="62">
        <v>1</v>
      </c>
      <c r="H179" s="64">
        <f t="shared" si="4"/>
        <v>0</v>
      </c>
      <c r="I179" s="64"/>
      <c r="J179" s="64"/>
      <c r="K179" s="65">
        <f t="shared" si="149"/>
        <v>0</v>
      </c>
      <c r="L179" s="65">
        <f t="shared" si="6"/>
        <v>0</v>
      </c>
      <c r="M179" s="65">
        <f t="shared" si="7"/>
        <v>0</v>
      </c>
      <c r="N179" s="65">
        <f t="shared" si="8"/>
        <v>0</v>
      </c>
      <c r="O179" s="66" t="str">
        <f t="shared" si="145"/>
        <v>✕</v>
      </c>
      <c r="P179" s="67" t="str">
        <f t="shared" si="146"/>
        <v>○</v>
      </c>
      <c r="Q179" s="67" t="str">
        <f t="shared" si="150"/>
        <v>✕</v>
      </c>
      <c r="R179" s="67" t="str">
        <f t="shared" si="148"/>
        <v>✕</v>
      </c>
      <c r="S179" s="68">
        <v>0</v>
      </c>
      <c r="T179" s="69" t="s">
        <v>85</v>
      </c>
      <c r="U179" s="69" t="s">
        <v>85</v>
      </c>
      <c r="V179" s="69" t="s">
        <v>85</v>
      </c>
      <c r="W179" s="69" t="s">
        <v>85</v>
      </c>
      <c r="X179" s="69" t="s">
        <v>84</v>
      </c>
      <c r="Y179" s="69" t="s">
        <v>85</v>
      </c>
      <c r="Z179" s="69" t="s">
        <v>85</v>
      </c>
      <c r="AA179" s="69" t="s">
        <v>85</v>
      </c>
      <c r="AB179" s="69" t="s">
        <v>85</v>
      </c>
      <c r="AC179" s="69" t="s">
        <v>85</v>
      </c>
      <c r="AD179" s="38" t="str">
        <f>+IF(ISERROR(VLOOKUP($B179,AD$10:AD178,1,0)),IF(AND($N179&gt;=1000,$A179&gt;=AO$8,$A179&lt;=AO$9),$B179,""),"")</f>
        <v/>
      </c>
      <c r="AE179" s="38" t="str">
        <f>+IF(ISERROR(VLOOKUP($B179,AE$10:AE178,1,0)),IF(AND($N179&gt;=1000,$A179&gt;=AP$8,$A179&lt;=AP$9),$B179,""),"")</f>
        <v/>
      </c>
      <c r="AF179" s="38" t="str">
        <f>+IF(ISERROR(VLOOKUP($B179,AF$10:AF178,1,0)),IF(AND($N179&gt;=1000,$A179&gt;=AQ$8,$A179&lt;=AQ$9),$B179,""),"")</f>
        <v/>
      </c>
      <c r="AG179" s="38" t="str">
        <f>+IF(ISERROR(VLOOKUP($B179,AG$10:AG178,1,0)),IF(AND($N179&gt;=1000,$A179&gt;=AR$8,$A179&lt;=AR$9),$B179,""),"")</f>
        <v/>
      </c>
      <c r="AH179" s="38"/>
      <c r="AI179" s="70">
        <v>0</v>
      </c>
      <c r="AJ179" s="38">
        <f>IF(AND(AJ$7="○",$A179&gt;=AJ$8,$A179&lt;=AJ$9),IF(SUM(AJ$10:AJ178)-ROUNDDOWN($K179*AJ$5/100,0)&lt;-AJ$6,-AJ$6-SUM(AJ$10:AJ178),-ROUNDDOWN($K179*AJ$5/100,0)),0)</f>
        <v>0</v>
      </c>
      <c r="AK179" s="38">
        <f>IF(AND(AK$7="○",$A179&gt;=AK$8,$A179&lt;=AK$9),IF(SUM(AK$10:AK178)-ROUNDDOWN($L179*AK$5/100,0)&lt;-AK$6,-AK$6-SUM(AK$10:AK178),-ROUNDDOWN($L179*AK$5/100,0)),0)</f>
        <v>0</v>
      </c>
      <c r="AL179" s="38">
        <f>IF(AND(AL$7="○",$A179&gt;=AL$8,$A179&lt;=AL$9),IF(SUM(AL$10:AL178)-ROUNDDOWN($N179*AL$5/100,0)&lt;-AL$6,-AL$6-SUM(AL$10:AL178),-ROUNDDOWN($N179*AL$5/100,0)),0)</f>
        <v>0</v>
      </c>
      <c r="AM179" s="38">
        <f>IF(AND(AM$7="○",$A179&gt;=AM$8,$A179&lt;=AM$9),IF(SUM(AM$10:AM178)-ROUNDDOWN($L179*AM$5/100,0)&lt;-AM$6,-AM$6-SUM(AM$10:AM178),-ROUNDDOWN($L179*AM$5/100,0)),0)</f>
        <v>0</v>
      </c>
      <c r="AN179" s="38">
        <f>IF(AND(AN$7="○",$A179&gt;=AN$8,$A179&lt;=AN$9),IF(SUM(AN$10:AN178)-ROUNDDOWN($M179*AN$5/100,0)&lt;-AN$6,-AN$6-SUM(AN$10:AN178),-ROUNDDOWN($M179*AN$5/100,0)),0)</f>
        <v>0</v>
      </c>
      <c r="AO179" s="38">
        <f>IF(AND($A179&gt;=AO$8,$A179&lt;=AO$9),IF(SUM(AO$10:AO178)-ROUNDDOWN($K179*AO$5/100,0)&lt;-AO$6,-AO$6-SUM(AO$10:AO178),-ROUNDDOWN($K179*AO$5/100,0)),0)</f>
        <v>0</v>
      </c>
      <c r="AP179" s="38">
        <f>IF(AND($A179&gt;=AP$8,$A179&lt;=AP$9),IF(SUM(AP$10:AP178)-ROUNDDOWN($K179*AP$5/100,0)&lt;-AP$6,-AP$6-SUM(AP$10:AP178),-ROUNDDOWN($K179*AP$5/100,0)),0)</f>
        <v>0</v>
      </c>
      <c r="AQ179" s="38">
        <f>IF(AND($A179&gt;=AQ$8,$A179&lt;=AQ$9),IF(SUM(AQ$10:AQ178)-ROUNDDOWN($K179*AQ$5/100,0)&lt;-AQ$6,-AQ$6-SUM(AQ$10:AQ178),-ROUNDDOWN($K179*AQ$5/100,0)),0)</f>
        <v>0</v>
      </c>
      <c r="AR179" s="38">
        <f>IF(AND($A179&gt;=AR$8,$A179&lt;=AR$9),IF(SUM(AR$10:AR178)-ROUNDDOWN($K179*AR$5/100,0)&lt;-AR$6,-AR$6-SUM(AR$10:AR178),-ROUNDDOWN($K179*AR$5/100,0)),0)</f>
        <v>0</v>
      </c>
      <c r="AS179" s="38">
        <f>IF(SUMIFS(AS$10:AS178,$A$10:$A178,$A179)-ROUNDDOWN($K179*$S179/100,0)&lt;-$S179*1000,-$S179*1000-SUMIFS(AS$10:AS178,$A$10:$A178,$A179),-ROUNDDOWN($K179*$S179/100,0))</f>
        <v>0</v>
      </c>
      <c r="AT179" s="38">
        <f>IF(AND(X179="○",$A179&gt;=AT$8,$A179&lt;=AT$9,K179&gt;=3980),IF(SUM(AT$10:AT178)-ROUNDDOWN($K179*AT$5/100,0)&lt;-AT$6,-AT$6-SUM(AT$10:AT178),-ROUNDDOWN($K179*AT$5/100,0)),0)</f>
        <v>0</v>
      </c>
      <c r="AU179" s="38">
        <f>IF(O179="○",IF(SUM(AU$10:AU178)-ROUNDDOWN($K179*AU$5/100,0)&lt;-AU$6,-AU$6-SUM(AU$10:AU178),-ROUNDDOWN($K179*AU$5/100,0)),0)</f>
        <v>0</v>
      </c>
      <c r="AV179" s="38">
        <f>IF(P179="○",IF(SUM(AV$10:AV178)-ROUNDDOWN($K179*AV$5/100,0)&lt;-AV$6,-AV$6-SUM(AV$10:AV178),-ROUNDDOWN($K179*AV$5/100,0)),0)</f>
        <v>0</v>
      </c>
      <c r="AW179" s="38">
        <f>IF(Q179="○",IF(SUM(AW$10:AW178)-ROUNDDOWN($K179*AW$5/100,0)&lt;-AW$6,-AW$6-SUM(AW$10:AW178),-ROUNDDOWN($K179*AW$5/100,0)),0)</f>
        <v>0</v>
      </c>
      <c r="AX179" s="38">
        <f>IF(R179="○",IF(SUM(AX$10:AX178)-ROUNDDOWN($K179*AX$5/100,0)&lt;-AX$6,-AX$6-SUM(AX$10:AX178),-ROUNDDOWN($K179*AX$5/100,0)),0)</f>
        <v>0</v>
      </c>
      <c r="AY179" s="70">
        <v>0</v>
      </c>
      <c r="AZ179" s="65">
        <f t="shared" si="132"/>
        <v>0</v>
      </c>
      <c r="BA179" s="65">
        <f t="shared" si="133"/>
        <v>0</v>
      </c>
      <c r="BB179" s="70"/>
      <c r="BC179" s="65">
        <f t="shared" si="134"/>
        <v>0</v>
      </c>
      <c r="BD179" s="70">
        <v>0</v>
      </c>
      <c r="BE179" s="65">
        <f t="shared" si="135"/>
        <v>0</v>
      </c>
      <c r="BF179" s="70">
        <v>0</v>
      </c>
      <c r="BG179" s="65">
        <f t="shared" si="136"/>
        <v>0</v>
      </c>
      <c r="BH179" s="70">
        <v>0</v>
      </c>
      <c r="BI179" s="65">
        <f t="shared" si="137"/>
        <v>0</v>
      </c>
      <c r="BJ179" s="38">
        <f>IF(AND(BJ$7="○",$A179&gt;=BJ$8,$A179&lt;=BJ$9),IF(SUM(BJ$10:BJ178)-ROUNDDOWN($M179*BJ$5/100,0)&lt;-BJ$6,-BJ$6-SUM(BJ$10:BJ178),-ROUNDDOWN($M179*BJ$5/100,0)),0)</f>
        <v>0</v>
      </c>
      <c r="BK179" s="38">
        <f>IF(AND(BK$7="○",$A179&gt;=BK$8,$A179&lt;=BK$9),IF(SUM(BK$10:BK178)-ROUNDDOWN($L179*BK$5/100,0)&lt;-BK$6,-BK$6-SUM(BK$10:BK178),-ROUNDDOWN($L179*BK$5/100,0)),0)</f>
        <v>0</v>
      </c>
      <c r="BL179" s="38">
        <f>IF(AND(BL$7="○",$A179&gt;=BL$8,$A179&lt;=BL$9),IF(SUM(BL$10:BL178)-ROUNDDOWN($L179*BL$5/100,0)&lt;-BL$6,-BL$6-SUM(BL$10:BL178),-ROUNDDOWN($L179*BL$5/100,0)),0)</f>
        <v>0</v>
      </c>
      <c r="BM179" s="38">
        <f>IF(AND(BM$7="○",$A179&gt;=BM$8,$A179&lt;=BM$9),IF(SUM(BM$10:BM178)-ROUNDDOWN($M179*BM$5/100,0)&lt;-BM$6,-BM$6-SUM(BM$10:BM178),-ROUNDDOWN($M179*BM$5/100,0)),0)</f>
        <v>0</v>
      </c>
      <c r="BN179" s="38">
        <f>IF(AND(BN$7="○",$A179&gt;=BN$8,$A179&lt;=BN$9),IF(SUM(BN$10:BN178)-ROUNDDOWN($M179*BN$5/100,0)&lt;-BN$6,-BN$6-SUM(BN$10:BN178),-ROUNDDOWN($M179*BN$5/100,0)),0)</f>
        <v>0</v>
      </c>
      <c r="BO179" s="38">
        <f>IF(AND(BO$7="○",$A179&gt;=BO$8,$A179&lt;=BO$9),IF(SUM(BO$10:BO178)-ROUNDDOWN($M179*BO$5/100,0)&lt;-BO$6,-BO$6-SUM(BO$10:BO178),-ROUNDDOWN($M179*BO$5/100,0)),0)</f>
        <v>0</v>
      </c>
      <c r="BP179" s="38">
        <f>IF(AND(BP$7="○",$A179&gt;=BP$8,$A179&lt;=BP$9),IF(SUM(BP$10:BP178)-ROUNDDOWN($M179*BP$5/100,0)&lt;-BP$6,-BP$6-SUM(BP$10:BP178),-ROUNDDOWN($M179*BP$5/100,0)),0)</f>
        <v>0</v>
      </c>
      <c r="BQ179" s="38">
        <f>IF(AND(BQ$7="○",$A179&gt;=BQ$8,$A179&lt;=BQ$9),IF(SUM(BQ$10:BQ178)-ROUNDDOWN($L179*BQ$5/100,0)&lt;-BQ$6,-BQ$6-SUM(BQ$10:BQ178),-ROUNDDOWN($L179*BQ$5/100,0)),0)</f>
        <v>0</v>
      </c>
      <c r="BR179" s="38">
        <f>IF(AND(BR$7="○",$A179&gt;=BR$8,$A179&lt;=BR$9),IF(SUM(BR$10:BR178)-ROUNDDOWN($M179*BR$5/100,0)&lt;-BR$6,-BR$6-SUM(BR$10:BR178),-ROUNDDOWN($M179*BR$5/100,0)),0)</f>
        <v>0</v>
      </c>
      <c r="BS179" s="38">
        <f>IF(AND(BS$7="○",$A179&gt;=BS$8,$A179&lt;=BS$9),IF(SUM(BS$10:BS178)-ROUNDDOWN($M179*BS$5/100,0)&lt;-BS$6,-BS$6-SUM(BS$10:BS178),-ROUNDDOWN($M179*BS$5/100,0)),0)</f>
        <v>0</v>
      </c>
      <c r="BT179" s="38">
        <f>IF(AND(BT$7="○",$A179&gt;=BT$8,$A179&lt;=BT$9),IF(SUM(BT$10:BT178)-ROUNDDOWN($M179*BT$5/100,0)&lt;-BT$6,-BT$6-SUM(BT$10:BT178),-ROUNDDOWN($M179*BT$5/100,0)),0)</f>
        <v>0</v>
      </c>
      <c r="BU179" s="38">
        <f>IF(AND(BU$7="○",$A179&gt;=BU$8,$A179&lt;=BU$9),IF(SUM(BU$10:BU178)-ROUNDDOWN($M179*BU$5/100,0)&lt;-BU$6,-BU$6-SUM(BU$10:BU178),-ROUNDDOWN($M179*BU$5/100,0)),0)</f>
        <v>0</v>
      </c>
      <c r="BV179" s="38">
        <f>IF(AND(BV$7="○",$A179&gt;=BV$8,$A179&lt;=BV$9),IF(SUM(BV$10:BV178)-ROUNDDOWN($M179*BV$5/100,0)&lt;-BV$6,-BV$6-SUM(BV$10:BV178),-ROUNDDOWN($M179*BV$5/100,0)),0)</f>
        <v>0</v>
      </c>
      <c r="BW179" s="38">
        <f>IF(AND(BW$7="○",$A179&gt;=BW$8,$A179&lt;=BW$9),IF(SUM(BW$10:BW178)-ROUNDDOWN($M179*BW$5/100,0)&lt;-BW$6,-BW$6-SUM(BW$10:BW178),-ROUNDDOWN($M179*BW$5/100,0)),0)</f>
        <v>0</v>
      </c>
      <c r="BX179" s="38">
        <f>IF(AND(T179="○",$A179&gt;=BX$8,$A179&lt;=BX$9),IF(SUM(BX$10:BX178)-ROUNDDOWN($K179*BX$5/100,0)&lt;-BX$6,-BX$6-SUM(BX$10:BX178),-ROUNDDOWN($K179*BX$5/100,0)),0)</f>
        <v>0</v>
      </c>
      <c r="BY179" s="38">
        <f>IF(AND(U179="○",$A179&gt;=BY$8,$A179&lt;=BY$9),IF(SUM(BY$10:BY178)-ROUNDDOWN($K179*BY$5/100,0)&lt;-BY$6,-BY$6-SUM(BY$10:BY178),-ROUNDDOWN($K179*BY$5/100,0)),0)</f>
        <v>0</v>
      </c>
      <c r="BZ179" s="38">
        <f>IF(AND(V179="○",$A179&gt;=BZ$8,$A179&lt;=BZ$9),IF(SUM(BZ$10:BZ178)-ROUNDDOWN($K179*BZ$5/100,0)&lt;-BZ$6,-BZ$6-SUM(BZ$10:BZ178),-ROUNDDOWN($K179*BZ$5/100,0)),0)</f>
        <v>0</v>
      </c>
      <c r="CA179" s="38">
        <f>IF(AND(W179="○",$A179&gt;=CA$8,$A179&lt;=CA$9),IF(SUM(CA$10:CA178)-ROUNDDOWN($K179*CA$5/100,0)&lt;-CA$6,-CA$6-SUM(CA$10:CA178),-ROUNDDOWN($K179*CA$5/100,0)),0)</f>
        <v>0</v>
      </c>
      <c r="CB179" s="38"/>
      <c r="CC179" s="38"/>
      <c r="CD179" s="38"/>
      <c r="CE179" s="38"/>
      <c r="CF179" s="38"/>
      <c r="CG179" s="65">
        <f t="shared" si="138"/>
        <v>0</v>
      </c>
      <c r="CH179" s="71">
        <f t="shared" si="139"/>
        <v>0</v>
      </c>
      <c r="CI179" s="1">
        <f t="shared" si="19"/>
        <v>0</v>
      </c>
      <c r="CJ179" s="1"/>
      <c r="CK179" s="75"/>
      <c r="CL179" s="75"/>
      <c r="CM179" s="2"/>
      <c r="CN179" s="2"/>
      <c r="CO179" s="73">
        <f t="shared" si="20"/>
        <v>0</v>
      </c>
      <c r="CP179" s="5">
        <f t="shared" si="21"/>
        <v>0</v>
      </c>
      <c r="CQ179" s="1"/>
      <c r="CR179" s="1">
        <f t="shared" si="22"/>
        <v>0</v>
      </c>
      <c r="CS179" s="1"/>
      <c r="CT179" s="1" t="e">
        <f>INDEX([2]マスタ!$A:$A,MATCH(D179,[2]マスタ!$C:$C,0))</f>
        <v>#N/A</v>
      </c>
      <c r="CU179" s="1" t="str">
        <f t="shared" ca="1" si="23"/>
        <v>20260620_0-0</v>
      </c>
    </row>
    <row r="180" spans="1:99" x14ac:dyDescent="0.4">
      <c r="A180" s="61"/>
      <c r="B180" s="62"/>
      <c r="C180" s="62"/>
      <c r="D180" s="62"/>
      <c r="E180" s="74"/>
      <c r="F180" s="62"/>
      <c r="G180" s="62">
        <v>1</v>
      </c>
      <c r="H180" s="64">
        <f t="shared" si="4"/>
        <v>0</v>
      </c>
      <c r="I180" s="64"/>
      <c r="J180" s="64"/>
      <c r="K180" s="65">
        <f t="shared" si="149"/>
        <v>0</v>
      </c>
      <c r="L180" s="65">
        <f t="shared" si="6"/>
        <v>0</v>
      </c>
      <c r="M180" s="65">
        <f t="shared" si="7"/>
        <v>0</v>
      </c>
      <c r="N180" s="65">
        <f t="shared" si="8"/>
        <v>0</v>
      </c>
      <c r="O180" s="66" t="str">
        <f t="shared" si="145"/>
        <v>✕</v>
      </c>
      <c r="P180" s="67" t="str">
        <f t="shared" si="146"/>
        <v>○</v>
      </c>
      <c r="Q180" s="67" t="str">
        <f t="shared" si="150"/>
        <v>✕</v>
      </c>
      <c r="R180" s="67" t="str">
        <f t="shared" si="148"/>
        <v>✕</v>
      </c>
      <c r="S180" s="68">
        <v>0</v>
      </c>
      <c r="T180" s="69" t="s">
        <v>85</v>
      </c>
      <c r="U180" s="69" t="s">
        <v>85</v>
      </c>
      <c r="V180" s="69" t="s">
        <v>85</v>
      </c>
      <c r="W180" s="69" t="s">
        <v>85</v>
      </c>
      <c r="X180" s="69" t="s">
        <v>84</v>
      </c>
      <c r="Y180" s="69" t="s">
        <v>85</v>
      </c>
      <c r="Z180" s="69" t="s">
        <v>85</v>
      </c>
      <c r="AA180" s="69" t="s">
        <v>85</v>
      </c>
      <c r="AB180" s="69" t="s">
        <v>85</v>
      </c>
      <c r="AC180" s="69" t="s">
        <v>85</v>
      </c>
      <c r="AD180" s="38" t="str">
        <f>+IF(ISERROR(VLOOKUP($B180,AD$10:AD179,1,0)),IF(AND($N180&gt;=1000,$A180&gt;=AO$8,$A180&lt;=AO$9),$B180,""),"")</f>
        <v/>
      </c>
      <c r="AE180" s="38" t="str">
        <f>+IF(ISERROR(VLOOKUP($B180,AE$10:AE179,1,0)),IF(AND($N180&gt;=1000,$A180&gt;=AP$8,$A180&lt;=AP$9),$B180,""),"")</f>
        <v/>
      </c>
      <c r="AF180" s="38" t="str">
        <f>+IF(ISERROR(VLOOKUP($B180,AF$10:AF179,1,0)),IF(AND($N180&gt;=1000,$A180&gt;=AQ$8,$A180&lt;=AQ$9),$B180,""),"")</f>
        <v/>
      </c>
      <c r="AG180" s="38" t="str">
        <f>+IF(ISERROR(VLOOKUP($B180,AG$10:AG179,1,0)),IF(AND($N180&gt;=1000,$A180&gt;=AR$8,$A180&lt;=AR$9),$B180,""),"")</f>
        <v/>
      </c>
      <c r="AH180" s="38"/>
      <c r="AI180" s="70">
        <v>0</v>
      </c>
      <c r="AJ180" s="38">
        <f>IF(AND(AJ$7="○",$A180&gt;=AJ$8,$A180&lt;=AJ$9),IF(SUM(AJ$10:AJ179)-ROUNDDOWN($K180*AJ$5/100,0)&lt;-AJ$6,-AJ$6-SUM(AJ$10:AJ179),-ROUNDDOWN($K180*AJ$5/100,0)),0)</f>
        <v>0</v>
      </c>
      <c r="AK180" s="38">
        <f>IF(AND(AK$7="○",$A180&gt;=AK$8,$A180&lt;=AK$9),IF(SUM(AK$10:AK179)-ROUNDDOWN($L180*AK$5/100,0)&lt;-AK$6,-AK$6-SUM(AK$10:AK179),-ROUNDDOWN($L180*AK$5/100,0)),0)</f>
        <v>0</v>
      </c>
      <c r="AL180" s="38">
        <f>IF(AND(AL$7="○",$A180&gt;=AL$8,$A180&lt;=AL$9),IF(SUM(AL$10:AL179)-ROUNDDOWN($N180*AL$5/100,0)&lt;-AL$6,-AL$6-SUM(AL$10:AL179),-ROUNDDOWN($N180*AL$5/100,0)),0)</f>
        <v>0</v>
      </c>
      <c r="AM180" s="38">
        <f>IF(AND(AM$7="○",$A180&gt;=AM$8,$A180&lt;=AM$9),IF(SUM(AM$10:AM179)-ROUNDDOWN($L180*AM$5/100,0)&lt;-AM$6,-AM$6-SUM(AM$10:AM179),-ROUNDDOWN($L180*AM$5/100,0)),0)</f>
        <v>0</v>
      </c>
      <c r="AN180" s="38">
        <f>IF(AND(AN$7="○",$A180&gt;=AN$8,$A180&lt;=AN$9),IF(SUM(AN$10:AN179)-ROUNDDOWN($M180*AN$5/100,0)&lt;-AN$6,-AN$6-SUM(AN$10:AN179),-ROUNDDOWN($M180*AN$5/100,0)),0)</f>
        <v>0</v>
      </c>
      <c r="AO180" s="38">
        <f>IF(AND($A180&gt;=AO$8,$A180&lt;=AO$9),IF(SUM(AO$10:AO179)-ROUNDDOWN($K180*AO$5/100,0)&lt;-AO$6,-AO$6-SUM(AO$10:AO179),-ROUNDDOWN($K180*AO$5/100,0)),0)</f>
        <v>0</v>
      </c>
      <c r="AP180" s="38">
        <f>IF(AND($A180&gt;=AP$8,$A180&lt;=AP$9),IF(SUM(AP$10:AP179)-ROUNDDOWN($K180*AP$5/100,0)&lt;-AP$6,-AP$6-SUM(AP$10:AP179),-ROUNDDOWN($K180*AP$5/100,0)),0)</f>
        <v>0</v>
      </c>
      <c r="AQ180" s="38">
        <f>IF(AND($A180&gt;=AQ$8,$A180&lt;=AQ$9),IF(SUM(AQ$10:AQ179)-ROUNDDOWN($K180*AQ$5/100,0)&lt;-AQ$6,-AQ$6-SUM(AQ$10:AQ179),-ROUNDDOWN($K180*AQ$5/100,0)),0)</f>
        <v>0</v>
      </c>
      <c r="AR180" s="38">
        <f>IF(AND($A180&gt;=AR$8,$A180&lt;=AR$9),IF(SUM(AR$10:AR179)-ROUNDDOWN($K180*AR$5/100,0)&lt;-AR$6,-AR$6-SUM(AR$10:AR179),-ROUNDDOWN($K180*AR$5/100,0)),0)</f>
        <v>0</v>
      </c>
      <c r="AS180" s="38">
        <f>IF(SUMIFS(AS$10:AS179,$A$10:$A179,$A180)-ROUNDDOWN($K180*$S180/100,0)&lt;-$S180*1000,-$S180*1000-SUMIFS(AS$10:AS179,$A$10:$A179,$A180),-ROUNDDOWN($K180*$S180/100,0))</f>
        <v>0</v>
      </c>
      <c r="AT180" s="38">
        <f>IF(AND(X180="○",$A180&gt;=AT$8,$A180&lt;=AT$9,K180&gt;=3980),IF(SUM(AT$10:AT179)-ROUNDDOWN($K180*AT$5/100,0)&lt;-AT$6,-AT$6-SUM(AT$10:AT179),-ROUNDDOWN($K180*AT$5/100,0)),0)</f>
        <v>0</v>
      </c>
      <c r="AU180" s="38">
        <f>IF(O180="○",IF(SUM(AU$10:AU179)-ROUNDDOWN($K180*AU$5/100,0)&lt;-AU$6,-AU$6-SUM(AU$10:AU179),-ROUNDDOWN($K180*AU$5/100,0)),0)</f>
        <v>0</v>
      </c>
      <c r="AV180" s="38">
        <f>IF(P180="○",IF(SUM(AV$10:AV179)-ROUNDDOWN($K180*AV$5/100,0)&lt;-AV$6,-AV$6-SUM(AV$10:AV179),-ROUNDDOWN($K180*AV$5/100,0)),0)</f>
        <v>0</v>
      </c>
      <c r="AW180" s="38">
        <f>IF(Q180="○",IF(SUM(AW$10:AW179)-ROUNDDOWN($K180*AW$5/100,0)&lt;-AW$6,-AW$6-SUM(AW$10:AW179),-ROUNDDOWN($K180*AW$5/100,0)),0)</f>
        <v>0</v>
      </c>
      <c r="AX180" s="38">
        <f>IF(R180="○",IF(SUM(AX$10:AX179)-ROUNDDOWN($K180*AX$5/100,0)&lt;-AX$6,-AX$6-SUM(AX$10:AX179),-ROUNDDOWN($K180*AX$5/100,0)),0)</f>
        <v>0</v>
      </c>
      <c r="AY180" s="70">
        <v>0</v>
      </c>
      <c r="AZ180" s="65">
        <f t="shared" si="132"/>
        <v>0</v>
      </c>
      <c r="BA180" s="65">
        <f t="shared" si="133"/>
        <v>0</v>
      </c>
      <c r="BB180" s="70"/>
      <c r="BC180" s="65">
        <f t="shared" si="134"/>
        <v>0</v>
      </c>
      <c r="BD180" s="70">
        <v>0</v>
      </c>
      <c r="BE180" s="65">
        <f t="shared" si="135"/>
        <v>0</v>
      </c>
      <c r="BF180" s="70">
        <v>0</v>
      </c>
      <c r="BG180" s="65">
        <f t="shared" si="136"/>
        <v>0</v>
      </c>
      <c r="BH180" s="70">
        <v>0</v>
      </c>
      <c r="BI180" s="65">
        <f t="shared" si="137"/>
        <v>0</v>
      </c>
      <c r="BJ180" s="38">
        <f>IF(AND(BJ$7="○",$A180&gt;=BJ$8,$A180&lt;=BJ$9),IF(SUM(BJ$10:BJ179)-ROUNDDOWN($M180*BJ$5/100,0)&lt;-BJ$6,-BJ$6-SUM(BJ$10:BJ179),-ROUNDDOWN($M180*BJ$5/100,0)),0)</f>
        <v>0</v>
      </c>
      <c r="BK180" s="38">
        <f>IF(AND(BK$7="○",$A180&gt;=BK$8,$A180&lt;=BK$9),IF(SUM(BK$10:BK179)-ROUNDDOWN($L180*BK$5/100,0)&lt;-BK$6,-BK$6-SUM(BK$10:BK179),-ROUNDDOWN($L180*BK$5/100,0)),0)</f>
        <v>0</v>
      </c>
      <c r="BL180" s="38">
        <f>IF(AND(BL$7="○",$A180&gt;=BL$8,$A180&lt;=BL$9),IF(SUM(BL$10:BL179)-ROUNDDOWN($L180*BL$5/100,0)&lt;-BL$6,-BL$6-SUM(BL$10:BL179),-ROUNDDOWN($L180*BL$5/100,0)),0)</f>
        <v>0</v>
      </c>
      <c r="BM180" s="38">
        <f>IF(AND(BM$7="○",$A180&gt;=BM$8,$A180&lt;=BM$9),IF(SUM(BM$10:BM179)-ROUNDDOWN($M180*BM$5/100,0)&lt;-BM$6,-BM$6-SUM(BM$10:BM179),-ROUNDDOWN($M180*BM$5/100,0)),0)</f>
        <v>0</v>
      </c>
      <c r="BN180" s="38">
        <f>IF(AND(BN$7="○",$A180&gt;=BN$8,$A180&lt;=BN$9),IF(SUM(BN$10:BN179)-ROUNDDOWN($M180*BN$5/100,0)&lt;-BN$6,-BN$6-SUM(BN$10:BN179),-ROUNDDOWN($M180*BN$5/100,0)),0)</f>
        <v>0</v>
      </c>
      <c r="BO180" s="38">
        <f>IF(AND(BO$7="○",$A180&gt;=BO$8,$A180&lt;=BO$9),IF(SUM(BO$10:BO179)-ROUNDDOWN($M180*BO$5/100,0)&lt;-BO$6,-BO$6-SUM(BO$10:BO179),-ROUNDDOWN($M180*BO$5/100,0)),0)</f>
        <v>0</v>
      </c>
      <c r="BP180" s="38">
        <f>IF(AND(BP$7="○",$A180&gt;=BP$8,$A180&lt;=BP$9),IF(SUM(BP$10:BP179)-ROUNDDOWN($M180*BP$5/100,0)&lt;-BP$6,-BP$6-SUM(BP$10:BP179),-ROUNDDOWN($M180*BP$5/100,0)),0)</f>
        <v>0</v>
      </c>
      <c r="BQ180" s="38">
        <f>IF(AND(BQ$7="○",$A180&gt;=BQ$8,$A180&lt;=BQ$9),IF(SUM(BQ$10:BQ179)-ROUNDDOWN($L180*BQ$5/100,0)&lt;-BQ$6,-BQ$6-SUM(BQ$10:BQ179),-ROUNDDOWN($L180*BQ$5/100,0)),0)</f>
        <v>0</v>
      </c>
      <c r="BR180" s="38">
        <f>IF(AND(BR$7="○",$A180&gt;=BR$8,$A180&lt;=BR$9),IF(SUM(BR$10:BR179)-ROUNDDOWN($M180*BR$5/100,0)&lt;-BR$6,-BR$6-SUM(BR$10:BR179),-ROUNDDOWN($M180*BR$5/100,0)),0)</f>
        <v>0</v>
      </c>
      <c r="BS180" s="38">
        <f>IF(AND(BS$7="○",$A180&gt;=BS$8,$A180&lt;=BS$9),IF(SUM(BS$10:BS179)-ROUNDDOWN($M180*BS$5/100,0)&lt;-BS$6,-BS$6-SUM(BS$10:BS179),-ROUNDDOWN($M180*BS$5/100,0)),0)</f>
        <v>0</v>
      </c>
      <c r="BT180" s="38">
        <f>IF(AND(BT$7="○",$A180&gt;=BT$8,$A180&lt;=BT$9),IF(SUM(BT$10:BT179)-ROUNDDOWN($M180*BT$5/100,0)&lt;-BT$6,-BT$6-SUM(BT$10:BT179),-ROUNDDOWN($M180*BT$5/100,0)),0)</f>
        <v>0</v>
      </c>
      <c r="BU180" s="38">
        <f>IF(AND(BU$7="○",$A180&gt;=BU$8,$A180&lt;=BU$9),IF(SUM(BU$10:BU179)-ROUNDDOWN($M180*BU$5/100,0)&lt;-BU$6,-BU$6-SUM(BU$10:BU179),-ROUNDDOWN($M180*BU$5/100,0)),0)</f>
        <v>0</v>
      </c>
      <c r="BV180" s="38">
        <f>IF(AND(BV$7="○",$A180&gt;=BV$8,$A180&lt;=BV$9),IF(SUM(BV$10:BV179)-ROUNDDOWN($M180*BV$5/100,0)&lt;-BV$6,-BV$6-SUM(BV$10:BV179),-ROUNDDOWN($M180*BV$5/100,0)),0)</f>
        <v>0</v>
      </c>
      <c r="BW180" s="38">
        <f>IF(AND(BW$7="○",$A180&gt;=BW$8,$A180&lt;=BW$9),IF(SUM(BW$10:BW179)-ROUNDDOWN($M180*BW$5/100,0)&lt;-BW$6,-BW$6-SUM(BW$10:BW179),-ROUNDDOWN($M180*BW$5/100,0)),0)</f>
        <v>0</v>
      </c>
      <c r="BX180" s="38">
        <f>IF(AND(T180="○",$A180&gt;=BX$8,$A180&lt;=BX$9),IF(SUM(BX$10:BX179)-ROUNDDOWN($K180*BX$5/100,0)&lt;-BX$6,-BX$6-SUM(BX$10:BX179),-ROUNDDOWN($K180*BX$5/100,0)),0)</f>
        <v>0</v>
      </c>
      <c r="BY180" s="38">
        <f>IF(AND(U180="○",$A180&gt;=BY$8,$A180&lt;=BY$9),IF(SUM(BY$10:BY179)-ROUNDDOWN($K180*BY$5/100,0)&lt;-BY$6,-BY$6-SUM(BY$10:BY179),-ROUNDDOWN($K180*BY$5/100,0)),0)</f>
        <v>0</v>
      </c>
      <c r="BZ180" s="38">
        <f>IF(AND(V180="○",$A180&gt;=BZ$8,$A180&lt;=BZ$9),IF(SUM(BZ$10:BZ179)-ROUNDDOWN($K180*BZ$5/100,0)&lt;-BZ$6,-BZ$6-SUM(BZ$10:BZ179),-ROUNDDOWN($K180*BZ$5/100,0)),0)</f>
        <v>0</v>
      </c>
      <c r="CA180" s="38">
        <f>IF(AND(W180="○",$A180&gt;=CA$8,$A180&lt;=CA$9),IF(SUM(CA$10:CA179)-ROUNDDOWN($K180*CA$5/100,0)&lt;-CA$6,-CA$6-SUM(CA$10:CA179),-ROUNDDOWN($K180*CA$5/100,0)),0)</f>
        <v>0</v>
      </c>
      <c r="CB180" s="38"/>
      <c r="CC180" s="38"/>
      <c r="CD180" s="38"/>
      <c r="CE180" s="38"/>
      <c r="CF180" s="38"/>
      <c r="CG180" s="65">
        <f t="shared" si="138"/>
        <v>0</v>
      </c>
      <c r="CH180" s="71">
        <f t="shared" si="139"/>
        <v>0</v>
      </c>
      <c r="CI180" s="1">
        <f t="shared" si="19"/>
        <v>0</v>
      </c>
      <c r="CJ180" s="1"/>
      <c r="CK180" s="75"/>
      <c r="CL180" s="75"/>
      <c r="CM180" s="2"/>
      <c r="CN180" s="2"/>
      <c r="CO180" s="73">
        <f t="shared" si="20"/>
        <v>0</v>
      </c>
      <c r="CP180" s="5">
        <f t="shared" si="21"/>
        <v>0</v>
      </c>
      <c r="CQ180" s="1"/>
      <c r="CR180" s="1">
        <f t="shared" si="22"/>
        <v>0</v>
      </c>
      <c r="CS180" s="1"/>
      <c r="CT180" s="1" t="e">
        <f>INDEX([2]マスタ!$A:$A,MATCH(D180,[2]マスタ!$C:$C,0))</f>
        <v>#N/A</v>
      </c>
      <c r="CU180" s="1" t="str">
        <f t="shared" ca="1" si="23"/>
        <v>20260620_0-0</v>
      </c>
    </row>
    <row r="181" spans="1:99" x14ac:dyDescent="0.4">
      <c r="A181" s="61"/>
      <c r="B181" s="62"/>
      <c r="C181" s="62"/>
      <c r="D181" s="62"/>
      <c r="E181" s="74"/>
      <c r="F181" s="62"/>
      <c r="G181" s="62">
        <v>1</v>
      </c>
      <c r="H181" s="64">
        <f t="shared" si="4"/>
        <v>0</v>
      </c>
      <c r="I181" s="64"/>
      <c r="J181" s="64"/>
      <c r="K181" s="65">
        <f t="shared" si="149"/>
        <v>0</v>
      </c>
      <c r="L181" s="65">
        <f t="shared" si="6"/>
        <v>0</v>
      </c>
      <c r="M181" s="65">
        <f t="shared" si="7"/>
        <v>0</v>
      </c>
      <c r="N181" s="65">
        <f t="shared" si="8"/>
        <v>0</v>
      </c>
      <c r="O181" s="66" t="str">
        <f t="shared" si="145"/>
        <v>✕</v>
      </c>
      <c r="P181" s="67" t="str">
        <f t="shared" si="146"/>
        <v>○</v>
      </c>
      <c r="Q181" s="67" t="str">
        <f t="shared" si="150"/>
        <v>✕</v>
      </c>
      <c r="R181" s="67" t="str">
        <f t="shared" si="148"/>
        <v>✕</v>
      </c>
      <c r="S181" s="68">
        <v>0</v>
      </c>
      <c r="T181" s="69" t="s">
        <v>85</v>
      </c>
      <c r="U181" s="69" t="s">
        <v>85</v>
      </c>
      <c r="V181" s="69" t="s">
        <v>85</v>
      </c>
      <c r="W181" s="69" t="s">
        <v>85</v>
      </c>
      <c r="X181" s="69" t="s">
        <v>84</v>
      </c>
      <c r="Y181" s="69" t="s">
        <v>85</v>
      </c>
      <c r="Z181" s="69" t="s">
        <v>85</v>
      </c>
      <c r="AA181" s="69" t="s">
        <v>85</v>
      </c>
      <c r="AB181" s="69" t="s">
        <v>85</v>
      </c>
      <c r="AC181" s="69" t="s">
        <v>85</v>
      </c>
      <c r="AD181" s="38" t="str">
        <f>+IF(ISERROR(VLOOKUP($B181,AD$10:AD180,1,0)),IF(AND($N181&gt;=1000,$A181&gt;=AO$8,$A181&lt;=AO$9),$B181,""),"")</f>
        <v/>
      </c>
      <c r="AE181" s="38" t="str">
        <f>+IF(ISERROR(VLOOKUP($B181,AE$10:AE180,1,0)),IF(AND($N181&gt;=1000,$A181&gt;=AP$8,$A181&lt;=AP$9),$B181,""),"")</f>
        <v/>
      </c>
      <c r="AF181" s="38" t="str">
        <f>+IF(ISERROR(VLOOKUP($B181,AF$10:AF180,1,0)),IF(AND($N181&gt;=1000,$A181&gt;=AQ$8,$A181&lt;=AQ$9),$B181,""),"")</f>
        <v/>
      </c>
      <c r="AG181" s="38" t="str">
        <f>+IF(ISERROR(VLOOKUP($B181,AG$10:AG180,1,0)),IF(AND($N181&gt;=1000,$A181&gt;=AR$8,$A181&lt;=AR$9),$B181,""),"")</f>
        <v/>
      </c>
      <c r="AH181" s="38"/>
      <c r="AI181" s="70">
        <v>0</v>
      </c>
      <c r="AJ181" s="38">
        <f>IF(AND(AJ$7="○",$A181&gt;=AJ$8,$A181&lt;=AJ$9),IF(SUM(AJ$10:AJ180)-ROUNDDOWN($K181*AJ$5/100,0)&lt;-AJ$6,-AJ$6-SUM(AJ$10:AJ180),-ROUNDDOWN($K181*AJ$5/100,0)),0)</f>
        <v>0</v>
      </c>
      <c r="AK181" s="38">
        <f>IF(AND(AK$7="○",$A181&gt;=AK$8,$A181&lt;=AK$9),IF(SUM(AK$10:AK180)-ROUNDDOWN($L181*AK$5/100,0)&lt;-AK$6,-AK$6-SUM(AK$10:AK180),-ROUNDDOWN($L181*AK$5/100,0)),0)</f>
        <v>0</v>
      </c>
      <c r="AL181" s="38">
        <f>IF(AND(AL$7="○",$A181&gt;=AL$8,$A181&lt;=AL$9),IF(SUM(AL$10:AL180)-ROUNDDOWN($N181*AL$5/100,0)&lt;-AL$6,-AL$6-SUM(AL$10:AL180),-ROUNDDOWN($N181*AL$5/100,0)),0)</f>
        <v>0</v>
      </c>
      <c r="AM181" s="38">
        <f>IF(AND(AM$7="○",$A181&gt;=AM$8,$A181&lt;=AM$9),IF(SUM(AM$10:AM180)-ROUNDDOWN($L181*AM$5/100,0)&lt;-AM$6,-AM$6-SUM(AM$10:AM180),-ROUNDDOWN($L181*AM$5/100,0)),0)</f>
        <v>0</v>
      </c>
      <c r="AN181" s="38">
        <f>IF(AND(AN$7="○",$A181&gt;=AN$8,$A181&lt;=AN$9),IF(SUM(AN$10:AN180)-ROUNDDOWN($M181*AN$5/100,0)&lt;-AN$6,-AN$6-SUM(AN$10:AN180),-ROUNDDOWN($M181*AN$5/100,0)),0)</f>
        <v>0</v>
      </c>
      <c r="AO181" s="38">
        <f>IF(AND($A181&gt;=AO$8,$A181&lt;=AO$9),IF(SUM(AO$10:AO180)-ROUNDDOWN($K181*AO$5/100,0)&lt;-AO$6,-AO$6-SUM(AO$10:AO180),-ROUNDDOWN($K181*AO$5/100,0)),0)</f>
        <v>0</v>
      </c>
      <c r="AP181" s="38">
        <f>IF(AND($A181&gt;=AP$8,$A181&lt;=AP$9),IF(SUM(AP$10:AP180)-ROUNDDOWN($K181*AP$5/100,0)&lt;-AP$6,-AP$6-SUM(AP$10:AP180),-ROUNDDOWN($K181*AP$5/100,0)),0)</f>
        <v>0</v>
      </c>
      <c r="AQ181" s="38">
        <f>IF(AND($A181&gt;=AQ$8,$A181&lt;=AQ$9),IF(SUM(AQ$10:AQ180)-ROUNDDOWN($K181*AQ$5/100,0)&lt;-AQ$6,-AQ$6-SUM(AQ$10:AQ180),-ROUNDDOWN($K181*AQ$5/100,0)),0)</f>
        <v>0</v>
      </c>
      <c r="AR181" s="38">
        <f>IF(AND($A181&gt;=AR$8,$A181&lt;=AR$9),IF(SUM(AR$10:AR180)-ROUNDDOWN($K181*AR$5/100,0)&lt;-AR$6,-AR$6-SUM(AR$10:AR180),-ROUNDDOWN($K181*AR$5/100,0)),0)</f>
        <v>0</v>
      </c>
      <c r="AS181" s="38">
        <f>IF(SUMIFS(AS$10:AS180,$A$10:$A180,$A181)-ROUNDDOWN($K181*$S181/100,0)&lt;-$S181*1000,-$S181*1000-SUMIFS(AS$10:AS180,$A$10:$A180,$A181),-ROUNDDOWN($K181*$S181/100,0))</f>
        <v>0</v>
      </c>
      <c r="AT181" s="38">
        <f>IF(AND(X181="○",$A181&gt;=AT$8,$A181&lt;=AT$9,K181&gt;=3980),IF(SUM(AT$10:AT180)-ROUNDDOWN($K181*AT$5/100,0)&lt;-AT$6,-AT$6-SUM(AT$10:AT180),-ROUNDDOWN($K181*AT$5/100,0)),0)</f>
        <v>0</v>
      </c>
      <c r="AU181" s="38">
        <f>IF(O181="○",IF(SUM(AU$10:AU180)-ROUNDDOWN($K181*AU$5/100,0)&lt;-AU$6,-AU$6-SUM(AU$10:AU180),-ROUNDDOWN($K181*AU$5/100,0)),0)</f>
        <v>0</v>
      </c>
      <c r="AV181" s="38">
        <f>IF(P181="○",IF(SUM(AV$10:AV180)-ROUNDDOWN($K181*AV$5/100,0)&lt;-AV$6,-AV$6-SUM(AV$10:AV180),-ROUNDDOWN($K181*AV$5/100,0)),0)</f>
        <v>0</v>
      </c>
      <c r="AW181" s="38">
        <f>IF(Q181="○",IF(SUM(AW$10:AW180)-ROUNDDOWN($K181*AW$5/100,0)&lt;-AW$6,-AW$6-SUM(AW$10:AW180),-ROUNDDOWN($K181*AW$5/100,0)),0)</f>
        <v>0</v>
      </c>
      <c r="AX181" s="38">
        <f>IF(R181="○",IF(SUM(AX$10:AX180)-ROUNDDOWN($K181*AX$5/100,0)&lt;-AX$6,-AX$6-SUM(AX$10:AX180),-ROUNDDOWN($K181*AX$5/100,0)),0)</f>
        <v>0</v>
      </c>
      <c r="AY181" s="70">
        <v>0</v>
      </c>
      <c r="AZ181" s="65">
        <f t="shared" si="132"/>
        <v>0</v>
      </c>
      <c r="BA181" s="65">
        <f t="shared" si="133"/>
        <v>0</v>
      </c>
      <c r="BB181" s="70"/>
      <c r="BC181" s="65">
        <f t="shared" si="134"/>
        <v>0</v>
      </c>
      <c r="BD181" s="70">
        <v>0</v>
      </c>
      <c r="BE181" s="65">
        <f t="shared" si="135"/>
        <v>0</v>
      </c>
      <c r="BF181" s="70">
        <v>0</v>
      </c>
      <c r="BG181" s="65">
        <f t="shared" si="136"/>
        <v>0</v>
      </c>
      <c r="BH181" s="70">
        <v>0</v>
      </c>
      <c r="BI181" s="65">
        <f t="shared" si="137"/>
        <v>0</v>
      </c>
      <c r="BJ181" s="38">
        <f>IF(AND(BJ$7="○",$A181&gt;=BJ$8,$A181&lt;=BJ$9),IF(SUM(BJ$10:BJ180)-ROUNDDOWN($M181*BJ$5/100,0)&lt;-BJ$6,-BJ$6-SUM(BJ$10:BJ180),-ROUNDDOWN($M181*BJ$5/100,0)),0)</f>
        <v>0</v>
      </c>
      <c r="BK181" s="38">
        <f>IF(AND(BK$7="○",$A181&gt;=BK$8,$A181&lt;=BK$9),IF(SUM(BK$10:BK180)-ROUNDDOWN($L181*BK$5/100,0)&lt;-BK$6,-BK$6-SUM(BK$10:BK180),-ROUNDDOWN($L181*BK$5/100,0)),0)</f>
        <v>0</v>
      </c>
      <c r="BL181" s="38">
        <f>IF(AND(BL$7="○",$A181&gt;=BL$8,$A181&lt;=BL$9),IF(SUM(BL$10:BL180)-ROUNDDOWN($L181*BL$5/100,0)&lt;-BL$6,-BL$6-SUM(BL$10:BL180),-ROUNDDOWN($L181*BL$5/100,0)),0)</f>
        <v>0</v>
      </c>
      <c r="BM181" s="38">
        <f>IF(AND(BM$7="○",$A181&gt;=BM$8,$A181&lt;=BM$9),IF(SUM(BM$10:BM180)-ROUNDDOWN($M181*BM$5/100,0)&lt;-BM$6,-BM$6-SUM(BM$10:BM180),-ROUNDDOWN($M181*BM$5/100,0)),0)</f>
        <v>0</v>
      </c>
      <c r="BN181" s="38">
        <f>IF(AND(BN$7="○",$A181&gt;=BN$8,$A181&lt;=BN$9),IF(SUM(BN$10:BN180)-ROUNDDOWN($M181*BN$5/100,0)&lt;-BN$6,-BN$6-SUM(BN$10:BN180),-ROUNDDOWN($M181*BN$5/100,0)),0)</f>
        <v>0</v>
      </c>
      <c r="BO181" s="38">
        <f>IF(AND(BO$7="○",$A181&gt;=BO$8,$A181&lt;=BO$9),IF(SUM(BO$10:BO180)-ROUNDDOWN($M181*BO$5/100,0)&lt;-BO$6,-BO$6-SUM(BO$10:BO180),-ROUNDDOWN($M181*BO$5/100,0)),0)</f>
        <v>0</v>
      </c>
      <c r="BP181" s="38">
        <f>IF(AND(BP$7="○",$A181&gt;=BP$8,$A181&lt;=BP$9),IF(SUM(BP$10:BP180)-ROUNDDOWN($M181*BP$5/100,0)&lt;-BP$6,-BP$6-SUM(BP$10:BP180),-ROUNDDOWN($M181*BP$5/100,0)),0)</f>
        <v>0</v>
      </c>
      <c r="BQ181" s="38">
        <f>IF(AND(BQ$7="○",$A181&gt;=BQ$8,$A181&lt;=BQ$9),IF(SUM(BQ$10:BQ180)-ROUNDDOWN($L181*BQ$5/100,0)&lt;-BQ$6,-BQ$6-SUM(BQ$10:BQ180),-ROUNDDOWN($L181*BQ$5/100,0)),0)</f>
        <v>0</v>
      </c>
      <c r="BR181" s="38">
        <f>IF(AND(BR$7="○",$A181&gt;=BR$8,$A181&lt;=BR$9),IF(SUM(BR$10:BR180)-ROUNDDOWN($M181*BR$5/100,0)&lt;-BR$6,-BR$6-SUM(BR$10:BR180),-ROUNDDOWN($M181*BR$5/100,0)),0)</f>
        <v>0</v>
      </c>
      <c r="BS181" s="38">
        <f>IF(AND(BS$7="○",$A181&gt;=BS$8,$A181&lt;=BS$9),IF(SUM(BS$10:BS180)-ROUNDDOWN($M181*BS$5/100,0)&lt;-BS$6,-BS$6-SUM(BS$10:BS180),-ROUNDDOWN($M181*BS$5/100,0)),0)</f>
        <v>0</v>
      </c>
      <c r="BT181" s="38">
        <f>IF(AND(BT$7="○",$A181&gt;=BT$8,$A181&lt;=BT$9),IF(SUM(BT$10:BT180)-ROUNDDOWN($M181*BT$5/100,0)&lt;-BT$6,-BT$6-SUM(BT$10:BT180),-ROUNDDOWN($M181*BT$5/100,0)),0)</f>
        <v>0</v>
      </c>
      <c r="BU181" s="38">
        <f>IF(AND(BU$7="○",$A181&gt;=BU$8,$A181&lt;=BU$9),IF(SUM(BU$10:BU180)-ROUNDDOWN($M181*BU$5/100,0)&lt;-BU$6,-BU$6-SUM(BU$10:BU180),-ROUNDDOWN($M181*BU$5/100,0)),0)</f>
        <v>0</v>
      </c>
      <c r="BV181" s="38">
        <f>IF(AND(BV$7="○",$A181&gt;=BV$8,$A181&lt;=BV$9),IF(SUM(BV$10:BV180)-ROUNDDOWN($M181*BV$5/100,0)&lt;-BV$6,-BV$6-SUM(BV$10:BV180),-ROUNDDOWN($M181*BV$5/100,0)),0)</f>
        <v>0</v>
      </c>
      <c r="BW181" s="38">
        <f>IF(AND(BW$7="○",$A181&gt;=BW$8,$A181&lt;=BW$9),IF(SUM(BW$10:BW180)-ROUNDDOWN($M181*BW$5/100,0)&lt;-BW$6,-BW$6-SUM(BW$10:BW180),-ROUNDDOWN($M181*BW$5/100,0)),0)</f>
        <v>0</v>
      </c>
      <c r="BX181" s="38">
        <f>IF(AND(T181="○",$A181&gt;=BX$8,$A181&lt;=BX$9),IF(SUM(BX$10:BX180)-ROUNDDOWN($K181*BX$5/100,0)&lt;-BX$6,-BX$6-SUM(BX$10:BX180),-ROUNDDOWN($K181*BX$5/100,0)),0)</f>
        <v>0</v>
      </c>
      <c r="BY181" s="38">
        <f>IF(AND(U181="○",$A181&gt;=BY$8,$A181&lt;=BY$9),IF(SUM(BY$10:BY180)-ROUNDDOWN($K181*BY$5/100,0)&lt;-BY$6,-BY$6-SUM(BY$10:BY180),-ROUNDDOWN($K181*BY$5/100,0)),0)</f>
        <v>0</v>
      </c>
      <c r="BZ181" s="38">
        <f>IF(AND(V181="○",$A181&gt;=BZ$8,$A181&lt;=BZ$9),IF(SUM(BZ$10:BZ180)-ROUNDDOWN($K181*BZ$5/100,0)&lt;-BZ$6,-BZ$6-SUM(BZ$10:BZ180),-ROUNDDOWN($K181*BZ$5/100,0)),0)</f>
        <v>0</v>
      </c>
      <c r="CA181" s="38">
        <f>IF(AND(W181="○",$A181&gt;=CA$8,$A181&lt;=CA$9),IF(SUM(CA$10:CA180)-ROUNDDOWN($K181*CA$5/100,0)&lt;-CA$6,-CA$6-SUM(CA$10:CA180),-ROUNDDOWN($K181*CA$5/100,0)),0)</f>
        <v>0</v>
      </c>
      <c r="CB181" s="38"/>
      <c r="CC181" s="38"/>
      <c r="CD181" s="38"/>
      <c r="CE181" s="38"/>
      <c r="CF181" s="38"/>
      <c r="CG181" s="65">
        <f t="shared" si="138"/>
        <v>0</v>
      </c>
      <c r="CH181" s="71">
        <f t="shared" si="139"/>
        <v>0</v>
      </c>
      <c r="CI181" s="1">
        <f t="shared" si="19"/>
        <v>0</v>
      </c>
      <c r="CJ181" s="1"/>
      <c r="CK181" s="75"/>
      <c r="CL181" s="75"/>
      <c r="CM181" s="2"/>
      <c r="CN181" s="2"/>
      <c r="CO181" s="73">
        <f t="shared" si="20"/>
        <v>0</v>
      </c>
      <c r="CP181" s="5">
        <f t="shared" si="21"/>
        <v>0</v>
      </c>
      <c r="CQ181" s="1"/>
      <c r="CR181" s="1">
        <f t="shared" si="22"/>
        <v>0</v>
      </c>
      <c r="CS181" s="1"/>
      <c r="CT181" s="1" t="e">
        <f>INDEX([2]マスタ!$A:$A,MATCH(D181,[2]マスタ!$C:$C,0))</f>
        <v>#N/A</v>
      </c>
      <c r="CU181" s="1" t="str">
        <f t="shared" ca="1" si="23"/>
        <v>20260620_0-0</v>
      </c>
    </row>
    <row r="182" spans="1:99" x14ac:dyDescent="0.4">
      <c r="A182" s="61"/>
      <c r="B182" s="62"/>
      <c r="C182" s="62"/>
      <c r="D182" s="62"/>
      <c r="E182" s="74"/>
      <c r="F182" s="62"/>
      <c r="G182" s="62">
        <v>1</v>
      </c>
      <c r="H182" s="64">
        <f t="shared" si="4"/>
        <v>0</v>
      </c>
      <c r="I182" s="64"/>
      <c r="J182" s="64"/>
      <c r="K182" s="65">
        <f>+ROUNDDOWN((H182+I182)/100,0)*100</f>
        <v>0</v>
      </c>
      <c r="L182" s="65">
        <f t="shared" si="6"/>
        <v>0</v>
      </c>
      <c r="M182" s="65">
        <f t="shared" si="7"/>
        <v>0</v>
      </c>
      <c r="N182" s="65">
        <f t="shared" si="8"/>
        <v>0</v>
      </c>
      <c r="O182" s="66" t="str">
        <f t="shared" si="145"/>
        <v>✕</v>
      </c>
      <c r="P182" s="67" t="str">
        <f t="shared" si="146"/>
        <v>○</v>
      </c>
      <c r="Q182" s="67" t="str">
        <f>+IF((TEXT($A182,"DD")+0)=1,"○","✕")</f>
        <v>✕</v>
      </c>
      <c r="R182" s="67" t="str">
        <f t="shared" si="148"/>
        <v>✕</v>
      </c>
      <c r="S182" s="68">
        <v>0</v>
      </c>
      <c r="T182" s="69" t="s">
        <v>85</v>
      </c>
      <c r="U182" s="69" t="s">
        <v>85</v>
      </c>
      <c r="V182" s="69" t="s">
        <v>85</v>
      </c>
      <c r="W182" s="69" t="s">
        <v>85</v>
      </c>
      <c r="X182" s="69" t="s">
        <v>84</v>
      </c>
      <c r="Y182" s="69" t="s">
        <v>85</v>
      </c>
      <c r="Z182" s="69" t="s">
        <v>85</v>
      </c>
      <c r="AA182" s="69" t="s">
        <v>85</v>
      </c>
      <c r="AB182" s="69" t="s">
        <v>85</v>
      </c>
      <c r="AC182" s="69" t="s">
        <v>85</v>
      </c>
      <c r="AD182" s="38" t="str">
        <f>+IF(ISERROR(VLOOKUP($B182,AD$10:AD181,1,0)),IF(AND($N182&gt;=1000,$A182&gt;=AO$8,$A182&lt;=AO$9),$B182,""),"")</f>
        <v/>
      </c>
      <c r="AE182" s="38" t="str">
        <f>+IF(ISERROR(VLOOKUP($B182,AE$10:AE181,1,0)),IF(AND($N182&gt;=1000,$A182&gt;=AP$8,$A182&lt;=AP$9),$B182,""),"")</f>
        <v/>
      </c>
      <c r="AF182" s="38" t="str">
        <f>+IF(ISERROR(VLOOKUP($B182,AF$10:AF181,1,0)),IF(AND($N182&gt;=1000,$A182&gt;=AQ$8,$A182&lt;=AQ$9),$B182,""),"")</f>
        <v/>
      </c>
      <c r="AG182" s="38" t="str">
        <f>+IF(ISERROR(VLOOKUP($B182,AG$10:AG181,1,0)),IF(AND($N182&gt;=1000,$A182&gt;=AR$8,$A182&lt;=AR$9),$B182,""),"")</f>
        <v/>
      </c>
      <c r="AH182" s="38"/>
      <c r="AI182" s="70">
        <v>0</v>
      </c>
      <c r="AJ182" s="38">
        <f>IF(AND(AJ$7="○",$A182&gt;=AJ$8,$A182&lt;=AJ$9),IF(SUM(AJ$10:AJ181)-ROUNDDOWN($K182*AJ$5/100,0)&lt;-AJ$6,-AJ$6-SUM(AJ$10:AJ181),-ROUNDDOWN($K182*AJ$5/100,0)),0)</f>
        <v>0</v>
      </c>
      <c r="AK182" s="38">
        <f>IF(AND(AK$7="○",$A182&gt;=AK$8,$A182&lt;=AK$9),IF(SUM(AK$10:AK181)-ROUNDDOWN($L182*AK$5/100,0)&lt;-AK$6,-AK$6-SUM(AK$10:AK181),-ROUNDDOWN($L182*AK$5/100,0)),0)</f>
        <v>0</v>
      </c>
      <c r="AL182" s="38">
        <f>IF(AND(AL$7="○",$A182&gt;=AL$8,$A182&lt;=AL$9),IF(SUM(AL$10:AL181)-ROUNDDOWN($N182*AL$5/100,0)&lt;-AL$6,-AL$6-SUM(AL$10:AL181),-ROUNDDOWN($N182*AL$5/100,0)),0)</f>
        <v>0</v>
      </c>
      <c r="AM182" s="38">
        <f>IF(AND(AM$7="○",$A182&gt;=AM$8,$A182&lt;=AM$9),IF(SUM(AM$10:AM181)-ROUNDDOWN($L182*AM$5/100,0)&lt;-AM$6,-AM$6-SUM(AM$10:AM181),-ROUNDDOWN($L182*AM$5/100,0)),0)</f>
        <v>0</v>
      </c>
      <c r="AN182" s="38">
        <f>IF(AND(AN$7="○",$A182&gt;=AN$8,$A182&lt;=AN$9),IF(SUM(AN$10:AN181)-ROUNDDOWN($M182*AN$5/100,0)&lt;-AN$6,-AN$6-SUM(AN$10:AN181),-ROUNDDOWN($M182*AN$5/100,0)),0)</f>
        <v>0</v>
      </c>
      <c r="AO182" s="38">
        <f>IF(AND($A182&gt;=AO$8,$A182&lt;=AO$9),IF(SUM(AO$10:AO181)-ROUNDDOWN($K182*AO$5/100,0)&lt;-AO$6,-AO$6-SUM(AO$10:AO181),-ROUNDDOWN($K182*AO$5/100,0)),0)</f>
        <v>0</v>
      </c>
      <c r="AP182" s="38">
        <f>IF(AND($A182&gt;=AP$8,$A182&lt;=AP$9),IF(SUM(AP$10:AP181)-ROUNDDOWN($K182*AP$5/100,0)&lt;-AP$6,-AP$6-SUM(AP$10:AP181),-ROUNDDOWN($K182*AP$5/100,0)),0)</f>
        <v>0</v>
      </c>
      <c r="AQ182" s="38">
        <f>IF(AND($A182&gt;=AQ$8,$A182&lt;=AQ$9),IF(SUM(AQ$10:AQ181)-ROUNDDOWN($K182*AQ$5/100,0)&lt;-AQ$6,-AQ$6-SUM(AQ$10:AQ181),-ROUNDDOWN($K182*AQ$5/100,0)),0)</f>
        <v>0</v>
      </c>
      <c r="AR182" s="38">
        <f>IF(AND($A182&gt;=AR$8,$A182&lt;=AR$9),IF(SUM(AR$10:AR181)-ROUNDDOWN($K182*AR$5/100,0)&lt;-AR$6,-AR$6-SUM(AR$10:AR181),-ROUNDDOWN($K182*AR$5/100,0)),0)</f>
        <v>0</v>
      </c>
      <c r="AS182" s="38">
        <f>IF(SUMIFS(AS$10:AS181,$A$10:$A181,$A182)-ROUNDDOWN($K182*$S182/100,0)&lt;-$S182*1000,-$S182*1000-SUMIFS(AS$10:AS181,$A$10:$A181,$A182),-ROUNDDOWN($K182*$S182/100,0))</f>
        <v>0</v>
      </c>
      <c r="AT182" s="38">
        <f>IF(AND(X182="○",$A182&gt;=AT$8,$A182&lt;=AT$9,K182&gt;=3980),IF(SUM(AT$10:AT181)-ROUNDDOWN($K182*AT$5/100,0)&lt;-AT$6,-AT$6-SUM(AT$10:AT181),-ROUNDDOWN($K182*AT$5/100,0)),0)</f>
        <v>0</v>
      </c>
      <c r="AU182" s="38">
        <f>IF(O182="○",IF(SUM(AU$10:AU181)-ROUNDDOWN($K182*AU$5/100,0)&lt;-AU$6,-AU$6-SUM(AU$10:AU181),-ROUNDDOWN($K182*AU$5/100,0)),0)</f>
        <v>0</v>
      </c>
      <c r="AV182" s="38">
        <f>IF(P182="○",IF(SUM(AV$10:AV181)-ROUNDDOWN($K182*AV$5/100,0)&lt;-AV$6,-AV$6-SUM(AV$10:AV181),-ROUNDDOWN($K182*AV$5/100,0)),0)</f>
        <v>0</v>
      </c>
      <c r="AW182" s="38">
        <f>IF(Q182="○",IF(SUM(AW$10:AW181)-ROUNDDOWN($K182*AW$5/100,0)&lt;-AW$6,-AW$6-SUM(AW$10:AW181),-ROUNDDOWN($K182*AW$5/100,0)),0)</f>
        <v>0</v>
      </c>
      <c r="AX182" s="38">
        <f>IF(R182="○",IF(SUM(AX$10:AX181)-ROUNDDOWN($K182*AX$5/100,0)&lt;-AX$6,-AX$6-SUM(AX$10:AX181),-ROUNDDOWN($K182*AX$5/100,0)),0)</f>
        <v>0</v>
      </c>
      <c r="AY182" s="70">
        <v>0</v>
      </c>
      <c r="AZ182" s="65">
        <f t="shared" si="132"/>
        <v>0</v>
      </c>
      <c r="BA182" s="65">
        <f t="shared" si="133"/>
        <v>0</v>
      </c>
      <c r="BB182" s="70"/>
      <c r="BC182" s="65">
        <f t="shared" si="134"/>
        <v>0</v>
      </c>
      <c r="BD182" s="70">
        <v>0</v>
      </c>
      <c r="BE182" s="65">
        <f t="shared" si="135"/>
        <v>0</v>
      </c>
      <c r="BF182" s="70">
        <v>0</v>
      </c>
      <c r="BG182" s="65">
        <f t="shared" si="136"/>
        <v>0</v>
      </c>
      <c r="BH182" s="70">
        <v>0</v>
      </c>
      <c r="BI182" s="65">
        <f t="shared" si="137"/>
        <v>0</v>
      </c>
      <c r="BJ182" s="38">
        <f>IF(AND(BJ$7="○",$A182&gt;=BJ$8,$A182&lt;=BJ$9),IF(SUM(BJ$10:BJ181)-ROUNDDOWN($M182*BJ$5/100,0)&lt;-BJ$6,-BJ$6-SUM(BJ$10:BJ181),-ROUNDDOWN($M182*BJ$5/100,0)),0)</f>
        <v>0</v>
      </c>
      <c r="BK182" s="38">
        <f>IF(AND(BK$7="○",$A182&gt;=BK$8,$A182&lt;=BK$9),IF(SUM(BK$10:BK181)-ROUNDDOWN($L182*BK$5/100,0)&lt;-BK$6,-BK$6-SUM(BK$10:BK181),-ROUNDDOWN($L182*BK$5/100,0)),0)</f>
        <v>0</v>
      </c>
      <c r="BL182" s="38">
        <f>IF(AND(BL$7="○",$A182&gt;=BL$8,$A182&lt;=BL$9),IF(SUM(BL$10:BL181)-ROUNDDOWN($L182*BL$5/100,0)&lt;-BL$6,-BL$6-SUM(BL$10:BL181),-ROUNDDOWN($L182*BL$5/100,0)),0)</f>
        <v>0</v>
      </c>
      <c r="BM182" s="38">
        <f>IF(AND(BM$7="○",$A182&gt;=BM$8,$A182&lt;=BM$9),IF(SUM(BM$10:BM181)-ROUNDDOWN($M182*BM$5/100,0)&lt;-BM$6,-BM$6-SUM(BM$10:BM181),-ROUNDDOWN($M182*BM$5/100,0)),0)</f>
        <v>0</v>
      </c>
      <c r="BN182" s="38">
        <f>IF(AND(BN$7="○",$A182&gt;=BN$8,$A182&lt;=BN$9),IF(SUM(BN$10:BN181)-ROUNDDOWN($M182*BN$5/100,0)&lt;-BN$6,-BN$6-SUM(BN$10:BN181),-ROUNDDOWN($M182*BN$5/100,0)),0)</f>
        <v>0</v>
      </c>
      <c r="BO182" s="38">
        <f>IF(AND(BO$7="○",$A182&gt;=BO$8,$A182&lt;=BO$9),IF(SUM(BO$10:BO181)-ROUNDDOWN($M182*BO$5/100,0)&lt;-BO$6,-BO$6-SUM(BO$10:BO181),-ROUNDDOWN($M182*BO$5/100,0)),0)</f>
        <v>0</v>
      </c>
      <c r="BP182" s="38">
        <f>IF(AND(BP$7="○",$A182&gt;=BP$8,$A182&lt;=BP$9),IF(SUM(BP$10:BP181)-ROUNDDOWN($M182*BP$5/100,0)&lt;-BP$6,-BP$6-SUM(BP$10:BP181),-ROUNDDOWN($M182*BP$5/100,0)),0)</f>
        <v>0</v>
      </c>
      <c r="BQ182" s="38">
        <f>IF(AND(BQ$7="○",$A182&gt;=BQ$8,$A182&lt;=BQ$9),IF(SUM(BQ$10:BQ181)-ROUNDDOWN($L182*BQ$5/100,0)&lt;-BQ$6,-BQ$6-SUM(BQ$10:BQ181),-ROUNDDOWN($L182*BQ$5/100,0)),0)</f>
        <v>0</v>
      </c>
      <c r="BR182" s="38">
        <f>IF(AND(BR$7="○",$A182&gt;=BR$8,$A182&lt;=BR$9),IF(SUM(BR$10:BR181)-ROUNDDOWN($M182*BR$5/100,0)&lt;-BR$6,-BR$6-SUM(BR$10:BR181),-ROUNDDOWN($M182*BR$5/100,0)),0)</f>
        <v>0</v>
      </c>
      <c r="BS182" s="38">
        <f>IF(AND(BS$7="○",$A182&gt;=BS$8,$A182&lt;=BS$9),IF(SUM(BS$10:BS181)-ROUNDDOWN($M182*BS$5/100,0)&lt;-BS$6,-BS$6-SUM(BS$10:BS181),-ROUNDDOWN($M182*BS$5/100,0)),0)</f>
        <v>0</v>
      </c>
      <c r="BT182" s="38">
        <f>IF(AND(BT$7="○",$A182&gt;=BT$8,$A182&lt;=BT$9),IF(SUM(BT$10:BT181)-ROUNDDOWN($M182*BT$5/100,0)&lt;-BT$6,-BT$6-SUM(BT$10:BT181),-ROUNDDOWN($M182*BT$5/100,0)),0)</f>
        <v>0</v>
      </c>
      <c r="BU182" s="38">
        <f>IF(AND(BU$7="○",$A182&gt;=BU$8,$A182&lt;=BU$9),IF(SUM(BU$10:BU181)-ROUNDDOWN($M182*BU$5/100,0)&lt;-BU$6,-BU$6-SUM(BU$10:BU181),-ROUNDDOWN($M182*BU$5/100,0)),0)</f>
        <v>0</v>
      </c>
      <c r="BV182" s="38">
        <f>IF(AND(BV$7="○",$A182&gt;=BV$8,$A182&lt;=BV$9),IF(SUM(BV$10:BV181)-ROUNDDOWN($M182*BV$5/100,0)&lt;-BV$6,-BV$6-SUM(BV$10:BV181),-ROUNDDOWN($M182*BV$5/100,0)),0)</f>
        <v>0</v>
      </c>
      <c r="BW182" s="38">
        <f>IF(AND(BW$7="○",$A182&gt;=BW$8,$A182&lt;=BW$9),IF(SUM(BW$10:BW181)-ROUNDDOWN($M182*BW$5/100,0)&lt;-BW$6,-BW$6-SUM(BW$10:BW181),-ROUNDDOWN($M182*BW$5/100,0)),0)</f>
        <v>0</v>
      </c>
      <c r="BX182" s="38">
        <f>IF(AND(T182="○",$A182&gt;=BX$8,$A182&lt;=BX$9),IF(SUM(BX$10:BX181)-ROUNDDOWN($K182*BX$5/100,0)&lt;-BX$6,-BX$6-SUM(BX$10:BX181),-ROUNDDOWN($K182*BX$5/100,0)),0)</f>
        <v>0</v>
      </c>
      <c r="BY182" s="38">
        <f>IF(AND(U182="○",$A182&gt;=BY$8,$A182&lt;=BY$9),IF(SUM(BY$10:BY181)-ROUNDDOWN($K182*BY$5/100,0)&lt;-BY$6,-BY$6-SUM(BY$10:BY181),-ROUNDDOWN($K182*BY$5/100,0)),0)</f>
        <v>0</v>
      </c>
      <c r="BZ182" s="38">
        <f>IF(AND(V182="○",$A182&gt;=BZ$8,$A182&lt;=BZ$9),IF(SUM(BZ$10:BZ181)-ROUNDDOWN($K182*BZ$5/100,0)&lt;-BZ$6,-BZ$6-SUM(BZ$10:BZ181),-ROUNDDOWN($K182*BZ$5/100,0)),0)</f>
        <v>0</v>
      </c>
      <c r="CA182" s="38">
        <f>IF(AND(W182="○",$A182&gt;=CA$8,$A182&lt;=CA$9),IF(SUM(CA$10:CA181)-ROUNDDOWN($K182*CA$5/100,0)&lt;-CA$6,-CA$6-SUM(CA$10:CA181),-ROUNDDOWN($K182*CA$5/100,0)),0)</f>
        <v>0</v>
      </c>
      <c r="CB182" s="38"/>
      <c r="CC182" s="38"/>
      <c r="CD182" s="38"/>
      <c r="CE182" s="38"/>
      <c r="CF182" s="38"/>
      <c r="CG182" s="65">
        <f t="shared" si="138"/>
        <v>0</v>
      </c>
      <c r="CH182" s="71">
        <f t="shared" si="139"/>
        <v>0</v>
      </c>
      <c r="CI182" s="1">
        <f t="shared" si="19"/>
        <v>0</v>
      </c>
      <c r="CJ182" s="1"/>
      <c r="CK182" s="75"/>
      <c r="CL182" s="75"/>
      <c r="CM182" s="2"/>
      <c r="CN182" s="2"/>
      <c r="CO182" s="73">
        <f t="shared" si="20"/>
        <v>0</v>
      </c>
      <c r="CP182" s="5">
        <f t="shared" si="21"/>
        <v>0</v>
      </c>
      <c r="CQ182" s="1"/>
      <c r="CR182" s="1">
        <f t="shared" si="22"/>
        <v>0</v>
      </c>
      <c r="CS182" s="1"/>
      <c r="CT182" s="1" t="e">
        <f>INDEX([2]マスタ!$A:$A,MATCH(D182,[2]マスタ!$C:$C,0))</f>
        <v>#N/A</v>
      </c>
      <c r="CU182" s="1" t="str">
        <f t="shared" ca="1" si="23"/>
        <v>20260620_0-0</v>
      </c>
    </row>
    <row r="183" spans="1:99" x14ac:dyDescent="0.4">
      <c r="A183" s="61"/>
      <c r="B183" s="62"/>
      <c r="C183" s="62"/>
      <c r="D183" s="62"/>
      <c r="E183" s="63"/>
      <c r="F183" s="62"/>
      <c r="G183" s="62">
        <v>1</v>
      </c>
      <c r="H183" s="64">
        <f t="shared" si="4"/>
        <v>0</v>
      </c>
      <c r="I183" s="64"/>
      <c r="J183" s="64"/>
      <c r="K183" s="65">
        <f>+ROUNDDOWN((H183+I183)/100,0)*100</f>
        <v>0</v>
      </c>
      <c r="L183" s="65">
        <f t="shared" si="6"/>
        <v>0</v>
      </c>
      <c r="M183" s="65">
        <f t="shared" si="7"/>
        <v>0</v>
      </c>
      <c r="N183" s="65">
        <f t="shared" si="8"/>
        <v>0</v>
      </c>
      <c r="O183" s="66" t="str">
        <f t="shared" si="145"/>
        <v>✕</v>
      </c>
      <c r="P183" s="67" t="str">
        <f t="shared" si="146"/>
        <v>○</v>
      </c>
      <c r="Q183" s="67" t="str">
        <f>+IF((TEXT($A183,"DD")+0)=1,"○","✕")</f>
        <v>✕</v>
      </c>
      <c r="R183" s="67" t="str">
        <f t="shared" si="148"/>
        <v>✕</v>
      </c>
      <c r="S183" s="68">
        <v>0</v>
      </c>
      <c r="T183" s="69" t="s">
        <v>85</v>
      </c>
      <c r="U183" s="69" t="s">
        <v>85</v>
      </c>
      <c r="V183" s="69" t="s">
        <v>85</v>
      </c>
      <c r="W183" s="69" t="s">
        <v>85</v>
      </c>
      <c r="X183" s="69" t="s">
        <v>84</v>
      </c>
      <c r="Y183" s="69" t="s">
        <v>85</v>
      </c>
      <c r="Z183" s="69" t="s">
        <v>85</v>
      </c>
      <c r="AA183" s="69" t="s">
        <v>85</v>
      </c>
      <c r="AB183" s="69" t="s">
        <v>85</v>
      </c>
      <c r="AC183" s="69" t="s">
        <v>85</v>
      </c>
      <c r="AD183" s="38" t="str">
        <f>+IF(ISERROR(VLOOKUP($B183,AD$10:AD182,1,0)),IF(AND($N183&gt;=1000,$A183&gt;=AO$8,$A183&lt;=AO$9),$B183,""),"")</f>
        <v/>
      </c>
      <c r="AE183" s="38" t="str">
        <f>+IF(ISERROR(VLOOKUP($B183,AE$10:AE182,1,0)),IF(AND($N183&gt;=1000,$A183&gt;=AP$8,$A183&lt;=AP$9),$B183,""),"")</f>
        <v/>
      </c>
      <c r="AF183" s="38" t="str">
        <f>+IF(ISERROR(VLOOKUP($B183,AF$10:AF182,1,0)),IF(AND($N183&gt;=1000,$A183&gt;=AQ$8,$A183&lt;=AQ$9),$B183,""),"")</f>
        <v/>
      </c>
      <c r="AG183" s="38" t="str">
        <f>+IF(ISERROR(VLOOKUP($B183,AG$10:AG182,1,0)),IF(AND($N183&gt;=1000,$A183&gt;=AR$8,$A183&lt;=AR$9),$B183,""),"")</f>
        <v/>
      </c>
      <c r="AH183" s="38"/>
      <c r="AI183" s="70">
        <v>0</v>
      </c>
      <c r="AJ183" s="38">
        <f>IF(AND(AJ$7="○",$A183&gt;=AJ$8,$A183&lt;=AJ$9),IF(SUM(AJ$10:AJ182)-ROUNDDOWN($K183*AJ$5/100,0)&lt;-AJ$6,-AJ$6-SUM(AJ$10:AJ182),-ROUNDDOWN($K183*AJ$5/100,0)),0)</f>
        <v>0</v>
      </c>
      <c r="AK183" s="38">
        <f>IF(AND(AK$7="○",$A183&gt;=AK$8,$A183&lt;=AK$9),IF(SUM(AK$10:AK182)-ROUNDDOWN($L183*AK$5/100,0)&lt;-AK$6,-AK$6-SUM(AK$10:AK182),-ROUNDDOWN($L183*AK$5/100,0)),0)</f>
        <v>0</v>
      </c>
      <c r="AL183" s="38">
        <f>IF(AND(AL$7="○",$A183&gt;=AL$8,$A183&lt;=AL$9),IF(SUM(AL$10:AL182)-ROUNDDOWN($N183*AL$5/100,0)&lt;-AL$6,-AL$6-SUM(AL$10:AL182),-ROUNDDOWN($N183*AL$5/100,0)),0)</f>
        <v>0</v>
      </c>
      <c r="AM183" s="38">
        <f>IF(AND(AM$7="○",$A183&gt;=AM$8,$A183&lt;=AM$9),IF(SUM(AM$10:AM182)-ROUNDDOWN($L183*AM$5/100,0)&lt;-AM$6,-AM$6-SUM(AM$10:AM182),-ROUNDDOWN($L183*AM$5/100,0)),0)</f>
        <v>0</v>
      </c>
      <c r="AN183" s="38">
        <f>IF(AND(AN$7="○",$A183&gt;=AN$8,$A183&lt;=AN$9),IF(SUM(AN$10:AN182)-ROUNDDOWN($M183*AN$5/100,0)&lt;-AN$6,-AN$6-SUM(AN$10:AN182),-ROUNDDOWN($M183*AN$5/100,0)),0)</f>
        <v>0</v>
      </c>
      <c r="AO183" s="38">
        <f>IF(AND($A183&gt;=AO$8,$A183&lt;=AO$9),IF(SUM(AO$10:AO182)-ROUNDDOWN($K183*AO$5/100,0)&lt;-AO$6,-AO$6-SUM(AO$10:AO182),-ROUNDDOWN($K183*AO$5/100,0)),0)</f>
        <v>0</v>
      </c>
      <c r="AP183" s="38">
        <f>IF(AND($A183&gt;=AP$8,$A183&lt;=AP$9),IF(SUM(AP$10:AP182)-ROUNDDOWN($K183*AP$5/100,0)&lt;-AP$6,-AP$6-SUM(AP$10:AP182),-ROUNDDOWN($K183*AP$5/100,0)),0)</f>
        <v>0</v>
      </c>
      <c r="AQ183" s="38">
        <f>IF(AND($A183&gt;=AQ$8,$A183&lt;=AQ$9),IF(SUM(AQ$10:AQ182)-ROUNDDOWN($K183*AQ$5/100,0)&lt;-AQ$6,-AQ$6-SUM(AQ$10:AQ182),-ROUNDDOWN($K183*AQ$5/100,0)),0)</f>
        <v>0</v>
      </c>
      <c r="AR183" s="38">
        <f>IF(AND($A183&gt;=AR$8,$A183&lt;=AR$9),IF(SUM(AR$10:AR182)-ROUNDDOWN($K183*AR$5/100,0)&lt;-AR$6,-AR$6-SUM(AR$10:AR182),-ROUNDDOWN($K183*AR$5/100,0)),0)</f>
        <v>0</v>
      </c>
      <c r="AS183" s="38">
        <f>IF(SUMIFS(AS$10:AS182,$A$10:$A182,$A183)-ROUNDDOWN($K183*$S183/100,0)&lt;-$S183*1000,-$S183*1000-SUMIFS(AS$10:AS182,$A$10:$A182,$A183),-ROUNDDOWN($K183*$S183/100,0))</f>
        <v>0</v>
      </c>
      <c r="AT183" s="38">
        <f>IF(AND(X183="○",$A183&gt;=AT$8,$A183&lt;=AT$9,K183&gt;=3980),IF(SUM(AT$10:AT182)-ROUNDDOWN($K183*AT$5/100,0)&lt;-AT$6,-AT$6-SUM(AT$10:AT182),-ROUNDDOWN($K183*AT$5/100,0)),0)</f>
        <v>0</v>
      </c>
      <c r="AU183" s="38">
        <f>IF(O183="○",IF(SUM(AU$10:AU182)-ROUNDDOWN($K183*AU$5/100,0)&lt;-AU$6,-AU$6-SUM(AU$10:AU182),-ROUNDDOWN($K183*AU$5/100,0)),0)</f>
        <v>0</v>
      </c>
      <c r="AV183" s="38">
        <f>IF(P183="○",IF(SUM(AV$10:AV182)-ROUNDDOWN($K183*AV$5/100,0)&lt;-AV$6,-AV$6-SUM(AV$10:AV182),-ROUNDDOWN($K183*AV$5/100,0)),0)</f>
        <v>0</v>
      </c>
      <c r="AW183" s="38">
        <f>IF(Q183="○",IF(SUM(AW$10:AW182)-ROUNDDOWN($K183*AW$5/100,0)&lt;-AW$6,-AW$6-SUM(AW$10:AW182),-ROUNDDOWN($K183*AW$5/100,0)),0)</f>
        <v>0</v>
      </c>
      <c r="AX183" s="38">
        <f>IF(R183="○",IF(SUM(AX$10:AX182)-ROUNDDOWN($K183*AX$5/100,0)&lt;-AX$6,-AX$6-SUM(AX$10:AX182),-ROUNDDOWN($K183*AX$5/100,0)),0)</f>
        <v>0</v>
      </c>
      <c r="AY183" s="70">
        <v>0</v>
      </c>
      <c r="AZ183" s="65">
        <f t="shared" si="132"/>
        <v>0</v>
      </c>
      <c r="BA183" s="65">
        <f t="shared" si="133"/>
        <v>0</v>
      </c>
      <c r="BB183" s="70"/>
      <c r="BC183" s="65">
        <f t="shared" si="134"/>
        <v>0</v>
      </c>
      <c r="BD183" s="70">
        <v>0</v>
      </c>
      <c r="BE183" s="65">
        <f t="shared" si="135"/>
        <v>0</v>
      </c>
      <c r="BF183" s="70">
        <v>0</v>
      </c>
      <c r="BG183" s="65">
        <f t="shared" si="136"/>
        <v>0</v>
      </c>
      <c r="BH183" s="70">
        <v>0</v>
      </c>
      <c r="BI183" s="65">
        <f t="shared" si="137"/>
        <v>0</v>
      </c>
      <c r="BJ183" s="38">
        <f>IF(AND(BJ$7="○",$A183&gt;=BJ$8,$A183&lt;=BJ$9),IF(SUM(BJ$10:BJ182)-ROUNDDOWN($M183*BJ$5/100,0)&lt;-BJ$6,-BJ$6-SUM(BJ$10:BJ182),-ROUNDDOWN($M183*BJ$5/100,0)),0)</f>
        <v>0</v>
      </c>
      <c r="BK183" s="38">
        <f>IF(AND(BK$7="○",$A183&gt;=BK$8,$A183&lt;=BK$9),IF(SUM(BK$10:BK182)-ROUNDDOWN($L183*BK$5/100,0)&lt;-BK$6,-BK$6-SUM(BK$10:BK182),-ROUNDDOWN($L183*BK$5/100,0)),0)</f>
        <v>0</v>
      </c>
      <c r="BL183" s="38">
        <f>IF(AND(BL$7="○",$A183&gt;=BL$8,$A183&lt;=BL$9),IF(SUM(BL$10:BL182)-ROUNDDOWN($L183*BL$5/100,0)&lt;-BL$6,-BL$6-SUM(BL$10:BL182),-ROUNDDOWN($L183*BL$5/100,0)),0)</f>
        <v>0</v>
      </c>
      <c r="BM183" s="38">
        <f>IF(AND(BM$7="○",$A183&gt;=BM$8,$A183&lt;=BM$9),IF(SUM(BM$10:BM182)-ROUNDDOWN($M183*BM$5/100,0)&lt;-BM$6,-BM$6-SUM(BM$10:BM182),-ROUNDDOWN($M183*BM$5/100,0)),0)</f>
        <v>0</v>
      </c>
      <c r="BN183" s="38">
        <f>IF(AND(BN$7="○",$A183&gt;=BN$8,$A183&lt;=BN$9),IF(SUM(BN$10:BN182)-ROUNDDOWN($M183*BN$5/100,0)&lt;-BN$6,-BN$6-SUM(BN$10:BN182),-ROUNDDOWN($M183*BN$5/100,0)),0)</f>
        <v>0</v>
      </c>
      <c r="BO183" s="38">
        <f>IF(AND(BO$7="○",$A183&gt;=BO$8,$A183&lt;=BO$9),IF(SUM(BO$10:BO182)-ROUNDDOWN($M183*BO$5/100,0)&lt;-BO$6,-BO$6-SUM(BO$10:BO182),-ROUNDDOWN($M183*BO$5/100,0)),0)</f>
        <v>0</v>
      </c>
      <c r="BP183" s="38">
        <f>IF(AND(BP$7="○",$A183&gt;=BP$8,$A183&lt;=BP$9),IF(SUM(BP$10:BP182)-ROUNDDOWN($M183*BP$5/100,0)&lt;-BP$6,-BP$6-SUM(BP$10:BP182),-ROUNDDOWN($M183*BP$5/100,0)),0)</f>
        <v>0</v>
      </c>
      <c r="BQ183" s="38">
        <f>IF(AND(BQ$7="○",$A183&gt;=BQ$8,$A183&lt;=BQ$9),IF(SUM(BQ$10:BQ182)-ROUNDDOWN($L183*BQ$5/100,0)&lt;-BQ$6,-BQ$6-SUM(BQ$10:BQ182),-ROUNDDOWN($L183*BQ$5/100,0)),0)</f>
        <v>0</v>
      </c>
      <c r="BR183" s="38">
        <f>IF(AND(BR$7="○",$A183&gt;=BR$8,$A183&lt;=BR$9),IF(SUM(BR$10:BR182)-ROUNDDOWN($M183*BR$5/100,0)&lt;-BR$6,-BR$6-SUM(BR$10:BR182),-ROUNDDOWN($M183*BR$5/100,0)),0)</f>
        <v>0</v>
      </c>
      <c r="BS183" s="38">
        <f>IF(AND(BS$7="○",$A183&gt;=BS$8,$A183&lt;=BS$9),IF(SUM(BS$10:BS182)-ROUNDDOWN($M183*BS$5/100,0)&lt;-BS$6,-BS$6-SUM(BS$10:BS182),-ROUNDDOWN($M183*BS$5/100,0)),0)</f>
        <v>0</v>
      </c>
      <c r="BT183" s="38">
        <f>IF(AND(BT$7="○",$A183&gt;=BT$8,$A183&lt;=BT$9),IF(SUM(BT$10:BT182)-ROUNDDOWN($M183*BT$5/100,0)&lt;-BT$6,-BT$6-SUM(BT$10:BT182),-ROUNDDOWN($M183*BT$5/100,0)),0)</f>
        <v>0</v>
      </c>
      <c r="BU183" s="38">
        <f>IF(AND(BU$7="○",$A183&gt;=BU$8,$A183&lt;=BU$9),IF(SUM(BU$10:BU182)-ROUNDDOWN($M183*BU$5/100,0)&lt;-BU$6,-BU$6-SUM(BU$10:BU182),-ROUNDDOWN($M183*BU$5/100,0)),0)</f>
        <v>0</v>
      </c>
      <c r="BV183" s="38">
        <f>IF(AND(BV$7="○",$A183&gt;=BV$8,$A183&lt;=BV$9),IF(SUM(BV$10:BV182)-ROUNDDOWN($M183*BV$5/100,0)&lt;-BV$6,-BV$6-SUM(BV$10:BV182),-ROUNDDOWN($M183*BV$5/100,0)),0)</f>
        <v>0</v>
      </c>
      <c r="BW183" s="38">
        <f>IF(AND(BW$7="○",$A183&gt;=BW$8,$A183&lt;=BW$9),IF(SUM(BW$10:BW182)-ROUNDDOWN($M183*BW$5/100,0)&lt;-BW$6,-BW$6-SUM(BW$10:BW182),-ROUNDDOWN($M183*BW$5/100,0)),0)</f>
        <v>0</v>
      </c>
      <c r="BX183" s="38">
        <f>IF(AND(T183="○",$A183&gt;=BX$8,$A183&lt;=BX$9),IF(SUM(BX$10:BX182)-ROUNDDOWN($K183*BX$5/100,0)&lt;-BX$6,-BX$6-SUM(BX$10:BX182),-ROUNDDOWN($K183*BX$5/100,0)),0)</f>
        <v>0</v>
      </c>
      <c r="BY183" s="38">
        <f>IF(AND(U183="○",$A183&gt;=BY$8,$A183&lt;=BY$9),IF(SUM(BY$10:BY182)-ROUNDDOWN($K183*BY$5/100,0)&lt;-BY$6,-BY$6-SUM(BY$10:BY182),-ROUNDDOWN($K183*BY$5/100,0)),0)</f>
        <v>0</v>
      </c>
      <c r="BZ183" s="38">
        <f>IF(AND(V183="○",$A183&gt;=BZ$8,$A183&lt;=BZ$9),IF(SUM(BZ$10:BZ182)-ROUNDDOWN($K183*BZ$5/100,0)&lt;-BZ$6,-BZ$6-SUM(BZ$10:BZ182),-ROUNDDOWN($K183*BZ$5/100,0)),0)</f>
        <v>0</v>
      </c>
      <c r="CA183" s="38">
        <f>IF(AND(W183="○",$A183&gt;=CA$8,$A183&lt;=CA$9),IF(SUM(CA$10:CA182)-ROUNDDOWN($K183*CA$5/100,0)&lt;-CA$6,-CA$6-SUM(CA$10:CA182),-ROUNDDOWN($K183*CA$5/100,0)),0)</f>
        <v>0</v>
      </c>
      <c r="CB183" s="38"/>
      <c r="CC183" s="38"/>
      <c r="CD183" s="38"/>
      <c r="CE183" s="38"/>
      <c r="CF183" s="38"/>
      <c r="CG183" s="65">
        <f t="shared" si="138"/>
        <v>0</v>
      </c>
      <c r="CH183" s="71">
        <f t="shared" si="139"/>
        <v>0</v>
      </c>
      <c r="CI183" s="1">
        <f t="shared" si="19"/>
        <v>0</v>
      </c>
      <c r="CJ183" s="1"/>
      <c r="CK183" s="72"/>
      <c r="CL183" s="72"/>
      <c r="CM183" s="2"/>
      <c r="CN183" s="2"/>
      <c r="CO183" s="73">
        <f t="shared" si="20"/>
        <v>0</v>
      </c>
      <c r="CP183" s="5">
        <f t="shared" si="21"/>
        <v>0</v>
      </c>
      <c r="CQ183" s="1"/>
      <c r="CR183" s="1">
        <f t="shared" si="22"/>
        <v>0</v>
      </c>
      <c r="CS183" s="1"/>
      <c r="CT183" s="1" t="e">
        <f>INDEX([2]マスタ!$A:$A,MATCH(D183,[2]マスタ!$C:$C,0))</f>
        <v>#N/A</v>
      </c>
      <c r="CU183" s="1" t="str">
        <f t="shared" ca="1" si="23"/>
        <v>20260620_0-0</v>
      </c>
    </row>
    <row r="184" spans="1:99" x14ac:dyDescent="0.4">
      <c r="A184" s="61"/>
      <c r="B184" s="62"/>
      <c r="C184" s="62"/>
      <c r="D184" s="62"/>
      <c r="E184" s="77"/>
      <c r="F184" s="62"/>
      <c r="G184" s="62">
        <v>1</v>
      </c>
      <c r="H184" s="64">
        <f t="shared" si="4"/>
        <v>0</v>
      </c>
      <c r="I184" s="64"/>
      <c r="J184" s="64"/>
      <c r="K184" s="65">
        <f>+ROUNDDOWN((H184+I184)/100,0)*100</f>
        <v>0</v>
      </c>
      <c r="L184" s="65">
        <f t="shared" si="6"/>
        <v>0</v>
      </c>
      <c r="M184" s="65">
        <f t="shared" si="7"/>
        <v>0</v>
      </c>
      <c r="N184" s="65">
        <f t="shared" si="8"/>
        <v>0</v>
      </c>
      <c r="O184" s="66" t="str">
        <f t="shared" si="145"/>
        <v>✕</v>
      </c>
      <c r="P184" s="67" t="str">
        <f t="shared" si="146"/>
        <v>○</v>
      </c>
      <c r="Q184" s="67" t="str">
        <f>+IF((TEXT($A184,"DD")+0)=1,"○","✕")</f>
        <v>✕</v>
      </c>
      <c r="R184" s="67" t="str">
        <f t="shared" si="148"/>
        <v>✕</v>
      </c>
      <c r="S184" s="68">
        <v>0</v>
      </c>
      <c r="T184" s="69" t="s">
        <v>85</v>
      </c>
      <c r="U184" s="69" t="s">
        <v>85</v>
      </c>
      <c r="V184" s="69" t="s">
        <v>85</v>
      </c>
      <c r="W184" s="69" t="s">
        <v>85</v>
      </c>
      <c r="X184" s="69" t="s">
        <v>84</v>
      </c>
      <c r="Y184" s="69" t="s">
        <v>85</v>
      </c>
      <c r="Z184" s="69" t="s">
        <v>85</v>
      </c>
      <c r="AA184" s="69" t="s">
        <v>85</v>
      </c>
      <c r="AB184" s="69" t="s">
        <v>85</v>
      </c>
      <c r="AC184" s="69" t="s">
        <v>85</v>
      </c>
      <c r="AD184" s="38" t="str">
        <f>+IF(ISERROR(VLOOKUP($B184,AD$10:AD183,1,0)),IF(AND($N184&gt;=1000,$A184&gt;=AO$8,$A184&lt;=AO$9),$B184,""),"")</f>
        <v/>
      </c>
      <c r="AE184" s="38" t="str">
        <f>+IF(ISERROR(VLOOKUP($B184,AE$10:AE183,1,0)),IF(AND($N184&gt;=1000,$A184&gt;=AP$8,$A184&lt;=AP$9),$B184,""),"")</f>
        <v/>
      </c>
      <c r="AF184" s="38" t="str">
        <f>+IF(ISERROR(VLOOKUP($B184,AF$10:AF183,1,0)),IF(AND($N184&gt;=1000,$A184&gt;=AQ$8,$A184&lt;=AQ$9),$B184,""),"")</f>
        <v/>
      </c>
      <c r="AG184" s="38" t="str">
        <f>+IF(ISERROR(VLOOKUP($B184,AG$10:AG183,1,0)),IF(AND($N184&gt;=1000,$A184&gt;=AR$8,$A184&lt;=AR$9),$B184,""),"")</f>
        <v/>
      </c>
      <c r="AH184" s="38"/>
      <c r="AI184" s="70">
        <v>0</v>
      </c>
      <c r="AJ184" s="38">
        <f>IF(AND(AJ$7="○",$A184&gt;=AJ$8,$A184&lt;=AJ$9),IF(SUM(AJ$10:AJ183)-ROUNDDOWN($K184*AJ$5/100,0)&lt;-AJ$6,-AJ$6-SUM(AJ$10:AJ183),-ROUNDDOWN($K184*AJ$5/100,0)),0)</f>
        <v>0</v>
      </c>
      <c r="AK184" s="38">
        <f>IF(AND(AK$7="○",$A184&gt;=AK$8,$A184&lt;=AK$9),IF(SUM(AK$10:AK183)-ROUNDDOWN($L184*AK$5/100,0)&lt;-AK$6,-AK$6-SUM(AK$10:AK183),-ROUNDDOWN($L184*AK$5/100,0)),0)</f>
        <v>0</v>
      </c>
      <c r="AL184" s="38">
        <f>IF(AND(AL$7="○",$A184&gt;=AL$8,$A184&lt;=AL$9),IF(SUM(AL$10:AL183)-ROUNDDOWN($N184*AL$5/100,0)&lt;-AL$6,-AL$6-SUM(AL$10:AL183),-ROUNDDOWN($N184*AL$5/100,0)),0)</f>
        <v>0</v>
      </c>
      <c r="AM184" s="38">
        <f>IF(AND(AM$7="○",$A184&gt;=AM$8,$A184&lt;=AM$9),IF(SUM(AM$10:AM183)-ROUNDDOWN($L184*AM$5/100,0)&lt;-AM$6,-AM$6-SUM(AM$10:AM183),-ROUNDDOWN($L184*AM$5/100,0)),0)</f>
        <v>0</v>
      </c>
      <c r="AN184" s="38">
        <f>IF(AND(AN$7="○",$A184&gt;=AN$8,$A184&lt;=AN$9),IF(SUM(AN$10:AN183)-ROUNDDOWN($M184*AN$5/100,0)&lt;-AN$6,-AN$6-SUM(AN$10:AN183),-ROUNDDOWN($M184*AN$5/100,0)),0)</f>
        <v>0</v>
      </c>
      <c r="AO184" s="38">
        <f>IF(AND($A184&gt;=AO$8,$A184&lt;=AO$9),IF(SUM(AO$10:AO183)-ROUNDDOWN($K184*AO$5/100,0)&lt;-AO$6,-AO$6-SUM(AO$10:AO183),-ROUNDDOWN($K184*AO$5/100,0)),0)</f>
        <v>0</v>
      </c>
      <c r="AP184" s="38">
        <f>IF(AND($A184&gt;=AP$8,$A184&lt;=AP$9),IF(SUM(AP$10:AP183)-ROUNDDOWN($K184*AP$5/100,0)&lt;-AP$6,-AP$6-SUM(AP$10:AP183),-ROUNDDOWN($K184*AP$5/100,0)),0)</f>
        <v>0</v>
      </c>
      <c r="AQ184" s="38">
        <f>IF(AND($A184&gt;=AQ$8,$A184&lt;=AQ$9),IF(SUM(AQ$10:AQ183)-ROUNDDOWN($K184*AQ$5/100,0)&lt;-AQ$6,-AQ$6-SUM(AQ$10:AQ183),-ROUNDDOWN($K184*AQ$5/100,0)),0)</f>
        <v>0</v>
      </c>
      <c r="AR184" s="38">
        <f>IF(AND($A184&gt;=AR$8,$A184&lt;=AR$9),IF(SUM(AR$10:AR183)-ROUNDDOWN($K184*AR$5/100,0)&lt;-AR$6,-AR$6-SUM(AR$10:AR183),-ROUNDDOWN($K184*AR$5/100,0)),0)</f>
        <v>0</v>
      </c>
      <c r="AS184" s="38">
        <f>IF(SUMIFS(AS$10:AS183,$A$10:$A183,$A184)-ROUNDDOWN($K184*$S184/100,0)&lt;-$S184*1000,-$S184*1000-SUMIFS(AS$10:AS183,$A$10:$A183,$A184),-ROUNDDOWN($K184*$S184/100,0))</f>
        <v>0</v>
      </c>
      <c r="AT184" s="38">
        <f>IF(AND(X184="○",$A184&gt;=AT$8,$A184&lt;=AT$9,K184&gt;=3980),IF(SUM(AT$10:AT183)-ROUNDDOWN($K184*AT$5/100,0)&lt;-AT$6,-AT$6-SUM(AT$10:AT183),-ROUNDDOWN($K184*AT$5/100,0)),0)</f>
        <v>0</v>
      </c>
      <c r="AU184" s="38">
        <f>IF(O184="○",IF(SUM(AU$10:AU183)-ROUNDDOWN($K184*AU$5/100,0)&lt;-AU$6,-AU$6-SUM(AU$10:AU183),-ROUNDDOWN($K184*AU$5/100,0)),0)</f>
        <v>0</v>
      </c>
      <c r="AV184" s="38">
        <f>IF(P184="○",IF(SUM(AV$10:AV183)-ROUNDDOWN($K184*AV$5/100,0)&lt;-AV$6,-AV$6-SUM(AV$10:AV183),-ROUNDDOWN($K184*AV$5/100,0)),0)</f>
        <v>0</v>
      </c>
      <c r="AW184" s="38">
        <f>IF(Q184="○",IF(SUM(AW$10:AW183)-ROUNDDOWN($K184*AW$5/100,0)&lt;-AW$6,-AW$6-SUM(AW$10:AW183),-ROUNDDOWN($K184*AW$5/100,0)),0)</f>
        <v>0</v>
      </c>
      <c r="AX184" s="38">
        <f>IF(R184="○",IF(SUM(AX$10:AX183)-ROUNDDOWN($K184*AX$5/100,0)&lt;-AX$6,-AX$6-SUM(AX$10:AX183),-ROUNDDOWN($K184*AX$5/100,0)),0)</f>
        <v>0</v>
      </c>
      <c r="AY184" s="70">
        <v>0</v>
      </c>
      <c r="AZ184" s="65">
        <f t="shared" si="132"/>
        <v>0</v>
      </c>
      <c r="BA184" s="65">
        <f t="shared" si="133"/>
        <v>0</v>
      </c>
      <c r="BB184" s="70"/>
      <c r="BC184" s="65">
        <f t="shared" si="134"/>
        <v>0</v>
      </c>
      <c r="BD184" s="70">
        <v>0</v>
      </c>
      <c r="BE184" s="65">
        <f t="shared" si="135"/>
        <v>0</v>
      </c>
      <c r="BF184" s="70">
        <v>0</v>
      </c>
      <c r="BG184" s="65">
        <f t="shared" si="136"/>
        <v>0</v>
      </c>
      <c r="BH184" s="70">
        <v>0</v>
      </c>
      <c r="BI184" s="65">
        <f t="shared" si="137"/>
        <v>0</v>
      </c>
      <c r="BJ184" s="38">
        <f>IF(AND(BJ$7="○",$A184&gt;=BJ$8,$A184&lt;=BJ$9),IF(SUM(BJ$10:BJ183)-ROUNDDOWN($M184*BJ$5/100,0)&lt;-BJ$6,-BJ$6-SUM(BJ$10:BJ183),-ROUNDDOWN($M184*BJ$5/100,0)),0)</f>
        <v>0</v>
      </c>
      <c r="BK184" s="38">
        <f>IF(AND(BK$7="○",$A184&gt;=BK$8,$A184&lt;=BK$9),IF(SUM(BK$10:BK183)-ROUNDDOWN($L184*BK$5/100,0)&lt;-BK$6,-BK$6-SUM(BK$10:BK183),-ROUNDDOWN($L184*BK$5/100,0)),0)</f>
        <v>0</v>
      </c>
      <c r="BL184" s="38">
        <f>IF(AND(BL$7="○",$A184&gt;=BL$8,$A184&lt;=BL$9),IF(SUM(BL$10:BL183)-ROUNDDOWN($L184*BL$5/100,0)&lt;-BL$6,-BL$6-SUM(BL$10:BL183),-ROUNDDOWN($L184*BL$5/100,0)),0)</f>
        <v>0</v>
      </c>
      <c r="BM184" s="38">
        <f>IF(AND(BM$7="○",$A184&gt;=BM$8,$A184&lt;=BM$9),IF(SUM(BM$10:BM183)-ROUNDDOWN($M184*BM$5/100,0)&lt;-BM$6,-BM$6-SUM(BM$10:BM183),-ROUNDDOWN($M184*BM$5/100,0)),0)</f>
        <v>0</v>
      </c>
      <c r="BN184" s="38">
        <f>IF(AND(BN$7="○",$A184&gt;=BN$8,$A184&lt;=BN$9),IF(SUM(BN$10:BN183)-ROUNDDOWN($M184*BN$5/100,0)&lt;-BN$6,-BN$6-SUM(BN$10:BN183),-ROUNDDOWN($M184*BN$5/100,0)),0)</f>
        <v>0</v>
      </c>
      <c r="BO184" s="38">
        <f>IF(AND(BO$7="○",$A184&gt;=BO$8,$A184&lt;=BO$9),IF(SUM(BO$10:BO183)-ROUNDDOWN($M184*BO$5/100,0)&lt;-BO$6,-BO$6-SUM(BO$10:BO183),-ROUNDDOWN($M184*BO$5/100,0)),0)</f>
        <v>0</v>
      </c>
      <c r="BP184" s="38">
        <f>IF(AND(BP$7="○",$A184&gt;=BP$8,$A184&lt;=BP$9),IF(SUM(BP$10:BP183)-ROUNDDOWN($M184*BP$5/100,0)&lt;-BP$6,-BP$6-SUM(BP$10:BP183),-ROUNDDOWN($M184*BP$5/100,0)),0)</f>
        <v>0</v>
      </c>
      <c r="BQ184" s="38">
        <f>IF(AND(BQ$7="○",$A184&gt;=BQ$8,$A184&lt;=BQ$9),IF(SUM(BQ$10:BQ183)-ROUNDDOWN($L184*BQ$5/100,0)&lt;-BQ$6,-BQ$6-SUM(BQ$10:BQ183),-ROUNDDOWN($L184*BQ$5/100,0)),0)</f>
        <v>0</v>
      </c>
      <c r="BR184" s="38">
        <f>IF(AND(BR$7="○",$A184&gt;=BR$8,$A184&lt;=BR$9),IF(SUM(BR$10:BR183)-ROUNDDOWN($M184*BR$5/100,0)&lt;-BR$6,-BR$6-SUM(BR$10:BR183),-ROUNDDOWN($M184*BR$5/100,0)),0)</f>
        <v>0</v>
      </c>
      <c r="BS184" s="38">
        <f>IF(AND(BS$7="○",$A184&gt;=BS$8,$A184&lt;=BS$9),IF(SUM(BS$10:BS183)-ROUNDDOWN($M184*BS$5/100,0)&lt;-BS$6,-BS$6-SUM(BS$10:BS183),-ROUNDDOWN($M184*BS$5/100,0)),0)</f>
        <v>0</v>
      </c>
      <c r="BT184" s="38">
        <f>IF(AND(BT$7="○",$A184&gt;=BT$8,$A184&lt;=BT$9),IF(SUM(BT$10:BT183)-ROUNDDOWN($M184*BT$5/100,0)&lt;-BT$6,-BT$6-SUM(BT$10:BT183),-ROUNDDOWN($M184*BT$5/100,0)),0)</f>
        <v>0</v>
      </c>
      <c r="BU184" s="38">
        <f>IF(AND(BU$7="○",$A184&gt;=BU$8,$A184&lt;=BU$9),IF(SUM(BU$10:BU183)-ROUNDDOWN($M184*BU$5/100,0)&lt;-BU$6,-BU$6-SUM(BU$10:BU183),-ROUNDDOWN($M184*BU$5/100,0)),0)</f>
        <v>0</v>
      </c>
      <c r="BV184" s="38">
        <f>IF(AND(BV$7="○",$A184&gt;=BV$8,$A184&lt;=BV$9),IF(SUM(BV$10:BV183)-ROUNDDOWN($M184*BV$5/100,0)&lt;-BV$6,-BV$6-SUM(BV$10:BV183),-ROUNDDOWN($M184*BV$5/100,0)),0)</f>
        <v>0</v>
      </c>
      <c r="BW184" s="38">
        <f>IF(AND(BW$7="○",$A184&gt;=BW$8,$A184&lt;=BW$9),IF(SUM(BW$10:BW183)-ROUNDDOWN($M184*BW$5/100,0)&lt;-BW$6,-BW$6-SUM(BW$10:BW183),-ROUNDDOWN($M184*BW$5/100,0)),0)</f>
        <v>0</v>
      </c>
      <c r="BX184" s="38">
        <f>IF(AND(T184="○",$A184&gt;=BX$8,$A184&lt;=BX$9),IF(SUM(BX$10:BX183)-ROUNDDOWN($K184*BX$5/100,0)&lt;-BX$6,-BX$6-SUM(BX$10:BX183),-ROUNDDOWN($K184*BX$5/100,0)),0)</f>
        <v>0</v>
      </c>
      <c r="BY184" s="38">
        <f>IF(AND(U184="○",$A184&gt;=BY$8,$A184&lt;=BY$9),IF(SUM(BY$10:BY183)-ROUNDDOWN($K184*BY$5/100,0)&lt;-BY$6,-BY$6-SUM(BY$10:BY183),-ROUNDDOWN($K184*BY$5/100,0)),0)</f>
        <v>0</v>
      </c>
      <c r="BZ184" s="38">
        <f>IF(AND(V184="○",$A184&gt;=BZ$8,$A184&lt;=BZ$9),IF(SUM(BZ$10:BZ183)-ROUNDDOWN($K184*BZ$5/100,0)&lt;-BZ$6,-BZ$6-SUM(BZ$10:BZ183),-ROUNDDOWN($K184*BZ$5/100,0)),0)</f>
        <v>0</v>
      </c>
      <c r="CA184" s="38">
        <f>IF(AND(W184="○",$A184&gt;=CA$8,$A184&lt;=CA$9),IF(SUM(CA$10:CA183)-ROUNDDOWN($K184*CA$5/100,0)&lt;-CA$6,-CA$6-SUM(CA$10:CA183),-ROUNDDOWN($K184*CA$5/100,0)),0)</f>
        <v>0</v>
      </c>
      <c r="CB184" s="38"/>
      <c r="CC184" s="38"/>
      <c r="CD184" s="38"/>
      <c r="CE184" s="38"/>
      <c r="CF184" s="38"/>
      <c r="CG184" s="65">
        <f t="shared" si="138"/>
        <v>0</v>
      </c>
      <c r="CH184" s="71">
        <f t="shared" si="139"/>
        <v>0</v>
      </c>
      <c r="CI184" s="1">
        <f t="shared" si="19"/>
        <v>0</v>
      </c>
      <c r="CJ184" s="1"/>
      <c r="CK184" s="79"/>
      <c r="CL184" s="79"/>
      <c r="CM184" s="2"/>
      <c r="CN184" s="2"/>
      <c r="CO184" s="73">
        <f t="shared" si="20"/>
        <v>0</v>
      </c>
      <c r="CP184" s="5">
        <f t="shared" si="21"/>
        <v>0</v>
      </c>
      <c r="CQ184" s="1"/>
      <c r="CR184" s="1">
        <f t="shared" si="22"/>
        <v>0</v>
      </c>
      <c r="CS184" s="1"/>
      <c r="CT184" s="1" t="e">
        <f>INDEX([2]マスタ!$A:$A,MATCH(D184,[2]マスタ!$C:$C,0))</f>
        <v>#N/A</v>
      </c>
      <c r="CU184" s="1" t="str">
        <f t="shared" ca="1" si="23"/>
        <v>20260620_0-0</v>
      </c>
    </row>
    <row r="185" spans="1:99" x14ac:dyDescent="0.4">
      <c r="A185" s="61"/>
      <c r="B185" s="62"/>
      <c r="C185" s="62"/>
      <c r="D185" s="62"/>
      <c r="E185" s="63"/>
      <c r="F185" s="62"/>
      <c r="G185" s="62">
        <v>1</v>
      </c>
      <c r="H185" s="64">
        <f t="shared" ref="H185:H195" si="151">+F185*G185</f>
        <v>0</v>
      </c>
      <c r="I185" s="64"/>
      <c r="J185" s="64"/>
      <c r="K185" s="65">
        <f>+ROUNDDOWN((H185+I185)/100,0)*100</f>
        <v>0</v>
      </c>
      <c r="L185" s="65">
        <f t="shared" ref="L185:L195" si="152">+ROUNDDOWN((H185+I185)/1.1/100,0)*100</f>
        <v>0</v>
      </c>
      <c r="M185" s="65">
        <f t="shared" ref="M185:M195" si="153">+ROUNDDOWN((H185+I185)/1.1/200,0)*200</f>
        <v>0</v>
      </c>
      <c r="N185" s="65">
        <f t="shared" ref="N185:N195" si="154">+H185+I185+J185</f>
        <v>0</v>
      </c>
      <c r="O185" s="66" t="str">
        <f t="shared" si="145"/>
        <v>✕</v>
      </c>
      <c r="P185" s="67" t="str">
        <f t="shared" si="146"/>
        <v>○</v>
      </c>
      <c r="Q185" s="67" t="str">
        <f>+IF((TEXT($A185,"DD")+0)=1,"○","✕")</f>
        <v>✕</v>
      </c>
      <c r="R185" s="67" t="str">
        <f t="shared" si="148"/>
        <v>✕</v>
      </c>
      <c r="S185" s="68">
        <v>0</v>
      </c>
      <c r="T185" s="69" t="s">
        <v>85</v>
      </c>
      <c r="U185" s="69" t="s">
        <v>85</v>
      </c>
      <c r="V185" s="69" t="s">
        <v>85</v>
      </c>
      <c r="W185" s="69" t="s">
        <v>85</v>
      </c>
      <c r="X185" s="69" t="s">
        <v>84</v>
      </c>
      <c r="Y185" s="69" t="s">
        <v>85</v>
      </c>
      <c r="Z185" s="69" t="s">
        <v>85</v>
      </c>
      <c r="AA185" s="69" t="s">
        <v>85</v>
      </c>
      <c r="AB185" s="69" t="s">
        <v>85</v>
      </c>
      <c r="AC185" s="69" t="s">
        <v>85</v>
      </c>
      <c r="AD185" s="38" t="str">
        <f>+IF(ISERROR(VLOOKUP($B185,AD$10:AD184,1,0)),IF(AND($N185&gt;=1000,$A185&gt;=AO$8,$A185&lt;=AO$9),$B185,""),"")</f>
        <v/>
      </c>
      <c r="AE185" s="38" t="str">
        <f>+IF(ISERROR(VLOOKUP($B185,AE$10:AE184,1,0)),IF(AND($N185&gt;=1000,$A185&gt;=AP$8,$A185&lt;=AP$9),$B185,""),"")</f>
        <v/>
      </c>
      <c r="AF185" s="38" t="str">
        <f>+IF(ISERROR(VLOOKUP($B185,AF$10:AF184,1,0)),IF(AND($N185&gt;=1000,$A185&gt;=AQ$8,$A185&lt;=AQ$9),$B185,""),"")</f>
        <v/>
      </c>
      <c r="AG185" s="38" t="str">
        <f>+IF(ISERROR(VLOOKUP($B185,AG$10:AG184,1,0)),IF(AND($N185&gt;=1000,$A185&gt;=AR$8,$A185&lt;=AR$9),$B185,""),"")</f>
        <v/>
      </c>
      <c r="AH185" s="38"/>
      <c r="AI185" s="70">
        <v>0</v>
      </c>
      <c r="AJ185" s="38">
        <f>IF(AND(AJ$7="○",$A185&gt;=AJ$8,$A185&lt;=AJ$9),IF(SUM(AJ$10:AJ184)-ROUNDDOWN($K185*AJ$5/100,0)&lt;-AJ$6,-AJ$6-SUM(AJ$10:AJ184),-ROUNDDOWN($K185*AJ$5/100,0)),0)</f>
        <v>0</v>
      </c>
      <c r="AK185" s="38">
        <f>IF(AND(AK$7="○",$A185&gt;=AK$8,$A185&lt;=AK$9),IF(SUM(AK$10:AK184)-ROUNDDOWN($L185*AK$5/100,0)&lt;-AK$6,-AK$6-SUM(AK$10:AK184),-ROUNDDOWN($L185*AK$5/100,0)),0)</f>
        <v>0</v>
      </c>
      <c r="AL185" s="38">
        <f>IF(AND(AL$7="○",$A185&gt;=AL$8,$A185&lt;=AL$9),IF(SUM(AL$10:AL184)-ROUNDDOWN($N185*AL$5/100,0)&lt;-AL$6,-AL$6-SUM(AL$10:AL184),-ROUNDDOWN($N185*AL$5/100,0)),0)</f>
        <v>0</v>
      </c>
      <c r="AM185" s="38">
        <f>IF(AND(AM$7="○",$A185&gt;=AM$8,$A185&lt;=AM$9),IF(SUM(AM$10:AM184)-ROUNDDOWN($L185*AM$5/100,0)&lt;-AM$6,-AM$6-SUM(AM$10:AM184),-ROUNDDOWN($L185*AM$5/100,0)),0)</f>
        <v>0</v>
      </c>
      <c r="AN185" s="38">
        <f>IF(AND(AN$7="○",$A185&gt;=AN$8,$A185&lt;=AN$9),IF(SUM(AN$10:AN184)-ROUNDDOWN($M185*AN$5/100,0)&lt;-AN$6,-AN$6-SUM(AN$10:AN184),-ROUNDDOWN($M185*AN$5/100,0)),0)</f>
        <v>0</v>
      </c>
      <c r="AO185" s="38">
        <f>IF(AND($A185&gt;=AO$8,$A185&lt;=AO$9),IF(SUM(AO$10:AO184)-ROUNDDOWN($K185*AO$5/100,0)&lt;-AO$6,-AO$6-SUM(AO$10:AO184),-ROUNDDOWN($K185*AO$5/100,0)),0)</f>
        <v>0</v>
      </c>
      <c r="AP185" s="38">
        <f>IF(AND($A185&gt;=AP$8,$A185&lt;=AP$9),IF(SUM(AP$10:AP184)-ROUNDDOWN($K185*AP$5/100,0)&lt;-AP$6,-AP$6-SUM(AP$10:AP184),-ROUNDDOWN($K185*AP$5/100,0)),0)</f>
        <v>0</v>
      </c>
      <c r="AQ185" s="38">
        <f>IF(AND($A185&gt;=AQ$8,$A185&lt;=AQ$9),IF(SUM(AQ$10:AQ184)-ROUNDDOWN($K185*AQ$5/100,0)&lt;-AQ$6,-AQ$6-SUM(AQ$10:AQ184),-ROUNDDOWN($K185*AQ$5/100,0)),0)</f>
        <v>0</v>
      </c>
      <c r="AR185" s="38">
        <f>IF(AND($A185&gt;=AR$8,$A185&lt;=AR$9),IF(SUM(AR$10:AR184)-ROUNDDOWN($K185*AR$5/100,0)&lt;-AR$6,-AR$6-SUM(AR$10:AR184),-ROUNDDOWN($K185*AR$5/100,0)),0)</f>
        <v>0</v>
      </c>
      <c r="AS185" s="38">
        <f>IF(SUMIFS(AS$10:AS184,$A$10:$A184,$A185)-ROUNDDOWN($K185*$S185/100,0)&lt;-$S185*1000,-$S185*1000-SUMIFS(AS$10:AS184,$A$10:$A184,$A185),-ROUNDDOWN($K185*$S185/100,0))</f>
        <v>0</v>
      </c>
      <c r="AT185" s="38">
        <f>IF(AND(X185="○",$A185&gt;=AT$8,$A185&lt;=AT$9,K185&gt;=3980),IF(SUM(AT$10:AT184)-ROUNDDOWN($K185*AT$5/100,0)&lt;-AT$6,-AT$6-SUM(AT$10:AT184),-ROUNDDOWN($K185*AT$5/100,0)),0)</f>
        <v>0</v>
      </c>
      <c r="AU185" s="38">
        <f>IF(O185="○",IF(SUM(AU$10:AU184)-ROUNDDOWN($K185*AU$5/100,0)&lt;-AU$6,-AU$6-SUM(AU$10:AU184),-ROUNDDOWN($K185*AU$5/100,0)),0)</f>
        <v>0</v>
      </c>
      <c r="AV185" s="38">
        <f>IF(P185="○",IF(SUM(AV$10:AV184)-ROUNDDOWN($K185*AV$5/100,0)&lt;-AV$6,-AV$6-SUM(AV$10:AV184),-ROUNDDOWN($K185*AV$5/100,0)),0)</f>
        <v>0</v>
      </c>
      <c r="AW185" s="38">
        <f>IF(Q185="○",IF(SUM(AW$10:AW184)-ROUNDDOWN($K185*AW$5/100,0)&lt;-AW$6,-AW$6-SUM(AW$10:AW184),-ROUNDDOWN($K185*AW$5/100,0)),0)</f>
        <v>0</v>
      </c>
      <c r="AX185" s="38">
        <f>IF(R185="○",IF(SUM(AX$10:AX184)-ROUNDDOWN($K185*AX$5/100,0)&lt;-AX$6,-AX$6-SUM(AX$10:AX184),-ROUNDDOWN($K185*AX$5/100,0)),0)</f>
        <v>0</v>
      </c>
      <c r="AY185" s="70">
        <v>0</v>
      </c>
      <c r="AZ185" s="65">
        <f t="shared" si="132"/>
        <v>0</v>
      </c>
      <c r="BA185" s="65">
        <f t="shared" si="133"/>
        <v>0</v>
      </c>
      <c r="BB185" s="70"/>
      <c r="BC185" s="65">
        <f t="shared" si="134"/>
        <v>0</v>
      </c>
      <c r="BD185" s="70">
        <v>0</v>
      </c>
      <c r="BE185" s="65">
        <f t="shared" si="135"/>
        <v>0</v>
      </c>
      <c r="BF185" s="70">
        <v>0</v>
      </c>
      <c r="BG185" s="65">
        <f t="shared" si="136"/>
        <v>0</v>
      </c>
      <c r="BH185" s="70">
        <v>0</v>
      </c>
      <c r="BI185" s="65">
        <f t="shared" si="137"/>
        <v>0</v>
      </c>
      <c r="BJ185" s="38">
        <f>IF(AND(BJ$7="○",$A185&gt;=BJ$8,$A185&lt;=BJ$9),IF(SUM(BJ$10:BJ184)-ROUNDDOWN($M185*BJ$5/100,0)&lt;-BJ$6,-BJ$6-SUM(BJ$10:BJ184),-ROUNDDOWN($M185*BJ$5/100,0)),0)</f>
        <v>0</v>
      </c>
      <c r="BK185" s="38">
        <f>IF(AND(BK$7="○",$A185&gt;=BK$8,$A185&lt;=BK$9),IF(SUM(BK$10:BK184)-ROUNDDOWN($L185*BK$5/100,0)&lt;-BK$6,-BK$6-SUM(BK$10:BK184),-ROUNDDOWN($L185*BK$5/100,0)),0)</f>
        <v>0</v>
      </c>
      <c r="BL185" s="38">
        <f>IF(AND(BL$7="○",$A185&gt;=BL$8,$A185&lt;=BL$9),IF(SUM(BL$10:BL184)-ROUNDDOWN($L185*BL$5/100,0)&lt;-BL$6,-BL$6-SUM(BL$10:BL184),-ROUNDDOWN($L185*BL$5/100,0)),0)</f>
        <v>0</v>
      </c>
      <c r="BM185" s="38">
        <f>IF(AND(BM$7="○",$A185&gt;=BM$8,$A185&lt;=BM$9),IF(SUM(BM$10:BM184)-ROUNDDOWN($M185*BM$5/100,0)&lt;-BM$6,-BM$6-SUM(BM$10:BM184),-ROUNDDOWN($M185*BM$5/100,0)),0)</f>
        <v>0</v>
      </c>
      <c r="BN185" s="38">
        <f>IF(AND(BN$7="○",$A185&gt;=BN$8,$A185&lt;=BN$9),IF(SUM(BN$10:BN184)-ROUNDDOWN($M185*BN$5/100,0)&lt;-BN$6,-BN$6-SUM(BN$10:BN184),-ROUNDDOWN($M185*BN$5/100,0)),0)</f>
        <v>0</v>
      </c>
      <c r="BO185" s="38">
        <f>IF(AND(BO$7="○",$A185&gt;=BO$8,$A185&lt;=BO$9),IF(SUM(BO$10:BO184)-ROUNDDOWN($M185*BO$5/100,0)&lt;-BO$6,-BO$6-SUM(BO$10:BO184),-ROUNDDOWN($M185*BO$5/100,0)),0)</f>
        <v>0</v>
      </c>
      <c r="BP185" s="38">
        <f>IF(AND(BP$7="○",$A185&gt;=BP$8,$A185&lt;=BP$9),IF(SUM(BP$10:BP184)-ROUNDDOWN($M185*BP$5/100,0)&lt;-BP$6,-BP$6-SUM(BP$10:BP184),-ROUNDDOWN($M185*BP$5/100,0)),0)</f>
        <v>0</v>
      </c>
      <c r="BQ185" s="38">
        <f>IF(AND(BQ$7="○",$A185&gt;=BQ$8,$A185&lt;=BQ$9),IF(SUM(BQ$10:BQ184)-ROUNDDOWN($L185*BQ$5/100,0)&lt;-BQ$6,-BQ$6-SUM(BQ$10:BQ184),-ROUNDDOWN($L185*BQ$5/100,0)),0)</f>
        <v>0</v>
      </c>
      <c r="BR185" s="38">
        <f>IF(AND(BR$7="○",$A185&gt;=BR$8,$A185&lt;=BR$9),IF(SUM(BR$10:BR184)-ROUNDDOWN($M185*BR$5/100,0)&lt;-BR$6,-BR$6-SUM(BR$10:BR184),-ROUNDDOWN($M185*BR$5/100,0)),0)</f>
        <v>0</v>
      </c>
      <c r="BS185" s="38">
        <f>IF(AND(BS$7="○",$A185&gt;=BS$8,$A185&lt;=BS$9),IF(SUM(BS$10:BS184)-ROUNDDOWN($M185*BS$5/100,0)&lt;-BS$6,-BS$6-SUM(BS$10:BS184),-ROUNDDOWN($M185*BS$5/100,0)),0)</f>
        <v>0</v>
      </c>
      <c r="BT185" s="38">
        <f>IF(AND(BT$7="○",$A185&gt;=BT$8,$A185&lt;=BT$9),IF(SUM(BT$10:BT184)-ROUNDDOWN($M185*BT$5/100,0)&lt;-BT$6,-BT$6-SUM(BT$10:BT184),-ROUNDDOWN($M185*BT$5/100,0)),0)</f>
        <v>0</v>
      </c>
      <c r="BU185" s="38">
        <f>IF(AND(BU$7="○",$A185&gt;=BU$8,$A185&lt;=BU$9),IF(SUM(BU$10:BU184)-ROUNDDOWN($M185*BU$5/100,0)&lt;-BU$6,-BU$6-SUM(BU$10:BU184),-ROUNDDOWN($M185*BU$5/100,0)),0)</f>
        <v>0</v>
      </c>
      <c r="BV185" s="38">
        <f>IF(AND(BV$7="○",$A185&gt;=BV$8,$A185&lt;=BV$9),IF(SUM(BV$10:BV184)-ROUNDDOWN($M185*BV$5/100,0)&lt;-BV$6,-BV$6-SUM(BV$10:BV184),-ROUNDDOWN($M185*BV$5/100,0)),0)</f>
        <v>0</v>
      </c>
      <c r="BW185" s="38">
        <f>IF(AND(BW$7="○",$A185&gt;=BW$8,$A185&lt;=BW$9),IF(SUM(BW$10:BW184)-ROUNDDOWN($M185*BW$5/100,0)&lt;-BW$6,-BW$6-SUM(BW$10:BW184),-ROUNDDOWN($M185*BW$5/100,0)),0)</f>
        <v>0</v>
      </c>
      <c r="BX185" s="38">
        <f>IF(AND(T185="○",$A185&gt;=BX$8,$A185&lt;=BX$9),IF(SUM(BX$10:BX184)-ROUNDDOWN($K185*BX$5/100,0)&lt;-BX$6,-BX$6-SUM(BX$10:BX184),-ROUNDDOWN($K185*BX$5/100,0)),0)</f>
        <v>0</v>
      </c>
      <c r="BY185" s="38">
        <f>IF(AND(U185="○",$A185&gt;=BY$8,$A185&lt;=BY$9),IF(SUM(BY$10:BY184)-ROUNDDOWN($K185*BY$5/100,0)&lt;-BY$6,-BY$6-SUM(BY$10:BY184),-ROUNDDOWN($K185*BY$5/100,0)),0)</f>
        <v>0</v>
      </c>
      <c r="BZ185" s="38">
        <f>IF(AND(V185="○",$A185&gt;=BZ$8,$A185&lt;=BZ$9),IF(SUM(BZ$10:BZ184)-ROUNDDOWN($K185*BZ$5/100,0)&lt;-BZ$6,-BZ$6-SUM(BZ$10:BZ184),-ROUNDDOWN($K185*BZ$5/100,0)),0)</f>
        <v>0</v>
      </c>
      <c r="CA185" s="38">
        <f>IF(AND(W185="○",$A185&gt;=CA$8,$A185&lt;=CA$9),IF(SUM(CA$10:CA184)-ROUNDDOWN($K185*CA$5/100,0)&lt;-CA$6,-CA$6-SUM(CA$10:CA184),-ROUNDDOWN($K185*CA$5/100,0)),0)</f>
        <v>0</v>
      </c>
      <c r="CB185" s="38"/>
      <c r="CC185" s="38"/>
      <c r="CD185" s="38"/>
      <c r="CE185" s="38"/>
      <c r="CF185" s="38"/>
      <c r="CG185" s="65">
        <f t="shared" si="138"/>
        <v>0</v>
      </c>
      <c r="CH185" s="71">
        <f t="shared" si="139"/>
        <v>0</v>
      </c>
      <c r="CI185" s="1">
        <f t="shared" ref="CI185:CI195" si="155">IFERROR(ROUNDDOWN((CH185/G185),0),0)</f>
        <v>0</v>
      </c>
      <c r="CJ185" s="1"/>
      <c r="CK185" s="79"/>
      <c r="CL185" s="79"/>
      <c r="CM185" s="2"/>
      <c r="CN185" s="2"/>
      <c r="CO185" s="73">
        <f t="shared" si="20"/>
        <v>0</v>
      </c>
      <c r="CP185" s="5">
        <f t="shared" si="21"/>
        <v>0</v>
      </c>
      <c r="CQ185" s="1"/>
      <c r="CR185" s="1">
        <f t="shared" si="22"/>
        <v>0</v>
      </c>
      <c r="CS185" s="1"/>
      <c r="CT185" s="1" t="e">
        <f>INDEX([2]マスタ!$A:$A,MATCH(D185,[2]マスタ!$C:$C,0))</f>
        <v>#N/A</v>
      </c>
      <c r="CU185" s="1" t="str">
        <f t="shared" ca="1" si="23"/>
        <v>20260620_0-0</v>
      </c>
    </row>
    <row r="186" spans="1:99" x14ac:dyDescent="0.4">
      <c r="A186" s="61"/>
      <c r="B186" s="62"/>
      <c r="C186" s="62"/>
      <c r="D186" s="62"/>
      <c r="E186" s="63"/>
      <c r="F186" s="62"/>
      <c r="G186" s="62">
        <v>1</v>
      </c>
      <c r="H186" s="64">
        <f t="shared" si="151"/>
        <v>0</v>
      </c>
      <c r="I186" s="64"/>
      <c r="J186" s="64"/>
      <c r="K186" s="65">
        <f t="shared" ref="K186:K195" si="156">+ROUNDDOWN((H186+I186+J186)/100,0)*100</f>
        <v>0</v>
      </c>
      <c r="L186" s="65">
        <f t="shared" si="152"/>
        <v>0</v>
      </c>
      <c r="M186" s="65">
        <f t="shared" si="153"/>
        <v>0</v>
      </c>
      <c r="N186" s="65">
        <f t="shared" si="154"/>
        <v>0</v>
      </c>
      <c r="O186" s="66" t="str">
        <f t="shared" si="145"/>
        <v>✕</v>
      </c>
      <c r="P186" s="67" t="str">
        <f t="shared" si="146"/>
        <v>○</v>
      </c>
      <c r="Q186" s="67" t="str">
        <f t="shared" ref="Q186:Q195" si="157">+IF((TEXT(A186,"DD")+0)=1,"○","✕")</f>
        <v>✕</v>
      </c>
      <c r="R186" s="67" t="str">
        <f t="shared" si="148"/>
        <v>✕</v>
      </c>
      <c r="S186" s="68">
        <v>0</v>
      </c>
      <c r="T186" s="69" t="s">
        <v>85</v>
      </c>
      <c r="U186" s="69" t="s">
        <v>85</v>
      </c>
      <c r="V186" s="69" t="s">
        <v>85</v>
      </c>
      <c r="W186" s="69" t="s">
        <v>85</v>
      </c>
      <c r="X186" s="69" t="s">
        <v>84</v>
      </c>
      <c r="Y186" s="69" t="s">
        <v>85</v>
      </c>
      <c r="Z186" s="69" t="s">
        <v>85</v>
      </c>
      <c r="AA186" s="69" t="s">
        <v>85</v>
      </c>
      <c r="AB186" s="69" t="s">
        <v>85</v>
      </c>
      <c r="AC186" s="69" t="s">
        <v>85</v>
      </c>
      <c r="AD186" s="38" t="str">
        <f>+IF(ISERROR(VLOOKUP($B186,AD$10:AD185,1,0)),IF(AND($N186&gt;=1000,$A186&gt;=AO$8,$A186&lt;=AO$9),$B186,""),"")</f>
        <v/>
      </c>
      <c r="AE186" s="38" t="str">
        <f>+IF(ISERROR(VLOOKUP($B186,AE$10:AE185,1,0)),IF(AND($N186&gt;=1000,$A186&gt;=AP$8,$A186&lt;=AP$9),$B186,""),"")</f>
        <v/>
      </c>
      <c r="AF186" s="38" t="str">
        <f>+IF(ISERROR(VLOOKUP($B186,AF$10:AF185,1,0)),IF(AND($N186&gt;=1000,$A186&gt;=AQ$8,$A186&lt;=AQ$9),$B186,""),"")</f>
        <v/>
      </c>
      <c r="AG186" s="38" t="str">
        <f>+IF(ISERROR(VLOOKUP($B186,AG$10:AG185,1,0)),IF(AND($N186&gt;=1000,$A186&gt;=AR$8,$A186&lt;=AR$9),$B186,""),"")</f>
        <v/>
      </c>
      <c r="AH186" s="38"/>
      <c r="AI186" s="70">
        <v>0</v>
      </c>
      <c r="AJ186" s="38">
        <f>IF(AND(AJ$7="○",$A186&gt;=AJ$8,$A186&lt;=AJ$9),IF(SUM(AJ$10:AJ185)-ROUNDDOWN($K186*AJ$5/100,0)&lt;-AJ$6,-AJ$6-SUM(AJ$10:AJ185),-ROUNDDOWN($K186*AJ$5/100,0)),0)</f>
        <v>0</v>
      </c>
      <c r="AK186" s="38">
        <f>IF(AND(AK$7="○",$A186&gt;=AK$8,$A186&lt;=AK$9),IF(SUM(AK$10:AK185)-ROUNDDOWN($L186*AK$5/100,0)&lt;-AK$6,-AK$6-SUM(AK$10:AK185),-ROUNDDOWN($L186*AK$5/100,0)),0)</f>
        <v>0</v>
      </c>
      <c r="AL186" s="38">
        <f>IF(AND(AL$7="○",$A186&gt;=AL$8,$A186&lt;=AL$9),IF(SUM(AL$10:AL185)-ROUNDDOWN($N186*AL$5/100,0)&lt;-AL$6,-AL$6-SUM(AL$10:AL185),-ROUNDDOWN($N186*AL$5/100,0)),0)</f>
        <v>0</v>
      </c>
      <c r="AM186" s="38">
        <f>IF(AND(AM$7="○",$A186&gt;=AM$8,$A186&lt;=AM$9),IF(SUM(AM$10:AM185)-ROUNDDOWN($L186*AM$5/100,0)&lt;-AM$6,-AM$6-SUM(AM$10:AM185),-ROUNDDOWN($L186*AM$5/100,0)),0)</f>
        <v>0</v>
      </c>
      <c r="AN186" s="38">
        <f>IF(AND(AN$7="○",$A186&gt;=AN$8,$A186&lt;=AN$9),IF(SUM(AN$10:AN185)-ROUNDDOWN($M186*AN$5/100,0)&lt;-AN$6,-AN$6-SUM(AN$10:AN185),-ROUNDDOWN($M186*AN$5/100,0)),0)</f>
        <v>0</v>
      </c>
      <c r="AO186" s="38">
        <f>IF(AND($A186&gt;=AO$8,$A186&lt;=AO$9),IF(SUM(AO$10:AO185)-ROUNDDOWN($K186*AO$5/100,0)&lt;-AO$6,-AO$6-SUM(AO$10:AO185),-ROUNDDOWN($K186*AO$5/100,0)),0)</f>
        <v>0</v>
      </c>
      <c r="AP186" s="38">
        <f>IF(AND($A186&gt;=AP$8,$A186&lt;=AP$9),IF(SUM(AP$10:AP185)-ROUNDDOWN($K186*AP$5/100,0)&lt;-AP$6,-AP$6-SUM(AP$10:AP185),-ROUNDDOWN($K186*AP$5/100,0)),0)</f>
        <v>0</v>
      </c>
      <c r="AQ186" s="38">
        <f>IF(AND($A186&gt;=AQ$8,$A186&lt;=AQ$9),IF(SUM(AQ$10:AQ185)-ROUNDDOWN($K186*AQ$5/100,0)&lt;-AQ$6,-AQ$6-SUM(AQ$10:AQ185),-ROUNDDOWN($K186*AQ$5/100,0)),0)</f>
        <v>0</v>
      </c>
      <c r="AR186" s="38">
        <f>IF(AND($A186&gt;=AR$8,$A186&lt;=AR$9),IF(SUM(AR$10:AR185)-ROUNDDOWN($K186*AR$5/100,0)&lt;-AR$6,-AR$6-SUM(AR$10:AR185),-ROUNDDOWN($K186*AR$5/100,0)),0)</f>
        <v>0</v>
      </c>
      <c r="AS186" s="38">
        <f>IF(SUMIFS(AS$10:AS185,$A$10:$A185,$A186)-ROUNDDOWN($K186*$S186/100,0)&lt;-$S186*1000,-$S186*1000-SUMIFS(AS$10:AS185,$A$10:$A185,$A186),-ROUNDDOWN($K186*$S186/100,0))</f>
        <v>0</v>
      </c>
      <c r="AT186" s="38">
        <f>IF(AND(X186="○",$A186&gt;=AT$8,$A186&lt;=AT$9,K186&gt;=3980),IF(SUM(AT$10:AT185)-ROUNDDOWN($K186*AT$5/100,0)&lt;-AT$6,-AT$6-SUM(AT$10:AT185),-ROUNDDOWN($K186*AT$5/100,0)),0)</f>
        <v>0</v>
      </c>
      <c r="AU186" s="38">
        <f>IF(O186="○",IF(SUM(AU$10:AU185)-ROUNDDOWN($K186*AU$5/100,0)&lt;-AU$6,-AU$6-SUM(AU$10:AU185),-ROUNDDOWN($K186*AU$5/100,0)),0)</f>
        <v>0</v>
      </c>
      <c r="AV186" s="38">
        <f>IF(P186="○",IF(SUM(AV$10:AV185)-ROUNDDOWN($K186*AV$5/100,0)&lt;-AV$6,-AV$6-SUM(AV$10:AV185),-ROUNDDOWN($K186*AV$5/100,0)),0)</f>
        <v>0</v>
      </c>
      <c r="AW186" s="38">
        <f>IF(Q186="○",IF(SUM(AW$10:AW185)-ROUNDDOWN($K186*AW$5/100,0)&lt;-AW$6,-AW$6-SUM(AW$10:AW185),-ROUNDDOWN($K186*AW$5/100,0)),0)</f>
        <v>0</v>
      </c>
      <c r="AX186" s="38">
        <f>IF(R186="○",IF(SUM(AX$10:AX185)-ROUNDDOWN($K186*AX$5/100,0)&lt;-AX$6,-AX$6-SUM(AX$10:AX185),-ROUNDDOWN($K186*AX$5/100,0)),0)</f>
        <v>0</v>
      </c>
      <c r="AY186" s="70">
        <v>0</v>
      </c>
      <c r="AZ186" s="65">
        <f t="shared" si="132"/>
        <v>0</v>
      </c>
      <c r="BA186" s="65">
        <f t="shared" si="133"/>
        <v>0</v>
      </c>
      <c r="BB186" s="70"/>
      <c r="BC186" s="65">
        <f t="shared" si="134"/>
        <v>0</v>
      </c>
      <c r="BD186" s="70">
        <v>0</v>
      </c>
      <c r="BE186" s="65">
        <f t="shared" si="135"/>
        <v>0</v>
      </c>
      <c r="BF186" s="70">
        <v>0</v>
      </c>
      <c r="BG186" s="65">
        <f t="shared" si="136"/>
        <v>0</v>
      </c>
      <c r="BH186" s="70">
        <v>0</v>
      </c>
      <c r="BI186" s="65">
        <f t="shared" si="137"/>
        <v>0</v>
      </c>
      <c r="BJ186" s="38">
        <f>IF(AND(BJ$7="○",$A186&gt;=BJ$8,$A186&lt;=BJ$9),IF(SUM(BJ$10:BJ185)-ROUNDDOWN($M186*BJ$5/100,0)&lt;-BJ$6,-BJ$6-SUM(BJ$10:BJ185),-ROUNDDOWN($M186*BJ$5/100,0)),0)</f>
        <v>0</v>
      </c>
      <c r="BK186" s="38">
        <f>IF(AND(BK$7="○",$A186&gt;=BK$8,$A186&lt;=BK$9),IF(SUM(BK$10:BK185)-ROUNDDOWN($L186*BK$5/100,0)&lt;-BK$6,-BK$6-SUM(BK$10:BK185),-ROUNDDOWN($L186*BK$5/100,0)),0)</f>
        <v>0</v>
      </c>
      <c r="BL186" s="38">
        <f>IF(AND(BL$7="○",$A186&gt;=BL$8,$A186&lt;=BL$9),IF(SUM(BL$10:BL185)-ROUNDDOWN($L186*BL$5/100,0)&lt;-BL$6,-BL$6-SUM(BL$10:BL185),-ROUNDDOWN($L186*BL$5/100,0)),0)</f>
        <v>0</v>
      </c>
      <c r="BM186" s="38">
        <f>IF(AND(BM$7="○",$A186&gt;=BM$8,$A186&lt;=BM$9),IF(SUM(BM$10:BM185)-ROUNDDOWN($M186*BM$5/100,0)&lt;-BM$6,-BM$6-SUM(BM$10:BM185),-ROUNDDOWN($M186*BM$5/100,0)),0)</f>
        <v>0</v>
      </c>
      <c r="BN186" s="38">
        <f>IF(AND(BN$7="○",$A186&gt;=BN$8,$A186&lt;=BN$9),IF(SUM(BN$10:BN185)-ROUNDDOWN($M186*BN$5/100,0)&lt;-BN$6,-BN$6-SUM(BN$10:BN185),-ROUNDDOWN($M186*BN$5/100,0)),0)</f>
        <v>0</v>
      </c>
      <c r="BO186" s="38">
        <f>IF(AND(BO$7="○",$A186&gt;=BO$8,$A186&lt;=BO$9),IF(SUM(BO$10:BO185)-ROUNDDOWN($M186*BO$5/100,0)&lt;-BO$6,-BO$6-SUM(BO$10:BO185),-ROUNDDOWN($M186*BO$5/100,0)),0)</f>
        <v>0</v>
      </c>
      <c r="BP186" s="38">
        <f>IF(AND(BP$7="○",$A186&gt;=BP$8,$A186&lt;=BP$9),IF(SUM(BP$10:BP185)-ROUNDDOWN($M186*BP$5/100,0)&lt;-BP$6,-BP$6-SUM(BP$10:BP185),-ROUNDDOWN($M186*BP$5/100,0)),0)</f>
        <v>0</v>
      </c>
      <c r="BQ186" s="38">
        <f>IF(AND(BQ$7="○",$A186&gt;=BQ$8,$A186&lt;=BQ$9),IF(SUM(BQ$10:BQ185)-ROUNDDOWN($L186*BQ$5/100,0)&lt;-BQ$6,-BQ$6-SUM(BQ$10:BQ185),-ROUNDDOWN($L186*BQ$5/100,0)),0)</f>
        <v>0</v>
      </c>
      <c r="BR186" s="38">
        <f>IF(AND(BR$7="○",$A186&gt;=BR$8,$A186&lt;=BR$9),IF(SUM(BR$10:BR185)-ROUNDDOWN($M186*BR$5/100,0)&lt;-BR$6,-BR$6-SUM(BR$10:BR185),-ROUNDDOWN($M186*BR$5/100,0)),0)</f>
        <v>0</v>
      </c>
      <c r="BS186" s="38">
        <f>IF(AND(BS$7="○",$A186&gt;=BS$8,$A186&lt;=BS$9),IF(SUM(BS$10:BS185)-ROUNDDOWN($M186*BS$5/100,0)&lt;-BS$6,-BS$6-SUM(BS$10:BS185),-ROUNDDOWN($M186*BS$5/100,0)),0)</f>
        <v>0</v>
      </c>
      <c r="BT186" s="38">
        <f>IF(AND(BT$7="○",$A186&gt;=BT$8,$A186&lt;=BT$9),IF(SUM(BT$10:BT185)-ROUNDDOWN($M186*BT$5/100,0)&lt;-BT$6,-BT$6-SUM(BT$10:BT185),-ROUNDDOWN($M186*BT$5/100,0)),0)</f>
        <v>0</v>
      </c>
      <c r="BU186" s="38">
        <f>IF(AND(BU$7="○",$A186&gt;=BU$8,$A186&lt;=BU$9),IF(SUM(BU$10:BU185)-ROUNDDOWN($M186*BU$5/100,0)&lt;-BU$6,-BU$6-SUM(BU$10:BU185),-ROUNDDOWN($M186*BU$5/100,0)),0)</f>
        <v>0</v>
      </c>
      <c r="BV186" s="38">
        <f>IF(AND(BV$7="○",$A186&gt;=BV$8,$A186&lt;=BV$9),IF(SUM(BV$10:BV185)-ROUNDDOWN($M186*BV$5/100,0)&lt;-BV$6,-BV$6-SUM(BV$10:BV185),-ROUNDDOWN($M186*BV$5/100,0)),0)</f>
        <v>0</v>
      </c>
      <c r="BW186" s="38">
        <f>IF(AND(BW$7="○",$A186&gt;=BW$8,$A186&lt;=BW$9),IF(SUM(BW$10:BW185)-ROUNDDOWN($M186*BW$5/100,0)&lt;-BW$6,-BW$6-SUM(BW$10:BW185),-ROUNDDOWN($M186*BW$5/100,0)),0)</f>
        <v>0</v>
      </c>
      <c r="BX186" s="38">
        <f>IF(AND(T186="○",$A186&gt;=BX$8,$A186&lt;=BX$9),IF(SUM(BX$10:BX185)-ROUNDDOWN($K186*BX$5/100,0)&lt;-BX$6,-BX$6-SUM(BX$10:BX185),-ROUNDDOWN($K186*BX$5/100,0)),0)</f>
        <v>0</v>
      </c>
      <c r="BY186" s="38">
        <f>IF(AND(U186="○",$A186&gt;=BY$8,$A186&lt;=BY$9),IF(SUM(BY$10:BY185)-ROUNDDOWN($K186*BY$5/100,0)&lt;-BY$6,-BY$6-SUM(BY$10:BY185),-ROUNDDOWN($K186*BY$5/100,0)),0)</f>
        <v>0</v>
      </c>
      <c r="BZ186" s="38">
        <f>IF(AND(V186="○",$A186&gt;=BZ$8,$A186&lt;=BZ$9),IF(SUM(BZ$10:BZ185)-ROUNDDOWN($K186*BZ$5/100,0)&lt;-BZ$6,-BZ$6-SUM(BZ$10:BZ185),-ROUNDDOWN($K186*BZ$5/100,0)),0)</f>
        <v>0</v>
      </c>
      <c r="CA186" s="38">
        <f>IF(AND(W186="○",$A186&gt;=CA$8,$A186&lt;=CA$9),IF(SUM(CA$10:CA185)-ROUNDDOWN($K186*CA$5/100,0)&lt;-CA$6,-CA$6-SUM(CA$10:CA185),-ROUNDDOWN($K186*CA$5/100,0)),0)</f>
        <v>0</v>
      </c>
      <c r="CB186" s="38"/>
      <c r="CC186" s="38"/>
      <c r="CD186" s="38"/>
      <c r="CE186" s="38"/>
      <c r="CF186" s="38"/>
      <c r="CG186" s="65">
        <f t="shared" si="138"/>
        <v>0</v>
      </c>
      <c r="CH186" s="71">
        <f t="shared" si="139"/>
        <v>0</v>
      </c>
      <c r="CI186" s="1">
        <f t="shared" si="155"/>
        <v>0</v>
      </c>
      <c r="CJ186" s="1"/>
      <c r="CK186" s="72"/>
      <c r="CL186" s="72"/>
      <c r="CM186" s="2"/>
      <c r="CN186" s="2"/>
      <c r="CO186" s="73">
        <f t="shared" si="20"/>
        <v>0</v>
      </c>
      <c r="CP186" s="5">
        <f t="shared" ref="CP186:CP195" si="158">IFERROR(CN186/CI186,0)</f>
        <v>0</v>
      </c>
      <c r="CQ186" s="1"/>
      <c r="CR186" s="1">
        <f t="shared" ref="CR186:CR195" si="159">+CO186*G186</f>
        <v>0</v>
      </c>
      <c r="CS186" s="1"/>
      <c r="CT186" s="1" t="e">
        <f>INDEX([2]マスタ!$A:$A,MATCH(D186,[2]マスタ!$C:$C,0))</f>
        <v>#N/A</v>
      </c>
      <c r="CU186" s="1" t="str">
        <f t="shared" ref="CU186:CU195" ca="1" si="160">IFERROR(TEXT(TODAY(),"yyyymmdd")&amp;"_"&amp;ROUNDDOWN(H186+I186,0)&amp;"-"&amp;ROUNDDOWN(CI186,0),"")</f>
        <v>20260620_0-0</v>
      </c>
    </row>
    <row r="187" spans="1:99" x14ac:dyDescent="0.4">
      <c r="A187" s="61"/>
      <c r="B187" s="62"/>
      <c r="C187" s="62"/>
      <c r="D187" s="62"/>
      <c r="E187" s="63"/>
      <c r="F187" s="62"/>
      <c r="G187" s="62">
        <v>1</v>
      </c>
      <c r="H187" s="64">
        <f t="shared" si="151"/>
        <v>0</v>
      </c>
      <c r="I187" s="64"/>
      <c r="J187" s="64"/>
      <c r="K187" s="65">
        <f t="shared" si="156"/>
        <v>0</v>
      </c>
      <c r="L187" s="65">
        <f t="shared" si="152"/>
        <v>0</v>
      </c>
      <c r="M187" s="65">
        <f t="shared" si="153"/>
        <v>0</v>
      </c>
      <c r="N187" s="65">
        <f t="shared" si="154"/>
        <v>0</v>
      </c>
      <c r="O187" s="66" t="str">
        <f t="shared" si="145"/>
        <v>✕</v>
      </c>
      <c r="P187" s="67" t="str">
        <f t="shared" si="146"/>
        <v>○</v>
      </c>
      <c r="Q187" s="67" t="str">
        <f t="shared" si="157"/>
        <v>✕</v>
      </c>
      <c r="R187" s="67" t="str">
        <f t="shared" si="148"/>
        <v>✕</v>
      </c>
      <c r="S187" s="68">
        <v>0</v>
      </c>
      <c r="T187" s="69" t="s">
        <v>85</v>
      </c>
      <c r="U187" s="69" t="s">
        <v>85</v>
      </c>
      <c r="V187" s="69" t="s">
        <v>85</v>
      </c>
      <c r="W187" s="69" t="s">
        <v>85</v>
      </c>
      <c r="X187" s="69" t="s">
        <v>84</v>
      </c>
      <c r="Y187" s="69" t="s">
        <v>85</v>
      </c>
      <c r="Z187" s="69" t="s">
        <v>85</v>
      </c>
      <c r="AA187" s="69" t="s">
        <v>85</v>
      </c>
      <c r="AB187" s="69" t="s">
        <v>85</v>
      </c>
      <c r="AC187" s="69" t="s">
        <v>85</v>
      </c>
      <c r="AD187" s="38" t="str">
        <f>+IF(ISERROR(VLOOKUP($B187,AD$10:AD186,1,0)),IF(AND($N187&gt;=1000,$A187&gt;=AO$8,$A187&lt;=AO$9),$B187,""),"")</f>
        <v/>
      </c>
      <c r="AE187" s="38" t="str">
        <f>+IF(ISERROR(VLOOKUP($B187,AE$10:AE186,1,0)),IF(AND($N187&gt;=1000,$A187&gt;=AP$8,$A187&lt;=AP$9),$B187,""),"")</f>
        <v/>
      </c>
      <c r="AF187" s="38" t="str">
        <f>+IF(ISERROR(VLOOKUP($B187,AF$10:AF186,1,0)),IF(AND($N187&gt;=1000,$A187&gt;=AQ$8,$A187&lt;=AQ$9),$B187,""),"")</f>
        <v/>
      </c>
      <c r="AG187" s="38" t="str">
        <f>+IF(ISERROR(VLOOKUP($B187,AG$10:AG186,1,0)),IF(AND($N187&gt;=1000,$A187&gt;=AR$8,$A187&lt;=AR$9),$B187,""),"")</f>
        <v/>
      </c>
      <c r="AH187" s="38"/>
      <c r="AI187" s="70">
        <v>0</v>
      </c>
      <c r="AJ187" s="38">
        <f>IF(AND(AJ$7="○",$A187&gt;=AJ$8,$A187&lt;=AJ$9),IF(SUM(AJ$10:AJ186)-ROUNDDOWN($K187*AJ$5/100,0)&lt;-AJ$6,-AJ$6-SUM(AJ$10:AJ186),-ROUNDDOWN($K187*AJ$5/100,0)),0)</f>
        <v>0</v>
      </c>
      <c r="AK187" s="38">
        <f>IF(AND(AK$7="○",$A187&gt;=AK$8,$A187&lt;=AK$9),IF(SUM(AK$10:AK186)-ROUNDDOWN($L187*AK$5/100,0)&lt;-AK$6,-AK$6-SUM(AK$10:AK186),-ROUNDDOWN($L187*AK$5/100,0)),0)</f>
        <v>0</v>
      </c>
      <c r="AL187" s="38">
        <f>IF(AND(AL$7="○",$A187&gt;=AL$8,$A187&lt;=AL$9),IF(SUM(AL$10:AL186)-ROUNDDOWN($N187*AL$5/100,0)&lt;-AL$6,-AL$6-SUM(AL$10:AL186),-ROUNDDOWN($N187*AL$5/100,0)),0)</f>
        <v>0</v>
      </c>
      <c r="AM187" s="38">
        <f>IF(AND(AM$7="○",$A187&gt;=AM$8,$A187&lt;=AM$9),IF(SUM(AM$10:AM186)-ROUNDDOWN($L187*AM$5/100,0)&lt;-AM$6,-AM$6-SUM(AM$10:AM186),-ROUNDDOWN($L187*AM$5/100,0)),0)</f>
        <v>0</v>
      </c>
      <c r="AN187" s="38">
        <f>IF(AND(AN$7="○",$A187&gt;=AN$8,$A187&lt;=AN$9),IF(SUM(AN$10:AN186)-ROUNDDOWN($M187*AN$5/100,0)&lt;-AN$6,-AN$6-SUM(AN$10:AN186),-ROUNDDOWN($M187*AN$5/100,0)),0)</f>
        <v>0</v>
      </c>
      <c r="AO187" s="38">
        <f>IF(AND($A187&gt;=AO$8,$A187&lt;=AO$9),IF(SUM(AO$10:AO186)-ROUNDDOWN($K187*AO$5/100,0)&lt;-AO$6,-AO$6-SUM(AO$10:AO186),-ROUNDDOWN($K187*AO$5/100,0)),0)</f>
        <v>0</v>
      </c>
      <c r="AP187" s="38">
        <f>IF(AND($A187&gt;=AP$8,$A187&lt;=AP$9),IF(SUM(AP$10:AP186)-ROUNDDOWN($K187*AP$5/100,0)&lt;-AP$6,-AP$6-SUM(AP$10:AP186),-ROUNDDOWN($K187*AP$5/100,0)),0)</f>
        <v>0</v>
      </c>
      <c r="AQ187" s="38">
        <f>IF(AND($A187&gt;=AQ$8,$A187&lt;=AQ$9),IF(SUM(AQ$10:AQ186)-ROUNDDOWN($K187*AQ$5/100,0)&lt;-AQ$6,-AQ$6-SUM(AQ$10:AQ186),-ROUNDDOWN($K187*AQ$5/100,0)),0)</f>
        <v>0</v>
      </c>
      <c r="AR187" s="38">
        <f>IF(AND($A187&gt;=AR$8,$A187&lt;=AR$9),IF(SUM(AR$10:AR186)-ROUNDDOWN($K187*AR$5/100,0)&lt;-AR$6,-AR$6-SUM(AR$10:AR186),-ROUNDDOWN($K187*AR$5/100,0)),0)</f>
        <v>0</v>
      </c>
      <c r="AS187" s="38">
        <f>IF(SUMIFS(AS$10:AS186,$A$10:$A186,$A187)-ROUNDDOWN($K187*$S187/100,0)&lt;-$S187*1000,-$S187*1000-SUMIFS(AS$10:AS186,$A$10:$A186,$A187),-ROUNDDOWN($K187*$S187/100,0))</f>
        <v>0</v>
      </c>
      <c r="AT187" s="38">
        <f>IF(AND(X187="○",$A187&gt;=AT$8,$A187&lt;=AT$9,K187&gt;=3980),IF(SUM(AT$10:AT186)-ROUNDDOWN($K187*AT$5/100,0)&lt;-AT$6,-AT$6-SUM(AT$10:AT186),-ROUNDDOWN($K187*AT$5/100,0)),0)</f>
        <v>0</v>
      </c>
      <c r="AU187" s="38">
        <f>IF(O187="○",IF(SUM(AU$10:AU186)-ROUNDDOWN($K187*AU$5/100,0)&lt;-AU$6,-AU$6-SUM(AU$10:AU186),-ROUNDDOWN($K187*AU$5/100,0)),0)</f>
        <v>0</v>
      </c>
      <c r="AV187" s="38">
        <f>IF(P187="○",IF(SUM(AV$10:AV186)-ROUNDDOWN($K187*AV$5/100,0)&lt;-AV$6,-AV$6-SUM(AV$10:AV186),-ROUNDDOWN($K187*AV$5/100,0)),0)</f>
        <v>0</v>
      </c>
      <c r="AW187" s="38">
        <f>IF(Q187="○",IF(SUM(AW$10:AW186)-ROUNDDOWN($K187*AW$5/100,0)&lt;-AW$6,-AW$6-SUM(AW$10:AW186),-ROUNDDOWN($K187*AW$5/100,0)),0)</f>
        <v>0</v>
      </c>
      <c r="AX187" s="38">
        <f>IF(R187="○",IF(SUM(AX$10:AX186)-ROUNDDOWN($K187*AX$5/100,0)&lt;-AX$6,-AX$6-SUM(AX$10:AX186),-ROUNDDOWN($K187*AX$5/100,0)),0)</f>
        <v>0</v>
      </c>
      <c r="AY187" s="70">
        <v>0</v>
      </c>
      <c r="AZ187" s="65">
        <f t="shared" si="132"/>
        <v>0</v>
      </c>
      <c r="BA187" s="65">
        <f t="shared" si="133"/>
        <v>0</v>
      </c>
      <c r="BB187" s="70"/>
      <c r="BC187" s="65">
        <f t="shared" si="134"/>
        <v>0</v>
      </c>
      <c r="BD187" s="70">
        <v>0</v>
      </c>
      <c r="BE187" s="65">
        <f t="shared" si="135"/>
        <v>0</v>
      </c>
      <c r="BF187" s="70">
        <v>0</v>
      </c>
      <c r="BG187" s="65">
        <f t="shared" si="136"/>
        <v>0</v>
      </c>
      <c r="BH187" s="70">
        <v>0</v>
      </c>
      <c r="BI187" s="65">
        <f t="shared" si="137"/>
        <v>0</v>
      </c>
      <c r="BJ187" s="38">
        <f>IF(AND(BJ$7="○",$A187&gt;=BJ$8,$A187&lt;=BJ$9),IF(SUM(BJ$10:BJ186)-ROUNDDOWN($M187*BJ$5/100,0)&lt;-BJ$6,-BJ$6-SUM(BJ$10:BJ186),-ROUNDDOWN($M187*BJ$5/100,0)),0)</f>
        <v>0</v>
      </c>
      <c r="BK187" s="38">
        <f>IF(AND(BK$7="○",$A187&gt;=BK$8,$A187&lt;=BK$9),IF(SUM(BK$10:BK186)-ROUNDDOWN($L187*BK$5/100,0)&lt;-BK$6,-BK$6-SUM(BK$10:BK186),-ROUNDDOWN($L187*BK$5/100,0)),0)</f>
        <v>0</v>
      </c>
      <c r="BL187" s="38">
        <f>IF(AND(BL$7="○",$A187&gt;=BL$8,$A187&lt;=BL$9),IF(SUM(BL$10:BL186)-ROUNDDOWN($L187*BL$5/100,0)&lt;-BL$6,-BL$6-SUM(BL$10:BL186),-ROUNDDOWN($L187*BL$5/100,0)),0)</f>
        <v>0</v>
      </c>
      <c r="BM187" s="38">
        <f>IF(AND(BM$7="○",$A187&gt;=BM$8,$A187&lt;=BM$9),IF(SUM(BM$10:BM186)-ROUNDDOWN($M187*BM$5/100,0)&lt;-BM$6,-BM$6-SUM(BM$10:BM186),-ROUNDDOWN($M187*BM$5/100,0)),0)</f>
        <v>0</v>
      </c>
      <c r="BN187" s="38">
        <f>IF(AND(BN$7="○",$A187&gt;=BN$8,$A187&lt;=BN$9),IF(SUM(BN$10:BN186)-ROUNDDOWN($M187*BN$5/100,0)&lt;-BN$6,-BN$6-SUM(BN$10:BN186),-ROUNDDOWN($M187*BN$5/100,0)),0)</f>
        <v>0</v>
      </c>
      <c r="BO187" s="38">
        <f>IF(AND(BO$7="○",$A187&gt;=BO$8,$A187&lt;=BO$9),IF(SUM(BO$10:BO186)-ROUNDDOWN($M187*BO$5/100,0)&lt;-BO$6,-BO$6-SUM(BO$10:BO186),-ROUNDDOWN($M187*BO$5/100,0)),0)</f>
        <v>0</v>
      </c>
      <c r="BP187" s="38">
        <f>IF(AND(BP$7="○",$A187&gt;=BP$8,$A187&lt;=BP$9),IF(SUM(BP$10:BP186)-ROUNDDOWN($M187*BP$5/100,0)&lt;-BP$6,-BP$6-SUM(BP$10:BP186),-ROUNDDOWN($M187*BP$5/100,0)),0)</f>
        <v>0</v>
      </c>
      <c r="BQ187" s="38">
        <f>IF(AND(BQ$7="○",$A187&gt;=BQ$8,$A187&lt;=BQ$9),IF(SUM(BQ$10:BQ186)-ROUNDDOWN($L187*BQ$5/100,0)&lt;-BQ$6,-BQ$6-SUM(BQ$10:BQ186),-ROUNDDOWN($L187*BQ$5/100,0)),0)</f>
        <v>0</v>
      </c>
      <c r="BR187" s="38">
        <f>IF(AND(BR$7="○",$A187&gt;=BR$8,$A187&lt;=BR$9),IF(SUM(BR$10:BR186)-ROUNDDOWN($M187*BR$5/100,0)&lt;-BR$6,-BR$6-SUM(BR$10:BR186),-ROUNDDOWN($M187*BR$5/100,0)),0)</f>
        <v>0</v>
      </c>
      <c r="BS187" s="38">
        <f>IF(AND(BS$7="○",$A187&gt;=BS$8,$A187&lt;=BS$9),IF(SUM(BS$10:BS186)-ROUNDDOWN($M187*BS$5/100,0)&lt;-BS$6,-BS$6-SUM(BS$10:BS186),-ROUNDDOWN($M187*BS$5/100,0)),0)</f>
        <v>0</v>
      </c>
      <c r="BT187" s="38">
        <f>IF(AND(BT$7="○",$A187&gt;=BT$8,$A187&lt;=BT$9),IF(SUM(BT$10:BT186)-ROUNDDOWN($M187*BT$5/100,0)&lt;-BT$6,-BT$6-SUM(BT$10:BT186),-ROUNDDOWN($M187*BT$5/100,0)),0)</f>
        <v>0</v>
      </c>
      <c r="BU187" s="38">
        <f>IF(AND(BU$7="○",$A187&gt;=BU$8,$A187&lt;=BU$9),IF(SUM(BU$10:BU186)-ROUNDDOWN($M187*BU$5/100,0)&lt;-BU$6,-BU$6-SUM(BU$10:BU186),-ROUNDDOWN($M187*BU$5/100,0)),0)</f>
        <v>0</v>
      </c>
      <c r="BV187" s="38">
        <f>IF(AND(BV$7="○",$A187&gt;=BV$8,$A187&lt;=BV$9),IF(SUM(BV$10:BV186)-ROUNDDOWN($M187*BV$5/100,0)&lt;-BV$6,-BV$6-SUM(BV$10:BV186),-ROUNDDOWN($M187*BV$5/100,0)),0)</f>
        <v>0</v>
      </c>
      <c r="BW187" s="38">
        <f>IF(AND(BW$7="○",$A187&gt;=BW$8,$A187&lt;=BW$9),IF(SUM(BW$10:BW186)-ROUNDDOWN($M187*BW$5/100,0)&lt;-BW$6,-BW$6-SUM(BW$10:BW186),-ROUNDDOWN($M187*BW$5/100,0)),0)</f>
        <v>0</v>
      </c>
      <c r="BX187" s="38">
        <f>IF(AND(T187="○",$A187&gt;=BX$8,$A187&lt;=BX$9),IF(SUM(BX$10:BX186)-ROUNDDOWN($K187*BX$5/100,0)&lt;-BX$6,-BX$6-SUM(BX$10:BX186),-ROUNDDOWN($K187*BX$5/100,0)),0)</f>
        <v>0</v>
      </c>
      <c r="BY187" s="38">
        <f>IF(AND(U187="○",$A187&gt;=BY$8,$A187&lt;=BY$9),IF(SUM(BY$10:BY186)-ROUNDDOWN($K187*BY$5/100,0)&lt;-BY$6,-BY$6-SUM(BY$10:BY186),-ROUNDDOWN($K187*BY$5/100,0)),0)</f>
        <v>0</v>
      </c>
      <c r="BZ187" s="38">
        <f>IF(AND(V187="○",$A187&gt;=BZ$8,$A187&lt;=BZ$9),IF(SUM(BZ$10:BZ186)-ROUNDDOWN($K187*BZ$5/100,0)&lt;-BZ$6,-BZ$6-SUM(BZ$10:BZ186),-ROUNDDOWN($K187*BZ$5/100,0)),0)</f>
        <v>0</v>
      </c>
      <c r="CA187" s="38">
        <f>IF(AND(W187="○",$A187&gt;=CA$8,$A187&lt;=CA$9),IF(SUM(CA$10:CA186)-ROUNDDOWN($K187*CA$5/100,0)&lt;-CA$6,-CA$6-SUM(CA$10:CA186),-ROUNDDOWN($K187*CA$5/100,0)),0)</f>
        <v>0</v>
      </c>
      <c r="CB187" s="38"/>
      <c r="CC187" s="38"/>
      <c r="CD187" s="38"/>
      <c r="CE187" s="38"/>
      <c r="CF187" s="38"/>
      <c r="CG187" s="65">
        <f t="shared" si="138"/>
        <v>0</v>
      </c>
      <c r="CH187" s="71">
        <f t="shared" si="139"/>
        <v>0</v>
      </c>
      <c r="CI187" s="1">
        <f t="shared" si="155"/>
        <v>0</v>
      </c>
      <c r="CJ187" s="1"/>
      <c r="CK187" s="72"/>
      <c r="CL187" s="72"/>
      <c r="CM187" s="2"/>
      <c r="CN187" s="2"/>
      <c r="CO187" s="73">
        <f t="shared" si="20"/>
        <v>0</v>
      </c>
      <c r="CP187" s="5">
        <f t="shared" si="158"/>
        <v>0</v>
      </c>
      <c r="CQ187" s="1"/>
      <c r="CR187" s="1">
        <f t="shared" si="159"/>
        <v>0</v>
      </c>
      <c r="CS187" s="1"/>
      <c r="CT187" s="1" t="e">
        <f>INDEX([2]マスタ!$A:$A,MATCH(D187,[2]マスタ!$C:$C,0))</f>
        <v>#N/A</v>
      </c>
      <c r="CU187" s="1" t="str">
        <f t="shared" ca="1" si="160"/>
        <v>20260620_0-0</v>
      </c>
    </row>
    <row r="188" spans="1:99" x14ac:dyDescent="0.4">
      <c r="A188" s="61"/>
      <c r="B188" s="62"/>
      <c r="C188" s="62"/>
      <c r="D188" s="63"/>
      <c r="E188" s="63"/>
      <c r="F188" s="62"/>
      <c r="G188" s="62">
        <v>1</v>
      </c>
      <c r="H188" s="64">
        <f t="shared" si="151"/>
        <v>0</v>
      </c>
      <c r="I188" s="64"/>
      <c r="J188" s="64"/>
      <c r="K188" s="65">
        <f t="shared" si="156"/>
        <v>0</v>
      </c>
      <c r="L188" s="65">
        <f t="shared" si="152"/>
        <v>0</v>
      </c>
      <c r="M188" s="65">
        <f t="shared" si="153"/>
        <v>0</v>
      </c>
      <c r="N188" s="65">
        <f t="shared" si="154"/>
        <v>0</v>
      </c>
      <c r="O188" s="66" t="str">
        <f t="shared" si="145"/>
        <v>✕</v>
      </c>
      <c r="P188" s="67" t="str">
        <f t="shared" si="146"/>
        <v>○</v>
      </c>
      <c r="Q188" s="67" t="str">
        <f t="shared" si="157"/>
        <v>✕</v>
      </c>
      <c r="R188" s="67" t="str">
        <f t="shared" si="148"/>
        <v>✕</v>
      </c>
      <c r="S188" s="68">
        <v>0</v>
      </c>
      <c r="T188" s="69" t="s">
        <v>85</v>
      </c>
      <c r="U188" s="69" t="s">
        <v>85</v>
      </c>
      <c r="V188" s="69" t="s">
        <v>85</v>
      </c>
      <c r="W188" s="69" t="s">
        <v>85</v>
      </c>
      <c r="X188" s="69" t="s">
        <v>84</v>
      </c>
      <c r="Y188" s="69" t="s">
        <v>85</v>
      </c>
      <c r="Z188" s="69" t="s">
        <v>85</v>
      </c>
      <c r="AA188" s="69" t="s">
        <v>85</v>
      </c>
      <c r="AB188" s="69" t="s">
        <v>85</v>
      </c>
      <c r="AC188" s="69" t="s">
        <v>85</v>
      </c>
      <c r="AD188" s="38" t="str">
        <f>+IF(ISERROR(VLOOKUP($B188,AD$10:AD187,1,0)),IF(AND($N188&gt;=1000,$A188&gt;=AO$8,$A188&lt;=AO$9),$B188,""),"")</f>
        <v/>
      </c>
      <c r="AE188" s="38" t="str">
        <f>+IF(ISERROR(VLOOKUP($B188,AE$10:AE187,1,0)),IF(AND($N188&gt;=1000,$A188&gt;=AP$8,$A188&lt;=AP$9),$B188,""),"")</f>
        <v/>
      </c>
      <c r="AF188" s="38" t="str">
        <f>+IF(ISERROR(VLOOKUP($B188,AF$10:AF187,1,0)),IF(AND($N188&gt;=1000,$A188&gt;=AQ$8,$A188&lt;=AQ$9),$B188,""),"")</f>
        <v/>
      </c>
      <c r="AG188" s="38" t="str">
        <f>+IF(ISERROR(VLOOKUP($B188,AG$10:AG187,1,0)),IF(AND($N188&gt;=1000,$A188&gt;=AR$8,$A188&lt;=AR$9),$B188,""),"")</f>
        <v/>
      </c>
      <c r="AH188" s="38"/>
      <c r="AI188" s="70">
        <v>0</v>
      </c>
      <c r="AJ188" s="38">
        <f>IF(AND(AJ$7="○",$A188&gt;=AJ$8,$A188&lt;=AJ$9),IF(SUM(AJ$10:AJ187)-ROUNDDOWN($K188*AJ$5/100,0)&lt;-AJ$6,-AJ$6-SUM(AJ$10:AJ187),-ROUNDDOWN($K188*AJ$5/100,0)),0)</f>
        <v>0</v>
      </c>
      <c r="AK188" s="38">
        <f>IF(AND(AK$7="○",$A188&gt;=AK$8,$A188&lt;=AK$9),IF(SUM(AK$10:AK187)-ROUNDDOWN($L188*AK$5/100,0)&lt;-AK$6,-AK$6-SUM(AK$10:AK187),-ROUNDDOWN($L188*AK$5/100,0)),0)</f>
        <v>0</v>
      </c>
      <c r="AL188" s="38">
        <f>IF(AND(AL$7="○",$A188&gt;=AL$8,$A188&lt;=AL$9),IF(SUM(AL$10:AL187)-ROUNDDOWN($N188*AL$5/100,0)&lt;-AL$6,-AL$6-SUM(AL$10:AL187),-ROUNDDOWN($N188*AL$5/100,0)),0)</f>
        <v>0</v>
      </c>
      <c r="AM188" s="38">
        <f>IF(AND(AM$7="○",$A188&gt;=AM$8,$A188&lt;=AM$9),IF(SUM(AM$10:AM187)-ROUNDDOWN($L188*AM$5/100,0)&lt;-AM$6,-AM$6-SUM(AM$10:AM187),-ROUNDDOWN($L188*AM$5/100,0)),0)</f>
        <v>0</v>
      </c>
      <c r="AN188" s="38">
        <f>IF(AND(AN$7="○",$A188&gt;=AN$8,$A188&lt;=AN$9),IF(SUM(AN$10:AN187)-ROUNDDOWN($M188*AN$5/100,0)&lt;-AN$6,-AN$6-SUM(AN$10:AN187),-ROUNDDOWN($M188*AN$5/100,0)),0)</f>
        <v>0</v>
      </c>
      <c r="AO188" s="38">
        <f>IF(AND($A188&gt;=AO$8,$A188&lt;=AO$9),IF(SUM(AO$10:AO187)-ROUNDDOWN($K188*AO$5/100,0)&lt;-AO$6,-AO$6-SUM(AO$10:AO187),-ROUNDDOWN($K188*AO$5/100,0)),0)</f>
        <v>0</v>
      </c>
      <c r="AP188" s="38">
        <f>IF(AND($A188&gt;=AP$8,$A188&lt;=AP$9),IF(SUM(AP$10:AP187)-ROUNDDOWN($K188*AP$5/100,0)&lt;-AP$6,-AP$6-SUM(AP$10:AP187),-ROUNDDOWN($K188*AP$5/100,0)),0)</f>
        <v>0</v>
      </c>
      <c r="AQ188" s="38">
        <f>IF(AND($A188&gt;=AQ$8,$A188&lt;=AQ$9),IF(SUM(AQ$10:AQ187)-ROUNDDOWN($K188*AQ$5/100,0)&lt;-AQ$6,-AQ$6-SUM(AQ$10:AQ187),-ROUNDDOWN($K188*AQ$5/100,0)),0)</f>
        <v>0</v>
      </c>
      <c r="AR188" s="38">
        <f>IF(AND($A188&gt;=AR$8,$A188&lt;=AR$9),IF(SUM(AR$10:AR187)-ROUNDDOWN($K188*AR$5/100,0)&lt;-AR$6,-AR$6-SUM(AR$10:AR187),-ROUNDDOWN($K188*AR$5/100,0)),0)</f>
        <v>0</v>
      </c>
      <c r="AS188" s="38">
        <f>IF(SUMIFS(AS$10:AS187,$A$10:$A187,$A188)-ROUNDDOWN($K188*$S188/100,0)&lt;-$S188*1000,-$S188*1000-SUMIFS(AS$10:AS187,$A$10:$A187,$A188),-ROUNDDOWN($K188*$S188/100,0))</f>
        <v>0</v>
      </c>
      <c r="AT188" s="38">
        <f>IF(AND(X188="○",$A188&gt;=AT$8,$A188&lt;=AT$9,K188&gt;=3980),IF(SUM(AT$10:AT187)-ROUNDDOWN($K188*AT$5/100,0)&lt;-AT$6,-AT$6-SUM(AT$10:AT187),-ROUNDDOWN($K188*AT$5/100,0)),0)</f>
        <v>0</v>
      </c>
      <c r="AU188" s="38">
        <f>IF(O188="○",IF(SUM(AU$10:AU187)-ROUNDDOWN($K188*AU$5/100,0)&lt;-AU$6,-AU$6-SUM(AU$10:AU187),-ROUNDDOWN($K188*AU$5/100,0)),0)</f>
        <v>0</v>
      </c>
      <c r="AV188" s="38">
        <f>IF(P188="○",IF(SUM(AV$10:AV187)-ROUNDDOWN($K188*AV$5/100,0)&lt;-AV$6,-AV$6-SUM(AV$10:AV187),-ROUNDDOWN($K188*AV$5/100,0)),0)</f>
        <v>0</v>
      </c>
      <c r="AW188" s="38">
        <f>IF(Q188="○",IF(SUM(AW$10:AW187)-ROUNDDOWN($K188*AW$5/100,0)&lt;-AW$6,-AW$6-SUM(AW$10:AW187),-ROUNDDOWN($K188*AW$5/100,0)),0)</f>
        <v>0</v>
      </c>
      <c r="AX188" s="38">
        <f>IF(R188="○",IF(SUM(AX$10:AX187)-ROUNDDOWN($K188*AX$5/100,0)&lt;-AX$6,-AX$6-SUM(AX$10:AX187),-ROUNDDOWN($K188*AX$5/100,0)),0)</f>
        <v>0</v>
      </c>
      <c r="AY188" s="70">
        <v>0</v>
      </c>
      <c r="AZ188" s="65">
        <f t="shared" si="132"/>
        <v>0</v>
      </c>
      <c r="BA188" s="65">
        <f t="shared" si="133"/>
        <v>0</v>
      </c>
      <c r="BB188" s="70"/>
      <c r="BC188" s="65">
        <f t="shared" si="134"/>
        <v>0</v>
      </c>
      <c r="BD188" s="70">
        <v>0</v>
      </c>
      <c r="BE188" s="65">
        <f t="shared" si="135"/>
        <v>0</v>
      </c>
      <c r="BF188" s="70">
        <v>0</v>
      </c>
      <c r="BG188" s="65">
        <f t="shared" si="136"/>
        <v>0</v>
      </c>
      <c r="BH188" s="70">
        <v>0</v>
      </c>
      <c r="BI188" s="65">
        <f t="shared" si="137"/>
        <v>0</v>
      </c>
      <c r="BJ188" s="38">
        <f>IF(AND(BJ$7="○",$A188&gt;=BJ$8,$A188&lt;=BJ$9),IF(SUM(BJ$10:BJ187)-ROUNDDOWN($M188*BJ$5/100,0)&lt;-BJ$6,-BJ$6-SUM(BJ$10:BJ187),-ROUNDDOWN($M188*BJ$5/100,0)),0)</f>
        <v>0</v>
      </c>
      <c r="BK188" s="38">
        <f>IF(AND(BK$7="○",$A188&gt;=BK$8,$A188&lt;=BK$9),IF(SUM(BK$10:BK187)-ROUNDDOWN($L188*BK$5/100,0)&lt;-BK$6,-BK$6-SUM(BK$10:BK187),-ROUNDDOWN($L188*BK$5/100,0)),0)</f>
        <v>0</v>
      </c>
      <c r="BL188" s="38">
        <f>IF(AND(BL$7="○",$A188&gt;=BL$8,$A188&lt;=BL$9),IF(SUM(BL$10:BL187)-ROUNDDOWN($L188*BL$5/100,0)&lt;-BL$6,-BL$6-SUM(BL$10:BL187),-ROUNDDOWN($L188*BL$5/100,0)),0)</f>
        <v>0</v>
      </c>
      <c r="BM188" s="38">
        <f>IF(AND(BM$7="○",$A188&gt;=BM$8,$A188&lt;=BM$9),IF(SUM(BM$10:BM187)-ROUNDDOWN($M188*BM$5/100,0)&lt;-BM$6,-BM$6-SUM(BM$10:BM187),-ROUNDDOWN($M188*BM$5/100,0)),0)</f>
        <v>0</v>
      </c>
      <c r="BN188" s="38">
        <f>IF(AND(BN$7="○",$A188&gt;=BN$8,$A188&lt;=BN$9),IF(SUM(BN$10:BN187)-ROUNDDOWN($M188*BN$5/100,0)&lt;-BN$6,-BN$6-SUM(BN$10:BN187),-ROUNDDOWN($M188*BN$5/100,0)),0)</f>
        <v>0</v>
      </c>
      <c r="BO188" s="38">
        <f>IF(AND(BO$7="○",$A188&gt;=BO$8,$A188&lt;=BO$9),IF(SUM(BO$10:BO187)-ROUNDDOWN($M188*BO$5/100,0)&lt;-BO$6,-BO$6-SUM(BO$10:BO187),-ROUNDDOWN($M188*BO$5/100,0)),0)</f>
        <v>0</v>
      </c>
      <c r="BP188" s="38">
        <f>IF(AND(BP$7="○",$A188&gt;=BP$8,$A188&lt;=BP$9),IF(SUM(BP$10:BP187)-ROUNDDOWN($M188*BP$5/100,0)&lt;-BP$6,-BP$6-SUM(BP$10:BP187),-ROUNDDOWN($M188*BP$5/100,0)),0)</f>
        <v>0</v>
      </c>
      <c r="BQ188" s="38">
        <f>IF(AND(BQ$7="○",$A188&gt;=BQ$8,$A188&lt;=BQ$9),IF(SUM(BQ$10:BQ187)-ROUNDDOWN($L188*BQ$5/100,0)&lt;-BQ$6,-BQ$6-SUM(BQ$10:BQ187),-ROUNDDOWN($L188*BQ$5/100,0)),0)</f>
        <v>0</v>
      </c>
      <c r="BR188" s="38">
        <f>IF(AND(BR$7="○",$A188&gt;=BR$8,$A188&lt;=BR$9),IF(SUM(BR$10:BR187)-ROUNDDOWN($M188*BR$5/100,0)&lt;-BR$6,-BR$6-SUM(BR$10:BR187),-ROUNDDOWN($M188*BR$5/100,0)),0)</f>
        <v>0</v>
      </c>
      <c r="BS188" s="38">
        <f>IF(AND(BS$7="○",$A188&gt;=BS$8,$A188&lt;=BS$9),IF(SUM(BS$10:BS187)-ROUNDDOWN($M188*BS$5/100,0)&lt;-BS$6,-BS$6-SUM(BS$10:BS187),-ROUNDDOWN($M188*BS$5/100,0)),0)</f>
        <v>0</v>
      </c>
      <c r="BT188" s="38">
        <f>IF(AND(BT$7="○",$A188&gt;=BT$8,$A188&lt;=BT$9),IF(SUM(BT$10:BT187)-ROUNDDOWN($M188*BT$5/100,0)&lt;-BT$6,-BT$6-SUM(BT$10:BT187),-ROUNDDOWN($M188*BT$5/100,0)),0)</f>
        <v>0</v>
      </c>
      <c r="BU188" s="38">
        <f>IF(AND(BU$7="○",$A188&gt;=BU$8,$A188&lt;=BU$9),IF(SUM(BU$10:BU187)-ROUNDDOWN($M188*BU$5/100,0)&lt;-BU$6,-BU$6-SUM(BU$10:BU187),-ROUNDDOWN($M188*BU$5/100,0)),0)</f>
        <v>0</v>
      </c>
      <c r="BV188" s="38">
        <f>IF(AND(BV$7="○",$A188&gt;=BV$8,$A188&lt;=BV$9),IF(SUM(BV$10:BV187)-ROUNDDOWN($M188*BV$5/100,0)&lt;-BV$6,-BV$6-SUM(BV$10:BV187),-ROUNDDOWN($M188*BV$5/100,0)),0)</f>
        <v>0</v>
      </c>
      <c r="BW188" s="38">
        <f>IF(AND(BW$7="○",$A188&gt;=BW$8,$A188&lt;=BW$9),IF(SUM(BW$10:BW187)-ROUNDDOWN($M188*BW$5/100,0)&lt;-BW$6,-BW$6-SUM(BW$10:BW187),-ROUNDDOWN($M188*BW$5/100,0)),0)</f>
        <v>0</v>
      </c>
      <c r="BX188" s="38">
        <f>IF(AND(T188="○",$A188&gt;=BX$8,$A188&lt;=BX$9),IF(SUM(BX$10:BX187)-ROUNDDOWN($K188*BX$5/100,0)&lt;-BX$6,-BX$6-SUM(BX$10:BX187),-ROUNDDOWN($K188*BX$5/100,0)),0)</f>
        <v>0</v>
      </c>
      <c r="BY188" s="38">
        <f>IF(AND(U188="○",$A188&gt;=BY$8,$A188&lt;=BY$9),IF(SUM(BY$10:BY187)-ROUNDDOWN($K188*BY$5/100,0)&lt;-BY$6,-BY$6-SUM(BY$10:BY187),-ROUNDDOWN($K188*BY$5/100,0)),0)</f>
        <v>0</v>
      </c>
      <c r="BZ188" s="38">
        <f>IF(AND(V188="○",$A188&gt;=BZ$8,$A188&lt;=BZ$9),IF(SUM(BZ$10:BZ187)-ROUNDDOWN($K188*BZ$5/100,0)&lt;-BZ$6,-BZ$6-SUM(BZ$10:BZ187),-ROUNDDOWN($K188*BZ$5/100,0)),0)</f>
        <v>0</v>
      </c>
      <c r="CA188" s="38">
        <f>IF(AND(W188="○",$A188&gt;=CA$8,$A188&lt;=CA$9),IF(SUM(CA$10:CA187)-ROUNDDOWN($K188*CA$5/100,0)&lt;-CA$6,-CA$6-SUM(CA$10:CA187),-ROUNDDOWN($K188*CA$5/100,0)),0)</f>
        <v>0</v>
      </c>
      <c r="CB188" s="38"/>
      <c r="CC188" s="38"/>
      <c r="CD188" s="38"/>
      <c r="CE188" s="38"/>
      <c r="CF188" s="38"/>
      <c r="CG188" s="65">
        <f t="shared" si="138"/>
        <v>0</v>
      </c>
      <c r="CH188" s="71">
        <f t="shared" si="139"/>
        <v>0</v>
      </c>
      <c r="CI188" s="1">
        <f t="shared" si="155"/>
        <v>0</v>
      </c>
      <c r="CJ188" s="1"/>
      <c r="CK188" s="2"/>
      <c r="CL188" s="2"/>
      <c r="CM188" s="2"/>
      <c r="CN188" s="2"/>
      <c r="CO188" s="73">
        <f t="shared" ref="CO188:CO195" si="161">IFERROR(CN188-CI188,0)</f>
        <v>0</v>
      </c>
      <c r="CP188" s="5">
        <f t="shared" si="158"/>
        <v>0</v>
      </c>
      <c r="CQ188" s="1"/>
      <c r="CR188" s="1">
        <f t="shared" si="159"/>
        <v>0</v>
      </c>
      <c r="CS188" s="1"/>
      <c r="CT188" s="1" t="e">
        <f>INDEX([2]マスタ!$A:$A,MATCH(D188,[2]マスタ!$C:$C,0))</f>
        <v>#N/A</v>
      </c>
      <c r="CU188" s="1" t="str">
        <f t="shared" ca="1" si="160"/>
        <v>20260620_0-0</v>
      </c>
    </row>
    <row r="189" spans="1:99" x14ac:dyDescent="0.4">
      <c r="A189" s="61"/>
      <c r="B189" s="62"/>
      <c r="C189" s="62"/>
      <c r="D189" s="62"/>
      <c r="E189" s="63"/>
      <c r="F189" s="62"/>
      <c r="G189" s="62">
        <v>1</v>
      </c>
      <c r="H189" s="64">
        <f t="shared" si="151"/>
        <v>0</v>
      </c>
      <c r="I189" s="64"/>
      <c r="J189" s="78"/>
      <c r="K189" s="65">
        <f t="shared" si="156"/>
        <v>0</v>
      </c>
      <c r="L189" s="65">
        <f t="shared" si="152"/>
        <v>0</v>
      </c>
      <c r="M189" s="65">
        <f t="shared" si="153"/>
        <v>0</v>
      </c>
      <c r="N189" s="65">
        <f t="shared" si="154"/>
        <v>0</v>
      </c>
      <c r="O189" s="66" t="str">
        <f t="shared" si="145"/>
        <v>✕</v>
      </c>
      <c r="P189" s="67" t="str">
        <f t="shared" si="146"/>
        <v>○</v>
      </c>
      <c r="Q189" s="67" t="str">
        <f t="shared" si="157"/>
        <v>✕</v>
      </c>
      <c r="R189" s="67" t="str">
        <f t="shared" si="148"/>
        <v>✕</v>
      </c>
      <c r="S189" s="68">
        <v>0</v>
      </c>
      <c r="T189" s="69" t="s">
        <v>85</v>
      </c>
      <c r="U189" s="69" t="s">
        <v>85</v>
      </c>
      <c r="V189" s="69" t="s">
        <v>85</v>
      </c>
      <c r="W189" s="69" t="s">
        <v>85</v>
      </c>
      <c r="X189" s="69" t="s">
        <v>84</v>
      </c>
      <c r="Y189" s="69" t="s">
        <v>85</v>
      </c>
      <c r="Z189" s="69" t="s">
        <v>85</v>
      </c>
      <c r="AA189" s="69" t="s">
        <v>85</v>
      </c>
      <c r="AB189" s="69" t="s">
        <v>85</v>
      </c>
      <c r="AC189" s="69" t="s">
        <v>85</v>
      </c>
      <c r="AD189" s="38" t="str">
        <f>+IF(ISERROR(VLOOKUP($B189,AD$10:AD188,1,0)),IF(AND($N189&gt;=1000,$A189&gt;=AO$8,$A189&lt;=AO$9),$B189,""),"")</f>
        <v/>
      </c>
      <c r="AE189" s="38" t="str">
        <f>+IF(ISERROR(VLOOKUP($B189,AE$10:AE188,1,0)),IF(AND($N189&gt;=1000,$A189&gt;=AP$8,$A189&lt;=AP$9),$B189,""),"")</f>
        <v/>
      </c>
      <c r="AF189" s="38" t="str">
        <f>+IF(ISERROR(VLOOKUP($B189,AF$10:AF188,1,0)),IF(AND($N189&gt;=1000,$A189&gt;=AQ$8,$A189&lt;=AQ$9),$B189,""),"")</f>
        <v/>
      </c>
      <c r="AG189" s="38" t="str">
        <f>+IF(ISERROR(VLOOKUP($B189,AG$10:AG188,1,0)),IF(AND($N189&gt;=1000,$A189&gt;=AR$8,$A189&lt;=AR$9),$B189,""),"")</f>
        <v/>
      </c>
      <c r="AH189" s="38"/>
      <c r="AI189" s="70">
        <v>0</v>
      </c>
      <c r="AJ189" s="38">
        <f>IF(AND(AJ$7="○",$A189&gt;=AJ$8,$A189&lt;=AJ$9),IF(SUM(AJ$10:AJ188)-ROUNDDOWN($K189*AJ$5/100,0)&lt;-AJ$6,-AJ$6-SUM(AJ$10:AJ188),-ROUNDDOWN($K189*AJ$5/100,0)),0)</f>
        <v>0</v>
      </c>
      <c r="AK189" s="38">
        <f>IF(AND(AK$7="○",$A189&gt;=AK$8,$A189&lt;=AK$9),IF(SUM(AK$10:AK188)-ROUNDDOWN($L189*AK$5/100,0)&lt;-AK$6,-AK$6-SUM(AK$10:AK188),-ROUNDDOWN($L189*AK$5/100,0)),0)</f>
        <v>0</v>
      </c>
      <c r="AL189" s="38">
        <f>IF(AND(AL$7="○",$A189&gt;=AL$8,$A189&lt;=AL$9),IF(SUM(AL$10:AL188)-ROUNDDOWN($N189*AL$5/100,0)&lt;-AL$6,-AL$6-SUM(AL$10:AL188),-ROUNDDOWN($N189*AL$5/100,0)),0)</f>
        <v>0</v>
      </c>
      <c r="AM189" s="38">
        <f>IF(AND(AM$7="○",$A189&gt;=AM$8,$A189&lt;=AM$9),IF(SUM(AM$10:AM188)-ROUNDDOWN($L189*AM$5/100,0)&lt;-AM$6,-AM$6-SUM(AM$10:AM188),-ROUNDDOWN($L189*AM$5/100,0)),0)</f>
        <v>0</v>
      </c>
      <c r="AN189" s="38">
        <f>IF(AND(AN$7="○",$A189&gt;=AN$8,$A189&lt;=AN$9),IF(SUM(AN$10:AN188)-ROUNDDOWN($M189*AN$5/100,0)&lt;-AN$6,-AN$6-SUM(AN$10:AN188),-ROUNDDOWN($M189*AN$5/100,0)),0)</f>
        <v>0</v>
      </c>
      <c r="AO189" s="38">
        <f>IF(AND($A189&gt;=AO$8,$A189&lt;=AO$9),IF(SUM(AO$10:AO188)-ROUNDDOWN($K189*AO$5/100,0)&lt;-AO$6,-AO$6-SUM(AO$10:AO188),-ROUNDDOWN($K189*AO$5/100,0)),0)</f>
        <v>0</v>
      </c>
      <c r="AP189" s="38">
        <f>IF(AND($A189&gt;=AP$8,$A189&lt;=AP$9),IF(SUM(AP$10:AP188)-ROUNDDOWN($K189*AP$5/100,0)&lt;-AP$6,-AP$6-SUM(AP$10:AP188),-ROUNDDOWN($K189*AP$5/100,0)),0)</f>
        <v>0</v>
      </c>
      <c r="AQ189" s="38">
        <f>IF(AND($A189&gt;=AQ$8,$A189&lt;=AQ$9),IF(SUM(AQ$10:AQ188)-ROUNDDOWN($K189*AQ$5/100,0)&lt;-AQ$6,-AQ$6-SUM(AQ$10:AQ188),-ROUNDDOWN($K189*AQ$5/100,0)),0)</f>
        <v>0</v>
      </c>
      <c r="AR189" s="38">
        <f>IF(AND($A189&gt;=AR$8,$A189&lt;=AR$9),IF(SUM(AR$10:AR188)-ROUNDDOWN($K189*AR$5/100,0)&lt;-AR$6,-AR$6-SUM(AR$10:AR188),-ROUNDDOWN($K189*AR$5/100,0)),0)</f>
        <v>0</v>
      </c>
      <c r="AS189" s="38">
        <f>IF(SUMIFS(AS$10:AS188,$A$10:$A188,$A189)-ROUNDDOWN($K189*$S189/100,0)&lt;-$S189*1000,-$S189*1000-SUMIFS(AS$10:AS188,$A$10:$A188,$A189),-ROUNDDOWN($K189*$S189/100,0))</f>
        <v>0</v>
      </c>
      <c r="AT189" s="38">
        <f>IF(AND(X189="○",$A189&gt;=AT$8,$A189&lt;=AT$9,K189&gt;=3980),IF(SUM(AT$10:AT188)-ROUNDDOWN($K189*AT$5/100,0)&lt;-AT$6,-AT$6-SUM(AT$10:AT188),-ROUNDDOWN($K189*AT$5/100,0)),0)</f>
        <v>0</v>
      </c>
      <c r="AU189" s="38">
        <f>IF(O189="○",IF(SUM(AU$10:AU188)-ROUNDDOWN($K189*AU$5/100,0)&lt;-AU$6,-AU$6-SUM(AU$10:AU188),-ROUNDDOWN($K189*AU$5/100,0)),0)</f>
        <v>0</v>
      </c>
      <c r="AV189" s="38">
        <f>IF(P189="○",IF(SUM(AV$10:AV188)-ROUNDDOWN($K189*AV$5/100,0)&lt;-AV$6,-AV$6-SUM(AV$10:AV188),-ROUNDDOWN($K189*AV$5/100,0)),0)</f>
        <v>0</v>
      </c>
      <c r="AW189" s="38">
        <f>IF(Q189="○",IF(SUM(AW$10:AW188)-ROUNDDOWN($K189*AW$5/100,0)&lt;-AW$6,-AW$6-SUM(AW$10:AW188),-ROUNDDOWN($K189*AW$5/100,0)),0)</f>
        <v>0</v>
      </c>
      <c r="AX189" s="38">
        <f>IF(R189="○",IF(SUM(AX$10:AX188)-ROUNDDOWN($K189*AX$5/100,0)&lt;-AX$6,-AX$6-SUM(AX$10:AX188),-ROUNDDOWN($K189*AX$5/100,0)),0)</f>
        <v>0</v>
      </c>
      <c r="AY189" s="70">
        <v>0</v>
      </c>
      <c r="AZ189" s="65">
        <f t="shared" si="132"/>
        <v>0</v>
      </c>
      <c r="BA189" s="65">
        <f t="shared" si="133"/>
        <v>0</v>
      </c>
      <c r="BB189" s="70"/>
      <c r="BC189" s="65">
        <f t="shared" si="134"/>
        <v>0</v>
      </c>
      <c r="BD189" s="70">
        <v>0</v>
      </c>
      <c r="BE189" s="65">
        <f t="shared" si="135"/>
        <v>0</v>
      </c>
      <c r="BF189" s="70">
        <v>0</v>
      </c>
      <c r="BG189" s="65">
        <f t="shared" si="136"/>
        <v>0</v>
      </c>
      <c r="BH189" s="70">
        <v>0</v>
      </c>
      <c r="BI189" s="65">
        <f t="shared" si="137"/>
        <v>0</v>
      </c>
      <c r="BJ189" s="38">
        <f>IF(AND(BJ$7="○",$A189&gt;=BJ$8,$A189&lt;=BJ$9),IF(SUM(BJ$10:BJ188)-ROUNDDOWN($M189*BJ$5/100,0)&lt;-BJ$6,-BJ$6-SUM(BJ$10:BJ188),-ROUNDDOWN($M189*BJ$5/100,0)),0)</f>
        <v>0</v>
      </c>
      <c r="BK189" s="38">
        <f>IF(AND(BK$7="○",$A189&gt;=BK$8,$A189&lt;=BK$9),IF(SUM(BK$10:BK188)-ROUNDDOWN($L189*BK$5/100,0)&lt;-BK$6,-BK$6-SUM(BK$10:BK188),-ROUNDDOWN($L189*BK$5/100,0)),0)</f>
        <v>0</v>
      </c>
      <c r="BL189" s="38">
        <f>IF(AND(BL$7="○",$A189&gt;=BL$8,$A189&lt;=BL$9),IF(SUM(BL$10:BL188)-ROUNDDOWN($L189*BL$5/100,0)&lt;-BL$6,-BL$6-SUM(BL$10:BL188),-ROUNDDOWN($L189*BL$5/100,0)),0)</f>
        <v>0</v>
      </c>
      <c r="BM189" s="38">
        <f>IF(AND(BM$7="○",$A189&gt;=BM$8,$A189&lt;=BM$9),IF(SUM(BM$10:BM188)-ROUNDDOWN($M189*BM$5/100,0)&lt;-BM$6,-BM$6-SUM(BM$10:BM188),-ROUNDDOWN($M189*BM$5/100,0)),0)</f>
        <v>0</v>
      </c>
      <c r="BN189" s="38">
        <f>IF(AND(BN$7="○",$A189&gt;=BN$8,$A189&lt;=BN$9),IF(SUM(BN$10:BN188)-ROUNDDOWN($M189*BN$5/100,0)&lt;-BN$6,-BN$6-SUM(BN$10:BN188),-ROUNDDOWN($M189*BN$5/100,0)),0)</f>
        <v>0</v>
      </c>
      <c r="BO189" s="38">
        <f>IF(AND(BO$7="○",$A189&gt;=BO$8,$A189&lt;=BO$9),IF(SUM(BO$10:BO188)-ROUNDDOWN($M189*BO$5/100,0)&lt;-BO$6,-BO$6-SUM(BO$10:BO188),-ROUNDDOWN($M189*BO$5/100,0)),0)</f>
        <v>0</v>
      </c>
      <c r="BP189" s="38">
        <f>IF(AND(BP$7="○",$A189&gt;=BP$8,$A189&lt;=BP$9),IF(SUM(BP$10:BP188)-ROUNDDOWN($M189*BP$5/100,0)&lt;-BP$6,-BP$6-SUM(BP$10:BP188),-ROUNDDOWN($M189*BP$5/100,0)),0)</f>
        <v>0</v>
      </c>
      <c r="BQ189" s="38">
        <f>IF(AND(BQ$7="○",$A189&gt;=BQ$8,$A189&lt;=BQ$9),IF(SUM(BQ$10:BQ188)-ROUNDDOWN($L189*BQ$5/100,0)&lt;-BQ$6,-BQ$6-SUM(BQ$10:BQ188),-ROUNDDOWN($L189*BQ$5/100,0)),0)</f>
        <v>0</v>
      </c>
      <c r="BR189" s="38">
        <f>IF(AND(BR$7="○",$A189&gt;=BR$8,$A189&lt;=BR$9),IF(SUM(BR$10:BR188)-ROUNDDOWN($M189*BR$5/100,0)&lt;-BR$6,-BR$6-SUM(BR$10:BR188),-ROUNDDOWN($M189*BR$5/100,0)),0)</f>
        <v>0</v>
      </c>
      <c r="BS189" s="38">
        <f>IF(AND(BS$7="○",$A189&gt;=BS$8,$A189&lt;=BS$9),IF(SUM(BS$10:BS188)-ROUNDDOWN($M189*BS$5/100,0)&lt;-BS$6,-BS$6-SUM(BS$10:BS188),-ROUNDDOWN($M189*BS$5/100,0)),0)</f>
        <v>0</v>
      </c>
      <c r="BT189" s="38">
        <f>IF(AND(BT$7="○",$A189&gt;=BT$8,$A189&lt;=BT$9),IF(SUM(BT$10:BT188)-ROUNDDOWN($M189*BT$5/100,0)&lt;-BT$6,-BT$6-SUM(BT$10:BT188),-ROUNDDOWN($M189*BT$5/100,0)),0)</f>
        <v>0</v>
      </c>
      <c r="BU189" s="38">
        <f>IF(AND(BU$7="○",$A189&gt;=BU$8,$A189&lt;=BU$9),IF(SUM(BU$10:BU188)-ROUNDDOWN($M189*BU$5/100,0)&lt;-BU$6,-BU$6-SUM(BU$10:BU188),-ROUNDDOWN($M189*BU$5/100,0)),0)</f>
        <v>0</v>
      </c>
      <c r="BV189" s="38">
        <f>IF(AND(BV$7="○",$A189&gt;=BV$8,$A189&lt;=BV$9),IF(SUM(BV$10:BV188)-ROUNDDOWN($M189*BV$5/100,0)&lt;-BV$6,-BV$6-SUM(BV$10:BV188),-ROUNDDOWN($M189*BV$5/100,0)),0)</f>
        <v>0</v>
      </c>
      <c r="BW189" s="38">
        <f>IF(AND(BW$7="○",$A189&gt;=BW$8,$A189&lt;=BW$9),IF(SUM(BW$10:BW188)-ROUNDDOWN($M189*BW$5/100,0)&lt;-BW$6,-BW$6-SUM(BW$10:BW188),-ROUNDDOWN($M189*BW$5/100,0)),0)</f>
        <v>0</v>
      </c>
      <c r="BX189" s="38">
        <f>IF(AND(T189="○",$A189&gt;=BX$8,$A189&lt;=BX$9),IF(SUM(BX$10:BX188)-ROUNDDOWN($K189*BX$5/100,0)&lt;-BX$6,-BX$6-SUM(BX$10:BX188),-ROUNDDOWN($K189*BX$5/100,0)),0)</f>
        <v>0</v>
      </c>
      <c r="BY189" s="38">
        <f>IF(AND(U189="○",$A189&gt;=BY$8,$A189&lt;=BY$9),IF(SUM(BY$10:BY188)-ROUNDDOWN($K189*BY$5/100,0)&lt;-BY$6,-BY$6-SUM(BY$10:BY188),-ROUNDDOWN($K189*BY$5/100,0)),0)</f>
        <v>0</v>
      </c>
      <c r="BZ189" s="38">
        <f>IF(AND(V189="○",$A189&gt;=BZ$8,$A189&lt;=BZ$9),IF(SUM(BZ$10:BZ188)-ROUNDDOWN($K189*BZ$5/100,0)&lt;-BZ$6,-BZ$6-SUM(BZ$10:BZ188),-ROUNDDOWN($K189*BZ$5/100,0)),0)</f>
        <v>0</v>
      </c>
      <c r="CA189" s="38">
        <f>IF(AND(W189="○",$A189&gt;=CA$8,$A189&lt;=CA$9),IF(SUM(CA$10:CA188)-ROUNDDOWN($K189*CA$5/100,0)&lt;-CA$6,-CA$6-SUM(CA$10:CA188),-ROUNDDOWN($K189*CA$5/100,0)),0)</f>
        <v>0</v>
      </c>
      <c r="CB189" s="38"/>
      <c r="CC189" s="38"/>
      <c r="CD189" s="38"/>
      <c r="CE189" s="38"/>
      <c r="CF189" s="38"/>
      <c r="CG189" s="65">
        <f t="shared" si="138"/>
        <v>0</v>
      </c>
      <c r="CH189" s="71">
        <f t="shared" si="139"/>
        <v>0</v>
      </c>
      <c r="CI189" s="1">
        <f t="shared" si="155"/>
        <v>0</v>
      </c>
      <c r="CJ189" s="1"/>
      <c r="CK189" s="79"/>
      <c r="CL189" s="79"/>
      <c r="CM189" s="2"/>
      <c r="CN189" s="2"/>
      <c r="CO189" s="73">
        <f t="shared" si="161"/>
        <v>0</v>
      </c>
      <c r="CP189" s="5">
        <f t="shared" si="158"/>
        <v>0</v>
      </c>
      <c r="CQ189" s="1"/>
      <c r="CR189" s="1">
        <f t="shared" si="159"/>
        <v>0</v>
      </c>
      <c r="CS189" s="1"/>
      <c r="CT189" s="1" t="e">
        <f>INDEX([2]マスタ!$A:$A,MATCH(D189,[2]マスタ!$C:$C,0))</f>
        <v>#N/A</v>
      </c>
      <c r="CU189" s="1" t="str">
        <f t="shared" ca="1" si="160"/>
        <v>20260620_0-0</v>
      </c>
    </row>
    <row r="190" spans="1:99" x14ac:dyDescent="0.4">
      <c r="A190" s="61"/>
      <c r="B190" s="62"/>
      <c r="C190" s="62"/>
      <c r="D190" s="62"/>
      <c r="E190" s="63"/>
      <c r="F190" s="62"/>
      <c r="G190" s="62">
        <v>1</v>
      </c>
      <c r="H190" s="64">
        <f t="shared" si="151"/>
        <v>0</v>
      </c>
      <c r="I190" s="64"/>
      <c r="J190" s="64"/>
      <c r="K190" s="65">
        <f t="shared" si="156"/>
        <v>0</v>
      </c>
      <c r="L190" s="65">
        <f t="shared" si="152"/>
        <v>0</v>
      </c>
      <c r="M190" s="65">
        <f t="shared" si="153"/>
        <v>0</v>
      </c>
      <c r="N190" s="65">
        <f t="shared" si="154"/>
        <v>0</v>
      </c>
      <c r="O190" s="66" t="str">
        <f t="shared" si="145"/>
        <v>✕</v>
      </c>
      <c r="P190" s="67" t="str">
        <f t="shared" si="146"/>
        <v>○</v>
      </c>
      <c r="Q190" s="67" t="str">
        <f t="shared" si="157"/>
        <v>✕</v>
      </c>
      <c r="R190" s="67" t="str">
        <f t="shared" si="148"/>
        <v>✕</v>
      </c>
      <c r="S190" s="68">
        <v>0</v>
      </c>
      <c r="T190" s="69" t="s">
        <v>85</v>
      </c>
      <c r="U190" s="69" t="s">
        <v>85</v>
      </c>
      <c r="V190" s="69" t="s">
        <v>85</v>
      </c>
      <c r="W190" s="69" t="s">
        <v>85</v>
      </c>
      <c r="X190" s="69" t="s">
        <v>84</v>
      </c>
      <c r="Y190" s="69" t="s">
        <v>85</v>
      </c>
      <c r="Z190" s="69" t="s">
        <v>85</v>
      </c>
      <c r="AA190" s="69" t="s">
        <v>85</v>
      </c>
      <c r="AB190" s="69" t="s">
        <v>85</v>
      </c>
      <c r="AC190" s="69" t="s">
        <v>85</v>
      </c>
      <c r="AD190" s="38" t="str">
        <f>+IF(ISERROR(VLOOKUP($B190,AD$10:AD189,1,0)),IF(AND($N190&gt;=1000,$A190&gt;=AO$8,$A190&lt;=AO$9),$B190,""),"")</f>
        <v/>
      </c>
      <c r="AE190" s="38" t="str">
        <f>+IF(ISERROR(VLOOKUP($B190,AE$10:AE189,1,0)),IF(AND($N190&gt;=1000,$A190&gt;=AP$8,$A190&lt;=AP$9),$B190,""),"")</f>
        <v/>
      </c>
      <c r="AF190" s="38" t="str">
        <f>+IF(ISERROR(VLOOKUP($B190,AF$10:AF189,1,0)),IF(AND($N190&gt;=1000,$A190&gt;=AQ$8,$A190&lt;=AQ$9),$B190,""),"")</f>
        <v/>
      </c>
      <c r="AG190" s="38" t="str">
        <f>+IF(ISERROR(VLOOKUP($B190,AG$10:AG189,1,0)),IF(AND($N190&gt;=1000,$A190&gt;=AR$8,$A190&lt;=AR$9),$B190,""),"")</f>
        <v/>
      </c>
      <c r="AH190" s="38"/>
      <c r="AI190" s="70">
        <v>0</v>
      </c>
      <c r="AJ190" s="38">
        <f>IF(AND(AJ$7="○",$A190&gt;=AJ$8,$A190&lt;=AJ$9),IF(SUM(AJ$10:AJ189)-ROUNDDOWN($K190*AJ$5/100,0)&lt;-AJ$6,-AJ$6-SUM(AJ$10:AJ189),-ROUNDDOWN($K190*AJ$5/100,0)),0)</f>
        <v>0</v>
      </c>
      <c r="AK190" s="38">
        <f>IF(AND(AK$7="○",$A190&gt;=AK$8,$A190&lt;=AK$9),IF(SUM(AK$10:AK189)-ROUNDDOWN($L190*AK$5/100,0)&lt;-AK$6,-AK$6-SUM(AK$10:AK189),-ROUNDDOWN($L190*AK$5/100,0)),0)</f>
        <v>0</v>
      </c>
      <c r="AL190" s="38">
        <f>IF(AND(AL$7="○",$A190&gt;=AL$8,$A190&lt;=AL$9),IF(SUM(AL$10:AL189)-ROUNDDOWN($N190*AL$5/100,0)&lt;-AL$6,-AL$6-SUM(AL$10:AL189),-ROUNDDOWN($N190*AL$5/100,0)),0)</f>
        <v>0</v>
      </c>
      <c r="AM190" s="38">
        <f>IF(AND(AM$7="○",$A190&gt;=AM$8,$A190&lt;=AM$9),IF(SUM(AM$10:AM189)-ROUNDDOWN($L190*AM$5/100,0)&lt;-AM$6,-AM$6-SUM(AM$10:AM189),-ROUNDDOWN($L190*AM$5/100,0)),0)</f>
        <v>0</v>
      </c>
      <c r="AN190" s="38">
        <f>IF(AND(AN$7="○",$A190&gt;=AN$8,$A190&lt;=AN$9),IF(SUM(AN$10:AN189)-ROUNDDOWN($M190*AN$5/100,0)&lt;-AN$6,-AN$6-SUM(AN$10:AN189),-ROUNDDOWN($M190*AN$5/100,0)),0)</f>
        <v>0</v>
      </c>
      <c r="AO190" s="38">
        <f>IF(AND($A190&gt;=AO$8,$A190&lt;=AO$9),IF(SUM(AO$10:AO189)-ROUNDDOWN($K190*AO$5/100,0)&lt;-AO$6,-AO$6-SUM(AO$10:AO189),-ROUNDDOWN($K190*AO$5/100,0)),0)</f>
        <v>0</v>
      </c>
      <c r="AP190" s="38">
        <f>IF(AND($A190&gt;=AP$8,$A190&lt;=AP$9),IF(SUM(AP$10:AP189)-ROUNDDOWN($K190*AP$5/100,0)&lt;-AP$6,-AP$6-SUM(AP$10:AP189),-ROUNDDOWN($K190*AP$5/100,0)),0)</f>
        <v>0</v>
      </c>
      <c r="AQ190" s="38">
        <f>IF(AND($A190&gt;=AQ$8,$A190&lt;=AQ$9),IF(SUM(AQ$10:AQ189)-ROUNDDOWN($K190*AQ$5/100,0)&lt;-AQ$6,-AQ$6-SUM(AQ$10:AQ189),-ROUNDDOWN($K190*AQ$5/100,0)),0)</f>
        <v>0</v>
      </c>
      <c r="AR190" s="38">
        <f>IF(AND($A190&gt;=AR$8,$A190&lt;=AR$9),IF(SUM(AR$10:AR189)-ROUNDDOWN($K190*AR$5/100,0)&lt;-AR$6,-AR$6-SUM(AR$10:AR189),-ROUNDDOWN($K190*AR$5/100,0)),0)</f>
        <v>0</v>
      </c>
      <c r="AS190" s="38">
        <f>IF(SUMIFS(AS$10:AS189,$A$10:$A189,$A190)-ROUNDDOWN($K190*$S190/100,0)&lt;-$S190*1000,-$S190*1000-SUMIFS(AS$10:AS189,$A$10:$A189,$A190),-ROUNDDOWN($K190*$S190/100,0))</f>
        <v>0</v>
      </c>
      <c r="AT190" s="38">
        <f>IF(AND(X190="○",$A190&gt;=AT$8,$A190&lt;=AT$9,K190&gt;=3980),IF(SUM(AT$10:AT189)-ROUNDDOWN($K190*AT$5/100,0)&lt;-AT$6,-AT$6-SUM(AT$10:AT189),-ROUNDDOWN($K190*AT$5/100,0)),0)</f>
        <v>0</v>
      </c>
      <c r="AU190" s="38">
        <f>IF(O190="○",IF(SUM(AU$10:AU189)-ROUNDDOWN($K190*AU$5/100,0)&lt;-AU$6,-AU$6-SUM(AU$10:AU189),-ROUNDDOWN($K190*AU$5/100,0)),0)</f>
        <v>0</v>
      </c>
      <c r="AV190" s="38">
        <f>IF(P190="○",IF(SUM(AV$10:AV189)-ROUNDDOWN($K190*AV$5/100,0)&lt;-AV$6,-AV$6-SUM(AV$10:AV189),-ROUNDDOWN($K190*AV$5/100,0)),0)</f>
        <v>0</v>
      </c>
      <c r="AW190" s="38">
        <f>IF(Q190="○",IF(SUM(AW$10:AW189)-ROUNDDOWN($K190*AW$5/100,0)&lt;-AW$6,-AW$6-SUM(AW$10:AW189),-ROUNDDOWN($K190*AW$5/100,0)),0)</f>
        <v>0</v>
      </c>
      <c r="AX190" s="38">
        <f>IF(R190="○",IF(SUM(AX$10:AX189)-ROUNDDOWN($K190*AX$5/100,0)&lt;-AX$6,-AX$6-SUM(AX$10:AX189),-ROUNDDOWN($K190*AX$5/100,0)),0)</f>
        <v>0</v>
      </c>
      <c r="AY190" s="70">
        <v>0</v>
      </c>
      <c r="AZ190" s="65">
        <f t="shared" si="132"/>
        <v>0</v>
      </c>
      <c r="BA190" s="65">
        <f t="shared" si="133"/>
        <v>0</v>
      </c>
      <c r="BB190" s="70"/>
      <c r="BC190" s="65">
        <f t="shared" si="134"/>
        <v>0</v>
      </c>
      <c r="BD190" s="70">
        <v>0</v>
      </c>
      <c r="BE190" s="65">
        <f t="shared" si="135"/>
        <v>0</v>
      </c>
      <c r="BF190" s="70">
        <v>0</v>
      </c>
      <c r="BG190" s="65">
        <f t="shared" si="136"/>
        <v>0</v>
      </c>
      <c r="BH190" s="70">
        <v>0</v>
      </c>
      <c r="BI190" s="65">
        <f t="shared" si="137"/>
        <v>0</v>
      </c>
      <c r="BJ190" s="38">
        <f>IF(AND(BJ$7="○",$A190&gt;=BJ$8,$A190&lt;=BJ$9),IF(SUM(BJ$10:BJ189)-ROUNDDOWN($M190*BJ$5/100,0)&lt;-BJ$6,-BJ$6-SUM(BJ$10:BJ189),-ROUNDDOWN($M190*BJ$5/100,0)),0)</f>
        <v>0</v>
      </c>
      <c r="BK190" s="38">
        <f>IF(AND(BK$7="○",$A190&gt;=BK$8,$A190&lt;=BK$9),IF(SUM(BK$10:BK189)-ROUNDDOWN($L190*BK$5/100,0)&lt;-BK$6,-BK$6-SUM(BK$10:BK189),-ROUNDDOWN($L190*BK$5/100,0)),0)</f>
        <v>0</v>
      </c>
      <c r="BL190" s="38">
        <f>IF(AND(BL$7="○",$A190&gt;=BL$8,$A190&lt;=BL$9),IF(SUM(BL$10:BL189)-ROUNDDOWN($L190*BL$5/100,0)&lt;-BL$6,-BL$6-SUM(BL$10:BL189),-ROUNDDOWN($L190*BL$5/100,0)),0)</f>
        <v>0</v>
      </c>
      <c r="BM190" s="38">
        <f>IF(AND(BM$7="○",$A190&gt;=BM$8,$A190&lt;=BM$9),IF(SUM(BM$10:BM189)-ROUNDDOWN($M190*BM$5/100,0)&lt;-BM$6,-BM$6-SUM(BM$10:BM189),-ROUNDDOWN($M190*BM$5/100,0)),0)</f>
        <v>0</v>
      </c>
      <c r="BN190" s="38">
        <f>IF(AND(BN$7="○",$A190&gt;=BN$8,$A190&lt;=BN$9),IF(SUM(BN$10:BN189)-ROUNDDOWN($M190*BN$5/100,0)&lt;-BN$6,-BN$6-SUM(BN$10:BN189),-ROUNDDOWN($M190*BN$5/100,0)),0)</f>
        <v>0</v>
      </c>
      <c r="BO190" s="38">
        <f>IF(AND(BO$7="○",$A190&gt;=BO$8,$A190&lt;=BO$9),IF(SUM(BO$10:BO189)-ROUNDDOWN($M190*BO$5/100,0)&lt;-BO$6,-BO$6-SUM(BO$10:BO189),-ROUNDDOWN($M190*BO$5/100,0)),0)</f>
        <v>0</v>
      </c>
      <c r="BP190" s="38">
        <f>IF(AND(BP$7="○",$A190&gt;=BP$8,$A190&lt;=BP$9),IF(SUM(BP$10:BP189)-ROUNDDOWN($M190*BP$5/100,0)&lt;-BP$6,-BP$6-SUM(BP$10:BP189),-ROUNDDOWN($M190*BP$5/100,0)),0)</f>
        <v>0</v>
      </c>
      <c r="BQ190" s="38">
        <f>IF(AND(BQ$7="○",$A190&gt;=BQ$8,$A190&lt;=BQ$9),IF(SUM(BQ$10:BQ189)-ROUNDDOWN($L190*BQ$5/100,0)&lt;-BQ$6,-BQ$6-SUM(BQ$10:BQ189),-ROUNDDOWN($L190*BQ$5/100,0)),0)</f>
        <v>0</v>
      </c>
      <c r="BR190" s="38">
        <f>IF(AND(BR$7="○",$A190&gt;=BR$8,$A190&lt;=BR$9),IF(SUM(BR$10:BR189)-ROUNDDOWN($M190*BR$5/100,0)&lt;-BR$6,-BR$6-SUM(BR$10:BR189),-ROUNDDOWN($M190*BR$5/100,0)),0)</f>
        <v>0</v>
      </c>
      <c r="BS190" s="38">
        <f>IF(AND(BS$7="○",$A190&gt;=BS$8,$A190&lt;=BS$9),IF(SUM(BS$10:BS189)-ROUNDDOWN($M190*BS$5/100,0)&lt;-BS$6,-BS$6-SUM(BS$10:BS189),-ROUNDDOWN($M190*BS$5/100,0)),0)</f>
        <v>0</v>
      </c>
      <c r="BT190" s="38">
        <f>IF(AND(BT$7="○",$A190&gt;=BT$8,$A190&lt;=BT$9),IF(SUM(BT$10:BT189)-ROUNDDOWN($M190*BT$5/100,0)&lt;-BT$6,-BT$6-SUM(BT$10:BT189),-ROUNDDOWN($M190*BT$5/100,0)),0)</f>
        <v>0</v>
      </c>
      <c r="BU190" s="38">
        <f>IF(AND(BU$7="○",$A190&gt;=BU$8,$A190&lt;=BU$9),IF(SUM(BU$10:BU189)-ROUNDDOWN($M190*BU$5/100,0)&lt;-BU$6,-BU$6-SUM(BU$10:BU189),-ROUNDDOWN($M190*BU$5/100,0)),0)</f>
        <v>0</v>
      </c>
      <c r="BV190" s="38">
        <f>IF(AND(BV$7="○",$A190&gt;=BV$8,$A190&lt;=BV$9),IF(SUM(BV$10:BV189)-ROUNDDOWN($M190*BV$5/100,0)&lt;-BV$6,-BV$6-SUM(BV$10:BV189),-ROUNDDOWN($M190*BV$5/100,0)),0)</f>
        <v>0</v>
      </c>
      <c r="BW190" s="38">
        <f>IF(AND(BW$7="○",$A190&gt;=BW$8,$A190&lt;=BW$9),IF(SUM(BW$10:BW189)-ROUNDDOWN($M190*BW$5/100,0)&lt;-BW$6,-BW$6-SUM(BW$10:BW189),-ROUNDDOWN($M190*BW$5/100,0)),0)</f>
        <v>0</v>
      </c>
      <c r="BX190" s="38">
        <f>IF(AND(T190="○",$A190&gt;=BX$8,$A190&lt;=BX$9),IF(SUM(BX$10:BX189)-ROUNDDOWN($K190*BX$5/100,0)&lt;-BX$6,-BX$6-SUM(BX$10:BX189),-ROUNDDOWN($K190*BX$5/100,0)),0)</f>
        <v>0</v>
      </c>
      <c r="BY190" s="38">
        <f>IF(AND(U190="○",$A190&gt;=BY$8,$A190&lt;=BY$9),IF(SUM(BY$10:BY189)-ROUNDDOWN($K190*BY$5/100,0)&lt;-BY$6,-BY$6-SUM(BY$10:BY189),-ROUNDDOWN($K190*BY$5/100,0)),0)</f>
        <v>0</v>
      </c>
      <c r="BZ190" s="38">
        <f>IF(AND(V190="○",$A190&gt;=BZ$8,$A190&lt;=BZ$9),IF(SUM(BZ$10:BZ189)-ROUNDDOWN($K190*BZ$5/100,0)&lt;-BZ$6,-BZ$6-SUM(BZ$10:BZ189),-ROUNDDOWN($K190*BZ$5/100,0)),0)</f>
        <v>0</v>
      </c>
      <c r="CA190" s="38">
        <f>IF(AND(W190="○",$A190&gt;=CA$8,$A190&lt;=CA$9),IF(SUM(CA$10:CA189)-ROUNDDOWN($K190*CA$5/100,0)&lt;-CA$6,-CA$6-SUM(CA$10:CA189),-ROUNDDOWN($K190*CA$5/100,0)),0)</f>
        <v>0</v>
      </c>
      <c r="CB190" s="38"/>
      <c r="CC190" s="38"/>
      <c r="CD190" s="38"/>
      <c r="CE190" s="38"/>
      <c r="CF190" s="38"/>
      <c r="CG190" s="65">
        <f t="shared" si="138"/>
        <v>0</v>
      </c>
      <c r="CH190" s="71">
        <f t="shared" si="139"/>
        <v>0</v>
      </c>
      <c r="CI190" s="1">
        <f t="shared" si="155"/>
        <v>0</v>
      </c>
      <c r="CJ190" s="1"/>
      <c r="CK190" s="72"/>
      <c r="CL190" s="72"/>
      <c r="CM190" s="2"/>
      <c r="CN190" s="2"/>
      <c r="CO190" s="73">
        <f t="shared" si="161"/>
        <v>0</v>
      </c>
      <c r="CP190" s="5">
        <f t="shared" si="158"/>
        <v>0</v>
      </c>
      <c r="CQ190" s="1"/>
      <c r="CR190" s="1">
        <f t="shared" si="159"/>
        <v>0</v>
      </c>
      <c r="CS190" s="1"/>
      <c r="CT190" s="1" t="e">
        <f>INDEX([2]マスタ!$A:$A,MATCH(D190,[2]マスタ!$C:$C,0))</f>
        <v>#N/A</v>
      </c>
      <c r="CU190" s="1" t="str">
        <f t="shared" ca="1" si="160"/>
        <v>20260620_0-0</v>
      </c>
    </row>
    <row r="191" spans="1:99" x14ac:dyDescent="0.4">
      <c r="A191" s="61"/>
      <c r="B191" s="62"/>
      <c r="C191" s="62"/>
      <c r="D191" s="62"/>
      <c r="E191" s="63"/>
      <c r="F191" s="62"/>
      <c r="G191" s="62">
        <v>1</v>
      </c>
      <c r="H191" s="64">
        <f t="shared" si="151"/>
        <v>0</v>
      </c>
      <c r="I191" s="64"/>
      <c r="J191" s="64"/>
      <c r="K191" s="65">
        <f t="shared" si="156"/>
        <v>0</v>
      </c>
      <c r="L191" s="65">
        <f t="shared" si="152"/>
        <v>0</v>
      </c>
      <c r="M191" s="65">
        <f t="shared" si="153"/>
        <v>0</v>
      </c>
      <c r="N191" s="65">
        <f t="shared" si="154"/>
        <v>0</v>
      </c>
      <c r="O191" s="66" t="str">
        <f t="shared" si="145"/>
        <v>✕</v>
      </c>
      <c r="P191" s="67" t="str">
        <f t="shared" si="146"/>
        <v>○</v>
      </c>
      <c r="Q191" s="67" t="str">
        <f t="shared" si="157"/>
        <v>✕</v>
      </c>
      <c r="R191" s="67" t="str">
        <f t="shared" si="148"/>
        <v>✕</v>
      </c>
      <c r="S191" s="68">
        <v>0</v>
      </c>
      <c r="T191" s="69" t="s">
        <v>85</v>
      </c>
      <c r="U191" s="69" t="s">
        <v>85</v>
      </c>
      <c r="V191" s="69" t="s">
        <v>85</v>
      </c>
      <c r="W191" s="69" t="s">
        <v>85</v>
      </c>
      <c r="X191" s="69" t="s">
        <v>84</v>
      </c>
      <c r="Y191" s="69" t="s">
        <v>85</v>
      </c>
      <c r="Z191" s="69" t="s">
        <v>85</v>
      </c>
      <c r="AA191" s="69" t="s">
        <v>85</v>
      </c>
      <c r="AB191" s="69" t="s">
        <v>85</v>
      </c>
      <c r="AC191" s="69" t="s">
        <v>85</v>
      </c>
      <c r="AD191" s="38" t="str">
        <f>+IF(ISERROR(VLOOKUP($B191,AD$10:AD190,1,0)),IF(AND($N191&gt;=1000,$A191&gt;=AO$8,$A191&lt;=AO$9),$B191,""),"")</f>
        <v/>
      </c>
      <c r="AE191" s="38" t="str">
        <f>+IF(ISERROR(VLOOKUP($B191,AE$10:AE190,1,0)),IF(AND($N191&gt;=1000,$A191&gt;=AP$8,$A191&lt;=AP$9),$B191,""),"")</f>
        <v/>
      </c>
      <c r="AF191" s="38" t="str">
        <f>+IF(ISERROR(VLOOKUP($B191,AF$10:AF190,1,0)),IF(AND($N191&gt;=1000,$A191&gt;=AQ$8,$A191&lt;=AQ$9),$B191,""),"")</f>
        <v/>
      </c>
      <c r="AG191" s="38" t="str">
        <f>+IF(ISERROR(VLOOKUP($B191,AG$10:AG190,1,0)),IF(AND($N191&gt;=1000,$A191&gt;=AR$8,$A191&lt;=AR$9),$B191,""),"")</f>
        <v/>
      </c>
      <c r="AH191" s="38"/>
      <c r="AI191" s="70">
        <v>0</v>
      </c>
      <c r="AJ191" s="38">
        <f>IF(AND(AJ$7="○",$A191&gt;=AJ$8,$A191&lt;=AJ$9),IF(SUM(AJ$10:AJ190)-ROUNDDOWN($K191*AJ$5/100,0)&lt;-AJ$6,-AJ$6-SUM(AJ$10:AJ190),-ROUNDDOWN($K191*AJ$5/100,0)),0)</f>
        <v>0</v>
      </c>
      <c r="AK191" s="38">
        <f>IF(AND(AK$7="○",$A191&gt;=AK$8,$A191&lt;=AK$9),IF(SUM(AK$10:AK190)-ROUNDDOWN($L191*AK$5/100,0)&lt;-AK$6,-AK$6-SUM(AK$10:AK190),-ROUNDDOWN($L191*AK$5/100,0)),0)</f>
        <v>0</v>
      </c>
      <c r="AL191" s="38">
        <f>IF(AND(AL$7="○",$A191&gt;=AL$8,$A191&lt;=AL$9),IF(SUM(AL$10:AL190)-ROUNDDOWN($N191*AL$5/100,0)&lt;-AL$6,-AL$6-SUM(AL$10:AL190),-ROUNDDOWN($N191*AL$5/100,0)),0)</f>
        <v>0</v>
      </c>
      <c r="AM191" s="38">
        <f>IF(AND(AM$7="○",$A191&gt;=AM$8,$A191&lt;=AM$9),IF(SUM(AM$10:AM190)-ROUNDDOWN($L191*AM$5/100,0)&lt;-AM$6,-AM$6-SUM(AM$10:AM190),-ROUNDDOWN($L191*AM$5/100,0)),0)</f>
        <v>0</v>
      </c>
      <c r="AN191" s="38">
        <f>IF(AND(AN$7="○",$A191&gt;=AN$8,$A191&lt;=AN$9),IF(SUM(AN$10:AN190)-ROUNDDOWN($M191*AN$5/100,0)&lt;-AN$6,-AN$6-SUM(AN$10:AN190),-ROUNDDOWN($M191*AN$5/100,0)),0)</f>
        <v>0</v>
      </c>
      <c r="AO191" s="38">
        <f>IF(AND($A191&gt;=AO$8,$A191&lt;=AO$9),IF(SUM(AO$10:AO190)-ROUNDDOWN($K191*AO$5/100,0)&lt;-AO$6,-AO$6-SUM(AO$10:AO190),-ROUNDDOWN($K191*AO$5/100,0)),0)</f>
        <v>0</v>
      </c>
      <c r="AP191" s="38">
        <f>IF(AND($A191&gt;=AP$8,$A191&lt;=AP$9),IF(SUM(AP$10:AP190)-ROUNDDOWN($K191*AP$5/100,0)&lt;-AP$6,-AP$6-SUM(AP$10:AP190),-ROUNDDOWN($K191*AP$5/100,0)),0)</f>
        <v>0</v>
      </c>
      <c r="AQ191" s="38">
        <f>IF(AND($A191&gt;=AQ$8,$A191&lt;=AQ$9),IF(SUM(AQ$10:AQ190)-ROUNDDOWN($K191*AQ$5/100,0)&lt;-AQ$6,-AQ$6-SUM(AQ$10:AQ190),-ROUNDDOWN($K191*AQ$5/100,0)),0)</f>
        <v>0</v>
      </c>
      <c r="AR191" s="38">
        <f>IF(AND($A191&gt;=AR$8,$A191&lt;=AR$9),IF(SUM(AR$10:AR190)-ROUNDDOWN($K191*AR$5/100,0)&lt;-AR$6,-AR$6-SUM(AR$10:AR190),-ROUNDDOWN($K191*AR$5/100,0)),0)</f>
        <v>0</v>
      </c>
      <c r="AS191" s="38">
        <f>IF(SUMIFS(AS$10:AS190,$A$10:$A190,$A191)-ROUNDDOWN($K191*$S191/100,0)&lt;-$S191*1000,-$S191*1000-SUMIFS(AS$10:AS190,$A$10:$A190,$A191),-ROUNDDOWN($K191*$S191/100,0))</f>
        <v>0</v>
      </c>
      <c r="AT191" s="38">
        <f>IF(AND(X191="○",$A191&gt;=AT$8,$A191&lt;=AT$9,K191&gt;=3980),IF(SUM(AT$10:AT190)-ROUNDDOWN($K191*AT$5/100,0)&lt;-AT$6,-AT$6-SUM(AT$10:AT190),-ROUNDDOWN($K191*AT$5/100,0)),0)</f>
        <v>0</v>
      </c>
      <c r="AU191" s="38">
        <f>IF(O191="○",IF(SUM(AU$10:AU190)-ROUNDDOWN($K191*AU$5/100,0)&lt;-AU$6,-AU$6-SUM(AU$10:AU190),-ROUNDDOWN($K191*AU$5/100,0)),0)</f>
        <v>0</v>
      </c>
      <c r="AV191" s="38">
        <f>IF(P191="○",IF(SUM(AV$10:AV190)-ROUNDDOWN($K191*AV$5/100,0)&lt;-AV$6,-AV$6-SUM(AV$10:AV190),-ROUNDDOWN($K191*AV$5/100,0)),0)</f>
        <v>0</v>
      </c>
      <c r="AW191" s="38">
        <f>IF(Q191="○",IF(SUM(AW$10:AW190)-ROUNDDOWN($K191*AW$5/100,0)&lt;-AW$6,-AW$6-SUM(AW$10:AW190),-ROUNDDOWN($K191*AW$5/100,0)),0)</f>
        <v>0</v>
      </c>
      <c r="AX191" s="38">
        <f>IF(R191="○",IF(SUM(AX$10:AX190)-ROUNDDOWN($K191*AX$5/100,0)&lt;-AX$6,-AX$6-SUM(AX$10:AX190),-ROUNDDOWN($K191*AX$5/100,0)),0)</f>
        <v>0</v>
      </c>
      <c r="AY191" s="70">
        <v>0</v>
      </c>
      <c r="AZ191" s="65">
        <f t="shared" si="132"/>
        <v>0</v>
      </c>
      <c r="BA191" s="65">
        <f t="shared" si="133"/>
        <v>0</v>
      </c>
      <c r="BB191" s="70"/>
      <c r="BC191" s="65">
        <f t="shared" si="134"/>
        <v>0</v>
      </c>
      <c r="BD191" s="70">
        <v>0</v>
      </c>
      <c r="BE191" s="65">
        <f t="shared" si="135"/>
        <v>0</v>
      </c>
      <c r="BF191" s="70">
        <v>0</v>
      </c>
      <c r="BG191" s="65">
        <f t="shared" si="136"/>
        <v>0</v>
      </c>
      <c r="BH191" s="70">
        <v>0</v>
      </c>
      <c r="BI191" s="65">
        <f t="shared" si="137"/>
        <v>0</v>
      </c>
      <c r="BJ191" s="38">
        <f>IF(AND(BJ$7="○",$A191&gt;=BJ$8,$A191&lt;=BJ$9),IF(SUM(BJ$10:BJ190)-ROUNDDOWN($M191*BJ$5/100,0)&lt;-BJ$6,-BJ$6-SUM(BJ$10:BJ190),-ROUNDDOWN($M191*BJ$5/100,0)),0)</f>
        <v>0</v>
      </c>
      <c r="BK191" s="38">
        <f>IF(AND(BK$7="○",$A191&gt;=BK$8,$A191&lt;=BK$9),IF(SUM(BK$10:BK190)-ROUNDDOWN($L191*BK$5/100,0)&lt;-BK$6,-BK$6-SUM(BK$10:BK190),-ROUNDDOWN($L191*BK$5/100,0)),0)</f>
        <v>0</v>
      </c>
      <c r="BL191" s="38">
        <f>IF(AND(BL$7="○",$A191&gt;=BL$8,$A191&lt;=BL$9),IF(SUM(BL$10:BL190)-ROUNDDOWN($L191*BL$5/100,0)&lt;-BL$6,-BL$6-SUM(BL$10:BL190),-ROUNDDOWN($L191*BL$5/100,0)),0)</f>
        <v>0</v>
      </c>
      <c r="BM191" s="38">
        <f>IF(AND(BM$7="○",$A191&gt;=BM$8,$A191&lt;=BM$9),IF(SUM(BM$10:BM190)-ROUNDDOWN($M191*BM$5/100,0)&lt;-BM$6,-BM$6-SUM(BM$10:BM190),-ROUNDDOWN($M191*BM$5/100,0)),0)</f>
        <v>0</v>
      </c>
      <c r="BN191" s="38">
        <f>IF(AND(BN$7="○",$A191&gt;=BN$8,$A191&lt;=BN$9),IF(SUM(BN$10:BN190)-ROUNDDOWN($M191*BN$5/100,0)&lt;-BN$6,-BN$6-SUM(BN$10:BN190),-ROUNDDOWN($M191*BN$5/100,0)),0)</f>
        <v>0</v>
      </c>
      <c r="BO191" s="38">
        <f>IF(AND(BO$7="○",$A191&gt;=BO$8,$A191&lt;=BO$9),IF(SUM(BO$10:BO190)-ROUNDDOWN($M191*BO$5/100,0)&lt;-BO$6,-BO$6-SUM(BO$10:BO190),-ROUNDDOWN($M191*BO$5/100,0)),0)</f>
        <v>0</v>
      </c>
      <c r="BP191" s="38">
        <f>IF(AND(BP$7="○",$A191&gt;=BP$8,$A191&lt;=BP$9),IF(SUM(BP$10:BP190)-ROUNDDOWN($M191*BP$5/100,0)&lt;-BP$6,-BP$6-SUM(BP$10:BP190),-ROUNDDOWN($M191*BP$5/100,0)),0)</f>
        <v>0</v>
      </c>
      <c r="BQ191" s="38">
        <f>IF(AND(BQ$7="○",$A191&gt;=BQ$8,$A191&lt;=BQ$9),IF(SUM(BQ$10:BQ190)-ROUNDDOWN($L191*BQ$5/100,0)&lt;-BQ$6,-BQ$6-SUM(BQ$10:BQ190),-ROUNDDOWN($L191*BQ$5/100,0)),0)</f>
        <v>0</v>
      </c>
      <c r="BR191" s="38">
        <f>IF(AND(BR$7="○",$A191&gt;=BR$8,$A191&lt;=BR$9),IF(SUM(BR$10:BR190)-ROUNDDOWN($M191*BR$5/100,0)&lt;-BR$6,-BR$6-SUM(BR$10:BR190),-ROUNDDOWN($M191*BR$5/100,0)),0)</f>
        <v>0</v>
      </c>
      <c r="BS191" s="38">
        <f>IF(AND(BS$7="○",$A191&gt;=BS$8,$A191&lt;=BS$9),IF(SUM(BS$10:BS190)-ROUNDDOWN($M191*BS$5/100,0)&lt;-BS$6,-BS$6-SUM(BS$10:BS190),-ROUNDDOWN($M191*BS$5/100,0)),0)</f>
        <v>0</v>
      </c>
      <c r="BT191" s="38">
        <f>IF(AND(BT$7="○",$A191&gt;=BT$8,$A191&lt;=BT$9),IF(SUM(BT$10:BT190)-ROUNDDOWN($M191*BT$5/100,0)&lt;-BT$6,-BT$6-SUM(BT$10:BT190),-ROUNDDOWN($M191*BT$5/100,0)),0)</f>
        <v>0</v>
      </c>
      <c r="BU191" s="38">
        <f>IF(AND(BU$7="○",$A191&gt;=BU$8,$A191&lt;=BU$9),IF(SUM(BU$10:BU190)-ROUNDDOWN($M191*BU$5/100,0)&lt;-BU$6,-BU$6-SUM(BU$10:BU190),-ROUNDDOWN($M191*BU$5/100,0)),0)</f>
        <v>0</v>
      </c>
      <c r="BV191" s="38">
        <f>IF(AND(BV$7="○",$A191&gt;=BV$8,$A191&lt;=BV$9),IF(SUM(BV$10:BV190)-ROUNDDOWN($M191*BV$5/100,0)&lt;-BV$6,-BV$6-SUM(BV$10:BV190),-ROUNDDOWN($M191*BV$5/100,0)),0)</f>
        <v>0</v>
      </c>
      <c r="BW191" s="38">
        <f>IF(AND(BW$7="○",$A191&gt;=BW$8,$A191&lt;=BW$9),IF(SUM(BW$10:BW190)-ROUNDDOWN($M191*BW$5/100,0)&lt;-BW$6,-BW$6-SUM(BW$10:BW190),-ROUNDDOWN($M191*BW$5/100,0)),0)</f>
        <v>0</v>
      </c>
      <c r="BX191" s="38">
        <f>IF(AND(T191="○",$A191&gt;=BX$8,$A191&lt;=BX$9),IF(SUM(BX$10:BX190)-ROUNDDOWN($K191*BX$5/100,0)&lt;-BX$6,-BX$6-SUM(BX$10:BX190),-ROUNDDOWN($K191*BX$5/100,0)),0)</f>
        <v>0</v>
      </c>
      <c r="BY191" s="38">
        <f>IF(AND(U191="○",$A191&gt;=BY$8,$A191&lt;=BY$9),IF(SUM(BY$10:BY190)-ROUNDDOWN($K191*BY$5/100,0)&lt;-BY$6,-BY$6-SUM(BY$10:BY190),-ROUNDDOWN($K191*BY$5/100,0)),0)</f>
        <v>0</v>
      </c>
      <c r="BZ191" s="38">
        <f>IF(AND(V191="○",$A191&gt;=BZ$8,$A191&lt;=BZ$9),IF(SUM(BZ$10:BZ190)-ROUNDDOWN($K191*BZ$5/100,0)&lt;-BZ$6,-BZ$6-SUM(BZ$10:BZ190),-ROUNDDOWN($K191*BZ$5/100,0)),0)</f>
        <v>0</v>
      </c>
      <c r="CA191" s="38">
        <f>IF(AND(W191="○",$A191&gt;=CA$8,$A191&lt;=CA$9),IF(SUM(CA$10:CA190)-ROUNDDOWN($K191*CA$5/100,0)&lt;-CA$6,-CA$6-SUM(CA$10:CA190),-ROUNDDOWN($K191*CA$5/100,0)),0)</f>
        <v>0</v>
      </c>
      <c r="CB191" s="38"/>
      <c r="CC191" s="38"/>
      <c r="CD191" s="38"/>
      <c r="CE191" s="38"/>
      <c r="CF191" s="38"/>
      <c r="CG191" s="65">
        <f t="shared" si="138"/>
        <v>0</v>
      </c>
      <c r="CH191" s="71">
        <f t="shared" si="139"/>
        <v>0</v>
      </c>
      <c r="CI191" s="1">
        <f t="shared" si="155"/>
        <v>0</v>
      </c>
      <c r="CJ191" s="1"/>
      <c r="CK191" s="2"/>
      <c r="CL191" s="2"/>
      <c r="CM191" s="2"/>
      <c r="CN191" s="2"/>
      <c r="CO191" s="73">
        <f t="shared" si="161"/>
        <v>0</v>
      </c>
      <c r="CP191" s="5">
        <f t="shared" si="158"/>
        <v>0</v>
      </c>
      <c r="CQ191" s="1"/>
      <c r="CR191" s="1">
        <f t="shared" si="159"/>
        <v>0</v>
      </c>
      <c r="CS191" s="1"/>
      <c r="CT191" s="1" t="e">
        <f>INDEX([2]マスタ!$A:$A,MATCH(D191,[2]マスタ!$C:$C,0))</f>
        <v>#N/A</v>
      </c>
      <c r="CU191" s="1" t="str">
        <f t="shared" ca="1" si="160"/>
        <v>20260620_0-0</v>
      </c>
    </row>
    <row r="192" spans="1:99" x14ac:dyDescent="0.4">
      <c r="A192" s="61"/>
      <c r="B192" s="62"/>
      <c r="C192" s="62"/>
      <c r="D192" s="62"/>
      <c r="E192" s="63"/>
      <c r="F192" s="62"/>
      <c r="G192" s="62">
        <v>1</v>
      </c>
      <c r="H192" s="64">
        <f t="shared" si="151"/>
        <v>0</v>
      </c>
      <c r="I192" s="64"/>
      <c r="J192" s="78"/>
      <c r="K192" s="65">
        <f t="shared" si="156"/>
        <v>0</v>
      </c>
      <c r="L192" s="65">
        <f t="shared" si="152"/>
        <v>0</v>
      </c>
      <c r="M192" s="65">
        <f t="shared" si="153"/>
        <v>0</v>
      </c>
      <c r="N192" s="65">
        <f t="shared" si="154"/>
        <v>0</v>
      </c>
      <c r="O192" s="66" t="str">
        <f t="shared" si="145"/>
        <v>✕</v>
      </c>
      <c r="P192" s="67" t="str">
        <f t="shared" si="146"/>
        <v>○</v>
      </c>
      <c r="Q192" s="67" t="str">
        <f t="shared" si="157"/>
        <v>✕</v>
      </c>
      <c r="R192" s="67" t="str">
        <f t="shared" si="148"/>
        <v>✕</v>
      </c>
      <c r="S192" s="68">
        <v>0</v>
      </c>
      <c r="T192" s="69" t="s">
        <v>85</v>
      </c>
      <c r="U192" s="69" t="s">
        <v>85</v>
      </c>
      <c r="V192" s="69" t="s">
        <v>85</v>
      </c>
      <c r="W192" s="69" t="s">
        <v>85</v>
      </c>
      <c r="X192" s="69" t="s">
        <v>84</v>
      </c>
      <c r="Y192" s="69" t="s">
        <v>85</v>
      </c>
      <c r="Z192" s="69" t="s">
        <v>85</v>
      </c>
      <c r="AA192" s="69" t="s">
        <v>85</v>
      </c>
      <c r="AB192" s="69" t="s">
        <v>85</v>
      </c>
      <c r="AC192" s="69" t="s">
        <v>85</v>
      </c>
      <c r="AD192" s="38" t="str">
        <f>+IF(ISERROR(VLOOKUP($B192,AD$10:AD191,1,0)),IF(AND($N192&gt;=1000,$A192&gt;=AO$8,$A192&lt;=AO$9),$B192,""),"")</f>
        <v/>
      </c>
      <c r="AE192" s="38" t="str">
        <f>+IF(ISERROR(VLOOKUP($B192,AE$10:AE191,1,0)),IF(AND($N192&gt;=1000,$A192&gt;=AP$8,$A192&lt;=AP$9),$B192,""),"")</f>
        <v/>
      </c>
      <c r="AF192" s="38" t="str">
        <f>+IF(ISERROR(VLOOKUP($B192,AF$10:AF191,1,0)),IF(AND($N192&gt;=1000,$A192&gt;=AQ$8,$A192&lt;=AQ$9),$B192,""),"")</f>
        <v/>
      </c>
      <c r="AG192" s="38" t="str">
        <f>+IF(ISERROR(VLOOKUP($B192,AG$10:AG191,1,0)),IF(AND($N192&gt;=1000,$A192&gt;=AR$8,$A192&lt;=AR$9),$B192,""),"")</f>
        <v/>
      </c>
      <c r="AH192" s="38"/>
      <c r="AI192" s="70">
        <v>0</v>
      </c>
      <c r="AJ192" s="38">
        <f>IF(AND(AJ$7="○",$A192&gt;=AJ$8,$A192&lt;=AJ$9),IF(SUM(AJ$10:AJ191)-ROUNDDOWN($K192*AJ$5/100,0)&lt;-AJ$6,-AJ$6-SUM(AJ$10:AJ191),-ROUNDDOWN($K192*AJ$5/100,0)),0)</f>
        <v>0</v>
      </c>
      <c r="AK192" s="38">
        <f>IF(AND(AK$7="○",$A192&gt;=AK$8,$A192&lt;=AK$9),IF(SUM(AK$10:AK191)-ROUNDDOWN($L192*AK$5/100,0)&lt;-AK$6,-AK$6-SUM(AK$10:AK191),-ROUNDDOWN($L192*AK$5/100,0)),0)</f>
        <v>0</v>
      </c>
      <c r="AL192" s="38">
        <f>IF(AND(AL$7="○",$A192&gt;=AL$8,$A192&lt;=AL$9),IF(SUM(AL$10:AL191)-ROUNDDOWN($N192*AL$5/100,0)&lt;-AL$6,-AL$6-SUM(AL$10:AL191),-ROUNDDOWN($N192*AL$5/100,0)),0)</f>
        <v>0</v>
      </c>
      <c r="AM192" s="38">
        <f>IF(AND(AM$7="○",$A192&gt;=AM$8,$A192&lt;=AM$9),IF(SUM(AM$10:AM191)-ROUNDDOWN($L192*AM$5/100,0)&lt;-AM$6,-AM$6-SUM(AM$10:AM191),-ROUNDDOWN($L192*AM$5/100,0)),0)</f>
        <v>0</v>
      </c>
      <c r="AN192" s="38">
        <f>IF(AND(AN$7="○",$A192&gt;=AN$8,$A192&lt;=AN$9),IF(SUM(AN$10:AN191)-ROUNDDOWN($M192*AN$5/100,0)&lt;-AN$6,-AN$6-SUM(AN$10:AN191),-ROUNDDOWN($M192*AN$5/100,0)),0)</f>
        <v>0</v>
      </c>
      <c r="AO192" s="38">
        <f>IF(AND($A192&gt;=AO$8,$A192&lt;=AO$9),IF(SUM(AO$10:AO191)-ROUNDDOWN($K192*AO$5/100,0)&lt;-AO$6,-AO$6-SUM(AO$10:AO191),-ROUNDDOWN($K192*AO$5/100,0)),0)</f>
        <v>0</v>
      </c>
      <c r="AP192" s="38">
        <f>IF(AND($A192&gt;=AP$8,$A192&lt;=AP$9),IF(SUM(AP$10:AP191)-ROUNDDOWN($K192*AP$5/100,0)&lt;-AP$6,-AP$6-SUM(AP$10:AP191),-ROUNDDOWN($K192*AP$5/100,0)),0)</f>
        <v>0</v>
      </c>
      <c r="AQ192" s="38">
        <f>IF(AND($A192&gt;=AQ$8,$A192&lt;=AQ$9),IF(SUM(AQ$10:AQ191)-ROUNDDOWN($K192*AQ$5/100,0)&lt;-AQ$6,-AQ$6-SUM(AQ$10:AQ191),-ROUNDDOWN($K192*AQ$5/100,0)),0)</f>
        <v>0</v>
      </c>
      <c r="AR192" s="38">
        <f>IF(AND($A192&gt;=AR$8,$A192&lt;=AR$9),IF(SUM(AR$10:AR191)-ROUNDDOWN($K192*AR$5/100,0)&lt;-AR$6,-AR$6-SUM(AR$10:AR191),-ROUNDDOWN($K192*AR$5/100,0)),0)</f>
        <v>0</v>
      </c>
      <c r="AS192" s="38">
        <f>IF(SUMIFS(AS$10:AS191,$A$10:$A191,$A192)-ROUNDDOWN($K192*$S192/100,0)&lt;-$S192*1000,-$S192*1000-SUMIFS(AS$10:AS191,$A$10:$A191,$A192),-ROUNDDOWN($K192*$S192/100,0))</f>
        <v>0</v>
      </c>
      <c r="AT192" s="38">
        <f>IF(AND(X192="○",$A192&gt;=AT$8,$A192&lt;=AT$9,K192&gt;=3980),IF(SUM(AT$10:AT191)-ROUNDDOWN($K192*AT$5/100,0)&lt;-AT$6,-AT$6-SUM(AT$10:AT191),-ROUNDDOWN($K192*AT$5/100,0)),0)</f>
        <v>0</v>
      </c>
      <c r="AU192" s="38">
        <f>IF(O192="○",IF(SUM(AU$10:AU191)-ROUNDDOWN($K192*AU$5/100,0)&lt;-AU$6,-AU$6-SUM(AU$10:AU191),-ROUNDDOWN($K192*AU$5/100,0)),0)</f>
        <v>0</v>
      </c>
      <c r="AV192" s="38">
        <f>IF(P192="○",IF(SUM(AV$10:AV191)-ROUNDDOWN($K192*AV$5/100,0)&lt;-AV$6,-AV$6-SUM(AV$10:AV191),-ROUNDDOWN($K192*AV$5/100,0)),0)</f>
        <v>0</v>
      </c>
      <c r="AW192" s="38">
        <f>IF(Q192="○",IF(SUM(AW$10:AW191)-ROUNDDOWN($K192*AW$5/100,0)&lt;-AW$6,-AW$6-SUM(AW$10:AW191),-ROUNDDOWN($K192*AW$5/100,0)),0)</f>
        <v>0</v>
      </c>
      <c r="AX192" s="38">
        <f>IF(R192="○",IF(SUM(AX$10:AX191)-ROUNDDOWN($K192*AX$5/100,0)&lt;-AX$6,-AX$6-SUM(AX$10:AX191),-ROUNDDOWN($K192*AX$5/100,0)),0)</f>
        <v>0</v>
      </c>
      <c r="AY192" s="70">
        <v>0</v>
      </c>
      <c r="AZ192" s="65">
        <f t="shared" si="132"/>
        <v>0</v>
      </c>
      <c r="BA192" s="65">
        <f t="shared" si="133"/>
        <v>0</v>
      </c>
      <c r="BB192" s="70"/>
      <c r="BC192" s="65">
        <f t="shared" si="134"/>
        <v>0</v>
      </c>
      <c r="BD192" s="70">
        <v>0</v>
      </c>
      <c r="BE192" s="65">
        <f t="shared" si="135"/>
        <v>0</v>
      </c>
      <c r="BF192" s="70">
        <v>0</v>
      </c>
      <c r="BG192" s="65">
        <f t="shared" si="136"/>
        <v>0</v>
      </c>
      <c r="BH192" s="70">
        <v>0</v>
      </c>
      <c r="BI192" s="65">
        <f t="shared" si="137"/>
        <v>0</v>
      </c>
      <c r="BJ192" s="38">
        <f>IF(AND(BJ$7="○",$A192&gt;=BJ$8,$A192&lt;=BJ$9),IF(SUM(BJ$10:BJ191)-ROUNDDOWN($M192*BJ$5/100,0)&lt;-BJ$6,-BJ$6-SUM(BJ$10:BJ191),-ROUNDDOWN($M192*BJ$5/100,0)),0)</f>
        <v>0</v>
      </c>
      <c r="BK192" s="38">
        <f>IF(AND(BK$7="○",$A192&gt;=BK$8,$A192&lt;=BK$9),IF(SUM(BK$10:BK191)-ROUNDDOWN($L192*BK$5/100,0)&lt;-BK$6,-BK$6-SUM(BK$10:BK191),-ROUNDDOWN($L192*BK$5/100,0)),0)</f>
        <v>0</v>
      </c>
      <c r="BL192" s="38">
        <f>IF(AND(BL$7="○",$A192&gt;=BL$8,$A192&lt;=BL$9),IF(SUM(BL$10:BL191)-ROUNDDOWN($L192*BL$5/100,0)&lt;-BL$6,-BL$6-SUM(BL$10:BL191),-ROUNDDOWN($L192*BL$5/100,0)),0)</f>
        <v>0</v>
      </c>
      <c r="BM192" s="38">
        <f>IF(AND(BM$7="○",$A192&gt;=BM$8,$A192&lt;=BM$9),IF(SUM(BM$10:BM191)-ROUNDDOWN($M192*BM$5/100,0)&lt;-BM$6,-BM$6-SUM(BM$10:BM191),-ROUNDDOWN($M192*BM$5/100,0)),0)</f>
        <v>0</v>
      </c>
      <c r="BN192" s="38">
        <f>IF(AND(BN$7="○",$A192&gt;=BN$8,$A192&lt;=BN$9),IF(SUM(BN$10:BN191)-ROUNDDOWN($M192*BN$5/100,0)&lt;-BN$6,-BN$6-SUM(BN$10:BN191),-ROUNDDOWN($M192*BN$5/100,0)),0)</f>
        <v>0</v>
      </c>
      <c r="BO192" s="38">
        <f>IF(AND(BO$7="○",$A192&gt;=BO$8,$A192&lt;=BO$9),IF(SUM(BO$10:BO191)-ROUNDDOWN($M192*BO$5/100,0)&lt;-BO$6,-BO$6-SUM(BO$10:BO191),-ROUNDDOWN($M192*BO$5/100,0)),0)</f>
        <v>0</v>
      </c>
      <c r="BP192" s="38">
        <f>IF(AND(BP$7="○",$A192&gt;=BP$8,$A192&lt;=BP$9),IF(SUM(BP$10:BP191)-ROUNDDOWN($M192*BP$5/100,0)&lt;-BP$6,-BP$6-SUM(BP$10:BP191),-ROUNDDOWN($M192*BP$5/100,0)),0)</f>
        <v>0</v>
      </c>
      <c r="BQ192" s="38">
        <f>IF(AND(BQ$7="○",$A192&gt;=BQ$8,$A192&lt;=BQ$9),IF(SUM(BQ$10:BQ191)-ROUNDDOWN($L192*BQ$5/100,0)&lt;-BQ$6,-BQ$6-SUM(BQ$10:BQ191),-ROUNDDOWN($L192*BQ$5/100,0)),0)</f>
        <v>0</v>
      </c>
      <c r="BR192" s="38">
        <f>IF(AND(BR$7="○",$A192&gt;=BR$8,$A192&lt;=BR$9),IF(SUM(BR$10:BR191)-ROUNDDOWN($M192*BR$5/100,0)&lt;-BR$6,-BR$6-SUM(BR$10:BR191),-ROUNDDOWN($M192*BR$5/100,0)),0)</f>
        <v>0</v>
      </c>
      <c r="BS192" s="38">
        <f>IF(AND(BS$7="○",$A192&gt;=BS$8,$A192&lt;=BS$9),IF(SUM(BS$10:BS191)-ROUNDDOWN($M192*BS$5/100,0)&lt;-BS$6,-BS$6-SUM(BS$10:BS191),-ROUNDDOWN($M192*BS$5/100,0)),0)</f>
        <v>0</v>
      </c>
      <c r="BT192" s="38">
        <f>IF(AND(BT$7="○",$A192&gt;=BT$8,$A192&lt;=BT$9),IF(SUM(BT$10:BT191)-ROUNDDOWN($M192*BT$5/100,0)&lt;-BT$6,-BT$6-SUM(BT$10:BT191),-ROUNDDOWN($M192*BT$5/100,0)),0)</f>
        <v>0</v>
      </c>
      <c r="BU192" s="38">
        <f>IF(AND(BU$7="○",$A192&gt;=BU$8,$A192&lt;=BU$9),IF(SUM(BU$10:BU191)-ROUNDDOWN($M192*BU$5/100,0)&lt;-BU$6,-BU$6-SUM(BU$10:BU191),-ROUNDDOWN($M192*BU$5/100,0)),0)</f>
        <v>0</v>
      </c>
      <c r="BV192" s="38">
        <f>IF(AND(BV$7="○",$A192&gt;=BV$8,$A192&lt;=BV$9),IF(SUM(BV$10:BV191)-ROUNDDOWN($M192*BV$5/100,0)&lt;-BV$6,-BV$6-SUM(BV$10:BV191),-ROUNDDOWN($M192*BV$5/100,0)),0)</f>
        <v>0</v>
      </c>
      <c r="BW192" s="38">
        <f>IF(AND(BW$7="○",$A192&gt;=BW$8,$A192&lt;=BW$9),IF(SUM(BW$10:BW191)-ROUNDDOWN($M192*BW$5/100,0)&lt;-BW$6,-BW$6-SUM(BW$10:BW191),-ROUNDDOWN($M192*BW$5/100,0)),0)</f>
        <v>0</v>
      </c>
      <c r="BX192" s="38">
        <f>IF(AND(T192="○",$A192&gt;=BX$8,$A192&lt;=BX$9),IF(SUM(BX$10:BX191)-ROUNDDOWN($K192*BX$5/100,0)&lt;-BX$6,-BX$6-SUM(BX$10:BX191),-ROUNDDOWN($K192*BX$5/100,0)),0)</f>
        <v>0</v>
      </c>
      <c r="BY192" s="38">
        <f>IF(AND(U192="○",$A192&gt;=BY$8,$A192&lt;=BY$9),IF(SUM(BY$10:BY191)-ROUNDDOWN($K192*BY$5/100,0)&lt;-BY$6,-BY$6-SUM(BY$10:BY191),-ROUNDDOWN($K192*BY$5/100,0)),0)</f>
        <v>0</v>
      </c>
      <c r="BZ192" s="38">
        <f>IF(AND(V192="○",$A192&gt;=BZ$8,$A192&lt;=BZ$9),IF(SUM(BZ$10:BZ191)-ROUNDDOWN($K192*BZ$5/100,0)&lt;-BZ$6,-BZ$6-SUM(BZ$10:BZ191),-ROUNDDOWN($K192*BZ$5/100,0)),0)</f>
        <v>0</v>
      </c>
      <c r="CA192" s="38">
        <f>IF(AND(W192="○",$A192&gt;=CA$8,$A192&lt;=CA$9),IF(SUM(CA$10:CA191)-ROUNDDOWN($K192*CA$5/100,0)&lt;-CA$6,-CA$6-SUM(CA$10:CA191),-ROUNDDOWN($K192*CA$5/100,0)),0)</f>
        <v>0</v>
      </c>
      <c r="CB192" s="38"/>
      <c r="CC192" s="38"/>
      <c r="CD192" s="38"/>
      <c r="CE192" s="38"/>
      <c r="CF192" s="38"/>
      <c r="CG192" s="65">
        <f t="shared" si="138"/>
        <v>0</v>
      </c>
      <c r="CH192" s="71">
        <f t="shared" si="139"/>
        <v>0</v>
      </c>
      <c r="CI192" s="1">
        <f t="shared" si="155"/>
        <v>0</v>
      </c>
      <c r="CJ192" s="1"/>
      <c r="CK192" s="79"/>
      <c r="CL192" s="79"/>
      <c r="CM192" s="2"/>
      <c r="CN192" s="2"/>
      <c r="CO192" s="73">
        <f t="shared" si="161"/>
        <v>0</v>
      </c>
      <c r="CP192" s="5">
        <f t="shared" si="158"/>
        <v>0</v>
      </c>
      <c r="CQ192" s="1"/>
      <c r="CR192" s="1">
        <f t="shared" si="159"/>
        <v>0</v>
      </c>
      <c r="CS192" s="1"/>
      <c r="CT192" s="1" t="e">
        <f>INDEX([2]マスタ!$A:$A,MATCH(D192,[2]マスタ!$C:$C,0))</f>
        <v>#N/A</v>
      </c>
      <c r="CU192" s="1" t="str">
        <f t="shared" ca="1" si="160"/>
        <v>20260620_0-0</v>
      </c>
    </row>
    <row r="193" spans="1:99" x14ac:dyDescent="0.4">
      <c r="A193" s="61"/>
      <c r="B193" s="62"/>
      <c r="C193" s="62"/>
      <c r="D193" s="62"/>
      <c r="E193" s="63"/>
      <c r="F193" s="62"/>
      <c r="G193" s="62">
        <v>1</v>
      </c>
      <c r="H193" s="64">
        <f t="shared" si="151"/>
        <v>0</v>
      </c>
      <c r="I193" s="64"/>
      <c r="J193" s="78"/>
      <c r="K193" s="65">
        <f t="shared" si="156"/>
        <v>0</v>
      </c>
      <c r="L193" s="65">
        <f t="shared" si="152"/>
        <v>0</v>
      </c>
      <c r="M193" s="65">
        <f t="shared" si="153"/>
        <v>0</v>
      </c>
      <c r="N193" s="65">
        <f t="shared" si="154"/>
        <v>0</v>
      </c>
      <c r="O193" s="66" t="str">
        <f t="shared" si="145"/>
        <v>✕</v>
      </c>
      <c r="P193" s="67" t="str">
        <f t="shared" si="146"/>
        <v>○</v>
      </c>
      <c r="Q193" s="67" t="str">
        <f t="shared" si="157"/>
        <v>✕</v>
      </c>
      <c r="R193" s="67" t="str">
        <f t="shared" si="148"/>
        <v>✕</v>
      </c>
      <c r="S193" s="68">
        <v>0</v>
      </c>
      <c r="T193" s="69" t="s">
        <v>85</v>
      </c>
      <c r="U193" s="69" t="s">
        <v>85</v>
      </c>
      <c r="V193" s="69" t="s">
        <v>85</v>
      </c>
      <c r="W193" s="69" t="s">
        <v>85</v>
      </c>
      <c r="X193" s="69" t="s">
        <v>84</v>
      </c>
      <c r="Y193" s="69" t="s">
        <v>85</v>
      </c>
      <c r="Z193" s="69" t="s">
        <v>85</v>
      </c>
      <c r="AA193" s="69" t="s">
        <v>85</v>
      </c>
      <c r="AB193" s="69" t="s">
        <v>85</v>
      </c>
      <c r="AC193" s="69" t="s">
        <v>85</v>
      </c>
      <c r="AD193" s="38" t="str">
        <f>+IF(ISERROR(VLOOKUP($B193,AD$10:AD192,1,0)),IF(AND($N193&gt;=1000,$A193&gt;=AO$8,$A193&lt;=AO$9),$B193,""),"")</f>
        <v/>
      </c>
      <c r="AE193" s="38" t="str">
        <f>+IF(ISERROR(VLOOKUP($B193,AE$10:AE192,1,0)),IF(AND($N193&gt;=1000,$A193&gt;=AP$8,$A193&lt;=AP$9),$B193,""),"")</f>
        <v/>
      </c>
      <c r="AF193" s="38" t="str">
        <f>+IF(ISERROR(VLOOKUP($B193,AF$10:AF192,1,0)),IF(AND($N193&gt;=1000,$A193&gt;=AQ$8,$A193&lt;=AQ$9),$B193,""),"")</f>
        <v/>
      </c>
      <c r="AG193" s="38" t="str">
        <f>+IF(ISERROR(VLOOKUP($B193,AG$10:AG192,1,0)),IF(AND($N193&gt;=1000,$A193&gt;=AR$8,$A193&lt;=AR$9),$B193,""),"")</f>
        <v/>
      </c>
      <c r="AH193" s="38"/>
      <c r="AI193" s="70">
        <v>0</v>
      </c>
      <c r="AJ193" s="38">
        <f>IF(AND(AJ$7="○",$A193&gt;=AJ$8,$A193&lt;=AJ$9),IF(SUM(AJ$10:AJ192)-ROUNDDOWN($K193*AJ$5/100,0)&lt;-AJ$6,-AJ$6-SUM(AJ$10:AJ192),-ROUNDDOWN($K193*AJ$5/100,0)),0)</f>
        <v>0</v>
      </c>
      <c r="AK193" s="38">
        <f>IF(AND(AK$7="○",$A193&gt;=AK$8,$A193&lt;=AK$9),IF(SUM(AK$10:AK192)-ROUNDDOWN($L193*AK$5/100,0)&lt;-AK$6,-AK$6-SUM(AK$10:AK192),-ROUNDDOWN($L193*AK$5/100,0)),0)</f>
        <v>0</v>
      </c>
      <c r="AL193" s="38">
        <f>IF(AND(AL$7="○",$A193&gt;=AL$8,$A193&lt;=AL$9),IF(SUM(AL$10:AL192)-ROUNDDOWN($N193*AL$5/100,0)&lt;-AL$6,-AL$6-SUM(AL$10:AL192),-ROUNDDOWN($N193*AL$5/100,0)),0)</f>
        <v>0</v>
      </c>
      <c r="AM193" s="38">
        <f>IF(AND(AM$7="○",$A193&gt;=AM$8,$A193&lt;=AM$9),IF(SUM(AM$10:AM192)-ROUNDDOWN($L193*AM$5/100,0)&lt;-AM$6,-AM$6-SUM(AM$10:AM192),-ROUNDDOWN($L193*AM$5/100,0)),0)</f>
        <v>0</v>
      </c>
      <c r="AN193" s="38">
        <f>IF(AND(AN$7="○",$A193&gt;=AN$8,$A193&lt;=AN$9),IF(SUM(AN$10:AN192)-ROUNDDOWN($M193*AN$5/100,0)&lt;-AN$6,-AN$6-SUM(AN$10:AN192),-ROUNDDOWN($M193*AN$5/100,0)),0)</f>
        <v>0</v>
      </c>
      <c r="AO193" s="38">
        <f>IF(AND($A193&gt;=AO$8,$A193&lt;=AO$9),IF(SUM(AO$10:AO192)-ROUNDDOWN($K193*AO$5/100,0)&lt;-AO$6,-AO$6-SUM(AO$10:AO192),-ROUNDDOWN($K193*AO$5/100,0)),0)</f>
        <v>0</v>
      </c>
      <c r="AP193" s="38">
        <f>IF(AND($A193&gt;=AP$8,$A193&lt;=AP$9),IF(SUM(AP$10:AP192)-ROUNDDOWN($K193*AP$5/100,0)&lt;-AP$6,-AP$6-SUM(AP$10:AP192),-ROUNDDOWN($K193*AP$5/100,0)),0)</f>
        <v>0</v>
      </c>
      <c r="AQ193" s="38">
        <f>IF(AND($A193&gt;=AQ$8,$A193&lt;=AQ$9),IF(SUM(AQ$10:AQ192)-ROUNDDOWN($K193*AQ$5/100,0)&lt;-AQ$6,-AQ$6-SUM(AQ$10:AQ192),-ROUNDDOWN($K193*AQ$5/100,0)),0)</f>
        <v>0</v>
      </c>
      <c r="AR193" s="38">
        <f>IF(AND($A193&gt;=AR$8,$A193&lt;=AR$9),IF(SUM(AR$10:AR192)-ROUNDDOWN($K193*AR$5/100,0)&lt;-AR$6,-AR$6-SUM(AR$10:AR192),-ROUNDDOWN($K193*AR$5/100,0)),0)</f>
        <v>0</v>
      </c>
      <c r="AS193" s="38">
        <f>IF(SUMIFS(AS$10:AS192,$A$10:$A192,$A193)-ROUNDDOWN($K193*$S193/100,0)&lt;-$S193*1000,-$S193*1000-SUMIFS(AS$10:AS192,$A$10:$A192,$A193),-ROUNDDOWN($K193*$S193/100,0))</f>
        <v>0</v>
      </c>
      <c r="AT193" s="38">
        <f>IF(AND(X193="○",$A193&gt;=AT$8,$A193&lt;=AT$9,K193&gt;=3980),IF(SUM(AT$10:AT192)-ROUNDDOWN($K193*AT$5/100,0)&lt;-AT$6,-AT$6-SUM(AT$10:AT192),-ROUNDDOWN($K193*AT$5/100,0)),0)</f>
        <v>0</v>
      </c>
      <c r="AU193" s="38">
        <f>IF(O193="○",IF(SUM(AU$10:AU192)-ROUNDDOWN($K193*AU$5/100,0)&lt;-AU$6,-AU$6-SUM(AU$10:AU192),-ROUNDDOWN($K193*AU$5/100,0)),0)</f>
        <v>0</v>
      </c>
      <c r="AV193" s="38">
        <f>IF(P193="○",IF(SUM(AV$10:AV192)-ROUNDDOWN($K193*AV$5/100,0)&lt;-AV$6,-AV$6-SUM(AV$10:AV192),-ROUNDDOWN($K193*AV$5/100,0)),0)</f>
        <v>0</v>
      </c>
      <c r="AW193" s="38">
        <f>IF(Q193="○",IF(SUM(AW$10:AW192)-ROUNDDOWN($K193*AW$5/100,0)&lt;-AW$6,-AW$6-SUM(AW$10:AW192),-ROUNDDOWN($K193*AW$5/100,0)),0)</f>
        <v>0</v>
      </c>
      <c r="AX193" s="38">
        <f>IF(R193="○",IF(SUM(AX$10:AX192)-ROUNDDOWN($K193*AX$5/100,0)&lt;-AX$6,-AX$6-SUM(AX$10:AX192),-ROUNDDOWN($K193*AX$5/100,0)),0)</f>
        <v>0</v>
      </c>
      <c r="AY193" s="70">
        <v>0</v>
      </c>
      <c r="AZ193" s="65">
        <f t="shared" si="132"/>
        <v>0</v>
      </c>
      <c r="BA193" s="65">
        <f t="shared" si="133"/>
        <v>0</v>
      </c>
      <c r="BB193" s="70"/>
      <c r="BC193" s="65">
        <f t="shared" si="134"/>
        <v>0</v>
      </c>
      <c r="BD193" s="70">
        <v>0</v>
      </c>
      <c r="BE193" s="65">
        <f t="shared" si="135"/>
        <v>0</v>
      </c>
      <c r="BF193" s="70">
        <v>0</v>
      </c>
      <c r="BG193" s="65">
        <f t="shared" si="136"/>
        <v>0</v>
      </c>
      <c r="BH193" s="70">
        <v>0</v>
      </c>
      <c r="BI193" s="65">
        <f t="shared" si="137"/>
        <v>0</v>
      </c>
      <c r="BJ193" s="38">
        <f>IF(AND(BJ$7="○",$A193&gt;=BJ$8,$A193&lt;=BJ$9),IF(SUM(BJ$10:BJ192)-ROUNDDOWN($M193*BJ$5/100,0)&lt;-BJ$6,-BJ$6-SUM(BJ$10:BJ192),-ROUNDDOWN($M193*BJ$5/100,0)),0)</f>
        <v>0</v>
      </c>
      <c r="BK193" s="38">
        <f>IF(AND(BK$7="○",$A193&gt;=BK$8,$A193&lt;=BK$9),IF(SUM(BK$10:BK192)-ROUNDDOWN($L193*BK$5/100,0)&lt;-BK$6,-BK$6-SUM(BK$10:BK192),-ROUNDDOWN($L193*BK$5/100,0)),0)</f>
        <v>0</v>
      </c>
      <c r="BL193" s="38">
        <f>IF(AND(BL$7="○",$A193&gt;=BL$8,$A193&lt;=BL$9),IF(SUM(BL$10:BL192)-ROUNDDOWN($L193*BL$5/100,0)&lt;-BL$6,-BL$6-SUM(BL$10:BL192),-ROUNDDOWN($L193*BL$5/100,0)),0)</f>
        <v>0</v>
      </c>
      <c r="BM193" s="38">
        <f>IF(AND(BM$7="○",$A193&gt;=BM$8,$A193&lt;=BM$9),IF(SUM(BM$10:BM192)-ROUNDDOWN($M193*BM$5/100,0)&lt;-BM$6,-BM$6-SUM(BM$10:BM192),-ROUNDDOWN($M193*BM$5/100,0)),0)</f>
        <v>0</v>
      </c>
      <c r="BN193" s="38">
        <f>IF(AND(BN$7="○",$A193&gt;=BN$8,$A193&lt;=BN$9),IF(SUM(BN$10:BN192)-ROUNDDOWN($M193*BN$5/100,0)&lt;-BN$6,-BN$6-SUM(BN$10:BN192),-ROUNDDOWN($M193*BN$5/100,0)),0)</f>
        <v>0</v>
      </c>
      <c r="BO193" s="38">
        <f>IF(AND(BO$7="○",$A193&gt;=BO$8,$A193&lt;=BO$9),IF(SUM(BO$10:BO192)-ROUNDDOWN($M193*BO$5/100,0)&lt;-BO$6,-BO$6-SUM(BO$10:BO192),-ROUNDDOWN($M193*BO$5/100,0)),0)</f>
        <v>0</v>
      </c>
      <c r="BP193" s="38">
        <f>IF(AND(BP$7="○",$A193&gt;=BP$8,$A193&lt;=BP$9),IF(SUM(BP$10:BP192)-ROUNDDOWN($M193*BP$5/100,0)&lt;-BP$6,-BP$6-SUM(BP$10:BP192),-ROUNDDOWN($M193*BP$5/100,0)),0)</f>
        <v>0</v>
      </c>
      <c r="BQ193" s="38">
        <f>IF(AND(BQ$7="○",$A193&gt;=BQ$8,$A193&lt;=BQ$9),IF(SUM(BQ$10:BQ192)-ROUNDDOWN($L193*BQ$5/100,0)&lt;-BQ$6,-BQ$6-SUM(BQ$10:BQ192),-ROUNDDOWN($L193*BQ$5/100,0)),0)</f>
        <v>0</v>
      </c>
      <c r="BR193" s="38">
        <f>IF(AND(BR$7="○",$A193&gt;=BR$8,$A193&lt;=BR$9),IF(SUM(BR$10:BR192)-ROUNDDOWN($M193*BR$5/100,0)&lt;-BR$6,-BR$6-SUM(BR$10:BR192),-ROUNDDOWN($M193*BR$5/100,0)),0)</f>
        <v>0</v>
      </c>
      <c r="BS193" s="38">
        <f>IF(AND(BS$7="○",$A193&gt;=BS$8,$A193&lt;=BS$9),IF(SUM(BS$10:BS192)-ROUNDDOWN($M193*BS$5/100,0)&lt;-BS$6,-BS$6-SUM(BS$10:BS192),-ROUNDDOWN($M193*BS$5/100,0)),0)</f>
        <v>0</v>
      </c>
      <c r="BT193" s="38">
        <f>IF(AND(BT$7="○",$A193&gt;=BT$8,$A193&lt;=BT$9),IF(SUM(BT$10:BT192)-ROUNDDOWN($M193*BT$5/100,0)&lt;-BT$6,-BT$6-SUM(BT$10:BT192),-ROUNDDOWN($M193*BT$5/100,0)),0)</f>
        <v>0</v>
      </c>
      <c r="BU193" s="38">
        <f>IF(AND(BU$7="○",$A193&gt;=BU$8,$A193&lt;=BU$9),IF(SUM(BU$10:BU192)-ROUNDDOWN($M193*BU$5/100,0)&lt;-BU$6,-BU$6-SUM(BU$10:BU192),-ROUNDDOWN($M193*BU$5/100,0)),0)</f>
        <v>0</v>
      </c>
      <c r="BV193" s="38">
        <f>IF(AND(BV$7="○",$A193&gt;=BV$8,$A193&lt;=BV$9),IF(SUM(BV$10:BV192)-ROUNDDOWN($M193*BV$5/100,0)&lt;-BV$6,-BV$6-SUM(BV$10:BV192),-ROUNDDOWN($M193*BV$5/100,0)),0)</f>
        <v>0</v>
      </c>
      <c r="BW193" s="38">
        <f>IF(AND(BW$7="○",$A193&gt;=BW$8,$A193&lt;=BW$9),IF(SUM(BW$10:BW192)-ROUNDDOWN($M193*BW$5/100,0)&lt;-BW$6,-BW$6-SUM(BW$10:BW192),-ROUNDDOWN($M193*BW$5/100,0)),0)</f>
        <v>0</v>
      </c>
      <c r="BX193" s="38">
        <f>IF(AND(T193="○",$A193&gt;=BX$8,$A193&lt;=BX$9),IF(SUM(BX$10:BX192)-ROUNDDOWN($K193*BX$5/100,0)&lt;-BX$6,-BX$6-SUM(BX$10:BX192),-ROUNDDOWN($K193*BX$5/100,0)),0)</f>
        <v>0</v>
      </c>
      <c r="BY193" s="38">
        <f>IF(AND(U193="○",$A193&gt;=BY$8,$A193&lt;=BY$9),IF(SUM(BY$10:BY192)-ROUNDDOWN($K193*BY$5/100,0)&lt;-BY$6,-BY$6-SUM(BY$10:BY192),-ROUNDDOWN($K193*BY$5/100,0)),0)</f>
        <v>0</v>
      </c>
      <c r="BZ193" s="38">
        <f>IF(AND(V193="○",$A193&gt;=BZ$8,$A193&lt;=BZ$9),IF(SUM(BZ$10:BZ192)-ROUNDDOWN($K193*BZ$5/100,0)&lt;-BZ$6,-BZ$6-SUM(BZ$10:BZ192),-ROUNDDOWN($K193*BZ$5/100,0)),0)</f>
        <v>0</v>
      </c>
      <c r="CA193" s="38">
        <f>IF(AND(W193="○",$A193&gt;=CA$8,$A193&lt;=CA$9),IF(SUM(CA$10:CA192)-ROUNDDOWN($K193*CA$5/100,0)&lt;-CA$6,-CA$6-SUM(CA$10:CA192),-ROUNDDOWN($K193*CA$5/100,0)),0)</f>
        <v>0</v>
      </c>
      <c r="CB193" s="38"/>
      <c r="CC193" s="38"/>
      <c r="CD193" s="38"/>
      <c r="CE193" s="38"/>
      <c r="CF193" s="38"/>
      <c r="CG193" s="65">
        <f t="shared" si="138"/>
        <v>0</v>
      </c>
      <c r="CH193" s="71">
        <f t="shared" si="139"/>
        <v>0</v>
      </c>
      <c r="CI193" s="1">
        <f t="shared" si="155"/>
        <v>0</v>
      </c>
      <c r="CJ193" s="1"/>
      <c r="CK193" s="79"/>
      <c r="CL193" s="79"/>
      <c r="CM193" s="2"/>
      <c r="CN193" s="2"/>
      <c r="CO193" s="73">
        <f t="shared" si="161"/>
        <v>0</v>
      </c>
      <c r="CP193" s="5">
        <f t="shared" si="158"/>
        <v>0</v>
      </c>
      <c r="CQ193" s="1"/>
      <c r="CR193" s="1">
        <f t="shared" si="159"/>
        <v>0</v>
      </c>
      <c r="CS193" s="1"/>
      <c r="CT193" s="1" t="e">
        <f>INDEX([2]マスタ!$A:$A,MATCH(D193,[2]マスタ!$C:$C,0))</f>
        <v>#N/A</v>
      </c>
      <c r="CU193" s="1" t="str">
        <f t="shared" ca="1" si="160"/>
        <v>20260620_0-0</v>
      </c>
    </row>
    <row r="194" spans="1:99" x14ac:dyDescent="0.4">
      <c r="A194" s="61"/>
      <c r="B194" s="62"/>
      <c r="C194" s="62"/>
      <c r="D194" s="62"/>
      <c r="E194" s="77"/>
      <c r="F194" s="62"/>
      <c r="G194" s="62">
        <v>1</v>
      </c>
      <c r="H194" s="64">
        <f t="shared" si="151"/>
        <v>0</v>
      </c>
      <c r="I194" s="64"/>
      <c r="J194" s="64"/>
      <c r="K194" s="65">
        <f t="shared" si="156"/>
        <v>0</v>
      </c>
      <c r="L194" s="65">
        <f t="shared" si="152"/>
        <v>0</v>
      </c>
      <c r="M194" s="65">
        <f t="shared" si="153"/>
        <v>0</v>
      </c>
      <c r="N194" s="65">
        <f t="shared" si="154"/>
        <v>0</v>
      </c>
      <c r="O194" s="66" t="str">
        <f t="shared" si="145"/>
        <v>✕</v>
      </c>
      <c r="P194" s="67" t="str">
        <f t="shared" si="146"/>
        <v>○</v>
      </c>
      <c r="Q194" s="67" t="str">
        <f t="shared" si="157"/>
        <v>✕</v>
      </c>
      <c r="R194" s="67" t="str">
        <f t="shared" si="148"/>
        <v>✕</v>
      </c>
      <c r="S194" s="68">
        <v>0</v>
      </c>
      <c r="T194" s="69" t="s">
        <v>85</v>
      </c>
      <c r="U194" s="69" t="s">
        <v>85</v>
      </c>
      <c r="V194" s="69" t="s">
        <v>85</v>
      </c>
      <c r="W194" s="69" t="s">
        <v>85</v>
      </c>
      <c r="X194" s="69" t="s">
        <v>84</v>
      </c>
      <c r="Y194" s="69" t="s">
        <v>85</v>
      </c>
      <c r="Z194" s="69" t="s">
        <v>85</v>
      </c>
      <c r="AA194" s="69" t="s">
        <v>85</v>
      </c>
      <c r="AB194" s="69" t="s">
        <v>85</v>
      </c>
      <c r="AC194" s="69" t="s">
        <v>85</v>
      </c>
      <c r="AD194" s="38" t="str">
        <f>+IF(ISERROR(VLOOKUP($B194,AD$10:AD193,1,0)),IF(AND($N194&gt;=1000,$A194&gt;=AO$8,$A194&lt;=AO$9),$B194,""),"")</f>
        <v/>
      </c>
      <c r="AE194" s="38" t="str">
        <f>+IF(ISERROR(VLOOKUP($B194,AE$10:AE193,1,0)),IF(AND($N194&gt;=1000,$A194&gt;=AP$8,$A194&lt;=AP$9),$B194,""),"")</f>
        <v/>
      </c>
      <c r="AF194" s="38" t="str">
        <f>+IF(ISERROR(VLOOKUP($B194,AF$10:AF193,1,0)),IF(AND($N194&gt;=1000,$A194&gt;=AQ$8,$A194&lt;=AQ$9),$B194,""),"")</f>
        <v/>
      </c>
      <c r="AG194" s="38" t="str">
        <f>+IF(ISERROR(VLOOKUP($B194,AG$10:AG193,1,0)),IF(AND($N194&gt;=1000,$A194&gt;=AR$8,$A194&lt;=AR$9),$B194,""),"")</f>
        <v/>
      </c>
      <c r="AH194" s="38"/>
      <c r="AI194" s="70">
        <v>0</v>
      </c>
      <c r="AJ194" s="38">
        <f>IF(AND(AJ$7="○",$A194&gt;=AJ$8,$A194&lt;=AJ$9),IF(SUM(AJ$10:AJ193)-ROUNDDOWN($K194*AJ$5/100,0)&lt;-AJ$6,-AJ$6-SUM(AJ$10:AJ193),-ROUNDDOWN($K194*AJ$5/100,0)),0)</f>
        <v>0</v>
      </c>
      <c r="AK194" s="38">
        <f>IF(AND(AK$7="○",$A194&gt;=AK$8,$A194&lt;=AK$9),IF(SUM(AK$10:AK193)-ROUNDDOWN($L194*AK$5/100,0)&lt;-AK$6,-AK$6-SUM(AK$10:AK193),-ROUNDDOWN($L194*AK$5/100,0)),0)</f>
        <v>0</v>
      </c>
      <c r="AL194" s="38">
        <f>IF(AND(AL$7="○",$A194&gt;=AL$8,$A194&lt;=AL$9),IF(SUM(AL$10:AL193)-ROUNDDOWN($N194*AL$5/100,0)&lt;-AL$6,-AL$6-SUM(AL$10:AL193),-ROUNDDOWN($N194*AL$5/100,0)),0)</f>
        <v>0</v>
      </c>
      <c r="AM194" s="38">
        <f>IF(AND(AM$7="○",$A194&gt;=AM$8,$A194&lt;=AM$9),IF(SUM(AM$10:AM193)-ROUNDDOWN($L194*AM$5/100,0)&lt;-AM$6,-AM$6-SUM(AM$10:AM193),-ROUNDDOWN($L194*AM$5/100,0)),0)</f>
        <v>0</v>
      </c>
      <c r="AN194" s="38">
        <f>IF(AND(AN$7="○",$A194&gt;=AN$8,$A194&lt;=AN$9),IF(SUM(AN$10:AN193)-ROUNDDOWN($M194*AN$5/100,0)&lt;-AN$6,-AN$6-SUM(AN$10:AN193),-ROUNDDOWN($M194*AN$5/100,0)),0)</f>
        <v>0</v>
      </c>
      <c r="AO194" s="38">
        <f>IF(AND($A194&gt;=AO$8,$A194&lt;=AO$9),IF(SUM(AO$10:AO193)-ROUNDDOWN($K194*AO$5/100,0)&lt;-AO$6,-AO$6-SUM(AO$10:AO193),-ROUNDDOWN($K194*AO$5/100,0)),0)</f>
        <v>0</v>
      </c>
      <c r="AP194" s="38">
        <f>IF(AND($A194&gt;=AP$8,$A194&lt;=AP$9),IF(SUM(AP$10:AP193)-ROUNDDOWN($K194*AP$5/100,0)&lt;-AP$6,-AP$6-SUM(AP$10:AP193),-ROUNDDOWN($K194*AP$5/100,0)),0)</f>
        <v>0</v>
      </c>
      <c r="AQ194" s="38">
        <f>IF(AND($A194&gt;=AQ$8,$A194&lt;=AQ$9),IF(SUM(AQ$10:AQ193)-ROUNDDOWN($K194*AQ$5/100,0)&lt;-AQ$6,-AQ$6-SUM(AQ$10:AQ193),-ROUNDDOWN($K194*AQ$5/100,0)),0)</f>
        <v>0</v>
      </c>
      <c r="AR194" s="38">
        <f>IF(AND($A194&gt;=AR$8,$A194&lt;=AR$9),IF(SUM(AR$10:AR193)-ROUNDDOWN($K194*AR$5/100,0)&lt;-AR$6,-AR$6-SUM(AR$10:AR193),-ROUNDDOWN($K194*AR$5/100,0)),0)</f>
        <v>0</v>
      </c>
      <c r="AS194" s="38">
        <f>IF(SUMIFS(AS$10:AS193,$A$10:$A193,$A194)-ROUNDDOWN($K194*$S194/100,0)&lt;-$S194*1000,-$S194*1000-SUMIFS(AS$10:AS193,$A$10:$A193,$A194),-ROUNDDOWN($K194*$S194/100,0))</f>
        <v>0</v>
      </c>
      <c r="AT194" s="38">
        <f>IF(AND(X194="○",$A194&gt;=AT$8,$A194&lt;=AT$9,K194&gt;=3980),IF(SUM(AT$10:AT193)-ROUNDDOWN($K194*AT$5/100,0)&lt;-AT$6,-AT$6-SUM(AT$10:AT193),-ROUNDDOWN($K194*AT$5/100,0)),0)</f>
        <v>0</v>
      </c>
      <c r="AU194" s="38">
        <f>IF(O194="○",IF(SUM(AU$10:AU193)-ROUNDDOWN($K194*AU$5/100,0)&lt;-AU$6,-AU$6-SUM(AU$10:AU193),-ROUNDDOWN($K194*AU$5/100,0)),0)</f>
        <v>0</v>
      </c>
      <c r="AV194" s="38">
        <f>IF(P194="○",IF(SUM(AV$10:AV193)-ROUNDDOWN($K194*AV$5/100,0)&lt;-AV$6,-AV$6-SUM(AV$10:AV193),-ROUNDDOWN($K194*AV$5/100,0)),0)</f>
        <v>0</v>
      </c>
      <c r="AW194" s="38">
        <f>IF(Q194="○",IF(SUM(AW$10:AW193)-ROUNDDOWN($K194*AW$5/100,0)&lt;-AW$6,-AW$6-SUM(AW$10:AW193),-ROUNDDOWN($K194*AW$5/100,0)),0)</f>
        <v>0</v>
      </c>
      <c r="AX194" s="38">
        <f>IF(R194="○",IF(SUM(AX$10:AX193)-ROUNDDOWN($K194*AX$5/100,0)&lt;-AX$6,-AX$6-SUM(AX$10:AX193),-ROUNDDOWN($K194*AX$5/100,0)),0)</f>
        <v>0</v>
      </c>
      <c r="AY194" s="70">
        <v>0</v>
      </c>
      <c r="AZ194" s="65">
        <f t="shared" si="132"/>
        <v>0</v>
      </c>
      <c r="BA194" s="65">
        <f t="shared" si="133"/>
        <v>0</v>
      </c>
      <c r="BB194" s="70"/>
      <c r="BC194" s="65">
        <f t="shared" si="134"/>
        <v>0</v>
      </c>
      <c r="BD194" s="70">
        <v>0</v>
      </c>
      <c r="BE194" s="65">
        <f t="shared" si="135"/>
        <v>0</v>
      </c>
      <c r="BF194" s="70">
        <v>0</v>
      </c>
      <c r="BG194" s="65">
        <f t="shared" si="136"/>
        <v>0</v>
      </c>
      <c r="BH194" s="70">
        <v>0</v>
      </c>
      <c r="BI194" s="65">
        <f t="shared" si="137"/>
        <v>0</v>
      </c>
      <c r="BJ194" s="38">
        <f>IF(AND(BJ$7="○",$A194&gt;=BJ$8,$A194&lt;=BJ$9),IF(SUM(BJ$10:BJ193)-ROUNDDOWN($M194*BJ$5/100,0)&lt;-BJ$6,-BJ$6-SUM(BJ$10:BJ193),-ROUNDDOWN($M194*BJ$5/100,0)),0)</f>
        <v>0</v>
      </c>
      <c r="BK194" s="38">
        <f>IF(AND(BK$7="○",$A194&gt;=BK$8,$A194&lt;=BK$9),IF(SUM(BK$10:BK193)-ROUNDDOWN($L194*BK$5/100,0)&lt;-BK$6,-BK$6-SUM(BK$10:BK193),-ROUNDDOWN($L194*BK$5/100,0)),0)</f>
        <v>0</v>
      </c>
      <c r="BL194" s="38">
        <f>IF(AND(BL$7="○",$A194&gt;=BL$8,$A194&lt;=BL$9),IF(SUM(BL$10:BL193)-ROUNDDOWN($L194*BL$5/100,0)&lt;-BL$6,-BL$6-SUM(BL$10:BL193),-ROUNDDOWN($L194*BL$5/100,0)),0)</f>
        <v>0</v>
      </c>
      <c r="BM194" s="38">
        <f>IF(AND(BM$7="○",$A194&gt;=BM$8,$A194&lt;=BM$9),IF(SUM(BM$10:BM193)-ROUNDDOWN($M194*BM$5/100,0)&lt;-BM$6,-BM$6-SUM(BM$10:BM193),-ROUNDDOWN($M194*BM$5/100,0)),0)</f>
        <v>0</v>
      </c>
      <c r="BN194" s="38">
        <f>IF(AND(BN$7="○",$A194&gt;=BN$8,$A194&lt;=BN$9),IF(SUM(BN$10:BN193)-ROUNDDOWN($M194*BN$5/100,0)&lt;-BN$6,-BN$6-SUM(BN$10:BN193),-ROUNDDOWN($M194*BN$5/100,0)),0)</f>
        <v>0</v>
      </c>
      <c r="BO194" s="38">
        <f>IF(AND(BO$7="○",$A194&gt;=BO$8,$A194&lt;=BO$9),IF(SUM(BO$10:BO193)-ROUNDDOWN($M194*BO$5/100,0)&lt;-BO$6,-BO$6-SUM(BO$10:BO193),-ROUNDDOWN($M194*BO$5/100,0)),0)</f>
        <v>0</v>
      </c>
      <c r="BP194" s="38">
        <f>IF(AND(BP$7="○",$A194&gt;=BP$8,$A194&lt;=BP$9),IF(SUM(BP$10:BP193)-ROUNDDOWN($M194*BP$5/100,0)&lt;-BP$6,-BP$6-SUM(BP$10:BP193),-ROUNDDOWN($M194*BP$5/100,0)),0)</f>
        <v>0</v>
      </c>
      <c r="BQ194" s="38">
        <f>IF(AND(BQ$7="○",$A194&gt;=BQ$8,$A194&lt;=BQ$9),IF(SUM(BQ$10:BQ193)-ROUNDDOWN($L194*BQ$5/100,0)&lt;-BQ$6,-BQ$6-SUM(BQ$10:BQ193),-ROUNDDOWN($L194*BQ$5/100,0)),0)</f>
        <v>0</v>
      </c>
      <c r="BR194" s="38">
        <f>IF(AND(BR$7="○",$A194&gt;=BR$8,$A194&lt;=BR$9),IF(SUM(BR$10:BR193)-ROUNDDOWN($M194*BR$5/100,0)&lt;-BR$6,-BR$6-SUM(BR$10:BR193),-ROUNDDOWN($M194*BR$5/100,0)),0)</f>
        <v>0</v>
      </c>
      <c r="BS194" s="38">
        <f>IF(AND(BS$7="○",$A194&gt;=BS$8,$A194&lt;=BS$9),IF(SUM(BS$10:BS193)-ROUNDDOWN($M194*BS$5/100,0)&lt;-BS$6,-BS$6-SUM(BS$10:BS193),-ROUNDDOWN($M194*BS$5/100,0)),0)</f>
        <v>0</v>
      </c>
      <c r="BT194" s="38">
        <f>IF(AND(BT$7="○",$A194&gt;=BT$8,$A194&lt;=BT$9),IF(SUM(BT$10:BT193)-ROUNDDOWN($M194*BT$5/100,0)&lt;-BT$6,-BT$6-SUM(BT$10:BT193),-ROUNDDOWN($M194*BT$5/100,0)),0)</f>
        <v>0</v>
      </c>
      <c r="BU194" s="38">
        <f>IF(AND(BU$7="○",$A194&gt;=BU$8,$A194&lt;=BU$9),IF(SUM(BU$10:BU193)-ROUNDDOWN($M194*BU$5/100,0)&lt;-BU$6,-BU$6-SUM(BU$10:BU193),-ROUNDDOWN($M194*BU$5/100,0)),0)</f>
        <v>0</v>
      </c>
      <c r="BV194" s="38">
        <f>IF(AND(BV$7="○",$A194&gt;=BV$8,$A194&lt;=BV$9),IF(SUM(BV$10:BV193)-ROUNDDOWN($M194*BV$5/100,0)&lt;-BV$6,-BV$6-SUM(BV$10:BV193),-ROUNDDOWN($M194*BV$5/100,0)),0)</f>
        <v>0</v>
      </c>
      <c r="BW194" s="38">
        <f>IF(AND(BW$7="○",$A194&gt;=BW$8,$A194&lt;=BW$9),IF(SUM(BW$10:BW193)-ROUNDDOWN($M194*BW$5/100,0)&lt;-BW$6,-BW$6-SUM(BW$10:BW193),-ROUNDDOWN($M194*BW$5/100,0)),0)</f>
        <v>0</v>
      </c>
      <c r="BX194" s="38">
        <f>IF(AND(T194="○",$A194&gt;=BX$8,$A194&lt;=BX$9),IF(SUM(BX$10:BX193)-ROUNDDOWN($K194*BX$5/100,0)&lt;-BX$6,-BX$6-SUM(BX$10:BX193),-ROUNDDOWN($K194*BX$5/100,0)),0)</f>
        <v>0</v>
      </c>
      <c r="BY194" s="38">
        <f>IF(AND(U194="○",$A194&gt;=BY$8,$A194&lt;=BY$9),IF(SUM(BY$10:BY193)-ROUNDDOWN($K194*BY$5/100,0)&lt;-BY$6,-BY$6-SUM(BY$10:BY193),-ROUNDDOWN($K194*BY$5/100,0)),0)</f>
        <v>0</v>
      </c>
      <c r="BZ194" s="38">
        <f>IF(AND(V194="○",$A194&gt;=BZ$8,$A194&lt;=BZ$9),IF(SUM(BZ$10:BZ193)-ROUNDDOWN($K194*BZ$5/100,0)&lt;-BZ$6,-BZ$6-SUM(BZ$10:BZ193),-ROUNDDOWN($K194*BZ$5/100,0)),0)</f>
        <v>0</v>
      </c>
      <c r="CA194" s="38">
        <f>IF(AND(W194="○",$A194&gt;=CA$8,$A194&lt;=CA$9),IF(SUM(CA$10:CA193)-ROUNDDOWN($K194*CA$5/100,0)&lt;-CA$6,-CA$6-SUM(CA$10:CA193),-ROUNDDOWN($K194*CA$5/100,0)),0)</f>
        <v>0</v>
      </c>
      <c r="CB194" s="38"/>
      <c r="CC194" s="38"/>
      <c r="CD194" s="38"/>
      <c r="CE194" s="38"/>
      <c r="CF194" s="38"/>
      <c r="CG194" s="65">
        <f t="shared" si="138"/>
        <v>0</v>
      </c>
      <c r="CH194" s="71">
        <f t="shared" si="139"/>
        <v>0</v>
      </c>
      <c r="CI194" s="1">
        <f t="shared" si="155"/>
        <v>0</v>
      </c>
      <c r="CJ194" s="1"/>
      <c r="CK194" s="79"/>
      <c r="CL194" s="79"/>
      <c r="CM194" s="2"/>
      <c r="CN194" s="2"/>
      <c r="CO194" s="73">
        <f t="shared" si="161"/>
        <v>0</v>
      </c>
      <c r="CP194" s="5">
        <f t="shared" si="158"/>
        <v>0</v>
      </c>
      <c r="CQ194" s="1"/>
      <c r="CR194" s="1">
        <f t="shared" si="159"/>
        <v>0</v>
      </c>
      <c r="CS194" s="1"/>
      <c r="CT194" s="1" t="e">
        <f>INDEX([2]マスタ!$A:$A,MATCH(D194,[2]マスタ!$C:$C,0))</f>
        <v>#N/A</v>
      </c>
      <c r="CU194" s="1" t="str">
        <f t="shared" ca="1" si="160"/>
        <v>20260620_0-0</v>
      </c>
    </row>
    <row r="195" spans="1:99" x14ac:dyDescent="0.4">
      <c r="A195" s="61"/>
      <c r="B195" s="62"/>
      <c r="C195" s="62"/>
      <c r="D195" s="62"/>
      <c r="E195" s="63"/>
      <c r="F195" s="62"/>
      <c r="G195" s="62">
        <v>1</v>
      </c>
      <c r="H195" s="64">
        <f t="shared" si="151"/>
        <v>0</v>
      </c>
      <c r="I195" s="64"/>
      <c r="J195" s="64"/>
      <c r="K195" s="65">
        <f t="shared" si="156"/>
        <v>0</v>
      </c>
      <c r="L195" s="65">
        <f t="shared" si="152"/>
        <v>0</v>
      </c>
      <c r="M195" s="65">
        <f t="shared" si="153"/>
        <v>0</v>
      </c>
      <c r="N195" s="65">
        <f t="shared" si="154"/>
        <v>0</v>
      </c>
      <c r="O195" s="66" t="str">
        <f t="shared" si="145"/>
        <v>✕</v>
      </c>
      <c r="P195" s="67" t="str">
        <f t="shared" si="146"/>
        <v>○</v>
      </c>
      <c r="Q195" s="67" t="str">
        <f t="shared" si="157"/>
        <v>✕</v>
      </c>
      <c r="R195" s="67" t="str">
        <f t="shared" si="148"/>
        <v>✕</v>
      </c>
      <c r="S195" s="68">
        <v>0</v>
      </c>
      <c r="T195" s="69" t="s">
        <v>85</v>
      </c>
      <c r="U195" s="69" t="s">
        <v>85</v>
      </c>
      <c r="V195" s="69" t="s">
        <v>85</v>
      </c>
      <c r="W195" s="69" t="s">
        <v>85</v>
      </c>
      <c r="X195" s="69" t="s">
        <v>84</v>
      </c>
      <c r="Y195" s="69" t="s">
        <v>85</v>
      </c>
      <c r="Z195" s="69" t="s">
        <v>85</v>
      </c>
      <c r="AA195" s="69" t="s">
        <v>85</v>
      </c>
      <c r="AB195" s="69" t="s">
        <v>85</v>
      </c>
      <c r="AC195" s="69" t="s">
        <v>85</v>
      </c>
      <c r="AD195" s="38" t="str">
        <f>+IF(ISERROR(VLOOKUP($B195,AD$10:AD194,1,0)),IF(AND($N195&gt;=1000,$A195&gt;=AO$8,$A195&lt;=AO$9),$B195,""),"")</f>
        <v/>
      </c>
      <c r="AE195" s="38" t="str">
        <f>+IF(ISERROR(VLOOKUP($B195,AE$10:AE194,1,0)),IF(AND($N195&gt;=1000,$A195&gt;=AP$8,$A195&lt;=AP$9),$B195,""),"")</f>
        <v/>
      </c>
      <c r="AF195" s="38" t="str">
        <f>+IF(ISERROR(VLOOKUP($B195,AF$10:AF194,1,0)),IF(AND($N195&gt;=1000,$A195&gt;=AQ$8,$A195&lt;=AQ$9),$B195,""),"")</f>
        <v/>
      </c>
      <c r="AG195" s="38" t="str">
        <f>+IF(ISERROR(VLOOKUP($B195,AG$10:AG194,1,0)),IF(AND($N195&gt;=1000,$A195&gt;=AR$8,$A195&lt;=AR$9),$B195,""),"")</f>
        <v/>
      </c>
      <c r="AH195" s="38"/>
      <c r="AI195" s="70">
        <v>0</v>
      </c>
      <c r="AJ195" s="38">
        <f>IF(AND(AJ$7="○",$A195&gt;=AJ$8,$A195&lt;=AJ$9),IF(SUM(AJ$10:AJ194)-ROUNDDOWN($K195*AJ$5/100,0)&lt;-AJ$6,-AJ$6-SUM(AJ$10:AJ194),-ROUNDDOWN($K195*AJ$5/100,0)),0)</f>
        <v>0</v>
      </c>
      <c r="AK195" s="38">
        <f>IF(AND(AK$7="○",$A195&gt;=AK$8,$A195&lt;=AK$9),IF(SUM(AK$10:AK194)-ROUNDDOWN($L195*AK$5/100,0)&lt;-AK$6,-AK$6-SUM(AK$10:AK194),-ROUNDDOWN($L195*AK$5/100,0)),0)</f>
        <v>0</v>
      </c>
      <c r="AL195" s="38">
        <f>IF(AND(AL$7="○",$A195&gt;=AL$8,$A195&lt;=AL$9),IF(SUM(AL$10:AL194)-ROUNDDOWN($N195*AL$5/100,0)&lt;-AL$6,-AL$6-SUM(AL$10:AL194),-ROUNDDOWN($N195*AL$5/100,0)),0)</f>
        <v>0</v>
      </c>
      <c r="AM195" s="38">
        <f>IF(AND(AM$7="○",$A195&gt;=AM$8,$A195&lt;=AM$9),IF(SUM(AM$10:AM194)-ROUNDDOWN($L195*AM$5/100,0)&lt;-AM$6,-AM$6-SUM(AM$10:AM194),-ROUNDDOWN($L195*AM$5/100,0)),0)</f>
        <v>0</v>
      </c>
      <c r="AN195" s="38">
        <f>IF(AND(AN$7="○",$A195&gt;=AN$8,$A195&lt;=AN$9),IF(SUM(AN$10:AN194)-ROUNDDOWN($M195*AN$5/100,0)&lt;-AN$6,-AN$6-SUM(AN$10:AN194),-ROUNDDOWN($M195*AN$5/100,0)),0)</f>
        <v>0</v>
      </c>
      <c r="AO195" s="38">
        <f>IF(AND($A195&gt;=AO$8,$A195&lt;=AO$9),IF(SUM(AO$10:AO194)-ROUNDDOWN($K195*AO$5/100,0)&lt;-AO$6,-AO$6-SUM(AO$10:AO194),-ROUNDDOWN($K195*AO$5/100,0)),0)</f>
        <v>0</v>
      </c>
      <c r="AP195" s="38">
        <f>IF(AND($A195&gt;=AP$8,$A195&lt;=AP$9),IF(SUM(AP$10:AP194)-ROUNDDOWN($K195*AP$5/100,0)&lt;-AP$6,-AP$6-SUM(AP$10:AP194),-ROUNDDOWN($K195*AP$5/100,0)),0)</f>
        <v>0</v>
      </c>
      <c r="AQ195" s="38">
        <f>IF(AND($A195&gt;=AQ$8,$A195&lt;=AQ$9),IF(SUM(AQ$10:AQ194)-ROUNDDOWN($K195*AQ$5/100,0)&lt;-AQ$6,-AQ$6-SUM(AQ$10:AQ194),-ROUNDDOWN($K195*AQ$5/100,0)),0)</f>
        <v>0</v>
      </c>
      <c r="AR195" s="38">
        <f>IF(AND($A195&gt;=AR$8,$A195&lt;=AR$9),IF(SUM(AR$10:AR194)-ROUNDDOWN($K195*AR$5/100,0)&lt;-AR$6,-AR$6-SUM(AR$10:AR194),-ROUNDDOWN($K195*AR$5/100,0)),0)</f>
        <v>0</v>
      </c>
      <c r="AS195" s="38">
        <f>IF(SUMIFS(AS$10:AS194,$A$10:$A194,$A195)-ROUNDDOWN($K195*$S195/100,0)&lt;-$S195*1000,-$S195*1000-SUMIFS(AS$10:AS194,$A$10:$A194,$A195),-ROUNDDOWN($K195*$S195/100,0))</f>
        <v>0</v>
      </c>
      <c r="AT195" s="38">
        <f>IF(AND(X195="○",$A195&gt;=AT$8,$A195&lt;=AT$9,K195&gt;=3980),IF(SUM(AT$10:AT194)-ROUNDDOWN($K195*AT$5/100,0)&lt;-AT$6,-AT$6-SUM(AT$10:AT194),-ROUNDDOWN($K195*AT$5/100,0)),0)</f>
        <v>0</v>
      </c>
      <c r="AU195" s="38">
        <f>IF(O195="○",IF(SUM(AU$10:AU194)-ROUNDDOWN($K195*AU$5/100,0)&lt;-AU$6,-AU$6-SUM(AU$10:AU194),-ROUNDDOWN($K195*AU$5/100,0)),0)</f>
        <v>0</v>
      </c>
      <c r="AV195" s="38">
        <f>IF(P195="○",IF(SUM(AV$10:AV194)-ROUNDDOWN($K195*AV$5/100,0)&lt;-AV$6,-AV$6-SUM(AV$10:AV194),-ROUNDDOWN($K195*AV$5/100,0)),0)</f>
        <v>0</v>
      </c>
      <c r="AW195" s="38">
        <f>IF(Q195="○",IF(SUM(AW$10:AW194)-ROUNDDOWN($K195*AW$5/100,0)&lt;-AW$6,-AW$6-SUM(AW$10:AW194),-ROUNDDOWN($K195*AW$5/100,0)),0)</f>
        <v>0</v>
      </c>
      <c r="AX195" s="38">
        <f>IF(R195="○",IF(SUM(AX$10:AX194)-ROUNDDOWN($K195*AX$5/100,0)&lt;-AX$6,-AX$6-SUM(AX$10:AX194),-ROUNDDOWN($K195*AX$5/100,0)),0)</f>
        <v>0</v>
      </c>
      <c r="AY195" s="70">
        <v>0</v>
      </c>
      <c r="AZ195" s="65">
        <f t="shared" si="132"/>
        <v>0</v>
      </c>
      <c r="BA195" s="65">
        <f t="shared" si="133"/>
        <v>0</v>
      </c>
      <c r="BB195" s="70"/>
      <c r="BC195" s="65">
        <f t="shared" si="134"/>
        <v>0</v>
      </c>
      <c r="BD195" s="70">
        <v>0</v>
      </c>
      <c r="BE195" s="65">
        <f t="shared" si="135"/>
        <v>0</v>
      </c>
      <c r="BF195" s="70">
        <v>0</v>
      </c>
      <c r="BG195" s="65">
        <f t="shared" si="136"/>
        <v>0</v>
      </c>
      <c r="BH195" s="70">
        <v>0</v>
      </c>
      <c r="BI195" s="65">
        <f t="shared" si="137"/>
        <v>0</v>
      </c>
      <c r="BJ195" s="38">
        <f>IF(AND(BJ$7="○",$A195&gt;=BJ$8,$A195&lt;=BJ$9),IF(SUM(BJ$10:BJ194)-ROUNDDOWN($M195*BJ$5/100,0)&lt;-BJ$6,-BJ$6-SUM(BJ$10:BJ194),-ROUNDDOWN($M195*BJ$5/100,0)),0)</f>
        <v>0</v>
      </c>
      <c r="BK195" s="38">
        <f>IF(AND(BK$7="○",$A195&gt;=BK$8,$A195&lt;=BK$9),IF(SUM(BK$10:BK194)-ROUNDDOWN($L195*BK$5/100,0)&lt;-BK$6,-BK$6-SUM(BK$10:BK194),-ROUNDDOWN($L195*BK$5/100,0)),0)</f>
        <v>0</v>
      </c>
      <c r="BL195" s="38">
        <f>IF(AND(BL$7="○",$A195&gt;=BL$8,$A195&lt;=BL$9),IF(SUM(BL$10:BL194)-ROUNDDOWN($L195*BL$5/100,0)&lt;-BL$6,-BL$6-SUM(BL$10:BL194),-ROUNDDOWN($L195*BL$5/100,0)),0)</f>
        <v>0</v>
      </c>
      <c r="BM195" s="38">
        <f>IF(AND(BM$7="○",$A195&gt;=BM$8,$A195&lt;=BM$9),IF(SUM(BM$10:BM194)-ROUNDDOWN($M195*BM$5/100,0)&lt;-BM$6,-BM$6-SUM(BM$10:BM194),-ROUNDDOWN($M195*BM$5/100,0)),0)</f>
        <v>0</v>
      </c>
      <c r="BN195" s="38">
        <f>IF(AND(BN$7="○",$A195&gt;=BN$8,$A195&lt;=BN$9),IF(SUM(BN$10:BN194)-ROUNDDOWN($M195*BN$5/100,0)&lt;-BN$6,-BN$6-SUM(BN$10:BN194),-ROUNDDOWN($M195*BN$5/100,0)),0)</f>
        <v>0</v>
      </c>
      <c r="BO195" s="38">
        <f>IF(AND(BO$7="○",$A195&gt;=BO$8,$A195&lt;=BO$9),IF(SUM(BO$10:BO194)-ROUNDDOWN($M195*BO$5/100,0)&lt;-BO$6,-BO$6-SUM(BO$10:BO194),-ROUNDDOWN($M195*BO$5/100,0)),0)</f>
        <v>0</v>
      </c>
      <c r="BP195" s="38">
        <f>IF(AND(BP$7="○",$A195&gt;=BP$8,$A195&lt;=BP$9),IF(SUM(BP$10:BP194)-ROUNDDOWN($M195*BP$5/100,0)&lt;-BP$6,-BP$6-SUM(BP$10:BP194),-ROUNDDOWN($M195*BP$5/100,0)),0)</f>
        <v>0</v>
      </c>
      <c r="BQ195" s="38">
        <f>IF(AND(BQ$7="○",$A195&gt;=BQ$8,$A195&lt;=BQ$9),IF(SUM(BQ$10:BQ194)-ROUNDDOWN($L195*BQ$5/100,0)&lt;-BQ$6,-BQ$6-SUM(BQ$10:BQ194),-ROUNDDOWN($L195*BQ$5/100,0)),0)</f>
        <v>0</v>
      </c>
      <c r="BR195" s="38">
        <f>IF(AND(BR$7="○",$A195&gt;=BR$8,$A195&lt;=BR$9),IF(SUM(BR$10:BR194)-ROUNDDOWN($M195*BR$5/100,0)&lt;-BR$6,-BR$6-SUM(BR$10:BR194),-ROUNDDOWN($M195*BR$5/100,0)),0)</f>
        <v>0</v>
      </c>
      <c r="BS195" s="38">
        <f>IF(AND(BS$7="○",$A195&gt;=BS$8,$A195&lt;=BS$9),IF(SUM(BS$10:BS194)-ROUNDDOWN($M195*BS$5/100,0)&lt;-BS$6,-BS$6-SUM(BS$10:BS194),-ROUNDDOWN($M195*BS$5/100,0)),0)</f>
        <v>0</v>
      </c>
      <c r="BT195" s="38">
        <f>IF(AND(BT$7="○",$A195&gt;=BT$8,$A195&lt;=BT$9),IF(SUM(BT$10:BT194)-ROUNDDOWN($M195*BT$5/100,0)&lt;-BT$6,-BT$6-SUM(BT$10:BT194),-ROUNDDOWN($M195*BT$5/100,0)),0)</f>
        <v>0</v>
      </c>
      <c r="BU195" s="38">
        <f>IF(AND(BU$7="○",$A195&gt;=BU$8,$A195&lt;=BU$9),IF(SUM(BU$10:BU194)-ROUNDDOWN($M195*BU$5/100,0)&lt;-BU$6,-BU$6-SUM(BU$10:BU194),-ROUNDDOWN($M195*BU$5/100,0)),0)</f>
        <v>0</v>
      </c>
      <c r="BV195" s="38">
        <f>IF(AND(BV$7="○",$A195&gt;=BV$8,$A195&lt;=BV$9),IF(SUM(BV$10:BV194)-ROUNDDOWN($M195*BV$5/100,0)&lt;-BV$6,-BV$6-SUM(BV$10:BV194),-ROUNDDOWN($M195*BV$5/100,0)),0)</f>
        <v>0</v>
      </c>
      <c r="BW195" s="38">
        <f>IF(AND(BW$7="○",$A195&gt;=BW$8,$A195&lt;=BW$9),IF(SUM(BW$10:BW194)-ROUNDDOWN($M195*BW$5/100,0)&lt;-BW$6,-BW$6-SUM(BW$10:BW194),-ROUNDDOWN($M195*BW$5/100,0)),0)</f>
        <v>0</v>
      </c>
      <c r="BX195" s="38">
        <f>IF(AND(T195="○",$A195&gt;=BX$8,$A195&lt;=BX$9),IF(SUM(BX$10:BX194)-ROUNDDOWN($K195*BX$5/100,0)&lt;-BX$6,-BX$6-SUM(BX$10:BX194),-ROUNDDOWN($K195*BX$5/100,0)),0)</f>
        <v>0</v>
      </c>
      <c r="BY195" s="38">
        <f>IF(AND(U195="○",$A195&gt;=BY$8,$A195&lt;=BY$9),IF(SUM(BY$10:BY194)-ROUNDDOWN($K195*BY$5/100,0)&lt;-BY$6,-BY$6-SUM(BY$10:BY194),-ROUNDDOWN($K195*BY$5/100,0)),0)</f>
        <v>0</v>
      </c>
      <c r="BZ195" s="38">
        <f>IF(AND(V195="○",$A195&gt;=BZ$8,$A195&lt;=BZ$9),IF(SUM(BZ$10:BZ194)-ROUNDDOWN($K195*BZ$5/100,0)&lt;-BZ$6,-BZ$6-SUM(BZ$10:BZ194),-ROUNDDOWN($K195*BZ$5/100,0)),0)</f>
        <v>0</v>
      </c>
      <c r="CA195" s="38">
        <f>IF(AND(W195="○",$A195&gt;=CA$8,$A195&lt;=CA$9),IF(SUM(CA$10:CA194)-ROUNDDOWN($K195*CA$5/100,0)&lt;-CA$6,-CA$6-SUM(CA$10:CA194),-ROUNDDOWN($K195*CA$5/100,0)),0)</f>
        <v>0</v>
      </c>
      <c r="CB195" s="38"/>
      <c r="CC195" s="38"/>
      <c r="CD195" s="38"/>
      <c r="CE195" s="38"/>
      <c r="CF195" s="38"/>
      <c r="CG195" s="65">
        <f t="shared" si="138"/>
        <v>0</v>
      </c>
      <c r="CH195" s="71">
        <f t="shared" si="139"/>
        <v>0</v>
      </c>
      <c r="CI195" s="1">
        <f t="shared" si="155"/>
        <v>0</v>
      </c>
      <c r="CJ195" s="1"/>
      <c r="CK195" s="2"/>
      <c r="CL195" s="2"/>
      <c r="CM195" s="2"/>
      <c r="CN195" s="2"/>
      <c r="CO195" s="73">
        <f t="shared" si="161"/>
        <v>0</v>
      </c>
      <c r="CP195" s="5">
        <f t="shared" si="158"/>
        <v>0</v>
      </c>
      <c r="CQ195" s="1"/>
      <c r="CR195" s="1">
        <f t="shared" si="159"/>
        <v>0</v>
      </c>
      <c r="CS195" s="1"/>
      <c r="CT195" s="1" t="e">
        <f>INDEX([2]マスタ!$A:$A,MATCH(D195,[2]マスタ!$C:$C,0))</f>
        <v>#N/A</v>
      </c>
      <c r="CU195" s="1" t="str">
        <f t="shared" ca="1" si="160"/>
        <v>20260620_0-0</v>
      </c>
    </row>
    <row r="196" spans="1:99" x14ac:dyDescent="0.4">
      <c r="A196" s="61"/>
      <c r="B196" s="62"/>
      <c r="C196" s="62"/>
      <c r="D196" s="62"/>
      <c r="E196" s="74"/>
      <c r="F196" s="62"/>
      <c r="G196" s="62">
        <v>1</v>
      </c>
      <c r="H196" s="64">
        <f t="shared" ref="H196:H225" si="162">+F196*G196</f>
        <v>0</v>
      </c>
      <c r="I196" s="64"/>
      <c r="J196" s="64"/>
      <c r="K196" s="65">
        <f t="shared" ref="K196:K207" si="163">+ROUNDDOWN((H196+I196)/100,0)*100</f>
        <v>0</v>
      </c>
      <c r="L196" s="65">
        <f t="shared" ref="L196:L225" si="164">+ROUNDDOWN((H196+I196)/1.1/100,0)*100</f>
        <v>0</v>
      </c>
      <c r="M196" s="65">
        <f t="shared" ref="M196:M225" si="165">+ROUNDDOWN((H196+I196)/1.1/200,0)*200</f>
        <v>0</v>
      </c>
      <c r="N196" s="65">
        <f t="shared" ref="N196:N225" si="166">+H196+I196+J196</f>
        <v>0</v>
      </c>
      <c r="O196" s="66" t="str">
        <f t="shared" ref="O196:O225" si="167">IF(OR(WEEKDAY($A196,2)=2,WEEKDAY($A196,2)=4),"○","✕")</f>
        <v>✕</v>
      </c>
      <c r="P196" s="67" t="str">
        <f t="shared" ref="P196:P225" si="168">+IF(MOD(TEXT($A196,"DD"),5)=0,"○","✕")</f>
        <v>○</v>
      </c>
      <c r="Q196" s="67" t="str">
        <f t="shared" ref="Q196:Q207" si="169">+IF((TEXT($A196,"DD")+0)=1,"○","✕")</f>
        <v>✕</v>
      </c>
      <c r="R196" s="67" t="str">
        <f t="shared" ref="R196:R225" si="170">+IF((TEXT($A196,"DD")+0)=18,"○","✕")</f>
        <v>✕</v>
      </c>
      <c r="S196" s="68">
        <v>0</v>
      </c>
      <c r="T196" s="69" t="s">
        <v>85</v>
      </c>
      <c r="U196" s="69" t="s">
        <v>85</v>
      </c>
      <c r="V196" s="69" t="s">
        <v>85</v>
      </c>
      <c r="W196" s="69" t="s">
        <v>85</v>
      </c>
      <c r="X196" s="69" t="s">
        <v>84</v>
      </c>
      <c r="Y196" s="69" t="s">
        <v>85</v>
      </c>
      <c r="Z196" s="69" t="s">
        <v>85</v>
      </c>
      <c r="AA196" s="69" t="s">
        <v>85</v>
      </c>
      <c r="AB196" s="69" t="s">
        <v>85</v>
      </c>
      <c r="AC196" s="69" t="s">
        <v>85</v>
      </c>
      <c r="AD196" s="38" t="str">
        <f>+IF(ISERROR(VLOOKUP($B196,#REF!,1,0)),IF(AND($N196&gt;=1000,$A196&gt;=AO$8,$A196&lt;=AO$9),$B196,""),"")</f>
        <v/>
      </c>
      <c r="AE196" s="38" t="str">
        <f>+IF(ISERROR(VLOOKUP($B196,#REF!,1,0)),IF(AND($N196&gt;=1000,$A196&gt;=AP$8,$A196&lt;=AP$9),$B196,""),"")</f>
        <v/>
      </c>
      <c r="AF196" s="38" t="str">
        <f>+IF(ISERROR(VLOOKUP($B196,#REF!,1,0)),IF(AND($N196&gt;=1000,$A196&gt;=AQ$8,$A196&lt;=AQ$9),$B196,""),"")</f>
        <v/>
      </c>
      <c r="AG196" s="38" t="str">
        <f>+IF(ISERROR(VLOOKUP($B196,#REF!,1,0)),IF(AND($N196&gt;=1000,$A196&gt;=AR$8,$A196&lt;=AR$9),$B196,""),"")</f>
        <v/>
      </c>
      <c r="AH196" s="38"/>
      <c r="AI196" s="70">
        <v>0</v>
      </c>
      <c r="AJ196" s="38">
        <f>IF(AND(AJ$7="○",$A196&gt;=AJ$8,$A196&lt;=AJ$9),IF(SUM(AJ$10:AJ195)-ROUNDDOWN($K196*AJ$5/100,0)&lt;-AJ$6,-AJ$6-SUM(AJ$10:AJ195),-ROUNDDOWN($K196*AJ$5/100,0)),0)</f>
        <v>0</v>
      </c>
      <c r="AK196" s="38">
        <f>IF(AND(AK$7="○",$A196&gt;=AK$8,$A196&lt;=AK$9),IF(SUM(AK$10:AK195)-ROUNDDOWN($L196*AK$5/100,0)&lt;-AK$6,-AK$6-SUM(AK$10:AK195),-ROUNDDOWN($L196*AK$5/100,0)),0)</f>
        <v>0</v>
      </c>
      <c r="AL196" s="38">
        <f>IF(AND(AL$7="○",$A196&gt;=AL$8,$A196&lt;=AL$9),IF(SUM(AL$10:AL195)-ROUNDDOWN($N196*AL$5/100,0)&lt;-AL$6,-AL$6-SUM(AL$10:AL195),-ROUNDDOWN($N196*AL$5/100,0)),0)</f>
        <v>0</v>
      </c>
      <c r="AM196" s="38">
        <f>IF(AND(AM$7="○",$A196&gt;=AM$8,$A196&lt;=AM$9),IF(SUM(AM$10:AM195)-ROUNDDOWN($L196*AM$5/100,0)&lt;-AM$6,-AM$6-SUM(AM$10:AM195),-ROUNDDOWN($L196*AM$5/100,0)),0)</f>
        <v>0</v>
      </c>
      <c r="AN196" s="38">
        <f>IF(AND(AN$7="○",$A196&gt;=AN$8,$A196&lt;=AN$9),IF(SUM(AN$10:AN195)-ROUNDDOWN($M196*AN$5/100,0)&lt;-AN$6,-AN$6-SUM(AN$10:AN195),-ROUNDDOWN($M196*AN$5/100,0)),0)</f>
        <v>0</v>
      </c>
      <c r="AO196" s="38">
        <f>IF(AND($A196&gt;=AO$8,$A196&lt;=AO$9),IF(SUM(AO$10:AO195)-ROUNDDOWN($K196*AO$5/100,0)&lt;-AO$6,-AO$6-SUM(AO$10:AO195),-ROUNDDOWN($K196*AO$5/100,0)),0)</f>
        <v>0</v>
      </c>
      <c r="AP196" s="38">
        <f>IF(AND($A196&gt;=AP$8,$A196&lt;=AP$9),IF(SUM(AP$10:AP195)-ROUNDDOWN($K196*AP$5/100,0)&lt;-AP$6,-AP$6-SUM(AP$10:AP195),-ROUNDDOWN($K196*AP$5/100,0)),0)</f>
        <v>0</v>
      </c>
      <c r="AQ196" s="38">
        <f>IF(AND($A196&gt;=AQ$8,$A196&lt;=AQ$9),IF(SUM(AQ$10:AQ195)-ROUNDDOWN($K196*AQ$5/100,0)&lt;-AQ$6,-AQ$6-SUM(AQ$10:AQ195),-ROUNDDOWN($K196*AQ$5/100,0)),0)</f>
        <v>0</v>
      </c>
      <c r="AR196" s="38">
        <f>IF(AND($A196&gt;=AR$8,$A196&lt;=AR$9),IF(SUM(AR$10:AR195)-ROUNDDOWN($K196*AR$5/100,0)&lt;-AR$6,-AR$6-SUM(AR$10:AR195),-ROUNDDOWN($K196*AR$5/100,0)),0)</f>
        <v>0</v>
      </c>
      <c r="AS196" s="38">
        <f>IF(SUMIFS(AS$10:AS195,$A$10:$A195,$A196)-ROUNDDOWN($K196*$S196/100,0)&lt;-$S196*1000,-$S196*1000-SUMIFS(AS$10:AS195,$A$10:$A195,$A196),-ROUNDDOWN($K196*$S196/100,0))</f>
        <v>0</v>
      </c>
      <c r="AT196" s="38">
        <f>IF(AND(X196="○",$A196&gt;=AT$8,$A196&lt;=AT$9,K196&gt;=3980),IF(SUM(AT$10:AT195)-ROUNDDOWN($K196*AT$5/100,0)&lt;-AT$6,-AT$6-SUM(AT$10:AT195),-ROUNDDOWN($K196*AT$5/100,0)),0)</f>
        <v>0</v>
      </c>
      <c r="AU196" s="38">
        <f>IF(O196="○",IF(SUM(AU$10:AU195)-ROUNDDOWN($K196*AU$5/100,0)&lt;-AU$6,-AU$6-SUM(AU$10:AU195),-ROUNDDOWN($K196*AU$5/100,0)),0)</f>
        <v>0</v>
      </c>
      <c r="AV196" s="38">
        <f>IF(P196="○",IF(SUM(AV$10:AV195)-ROUNDDOWN($K196*AV$5/100,0)&lt;-AV$6,-AV$6-SUM(AV$10:AV195),-ROUNDDOWN($K196*AV$5/100,0)),0)</f>
        <v>0</v>
      </c>
      <c r="AW196" s="38">
        <f>IF(Q196="○",IF(SUM(AW$10:AW195)-ROUNDDOWN($K196*AW$5/100,0)&lt;-AW$6,-AW$6-SUM(AW$10:AW195),-ROUNDDOWN($K196*AW$5/100,0)),0)</f>
        <v>0</v>
      </c>
      <c r="AX196" s="38">
        <f>IF(R196="○",IF(SUM(AX$10:AX195)-ROUNDDOWN($K196*AX$5/100,0)&lt;-AX$6,-AX$6-SUM(AX$10:AX195),-ROUNDDOWN($K196*AX$5/100,0)),0)</f>
        <v>0</v>
      </c>
      <c r="AY196" s="70">
        <v>0</v>
      </c>
      <c r="AZ196" s="65">
        <f t="shared" si="132"/>
        <v>0</v>
      </c>
      <c r="BA196" s="65">
        <f t="shared" si="133"/>
        <v>0</v>
      </c>
      <c r="BB196" s="70"/>
      <c r="BC196" s="65">
        <f t="shared" si="134"/>
        <v>0</v>
      </c>
      <c r="BD196" s="70">
        <v>0</v>
      </c>
      <c r="BE196" s="65">
        <f t="shared" si="135"/>
        <v>0</v>
      </c>
      <c r="BF196" s="70">
        <v>0</v>
      </c>
      <c r="BG196" s="65">
        <f t="shared" si="136"/>
        <v>0</v>
      </c>
      <c r="BH196" s="70">
        <v>0</v>
      </c>
      <c r="BI196" s="65">
        <f t="shared" si="137"/>
        <v>0</v>
      </c>
      <c r="BJ196" s="38">
        <f>IF(AND(BJ$7="○",$A196&gt;=BJ$8,$A196&lt;=BJ$9),IF(SUM(BJ$10:BJ195)-ROUNDDOWN($M196*BJ$5/100,0)&lt;-BJ$6,-BJ$6-SUM(BJ$10:BJ195),-ROUNDDOWN($M196*BJ$5/100,0)),0)</f>
        <v>0</v>
      </c>
      <c r="BK196" s="38">
        <f>IF(AND(BK$7="○",$A196&gt;=BK$8,$A196&lt;=BK$9),IF(SUM(BK$10:BK195)-ROUNDDOWN($L196*BK$5/100,0)&lt;-BK$6,-BK$6-SUM(BK$10:BK195),-ROUNDDOWN($L196*BK$5/100,0)),0)</f>
        <v>0</v>
      </c>
      <c r="BL196" s="38">
        <f>IF(AND(BL$7="○",$A196&gt;=BL$8,$A196&lt;=BL$9),IF(SUM(BL$10:BL195)-ROUNDDOWN($L196*BL$5/100,0)&lt;-BL$6,-BL$6-SUM(BL$10:BL195),-ROUNDDOWN($L196*BL$5/100,0)),0)</f>
        <v>0</v>
      </c>
      <c r="BM196" s="38">
        <f>IF(AND(BM$7="○",$A196&gt;=BM$8,$A196&lt;=BM$9),IF(SUM(BM$10:BM195)-ROUNDDOWN($M196*BM$5/100,0)&lt;-BM$6,-BM$6-SUM(BM$10:BM195),-ROUNDDOWN($M196*BM$5/100,0)),0)</f>
        <v>0</v>
      </c>
      <c r="BN196" s="38">
        <f>IF(AND(BN$7="○",$A196&gt;=BN$8,$A196&lt;=BN$9),IF(SUM(BN$10:BN195)-ROUNDDOWN($M196*BN$5/100,0)&lt;-BN$6,-BN$6-SUM(BN$10:BN195),-ROUNDDOWN($M196*BN$5/100,0)),0)</f>
        <v>0</v>
      </c>
      <c r="BO196" s="38">
        <f>IF(AND(BO$7="○",$A196&gt;=BO$8,$A196&lt;=BO$9),IF(SUM(BO$10:BO195)-ROUNDDOWN($M196*BO$5/100,0)&lt;-BO$6,-BO$6-SUM(BO$10:BO195),-ROUNDDOWN($M196*BO$5/100,0)),0)</f>
        <v>0</v>
      </c>
      <c r="BP196" s="38">
        <f>IF(AND(BP$7="○",$A196&gt;=BP$8,$A196&lt;=BP$9),IF(SUM(BP$10:BP195)-ROUNDDOWN($M196*BP$5/100,0)&lt;-BP$6,-BP$6-SUM(BP$10:BP195),-ROUNDDOWN($M196*BP$5/100,0)),0)</f>
        <v>0</v>
      </c>
      <c r="BQ196" s="38">
        <f>IF(AND(BQ$7="○",$A196&gt;=BQ$8,$A196&lt;=BQ$9),IF(SUM(BQ$10:BQ195)-ROUNDDOWN($L196*BQ$5/100,0)&lt;-BQ$6,-BQ$6-SUM(BQ$10:BQ195),-ROUNDDOWN($L196*BQ$5/100,0)),0)</f>
        <v>0</v>
      </c>
      <c r="BR196" s="38">
        <f>IF(AND(BR$7="○",$A196&gt;=BR$8,$A196&lt;=BR$9),IF(SUM(BR$10:BR195)-ROUNDDOWN($M196*BR$5/100,0)&lt;-BR$6,-BR$6-SUM(BR$10:BR195),-ROUNDDOWN($M196*BR$5/100,0)),0)</f>
        <v>0</v>
      </c>
      <c r="BS196" s="38">
        <f>IF(AND(BS$7="○",$A196&gt;=BS$8,$A196&lt;=BS$9),IF(SUM(BS$10:BS195)-ROUNDDOWN($M196*BS$5/100,0)&lt;-BS$6,-BS$6-SUM(BS$10:BS195),-ROUNDDOWN($M196*BS$5/100,0)),0)</f>
        <v>0</v>
      </c>
      <c r="BT196" s="38">
        <f>IF(AND(BT$7="○",$A196&gt;=BT$8,$A196&lt;=BT$9),IF(SUM(BT$10:BT195)-ROUNDDOWN($M196*BT$5/100,0)&lt;-BT$6,-BT$6-SUM(BT$10:BT195),-ROUNDDOWN($M196*BT$5/100,0)),0)</f>
        <v>0</v>
      </c>
      <c r="BU196" s="38">
        <f>IF(AND(BU$7="○",$A196&gt;=BU$8,$A196&lt;=BU$9),IF(SUM(BU$10:BU195)-ROUNDDOWN($M196*BU$5/100,0)&lt;-BU$6,-BU$6-SUM(BU$10:BU195),-ROUNDDOWN($M196*BU$5/100,0)),0)</f>
        <v>0</v>
      </c>
      <c r="BV196" s="38">
        <f>IF(AND(BV$7="○",$A196&gt;=BV$8,$A196&lt;=BV$9),IF(SUM(BV$10:BV195)-ROUNDDOWN($M196*BV$5/100,0)&lt;-BV$6,-BV$6-SUM(BV$10:BV195),-ROUNDDOWN($M196*BV$5/100,0)),0)</f>
        <v>0</v>
      </c>
      <c r="BW196" s="38">
        <f>IF(AND(BW$7="○",$A196&gt;=BW$8,$A196&lt;=BW$9),IF(SUM(BW$10:BW195)-ROUNDDOWN($M196*BW$5/100,0)&lt;-BW$6,-BW$6-SUM(BW$10:BW195),-ROUNDDOWN($M196*BW$5/100,0)),0)</f>
        <v>0</v>
      </c>
      <c r="BX196" s="38">
        <f>IF(AND(T196="○",$A196&gt;=BX$8,$A196&lt;=BX$9),IF(SUM(BX$10:BX195)-ROUNDDOWN($K196*BX$5/100,0)&lt;-BX$6,-BX$6-SUM(BX$10:BX195),-ROUNDDOWN($K196*BX$5/100,0)),0)</f>
        <v>0</v>
      </c>
      <c r="BY196" s="38">
        <f>IF(AND(U196="○",$A196&gt;=BY$8,$A196&lt;=BY$9),IF(SUM(BY$10:BY195)-ROUNDDOWN($K196*BY$5/100,0)&lt;-BY$6,-BY$6-SUM(BY$10:BY195),-ROUNDDOWN($K196*BY$5/100,0)),0)</f>
        <v>0</v>
      </c>
      <c r="BZ196" s="38">
        <f>IF(AND(V196="○",$A196&gt;=BZ$8,$A196&lt;=BZ$9),IF(SUM(BZ$10:BZ195)-ROUNDDOWN($K196*BZ$5/100,0)&lt;-BZ$6,-BZ$6-SUM(BZ$10:BZ195),-ROUNDDOWN($K196*BZ$5/100,0)),0)</f>
        <v>0</v>
      </c>
      <c r="CA196" s="38">
        <f>IF(AND(W196="○",$A196&gt;=CA$8,$A196&lt;=CA$9),IF(SUM(CA$10:CA195)-ROUNDDOWN($K196*CA$5/100,0)&lt;-CA$6,-CA$6-SUM(CA$10:CA195),-ROUNDDOWN($K196*CA$5/100,0)),0)</f>
        <v>0</v>
      </c>
      <c r="CB196" s="38"/>
      <c r="CC196" s="38"/>
      <c r="CD196" s="38"/>
      <c r="CE196" s="38"/>
      <c r="CF196" s="38"/>
      <c r="CG196" s="65">
        <f t="shared" si="138"/>
        <v>0</v>
      </c>
      <c r="CH196" s="71">
        <f t="shared" si="139"/>
        <v>0</v>
      </c>
      <c r="CI196" s="1">
        <f t="shared" ref="CI196:CI225" si="171">IFERROR(ROUNDDOWN((CH196/G196),0),0)</f>
        <v>0</v>
      </c>
      <c r="CJ196" s="1"/>
      <c r="CK196" s="72"/>
      <c r="CL196" s="72"/>
      <c r="CM196" s="2"/>
      <c r="CN196" s="2"/>
      <c r="CO196" s="73">
        <f t="shared" ref="CO196:CO225" si="172">IFERROR(CN196-CI196,0)</f>
        <v>0</v>
      </c>
      <c r="CP196" s="5">
        <f t="shared" ref="CP196:CP225" si="173">IFERROR(CN196/CI196,0)</f>
        <v>0</v>
      </c>
      <c r="CQ196" s="1"/>
      <c r="CR196" s="1">
        <f t="shared" ref="CR196:CR225" si="174">+CO196*G196</f>
        <v>0</v>
      </c>
      <c r="CS196" s="1"/>
      <c r="CT196" s="1" t="e">
        <f>INDEX([2]マスタ!$A:$A,MATCH(D196,[2]マスタ!$C:$C,0))</f>
        <v>#N/A</v>
      </c>
      <c r="CU196" s="1" t="str">
        <f t="shared" ref="CU196:CU225" ca="1" si="175">IFERROR(TEXT(TODAY(),"yyyymmdd")&amp;"_"&amp;ROUNDDOWN(H196+I196,0)&amp;"-"&amp;ROUNDDOWN(CI196,0),"")</f>
        <v>20260620_0-0</v>
      </c>
    </row>
    <row r="197" spans="1:99" x14ac:dyDescent="0.4">
      <c r="A197" s="61"/>
      <c r="B197" s="62"/>
      <c r="C197" s="62"/>
      <c r="D197" s="62"/>
      <c r="E197" s="76"/>
      <c r="F197" s="62"/>
      <c r="G197" s="62">
        <v>1</v>
      </c>
      <c r="H197" s="64">
        <f t="shared" si="162"/>
        <v>0</v>
      </c>
      <c r="I197" s="64"/>
      <c r="J197" s="64"/>
      <c r="K197" s="65">
        <f t="shared" si="163"/>
        <v>0</v>
      </c>
      <c r="L197" s="65">
        <f t="shared" si="164"/>
        <v>0</v>
      </c>
      <c r="M197" s="65">
        <f t="shared" si="165"/>
        <v>0</v>
      </c>
      <c r="N197" s="65">
        <f t="shared" si="166"/>
        <v>0</v>
      </c>
      <c r="O197" s="66" t="str">
        <f t="shared" si="167"/>
        <v>✕</v>
      </c>
      <c r="P197" s="67" t="str">
        <f t="shared" si="168"/>
        <v>○</v>
      </c>
      <c r="Q197" s="67" t="str">
        <f t="shared" si="169"/>
        <v>✕</v>
      </c>
      <c r="R197" s="67" t="str">
        <f t="shared" si="170"/>
        <v>✕</v>
      </c>
      <c r="S197" s="68">
        <v>0</v>
      </c>
      <c r="T197" s="69" t="s">
        <v>85</v>
      </c>
      <c r="U197" s="69" t="s">
        <v>85</v>
      </c>
      <c r="V197" s="69" t="s">
        <v>85</v>
      </c>
      <c r="W197" s="69" t="s">
        <v>85</v>
      </c>
      <c r="X197" s="69" t="s">
        <v>84</v>
      </c>
      <c r="Y197" s="69" t="s">
        <v>85</v>
      </c>
      <c r="Z197" s="69" t="s">
        <v>85</v>
      </c>
      <c r="AA197" s="69" t="s">
        <v>85</v>
      </c>
      <c r="AB197" s="69" t="s">
        <v>85</v>
      </c>
      <c r="AC197" s="69" t="s">
        <v>85</v>
      </c>
      <c r="AD197" s="38" t="str">
        <f>+IF(ISERROR(VLOOKUP($B197,AD$10:AD196,1,0)),IF(AND($N197&gt;=1000,$A197&gt;=AO$8,$A197&lt;=AO$9),$B197,""),"")</f>
        <v/>
      </c>
      <c r="AE197" s="38" t="str">
        <f>+IF(ISERROR(VLOOKUP($B197,AE$10:AE196,1,0)),IF(AND($N197&gt;=1000,$A197&gt;=AP$8,$A197&lt;=AP$9),$B197,""),"")</f>
        <v/>
      </c>
      <c r="AF197" s="38" t="str">
        <f>+IF(ISERROR(VLOOKUP($B197,AF$10:AF196,1,0)),IF(AND($N197&gt;=1000,$A197&gt;=AQ$8,$A197&lt;=AQ$9),$B197,""),"")</f>
        <v/>
      </c>
      <c r="AG197" s="38" t="str">
        <f>+IF(ISERROR(VLOOKUP($B197,AG$10:AG196,1,0)),IF(AND($N197&gt;=1000,$A197&gt;=AR$8,$A197&lt;=AR$9),$B197,""),"")</f>
        <v/>
      </c>
      <c r="AH197" s="38"/>
      <c r="AI197" s="70">
        <v>0</v>
      </c>
      <c r="AJ197" s="38">
        <f>IF(AND(AJ$7="○",$A197&gt;=AJ$8,$A197&lt;=AJ$9),IF(SUM(AJ$10:AJ196)-ROUNDDOWN($K197*AJ$5/100,0)&lt;-AJ$6,-AJ$6-SUM(AJ$10:AJ196),-ROUNDDOWN($K197*AJ$5/100,0)),0)</f>
        <v>0</v>
      </c>
      <c r="AK197" s="38">
        <f>IF(AND(AK$7="○",$A197&gt;=AK$8,$A197&lt;=AK$9),IF(SUM(AK$10:AK196)-ROUNDDOWN($L197*AK$5/100,0)&lt;-AK$6,-AK$6-SUM(AK$10:AK196),-ROUNDDOWN($L197*AK$5/100,0)),0)</f>
        <v>0</v>
      </c>
      <c r="AL197" s="38">
        <f>IF(AND(AL$7="○",$A197&gt;=AL$8,$A197&lt;=AL$9),IF(SUM(AL$10:AL196)-ROUNDDOWN($N197*AL$5/100,0)&lt;-AL$6,-AL$6-SUM(AL$10:AL196),-ROUNDDOWN($N197*AL$5/100,0)),0)</f>
        <v>0</v>
      </c>
      <c r="AM197" s="38">
        <f>IF(AND(AM$7="○",$A197&gt;=AM$8,$A197&lt;=AM$9),IF(SUM(AM$10:AM196)-ROUNDDOWN($L197*AM$5/100,0)&lt;-AM$6,-AM$6-SUM(AM$10:AM196),-ROUNDDOWN($L197*AM$5/100,0)),0)</f>
        <v>0</v>
      </c>
      <c r="AN197" s="38">
        <f>IF(AND(AN$7="○",$A197&gt;=AN$8,$A197&lt;=AN$9),IF(SUM(AN$10:AN196)-ROUNDDOWN($M197*AN$5/100,0)&lt;-AN$6,-AN$6-SUM(AN$10:AN196),-ROUNDDOWN($M197*AN$5/100,0)),0)</f>
        <v>0</v>
      </c>
      <c r="AO197" s="38">
        <f>IF(AND($A197&gt;=AO$8,$A197&lt;=AO$9),IF(SUM(AO$10:AO196)-ROUNDDOWN($K197*AO$5/100,0)&lt;-AO$6,-AO$6-SUM(AO$10:AO196),-ROUNDDOWN($K197*AO$5/100,0)),0)</f>
        <v>0</v>
      </c>
      <c r="AP197" s="38">
        <f>IF(AND($A197&gt;=AP$8,$A197&lt;=AP$9),IF(SUM(AP$10:AP196)-ROUNDDOWN($K197*AP$5/100,0)&lt;-AP$6,-AP$6-SUM(AP$10:AP196),-ROUNDDOWN($K197*AP$5/100,0)),0)</f>
        <v>0</v>
      </c>
      <c r="AQ197" s="38">
        <f>IF(AND($A197&gt;=AQ$8,$A197&lt;=AQ$9),IF(SUM(AQ$10:AQ196)-ROUNDDOWN($K197*AQ$5/100,0)&lt;-AQ$6,-AQ$6-SUM(AQ$10:AQ196),-ROUNDDOWN($K197*AQ$5/100,0)),0)</f>
        <v>0</v>
      </c>
      <c r="AR197" s="38">
        <f>IF(AND($A197&gt;=AR$8,$A197&lt;=AR$9),IF(SUM(AR$10:AR196)-ROUNDDOWN($K197*AR$5/100,0)&lt;-AR$6,-AR$6-SUM(AR$10:AR196),-ROUNDDOWN($K197*AR$5/100,0)),0)</f>
        <v>0</v>
      </c>
      <c r="AS197" s="38">
        <f>IF(SUMIFS(AS$10:AS196,$A$10:$A196,$A197)-ROUNDDOWN($K197*$S197/100,0)&lt;-$S197*1000,-$S197*1000-SUMIFS(AS$10:AS196,$A$10:$A196,$A197),-ROUNDDOWN($K197*$S197/100,0))</f>
        <v>0</v>
      </c>
      <c r="AT197" s="38">
        <f>IF(AND(X197="○",$A197&gt;=AT$8,$A197&lt;=AT$9,K197&gt;=3980),IF(SUM(AT$10:AT196)-ROUNDDOWN($K197*AT$5/100,0)&lt;-AT$6,-AT$6-SUM(AT$10:AT196),-ROUNDDOWN($K197*AT$5/100,0)),0)</f>
        <v>0</v>
      </c>
      <c r="AU197" s="38">
        <f>IF(O197="○",IF(SUM(AU$10:AU196)-ROUNDDOWN($K197*AU$5/100,0)&lt;-AU$6,-AU$6-SUM(AU$10:AU196),-ROUNDDOWN($K197*AU$5/100,0)),0)</f>
        <v>0</v>
      </c>
      <c r="AV197" s="38">
        <f>IF(P197="○",IF(SUM(AV$10:AV196)-ROUNDDOWN($K197*AV$5/100,0)&lt;-AV$6,-AV$6-SUM(AV$10:AV196),-ROUNDDOWN($K197*AV$5/100,0)),0)</f>
        <v>0</v>
      </c>
      <c r="AW197" s="38">
        <f>IF(Q197="○",IF(SUM(AW$10:AW196)-ROUNDDOWN($K197*AW$5/100,0)&lt;-AW$6,-AW$6-SUM(AW$10:AW196),-ROUNDDOWN($K197*AW$5/100,0)),0)</f>
        <v>0</v>
      </c>
      <c r="AX197" s="38">
        <f>IF(R197="○",IF(SUM(AX$10:AX196)-ROUNDDOWN($K197*AX$5/100,0)&lt;-AX$6,-AX$6-SUM(AX$10:AX196),-ROUNDDOWN($K197*AX$5/100,0)),0)</f>
        <v>0</v>
      </c>
      <c r="AY197" s="70">
        <v>0</v>
      </c>
      <c r="AZ197" s="65">
        <f t="shared" si="132"/>
        <v>0</v>
      </c>
      <c r="BA197" s="65">
        <f t="shared" si="133"/>
        <v>0</v>
      </c>
      <c r="BB197" s="70"/>
      <c r="BC197" s="65">
        <f t="shared" si="134"/>
        <v>0</v>
      </c>
      <c r="BD197" s="70">
        <v>0</v>
      </c>
      <c r="BE197" s="65">
        <f t="shared" si="135"/>
        <v>0</v>
      </c>
      <c r="BF197" s="70">
        <v>0</v>
      </c>
      <c r="BG197" s="65">
        <f t="shared" si="136"/>
        <v>0</v>
      </c>
      <c r="BH197" s="70">
        <v>0</v>
      </c>
      <c r="BI197" s="65">
        <f t="shared" si="137"/>
        <v>0</v>
      </c>
      <c r="BJ197" s="38">
        <f>IF(AND(BJ$7="○",$A197&gt;=BJ$8,$A197&lt;=BJ$9),IF(SUM(BJ$10:BJ196)-ROUNDDOWN($M197*BJ$5/100,0)&lt;-BJ$6,-BJ$6-SUM(BJ$10:BJ196),-ROUNDDOWN($M197*BJ$5/100,0)),0)</f>
        <v>0</v>
      </c>
      <c r="BK197" s="38">
        <f>IF(AND(BK$7="○",$A197&gt;=BK$8,$A197&lt;=BK$9),IF(SUM(BK$10:BK196)-ROUNDDOWN($L197*BK$5/100,0)&lt;-BK$6,-BK$6-SUM(BK$10:BK196),-ROUNDDOWN($L197*BK$5/100,0)),0)</f>
        <v>0</v>
      </c>
      <c r="BL197" s="38">
        <f>IF(AND(BL$7="○",$A197&gt;=BL$8,$A197&lt;=BL$9),IF(SUM(BL$10:BL196)-ROUNDDOWN($L197*BL$5/100,0)&lt;-BL$6,-BL$6-SUM(BL$10:BL196),-ROUNDDOWN($L197*BL$5/100,0)),0)</f>
        <v>0</v>
      </c>
      <c r="BM197" s="38">
        <f>IF(AND(BM$7="○",$A197&gt;=BM$8,$A197&lt;=BM$9),IF(SUM(BM$10:BM196)-ROUNDDOWN($M197*BM$5/100,0)&lt;-BM$6,-BM$6-SUM(BM$10:BM196),-ROUNDDOWN($M197*BM$5/100,0)),0)</f>
        <v>0</v>
      </c>
      <c r="BN197" s="38">
        <f>IF(AND(BN$7="○",$A197&gt;=BN$8,$A197&lt;=BN$9),IF(SUM(BN$10:BN196)-ROUNDDOWN($M197*BN$5/100,0)&lt;-BN$6,-BN$6-SUM(BN$10:BN196),-ROUNDDOWN($M197*BN$5/100,0)),0)</f>
        <v>0</v>
      </c>
      <c r="BO197" s="38">
        <f>IF(AND(BO$7="○",$A197&gt;=BO$8,$A197&lt;=BO$9),IF(SUM(BO$10:BO196)-ROUNDDOWN($M197*BO$5/100,0)&lt;-BO$6,-BO$6-SUM(BO$10:BO196),-ROUNDDOWN($M197*BO$5/100,0)),0)</f>
        <v>0</v>
      </c>
      <c r="BP197" s="38">
        <f>IF(AND(BP$7="○",$A197&gt;=BP$8,$A197&lt;=BP$9),IF(SUM(BP$10:BP196)-ROUNDDOWN($M197*BP$5/100,0)&lt;-BP$6,-BP$6-SUM(BP$10:BP196),-ROUNDDOWN($M197*BP$5/100,0)),0)</f>
        <v>0</v>
      </c>
      <c r="BQ197" s="38">
        <f>IF(AND(BQ$7="○",$A197&gt;=BQ$8,$A197&lt;=BQ$9),IF(SUM(BQ$10:BQ196)-ROUNDDOWN($L197*BQ$5/100,0)&lt;-BQ$6,-BQ$6-SUM(BQ$10:BQ196),-ROUNDDOWN($L197*BQ$5/100,0)),0)</f>
        <v>0</v>
      </c>
      <c r="BR197" s="38">
        <f>IF(AND(BR$7="○",$A197&gt;=BR$8,$A197&lt;=BR$9),IF(SUM(BR$10:BR196)-ROUNDDOWN($M197*BR$5/100,0)&lt;-BR$6,-BR$6-SUM(BR$10:BR196),-ROUNDDOWN($M197*BR$5/100,0)),0)</f>
        <v>0</v>
      </c>
      <c r="BS197" s="38">
        <f>IF(AND(BS$7="○",$A197&gt;=BS$8,$A197&lt;=BS$9),IF(SUM(BS$10:BS196)-ROUNDDOWN($M197*BS$5/100,0)&lt;-BS$6,-BS$6-SUM(BS$10:BS196),-ROUNDDOWN($M197*BS$5/100,0)),0)</f>
        <v>0</v>
      </c>
      <c r="BT197" s="38">
        <f>IF(AND(BT$7="○",$A197&gt;=BT$8,$A197&lt;=BT$9),IF(SUM(BT$10:BT196)-ROUNDDOWN($M197*BT$5/100,0)&lt;-BT$6,-BT$6-SUM(BT$10:BT196),-ROUNDDOWN($M197*BT$5/100,0)),0)</f>
        <v>0</v>
      </c>
      <c r="BU197" s="38">
        <f>IF(AND(BU$7="○",$A197&gt;=BU$8,$A197&lt;=BU$9),IF(SUM(BU$10:BU196)-ROUNDDOWN($M197*BU$5/100,0)&lt;-BU$6,-BU$6-SUM(BU$10:BU196),-ROUNDDOWN($M197*BU$5/100,0)),0)</f>
        <v>0</v>
      </c>
      <c r="BV197" s="38">
        <f>IF(AND(BV$7="○",$A197&gt;=BV$8,$A197&lt;=BV$9),IF(SUM(BV$10:BV196)-ROUNDDOWN($M197*BV$5/100,0)&lt;-BV$6,-BV$6-SUM(BV$10:BV196),-ROUNDDOWN($M197*BV$5/100,0)),0)</f>
        <v>0</v>
      </c>
      <c r="BW197" s="38">
        <f>IF(AND(BW$7="○",$A197&gt;=BW$8,$A197&lt;=BW$9),IF(SUM(BW$10:BW196)-ROUNDDOWN($M197*BW$5/100,0)&lt;-BW$6,-BW$6-SUM(BW$10:BW196),-ROUNDDOWN($M197*BW$5/100,0)),0)</f>
        <v>0</v>
      </c>
      <c r="BX197" s="38">
        <f>IF(AND(T197="○",$A197&gt;=BX$8,$A197&lt;=BX$9),IF(SUM(BX$10:BX196)-ROUNDDOWN($K197*BX$5/100,0)&lt;-BX$6,-BX$6-SUM(BX$10:BX196),-ROUNDDOWN($K197*BX$5/100,0)),0)</f>
        <v>0</v>
      </c>
      <c r="BY197" s="38">
        <f>IF(AND(U197="○",$A197&gt;=BY$8,$A197&lt;=BY$9),IF(SUM(BY$10:BY196)-ROUNDDOWN($K197*BY$5/100,0)&lt;-BY$6,-BY$6-SUM(BY$10:BY196),-ROUNDDOWN($K197*BY$5/100,0)),0)</f>
        <v>0</v>
      </c>
      <c r="BZ197" s="38">
        <f>IF(AND(V197="○",$A197&gt;=BZ$8,$A197&lt;=BZ$9),IF(SUM(BZ$10:BZ196)-ROUNDDOWN($K197*BZ$5/100,0)&lt;-BZ$6,-BZ$6-SUM(BZ$10:BZ196),-ROUNDDOWN($K197*BZ$5/100,0)),0)</f>
        <v>0</v>
      </c>
      <c r="CA197" s="38">
        <f>IF(AND(W197="○",$A197&gt;=CA$8,$A197&lt;=CA$9),IF(SUM(CA$10:CA196)-ROUNDDOWN($K197*CA$5/100,0)&lt;-CA$6,-CA$6-SUM(CA$10:CA196),-ROUNDDOWN($K197*CA$5/100,0)),0)</f>
        <v>0</v>
      </c>
      <c r="CB197" s="38"/>
      <c r="CC197" s="38"/>
      <c r="CD197" s="38"/>
      <c r="CE197" s="38"/>
      <c r="CF197" s="38"/>
      <c r="CG197" s="65">
        <f t="shared" si="138"/>
        <v>0</v>
      </c>
      <c r="CH197" s="71">
        <f t="shared" si="139"/>
        <v>0</v>
      </c>
      <c r="CI197" s="1">
        <f t="shared" si="171"/>
        <v>0</v>
      </c>
      <c r="CJ197" s="1"/>
      <c r="CK197" s="72"/>
      <c r="CL197" s="72"/>
      <c r="CM197" s="2"/>
      <c r="CN197" s="2"/>
      <c r="CO197" s="73">
        <f t="shared" si="172"/>
        <v>0</v>
      </c>
      <c r="CP197" s="5">
        <f t="shared" si="173"/>
        <v>0</v>
      </c>
      <c r="CQ197" s="1"/>
      <c r="CR197" s="1">
        <f t="shared" si="174"/>
        <v>0</v>
      </c>
      <c r="CS197" s="1"/>
      <c r="CT197" s="1" t="e">
        <f>INDEX([2]マスタ!$A:$A,MATCH(D197,[2]マスタ!$C:$C,0))</f>
        <v>#N/A</v>
      </c>
      <c r="CU197" s="1" t="str">
        <f t="shared" ca="1" si="175"/>
        <v>20260620_0-0</v>
      </c>
    </row>
    <row r="198" spans="1:99" x14ac:dyDescent="0.4">
      <c r="A198" s="61"/>
      <c r="B198" s="62"/>
      <c r="C198" s="62"/>
      <c r="D198" s="62"/>
      <c r="E198" s="63"/>
      <c r="F198" s="62"/>
      <c r="G198" s="62">
        <v>1</v>
      </c>
      <c r="H198" s="64">
        <f t="shared" si="162"/>
        <v>0</v>
      </c>
      <c r="I198" s="64"/>
      <c r="J198" s="64"/>
      <c r="K198" s="65">
        <f t="shared" si="163"/>
        <v>0</v>
      </c>
      <c r="L198" s="65">
        <f t="shared" si="164"/>
        <v>0</v>
      </c>
      <c r="M198" s="65">
        <f t="shared" si="165"/>
        <v>0</v>
      </c>
      <c r="N198" s="65">
        <f t="shared" si="166"/>
        <v>0</v>
      </c>
      <c r="O198" s="66" t="str">
        <f t="shared" si="167"/>
        <v>✕</v>
      </c>
      <c r="P198" s="67" t="str">
        <f t="shared" si="168"/>
        <v>○</v>
      </c>
      <c r="Q198" s="67" t="str">
        <f t="shared" si="169"/>
        <v>✕</v>
      </c>
      <c r="R198" s="67" t="str">
        <f t="shared" si="170"/>
        <v>✕</v>
      </c>
      <c r="S198" s="68">
        <v>0</v>
      </c>
      <c r="T198" s="69" t="s">
        <v>85</v>
      </c>
      <c r="U198" s="69" t="s">
        <v>85</v>
      </c>
      <c r="V198" s="69" t="s">
        <v>85</v>
      </c>
      <c r="W198" s="69" t="s">
        <v>85</v>
      </c>
      <c r="X198" s="69" t="s">
        <v>84</v>
      </c>
      <c r="Y198" s="69" t="s">
        <v>85</v>
      </c>
      <c r="Z198" s="69" t="s">
        <v>85</v>
      </c>
      <c r="AA198" s="69" t="s">
        <v>85</v>
      </c>
      <c r="AB198" s="69" t="s">
        <v>85</v>
      </c>
      <c r="AC198" s="69" t="s">
        <v>85</v>
      </c>
      <c r="AD198" s="38" t="str">
        <f>+IF(ISERROR(VLOOKUP($B198,AD$10:AD197,1,0)),IF(AND($N198&gt;=1000,$A198&gt;=AO$8,$A198&lt;=AO$9),$B198,""),"")</f>
        <v/>
      </c>
      <c r="AE198" s="38" t="str">
        <f>+IF(ISERROR(VLOOKUP($B198,AE$10:AE197,1,0)),IF(AND($N198&gt;=1000,$A198&gt;=AP$8,$A198&lt;=AP$9),$B198,""),"")</f>
        <v/>
      </c>
      <c r="AF198" s="38" t="str">
        <f>+IF(ISERROR(VLOOKUP($B198,AF$10:AF197,1,0)),IF(AND($N198&gt;=1000,$A198&gt;=AQ$8,$A198&lt;=AQ$9),$B198,""),"")</f>
        <v/>
      </c>
      <c r="AG198" s="38" t="str">
        <f>+IF(ISERROR(VLOOKUP($B198,AG$10:AG197,1,0)),IF(AND($N198&gt;=1000,$A198&gt;=AR$8,$A198&lt;=AR$9),$B198,""),"")</f>
        <v/>
      </c>
      <c r="AH198" s="38"/>
      <c r="AI198" s="70">
        <v>0</v>
      </c>
      <c r="AJ198" s="38">
        <f>IF(AND(AJ$7="○",$A198&gt;=AJ$8,$A198&lt;=AJ$9),IF(SUM(AJ$10:AJ197)-ROUNDDOWN($K198*AJ$5/100,0)&lt;-AJ$6,-AJ$6-SUM(AJ$10:AJ197),-ROUNDDOWN($K198*AJ$5/100,0)),0)</f>
        <v>0</v>
      </c>
      <c r="AK198" s="38">
        <f>IF(AND(AK$7="○",$A198&gt;=AK$8,$A198&lt;=AK$9),IF(SUM(AK$10:AK197)-ROUNDDOWN($L198*AK$5/100,0)&lt;-AK$6,-AK$6-SUM(AK$10:AK197),-ROUNDDOWN($L198*AK$5/100,0)),0)</f>
        <v>0</v>
      </c>
      <c r="AL198" s="38">
        <f>IF(AND(AL$7="○",$A198&gt;=AL$8,$A198&lt;=AL$9),IF(SUM(AL$10:AL197)-ROUNDDOWN($N198*AL$5/100,0)&lt;-AL$6,-AL$6-SUM(AL$10:AL197),-ROUNDDOWN($N198*AL$5/100,0)),0)</f>
        <v>0</v>
      </c>
      <c r="AM198" s="38">
        <f>IF(AND(AM$7="○",$A198&gt;=AM$8,$A198&lt;=AM$9),IF(SUM(AM$10:AM197)-ROUNDDOWN($L198*AM$5/100,0)&lt;-AM$6,-AM$6-SUM(AM$10:AM197),-ROUNDDOWN($L198*AM$5/100,0)),0)</f>
        <v>0</v>
      </c>
      <c r="AN198" s="38">
        <f>IF(AND(AN$7="○",$A198&gt;=AN$8,$A198&lt;=AN$9),IF(SUM(AN$10:AN197)-ROUNDDOWN($M198*AN$5/100,0)&lt;-AN$6,-AN$6-SUM(AN$10:AN197),-ROUNDDOWN($M198*AN$5/100,0)),0)</f>
        <v>0</v>
      </c>
      <c r="AO198" s="38">
        <f>IF(AND($A198&gt;=AO$8,$A198&lt;=AO$9),IF(SUM(AO$10:AO197)-ROUNDDOWN($K198*AO$5/100,0)&lt;-AO$6,-AO$6-SUM(AO$10:AO197),-ROUNDDOWN($K198*AO$5/100,0)),0)</f>
        <v>0</v>
      </c>
      <c r="AP198" s="38">
        <f>IF(AND($A198&gt;=AP$8,$A198&lt;=AP$9),IF(SUM(AP$10:AP197)-ROUNDDOWN($K198*AP$5/100,0)&lt;-AP$6,-AP$6-SUM(AP$10:AP197),-ROUNDDOWN($K198*AP$5/100,0)),0)</f>
        <v>0</v>
      </c>
      <c r="AQ198" s="38">
        <f>IF(AND($A198&gt;=AQ$8,$A198&lt;=AQ$9),IF(SUM(AQ$10:AQ197)-ROUNDDOWN($K198*AQ$5/100,0)&lt;-AQ$6,-AQ$6-SUM(AQ$10:AQ197),-ROUNDDOWN($K198*AQ$5/100,0)),0)</f>
        <v>0</v>
      </c>
      <c r="AR198" s="38">
        <f>IF(AND($A198&gt;=AR$8,$A198&lt;=AR$9),IF(SUM(AR$10:AR197)-ROUNDDOWN($K198*AR$5/100,0)&lt;-AR$6,-AR$6-SUM(AR$10:AR197),-ROUNDDOWN($K198*AR$5/100,0)),0)</f>
        <v>0</v>
      </c>
      <c r="AS198" s="38">
        <f>IF(SUMIFS(AS$10:AS197,$A$10:$A197,$A198)-ROUNDDOWN($K198*$S198/100,0)&lt;-$S198*1000,-$S198*1000-SUMIFS(AS$10:AS197,$A$10:$A197,$A198),-ROUNDDOWN($K198*$S198/100,0))</f>
        <v>0</v>
      </c>
      <c r="AT198" s="38">
        <f>IF(AND(X198="○",$A198&gt;=AT$8,$A198&lt;=AT$9,K198&gt;=3980),IF(SUM(AT$10:AT197)-ROUNDDOWN($K198*AT$5/100,0)&lt;-AT$6,-AT$6-SUM(AT$10:AT197),-ROUNDDOWN($K198*AT$5/100,0)),0)</f>
        <v>0</v>
      </c>
      <c r="AU198" s="38">
        <f>IF(O198="○",IF(SUM(AU$10:AU197)-ROUNDDOWN($K198*AU$5/100,0)&lt;-AU$6,-AU$6-SUM(AU$10:AU197),-ROUNDDOWN($K198*AU$5/100,0)),0)</f>
        <v>0</v>
      </c>
      <c r="AV198" s="38">
        <f>IF(P198="○",IF(SUM(AV$10:AV197)-ROUNDDOWN($K198*AV$5/100,0)&lt;-AV$6,-AV$6-SUM(AV$10:AV197),-ROUNDDOWN($K198*AV$5/100,0)),0)</f>
        <v>0</v>
      </c>
      <c r="AW198" s="38">
        <f>IF(Q198="○",IF(SUM(AW$10:AW197)-ROUNDDOWN($K198*AW$5/100,0)&lt;-AW$6,-AW$6-SUM(AW$10:AW197),-ROUNDDOWN($K198*AW$5/100,0)),0)</f>
        <v>0</v>
      </c>
      <c r="AX198" s="38">
        <f>IF(R198="○",IF(SUM(AX$10:AX197)-ROUNDDOWN($K198*AX$5/100,0)&lt;-AX$6,-AX$6-SUM(AX$10:AX197),-ROUNDDOWN($K198*AX$5/100,0)),0)</f>
        <v>0</v>
      </c>
      <c r="AY198" s="70">
        <v>0</v>
      </c>
      <c r="AZ198" s="65">
        <f t="shared" si="132"/>
        <v>0</v>
      </c>
      <c r="BA198" s="65">
        <f t="shared" si="133"/>
        <v>0</v>
      </c>
      <c r="BB198" s="70"/>
      <c r="BC198" s="65">
        <f t="shared" si="134"/>
        <v>0</v>
      </c>
      <c r="BD198" s="70">
        <v>0</v>
      </c>
      <c r="BE198" s="65">
        <f t="shared" si="135"/>
        <v>0</v>
      </c>
      <c r="BF198" s="70">
        <v>0</v>
      </c>
      <c r="BG198" s="65">
        <f t="shared" si="136"/>
        <v>0</v>
      </c>
      <c r="BH198" s="70">
        <v>0</v>
      </c>
      <c r="BI198" s="65">
        <f t="shared" si="137"/>
        <v>0</v>
      </c>
      <c r="BJ198" s="38">
        <f>IF(AND(BJ$7="○",$A198&gt;=BJ$8,$A198&lt;=BJ$9),IF(SUM(BJ$10:BJ197)-ROUNDDOWN($M198*BJ$5/100,0)&lt;-BJ$6,-BJ$6-SUM(BJ$10:BJ197),-ROUNDDOWN($M198*BJ$5/100,0)),0)</f>
        <v>0</v>
      </c>
      <c r="BK198" s="38">
        <f>IF(AND(BK$7="○",$A198&gt;=BK$8,$A198&lt;=BK$9),IF(SUM(BK$10:BK197)-ROUNDDOWN($L198*BK$5/100,0)&lt;-BK$6,-BK$6-SUM(BK$10:BK197),-ROUNDDOWN($L198*BK$5/100,0)),0)</f>
        <v>0</v>
      </c>
      <c r="BL198" s="38">
        <f>IF(AND(BL$7="○",$A198&gt;=BL$8,$A198&lt;=BL$9),IF(SUM(BL$10:BL197)-ROUNDDOWN($L198*BL$5/100,0)&lt;-BL$6,-BL$6-SUM(BL$10:BL197),-ROUNDDOWN($L198*BL$5/100,0)),0)</f>
        <v>0</v>
      </c>
      <c r="BM198" s="38">
        <f>IF(AND(BM$7="○",$A198&gt;=BM$8,$A198&lt;=BM$9),IF(SUM(BM$10:BM197)-ROUNDDOWN($M198*BM$5/100,0)&lt;-BM$6,-BM$6-SUM(BM$10:BM197),-ROUNDDOWN($M198*BM$5/100,0)),0)</f>
        <v>0</v>
      </c>
      <c r="BN198" s="38">
        <f>IF(AND(BN$7="○",$A198&gt;=BN$8,$A198&lt;=BN$9),IF(SUM(BN$10:BN197)-ROUNDDOWN($M198*BN$5/100,0)&lt;-BN$6,-BN$6-SUM(BN$10:BN197),-ROUNDDOWN($M198*BN$5/100,0)),0)</f>
        <v>0</v>
      </c>
      <c r="BO198" s="38">
        <f>IF(AND(BO$7="○",$A198&gt;=BO$8,$A198&lt;=BO$9),IF(SUM(BO$10:BO197)-ROUNDDOWN($M198*BO$5/100,0)&lt;-BO$6,-BO$6-SUM(BO$10:BO197),-ROUNDDOWN($M198*BO$5/100,0)),0)</f>
        <v>0</v>
      </c>
      <c r="BP198" s="38">
        <f>IF(AND(BP$7="○",$A198&gt;=BP$8,$A198&lt;=BP$9),IF(SUM(BP$10:BP197)-ROUNDDOWN($M198*BP$5/100,0)&lt;-BP$6,-BP$6-SUM(BP$10:BP197),-ROUNDDOWN($M198*BP$5/100,0)),0)</f>
        <v>0</v>
      </c>
      <c r="BQ198" s="38">
        <f>IF(AND(BQ$7="○",$A198&gt;=BQ$8,$A198&lt;=BQ$9),IF(SUM(BQ$10:BQ197)-ROUNDDOWN($L198*BQ$5/100,0)&lt;-BQ$6,-BQ$6-SUM(BQ$10:BQ197),-ROUNDDOWN($L198*BQ$5/100,0)),0)</f>
        <v>0</v>
      </c>
      <c r="BR198" s="38">
        <f>IF(AND(BR$7="○",$A198&gt;=BR$8,$A198&lt;=BR$9),IF(SUM(BR$10:BR197)-ROUNDDOWN($M198*BR$5/100,0)&lt;-BR$6,-BR$6-SUM(BR$10:BR197),-ROUNDDOWN($M198*BR$5/100,0)),0)</f>
        <v>0</v>
      </c>
      <c r="BS198" s="38">
        <f>IF(AND(BS$7="○",$A198&gt;=BS$8,$A198&lt;=BS$9),IF(SUM(BS$10:BS197)-ROUNDDOWN($M198*BS$5/100,0)&lt;-BS$6,-BS$6-SUM(BS$10:BS197),-ROUNDDOWN($M198*BS$5/100,0)),0)</f>
        <v>0</v>
      </c>
      <c r="BT198" s="38">
        <f>IF(AND(BT$7="○",$A198&gt;=BT$8,$A198&lt;=BT$9),IF(SUM(BT$10:BT197)-ROUNDDOWN($M198*BT$5/100,0)&lt;-BT$6,-BT$6-SUM(BT$10:BT197),-ROUNDDOWN($M198*BT$5/100,0)),0)</f>
        <v>0</v>
      </c>
      <c r="BU198" s="38">
        <f>IF(AND(BU$7="○",$A198&gt;=BU$8,$A198&lt;=BU$9),IF(SUM(BU$10:BU197)-ROUNDDOWN($M198*BU$5/100,0)&lt;-BU$6,-BU$6-SUM(BU$10:BU197),-ROUNDDOWN($M198*BU$5/100,0)),0)</f>
        <v>0</v>
      </c>
      <c r="BV198" s="38">
        <f>IF(AND(BV$7="○",$A198&gt;=BV$8,$A198&lt;=BV$9),IF(SUM(BV$10:BV197)-ROUNDDOWN($M198*BV$5/100,0)&lt;-BV$6,-BV$6-SUM(BV$10:BV197),-ROUNDDOWN($M198*BV$5/100,0)),0)</f>
        <v>0</v>
      </c>
      <c r="BW198" s="38">
        <f>IF(AND(BW$7="○",$A198&gt;=BW$8,$A198&lt;=BW$9),IF(SUM(BW$10:BW197)-ROUNDDOWN($M198*BW$5/100,0)&lt;-BW$6,-BW$6-SUM(BW$10:BW197),-ROUNDDOWN($M198*BW$5/100,0)),0)</f>
        <v>0</v>
      </c>
      <c r="BX198" s="38">
        <f>IF(AND(T198="○",$A198&gt;=BX$8,$A198&lt;=BX$9),IF(SUM(BX$10:BX197)-ROUNDDOWN($K198*BX$5/100,0)&lt;-BX$6,-BX$6-SUM(BX$10:BX197),-ROUNDDOWN($K198*BX$5/100,0)),0)</f>
        <v>0</v>
      </c>
      <c r="BY198" s="38">
        <f>IF(AND(U198="○",$A198&gt;=BY$8,$A198&lt;=BY$9),IF(SUM(BY$10:BY197)-ROUNDDOWN($K198*BY$5/100,0)&lt;-BY$6,-BY$6-SUM(BY$10:BY197),-ROUNDDOWN($K198*BY$5/100,0)),0)</f>
        <v>0</v>
      </c>
      <c r="BZ198" s="38">
        <f>IF(AND(V198="○",$A198&gt;=BZ$8,$A198&lt;=BZ$9),IF(SUM(BZ$10:BZ197)-ROUNDDOWN($K198*BZ$5/100,0)&lt;-BZ$6,-BZ$6-SUM(BZ$10:BZ197),-ROUNDDOWN($K198*BZ$5/100,0)),0)</f>
        <v>0</v>
      </c>
      <c r="CA198" s="38">
        <f>IF(AND(W198="○",$A198&gt;=CA$8,$A198&lt;=CA$9),IF(SUM(CA$10:CA197)-ROUNDDOWN($K198*CA$5/100,0)&lt;-CA$6,-CA$6-SUM(CA$10:CA197),-ROUNDDOWN($K198*CA$5/100,0)),0)</f>
        <v>0</v>
      </c>
      <c r="CB198" s="38"/>
      <c r="CC198" s="38"/>
      <c r="CD198" s="38"/>
      <c r="CE198" s="38"/>
      <c r="CF198" s="38"/>
      <c r="CG198" s="65">
        <f t="shared" si="138"/>
        <v>0</v>
      </c>
      <c r="CH198" s="71">
        <f t="shared" si="139"/>
        <v>0</v>
      </c>
      <c r="CI198" s="1">
        <f t="shared" si="171"/>
        <v>0</v>
      </c>
      <c r="CJ198" s="1"/>
      <c r="CK198" s="72"/>
      <c r="CL198" s="72"/>
      <c r="CM198" s="2"/>
      <c r="CN198" s="2"/>
      <c r="CO198" s="73">
        <f t="shared" si="172"/>
        <v>0</v>
      </c>
      <c r="CP198" s="5">
        <f t="shared" si="173"/>
        <v>0</v>
      </c>
      <c r="CQ198" s="1"/>
      <c r="CR198" s="1">
        <f t="shared" si="174"/>
        <v>0</v>
      </c>
      <c r="CS198" s="1"/>
      <c r="CT198" s="1" t="e">
        <f>INDEX([2]マスタ!$A:$A,MATCH(D198,[2]マスタ!$C:$C,0))</f>
        <v>#N/A</v>
      </c>
      <c r="CU198" s="1" t="str">
        <f t="shared" ca="1" si="175"/>
        <v>20260620_0-0</v>
      </c>
    </row>
    <row r="199" spans="1:99" x14ac:dyDescent="0.4">
      <c r="A199" s="61"/>
      <c r="B199" s="62"/>
      <c r="C199" s="62"/>
      <c r="D199" s="62"/>
      <c r="E199" s="74"/>
      <c r="F199" s="62"/>
      <c r="G199" s="62">
        <v>1</v>
      </c>
      <c r="H199" s="64">
        <f t="shared" si="162"/>
        <v>0</v>
      </c>
      <c r="I199" s="64"/>
      <c r="J199" s="64"/>
      <c r="K199" s="65">
        <f t="shared" si="163"/>
        <v>0</v>
      </c>
      <c r="L199" s="65">
        <f t="shared" si="164"/>
        <v>0</v>
      </c>
      <c r="M199" s="65">
        <f t="shared" si="165"/>
        <v>0</v>
      </c>
      <c r="N199" s="65">
        <f t="shared" si="166"/>
        <v>0</v>
      </c>
      <c r="O199" s="66" t="str">
        <f t="shared" si="167"/>
        <v>✕</v>
      </c>
      <c r="P199" s="67" t="str">
        <f t="shared" si="168"/>
        <v>○</v>
      </c>
      <c r="Q199" s="67" t="str">
        <f t="shared" si="169"/>
        <v>✕</v>
      </c>
      <c r="R199" s="67" t="str">
        <f t="shared" si="170"/>
        <v>✕</v>
      </c>
      <c r="S199" s="68">
        <v>0</v>
      </c>
      <c r="T199" s="69" t="s">
        <v>85</v>
      </c>
      <c r="U199" s="69" t="s">
        <v>85</v>
      </c>
      <c r="V199" s="69" t="s">
        <v>85</v>
      </c>
      <c r="W199" s="69" t="s">
        <v>85</v>
      </c>
      <c r="X199" s="69" t="s">
        <v>84</v>
      </c>
      <c r="Y199" s="69" t="s">
        <v>85</v>
      </c>
      <c r="Z199" s="69" t="s">
        <v>85</v>
      </c>
      <c r="AA199" s="69" t="s">
        <v>85</v>
      </c>
      <c r="AB199" s="69" t="s">
        <v>85</v>
      </c>
      <c r="AC199" s="69" t="s">
        <v>85</v>
      </c>
      <c r="AD199" s="38" t="str">
        <f>+IF(ISERROR(VLOOKUP($B199,AD$10:AD198,1,0)),IF(AND($N199&gt;=1000,$A199&gt;=AO$8,$A199&lt;=AO$9),$B199,""),"")</f>
        <v/>
      </c>
      <c r="AE199" s="38" t="str">
        <f>+IF(ISERROR(VLOOKUP($B199,AE$10:AE198,1,0)),IF(AND($N199&gt;=1000,$A199&gt;=AP$8,$A199&lt;=AP$9),$B199,""),"")</f>
        <v/>
      </c>
      <c r="AF199" s="38" t="str">
        <f>+IF(ISERROR(VLOOKUP($B199,AF$10:AF198,1,0)),IF(AND($N199&gt;=1000,$A199&gt;=AQ$8,$A199&lt;=AQ$9),$B199,""),"")</f>
        <v/>
      </c>
      <c r="AG199" s="38" t="str">
        <f>+IF(ISERROR(VLOOKUP($B199,AG$10:AG198,1,0)),IF(AND($N199&gt;=1000,$A199&gt;=AR$8,$A199&lt;=AR$9),$B199,""),"")</f>
        <v/>
      </c>
      <c r="AH199" s="38"/>
      <c r="AI199" s="70">
        <v>0</v>
      </c>
      <c r="AJ199" s="38">
        <f>IF(AND(AJ$7="○",$A199&gt;=AJ$8,$A199&lt;=AJ$9),IF(SUM(AJ$10:AJ198)-ROUNDDOWN($K199*AJ$5/100,0)&lt;-AJ$6,-AJ$6-SUM(AJ$10:AJ198),-ROUNDDOWN($K199*AJ$5/100,0)),0)</f>
        <v>0</v>
      </c>
      <c r="AK199" s="38">
        <f>IF(AND(AK$7="○",$A199&gt;=AK$8,$A199&lt;=AK$9),IF(SUM(AK$10:AK198)-ROUNDDOWN($L199*AK$5/100,0)&lt;-AK$6,-AK$6-SUM(AK$10:AK198),-ROUNDDOWN($L199*AK$5/100,0)),0)</f>
        <v>0</v>
      </c>
      <c r="AL199" s="38">
        <f>IF(AND(AL$7="○",$A199&gt;=AL$8,$A199&lt;=AL$9),IF(SUM(AL$10:AL198)-ROUNDDOWN($N199*AL$5/100,0)&lt;-AL$6,-AL$6-SUM(AL$10:AL198),-ROUNDDOWN($N199*AL$5/100,0)),0)</f>
        <v>0</v>
      </c>
      <c r="AM199" s="38">
        <f>IF(AND(AM$7="○",$A199&gt;=AM$8,$A199&lt;=AM$9),IF(SUM(AM$10:AM198)-ROUNDDOWN($L199*AM$5/100,0)&lt;-AM$6,-AM$6-SUM(AM$10:AM198),-ROUNDDOWN($L199*AM$5/100,0)),0)</f>
        <v>0</v>
      </c>
      <c r="AN199" s="38">
        <f>IF(AND(AN$7="○",$A199&gt;=AN$8,$A199&lt;=AN$9),IF(SUM(AN$10:AN198)-ROUNDDOWN($M199*AN$5/100,0)&lt;-AN$6,-AN$6-SUM(AN$10:AN198),-ROUNDDOWN($M199*AN$5/100,0)),0)</f>
        <v>0</v>
      </c>
      <c r="AO199" s="38">
        <f>IF(AND($A199&gt;=AO$8,$A199&lt;=AO$9),IF(SUM(AO$10:AO198)-ROUNDDOWN($K199*AO$5/100,0)&lt;-AO$6,-AO$6-SUM(AO$10:AO198),-ROUNDDOWN($K199*AO$5/100,0)),0)</f>
        <v>0</v>
      </c>
      <c r="AP199" s="38">
        <f>IF(AND($A199&gt;=AP$8,$A199&lt;=AP$9),IF(SUM(AP$10:AP198)-ROUNDDOWN($K199*AP$5/100,0)&lt;-AP$6,-AP$6-SUM(AP$10:AP198),-ROUNDDOWN($K199*AP$5/100,0)),0)</f>
        <v>0</v>
      </c>
      <c r="AQ199" s="38">
        <f>IF(AND($A199&gt;=AQ$8,$A199&lt;=AQ$9),IF(SUM(AQ$10:AQ198)-ROUNDDOWN($K199*AQ$5/100,0)&lt;-AQ$6,-AQ$6-SUM(AQ$10:AQ198),-ROUNDDOWN($K199*AQ$5/100,0)),0)</f>
        <v>0</v>
      </c>
      <c r="AR199" s="38">
        <f>IF(AND($A199&gt;=AR$8,$A199&lt;=AR$9),IF(SUM(AR$10:AR198)-ROUNDDOWN($K199*AR$5/100,0)&lt;-AR$6,-AR$6-SUM(AR$10:AR198),-ROUNDDOWN($K199*AR$5/100,0)),0)</f>
        <v>0</v>
      </c>
      <c r="AS199" s="38">
        <f>IF(SUMIFS(AS$10:AS198,$A$10:$A198,$A199)-ROUNDDOWN($K199*$S199/100,0)&lt;-$S199*1000,-$S199*1000-SUMIFS(AS$10:AS198,$A$10:$A198,$A199),-ROUNDDOWN($K199*$S199/100,0))</f>
        <v>0</v>
      </c>
      <c r="AT199" s="38">
        <f>IF(AND(X199="○",$A199&gt;=AT$8,$A199&lt;=AT$9,K199&gt;=3980),IF(SUM(AT$10:AT198)-ROUNDDOWN($K199*AT$5/100,0)&lt;-AT$6,-AT$6-SUM(AT$10:AT198),-ROUNDDOWN($K199*AT$5/100,0)),0)</f>
        <v>0</v>
      </c>
      <c r="AU199" s="38">
        <f>IF(O199="○",IF(SUM(AU$10:AU198)-ROUNDDOWN($K199*AU$5/100,0)&lt;-AU$6,-AU$6-SUM(AU$10:AU198),-ROUNDDOWN($K199*AU$5/100,0)),0)</f>
        <v>0</v>
      </c>
      <c r="AV199" s="38">
        <f>IF(P199="○",IF(SUM(AV$10:AV198)-ROUNDDOWN($K199*AV$5/100,0)&lt;-AV$6,-AV$6-SUM(AV$10:AV198),-ROUNDDOWN($K199*AV$5/100,0)),0)</f>
        <v>0</v>
      </c>
      <c r="AW199" s="38">
        <f>IF(Q199="○",IF(SUM(AW$10:AW198)-ROUNDDOWN($K199*AW$5/100,0)&lt;-AW$6,-AW$6-SUM(AW$10:AW198),-ROUNDDOWN($K199*AW$5/100,0)),0)</f>
        <v>0</v>
      </c>
      <c r="AX199" s="38">
        <f>IF(R199="○",IF(SUM(AX$10:AX198)-ROUNDDOWN($K199*AX$5/100,0)&lt;-AX$6,-AX$6-SUM(AX$10:AX198),-ROUNDDOWN($K199*AX$5/100,0)),0)</f>
        <v>0</v>
      </c>
      <c r="AY199" s="70">
        <v>0</v>
      </c>
      <c r="AZ199" s="65">
        <f t="shared" si="132"/>
        <v>0</v>
      </c>
      <c r="BA199" s="65">
        <f t="shared" si="133"/>
        <v>0</v>
      </c>
      <c r="BB199" s="70"/>
      <c r="BC199" s="65">
        <f t="shared" si="134"/>
        <v>0</v>
      </c>
      <c r="BD199" s="70">
        <v>0</v>
      </c>
      <c r="BE199" s="65">
        <f t="shared" si="135"/>
        <v>0</v>
      </c>
      <c r="BF199" s="70">
        <v>0</v>
      </c>
      <c r="BG199" s="65">
        <f t="shared" si="136"/>
        <v>0</v>
      </c>
      <c r="BH199" s="70">
        <v>0</v>
      </c>
      <c r="BI199" s="65">
        <f t="shared" si="137"/>
        <v>0</v>
      </c>
      <c r="BJ199" s="38">
        <f>IF(AND(BJ$7="○",$A199&gt;=BJ$8,$A199&lt;=BJ$9),IF(SUM(BJ$10:BJ198)-ROUNDDOWN($M199*BJ$5/100,0)&lt;-BJ$6,-BJ$6-SUM(BJ$10:BJ198),-ROUNDDOWN($M199*BJ$5/100,0)),0)</f>
        <v>0</v>
      </c>
      <c r="BK199" s="38">
        <f>IF(AND(BK$7="○",$A199&gt;=BK$8,$A199&lt;=BK$9),IF(SUM(BK$10:BK198)-ROUNDDOWN($L199*BK$5/100,0)&lt;-BK$6,-BK$6-SUM(BK$10:BK198),-ROUNDDOWN($L199*BK$5/100,0)),0)</f>
        <v>0</v>
      </c>
      <c r="BL199" s="38">
        <f>IF(AND(BL$7="○",$A199&gt;=BL$8,$A199&lt;=BL$9),IF(SUM(BL$10:BL198)-ROUNDDOWN($L199*BL$5/100,0)&lt;-BL$6,-BL$6-SUM(BL$10:BL198),-ROUNDDOWN($L199*BL$5/100,0)),0)</f>
        <v>0</v>
      </c>
      <c r="BM199" s="38">
        <f>IF(AND(BM$7="○",$A199&gt;=BM$8,$A199&lt;=BM$9),IF(SUM(BM$10:BM198)-ROUNDDOWN($M199*BM$5/100,0)&lt;-BM$6,-BM$6-SUM(BM$10:BM198),-ROUNDDOWN($M199*BM$5/100,0)),0)</f>
        <v>0</v>
      </c>
      <c r="BN199" s="38">
        <f>IF(AND(BN$7="○",$A199&gt;=BN$8,$A199&lt;=BN$9),IF(SUM(BN$10:BN198)-ROUNDDOWN($M199*BN$5/100,0)&lt;-BN$6,-BN$6-SUM(BN$10:BN198),-ROUNDDOWN($M199*BN$5/100,0)),0)</f>
        <v>0</v>
      </c>
      <c r="BO199" s="38">
        <f>IF(AND(BO$7="○",$A199&gt;=BO$8,$A199&lt;=BO$9),IF(SUM(BO$10:BO198)-ROUNDDOWN($M199*BO$5/100,0)&lt;-BO$6,-BO$6-SUM(BO$10:BO198),-ROUNDDOWN($M199*BO$5/100,0)),0)</f>
        <v>0</v>
      </c>
      <c r="BP199" s="38">
        <f>IF(AND(BP$7="○",$A199&gt;=BP$8,$A199&lt;=BP$9),IF(SUM(BP$10:BP198)-ROUNDDOWN($M199*BP$5/100,0)&lt;-BP$6,-BP$6-SUM(BP$10:BP198),-ROUNDDOWN($M199*BP$5/100,0)),0)</f>
        <v>0</v>
      </c>
      <c r="BQ199" s="38">
        <f>IF(AND(BQ$7="○",$A199&gt;=BQ$8,$A199&lt;=BQ$9),IF(SUM(BQ$10:BQ198)-ROUNDDOWN($L199*BQ$5/100,0)&lt;-BQ$6,-BQ$6-SUM(BQ$10:BQ198),-ROUNDDOWN($L199*BQ$5/100,0)),0)</f>
        <v>0</v>
      </c>
      <c r="BR199" s="38">
        <f>IF(AND(BR$7="○",$A199&gt;=BR$8,$A199&lt;=BR$9),IF(SUM(BR$10:BR198)-ROUNDDOWN($M199*BR$5/100,0)&lt;-BR$6,-BR$6-SUM(BR$10:BR198),-ROUNDDOWN($M199*BR$5/100,0)),0)</f>
        <v>0</v>
      </c>
      <c r="BS199" s="38">
        <f>IF(AND(BS$7="○",$A199&gt;=BS$8,$A199&lt;=BS$9),IF(SUM(BS$10:BS198)-ROUNDDOWN($M199*BS$5/100,0)&lt;-BS$6,-BS$6-SUM(BS$10:BS198),-ROUNDDOWN($M199*BS$5/100,0)),0)</f>
        <v>0</v>
      </c>
      <c r="BT199" s="38">
        <f>IF(AND(BT$7="○",$A199&gt;=BT$8,$A199&lt;=BT$9),IF(SUM(BT$10:BT198)-ROUNDDOWN($M199*BT$5/100,0)&lt;-BT$6,-BT$6-SUM(BT$10:BT198),-ROUNDDOWN($M199*BT$5/100,0)),0)</f>
        <v>0</v>
      </c>
      <c r="BU199" s="38">
        <f>IF(AND(BU$7="○",$A199&gt;=BU$8,$A199&lt;=BU$9),IF(SUM(BU$10:BU198)-ROUNDDOWN($M199*BU$5/100,0)&lt;-BU$6,-BU$6-SUM(BU$10:BU198),-ROUNDDOWN($M199*BU$5/100,0)),0)</f>
        <v>0</v>
      </c>
      <c r="BV199" s="38">
        <f>IF(AND(BV$7="○",$A199&gt;=BV$8,$A199&lt;=BV$9),IF(SUM(BV$10:BV198)-ROUNDDOWN($M199*BV$5/100,0)&lt;-BV$6,-BV$6-SUM(BV$10:BV198),-ROUNDDOWN($M199*BV$5/100,0)),0)</f>
        <v>0</v>
      </c>
      <c r="BW199" s="38">
        <f>IF(AND(BW$7="○",$A199&gt;=BW$8,$A199&lt;=BW$9),IF(SUM(BW$10:BW198)-ROUNDDOWN($M199*BW$5/100,0)&lt;-BW$6,-BW$6-SUM(BW$10:BW198),-ROUNDDOWN($M199*BW$5/100,0)),0)</f>
        <v>0</v>
      </c>
      <c r="BX199" s="38">
        <f>IF(AND(T199="○",$A199&gt;=BX$8,$A199&lt;=BX$9),IF(SUM(BX$10:BX198)-ROUNDDOWN($K199*BX$5/100,0)&lt;-BX$6,-BX$6-SUM(BX$10:BX198),-ROUNDDOWN($K199*BX$5/100,0)),0)</f>
        <v>0</v>
      </c>
      <c r="BY199" s="38">
        <f>IF(AND(U199="○",$A199&gt;=BY$8,$A199&lt;=BY$9),IF(SUM(BY$10:BY198)-ROUNDDOWN($K199*BY$5/100,0)&lt;-BY$6,-BY$6-SUM(BY$10:BY198),-ROUNDDOWN($K199*BY$5/100,0)),0)</f>
        <v>0</v>
      </c>
      <c r="BZ199" s="38">
        <f>IF(AND(V199="○",$A199&gt;=BZ$8,$A199&lt;=BZ$9),IF(SUM(BZ$10:BZ198)-ROUNDDOWN($K199*BZ$5/100,0)&lt;-BZ$6,-BZ$6-SUM(BZ$10:BZ198),-ROUNDDOWN($K199*BZ$5/100,0)),0)</f>
        <v>0</v>
      </c>
      <c r="CA199" s="38">
        <f>IF(AND(W199="○",$A199&gt;=CA$8,$A199&lt;=CA$9),IF(SUM(CA$10:CA198)-ROUNDDOWN($K199*CA$5/100,0)&lt;-CA$6,-CA$6-SUM(CA$10:CA198),-ROUNDDOWN($K199*CA$5/100,0)),0)</f>
        <v>0</v>
      </c>
      <c r="CB199" s="38"/>
      <c r="CC199" s="38"/>
      <c r="CD199" s="38"/>
      <c r="CE199" s="38"/>
      <c r="CF199" s="38"/>
      <c r="CG199" s="65">
        <f t="shared" si="138"/>
        <v>0</v>
      </c>
      <c r="CH199" s="71">
        <f t="shared" si="139"/>
        <v>0</v>
      </c>
      <c r="CI199" s="1">
        <f t="shared" si="171"/>
        <v>0</v>
      </c>
      <c r="CJ199" s="1"/>
      <c r="CK199" s="72"/>
      <c r="CL199" s="72"/>
      <c r="CM199" s="2"/>
      <c r="CN199" s="2"/>
      <c r="CO199" s="73">
        <f t="shared" si="172"/>
        <v>0</v>
      </c>
      <c r="CP199" s="5">
        <f t="shared" si="173"/>
        <v>0</v>
      </c>
      <c r="CQ199" s="1"/>
      <c r="CR199" s="1">
        <f t="shared" si="174"/>
        <v>0</v>
      </c>
      <c r="CS199" s="1"/>
      <c r="CT199" s="1" t="e">
        <f>INDEX([2]マスタ!$A:$A,MATCH(D199,[2]マスタ!$C:$C,0))</f>
        <v>#N/A</v>
      </c>
      <c r="CU199" s="1" t="str">
        <f t="shared" ca="1" si="175"/>
        <v>20260620_0-0</v>
      </c>
    </row>
    <row r="200" spans="1:99" x14ac:dyDescent="0.4">
      <c r="A200" s="61"/>
      <c r="B200" s="62"/>
      <c r="C200" s="62"/>
      <c r="D200" s="62"/>
      <c r="E200" s="74"/>
      <c r="F200" s="62"/>
      <c r="G200" s="62">
        <v>1</v>
      </c>
      <c r="H200" s="64">
        <f t="shared" si="162"/>
        <v>0</v>
      </c>
      <c r="I200" s="64"/>
      <c r="J200" s="64"/>
      <c r="K200" s="65">
        <f t="shared" si="163"/>
        <v>0</v>
      </c>
      <c r="L200" s="65">
        <f t="shared" si="164"/>
        <v>0</v>
      </c>
      <c r="M200" s="65">
        <f t="shared" si="165"/>
        <v>0</v>
      </c>
      <c r="N200" s="65">
        <f t="shared" si="166"/>
        <v>0</v>
      </c>
      <c r="O200" s="66" t="str">
        <f t="shared" si="167"/>
        <v>✕</v>
      </c>
      <c r="P200" s="67" t="str">
        <f t="shared" si="168"/>
        <v>○</v>
      </c>
      <c r="Q200" s="67" t="str">
        <f t="shared" si="169"/>
        <v>✕</v>
      </c>
      <c r="R200" s="67" t="str">
        <f t="shared" si="170"/>
        <v>✕</v>
      </c>
      <c r="S200" s="68">
        <v>0</v>
      </c>
      <c r="T200" s="69" t="s">
        <v>85</v>
      </c>
      <c r="U200" s="69" t="s">
        <v>85</v>
      </c>
      <c r="V200" s="69" t="s">
        <v>85</v>
      </c>
      <c r="W200" s="69" t="s">
        <v>85</v>
      </c>
      <c r="X200" s="69" t="s">
        <v>84</v>
      </c>
      <c r="Y200" s="69" t="s">
        <v>85</v>
      </c>
      <c r="Z200" s="69" t="s">
        <v>85</v>
      </c>
      <c r="AA200" s="69" t="s">
        <v>85</v>
      </c>
      <c r="AB200" s="69" t="s">
        <v>85</v>
      </c>
      <c r="AC200" s="69" t="s">
        <v>85</v>
      </c>
      <c r="AD200" s="38" t="str">
        <f>+IF(ISERROR(VLOOKUP($B200,AD$10:AD199,1,0)),IF(AND($N200&gt;=1000,$A200&gt;=AO$8,$A200&lt;=AO$9),$B200,""),"")</f>
        <v/>
      </c>
      <c r="AE200" s="38" t="str">
        <f>+IF(ISERROR(VLOOKUP($B200,AE$10:AE199,1,0)),IF(AND($N200&gt;=1000,$A200&gt;=AP$8,$A200&lt;=AP$9),$B200,""),"")</f>
        <v/>
      </c>
      <c r="AF200" s="38" t="str">
        <f>+IF(ISERROR(VLOOKUP($B200,AF$10:AF199,1,0)),IF(AND($N200&gt;=1000,$A200&gt;=AQ$8,$A200&lt;=AQ$9),$B200,""),"")</f>
        <v/>
      </c>
      <c r="AG200" s="38" t="str">
        <f>+IF(ISERROR(VLOOKUP($B200,AG$10:AG199,1,0)),IF(AND($N200&gt;=1000,$A200&gt;=AR$8,$A200&lt;=AR$9),$B200,""),"")</f>
        <v/>
      </c>
      <c r="AH200" s="38"/>
      <c r="AI200" s="70">
        <v>0</v>
      </c>
      <c r="AJ200" s="38">
        <f>IF(AND(AJ$7="○",$A200&gt;=AJ$8,$A200&lt;=AJ$9),IF(SUM(AJ$10:AJ199)-ROUNDDOWN($K200*AJ$5/100,0)&lt;-AJ$6,-AJ$6-SUM(AJ$10:AJ199),-ROUNDDOWN($K200*AJ$5/100,0)),0)</f>
        <v>0</v>
      </c>
      <c r="AK200" s="38">
        <f>IF(AND(AK$7="○",$A200&gt;=AK$8,$A200&lt;=AK$9),IF(SUM(AK$10:AK199)-ROUNDDOWN($L200*AK$5/100,0)&lt;-AK$6,-AK$6-SUM(AK$10:AK199),-ROUNDDOWN($L200*AK$5/100,0)),0)</f>
        <v>0</v>
      </c>
      <c r="AL200" s="38">
        <f>IF(AND(AL$7="○",$A200&gt;=AL$8,$A200&lt;=AL$9),IF(SUM(AL$10:AL199)-ROUNDDOWN($N200*AL$5/100,0)&lt;-AL$6,-AL$6-SUM(AL$10:AL199),-ROUNDDOWN($N200*AL$5/100,0)),0)</f>
        <v>0</v>
      </c>
      <c r="AM200" s="38">
        <f>IF(AND(AM$7="○",$A200&gt;=AM$8,$A200&lt;=AM$9),IF(SUM(AM$10:AM199)-ROUNDDOWN($L200*AM$5/100,0)&lt;-AM$6,-AM$6-SUM(AM$10:AM199),-ROUNDDOWN($L200*AM$5/100,0)),0)</f>
        <v>0</v>
      </c>
      <c r="AN200" s="38">
        <f>IF(AND(AN$7="○",$A200&gt;=AN$8,$A200&lt;=AN$9),IF(SUM(AN$10:AN199)-ROUNDDOWN($M200*AN$5/100,0)&lt;-AN$6,-AN$6-SUM(AN$10:AN199),-ROUNDDOWN($M200*AN$5/100,0)),0)</f>
        <v>0</v>
      </c>
      <c r="AO200" s="38">
        <f>IF(AND($A200&gt;=AO$8,$A200&lt;=AO$9),IF(SUM(AO$10:AO199)-ROUNDDOWN($K200*AO$5/100,0)&lt;-AO$6,-AO$6-SUM(AO$10:AO199),-ROUNDDOWN($K200*AO$5/100,0)),0)</f>
        <v>0</v>
      </c>
      <c r="AP200" s="38">
        <f>IF(AND($A200&gt;=AP$8,$A200&lt;=AP$9),IF(SUM(AP$10:AP199)-ROUNDDOWN($K200*AP$5/100,0)&lt;-AP$6,-AP$6-SUM(AP$10:AP199),-ROUNDDOWN($K200*AP$5/100,0)),0)</f>
        <v>0</v>
      </c>
      <c r="AQ200" s="38">
        <f>IF(AND($A200&gt;=AQ$8,$A200&lt;=AQ$9),IF(SUM(AQ$10:AQ199)-ROUNDDOWN($K200*AQ$5/100,0)&lt;-AQ$6,-AQ$6-SUM(AQ$10:AQ199),-ROUNDDOWN($K200*AQ$5/100,0)),0)</f>
        <v>0</v>
      </c>
      <c r="AR200" s="38">
        <f>IF(AND($A200&gt;=AR$8,$A200&lt;=AR$9),IF(SUM(AR$10:AR199)-ROUNDDOWN($K200*AR$5/100,0)&lt;-AR$6,-AR$6-SUM(AR$10:AR199),-ROUNDDOWN($K200*AR$5/100,0)),0)</f>
        <v>0</v>
      </c>
      <c r="AS200" s="38">
        <f>IF(SUMIFS(AS$10:AS199,$A$10:$A199,$A200)-ROUNDDOWN($K200*$S200/100,0)&lt;-$S200*1000,-$S200*1000-SUMIFS(AS$10:AS199,$A$10:$A199,$A200),-ROUNDDOWN($K200*$S200/100,0))</f>
        <v>0</v>
      </c>
      <c r="AT200" s="38">
        <f>IF(AND(X200="○",$A200&gt;=AT$8,$A200&lt;=AT$9,K200&gt;=3980),IF(SUM(AT$10:AT199)-ROUNDDOWN($K200*AT$5/100,0)&lt;-AT$6,-AT$6-SUM(AT$10:AT199),-ROUNDDOWN($K200*AT$5/100,0)),0)</f>
        <v>0</v>
      </c>
      <c r="AU200" s="38">
        <f>IF(O200="○",IF(SUM(AU$10:AU199)-ROUNDDOWN($K200*AU$5/100,0)&lt;-AU$6,-AU$6-SUM(AU$10:AU199),-ROUNDDOWN($K200*AU$5/100,0)),0)</f>
        <v>0</v>
      </c>
      <c r="AV200" s="38">
        <f>IF(P200="○",IF(SUM(AV$10:AV199)-ROUNDDOWN($K200*AV$5/100,0)&lt;-AV$6,-AV$6-SUM(AV$10:AV199),-ROUNDDOWN($K200*AV$5/100,0)),0)</f>
        <v>0</v>
      </c>
      <c r="AW200" s="38">
        <f>IF(Q200="○",IF(SUM(AW$10:AW199)-ROUNDDOWN($K200*AW$5/100,0)&lt;-AW$6,-AW$6-SUM(AW$10:AW199),-ROUNDDOWN($K200*AW$5/100,0)),0)</f>
        <v>0</v>
      </c>
      <c r="AX200" s="38">
        <f>IF(R200="○",IF(SUM(AX$10:AX199)-ROUNDDOWN($K200*AX$5/100,0)&lt;-AX$6,-AX$6-SUM(AX$10:AX199),-ROUNDDOWN($K200*AX$5/100,0)),0)</f>
        <v>0</v>
      </c>
      <c r="AY200" s="70">
        <v>0</v>
      </c>
      <c r="AZ200" s="65">
        <f t="shared" si="132"/>
        <v>0</v>
      </c>
      <c r="BA200" s="65">
        <f t="shared" si="133"/>
        <v>0</v>
      </c>
      <c r="BB200" s="70"/>
      <c r="BC200" s="65">
        <f t="shared" si="134"/>
        <v>0</v>
      </c>
      <c r="BD200" s="70">
        <v>0</v>
      </c>
      <c r="BE200" s="65">
        <f t="shared" si="135"/>
        <v>0</v>
      </c>
      <c r="BF200" s="70">
        <v>0</v>
      </c>
      <c r="BG200" s="65">
        <f t="shared" si="136"/>
        <v>0</v>
      </c>
      <c r="BH200" s="70">
        <v>0</v>
      </c>
      <c r="BI200" s="65">
        <f t="shared" si="137"/>
        <v>0</v>
      </c>
      <c r="BJ200" s="38">
        <f>IF(AND(BJ$7="○",$A200&gt;=BJ$8,$A200&lt;=BJ$9),IF(SUM(BJ$10:BJ199)-ROUNDDOWN($M200*BJ$5/100,0)&lt;-BJ$6,-BJ$6-SUM(BJ$10:BJ199),-ROUNDDOWN($M200*BJ$5/100,0)),0)</f>
        <v>0</v>
      </c>
      <c r="BK200" s="38">
        <f>IF(AND(BK$7="○",$A200&gt;=BK$8,$A200&lt;=BK$9),IF(SUM(BK$10:BK199)-ROUNDDOWN($L200*BK$5/100,0)&lt;-BK$6,-BK$6-SUM(BK$10:BK199),-ROUNDDOWN($L200*BK$5/100,0)),0)</f>
        <v>0</v>
      </c>
      <c r="BL200" s="38">
        <f>IF(AND(BL$7="○",$A200&gt;=BL$8,$A200&lt;=BL$9),IF(SUM(BL$10:BL199)-ROUNDDOWN($L200*BL$5/100,0)&lt;-BL$6,-BL$6-SUM(BL$10:BL199),-ROUNDDOWN($L200*BL$5/100,0)),0)</f>
        <v>0</v>
      </c>
      <c r="BM200" s="38">
        <f>IF(AND(BM$7="○",$A200&gt;=BM$8,$A200&lt;=BM$9),IF(SUM(BM$10:BM199)-ROUNDDOWN($M200*BM$5/100,0)&lt;-BM$6,-BM$6-SUM(BM$10:BM199),-ROUNDDOWN($M200*BM$5/100,0)),0)</f>
        <v>0</v>
      </c>
      <c r="BN200" s="38">
        <f>IF(AND(BN$7="○",$A200&gt;=BN$8,$A200&lt;=BN$9),IF(SUM(BN$10:BN199)-ROUNDDOWN($M200*BN$5/100,0)&lt;-BN$6,-BN$6-SUM(BN$10:BN199),-ROUNDDOWN($M200*BN$5/100,0)),0)</f>
        <v>0</v>
      </c>
      <c r="BO200" s="38">
        <f>IF(AND(BO$7="○",$A200&gt;=BO$8,$A200&lt;=BO$9),IF(SUM(BO$10:BO199)-ROUNDDOWN($M200*BO$5/100,0)&lt;-BO$6,-BO$6-SUM(BO$10:BO199),-ROUNDDOWN($M200*BO$5/100,0)),0)</f>
        <v>0</v>
      </c>
      <c r="BP200" s="38">
        <f>IF(AND(BP$7="○",$A200&gt;=BP$8,$A200&lt;=BP$9),IF(SUM(BP$10:BP199)-ROUNDDOWN($M200*BP$5/100,0)&lt;-BP$6,-BP$6-SUM(BP$10:BP199),-ROUNDDOWN($M200*BP$5/100,0)),0)</f>
        <v>0</v>
      </c>
      <c r="BQ200" s="38">
        <f>IF(AND(BQ$7="○",$A200&gt;=BQ$8,$A200&lt;=BQ$9),IF(SUM(BQ$10:BQ199)-ROUNDDOWN($L200*BQ$5/100,0)&lt;-BQ$6,-BQ$6-SUM(BQ$10:BQ199),-ROUNDDOWN($L200*BQ$5/100,0)),0)</f>
        <v>0</v>
      </c>
      <c r="BR200" s="38">
        <f>IF(AND(BR$7="○",$A200&gt;=BR$8,$A200&lt;=BR$9),IF(SUM(BR$10:BR199)-ROUNDDOWN($M200*BR$5/100,0)&lt;-BR$6,-BR$6-SUM(BR$10:BR199),-ROUNDDOWN($M200*BR$5/100,0)),0)</f>
        <v>0</v>
      </c>
      <c r="BS200" s="38">
        <f>IF(AND(BS$7="○",$A200&gt;=BS$8,$A200&lt;=BS$9),IF(SUM(BS$10:BS199)-ROUNDDOWN($M200*BS$5/100,0)&lt;-BS$6,-BS$6-SUM(BS$10:BS199),-ROUNDDOWN($M200*BS$5/100,0)),0)</f>
        <v>0</v>
      </c>
      <c r="BT200" s="38">
        <f>IF(AND(BT$7="○",$A200&gt;=BT$8,$A200&lt;=BT$9),IF(SUM(BT$10:BT199)-ROUNDDOWN($M200*BT$5/100,0)&lt;-BT$6,-BT$6-SUM(BT$10:BT199),-ROUNDDOWN($M200*BT$5/100,0)),0)</f>
        <v>0</v>
      </c>
      <c r="BU200" s="38">
        <f>IF(AND(BU$7="○",$A200&gt;=BU$8,$A200&lt;=BU$9),IF(SUM(BU$10:BU199)-ROUNDDOWN($M200*BU$5/100,0)&lt;-BU$6,-BU$6-SUM(BU$10:BU199),-ROUNDDOWN($M200*BU$5/100,0)),0)</f>
        <v>0</v>
      </c>
      <c r="BV200" s="38">
        <f>IF(AND(BV$7="○",$A200&gt;=BV$8,$A200&lt;=BV$9),IF(SUM(BV$10:BV199)-ROUNDDOWN($M200*BV$5/100,0)&lt;-BV$6,-BV$6-SUM(BV$10:BV199),-ROUNDDOWN($M200*BV$5/100,0)),0)</f>
        <v>0</v>
      </c>
      <c r="BW200" s="38">
        <f>IF(AND(BW$7="○",$A200&gt;=BW$8,$A200&lt;=BW$9),IF(SUM(BW$10:BW199)-ROUNDDOWN($M200*BW$5/100,0)&lt;-BW$6,-BW$6-SUM(BW$10:BW199),-ROUNDDOWN($M200*BW$5/100,0)),0)</f>
        <v>0</v>
      </c>
      <c r="BX200" s="38">
        <f>IF(AND(T200="○",$A200&gt;=BX$8,$A200&lt;=BX$9),IF(SUM(BX$10:BX199)-ROUNDDOWN($K200*BX$5/100,0)&lt;-BX$6,-BX$6-SUM(BX$10:BX199),-ROUNDDOWN($K200*BX$5/100,0)),0)</f>
        <v>0</v>
      </c>
      <c r="BY200" s="38">
        <f>IF(AND(U200="○",$A200&gt;=BY$8,$A200&lt;=BY$9),IF(SUM(BY$10:BY199)-ROUNDDOWN($K200*BY$5/100,0)&lt;-BY$6,-BY$6-SUM(BY$10:BY199),-ROUNDDOWN($K200*BY$5/100,0)),0)</f>
        <v>0</v>
      </c>
      <c r="BZ200" s="38">
        <f>IF(AND(V200="○",$A200&gt;=BZ$8,$A200&lt;=BZ$9),IF(SUM(BZ$10:BZ199)-ROUNDDOWN($K200*BZ$5/100,0)&lt;-BZ$6,-BZ$6-SUM(BZ$10:BZ199),-ROUNDDOWN($K200*BZ$5/100,0)),0)</f>
        <v>0</v>
      </c>
      <c r="CA200" s="38">
        <f>IF(AND(W200="○",$A200&gt;=CA$8,$A200&lt;=CA$9),IF(SUM(CA$10:CA199)-ROUNDDOWN($K200*CA$5/100,0)&lt;-CA$6,-CA$6-SUM(CA$10:CA199),-ROUNDDOWN($K200*CA$5/100,0)),0)</f>
        <v>0</v>
      </c>
      <c r="CB200" s="38"/>
      <c r="CC200" s="38"/>
      <c r="CD200" s="38"/>
      <c r="CE200" s="38"/>
      <c r="CF200" s="38"/>
      <c r="CG200" s="65">
        <f t="shared" si="138"/>
        <v>0</v>
      </c>
      <c r="CH200" s="71">
        <f t="shared" si="139"/>
        <v>0</v>
      </c>
      <c r="CI200" s="1">
        <f t="shared" si="171"/>
        <v>0</v>
      </c>
      <c r="CJ200" s="1"/>
      <c r="CK200" s="72"/>
      <c r="CL200" s="72"/>
      <c r="CM200" s="2"/>
      <c r="CN200" s="2"/>
      <c r="CO200" s="73">
        <f t="shared" si="172"/>
        <v>0</v>
      </c>
      <c r="CP200" s="5">
        <f t="shared" si="173"/>
        <v>0</v>
      </c>
      <c r="CQ200" s="1"/>
      <c r="CR200" s="1">
        <f t="shared" si="174"/>
        <v>0</v>
      </c>
      <c r="CS200" s="1"/>
      <c r="CT200" s="1" t="e">
        <f>INDEX([2]マスタ!$A:$A,MATCH(D200,[2]マスタ!$C:$C,0))</f>
        <v>#N/A</v>
      </c>
      <c r="CU200" s="1" t="str">
        <f t="shared" ca="1" si="175"/>
        <v>20260620_0-0</v>
      </c>
    </row>
    <row r="201" spans="1:99" x14ac:dyDescent="0.4">
      <c r="A201" s="61"/>
      <c r="B201" s="62"/>
      <c r="C201" s="62"/>
      <c r="D201" s="62"/>
      <c r="E201" s="74"/>
      <c r="F201" s="62"/>
      <c r="G201" s="62">
        <v>1</v>
      </c>
      <c r="H201" s="64">
        <f t="shared" si="162"/>
        <v>0</v>
      </c>
      <c r="I201" s="64"/>
      <c r="J201" s="64"/>
      <c r="K201" s="65">
        <f t="shared" si="163"/>
        <v>0</v>
      </c>
      <c r="L201" s="65">
        <f t="shared" si="164"/>
        <v>0</v>
      </c>
      <c r="M201" s="65">
        <f t="shared" si="165"/>
        <v>0</v>
      </c>
      <c r="N201" s="65">
        <f t="shared" si="166"/>
        <v>0</v>
      </c>
      <c r="O201" s="66" t="str">
        <f t="shared" si="167"/>
        <v>✕</v>
      </c>
      <c r="P201" s="67" t="str">
        <f t="shared" si="168"/>
        <v>○</v>
      </c>
      <c r="Q201" s="67" t="str">
        <f t="shared" si="169"/>
        <v>✕</v>
      </c>
      <c r="R201" s="67" t="str">
        <f t="shared" si="170"/>
        <v>✕</v>
      </c>
      <c r="S201" s="68">
        <v>0</v>
      </c>
      <c r="T201" s="69" t="s">
        <v>85</v>
      </c>
      <c r="U201" s="69" t="s">
        <v>85</v>
      </c>
      <c r="V201" s="69" t="s">
        <v>85</v>
      </c>
      <c r="W201" s="69" t="s">
        <v>85</v>
      </c>
      <c r="X201" s="69" t="s">
        <v>84</v>
      </c>
      <c r="Y201" s="69" t="s">
        <v>85</v>
      </c>
      <c r="Z201" s="69" t="s">
        <v>85</v>
      </c>
      <c r="AA201" s="69" t="s">
        <v>85</v>
      </c>
      <c r="AB201" s="69" t="s">
        <v>85</v>
      </c>
      <c r="AC201" s="69" t="s">
        <v>85</v>
      </c>
      <c r="AD201" s="38" t="str">
        <f>+IF(ISERROR(VLOOKUP($B201,AD$10:AD200,1,0)),IF(AND($N201&gt;=1000,$A201&gt;=AO$8,$A201&lt;=AO$9),$B201,""),"")</f>
        <v/>
      </c>
      <c r="AE201" s="38" t="str">
        <f>+IF(ISERROR(VLOOKUP($B201,AE$10:AE200,1,0)),IF(AND($N201&gt;=1000,$A201&gt;=AP$8,$A201&lt;=AP$9),$B201,""),"")</f>
        <v/>
      </c>
      <c r="AF201" s="38" t="str">
        <f>+IF(ISERROR(VLOOKUP($B201,AF$10:AF200,1,0)),IF(AND($N201&gt;=1000,$A201&gt;=AQ$8,$A201&lt;=AQ$9),$B201,""),"")</f>
        <v/>
      </c>
      <c r="AG201" s="38" t="str">
        <f>+IF(ISERROR(VLOOKUP($B201,AG$10:AG200,1,0)),IF(AND($N201&gt;=1000,$A201&gt;=AR$8,$A201&lt;=AR$9),$B201,""),"")</f>
        <v/>
      </c>
      <c r="AH201" s="38"/>
      <c r="AI201" s="70">
        <v>0</v>
      </c>
      <c r="AJ201" s="38">
        <f>IF(AND(AJ$7="○",$A201&gt;=AJ$8,$A201&lt;=AJ$9),IF(SUM(AJ$10:AJ200)-ROUNDDOWN($K201*AJ$5/100,0)&lt;-AJ$6,-AJ$6-SUM(AJ$10:AJ200),-ROUNDDOWN($K201*AJ$5/100,0)),0)</f>
        <v>0</v>
      </c>
      <c r="AK201" s="38">
        <f>IF(AND(AK$7="○",$A201&gt;=AK$8,$A201&lt;=AK$9),IF(SUM(AK$10:AK200)-ROUNDDOWN($L201*AK$5/100,0)&lt;-AK$6,-AK$6-SUM(AK$10:AK200),-ROUNDDOWN($L201*AK$5/100,0)),0)</f>
        <v>0</v>
      </c>
      <c r="AL201" s="38">
        <f>IF(AND(AL$7="○",$A201&gt;=AL$8,$A201&lt;=AL$9),IF(SUM(AL$10:AL200)-ROUNDDOWN($N201*AL$5/100,0)&lt;-AL$6,-AL$6-SUM(AL$10:AL200),-ROUNDDOWN($N201*AL$5/100,0)),0)</f>
        <v>0</v>
      </c>
      <c r="AM201" s="38">
        <f>IF(AND(AM$7="○",$A201&gt;=AM$8,$A201&lt;=AM$9),IF(SUM(AM$10:AM200)-ROUNDDOWN($L201*AM$5/100,0)&lt;-AM$6,-AM$6-SUM(AM$10:AM200),-ROUNDDOWN($L201*AM$5/100,0)),0)</f>
        <v>0</v>
      </c>
      <c r="AN201" s="38">
        <f>IF(AND(AN$7="○",$A201&gt;=AN$8,$A201&lt;=AN$9),IF(SUM(AN$10:AN200)-ROUNDDOWN($M201*AN$5/100,0)&lt;-AN$6,-AN$6-SUM(AN$10:AN200),-ROUNDDOWN($M201*AN$5/100,0)),0)</f>
        <v>0</v>
      </c>
      <c r="AO201" s="38">
        <f>IF(AND($A201&gt;=AO$8,$A201&lt;=AO$9),IF(SUM(AO$10:AO200)-ROUNDDOWN($K201*AO$5/100,0)&lt;-AO$6,-AO$6-SUM(AO$10:AO200),-ROUNDDOWN($K201*AO$5/100,0)),0)</f>
        <v>0</v>
      </c>
      <c r="AP201" s="38">
        <f>IF(AND($A201&gt;=AP$8,$A201&lt;=AP$9),IF(SUM(AP$10:AP200)-ROUNDDOWN($K201*AP$5/100,0)&lt;-AP$6,-AP$6-SUM(AP$10:AP200),-ROUNDDOWN($K201*AP$5/100,0)),0)</f>
        <v>0</v>
      </c>
      <c r="AQ201" s="38">
        <f>IF(AND($A201&gt;=AQ$8,$A201&lt;=AQ$9),IF(SUM(AQ$10:AQ200)-ROUNDDOWN($K201*AQ$5/100,0)&lt;-AQ$6,-AQ$6-SUM(AQ$10:AQ200),-ROUNDDOWN($K201*AQ$5/100,0)),0)</f>
        <v>0</v>
      </c>
      <c r="AR201" s="38">
        <f>IF(AND($A201&gt;=AR$8,$A201&lt;=AR$9),IF(SUM(AR$10:AR200)-ROUNDDOWN($K201*AR$5/100,0)&lt;-AR$6,-AR$6-SUM(AR$10:AR200),-ROUNDDOWN($K201*AR$5/100,0)),0)</f>
        <v>0</v>
      </c>
      <c r="AS201" s="38">
        <f>IF(SUMIFS(AS$10:AS200,$A$10:$A200,$A201)-ROUNDDOWN($K201*$S201/100,0)&lt;-$S201*1000,-$S201*1000-SUMIFS(AS$10:AS200,$A$10:$A200,$A201),-ROUNDDOWN($K201*$S201/100,0))</f>
        <v>0</v>
      </c>
      <c r="AT201" s="38">
        <f>IF(AND(X201="○",$A201&gt;=AT$8,$A201&lt;=AT$9,K201&gt;=3980),IF(SUM(AT$10:AT200)-ROUNDDOWN($K201*AT$5/100,0)&lt;-AT$6,-AT$6-SUM(AT$10:AT200),-ROUNDDOWN($K201*AT$5/100,0)),0)</f>
        <v>0</v>
      </c>
      <c r="AU201" s="38">
        <f>IF(O201="○",IF(SUM(AU$10:AU200)-ROUNDDOWN($K201*AU$5/100,0)&lt;-AU$6,-AU$6-SUM(AU$10:AU200),-ROUNDDOWN($K201*AU$5/100,0)),0)</f>
        <v>0</v>
      </c>
      <c r="AV201" s="38">
        <f>IF(P201="○",IF(SUM(AV$10:AV200)-ROUNDDOWN($K201*AV$5/100,0)&lt;-AV$6,-AV$6-SUM(AV$10:AV200),-ROUNDDOWN($K201*AV$5/100,0)),0)</f>
        <v>0</v>
      </c>
      <c r="AW201" s="38">
        <f>IF(Q201="○",IF(SUM(AW$10:AW200)-ROUNDDOWN($K201*AW$5/100,0)&lt;-AW$6,-AW$6-SUM(AW$10:AW200),-ROUNDDOWN($K201*AW$5/100,0)),0)</f>
        <v>0</v>
      </c>
      <c r="AX201" s="38">
        <f>IF(R201="○",IF(SUM(AX$10:AX200)-ROUNDDOWN($K201*AX$5/100,0)&lt;-AX$6,-AX$6-SUM(AX$10:AX200),-ROUNDDOWN($K201*AX$5/100,0)),0)</f>
        <v>0</v>
      </c>
      <c r="AY201" s="70">
        <v>0</v>
      </c>
      <c r="AZ201" s="65">
        <f t="shared" si="132"/>
        <v>0</v>
      </c>
      <c r="BA201" s="65">
        <f t="shared" si="133"/>
        <v>0</v>
      </c>
      <c r="BB201" s="70"/>
      <c r="BC201" s="65">
        <f t="shared" si="134"/>
        <v>0</v>
      </c>
      <c r="BD201" s="70">
        <v>0</v>
      </c>
      <c r="BE201" s="65">
        <f t="shared" si="135"/>
        <v>0</v>
      </c>
      <c r="BF201" s="70">
        <v>0</v>
      </c>
      <c r="BG201" s="65">
        <f t="shared" si="136"/>
        <v>0</v>
      </c>
      <c r="BH201" s="70">
        <v>0</v>
      </c>
      <c r="BI201" s="65">
        <f t="shared" si="137"/>
        <v>0</v>
      </c>
      <c r="BJ201" s="38">
        <f>IF(AND(BJ$7="○",$A201&gt;=BJ$8,$A201&lt;=BJ$9),IF(SUM(BJ$10:BJ200)-ROUNDDOWN($M201*BJ$5/100,0)&lt;-BJ$6,-BJ$6-SUM(BJ$10:BJ200),-ROUNDDOWN($M201*BJ$5/100,0)),0)</f>
        <v>0</v>
      </c>
      <c r="BK201" s="38">
        <f>IF(AND(BK$7="○",$A201&gt;=BK$8,$A201&lt;=BK$9),IF(SUM(BK$10:BK200)-ROUNDDOWN($L201*BK$5/100,0)&lt;-BK$6,-BK$6-SUM(BK$10:BK200),-ROUNDDOWN($L201*BK$5/100,0)),0)</f>
        <v>0</v>
      </c>
      <c r="BL201" s="38">
        <f>IF(AND(BL$7="○",$A201&gt;=BL$8,$A201&lt;=BL$9),IF(SUM(BL$10:BL200)-ROUNDDOWN($L201*BL$5/100,0)&lt;-BL$6,-BL$6-SUM(BL$10:BL200),-ROUNDDOWN($L201*BL$5/100,0)),0)</f>
        <v>0</v>
      </c>
      <c r="BM201" s="38">
        <f>IF(AND(BM$7="○",$A201&gt;=BM$8,$A201&lt;=BM$9),IF(SUM(BM$10:BM200)-ROUNDDOWN($M201*BM$5/100,0)&lt;-BM$6,-BM$6-SUM(BM$10:BM200),-ROUNDDOWN($M201*BM$5/100,0)),0)</f>
        <v>0</v>
      </c>
      <c r="BN201" s="38">
        <f>IF(AND(BN$7="○",$A201&gt;=BN$8,$A201&lt;=BN$9),IF(SUM(BN$10:BN200)-ROUNDDOWN($M201*BN$5/100,0)&lt;-BN$6,-BN$6-SUM(BN$10:BN200),-ROUNDDOWN($M201*BN$5/100,0)),0)</f>
        <v>0</v>
      </c>
      <c r="BO201" s="38">
        <f>IF(AND(BO$7="○",$A201&gt;=BO$8,$A201&lt;=BO$9),IF(SUM(BO$10:BO200)-ROUNDDOWN($M201*BO$5/100,0)&lt;-BO$6,-BO$6-SUM(BO$10:BO200),-ROUNDDOWN($M201*BO$5/100,0)),0)</f>
        <v>0</v>
      </c>
      <c r="BP201" s="38">
        <f>IF(AND(BP$7="○",$A201&gt;=BP$8,$A201&lt;=BP$9),IF(SUM(BP$10:BP200)-ROUNDDOWN($M201*BP$5/100,0)&lt;-BP$6,-BP$6-SUM(BP$10:BP200),-ROUNDDOWN($M201*BP$5/100,0)),0)</f>
        <v>0</v>
      </c>
      <c r="BQ201" s="38">
        <f>IF(AND(BQ$7="○",$A201&gt;=BQ$8,$A201&lt;=BQ$9),IF(SUM(BQ$10:BQ200)-ROUNDDOWN($L201*BQ$5/100,0)&lt;-BQ$6,-BQ$6-SUM(BQ$10:BQ200),-ROUNDDOWN($L201*BQ$5/100,0)),0)</f>
        <v>0</v>
      </c>
      <c r="BR201" s="38">
        <f>IF(AND(BR$7="○",$A201&gt;=BR$8,$A201&lt;=BR$9),IF(SUM(BR$10:BR200)-ROUNDDOWN($M201*BR$5/100,0)&lt;-BR$6,-BR$6-SUM(BR$10:BR200),-ROUNDDOWN($M201*BR$5/100,0)),0)</f>
        <v>0</v>
      </c>
      <c r="BS201" s="38">
        <f>IF(AND(BS$7="○",$A201&gt;=BS$8,$A201&lt;=BS$9),IF(SUM(BS$10:BS200)-ROUNDDOWN($M201*BS$5/100,0)&lt;-BS$6,-BS$6-SUM(BS$10:BS200),-ROUNDDOWN($M201*BS$5/100,0)),0)</f>
        <v>0</v>
      </c>
      <c r="BT201" s="38">
        <f>IF(AND(BT$7="○",$A201&gt;=BT$8,$A201&lt;=BT$9),IF(SUM(BT$10:BT200)-ROUNDDOWN($M201*BT$5/100,0)&lt;-BT$6,-BT$6-SUM(BT$10:BT200),-ROUNDDOWN($M201*BT$5/100,0)),0)</f>
        <v>0</v>
      </c>
      <c r="BU201" s="38">
        <f>IF(AND(BU$7="○",$A201&gt;=BU$8,$A201&lt;=BU$9),IF(SUM(BU$10:BU200)-ROUNDDOWN($M201*BU$5/100,0)&lt;-BU$6,-BU$6-SUM(BU$10:BU200),-ROUNDDOWN($M201*BU$5/100,0)),0)</f>
        <v>0</v>
      </c>
      <c r="BV201" s="38">
        <f>IF(AND(BV$7="○",$A201&gt;=BV$8,$A201&lt;=BV$9),IF(SUM(BV$10:BV200)-ROUNDDOWN($M201*BV$5/100,0)&lt;-BV$6,-BV$6-SUM(BV$10:BV200),-ROUNDDOWN($M201*BV$5/100,0)),0)</f>
        <v>0</v>
      </c>
      <c r="BW201" s="38">
        <f>IF(AND(BW$7="○",$A201&gt;=BW$8,$A201&lt;=BW$9),IF(SUM(BW$10:BW200)-ROUNDDOWN($M201*BW$5/100,0)&lt;-BW$6,-BW$6-SUM(BW$10:BW200),-ROUNDDOWN($M201*BW$5/100,0)),0)</f>
        <v>0</v>
      </c>
      <c r="BX201" s="38">
        <f>IF(AND(T201="○",$A201&gt;=BX$8,$A201&lt;=BX$9),IF(SUM(BX$10:BX200)-ROUNDDOWN($K201*BX$5/100,0)&lt;-BX$6,-BX$6-SUM(BX$10:BX200),-ROUNDDOWN($K201*BX$5/100,0)),0)</f>
        <v>0</v>
      </c>
      <c r="BY201" s="38">
        <f>IF(AND(U201="○",$A201&gt;=BY$8,$A201&lt;=BY$9),IF(SUM(BY$10:BY200)-ROUNDDOWN($K201*BY$5/100,0)&lt;-BY$6,-BY$6-SUM(BY$10:BY200),-ROUNDDOWN($K201*BY$5/100,0)),0)</f>
        <v>0</v>
      </c>
      <c r="BZ201" s="38">
        <f>IF(AND(V201="○",$A201&gt;=BZ$8,$A201&lt;=BZ$9),IF(SUM(BZ$10:BZ200)-ROUNDDOWN($K201*BZ$5/100,0)&lt;-BZ$6,-BZ$6-SUM(BZ$10:BZ200),-ROUNDDOWN($K201*BZ$5/100,0)),0)</f>
        <v>0</v>
      </c>
      <c r="CA201" s="38">
        <f>IF(AND(W201="○",$A201&gt;=CA$8,$A201&lt;=CA$9),IF(SUM(CA$10:CA200)-ROUNDDOWN($K201*CA$5/100,0)&lt;-CA$6,-CA$6-SUM(CA$10:CA200),-ROUNDDOWN($K201*CA$5/100,0)),0)</f>
        <v>0</v>
      </c>
      <c r="CB201" s="38"/>
      <c r="CC201" s="38"/>
      <c r="CD201" s="38"/>
      <c r="CE201" s="38"/>
      <c r="CF201" s="38"/>
      <c r="CG201" s="65">
        <f t="shared" si="138"/>
        <v>0</v>
      </c>
      <c r="CH201" s="71">
        <f t="shared" si="139"/>
        <v>0</v>
      </c>
      <c r="CI201" s="1">
        <f t="shared" si="171"/>
        <v>0</v>
      </c>
      <c r="CJ201" s="1"/>
      <c r="CK201" s="72"/>
      <c r="CL201" s="72"/>
      <c r="CM201" s="2"/>
      <c r="CN201" s="2"/>
      <c r="CO201" s="73">
        <f t="shared" si="172"/>
        <v>0</v>
      </c>
      <c r="CP201" s="5">
        <f t="shared" si="173"/>
        <v>0</v>
      </c>
      <c r="CQ201" s="1"/>
      <c r="CR201" s="1">
        <f t="shared" si="174"/>
        <v>0</v>
      </c>
      <c r="CS201" s="1"/>
      <c r="CT201" s="1" t="e">
        <f>INDEX([2]マスタ!$A:$A,MATCH(D201,[2]マスタ!$C:$C,0))</f>
        <v>#N/A</v>
      </c>
      <c r="CU201" s="1" t="str">
        <f t="shared" ca="1" si="175"/>
        <v>20260620_0-0</v>
      </c>
    </row>
    <row r="202" spans="1:99" x14ac:dyDescent="0.4">
      <c r="A202" s="61"/>
      <c r="B202" s="62"/>
      <c r="C202" s="62"/>
      <c r="D202" s="62"/>
      <c r="E202" s="74"/>
      <c r="F202" s="62"/>
      <c r="G202" s="62">
        <v>1</v>
      </c>
      <c r="H202" s="64">
        <f t="shared" si="162"/>
        <v>0</v>
      </c>
      <c r="I202" s="64"/>
      <c r="J202" s="64"/>
      <c r="K202" s="65">
        <f t="shared" si="163"/>
        <v>0</v>
      </c>
      <c r="L202" s="65">
        <f t="shared" si="164"/>
        <v>0</v>
      </c>
      <c r="M202" s="65">
        <f t="shared" si="165"/>
        <v>0</v>
      </c>
      <c r="N202" s="65">
        <f t="shared" si="166"/>
        <v>0</v>
      </c>
      <c r="O202" s="66" t="str">
        <f t="shared" si="167"/>
        <v>✕</v>
      </c>
      <c r="P202" s="67" t="str">
        <f t="shared" si="168"/>
        <v>○</v>
      </c>
      <c r="Q202" s="67" t="str">
        <f t="shared" si="169"/>
        <v>✕</v>
      </c>
      <c r="R202" s="67" t="str">
        <f t="shared" si="170"/>
        <v>✕</v>
      </c>
      <c r="S202" s="68">
        <v>0</v>
      </c>
      <c r="T202" s="69" t="s">
        <v>85</v>
      </c>
      <c r="U202" s="69" t="s">
        <v>85</v>
      </c>
      <c r="V202" s="69" t="s">
        <v>85</v>
      </c>
      <c r="W202" s="69" t="s">
        <v>85</v>
      </c>
      <c r="X202" s="69" t="s">
        <v>84</v>
      </c>
      <c r="Y202" s="69" t="s">
        <v>85</v>
      </c>
      <c r="Z202" s="69" t="s">
        <v>85</v>
      </c>
      <c r="AA202" s="69" t="s">
        <v>85</v>
      </c>
      <c r="AB202" s="69" t="s">
        <v>85</v>
      </c>
      <c r="AC202" s="69" t="s">
        <v>85</v>
      </c>
      <c r="AD202" s="38" t="str">
        <f>+IF(ISERROR(VLOOKUP($B202,AD$10:AD201,1,0)),IF(AND($N202&gt;=1000,$A202&gt;=AO$8,$A202&lt;=AO$9),$B202,""),"")</f>
        <v/>
      </c>
      <c r="AE202" s="38" t="str">
        <f>+IF(ISERROR(VLOOKUP($B202,AE$10:AE201,1,0)),IF(AND($N202&gt;=1000,$A202&gt;=AP$8,$A202&lt;=AP$9),$B202,""),"")</f>
        <v/>
      </c>
      <c r="AF202" s="38" t="str">
        <f>+IF(ISERROR(VLOOKUP($B202,AF$10:AF201,1,0)),IF(AND($N202&gt;=1000,$A202&gt;=AQ$8,$A202&lt;=AQ$9),$B202,""),"")</f>
        <v/>
      </c>
      <c r="AG202" s="38" t="str">
        <f>+IF(ISERROR(VLOOKUP($B202,AG$10:AG201,1,0)),IF(AND($N202&gt;=1000,$A202&gt;=AR$8,$A202&lt;=AR$9),$B202,""),"")</f>
        <v/>
      </c>
      <c r="AH202" s="38"/>
      <c r="AI202" s="70">
        <v>0</v>
      </c>
      <c r="AJ202" s="38">
        <f>IF(AND(AJ$7="○",$A202&gt;=AJ$8,$A202&lt;=AJ$9),IF(SUM(AJ$10:AJ201)-ROUNDDOWN($K202*AJ$5/100,0)&lt;-AJ$6,-AJ$6-SUM(AJ$10:AJ201),-ROUNDDOWN($K202*AJ$5/100,0)),0)</f>
        <v>0</v>
      </c>
      <c r="AK202" s="38">
        <f>IF(AND(AK$7="○",$A202&gt;=AK$8,$A202&lt;=AK$9),IF(SUM(AK$10:AK201)-ROUNDDOWN($L202*AK$5/100,0)&lt;-AK$6,-AK$6-SUM(AK$10:AK201),-ROUNDDOWN($L202*AK$5/100,0)),0)</f>
        <v>0</v>
      </c>
      <c r="AL202" s="38">
        <f>IF(AND(AL$7="○",$A202&gt;=AL$8,$A202&lt;=AL$9),IF(SUM(AL$10:AL201)-ROUNDDOWN($N202*AL$5/100,0)&lt;-AL$6,-AL$6-SUM(AL$10:AL201),-ROUNDDOWN($N202*AL$5/100,0)),0)</f>
        <v>0</v>
      </c>
      <c r="AM202" s="38">
        <f>IF(AND(AM$7="○",$A202&gt;=AM$8,$A202&lt;=AM$9),IF(SUM(AM$10:AM201)-ROUNDDOWN($L202*AM$5/100,0)&lt;-AM$6,-AM$6-SUM(AM$10:AM201),-ROUNDDOWN($L202*AM$5/100,0)),0)</f>
        <v>0</v>
      </c>
      <c r="AN202" s="38">
        <f>IF(AND(AN$7="○",$A202&gt;=AN$8,$A202&lt;=AN$9),IF(SUM(AN$10:AN201)-ROUNDDOWN($M202*AN$5/100,0)&lt;-AN$6,-AN$6-SUM(AN$10:AN201),-ROUNDDOWN($M202*AN$5/100,0)),0)</f>
        <v>0</v>
      </c>
      <c r="AO202" s="38">
        <f>IF(AND($A202&gt;=AO$8,$A202&lt;=AO$9),IF(SUM(AO$10:AO201)-ROUNDDOWN($K202*AO$5/100,0)&lt;-AO$6,-AO$6-SUM(AO$10:AO201),-ROUNDDOWN($K202*AO$5/100,0)),0)</f>
        <v>0</v>
      </c>
      <c r="AP202" s="38">
        <f>IF(AND($A202&gt;=AP$8,$A202&lt;=AP$9),IF(SUM(AP$10:AP201)-ROUNDDOWN($K202*AP$5/100,0)&lt;-AP$6,-AP$6-SUM(AP$10:AP201),-ROUNDDOWN($K202*AP$5/100,0)),0)</f>
        <v>0</v>
      </c>
      <c r="AQ202" s="38">
        <f>IF(AND($A202&gt;=AQ$8,$A202&lt;=AQ$9),IF(SUM(AQ$10:AQ201)-ROUNDDOWN($K202*AQ$5/100,0)&lt;-AQ$6,-AQ$6-SUM(AQ$10:AQ201),-ROUNDDOWN($K202*AQ$5/100,0)),0)</f>
        <v>0</v>
      </c>
      <c r="AR202" s="38">
        <f>IF(AND($A202&gt;=AR$8,$A202&lt;=AR$9),IF(SUM(AR$10:AR201)-ROUNDDOWN($K202*AR$5/100,0)&lt;-AR$6,-AR$6-SUM(AR$10:AR201),-ROUNDDOWN($K202*AR$5/100,0)),0)</f>
        <v>0</v>
      </c>
      <c r="AS202" s="38">
        <f>IF(SUMIFS(AS$10:AS201,$A$10:$A201,$A202)-ROUNDDOWN($K202*$S202/100,0)&lt;-$S202*1000,-$S202*1000-SUMIFS(AS$10:AS201,$A$10:$A201,$A202),-ROUNDDOWN($K202*$S202/100,0))</f>
        <v>0</v>
      </c>
      <c r="AT202" s="38">
        <f>IF(AND(X202="○",$A202&gt;=AT$8,$A202&lt;=AT$9,K202&gt;=3980),IF(SUM(AT$10:AT201)-ROUNDDOWN($K202*AT$5/100,0)&lt;-AT$6,-AT$6-SUM(AT$10:AT201),-ROUNDDOWN($K202*AT$5/100,0)),0)</f>
        <v>0</v>
      </c>
      <c r="AU202" s="38">
        <f>IF(O202="○",IF(SUM(AU$10:AU201)-ROUNDDOWN($K202*AU$5/100,0)&lt;-AU$6,-AU$6-SUM(AU$10:AU201),-ROUNDDOWN($K202*AU$5/100,0)),0)</f>
        <v>0</v>
      </c>
      <c r="AV202" s="38">
        <f>IF(P202="○",IF(SUM(AV$10:AV201)-ROUNDDOWN($K202*AV$5/100,0)&lt;-AV$6,-AV$6-SUM(AV$10:AV201),-ROUNDDOWN($K202*AV$5/100,0)),0)</f>
        <v>0</v>
      </c>
      <c r="AW202" s="38">
        <f>IF(Q202="○",IF(SUM(AW$10:AW201)-ROUNDDOWN($K202*AW$5/100,0)&lt;-AW$6,-AW$6-SUM(AW$10:AW201),-ROUNDDOWN($K202*AW$5/100,0)),0)</f>
        <v>0</v>
      </c>
      <c r="AX202" s="38">
        <f>IF(R202="○",IF(SUM(AX$10:AX201)-ROUNDDOWN($K202*AX$5/100,0)&lt;-AX$6,-AX$6-SUM(AX$10:AX201),-ROUNDDOWN($K202*AX$5/100,0)),0)</f>
        <v>0</v>
      </c>
      <c r="AY202" s="70">
        <v>0</v>
      </c>
      <c r="AZ202" s="65">
        <f t="shared" si="132"/>
        <v>0</v>
      </c>
      <c r="BA202" s="65">
        <f t="shared" si="133"/>
        <v>0</v>
      </c>
      <c r="BB202" s="70"/>
      <c r="BC202" s="65">
        <f t="shared" si="134"/>
        <v>0</v>
      </c>
      <c r="BD202" s="70">
        <v>0</v>
      </c>
      <c r="BE202" s="65">
        <f t="shared" si="135"/>
        <v>0</v>
      </c>
      <c r="BF202" s="70">
        <v>0</v>
      </c>
      <c r="BG202" s="65">
        <f t="shared" si="136"/>
        <v>0</v>
      </c>
      <c r="BH202" s="70">
        <v>0</v>
      </c>
      <c r="BI202" s="65">
        <f t="shared" si="137"/>
        <v>0</v>
      </c>
      <c r="BJ202" s="38">
        <f>IF(AND(BJ$7="○",$A202&gt;=BJ$8,$A202&lt;=BJ$9),IF(SUM(BJ$10:BJ201)-ROUNDDOWN($M202*BJ$5/100,0)&lt;-BJ$6,-BJ$6-SUM(BJ$10:BJ201),-ROUNDDOWN($M202*BJ$5/100,0)),0)</f>
        <v>0</v>
      </c>
      <c r="BK202" s="38">
        <f>IF(AND(BK$7="○",$A202&gt;=BK$8,$A202&lt;=BK$9),IF(SUM(BK$10:BK201)-ROUNDDOWN($L202*BK$5/100,0)&lt;-BK$6,-BK$6-SUM(BK$10:BK201),-ROUNDDOWN($L202*BK$5/100,0)),0)</f>
        <v>0</v>
      </c>
      <c r="BL202" s="38">
        <f>IF(AND(BL$7="○",$A202&gt;=BL$8,$A202&lt;=BL$9),IF(SUM(BL$10:BL201)-ROUNDDOWN($L202*BL$5/100,0)&lt;-BL$6,-BL$6-SUM(BL$10:BL201),-ROUNDDOWN($L202*BL$5/100,0)),0)</f>
        <v>0</v>
      </c>
      <c r="BM202" s="38">
        <f>IF(AND(BM$7="○",$A202&gt;=BM$8,$A202&lt;=BM$9),IF(SUM(BM$10:BM201)-ROUNDDOWN($M202*BM$5/100,0)&lt;-BM$6,-BM$6-SUM(BM$10:BM201),-ROUNDDOWN($M202*BM$5/100,0)),0)</f>
        <v>0</v>
      </c>
      <c r="BN202" s="38">
        <f>IF(AND(BN$7="○",$A202&gt;=BN$8,$A202&lt;=BN$9),IF(SUM(BN$10:BN201)-ROUNDDOWN($M202*BN$5/100,0)&lt;-BN$6,-BN$6-SUM(BN$10:BN201),-ROUNDDOWN($M202*BN$5/100,0)),0)</f>
        <v>0</v>
      </c>
      <c r="BO202" s="38">
        <f>IF(AND(BO$7="○",$A202&gt;=BO$8,$A202&lt;=BO$9),IF(SUM(BO$10:BO201)-ROUNDDOWN($M202*BO$5/100,0)&lt;-BO$6,-BO$6-SUM(BO$10:BO201),-ROUNDDOWN($M202*BO$5/100,0)),0)</f>
        <v>0</v>
      </c>
      <c r="BP202" s="38">
        <f>IF(AND(BP$7="○",$A202&gt;=BP$8,$A202&lt;=BP$9),IF(SUM(BP$10:BP201)-ROUNDDOWN($M202*BP$5/100,0)&lt;-BP$6,-BP$6-SUM(BP$10:BP201),-ROUNDDOWN($M202*BP$5/100,0)),0)</f>
        <v>0</v>
      </c>
      <c r="BQ202" s="38">
        <f>IF(AND(BQ$7="○",$A202&gt;=BQ$8,$A202&lt;=BQ$9),IF(SUM(BQ$10:BQ201)-ROUNDDOWN($L202*BQ$5/100,0)&lt;-BQ$6,-BQ$6-SUM(BQ$10:BQ201),-ROUNDDOWN($L202*BQ$5/100,0)),0)</f>
        <v>0</v>
      </c>
      <c r="BR202" s="38">
        <f>IF(AND(BR$7="○",$A202&gt;=BR$8,$A202&lt;=BR$9),IF(SUM(BR$10:BR201)-ROUNDDOWN($M202*BR$5/100,0)&lt;-BR$6,-BR$6-SUM(BR$10:BR201),-ROUNDDOWN($M202*BR$5/100,0)),0)</f>
        <v>0</v>
      </c>
      <c r="BS202" s="38">
        <f>IF(AND(BS$7="○",$A202&gt;=BS$8,$A202&lt;=BS$9),IF(SUM(BS$10:BS201)-ROUNDDOWN($M202*BS$5/100,0)&lt;-BS$6,-BS$6-SUM(BS$10:BS201),-ROUNDDOWN($M202*BS$5/100,0)),0)</f>
        <v>0</v>
      </c>
      <c r="BT202" s="38">
        <f>IF(AND(BT$7="○",$A202&gt;=BT$8,$A202&lt;=BT$9),IF(SUM(BT$10:BT201)-ROUNDDOWN($M202*BT$5/100,0)&lt;-BT$6,-BT$6-SUM(BT$10:BT201),-ROUNDDOWN($M202*BT$5/100,0)),0)</f>
        <v>0</v>
      </c>
      <c r="BU202" s="38">
        <f>IF(AND(BU$7="○",$A202&gt;=BU$8,$A202&lt;=BU$9),IF(SUM(BU$10:BU201)-ROUNDDOWN($M202*BU$5/100,0)&lt;-BU$6,-BU$6-SUM(BU$10:BU201),-ROUNDDOWN($M202*BU$5/100,0)),0)</f>
        <v>0</v>
      </c>
      <c r="BV202" s="38">
        <f>IF(AND(BV$7="○",$A202&gt;=BV$8,$A202&lt;=BV$9),IF(SUM(BV$10:BV201)-ROUNDDOWN($M202*BV$5/100,0)&lt;-BV$6,-BV$6-SUM(BV$10:BV201),-ROUNDDOWN($M202*BV$5/100,0)),0)</f>
        <v>0</v>
      </c>
      <c r="BW202" s="38">
        <f>IF(AND(BW$7="○",$A202&gt;=BW$8,$A202&lt;=BW$9),IF(SUM(BW$10:BW201)-ROUNDDOWN($M202*BW$5/100,0)&lt;-BW$6,-BW$6-SUM(BW$10:BW201),-ROUNDDOWN($M202*BW$5/100,0)),0)</f>
        <v>0</v>
      </c>
      <c r="BX202" s="38">
        <f>IF(AND(T202="○",$A202&gt;=BX$8,$A202&lt;=BX$9),IF(SUM(BX$10:BX201)-ROUNDDOWN($K202*BX$5/100,0)&lt;-BX$6,-BX$6-SUM(BX$10:BX201),-ROUNDDOWN($K202*BX$5/100,0)),0)</f>
        <v>0</v>
      </c>
      <c r="BY202" s="38">
        <f>IF(AND(U202="○",$A202&gt;=BY$8,$A202&lt;=BY$9),IF(SUM(BY$10:BY201)-ROUNDDOWN($K202*BY$5/100,0)&lt;-BY$6,-BY$6-SUM(BY$10:BY201),-ROUNDDOWN($K202*BY$5/100,0)),0)</f>
        <v>0</v>
      </c>
      <c r="BZ202" s="38">
        <f>IF(AND(V202="○",$A202&gt;=BZ$8,$A202&lt;=BZ$9),IF(SUM(BZ$10:BZ201)-ROUNDDOWN($K202*BZ$5/100,0)&lt;-BZ$6,-BZ$6-SUM(BZ$10:BZ201),-ROUNDDOWN($K202*BZ$5/100,0)),0)</f>
        <v>0</v>
      </c>
      <c r="CA202" s="38">
        <f>IF(AND(W202="○",$A202&gt;=CA$8,$A202&lt;=CA$9),IF(SUM(CA$10:CA201)-ROUNDDOWN($K202*CA$5/100,0)&lt;-CA$6,-CA$6-SUM(CA$10:CA201),-ROUNDDOWN($K202*CA$5/100,0)),0)</f>
        <v>0</v>
      </c>
      <c r="CB202" s="38"/>
      <c r="CC202" s="38"/>
      <c r="CD202" s="38"/>
      <c r="CE202" s="38"/>
      <c r="CF202" s="38"/>
      <c r="CG202" s="65">
        <f t="shared" si="138"/>
        <v>0</v>
      </c>
      <c r="CH202" s="71">
        <f t="shared" si="139"/>
        <v>0</v>
      </c>
      <c r="CI202" s="1">
        <f t="shared" si="171"/>
        <v>0</v>
      </c>
      <c r="CJ202" s="1"/>
      <c r="CK202" s="72"/>
      <c r="CL202" s="72"/>
      <c r="CM202" s="2"/>
      <c r="CN202" s="2"/>
      <c r="CO202" s="73">
        <f t="shared" si="172"/>
        <v>0</v>
      </c>
      <c r="CP202" s="5">
        <f t="shared" si="173"/>
        <v>0</v>
      </c>
      <c r="CQ202" s="1"/>
      <c r="CR202" s="1">
        <f t="shared" si="174"/>
        <v>0</v>
      </c>
      <c r="CS202" s="1"/>
      <c r="CT202" s="1" t="e">
        <f>INDEX([2]マスタ!$A:$A,MATCH(D202,[2]マスタ!$C:$C,0))</f>
        <v>#N/A</v>
      </c>
      <c r="CU202" s="1" t="str">
        <f t="shared" ca="1" si="175"/>
        <v>20260620_0-0</v>
      </c>
    </row>
    <row r="203" spans="1:99" x14ac:dyDescent="0.4">
      <c r="A203" s="61"/>
      <c r="B203" s="62"/>
      <c r="C203" s="62"/>
      <c r="D203" s="62"/>
      <c r="E203" s="74"/>
      <c r="F203" s="62"/>
      <c r="G203" s="62">
        <v>1</v>
      </c>
      <c r="H203" s="64">
        <f t="shared" si="162"/>
        <v>0</v>
      </c>
      <c r="I203" s="64"/>
      <c r="J203" s="64"/>
      <c r="K203" s="65">
        <f t="shared" si="163"/>
        <v>0</v>
      </c>
      <c r="L203" s="65">
        <f t="shared" si="164"/>
        <v>0</v>
      </c>
      <c r="M203" s="65">
        <f t="shared" si="165"/>
        <v>0</v>
      </c>
      <c r="N203" s="65">
        <f t="shared" si="166"/>
        <v>0</v>
      </c>
      <c r="O203" s="66" t="str">
        <f t="shared" si="167"/>
        <v>✕</v>
      </c>
      <c r="P203" s="67" t="str">
        <f t="shared" si="168"/>
        <v>○</v>
      </c>
      <c r="Q203" s="67" t="str">
        <f t="shared" si="169"/>
        <v>✕</v>
      </c>
      <c r="R203" s="67" t="str">
        <f t="shared" si="170"/>
        <v>✕</v>
      </c>
      <c r="S203" s="68">
        <v>0</v>
      </c>
      <c r="T203" s="69" t="s">
        <v>85</v>
      </c>
      <c r="U203" s="69" t="s">
        <v>85</v>
      </c>
      <c r="V203" s="69" t="s">
        <v>85</v>
      </c>
      <c r="W203" s="69" t="s">
        <v>85</v>
      </c>
      <c r="X203" s="69" t="s">
        <v>84</v>
      </c>
      <c r="Y203" s="69" t="s">
        <v>85</v>
      </c>
      <c r="Z203" s="69" t="s">
        <v>85</v>
      </c>
      <c r="AA203" s="69" t="s">
        <v>85</v>
      </c>
      <c r="AB203" s="69" t="s">
        <v>85</v>
      </c>
      <c r="AC203" s="69" t="s">
        <v>85</v>
      </c>
      <c r="AD203" s="38" t="str">
        <f>+IF(ISERROR(VLOOKUP($B203,AD$10:AD202,1,0)),IF(AND($N203&gt;=1000,$A203&gt;=AO$8,$A203&lt;=AO$9),$B203,""),"")</f>
        <v/>
      </c>
      <c r="AE203" s="38" t="str">
        <f>+IF(ISERROR(VLOOKUP($B203,AE$10:AE202,1,0)),IF(AND($N203&gt;=1000,$A203&gt;=AP$8,$A203&lt;=AP$9),$B203,""),"")</f>
        <v/>
      </c>
      <c r="AF203" s="38" t="str">
        <f>+IF(ISERROR(VLOOKUP($B203,AF$10:AF202,1,0)),IF(AND($N203&gt;=1000,$A203&gt;=AQ$8,$A203&lt;=AQ$9),$B203,""),"")</f>
        <v/>
      </c>
      <c r="AG203" s="38" t="str">
        <f>+IF(ISERROR(VLOOKUP($B203,AG$10:AG202,1,0)),IF(AND($N203&gt;=1000,$A203&gt;=AR$8,$A203&lt;=AR$9),$B203,""),"")</f>
        <v/>
      </c>
      <c r="AH203" s="38"/>
      <c r="AI203" s="70">
        <v>0</v>
      </c>
      <c r="AJ203" s="38">
        <f>IF(AND(AJ$7="○",$A203&gt;=AJ$8,$A203&lt;=AJ$9),IF(SUM(AJ$10:AJ202)-ROUNDDOWN($K203*AJ$5/100,0)&lt;-AJ$6,-AJ$6-SUM(AJ$10:AJ202),-ROUNDDOWN($K203*AJ$5/100,0)),0)</f>
        <v>0</v>
      </c>
      <c r="AK203" s="38">
        <f>IF(AND(AK$7="○",$A203&gt;=AK$8,$A203&lt;=AK$9),IF(SUM(AK$10:AK202)-ROUNDDOWN($L203*AK$5/100,0)&lt;-AK$6,-AK$6-SUM(AK$10:AK202),-ROUNDDOWN($L203*AK$5/100,0)),0)</f>
        <v>0</v>
      </c>
      <c r="AL203" s="38">
        <f>IF(AND(AL$7="○",$A203&gt;=AL$8,$A203&lt;=AL$9),IF(SUM(AL$10:AL202)-ROUNDDOWN($N203*AL$5/100,0)&lt;-AL$6,-AL$6-SUM(AL$10:AL202),-ROUNDDOWN($N203*AL$5/100,0)),0)</f>
        <v>0</v>
      </c>
      <c r="AM203" s="38">
        <f>IF(AND(AM$7="○",$A203&gt;=AM$8,$A203&lt;=AM$9),IF(SUM(AM$10:AM202)-ROUNDDOWN($L203*AM$5/100,0)&lt;-AM$6,-AM$6-SUM(AM$10:AM202),-ROUNDDOWN($L203*AM$5/100,0)),0)</f>
        <v>0</v>
      </c>
      <c r="AN203" s="38">
        <f>IF(AND(AN$7="○",$A203&gt;=AN$8,$A203&lt;=AN$9),IF(SUM(AN$10:AN202)-ROUNDDOWN($M203*AN$5/100,0)&lt;-AN$6,-AN$6-SUM(AN$10:AN202),-ROUNDDOWN($M203*AN$5/100,0)),0)</f>
        <v>0</v>
      </c>
      <c r="AO203" s="38">
        <f>IF(AND($A203&gt;=AO$8,$A203&lt;=AO$9),IF(SUM(AO$10:AO202)-ROUNDDOWN($K203*AO$5/100,0)&lt;-AO$6,-AO$6-SUM(AO$10:AO202),-ROUNDDOWN($K203*AO$5/100,0)),0)</f>
        <v>0</v>
      </c>
      <c r="AP203" s="38">
        <f>IF(AND($A203&gt;=AP$8,$A203&lt;=AP$9),IF(SUM(AP$10:AP202)-ROUNDDOWN($K203*AP$5/100,0)&lt;-AP$6,-AP$6-SUM(AP$10:AP202),-ROUNDDOWN($K203*AP$5/100,0)),0)</f>
        <v>0</v>
      </c>
      <c r="AQ203" s="38">
        <f>IF(AND($A203&gt;=AQ$8,$A203&lt;=AQ$9),IF(SUM(AQ$10:AQ202)-ROUNDDOWN($K203*AQ$5/100,0)&lt;-AQ$6,-AQ$6-SUM(AQ$10:AQ202),-ROUNDDOWN($K203*AQ$5/100,0)),0)</f>
        <v>0</v>
      </c>
      <c r="AR203" s="38">
        <f>IF(AND($A203&gt;=AR$8,$A203&lt;=AR$9),IF(SUM(AR$10:AR202)-ROUNDDOWN($K203*AR$5/100,0)&lt;-AR$6,-AR$6-SUM(AR$10:AR202),-ROUNDDOWN($K203*AR$5/100,0)),0)</f>
        <v>0</v>
      </c>
      <c r="AS203" s="38">
        <f>IF(SUMIFS(AS$10:AS202,$A$10:$A202,$A203)-ROUNDDOWN($K203*$S203/100,0)&lt;-$S203*1000,-$S203*1000-SUMIFS(AS$10:AS202,$A$10:$A202,$A203),-ROUNDDOWN($K203*$S203/100,0))</f>
        <v>0</v>
      </c>
      <c r="AT203" s="38">
        <f>IF(AND(X203="○",$A203&gt;=AT$8,$A203&lt;=AT$9,K203&gt;=3980),IF(SUM(AT$10:AT202)-ROUNDDOWN($K203*AT$5/100,0)&lt;-AT$6,-AT$6-SUM(AT$10:AT202),-ROUNDDOWN($K203*AT$5/100,0)),0)</f>
        <v>0</v>
      </c>
      <c r="AU203" s="38">
        <f>IF(O203="○",IF(SUM(AU$10:AU202)-ROUNDDOWN($K203*AU$5/100,0)&lt;-AU$6,-AU$6-SUM(AU$10:AU202),-ROUNDDOWN($K203*AU$5/100,0)),0)</f>
        <v>0</v>
      </c>
      <c r="AV203" s="38">
        <f>IF(P203="○",IF(SUM(AV$10:AV202)-ROUNDDOWN($K203*AV$5/100,0)&lt;-AV$6,-AV$6-SUM(AV$10:AV202),-ROUNDDOWN($K203*AV$5/100,0)),0)</f>
        <v>0</v>
      </c>
      <c r="AW203" s="38">
        <f>IF(Q203="○",IF(SUM(AW$10:AW202)-ROUNDDOWN($K203*AW$5/100,0)&lt;-AW$6,-AW$6-SUM(AW$10:AW202),-ROUNDDOWN($K203*AW$5/100,0)),0)</f>
        <v>0</v>
      </c>
      <c r="AX203" s="38">
        <f>IF(R203="○",IF(SUM(AX$10:AX202)-ROUNDDOWN($K203*AX$5/100,0)&lt;-AX$6,-AX$6-SUM(AX$10:AX202),-ROUNDDOWN($K203*AX$5/100,0)),0)</f>
        <v>0</v>
      </c>
      <c r="AY203" s="70">
        <v>0</v>
      </c>
      <c r="AZ203" s="65">
        <f t="shared" si="132"/>
        <v>0</v>
      </c>
      <c r="BA203" s="65">
        <f t="shared" si="133"/>
        <v>0</v>
      </c>
      <c r="BB203" s="70"/>
      <c r="BC203" s="65">
        <f t="shared" si="134"/>
        <v>0</v>
      </c>
      <c r="BD203" s="70">
        <v>0</v>
      </c>
      <c r="BE203" s="65">
        <f t="shared" si="135"/>
        <v>0</v>
      </c>
      <c r="BF203" s="70">
        <v>0</v>
      </c>
      <c r="BG203" s="65">
        <f t="shared" si="136"/>
        <v>0</v>
      </c>
      <c r="BH203" s="70">
        <v>0</v>
      </c>
      <c r="BI203" s="65">
        <f t="shared" si="137"/>
        <v>0</v>
      </c>
      <c r="BJ203" s="38">
        <f>IF(AND(BJ$7="○",$A203&gt;=BJ$8,$A203&lt;=BJ$9),IF(SUM(BJ$10:BJ202)-ROUNDDOWN($M203*BJ$5/100,0)&lt;-BJ$6,-BJ$6-SUM(BJ$10:BJ202),-ROUNDDOWN($M203*BJ$5/100,0)),0)</f>
        <v>0</v>
      </c>
      <c r="BK203" s="38">
        <f>IF(AND(BK$7="○",$A203&gt;=BK$8,$A203&lt;=BK$9),IF(SUM(BK$10:BK202)-ROUNDDOWN($L203*BK$5/100,0)&lt;-BK$6,-BK$6-SUM(BK$10:BK202),-ROUNDDOWN($L203*BK$5/100,0)),0)</f>
        <v>0</v>
      </c>
      <c r="BL203" s="38">
        <f>IF(AND(BL$7="○",$A203&gt;=BL$8,$A203&lt;=BL$9),IF(SUM(BL$10:BL202)-ROUNDDOWN($L203*BL$5/100,0)&lt;-BL$6,-BL$6-SUM(BL$10:BL202),-ROUNDDOWN($L203*BL$5/100,0)),0)</f>
        <v>0</v>
      </c>
      <c r="BM203" s="38">
        <f>IF(AND(BM$7="○",$A203&gt;=BM$8,$A203&lt;=BM$9),IF(SUM(BM$10:BM202)-ROUNDDOWN($M203*BM$5/100,0)&lt;-BM$6,-BM$6-SUM(BM$10:BM202),-ROUNDDOWN($M203*BM$5/100,0)),0)</f>
        <v>0</v>
      </c>
      <c r="BN203" s="38">
        <f>IF(AND(BN$7="○",$A203&gt;=BN$8,$A203&lt;=BN$9),IF(SUM(BN$10:BN202)-ROUNDDOWN($M203*BN$5/100,0)&lt;-BN$6,-BN$6-SUM(BN$10:BN202),-ROUNDDOWN($M203*BN$5/100,0)),0)</f>
        <v>0</v>
      </c>
      <c r="BO203" s="38">
        <f>IF(AND(BO$7="○",$A203&gt;=BO$8,$A203&lt;=BO$9),IF(SUM(BO$10:BO202)-ROUNDDOWN($M203*BO$5/100,0)&lt;-BO$6,-BO$6-SUM(BO$10:BO202),-ROUNDDOWN($M203*BO$5/100,0)),0)</f>
        <v>0</v>
      </c>
      <c r="BP203" s="38">
        <f>IF(AND(BP$7="○",$A203&gt;=BP$8,$A203&lt;=BP$9),IF(SUM(BP$10:BP202)-ROUNDDOWN($M203*BP$5/100,0)&lt;-BP$6,-BP$6-SUM(BP$10:BP202),-ROUNDDOWN($M203*BP$5/100,0)),0)</f>
        <v>0</v>
      </c>
      <c r="BQ203" s="38">
        <f>IF(AND(BQ$7="○",$A203&gt;=BQ$8,$A203&lt;=BQ$9),IF(SUM(BQ$10:BQ202)-ROUNDDOWN($L203*BQ$5/100,0)&lt;-BQ$6,-BQ$6-SUM(BQ$10:BQ202),-ROUNDDOWN($L203*BQ$5/100,0)),0)</f>
        <v>0</v>
      </c>
      <c r="BR203" s="38">
        <f>IF(AND(BR$7="○",$A203&gt;=BR$8,$A203&lt;=BR$9),IF(SUM(BR$10:BR202)-ROUNDDOWN($M203*BR$5/100,0)&lt;-BR$6,-BR$6-SUM(BR$10:BR202),-ROUNDDOWN($M203*BR$5/100,0)),0)</f>
        <v>0</v>
      </c>
      <c r="BS203" s="38">
        <f>IF(AND(BS$7="○",$A203&gt;=BS$8,$A203&lt;=BS$9),IF(SUM(BS$10:BS202)-ROUNDDOWN($M203*BS$5/100,0)&lt;-BS$6,-BS$6-SUM(BS$10:BS202),-ROUNDDOWN($M203*BS$5/100,0)),0)</f>
        <v>0</v>
      </c>
      <c r="BT203" s="38">
        <f>IF(AND(BT$7="○",$A203&gt;=BT$8,$A203&lt;=BT$9),IF(SUM(BT$10:BT202)-ROUNDDOWN($M203*BT$5/100,0)&lt;-BT$6,-BT$6-SUM(BT$10:BT202),-ROUNDDOWN($M203*BT$5/100,0)),0)</f>
        <v>0</v>
      </c>
      <c r="BU203" s="38">
        <f>IF(AND(BU$7="○",$A203&gt;=BU$8,$A203&lt;=BU$9),IF(SUM(BU$10:BU202)-ROUNDDOWN($M203*BU$5/100,0)&lt;-BU$6,-BU$6-SUM(BU$10:BU202),-ROUNDDOWN($M203*BU$5/100,0)),0)</f>
        <v>0</v>
      </c>
      <c r="BV203" s="38">
        <f>IF(AND(BV$7="○",$A203&gt;=BV$8,$A203&lt;=BV$9),IF(SUM(BV$10:BV202)-ROUNDDOWN($M203*BV$5/100,0)&lt;-BV$6,-BV$6-SUM(BV$10:BV202),-ROUNDDOWN($M203*BV$5/100,0)),0)</f>
        <v>0</v>
      </c>
      <c r="BW203" s="38">
        <f>IF(AND(BW$7="○",$A203&gt;=BW$8,$A203&lt;=BW$9),IF(SUM(BW$10:BW202)-ROUNDDOWN($M203*BW$5/100,0)&lt;-BW$6,-BW$6-SUM(BW$10:BW202),-ROUNDDOWN($M203*BW$5/100,0)),0)</f>
        <v>0</v>
      </c>
      <c r="BX203" s="38">
        <f>IF(AND(T203="○",$A203&gt;=BX$8,$A203&lt;=BX$9),IF(SUM(BX$10:BX202)-ROUNDDOWN($K203*BX$5/100,0)&lt;-BX$6,-BX$6-SUM(BX$10:BX202),-ROUNDDOWN($K203*BX$5/100,0)),0)</f>
        <v>0</v>
      </c>
      <c r="BY203" s="38">
        <f>IF(AND(U203="○",$A203&gt;=BY$8,$A203&lt;=BY$9),IF(SUM(BY$10:BY202)-ROUNDDOWN($K203*BY$5/100,0)&lt;-BY$6,-BY$6-SUM(BY$10:BY202),-ROUNDDOWN($K203*BY$5/100,0)),0)</f>
        <v>0</v>
      </c>
      <c r="BZ203" s="38">
        <f>IF(AND(V203="○",$A203&gt;=BZ$8,$A203&lt;=BZ$9),IF(SUM(BZ$10:BZ202)-ROUNDDOWN($K203*BZ$5/100,0)&lt;-BZ$6,-BZ$6-SUM(BZ$10:BZ202),-ROUNDDOWN($K203*BZ$5/100,0)),0)</f>
        <v>0</v>
      </c>
      <c r="CA203" s="38">
        <f>IF(AND(W203="○",$A203&gt;=CA$8,$A203&lt;=CA$9),IF(SUM(CA$10:CA202)-ROUNDDOWN($K203*CA$5/100,0)&lt;-CA$6,-CA$6-SUM(CA$10:CA202),-ROUNDDOWN($K203*CA$5/100,0)),0)</f>
        <v>0</v>
      </c>
      <c r="CB203" s="38"/>
      <c r="CC203" s="38"/>
      <c r="CD203" s="38"/>
      <c r="CE203" s="38"/>
      <c r="CF203" s="38"/>
      <c r="CG203" s="65">
        <f t="shared" si="138"/>
        <v>0</v>
      </c>
      <c r="CH203" s="71">
        <f t="shared" si="139"/>
        <v>0</v>
      </c>
      <c r="CI203" s="1">
        <f t="shared" si="171"/>
        <v>0</v>
      </c>
      <c r="CJ203" s="1"/>
      <c r="CK203" s="72"/>
      <c r="CL203" s="72"/>
      <c r="CM203" s="2"/>
      <c r="CN203" s="2"/>
      <c r="CO203" s="73">
        <f t="shared" si="172"/>
        <v>0</v>
      </c>
      <c r="CP203" s="5">
        <f t="shared" si="173"/>
        <v>0</v>
      </c>
      <c r="CQ203" s="1"/>
      <c r="CR203" s="1">
        <f t="shared" si="174"/>
        <v>0</v>
      </c>
      <c r="CS203" s="1"/>
      <c r="CT203" s="1" t="e">
        <f>INDEX([2]マスタ!$A:$A,MATCH(D203,[2]マスタ!$C:$C,0))</f>
        <v>#N/A</v>
      </c>
      <c r="CU203" s="1" t="str">
        <f t="shared" ca="1" si="175"/>
        <v>20260620_0-0</v>
      </c>
    </row>
    <row r="204" spans="1:99" x14ac:dyDescent="0.4">
      <c r="A204" s="61"/>
      <c r="B204" s="62"/>
      <c r="C204" s="62"/>
      <c r="D204" s="62"/>
      <c r="E204" s="74"/>
      <c r="F204" s="62"/>
      <c r="G204" s="62">
        <v>1</v>
      </c>
      <c r="H204" s="64">
        <f t="shared" si="162"/>
        <v>0</v>
      </c>
      <c r="I204" s="64"/>
      <c r="J204" s="64"/>
      <c r="K204" s="65">
        <f t="shared" si="163"/>
        <v>0</v>
      </c>
      <c r="L204" s="65">
        <f t="shared" si="164"/>
        <v>0</v>
      </c>
      <c r="M204" s="65">
        <f t="shared" si="165"/>
        <v>0</v>
      </c>
      <c r="N204" s="65">
        <f t="shared" si="166"/>
        <v>0</v>
      </c>
      <c r="O204" s="66" t="str">
        <f t="shared" si="167"/>
        <v>✕</v>
      </c>
      <c r="P204" s="67" t="str">
        <f t="shared" si="168"/>
        <v>○</v>
      </c>
      <c r="Q204" s="67" t="str">
        <f t="shared" si="169"/>
        <v>✕</v>
      </c>
      <c r="R204" s="67" t="str">
        <f t="shared" si="170"/>
        <v>✕</v>
      </c>
      <c r="S204" s="68">
        <v>0</v>
      </c>
      <c r="T204" s="69" t="s">
        <v>85</v>
      </c>
      <c r="U204" s="69" t="s">
        <v>85</v>
      </c>
      <c r="V204" s="69" t="s">
        <v>85</v>
      </c>
      <c r="W204" s="69" t="s">
        <v>85</v>
      </c>
      <c r="X204" s="69" t="s">
        <v>84</v>
      </c>
      <c r="Y204" s="69" t="s">
        <v>85</v>
      </c>
      <c r="Z204" s="69" t="s">
        <v>85</v>
      </c>
      <c r="AA204" s="69" t="s">
        <v>85</v>
      </c>
      <c r="AB204" s="69" t="s">
        <v>85</v>
      </c>
      <c r="AC204" s="69" t="s">
        <v>85</v>
      </c>
      <c r="AD204" s="38" t="str">
        <f>+IF(ISERROR(VLOOKUP($B204,AD$10:AD203,1,0)),IF(AND($N204&gt;=1000,$A204&gt;=AO$8,$A204&lt;=AO$9),$B204,""),"")</f>
        <v/>
      </c>
      <c r="AE204" s="38" t="str">
        <f>+IF(ISERROR(VLOOKUP($B204,AE$10:AE203,1,0)),IF(AND($N204&gt;=1000,$A204&gt;=AP$8,$A204&lt;=AP$9),$B204,""),"")</f>
        <v/>
      </c>
      <c r="AF204" s="38" t="str">
        <f>+IF(ISERROR(VLOOKUP($B204,AF$10:AF203,1,0)),IF(AND($N204&gt;=1000,$A204&gt;=AQ$8,$A204&lt;=AQ$9),$B204,""),"")</f>
        <v/>
      </c>
      <c r="AG204" s="38" t="str">
        <f>+IF(ISERROR(VLOOKUP($B204,AG$10:AG203,1,0)),IF(AND($N204&gt;=1000,$A204&gt;=AR$8,$A204&lt;=AR$9),$B204,""),"")</f>
        <v/>
      </c>
      <c r="AH204" s="38"/>
      <c r="AI204" s="70">
        <v>0</v>
      </c>
      <c r="AJ204" s="38">
        <f>IF(AND(AJ$7="○",$A204&gt;=AJ$8,$A204&lt;=AJ$9),IF(SUM(AJ$10:AJ203)-ROUNDDOWN($K204*AJ$5/100,0)&lt;-AJ$6,-AJ$6-SUM(AJ$10:AJ203),-ROUNDDOWN($K204*AJ$5/100,0)),0)</f>
        <v>0</v>
      </c>
      <c r="AK204" s="38">
        <f>IF(AND(AK$7="○",$A204&gt;=AK$8,$A204&lt;=AK$9),IF(SUM(AK$10:AK203)-ROUNDDOWN($L204*AK$5/100,0)&lt;-AK$6,-AK$6-SUM(AK$10:AK203),-ROUNDDOWN($L204*AK$5/100,0)),0)</f>
        <v>0</v>
      </c>
      <c r="AL204" s="38">
        <f>IF(AND(AL$7="○",$A204&gt;=AL$8,$A204&lt;=AL$9),IF(SUM(AL$10:AL203)-ROUNDDOWN($N204*AL$5/100,0)&lt;-AL$6,-AL$6-SUM(AL$10:AL203),-ROUNDDOWN($N204*AL$5/100,0)),0)</f>
        <v>0</v>
      </c>
      <c r="AM204" s="38">
        <f>IF(AND(AM$7="○",$A204&gt;=AM$8,$A204&lt;=AM$9),IF(SUM(AM$10:AM203)-ROUNDDOWN($L204*AM$5/100,0)&lt;-AM$6,-AM$6-SUM(AM$10:AM203),-ROUNDDOWN($L204*AM$5/100,0)),0)</f>
        <v>0</v>
      </c>
      <c r="AN204" s="38">
        <f>IF(AND(AN$7="○",$A204&gt;=AN$8,$A204&lt;=AN$9),IF(SUM(AN$10:AN203)-ROUNDDOWN($M204*AN$5/100,0)&lt;-AN$6,-AN$6-SUM(AN$10:AN203),-ROUNDDOWN($M204*AN$5/100,0)),0)</f>
        <v>0</v>
      </c>
      <c r="AO204" s="38">
        <f>IF(AND($A204&gt;=AO$8,$A204&lt;=AO$9),IF(SUM(AO$10:AO203)-ROUNDDOWN($K204*AO$5/100,0)&lt;-AO$6,-AO$6-SUM(AO$10:AO203),-ROUNDDOWN($K204*AO$5/100,0)),0)</f>
        <v>0</v>
      </c>
      <c r="AP204" s="38">
        <f>IF(AND($A204&gt;=AP$8,$A204&lt;=AP$9),IF(SUM(AP$10:AP203)-ROUNDDOWN($K204*AP$5/100,0)&lt;-AP$6,-AP$6-SUM(AP$10:AP203),-ROUNDDOWN($K204*AP$5/100,0)),0)</f>
        <v>0</v>
      </c>
      <c r="AQ204" s="38">
        <f>IF(AND($A204&gt;=AQ$8,$A204&lt;=AQ$9),IF(SUM(AQ$10:AQ203)-ROUNDDOWN($K204*AQ$5/100,0)&lt;-AQ$6,-AQ$6-SUM(AQ$10:AQ203),-ROUNDDOWN($K204*AQ$5/100,0)),0)</f>
        <v>0</v>
      </c>
      <c r="AR204" s="38">
        <f>IF(AND($A204&gt;=AR$8,$A204&lt;=AR$9),IF(SUM(AR$10:AR203)-ROUNDDOWN($K204*AR$5/100,0)&lt;-AR$6,-AR$6-SUM(AR$10:AR203),-ROUNDDOWN($K204*AR$5/100,0)),0)</f>
        <v>0</v>
      </c>
      <c r="AS204" s="38">
        <f>IF(SUMIFS(AS$10:AS203,$A$10:$A203,$A204)-ROUNDDOWN($K204*$S204/100,0)&lt;-$S204*1000,-$S204*1000-SUMIFS(AS$10:AS203,$A$10:$A203,$A204),-ROUNDDOWN($K204*$S204/100,0))</f>
        <v>0</v>
      </c>
      <c r="AT204" s="38">
        <f>IF(AND(X204="○",$A204&gt;=AT$8,$A204&lt;=AT$9,K204&gt;=3980),IF(SUM(AT$10:AT203)-ROUNDDOWN($K204*AT$5/100,0)&lt;-AT$6,-AT$6-SUM(AT$10:AT203),-ROUNDDOWN($K204*AT$5/100,0)),0)</f>
        <v>0</v>
      </c>
      <c r="AU204" s="38">
        <f>IF(O204="○",IF(SUM(AU$10:AU203)-ROUNDDOWN($K204*AU$5/100,0)&lt;-AU$6,-AU$6-SUM(AU$10:AU203),-ROUNDDOWN($K204*AU$5/100,0)),0)</f>
        <v>0</v>
      </c>
      <c r="AV204" s="38">
        <f>IF(P204="○",IF(SUM(AV$10:AV203)-ROUNDDOWN($K204*AV$5/100,0)&lt;-AV$6,-AV$6-SUM(AV$10:AV203),-ROUNDDOWN($K204*AV$5/100,0)),0)</f>
        <v>0</v>
      </c>
      <c r="AW204" s="38">
        <f>IF(Q204="○",IF(SUM(AW$10:AW203)-ROUNDDOWN($K204*AW$5/100,0)&lt;-AW$6,-AW$6-SUM(AW$10:AW203),-ROUNDDOWN($K204*AW$5/100,0)),0)</f>
        <v>0</v>
      </c>
      <c r="AX204" s="38">
        <f>IF(R204="○",IF(SUM(AX$10:AX203)-ROUNDDOWN($K204*AX$5/100,0)&lt;-AX$6,-AX$6-SUM(AX$10:AX203),-ROUNDDOWN($K204*AX$5/100,0)),0)</f>
        <v>0</v>
      </c>
      <c r="AY204" s="70">
        <v>0</v>
      </c>
      <c r="AZ204" s="65">
        <f t="shared" si="132"/>
        <v>0</v>
      </c>
      <c r="BA204" s="65">
        <f t="shared" si="133"/>
        <v>0</v>
      </c>
      <c r="BB204" s="70"/>
      <c r="BC204" s="65">
        <f t="shared" si="134"/>
        <v>0</v>
      </c>
      <c r="BD204" s="70">
        <v>0</v>
      </c>
      <c r="BE204" s="65">
        <f t="shared" si="135"/>
        <v>0</v>
      </c>
      <c r="BF204" s="70">
        <v>0</v>
      </c>
      <c r="BG204" s="65">
        <f t="shared" si="136"/>
        <v>0</v>
      </c>
      <c r="BH204" s="70">
        <v>0</v>
      </c>
      <c r="BI204" s="65">
        <f t="shared" si="137"/>
        <v>0</v>
      </c>
      <c r="BJ204" s="38">
        <f>IF(AND(BJ$7="○",$A204&gt;=BJ$8,$A204&lt;=BJ$9),IF(SUM(BJ$10:BJ203)-ROUNDDOWN($M204*BJ$5/100,0)&lt;-BJ$6,-BJ$6-SUM(BJ$10:BJ203),-ROUNDDOWN($M204*BJ$5/100,0)),0)</f>
        <v>0</v>
      </c>
      <c r="BK204" s="38">
        <f>IF(AND(BK$7="○",$A204&gt;=BK$8,$A204&lt;=BK$9),IF(SUM(BK$10:BK203)-ROUNDDOWN($L204*BK$5/100,0)&lt;-BK$6,-BK$6-SUM(BK$10:BK203),-ROUNDDOWN($L204*BK$5/100,0)),0)</f>
        <v>0</v>
      </c>
      <c r="BL204" s="38">
        <f>IF(AND(BL$7="○",$A204&gt;=BL$8,$A204&lt;=BL$9),IF(SUM(BL$10:BL203)-ROUNDDOWN($L204*BL$5/100,0)&lt;-BL$6,-BL$6-SUM(BL$10:BL203),-ROUNDDOWN($L204*BL$5/100,0)),0)</f>
        <v>0</v>
      </c>
      <c r="BM204" s="38">
        <f>IF(AND(BM$7="○",$A204&gt;=BM$8,$A204&lt;=BM$9),IF(SUM(BM$10:BM203)-ROUNDDOWN($M204*BM$5/100,0)&lt;-BM$6,-BM$6-SUM(BM$10:BM203),-ROUNDDOWN($M204*BM$5/100,0)),0)</f>
        <v>0</v>
      </c>
      <c r="BN204" s="38">
        <f>IF(AND(BN$7="○",$A204&gt;=BN$8,$A204&lt;=BN$9),IF(SUM(BN$10:BN203)-ROUNDDOWN($M204*BN$5/100,0)&lt;-BN$6,-BN$6-SUM(BN$10:BN203),-ROUNDDOWN($M204*BN$5/100,0)),0)</f>
        <v>0</v>
      </c>
      <c r="BO204" s="38">
        <f>IF(AND(BO$7="○",$A204&gt;=BO$8,$A204&lt;=BO$9),IF(SUM(BO$10:BO203)-ROUNDDOWN($M204*BO$5/100,0)&lt;-BO$6,-BO$6-SUM(BO$10:BO203),-ROUNDDOWN($M204*BO$5/100,0)),0)</f>
        <v>0</v>
      </c>
      <c r="BP204" s="38">
        <f>IF(AND(BP$7="○",$A204&gt;=BP$8,$A204&lt;=BP$9),IF(SUM(BP$10:BP203)-ROUNDDOWN($M204*BP$5/100,0)&lt;-BP$6,-BP$6-SUM(BP$10:BP203),-ROUNDDOWN($M204*BP$5/100,0)),0)</f>
        <v>0</v>
      </c>
      <c r="BQ204" s="38">
        <f>IF(AND(BQ$7="○",$A204&gt;=BQ$8,$A204&lt;=BQ$9),IF(SUM(BQ$10:BQ203)-ROUNDDOWN($L204*BQ$5/100,0)&lt;-BQ$6,-BQ$6-SUM(BQ$10:BQ203),-ROUNDDOWN($L204*BQ$5/100,0)),0)</f>
        <v>0</v>
      </c>
      <c r="BR204" s="38">
        <f>IF(AND(BR$7="○",$A204&gt;=BR$8,$A204&lt;=BR$9),IF(SUM(BR$10:BR203)-ROUNDDOWN($M204*BR$5/100,0)&lt;-BR$6,-BR$6-SUM(BR$10:BR203),-ROUNDDOWN($M204*BR$5/100,0)),0)</f>
        <v>0</v>
      </c>
      <c r="BS204" s="38">
        <f>IF(AND(BS$7="○",$A204&gt;=BS$8,$A204&lt;=BS$9),IF(SUM(BS$10:BS203)-ROUNDDOWN($M204*BS$5/100,0)&lt;-BS$6,-BS$6-SUM(BS$10:BS203),-ROUNDDOWN($M204*BS$5/100,0)),0)</f>
        <v>0</v>
      </c>
      <c r="BT204" s="38">
        <f>IF(AND(BT$7="○",$A204&gt;=BT$8,$A204&lt;=BT$9),IF(SUM(BT$10:BT203)-ROUNDDOWN($M204*BT$5/100,0)&lt;-BT$6,-BT$6-SUM(BT$10:BT203),-ROUNDDOWN($M204*BT$5/100,0)),0)</f>
        <v>0</v>
      </c>
      <c r="BU204" s="38">
        <f>IF(AND(BU$7="○",$A204&gt;=BU$8,$A204&lt;=BU$9),IF(SUM(BU$10:BU203)-ROUNDDOWN($M204*BU$5/100,0)&lt;-BU$6,-BU$6-SUM(BU$10:BU203),-ROUNDDOWN($M204*BU$5/100,0)),0)</f>
        <v>0</v>
      </c>
      <c r="BV204" s="38">
        <f>IF(AND(BV$7="○",$A204&gt;=BV$8,$A204&lt;=BV$9),IF(SUM(BV$10:BV203)-ROUNDDOWN($M204*BV$5/100,0)&lt;-BV$6,-BV$6-SUM(BV$10:BV203),-ROUNDDOWN($M204*BV$5/100,0)),0)</f>
        <v>0</v>
      </c>
      <c r="BW204" s="38">
        <f>IF(AND(BW$7="○",$A204&gt;=BW$8,$A204&lt;=BW$9),IF(SUM(BW$10:BW203)-ROUNDDOWN($M204*BW$5/100,0)&lt;-BW$6,-BW$6-SUM(BW$10:BW203),-ROUNDDOWN($M204*BW$5/100,0)),0)</f>
        <v>0</v>
      </c>
      <c r="BX204" s="38">
        <f>IF(AND(T204="○",$A204&gt;=BX$8,$A204&lt;=BX$9),IF(SUM(BX$10:BX203)-ROUNDDOWN($K204*BX$5/100,0)&lt;-BX$6,-BX$6-SUM(BX$10:BX203),-ROUNDDOWN($K204*BX$5/100,0)),0)</f>
        <v>0</v>
      </c>
      <c r="BY204" s="38">
        <f>IF(AND(U204="○",$A204&gt;=BY$8,$A204&lt;=BY$9),IF(SUM(BY$10:BY203)-ROUNDDOWN($K204*BY$5/100,0)&lt;-BY$6,-BY$6-SUM(BY$10:BY203),-ROUNDDOWN($K204*BY$5/100,0)),0)</f>
        <v>0</v>
      </c>
      <c r="BZ204" s="38">
        <f>IF(AND(V204="○",$A204&gt;=BZ$8,$A204&lt;=BZ$9),IF(SUM(BZ$10:BZ203)-ROUNDDOWN($K204*BZ$5/100,0)&lt;-BZ$6,-BZ$6-SUM(BZ$10:BZ203),-ROUNDDOWN($K204*BZ$5/100,0)),0)</f>
        <v>0</v>
      </c>
      <c r="CA204" s="38">
        <f>IF(AND(W204="○",$A204&gt;=CA$8,$A204&lt;=CA$9),IF(SUM(CA$10:CA203)-ROUNDDOWN($K204*CA$5/100,0)&lt;-CA$6,-CA$6-SUM(CA$10:CA203),-ROUNDDOWN($K204*CA$5/100,0)),0)</f>
        <v>0</v>
      </c>
      <c r="CB204" s="38"/>
      <c r="CC204" s="38"/>
      <c r="CD204" s="38"/>
      <c r="CE204" s="38"/>
      <c r="CF204" s="38"/>
      <c r="CG204" s="65">
        <f t="shared" si="138"/>
        <v>0</v>
      </c>
      <c r="CH204" s="71">
        <f t="shared" si="139"/>
        <v>0</v>
      </c>
      <c r="CI204" s="1">
        <f t="shared" si="171"/>
        <v>0</v>
      </c>
      <c r="CJ204" s="1"/>
      <c r="CK204" s="72"/>
      <c r="CL204" s="72"/>
      <c r="CM204" s="2"/>
      <c r="CN204" s="2"/>
      <c r="CO204" s="73">
        <f t="shared" si="172"/>
        <v>0</v>
      </c>
      <c r="CP204" s="5">
        <f t="shared" si="173"/>
        <v>0</v>
      </c>
      <c r="CQ204" s="1"/>
      <c r="CR204" s="1">
        <f t="shared" si="174"/>
        <v>0</v>
      </c>
      <c r="CS204" s="1"/>
      <c r="CT204" s="1" t="e">
        <f>INDEX([2]マスタ!$A:$A,MATCH(D204,[2]マスタ!$C:$C,0))</f>
        <v>#N/A</v>
      </c>
      <c r="CU204" s="1" t="str">
        <f t="shared" ca="1" si="175"/>
        <v>20260620_0-0</v>
      </c>
    </row>
    <row r="205" spans="1:99" x14ac:dyDescent="0.4">
      <c r="A205" s="61"/>
      <c r="B205" s="62"/>
      <c r="C205" s="62"/>
      <c r="D205" s="62"/>
      <c r="E205" s="74"/>
      <c r="F205" s="62"/>
      <c r="G205" s="62">
        <v>1</v>
      </c>
      <c r="H205" s="64">
        <f t="shared" si="162"/>
        <v>0</v>
      </c>
      <c r="I205" s="64"/>
      <c r="J205" s="64"/>
      <c r="K205" s="65">
        <f t="shared" si="163"/>
        <v>0</v>
      </c>
      <c r="L205" s="65">
        <f t="shared" si="164"/>
        <v>0</v>
      </c>
      <c r="M205" s="65">
        <f t="shared" si="165"/>
        <v>0</v>
      </c>
      <c r="N205" s="65">
        <f t="shared" si="166"/>
        <v>0</v>
      </c>
      <c r="O205" s="66" t="str">
        <f t="shared" si="167"/>
        <v>✕</v>
      </c>
      <c r="P205" s="67" t="str">
        <f t="shared" si="168"/>
        <v>○</v>
      </c>
      <c r="Q205" s="67" t="str">
        <f t="shared" si="169"/>
        <v>✕</v>
      </c>
      <c r="R205" s="67" t="str">
        <f t="shared" si="170"/>
        <v>✕</v>
      </c>
      <c r="S205" s="68">
        <v>0</v>
      </c>
      <c r="T205" s="69" t="s">
        <v>85</v>
      </c>
      <c r="U205" s="69" t="s">
        <v>85</v>
      </c>
      <c r="V205" s="69" t="s">
        <v>85</v>
      </c>
      <c r="W205" s="69" t="s">
        <v>85</v>
      </c>
      <c r="X205" s="69" t="s">
        <v>84</v>
      </c>
      <c r="Y205" s="69" t="s">
        <v>85</v>
      </c>
      <c r="Z205" s="69" t="s">
        <v>85</v>
      </c>
      <c r="AA205" s="69" t="s">
        <v>85</v>
      </c>
      <c r="AB205" s="69" t="s">
        <v>85</v>
      </c>
      <c r="AC205" s="69" t="s">
        <v>85</v>
      </c>
      <c r="AD205" s="38" t="str">
        <f>+IF(ISERROR(VLOOKUP($B205,AD$10:AD204,1,0)),IF(AND($N205&gt;=1000,$A205&gt;=AO$8,$A205&lt;=AO$9),$B205,""),"")</f>
        <v/>
      </c>
      <c r="AE205" s="38" t="str">
        <f>+IF(ISERROR(VLOOKUP($B205,AE$10:AE204,1,0)),IF(AND($N205&gt;=1000,$A205&gt;=AP$8,$A205&lt;=AP$9),$B205,""),"")</f>
        <v/>
      </c>
      <c r="AF205" s="38" t="str">
        <f>+IF(ISERROR(VLOOKUP($B205,AF$10:AF204,1,0)),IF(AND($N205&gt;=1000,$A205&gt;=AQ$8,$A205&lt;=AQ$9),$B205,""),"")</f>
        <v/>
      </c>
      <c r="AG205" s="38" t="str">
        <f>+IF(ISERROR(VLOOKUP($B205,AG$10:AG204,1,0)),IF(AND($N205&gt;=1000,$A205&gt;=AR$8,$A205&lt;=AR$9),$B205,""),"")</f>
        <v/>
      </c>
      <c r="AH205" s="38"/>
      <c r="AI205" s="70">
        <v>0</v>
      </c>
      <c r="AJ205" s="38">
        <f>IF(AND(AJ$7="○",$A205&gt;=AJ$8,$A205&lt;=AJ$9),IF(SUM(AJ$10:AJ204)-ROUNDDOWN($K205*AJ$5/100,0)&lt;-AJ$6,-AJ$6-SUM(AJ$10:AJ204),-ROUNDDOWN($K205*AJ$5/100,0)),0)</f>
        <v>0</v>
      </c>
      <c r="AK205" s="38">
        <f>IF(AND(AK$7="○",$A205&gt;=AK$8,$A205&lt;=AK$9),IF(SUM(AK$10:AK204)-ROUNDDOWN($L205*AK$5/100,0)&lt;-AK$6,-AK$6-SUM(AK$10:AK204),-ROUNDDOWN($L205*AK$5/100,0)),0)</f>
        <v>0</v>
      </c>
      <c r="AL205" s="38">
        <f>IF(AND(AL$7="○",$A205&gt;=AL$8,$A205&lt;=AL$9),IF(SUM(AL$10:AL204)-ROUNDDOWN($N205*AL$5/100,0)&lt;-AL$6,-AL$6-SUM(AL$10:AL204),-ROUNDDOWN($N205*AL$5/100,0)),0)</f>
        <v>0</v>
      </c>
      <c r="AM205" s="38">
        <f>IF(AND(AM$7="○",$A205&gt;=AM$8,$A205&lt;=AM$9),IF(SUM(AM$10:AM204)-ROUNDDOWN($L205*AM$5/100,0)&lt;-AM$6,-AM$6-SUM(AM$10:AM204),-ROUNDDOWN($L205*AM$5/100,0)),0)</f>
        <v>0</v>
      </c>
      <c r="AN205" s="38">
        <f>IF(AND(AN$7="○",$A205&gt;=AN$8,$A205&lt;=AN$9),IF(SUM(AN$10:AN204)-ROUNDDOWN($M205*AN$5/100,0)&lt;-AN$6,-AN$6-SUM(AN$10:AN204),-ROUNDDOWN($M205*AN$5/100,0)),0)</f>
        <v>0</v>
      </c>
      <c r="AO205" s="38">
        <f>IF(AND($A205&gt;=AO$8,$A205&lt;=AO$9),IF(SUM(AO$10:AO204)-ROUNDDOWN($K205*AO$5/100,0)&lt;-AO$6,-AO$6-SUM(AO$10:AO204),-ROUNDDOWN($K205*AO$5/100,0)),0)</f>
        <v>0</v>
      </c>
      <c r="AP205" s="38">
        <f>IF(AND($A205&gt;=AP$8,$A205&lt;=AP$9),IF(SUM(AP$10:AP204)-ROUNDDOWN($K205*AP$5/100,0)&lt;-AP$6,-AP$6-SUM(AP$10:AP204),-ROUNDDOWN($K205*AP$5/100,0)),0)</f>
        <v>0</v>
      </c>
      <c r="AQ205" s="38">
        <f>IF(AND($A205&gt;=AQ$8,$A205&lt;=AQ$9),IF(SUM(AQ$10:AQ204)-ROUNDDOWN($K205*AQ$5/100,0)&lt;-AQ$6,-AQ$6-SUM(AQ$10:AQ204),-ROUNDDOWN($K205*AQ$5/100,0)),0)</f>
        <v>0</v>
      </c>
      <c r="AR205" s="38">
        <f>IF(AND($A205&gt;=AR$8,$A205&lt;=AR$9),IF(SUM(AR$10:AR204)-ROUNDDOWN($K205*AR$5/100,0)&lt;-AR$6,-AR$6-SUM(AR$10:AR204),-ROUNDDOWN($K205*AR$5/100,0)),0)</f>
        <v>0</v>
      </c>
      <c r="AS205" s="38">
        <f>IF(SUMIFS(AS$10:AS204,$A$10:$A204,$A205)-ROUNDDOWN($K205*$S205/100,0)&lt;-$S205*1000,-$S205*1000-SUMIFS(AS$10:AS204,$A$10:$A204,$A205),-ROUNDDOWN($K205*$S205/100,0))</f>
        <v>0</v>
      </c>
      <c r="AT205" s="38">
        <f>IF(AND(X205="○",$A205&gt;=AT$8,$A205&lt;=AT$9,K205&gt;=3980),IF(SUM(AT$10:AT204)-ROUNDDOWN($K205*AT$5/100,0)&lt;-AT$6,-AT$6-SUM(AT$10:AT204),-ROUNDDOWN($K205*AT$5/100,0)),0)</f>
        <v>0</v>
      </c>
      <c r="AU205" s="38">
        <f>IF(O205="○",IF(SUM(AU$10:AU204)-ROUNDDOWN($K205*AU$5/100,0)&lt;-AU$6,-AU$6-SUM(AU$10:AU204),-ROUNDDOWN($K205*AU$5/100,0)),0)</f>
        <v>0</v>
      </c>
      <c r="AV205" s="38">
        <f>IF(P205="○",IF(SUM(AV$10:AV204)-ROUNDDOWN($K205*AV$5/100,0)&lt;-AV$6,-AV$6-SUM(AV$10:AV204),-ROUNDDOWN($K205*AV$5/100,0)),0)</f>
        <v>0</v>
      </c>
      <c r="AW205" s="38">
        <f>IF(Q205="○",IF(SUM(AW$10:AW204)-ROUNDDOWN($K205*AW$5/100,0)&lt;-AW$6,-AW$6-SUM(AW$10:AW204),-ROUNDDOWN($K205*AW$5/100,0)),0)</f>
        <v>0</v>
      </c>
      <c r="AX205" s="38">
        <f>IF(R205="○",IF(SUM(AX$10:AX204)-ROUNDDOWN($K205*AX$5/100,0)&lt;-AX$6,-AX$6-SUM(AX$10:AX204),-ROUNDDOWN($K205*AX$5/100,0)),0)</f>
        <v>0</v>
      </c>
      <c r="AY205" s="70">
        <v>0</v>
      </c>
      <c r="AZ205" s="65">
        <f t="shared" si="132"/>
        <v>0</v>
      </c>
      <c r="BA205" s="65">
        <f t="shared" si="133"/>
        <v>0</v>
      </c>
      <c r="BB205" s="70"/>
      <c r="BC205" s="65">
        <f t="shared" si="134"/>
        <v>0</v>
      </c>
      <c r="BD205" s="70">
        <v>0</v>
      </c>
      <c r="BE205" s="65">
        <f t="shared" si="135"/>
        <v>0</v>
      </c>
      <c r="BF205" s="70">
        <v>0</v>
      </c>
      <c r="BG205" s="65">
        <f t="shared" si="136"/>
        <v>0</v>
      </c>
      <c r="BH205" s="70">
        <v>0</v>
      </c>
      <c r="BI205" s="65">
        <f t="shared" si="137"/>
        <v>0</v>
      </c>
      <c r="BJ205" s="38">
        <f>IF(AND(BJ$7="○",$A205&gt;=BJ$8,$A205&lt;=BJ$9),IF(SUM(BJ$10:BJ204)-ROUNDDOWN($M205*BJ$5/100,0)&lt;-BJ$6,-BJ$6-SUM(BJ$10:BJ204),-ROUNDDOWN($M205*BJ$5/100,0)),0)</f>
        <v>0</v>
      </c>
      <c r="BK205" s="38">
        <f>IF(AND(BK$7="○",$A205&gt;=BK$8,$A205&lt;=BK$9),IF(SUM(BK$10:BK204)-ROUNDDOWN($L205*BK$5/100,0)&lt;-BK$6,-BK$6-SUM(BK$10:BK204),-ROUNDDOWN($L205*BK$5/100,0)),0)</f>
        <v>0</v>
      </c>
      <c r="BL205" s="38">
        <f>IF(AND(BL$7="○",$A205&gt;=BL$8,$A205&lt;=BL$9),IF(SUM(BL$10:BL204)-ROUNDDOWN($L205*BL$5/100,0)&lt;-BL$6,-BL$6-SUM(BL$10:BL204),-ROUNDDOWN($L205*BL$5/100,0)),0)</f>
        <v>0</v>
      </c>
      <c r="BM205" s="38">
        <f>IF(AND(BM$7="○",$A205&gt;=BM$8,$A205&lt;=BM$9),IF(SUM(BM$10:BM204)-ROUNDDOWN($M205*BM$5/100,0)&lt;-BM$6,-BM$6-SUM(BM$10:BM204),-ROUNDDOWN($M205*BM$5/100,0)),0)</f>
        <v>0</v>
      </c>
      <c r="BN205" s="38">
        <f>IF(AND(BN$7="○",$A205&gt;=BN$8,$A205&lt;=BN$9),IF(SUM(BN$10:BN204)-ROUNDDOWN($M205*BN$5/100,0)&lt;-BN$6,-BN$6-SUM(BN$10:BN204),-ROUNDDOWN($M205*BN$5/100,0)),0)</f>
        <v>0</v>
      </c>
      <c r="BO205" s="38">
        <f>IF(AND(BO$7="○",$A205&gt;=BO$8,$A205&lt;=BO$9),IF(SUM(BO$10:BO204)-ROUNDDOWN($M205*BO$5/100,0)&lt;-BO$6,-BO$6-SUM(BO$10:BO204),-ROUNDDOWN($M205*BO$5/100,0)),0)</f>
        <v>0</v>
      </c>
      <c r="BP205" s="38">
        <f>IF(AND(BP$7="○",$A205&gt;=BP$8,$A205&lt;=BP$9),IF(SUM(BP$10:BP204)-ROUNDDOWN($M205*BP$5/100,0)&lt;-BP$6,-BP$6-SUM(BP$10:BP204),-ROUNDDOWN($M205*BP$5/100,0)),0)</f>
        <v>0</v>
      </c>
      <c r="BQ205" s="38">
        <f>IF(AND(BQ$7="○",$A205&gt;=BQ$8,$A205&lt;=BQ$9),IF(SUM(BQ$10:BQ204)-ROUNDDOWN($L205*BQ$5/100,0)&lt;-BQ$6,-BQ$6-SUM(BQ$10:BQ204),-ROUNDDOWN($L205*BQ$5/100,0)),0)</f>
        <v>0</v>
      </c>
      <c r="BR205" s="38">
        <f>IF(AND(BR$7="○",$A205&gt;=BR$8,$A205&lt;=BR$9),IF(SUM(BR$10:BR204)-ROUNDDOWN($M205*BR$5/100,0)&lt;-BR$6,-BR$6-SUM(BR$10:BR204),-ROUNDDOWN($M205*BR$5/100,0)),0)</f>
        <v>0</v>
      </c>
      <c r="BS205" s="38">
        <f>IF(AND(BS$7="○",$A205&gt;=BS$8,$A205&lt;=BS$9),IF(SUM(BS$10:BS204)-ROUNDDOWN($M205*BS$5/100,0)&lt;-BS$6,-BS$6-SUM(BS$10:BS204),-ROUNDDOWN($M205*BS$5/100,0)),0)</f>
        <v>0</v>
      </c>
      <c r="BT205" s="38">
        <f>IF(AND(BT$7="○",$A205&gt;=BT$8,$A205&lt;=BT$9),IF(SUM(BT$10:BT204)-ROUNDDOWN($M205*BT$5/100,0)&lt;-BT$6,-BT$6-SUM(BT$10:BT204),-ROUNDDOWN($M205*BT$5/100,0)),0)</f>
        <v>0</v>
      </c>
      <c r="BU205" s="38">
        <f>IF(AND(BU$7="○",$A205&gt;=BU$8,$A205&lt;=BU$9),IF(SUM(BU$10:BU204)-ROUNDDOWN($M205*BU$5/100,0)&lt;-BU$6,-BU$6-SUM(BU$10:BU204),-ROUNDDOWN($M205*BU$5/100,0)),0)</f>
        <v>0</v>
      </c>
      <c r="BV205" s="38">
        <f>IF(AND(BV$7="○",$A205&gt;=BV$8,$A205&lt;=BV$9),IF(SUM(BV$10:BV204)-ROUNDDOWN($M205*BV$5/100,0)&lt;-BV$6,-BV$6-SUM(BV$10:BV204),-ROUNDDOWN($M205*BV$5/100,0)),0)</f>
        <v>0</v>
      </c>
      <c r="BW205" s="38">
        <f>IF(AND(BW$7="○",$A205&gt;=BW$8,$A205&lt;=BW$9),IF(SUM(BW$10:BW204)-ROUNDDOWN($M205*BW$5/100,0)&lt;-BW$6,-BW$6-SUM(BW$10:BW204),-ROUNDDOWN($M205*BW$5/100,0)),0)</f>
        <v>0</v>
      </c>
      <c r="BX205" s="38">
        <f>IF(AND(T205="○",$A205&gt;=BX$8,$A205&lt;=BX$9),IF(SUM(BX$10:BX204)-ROUNDDOWN($K205*BX$5/100,0)&lt;-BX$6,-BX$6-SUM(BX$10:BX204),-ROUNDDOWN($K205*BX$5/100,0)),0)</f>
        <v>0</v>
      </c>
      <c r="BY205" s="38">
        <f>IF(AND(U205="○",$A205&gt;=BY$8,$A205&lt;=BY$9),IF(SUM(BY$10:BY204)-ROUNDDOWN($K205*BY$5/100,0)&lt;-BY$6,-BY$6-SUM(BY$10:BY204),-ROUNDDOWN($K205*BY$5/100,0)),0)</f>
        <v>0</v>
      </c>
      <c r="BZ205" s="38">
        <f>IF(AND(V205="○",$A205&gt;=BZ$8,$A205&lt;=BZ$9),IF(SUM(BZ$10:BZ204)-ROUNDDOWN($K205*BZ$5/100,0)&lt;-BZ$6,-BZ$6-SUM(BZ$10:BZ204),-ROUNDDOWN($K205*BZ$5/100,0)),0)</f>
        <v>0</v>
      </c>
      <c r="CA205" s="38">
        <f>IF(AND(W205="○",$A205&gt;=CA$8,$A205&lt;=CA$9),IF(SUM(CA$10:CA204)-ROUNDDOWN($K205*CA$5/100,0)&lt;-CA$6,-CA$6-SUM(CA$10:CA204),-ROUNDDOWN($K205*CA$5/100,0)),0)</f>
        <v>0</v>
      </c>
      <c r="CB205" s="38"/>
      <c r="CC205" s="38"/>
      <c r="CD205" s="38"/>
      <c r="CE205" s="38"/>
      <c r="CF205" s="38"/>
      <c r="CG205" s="65">
        <f t="shared" si="138"/>
        <v>0</v>
      </c>
      <c r="CH205" s="71">
        <f t="shared" si="139"/>
        <v>0</v>
      </c>
      <c r="CI205" s="1">
        <f t="shared" si="171"/>
        <v>0</v>
      </c>
      <c r="CJ205" s="1"/>
      <c r="CK205" s="72"/>
      <c r="CL205" s="72"/>
      <c r="CM205" s="2"/>
      <c r="CN205" s="2"/>
      <c r="CO205" s="73">
        <f t="shared" si="172"/>
        <v>0</v>
      </c>
      <c r="CP205" s="5">
        <f t="shared" si="173"/>
        <v>0</v>
      </c>
      <c r="CQ205" s="1"/>
      <c r="CR205" s="1">
        <f t="shared" si="174"/>
        <v>0</v>
      </c>
      <c r="CS205" s="1"/>
      <c r="CT205" s="1" t="e">
        <f>INDEX([2]マスタ!$A:$A,MATCH(D205,[2]マスタ!$C:$C,0))</f>
        <v>#N/A</v>
      </c>
      <c r="CU205" s="1" t="str">
        <f t="shared" ca="1" si="175"/>
        <v>20260620_0-0</v>
      </c>
    </row>
    <row r="206" spans="1:99" x14ac:dyDescent="0.4">
      <c r="A206" s="61"/>
      <c r="B206" s="62"/>
      <c r="C206" s="62"/>
      <c r="D206" s="62"/>
      <c r="E206" s="74"/>
      <c r="F206" s="62"/>
      <c r="G206" s="62">
        <v>1</v>
      </c>
      <c r="H206" s="64">
        <f t="shared" si="162"/>
        <v>0</v>
      </c>
      <c r="I206" s="64"/>
      <c r="J206" s="64"/>
      <c r="K206" s="65">
        <f t="shared" si="163"/>
        <v>0</v>
      </c>
      <c r="L206" s="65">
        <f t="shared" si="164"/>
        <v>0</v>
      </c>
      <c r="M206" s="65">
        <f t="shared" si="165"/>
        <v>0</v>
      </c>
      <c r="N206" s="65">
        <f t="shared" si="166"/>
        <v>0</v>
      </c>
      <c r="O206" s="66" t="str">
        <f t="shared" si="167"/>
        <v>✕</v>
      </c>
      <c r="P206" s="67" t="str">
        <f t="shared" si="168"/>
        <v>○</v>
      </c>
      <c r="Q206" s="67" t="str">
        <f t="shared" si="169"/>
        <v>✕</v>
      </c>
      <c r="R206" s="67" t="str">
        <f t="shared" si="170"/>
        <v>✕</v>
      </c>
      <c r="S206" s="68">
        <v>0</v>
      </c>
      <c r="T206" s="69" t="s">
        <v>85</v>
      </c>
      <c r="U206" s="69" t="s">
        <v>85</v>
      </c>
      <c r="V206" s="69" t="s">
        <v>85</v>
      </c>
      <c r="W206" s="69" t="s">
        <v>85</v>
      </c>
      <c r="X206" s="69" t="s">
        <v>84</v>
      </c>
      <c r="Y206" s="69" t="s">
        <v>85</v>
      </c>
      <c r="Z206" s="69" t="s">
        <v>85</v>
      </c>
      <c r="AA206" s="69" t="s">
        <v>85</v>
      </c>
      <c r="AB206" s="69" t="s">
        <v>85</v>
      </c>
      <c r="AC206" s="69" t="s">
        <v>85</v>
      </c>
      <c r="AD206" s="38" t="str">
        <f>+IF(ISERROR(VLOOKUP($B206,AD$10:AD205,1,0)),IF(AND($N206&gt;=1000,$A206&gt;=AO$8,$A206&lt;=AO$9),$B206,""),"")</f>
        <v/>
      </c>
      <c r="AE206" s="38" t="str">
        <f>+IF(ISERROR(VLOOKUP($B206,AE$10:AE205,1,0)),IF(AND($N206&gt;=1000,$A206&gt;=AP$8,$A206&lt;=AP$9),$B206,""),"")</f>
        <v/>
      </c>
      <c r="AF206" s="38" t="str">
        <f>+IF(ISERROR(VLOOKUP($B206,AF$10:AF205,1,0)),IF(AND($N206&gt;=1000,$A206&gt;=AQ$8,$A206&lt;=AQ$9),$B206,""),"")</f>
        <v/>
      </c>
      <c r="AG206" s="38" t="str">
        <f>+IF(ISERROR(VLOOKUP($B206,AG$10:AG205,1,0)),IF(AND($N206&gt;=1000,$A206&gt;=AR$8,$A206&lt;=AR$9),$B206,""),"")</f>
        <v/>
      </c>
      <c r="AH206" s="38"/>
      <c r="AI206" s="70">
        <v>0</v>
      </c>
      <c r="AJ206" s="38">
        <f>IF(AND(AJ$7="○",$A206&gt;=AJ$8,$A206&lt;=AJ$9),IF(SUM(AJ$10:AJ205)-ROUNDDOWN($K206*AJ$5/100,0)&lt;-AJ$6,-AJ$6-SUM(AJ$10:AJ205),-ROUNDDOWN($K206*AJ$5/100,0)),0)</f>
        <v>0</v>
      </c>
      <c r="AK206" s="38">
        <f>IF(AND(AK$7="○",$A206&gt;=AK$8,$A206&lt;=AK$9),IF(SUM(AK$10:AK205)-ROUNDDOWN($L206*AK$5/100,0)&lt;-AK$6,-AK$6-SUM(AK$10:AK205),-ROUNDDOWN($L206*AK$5/100,0)),0)</f>
        <v>0</v>
      </c>
      <c r="AL206" s="38">
        <f>IF(AND(AL$7="○",$A206&gt;=AL$8,$A206&lt;=AL$9),IF(SUM(AL$10:AL205)-ROUNDDOWN($N206*AL$5/100,0)&lt;-AL$6,-AL$6-SUM(AL$10:AL205),-ROUNDDOWN($N206*AL$5/100,0)),0)</f>
        <v>0</v>
      </c>
      <c r="AM206" s="38">
        <f>IF(AND(AM$7="○",$A206&gt;=AM$8,$A206&lt;=AM$9),IF(SUM(AM$10:AM205)-ROUNDDOWN($L206*AM$5/100,0)&lt;-AM$6,-AM$6-SUM(AM$10:AM205),-ROUNDDOWN($L206*AM$5/100,0)),0)</f>
        <v>0</v>
      </c>
      <c r="AN206" s="38">
        <f>IF(AND(AN$7="○",$A206&gt;=AN$8,$A206&lt;=AN$9),IF(SUM(AN$10:AN205)-ROUNDDOWN($M206*AN$5/100,0)&lt;-AN$6,-AN$6-SUM(AN$10:AN205),-ROUNDDOWN($M206*AN$5/100,0)),0)</f>
        <v>0</v>
      </c>
      <c r="AO206" s="38">
        <f>IF(AND($A206&gt;=AO$8,$A206&lt;=AO$9),IF(SUM(AO$10:AO205)-ROUNDDOWN($K206*AO$5/100,0)&lt;-AO$6,-AO$6-SUM(AO$10:AO205),-ROUNDDOWN($K206*AO$5/100,0)),0)</f>
        <v>0</v>
      </c>
      <c r="AP206" s="38">
        <f>IF(AND($A206&gt;=AP$8,$A206&lt;=AP$9),IF(SUM(AP$10:AP205)-ROUNDDOWN($K206*AP$5/100,0)&lt;-AP$6,-AP$6-SUM(AP$10:AP205),-ROUNDDOWN($K206*AP$5/100,0)),0)</f>
        <v>0</v>
      </c>
      <c r="AQ206" s="38">
        <f>IF(AND($A206&gt;=AQ$8,$A206&lt;=AQ$9),IF(SUM(AQ$10:AQ205)-ROUNDDOWN($K206*AQ$5/100,0)&lt;-AQ$6,-AQ$6-SUM(AQ$10:AQ205),-ROUNDDOWN($K206*AQ$5/100,0)),0)</f>
        <v>0</v>
      </c>
      <c r="AR206" s="38">
        <f>IF(AND($A206&gt;=AR$8,$A206&lt;=AR$9),IF(SUM(AR$10:AR205)-ROUNDDOWN($K206*AR$5/100,0)&lt;-AR$6,-AR$6-SUM(AR$10:AR205),-ROUNDDOWN($K206*AR$5/100,0)),0)</f>
        <v>0</v>
      </c>
      <c r="AS206" s="38">
        <f>IF(SUMIFS(AS$10:AS205,$A$10:$A205,$A206)-ROUNDDOWN($K206*$S206/100,0)&lt;-$S206*1000,-$S206*1000-SUMIFS(AS$10:AS205,$A$10:$A205,$A206),-ROUNDDOWN($K206*$S206/100,0))</f>
        <v>0</v>
      </c>
      <c r="AT206" s="38">
        <f>IF(AND(X206="○",$A206&gt;=AT$8,$A206&lt;=AT$9,K206&gt;=3980),IF(SUM(AT$10:AT205)-ROUNDDOWN($K206*AT$5/100,0)&lt;-AT$6,-AT$6-SUM(AT$10:AT205),-ROUNDDOWN($K206*AT$5/100,0)),0)</f>
        <v>0</v>
      </c>
      <c r="AU206" s="38">
        <f>IF(O206="○",IF(SUM(AU$10:AU205)-ROUNDDOWN($K206*AU$5/100,0)&lt;-AU$6,-AU$6-SUM(AU$10:AU205),-ROUNDDOWN($K206*AU$5/100,0)),0)</f>
        <v>0</v>
      </c>
      <c r="AV206" s="38">
        <f>IF(P206="○",IF(SUM(AV$10:AV205)-ROUNDDOWN($K206*AV$5/100,0)&lt;-AV$6,-AV$6-SUM(AV$10:AV205),-ROUNDDOWN($K206*AV$5/100,0)),0)</f>
        <v>0</v>
      </c>
      <c r="AW206" s="38">
        <f>IF(Q206="○",IF(SUM(AW$10:AW205)-ROUNDDOWN($K206*AW$5/100,0)&lt;-AW$6,-AW$6-SUM(AW$10:AW205),-ROUNDDOWN($K206*AW$5/100,0)),0)</f>
        <v>0</v>
      </c>
      <c r="AX206" s="38">
        <f>IF(R206="○",IF(SUM(AX$10:AX205)-ROUNDDOWN($K206*AX$5/100,0)&lt;-AX$6,-AX$6-SUM(AX$10:AX205),-ROUNDDOWN($K206*AX$5/100,0)),0)</f>
        <v>0</v>
      </c>
      <c r="AY206" s="70">
        <v>0</v>
      </c>
      <c r="AZ206" s="65">
        <f t="shared" si="132"/>
        <v>0</v>
      </c>
      <c r="BA206" s="65">
        <f t="shared" si="133"/>
        <v>0</v>
      </c>
      <c r="BB206" s="70"/>
      <c r="BC206" s="65">
        <f t="shared" si="134"/>
        <v>0</v>
      </c>
      <c r="BD206" s="70">
        <v>0</v>
      </c>
      <c r="BE206" s="65">
        <f t="shared" si="135"/>
        <v>0</v>
      </c>
      <c r="BF206" s="70">
        <v>0</v>
      </c>
      <c r="BG206" s="65">
        <f t="shared" si="136"/>
        <v>0</v>
      </c>
      <c r="BH206" s="70">
        <v>0</v>
      </c>
      <c r="BI206" s="65">
        <f t="shared" si="137"/>
        <v>0</v>
      </c>
      <c r="BJ206" s="38">
        <f>IF(AND(BJ$7="○",$A206&gt;=BJ$8,$A206&lt;=BJ$9),IF(SUM(BJ$10:BJ205)-ROUNDDOWN($M206*BJ$5/100,0)&lt;-BJ$6,-BJ$6-SUM(BJ$10:BJ205),-ROUNDDOWN($M206*BJ$5/100,0)),0)</f>
        <v>0</v>
      </c>
      <c r="BK206" s="38">
        <f>IF(AND(BK$7="○",$A206&gt;=BK$8,$A206&lt;=BK$9),IF(SUM(BK$10:BK205)-ROUNDDOWN($L206*BK$5/100,0)&lt;-BK$6,-BK$6-SUM(BK$10:BK205),-ROUNDDOWN($L206*BK$5/100,0)),0)</f>
        <v>0</v>
      </c>
      <c r="BL206" s="38">
        <f>IF(AND(BL$7="○",$A206&gt;=BL$8,$A206&lt;=BL$9),IF(SUM(BL$10:BL205)-ROUNDDOWN($L206*BL$5/100,0)&lt;-BL$6,-BL$6-SUM(BL$10:BL205),-ROUNDDOWN($L206*BL$5/100,0)),0)</f>
        <v>0</v>
      </c>
      <c r="BM206" s="38">
        <f>IF(AND(BM$7="○",$A206&gt;=BM$8,$A206&lt;=BM$9),IF(SUM(BM$10:BM205)-ROUNDDOWN($M206*BM$5/100,0)&lt;-BM$6,-BM$6-SUM(BM$10:BM205),-ROUNDDOWN($M206*BM$5/100,0)),0)</f>
        <v>0</v>
      </c>
      <c r="BN206" s="38">
        <f>IF(AND(BN$7="○",$A206&gt;=BN$8,$A206&lt;=BN$9),IF(SUM(BN$10:BN205)-ROUNDDOWN($M206*BN$5/100,0)&lt;-BN$6,-BN$6-SUM(BN$10:BN205),-ROUNDDOWN($M206*BN$5/100,0)),0)</f>
        <v>0</v>
      </c>
      <c r="BO206" s="38">
        <f>IF(AND(BO$7="○",$A206&gt;=BO$8,$A206&lt;=BO$9),IF(SUM(BO$10:BO205)-ROUNDDOWN($M206*BO$5/100,0)&lt;-BO$6,-BO$6-SUM(BO$10:BO205),-ROUNDDOWN($M206*BO$5/100,0)),0)</f>
        <v>0</v>
      </c>
      <c r="BP206" s="38">
        <f>IF(AND(BP$7="○",$A206&gt;=BP$8,$A206&lt;=BP$9),IF(SUM(BP$10:BP205)-ROUNDDOWN($M206*BP$5/100,0)&lt;-BP$6,-BP$6-SUM(BP$10:BP205),-ROUNDDOWN($M206*BP$5/100,0)),0)</f>
        <v>0</v>
      </c>
      <c r="BQ206" s="38">
        <f>IF(AND(BQ$7="○",$A206&gt;=BQ$8,$A206&lt;=BQ$9),IF(SUM(BQ$10:BQ205)-ROUNDDOWN($L206*BQ$5/100,0)&lt;-BQ$6,-BQ$6-SUM(BQ$10:BQ205),-ROUNDDOWN($L206*BQ$5/100,0)),0)</f>
        <v>0</v>
      </c>
      <c r="BR206" s="38">
        <f>IF(AND(BR$7="○",$A206&gt;=BR$8,$A206&lt;=BR$9),IF(SUM(BR$10:BR205)-ROUNDDOWN($M206*BR$5/100,0)&lt;-BR$6,-BR$6-SUM(BR$10:BR205),-ROUNDDOWN($M206*BR$5/100,0)),0)</f>
        <v>0</v>
      </c>
      <c r="BS206" s="38">
        <f>IF(AND(BS$7="○",$A206&gt;=BS$8,$A206&lt;=BS$9),IF(SUM(BS$10:BS205)-ROUNDDOWN($M206*BS$5/100,0)&lt;-BS$6,-BS$6-SUM(BS$10:BS205),-ROUNDDOWN($M206*BS$5/100,0)),0)</f>
        <v>0</v>
      </c>
      <c r="BT206" s="38">
        <f>IF(AND(BT$7="○",$A206&gt;=BT$8,$A206&lt;=BT$9),IF(SUM(BT$10:BT205)-ROUNDDOWN($M206*BT$5/100,0)&lt;-BT$6,-BT$6-SUM(BT$10:BT205),-ROUNDDOWN($M206*BT$5/100,0)),0)</f>
        <v>0</v>
      </c>
      <c r="BU206" s="38">
        <f>IF(AND(BU$7="○",$A206&gt;=BU$8,$A206&lt;=BU$9),IF(SUM(BU$10:BU205)-ROUNDDOWN($M206*BU$5/100,0)&lt;-BU$6,-BU$6-SUM(BU$10:BU205),-ROUNDDOWN($M206*BU$5/100,0)),0)</f>
        <v>0</v>
      </c>
      <c r="BV206" s="38">
        <f>IF(AND(BV$7="○",$A206&gt;=BV$8,$A206&lt;=BV$9),IF(SUM(BV$10:BV205)-ROUNDDOWN($M206*BV$5/100,0)&lt;-BV$6,-BV$6-SUM(BV$10:BV205),-ROUNDDOWN($M206*BV$5/100,0)),0)</f>
        <v>0</v>
      </c>
      <c r="BW206" s="38">
        <f>IF(AND(BW$7="○",$A206&gt;=BW$8,$A206&lt;=BW$9),IF(SUM(BW$10:BW205)-ROUNDDOWN($M206*BW$5/100,0)&lt;-BW$6,-BW$6-SUM(BW$10:BW205),-ROUNDDOWN($M206*BW$5/100,0)),0)</f>
        <v>0</v>
      </c>
      <c r="BX206" s="38">
        <f>IF(AND(T206="○",$A206&gt;=BX$8,$A206&lt;=BX$9),IF(SUM(BX$10:BX205)-ROUNDDOWN($K206*BX$5/100,0)&lt;-BX$6,-BX$6-SUM(BX$10:BX205),-ROUNDDOWN($K206*BX$5/100,0)),0)</f>
        <v>0</v>
      </c>
      <c r="BY206" s="38">
        <f>IF(AND(U206="○",$A206&gt;=BY$8,$A206&lt;=BY$9),IF(SUM(BY$10:BY205)-ROUNDDOWN($K206*BY$5/100,0)&lt;-BY$6,-BY$6-SUM(BY$10:BY205),-ROUNDDOWN($K206*BY$5/100,0)),0)</f>
        <v>0</v>
      </c>
      <c r="BZ206" s="38">
        <f>IF(AND(V206="○",$A206&gt;=BZ$8,$A206&lt;=BZ$9),IF(SUM(BZ$10:BZ205)-ROUNDDOWN($K206*BZ$5/100,0)&lt;-BZ$6,-BZ$6-SUM(BZ$10:BZ205),-ROUNDDOWN($K206*BZ$5/100,0)),0)</f>
        <v>0</v>
      </c>
      <c r="CA206" s="38">
        <f>IF(AND(W206="○",$A206&gt;=CA$8,$A206&lt;=CA$9),IF(SUM(CA$10:CA205)-ROUNDDOWN($K206*CA$5/100,0)&lt;-CA$6,-CA$6-SUM(CA$10:CA205),-ROUNDDOWN($K206*CA$5/100,0)),0)</f>
        <v>0</v>
      </c>
      <c r="CB206" s="38"/>
      <c r="CC206" s="38"/>
      <c r="CD206" s="38"/>
      <c r="CE206" s="38"/>
      <c r="CF206" s="38"/>
      <c r="CG206" s="65">
        <f t="shared" si="138"/>
        <v>0</v>
      </c>
      <c r="CH206" s="71">
        <f t="shared" si="139"/>
        <v>0</v>
      </c>
      <c r="CI206" s="1">
        <f t="shared" si="171"/>
        <v>0</v>
      </c>
      <c r="CJ206" s="1"/>
      <c r="CK206" s="72"/>
      <c r="CL206" s="72"/>
      <c r="CM206" s="2"/>
      <c r="CN206" s="2"/>
      <c r="CO206" s="73">
        <f t="shared" si="172"/>
        <v>0</v>
      </c>
      <c r="CP206" s="5">
        <f t="shared" si="173"/>
        <v>0</v>
      </c>
      <c r="CQ206" s="1"/>
      <c r="CR206" s="1">
        <f t="shared" si="174"/>
        <v>0</v>
      </c>
      <c r="CS206" s="1"/>
      <c r="CT206" s="1" t="e">
        <f>INDEX([2]マスタ!$A:$A,MATCH(D206,[2]マスタ!$C:$C,0))</f>
        <v>#N/A</v>
      </c>
      <c r="CU206" s="1" t="str">
        <f t="shared" ca="1" si="175"/>
        <v>20260620_0-0</v>
      </c>
    </row>
    <row r="207" spans="1:99" x14ac:dyDescent="0.4">
      <c r="A207" s="61"/>
      <c r="B207" s="62"/>
      <c r="C207" s="62"/>
      <c r="D207" s="62"/>
      <c r="E207" s="74"/>
      <c r="F207" s="62"/>
      <c r="G207" s="62">
        <v>1</v>
      </c>
      <c r="H207" s="64">
        <f t="shared" si="162"/>
        <v>0</v>
      </c>
      <c r="I207" s="64"/>
      <c r="J207" s="64"/>
      <c r="K207" s="65">
        <f t="shared" si="163"/>
        <v>0</v>
      </c>
      <c r="L207" s="65">
        <f t="shared" si="164"/>
        <v>0</v>
      </c>
      <c r="M207" s="65">
        <f t="shared" si="165"/>
        <v>0</v>
      </c>
      <c r="N207" s="65">
        <f t="shared" si="166"/>
        <v>0</v>
      </c>
      <c r="O207" s="66" t="str">
        <f t="shared" si="167"/>
        <v>✕</v>
      </c>
      <c r="P207" s="67" t="str">
        <f t="shared" si="168"/>
        <v>○</v>
      </c>
      <c r="Q207" s="67" t="str">
        <f t="shared" si="169"/>
        <v>✕</v>
      </c>
      <c r="R207" s="67" t="str">
        <f t="shared" si="170"/>
        <v>✕</v>
      </c>
      <c r="S207" s="68">
        <v>0</v>
      </c>
      <c r="T207" s="69" t="s">
        <v>85</v>
      </c>
      <c r="U207" s="69" t="s">
        <v>85</v>
      </c>
      <c r="V207" s="69" t="s">
        <v>85</v>
      </c>
      <c r="W207" s="69" t="s">
        <v>85</v>
      </c>
      <c r="X207" s="69" t="s">
        <v>84</v>
      </c>
      <c r="Y207" s="69" t="s">
        <v>85</v>
      </c>
      <c r="Z207" s="69" t="s">
        <v>85</v>
      </c>
      <c r="AA207" s="69" t="s">
        <v>85</v>
      </c>
      <c r="AB207" s="69" t="s">
        <v>85</v>
      </c>
      <c r="AC207" s="69" t="s">
        <v>85</v>
      </c>
      <c r="AD207" s="38" t="str">
        <f>+IF(ISERROR(VLOOKUP($B207,AD$10:AD206,1,0)),IF(AND($N207&gt;=1000,$A207&gt;=AO$8,$A207&lt;=AO$9),$B207,""),"")</f>
        <v/>
      </c>
      <c r="AE207" s="38" t="str">
        <f>+IF(ISERROR(VLOOKUP($B207,AE$10:AE206,1,0)),IF(AND($N207&gt;=1000,$A207&gt;=AP$8,$A207&lt;=AP$9),$B207,""),"")</f>
        <v/>
      </c>
      <c r="AF207" s="38" t="str">
        <f>+IF(ISERROR(VLOOKUP($B207,AF$10:AF206,1,0)),IF(AND($N207&gt;=1000,$A207&gt;=AQ$8,$A207&lt;=AQ$9),$B207,""),"")</f>
        <v/>
      </c>
      <c r="AG207" s="38" t="str">
        <f>+IF(ISERROR(VLOOKUP($B207,AG$10:AG206,1,0)),IF(AND($N207&gt;=1000,$A207&gt;=AR$8,$A207&lt;=AR$9),$B207,""),"")</f>
        <v/>
      </c>
      <c r="AH207" s="38"/>
      <c r="AI207" s="70">
        <v>0</v>
      </c>
      <c r="AJ207" s="38">
        <f>IF(AND(AJ$7="○",$A207&gt;=AJ$8,$A207&lt;=AJ$9),IF(SUM(AJ$10:AJ206)-ROUNDDOWN($K207*AJ$5/100,0)&lt;-AJ$6,-AJ$6-SUM(AJ$10:AJ206),-ROUNDDOWN($K207*AJ$5/100,0)),0)</f>
        <v>0</v>
      </c>
      <c r="AK207" s="38">
        <f>IF(AND(AK$7="○",$A207&gt;=AK$8,$A207&lt;=AK$9),IF(SUM(AK$10:AK206)-ROUNDDOWN($L207*AK$5/100,0)&lt;-AK$6,-AK$6-SUM(AK$10:AK206),-ROUNDDOWN($L207*AK$5/100,0)),0)</f>
        <v>0</v>
      </c>
      <c r="AL207" s="38">
        <f>IF(AND(AL$7="○",$A207&gt;=AL$8,$A207&lt;=AL$9),IF(SUM(AL$10:AL206)-ROUNDDOWN($N207*AL$5/100,0)&lt;-AL$6,-AL$6-SUM(AL$10:AL206),-ROUNDDOWN($N207*AL$5/100,0)),0)</f>
        <v>0</v>
      </c>
      <c r="AM207" s="38">
        <f>IF(AND(AM$7="○",$A207&gt;=AM$8,$A207&lt;=AM$9),IF(SUM(AM$10:AM206)-ROUNDDOWN($L207*AM$5/100,0)&lt;-AM$6,-AM$6-SUM(AM$10:AM206),-ROUNDDOWN($L207*AM$5/100,0)),0)</f>
        <v>0</v>
      </c>
      <c r="AN207" s="38">
        <f>IF(AND(AN$7="○",$A207&gt;=AN$8,$A207&lt;=AN$9),IF(SUM(AN$10:AN206)-ROUNDDOWN($M207*AN$5/100,0)&lt;-AN$6,-AN$6-SUM(AN$10:AN206),-ROUNDDOWN($M207*AN$5/100,0)),0)</f>
        <v>0</v>
      </c>
      <c r="AO207" s="38">
        <f>IF(AND($A207&gt;=AO$8,$A207&lt;=AO$9),IF(SUM(AO$10:AO206)-ROUNDDOWN($K207*AO$5/100,0)&lt;-AO$6,-AO$6-SUM(AO$10:AO206),-ROUNDDOWN($K207*AO$5/100,0)),0)</f>
        <v>0</v>
      </c>
      <c r="AP207" s="38">
        <f>IF(AND($A207&gt;=AP$8,$A207&lt;=AP$9),IF(SUM(AP$10:AP206)-ROUNDDOWN($K207*AP$5/100,0)&lt;-AP$6,-AP$6-SUM(AP$10:AP206),-ROUNDDOWN($K207*AP$5/100,0)),0)</f>
        <v>0</v>
      </c>
      <c r="AQ207" s="38">
        <f>IF(AND($A207&gt;=AQ$8,$A207&lt;=AQ$9),IF(SUM(AQ$10:AQ206)-ROUNDDOWN($K207*AQ$5/100,0)&lt;-AQ$6,-AQ$6-SUM(AQ$10:AQ206),-ROUNDDOWN($K207*AQ$5/100,0)),0)</f>
        <v>0</v>
      </c>
      <c r="AR207" s="38">
        <f>IF(AND($A207&gt;=AR$8,$A207&lt;=AR$9),IF(SUM(AR$10:AR206)-ROUNDDOWN($K207*AR$5/100,0)&lt;-AR$6,-AR$6-SUM(AR$10:AR206),-ROUNDDOWN($K207*AR$5/100,0)),0)</f>
        <v>0</v>
      </c>
      <c r="AS207" s="38">
        <f>IF(SUMIFS(AS$10:AS206,$A$10:$A206,$A207)-ROUNDDOWN($K207*$S207/100,0)&lt;-$S207*1000,-$S207*1000-SUMIFS(AS$10:AS206,$A$10:$A206,$A207),-ROUNDDOWN($K207*$S207/100,0))</f>
        <v>0</v>
      </c>
      <c r="AT207" s="38">
        <f>IF(AND(X207="○",$A207&gt;=AT$8,$A207&lt;=AT$9,K207&gt;=3980),IF(SUM(AT$10:AT206)-ROUNDDOWN($K207*AT$5/100,0)&lt;-AT$6,-AT$6-SUM(AT$10:AT206),-ROUNDDOWN($K207*AT$5/100,0)),0)</f>
        <v>0</v>
      </c>
      <c r="AU207" s="38">
        <f>IF(O207="○",IF(SUM(AU$10:AU206)-ROUNDDOWN($K207*AU$5/100,0)&lt;-AU$6,-AU$6-SUM(AU$10:AU206),-ROUNDDOWN($K207*AU$5/100,0)),0)</f>
        <v>0</v>
      </c>
      <c r="AV207" s="38">
        <f>IF(P207="○",IF(SUM(AV$10:AV206)-ROUNDDOWN($K207*AV$5/100,0)&lt;-AV$6,-AV$6-SUM(AV$10:AV206),-ROUNDDOWN($K207*AV$5/100,0)),0)</f>
        <v>0</v>
      </c>
      <c r="AW207" s="38">
        <f>IF(Q207="○",IF(SUM(AW$10:AW206)-ROUNDDOWN($K207*AW$5/100,0)&lt;-AW$6,-AW$6-SUM(AW$10:AW206),-ROUNDDOWN($K207*AW$5/100,0)),0)</f>
        <v>0</v>
      </c>
      <c r="AX207" s="38">
        <f>IF(R207="○",IF(SUM(AX$10:AX206)-ROUNDDOWN($K207*AX$5/100,0)&lt;-AX$6,-AX$6-SUM(AX$10:AX206),-ROUNDDOWN($K207*AX$5/100,0)),0)</f>
        <v>0</v>
      </c>
      <c r="AY207" s="70">
        <v>0</v>
      </c>
      <c r="AZ207" s="65">
        <f t="shared" si="132"/>
        <v>0</v>
      </c>
      <c r="BA207" s="65">
        <f t="shared" si="133"/>
        <v>0</v>
      </c>
      <c r="BB207" s="70"/>
      <c r="BC207" s="65">
        <f t="shared" si="134"/>
        <v>0</v>
      </c>
      <c r="BD207" s="70">
        <v>0</v>
      </c>
      <c r="BE207" s="65">
        <f t="shared" si="135"/>
        <v>0</v>
      </c>
      <c r="BF207" s="70">
        <v>0</v>
      </c>
      <c r="BG207" s="65">
        <f t="shared" si="136"/>
        <v>0</v>
      </c>
      <c r="BH207" s="70">
        <v>0</v>
      </c>
      <c r="BI207" s="65">
        <f t="shared" si="137"/>
        <v>0</v>
      </c>
      <c r="BJ207" s="38">
        <f>IF(AND(BJ$7="○",$A207&gt;=BJ$8,$A207&lt;=BJ$9),IF(SUM(BJ$10:BJ206)-ROUNDDOWN($M207*BJ$5/100,0)&lt;-BJ$6,-BJ$6-SUM(BJ$10:BJ206),-ROUNDDOWN($M207*BJ$5/100,0)),0)</f>
        <v>0</v>
      </c>
      <c r="BK207" s="38">
        <f>IF(AND(BK$7="○",$A207&gt;=BK$8,$A207&lt;=BK$9),IF(SUM(BK$10:BK206)-ROUNDDOWN($L207*BK$5/100,0)&lt;-BK$6,-BK$6-SUM(BK$10:BK206),-ROUNDDOWN($L207*BK$5/100,0)),0)</f>
        <v>0</v>
      </c>
      <c r="BL207" s="38">
        <f>IF(AND(BL$7="○",$A207&gt;=BL$8,$A207&lt;=BL$9),IF(SUM(BL$10:BL206)-ROUNDDOWN($L207*BL$5/100,0)&lt;-BL$6,-BL$6-SUM(BL$10:BL206),-ROUNDDOWN($L207*BL$5/100,0)),0)</f>
        <v>0</v>
      </c>
      <c r="BM207" s="38">
        <f>IF(AND(BM$7="○",$A207&gt;=BM$8,$A207&lt;=BM$9),IF(SUM(BM$10:BM206)-ROUNDDOWN($M207*BM$5/100,0)&lt;-BM$6,-BM$6-SUM(BM$10:BM206),-ROUNDDOWN($M207*BM$5/100,0)),0)</f>
        <v>0</v>
      </c>
      <c r="BN207" s="38">
        <f>IF(AND(BN$7="○",$A207&gt;=BN$8,$A207&lt;=BN$9),IF(SUM(BN$10:BN206)-ROUNDDOWN($M207*BN$5/100,0)&lt;-BN$6,-BN$6-SUM(BN$10:BN206),-ROUNDDOWN($M207*BN$5/100,0)),0)</f>
        <v>0</v>
      </c>
      <c r="BO207" s="38">
        <f>IF(AND(BO$7="○",$A207&gt;=BO$8,$A207&lt;=BO$9),IF(SUM(BO$10:BO206)-ROUNDDOWN($M207*BO$5/100,0)&lt;-BO$6,-BO$6-SUM(BO$10:BO206),-ROUNDDOWN($M207*BO$5/100,0)),0)</f>
        <v>0</v>
      </c>
      <c r="BP207" s="38">
        <f>IF(AND(BP$7="○",$A207&gt;=BP$8,$A207&lt;=BP$9),IF(SUM(BP$10:BP206)-ROUNDDOWN($M207*BP$5/100,0)&lt;-BP$6,-BP$6-SUM(BP$10:BP206),-ROUNDDOWN($M207*BP$5/100,0)),0)</f>
        <v>0</v>
      </c>
      <c r="BQ207" s="38">
        <f>IF(AND(BQ$7="○",$A207&gt;=BQ$8,$A207&lt;=BQ$9),IF(SUM(BQ$10:BQ206)-ROUNDDOWN($L207*BQ$5/100,0)&lt;-BQ$6,-BQ$6-SUM(BQ$10:BQ206),-ROUNDDOWN($L207*BQ$5/100,0)),0)</f>
        <v>0</v>
      </c>
      <c r="BR207" s="38">
        <f>IF(AND(BR$7="○",$A207&gt;=BR$8,$A207&lt;=BR$9),IF(SUM(BR$10:BR206)-ROUNDDOWN($M207*BR$5/100,0)&lt;-BR$6,-BR$6-SUM(BR$10:BR206),-ROUNDDOWN($M207*BR$5/100,0)),0)</f>
        <v>0</v>
      </c>
      <c r="BS207" s="38">
        <f>IF(AND(BS$7="○",$A207&gt;=BS$8,$A207&lt;=BS$9),IF(SUM(BS$10:BS206)-ROUNDDOWN($M207*BS$5/100,0)&lt;-BS$6,-BS$6-SUM(BS$10:BS206),-ROUNDDOWN($M207*BS$5/100,0)),0)</f>
        <v>0</v>
      </c>
      <c r="BT207" s="38">
        <f>IF(AND(BT$7="○",$A207&gt;=BT$8,$A207&lt;=BT$9),IF(SUM(BT$10:BT206)-ROUNDDOWN($M207*BT$5/100,0)&lt;-BT$6,-BT$6-SUM(BT$10:BT206),-ROUNDDOWN($M207*BT$5/100,0)),0)</f>
        <v>0</v>
      </c>
      <c r="BU207" s="38">
        <f>IF(AND(BU$7="○",$A207&gt;=BU$8,$A207&lt;=BU$9),IF(SUM(BU$10:BU206)-ROUNDDOWN($M207*BU$5/100,0)&lt;-BU$6,-BU$6-SUM(BU$10:BU206),-ROUNDDOWN($M207*BU$5/100,0)),0)</f>
        <v>0</v>
      </c>
      <c r="BV207" s="38">
        <f>IF(AND(BV$7="○",$A207&gt;=BV$8,$A207&lt;=BV$9),IF(SUM(BV$10:BV206)-ROUNDDOWN($M207*BV$5/100,0)&lt;-BV$6,-BV$6-SUM(BV$10:BV206),-ROUNDDOWN($M207*BV$5/100,0)),0)</f>
        <v>0</v>
      </c>
      <c r="BW207" s="38">
        <f>IF(AND(BW$7="○",$A207&gt;=BW$8,$A207&lt;=BW$9),IF(SUM(BW$10:BW206)-ROUNDDOWN($M207*BW$5/100,0)&lt;-BW$6,-BW$6-SUM(BW$10:BW206),-ROUNDDOWN($M207*BW$5/100,0)),0)</f>
        <v>0</v>
      </c>
      <c r="BX207" s="38">
        <f>IF(AND(T207="○",$A207&gt;=BX$8,$A207&lt;=BX$9),IF(SUM(BX$10:BX206)-ROUNDDOWN($K207*BX$5/100,0)&lt;-BX$6,-BX$6-SUM(BX$10:BX206),-ROUNDDOWN($K207*BX$5/100,0)),0)</f>
        <v>0</v>
      </c>
      <c r="BY207" s="38">
        <f>IF(AND(U207="○",$A207&gt;=BY$8,$A207&lt;=BY$9),IF(SUM(BY$10:BY206)-ROUNDDOWN($K207*BY$5/100,0)&lt;-BY$6,-BY$6-SUM(BY$10:BY206),-ROUNDDOWN($K207*BY$5/100,0)),0)</f>
        <v>0</v>
      </c>
      <c r="BZ207" s="38">
        <f>IF(AND(V207="○",$A207&gt;=BZ$8,$A207&lt;=BZ$9),IF(SUM(BZ$10:BZ206)-ROUNDDOWN($K207*BZ$5/100,0)&lt;-BZ$6,-BZ$6-SUM(BZ$10:BZ206),-ROUNDDOWN($K207*BZ$5/100,0)),0)</f>
        <v>0</v>
      </c>
      <c r="CA207" s="38">
        <f>IF(AND(W207="○",$A207&gt;=CA$8,$A207&lt;=CA$9),IF(SUM(CA$10:CA206)-ROUNDDOWN($K207*CA$5/100,0)&lt;-CA$6,-CA$6-SUM(CA$10:CA206),-ROUNDDOWN($K207*CA$5/100,0)),0)</f>
        <v>0</v>
      </c>
      <c r="CB207" s="38"/>
      <c r="CC207" s="38"/>
      <c r="CD207" s="38"/>
      <c r="CE207" s="38"/>
      <c r="CF207" s="38"/>
      <c r="CG207" s="65">
        <f t="shared" si="138"/>
        <v>0</v>
      </c>
      <c r="CH207" s="71">
        <f t="shared" si="139"/>
        <v>0</v>
      </c>
      <c r="CI207" s="1">
        <f t="shared" si="171"/>
        <v>0</v>
      </c>
      <c r="CJ207" s="1"/>
      <c r="CK207" s="72"/>
      <c r="CL207" s="72"/>
      <c r="CM207" s="2"/>
      <c r="CN207" s="2"/>
      <c r="CO207" s="73">
        <f t="shared" si="172"/>
        <v>0</v>
      </c>
      <c r="CP207" s="5">
        <f t="shared" si="173"/>
        <v>0</v>
      </c>
      <c r="CQ207" s="1"/>
      <c r="CR207" s="1">
        <f t="shared" si="174"/>
        <v>0</v>
      </c>
      <c r="CS207" s="1"/>
      <c r="CT207" s="1" t="e">
        <f>INDEX([2]マスタ!$A:$A,MATCH(D207,[2]マスタ!$C:$C,0))</f>
        <v>#N/A</v>
      </c>
      <c r="CU207" s="1" t="str">
        <f t="shared" ca="1" si="175"/>
        <v>20260620_0-0</v>
      </c>
    </row>
    <row r="208" spans="1:99" x14ac:dyDescent="0.4">
      <c r="A208" s="61"/>
      <c r="B208" s="62"/>
      <c r="C208" s="62"/>
      <c r="D208" s="62"/>
      <c r="E208" s="74"/>
      <c r="F208" s="62"/>
      <c r="G208" s="62">
        <v>1</v>
      </c>
      <c r="H208" s="64">
        <f t="shared" si="162"/>
        <v>0</v>
      </c>
      <c r="I208" s="64"/>
      <c r="J208" s="64"/>
      <c r="K208" s="65">
        <f t="shared" ref="K208:K211" si="176">+ROUNDDOWN((H208+I208+J208)/100,0)*100</f>
        <v>0</v>
      </c>
      <c r="L208" s="65">
        <f t="shared" si="164"/>
        <v>0</v>
      </c>
      <c r="M208" s="65">
        <f t="shared" si="165"/>
        <v>0</v>
      </c>
      <c r="N208" s="65">
        <f t="shared" si="166"/>
        <v>0</v>
      </c>
      <c r="O208" s="66" t="str">
        <f t="shared" si="167"/>
        <v>✕</v>
      </c>
      <c r="P208" s="67" t="str">
        <f t="shared" si="168"/>
        <v>○</v>
      </c>
      <c r="Q208" s="67" t="str">
        <f t="shared" ref="Q208:Q211" si="177">+IF((TEXT(A208,"DD")+0)=1,"○","✕")</f>
        <v>✕</v>
      </c>
      <c r="R208" s="67" t="str">
        <f t="shared" si="170"/>
        <v>✕</v>
      </c>
      <c r="S208" s="68">
        <v>0</v>
      </c>
      <c r="T208" s="69" t="s">
        <v>85</v>
      </c>
      <c r="U208" s="69" t="s">
        <v>85</v>
      </c>
      <c r="V208" s="69" t="s">
        <v>85</v>
      </c>
      <c r="W208" s="69" t="s">
        <v>85</v>
      </c>
      <c r="X208" s="69" t="s">
        <v>84</v>
      </c>
      <c r="Y208" s="69" t="s">
        <v>85</v>
      </c>
      <c r="Z208" s="69" t="s">
        <v>85</v>
      </c>
      <c r="AA208" s="69" t="s">
        <v>85</v>
      </c>
      <c r="AB208" s="69" t="s">
        <v>85</v>
      </c>
      <c r="AC208" s="69" t="s">
        <v>85</v>
      </c>
      <c r="AD208" s="38" t="str">
        <f>+IF(ISERROR(VLOOKUP($B208,AD$10:AD200,1,0)),IF(AND($N208&gt;=1000,$A208&gt;=AO$8,$A208&lt;=AO$9),$B208,""),"")</f>
        <v/>
      </c>
      <c r="AE208" s="38" t="str">
        <f>+IF(ISERROR(VLOOKUP($B208,AE$10:AE200,1,0)),IF(AND($N208&gt;=1000,$A208&gt;=AP$8,$A208&lt;=AP$9),$B208,""),"")</f>
        <v/>
      </c>
      <c r="AF208" s="38" t="str">
        <f>+IF(ISERROR(VLOOKUP($B208,AF$10:AF200,1,0)),IF(AND($N208&gt;=1000,$A208&gt;=AQ$8,$A208&lt;=AQ$9),$B208,""),"")</f>
        <v/>
      </c>
      <c r="AG208" s="38" t="str">
        <f>+IF(ISERROR(VLOOKUP($B208,AG$10:AG200,1,0)),IF(AND($N208&gt;=1000,$A208&gt;=AR$8,$A208&lt;=AR$9),$B208,""),"")</f>
        <v/>
      </c>
      <c r="AH208" s="38"/>
      <c r="AI208" s="70">
        <v>0</v>
      </c>
      <c r="AJ208" s="38">
        <f>IF(AND(AJ$7="○",$A208&gt;=AJ$8,$A208&lt;=AJ$9),IF(SUM(AJ$10:AJ207)-ROUNDDOWN($K208*AJ$5/100,0)&lt;-AJ$6,-AJ$6-SUM(AJ$10:AJ207),-ROUNDDOWN($K208*AJ$5/100,0)),0)</f>
        <v>0</v>
      </c>
      <c r="AK208" s="38">
        <f>IF(AND(AK$7="○",$A208&gt;=AK$8,$A208&lt;=AK$9),IF(SUM(AK$10:AK207)-ROUNDDOWN($L208*AK$5/100,0)&lt;-AK$6,-AK$6-SUM(AK$10:AK207),-ROUNDDOWN($L208*AK$5/100,0)),0)</f>
        <v>0</v>
      </c>
      <c r="AL208" s="38">
        <f>IF(AND(AL$7="○",$A208&gt;=AL$8,$A208&lt;=AL$9),IF(SUM(AL$10:AL207)-ROUNDDOWN($N208*AL$5/100,0)&lt;-AL$6,-AL$6-SUM(AL$10:AL207),-ROUNDDOWN($N208*AL$5/100,0)),0)</f>
        <v>0</v>
      </c>
      <c r="AM208" s="38">
        <f>IF(AND(AM$7="○",$A208&gt;=AM$8,$A208&lt;=AM$9),IF(SUM(AM$10:AM207)-ROUNDDOWN($L208*AM$5/100,0)&lt;-AM$6,-AM$6-SUM(AM$10:AM207),-ROUNDDOWN($L208*AM$5/100,0)),0)</f>
        <v>0</v>
      </c>
      <c r="AN208" s="38">
        <f>IF(AND(AN$7="○",$A208&gt;=AN$8,$A208&lt;=AN$9),IF(SUM(AN$10:AN207)-ROUNDDOWN($M208*AN$5/100,0)&lt;-AN$6,-AN$6-SUM(AN$10:AN207),-ROUNDDOWN($M208*AN$5/100,0)),0)</f>
        <v>0</v>
      </c>
      <c r="AO208" s="38">
        <f>IF(AND($A208&gt;=AO$8,$A208&lt;=AO$9),IF(SUM(AO$10:AO207)-ROUNDDOWN($K208*AO$5/100,0)&lt;-AO$6,-AO$6-SUM(AO$10:AO207),-ROUNDDOWN($K208*AO$5/100,0)),0)</f>
        <v>0</v>
      </c>
      <c r="AP208" s="38">
        <f>IF(AND($A208&gt;=AP$8,$A208&lt;=AP$9),IF(SUM(AP$10:AP207)-ROUNDDOWN($K208*AP$5/100,0)&lt;-AP$6,-AP$6-SUM(AP$10:AP207),-ROUNDDOWN($K208*AP$5/100,0)),0)</f>
        <v>0</v>
      </c>
      <c r="AQ208" s="38">
        <f>IF(AND($A208&gt;=AQ$8,$A208&lt;=AQ$9),IF(SUM(AQ$10:AQ207)-ROUNDDOWN($K208*AQ$5/100,0)&lt;-AQ$6,-AQ$6-SUM(AQ$10:AQ207),-ROUNDDOWN($K208*AQ$5/100,0)),0)</f>
        <v>0</v>
      </c>
      <c r="AR208" s="38">
        <f>IF(AND($A208&gt;=AR$8,$A208&lt;=AR$9),IF(SUM(AR$10:AR207)-ROUNDDOWN($K208*AR$5/100,0)&lt;-AR$6,-AR$6-SUM(AR$10:AR207),-ROUNDDOWN($K208*AR$5/100,0)),0)</f>
        <v>0</v>
      </c>
      <c r="AS208" s="38">
        <f>IF(SUMIFS(AS$10:AS207,$A$10:$A207,$A208)-ROUNDDOWN($K208*$S208/100,0)&lt;-$S208*1000,-$S208*1000-SUMIFS(AS$10:AS207,$A$10:$A207,$A208),-ROUNDDOWN($K208*$S208/100,0))</f>
        <v>0</v>
      </c>
      <c r="AT208" s="38">
        <f>IF(AND(X208="○",$A208&gt;=AT$8,$A208&lt;=AT$9,K208&gt;=3980),IF(SUM(AT$10:AT207)-ROUNDDOWN($K208*AT$5/100,0)&lt;-AT$6,-AT$6-SUM(AT$10:AT207),-ROUNDDOWN($K208*AT$5/100,0)),0)</f>
        <v>0</v>
      </c>
      <c r="AU208" s="38">
        <f>IF(O208="○",IF(SUM(AU$10:AU207)-ROUNDDOWN($K208*AU$5/100,0)&lt;-AU$6,-AU$6-SUM(AU$10:AU207),-ROUNDDOWN($K208*AU$5/100,0)),0)</f>
        <v>0</v>
      </c>
      <c r="AV208" s="38">
        <f>IF(P208="○",IF(SUM(AV$10:AV207)-ROUNDDOWN($K208*AV$5/100,0)&lt;-AV$6,-AV$6-SUM(AV$10:AV207),-ROUNDDOWN($K208*AV$5/100,0)),0)</f>
        <v>0</v>
      </c>
      <c r="AW208" s="38">
        <f>IF(Q208="○",IF(SUM(AW$10:AW207)-ROUNDDOWN($K208*AW$5/100,0)&lt;-AW$6,-AW$6-SUM(AW$10:AW207),-ROUNDDOWN($K208*AW$5/100,0)),0)</f>
        <v>0</v>
      </c>
      <c r="AX208" s="38">
        <f>IF(R208="○",IF(SUM(AX$10:AX207)-ROUNDDOWN($K208*AX$5/100,0)&lt;-AX$6,-AX$6-SUM(AX$10:AX207),-ROUNDDOWN($K208*AX$5/100,0)),0)</f>
        <v>0</v>
      </c>
      <c r="AY208" s="70">
        <v>0</v>
      </c>
      <c r="AZ208" s="65">
        <f t="shared" si="132"/>
        <v>0</v>
      </c>
      <c r="BA208" s="65">
        <f t="shared" si="133"/>
        <v>0</v>
      </c>
      <c r="BB208" s="70"/>
      <c r="BC208" s="65">
        <f t="shared" si="134"/>
        <v>0</v>
      </c>
      <c r="BD208" s="70">
        <v>0</v>
      </c>
      <c r="BE208" s="65">
        <f t="shared" si="135"/>
        <v>0</v>
      </c>
      <c r="BF208" s="70">
        <v>0</v>
      </c>
      <c r="BG208" s="65">
        <f t="shared" si="136"/>
        <v>0</v>
      </c>
      <c r="BH208" s="70">
        <v>0</v>
      </c>
      <c r="BI208" s="65">
        <f t="shared" si="137"/>
        <v>0</v>
      </c>
      <c r="BJ208" s="38">
        <f>IF(AND(BJ$7="○",$A208&gt;=BJ$8,$A208&lt;=BJ$9),IF(SUM(BJ$10:BJ207)-ROUNDDOWN($M208*BJ$5/100,0)&lt;-BJ$6,-BJ$6-SUM(BJ$10:BJ207),-ROUNDDOWN($M208*BJ$5/100,0)),0)</f>
        <v>0</v>
      </c>
      <c r="BK208" s="38">
        <f>IF(AND(BK$7="○",$A208&gt;=BK$8,$A208&lt;=BK$9),IF(SUM(BK$10:BK207)-ROUNDDOWN($L208*BK$5/100,0)&lt;-BK$6,-BK$6-SUM(BK$10:BK207),-ROUNDDOWN($L208*BK$5/100,0)),0)</f>
        <v>0</v>
      </c>
      <c r="BL208" s="38">
        <f>IF(AND(BL$7="○",$A208&gt;=BL$8,$A208&lt;=BL$9),IF(SUM(BL$10:BL207)-ROUNDDOWN($L208*BL$5/100,0)&lt;-BL$6,-BL$6-SUM(BL$10:BL207),-ROUNDDOWN($L208*BL$5/100,0)),0)</f>
        <v>0</v>
      </c>
      <c r="BM208" s="38">
        <f>IF(AND(BM$7="○",$A208&gt;=BM$8,$A208&lt;=BM$9),IF(SUM(BM$10:BM207)-ROUNDDOWN($M208*BM$5/100,0)&lt;-BM$6,-BM$6-SUM(BM$10:BM207),-ROUNDDOWN($M208*BM$5/100,0)),0)</f>
        <v>0</v>
      </c>
      <c r="BN208" s="38">
        <f>IF(AND(BN$7="○",$A208&gt;=BN$8,$A208&lt;=BN$9),IF(SUM(BN$10:BN207)-ROUNDDOWN($M208*BN$5/100,0)&lt;-BN$6,-BN$6-SUM(BN$10:BN207),-ROUNDDOWN($M208*BN$5/100,0)),0)</f>
        <v>0</v>
      </c>
      <c r="BO208" s="38">
        <f>IF(AND(BO$7="○",$A208&gt;=BO$8,$A208&lt;=BO$9),IF(SUM(BO$10:BO207)-ROUNDDOWN($M208*BO$5/100,0)&lt;-BO$6,-BO$6-SUM(BO$10:BO207),-ROUNDDOWN($M208*BO$5/100,0)),0)</f>
        <v>0</v>
      </c>
      <c r="BP208" s="38">
        <f>IF(AND(BP$7="○",$A208&gt;=BP$8,$A208&lt;=BP$9),IF(SUM(BP$10:BP207)-ROUNDDOWN($M208*BP$5/100,0)&lt;-BP$6,-BP$6-SUM(BP$10:BP207),-ROUNDDOWN($M208*BP$5/100,0)),0)</f>
        <v>0</v>
      </c>
      <c r="BQ208" s="38">
        <f>IF(AND(BQ$7="○",$A208&gt;=BQ$8,$A208&lt;=BQ$9),IF(SUM(BQ$10:BQ207)-ROUNDDOWN($L208*BQ$5/100,0)&lt;-BQ$6,-BQ$6-SUM(BQ$10:BQ207),-ROUNDDOWN($L208*BQ$5/100,0)),0)</f>
        <v>0</v>
      </c>
      <c r="BR208" s="38">
        <f>IF(AND(BR$7="○",$A208&gt;=BR$8,$A208&lt;=BR$9),IF(SUM(BR$10:BR207)-ROUNDDOWN($M208*BR$5/100,0)&lt;-BR$6,-BR$6-SUM(BR$10:BR207),-ROUNDDOWN($M208*BR$5/100,0)),0)</f>
        <v>0</v>
      </c>
      <c r="BS208" s="38">
        <f>IF(AND(BS$7="○",$A208&gt;=BS$8,$A208&lt;=BS$9),IF(SUM(BS$10:BS207)-ROUNDDOWN($M208*BS$5/100,0)&lt;-BS$6,-BS$6-SUM(BS$10:BS207),-ROUNDDOWN($M208*BS$5/100,0)),0)</f>
        <v>0</v>
      </c>
      <c r="BT208" s="38">
        <f>IF(AND(BT$7="○",$A208&gt;=BT$8,$A208&lt;=BT$9),IF(SUM(BT$10:BT207)-ROUNDDOWN($M208*BT$5/100,0)&lt;-BT$6,-BT$6-SUM(BT$10:BT207),-ROUNDDOWN($M208*BT$5/100,0)),0)</f>
        <v>0</v>
      </c>
      <c r="BU208" s="38">
        <f>IF(AND(BU$7="○",$A208&gt;=BU$8,$A208&lt;=BU$9),IF(SUM(BU$10:BU207)-ROUNDDOWN($M208*BU$5/100,0)&lt;-BU$6,-BU$6-SUM(BU$10:BU207),-ROUNDDOWN($M208*BU$5/100,0)),0)</f>
        <v>0</v>
      </c>
      <c r="BV208" s="38">
        <f>IF(AND(BV$7="○",$A208&gt;=BV$8,$A208&lt;=BV$9),IF(SUM(BV$10:BV207)-ROUNDDOWN($M208*BV$5/100,0)&lt;-BV$6,-BV$6-SUM(BV$10:BV207),-ROUNDDOWN($M208*BV$5/100,0)),0)</f>
        <v>0</v>
      </c>
      <c r="BW208" s="38">
        <f>IF(AND(BW$7="○",$A208&gt;=BW$8,$A208&lt;=BW$9),IF(SUM(BW$10:BW207)-ROUNDDOWN($M208*BW$5/100,0)&lt;-BW$6,-BW$6-SUM(BW$10:BW207),-ROUNDDOWN($M208*BW$5/100,0)),0)</f>
        <v>0</v>
      </c>
      <c r="BX208" s="38">
        <f>IF(AND(T208="○",$A208&gt;=BX$8,$A208&lt;=BX$9),IF(SUM(BX$10:BX207)-ROUNDDOWN($K208*BX$5/100,0)&lt;-BX$6,-BX$6-SUM(BX$10:BX207),-ROUNDDOWN($K208*BX$5/100,0)),0)</f>
        <v>0</v>
      </c>
      <c r="BY208" s="38">
        <f>IF(AND(U208="○",$A208&gt;=BY$8,$A208&lt;=BY$9),IF(SUM(BY$10:BY207)-ROUNDDOWN($K208*BY$5/100,0)&lt;-BY$6,-BY$6-SUM(BY$10:BY207),-ROUNDDOWN($K208*BY$5/100,0)),0)</f>
        <v>0</v>
      </c>
      <c r="BZ208" s="38">
        <f>IF(AND(V208="○",$A208&gt;=BZ$8,$A208&lt;=BZ$9),IF(SUM(BZ$10:BZ207)-ROUNDDOWN($K208*BZ$5/100,0)&lt;-BZ$6,-BZ$6-SUM(BZ$10:BZ207),-ROUNDDOWN($K208*BZ$5/100,0)),0)</f>
        <v>0</v>
      </c>
      <c r="CA208" s="38">
        <f>IF(AND(W208="○",$A208&gt;=CA$8,$A208&lt;=CA$9),IF(SUM(CA$10:CA207)-ROUNDDOWN($K208*CA$5/100,0)&lt;-CA$6,-CA$6-SUM(CA$10:CA207),-ROUNDDOWN($K208*CA$5/100,0)),0)</f>
        <v>0</v>
      </c>
      <c r="CB208" s="38"/>
      <c r="CC208" s="38"/>
      <c r="CD208" s="38"/>
      <c r="CE208" s="38"/>
      <c r="CF208" s="38"/>
      <c r="CG208" s="65">
        <f t="shared" si="138"/>
        <v>0</v>
      </c>
      <c r="CH208" s="71">
        <f t="shared" si="139"/>
        <v>0</v>
      </c>
      <c r="CI208" s="1">
        <f t="shared" si="171"/>
        <v>0</v>
      </c>
      <c r="CJ208" s="1"/>
      <c r="CK208" s="75"/>
      <c r="CL208" s="75"/>
      <c r="CM208" s="2"/>
      <c r="CN208" s="2"/>
      <c r="CO208" s="73">
        <f t="shared" si="172"/>
        <v>0</v>
      </c>
      <c r="CP208" s="5">
        <f t="shared" si="173"/>
        <v>0</v>
      </c>
      <c r="CQ208" s="1"/>
      <c r="CR208" s="1">
        <f t="shared" si="174"/>
        <v>0</v>
      </c>
      <c r="CS208" s="1"/>
      <c r="CT208" s="1" t="e">
        <f>INDEX([2]マスタ!$A:$A,MATCH(D208,[2]マスタ!$C:$C,0))</f>
        <v>#N/A</v>
      </c>
      <c r="CU208" s="1" t="str">
        <f t="shared" ca="1" si="175"/>
        <v>20260620_0-0</v>
      </c>
    </row>
    <row r="209" spans="1:99" x14ac:dyDescent="0.4">
      <c r="A209" s="61"/>
      <c r="B209" s="62"/>
      <c r="C209" s="62"/>
      <c r="D209" s="62"/>
      <c r="E209" s="74"/>
      <c r="F209" s="62"/>
      <c r="G209" s="62">
        <v>1</v>
      </c>
      <c r="H209" s="64">
        <f t="shared" si="162"/>
        <v>0</v>
      </c>
      <c r="I209" s="64"/>
      <c r="J209" s="64"/>
      <c r="K209" s="65">
        <f t="shared" si="176"/>
        <v>0</v>
      </c>
      <c r="L209" s="65">
        <f t="shared" si="164"/>
        <v>0</v>
      </c>
      <c r="M209" s="65">
        <f t="shared" si="165"/>
        <v>0</v>
      </c>
      <c r="N209" s="65">
        <f t="shared" si="166"/>
        <v>0</v>
      </c>
      <c r="O209" s="66" t="str">
        <f t="shared" si="167"/>
        <v>✕</v>
      </c>
      <c r="P209" s="67" t="str">
        <f t="shared" si="168"/>
        <v>○</v>
      </c>
      <c r="Q209" s="67" t="str">
        <f t="shared" si="177"/>
        <v>✕</v>
      </c>
      <c r="R209" s="67" t="str">
        <f t="shared" si="170"/>
        <v>✕</v>
      </c>
      <c r="S209" s="68">
        <v>0</v>
      </c>
      <c r="T209" s="69" t="s">
        <v>85</v>
      </c>
      <c r="U209" s="69" t="s">
        <v>85</v>
      </c>
      <c r="V209" s="69" t="s">
        <v>85</v>
      </c>
      <c r="W209" s="69" t="s">
        <v>85</v>
      </c>
      <c r="X209" s="69" t="s">
        <v>84</v>
      </c>
      <c r="Y209" s="69" t="s">
        <v>85</v>
      </c>
      <c r="Z209" s="69" t="s">
        <v>85</v>
      </c>
      <c r="AA209" s="69" t="s">
        <v>85</v>
      </c>
      <c r="AB209" s="69" t="s">
        <v>85</v>
      </c>
      <c r="AC209" s="69" t="s">
        <v>85</v>
      </c>
      <c r="AD209" s="38" t="str">
        <f>+IF(ISERROR(VLOOKUP($B209,AD$10:AD208,1,0)),IF(AND($N209&gt;=1000,$A209&gt;=AO$8,$A209&lt;=AO$9),$B209,""),"")</f>
        <v/>
      </c>
      <c r="AE209" s="38" t="str">
        <f>+IF(ISERROR(VLOOKUP($B209,AE$10:AE208,1,0)),IF(AND($N209&gt;=1000,$A209&gt;=AP$8,$A209&lt;=AP$9),$B209,""),"")</f>
        <v/>
      </c>
      <c r="AF209" s="38" t="str">
        <f>+IF(ISERROR(VLOOKUP($B209,AF$10:AF208,1,0)),IF(AND($N209&gt;=1000,$A209&gt;=AQ$8,$A209&lt;=AQ$9),$B209,""),"")</f>
        <v/>
      </c>
      <c r="AG209" s="38" t="str">
        <f>+IF(ISERROR(VLOOKUP($B209,AG$10:AG208,1,0)),IF(AND($N209&gt;=1000,$A209&gt;=AR$8,$A209&lt;=AR$9),$B209,""),"")</f>
        <v/>
      </c>
      <c r="AH209" s="38"/>
      <c r="AI209" s="70">
        <v>0</v>
      </c>
      <c r="AJ209" s="38">
        <f>IF(AND(AJ$7="○",$A209&gt;=AJ$8,$A209&lt;=AJ$9),IF(SUM(AJ$10:AJ208)-ROUNDDOWN($K209*AJ$5/100,0)&lt;-AJ$6,-AJ$6-SUM(AJ$10:AJ208),-ROUNDDOWN($K209*AJ$5/100,0)),0)</f>
        <v>0</v>
      </c>
      <c r="AK209" s="38">
        <f>IF(AND(AK$7="○",$A209&gt;=AK$8,$A209&lt;=AK$9),IF(SUM(AK$10:AK208)-ROUNDDOWN($L209*AK$5/100,0)&lt;-AK$6,-AK$6-SUM(AK$10:AK208),-ROUNDDOWN($L209*AK$5/100,0)),0)</f>
        <v>0</v>
      </c>
      <c r="AL209" s="38">
        <f>IF(AND(AL$7="○",$A209&gt;=AL$8,$A209&lt;=AL$9),IF(SUM(AL$10:AL208)-ROUNDDOWN($N209*AL$5/100,0)&lt;-AL$6,-AL$6-SUM(AL$10:AL208),-ROUNDDOWN($N209*AL$5/100,0)),0)</f>
        <v>0</v>
      </c>
      <c r="AM209" s="38">
        <f>IF(AND(AM$7="○",$A209&gt;=AM$8,$A209&lt;=AM$9),IF(SUM(AM$10:AM208)-ROUNDDOWN($L209*AM$5/100,0)&lt;-AM$6,-AM$6-SUM(AM$10:AM208),-ROUNDDOWN($L209*AM$5/100,0)),0)</f>
        <v>0</v>
      </c>
      <c r="AN209" s="38">
        <f>IF(AND(AN$7="○",$A209&gt;=AN$8,$A209&lt;=AN$9),IF(SUM(AN$10:AN208)-ROUNDDOWN($M209*AN$5/100,0)&lt;-AN$6,-AN$6-SUM(AN$10:AN208),-ROUNDDOWN($M209*AN$5/100,0)),0)</f>
        <v>0</v>
      </c>
      <c r="AO209" s="38">
        <f>IF(AND($A209&gt;=AO$8,$A209&lt;=AO$9),IF(SUM(AO$10:AO208)-ROUNDDOWN($K209*AO$5/100,0)&lt;-AO$6,-AO$6-SUM(AO$10:AO208),-ROUNDDOWN($K209*AO$5/100,0)),0)</f>
        <v>0</v>
      </c>
      <c r="AP209" s="38">
        <f>IF(AND($A209&gt;=AP$8,$A209&lt;=AP$9),IF(SUM(AP$10:AP208)-ROUNDDOWN($K209*AP$5/100,0)&lt;-AP$6,-AP$6-SUM(AP$10:AP208),-ROUNDDOWN($K209*AP$5/100,0)),0)</f>
        <v>0</v>
      </c>
      <c r="AQ209" s="38">
        <f>IF(AND($A209&gt;=AQ$8,$A209&lt;=AQ$9),IF(SUM(AQ$10:AQ208)-ROUNDDOWN($K209*AQ$5/100,0)&lt;-AQ$6,-AQ$6-SUM(AQ$10:AQ208),-ROUNDDOWN($K209*AQ$5/100,0)),0)</f>
        <v>0</v>
      </c>
      <c r="AR209" s="38">
        <f>IF(AND($A209&gt;=AR$8,$A209&lt;=AR$9),IF(SUM(AR$10:AR208)-ROUNDDOWN($K209*AR$5/100,0)&lt;-AR$6,-AR$6-SUM(AR$10:AR208),-ROUNDDOWN($K209*AR$5/100,0)),0)</f>
        <v>0</v>
      </c>
      <c r="AS209" s="38">
        <f>IF(SUMIFS(AS$10:AS208,$A$10:$A208,$A209)-ROUNDDOWN($K209*$S209/100,0)&lt;-$S209*1000,-$S209*1000-SUMIFS(AS$10:AS208,$A$10:$A208,$A209),-ROUNDDOWN($K209*$S209/100,0))</f>
        <v>0</v>
      </c>
      <c r="AT209" s="38">
        <f>IF(AND(X209="○",$A209&gt;=AT$8,$A209&lt;=AT$9,K209&gt;=3980),IF(SUM(AT$10:AT208)-ROUNDDOWN($K209*AT$5/100,0)&lt;-AT$6,-AT$6-SUM(AT$10:AT208),-ROUNDDOWN($K209*AT$5/100,0)),0)</f>
        <v>0</v>
      </c>
      <c r="AU209" s="38">
        <f>IF(O209="○",IF(SUM(AU$10:AU208)-ROUNDDOWN($K209*AU$5/100,0)&lt;-AU$6,-AU$6-SUM(AU$10:AU208),-ROUNDDOWN($K209*AU$5/100,0)),0)</f>
        <v>0</v>
      </c>
      <c r="AV209" s="38">
        <f>IF(P209="○",IF(SUM(AV$10:AV208)-ROUNDDOWN($K209*AV$5/100,0)&lt;-AV$6,-AV$6-SUM(AV$10:AV208),-ROUNDDOWN($K209*AV$5/100,0)),0)</f>
        <v>0</v>
      </c>
      <c r="AW209" s="38">
        <f>IF(Q209="○",IF(SUM(AW$10:AW208)-ROUNDDOWN($K209*AW$5/100,0)&lt;-AW$6,-AW$6-SUM(AW$10:AW208),-ROUNDDOWN($K209*AW$5/100,0)),0)</f>
        <v>0</v>
      </c>
      <c r="AX209" s="38">
        <f>IF(R209="○",IF(SUM(AX$10:AX208)-ROUNDDOWN($K209*AX$5/100,0)&lt;-AX$6,-AX$6-SUM(AX$10:AX208),-ROUNDDOWN($K209*AX$5/100,0)),0)</f>
        <v>0</v>
      </c>
      <c r="AY209" s="70">
        <v>0</v>
      </c>
      <c r="AZ209" s="65">
        <f t="shared" si="132"/>
        <v>0</v>
      </c>
      <c r="BA209" s="65">
        <f t="shared" si="133"/>
        <v>0</v>
      </c>
      <c r="BB209" s="70"/>
      <c r="BC209" s="65">
        <f t="shared" si="134"/>
        <v>0</v>
      </c>
      <c r="BD209" s="70">
        <v>0</v>
      </c>
      <c r="BE209" s="65">
        <f t="shared" si="135"/>
        <v>0</v>
      </c>
      <c r="BF209" s="70">
        <v>0</v>
      </c>
      <c r="BG209" s="65">
        <f t="shared" si="136"/>
        <v>0</v>
      </c>
      <c r="BH209" s="70">
        <v>0</v>
      </c>
      <c r="BI209" s="65">
        <f t="shared" si="137"/>
        <v>0</v>
      </c>
      <c r="BJ209" s="38">
        <f>IF(AND(BJ$7="○",$A209&gt;=BJ$8,$A209&lt;=BJ$9),IF(SUM(BJ$10:BJ208)-ROUNDDOWN($M209*BJ$5/100,0)&lt;-BJ$6,-BJ$6-SUM(BJ$10:BJ208),-ROUNDDOWN($M209*BJ$5/100,0)),0)</f>
        <v>0</v>
      </c>
      <c r="BK209" s="38">
        <f>IF(AND(BK$7="○",$A209&gt;=BK$8,$A209&lt;=BK$9),IF(SUM(BK$10:BK208)-ROUNDDOWN($L209*BK$5/100,0)&lt;-BK$6,-BK$6-SUM(BK$10:BK208),-ROUNDDOWN($L209*BK$5/100,0)),0)</f>
        <v>0</v>
      </c>
      <c r="BL209" s="38">
        <f>IF(AND(BL$7="○",$A209&gt;=BL$8,$A209&lt;=BL$9),IF(SUM(BL$10:BL208)-ROUNDDOWN($L209*BL$5/100,0)&lt;-BL$6,-BL$6-SUM(BL$10:BL208),-ROUNDDOWN($L209*BL$5/100,0)),0)</f>
        <v>0</v>
      </c>
      <c r="BM209" s="38">
        <f>IF(AND(BM$7="○",$A209&gt;=BM$8,$A209&lt;=BM$9),IF(SUM(BM$10:BM208)-ROUNDDOWN($M209*BM$5/100,0)&lt;-BM$6,-BM$6-SUM(BM$10:BM208),-ROUNDDOWN($M209*BM$5/100,0)),0)</f>
        <v>0</v>
      </c>
      <c r="BN209" s="38">
        <f>IF(AND(BN$7="○",$A209&gt;=BN$8,$A209&lt;=BN$9),IF(SUM(BN$10:BN208)-ROUNDDOWN($M209*BN$5/100,0)&lt;-BN$6,-BN$6-SUM(BN$10:BN208),-ROUNDDOWN($M209*BN$5/100,0)),0)</f>
        <v>0</v>
      </c>
      <c r="BO209" s="38">
        <f>IF(AND(BO$7="○",$A209&gt;=BO$8,$A209&lt;=BO$9),IF(SUM(BO$10:BO208)-ROUNDDOWN($M209*BO$5/100,0)&lt;-BO$6,-BO$6-SUM(BO$10:BO208),-ROUNDDOWN($M209*BO$5/100,0)),0)</f>
        <v>0</v>
      </c>
      <c r="BP209" s="38">
        <f>IF(AND(BP$7="○",$A209&gt;=BP$8,$A209&lt;=BP$9),IF(SUM(BP$10:BP208)-ROUNDDOWN($M209*BP$5/100,0)&lt;-BP$6,-BP$6-SUM(BP$10:BP208),-ROUNDDOWN($M209*BP$5/100,0)),0)</f>
        <v>0</v>
      </c>
      <c r="BQ209" s="38">
        <f>IF(AND(BQ$7="○",$A209&gt;=BQ$8,$A209&lt;=BQ$9),IF(SUM(BQ$10:BQ208)-ROUNDDOWN($L209*BQ$5/100,0)&lt;-BQ$6,-BQ$6-SUM(BQ$10:BQ208),-ROUNDDOWN($L209*BQ$5/100,0)),0)</f>
        <v>0</v>
      </c>
      <c r="BR209" s="38">
        <f>IF(AND(BR$7="○",$A209&gt;=BR$8,$A209&lt;=BR$9),IF(SUM(BR$10:BR208)-ROUNDDOWN($M209*BR$5/100,0)&lt;-BR$6,-BR$6-SUM(BR$10:BR208),-ROUNDDOWN($M209*BR$5/100,0)),0)</f>
        <v>0</v>
      </c>
      <c r="BS209" s="38">
        <f>IF(AND(BS$7="○",$A209&gt;=BS$8,$A209&lt;=BS$9),IF(SUM(BS$10:BS208)-ROUNDDOWN($M209*BS$5/100,0)&lt;-BS$6,-BS$6-SUM(BS$10:BS208),-ROUNDDOWN($M209*BS$5/100,0)),0)</f>
        <v>0</v>
      </c>
      <c r="BT209" s="38">
        <f>IF(AND(BT$7="○",$A209&gt;=BT$8,$A209&lt;=BT$9),IF(SUM(BT$10:BT208)-ROUNDDOWN($M209*BT$5/100,0)&lt;-BT$6,-BT$6-SUM(BT$10:BT208),-ROUNDDOWN($M209*BT$5/100,0)),0)</f>
        <v>0</v>
      </c>
      <c r="BU209" s="38">
        <f>IF(AND(BU$7="○",$A209&gt;=BU$8,$A209&lt;=BU$9),IF(SUM(BU$10:BU208)-ROUNDDOWN($M209*BU$5/100,0)&lt;-BU$6,-BU$6-SUM(BU$10:BU208),-ROUNDDOWN($M209*BU$5/100,0)),0)</f>
        <v>0</v>
      </c>
      <c r="BV209" s="38">
        <f>IF(AND(BV$7="○",$A209&gt;=BV$8,$A209&lt;=BV$9),IF(SUM(BV$10:BV208)-ROUNDDOWN($M209*BV$5/100,0)&lt;-BV$6,-BV$6-SUM(BV$10:BV208),-ROUNDDOWN($M209*BV$5/100,0)),0)</f>
        <v>0</v>
      </c>
      <c r="BW209" s="38">
        <f>IF(AND(BW$7="○",$A209&gt;=BW$8,$A209&lt;=BW$9),IF(SUM(BW$10:BW208)-ROUNDDOWN($M209*BW$5/100,0)&lt;-BW$6,-BW$6-SUM(BW$10:BW208),-ROUNDDOWN($M209*BW$5/100,0)),0)</f>
        <v>0</v>
      </c>
      <c r="BX209" s="38">
        <f>IF(AND(T209="○",$A209&gt;=BX$8,$A209&lt;=BX$9),IF(SUM(BX$10:BX208)-ROUNDDOWN($K209*BX$5/100,0)&lt;-BX$6,-BX$6-SUM(BX$10:BX208),-ROUNDDOWN($K209*BX$5/100,0)),0)</f>
        <v>0</v>
      </c>
      <c r="BY209" s="38">
        <f>IF(AND(U209="○",$A209&gt;=BY$8,$A209&lt;=BY$9),IF(SUM(BY$10:BY208)-ROUNDDOWN($K209*BY$5/100,0)&lt;-BY$6,-BY$6-SUM(BY$10:BY208),-ROUNDDOWN($K209*BY$5/100,0)),0)</f>
        <v>0</v>
      </c>
      <c r="BZ209" s="38">
        <f>IF(AND(V209="○",$A209&gt;=BZ$8,$A209&lt;=BZ$9),IF(SUM(BZ$10:BZ208)-ROUNDDOWN($K209*BZ$5/100,0)&lt;-BZ$6,-BZ$6-SUM(BZ$10:BZ208),-ROUNDDOWN($K209*BZ$5/100,0)),0)</f>
        <v>0</v>
      </c>
      <c r="CA209" s="38">
        <f>IF(AND(W209="○",$A209&gt;=CA$8,$A209&lt;=CA$9),IF(SUM(CA$10:CA208)-ROUNDDOWN($K209*CA$5/100,0)&lt;-CA$6,-CA$6-SUM(CA$10:CA208),-ROUNDDOWN($K209*CA$5/100,0)),0)</f>
        <v>0</v>
      </c>
      <c r="CB209" s="38"/>
      <c r="CC209" s="38"/>
      <c r="CD209" s="38"/>
      <c r="CE209" s="38"/>
      <c r="CF209" s="38"/>
      <c r="CG209" s="65">
        <f t="shared" si="138"/>
        <v>0</v>
      </c>
      <c r="CH209" s="71">
        <f t="shared" si="139"/>
        <v>0</v>
      </c>
      <c r="CI209" s="1">
        <f t="shared" si="171"/>
        <v>0</v>
      </c>
      <c r="CJ209" s="1"/>
      <c r="CK209" s="75"/>
      <c r="CL209" s="75"/>
      <c r="CM209" s="2"/>
      <c r="CN209" s="2"/>
      <c r="CO209" s="73">
        <f t="shared" si="172"/>
        <v>0</v>
      </c>
      <c r="CP209" s="5">
        <f t="shared" si="173"/>
        <v>0</v>
      </c>
      <c r="CQ209" s="1"/>
      <c r="CR209" s="1">
        <f t="shared" si="174"/>
        <v>0</v>
      </c>
      <c r="CS209" s="1"/>
      <c r="CT209" s="1" t="e">
        <f>INDEX([2]マスタ!$A:$A,MATCH(D209,[2]マスタ!$C:$C,0))</f>
        <v>#N/A</v>
      </c>
      <c r="CU209" s="1" t="str">
        <f t="shared" ca="1" si="175"/>
        <v>20260620_0-0</v>
      </c>
    </row>
    <row r="210" spans="1:99" x14ac:dyDescent="0.4">
      <c r="A210" s="61"/>
      <c r="B210" s="62"/>
      <c r="C210" s="62"/>
      <c r="D210" s="62"/>
      <c r="E210" s="74"/>
      <c r="F210" s="62"/>
      <c r="G210" s="62">
        <v>1</v>
      </c>
      <c r="H210" s="64">
        <f t="shared" si="162"/>
        <v>0</v>
      </c>
      <c r="I210" s="64"/>
      <c r="J210" s="64"/>
      <c r="K210" s="65">
        <f t="shared" si="176"/>
        <v>0</v>
      </c>
      <c r="L210" s="65">
        <f t="shared" si="164"/>
        <v>0</v>
      </c>
      <c r="M210" s="65">
        <f t="shared" si="165"/>
        <v>0</v>
      </c>
      <c r="N210" s="65">
        <f t="shared" si="166"/>
        <v>0</v>
      </c>
      <c r="O210" s="66" t="str">
        <f t="shared" si="167"/>
        <v>✕</v>
      </c>
      <c r="P210" s="67" t="str">
        <f t="shared" si="168"/>
        <v>○</v>
      </c>
      <c r="Q210" s="67" t="str">
        <f t="shared" si="177"/>
        <v>✕</v>
      </c>
      <c r="R210" s="67" t="str">
        <f t="shared" si="170"/>
        <v>✕</v>
      </c>
      <c r="S210" s="68">
        <v>0</v>
      </c>
      <c r="T210" s="69" t="s">
        <v>85</v>
      </c>
      <c r="U210" s="69" t="s">
        <v>85</v>
      </c>
      <c r="V210" s="69" t="s">
        <v>85</v>
      </c>
      <c r="W210" s="69" t="s">
        <v>85</v>
      </c>
      <c r="X210" s="69" t="s">
        <v>84</v>
      </c>
      <c r="Y210" s="69" t="s">
        <v>85</v>
      </c>
      <c r="Z210" s="69" t="s">
        <v>85</v>
      </c>
      <c r="AA210" s="69" t="s">
        <v>85</v>
      </c>
      <c r="AB210" s="69" t="s">
        <v>85</v>
      </c>
      <c r="AC210" s="69" t="s">
        <v>85</v>
      </c>
      <c r="AD210" s="38" t="str">
        <f>+IF(ISERROR(VLOOKUP($B210,AD$10:AD209,1,0)),IF(AND($N210&gt;=1000,$A210&gt;=AO$8,$A210&lt;=AO$9),$B210,""),"")</f>
        <v/>
      </c>
      <c r="AE210" s="38" t="str">
        <f>+IF(ISERROR(VLOOKUP($B210,AE$10:AE209,1,0)),IF(AND($N210&gt;=1000,$A210&gt;=AP$8,$A210&lt;=AP$9),$B210,""),"")</f>
        <v/>
      </c>
      <c r="AF210" s="38" t="str">
        <f>+IF(ISERROR(VLOOKUP($B210,AF$10:AF209,1,0)),IF(AND($N210&gt;=1000,$A210&gt;=AQ$8,$A210&lt;=AQ$9),$B210,""),"")</f>
        <v/>
      </c>
      <c r="AG210" s="38" t="str">
        <f>+IF(ISERROR(VLOOKUP($B210,AG$10:AG209,1,0)),IF(AND($N210&gt;=1000,$A210&gt;=AR$8,$A210&lt;=AR$9),$B210,""),"")</f>
        <v/>
      </c>
      <c r="AH210" s="38"/>
      <c r="AI210" s="70">
        <v>0</v>
      </c>
      <c r="AJ210" s="38">
        <f>IF(AND(AJ$7="○",$A210&gt;=AJ$8,$A210&lt;=AJ$9),IF(SUM(AJ$10:AJ209)-ROUNDDOWN($K210*AJ$5/100,0)&lt;-AJ$6,-AJ$6-SUM(AJ$10:AJ209),-ROUNDDOWN($K210*AJ$5/100,0)),0)</f>
        <v>0</v>
      </c>
      <c r="AK210" s="38">
        <f>IF(AND(AK$7="○",$A210&gt;=AK$8,$A210&lt;=AK$9),IF(SUM(AK$10:AK209)-ROUNDDOWN($L210*AK$5/100,0)&lt;-AK$6,-AK$6-SUM(AK$10:AK209),-ROUNDDOWN($L210*AK$5/100,0)),0)</f>
        <v>0</v>
      </c>
      <c r="AL210" s="38">
        <f>IF(AND(AL$7="○",$A210&gt;=AL$8,$A210&lt;=AL$9),IF(SUM(AL$10:AL209)-ROUNDDOWN($N210*AL$5/100,0)&lt;-AL$6,-AL$6-SUM(AL$10:AL209),-ROUNDDOWN($N210*AL$5/100,0)),0)</f>
        <v>0</v>
      </c>
      <c r="AM210" s="38">
        <f>IF(AND(AM$7="○",$A210&gt;=AM$8,$A210&lt;=AM$9),IF(SUM(AM$10:AM209)-ROUNDDOWN($L210*AM$5/100,0)&lt;-AM$6,-AM$6-SUM(AM$10:AM209),-ROUNDDOWN($L210*AM$5/100,0)),0)</f>
        <v>0</v>
      </c>
      <c r="AN210" s="38">
        <f>IF(AND(AN$7="○",$A210&gt;=AN$8,$A210&lt;=AN$9),IF(SUM(AN$10:AN209)-ROUNDDOWN($M210*AN$5/100,0)&lt;-AN$6,-AN$6-SUM(AN$10:AN209),-ROUNDDOWN($M210*AN$5/100,0)),0)</f>
        <v>0</v>
      </c>
      <c r="AO210" s="38">
        <f>IF(AND($A210&gt;=AO$8,$A210&lt;=AO$9),IF(SUM(AO$10:AO209)-ROUNDDOWN($K210*AO$5/100,0)&lt;-AO$6,-AO$6-SUM(AO$10:AO209),-ROUNDDOWN($K210*AO$5/100,0)),0)</f>
        <v>0</v>
      </c>
      <c r="AP210" s="38">
        <f>IF(AND($A210&gt;=AP$8,$A210&lt;=AP$9),IF(SUM(AP$10:AP209)-ROUNDDOWN($K210*AP$5/100,0)&lt;-AP$6,-AP$6-SUM(AP$10:AP209),-ROUNDDOWN($K210*AP$5/100,0)),0)</f>
        <v>0</v>
      </c>
      <c r="AQ210" s="38">
        <f>IF(AND($A210&gt;=AQ$8,$A210&lt;=AQ$9),IF(SUM(AQ$10:AQ209)-ROUNDDOWN($K210*AQ$5/100,0)&lt;-AQ$6,-AQ$6-SUM(AQ$10:AQ209),-ROUNDDOWN($K210*AQ$5/100,0)),0)</f>
        <v>0</v>
      </c>
      <c r="AR210" s="38">
        <f>IF(AND($A210&gt;=AR$8,$A210&lt;=AR$9),IF(SUM(AR$10:AR209)-ROUNDDOWN($K210*AR$5/100,0)&lt;-AR$6,-AR$6-SUM(AR$10:AR209),-ROUNDDOWN($K210*AR$5/100,0)),0)</f>
        <v>0</v>
      </c>
      <c r="AS210" s="38">
        <f>IF(SUMIFS(AS$10:AS209,$A$10:$A209,$A210)-ROUNDDOWN($K210*$S210/100,0)&lt;-$S210*1000,-$S210*1000-SUMIFS(AS$10:AS209,$A$10:$A209,$A210),-ROUNDDOWN($K210*$S210/100,0))</f>
        <v>0</v>
      </c>
      <c r="AT210" s="38">
        <f>IF(AND(X210="○",$A210&gt;=AT$8,$A210&lt;=AT$9,K210&gt;=3980),IF(SUM(AT$10:AT209)-ROUNDDOWN($K210*AT$5/100,0)&lt;-AT$6,-AT$6-SUM(AT$10:AT209),-ROUNDDOWN($K210*AT$5/100,0)),0)</f>
        <v>0</v>
      </c>
      <c r="AU210" s="38">
        <f>IF(O210="○",IF(SUM(AU$10:AU209)-ROUNDDOWN($K210*AU$5/100,0)&lt;-AU$6,-AU$6-SUM(AU$10:AU209),-ROUNDDOWN($K210*AU$5/100,0)),0)</f>
        <v>0</v>
      </c>
      <c r="AV210" s="38">
        <f>IF(P210="○",IF(SUM(AV$10:AV209)-ROUNDDOWN($K210*AV$5/100,0)&lt;-AV$6,-AV$6-SUM(AV$10:AV209),-ROUNDDOWN($K210*AV$5/100,0)),0)</f>
        <v>0</v>
      </c>
      <c r="AW210" s="38">
        <f>IF(Q210="○",IF(SUM(AW$10:AW209)-ROUNDDOWN($K210*AW$5/100,0)&lt;-AW$6,-AW$6-SUM(AW$10:AW209),-ROUNDDOWN($K210*AW$5/100,0)),0)</f>
        <v>0</v>
      </c>
      <c r="AX210" s="38">
        <f>IF(R210="○",IF(SUM(AX$10:AX209)-ROUNDDOWN($K210*AX$5/100,0)&lt;-AX$6,-AX$6-SUM(AX$10:AX209),-ROUNDDOWN($K210*AX$5/100,0)),0)</f>
        <v>0</v>
      </c>
      <c r="AY210" s="70">
        <v>0</v>
      </c>
      <c r="AZ210" s="65">
        <f t="shared" si="132"/>
        <v>0</v>
      </c>
      <c r="BA210" s="65">
        <f t="shared" si="133"/>
        <v>0</v>
      </c>
      <c r="BB210" s="70"/>
      <c r="BC210" s="65">
        <f t="shared" si="134"/>
        <v>0</v>
      </c>
      <c r="BD210" s="70">
        <v>0</v>
      </c>
      <c r="BE210" s="65">
        <f t="shared" si="135"/>
        <v>0</v>
      </c>
      <c r="BF210" s="70">
        <v>0</v>
      </c>
      <c r="BG210" s="65">
        <f t="shared" si="136"/>
        <v>0</v>
      </c>
      <c r="BH210" s="70">
        <v>0</v>
      </c>
      <c r="BI210" s="65">
        <f t="shared" si="137"/>
        <v>0</v>
      </c>
      <c r="BJ210" s="38">
        <f>IF(AND(BJ$7="○",$A210&gt;=BJ$8,$A210&lt;=BJ$9),IF(SUM(BJ$10:BJ209)-ROUNDDOWN($M210*BJ$5/100,0)&lt;-BJ$6,-BJ$6-SUM(BJ$10:BJ209),-ROUNDDOWN($M210*BJ$5/100,0)),0)</f>
        <v>0</v>
      </c>
      <c r="BK210" s="38">
        <f>IF(AND(BK$7="○",$A210&gt;=BK$8,$A210&lt;=BK$9),IF(SUM(BK$10:BK209)-ROUNDDOWN($L210*BK$5/100,0)&lt;-BK$6,-BK$6-SUM(BK$10:BK209),-ROUNDDOWN($L210*BK$5/100,0)),0)</f>
        <v>0</v>
      </c>
      <c r="BL210" s="38">
        <f>IF(AND(BL$7="○",$A210&gt;=BL$8,$A210&lt;=BL$9),IF(SUM(BL$10:BL209)-ROUNDDOWN($L210*BL$5/100,0)&lt;-BL$6,-BL$6-SUM(BL$10:BL209),-ROUNDDOWN($L210*BL$5/100,0)),0)</f>
        <v>0</v>
      </c>
      <c r="BM210" s="38">
        <f>IF(AND(BM$7="○",$A210&gt;=BM$8,$A210&lt;=BM$9),IF(SUM(BM$10:BM209)-ROUNDDOWN($M210*BM$5/100,0)&lt;-BM$6,-BM$6-SUM(BM$10:BM209),-ROUNDDOWN($M210*BM$5/100,0)),0)</f>
        <v>0</v>
      </c>
      <c r="BN210" s="38">
        <f>IF(AND(BN$7="○",$A210&gt;=BN$8,$A210&lt;=BN$9),IF(SUM(BN$10:BN209)-ROUNDDOWN($M210*BN$5/100,0)&lt;-BN$6,-BN$6-SUM(BN$10:BN209),-ROUNDDOWN($M210*BN$5/100,0)),0)</f>
        <v>0</v>
      </c>
      <c r="BO210" s="38">
        <f>IF(AND(BO$7="○",$A210&gt;=BO$8,$A210&lt;=BO$9),IF(SUM(BO$10:BO209)-ROUNDDOWN($M210*BO$5/100,0)&lt;-BO$6,-BO$6-SUM(BO$10:BO209),-ROUNDDOWN($M210*BO$5/100,0)),0)</f>
        <v>0</v>
      </c>
      <c r="BP210" s="38">
        <f>IF(AND(BP$7="○",$A210&gt;=BP$8,$A210&lt;=BP$9),IF(SUM(BP$10:BP209)-ROUNDDOWN($M210*BP$5/100,0)&lt;-BP$6,-BP$6-SUM(BP$10:BP209),-ROUNDDOWN($M210*BP$5/100,0)),0)</f>
        <v>0</v>
      </c>
      <c r="BQ210" s="38">
        <f>IF(AND(BQ$7="○",$A210&gt;=BQ$8,$A210&lt;=BQ$9),IF(SUM(BQ$10:BQ209)-ROUNDDOWN($L210*BQ$5/100,0)&lt;-BQ$6,-BQ$6-SUM(BQ$10:BQ209),-ROUNDDOWN($L210*BQ$5/100,0)),0)</f>
        <v>0</v>
      </c>
      <c r="BR210" s="38">
        <f>IF(AND(BR$7="○",$A210&gt;=BR$8,$A210&lt;=BR$9),IF(SUM(BR$10:BR209)-ROUNDDOWN($M210*BR$5/100,0)&lt;-BR$6,-BR$6-SUM(BR$10:BR209),-ROUNDDOWN($M210*BR$5/100,0)),0)</f>
        <v>0</v>
      </c>
      <c r="BS210" s="38">
        <f>IF(AND(BS$7="○",$A210&gt;=BS$8,$A210&lt;=BS$9),IF(SUM(BS$10:BS209)-ROUNDDOWN($M210*BS$5/100,0)&lt;-BS$6,-BS$6-SUM(BS$10:BS209),-ROUNDDOWN($M210*BS$5/100,0)),0)</f>
        <v>0</v>
      </c>
      <c r="BT210" s="38">
        <f>IF(AND(BT$7="○",$A210&gt;=BT$8,$A210&lt;=BT$9),IF(SUM(BT$10:BT209)-ROUNDDOWN($M210*BT$5/100,0)&lt;-BT$6,-BT$6-SUM(BT$10:BT209),-ROUNDDOWN($M210*BT$5/100,0)),0)</f>
        <v>0</v>
      </c>
      <c r="BU210" s="38">
        <f>IF(AND(BU$7="○",$A210&gt;=BU$8,$A210&lt;=BU$9),IF(SUM(BU$10:BU209)-ROUNDDOWN($M210*BU$5/100,0)&lt;-BU$6,-BU$6-SUM(BU$10:BU209),-ROUNDDOWN($M210*BU$5/100,0)),0)</f>
        <v>0</v>
      </c>
      <c r="BV210" s="38">
        <f>IF(AND(BV$7="○",$A210&gt;=BV$8,$A210&lt;=BV$9),IF(SUM(BV$10:BV209)-ROUNDDOWN($M210*BV$5/100,0)&lt;-BV$6,-BV$6-SUM(BV$10:BV209),-ROUNDDOWN($M210*BV$5/100,0)),0)</f>
        <v>0</v>
      </c>
      <c r="BW210" s="38">
        <f>IF(AND(BW$7="○",$A210&gt;=BW$8,$A210&lt;=BW$9),IF(SUM(BW$10:BW209)-ROUNDDOWN($M210*BW$5/100,0)&lt;-BW$6,-BW$6-SUM(BW$10:BW209),-ROUNDDOWN($M210*BW$5/100,0)),0)</f>
        <v>0</v>
      </c>
      <c r="BX210" s="38">
        <f>IF(AND(T210="○",$A210&gt;=BX$8,$A210&lt;=BX$9),IF(SUM(BX$10:BX209)-ROUNDDOWN($K210*BX$5/100,0)&lt;-BX$6,-BX$6-SUM(BX$10:BX209),-ROUNDDOWN($K210*BX$5/100,0)),0)</f>
        <v>0</v>
      </c>
      <c r="BY210" s="38">
        <f>IF(AND(U210="○",$A210&gt;=BY$8,$A210&lt;=BY$9),IF(SUM(BY$10:BY209)-ROUNDDOWN($K210*BY$5/100,0)&lt;-BY$6,-BY$6-SUM(BY$10:BY209),-ROUNDDOWN($K210*BY$5/100,0)),0)</f>
        <v>0</v>
      </c>
      <c r="BZ210" s="38">
        <f>IF(AND(V210="○",$A210&gt;=BZ$8,$A210&lt;=BZ$9),IF(SUM(BZ$10:BZ209)-ROUNDDOWN($K210*BZ$5/100,0)&lt;-BZ$6,-BZ$6-SUM(BZ$10:BZ209),-ROUNDDOWN($K210*BZ$5/100,0)),0)</f>
        <v>0</v>
      </c>
      <c r="CA210" s="38">
        <f>IF(AND(W210="○",$A210&gt;=CA$8,$A210&lt;=CA$9),IF(SUM(CA$10:CA209)-ROUNDDOWN($K210*CA$5/100,0)&lt;-CA$6,-CA$6-SUM(CA$10:CA209),-ROUNDDOWN($K210*CA$5/100,0)),0)</f>
        <v>0</v>
      </c>
      <c r="CB210" s="38"/>
      <c r="CC210" s="38"/>
      <c r="CD210" s="38"/>
      <c r="CE210" s="38"/>
      <c r="CF210" s="38"/>
      <c r="CG210" s="65">
        <f t="shared" si="138"/>
        <v>0</v>
      </c>
      <c r="CH210" s="71">
        <f t="shared" si="139"/>
        <v>0</v>
      </c>
      <c r="CI210" s="1">
        <f t="shared" si="171"/>
        <v>0</v>
      </c>
      <c r="CJ210" s="1"/>
      <c r="CK210" s="75"/>
      <c r="CL210" s="75"/>
      <c r="CM210" s="2"/>
      <c r="CN210" s="2"/>
      <c r="CO210" s="73">
        <f t="shared" si="172"/>
        <v>0</v>
      </c>
      <c r="CP210" s="5">
        <f t="shared" si="173"/>
        <v>0</v>
      </c>
      <c r="CQ210" s="1"/>
      <c r="CR210" s="1">
        <f t="shared" si="174"/>
        <v>0</v>
      </c>
      <c r="CS210" s="1"/>
      <c r="CT210" s="1" t="e">
        <f>INDEX([2]マスタ!$A:$A,MATCH(D210,[2]マスタ!$C:$C,0))</f>
        <v>#N/A</v>
      </c>
      <c r="CU210" s="1" t="str">
        <f t="shared" ca="1" si="175"/>
        <v>20260620_0-0</v>
      </c>
    </row>
    <row r="211" spans="1:99" x14ac:dyDescent="0.4">
      <c r="A211" s="61"/>
      <c r="B211" s="62"/>
      <c r="C211" s="62"/>
      <c r="D211" s="62"/>
      <c r="E211" s="74"/>
      <c r="F211" s="62"/>
      <c r="G211" s="62">
        <v>1</v>
      </c>
      <c r="H211" s="64">
        <f t="shared" si="162"/>
        <v>0</v>
      </c>
      <c r="I211" s="64"/>
      <c r="J211" s="64"/>
      <c r="K211" s="65">
        <f t="shared" si="176"/>
        <v>0</v>
      </c>
      <c r="L211" s="65">
        <f t="shared" si="164"/>
        <v>0</v>
      </c>
      <c r="M211" s="65">
        <f t="shared" si="165"/>
        <v>0</v>
      </c>
      <c r="N211" s="65">
        <f t="shared" si="166"/>
        <v>0</v>
      </c>
      <c r="O211" s="66" t="str">
        <f t="shared" si="167"/>
        <v>✕</v>
      </c>
      <c r="P211" s="67" t="str">
        <f t="shared" si="168"/>
        <v>○</v>
      </c>
      <c r="Q211" s="67" t="str">
        <f t="shared" si="177"/>
        <v>✕</v>
      </c>
      <c r="R211" s="67" t="str">
        <f t="shared" si="170"/>
        <v>✕</v>
      </c>
      <c r="S211" s="68">
        <v>0</v>
      </c>
      <c r="T211" s="69" t="s">
        <v>85</v>
      </c>
      <c r="U211" s="69" t="s">
        <v>85</v>
      </c>
      <c r="V211" s="69" t="s">
        <v>85</v>
      </c>
      <c r="W211" s="69" t="s">
        <v>85</v>
      </c>
      <c r="X211" s="69" t="s">
        <v>84</v>
      </c>
      <c r="Y211" s="69" t="s">
        <v>85</v>
      </c>
      <c r="Z211" s="69" t="s">
        <v>85</v>
      </c>
      <c r="AA211" s="69" t="s">
        <v>85</v>
      </c>
      <c r="AB211" s="69" t="s">
        <v>85</v>
      </c>
      <c r="AC211" s="69" t="s">
        <v>85</v>
      </c>
      <c r="AD211" s="38" t="str">
        <f>+IF(ISERROR(VLOOKUP($B211,AD$10:AD210,1,0)),IF(AND($N211&gt;=1000,$A211&gt;=AO$8,$A211&lt;=AO$9),$B211,""),"")</f>
        <v/>
      </c>
      <c r="AE211" s="38" t="str">
        <f>+IF(ISERROR(VLOOKUP($B211,AE$10:AE210,1,0)),IF(AND($N211&gt;=1000,$A211&gt;=AP$8,$A211&lt;=AP$9),$B211,""),"")</f>
        <v/>
      </c>
      <c r="AF211" s="38" t="str">
        <f>+IF(ISERROR(VLOOKUP($B211,AF$10:AF210,1,0)),IF(AND($N211&gt;=1000,$A211&gt;=AQ$8,$A211&lt;=AQ$9),$B211,""),"")</f>
        <v/>
      </c>
      <c r="AG211" s="38" t="str">
        <f>+IF(ISERROR(VLOOKUP($B211,AG$10:AG210,1,0)),IF(AND($N211&gt;=1000,$A211&gt;=AR$8,$A211&lt;=AR$9),$B211,""),"")</f>
        <v/>
      </c>
      <c r="AH211" s="38"/>
      <c r="AI211" s="70">
        <v>0</v>
      </c>
      <c r="AJ211" s="38">
        <f>IF(AND(AJ$7="○",$A211&gt;=AJ$8,$A211&lt;=AJ$9),IF(SUM(AJ$10:AJ210)-ROUNDDOWN($K211*AJ$5/100,0)&lt;-AJ$6,-AJ$6-SUM(AJ$10:AJ210),-ROUNDDOWN($K211*AJ$5/100,0)),0)</f>
        <v>0</v>
      </c>
      <c r="AK211" s="38">
        <f>IF(AND(AK$7="○",$A211&gt;=AK$8,$A211&lt;=AK$9),IF(SUM(AK$10:AK210)-ROUNDDOWN($L211*AK$5/100,0)&lt;-AK$6,-AK$6-SUM(AK$10:AK210),-ROUNDDOWN($L211*AK$5/100,0)),0)</f>
        <v>0</v>
      </c>
      <c r="AL211" s="38">
        <f>IF(AND(AL$7="○",$A211&gt;=AL$8,$A211&lt;=AL$9),IF(SUM(AL$10:AL210)-ROUNDDOWN($N211*AL$5/100,0)&lt;-AL$6,-AL$6-SUM(AL$10:AL210),-ROUNDDOWN($N211*AL$5/100,0)),0)</f>
        <v>0</v>
      </c>
      <c r="AM211" s="38">
        <f>IF(AND(AM$7="○",$A211&gt;=AM$8,$A211&lt;=AM$9),IF(SUM(AM$10:AM210)-ROUNDDOWN($L211*AM$5/100,0)&lt;-AM$6,-AM$6-SUM(AM$10:AM210),-ROUNDDOWN($L211*AM$5/100,0)),0)</f>
        <v>0</v>
      </c>
      <c r="AN211" s="38">
        <f>IF(AND(AN$7="○",$A211&gt;=AN$8,$A211&lt;=AN$9),IF(SUM(AN$10:AN210)-ROUNDDOWN($M211*AN$5/100,0)&lt;-AN$6,-AN$6-SUM(AN$10:AN210),-ROUNDDOWN($M211*AN$5/100,0)),0)</f>
        <v>0</v>
      </c>
      <c r="AO211" s="38">
        <f>IF(AND($A211&gt;=AO$8,$A211&lt;=AO$9),IF(SUM(AO$10:AO210)-ROUNDDOWN($K211*AO$5/100,0)&lt;-AO$6,-AO$6-SUM(AO$10:AO210),-ROUNDDOWN($K211*AO$5/100,0)),0)</f>
        <v>0</v>
      </c>
      <c r="AP211" s="38">
        <f>IF(AND($A211&gt;=AP$8,$A211&lt;=AP$9),IF(SUM(AP$10:AP210)-ROUNDDOWN($K211*AP$5/100,0)&lt;-AP$6,-AP$6-SUM(AP$10:AP210),-ROUNDDOWN($K211*AP$5/100,0)),0)</f>
        <v>0</v>
      </c>
      <c r="AQ211" s="38">
        <f>IF(AND($A211&gt;=AQ$8,$A211&lt;=AQ$9),IF(SUM(AQ$10:AQ210)-ROUNDDOWN($K211*AQ$5/100,0)&lt;-AQ$6,-AQ$6-SUM(AQ$10:AQ210),-ROUNDDOWN($K211*AQ$5/100,0)),0)</f>
        <v>0</v>
      </c>
      <c r="AR211" s="38">
        <f>IF(AND($A211&gt;=AR$8,$A211&lt;=AR$9),IF(SUM(AR$10:AR210)-ROUNDDOWN($K211*AR$5/100,0)&lt;-AR$6,-AR$6-SUM(AR$10:AR210),-ROUNDDOWN($K211*AR$5/100,0)),0)</f>
        <v>0</v>
      </c>
      <c r="AS211" s="38">
        <f>IF(SUMIFS(AS$10:AS210,$A$10:$A210,$A211)-ROUNDDOWN($K211*$S211/100,0)&lt;-$S211*1000,-$S211*1000-SUMIFS(AS$10:AS210,$A$10:$A210,$A211),-ROUNDDOWN($K211*$S211/100,0))</f>
        <v>0</v>
      </c>
      <c r="AT211" s="38">
        <f>IF(AND(X211="○",$A211&gt;=AT$8,$A211&lt;=AT$9,K211&gt;=3980),IF(SUM(AT$10:AT210)-ROUNDDOWN($K211*AT$5/100,0)&lt;-AT$6,-AT$6-SUM(AT$10:AT210),-ROUNDDOWN($K211*AT$5/100,0)),0)</f>
        <v>0</v>
      </c>
      <c r="AU211" s="38">
        <f>IF(O211="○",IF(SUM(AU$10:AU210)-ROUNDDOWN($K211*AU$5/100,0)&lt;-AU$6,-AU$6-SUM(AU$10:AU210),-ROUNDDOWN($K211*AU$5/100,0)),0)</f>
        <v>0</v>
      </c>
      <c r="AV211" s="38">
        <f>IF(P211="○",IF(SUM(AV$10:AV210)-ROUNDDOWN($K211*AV$5/100,0)&lt;-AV$6,-AV$6-SUM(AV$10:AV210),-ROUNDDOWN($K211*AV$5/100,0)),0)</f>
        <v>0</v>
      </c>
      <c r="AW211" s="38">
        <f>IF(Q211="○",IF(SUM(AW$10:AW210)-ROUNDDOWN($K211*AW$5/100,0)&lt;-AW$6,-AW$6-SUM(AW$10:AW210),-ROUNDDOWN($K211*AW$5/100,0)),0)</f>
        <v>0</v>
      </c>
      <c r="AX211" s="38">
        <f>IF(R211="○",IF(SUM(AX$10:AX210)-ROUNDDOWN($K211*AX$5/100,0)&lt;-AX$6,-AX$6-SUM(AX$10:AX210),-ROUNDDOWN($K211*AX$5/100,0)),0)</f>
        <v>0</v>
      </c>
      <c r="AY211" s="70">
        <v>0</v>
      </c>
      <c r="AZ211" s="65">
        <f t="shared" ref="AZ211:AZ274" si="178">-ROUNDDOWN($K211*AY211/100,0)</f>
        <v>0</v>
      </c>
      <c r="BA211" s="65">
        <f t="shared" ref="BA211:BA274" si="179">-ROUNDDOWN($K211*AI211/100,0)</f>
        <v>0</v>
      </c>
      <c r="BB211" s="70"/>
      <c r="BC211" s="65">
        <f t="shared" ref="BC211:BC274" si="180">-ROUNDDOWN($K211*BB211/100,0)</f>
        <v>0</v>
      </c>
      <c r="BD211" s="70">
        <v>0</v>
      </c>
      <c r="BE211" s="65">
        <f t="shared" ref="BE211:BE274" si="181">-ROUNDDOWN($K211*BD211/100,0)</f>
        <v>0</v>
      </c>
      <c r="BF211" s="70">
        <v>0</v>
      </c>
      <c r="BG211" s="65">
        <f t="shared" ref="BG211:BG274" si="182">-ROUNDDOWN($K211*BF211/100,0)</f>
        <v>0</v>
      </c>
      <c r="BH211" s="70">
        <v>0</v>
      </c>
      <c r="BI211" s="65">
        <f t="shared" ref="BI211:BI274" si="183">-ROUNDDOWN($K211*BH211/100,0)</f>
        <v>0</v>
      </c>
      <c r="BJ211" s="38">
        <f>IF(AND(BJ$7="○",$A211&gt;=BJ$8,$A211&lt;=BJ$9),IF(SUM(BJ$10:BJ210)-ROUNDDOWN($M211*BJ$5/100,0)&lt;-BJ$6,-BJ$6-SUM(BJ$10:BJ210),-ROUNDDOWN($M211*BJ$5/100,0)),0)</f>
        <v>0</v>
      </c>
      <c r="BK211" s="38">
        <f>IF(AND(BK$7="○",$A211&gt;=BK$8,$A211&lt;=BK$9),IF(SUM(BK$10:BK210)-ROUNDDOWN($L211*BK$5/100,0)&lt;-BK$6,-BK$6-SUM(BK$10:BK210),-ROUNDDOWN($L211*BK$5/100,0)),0)</f>
        <v>0</v>
      </c>
      <c r="BL211" s="38">
        <f>IF(AND(BL$7="○",$A211&gt;=BL$8,$A211&lt;=BL$9),IF(SUM(BL$10:BL210)-ROUNDDOWN($L211*BL$5/100,0)&lt;-BL$6,-BL$6-SUM(BL$10:BL210),-ROUNDDOWN($L211*BL$5/100,0)),0)</f>
        <v>0</v>
      </c>
      <c r="BM211" s="38">
        <f>IF(AND(BM$7="○",$A211&gt;=BM$8,$A211&lt;=BM$9),IF(SUM(BM$10:BM210)-ROUNDDOWN($M211*BM$5/100,0)&lt;-BM$6,-BM$6-SUM(BM$10:BM210),-ROUNDDOWN($M211*BM$5/100,0)),0)</f>
        <v>0</v>
      </c>
      <c r="BN211" s="38">
        <f>IF(AND(BN$7="○",$A211&gt;=BN$8,$A211&lt;=BN$9),IF(SUM(BN$10:BN210)-ROUNDDOWN($M211*BN$5/100,0)&lt;-BN$6,-BN$6-SUM(BN$10:BN210),-ROUNDDOWN($M211*BN$5/100,0)),0)</f>
        <v>0</v>
      </c>
      <c r="BO211" s="38">
        <f>IF(AND(BO$7="○",$A211&gt;=BO$8,$A211&lt;=BO$9),IF(SUM(BO$10:BO210)-ROUNDDOWN($M211*BO$5/100,0)&lt;-BO$6,-BO$6-SUM(BO$10:BO210),-ROUNDDOWN($M211*BO$5/100,0)),0)</f>
        <v>0</v>
      </c>
      <c r="BP211" s="38">
        <f>IF(AND(BP$7="○",$A211&gt;=BP$8,$A211&lt;=BP$9),IF(SUM(BP$10:BP210)-ROUNDDOWN($M211*BP$5/100,0)&lt;-BP$6,-BP$6-SUM(BP$10:BP210),-ROUNDDOWN($M211*BP$5/100,0)),0)</f>
        <v>0</v>
      </c>
      <c r="BQ211" s="38">
        <f>IF(AND(BQ$7="○",$A211&gt;=BQ$8,$A211&lt;=BQ$9),IF(SUM(BQ$10:BQ210)-ROUNDDOWN($L211*BQ$5/100,0)&lt;-BQ$6,-BQ$6-SUM(BQ$10:BQ210),-ROUNDDOWN($L211*BQ$5/100,0)),0)</f>
        <v>0</v>
      </c>
      <c r="BR211" s="38">
        <f>IF(AND(BR$7="○",$A211&gt;=BR$8,$A211&lt;=BR$9),IF(SUM(BR$10:BR210)-ROUNDDOWN($M211*BR$5/100,0)&lt;-BR$6,-BR$6-SUM(BR$10:BR210),-ROUNDDOWN($M211*BR$5/100,0)),0)</f>
        <v>0</v>
      </c>
      <c r="BS211" s="38">
        <f>IF(AND(BS$7="○",$A211&gt;=BS$8,$A211&lt;=BS$9),IF(SUM(BS$10:BS210)-ROUNDDOWN($M211*BS$5/100,0)&lt;-BS$6,-BS$6-SUM(BS$10:BS210),-ROUNDDOWN($M211*BS$5/100,0)),0)</f>
        <v>0</v>
      </c>
      <c r="BT211" s="38">
        <f>IF(AND(BT$7="○",$A211&gt;=BT$8,$A211&lt;=BT$9),IF(SUM(BT$10:BT210)-ROUNDDOWN($M211*BT$5/100,0)&lt;-BT$6,-BT$6-SUM(BT$10:BT210),-ROUNDDOWN($M211*BT$5/100,0)),0)</f>
        <v>0</v>
      </c>
      <c r="BU211" s="38">
        <f>IF(AND(BU$7="○",$A211&gt;=BU$8,$A211&lt;=BU$9),IF(SUM(BU$10:BU210)-ROUNDDOWN($M211*BU$5/100,0)&lt;-BU$6,-BU$6-SUM(BU$10:BU210),-ROUNDDOWN($M211*BU$5/100,0)),0)</f>
        <v>0</v>
      </c>
      <c r="BV211" s="38">
        <f>IF(AND(BV$7="○",$A211&gt;=BV$8,$A211&lt;=BV$9),IF(SUM(BV$10:BV210)-ROUNDDOWN($M211*BV$5/100,0)&lt;-BV$6,-BV$6-SUM(BV$10:BV210),-ROUNDDOWN($M211*BV$5/100,0)),0)</f>
        <v>0</v>
      </c>
      <c r="BW211" s="38">
        <f>IF(AND(BW$7="○",$A211&gt;=BW$8,$A211&lt;=BW$9),IF(SUM(BW$10:BW210)-ROUNDDOWN($M211*BW$5/100,0)&lt;-BW$6,-BW$6-SUM(BW$10:BW210),-ROUNDDOWN($M211*BW$5/100,0)),0)</f>
        <v>0</v>
      </c>
      <c r="BX211" s="38">
        <f>IF(AND(T211="○",$A211&gt;=BX$8,$A211&lt;=BX$9),IF(SUM(BX$10:BX210)-ROUNDDOWN($K211*BX$5/100,0)&lt;-BX$6,-BX$6-SUM(BX$10:BX210),-ROUNDDOWN($K211*BX$5/100,0)),0)</f>
        <v>0</v>
      </c>
      <c r="BY211" s="38">
        <f>IF(AND(U211="○",$A211&gt;=BY$8,$A211&lt;=BY$9),IF(SUM(BY$10:BY210)-ROUNDDOWN($K211*BY$5/100,0)&lt;-BY$6,-BY$6-SUM(BY$10:BY210),-ROUNDDOWN($K211*BY$5/100,0)),0)</f>
        <v>0</v>
      </c>
      <c r="BZ211" s="38">
        <f>IF(AND(V211="○",$A211&gt;=BZ$8,$A211&lt;=BZ$9),IF(SUM(BZ$10:BZ210)-ROUNDDOWN($K211*BZ$5/100,0)&lt;-BZ$6,-BZ$6-SUM(BZ$10:BZ210),-ROUNDDOWN($K211*BZ$5/100,0)),0)</f>
        <v>0</v>
      </c>
      <c r="CA211" s="38">
        <f>IF(AND(W211="○",$A211&gt;=CA$8,$A211&lt;=CA$9),IF(SUM(CA$10:CA210)-ROUNDDOWN($K211*CA$5/100,0)&lt;-CA$6,-CA$6-SUM(CA$10:CA210),-ROUNDDOWN($K211*CA$5/100,0)),0)</f>
        <v>0</v>
      </c>
      <c r="CB211" s="38"/>
      <c r="CC211" s="38"/>
      <c r="CD211" s="38"/>
      <c r="CE211" s="38"/>
      <c r="CF211" s="38"/>
      <c r="CG211" s="65">
        <f t="shared" ref="CG211:CG274" si="184">+SUM(AJ211:CF211,BC211,BE211,AZ211,BA211,BG211,BI211)</f>
        <v>0</v>
      </c>
      <c r="CH211" s="71">
        <f t="shared" ref="CH211:CH274" si="185">+CG211+N211</f>
        <v>0</v>
      </c>
      <c r="CI211" s="1">
        <f t="shared" si="171"/>
        <v>0</v>
      </c>
      <c r="CJ211" s="1"/>
      <c r="CK211" s="75"/>
      <c r="CL211" s="75"/>
      <c r="CM211" s="2"/>
      <c r="CN211" s="2"/>
      <c r="CO211" s="73">
        <f t="shared" si="172"/>
        <v>0</v>
      </c>
      <c r="CP211" s="5">
        <f t="shared" si="173"/>
        <v>0</v>
      </c>
      <c r="CQ211" s="1"/>
      <c r="CR211" s="1">
        <f t="shared" si="174"/>
        <v>0</v>
      </c>
      <c r="CS211" s="1"/>
      <c r="CT211" s="1" t="e">
        <f>INDEX([2]マスタ!$A:$A,MATCH(D211,[2]マスタ!$C:$C,0))</f>
        <v>#N/A</v>
      </c>
      <c r="CU211" s="1" t="str">
        <f t="shared" ca="1" si="175"/>
        <v>20260620_0-0</v>
      </c>
    </row>
    <row r="212" spans="1:99" x14ac:dyDescent="0.4">
      <c r="A212" s="61"/>
      <c r="B212" s="62"/>
      <c r="C212" s="62"/>
      <c r="D212" s="62"/>
      <c r="E212" s="74"/>
      <c r="F212" s="62"/>
      <c r="G212" s="62">
        <v>1</v>
      </c>
      <c r="H212" s="64">
        <f t="shared" si="162"/>
        <v>0</v>
      </c>
      <c r="I212" s="64"/>
      <c r="J212" s="64"/>
      <c r="K212" s="65">
        <f>+ROUNDDOWN((H212+I212)/100,0)*100</f>
        <v>0</v>
      </c>
      <c r="L212" s="65">
        <f t="shared" si="164"/>
        <v>0</v>
      </c>
      <c r="M212" s="65">
        <f t="shared" si="165"/>
        <v>0</v>
      </c>
      <c r="N212" s="65">
        <f t="shared" si="166"/>
        <v>0</v>
      </c>
      <c r="O212" s="66" t="str">
        <f t="shared" si="167"/>
        <v>✕</v>
      </c>
      <c r="P212" s="67" t="str">
        <f t="shared" si="168"/>
        <v>○</v>
      </c>
      <c r="Q212" s="67" t="str">
        <f>+IF((TEXT($A212,"DD")+0)=1,"○","✕")</f>
        <v>✕</v>
      </c>
      <c r="R212" s="67" t="str">
        <f t="shared" si="170"/>
        <v>✕</v>
      </c>
      <c r="S212" s="68">
        <v>0</v>
      </c>
      <c r="T212" s="69" t="s">
        <v>85</v>
      </c>
      <c r="U212" s="69" t="s">
        <v>85</v>
      </c>
      <c r="V212" s="69" t="s">
        <v>85</v>
      </c>
      <c r="W212" s="69" t="s">
        <v>85</v>
      </c>
      <c r="X212" s="69" t="s">
        <v>84</v>
      </c>
      <c r="Y212" s="69" t="s">
        <v>85</v>
      </c>
      <c r="Z212" s="69" t="s">
        <v>85</v>
      </c>
      <c r="AA212" s="69" t="s">
        <v>85</v>
      </c>
      <c r="AB212" s="69" t="s">
        <v>85</v>
      </c>
      <c r="AC212" s="69" t="s">
        <v>85</v>
      </c>
      <c r="AD212" s="38" t="str">
        <f>+IF(ISERROR(VLOOKUP($B212,AD$10:AD211,1,0)),IF(AND($N212&gt;=1000,$A212&gt;=AO$8,$A212&lt;=AO$9),$B212,""),"")</f>
        <v/>
      </c>
      <c r="AE212" s="38" t="str">
        <f>+IF(ISERROR(VLOOKUP($B212,AE$10:AE211,1,0)),IF(AND($N212&gt;=1000,$A212&gt;=AP$8,$A212&lt;=AP$9),$B212,""),"")</f>
        <v/>
      </c>
      <c r="AF212" s="38" t="str">
        <f>+IF(ISERROR(VLOOKUP($B212,AF$10:AF211,1,0)),IF(AND($N212&gt;=1000,$A212&gt;=AQ$8,$A212&lt;=AQ$9),$B212,""),"")</f>
        <v/>
      </c>
      <c r="AG212" s="38" t="str">
        <f>+IF(ISERROR(VLOOKUP($B212,AG$10:AG211,1,0)),IF(AND($N212&gt;=1000,$A212&gt;=AR$8,$A212&lt;=AR$9),$B212,""),"")</f>
        <v/>
      </c>
      <c r="AH212" s="38"/>
      <c r="AI212" s="70">
        <v>0</v>
      </c>
      <c r="AJ212" s="38">
        <f>IF(AND(AJ$7="○",$A212&gt;=AJ$8,$A212&lt;=AJ$9),IF(SUM(AJ$10:AJ211)-ROUNDDOWN($K212*AJ$5/100,0)&lt;-AJ$6,-AJ$6-SUM(AJ$10:AJ211),-ROUNDDOWN($K212*AJ$5/100,0)),0)</f>
        <v>0</v>
      </c>
      <c r="AK212" s="38">
        <f>IF(AND(AK$7="○",$A212&gt;=AK$8,$A212&lt;=AK$9),IF(SUM(AK$10:AK211)-ROUNDDOWN($L212*AK$5/100,0)&lt;-AK$6,-AK$6-SUM(AK$10:AK211),-ROUNDDOWN($L212*AK$5/100,0)),0)</f>
        <v>0</v>
      </c>
      <c r="AL212" s="38">
        <f>IF(AND(AL$7="○",$A212&gt;=AL$8,$A212&lt;=AL$9),IF(SUM(AL$10:AL211)-ROUNDDOWN($N212*AL$5/100,0)&lt;-AL$6,-AL$6-SUM(AL$10:AL211),-ROUNDDOWN($N212*AL$5/100,0)),0)</f>
        <v>0</v>
      </c>
      <c r="AM212" s="38">
        <f>IF(AND(AM$7="○",$A212&gt;=AM$8,$A212&lt;=AM$9),IF(SUM(AM$10:AM211)-ROUNDDOWN($L212*AM$5/100,0)&lt;-AM$6,-AM$6-SUM(AM$10:AM211),-ROUNDDOWN($L212*AM$5/100,0)),0)</f>
        <v>0</v>
      </c>
      <c r="AN212" s="38">
        <f>IF(AND(AN$7="○",$A212&gt;=AN$8,$A212&lt;=AN$9),IF(SUM(AN$10:AN211)-ROUNDDOWN($M212*AN$5/100,0)&lt;-AN$6,-AN$6-SUM(AN$10:AN211),-ROUNDDOWN($M212*AN$5/100,0)),0)</f>
        <v>0</v>
      </c>
      <c r="AO212" s="38">
        <f>IF(AND($A212&gt;=AO$8,$A212&lt;=AO$9),IF(SUM(AO$10:AO211)-ROUNDDOWN($K212*AO$5/100,0)&lt;-AO$6,-AO$6-SUM(AO$10:AO211),-ROUNDDOWN($K212*AO$5/100,0)),0)</f>
        <v>0</v>
      </c>
      <c r="AP212" s="38">
        <f>IF(AND($A212&gt;=AP$8,$A212&lt;=AP$9),IF(SUM(AP$10:AP211)-ROUNDDOWN($K212*AP$5/100,0)&lt;-AP$6,-AP$6-SUM(AP$10:AP211),-ROUNDDOWN($K212*AP$5/100,0)),0)</f>
        <v>0</v>
      </c>
      <c r="AQ212" s="38">
        <f>IF(AND($A212&gt;=AQ$8,$A212&lt;=AQ$9),IF(SUM(AQ$10:AQ211)-ROUNDDOWN($K212*AQ$5/100,0)&lt;-AQ$6,-AQ$6-SUM(AQ$10:AQ211),-ROUNDDOWN($K212*AQ$5/100,0)),0)</f>
        <v>0</v>
      </c>
      <c r="AR212" s="38">
        <f>IF(AND($A212&gt;=AR$8,$A212&lt;=AR$9),IF(SUM(AR$10:AR211)-ROUNDDOWN($K212*AR$5/100,0)&lt;-AR$6,-AR$6-SUM(AR$10:AR211),-ROUNDDOWN($K212*AR$5/100,0)),0)</f>
        <v>0</v>
      </c>
      <c r="AS212" s="38">
        <f>IF(SUMIFS(AS$10:AS211,$A$10:$A211,$A212)-ROUNDDOWN($K212*$S212/100,0)&lt;-$S212*1000,-$S212*1000-SUMIFS(AS$10:AS211,$A$10:$A211,$A212),-ROUNDDOWN($K212*$S212/100,0))</f>
        <v>0</v>
      </c>
      <c r="AT212" s="38">
        <f>IF(AND(X212="○",$A212&gt;=AT$8,$A212&lt;=AT$9,K212&gt;=3980),IF(SUM(AT$10:AT211)-ROUNDDOWN($K212*AT$5/100,0)&lt;-AT$6,-AT$6-SUM(AT$10:AT211),-ROUNDDOWN($K212*AT$5/100,0)),0)</f>
        <v>0</v>
      </c>
      <c r="AU212" s="38">
        <f>IF(O212="○",IF(SUM(AU$10:AU211)-ROUNDDOWN($K212*AU$5/100,0)&lt;-AU$6,-AU$6-SUM(AU$10:AU211),-ROUNDDOWN($K212*AU$5/100,0)),0)</f>
        <v>0</v>
      </c>
      <c r="AV212" s="38">
        <f>IF(P212="○",IF(SUM(AV$10:AV211)-ROUNDDOWN($K212*AV$5/100,0)&lt;-AV$6,-AV$6-SUM(AV$10:AV211),-ROUNDDOWN($K212*AV$5/100,0)),0)</f>
        <v>0</v>
      </c>
      <c r="AW212" s="38">
        <f>IF(Q212="○",IF(SUM(AW$10:AW211)-ROUNDDOWN($K212*AW$5/100,0)&lt;-AW$6,-AW$6-SUM(AW$10:AW211),-ROUNDDOWN($K212*AW$5/100,0)),0)</f>
        <v>0</v>
      </c>
      <c r="AX212" s="38">
        <f>IF(R212="○",IF(SUM(AX$10:AX211)-ROUNDDOWN($K212*AX$5/100,0)&lt;-AX$6,-AX$6-SUM(AX$10:AX211),-ROUNDDOWN($K212*AX$5/100,0)),0)</f>
        <v>0</v>
      </c>
      <c r="AY212" s="70">
        <v>0</v>
      </c>
      <c r="AZ212" s="65">
        <f t="shared" si="178"/>
        <v>0</v>
      </c>
      <c r="BA212" s="65">
        <f t="shared" si="179"/>
        <v>0</v>
      </c>
      <c r="BB212" s="70"/>
      <c r="BC212" s="65">
        <f t="shared" si="180"/>
        <v>0</v>
      </c>
      <c r="BD212" s="70">
        <v>0</v>
      </c>
      <c r="BE212" s="65">
        <f t="shared" si="181"/>
        <v>0</v>
      </c>
      <c r="BF212" s="70">
        <v>0</v>
      </c>
      <c r="BG212" s="65">
        <f t="shared" si="182"/>
        <v>0</v>
      </c>
      <c r="BH212" s="70">
        <v>0</v>
      </c>
      <c r="BI212" s="65">
        <f t="shared" si="183"/>
        <v>0</v>
      </c>
      <c r="BJ212" s="38">
        <f>IF(AND(BJ$7="○",$A212&gt;=BJ$8,$A212&lt;=BJ$9),IF(SUM(BJ$10:BJ211)-ROUNDDOWN($M212*BJ$5/100,0)&lt;-BJ$6,-BJ$6-SUM(BJ$10:BJ211),-ROUNDDOWN($M212*BJ$5/100,0)),0)</f>
        <v>0</v>
      </c>
      <c r="BK212" s="38">
        <f>IF(AND(BK$7="○",$A212&gt;=BK$8,$A212&lt;=BK$9),IF(SUM(BK$10:BK211)-ROUNDDOWN($L212*BK$5/100,0)&lt;-BK$6,-BK$6-SUM(BK$10:BK211),-ROUNDDOWN($L212*BK$5/100,0)),0)</f>
        <v>0</v>
      </c>
      <c r="BL212" s="38">
        <f>IF(AND(BL$7="○",$A212&gt;=BL$8,$A212&lt;=BL$9),IF(SUM(BL$10:BL211)-ROUNDDOWN($L212*BL$5/100,0)&lt;-BL$6,-BL$6-SUM(BL$10:BL211),-ROUNDDOWN($L212*BL$5/100,0)),0)</f>
        <v>0</v>
      </c>
      <c r="BM212" s="38">
        <f>IF(AND(BM$7="○",$A212&gt;=BM$8,$A212&lt;=BM$9),IF(SUM(BM$10:BM211)-ROUNDDOWN($M212*BM$5/100,0)&lt;-BM$6,-BM$6-SUM(BM$10:BM211),-ROUNDDOWN($M212*BM$5/100,0)),0)</f>
        <v>0</v>
      </c>
      <c r="BN212" s="38">
        <f>IF(AND(BN$7="○",$A212&gt;=BN$8,$A212&lt;=BN$9),IF(SUM(BN$10:BN211)-ROUNDDOWN($M212*BN$5/100,0)&lt;-BN$6,-BN$6-SUM(BN$10:BN211),-ROUNDDOWN($M212*BN$5/100,0)),0)</f>
        <v>0</v>
      </c>
      <c r="BO212" s="38">
        <f>IF(AND(BO$7="○",$A212&gt;=BO$8,$A212&lt;=BO$9),IF(SUM(BO$10:BO211)-ROUNDDOWN($M212*BO$5/100,0)&lt;-BO$6,-BO$6-SUM(BO$10:BO211),-ROUNDDOWN($M212*BO$5/100,0)),0)</f>
        <v>0</v>
      </c>
      <c r="BP212" s="38">
        <f>IF(AND(BP$7="○",$A212&gt;=BP$8,$A212&lt;=BP$9),IF(SUM(BP$10:BP211)-ROUNDDOWN($M212*BP$5/100,0)&lt;-BP$6,-BP$6-SUM(BP$10:BP211),-ROUNDDOWN($M212*BP$5/100,0)),0)</f>
        <v>0</v>
      </c>
      <c r="BQ212" s="38">
        <f>IF(AND(BQ$7="○",$A212&gt;=BQ$8,$A212&lt;=BQ$9),IF(SUM(BQ$10:BQ211)-ROUNDDOWN($L212*BQ$5/100,0)&lt;-BQ$6,-BQ$6-SUM(BQ$10:BQ211),-ROUNDDOWN($L212*BQ$5/100,0)),0)</f>
        <v>0</v>
      </c>
      <c r="BR212" s="38">
        <f>IF(AND(BR$7="○",$A212&gt;=BR$8,$A212&lt;=BR$9),IF(SUM(BR$10:BR211)-ROUNDDOWN($M212*BR$5/100,0)&lt;-BR$6,-BR$6-SUM(BR$10:BR211),-ROUNDDOWN($M212*BR$5/100,0)),0)</f>
        <v>0</v>
      </c>
      <c r="BS212" s="38">
        <f>IF(AND(BS$7="○",$A212&gt;=BS$8,$A212&lt;=BS$9),IF(SUM(BS$10:BS211)-ROUNDDOWN($M212*BS$5/100,0)&lt;-BS$6,-BS$6-SUM(BS$10:BS211),-ROUNDDOWN($M212*BS$5/100,0)),0)</f>
        <v>0</v>
      </c>
      <c r="BT212" s="38">
        <f>IF(AND(BT$7="○",$A212&gt;=BT$8,$A212&lt;=BT$9),IF(SUM(BT$10:BT211)-ROUNDDOWN($M212*BT$5/100,0)&lt;-BT$6,-BT$6-SUM(BT$10:BT211),-ROUNDDOWN($M212*BT$5/100,0)),0)</f>
        <v>0</v>
      </c>
      <c r="BU212" s="38">
        <f>IF(AND(BU$7="○",$A212&gt;=BU$8,$A212&lt;=BU$9),IF(SUM(BU$10:BU211)-ROUNDDOWN($M212*BU$5/100,0)&lt;-BU$6,-BU$6-SUM(BU$10:BU211),-ROUNDDOWN($M212*BU$5/100,0)),0)</f>
        <v>0</v>
      </c>
      <c r="BV212" s="38">
        <f>IF(AND(BV$7="○",$A212&gt;=BV$8,$A212&lt;=BV$9),IF(SUM(BV$10:BV211)-ROUNDDOWN($M212*BV$5/100,0)&lt;-BV$6,-BV$6-SUM(BV$10:BV211),-ROUNDDOWN($M212*BV$5/100,0)),0)</f>
        <v>0</v>
      </c>
      <c r="BW212" s="38">
        <f>IF(AND(BW$7="○",$A212&gt;=BW$8,$A212&lt;=BW$9),IF(SUM(BW$10:BW211)-ROUNDDOWN($M212*BW$5/100,0)&lt;-BW$6,-BW$6-SUM(BW$10:BW211),-ROUNDDOWN($M212*BW$5/100,0)),0)</f>
        <v>0</v>
      </c>
      <c r="BX212" s="38">
        <f>IF(AND(T212="○",$A212&gt;=BX$8,$A212&lt;=BX$9),IF(SUM(BX$10:BX211)-ROUNDDOWN($K212*BX$5/100,0)&lt;-BX$6,-BX$6-SUM(BX$10:BX211),-ROUNDDOWN($K212*BX$5/100,0)),0)</f>
        <v>0</v>
      </c>
      <c r="BY212" s="38">
        <f>IF(AND(U212="○",$A212&gt;=BY$8,$A212&lt;=BY$9),IF(SUM(BY$10:BY211)-ROUNDDOWN($K212*BY$5/100,0)&lt;-BY$6,-BY$6-SUM(BY$10:BY211),-ROUNDDOWN($K212*BY$5/100,0)),0)</f>
        <v>0</v>
      </c>
      <c r="BZ212" s="38">
        <f>IF(AND(V212="○",$A212&gt;=BZ$8,$A212&lt;=BZ$9),IF(SUM(BZ$10:BZ211)-ROUNDDOWN($K212*BZ$5/100,0)&lt;-BZ$6,-BZ$6-SUM(BZ$10:BZ211),-ROUNDDOWN($K212*BZ$5/100,0)),0)</f>
        <v>0</v>
      </c>
      <c r="CA212" s="38">
        <f>IF(AND(W212="○",$A212&gt;=CA$8,$A212&lt;=CA$9),IF(SUM(CA$10:CA211)-ROUNDDOWN($K212*CA$5/100,0)&lt;-CA$6,-CA$6-SUM(CA$10:CA211),-ROUNDDOWN($K212*CA$5/100,0)),0)</f>
        <v>0</v>
      </c>
      <c r="CB212" s="38"/>
      <c r="CC212" s="38"/>
      <c r="CD212" s="38"/>
      <c r="CE212" s="38"/>
      <c r="CF212" s="38"/>
      <c r="CG212" s="65">
        <f t="shared" si="184"/>
        <v>0</v>
      </c>
      <c r="CH212" s="71">
        <f t="shared" si="185"/>
        <v>0</v>
      </c>
      <c r="CI212" s="1">
        <f t="shared" si="171"/>
        <v>0</v>
      </c>
      <c r="CJ212" s="1"/>
      <c r="CK212" s="75"/>
      <c r="CL212" s="75"/>
      <c r="CM212" s="2"/>
      <c r="CN212" s="2"/>
      <c r="CO212" s="73">
        <f t="shared" si="172"/>
        <v>0</v>
      </c>
      <c r="CP212" s="5">
        <f t="shared" si="173"/>
        <v>0</v>
      </c>
      <c r="CQ212" s="1"/>
      <c r="CR212" s="1">
        <f t="shared" si="174"/>
        <v>0</v>
      </c>
      <c r="CS212" s="1"/>
      <c r="CT212" s="1" t="e">
        <f>INDEX([2]マスタ!$A:$A,MATCH(D212,[2]マスタ!$C:$C,0))</f>
        <v>#N/A</v>
      </c>
      <c r="CU212" s="1" t="str">
        <f t="shared" ca="1" si="175"/>
        <v>20260620_0-0</v>
      </c>
    </row>
    <row r="213" spans="1:99" x14ac:dyDescent="0.4">
      <c r="A213" s="61"/>
      <c r="B213" s="62"/>
      <c r="C213" s="62"/>
      <c r="D213" s="62"/>
      <c r="E213" s="63"/>
      <c r="F213" s="62"/>
      <c r="G213" s="62">
        <v>1</v>
      </c>
      <c r="H213" s="64">
        <f t="shared" si="162"/>
        <v>0</v>
      </c>
      <c r="I213" s="64"/>
      <c r="J213" s="64"/>
      <c r="K213" s="65">
        <f>+ROUNDDOWN((H213+I213)/100,0)*100</f>
        <v>0</v>
      </c>
      <c r="L213" s="65">
        <f t="shared" si="164"/>
        <v>0</v>
      </c>
      <c r="M213" s="65">
        <f t="shared" si="165"/>
        <v>0</v>
      </c>
      <c r="N213" s="65">
        <f t="shared" si="166"/>
        <v>0</v>
      </c>
      <c r="O213" s="66" t="str">
        <f t="shared" si="167"/>
        <v>✕</v>
      </c>
      <c r="P213" s="67" t="str">
        <f t="shared" si="168"/>
        <v>○</v>
      </c>
      <c r="Q213" s="67" t="str">
        <f>+IF((TEXT($A213,"DD")+0)=1,"○","✕")</f>
        <v>✕</v>
      </c>
      <c r="R213" s="67" t="str">
        <f t="shared" si="170"/>
        <v>✕</v>
      </c>
      <c r="S213" s="68">
        <v>0</v>
      </c>
      <c r="T213" s="69" t="s">
        <v>85</v>
      </c>
      <c r="U213" s="69" t="s">
        <v>85</v>
      </c>
      <c r="V213" s="69" t="s">
        <v>85</v>
      </c>
      <c r="W213" s="69" t="s">
        <v>85</v>
      </c>
      <c r="X213" s="69" t="s">
        <v>84</v>
      </c>
      <c r="Y213" s="69" t="s">
        <v>85</v>
      </c>
      <c r="Z213" s="69" t="s">
        <v>85</v>
      </c>
      <c r="AA213" s="69" t="s">
        <v>85</v>
      </c>
      <c r="AB213" s="69" t="s">
        <v>85</v>
      </c>
      <c r="AC213" s="69" t="s">
        <v>85</v>
      </c>
      <c r="AD213" s="38" t="str">
        <f>+IF(ISERROR(VLOOKUP($B213,AD$10:AD212,1,0)),IF(AND($N213&gt;=1000,$A213&gt;=AO$8,$A213&lt;=AO$9),$B213,""),"")</f>
        <v/>
      </c>
      <c r="AE213" s="38" t="str">
        <f>+IF(ISERROR(VLOOKUP($B213,AE$10:AE212,1,0)),IF(AND($N213&gt;=1000,$A213&gt;=AP$8,$A213&lt;=AP$9),$B213,""),"")</f>
        <v/>
      </c>
      <c r="AF213" s="38" t="str">
        <f>+IF(ISERROR(VLOOKUP($B213,AF$10:AF212,1,0)),IF(AND($N213&gt;=1000,$A213&gt;=AQ$8,$A213&lt;=AQ$9),$B213,""),"")</f>
        <v/>
      </c>
      <c r="AG213" s="38" t="str">
        <f>+IF(ISERROR(VLOOKUP($B213,AG$10:AG212,1,0)),IF(AND($N213&gt;=1000,$A213&gt;=AR$8,$A213&lt;=AR$9),$B213,""),"")</f>
        <v/>
      </c>
      <c r="AH213" s="38"/>
      <c r="AI213" s="70">
        <v>0</v>
      </c>
      <c r="AJ213" s="38">
        <f>IF(AND(AJ$7="○",$A213&gt;=AJ$8,$A213&lt;=AJ$9),IF(SUM(AJ$10:AJ212)-ROUNDDOWN($K213*AJ$5/100,0)&lt;-AJ$6,-AJ$6-SUM(AJ$10:AJ212),-ROUNDDOWN($K213*AJ$5/100,0)),0)</f>
        <v>0</v>
      </c>
      <c r="AK213" s="38">
        <f>IF(AND(AK$7="○",$A213&gt;=AK$8,$A213&lt;=AK$9),IF(SUM(AK$10:AK212)-ROUNDDOWN($L213*AK$5/100,0)&lt;-AK$6,-AK$6-SUM(AK$10:AK212),-ROUNDDOWN($L213*AK$5/100,0)),0)</f>
        <v>0</v>
      </c>
      <c r="AL213" s="38">
        <f>IF(AND(AL$7="○",$A213&gt;=AL$8,$A213&lt;=AL$9),IF(SUM(AL$10:AL212)-ROUNDDOWN($N213*AL$5/100,0)&lt;-AL$6,-AL$6-SUM(AL$10:AL212),-ROUNDDOWN($N213*AL$5/100,0)),0)</f>
        <v>0</v>
      </c>
      <c r="AM213" s="38">
        <f>IF(AND(AM$7="○",$A213&gt;=AM$8,$A213&lt;=AM$9),IF(SUM(AM$10:AM212)-ROUNDDOWN($L213*AM$5/100,0)&lt;-AM$6,-AM$6-SUM(AM$10:AM212),-ROUNDDOWN($L213*AM$5/100,0)),0)</f>
        <v>0</v>
      </c>
      <c r="AN213" s="38">
        <f>IF(AND(AN$7="○",$A213&gt;=AN$8,$A213&lt;=AN$9),IF(SUM(AN$10:AN212)-ROUNDDOWN($M213*AN$5/100,0)&lt;-AN$6,-AN$6-SUM(AN$10:AN212),-ROUNDDOWN($M213*AN$5/100,0)),0)</f>
        <v>0</v>
      </c>
      <c r="AO213" s="38">
        <f>IF(AND($A213&gt;=AO$8,$A213&lt;=AO$9),IF(SUM(AO$10:AO212)-ROUNDDOWN($K213*AO$5/100,0)&lt;-AO$6,-AO$6-SUM(AO$10:AO212),-ROUNDDOWN($K213*AO$5/100,0)),0)</f>
        <v>0</v>
      </c>
      <c r="AP213" s="38">
        <f>IF(AND($A213&gt;=AP$8,$A213&lt;=AP$9),IF(SUM(AP$10:AP212)-ROUNDDOWN($K213*AP$5/100,0)&lt;-AP$6,-AP$6-SUM(AP$10:AP212),-ROUNDDOWN($K213*AP$5/100,0)),0)</f>
        <v>0</v>
      </c>
      <c r="AQ213" s="38">
        <f>IF(AND($A213&gt;=AQ$8,$A213&lt;=AQ$9),IF(SUM(AQ$10:AQ212)-ROUNDDOWN($K213*AQ$5/100,0)&lt;-AQ$6,-AQ$6-SUM(AQ$10:AQ212),-ROUNDDOWN($K213*AQ$5/100,0)),0)</f>
        <v>0</v>
      </c>
      <c r="AR213" s="38">
        <f>IF(AND($A213&gt;=AR$8,$A213&lt;=AR$9),IF(SUM(AR$10:AR212)-ROUNDDOWN($K213*AR$5/100,0)&lt;-AR$6,-AR$6-SUM(AR$10:AR212),-ROUNDDOWN($K213*AR$5/100,0)),0)</f>
        <v>0</v>
      </c>
      <c r="AS213" s="38">
        <f>IF(SUMIFS(AS$10:AS212,$A$10:$A212,$A213)-ROUNDDOWN($K213*$S213/100,0)&lt;-$S213*1000,-$S213*1000-SUMIFS(AS$10:AS212,$A$10:$A212,$A213),-ROUNDDOWN($K213*$S213/100,0))</f>
        <v>0</v>
      </c>
      <c r="AT213" s="38">
        <f>IF(AND(X213="○",$A213&gt;=AT$8,$A213&lt;=AT$9,K213&gt;=3980),IF(SUM(AT$10:AT212)-ROUNDDOWN($K213*AT$5/100,0)&lt;-AT$6,-AT$6-SUM(AT$10:AT212),-ROUNDDOWN($K213*AT$5/100,0)),0)</f>
        <v>0</v>
      </c>
      <c r="AU213" s="38">
        <f>IF(O213="○",IF(SUM(AU$10:AU212)-ROUNDDOWN($K213*AU$5/100,0)&lt;-AU$6,-AU$6-SUM(AU$10:AU212),-ROUNDDOWN($K213*AU$5/100,0)),0)</f>
        <v>0</v>
      </c>
      <c r="AV213" s="38">
        <f>IF(P213="○",IF(SUM(AV$10:AV212)-ROUNDDOWN($K213*AV$5/100,0)&lt;-AV$6,-AV$6-SUM(AV$10:AV212),-ROUNDDOWN($K213*AV$5/100,0)),0)</f>
        <v>0</v>
      </c>
      <c r="AW213" s="38">
        <f>IF(Q213="○",IF(SUM(AW$10:AW212)-ROUNDDOWN($K213*AW$5/100,0)&lt;-AW$6,-AW$6-SUM(AW$10:AW212),-ROUNDDOWN($K213*AW$5/100,0)),0)</f>
        <v>0</v>
      </c>
      <c r="AX213" s="38">
        <f>IF(R213="○",IF(SUM(AX$10:AX212)-ROUNDDOWN($K213*AX$5/100,0)&lt;-AX$6,-AX$6-SUM(AX$10:AX212),-ROUNDDOWN($K213*AX$5/100,0)),0)</f>
        <v>0</v>
      </c>
      <c r="AY213" s="70">
        <v>0</v>
      </c>
      <c r="AZ213" s="65">
        <f t="shared" si="178"/>
        <v>0</v>
      </c>
      <c r="BA213" s="65">
        <f t="shared" si="179"/>
        <v>0</v>
      </c>
      <c r="BB213" s="70"/>
      <c r="BC213" s="65">
        <f t="shared" si="180"/>
        <v>0</v>
      </c>
      <c r="BD213" s="70">
        <v>0</v>
      </c>
      <c r="BE213" s="65">
        <f t="shared" si="181"/>
        <v>0</v>
      </c>
      <c r="BF213" s="70">
        <v>0</v>
      </c>
      <c r="BG213" s="65">
        <f t="shared" si="182"/>
        <v>0</v>
      </c>
      <c r="BH213" s="70">
        <v>0</v>
      </c>
      <c r="BI213" s="65">
        <f t="shared" si="183"/>
        <v>0</v>
      </c>
      <c r="BJ213" s="38">
        <f>IF(AND(BJ$7="○",$A213&gt;=BJ$8,$A213&lt;=BJ$9),IF(SUM(BJ$10:BJ212)-ROUNDDOWN($M213*BJ$5/100,0)&lt;-BJ$6,-BJ$6-SUM(BJ$10:BJ212),-ROUNDDOWN($M213*BJ$5/100,0)),0)</f>
        <v>0</v>
      </c>
      <c r="BK213" s="38">
        <f>IF(AND(BK$7="○",$A213&gt;=BK$8,$A213&lt;=BK$9),IF(SUM(BK$10:BK212)-ROUNDDOWN($L213*BK$5/100,0)&lt;-BK$6,-BK$6-SUM(BK$10:BK212),-ROUNDDOWN($L213*BK$5/100,0)),0)</f>
        <v>0</v>
      </c>
      <c r="BL213" s="38">
        <f>IF(AND(BL$7="○",$A213&gt;=BL$8,$A213&lt;=BL$9),IF(SUM(BL$10:BL212)-ROUNDDOWN($L213*BL$5/100,0)&lt;-BL$6,-BL$6-SUM(BL$10:BL212),-ROUNDDOWN($L213*BL$5/100,0)),0)</f>
        <v>0</v>
      </c>
      <c r="BM213" s="38">
        <f>IF(AND(BM$7="○",$A213&gt;=BM$8,$A213&lt;=BM$9),IF(SUM(BM$10:BM212)-ROUNDDOWN($M213*BM$5/100,0)&lt;-BM$6,-BM$6-SUM(BM$10:BM212),-ROUNDDOWN($M213*BM$5/100,0)),0)</f>
        <v>0</v>
      </c>
      <c r="BN213" s="38">
        <f>IF(AND(BN$7="○",$A213&gt;=BN$8,$A213&lt;=BN$9),IF(SUM(BN$10:BN212)-ROUNDDOWN($M213*BN$5/100,0)&lt;-BN$6,-BN$6-SUM(BN$10:BN212),-ROUNDDOWN($M213*BN$5/100,0)),0)</f>
        <v>0</v>
      </c>
      <c r="BO213" s="38">
        <f>IF(AND(BO$7="○",$A213&gt;=BO$8,$A213&lt;=BO$9),IF(SUM(BO$10:BO212)-ROUNDDOWN($M213*BO$5/100,0)&lt;-BO$6,-BO$6-SUM(BO$10:BO212),-ROUNDDOWN($M213*BO$5/100,0)),0)</f>
        <v>0</v>
      </c>
      <c r="BP213" s="38">
        <f>IF(AND(BP$7="○",$A213&gt;=BP$8,$A213&lt;=BP$9),IF(SUM(BP$10:BP212)-ROUNDDOWN($M213*BP$5/100,0)&lt;-BP$6,-BP$6-SUM(BP$10:BP212),-ROUNDDOWN($M213*BP$5/100,0)),0)</f>
        <v>0</v>
      </c>
      <c r="BQ213" s="38">
        <f>IF(AND(BQ$7="○",$A213&gt;=BQ$8,$A213&lt;=BQ$9),IF(SUM(BQ$10:BQ212)-ROUNDDOWN($L213*BQ$5/100,0)&lt;-BQ$6,-BQ$6-SUM(BQ$10:BQ212),-ROUNDDOWN($L213*BQ$5/100,0)),0)</f>
        <v>0</v>
      </c>
      <c r="BR213" s="38">
        <f>IF(AND(BR$7="○",$A213&gt;=BR$8,$A213&lt;=BR$9),IF(SUM(BR$10:BR212)-ROUNDDOWN($M213*BR$5/100,0)&lt;-BR$6,-BR$6-SUM(BR$10:BR212),-ROUNDDOWN($M213*BR$5/100,0)),0)</f>
        <v>0</v>
      </c>
      <c r="BS213" s="38">
        <f>IF(AND(BS$7="○",$A213&gt;=BS$8,$A213&lt;=BS$9),IF(SUM(BS$10:BS212)-ROUNDDOWN($M213*BS$5/100,0)&lt;-BS$6,-BS$6-SUM(BS$10:BS212),-ROUNDDOWN($M213*BS$5/100,0)),0)</f>
        <v>0</v>
      </c>
      <c r="BT213" s="38">
        <f>IF(AND(BT$7="○",$A213&gt;=BT$8,$A213&lt;=BT$9),IF(SUM(BT$10:BT212)-ROUNDDOWN($M213*BT$5/100,0)&lt;-BT$6,-BT$6-SUM(BT$10:BT212),-ROUNDDOWN($M213*BT$5/100,0)),0)</f>
        <v>0</v>
      </c>
      <c r="BU213" s="38">
        <f>IF(AND(BU$7="○",$A213&gt;=BU$8,$A213&lt;=BU$9),IF(SUM(BU$10:BU212)-ROUNDDOWN($M213*BU$5/100,0)&lt;-BU$6,-BU$6-SUM(BU$10:BU212),-ROUNDDOWN($M213*BU$5/100,0)),0)</f>
        <v>0</v>
      </c>
      <c r="BV213" s="38">
        <f>IF(AND(BV$7="○",$A213&gt;=BV$8,$A213&lt;=BV$9),IF(SUM(BV$10:BV212)-ROUNDDOWN($M213*BV$5/100,0)&lt;-BV$6,-BV$6-SUM(BV$10:BV212),-ROUNDDOWN($M213*BV$5/100,0)),0)</f>
        <v>0</v>
      </c>
      <c r="BW213" s="38">
        <f>IF(AND(BW$7="○",$A213&gt;=BW$8,$A213&lt;=BW$9),IF(SUM(BW$10:BW212)-ROUNDDOWN($M213*BW$5/100,0)&lt;-BW$6,-BW$6-SUM(BW$10:BW212),-ROUNDDOWN($M213*BW$5/100,0)),0)</f>
        <v>0</v>
      </c>
      <c r="BX213" s="38">
        <f>IF(AND(T213="○",$A213&gt;=BX$8,$A213&lt;=BX$9),IF(SUM(BX$10:BX212)-ROUNDDOWN($K213*BX$5/100,0)&lt;-BX$6,-BX$6-SUM(BX$10:BX212),-ROUNDDOWN($K213*BX$5/100,0)),0)</f>
        <v>0</v>
      </c>
      <c r="BY213" s="38">
        <f>IF(AND(U213="○",$A213&gt;=BY$8,$A213&lt;=BY$9),IF(SUM(BY$10:BY212)-ROUNDDOWN($K213*BY$5/100,0)&lt;-BY$6,-BY$6-SUM(BY$10:BY212),-ROUNDDOWN($K213*BY$5/100,0)),0)</f>
        <v>0</v>
      </c>
      <c r="BZ213" s="38">
        <f>IF(AND(V213="○",$A213&gt;=BZ$8,$A213&lt;=BZ$9),IF(SUM(BZ$10:BZ212)-ROUNDDOWN($K213*BZ$5/100,0)&lt;-BZ$6,-BZ$6-SUM(BZ$10:BZ212),-ROUNDDOWN($K213*BZ$5/100,0)),0)</f>
        <v>0</v>
      </c>
      <c r="CA213" s="38">
        <f>IF(AND(W213="○",$A213&gt;=CA$8,$A213&lt;=CA$9),IF(SUM(CA$10:CA212)-ROUNDDOWN($K213*CA$5/100,0)&lt;-CA$6,-CA$6-SUM(CA$10:CA212),-ROUNDDOWN($K213*CA$5/100,0)),0)</f>
        <v>0</v>
      </c>
      <c r="CB213" s="38"/>
      <c r="CC213" s="38"/>
      <c r="CD213" s="38"/>
      <c r="CE213" s="38"/>
      <c r="CF213" s="38"/>
      <c r="CG213" s="65">
        <f t="shared" si="184"/>
        <v>0</v>
      </c>
      <c r="CH213" s="71">
        <f t="shared" si="185"/>
        <v>0</v>
      </c>
      <c r="CI213" s="1">
        <f t="shared" si="171"/>
        <v>0</v>
      </c>
      <c r="CJ213" s="1"/>
      <c r="CK213" s="72"/>
      <c r="CL213" s="72"/>
      <c r="CM213" s="2"/>
      <c r="CN213" s="2"/>
      <c r="CO213" s="73">
        <f t="shared" si="172"/>
        <v>0</v>
      </c>
      <c r="CP213" s="5">
        <f t="shared" si="173"/>
        <v>0</v>
      </c>
      <c r="CQ213" s="1"/>
      <c r="CR213" s="1">
        <f t="shared" si="174"/>
        <v>0</v>
      </c>
      <c r="CS213" s="1"/>
      <c r="CT213" s="1" t="e">
        <f>INDEX([2]マスタ!$A:$A,MATCH(D213,[2]マスタ!$C:$C,0))</f>
        <v>#N/A</v>
      </c>
      <c r="CU213" s="1" t="str">
        <f t="shared" ca="1" si="175"/>
        <v>20260620_0-0</v>
      </c>
    </row>
    <row r="214" spans="1:99" x14ac:dyDescent="0.4">
      <c r="A214" s="61"/>
      <c r="B214" s="62"/>
      <c r="C214" s="62"/>
      <c r="D214" s="62"/>
      <c r="E214" s="77"/>
      <c r="F214" s="62"/>
      <c r="G214" s="62">
        <v>1</v>
      </c>
      <c r="H214" s="64">
        <f t="shared" si="162"/>
        <v>0</v>
      </c>
      <c r="I214" s="64"/>
      <c r="J214" s="64"/>
      <c r="K214" s="65">
        <f>+ROUNDDOWN((H214+I214)/100,0)*100</f>
        <v>0</v>
      </c>
      <c r="L214" s="65">
        <f t="shared" si="164"/>
        <v>0</v>
      </c>
      <c r="M214" s="65">
        <f t="shared" si="165"/>
        <v>0</v>
      </c>
      <c r="N214" s="65">
        <f t="shared" si="166"/>
        <v>0</v>
      </c>
      <c r="O214" s="66" t="str">
        <f t="shared" si="167"/>
        <v>✕</v>
      </c>
      <c r="P214" s="67" t="str">
        <f t="shared" si="168"/>
        <v>○</v>
      </c>
      <c r="Q214" s="67" t="str">
        <f>+IF((TEXT($A214,"DD")+0)=1,"○","✕")</f>
        <v>✕</v>
      </c>
      <c r="R214" s="67" t="str">
        <f t="shared" si="170"/>
        <v>✕</v>
      </c>
      <c r="S214" s="68">
        <v>0</v>
      </c>
      <c r="T214" s="69" t="s">
        <v>85</v>
      </c>
      <c r="U214" s="69" t="s">
        <v>85</v>
      </c>
      <c r="V214" s="69" t="s">
        <v>85</v>
      </c>
      <c r="W214" s="69" t="s">
        <v>85</v>
      </c>
      <c r="X214" s="69" t="s">
        <v>84</v>
      </c>
      <c r="Y214" s="69" t="s">
        <v>85</v>
      </c>
      <c r="Z214" s="69" t="s">
        <v>85</v>
      </c>
      <c r="AA214" s="69" t="s">
        <v>85</v>
      </c>
      <c r="AB214" s="69" t="s">
        <v>85</v>
      </c>
      <c r="AC214" s="69" t="s">
        <v>85</v>
      </c>
      <c r="AD214" s="38" t="str">
        <f>+IF(ISERROR(VLOOKUP($B214,AD$10:AD213,1,0)),IF(AND($N214&gt;=1000,$A214&gt;=AO$8,$A214&lt;=AO$9),$B214,""),"")</f>
        <v/>
      </c>
      <c r="AE214" s="38" t="str">
        <f>+IF(ISERROR(VLOOKUP($B214,AE$10:AE213,1,0)),IF(AND($N214&gt;=1000,$A214&gt;=AP$8,$A214&lt;=AP$9),$B214,""),"")</f>
        <v/>
      </c>
      <c r="AF214" s="38" t="str">
        <f>+IF(ISERROR(VLOOKUP($B214,AF$10:AF213,1,0)),IF(AND($N214&gt;=1000,$A214&gt;=AQ$8,$A214&lt;=AQ$9),$B214,""),"")</f>
        <v/>
      </c>
      <c r="AG214" s="38" t="str">
        <f>+IF(ISERROR(VLOOKUP($B214,AG$10:AG213,1,0)),IF(AND($N214&gt;=1000,$A214&gt;=AR$8,$A214&lt;=AR$9),$B214,""),"")</f>
        <v/>
      </c>
      <c r="AH214" s="38"/>
      <c r="AI214" s="70">
        <v>0</v>
      </c>
      <c r="AJ214" s="38">
        <f>IF(AND(AJ$7="○",$A214&gt;=AJ$8,$A214&lt;=AJ$9),IF(SUM(AJ$10:AJ213)-ROUNDDOWN($K214*AJ$5/100,0)&lt;-AJ$6,-AJ$6-SUM(AJ$10:AJ213),-ROUNDDOWN($K214*AJ$5/100,0)),0)</f>
        <v>0</v>
      </c>
      <c r="AK214" s="38">
        <f>IF(AND(AK$7="○",$A214&gt;=AK$8,$A214&lt;=AK$9),IF(SUM(AK$10:AK213)-ROUNDDOWN($L214*AK$5/100,0)&lt;-AK$6,-AK$6-SUM(AK$10:AK213),-ROUNDDOWN($L214*AK$5/100,0)),0)</f>
        <v>0</v>
      </c>
      <c r="AL214" s="38">
        <f>IF(AND(AL$7="○",$A214&gt;=AL$8,$A214&lt;=AL$9),IF(SUM(AL$10:AL213)-ROUNDDOWN($N214*AL$5/100,0)&lt;-AL$6,-AL$6-SUM(AL$10:AL213),-ROUNDDOWN($N214*AL$5/100,0)),0)</f>
        <v>0</v>
      </c>
      <c r="AM214" s="38">
        <f>IF(AND(AM$7="○",$A214&gt;=AM$8,$A214&lt;=AM$9),IF(SUM(AM$10:AM213)-ROUNDDOWN($L214*AM$5/100,0)&lt;-AM$6,-AM$6-SUM(AM$10:AM213),-ROUNDDOWN($L214*AM$5/100,0)),0)</f>
        <v>0</v>
      </c>
      <c r="AN214" s="38">
        <f>IF(AND(AN$7="○",$A214&gt;=AN$8,$A214&lt;=AN$9),IF(SUM(AN$10:AN213)-ROUNDDOWN($M214*AN$5/100,0)&lt;-AN$6,-AN$6-SUM(AN$10:AN213),-ROUNDDOWN($M214*AN$5/100,0)),0)</f>
        <v>0</v>
      </c>
      <c r="AO214" s="38">
        <f>IF(AND($A214&gt;=AO$8,$A214&lt;=AO$9),IF(SUM(AO$10:AO213)-ROUNDDOWN($K214*AO$5/100,0)&lt;-AO$6,-AO$6-SUM(AO$10:AO213),-ROUNDDOWN($K214*AO$5/100,0)),0)</f>
        <v>0</v>
      </c>
      <c r="AP214" s="38">
        <f>IF(AND($A214&gt;=AP$8,$A214&lt;=AP$9),IF(SUM(AP$10:AP213)-ROUNDDOWN($K214*AP$5/100,0)&lt;-AP$6,-AP$6-SUM(AP$10:AP213),-ROUNDDOWN($K214*AP$5/100,0)),0)</f>
        <v>0</v>
      </c>
      <c r="AQ214" s="38">
        <f>IF(AND($A214&gt;=AQ$8,$A214&lt;=AQ$9),IF(SUM(AQ$10:AQ213)-ROUNDDOWN($K214*AQ$5/100,0)&lt;-AQ$6,-AQ$6-SUM(AQ$10:AQ213),-ROUNDDOWN($K214*AQ$5/100,0)),0)</f>
        <v>0</v>
      </c>
      <c r="AR214" s="38">
        <f>IF(AND($A214&gt;=AR$8,$A214&lt;=AR$9),IF(SUM(AR$10:AR213)-ROUNDDOWN($K214*AR$5/100,0)&lt;-AR$6,-AR$6-SUM(AR$10:AR213),-ROUNDDOWN($K214*AR$5/100,0)),0)</f>
        <v>0</v>
      </c>
      <c r="AS214" s="38">
        <f>IF(SUMIFS(AS$10:AS213,$A$10:$A213,$A214)-ROUNDDOWN($K214*$S214/100,0)&lt;-$S214*1000,-$S214*1000-SUMIFS(AS$10:AS213,$A$10:$A213,$A214),-ROUNDDOWN($K214*$S214/100,0))</f>
        <v>0</v>
      </c>
      <c r="AT214" s="38">
        <f>IF(AND(X214="○",$A214&gt;=AT$8,$A214&lt;=AT$9,K214&gt;=3980),IF(SUM(AT$10:AT213)-ROUNDDOWN($K214*AT$5/100,0)&lt;-AT$6,-AT$6-SUM(AT$10:AT213),-ROUNDDOWN($K214*AT$5/100,0)),0)</f>
        <v>0</v>
      </c>
      <c r="AU214" s="38">
        <f>IF(O214="○",IF(SUM(AU$10:AU213)-ROUNDDOWN($K214*AU$5/100,0)&lt;-AU$6,-AU$6-SUM(AU$10:AU213),-ROUNDDOWN($K214*AU$5/100,0)),0)</f>
        <v>0</v>
      </c>
      <c r="AV214" s="38">
        <f>IF(P214="○",IF(SUM(AV$10:AV213)-ROUNDDOWN($K214*AV$5/100,0)&lt;-AV$6,-AV$6-SUM(AV$10:AV213),-ROUNDDOWN($K214*AV$5/100,0)),0)</f>
        <v>0</v>
      </c>
      <c r="AW214" s="38">
        <f>IF(Q214="○",IF(SUM(AW$10:AW213)-ROUNDDOWN($K214*AW$5/100,0)&lt;-AW$6,-AW$6-SUM(AW$10:AW213),-ROUNDDOWN($K214*AW$5/100,0)),0)</f>
        <v>0</v>
      </c>
      <c r="AX214" s="38">
        <f>IF(R214="○",IF(SUM(AX$10:AX213)-ROUNDDOWN($K214*AX$5/100,0)&lt;-AX$6,-AX$6-SUM(AX$10:AX213),-ROUNDDOWN($K214*AX$5/100,0)),0)</f>
        <v>0</v>
      </c>
      <c r="AY214" s="70">
        <v>0</v>
      </c>
      <c r="AZ214" s="65">
        <f t="shared" si="178"/>
        <v>0</v>
      </c>
      <c r="BA214" s="65">
        <f t="shared" si="179"/>
        <v>0</v>
      </c>
      <c r="BB214" s="70"/>
      <c r="BC214" s="65">
        <f t="shared" si="180"/>
        <v>0</v>
      </c>
      <c r="BD214" s="70">
        <v>0</v>
      </c>
      <c r="BE214" s="65">
        <f t="shared" si="181"/>
        <v>0</v>
      </c>
      <c r="BF214" s="70">
        <v>0</v>
      </c>
      <c r="BG214" s="65">
        <f t="shared" si="182"/>
        <v>0</v>
      </c>
      <c r="BH214" s="70">
        <v>0</v>
      </c>
      <c r="BI214" s="65">
        <f t="shared" si="183"/>
        <v>0</v>
      </c>
      <c r="BJ214" s="38">
        <f>IF(AND(BJ$7="○",$A214&gt;=BJ$8,$A214&lt;=BJ$9),IF(SUM(BJ$10:BJ213)-ROUNDDOWN($M214*BJ$5/100,0)&lt;-BJ$6,-BJ$6-SUM(BJ$10:BJ213),-ROUNDDOWN($M214*BJ$5/100,0)),0)</f>
        <v>0</v>
      </c>
      <c r="BK214" s="38">
        <f>IF(AND(BK$7="○",$A214&gt;=BK$8,$A214&lt;=BK$9),IF(SUM(BK$10:BK213)-ROUNDDOWN($L214*BK$5/100,0)&lt;-BK$6,-BK$6-SUM(BK$10:BK213),-ROUNDDOWN($L214*BK$5/100,0)),0)</f>
        <v>0</v>
      </c>
      <c r="BL214" s="38">
        <f>IF(AND(BL$7="○",$A214&gt;=BL$8,$A214&lt;=BL$9),IF(SUM(BL$10:BL213)-ROUNDDOWN($L214*BL$5/100,0)&lt;-BL$6,-BL$6-SUM(BL$10:BL213),-ROUNDDOWN($L214*BL$5/100,0)),0)</f>
        <v>0</v>
      </c>
      <c r="BM214" s="38">
        <f>IF(AND(BM$7="○",$A214&gt;=BM$8,$A214&lt;=BM$9),IF(SUM(BM$10:BM213)-ROUNDDOWN($M214*BM$5/100,0)&lt;-BM$6,-BM$6-SUM(BM$10:BM213),-ROUNDDOWN($M214*BM$5/100,0)),0)</f>
        <v>0</v>
      </c>
      <c r="BN214" s="38">
        <f>IF(AND(BN$7="○",$A214&gt;=BN$8,$A214&lt;=BN$9),IF(SUM(BN$10:BN213)-ROUNDDOWN($M214*BN$5/100,0)&lt;-BN$6,-BN$6-SUM(BN$10:BN213),-ROUNDDOWN($M214*BN$5/100,0)),0)</f>
        <v>0</v>
      </c>
      <c r="BO214" s="38">
        <f>IF(AND(BO$7="○",$A214&gt;=BO$8,$A214&lt;=BO$9),IF(SUM(BO$10:BO213)-ROUNDDOWN($M214*BO$5/100,0)&lt;-BO$6,-BO$6-SUM(BO$10:BO213),-ROUNDDOWN($M214*BO$5/100,0)),0)</f>
        <v>0</v>
      </c>
      <c r="BP214" s="38">
        <f>IF(AND(BP$7="○",$A214&gt;=BP$8,$A214&lt;=BP$9),IF(SUM(BP$10:BP213)-ROUNDDOWN($M214*BP$5/100,0)&lt;-BP$6,-BP$6-SUM(BP$10:BP213),-ROUNDDOWN($M214*BP$5/100,0)),0)</f>
        <v>0</v>
      </c>
      <c r="BQ214" s="38">
        <f>IF(AND(BQ$7="○",$A214&gt;=BQ$8,$A214&lt;=BQ$9),IF(SUM(BQ$10:BQ213)-ROUNDDOWN($L214*BQ$5/100,0)&lt;-BQ$6,-BQ$6-SUM(BQ$10:BQ213),-ROUNDDOWN($L214*BQ$5/100,0)),0)</f>
        <v>0</v>
      </c>
      <c r="BR214" s="38">
        <f>IF(AND(BR$7="○",$A214&gt;=BR$8,$A214&lt;=BR$9),IF(SUM(BR$10:BR213)-ROUNDDOWN($M214*BR$5/100,0)&lt;-BR$6,-BR$6-SUM(BR$10:BR213),-ROUNDDOWN($M214*BR$5/100,0)),0)</f>
        <v>0</v>
      </c>
      <c r="BS214" s="38">
        <f>IF(AND(BS$7="○",$A214&gt;=BS$8,$A214&lt;=BS$9),IF(SUM(BS$10:BS213)-ROUNDDOWN($M214*BS$5/100,0)&lt;-BS$6,-BS$6-SUM(BS$10:BS213),-ROUNDDOWN($M214*BS$5/100,0)),0)</f>
        <v>0</v>
      </c>
      <c r="BT214" s="38">
        <f>IF(AND(BT$7="○",$A214&gt;=BT$8,$A214&lt;=BT$9),IF(SUM(BT$10:BT213)-ROUNDDOWN($M214*BT$5/100,0)&lt;-BT$6,-BT$6-SUM(BT$10:BT213),-ROUNDDOWN($M214*BT$5/100,0)),0)</f>
        <v>0</v>
      </c>
      <c r="BU214" s="38">
        <f>IF(AND(BU$7="○",$A214&gt;=BU$8,$A214&lt;=BU$9),IF(SUM(BU$10:BU213)-ROUNDDOWN($M214*BU$5/100,0)&lt;-BU$6,-BU$6-SUM(BU$10:BU213),-ROUNDDOWN($M214*BU$5/100,0)),0)</f>
        <v>0</v>
      </c>
      <c r="BV214" s="38">
        <f>IF(AND(BV$7="○",$A214&gt;=BV$8,$A214&lt;=BV$9),IF(SUM(BV$10:BV213)-ROUNDDOWN($M214*BV$5/100,0)&lt;-BV$6,-BV$6-SUM(BV$10:BV213),-ROUNDDOWN($M214*BV$5/100,0)),0)</f>
        <v>0</v>
      </c>
      <c r="BW214" s="38">
        <f>IF(AND(BW$7="○",$A214&gt;=BW$8,$A214&lt;=BW$9),IF(SUM(BW$10:BW213)-ROUNDDOWN($M214*BW$5/100,0)&lt;-BW$6,-BW$6-SUM(BW$10:BW213),-ROUNDDOWN($M214*BW$5/100,0)),0)</f>
        <v>0</v>
      </c>
      <c r="BX214" s="38">
        <f>IF(AND(T214="○",$A214&gt;=BX$8,$A214&lt;=BX$9),IF(SUM(BX$10:BX213)-ROUNDDOWN($K214*BX$5/100,0)&lt;-BX$6,-BX$6-SUM(BX$10:BX213),-ROUNDDOWN($K214*BX$5/100,0)),0)</f>
        <v>0</v>
      </c>
      <c r="BY214" s="38">
        <f>IF(AND(U214="○",$A214&gt;=BY$8,$A214&lt;=BY$9),IF(SUM(BY$10:BY213)-ROUNDDOWN($K214*BY$5/100,0)&lt;-BY$6,-BY$6-SUM(BY$10:BY213),-ROUNDDOWN($K214*BY$5/100,0)),0)</f>
        <v>0</v>
      </c>
      <c r="BZ214" s="38">
        <f>IF(AND(V214="○",$A214&gt;=BZ$8,$A214&lt;=BZ$9),IF(SUM(BZ$10:BZ213)-ROUNDDOWN($K214*BZ$5/100,0)&lt;-BZ$6,-BZ$6-SUM(BZ$10:BZ213),-ROUNDDOWN($K214*BZ$5/100,0)),0)</f>
        <v>0</v>
      </c>
      <c r="CA214" s="38">
        <f>IF(AND(W214="○",$A214&gt;=CA$8,$A214&lt;=CA$9),IF(SUM(CA$10:CA213)-ROUNDDOWN($K214*CA$5/100,0)&lt;-CA$6,-CA$6-SUM(CA$10:CA213),-ROUNDDOWN($K214*CA$5/100,0)),0)</f>
        <v>0</v>
      </c>
      <c r="CB214" s="38"/>
      <c r="CC214" s="38"/>
      <c r="CD214" s="38"/>
      <c r="CE214" s="38"/>
      <c r="CF214" s="38"/>
      <c r="CG214" s="65">
        <f t="shared" si="184"/>
        <v>0</v>
      </c>
      <c r="CH214" s="71">
        <f t="shared" si="185"/>
        <v>0</v>
      </c>
      <c r="CI214" s="1">
        <f t="shared" si="171"/>
        <v>0</v>
      </c>
      <c r="CJ214" s="1"/>
      <c r="CK214" s="79"/>
      <c r="CL214" s="79"/>
      <c r="CM214" s="2"/>
      <c r="CN214" s="2"/>
      <c r="CO214" s="73">
        <f t="shared" si="172"/>
        <v>0</v>
      </c>
      <c r="CP214" s="5">
        <f t="shared" si="173"/>
        <v>0</v>
      </c>
      <c r="CQ214" s="1"/>
      <c r="CR214" s="1">
        <f t="shared" si="174"/>
        <v>0</v>
      </c>
      <c r="CS214" s="1"/>
      <c r="CT214" s="1" t="e">
        <f>INDEX([2]マスタ!$A:$A,MATCH(D214,[2]マスタ!$C:$C,0))</f>
        <v>#N/A</v>
      </c>
      <c r="CU214" s="1" t="str">
        <f t="shared" ca="1" si="175"/>
        <v>20260620_0-0</v>
      </c>
    </row>
    <row r="215" spans="1:99" x14ac:dyDescent="0.4">
      <c r="A215" s="61"/>
      <c r="B215" s="62"/>
      <c r="C215" s="62"/>
      <c r="D215" s="62"/>
      <c r="E215" s="63"/>
      <c r="F215" s="62"/>
      <c r="G215" s="62">
        <v>1</v>
      </c>
      <c r="H215" s="64">
        <f t="shared" si="162"/>
        <v>0</v>
      </c>
      <c r="I215" s="64"/>
      <c r="J215" s="64"/>
      <c r="K215" s="65">
        <f>+ROUNDDOWN((H215+I215)/100,0)*100</f>
        <v>0</v>
      </c>
      <c r="L215" s="65">
        <f t="shared" si="164"/>
        <v>0</v>
      </c>
      <c r="M215" s="65">
        <f t="shared" si="165"/>
        <v>0</v>
      </c>
      <c r="N215" s="65">
        <f t="shared" si="166"/>
        <v>0</v>
      </c>
      <c r="O215" s="66" t="str">
        <f t="shared" si="167"/>
        <v>✕</v>
      </c>
      <c r="P215" s="67" t="str">
        <f t="shared" si="168"/>
        <v>○</v>
      </c>
      <c r="Q215" s="67" t="str">
        <f>+IF((TEXT($A215,"DD")+0)=1,"○","✕")</f>
        <v>✕</v>
      </c>
      <c r="R215" s="67" t="str">
        <f t="shared" si="170"/>
        <v>✕</v>
      </c>
      <c r="S215" s="68">
        <v>0</v>
      </c>
      <c r="T215" s="69" t="s">
        <v>85</v>
      </c>
      <c r="U215" s="69" t="s">
        <v>85</v>
      </c>
      <c r="V215" s="69" t="s">
        <v>85</v>
      </c>
      <c r="W215" s="69" t="s">
        <v>85</v>
      </c>
      <c r="X215" s="69" t="s">
        <v>84</v>
      </c>
      <c r="Y215" s="69" t="s">
        <v>85</v>
      </c>
      <c r="Z215" s="69" t="s">
        <v>85</v>
      </c>
      <c r="AA215" s="69" t="s">
        <v>85</v>
      </c>
      <c r="AB215" s="69" t="s">
        <v>85</v>
      </c>
      <c r="AC215" s="69" t="s">
        <v>85</v>
      </c>
      <c r="AD215" s="38" t="str">
        <f>+IF(ISERROR(VLOOKUP($B215,AD$10:AD214,1,0)),IF(AND($N215&gt;=1000,$A215&gt;=AO$8,$A215&lt;=AO$9),$B215,""),"")</f>
        <v/>
      </c>
      <c r="AE215" s="38" t="str">
        <f>+IF(ISERROR(VLOOKUP($B215,AE$10:AE214,1,0)),IF(AND($N215&gt;=1000,$A215&gt;=AP$8,$A215&lt;=AP$9),$B215,""),"")</f>
        <v/>
      </c>
      <c r="AF215" s="38" t="str">
        <f>+IF(ISERROR(VLOOKUP($B215,AF$10:AF214,1,0)),IF(AND($N215&gt;=1000,$A215&gt;=AQ$8,$A215&lt;=AQ$9),$B215,""),"")</f>
        <v/>
      </c>
      <c r="AG215" s="38" t="str">
        <f>+IF(ISERROR(VLOOKUP($B215,AG$10:AG214,1,0)),IF(AND($N215&gt;=1000,$A215&gt;=AR$8,$A215&lt;=AR$9),$B215,""),"")</f>
        <v/>
      </c>
      <c r="AH215" s="38"/>
      <c r="AI215" s="70">
        <v>0</v>
      </c>
      <c r="AJ215" s="38">
        <f>IF(AND(AJ$7="○",$A215&gt;=AJ$8,$A215&lt;=AJ$9),IF(SUM(AJ$10:AJ214)-ROUNDDOWN($K215*AJ$5/100,0)&lt;-AJ$6,-AJ$6-SUM(AJ$10:AJ214),-ROUNDDOWN($K215*AJ$5/100,0)),0)</f>
        <v>0</v>
      </c>
      <c r="AK215" s="38">
        <f>IF(AND(AK$7="○",$A215&gt;=AK$8,$A215&lt;=AK$9),IF(SUM(AK$10:AK214)-ROUNDDOWN($L215*AK$5/100,0)&lt;-AK$6,-AK$6-SUM(AK$10:AK214),-ROUNDDOWN($L215*AK$5/100,0)),0)</f>
        <v>0</v>
      </c>
      <c r="AL215" s="38">
        <f>IF(AND(AL$7="○",$A215&gt;=AL$8,$A215&lt;=AL$9),IF(SUM(AL$10:AL214)-ROUNDDOWN($N215*AL$5/100,0)&lt;-AL$6,-AL$6-SUM(AL$10:AL214),-ROUNDDOWN($N215*AL$5/100,0)),0)</f>
        <v>0</v>
      </c>
      <c r="AM215" s="38">
        <f>IF(AND(AM$7="○",$A215&gt;=AM$8,$A215&lt;=AM$9),IF(SUM(AM$10:AM214)-ROUNDDOWN($L215*AM$5/100,0)&lt;-AM$6,-AM$6-SUM(AM$10:AM214),-ROUNDDOWN($L215*AM$5/100,0)),0)</f>
        <v>0</v>
      </c>
      <c r="AN215" s="38">
        <f>IF(AND(AN$7="○",$A215&gt;=AN$8,$A215&lt;=AN$9),IF(SUM(AN$10:AN214)-ROUNDDOWN($M215*AN$5/100,0)&lt;-AN$6,-AN$6-SUM(AN$10:AN214),-ROUNDDOWN($M215*AN$5/100,0)),0)</f>
        <v>0</v>
      </c>
      <c r="AO215" s="38">
        <f>IF(AND($A215&gt;=AO$8,$A215&lt;=AO$9),IF(SUM(AO$10:AO214)-ROUNDDOWN($K215*AO$5/100,0)&lt;-AO$6,-AO$6-SUM(AO$10:AO214),-ROUNDDOWN($K215*AO$5/100,0)),0)</f>
        <v>0</v>
      </c>
      <c r="AP215" s="38">
        <f>IF(AND($A215&gt;=AP$8,$A215&lt;=AP$9),IF(SUM(AP$10:AP214)-ROUNDDOWN($K215*AP$5/100,0)&lt;-AP$6,-AP$6-SUM(AP$10:AP214),-ROUNDDOWN($K215*AP$5/100,0)),0)</f>
        <v>0</v>
      </c>
      <c r="AQ215" s="38">
        <f>IF(AND($A215&gt;=AQ$8,$A215&lt;=AQ$9),IF(SUM(AQ$10:AQ214)-ROUNDDOWN($K215*AQ$5/100,0)&lt;-AQ$6,-AQ$6-SUM(AQ$10:AQ214),-ROUNDDOWN($K215*AQ$5/100,0)),0)</f>
        <v>0</v>
      </c>
      <c r="AR215" s="38">
        <f>IF(AND($A215&gt;=AR$8,$A215&lt;=AR$9),IF(SUM(AR$10:AR214)-ROUNDDOWN($K215*AR$5/100,0)&lt;-AR$6,-AR$6-SUM(AR$10:AR214),-ROUNDDOWN($K215*AR$5/100,0)),0)</f>
        <v>0</v>
      </c>
      <c r="AS215" s="38">
        <f>IF(SUMIFS(AS$10:AS214,$A$10:$A214,$A215)-ROUNDDOWN($K215*$S215/100,0)&lt;-$S215*1000,-$S215*1000-SUMIFS(AS$10:AS214,$A$10:$A214,$A215),-ROUNDDOWN($K215*$S215/100,0))</f>
        <v>0</v>
      </c>
      <c r="AT215" s="38">
        <f>IF(AND(X215="○",$A215&gt;=AT$8,$A215&lt;=AT$9,K215&gt;=3980),IF(SUM(AT$10:AT214)-ROUNDDOWN($K215*AT$5/100,0)&lt;-AT$6,-AT$6-SUM(AT$10:AT214),-ROUNDDOWN($K215*AT$5/100,0)),0)</f>
        <v>0</v>
      </c>
      <c r="AU215" s="38">
        <f>IF(O215="○",IF(SUM(AU$10:AU214)-ROUNDDOWN($K215*AU$5/100,0)&lt;-AU$6,-AU$6-SUM(AU$10:AU214),-ROUNDDOWN($K215*AU$5/100,0)),0)</f>
        <v>0</v>
      </c>
      <c r="AV215" s="38">
        <f>IF(P215="○",IF(SUM(AV$10:AV214)-ROUNDDOWN($K215*AV$5/100,0)&lt;-AV$6,-AV$6-SUM(AV$10:AV214),-ROUNDDOWN($K215*AV$5/100,0)),0)</f>
        <v>0</v>
      </c>
      <c r="AW215" s="38">
        <f>IF(Q215="○",IF(SUM(AW$10:AW214)-ROUNDDOWN($K215*AW$5/100,0)&lt;-AW$6,-AW$6-SUM(AW$10:AW214),-ROUNDDOWN($K215*AW$5/100,0)),0)</f>
        <v>0</v>
      </c>
      <c r="AX215" s="38">
        <f>IF(R215="○",IF(SUM(AX$10:AX214)-ROUNDDOWN($K215*AX$5/100,0)&lt;-AX$6,-AX$6-SUM(AX$10:AX214),-ROUNDDOWN($K215*AX$5/100,0)),0)</f>
        <v>0</v>
      </c>
      <c r="AY215" s="70">
        <v>0</v>
      </c>
      <c r="AZ215" s="65">
        <f t="shared" si="178"/>
        <v>0</v>
      </c>
      <c r="BA215" s="65">
        <f t="shared" si="179"/>
        <v>0</v>
      </c>
      <c r="BB215" s="70"/>
      <c r="BC215" s="65">
        <f t="shared" si="180"/>
        <v>0</v>
      </c>
      <c r="BD215" s="70">
        <v>0</v>
      </c>
      <c r="BE215" s="65">
        <f t="shared" si="181"/>
        <v>0</v>
      </c>
      <c r="BF215" s="70">
        <v>0</v>
      </c>
      <c r="BG215" s="65">
        <f t="shared" si="182"/>
        <v>0</v>
      </c>
      <c r="BH215" s="70">
        <v>0</v>
      </c>
      <c r="BI215" s="65">
        <f t="shared" si="183"/>
        <v>0</v>
      </c>
      <c r="BJ215" s="38">
        <f>IF(AND(BJ$7="○",$A215&gt;=BJ$8,$A215&lt;=BJ$9),IF(SUM(BJ$10:BJ214)-ROUNDDOWN($M215*BJ$5/100,0)&lt;-BJ$6,-BJ$6-SUM(BJ$10:BJ214),-ROUNDDOWN($M215*BJ$5/100,0)),0)</f>
        <v>0</v>
      </c>
      <c r="BK215" s="38">
        <f>IF(AND(BK$7="○",$A215&gt;=BK$8,$A215&lt;=BK$9),IF(SUM(BK$10:BK214)-ROUNDDOWN($L215*BK$5/100,0)&lt;-BK$6,-BK$6-SUM(BK$10:BK214),-ROUNDDOWN($L215*BK$5/100,0)),0)</f>
        <v>0</v>
      </c>
      <c r="BL215" s="38">
        <f>IF(AND(BL$7="○",$A215&gt;=BL$8,$A215&lt;=BL$9),IF(SUM(BL$10:BL214)-ROUNDDOWN($L215*BL$5/100,0)&lt;-BL$6,-BL$6-SUM(BL$10:BL214),-ROUNDDOWN($L215*BL$5/100,0)),0)</f>
        <v>0</v>
      </c>
      <c r="BM215" s="38">
        <f>IF(AND(BM$7="○",$A215&gt;=BM$8,$A215&lt;=BM$9),IF(SUM(BM$10:BM214)-ROUNDDOWN($M215*BM$5/100,0)&lt;-BM$6,-BM$6-SUM(BM$10:BM214),-ROUNDDOWN($M215*BM$5/100,0)),0)</f>
        <v>0</v>
      </c>
      <c r="BN215" s="38">
        <f>IF(AND(BN$7="○",$A215&gt;=BN$8,$A215&lt;=BN$9),IF(SUM(BN$10:BN214)-ROUNDDOWN($M215*BN$5/100,0)&lt;-BN$6,-BN$6-SUM(BN$10:BN214),-ROUNDDOWN($M215*BN$5/100,0)),0)</f>
        <v>0</v>
      </c>
      <c r="BO215" s="38">
        <f>IF(AND(BO$7="○",$A215&gt;=BO$8,$A215&lt;=BO$9),IF(SUM(BO$10:BO214)-ROUNDDOWN($M215*BO$5/100,0)&lt;-BO$6,-BO$6-SUM(BO$10:BO214),-ROUNDDOWN($M215*BO$5/100,0)),0)</f>
        <v>0</v>
      </c>
      <c r="BP215" s="38">
        <f>IF(AND(BP$7="○",$A215&gt;=BP$8,$A215&lt;=BP$9),IF(SUM(BP$10:BP214)-ROUNDDOWN($M215*BP$5/100,0)&lt;-BP$6,-BP$6-SUM(BP$10:BP214),-ROUNDDOWN($M215*BP$5/100,0)),0)</f>
        <v>0</v>
      </c>
      <c r="BQ215" s="38">
        <f>IF(AND(BQ$7="○",$A215&gt;=BQ$8,$A215&lt;=BQ$9),IF(SUM(BQ$10:BQ214)-ROUNDDOWN($L215*BQ$5/100,0)&lt;-BQ$6,-BQ$6-SUM(BQ$10:BQ214),-ROUNDDOWN($L215*BQ$5/100,0)),0)</f>
        <v>0</v>
      </c>
      <c r="BR215" s="38">
        <f>IF(AND(BR$7="○",$A215&gt;=BR$8,$A215&lt;=BR$9),IF(SUM(BR$10:BR214)-ROUNDDOWN($M215*BR$5/100,0)&lt;-BR$6,-BR$6-SUM(BR$10:BR214),-ROUNDDOWN($M215*BR$5/100,0)),0)</f>
        <v>0</v>
      </c>
      <c r="BS215" s="38">
        <f>IF(AND(BS$7="○",$A215&gt;=BS$8,$A215&lt;=BS$9),IF(SUM(BS$10:BS214)-ROUNDDOWN($M215*BS$5/100,0)&lt;-BS$6,-BS$6-SUM(BS$10:BS214),-ROUNDDOWN($M215*BS$5/100,0)),0)</f>
        <v>0</v>
      </c>
      <c r="BT215" s="38">
        <f>IF(AND(BT$7="○",$A215&gt;=BT$8,$A215&lt;=BT$9),IF(SUM(BT$10:BT214)-ROUNDDOWN($M215*BT$5/100,0)&lt;-BT$6,-BT$6-SUM(BT$10:BT214),-ROUNDDOWN($M215*BT$5/100,0)),0)</f>
        <v>0</v>
      </c>
      <c r="BU215" s="38">
        <f>IF(AND(BU$7="○",$A215&gt;=BU$8,$A215&lt;=BU$9),IF(SUM(BU$10:BU214)-ROUNDDOWN($M215*BU$5/100,0)&lt;-BU$6,-BU$6-SUM(BU$10:BU214),-ROUNDDOWN($M215*BU$5/100,0)),0)</f>
        <v>0</v>
      </c>
      <c r="BV215" s="38">
        <f>IF(AND(BV$7="○",$A215&gt;=BV$8,$A215&lt;=BV$9),IF(SUM(BV$10:BV214)-ROUNDDOWN($M215*BV$5/100,0)&lt;-BV$6,-BV$6-SUM(BV$10:BV214),-ROUNDDOWN($M215*BV$5/100,0)),0)</f>
        <v>0</v>
      </c>
      <c r="BW215" s="38">
        <f>IF(AND(BW$7="○",$A215&gt;=BW$8,$A215&lt;=BW$9),IF(SUM(BW$10:BW214)-ROUNDDOWN($M215*BW$5/100,0)&lt;-BW$6,-BW$6-SUM(BW$10:BW214),-ROUNDDOWN($M215*BW$5/100,0)),0)</f>
        <v>0</v>
      </c>
      <c r="BX215" s="38">
        <f>IF(AND(T215="○",$A215&gt;=BX$8,$A215&lt;=BX$9),IF(SUM(BX$10:BX214)-ROUNDDOWN($K215*BX$5/100,0)&lt;-BX$6,-BX$6-SUM(BX$10:BX214),-ROUNDDOWN($K215*BX$5/100,0)),0)</f>
        <v>0</v>
      </c>
      <c r="BY215" s="38">
        <f>IF(AND(U215="○",$A215&gt;=BY$8,$A215&lt;=BY$9),IF(SUM(BY$10:BY214)-ROUNDDOWN($K215*BY$5/100,0)&lt;-BY$6,-BY$6-SUM(BY$10:BY214),-ROUNDDOWN($K215*BY$5/100,0)),0)</f>
        <v>0</v>
      </c>
      <c r="BZ215" s="38">
        <f>IF(AND(V215="○",$A215&gt;=BZ$8,$A215&lt;=BZ$9),IF(SUM(BZ$10:BZ214)-ROUNDDOWN($K215*BZ$5/100,0)&lt;-BZ$6,-BZ$6-SUM(BZ$10:BZ214),-ROUNDDOWN($K215*BZ$5/100,0)),0)</f>
        <v>0</v>
      </c>
      <c r="CA215" s="38">
        <f>IF(AND(W215="○",$A215&gt;=CA$8,$A215&lt;=CA$9),IF(SUM(CA$10:CA214)-ROUNDDOWN($K215*CA$5/100,0)&lt;-CA$6,-CA$6-SUM(CA$10:CA214),-ROUNDDOWN($K215*CA$5/100,0)),0)</f>
        <v>0</v>
      </c>
      <c r="CB215" s="38"/>
      <c r="CC215" s="38"/>
      <c r="CD215" s="38"/>
      <c r="CE215" s="38"/>
      <c r="CF215" s="38"/>
      <c r="CG215" s="65">
        <f t="shared" si="184"/>
        <v>0</v>
      </c>
      <c r="CH215" s="71">
        <f t="shared" si="185"/>
        <v>0</v>
      </c>
      <c r="CI215" s="1">
        <f t="shared" si="171"/>
        <v>0</v>
      </c>
      <c r="CJ215" s="1"/>
      <c r="CK215" s="79"/>
      <c r="CL215" s="79"/>
      <c r="CM215" s="2"/>
      <c r="CN215" s="2"/>
      <c r="CO215" s="73">
        <f t="shared" si="172"/>
        <v>0</v>
      </c>
      <c r="CP215" s="5">
        <f t="shared" si="173"/>
        <v>0</v>
      </c>
      <c r="CQ215" s="1"/>
      <c r="CR215" s="1">
        <f t="shared" si="174"/>
        <v>0</v>
      </c>
      <c r="CS215" s="1"/>
      <c r="CT215" s="1" t="e">
        <f>INDEX([2]マスタ!$A:$A,MATCH(D215,[2]マスタ!$C:$C,0))</f>
        <v>#N/A</v>
      </c>
      <c r="CU215" s="1" t="str">
        <f t="shared" ca="1" si="175"/>
        <v>20260620_0-0</v>
      </c>
    </row>
    <row r="216" spans="1:99" x14ac:dyDescent="0.4">
      <c r="A216" s="61"/>
      <c r="B216" s="62"/>
      <c r="C216" s="62"/>
      <c r="D216" s="62"/>
      <c r="E216" s="63"/>
      <c r="F216" s="62"/>
      <c r="G216" s="62">
        <v>1</v>
      </c>
      <c r="H216" s="64">
        <f t="shared" si="162"/>
        <v>0</v>
      </c>
      <c r="I216" s="64"/>
      <c r="J216" s="64"/>
      <c r="K216" s="65">
        <f t="shared" ref="K216:K225" si="186">+ROUNDDOWN((H216+I216+J216)/100,0)*100</f>
        <v>0</v>
      </c>
      <c r="L216" s="65">
        <f t="shared" si="164"/>
        <v>0</v>
      </c>
      <c r="M216" s="65">
        <f t="shared" si="165"/>
        <v>0</v>
      </c>
      <c r="N216" s="65">
        <f t="shared" si="166"/>
        <v>0</v>
      </c>
      <c r="O216" s="66" t="str">
        <f t="shared" si="167"/>
        <v>✕</v>
      </c>
      <c r="P216" s="67" t="str">
        <f t="shared" si="168"/>
        <v>○</v>
      </c>
      <c r="Q216" s="67" t="str">
        <f t="shared" ref="Q216:Q225" si="187">+IF((TEXT(A216,"DD")+0)=1,"○","✕")</f>
        <v>✕</v>
      </c>
      <c r="R216" s="67" t="str">
        <f t="shared" si="170"/>
        <v>✕</v>
      </c>
      <c r="S216" s="68">
        <v>0</v>
      </c>
      <c r="T216" s="69" t="s">
        <v>85</v>
      </c>
      <c r="U216" s="69" t="s">
        <v>85</v>
      </c>
      <c r="V216" s="69" t="s">
        <v>85</v>
      </c>
      <c r="W216" s="69" t="s">
        <v>85</v>
      </c>
      <c r="X216" s="69" t="s">
        <v>84</v>
      </c>
      <c r="Y216" s="69" t="s">
        <v>85</v>
      </c>
      <c r="Z216" s="69" t="s">
        <v>85</v>
      </c>
      <c r="AA216" s="69" t="s">
        <v>85</v>
      </c>
      <c r="AB216" s="69" t="s">
        <v>85</v>
      </c>
      <c r="AC216" s="69" t="s">
        <v>85</v>
      </c>
      <c r="AD216" s="38" t="str">
        <f>+IF(ISERROR(VLOOKUP($B216,AD$10:AD215,1,0)),IF(AND($N216&gt;=1000,$A216&gt;=AO$8,$A216&lt;=AO$9),$B216,""),"")</f>
        <v/>
      </c>
      <c r="AE216" s="38" t="str">
        <f>+IF(ISERROR(VLOOKUP($B216,AE$10:AE215,1,0)),IF(AND($N216&gt;=1000,$A216&gt;=AP$8,$A216&lt;=AP$9),$B216,""),"")</f>
        <v/>
      </c>
      <c r="AF216" s="38" t="str">
        <f>+IF(ISERROR(VLOOKUP($B216,AF$10:AF215,1,0)),IF(AND($N216&gt;=1000,$A216&gt;=AQ$8,$A216&lt;=AQ$9),$B216,""),"")</f>
        <v/>
      </c>
      <c r="AG216" s="38" t="str">
        <f>+IF(ISERROR(VLOOKUP($B216,AG$10:AG215,1,0)),IF(AND($N216&gt;=1000,$A216&gt;=AR$8,$A216&lt;=AR$9),$B216,""),"")</f>
        <v/>
      </c>
      <c r="AH216" s="38"/>
      <c r="AI216" s="70">
        <v>0</v>
      </c>
      <c r="AJ216" s="38">
        <f>IF(AND(AJ$7="○",$A216&gt;=AJ$8,$A216&lt;=AJ$9),IF(SUM(AJ$10:AJ215)-ROUNDDOWN($K216*AJ$5/100,0)&lt;-AJ$6,-AJ$6-SUM(AJ$10:AJ215),-ROUNDDOWN($K216*AJ$5/100,0)),0)</f>
        <v>0</v>
      </c>
      <c r="AK216" s="38">
        <f>IF(AND(AK$7="○",$A216&gt;=AK$8,$A216&lt;=AK$9),IF(SUM(AK$10:AK215)-ROUNDDOWN($L216*AK$5/100,0)&lt;-AK$6,-AK$6-SUM(AK$10:AK215),-ROUNDDOWN($L216*AK$5/100,0)),0)</f>
        <v>0</v>
      </c>
      <c r="AL216" s="38">
        <f>IF(AND(AL$7="○",$A216&gt;=AL$8,$A216&lt;=AL$9),IF(SUM(AL$10:AL215)-ROUNDDOWN($N216*AL$5/100,0)&lt;-AL$6,-AL$6-SUM(AL$10:AL215),-ROUNDDOWN($N216*AL$5/100,0)),0)</f>
        <v>0</v>
      </c>
      <c r="AM216" s="38">
        <f>IF(AND(AM$7="○",$A216&gt;=AM$8,$A216&lt;=AM$9),IF(SUM(AM$10:AM215)-ROUNDDOWN($L216*AM$5/100,0)&lt;-AM$6,-AM$6-SUM(AM$10:AM215),-ROUNDDOWN($L216*AM$5/100,0)),0)</f>
        <v>0</v>
      </c>
      <c r="AN216" s="38">
        <f>IF(AND(AN$7="○",$A216&gt;=AN$8,$A216&lt;=AN$9),IF(SUM(AN$10:AN215)-ROUNDDOWN($M216*AN$5/100,0)&lt;-AN$6,-AN$6-SUM(AN$10:AN215),-ROUNDDOWN($M216*AN$5/100,0)),0)</f>
        <v>0</v>
      </c>
      <c r="AO216" s="38">
        <f>IF(AND($A216&gt;=AO$8,$A216&lt;=AO$9),IF(SUM(AO$10:AO215)-ROUNDDOWN($K216*AO$5/100,0)&lt;-AO$6,-AO$6-SUM(AO$10:AO215),-ROUNDDOWN($K216*AO$5/100,0)),0)</f>
        <v>0</v>
      </c>
      <c r="AP216" s="38">
        <f>IF(AND($A216&gt;=AP$8,$A216&lt;=AP$9),IF(SUM(AP$10:AP215)-ROUNDDOWN($K216*AP$5/100,0)&lt;-AP$6,-AP$6-SUM(AP$10:AP215),-ROUNDDOWN($K216*AP$5/100,0)),0)</f>
        <v>0</v>
      </c>
      <c r="AQ216" s="38">
        <f>IF(AND($A216&gt;=AQ$8,$A216&lt;=AQ$9),IF(SUM(AQ$10:AQ215)-ROUNDDOWN($K216*AQ$5/100,0)&lt;-AQ$6,-AQ$6-SUM(AQ$10:AQ215),-ROUNDDOWN($K216*AQ$5/100,0)),0)</f>
        <v>0</v>
      </c>
      <c r="AR216" s="38">
        <f>IF(AND($A216&gt;=AR$8,$A216&lt;=AR$9),IF(SUM(AR$10:AR215)-ROUNDDOWN($K216*AR$5/100,0)&lt;-AR$6,-AR$6-SUM(AR$10:AR215),-ROUNDDOWN($K216*AR$5/100,0)),0)</f>
        <v>0</v>
      </c>
      <c r="AS216" s="38">
        <f>IF(SUMIFS(AS$10:AS215,$A$10:$A215,$A216)-ROUNDDOWN($K216*$S216/100,0)&lt;-$S216*1000,-$S216*1000-SUMIFS(AS$10:AS215,$A$10:$A215,$A216),-ROUNDDOWN($K216*$S216/100,0))</f>
        <v>0</v>
      </c>
      <c r="AT216" s="38">
        <f>IF(AND(X216="○",$A216&gt;=AT$8,$A216&lt;=AT$9,K216&gt;=3980),IF(SUM(AT$10:AT215)-ROUNDDOWN($K216*AT$5/100,0)&lt;-AT$6,-AT$6-SUM(AT$10:AT215),-ROUNDDOWN($K216*AT$5/100,0)),0)</f>
        <v>0</v>
      </c>
      <c r="AU216" s="38">
        <f>IF(O216="○",IF(SUM(AU$10:AU215)-ROUNDDOWN($K216*AU$5/100,0)&lt;-AU$6,-AU$6-SUM(AU$10:AU215),-ROUNDDOWN($K216*AU$5/100,0)),0)</f>
        <v>0</v>
      </c>
      <c r="AV216" s="38">
        <f>IF(P216="○",IF(SUM(AV$10:AV215)-ROUNDDOWN($K216*AV$5/100,0)&lt;-AV$6,-AV$6-SUM(AV$10:AV215),-ROUNDDOWN($K216*AV$5/100,0)),0)</f>
        <v>0</v>
      </c>
      <c r="AW216" s="38">
        <f>IF(Q216="○",IF(SUM(AW$10:AW215)-ROUNDDOWN($K216*AW$5/100,0)&lt;-AW$6,-AW$6-SUM(AW$10:AW215),-ROUNDDOWN($K216*AW$5/100,0)),0)</f>
        <v>0</v>
      </c>
      <c r="AX216" s="38">
        <f>IF(R216="○",IF(SUM(AX$10:AX215)-ROUNDDOWN($K216*AX$5/100,0)&lt;-AX$6,-AX$6-SUM(AX$10:AX215),-ROUNDDOWN($K216*AX$5/100,0)),0)</f>
        <v>0</v>
      </c>
      <c r="AY216" s="70">
        <v>0</v>
      </c>
      <c r="AZ216" s="65">
        <f t="shared" si="178"/>
        <v>0</v>
      </c>
      <c r="BA216" s="65">
        <f t="shared" si="179"/>
        <v>0</v>
      </c>
      <c r="BB216" s="70"/>
      <c r="BC216" s="65">
        <f t="shared" si="180"/>
        <v>0</v>
      </c>
      <c r="BD216" s="70">
        <v>0</v>
      </c>
      <c r="BE216" s="65">
        <f t="shared" si="181"/>
        <v>0</v>
      </c>
      <c r="BF216" s="70">
        <v>0</v>
      </c>
      <c r="BG216" s="65">
        <f t="shared" si="182"/>
        <v>0</v>
      </c>
      <c r="BH216" s="70">
        <v>0</v>
      </c>
      <c r="BI216" s="65">
        <f t="shared" si="183"/>
        <v>0</v>
      </c>
      <c r="BJ216" s="38">
        <f>IF(AND(BJ$7="○",$A216&gt;=BJ$8,$A216&lt;=BJ$9),IF(SUM(BJ$10:BJ215)-ROUNDDOWN($M216*BJ$5/100,0)&lt;-BJ$6,-BJ$6-SUM(BJ$10:BJ215),-ROUNDDOWN($M216*BJ$5/100,0)),0)</f>
        <v>0</v>
      </c>
      <c r="BK216" s="38">
        <f>IF(AND(BK$7="○",$A216&gt;=BK$8,$A216&lt;=BK$9),IF(SUM(BK$10:BK215)-ROUNDDOWN($L216*BK$5/100,0)&lt;-BK$6,-BK$6-SUM(BK$10:BK215),-ROUNDDOWN($L216*BK$5/100,0)),0)</f>
        <v>0</v>
      </c>
      <c r="BL216" s="38">
        <f>IF(AND(BL$7="○",$A216&gt;=BL$8,$A216&lt;=BL$9),IF(SUM(BL$10:BL215)-ROUNDDOWN($L216*BL$5/100,0)&lt;-BL$6,-BL$6-SUM(BL$10:BL215),-ROUNDDOWN($L216*BL$5/100,0)),0)</f>
        <v>0</v>
      </c>
      <c r="BM216" s="38">
        <f>IF(AND(BM$7="○",$A216&gt;=BM$8,$A216&lt;=BM$9),IF(SUM(BM$10:BM215)-ROUNDDOWN($M216*BM$5/100,0)&lt;-BM$6,-BM$6-SUM(BM$10:BM215),-ROUNDDOWN($M216*BM$5/100,0)),0)</f>
        <v>0</v>
      </c>
      <c r="BN216" s="38">
        <f>IF(AND(BN$7="○",$A216&gt;=BN$8,$A216&lt;=BN$9),IF(SUM(BN$10:BN215)-ROUNDDOWN($M216*BN$5/100,0)&lt;-BN$6,-BN$6-SUM(BN$10:BN215),-ROUNDDOWN($M216*BN$5/100,0)),0)</f>
        <v>0</v>
      </c>
      <c r="BO216" s="38">
        <f>IF(AND(BO$7="○",$A216&gt;=BO$8,$A216&lt;=BO$9),IF(SUM(BO$10:BO215)-ROUNDDOWN($M216*BO$5/100,0)&lt;-BO$6,-BO$6-SUM(BO$10:BO215),-ROUNDDOWN($M216*BO$5/100,0)),0)</f>
        <v>0</v>
      </c>
      <c r="BP216" s="38">
        <f>IF(AND(BP$7="○",$A216&gt;=BP$8,$A216&lt;=BP$9),IF(SUM(BP$10:BP215)-ROUNDDOWN($M216*BP$5/100,0)&lt;-BP$6,-BP$6-SUM(BP$10:BP215),-ROUNDDOWN($M216*BP$5/100,0)),0)</f>
        <v>0</v>
      </c>
      <c r="BQ216" s="38">
        <f>IF(AND(BQ$7="○",$A216&gt;=BQ$8,$A216&lt;=BQ$9),IF(SUM(BQ$10:BQ215)-ROUNDDOWN($L216*BQ$5/100,0)&lt;-BQ$6,-BQ$6-SUM(BQ$10:BQ215),-ROUNDDOWN($L216*BQ$5/100,0)),0)</f>
        <v>0</v>
      </c>
      <c r="BR216" s="38">
        <f>IF(AND(BR$7="○",$A216&gt;=BR$8,$A216&lt;=BR$9),IF(SUM(BR$10:BR215)-ROUNDDOWN($M216*BR$5/100,0)&lt;-BR$6,-BR$6-SUM(BR$10:BR215),-ROUNDDOWN($M216*BR$5/100,0)),0)</f>
        <v>0</v>
      </c>
      <c r="BS216" s="38">
        <f>IF(AND(BS$7="○",$A216&gt;=BS$8,$A216&lt;=BS$9),IF(SUM(BS$10:BS215)-ROUNDDOWN($M216*BS$5/100,0)&lt;-BS$6,-BS$6-SUM(BS$10:BS215),-ROUNDDOWN($M216*BS$5/100,0)),0)</f>
        <v>0</v>
      </c>
      <c r="BT216" s="38">
        <f>IF(AND(BT$7="○",$A216&gt;=BT$8,$A216&lt;=BT$9),IF(SUM(BT$10:BT215)-ROUNDDOWN($M216*BT$5/100,0)&lt;-BT$6,-BT$6-SUM(BT$10:BT215),-ROUNDDOWN($M216*BT$5/100,0)),0)</f>
        <v>0</v>
      </c>
      <c r="BU216" s="38">
        <f>IF(AND(BU$7="○",$A216&gt;=BU$8,$A216&lt;=BU$9),IF(SUM(BU$10:BU215)-ROUNDDOWN($M216*BU$5/100,0)&lt;-BU$6,-BU$6-SUM(BU$10:BU215),-ROUNDDOWN($M216*BU$5/100,0)),0)</f>
        <v>0</v>
      </c>
      <c r="BV216" s="38">
        <f>IF(AND(BV$7="○",$A216&gt;=BV$8,$A216&lt;=BV$9),IF(SUM(BV$10:BV215)-ROUNDDOWN($M216*BV$5/100,0)&lt;-BV$6,-BV$6-SUM(BV$10:BV215),-ROUNDDOWN($M216*BV$5/100,0)),0)</f>
        <v>0</v>
      </c>
      <c r="BW216" s="38">
        <f>IF(AND(BW$7="○",$A216&gt;=BW$8,$A216&lt;=BW$9),IF(SUM(BW$10:BW215)-ROUNDDOWN($M216*BW$5/100,0)&lt;-BW$6,-BW$6-SUM(BW$10:BW215),-ROUNDDOWN($M216*BW$5/100,0)),0)</f>
        <v>0</v>
      </c>
      <c r="BX216" s="38">
        <f>IF(AND(T216="○",$A216&gt;=BX$8,$A216&lt;=BX$9),IF(SUM(BX$10:BX215)-ROUNDDOWN($K216*BX$5/100,0)&lt;-BX$6,-BX$6-SUM(BX$10:BX215),-ROUNDDOWN($K216*BX$5/100,0)),0)</f>
        <v>0</v>
      </c>
      <c r="BY216" s="38">
        <f>IF(AND(U216="○",$A216&gt;=BY$8,$A216&lt;=BY$9),IF(SUM(BY$10:BY215)-ROUNDDOWN($K216*BY$5/100,0)&lt;-BY$6,-BY$6-SUM(BY$10:BY215),-ROUNDDOWN($K216*BY$5/100,0)),0)</f>
        <v>0</v>
      </c>
      <c r="BZ216" s="38">
        <f>IF(AND(V216="○",$A216&gt;=BZ$8,$A216&lt;=BZ$9),IF(SUM(BZ$10:BZ215)-ROUNDDOWN($K216*BZ$5/100,0)&lt;-BZ$6,-BZ$6-SUM(BZ$10:BZ215),-ROUNDDOWN($K216*BZ$5/100,0)),0)</f>
        <v>0</v>
      </c>
      <c r="CA216" s="38">
        <f>IF(AND(W216="○",$A216&gt;=CA$8,$A216&lt;=CA$9),IF(SUM(CA$10:CA215)-ROUNDDOWN($K216*CA$5/100,0)&lt;-CA$6,-CA$6-SUM(CA$10:CA215),-ROUNDDOWN($K216*CA$5/100,0)),0)</f>
        <v>0</v>
      </c>
      <c r="CB216" s="38"/>
      <c r="CC216" s="38"/>
      <c r="CD216" s="38"/>
      <c r="CE216" s="38"/>
      <c r="CF216" s="38"/>
      <c r="CG216" s="65">
        <f t="shared" si="184"/>
        <v>0</v>
      </c>
      <c r="CH216" s="71">
        <f t="shared" si="185"/>
        <v>0</v>
      </c>
      <c r="CI216" s="1">
        <f t="shared" si="171"/>
        <v>0</v>
      </c>
      <c r="CJ216" s="1"/>
      <c r="CK216" s="72"/>
      <c r="CL216" s="72"/>
      <c r="CM216" s="2"/>
      <c r="CN216" s="2"/>
      <c r="CO216" s="73">
        <f t="shared" si="172"/>
        <v>0</v>
      </c>
      <c r="CP216" s="5">
        <f t="shared" si="173"/>
        <v>0</v>
      </c>
      <c r="CQ216" s="1"/>
      <c r="CR216" s="1">
        <f t="shared" si="174"/>
        <v>0</v>
      </c>
      <c r="CS216" s="1"/>
      <c r="CT216" s="1" t="e">
        <f>INDEX([2]マスタ!$A:$A,MATCH(D216,[2]マスタ!$C:$C,0))</f>
        <v>#N/A</v>
      </c>
      <c r="CU216" s="1" t="str">
        <f t="shared" ca="1" si="175"/>
        <v>20260620_0-0</v>
      </c>
    </row>
    <row r="217" spans="1:99" x14ac:dyDescent="0.4">
      <c r="A217" s="61"/>
      <c r="B217" s="62"/>
      <c r="C217" s="62"/>
      <c r="D217" s="62"/>
      <c r="E217" s="63"/>
      <c r="F217" s="62"/>
      <c r="G217" s="62">
        <v>1</v>
      </c>
      <c r="H217" s="64">
        <f t="shared" si="162"/>
        <v>0</v>
      </c>
      <c r="I217" s="64"/>
      <c r="J217" s="64"/>
      <c r="K217" s="65">
        <f t="shared" si="186"/>
        <v>0</v>
      </c>
      <c r="L217" s="65">
        <f t="shared" si="164"/>
        <v>0</v>
      </c>
      <c r="M217" s="65">
        <f t="shared" si="165"/>
        <v>0</v>
      </c>
      <c r="N217" s="65">
        <f t="shared" si="166"/>
        <v>0</v>
      </c>
      <c r="O217" s="66" t="str">
        <f t="shared" si="167"/>
        <v>✕</v>
      </c>
      <c r="P217" s="67" t="str">
        <f t="shared" si="168"/>
        <v>○</v>
      </c>
      <c r="Q217" s="67" t="str">
        <f t="shared" si="187"/>
        <v>✕</v>
      </c>
      <c r="R217" s="67" t="str">
        <f t="shared" si="170"/>
        <v>✕</v>
      </c>
      <c r="S217" s="68">
        <v>0</v>
      </c>
      <c r="T217" s="69" t="s">
        <v>85</v>
      </c>
      <c r="U217" s="69" t="s">
        <v>85</v>
      </c>
      <c r="V217" s="69" t="s">
        <v>85</v>
      </c>
      <c r="W217" s="69" t="s">
        <v>85</v>
      </c>
      <c r="X217" s="69" t="s">
        <v>84</v>
      </c>
      <c r="Y217" s="69" t="s">
        <v>85</v>
      </c>
      <c r="Z217" s="69" t="s">
        <v>85</v>
      </c>
      <c r="AA217" s="69" t="s">
        <v>85</v>
      </c>
      <c r="AB217" s="69" t="s">
        <v>85</v>
      </c>
      <c r="AC217" s="69" t="s">
        <v>85</v>
      </c>
      <c r="AD217" s="38" t="str">
        <f>+IF(ISERROR(VLOOKUP($B217,AD$10:AD216,1,0)),IF(AND($N217&gt;=1000,$A217&gt;=AO$8,$A217&lt;=AO$9),$B217,""),"")</f>
        <v/>
      </c>
      <c r="AE217" s="38" t="str">
        <f>+IF(ISERROR(VLOOKUP($B217,AE$10:AE216,1,0)),IF(AND($N217&gt;=1000,$A217&gt;=AP$8,$A217&lt;=AP$9),$B217,""),"")</f>
        <v/>
      </c>
      <c r="AF217" s="38" t="str">
        <f>+IF(ISERROR(VLOOKUP($B217,AF$10:AF216,1,0)),IF(AND($N217&gt;=1000,$A217&gt;=AQ$8,$A217&lt;=AQ$9),$B217,""),"")</f>
        <v/>
      </c>
      <c r="AG217" s="38" t="str">
        <f>+IF(ISERROR(VLOOKUP($B217,AG$10:AG216,1,0)),IF(AND($N217&gt;=1000,$A217&gt;=AR$8,$A217&lt;=AR$9),$B217,""),"")</f>
        <v/>
      </c>
      <c r="AH217" s="38"/>
      <c r="AI217" s="70">
        <v>0</v>
      </c>
      <c r="AJ217" s="38">
        <f>IF(AND(AJ$7="○",$A217&gt;=AJ$8,$A217&lt;=AJ$9),IF(SUM(AJ$10:AJ216)-ROUNDDOWN($K217*AJ$5/100,0)&lt;-AJ$6,-AJ$6-SUM(AJ$10:AJ216),-ROUNDDOWN($K217*AJ$5/100,0)),0)</f>
        <v>0</v>
      </c>
      <c r="AK217" s="38">
        <f>IF(AND(AK$7="○",$A217&gt;=AK$8,$A217&lt;=AK$9),IF(SUM(AK$10:AK216)-ROUNDDOWN($L217*AK$5/100,0)&lt;-AK$6,-AK$6-SUM(AK$10:AK216),-ROUNDDOWN($L217*AK$5/100,0)),0)</f>
        <v>0</v>
      </c>
      <c r="AL217" s="38">
        <f>IF(AND(AL$7="○",$A217&gt;=AL$8,$A217&lt;=AL$9),IF(SUM(AL$10:AL216)-ROUNDDOWN($N217*AL$5/100,0)&lt;-AL$6,-AL$6-SUM(AL$10:AL216),-ROUNDDOWN($N217*AL$5/100,0)),0)</f>
        <v>0</v>
      </c>
      <c r="AM217" s="38">
        <f>IF(AND(AM$7="○",$A217&gt;=AM$8,$A217&lt;=AM$9),IF(SUM(AM$10:AM216)-ROUNDDOWN($L217*AM$5/100,0)&lt;-AM$6,-AM$6-SUM(AM$10:AM216),-ROUNDDOWN($L217*AM$5/100,0)),0)</f>
        <v>0</v>
      </c>
      <c r="AN217" s="38">
        <f>IF(AND(AN$7="○",$A217&gt;=AN$8,$A217&lt;=AN$9),IF(SUM(AN$10:AN216)-ROUNDDOWN($M217*AN$5/100,0)&lt;-AN$6,-AN$6-SUM(AN$10:AN216),-ROUNDDOWN($M217*AN$5/100,0)),0)</f>
        <v>0</v>
      </c>
      <c r="AO217" s="38">
        <f>IF(AND($A217&gt;=AO$8,$A217&lt;=AO$9),IF(SUM(AO$10:AO216)-ROUNDDOWN($K217*AO$5/100,0)&lt;-AO$6,-AO$6-SUM(AO$10:AO216),-ROUNDDOWN($K217*AO$5/100,0)),0)</f>
        <v>0</v>
      </c>
      <c r="AP217" s="38">
        <f>IF(AND($A217&gt;=AP$8,$A217&lt;=AP$9),IF(SUM(AP$10:AP216)-ROUNDDOWN($K217*AP$5/100,0)&lt;-AP$6,-AP$6-SUM(AP$10:AP216),-ROUNDDOWN($K217*AP$5/100,0)),0)</f>
        <v>0</v>
      </c>
      <c r="AQ217" s="38">
        <f>IF(AND($A217&gt;=AQ$8,$A217&lt;=AQ$9),IF(SUM(AQ$10:AQ216)-ROUNDDOWN($K217*AQ$5/100,0)&lt;-AQ$6,-AQ$6-SUM(AQ$10:AQ216),-ROUNDDOWN($K217*AQ$5/100,0)),0)</f>
        <v>0</v>
      </c>
      <c r="AR217" s="38">
        <f>IF(AND($A217&gt;=AR$8,$A217&lt;=AR$9),IF(SUM(AR$10:AR216)-ROUNDDOWN($K217*AR$5/100,0)&lt;-AR$6,-AR$6-SUM(AR$10:AR216),-ROUNDDOWN($K217*AR$5/100,0)),0)</f>
        <v>0</v>
      </c>
      <c r="AS217" s="38">
        <f>IF(SUMIFS(AS$10:AS216,$A$10:$A216,$A217)-ROUNDDOWN($K217*$S217/100,0)&lt;-$S217*1000,-$S217*1000-SUMIFS(AS$10:AS216,$A$10:$A216,$A217),-ROUNDDOWN($K217*$S217/100,0))</f>
        <v>0</v>
      </c>
      <c r="AT217" s="38">
        <f>IF(AND(X217="○",$A217&gt;=AT$8,$A217&lt;=AT$9,K217&gt;=3980),IF(SUM(AT$10:AT216)-ROUNDDOWN($K217*AT$5/100,0)&lt;-AT$6,-AT$6-SUM(AT$10:AT216),-ROUNDDOWN($K217*AT$5/100,0)),0)</f>
        <v>0</v>
      </c>
      <c r="AU217" s="38">
        <f>IF(O217="○",IF(SUM(AU$10:AU216)-ROUNDDOWN($K217*AU$5/100,0)&lt;-AU$6,-AU$6-SUM(AU$10:AU216),-ROUNDDOWN($K217*AU$5/100,0)),0)</f>
        <v>0</v>
      </c>
      <c r="AV217" s="38">
        <f>IF(P217="○",IF(SUM(AV$10:AV216)-ROUNDDOWN($K217*AV$5/100,0)&lt;-AV$6,-AV$6-SUM(AV$10:AV216),-ROUNDDOWN($K217*AV$5/100,0)),0)</f>
        <v>0</v>
      </c>
      <c r="AW217" s="38">
        <f>IF(Q217="○",IF(SUM(AW$10:AW216)-ROUNDDOWN($K217*AW$5/100,0)&lt;-AW$6,-AW$6-SUM(AW$10:AW216),-ROUNDDOWN($K217*AW$5/100,0)),0)</f>
        <v>0</v>
      </c>
      <c r="AX217" s="38">
        <f>IF(R217="○",IF(SUM(AX$10:AX216)-ROUNDDOWN($K217*AX$5/100,0)&lt;-AX$6,-AX$6-SUM(AX$10:AX216),-ROUNDDOWN($K217*AX$5/100,0)),0)</f>
        <v>0</v>
      </c>
      <c r="AY217" s="70">
        <v>0</v>
      </c>
      <c r="AZ217" s="65">
        <f t="shared" si="178"/>
        <v>0</v>
      </c>
      <c r="BA217" s="65">
        <f t="shared" si="179"/>
        <v>0</v>
      </c>
      <c r="BB217" s="70"/>
      <c r="BC217" s="65">
        <f t="shared" si="180"/>
        <v>0</v>
      </c>
      <c r="BD217" s="70">
        <v>0</v>
      </c>
      <c r="BE217" s="65">
        <f t="shared" si="181"/>
        <v>0</v>
      </c>
      <c r="BF217" s="70">
        <v>0</v>
      </c>
      <c r="BG217" s="65">
        <f t="shared" si="182"/>
        <v>0</v>
      </c>
      <c r="BH217" s="70">
        <v>0</v>
      </c>
      <c r="BI217" s="65">
        <f t="shared" si="183"/>
        <v>0</v>
      </c>
      <c r="BJ217" s="38">
        <f>IF(AND(BJ$7="○",$A217&gt;=BJ$8,$A217&lt;=BJ$9),IF(SUM(BJ$10:BJ216)-ROUNDDOWN($M217*BJ$5/100,0)&lt;-BJ$6,-BJ$6-SUM(BJ$10:BJ216),-ROUNDDOWN($M217*BJ$5/100,0)),0)</f>
        <v>0</v>
      </c>
      <c r="BK217" s="38">
        <f>IF(AND(BK$7="○",$A217&gt;=BK$8,$A217&lt;=BK$9),IF(SUM(BK$10:BK216)-ROUNDDOWN($L217*BK$5/100,0)&lt;-BK$6,-BK$6-SUM(BK$10:BK216),-ROUNDDOWN($L217*BK$5/100,0)),0)</f>
        <v>0</v>
      </c>
      <c r="BL217" s="38">
        <f>IF(AND(BL$7="○",$A217&gt;=BL$8,$A217&lt;=BL$9),IF(SUM(BL$10:BL216)-ROUNDDOWN($L217*BL$5/100,0)&lt;-BL$6,-BL$6-SUM(BL$10:BL216),-ROUNDDOWN($L217*BL$5/100,0)),0)</f>
        <v>0</v>
      </c>
      <c r="BM217" s="38">
        <f>IF(AND(BM$7="○",$A217&gt;=BM$8,$A217&lt;=BM$9),IF(SUM(BM$10:BM216)-ROUNDDOWN($M217*BM$5/100,0)&lt;-BM$6,-BM$6-SUM(BM$10:BM216),-ROUNDDOWN($M217*BM$5/100,0)),0)</f>
        <v>0</v>
      </c>
      <c r="BN217" s="38">
        <f>IF(AND(BN$7="○",$A217&gt;=BN$8,$A217&lt;=BN$9),IF(SUM(BN$10:BN216)-ROUNDDOWN($M217*BN$5/100,0)&lt;-BN$6,-BN$6-SUM(BN$10:BN216),-ROUNDDOWN($M217*BN$5/100,0)),0)</f>
        <v>0</v>
      </c>
      <c r="BO217" s="38">
        <f>IF(AND(BO$7="○",$A217&gt;=BO$8,$A217&lt;=BO$9),IF(SUM(BO$10:BO216)-ROUNDDOWN($M217*BO$5/100,0)&lt;-BO$6,-BO$6-SUM(BO$10:BO216),-ROUNDDOWN($M217*BO$5/100,0)),0)</f>
        <v>0</v>
      </c>
      <c r="BP217" s="38">
        <f>IF(AND(BP$7="○",$A217&gt;=BP$8,$A217&lt;=BP$9),IF(SUM(BP$10:BP216)-ROUNDDOWN($M217*BP$5/100,0)&lt;-BP$6,-BP$6-SUM(BP$10:BP216),-ROUNDDOWN($M217*BP$5/100,0)),0)</f>
        <v>0</v>
      </c>
      <c r="BQ217" s="38">
        <f>IF(AND(BQ$7="○",$A217&gt;=BQ$8,$A217&lt;=BQ$9),IF(SUM(BQ$10:BQ216)-ROUNDDOWN($L217*BQ$5/100,0)&lt;-BQ$6,-BQ$6-SUM(BQ$10:BQ216),-ROUNDDOWN($L217*BQ$5/100,0)),0)</f>
        <v>0</v>
      </c>
      <c r="BR217" s="38">
        <f>IF(AND(BR$7="○",$A217&gt;=BR$8,$A217&lt;=BR$9),IF(SUM(BR$10:BR216)-ROUNDDOWN($M217*BR$5/100,0)&lt;-BR$6,-BR$6-SUM(BR$10:BR216),-ROUNDDOWN($M217*BR$5/100,0)),0)</f>
        <v>0</v>
      </c>
      <c r="BS217" s="38">
        <f>IF(AND(BS$7="○",$A217&gt;=BS$8,$A217&lt;=BS$9),IF(SUM(BS$10:BS216)-ROUNDDOWN($M217*BS$5/100,0)&lt;-BS$6,-BS$6-SUM(BS$10:BS216),-ROUNDDOWN($M217*BS$5/100,0)),0)</f>
        <v>0</v>
      </c>
      <c r="BT217" s="38">
        <f>IF(AND(BT$7="○",$A217&gt;=BT$8,$A217&lt;=BT$9),IF(SUM(BT$10:BT216)-ROUNDDOWN($M217*BT$5/100,0)&lt;-BT$6,-BT$6-SUM(BT$10:BT216),-ROUNDDOWN($M217*BT$5/100,0)),0)</f>
        <v>0</v>
      </c>
      <c r="BU217" s="38">
        <f>IF(AND(BU$7="○",$A217&gt;=BU$8,$A217&lt;=BU$9),IF(SUM(BU$10:BU216)-ROUNDDOWN($M217*BU$5/100,0)&lt;-BU$6,-BU$6-SUM(BU$10:BU216),-ROUNDDOWN($M217*BU$5/100,0)),0)</f>
        <v>0</v>
      </c>
      <c r="BV217" s="38">
        <f>IF(AND(BV$7="○",$A217&gt;=BV$8,$A217&lt;=BV$9),IF(SUM(BV$10:BV216)-ROUNDDOWN($M217*BV$5/100,0)&lt;-BV$6,-BV$6-SUM(BV$10:BV216),-ROUNDDOWN($M217*BV$5/100,0)),0)</f>
        <v>0</v>
      </c>
      <c r="BW217" s="38">
        <f>IF(AND(BW$7="○",$A217&gt;=BW$8,$A217&lt;=BW$9),IF(SUM(BW$10:BW216)-ROUNDDOWN($M217*BW$5/100,0)&lt;-BW$6,-BW$6-SUM(BW$10:BW216),-ROUNDDOWN($M217*BW$5/100,0)),0)</f>
        <v>0</v>
      </c>
      <c r="BX217" s="38">
        <f>IF(AND(T217="○",$A217&gt;=BX$8,$A217&lt;=BX$9),IF(SUM(BX$10:BX216)-ROUNDDOWN($K217*BX$5/100,0)&lt;-BX$6,-BX$6-SUM(BX$10:BX216),-ROUNDDOWN($K217*BX$5/100,0)),0)</f>
        <v>0</v>
      </c>
      <c r="BY217" s="38">
        <f>IF(AND(U217="○",$A217&gt;=BY$8,$A217&lt;=BY$9),IF(SUM(BY$10:BY216)-ROUNDDOWN($K217*BY$5/100,0)&lt;-BY$6,-BY$6-SUM(BY$10:BY216),-ROUNDDOWN($K217*BY$5/100,0)),0)</f>
        <v>0</v>
      </c>
      <c r="BZ217" s="38">
        <f>IF(AND(V217="○",$A217&gt;=BZ$8,$A217&lt;=BZ$9),IF(SUM(BZ$10:BZ216)-ROUNDDOWN($K217*BZ$5/100,0)&lt;-BZ$6,-BZ$6-SUM(BZ$10:BZ216),-ROUNDDOWN($K217*BZ$5/100,0)),0)</f>
        <v>0</v>
      </c>
      <c r="CA217" s="38">
        <f>IF(AND(W217="○",$A217&gt;=CA$8,$A217&lt;=CA$9),IF(SUM(CA$10:CA216)-ROUNDDOWN($K217*CA$5/100,0)&lt;-CA$6,-CA$6-SUM(CA$10:CA216),-ROUNDDOWN($K217*CA$5/100,0)),0)</f>
        <v>0</v>
      </c>
      <c r="CB217" s="38"/>
      <c r="CC217" s="38"/>
      <c r="CD217" s="38"/>
      <c r="CE217" s="38"/>
      <c r="CF217" s="38"/>
      <c r="CG217" s="65">
        <f t="shared" si="184"/>
        <v>0</v>
      </c>
      <c r="CH217" s="71">
        <f t="shared" si="185"/>
        <v>0</v>
      </c>
      <c r="CI217" s="1">
        <f t="shared" si="171"/>
        <v>0</v>
      </c>
      <c r="CJ217" s="1"/>
      <c r="CK217" s="72"/>
      <c r="CL217" s="72"/>
      <c r="CM217" s="2"/>
      <c r="CN217" s="2"/>
      <c r="CO217" s="73">
        <f t="shared" si="172"/>
        <v>0</v>
      </c>
      <c r="CP217" s="5">
        <f t="shared" si="173"/>
        <v>0</v>
      </c>
      <c r="CQ217" s="1"/>
      <c r="CR217" s="1">
        <f t="shared" si="174"/>
        <v>0</v>
      </c>
      <c r="CS217" s="1"/>
      <c r="CT217" s="1" t="e">
        <f>INDEX([2]マスタ!$A:$A,MATCH(D217,[2]マスタ!$C:$C,0))</f>
        <v>#N/A</v>
      </c>
      <c r="CU217" s="1" t="str">
        <f t="shared" ca="1" si="175"/>
        <v>20260620_0-0</v>
      </c>
    </row>
    <row r="218" spans="1:99" x14ac:dyDescent="0.4">
      <c r="A218" s="61"/>
      <c r="B218" s="62"/>
      <c r="C218" s="62"/>
      <c r="D218" s="63"/>
      <c r="E218" s="63"/>
      <c r="F218" s="62"/>
      <c r="G218" s="62">
        <v>1</v>
      </c>
      <c r="H218" s="64">
        <f t="shared" si="162"/>
        <v>0</v>
      </c>
      <c r="I218" s="64"/>
      <c r="J218" s="64"/>
      <c r="K218" s="65">
        <f t="shared" si="186"/>
        <v>0</v>
      </c>
      <c r="L218" s="65">
        <f t="shared" si="164"/>
        <v>0</v>
      </c>
      <c r="M218" s="65">
        <f t="shared" si="165"/>
        <v>0</v>
      </c>
      <c r="N218" s="65">
        <f t="shared" si="166"/>
        <v>0</v>
      </c>
      <c r="O218" s="66" t="str">
        <f t="shared" si="167"/>
        <v>✕</v>
      </c>
      <c r="P218" s="67" t="str">
        <f t="shared" si="168"/>
        <v>○</v>
      </c>
      <c r="Q218" s="67" t="str">
        <f t="shared" si="187"/>
        <v>✕</v>
      </c>
      <c r="R218" s="67" t="str">
        <f t="shared" si="170"/>
        <v>✕</v>
      </c>
      <c r="S218" s="68">
        <v>0</v>
      </c>
      <c r="T218" s="69" t="s">
        <v>85</v>
      </c>
      <c r="U218" s="69" t="s">
        <v>85</v>
      </c>
      <c r="V218" s="69" t="s">
        <v>85</v>
      </c>
      <c r="W218" s="69" t="s">
        <v>85</v>
      </c>
      <c r="X218" s="69" t="s">
        <v>84</v>
      </c>
      <c r="Y218" s="69" t="s">
        <v>85</v>
      </c>
      <c r="Z218" s="69" t="s">
        <v>85</v>
      </c>
      <c r="AA218" s="69" t="s">
        <v>85</v>
      </c>
      <c r="AB218" s="69" t="s">
        <v>85</v>
      </c>
      <c r="AC218" s="69" t="s">
        <v>85</v>
      </c>
      <c r="AD218" s="38" t="str">
        <f>+IF(ISERROR(VLOOKUP($B218,AD$10:AD217,1,0)),IF(AND($N218&gt;=1000,$A218&gt;=AO$8,$A218&lt;=AO$9),$B218,""),"")</f>
        <v/>
      </c>
      <c r="AE218" s="38" t="str">
        <f>+IF(ISERROR(VLOOKUP($B218,AE$10:AE217,1,0)),IF(AND($N218&gt;=1000,$A218&gt;=AP$8,$A218&lt;=AP$9),$B218,""),"")</f>
        <v/>
      </c>
      <c r="AF218" s="38" t="str">
        <f>+IF(ISERROR(VLOOKUP($B218,AF$10:AF217,1,0)),IF(AND($N218&gt;=1000,$A218&gt;=AQ$8,$A218&lt;=AQ$9),$B218,""),"")</f>
        <v/>
      </c>
      <c r="AG218" s="38" t="str">
        <f>+IF(ISERROR(VLOOKUP($B218,AG$10:AG217,1,0)),IF(AND($N218&gt;=1000,$A218&gt;=AR$8,$A218&lt;=AR$9),$B218,""),"")</f>
        <v/>
      </c>
      <c r="AH218" s="38"/>
      <c r="AI218" s="70">
        <v>0</v>
      </c>
      <c r="AJ218" s="38">
        <f>IF(AND(AJ$7="○",$A218&gt;=AJ$8,$A218&lt;=AJ$9),IF(SUM(AJ$10:AJ217)-ROUNDDOWN($K218*AJ$5/100,0)&lt;-AJ$6,-AJ$6-SUM(AJ$10:AJ217),-ROUNDDOWN($K218*AJ$5/100,0)),0)</f>
        <v>0</v>
      </c>
      <c r="AK218" s="38">
        <f>IF(AND(AK$7="○",$A218&gt;=AK$8,$A218&lt;=AK$9),IF(SUM(AK$10:AK217)-ROUNDDOWN($L218*AK$5/100,0)&lt;-AK$6,-AK$6-SUM(AK$10:AK217),-ROUNDDOWN($L218*AK$5/100,0)),0)</f>
        <v>0</v>
      </c>
      <c r="AL218" s="38">
        <f>IF(AND(AL$7="○",$A218&gt;=AL$8,$A218&lt;=AL$9),IF(SUM(AL$10:AL217)-ROUNDDOWN($N218*AL$5/100,0)&lt;-AL$6,-AL$6-SUM(AL$10:AL217),-ROUNDDOWN($N218*AL$5/100,0)),0)</f>
        <v>0</v>
      </c>
      <c r="AM218" s="38">
        <f>IF(AND(AM$7="○",$A218&gt;=AM$8,$A218&lt;=AM$9),IF(SUM(AM$10:AM217)-ROUNDDOWN($L218*AM$5/100,0)&lt;-AM$6,-AM$6-SUM(AM$10:AM217),-ROUNDDOWN($L218*AM$5/100,0)),0)</f>
        <v>0</v>
      </c>
      <c r="AN218" s="38">
        <f>IF(AND(AN$7="○",$A218&gt;=AN$8,$A218&lt;=AN$9),IF(SUM(AN$10:AN217)-ROUNDDOWN($M218*AN$5/100,0)&lt;-AN$6,-AN$6-SUM(AN$10:AN217),-ROUNDDOWN($M218*AN$5/100,0)),0)</f>
        <v>0</v>
      </c>
      <c r="AO218" s="38">
        <f>IF(AND($A218&gt;=AO$8,$A218&lt;=AO$9),IF(SUM(AO$10:AO217)-ROUNDDOWN($K218*AO$5/100,0)&lt;-AO$6,-AO$6-SUM(AO$10:AO217),-ROUNDDOWN($K218*AO$5/100,0)),0)</f>
        <v>0</v>
      </c>
      <c r="AP218" s="38">
        <f>IF(AND($A218&gt;=AP$8,$A218&lt;=AP$9),IF(SUM(AP$10:AP217)-ROUNDDOWN($K218*AP$5/100,0)&lt;-AP$6,-AP$6-SUM(AP$10:AP217),-ROUNDDOWN($K218*AP$5/100,0)),0)</f>
        <v>0</v>
      </c>
      <c r="AQ218" s="38">
        <f>IF(AND($A218&gt;=AQ$8,$A218&lt;=AQ$9),IF(SUM(AQ$10:AQ217)-ROUNDDOWN($K218*AQ$5/100,0)&lt;-AQ$6,-AQ$6-SUM(AQ$10:AQ217),-ROUNDDOWN($K218*AQ$5/100,0)),0)</f>
        <v>0</v>
      </c>
      <c r="AR218" s="38">
        <f>IF(AND($A218&gt;=AR$8,$A218&lt;=AR$9),IF(SUM(AR$10:AR217)-ROUNDDOWN($K218*AR$5/100,0)&lt;-AR$6,-AR$6-SUM(AR$10:AR217),-ROUNDDOWN($K218*AR$5/100,0)),0)</f>
        <v>0</v>
      </c>
      <c r="AS218" s="38">
        <f>IF(SUMIFS(AS$10:AS217,$A$10:$A217,$A218)-ROUNDDOWN($K218*$S218/100,0)&lt;-$S218*1000,-$S218*1000-SUMIFS(AS$10:AS217,$A$10:$A217,$A218),-ROUNDDOWN($K218*$S218/100,0))</f>
        <v>0</v>
      </c>
      <c r="AT218" s="38">
        <f>IF(AND(X218="○",$A218&gt;=AT$8,$A218&lt;=AT$9,K218&gt;=3980),IF(SUM(AT$10:AT217)-ROUNDDOWN($K218*AT$5/100,0)&lt;-AT$6,-AT$6-SUM(AT$10:AT217),-ROUNDDOWN($K218*AT$5/100,0)),0)</f>
        <v>0</v>
      </c>
      <c r="AU218" s="38">
        <f>IF(O218="○",IF(SUM(AU$10:AU217)-ROUNDDOWN($K218*AU$5/100,0)&lt;-AU$6,-AU$6-SUM(AU$10:AU217),-ROUNDDOWN($K218*AU$5/100,0)),0)</f>
        <v>0</v>
      </c>
      <c r="AV218" s="38">
        <f>IF(P218="○",IF(SUM(AV$10:AV217)-ROUNDDOWN($K218*AV$5/100,0)&lt;-AV$6,-AV$6-SUM(AV$10:AV217),-ROUNDDOWN($K218*AV$5/100,0)),0)</f>
        <v>0</v>
      </c>
      <c r="AW218" s="38">
        <f>IF(Q218="○",IF(SUM(AW$10:AW217)-ROUNDDOWN($K218*AW$5/100,0)&lt;-AW$6,-AW$6-SUM(AW$10:AW217),-ROUNDDOWN($K218*AW$5/100,0)),0)</f>
        <v>0</v>
      </c>
      <c r="AX218" s="38">
        <f>IF(R218="○",IF(SUM(AX$10:AX217)-ROUNDDOWN($K218*AX$5/100,0)&lt;-AX$6,-AX$6-SUM(AX$10:AX217),-ROUNDDOWN($K218*AX$5/100,0)),0)</f>
        <v>0</v>
      </c>
      <c r="AY218" s="70">
        <v>0</v>
      </c>
      <c r="AZ218" s="65">
        <f t="shared" si="178"/>
        <v>0</v>
      </c>
      <c r="BA218" s="65">
        <f t="shared" si="179"/>
        <v>0</v>
      </c>
      <c r="BB218" s="70"/>
      <c r="BC218" s="65">
        <f t="shared" si="180"/>
        <v>0</v>
      </c>
      <c r="BD218" s="70">
        <v>0</v>
      </c>
      <c r="BE218" s="65">
        <f t="shared" si="181"/>
        <v>0</v>
      </c>
      <c r="BF218" s="70">
        <v>0</v>
      </c>
      <c r="BG218" s="65">
        <f t="shared" si="182"/>
        <v>0</v>
      </c>
      <c r="BH218" s="70">
        <v>0</v>
      </c>
      <c r="BI218" s="65">
        <f t="shared" si="183"/>
        <v>0</v>
      </c>
      <c r="BJ218" s="38">
        <f>IF(AND(BJ$7="○",$A218&gt;=BJ$8,$A218&lt;=BJ$9),IF(SUM(BJ$10:BJ217)-ROUNDDOWN($M218*BJ$5/100,0)&lt;-BJ$6,-BJ$6-SUM(BJ$10:BJ217),-ROUNDDOWN($M218*BJ$5/100,0)),0)</f>
        <v>0</v>
      </c>
      <c r="BK218" s="38">
        <f>IF(AND(BK$7="○",$A218&gt;=BK$8,$A218&lt;=BK$9),IF(SUM(BK$10:BK217)-ROUNDDOWN($L218*BK$5/100,0)&lt;-BK$6,-BK$6-SUM(BK$10:BK217),-ROUNDDOWN($L218*BK$5/100,0)),0)</f>
        <v>0</v>
      </c>
      <c r="BL218" s="38">
        <f>IF(AND(BL$7="○",$A218&gt;=BL$8,$A218&lt;=BL$9),IF(SUM(BL$10:BL217)-ROUNDDOWN($L218*BL$5/100,0)&lt;-BL$6,-BL$6-SUM(BL$10:BL217),-ROUNDDOWN($L218*BL$5/100,0)),0)</f>
        <v>0</v>
      </c>
      <c r="BM218" s="38">
        <f>IF(AND(BM$7="○",$A218&gt;=BM$8,$A218&lt;=BM$9),IF(SUM(BM$10:BM217)-ROUNDDOWN($M218*BM$5/100,0)&lt;-BM$6,-BM$6-SUM(BM$10:BM217),-ROUNDDOWN($M218*BM$5/100,0)),0)</f>
        <v>0</v>
      </c>
      <c r="BN218" s="38">
        <f>IF(AND(BN$7="○",$A218&gt;=BN$8,$A218&lt;=BN$9),IF(SUM(BN$10:BN217)-ROUNDDOWN($M218*BN$5/100,0)&lt;-BN$6,-BN$6-SUM(BN$10:BN217),-ROUNDDOWN($M218*BN$5/100,0)),0)</f>
        <v>0</v>
      </c>
      <c r="BO218" s="38">
        <f>IF(AND(BO$7="○",$A218&gt;=BO$8,$A218&lt;=BO$9),IF(SUM(BO$10:BO217)-ROUNDDOWN($M218*BO$5/100,0)&lt;-BO$6,-BO$6-SUM(BO$10:BO217),-ROUNDDOWN($M218*BO$5/100,0)),0)</f>
        <v>0</v>
      </c>
      <c r="BP218" s="38">
        <f>IF(AND(BP$7="○",$A218&gt;=BP$8,$A218&lt;=BP$9),IF(SUM(BP$10:BP217)-ROUNDDOWN($M218*BP$5/100,0)&lt;-BP$6,-BP$6-SUM(BP$10:BP217),-ROUNDDOWN($M218*BP$5/100,0)),0)</f>
        <v>0</v>
      </c>
      <c r="BQ218" s="38">
        <f>IF(AND(BQ$7="○",$A218&gt;=BQ$8,$A218&lt;=BQ$9),IF(SUM(BQ$10:BQ217)-ROUNDDOWN($L218*BQ$5/100,0)&lt;-BQ$6,-BQ$6-SUM(BQ$10:BQ217),-ROUNDDOWN($L218*BQ$5/100,0)),0)</f>
        <v>0</v>
      </c>
      <c r="BR218" s="38">
        <f>IF(AND(BR$7="○",$A218&gt;=BR$8,$A218&lt;=BR$9),IF(SUM(BR$10:BR217)-ROUNDDOWN($M218*BR$5/100,0)&lt;-BR$6,-BR$6-SUM(BR$10:BR217),-ROUNDDOWN($M218*BR$5/100,0)),0)</f>
        <v>0</v>
      </c>
      <c r="BS218" s="38">
        <f>IF(AND(BS$7="○",$A218&gt;=BS$8,$A218&lt;=BS$9),IF(SUM(BS$10:BS217)-ROUNDDOWN($M218*BS$5/100,0)&lt;-BS$6,-BS$6-SUM(BS$10:BS217),-ROUNDDOWN($M218*BS$5/100,0)),0)</f>
        <v>0</v>
      </c>
      <c r="BT218" s="38">
        <f>IF(AND(BT$7="○",$A218&gt;=BT$8,$A218&lt;=BT$9),IF(SUM(BT$10:BT217)-ROUNDDOWN($M218*BT$5/100,0)&lt;-BT$6,-BT$6-SUM(BT$10:BT217),-ROUNDDOWN($M218*BT$5/100,0)),0)</f>
        <v>0</v>
      </c>
      <c r="BU218" s="38">
        <f>IF(AND(BU$7="○",$A218&gt;=BU$8,$A218&lt;=BU$9),IF(SUM(BU$10:BU217)-ROUNDDOWN($M218*BU$5/100,0)&lt;-BU$6,-BU$6-SUM(BU$10:BU217),-ROUNDDOWN($M218*BU$5/100,0)),0)</f>
        <v>0</v>
      </c>
      <c r="BV218" s="38">
        <f>IF(AND(BV$7="○",$A218&gt;=BV$8,$A218&lt;=BV$9),IF(SUM(BV$10:BV217)-ROUNDDOWN($M218*BV$5/100,0)&lt;-BV$6,-BV$6-SUM(BV$10:BV217),-ROUNDDOWN($M218*BV$5/100,0)),0)</f>
        <v>0</v>
      </c>
      <c r="BW218" s="38">
        <f>IF(AND(BW$7="○",$A218&gt;=BW$8,$A218&lt;=BW$9),IF(SUM(BW$10:BW217)-ROUNDDOWN($M218*BW$5/100,0)&lt;-BW$6,-BW$6-SUM(BW$10:BW217),-ROUNDDOWN($M218*BW$5/100,0)),0)</f>
        <v>0</v>
      </c>
      <c r="BX218" s="38">
        <f>IF(AND(T218="○",$A218&gt;=BX$8,$A218&lt;=BX$9),IF(SUM(BX$10:BX217)-ROUNDDOWN($K218*BX$5/100,0)&lt;-BX$6,-BX$6-SUM(BX$10:BX217),-ROUNDDOWN($K218*BX$5/100,0)),0)</f>
        <v>0</v>
      </c>
      <c r="BY218" s="38">
        <f>IF(AND(U218="○",$A218&gt;=BY$8,$A218&lt;=BY$9),IF(SUM(BY$10:BY217)-ROUNDDOWN($K218*BY$5/100,0)&lt;-BY$6,-BY$6-SUM(BY$10:BY217),-ROUNDDOWN($K218*BY$5/100,0)),0)</f>
        <v>0</v>
      </c>
      <c r="BZ218" s="38">
        <f>IF(AND(V218="○",$A218&gt;=BZ$8,$A218&lt;=BZ$9),IF(SUM(BZ$10:BZ217)-ROUNDDOWN($K218*BZ$5/100,0)&lt;-BZ$6,-BZ$6-SUM(BZ$10:BZ217),-ROUNDDOWN($K218*BZ$5/100,0)),0)</f>
        <v>0</v>
      </c>
      <c r="CA218" s="38">
        <f>IF(AND(W218="○",$A218&gt;=CA$8,$A218&lt;=CA$9),IF(SUM(CA$10:CA217)-ROUNDDOWN($K218*CA$5/100,0)&lt;-CA$6,-CA$6-SUM(CA$10:CA217),-ROUNDDOWN($K218*CA$5/100,0)),0)</f>
        <v>0</v>
      </c>
      <c r="CB218" s="38"/>
      <c r="CC218" s="38"/>
      <c r="CD218" s="38"/>
      <c r="CE218" s="38"/>
      <c r="CF218" s="38"/>
      <c r="CG218" s="65">
        <f t="shared" si="184"/>
        <v>0</v>
      </c>
      <c r="CH218" s="71">
        <f t="shared" si="185"/>
        <v>0</v>
      </c>
      <c r="CI218" s="1">
        <f t="shared" si="171"/>
        <v>0</v>
      </c>
      <c r="CJ218" s="1"/>
      <c r="CK218" s="2"/>
      <c r="CL218" s="2"/>
      <c r="CM218" s="2"/>
      <c r="CN218" s="2"/>
      <c r="CO218" s="73">
        <f t="shared" si="172"/>
        <v>0</v>
      </c>
      <c r="CP218" s="5">
        <f t="shared" si="173"/>
        <v>0</v>
      </c>
      <c r="CQ218" s="1"/>
      <c r="CR218" s="1">
        <f t="shared" si="174"/>
        <v>0</v>
      </c>
      <c r="CS218" s="1"/>
      <c r="CT218" s="1" t="e">
        <f>INDEX([2]マスタ!$A:$A,MATCH(D218,[2]マスタ!$C:$C,0))</f>
        <v>#N/A</v>
      </c>
      <c r="CU218" s="1" t="str">
        <f t="shared" ca="1" si="175"/>
        <v>20260620_0-0</v>
      </c>
    </row>
    <row r="219" spans="1:99" x14ac:dyDescent="0.4">
      <c r="A219" s="61"/>
      <c r="B219" s="62"/>
      <c r="C219" s="62"/>
      <c r="D219" s="62"/>
      <c r="E219" s="63"/>
      <c r="F219" s="62"/>
      <c r="G219" s="62">
        <v>1</v>
      </c>
      <c r="H219" s="64">
        <f t="shared" si="162"/>
        <v>0</v>
      </c>
      <c r="I219" s="64"/>
      <c r="J219" s="78"/>
      <c r="K219" s="65">
        <f t="shared" si="186"/>
        <v>0</v>
      </c>
      <c r="L219" s="65">
        <f t="shared" si="164"/>
        <v>0</v>
      </c>
      <c r="M219" s="65">
        <f t="shared" si="165"/>
        <v>0</v>
      </c>
      <c r="N219" s="65">
        <f t="shared" si="166"/>
        <v>0</v>
      </c>
      <c r="O219" s="66" t="str">
        <f t="shared" si="167"/>
        <v>✕</v>
      </c>
      <c r="P219" s="67" t="str">
        <f t="shared" si="168"/>
        <v>○</v>
      </c>
      <c r="Q219" s="67" t="str">
        <f t="shared" si="187"/>
        <v>✕</v>
      </c>
      <c r="R219" s="67" t="str">
        <f t="shared" si="170"/>
        <v>✕</v>
      </c>
      <c r="S219" s="68">
        <v>0</v>
      </c>
      <c r="T219" s="69" t="s">
        <v>85</v>
      </c>
      <c r="U219" s="69" t="s">
        <v>85</v>
      </c>
      <c r="V219" s="69" t="s">
        <v>85</v>
      </c>
      <c r="W219" s="69" t="s">
        <v>85</v>
      </c>
      <c r="X219" s="69" t="s">
        <v>84</v>
      </c>
      <c r="Y219" s="69" t="s">
        <v>85</v>
      </c>
      <c r="Z219" s="69" t="s">
        <v>85</v>
      </c>
      <c r="AA219" s="69" t="s">
        <v>85</v>
      </c>
      <c r="AB219" s="69" t="s">
        <v>85</v>
      </c>
      <c r="AC219" s="69" t="s">
        <v>85</v>
      </c>
      <c r="AD219" s="38" t="str">
        <f>+IF(ISERROR(VLOOKUP($B219,AD$10:AD218,1,0)),IF(AND($N219&gt;=1000,$A219&gt;=AO$8,$A219&lt;=AO$9),$B219,""),"")</f>
        <v/>
      </c>
      <c r="AE219" s="38" t="str">
        <f>+IF(ISERROR(VLOOKUP($B219,AE$10:AE218,1,0)),IF(AND($N219&gt;=1000,$A219&gt;=AP$8,$A219&lt;=AP$9),$B219,""),"")</f>
        <v/>
      </c>
      <c r="AF219" s="38" t="str">
        <f>+IF(ISERROR(VLOOKUP($B219,AF$10:AF218,1,0)),IF(AND($N219&gt;=1000,$A219&gt;=AQ$8,$A219&lt;=AQ$9),$B219,""),"")</f>
        <v/>
      </c>
      <c r="AG219" s="38" t="str">
        <f>+IF(ISERROR(VLOOKUP($B219,AG$10:AG218,1,0)),IF(AND($N219&gt;=1000,$A219&gt;=AR$8,$A219&lt;=AR$9),$B219,""),"")</f>
        <v/>
      </c>
      <c r="AH219" s="38"/>
      <c r="AI219" s="70">
        <v>0</v>
      </c>
      <c r="AJ219" s="38">
        <f>IF(AND(AJ$7="○",$A219&gt;=AJ$8,$A219&lt;=AJ$9),IF(SUM(AJ$10:AJ218)-ROUNDDOWN($K219*AJ$5/100,0)&lt;-AJ$6,-AJ$6-SUM(AJ$10:AJ218),-ROUNDDOWN($K219*AJ$5/100,0)),0)</f>
        <v>0</v>
      </c>
      <c r="AK219" s="38">
        <f>IF(AND(AK$7="○",$A219&gt;=AK$8,$A219&lt;=AK$9),IF(SUM(AK$10:AK218)-ROUNDDOWN($L219*AK$5/100,0)&lt;-AK$6,-AK$6-SUM(AK$10:AK218),-ROUNDDOWN($L219*AK$5/100,0)),0)</f>
        <v>0</v>
      </c>
      <c r="AL219" s="38">
        <f>IF(AND(AL$7="○",$A219&gt;=AL$8,$A219&lt;=AL$9),IF(SUM(AL$10:AL218)-ROUNDDOWN($N219*AL$5/100,0)&lt;-AL$6,-AL$6-SUM(AL$10:AL218),-ROUNDDOWN($N219*AL$5/100,0)),0)</f>
        <v>0</v>
      </c>
      <c r="AM219" s="38">
        <f>IF(AND(AM$7="○",$A219&gt;=AM$8,$A219&lt;=AM$9),IF(SUM(AM$10:AM218)-ROUNDDOWN($L219*AM$5/100,0)&lt;-AM$6,-AM$6-SUM(AM$10:AM218),-ROUNDDOWN($L219*AM$5/100,0)),0)</f>
        <v>0</v>
      </c>
      <c r="AN219" s="38">
        <f>IF(AND(AN$7="○",$A219&gt;=AN$8,$A219&lt;=AN$9),IF(SUM(AN$10:AN218)-ROUNDDOWN($M219*AN$5/100,0)&lt;-AN$6,-AN$6-SUM(AN$10:AN218),-ROUNDDOWN($M219*AN$5/100,0)),0)</f>
        <v>0</v>
      </c>
      <c r="AO219" s="38">
        <f>IF(AND($A219&gt;=AO$8,$A219&lt;=AO$9),IF(SUM(AO$10:AO218)-ROUNDDOWN($K219*AO$5/100,0)&lt;-AO$6,-AO$6-SUM(AO$10:AO218),-ROUNDDOWN($K219*AO$5/100,0)),0)</f>
        <v>0</v>
      </c>
      <c r="AP219" s="38">
        <f>IF(AND($A219&gt;=AP$8,$A219&lt;=AP$9),IF(SUM(AP$10:AP218)-ROUNDDOWN($K219*AP$5/100,0)&lt;-AP$6,-AP$6-SUM(AP$10:AP218),-ROUNDDOWN($K219*AP$5/100,0)),0)</f>
        <v>0</v>
      </c>
      <c r="AQ219" s="38">
        <f>IF(AND($A219&gt;=AQ$8,$A219&lt;=AQ$9),IF(SUM(AQ$10:AQ218)-ROUNDDOWN($K219*AQ$5/100,0)&lt;-AQ$6,-AQ$6-SUM(AQ$10:AQ218),-ROUNDDOWN($K219*AQ$5/100,0)),0)</f>
        <v>0</v>
      </c>
      <c r="AR219" s="38">
        <f>IF(AND($A219&gt;=AR$8,$A219&lt;=AR$9),IF(SUM(AR$10:AR218)-ROUNDDOWN($K219*AR$5/100,0)&lt;-AR$6,-AR$6-SUM(AR$10:AR218),-ROUNDDOWN($K219*AR$5/100,0)),0)</f>
        <v>0</v>
      </c>
      <c r="AS219" s="38">
        <f>IF(SUMIFS(AS$10:AS218,$A$10:$A218,$A219)-ROUNDDOWN($K219*$S219/100,0)&lt;-$S219*1000,-$S219*1000-SUMIFS(AS$10:AS218,$A$10:$A218,$A219),-ROUNDDOWN($K219*$S219/100,0))</f>
        <v>0</v>
      </c>
      <c r="AT219" s="38">
        <f>IF(AND(X219="○",$A219&gt;=AT$8,$A219&lt;=AT$9,K219&gt;=3980),IF(SUM(AT$10:AT218)-ROUNDDOWN($K219*AT$5/100,0)&lt;-AT$6,-AT$6-SUM(AT$10:AT218),-ROUNDDOWN($K219*AT$5/100,0)),0)</f>
        <v>0</v>
      </c>
      <c r="AU219" s="38">
        <f>IF(O219="○",IF(SUM(AU$10:AU218)-ROUNDDOWN($K219*AU$5/100,0)&lt;-AU$6,-AU$6-SUM(AU$10:AU218),-ROUNDDOWN($K219*AU$5/100,0)),0)</f>
        <v>0</v>
      </c>
      <c r="AV219" s="38">
        <f>IF(P219="○",IF(SUM(AV$10:AV218)-ROUNDDOWN($K219*AV$5/100,0)&lt;-AV$6,-AV$6-SUM(AV$10:AV218),-ROUNDDOWN($K219*AV$5/100,0)),0)</f>
        <v>0</v>
      </c>
      <c r="AW219" s="38">
        <f>IF(Q219="○",IF(SUM(AW$10:AW218)-ROUNDDOWN($K219*AW$5/100,0)&lt;-AW$6,-AW$6-SUM(AW$10:AW218),-ROUNDDOWN($K219*AW$5/100,0)),0)</f>
        <v>0</v>
      </c>
      <c r="AX219" s="38">
        <f>IF(R219="○",IF(SUM(AX$10:AX218)-ROUNDDOWN($K219*AX$5/100,0)&lt;-AX$6,-AX$6-SUM(AX$10:AX218),-ROUNDDOWN($K219*AX$5/100,0)),0)</f>
        <v>0</v>
      </c>
      <c r="AY219" s="70">
        <v>0</v>
      </c>
      <c r="AZ219" s="65">
        <f t="shared" si="178"/>
        <v>0</v>
      </c>
      <c r="BA219" s="65">
        <f t="shared" si="179"/>
        <v>0</v>
      </c>
      <c r="BB219" s="70"/>
      <c r="BC219" s="65">
        <f t="shared" si="180"/>
        <v>0</v>
      </c>
      <c r="BD219" s="70">
        <v>0</v>
      </c>
      <c r="BE219" s="65">
        <f t="shared" si="181"/>
        <v>0</v>
      </c>
      <c r="BF219" s="70">
        <v>0</v>
      </c>
      <c r="BG219" s="65">
        <f t="shared" si="182"/>
        <v>0</v>
      </c>
      <c r="BH219" s="70">
        <v>0</v>
      </c>
      <c r="BI219" s="65">
        <f t="shared" si="183"/>
        <v>0</v>
      </c>
      <c r="BJ219" s="38">
        <f>IF(AND(BJ$7="○",$A219&gt;=BJ$8,$A219&lt;=BJ$9),IF(SUM(BJ$10:BJ218)-ROUNDDOWN($M219*BJ$5/100,0)&lt;-BJ$6,-BJ$6-SUM(BJ$10:BJ218),-ROUNDDOWN($M219*BJ$5/100,0)),0)</f>
        <v>0</v>
      </c>
      <c r="BK219" s="38">
        <f>IF(AND(BK$7="○",$A219&gt;=BK$8,$A219&lt;=BK$9),IF(SUM(BK$10:BK218)-ROUNDDOWN($L219*BK$5/100,0)&lt;-BK$6,-BK$6-SUM(BK$10:BK218),-ROUNDDOWN($L219*BK$5/100,0)),0)</f>
        <v>0</v>
      </c>
      <c r="BL219" s="38">
        <f>IF(AND(BL$7="○",$A219&gt;=BL$8,$A219&lt;=BL$9),IF(SUM(BL$10:BL218)-ROUNDDOWN($L219*BL$5/100,0)&lt;-BL$6,-BL$6-SUM(BL$10:BL218),-ROUNDDOWN($L219*BL$5/100,0)),0)</f>
        <v>0</v>
      </c>
      <c r="BM219" s="38">
        <f>IF(AND(BM$7="○",$A219&gt;=BM$8,$A219&lt;=BM$9),IF(SUM(BM$10:BM218)-ROUNDDOWN($M219*BM$5/100,0)&lt;-BM$6,-BM$6-SUM(BM$10:BM218),-ROUNDDOWN($M219*BM$5/100,0)),0)</f>
        <v>0</v>
      </c>
      <c r="BN219" s="38">
        <f>IF(AND(BN$7="○",$A219&gt;=BN$8,$A219&lt;=BN$9),IF(SUM(BN$10:BN218)-ROUNDDOWN($M219*BN$5/100,0)&lt;-BN$6,-BN$6-SUM(BN$10:BN218),-ROUNDDOWN($M219*BN$5/100,0)),0)</f>
        <v>0</v>
      </c>
      <c r="BO219" s="38">
        <f>IF(AND(BO$7="○",$A219&gt;=BO$8,$A219&lt;=BO$9),IF(SUM(BO$10:BO218)-ROUNDDOWN($M219*BO$5/100,0)&lt;-BO$6,-BO$6-SUM(BO$10:BO218),-ROUNDDOWN($M219*BO$5/100,0)),0)</f>
        <v>0</v>
      </c>
      <c r="BP219" s="38">
        <f>IF(AND(BP$7="○",$A219&gt;=BP$8,$A219&lt;=BP$9),IF(SUM(BP$10:BP218)-ROUNDDOWN($M219*BP$5/100,0)&lt;-BP$6,-BP$6-SUM(BP$10:BP218),-ROUNDDOWN($M219*BP$5/100,0)),0)</f>
        <v>0</v>
      </c>
      <c r="BQ219" s="38">
        <f>IF(AND(BQ$7="○",$A219&gt;=BQ$8,$A219&lt;=BQ$9),IF(SUM(BQ$10:BQ218)-ROUNDDOWN($L219*BQ$5/100,0)&lt;-BQ$6,-BQ$6-SUM(BQ$10:BQ218),-ROUNDDOWN($L219*BQ$5/100,0)),0)</f>
        <v>0</v>
      </c>
      <c r="BR219" s="38">
        <f>IF(AND(BR$7="○",$A219&gt;=BR$8,$A219&lt;=BR$9),IF(SUM(BR$10:BR218)-ROUNDDOWN($M219*BR$5/100,0)&lt;-BR$6,-BR$6-SUM(BR$10:BR218),-ROUNDDOWN($M219*BR$5/100,0)),0)</f>
        <v>0</v>
      </c>
      <c r="BS219" s="38">
        <f>IF(AND(BS$7="○",$A219&gt;=BS$8,$A219&lt;=BS$9),IF(SUM(BS$10:BS218)-ROUNDDOWN($M219*BS$5/100,0)&lt;-BS$6,-BS$6-SUM(BS$10:BS218),-ROUNDDOWN($M219*BS$5/100,0)),0)</f>
        <v>0</v>
      </c>
      <c r="BT219" s="38">
        <f>IF(AND(BT$7="○",$A219&gt;=BT$8,$A219&lt;=BT$9),IF(SUM(BT$10:BT218)-ROUNDDOWN($M219*BT$5/100,0)&lt;-BT$6,-BT$6-SUM(BT$10:BT218),-ROUNDDOWN($M219*BT$5/100,0)),0)</f>
        <v>0</v>
      </c>
      <c r="BU219" s="38">
        <f>IF(AND(BU$7="○",$A219&gt;=BU$8,$A219&lt;=BU$9),IF(SUM(BU$10:BU218)-ROUNDDOWN($M219*BU$5/100,0)&lt;-BU$6,-BU$6-SUM(BU$10:BU218),-ROUNDDOWN($M219*BU$5/100,0)),0)</f>
        <v>0</v>
      </c>
      <c r="BV219" s="38">
        <f>IF(AND(BV$7="○",$A219&gt;=BV$8,$A219&lt;=BV$9),IF(SUM(BV$10:BV218)-ROUNDDOWN($M219*BV$5/100,0)&lt;-BV$6,-BV$6-SUM(BV$10:BV218),-ROUNDDOWN($M219*BV$5/100,0)),0)</f>
        <v>0</v>
      </c>
      <c r="BW219" s="38">
        <f>IF(AND(BW$7="○",$A219&gt;=BW$8,$A219&lt;=BW$9),IF(SUM(BW$10:BW218)-ROUNDDOWN($M219*BW$5/100,0)&lt;-BW$6,-BW$6-SUM(BW$10:BW218),-ROUNDDOWN($M219*BW$5/100,0)),0)</f>
        <v>0</v>
      </c>
      <c r="BX219" s="38">
        <f>IF(AND(T219="○",$A219&gt;=BX$8,$A219&lt;=BX$9),IF(SUM(BX$10:BX218)-ROUNDDOWN($K219*BX$5/100,0)&lt;-BX$6,-BX$6-SUM(BX$10:BX218),-ROUNDDOWN($K219*BX$5/100,0)),0)</f>
        <v>0</v>
      </c>
      <c r="BY219" s="38">
        <f>IF(AND(U219="○",$A219&gt;=BY$8,$A219&lt;=BY$9),IF(SUM(BY$10:BY218)-ROUNDDOWN($K219*BY$5/100,0)&lt;-BY$6,-BY$6-SUM(BY$10:BY218),-ROUNDDOWN($K219*BY$5/100,0)),0)</f>
        <v>0</v>
      </c>
      <c r="BZ219" s="38">
        <f>IF(AND(V219="○",$A219&gt;=BZ$8,$A219&lt;=BZ$9),IF(SUM(BZ$10:BZ218)-ROUNDDOWN($K219*BZ$5/100,0)&lt;-BZ$6,-BZ$6-SUM(BZ$10:BZ218),-ROUNDDOWN($K219*BZ$5/100,0)),0)</f>
        <v>0</v>
      </c>
      <c r="CA219" s="38">
        <f>IF(AND(W219="○",$A219&gt;=CA$8,$A219&lt;=CA$9),IF(SUM(CA$10:CA218)-ROUNDDOWN($K219*CA$5/100,0)&lt;-CA$6,-CA$6-SUM(CA$10:CA218),-ROUNDDOWN($K219*CA$5/100,0)),0)</f>
        <v>0</v>
      </c>
      <c r="CB219" s="38"/>
      <c r="CC219" s="38"/>
      <c r="CD219" s="38"/>
      <c r="CE219" s="38"/>
      <c r="CF219" s="38"/>
      <c r="CG219" s="65">
        <f t="shared" si="184"/>
        <v>0</v>
      </c>
      <c r="CH219" s="71">
        <f t="shared" si="185"/>
        <v>0</v>
      </c>
      <c r="CI219" s="1">
        <f t="shared" si="171"/>
        <v>0</v>
      </c>
      <c r="CJ219" s="1"/>
      <c r="CK219" s="79"/>
      <c r="CL219" s="79"/>
      <c r="CM219" s="2"/>
      <c r="CN219" s="2"/>
      <c r="CO219" s="73">
        <f t="shared" si="172"/>
        <v>0</v>
      </c>
      <c r="CP219" s="5">
        <f t="shared" si="173"/>
        <v>0</v>
      </c>
      <c r="CQ219" s="1"/>
      <c r="CR219" s="1">
        <f t="shared" si="174"/>
        <v>0</v>
      </c>
      <c r="CS219" s="1"/>
      <c r="CT219" s="1" t="e">
        <f>INDEX([2]マスタ!$A:$A,MATCH(D219,[2]マスタ!$C:$C,0))</f>
        <v>#N/A</v>
      </c>
      <c r="CU219" s="1" t="str">
        <f t="shared" ca="1" si="175"/>
        <v>20260620_0-0</v>
      </c>
    </row>
    <row r="220" spans="1:99" x14ac:dyDescent="0.4">
      <c r="A220" s="61"/>
      <c r="B220" s="62"/>
      <c r="C220" s="62"/>
      <c r="D220" s="62"/>
      <c r="E220" s="63"/>
      <c r="F220" s="62"/>
      <c r="G220" s="62">
        <v>1</v>
      </c>
      <c r="H220" s="64">
        <f t="shared" si="162"/>
        <v>0</v>
      </c>
      <c r="I220" s="64"/>
      <c r="J220" s="64"/>
      <c r="K220" s="65">
        <f t="shared" si="186"/>
        <v>0</v>
      </c>
      <c r="L220" s="65">
        <f t="shared" si="164"/>
        <v>0</v>
      </c>
      <c r="M220" s="65">
        <f t="shared" si="165"/>
        <v>0</v>
      </c>
      <c r="N220" s="65">
        <f t="shared" si="166"/>
        <v>0</v>
      </c>
      <c r="O220" s="66" t="str">
        <f t="shared" si="167"/>
        <v>✕</v>
      </c>
      <c r="P220" s="67" t="str">
        <f t="shared" si="168"/>
        <v>○</v>
      </c>
      <c r="Q220" s="67" t="str">
        <f t="shared" si="187"/>
        <v>✕</v>
      </c>
      <c r="R220" s="67" t="str">
        <f t="shared" si="170"/>
        <v>✕</v>
      </c>
      <c r="S220" s="68">
        <v>0</v>
      </c>
      <c r="T220" s="69" t="s">
        <v>85</v>
      </c>
      <c r="U220" s="69" t="s">
        <v>85</v>
      </c>
      <c r="V220" s="69" t="s">
        <v>85</v>
      </c>
      <c r="W220" s="69" t="s">
        <v>85</v>
      </c>
      <c r="X220" s="69" t="s">
        <v>84</v>
      </c>
      <c r="Y220" s="69" t="s">
        <v>85</v>
      </c>
      <c r="Z220" s="69" t="s">
        <v>85</v>
      </c>
      <c r="AA220" s="69" t="s">
        <v>85</v>
      </c>
      <c r="AB220" s="69" t="s">
        <v>85</v>
      </c>
      <c r="AC220" s="69" t="s">
        <v>85</v>
      </c>
      <c r="AD220" s="38" t="str">
        <f>+IF(ISERROR(VLOOKUP($B220,AD$10:AD219,1,0)),IF(AND($N220&gt;=1000,$A220&gt;=AO$8,$A220&lt;=AO$9),$B220,""),"")</f>
        <v/>
      </c>
      <c r="AE220" s="38" t="str">
        <f>+IF(ISERROR(VLOOKUP($B220,AE$10:AE219,1,0)),IF(AND($N220&gt;=1000,$A220&gt;=AP$8,$A220&lt;=AP$9),$B220,""),"")</f>
        <v/>
      </c>
      <c r="AF220" s="38" t="str">
        <f>+IF(ISERROR(VLOOKUP($B220,AF$10:AF219,1,0)),IF(AND($N220&gt;=1000,$A220&gt;=AQ$8,$A220&lt;=AQ$9),$B220,""),"")</f>
        <v/>
      </c>
      <c r="AG220" s="38" t="str">
        <f>+IF(ISERROR(VLOOKUP($B220,AG$10:AG219,1,0)),IF(AND($N220&gt;=1000,$A220&gt;=AR$8,$A220&lt;=AR$9),$B220,""),"")</f>
        <v/>
      </c>
      <c r="AH220" s="38"/>
      <c r="AI220" s="70">
        <v>0</v>
      </c>
      <c r="AJ220" s="38">
        <f>IF(AND(AJ$7="○",$A220&gt;=AJ$8,$A220&lt;=AJ$9),IF(SUM(AJ$10:AJ219)-ROUNDDOWN($K220*AJ$5/100,0)&lt;-AJ$6,-AJ$6-SUM(AJ$10:AJ219),-ROUNDDOWN($K220*AJ$5/100,0)),0)</f>
        <v>0</v>
      </c>
      <c r="AK220" s="38">
        <f>IF(AND(AK$7="○",$A220&gt;=AK$8,$A220&lt;=AK$9),IF(SUM(AK$10:AK219)-ROUNDDOWN($L220*AK$5/100,0)&lt;-AK$6,-AK$6-SUM(AK$10:AK219),-ROUNDDOWN($L220*AK$5/100,0)),0)</f>
        <v>0</v>
      </c>
      <c r="AL220" s="38">
        <f>IF(AND(AL$7="○",$A220&gt;=AL$8,$A220&lt;=AL$9),IF(SUM(AL$10:AL219)-ROUNDDOWN($N220*AL$5/100,0)&lt;-AL$6,-AL$6-SUM(AL$10:AL219),-ROUNDDOWN($N220*AL$5/100,0)),0)</f>
        <v>0</v>
      </c>
      <c r="AM220" s="38">
        <f>IF(AND(AM$7="○",$A220&gt;=AM$8,$A220&lt;=AM$9),IF(SUM(AM$10:AM219)-ROUNDDOWN($L220*AM$5/100,0)&lt;-AM$6,-AM$6-SUM(AM$10:AM219),-ROUNDDOWN($L220*AM$5/100,0)),0)</f>
        <v>0</v>
      </c>
      <c r="AN220" s="38">
        <f>IF(AND(AN$7="○",$A220&gt;=AN$8,$A220&lt;=AN$9),IF(SUM(AN$10:AN219)-ROUNDDOWN($M220*AN$5/100,0)&lt;-AN$6,-AN$6-SUM(AN$10:AN219),-ROUNDDOWN($M220*AN$5/100,0)),0)</f>
        <v>0</v>
      </c>
      <c r="AO220" s="38">
        <f>IF(AND($A220&gt;=AO$8,$A220&lt;=AO$9),IF(SUM(AO$10:AO219)-ROUNDDOWN($K220*AO$5/100,0)&lt;-AO$6,-AO$6-SUM(AO$10:AO219),-ROUNDDOWN($K220*AO$5/100,0)),0)</f>
        <v>0</v>
      </c>
      <c r="AP220" s="38">
        <f>IF(AND($A220&gt;=AP$8,$A220&lt;=AP$9),IF(SUM(AP$10:AP219)-ROUNDDOWN($K220*AP$5/100,0)&lt;-AP$6,-AP$6-SUM(AP$10:AP219),-ROUNDDOWN($K220*AP$5/100,0)),0)</f>
        <v>0</v>
      </c>
      <c r="AQ220" s="38">
        <f>IF(AND($A220&gt;=AQ$8,$A220&lt;=AQ$9),IF(SUM(AQ$10:AQ219)-ROUNDDOWN($K220*AQ$5/100,0)&lt;-AQ$6,-AQ$6-SUM(AQ$10:AQ219),-ROUNDDOWN($K220*AQ$5/100,0)),0)</f>
        <v>0</v>
      </c>
      <c r="AR220" s="38">
        <f>IF(AND($A220&gt;=AR$8,$A220&lt;=AR$9),IF(SUM(AR$10:AR219)-ROUNDDOWN($K220*AR$5/100,0)&lt;-AR$6,-AR$6-SUM(AR$10:AR219),-ROUNDDOWN($K220*AR$5/100,0)),0)</f>
        <v>0</v>
      </c>
      <c r="AS220" s="38">
        <f>IF(SUMIFS(AS$10:AS219,$A$10:$A219,$A220)-ROUNDDOWN($K220*$S220/100,0)&lt;-$S220*1000,-$S220*1000-SUMIFS(AS$10:AS219,$A$10:$A219,$A220),-ROUNDDOWN($K220*$S220/100,0))</f>
        <v>0</v>
      </c>
      <c r="AT220" s="38">
        <f>IF(AND(X220="○",$A220&gt;=AT$8,$A220&lt;=AT$9,K220&gt;=3980),IF(SUM(AT$10:AT219)-ROUNDDOWN($K220*AT$5/100,0)&lt;-AT$6,-AT$6-SUM(AT$10:AT219),-ROUNDDOWN($K220*AT$5/100,0)),0)</f>
        <v>0</v>
      </c>
      <c r="AU220" s="38">
        <f>IF(O220="○",IF(SUM(AU$10:AU219)-ROUNDDOWN($K220*AU$5/100,0)&lt;-AU$6,-AU$6-SUM(AU$10:AU219),-ROUNDDOWN($K220*AU$5/100,0)),0)</f>
        <v>0</v>
      </c>
      <c r="AV220" s="38">
        <f>IF(P220="○",IF(SUM(AV$10:AV219)-ROUNDDOWN($K220*AV$5/100,0)&lt;-AV$6,-AV$6-SUM(AV$10:AV219),-ROUNDDOWN($K220*AV$5/100,0)),0)</f>
        <v>0</v>
      </c>
      <c r="AW220" s="38">
        <f>IF(Q220="○",IF(SUM(AW$10:AW219)-ROUNDDOWN($K220*AW$5/100,0)&lt;-AW$6,-AW$6-SUM(AW$10:AW219),-ROUNDDOWN($K220*AW$5/100,0)),0)</f>
        <v>0</v>
      </c>
      <c r="AX220" s="38">
        <f>IF(R220="○",IF(SUM(AX$10:AX219)-ROUNDDOWN($K220*AX$5/100,0)&lt;-AX$6,-AX$6-SUM(AX$10:AX219),-ROUNDDOWN($K220*AX$5/100,0)),0)</f>
        <v>0</v>
      </c>
      <c r="AY220" s="70">
        <v>0</v>
      </c>
      <c r="AZ220" s="65">
        <f t="shared" si="178"/>
        <v>0</v>
      </c>
      <c r="BA220" s="65">
        <f t="shared" si="179"/>
        <v>0</v>
      </c>
      <c r="BB220" s="70"/>
      <c r="BC220" s="65">
        <f t="shared" si="180"/>
        <v>0</v>
      </c>
      <c r="BD220" s="70">
        <v>0</v>
      </c>
      <c r="BE220" s="65">
        <f t="shared" si="181"/>
        <v>0</v>
      </c>
      <c r="BF220" s="70">
        <v>0</v>
      </c>
      <c r="BG220" s="65">
        <f t="shared" si="182"/>
        <v>0</v>
      </c>
      <c r="BH220" s="70">
        <v>0</v>
      </c>
      <c r="BI220" s="65">
        <f t="shared" si="183"/>
        <v>0</v>
      </c>
      <c r="BJ220" s="38">
        <f>IF(AND(BJ$7="○",$A220&gt;=BJ$8,$A220&lt;=BJ$9),IF(SUM(BJ$10:BJ219)-ROUNDDOWN($M220*BJ$5/100,0)&lt;-BJ$6,-BJ$6-SUM(BJ$10:BJ219),-ROUNDDOWN($M220*BJ$5/100,0)),0)</f>
        <v>0</v>
      </c>
      <c r="BK220" s="38">
        <f>IF(AND(BK$7="○",$A220&gt;=BK$8,$A220&lt;=BK$9),IF(SUM(BK$10:BK219)-ROUNDDOWN($L220*BK$5/100,0)&lt;-BK$6,-BK$6-SUM(BK$10:BK219),-ROUNDDOWN($L220*BK$5/100,0)),0)</f>
        <v>0</v>
      </c>
      <c r="BL220" s="38">
        <f>IF(AND(BL$7="○",$A220&gt;=BL$8,$A220&lt;=BL$9),IF(SUM(BL$10:BL219)-ROUNDDOWN($L220*BL$5/100,0)&lt;-BL$6,-BL$6-SUM(BL$10:BL219),-ROUNDDOWN($L220*BL$5/100,0)),0)</f>
        <v>0</v>
      </c>
      <c r="BM220" s="38">
        <f>IF(AND(BM$7="○",$A220&gt;=BM$8,$A220&lt;=BM$9),IF(SUM(BM$10:BM219)-ROUNDDOWN($M220*BM$5/100,0)&lt;-BM$6,-BM$6-SUM(BM$10:BM219),-ROUNDDOWN($M220*BM$5/100,0)),0)</f>
        <v>0</v>
      </c>
      <c r="BN220" s="38">
        <f>IF(AND(BN$7="○",$A220&gt;=BN$8,$A220&lt;=BN$9),IF(SUM(BN$10:BN219)-ROUNDDOWN($M220*BN$5/100,0)&lt;-BN$6,-BN$6-SUM(BN$10:BN219),-ROUNDDOWN($M220*BN$5/100,0)),0)</f>
        <v>0</v>
      </c>
      <c r="BO220" s="38">
        <f>IF(AND(BO$7="○",$A220&gt;=BO$8,$A220&lt;=BO$9),IF(SUM(BO$10:BO219)-ROUNDDOWN($M220*BO$5/100,0)&lt;-BO$6,-BO$6-SUM(BO$10:BO219),-ROUNDDOWN($M220*BO$5/100,0)),0)</f>
        <v>0</v>
      </c>
      <c r="BP220" s="38">
        <f>IF(AND(BP$7="○",$A220&gt;=BP$8,$A220&lt;=BP$9),IF(SUM(BP$10:BP219)-ROUNDDOWN($M220*BP$5/100,0)&lt;-BP$6,-BP$6-SUM(BP$10:BP219),-ROUNDDOWN($M220*BP$5/100,0)),0)</f>
        <v>0</v>
      </c>
      <c r="BQ220" s="38">
        <f>IF(AND(BQ$7="○",$A220&gt;=BQ$8,$A220&lt;=BQ$9),IF(SUM(BQ$10:BQ219)-ROUNDDOWN($L220*BQ$5/100,0)&lt;-BQ$6,-BQ$6-SUM(BQ$10:BQ219),-ROUNDDOWN($L220*BQ$5/100,0)),0)</f>
        <v>0</v>
      </c>
      <c r="BR220" s="38">
        <f>IF(AND(BR$7="○",$A220&gt;=BR$8,$A220&lt;=BR$9),IF(SUM(BR$10:BR219)-ROUNDDOWN($M220*BR$5/100,0)&lt;-BR$6,-BR$6-SUM(BR$10:BR219),-ROUNDDOWN($M220*BR$5/100,0)),0)</f>
        <v>0</v>
      </c>
      <c r="BS220" s="38">
        <f>IF(AND(BS$7="○",$A220&gt;=BS$8,$A220&lt;=BS$9),IF(SUM(BS$10:BS219)-ROUNDDOWN($M220*BS$5/100,0)&lt;-BS$6,-BS$6-SUM(BS$10:BS219),-ROUNDDOWN($M220*BS$5/100,0)),0)</f>
        <v>0</v>
      </c>
      <c r="BT220" s="38">
        <f>IF(AND(BT$7="○",$A220&gt;=BT$8,$A220&lt;=BT$9),IF(SUM(BT$10:BT219)-ROUNDDOWN($M220*BT$5/100,0)&lt;-BT$6,-BT$6-SUM(BT$10:BT219),-ROUNDDOWN($M220*BT$5/100,0)),0)</f>
        <v>0</v>
      </c>
      <c r="BU220" s="38">
        <f>IF(AND(BU$7="○",$A220&gt;=BU$8,$A220&lt;=BU$9),IF(SUM(BU$10:BU219)-ROUNDDOWN($M220*BU$5/100,0)&lt;-BU$6,-BU$6-SUM(BU$10:BU219),-ROUNDDOWN($M220*BU$5/100,0)),0)</f>
        <v>0</v>
      </c>
      <c r="BV220" s="38">
        <f>IF(AND(BV$7="○",$A220&gt;=BV$8,$A220&lt;=BV$9),IF(SUM(BV$10:BV219)-ROUNDDOWN($M220*BV$5/100,0)&lt;-BV$6,-BV$6-SUM(BV$10:BV219),-ROUNDDOWN($M220*BV$5/100,0)),0)</f>
        <v>0</v>
      </c>
      <c r="BW220" s="38">
        <f>IF(AND(BW$7="○",$A220&gt;=BW$8,$A220&lt;=BW$9),IF(SUM(BW$10:BW219)-ROUNDDOWN($M220*BW$5/100,0)&lt;-BW$6,-BW$6-SUM(BW$10:BW219),-ROUNDDOWN($M220*BW$5/100,0)),0)</f>
        <v>0</v>
      </c>
      <c r="BX220" s="38">
        <f>IF(AND(T220="○",$A220&gt;=BX$8,$A220&lt;=BX$9),IF(SUM(BX$10:BX219)-ROUNDDOWN($K220*BX$5/100,0)&lt;-BX$6,-BX$6-SUM(BX$10:BX219),-ROUNDDOWN($K220*BX$5/100,0)),0)</f>
        <v>0</v>
      </c>
      <c r="BY220" s="38">
        <f>IF(AND(U220="○",$A220&gt;=BY$8,$A220&lt;=BY$9),IF(SUM(BY$10:BY219)-ROUNDDOWN($K220*BY$5/100,0)&lt;-BY$6,-BY$6-SUM(BY$10:BY219),-ROUNDDOWN($K220*BY$5/100,0)),0)</f>
        <v>0</v>
      </c>
      <c r="BZ220" s="38">
        <f>IF(AND(V220="○",$A220&gt;=BZ$8,$A220&lt;=BZ$9),IF(SUM(BZ$10:BZ219)-ROUNDDOWN($K220*BZ$5/100,0)&lt;-BZ$6,-BZ$6-SUM(BZ$10:BZ219),-ROUNDDOWN($K220*BZ$5/100,0)),0)</f>
        <v>0</v>
      </c>
      <c r="CA220" s="38">
        <f>IF(AND(W220="○",$A220&gt;=CA$8,$A220&lt;=CA$9),IF(SUM(CA$10:CA219)-ROUNDDOWN($K220*CA$5/100,0)&lt;-CA$6,-CA$6-SUM(CA$10:CA219),-ROUNDDOWN($K220*CA$5/100,0)),0)</f>
        <v>0</v>
      </c>
      <c r="CB220" s="38"/>
      <c r="CC220" s="38"/>
      <c r="CD220" s="38"/>
      <c r="CE220" s="38"/>
      <c r="CF220" s="38"/>
      <c r="CG220" s="65">
        <f t="shared" si="184"/>
        <v>0</v>
      </c>
      <c r="CH220" s="71">
        <f t="shared" si="185"/>
        <v>0</v>
      </c>
      <c r="CI220" s="1">
        <f t="shared" si="171"/>
        <v>0</v>
      </c>
      <c r="CJ220" s="1"/>
      <c r="CK220" s="72"/>
      <c r="CL220" s="72"/>
      <c r="CM220" s="2"/>
      <c r="CN220" s="2"/>
      <c r="CO220" s="73">
        <f t="shared" si="172"/>
        <v>0</v>
      </c>
      <c r="CP220" s="5">
        <f t="shared" si="173"/>
        <v>0</v>
      </c>
      <c r="CQ220" s="1"/>
      <c r="CR220" s="1">
        <f t="shared" si="174"/>
        <v>0</v>
      </c>
      <c r="CS220" s="1"/>
      <c r="CT220" s="1" t="e">
        <f>INDEX([2]マスタ!$A:$A,MATCH(D220,[2]マスタ!$C:$C,0))</f>
        <v>#N/A</v>
      </c>
      <c r="CU220" s="1" t="str">
        <f t="shared" ca="1" si="175"/>
        <v>20260620_0-0</v>
      </c>
    </row>
    <row r="221" spans="1:99" x14ac:dyDescent="0.4">
      <c r="A221" s="61"/>
      <c r="B221" s="62"/>
      <c r="C221" s="62"/>
      <c r="D221" s="62"/>
      <c r="E221" s="63"/>
      <c r="F221" s="62"/>
      <c r="G221" s="62">
        <v>1</v>
      </c>
      <c r="H221" s="64">
        <f t="shared" si="162"/>
        <v>0</v>
      </c>
      <c r="I221" s="64"/>
      <c r="J221" s="64"/>
      <c r="K221" s="65">
        <f t="shared" si="186"/>
        <v>0</v>
      </c>
      <c r="L221" s="65">
        <f t="shared" si="164"/>
        <v>0</v>
      </c>
      <c r="M221" s="65">
        <f t="shared" si="165"/>
        <v>0</v>
      </c>
      <c r="N221" s="65">
        <f t="shared" si="166"/>
        <v>0</v>
      </c>
      <c r="O221" s="66" t="str">
        <f t="shared" si="167"/>
        <v>✕</v>
      </c>
      <c r="P221" s="67" t="str">
        <f t="shared" si="168"/>
        <v>○</v>
      </c>
      <c r="Q221" s="67" t="str">
        <f t="shared" si="187"/>
        <v>✕</v>
      </c>
      <c r="R221" s="67" t="str">
        <f t="shared" si="170"/>
        <v>✕</v>
      </c>
      <c r="S221" s="68">
        <v>0</v>
      </c>
      <c r="T221" s="69" t="s">
        <v>85</v>
      </c>
      <c r="U221" s="69" t="s">
        <v>85</v>
      </c>
      <c r="V221" s="69" t="s">
        <v>85</v>
      </c>
      <c r="W221" s="69" t="s">
        <v>85</v>
      </c>
      <c r="X221" s="69" t="s">
        <v>84</v>
      </c>
      <c r="Y221" s="69" t="s">
        <v>85</v>
      </c>
      <c r="Z221" s="69" t="s">
        <v>85</v>
      </c>
      <c r="AA221" s="69" t="s">
        <v>85</v>
      </c>
      <c r="AB221" s="69" t="s">
        <v>85</v>
      </c>
      <c r="AC221" s="69" t="s">
        <v>85</v>
      </c>
      <c r="AD221" s="38" t="str">
        <f>+IF(ISERROR(VLOOKUP($B221,AD$10:AD220,1,0)),IF(AND($N221&gt;=1000,$A221&gt;=AO$8,$A221&lt;=AO$9),$B221,""),"")</f>
        <v/>
      </c>
      <c r="AE221" s="38" t="str">
        <f>+IF(ISERROR(VLOOKUP($B221,AE$10:AE220,1,0)),IF(AND($N221&gt;=1000,$A221&gt;=AP$8,$A221&lt;=AP$9),$B221,""),"")</f>
        <v/>
      </c>
      <c r="AF221" s="38" t="str">
        <f>+IF(ISERROR(VLOOKUP($B221,AF$10:AF220,1,0)),IF(AND($N221&gt;=1000,$A221&gt;=AQ$8,$A221&lt;=AQ$9),$B221,""),"")</f>
        <v/>
      </c>
      <c r="AG221" s="38" t="str">
        <f>+IF(ISERROR(VLOOKUP($B221,AG$10:AG220,1,0)),IF(AND($N221&gt;=1000,$A221&gt;=AR$8,$A221&lt;=AR$9),$B221,""),"")</f>
        <v/>
      </c>
      <c r="AH221" s="38"/>
      <c r="AI221" s="70">
        <v>0</v>
      </c>
      <c r="AJ221" s="38">
        <f>IF(AND(AJ$7="○",$A221&gt;=AJ$8,$A221&lt;=AJ$9),IF(SUM(AJ$10:AJ220)-ROUNDDOWN($K221*AJ$5/100,0)&lt;-AJ$6,-AJ$6-SUM(AJ$10:AJ220),-ROUNDDOWN($K221*AJ$5/100,0)),0)</f>
        <v>0</v>
      </c>
      <c r="AK221" s="38">
        <f>IF(AND(AK$7="○",$A221&gt;=AK$8,$A221&lt;=AK$9),IF(SUM(AK$10:AK220)-ROUNDDOWN($L221*AK$5/100,0)&lt;-AK$6,-AK$6-SUM(AK$10:AK220),-ROUNDDOWN($L221*AK$5/100,0)),0)</f>
        <v>0</v>
      </c>
      <c r="AL221" s="38">
        <f>IF(AND(AL$7="○",$A221&gt;=AL$8,$A221&lt;=AL$9),IF(SUM(AL$10:AL220)-ROUNDDOWN($N221*AL$5/100,0)&lt;-AL$6,-AL$6-SUM(AL$10:AL220),-ROUNDDOWN($N221*AL$5/100,0)),0)</f>
        <v>0</v>
      </c>
      <c r="AM221" s="38">
        <f>IF(AND(AM$7="○",$A221&gt;=AM$8,$A221&lt;=AM$9),IF(SUM(AM$10:AM220)-ROUNDDOWN($L221*AM$5/100,0)&lt;-AM$6,-AM$6-SUM(AM$10:AM220),-ROUNDDOWN($L221*AM$5/100,0)),0)</f>
        <v>0</v>
      </c>
      <c r="AN221" s="38">
        <f>IF(AND(AN$7="○",$A221&gt;=AN$8,$A221&lt;=AN$9),IF(SUM(AN$10:AN220)-ROUNDDOWN($M221*AN$5/100,0)&lt;-AN$6,-AN$6-SUM(AN$10:AN220),-ROUNDDOWN($M221*AN$5/100,0)),0)</f>
        <v>0</v>
      </c>
      <c r="AO221" s="38">
        <f>IF(AND($A221&gt;=AO$8,$A221&lt;=AO$9),IF(SUM(AO$10:AO220)-ROUNDDOWN($K221*AO$5/100,0)&lt;-AO$6,-AO$6-SUM(AO$10:AO220),-ROUNDDOWN($K221*AO$5/100,0)),0)</f>
        <v>0</v>
      </c>
      <c r="AP221" s="38">
        <f>IF(AND($A221&gt;=AP$8,$A221&lt;=AP$9),IF(SUM(AP$10:AP220)-ROUNDDOWN($K221*AP$5/100,0)&lt;-AP$6,-AP$6-SUM(AP$10:AP220),-ROUNDDOWN($K221*AP$5/100,0)),0)</f>
        <v>0</v>
      </c>
      <c r="AQ221" s="38">
        <f>IF(AND($A221&gt;=AQ$8,$A221&lt;=AQ$9),IF(SUM(AQ$10:AQ220)-ROUNDDOWN($K221*AQ$5/100,0)&lt;-AQ$6,-AQ$6-SUM(AQ$10:AQ220),-ROUNDDOWN($K221*AQ$5/100,0)),0)</f>
        <v>0</v>
      </c>
      <c r="AR221" s="38">
        <f>IF(AND($A221&gt;=AR$8,$A221&lt;=AR$9),IF(SUM(AR$10:AR220)-ROUNDDOWN($K221*AR$5/100,0)&lt;-AR$6,-AR$6-SUM(AR$10:AR220),-ROUNDDOWN($K221*AR$5/100,0)),0)</f>
        <v>0</v>
      </c>
      <c r="AS221" s="38">
        <f>IF(SUMIFS(AS$10:AS220,$A$10:$A220,$A221)-ROUNDDOWN($K221*$S221/100,0)&lt;-$S221*1000,-$S221*1000-SUMIFS(AS$10:AS220,$A$10:$A220,$A221),-ROUNDDOWN($K221*$S221/100,0))</f>
        <v>0</v>
      </c>
      <c r="AT221" s="38">
        <f>IF(AND(X221="○",$A221&gt;=AT$8,$A221&lt;=AT$9,K221&gt;=3980),IF(SUM(AT$10:AT220)-ROUNDDOWN($K221*AT$5/100,0)&lt;-AT$6,-AT$6-SUM(AT$10:AT220),-ROUNDDOWN($K221*AT$5/100,0)),0)</f>
        <v>0</v>
      </c>
      <c r="AU221" s="38">
        <f>IF(O221="○",IF(SUM(AU$10:AU220)-ROUNDDOWN($K221*AU$5/100,0)&lt;-AU$6,-AU$6-SUM(AU$10:AU220),-ROUNDDOWN($K221*AU$5/100,0)),0)</f>
        <v>0</v>
      </c>
      <c r="AV221" s="38">
        <f>IF(P221="○",IF(SUM(AV$10:AV220)-ROUNDDOWN($K221*AV$5/100,0)&lt;-AV$6,-AV$6-SUM(AV$10:AV220),-ROUNDDOWN($K221*AV$5/100,0)),0)</f>
        <v>0</v>
      </c>
      <c r="AW221" s="38">
        <f>IF(Q221="○",IF(SUM(AW$10:AW220)-ROUNDDOWN($K221*AW$5/100,0)&lt;-AW$6,-AW$6-SUM(AW$10:AW220),-ROUNDDOWN($K221*AW$5/100,0)),0)</f>
        <v>0</v>
      </c>
      <c r="AX221" s="38">
        <f>IF(R221="○",IF(SUM(AX$10:AX220)-ROUNDDOWN($K221*AX$5/100,0)&lt;-AX$6,-AX$6-SUM(AX$10:AX220),-ROUNDDOWN($K221*AX$5/100,0)),0)</f>
        <v>0</v>
      </c>
      <c r="AY221" s="70">
        <v>0</v>
      </c>
      <c r="AZ221" s="65">
        <f t="shared" si="178"/>
        <v>0</v>
      </c>
      <c r="BA221" s="65">
        <f t="shared" si="179"/>
        <v>0</v>
      </c>
      <c r="BB221" s="70"/>
      <c r="BC221" s="65">
        <f t="shared" si="180"/>
        <v>0</v>
      </c>
      <c r="BD221" s="70">
        <v>0</v>
      </c>
      <c r="BE221" s="65">
        <f t="shared" si="181"/>
        <v>0</v>
      </c>
      <c r="BF221" s="70">
        <v>0</v>
      </c>
      <c r="BG221" s="65">
        <f t="shared" si="182"/>
        <v>0</v>
      </c>
      <c r="BH221" s="70">
        <v>0</v>
      </c>
      <c r="BI221" s="65">
        <f t="shared" si="183"/>
        <v>0</v>
      </c>
      <c r="BJ221" s="38">
        <f>IF(AND(BJ$7="○",$A221&gt;=BJ$8,$A221&lt;=BJ$9),IF(SUM(BJ$10:BJ220)-ROUNDDOWN($M221*BJ$5/100,0)&lt;-BJ$6,-BJ$6-SUM(BJ$10:BJ220),-ROUNDDOWN($M221*BJ$5/100,0)),0)</f>
        <v>0</v>
      </c>
      <c r="BK221" s="38">
        <f>IF(AND(BK$7="○",$A221&gt;=BK$8,$A221&lt;=BK$9),IF(SUM(BK$10:BK220)-ROUNDDOWN($L221*BK$5/100,0)&lt;-BK$6,-BK$6-SUM(BK$10:BK220),-ROUNDDOWN($L221*BK$5/100,0)),0)</f>
        <v>0</v>
      </c>
      <c r="BL221" s="38">
        <f>IF(AND(BL$7="○",$A221&gt;=BL$8,$A221&lt;=BL$9),IF(SUM(BL$10:BL220)-ROUNDDOWN($L221*BL$5/100,0)&lt;-BL$6,-BL$6-SUM(BL$10:BL220),-ROUNDDOWN($L221*BL$5/100,0)),0)</f>
        <v>0</v>
      </c>
      <c r="BM221" s="38">
        <f>IF(AND(BM$7="○",$A221&gt;=BM$8,$A221&lt;=BM$9),IF(SUM(BM$10:BM220)-ROUNDDOWN($M221*BM$5/100,0)&lt;-BM$6,-BM$6-SUM(BM$10:BM220),-ROUNDDOWN($M221*BM$5/100,0)),0)</f>
        <v>0</v>
      </c>
      <c r="BN221" s="38">
        <f>IF(AND(BN$7="○",$A221&gt;=BN$8,$A221&lt;=BN$9),IF(SUM(BN$10:BN220)-ROUNDDOWN($M221*BN$5/100,0)&lt;-BN$6,-BN$6-SUM(BN$10:BN220),-ROUNDDOWN($M221*BN$5/100,0)),0)</f>
        <v>0</v>
      </c>
      <c r="BO221" s="38">
        <f>IF(AND(BO$7="○",$A221&gt;=BO$8,$A221&lt;=BO$9),IF(SUM(BO$10:BO220)-ROUNDDOWN($M221*BO$5/100,0)&lt;-BO$6,-BO$6-SUM(BO$10:BO220),-ROUNDDOWN($M221*BO$5/100,0)),0)</f>
        <v>0</v>
      </c>
      <c r="BP221" s="38">
        <f>IF(AND(BP$7="○",$A221&gt;=BP$8,$A221&lt;=BP$9),IF(SUM(BP$10:BP220)-ROUNDDOWN($M221*BP$5/100,0)&lt;-BP$6,-BP$6-SUM(BP$10:BP220),-ROUNDDOWN($M221*BP$5/100,0)),0)</f>
        <v>0</v>
      </c>
      <c r="BQ221" s="38">
        <f>IF(AND(BQ$7="○",$A221&gt;=BQ$8,$A221&lt;=BQ$9),IF(SUM(BQ$10:BQ220)-ROUNDDOWN($L221*BQ$5/100,0)&lt;-BQ$6,-BQ$6-SUM(BQ$10:BQ220),-ROUNDDOWN($L221*BQ$5/100,0)),0)</f>
        <v>0</v>
      </c>
      <c r="BR221" s="38">
        <f>IF(AND(BR$7="○",$A221&gt;=BR$8,$A221&lt;=BR$9),IF(SUM(BR$10:BR220)-ROUNDDOWN($M221*BR$5/100,0)&lt;-BR$6,-BR$6-SUM(BR$10:BR220),-ROUNDDOWN($M221*BR$5/100,0)),0)</f>
        <v>0</v>
      </c>
      <c r="BS221" s="38">
        <f>IF(AND(BS$7="○",$A221&gt;=BS$8,$A221&lt;=BS$9),IF(SUM(BS$10:BS220)-ROUNDDOWN($M221*BS$5/100,0)&lt;-BS$6,-BS$6-SUM(BS$10:BS220),-ROUNDDOWN($M221*BS$5/100,0)),0)</f>
        <v>0</v>
      </c>
      <c r="BT221" s="38">
        <f>IF(AND(BT$7="○",$A221&gt;=BT$8,$A221&lt;=BT$9),IF(SUM(BT$10:BT220)-ROUNDDOWN($M221*BT$5/100,0)&lt;-BT$6,-BT$6-SUM(BT$10:BT220),-ROUNDDOWN($M221*BT$5/100,0)),0)</f>
        <v>0</v>
      </c>
      <c r="BU221" s="38">
        <f>IF(AND(BU$7="○",$A221&gt;=BU$8,$A221&lt;=BU$9),IF(SUM(BU$10:BU220)-ROUNDDOWN($M221*BU$5/100,0)&lt;-BU$6,-BU$6-SUM(BU$10:BU220),-ROUNDDOWN($M221*BU$5/100,0)),0)</f>
        <v>0</v>
      </c>
      <c r="BV221" s="38">
        <f>IF(AND(BV$7="○",$A221&gt;=BV$8,$A221&lt;=BV$9),IF(SUM(BV$10:BV220)-ROUNDDOWN($M221*BV$5/100,0)&lt;-BV$6,-BV$6-SUM(BV$10:BV220),-ROUNDDOWN($M221*BV$5/100,0)),0)</f>
        <v>0</v>
      </c>
      <c r="BW221" s="38">
        <f>IF(AND(BW$7="○",$A221&gt;=BW$8,$A221&lt;=BW$9),IF(SUM(BW$10:BW220)-ROUNDDOWN($M221*BW$5/100,0)&lt;-BW$6,-BW$6-SUM(BW$10:BW220),-ROUNDDOWN($M221*BW$5/100,0)),0)</f>
        <v>0</v>
      </c>
      <c r="BX221" s="38">
        <f>IF(AND(T221="○",$A221&gt;=BX$8,$A221&lt;=BX$9),IF(SUM(BX$10:BX220)-ROUNDDOWN($K221*BX$5/100,0)&lt;-BX$6,-BX$6-SUM(BX$10:BX220),-ROUNDDOWN($K221*BX$5/100,0)),0)</f>
        <v>0</v>
      </c>
      <c r="BY221" s="38">
        <f>IF(AND(U221="○",$A221&gt;=BY$8,$A221&lt;=BY$9),IF(SUM(BY$10:BY220)-ROUNDDOWN($K221*BY$5/100,0)&lt;-BY$6,-BY$6-SUM(BY$10:BY220),-ROUNDDOWN($K221*BY$5/100,0)),0)</f>
        <v>0</v>
      </c>
      <c r="BZ221" s="38">
        <f>IF(AND(V221="○",$A221&gt;=BZ$8,$A221&lt;=BZ$9),IF(SUM(BZ$10:BZ220)-ROUNDDOWN($K221*BZ$5/100,0)&lt;-BZ$6,-BZ$6-SUM(BZ$10:BZ220),-ROUNDDOWN($K221*BZ$5/100,0)),0)</f>
        <v>0</v>
      </c>
      <c r="CA221" s="38">
        <f>IF(AND(W221="○",$A221&gt;=CA$8,$A221&lt;=CA$9),IF(SUM(CA$10:CA220)-ROUNDDOWN($K221*CA$5/100,0)&lt;-CA$6,-CA$6-SUM(CA$10:CA220),-ROUNDDOWN($K221*CA$5/100,0)),0)</f>
        <v>0</v>
      </c>
      <c r="CB221" s="38"/>
      <c r="CC221" s="38"/>
      <c r="CD221" s="38"/>
      <c r="CE221" s="38"/>
      <c r="CF221" s="38"/>
      <c r="CG221" s="65">
        <f t="shared" si="184"/>
        <v>0</v>
      </c>
      <c r="CH221" s="71">
        <f t="shared" si="185"/>
        <v>0</v>
      </c>
      <c r="CI221" s="1">
        <f t="shared" si="171"/>
        <v>0</v>
      </c>
      <c r="CJ221" s="1"/>
      <c r="CK221" s="2"/>
      <c r="CL221" s="2"/>
      <c r="CM221" s="2"/>
      <c r="CN221" s="2"/>
      <c r="CO221" s="73">
        <f t="shared" si="172"/>
        <v>0</v>
      </c>
      <c r="CP221" s="5">
        <f t="shared" si="173"/>
        <v>0</v>
      </c>
      <c r="CQ221" s="1"/>
      <c r="CR221" s="1">
        <f t="shared" si="174"/>
        <v>0</v>
      </c>
      <c r="CS221" s="1"/>
      <c r="CT221" s="1" t="e">
        <f>INDEX([2]マスタ!$A:$A,MATCH(D221,[2]マスタ!$C:$C,0))</f>
        <v>#N/A</v>
      </c>
      <c r="CU221" s="1" t="str">
        <f t="shared" ca="1" si="175"/>
        <v>20260620_0-0</v>
      </c>
    </row>
    <row r="222" spans="1:99" x14ac:dyDescent="0.4">
      <c r="A222" s="61"/>
      <c r="B222" s="62"/>
      <c r="C222" s="62"/>
      <c r="D222" s="62"/>
      <c r="E222" s="63"/>
      <c r="F222" s="62"/>
      <c r="G222" s="62">
        <v>1</v>
      </c>
      <c r="H222" s="64">
        <f t="shared" si="162"/>
        <v>0</v>
      </c>
      <c r="I222" s="64"/>
      <c r="J222" s="78"/>
      <c r="K222" s="65">
        <f t="shared" si="186"/>
        <v>0</v>
      </c>
      <c r="L222" s="65">
        <f t="shared" si="164"/>
        <v>0</v>
      </c>
      <c r="M222" s="65">
        <f t="shared" si="165"/>
        <v>0</v>
      </c>
      <c r="N222" s="65">
        <f t="shared" si="166"/>
        <v>0</v>
      </c>
      <c r="O222" s="66" t="str">
        <f t="shared" si="167"/>
        <v>✕</v>
      </c>
      <c r="P222" s="67" t="str">
        <f t="shared" si="168"/>
        <v>○</v>
      </c>
      <c r="Q222" s="67" t="str">
        <f t="shared" si="187"/>
        <v>✕</v>
      </c>
      <c r="R222" s="67" t="str">
        <f t="shared" si="170"/>
        <v>✕</v>
      </c>
      <c r="S222" s="68">
        <v>0</v>
      </c>
      <c r="T222" s="69" t="s">
        <v>85</v>
      </c>
      <c r="U222" s="69" t="s">
        <v>85</v>
      </c>
      <c r="V222" s="69" t="s">
        <v>85</v>
      </c>
      <c r="W222" s="69" t="s">
        <v>85</v>
      </c>
      <c r="X222" s="69" t="s">
        <v>84</v>
      </c>
      <c r="Y222" s="69" t="s">
        <v>85</v>
      </c>
      <c r="Z222" s="69" t="s">
        <v>85</v>
      </c>
      <c r="AA222" s="69" t="s">
        <v>85</v>
      </c>
      <c r="AB222" s="69" t="s">
        <v>85</v>
      </c>
      <c r="AC222" s="69" t="s">
        <v>85</v>
      </c>
      <c r="AD222" s="38" t="str">
        <f>+IF(ISERROR(VLOOKUP($B222,AD$10:AD221,1,0)),IF(AND($N222&gt;=1000,$A222&gt;=AO$8,$A222&lt;=AO$9),$B222,""),"")</f>
        <v/>
      </c>
      <c r="AE222" s="38" t="str">
        <f>+IF(ISERROR(VLOOKUP($B222,AE$10:AE221,1,0)),IF(AND($N222&gt;=1000,$A222&gt;=AP$8,$A222&lt;=AP$9),$B222,""),"")</f>
        <v/>
      </c>
      <c r="AF222" s="38" t="str">
        <f>+IF(ISERROR(VLOOKUP($B222,AF$10:AF221,1,0)),IF(AND($N222&gt;=1000,$A222&gt;=AQ$8,$A222&lt;=AQ$9),$B222,""),"")</f>
        <v/>
      </c>
      <c r="AG222" s="38" t="str">
        <f>+IF(ISERROR(VLOOKUP($B222,AG$10:AG221,1,0)),IF(AND($N222&gt;=1000,$A222&gt;=AR$8,$A222&lt;=AR$9),$B222,""),"")</f>
        <v/>
      </c>
      <c r="AH222" s="38"/>
      <c r="AI222" s="70">
        <v>0</v>
      </c>
      <c r="AJ222" s="38">
        <f>IF(AND(AJ$7="○",$A222&gt;=AJ$8,$A222&lt;=AJ$9),IF(SUM(AJ$10:AJ221)-ROUNDDOWN($K222*AJ$5/100,0)&lt;-AJ$6,-AJ$6-SUM(AJ$10:AJ221),-ROUNDDOWN($K222*AJ$5/100,0)),0)</f>
        <v>0</v>
      </c>
      <c r="AK222" s="38">
        <f>IF(AND(AK$7="○",$A222&gt;=AK$8,$A222&lt;=AK$9),IF(SUM(AK$10:AK221)-ROUNDDOWN($L222*AK$5/100,0)&lt;-AK$6,-AK$6-SUM(AK$10:AK221),-ROUNDDOWN($L222*AK$5/100,0)),0)</f>
        <v>0</v>
      </c>
      <c r="AL222" s="38">
        <f>IF(AND(AL$7="○",$A222&gt;=AL$8,$A222&lt;=AL$9),IF(SUM(AL$10:AL221)-ROUNDDOWN($N222*AL$5/100,0)&lt;-AL$6,-AL$6-SUM(AL$10:AL221),-ROUNDDOWN($N222*AL$5/100,0)),0)</f>
        <v>0</v>
      </c>
      <c r="AM222" s="38">
        <f>IF(AND(AM$7="○",$A222&gt;=AM$8,$A222&lt;=AM$9),IF(SUM(AM$10:AM221)-ROUNDDOWN($L222*AM$5/100,0)&lt;-AM$6,-AM$6-SUM(AM$10:AM221),-ROUNDDOWN($L222*AM$5/100,0)),0)</f>
        <v>0</v>
      </c>
      <c r="AN222" s="38">
        <f>IF(AND(AN$7="○",$A222&gt;=AN$8,$A222&lt;=AN$9),IF(SUM(AN$10:AN221)-ROUNDDOWN($M222*AN$5/100,0)&lt;-AN$6,-AN$6-SUM(AN$10:AN221),-ROUNDDOWN($M222*AN$5/100,0)),0)</f>
        <v>0</v>
      </c>
      <c r="AO222" s="38">
        <f>IF(AND($A222&gt;=AO$8,$A222&lt;=AO$9),IF(SUM(AO$10:AO221)-ROUNDDOWN($K222*AO$5/100,0)&lt;-AO$6,-AO$6-SUM(AO$10:AO221),-ROUNDDOWN($K222*AO$5/100,0)),0)</f>
        <v>0</v>
      </c>
      <c r="AP222" s="38">
        <f>IF(AND($A222&gt;=AP$8,$A222&lt;=AP$9),IF(SUM(AP$10:AP221)-ROUNDDOWN($K222*AP$5/100,0)&lt;-AP$6,-AP$6-SUM(AP$10:AP221),-ROUNDDOWN($K222*AP$5/100,0)),0)</f>
        <v>0</v>
      </c>
      <c r="AQ222" s="38">
        <f>IF(AND($A222&gt;=AQ$8,$A222&lt;=AQ$9),IF(SUM(AQ$10:AQ221)-ROUNDDOWN($K222*AQ$5/100,0)&lt;-AQ$6,-AQ$6-SUM(AQ$10:AQ221),-ROUNDDOWN($K222*AQ$5/100,0)),0)</f>
        <v>0</v>
      </c>
      <c r="AR222" s="38">
        <f>IF(AND($A222&gt;=AR$8,$A222&lt;=AR$9),IF(SUM(AR$10:AR221)-ROUNDDOWN($K222*AR$5/100,0)&lt;-AR$6,-AR$6-SUM(AR$10:AR221),-ROUNDDOWN($K222*AR$5/100,0)),0)</f>
        <v>0</v>
      </c>
      <c r="AS222" s="38">
        <f>IF(SUMIFS(AS$10:AS221,$A$10:$A221,$A222)-ROUNDDOWN($K222*$S222/100,0)&lt;-$S222*1000,-$S222*1000-SUMIFS(AS$10:AS221,$A$10:$A221,$A222),-ROUNDDOWN($K222*$S222/100,0))</f>
        <v>0</v>
      </c>
      <c r="AT222" s="38">
        <f>IF(AND(X222="○",$A222&gt;=AT$8,$A222&lt;=AT$9,K222&gt;=3980),IF(SUM(AT$10:AT221)-ROUNDDOWN($K222*AT$5/100,0)&lt;-AT$6,-AT$6-SUM(AT$10:AT221),-ROUNDDOWN($K222*AT$5/100,0)),0)</f>
        <v>0</v>
      </c>
      <c r="AU222" s="38">
        <f>IF(O222="○",IF(SUM(AU$10:AU221)-ROUNDDOWN($K222*AU$5/100,0)&lt;-AU$6,-AU$6-SUM(AU$10:AU221),-ROUNDDOWN($K222*AU$5/100,0)),0)</f>
        <v>0</v>
      </c>
      <c r="AV222" s="38">
        <f>IF(P222="○",IF(SUM(AV$10:AV221)-ROUNDDOWN($K222*AV$5/100,0)&lt;-AV$6,-AV$6-SUM(AV$10:AV221),-ROUNDDOWN($K222*AV$5/100,0)),0)</f>
        <v>0</v>
      </c>
      <c r="AW222" s="38">
        <f>IF(Q222="○",IF(SUM(AW$10:AW221)-ROUNDDOWN($K222*AW$5/100,0)&lt;-AW$6,-AW$6-SUM(AW$10:AW221),-ROUNDDOWN($K222*AW$5/100,0)),0)</f>
        <v>0</v>
      </c>
      <c r="AX222" s="38">
        <f>IF(R222="○",IF(SUM(AX$10:AX221)-ROUNDDOWN($K222*AX$5/100,0)&lt;-AX$6,-AX$6-SUM(AX$10:AX221),-ROUNDDOWN($K222*AX$5/100,0)),0)</f>
        <v>0</v>
      </c>
      <c r="AY222" s="70">
        <v>0</v>
      </c>
      <c r="AZ222" s="65">
        <f t="shared" si="178"/>
        <v>0</v>
      </c>
      <c r="BA222" s="65">
        <f t="shared" si="179"/>
        <v>0</v>
      </c>
      <c r="BB222" s="70"/>
      <c r="BC222" s="65">
        <f t="shared" si="180"/>
        <v>0</v>
      </c>
      <c r="BD222" s="70">
        <v>0</v>
      </c>
      <c r="BE222" s="65">
        <f t="shared" si="181"/>
        <v>0</v>
      </c>
      <c r="BF222" s="70">
        <v>0</v>
      </c>
      <c r="BG222" s="65">
        <f t="shared" si="182"/>
        <v>0</v>
      </c>
      <c r="BH222" s="70">
        <v>0</v>
      </c>
      <c r="BI222" s="65">
        <f t="shared" si="183"/>
        <v>0</v>
      </c>
      <c r="BJ222" s="38">
        <f>IF(AND(BJ$7="○",$A222&gt;=BJ$8,$A222&lt;=BJ$9),IF(SUM(BJ$10:BJ221)-ROUNDDOWN($M222*BJ$5/100,0)&lt;-BJ$6,-BJ$6-SUM(BJ$10:BJ221),-ROUNDDOWN($M222*BJ$5/100,0)),0)</f>
        <v>0</v>
      </c>
      <c r="BK222" s="38">
        <f>IF(AND(BK$7="○",$A222&gt;=BK$8,$A222&lt;=BK$9),IF(SUM(BK$10:BK221)-ROUNDDOWN($L222*BK$5/100,0)&lt;-BK$6,-BK$6-SUM(BK$10:BK221),-ROUNDDOWN($L222*BK$5/100,0)),0)</f>
        <v>0</v>
      </c>
      <c r="BL222" s="38">
        <f>IF(AND(BL$7="○",$A222&gt;=BL$8,$A222&lt;=BL$9),IF(SUM(BL$10:BL221)-ROUNDDOWN($L222*BL$5/100,0)&lt;-BL$6,-BL$6-SUM(BL$10:BL221),-ROUNDDOWN($L222*BL$5/100,0)),0)</f>
        <v>0</v>
      </c>
      <c r="BM222" s="38">
        <f>IF(AND(BM$7="○",$A222&gt;=BM$8,$A222&lt;=BM$9),IF(SUM(BM$10:BM221)-ROUNDDOWN($M222*BM$5/100,0)&lt;-BM$6,-BM$6-SUM(BM$10:BM221),-ROUNDDOWN($M222*BM$5/100,0)),0)</f>
        <v>0</v>
      </c>
      <c r="BN222" s="38">
        <f>IF(AND(BN$7="○",$A222&gt;=BN$8,$A222&lt;=BN$9),IF(SUM(BN$10:BN221)-ROUNDDOWN($M222*BN$5/100,0)&lt;-BN$6,-BN$6-SUM(BN$10:BN221),-ROUNDDOWN($M222*BN$5/100,0)),0)</f>
        <v>0</v>
      </c>
      <c r="BO222" s="38">
        <f>IF(AND(BO$7="○",$A222&gt;=BO$8,$A222&lt;=BO$9),IF(SUM(BO$10:BO221)-ROUNDDOWN($M222*BO$5/100,0)&lt;-BO$6,-BO$6-SUM(BO$10:BO221),-ROUNDDOWN($M222*BO$5/100,0)),0)</f>
        <v>0</v>
      </c>
      <c r="BP222" s="38">
        <f>IF(AND(BP$7="○",$A222&gt;=BP$8,$A222&lt;=BP$9),IF(SUM(BP$10:BP221)-ROUNDDOWN($M222*BP$5/100,0)&lt;-BP$6,-BP$6-SUM(BP$10:BP221),-ROUNDDOWN($M222*BP$5/100,0)),0)</f>
        <v>0</v>
      </c>
      <c r="BQ222" s="38">
        <f>IF(AND(BQ$7="○",$A222&gt;=BQ$8,$A222&lt;=BQ$9),IF(SUM(BQ$10:BQ221)-ROUNDDOWN($L222*BQ$5/100,0)&lt;-BQ$6,-BQ$6-SUM(BQ$10:BQ221),-ROUNDDOWN($L222*BQ$5/100,0)),0)</f>
        <v>0</v>
      </c>
      <c r="BR222" s="38">
        <f>IF(AND(BR$7="○",$A222&gt;=BR$8,$A222&lt;=BR$9),IF(SUM(BR$10:BR221)-ROUNDDOWN($M222*BR$5/100,0)&lt;-BR$6,-BR$6-SUM(BR$10:BR221),-ROUNDDOWN($M222*BR$5/100,0)),0)</f>
        <v>0</v>
      </c>
      <c r="BS222" s="38">
        <f>IF(AND(BS$7="○",$A222&gt;=BS$8,$A222&lt;=BS$9),IF(SUM(BS$10:BS221)-ROUNDDOWN($M222*BS$5/100,0)&lt;-BS$6,-BS$6-SUM(BS$10:BS221),-ROUNDDOWN($M222*BS$5/100,0)),0)</f>
        <v>0</v>
      </c>
      <c r="BT222" s="38">
        <f>IF(AND(BT$7="○",$A222&gt;=BT$8,$A222&lt;=BT$9),IF(SUM(BT$10:BT221)-ROUNDDOWN($M222*BT$5/100,0)&lt;-BT$6,-BT$6-SUM(BT$10:BT221),-ROUNDDOWN($M222*BT$5/100,0)),0)</f>
        <v>0</v>
      </c>
      <c r="BU222" s="38">
        <f>IF(AND(BU$7="○",$A222&gt;=BU$8,$A222&lt;=BU$9),IF(SUM(BU$10:BU221)-ROUNDDOWN($M222*BU$5/100,0)&lt;-BU$6,-BU$6-SUM(BU$10:BU221),-ROUNDDOWN($M222*BU$5/100,0)),0)</f>
        <v>0</v>
      </c>
      <c r="BV222" s="38">
        <f>IF(AND(BV$7="○",$A222&gt;=BV$8,$A222&lt;=BV$9),IF(SUM(BV$10:BV221)-ROUNDDOWN($M222*BV$5/100,0)&lt;-BV$6,-BV$6-SUM(BV$10:BV221),-ROUNDDOWN($M222*BV$5/100,0)),0)</f>
        <v>0</v>
      </c>
      <c r="BW222" s="38">
        <f>IF(AND(BW$7="○",$A222&gt;=BW$8,$A222&lt;=BW$9),IF(SUM(BW$10:BW221)-ROUNDDOWN($M222*BW$5/100,0)&lt;-BW$6,-BW$6-SUM(BW$10:BW221),-ROUNDDOWN($M222*BW$5/100,0)),0)</f>
        <v>0</v>
      </c>
      <c r="BX222" s="38">
        <f>IF(AND(T222="○",$A222&gt;=BX$8,$A222&lt;=BX$9),IF(SUM(BX$10:BX221)-ROUNDDOWN($K222*BX$5/100,0)&lt;-BX$6,-BX$6-SUM(BX$10:BX221),-ROUNDDOWN($K222*BX$5/100,0)),0)</f>
        <v>0</v>
      </c>
      <c r="BY222" s="38">
        <f>IF(AND(U222="○",$A222&gt;=BY$8,$A222&lt;=BY$9),IF(SUM(BY$10:BY221)-ROUNDDOWN($K222*BY$5/100,0)&lt;-BY$6,-BY$6-SUM(BY$10:BY221),-ROUNDDOWN($K222*BY$5/100,0)),0)</f>
        <v>0</v>
      </c>
      <c r="BZ222" s="38">
        <f>IF(AND(V222="○",$A222&gt;=BZ$8,$A222&lt;=BZ$9),IF(SUM(BZ$10:BZ221)-ROUNDDOWN($K222*BZ$5/100,0)&lt;-BZ$6,-BZ$6-SUM(BZ$10:BZ221),-ROUNDDOWN($K222*BZ$5/100,0)),0)</f>
        <v>0</v>
      </c>
      <c r="CA222" s="38">
        <f>IF(AND(W222="○",$A222&gt;=CA$8,$A222&lt;=CA$9),IF(SUM(CA$10:CA221)-ROUNDDOWN($K222*CA$5/100,0)&lt;-CA$6,-CA$6-SUM(CA$10:CA221),-ROUNDDOWN($K222*CA$5/100,0)),0)</f>
        <v>0</v>
      </c>
      <c r="CB222" s="38"/>
      <c r="CC222" s="38"/>
      <c r="CD222" s="38"/>
      <c r="CE222" s="38"/>
      <c r="CF222" s="38"/>
      <c r="CG222" s="65">
        <f t="shared" si="184"/>
        <v>0</v>
      </c>
      <c r="CH222" s="71">
        <f t="shared" si="185"/>
        <v>0</v>
      </c>
      <c r="CI222" s="1">
        <f t="shared" si="171"/>
        <v>0</v>
      </c>
      <c r="CJ222" s="1"/>
      <c r="CK222" s="79"/>
      <c r="CL222" s="79"/>
      <c r="CM222" s="2"/>
      <c r="CN222" s="2"/>
      <c r="CO222" s="73">
        <f t="shared" si="172"/>
        <v>0</v>
      </c>
      <c r="CP222" s="5">
        <f t="shared" si="173"/>
        <v>0</v>
      </c>
      <c r="CQ222" s="1"/>
      <c r="CR222" s="1">
        <f t="shared" si="174"/>
        <v>0</v>
      </c>
      <c r="CS222" s="1"/>
      <c r="CT222" s="1" t="e">
        <f>INDEX([2]マスタ!$A:$A,MATCH(D222,[2]マスタ!$C:$C,0))</f>
        <v>#N/A</v>
      </c>
      <c r="CU222" s="1" t="str">
        <f t="shared" ca="1" si="175"/>
        <v>20260620_0-0</v>
      </c>
    </row>
    <row r="223" spans="1:99" x14ac:dyDescent="0.4">
      <c r="A223" s="61"/>
      <c r="B223" s="62"/>
      <c r="C223" s="62"/>
      <c r="D223" s="62"/>
      <c r="E223" s="63"/>
      <c r="F223" s="62"/>
      <c r="G223" s="62">
        <v>1</v>
      </c>
      <c r="H223" s="64">
        <f t="shared" si="162"/>
        <v>0</v>
      </c>
      <c r="I223" s="64"/>
      <c r="J223" s="78"/>
      <c r="K223" s="65">
        <f t="shared" si="186"/>
        <v>0</v>
      </c>
      <c r="L223" s="65">
        <f t="shared" si="164"/>
        <v>0</v>
      </c>
      <c r="M223" s="65">
        <f t="shared" si="165"/>
        <v>0</v>
      </c>
      <c r="N223" s="65">
        <f t="shared" si="166"/>
        <v>0</v>
      </c>
      <c r="O223" s="66" t="str">
        <f t="shared" si="167"/>
        <v>✕</v>
      </c>
      <c r="P223" s="67" t="str">
        <f t="shared" si="168"/>
        <v>○</v>
      </c>
      <c r="Q223" s="67" t="str">
        <f t="shared" si="187"/>
        <v>✕</v>
      </c>
      <c r="R223" s="67" t="str">
        <f t="shared" si="170"/>
        <v>✕</v>
      </c>
      <c r="S223" s="68">
        <v>0</v>
      </c>
      <c r="T223" s="69" t="s">
        <v>85</v>
      </c>
      <c r="U223" s="69" t="s">
        <v>85</v>
      </c>
      <c r="V223" s="69" t="s">
        <v>85</v>
      </c>
      <c r="W223" s="69" t="s">
        <v>85</v>
      </c>
      <c r="X223" s="69" t="s">
        <v>84</v>
      </c>
      <c r="Y223" s="69" t="s">
        <v>85</v>
      </c>
      <c r="Z223" s="69" t="s">
        <v>85</v>
      </c>
      <c r="AA223" s="69" t="s">
        <v>85</v>
      </c>
      <c r="AB223" s="69" t="s">
        <v>85</v>
      </c>
      <c r="AC223" s="69" t="s">
        <v>85</v>
      </c>
      <c r="AD223" s="38" t="str">
        <f>+IF(ISERROR(VLOOKUP($B223,AD$10:AD222,1,0)),IF(AND($N223&gt;=1000,$A223&gt;=AO$8,$A223&lt;=AO$9),$B223,""),"")</f>
        <v/>
      </c>
      <c r="AE223" s="38" t="str">
        <f>+IF(ISERROR(VLOOKUP($B223,AE$10:AE222,1,0)),IF(AND($N223&gt;=1000,$A223&gt;=AP$8,$A223&lt;=AP$9),$B223,""),"")</f>
        <v/>
      </c>
      <c r="AF223" s="38" t="str">
        <f>+IF(ISERROR(VLOOKUP($B223,AF$10:AF222,1,0)),IF(AND($N223&gt;=1000,$A223&gt;=AQ$8,$A223&lt;=AQ$9),$B223,""),"")</f>
        <v/>
      </c>
      <c r="AG223" s="38" t="str">
        <f>+IF(ISERROR(VLOOKUP($B223,AG$10:AG222,1,0)),IF(AND($N223&gt;=1000,$A223&gt;=AR$8,$A223&lt;=AR$9),$B223,""),"")</f>
        <v/>
      </c>
      <c r="AH223" s="38"/>
      <c r="AI223" s="70">
        <v>0</v>
      </c>
      <c r="AJ223" s="38">
        <f>IF(AND(AJ$7="○",$A223&gt;=AJ$8,$A223&lt;=AJ$9),IF(SUM(AJ$10:AJ222)-ROUNDDOWN($K223*AJ$5/100,0)&lt;-AJ$6,-AJ$6-SUM(AJ$10:AJ222),-ROUNDDOWN($K223*AJ$5/100,0)),0)</f>
        <v>0</v>
      </c>
      <c r="AK223" s="38">
        <f>IF(AND(AK$7="○",$A223&gt;=AK$8,$A223&lt;=AK$9),IF(SUM(AK$10:AK222)-ROUNDDOWN($L223*AK$5/100,0)&lt;-AK$6,-AK$6-SUM(AK$10:AK222),-ROUNDDOWN($L223*AK$5/100,0)),0)</f>
        <v>0</v>
      </c>
      <c r="AL223" s="38">
        <f>IF(AND(AL$7="○",$A223&gt;=AL$8,$A223&lt;=AL$9),IF(SUM(AL$10:AL222)-ROUNDDOWN($N223*AL$5/100,0)&lt;-AL$6,-AL$6-SUM(AL$10:AL222),-ROUNDDOWN($N223*AL$5/100,0)),0)</f>
        <v>0</v>
      </c>
      <c r="AM223" s="38">
        <f>IF(AND(AM$7="○",$A223&gt;=AM$8,$A223&lt;=AM$9),IF(SUM(AM$10:AM222)-ROUNDDOWN($L223*AM$5/100,0)&lt;-AM$6,-AM$6-SUM(AM$10:AM222),-ROUNDDOWN($L223*AM$5/100,0)),0)</f>
        <v>0</v>
      </c>
      <c r="AN223" s="38">
        <f>IF(AND(AN$7="○",$A223&gt;=AN$8,$A223&lt;=AN$9),IF(SUM(AN$10:AN222)-ROUNDDOWN($M223*AN$5/100,0)&lt;-AN$6,-AN$6-SUM(AN$10:AN222),-ROUNDDOWN($M223*AN$5/100,0)),0)</f>
        <v>0</v>
      </c>
      <c r="AO223" s="38">
        <f>IF(AND($A223&gt;=AO$8,$A223&lt;=AO$9),IF(SUM(AO$10:AO222)-ROUNDDOWN($K223*AO$5/100,0)&lt;-AO$6,-AO$6-SUM(AO$10:AO222),-ROUNDDOWN($K223*AO$5/100,0)),0)</f>
        <v>0</v>
      </c>
      <c r="AP223" s="38">
        <f>IF(AND($A223&gt;=AP$8,$A223&lt;=AP$9),IF(SUM(AP$10:AP222)-ROUNDDOWN($K223*AP$5/100,0)&lt;-AP$6,-AP$6-SUM(AP$10:AP222),-ROUNDDOWN($K223*AP$5/100,0)),0)</f>
        <v>0</v>
      </c>
      <c r="AQ223" s="38">
        <f>IF(AND($A223&gt;=AQ$8,$A223&lt;=AQ$9),IF(SUM(AQ$10:AQ222)-ROUNDDOWN($K223*AQ$5/100,0)&lt;-AQ$6,-AQ$6-SUM(AQ$10:AQ222),-ROUNDDOWN($K223*AQ$5/100,0)),0)</f>
        <v>0</v>
      </c>
      <c r="AR223" s="38">
        <f>IF(AND($A223&gt;=AR$8,$A223&lt;=AR$9),IF(SUM(AR$10:AR222)-ROUNDDOWN($K223*AR$5/100,0)&lt;-AR$6,-AR$6-SUM(AR$10:AR222),-ROUNDDOWN($K223*AR$5/100,0)),0)</f>
        <v>0</v>
      </c>
      <c r="AS223" s="38">
        <f>IF(SUMIFS(AS$10:AS222,$A$10:$A222,$A223)-ROUNDDOWN($K223*$S223/100,0)&lt;-$S223*1000,-$S223*1000-SUMIFS(AS$10:AS222,$A$10:$A222,$A223),-ROUNDDOWN($K223*$S223/100,0))</f>
        <v>0</v>
      </c>
      <c r="AT223" s="38">
        <f>IF(AND(X223="○",$A223&gt;=AT$8,$A223&lt;=AT$9,K223&gt;=3980),IF(SUM(AT$10:AT222)-ROUNDDOWN($K223*AT$5/100,0)&lt;-AT$6,-AT$6-SUM(AT$10:AT222),-ROUNDDOWN($K223*AT$5/100,0)),0)</f>
        <v>0</v>
      </c>
      <c r="AU223" s="38">
        <f>IF(O223="○",IF(SUM(AU$10:AU222)-ROUNDDOWN($K223*AU$5/100,0)&lt;-AU$6,-AU$6-SUM(AU$10:AU222),-ROUNDDOWN($K223*AU$5/100,0)),0)</f>
        <v>0</v>
      </c>
      <c r="AV223" s="38">
        <f>IF(P223="○",IF(SUM(AV$10:AV222)-ROUNDDOWN($K223*AV$5/100,0)&lt;-AV$6,-AV$6-SUM(AV$10:AV222),-ROUNDDOWN($K223*AV$5/100,0)),0)</f>
        <v>0</v>
      </c>
      <c r="AW223" s="38">
        <f>IF(Q223="○",IF(SUM(AW$10:AW222)-ROUNDDOWN($K223*AW$5/100,0)&lt;-AW$6,-AW$6-SUM(AW$10:AW222),-ROUNDDOWN($K223*AW$5/100,0)),0)</f>
        <v>0</v>
      </c>
      <c r="AX223" s="38">
        <f>IF(R223="○",IF(SUM(AX$10:AX222)-ROUNDDOWN($K223*AX$5/100,0)&lt;-AX$6,-AX$6-SUM(AX$10:AX222),-ROUNDDOWN($K223*AX$5/100,0)),0)</f>
        <v>0</v>
      </c>
      <c r="AY223" s="70">
        <v>0</v>
      </c>
      <c r="AZ223" s="65">
        <f t="shared" si="178"/>
        <v>0</v>
      </c>
      <c r="BA223" s="65">
        <f t="shared" si="179"/>
        <v>0</v>
      </c>
      <c r="BB223" s="70"/>
      <c r="BC223" s="65">
        <f t="shared" si="180"/>
        <v>0</v>
      </c>
      <c r="BD223" s="70">
        <v>0</v>
      </c>
      <c r="BE223" s="65">
        <f t="shared" si="181"/>
        <v>0</v>
      </c>
      <c r="BF223" s="70">
        <v>0</v>
      </c>
      <c r="BG223" s="65">
        <f t="shared" si="182"/>
        <v>0</v>
      </c>
      <c r="BH223" s="70">
        <v>0</v>
      </c>
      <c r="BI223" s="65">
        <f t="shared" si="183"/>
        <v>0</v>
      </c>
      <c r="BJ223" s="38">
        <f>IF(AND(BJ$7="○",$A223&gt;=BJ$8,$A223&lt;=BJ$9),IF(SUM(BJ$10:BJ222)-ROUNDDOWN($M223*BJ$5/100,0)&lt;-BJ$6,-BJ$6-SUM(BJ$10:BJ222),-ROUNDDOWN($M223*BJ$5/100,0)),0)</f>
        <v>0</v>
      </c>
      <c r="BK223" s="38">
        <f>IF(AND(BK$7="○",$A223&gt;=BK$8,$A223&lt;=BK$9),IF(SUM(BK$10:BK222)-ROUNDDOWN($L223*BK$5/100,0)&lt;-BK$6,-BK$6-SUM(BK$10:BK222),-ROUNDDOWN($L223*BK$5/100,0)),0)</f>
        <v>0</v>
      </c>
      <c r="BL223" s="38">
        <f>IF(AND(BL$7="○",$A223&gt;=BL$8,$A223&lt;=BL$9),IF(SUM(BL$10:BL222)-ROUNDDOWN($L223*BL$5/100,0)&lt;-BL$6,-BL$6-SUM(BL$10:BL222),-ROUNDDOWN($L223*BL$5/100,0)),0)</f>
        <v>0</v>
      </c>
      <c r="BM223" s="38">
        <f>IF(AND(BM$7="○",$A223&gt;=BM$8,$A223&lt;=BM$9),IF(SUM(BM$10:BM222)-ROUNDDOWN($M223*BM$5/100,0)&lt;-BM$6,-BM$6-SUM(BM$10:BM222),-ROUNDDOWN($M223*BM$5/100,0)),0)</f>
        <v>0</v>
      </c>
      <c r="BN223" s="38">
        <f>IF(AND(BN$7="○",$A223&gt;=BN$8,$A223&lt;=BN$9),IF(SUM(BN$10:BN222)-ROUNDDOWN($M223*BN$5/100,0)&lt;-BN$6,-BN$6-SUM(BN$10:BN222),-ROUNDDOWN($M223*BN$5/100,0)),0)</f>
        <v>0</v>
      </c>
      <c r="BO223" s="38">
        <f>IF(AND(BO$7="○",$A223&gt;=BO$8,$A223&lt;=BO$9),IF(SUM(BO$10:BO222)-ROUNDDOWN($M223*BO$5/100,0)&lt;-BO$6,-BO$6-SUM(BO$10:BO222),-ROUNDDOWN($M223*BO$5/100,0)),0)</f>
        <v>0</v>
      </c>
      <c r="BP223" s="38">
        <f>IF(AND(BP$7="○",$A223&gt;=BP$8,$A223&lt;=BP$9),IF(SUM(BP$10:BP222)-ROUNDDOWN($M223*BP$5/100,0)&lt;-BP$6,-BP$6-SUM(BP$10:BP222),-ROUNDDOWN($M223*BP$5/100,0)),0)</f>
        <v>0</v>
      </c>
      <c r="BQ223" s="38">
        <f>IF(AND(BQ$7="○",$A223&gt;=BQ$8,$A223&lt;=BQ$9),IF(SUM(BQ$10:BQ222)-ROUNDDOWN($L223*BQ$5/100,0)&lt;-BQ$6,-BQ$6-SUM(BQ$10:BQ222),-ROUNDDOWN($L223*BQ$5/100,0)),0)</f>
        <v>0</v>
      </c>
      <c r="BR223" s="38">
        <f>IF(AND(BR$7="○",$A223&gt;=BR$8,$A223&lt;=BR$9),IF(SUM(BR$10:BR222)-ROUNDDOWN($M223*BR$5/100,0)&lt;-BR$6,-BR$6-SUM(BR$10:BR222),-ROUNDDOWN($M223*BR$5/100,0)),0)</f>
        <v>0</v>
      </c>
      <c r="BS223" s="38">
        <f>IF(AND(BS$7="○",$A223&gt;=BS$8,$A223&lt;=BS$9),IF(SUM(BS$10:BS222)-ROUNDDOWN($M223*BS$5/100,0)&lt;-BS$6,-BS$6-SUM(BS$10:BS222),-ROUNDDOWN($M223*BS$5/100,0)),0)</f>
        <v>0</v>
      </c>
      <c r="BT223" s="38">
        <f>IF(AND(BT$7="○",$A223&gt;=BT$8,$A223&lt;=BT$9),IF(SUM(BT$10:BT222)-ROUNDDOWN($M223*BT$5/100,0)&lt;-BT$6,-BT$6-SUM(BT$10:BT222),-ROUNDDOWN($M223*BT$5/100,0)),0)</f>
        <v>0</v>
      </c>
      <c r="BU223" s="38">
        <f>IF(AND(BU$7="○",$A223&gt;=BU$8,$A223&lt;=BU$9),IF(SUM(BU$10:BU222)-ROUNDDOWN($M223*BU$5/100,0)&lt;-BU$6,-BU$6-SUM(BU$10:BU222),-ROUNDDOWN($M223*BU$5/100,0)),0)</f>
        <v>0</v>
      </c>
      <c r="BV223" s="38">
        <f>IF(AND(BV$7="○",$A223&gt;=BV$8,$A223&lt;=BV$9),IF(SUM(BV$10:BV222)-ROUNDDOWN($M223*BV$5/100,0)&lt;-BV$6,-BV$6-SUM(BV$10:BV222),-ROUNDDOWN($M223*BV$5/100,0)),0)</f>
        <v>0</v>
      </c>
      <c r="BW223" s="38">
        <f>IF(AND(BW$7="○",$A223&gt;=BW$8,$A223&lt;=BW$9),IF(SUM(BW$10:BW222)-ROUNDDOWN($M223*BW$5/100,0)&lt;-BW$6,-BW$6-SUM(BW$10:BW222),-ROUNDDOWN($M223*BW$5/100,0)),0)</f>
        <v>0</v>
      </c>
      <c r="BX223" s="38">
        <f>IF(AND(T223="○",$A223&gt;=BX$8,$A223&lt;=BX$9),IF(SUM(BX$10:BX222)-ROUNDDOWN($K223*BX$5/100,0)&lt;-BX$6,-BX$6-SUM(BX$10:BX222),-ROUNDDOWN($K223*BX$5/100,0)),0)</f>
        <v>0</v>
      </c>
      <c r="BY223" s="38">
        <f>IF(AND(U223="○",$A223&gt;=BY$8,$A223&lt;=BY$9),IF(SUM(BY$10:BY222)-ROUNDDOWN($K223*BY$5/100,0)&lt;-BY$6,-BY$6-SUM(BY$10:BY222),-ROUNDDOWN($K223*BY$5/100,0)),0)</f>
        <v>0</v>
      </c>
      <c r="BZ223" s="38">
        <f>IF(AND(V223="○",$A223&gt;=BZ$8,$A223&lt;=BZ$9),IF(SUM(BZ$10:BZ222)-ROUNDDOWN($K223*BZ$5/100,0)&lt;-BZ$6,-BZ$6-SUM(BZ$10:BZ222),-ROUNDDOWN($K223*BZ$5/100,0)),0)</f>
        <v>0</v>
      </c>
      <c r="CA223" s="38">
        <f>IF(AND(W223="○",$A223&gt;=CA$8,$A223&lt;=CA$9),IF(SUM(CA$10:CA222)-ROUNDDOWN($K223*CA$5/100,0)&lt;-CA$6,-CA$6-SUM(CA$10:CA222),-ROUNDDOWN($K223*CA$5/100,0)),0)</f>
        <v>0</v>
      </c>
      <c r="CB223" s="38"/>
      <c r="CC223" s="38"/>
      <c r="CD223" s="38"/>
      <c r="CE223" s="38"/>
      <c r="CF223" s="38"/>
      <c r="CG223" s="65">
        <f t="shared" si="184"/>
        <v>0</v>
      </c>
      <c r="CH223" s="71">
        <f t="shared" si="185"/>
        <v>0</v>
      </c>
      <c r="CI223" s="1">
        <f t="shared" si="171"/>
        <v>0</v>
      </c>
      <c r="CJ223" s="1"/>
      <c r="CK223" s="79"/>
      <c r="CL223" s="79"/>
      <c r="CM223" s="2"/>
      <c r="CN223" s="2"/>
      <c r="CO223" s="73">
        <f t="shared" si="172"/>
        <v>0</v>
      </c>
      <c r="CP223" s="5">
        <f t="shared" si="173"/>
        <v>0</v>
      </c>
      <c r="CQ223" s="1"/>
      <c r="CR223" s="1">
        <f t="shared" si="174"/>
        <v>0</v>
      </c>
      <c r="CS223" s="1"/>
      <c r="CT223" s="1" t="e">
        <f>INDEX([2]マスタ!$A:$A,MATCH(D223,[2]マスタ!$C:$C,0))</f>
        <v>#N/A</v>
      </c>
      <c r="CU223" s="1" t="str">
        <f t="shared" ca="1" si="175"/>
        <v>20260620_0-0</v>
      </c>
    </row>
    <row r="224" spans="1:99" x14ac:dyDescent="0.4">
      <c r="A224" s="61"/>
      <c r="B224" s="62"/>
      <c r="C224" s="62"/>
      <c r="D224" s="62"/>
      <c r="E224" s="77"/>
      <c r="F224" s="62"/>
      <c r="G224" s="62">
        <v>1</v>
      </c>
      <c r="H224" s="64">
        <f t="shared" si="162"/>
        <v>0</v>
      </c>
      <c r="I224" s="64"/>
      <c r="J224" s="64"/>
      <c r="K224" s="65">
        <f t="shared" si="186"/>
        <v>0</v>
      </c>
      <c r="L224" s="65">
        <f t="shared" si="164"/>
        <v>0</v>
      </c>
      <c r="M224" s="65">
        <f t="shared" si="165"/>
        <v>0</v>
      </c>
      <c r="N224" s="65">
        <f t="shared" si="166"/>
        <v>0</v>
      </c>
      <c r="O224" s="66" t="str">
        <f t="shared" si="167"/>
        <v>✕</v>
      </c>
      <c r="P224" s="67" t="str">
        <f t="shared" si="168"/>
        <v>○</v>
      </c>
      <c r="Q224" s="67" t="str">
        <f t="shared" si="187"/>
        <v>✕</v>
      </c>
      <c r="R224" s="67" t="str">
        <f t="shared" si="170"/>
        <v>✕</v>
      </c>
      <c r="S224" s="68">
        <v>0</v>
      </c>
      <c r="T224" s="69" t="s">
        <v>85</v>
      </c>
      <c r="U224" s="69" t="s">
        <v>85</v>
      </c>
      <c r="V224" s="69" t="s">
        <v>85</v>
      </c>
      <c r="W224" s="69" t="s">
        <v>85</v>
      </c>
      <c r="X224" s="69" t="s">
        <v>84</v>
      </c>
      <c r="Y224" s="69" t="s">
        <v>85</v>
      </c>
      <c r="Z224" s="69" t="s">
        <v>85</v>
      </c>
      <c r="AA224" s="69" t="s">
        <v>85</v>
      </c>
      <c r="AB224" s="69" t="s">
        <v>85</v>
      </c>
      <c r="AC224" s="69" t="s">
        <v>85</v>
      </c>
      <c r="AD224" s="38" t="str">
        <f>+IF(ISERROR(VLOOKUP($B224,AD$10:AD223,1,0)),IF(AND($N224&gt;=1000,$A224&gt;=AO$8,$A224&lt;=AO$9),$B224,""),"")</f>
        <v/>
      </c>
      <c r="AE224" s="38" t="str">
        <f>+IF(ISERROR(VLOOKUP($B224,AE$10:AE223,1,0)),IF(AND($N224&gt;=1000,$A224&gt;=AP$8,$A224&lt;=AP$9),$B224,""),"")</f>
        <v/>
      </c>
      <c r="AF224" s="38" t="str">
        <f>+IF(ISERROR(VLOOKUP($B224,AF$10:AF223,1,0)),IF(AND($N224&gt;=1000,$A224&gt;=AQ$8,$A224&lt;=AQ$9),$B224,""),"")</f>
        <v/>
      </c>
      <c r="AG224" s="38" t="str">
        <f>+IF(ISERROR(VLOOKUP($B224,AG$10:AG223,1,0)),IF(AND($N224&gt;=1000,$A224&gt;=AR$8,$A224&lt;=AR$9),$B224,""),"")</f>
        <v/>
      </c>
      <c r="AH224" s="38"/>
      <c r="AI224" s="70">
        <v>0</v>
      </c>
      <c r="AJ224" s="38">
        <f>IF(AND(AJ$7="○",$A224&gt;=AJ$8,$A224&lt;=AJ$9),IF(SUM(AJ$10:AJ223)-ROUNDDOWN($K224*AJ$5/100,0)&lt;-AJ$6,-AJ$6-SUM(AJ$10:AJ223),-ROUNDDOWN($K224*AJ$5/100,0)),0)</f>
        <v>0</v>
      </c>
      <c r="AK224" s="38">
        <f>IF(AND(AK$7="○",$A224&gt;=AK$8,$A224&lt;=AK$9),IF(SUM(AK$10:AK223)-ROUNDDOWN($L224*AK$5/100,0)&lt;-AK$6,-AK$6-SUM(AK$10:AK223),-ROUNDDOWN($L224*AK$5/100,0)),0)</f>
        <v>0</v>
      </c>
      <c r="AL224" s="38">
        <f>IF(AND(AL$7="○",$A224&gt;=AL$8,$A224&lt;=AL$9),IF(SUM(AL$10:AL223)-ROUNDDOWN($N224*AL$5/100,0)&lt;-AL$6,-AL$6-SUM(AL$10:AL223),-ROUNDDOWN($N224*AL$5/100,0)),0)</f>
        <v>0</v>
      </c>
      <c r="AM224" s="38">
        <f>IF(AND(AM$7="○",$A224&gt;=AM$8,$A224&lt;=AM$9),IF(SUM(AM$10:AM223)-ROUNDDOWN($L224*AM$5/100,0)&lt;-AM$6,-AM$6-SUM(AM$10:AM223),-ROUNDDOWN($L224*AM$5/100,0)),0)</f>
        <v>0</v>
      </c>
      <c r="AN224" s="38">
        <f>IF(AND(AN$7="○",$A224&gt;=AN$8,$A224&lt;=AN$9),IF(SUM(AN$10:AN223)-ROUNDDOWN($M224*AN$5/100,0)&lt;-AN$6,-AN$6-SUM(AN$10:AN223),-ROUNDDOWN($M224*AN$5/100,0)),0)</f>
        <v>0</v>
      </c>
      <c r="AO224" s="38">
        <f>IF(AND($A224&gt;=AO$8,$A224&lt;=AO$9),IF(SUM(AO$10:AO223)-ROUNDDOWN($K224*AO$5/100,0)&lt;-AO$6,-AO$6-SUM(AO$10:AO223),-ROUNDDOWN($K224*AO$5/100,0)),0)</f>
        <v>0</v>
      </c>
      <c r="AP224" s="38">
        <f>IF(AND($A224&gt;=AP$8,$A224&lt;=AP$9),IF(SUM(AP$10:AP223)-ROUNDDOWN($K224*AP$5/100,0)&lt;-AP$6,-AP$6-SUM(AP$10:AP223),-ROUNDDOWN($K224*AP$5/100,0)),0)</f>
        <v>0</v>
      </c>
      <c r="AQ224" s="38">
        <f>IF(AND($A224&gt;=AQ$8,$A224&lt;=AQ$9),IF(SUM(AQ$10:AQ223)-ROUNDDOWN($K224*AQ$5/100,0)&lt;-AQ$6,-AQ$6-SUM(AQ$10:AQ223),-ROUNDDOWN($K224*AQ$5/100,0)),0)</f>
        <v>0</v>
      </c>
      <c r="AR224" s="38">
        <f>IF(AND($A224&gt;=AR$8,$A224&lt;=AR$9),IF(SUM(AR$10:AR223)-ROUNDDOWN($K224*AR$5/100,0)&lt;-AR$6,-AR$6-SUM(AR$10:AR223),-ROUNDDOWN($K224*AR$5/100,0)),0)</f>
        <v>0</v>
      </c>
      <c r="AS224" s="38">
        <f>IF(SUMIFS(AS$10:AS223,$A$10:$A223,$A224)-ROUNDDOWN($K224*$S224/100,0)&lt;-$S224*1000,-$S224*1000-SUMIFS(AS$10:AS223,$A$10:$A223,$A224),-ROUNDDOWN($K224*$S224/100,0))</f>
        <v>0</v>
      </c>
      <c r="AT224" s="38">
        <f>IF(AND(X224="○",$A224&gt;=AT$8,$A224&lt;=AT$9,K224&gt;=3980),IF(SUM(AT$10:AT223)-ROUNDDOWN($K224*AT$5/100,0)&lt;-AT$6,-AT$6-SUM(AT$10:AT223),-ROUNDDOWN($K224*AT$5/100,0)),0)</f>
        <v>0</v>
      </c>
      <c r="AU224" s="38">
        <f>IF(O224="○",IF(SUM(AU$10:AU223)-ROUNDDOWN($K224*AU$5/100,0)&lt;-AU$6,-AU$6-SUM(AU$10:AU223),-ROUNDDOWN($K224*AU$5/100,0)),0)</f>
        <v>0</v>
      </c>
      <c r="AV224" s="38">
        <f>IF(P224="○",IF(SUM(AV$10:AV223)-ROUNDDOWN($K224*AV$5/100,0)&lt;-AV$6,-AV$6-SUM(AV$10:AV223),-ROUNDDOWN($K224*AV$5/100,0)),0)</f>
        <v>0</v>
      </c>
      <c r="AW224" s="38">
        <f>IF(Q224="○",IF(SUM(AW$10:AW223)-ROUNDDOWN($K224*AW$5/100,0)&lt;-AW$6,-AW$6-SUM(AW$10:AW223),-ROUNDDOWN($K224*AW$5/100,0)),0)</f>
        <v>0</v>
      </c>
      <c r="AX224" s="38">
        <f>IF(R224="○",IF(SUM(AX$10:AX223)-ROUNDDOWN($K224*AX$5/100,0)&lt;-AX$6,-AX$6-SUM(AX$10:AX223),-ROUNDDOWN($K224*AX$5/100,0)),0)</f>
        <v>0</v>
      </c>
      <c r="AY224" s="70">
        <v>0</v>
      </c>
      <c r="AZ224" s="65">
        <f t="shared" si="178"/>
        <v>0</v>
      </c>
      <c r="BA224" s="65">
        <f t="shared" si="179"/>
        <v>0</v>
      </c>
      <c r="BB224" s="70"/>
      <c r="BC224" s="65">
        <f t="shared" si="180"/>
        <v>0</v>
      </c>
      <c r="BD224" s="70">
        <v>0</v>
      </c>
      <c r="BE224" s="65">
        <f t="shared" si="181"/>
        <v>0</v>
      </c>
      <c r="BF224" s="70">
        <v>0</v>
      </c>
      <c r="BG224" s="65">
        <f t="shared" si="182"/>
        <v>0</v>
      </c>
      <c r="BH224" s="70">
        <v>0</v>
      </c>
      <c r="BI224" s="65">
        <f t="shared" si="183"/>
        <v>0</v>
      </c>
      <c r="BJ224" s="38">
        <f>IF(AND(BJ$7="○",$A224&gt;=BJ$8,$A224&lt;=BJ$9),IF(SUM(BJ$10:BJ223)-ROUNDDOWN($M224*BJ$5/100,0)&lt;-BJ$6,-BJ$6-SUM(BJ$10:BJ223),-ROUNDDOWN($M224*BJ$5/100,0)),0)</f>
        <v>0</v>
      </c>
      <c r="BK224" s="38">
        <f>IF(AND(BK$7="○",$A224&gt;=BK$8,$A224&lt;=BK$9),IF(SUM(BK$10:BK223)-ROUNDDOWN($L224*BK$5/100,0)&lt;-BK$6,-BK$6-SUM(BK$10:BK223),-ROUNDDOWN($L224*BK$5/100,0)),0)</f>
        <v>0</v>
      </c>
      <c r="BL224" s="38">
        <f>IF(AND(BL$7="○",$A224&gt;=BL$8,$A224&lt;=BL$9),IF(SUM(BL$10:BL223)-ROUNDDOWN($L224*BL$5/100,0)&lt;-BL$6,-BL$6-SUM(BL$10:BL223),-ROUNDDOWN($L224*BL$5/100,0)),0)</f>
        <v>0</v>
      </c>
      <c r="BM224" s="38">
        <f>IF(AND(BM$7="○",$A224&gt;=BM$8,$A224&lt;=BM$9),IF(SUM(BM$10:BM223)-ROUNDDOWN($M224*BM$5/100,0)&lt;-BM$6,-BM$6-SUM(BM$10:BM223),-ROUNDDOWN($M224*BM$5/100,0)),0)</f>
        <v>0</v>
      </c>
      <c r="BN224" s="38">
        <f>IF(AND(BN$7="○",$A224&gt;=BN$8,$A224&lt;=BN$9),IF(SUM(BN$10:BN223)-ROUNDDOWN($M224*BN$5/100,0)&lt;-BN$6,-BN$6-SUM(BN$10:BN223),-ROUNDDOWN($M224*BN$5/100,0)),0)</f>
        <v>0</v>
      </c>
      <c r="BO224" s="38">
        <f>IF(AND(BO$7="○",$A224&gt;=BO$8,$A224&lt;=BO$9),IF(SUM(BO$10:BO223)-ROUNDDOWN($M224*BO$5/100,0)&lt;-BO$6,-BO$6-SUM(BO$10:BO223),-ROUNDDOWN($M224*BO$5/100,0)),0)</f>
        <v>0</v>
      </c>
      <c r="BP224" s="38">
        <f>IF(AND(BP$7="○",$A224&gt;=BP$8,$A224&lt;=BP$9),IF(SUM(BP$10:BP223)-ROUNDDOWN($M224*BP$5/100,0)&lt;-BP$6,-BP$6-SUM(BP$10:BP223),-ROUNDDOWN($M224*BP$5/100,0)),0)</f>
        <v>0</v>
      </c>
      <c r="BQ224" s="38">
        <f>IF(AND(BQ$7="○",$A224&gt;=BQ$8,$A224&lt;=BQ$9),IF(SUM(BQ$10:BQ223)-ROUNDDOWN($L224*BQ$5/100,0)&lt;-BQ$6,-BQ$6-SUM(BQ$10:BQ223),-ROUNDDOWN($L224*BQ$5/100,0)),0)</f>
        <v>0</v>
      </c>
      <c r="BR224" s="38">
        <f>IF(AND(BR$7="○",$A224&gt;=BR$8,$A224&lt;=BR$9),IF(SUM(BR$10:BR223)-ROUNDDOWN($M224*BR$5/100,0)&lt;-BR$6,-BR$6-SUM(BR$10:BR223),-ROUNDDOWN($M224*BR$5/100,0)),0)</f>
        <v>0</v>
      </c>
      <c r="BS224" s="38">
        <f>IF(AND(BS$7="○",$A224&gt;=BS$8,$A224&lt;=BS$9),IF(SUM(BS$10:BS223)-ROUNDDOWN($M224*BS$5/100,0)&lt;-BS$6,-BS$6-SUM(BS$10:BS223),-ROUNDDOWN($M224*BS$5/100,0)),0)</f>
        <v>0</v>
      </c>
      <c r="BT224" s="38">
        <f>IF(AND(BT$7="○",$A224&gt;=BT$8,$A224&lt;=BT$9),IF(SUM(BT$10:BT223)-ROUNDDOWN($M224*BT$5/100,0)&lt;-BT$6,-BT$6-SUM(BT$10:BT223),-ROUNDDOWN($M224*BT$5/100,0)),0)</f>
        <v>0</v>
      </c>
      <c r="BU224" s="38">
        <f>IF(AND(BU$7="○",$A224&gt;=BU$8,$A224&lt;=BU$9),IF(SUM(BU$10:BU223)-ROUNDDOWN($M224*BU$5/100,0)&lt;-BU$6,-BU$6-SUM(BU$10:BU223),-ROUNDDOWN($M224*BU$5/100,0)),0)</f>
        <v>0</v>
      </c>
      <c r="BV224" s="38">
        <f>IF(AND(BV$7="○",$A224&gt;=BV$8,$A224&lt;=BV$9),IF(SUM(BV$10:BV223)-ROUNDDOWN($M224*BV$5/100,0)&lt;-BV$6,-BV$6-SUM(BV$10:BV223),-ROUNDDOWN($M224*BV$5/100,0)),0)</f>
        <v>0</v>
      </c>
      <c r="BW224" s="38">
        <f>IF(AND(BW$7="○",$A224&gt;=BW$8,$A224&lt;=BW$9),IF(SUM(BW$10:BW223)-ROUNDDOWN($M224*BW$5/100,0)&lt;-BW$6,-BW$6-SUM(BW$10:BW223),-ROUNDDOWN($M224*BW$5/100,0)),0)</f>
        <v>0</v>
      </c>
      <c r="BX224" s="38">
        <f>IF(AND(T224="○",$A224&gt;=BX$8,$A224&lt;=BX$9),IF(SUM(BX$10:BX223)-ROUNDDOWN($K224*BX$5/100,0)&lt;-BX$6,-BX$6-SUM(BX$10:BX223),-ROUNDDOWN($K224*BX$5/100,0)),0)</f>
        <v>0</v>
      </c>
      <c r="BY224" s="38">
        <f>IF(AND(U224="○",$A224&gt;=BY$8,$A224&lt;=BY$9),IF(SUM(BY$10:BY223)-ROUNDDOWN($K224*BY$5/100,0)&lt;-BY$6,-BY$6-SUM(BY$10:BY223),-ROUNDDOWN($K224*BY$5/100,0)),0)</f>
        <v>0</v>
      </c>
      <c r="BZ224" s="38">
        <f>IF(AND(V224="○",$A224&gt;=BZ$8,$A224&lt;=BZ$9),IF(SUM(BZ$10:BZ223)-ROUNDDOWN($K224*BZ$5/100,0)&lt;-BZ$6,-BZ$6-SUM(BZ$10:BZ223),-ROUNDDOWN($K224*BZ$5/100,0)),0)</f>
        <v>0</v>
      </c>
      <c r="CA224" s="38">
        <f>IF(AND(W224="○",$A224&gt;=CA$8,$A224&lt;=CA$9),IF(SUM(CA$10:CA223)-ROUNDDOWN($K224*CA$5/100,0)&lt;-CA$6,-CA$6-SUM(CA$10:CA223),-ROUNDDOWN($K224*CA$5/100,0)),0)</f>
        <v>0</v>
      </c>
      <c r="CB224" s="38"/>
      <c r="CC224" s="38"/>
      <c r="CD224" s="38"/>
      <c r="CE224" s="38"/>
      <c r="CF224" s="38"/>
      <c r="CG224" s="65">
        <f t="shared" si="184"/>
        <v>0</v>
      </c>
      <c r="CH224" s="71">
        <f t="shared" si="185"/>
        <v>0</v>
      </c>
      <c r="CI224" s="1">
        <f t="shared" si="171"/>
        <v>0</v>
      </c>
      <c r="CJ224" s="1"/>
      <c r="CK224" s="79"/>
      <c r="CL224" s="79"/>
      <c r="CM224" s="2"/>
      <c r="CN224" s="2"/>
      <c r="CO224" s="73">
        <f t="shared" si="172"/>
        <v>0</v>
      </c>
      <c r="CP224" s="5">
        <f t="shared" si="173"/>
        <v>0</v>
      </c>
      <c r="CQ224" s="1"/>
      <c r="CR224" s="1">
        <f t="shared" si="174"/>
        <v>0</v>
      </c>
      <c r="CS224" s="1"/>
      <c r="CT224" s="1" t="e">
        <f>INDEX([2]マスタ!$A:$A,MATCH(D224,[2]マスタ!$C:$C,0))</f>
        <v>#N/A</v>
      </c>
      <c r="CU224" s="1" t="str">
        <f t="shared" ca="1" si="175"/>
        <v>20260620_0-0</v>
      </c>
    </row>
    <row r="225" spans="1:99" x14ac:dyDescent="0.4">
      <c r="A225" s="61"/>
      <c r="B225" s="62"/>
      <c r="C225" s="62"/>
      <c r="D225" s="62"/>
      <c r="E225" s="63"/>
      <c r="F225" s="62"/>
      <c r="G225" s="62">
        <v>1</v>
      </c>
      <c r="H225" s="64">
        <f t="shared" si="162"/>
        <v>0</v>
      </c>
      <c r="I225" s="64"/>
      <c r="J225" s="64"/>
      <c r="K225" s="65">
        <f t="shared" si="186"/>
        <v>0</v>
      </c>
      <c r="L225" s="65">
        <f t="shared" si="164"/>
        <v>0</v>
      </c>
      <c r="M225" s="65">
        <f t="shared" si="165"/>
        <v>0</v>
      </c>
      <c r="N225" s="65">
        <f t="shared" si="166"/>
        <v>0</v>
      </c>
      <c r="O225" s="66" t="str">
        <f t="shared" si="167"/>
        <v>✕</v>
      </c>
      <c r="P225" s="67" t="str">
        <f t="shared" si="168"/>
        <v>○</v>
      </c>
      <c r="Q225" s="67" t="str">
        <f t="shared" si="187"/>
        <v>✕</v>
      </c>
      <c r="R225" s="67" t="str">
        <f t="shared" si="170"/>
        <v>✕</v>
      </c>
      <c r="S225" s="68">
        <v>0</v>
      </c>
      <c r="T225" s="69" t="s">
        <v>85</v>
      </c>
      <c r="U225" s="69" t="s">
        <v>85</v>
      </c>
      <c r="V225" s="69" t="s">
        <v>85</v>
      </c>
      <c r="W225" s="69" t="s">
        <v>85</v>
      </c>
      <c r="X225" s="69" t="s">
        <v>84</v>
      </c>
      <c r="Y225" s="69" t="s">
        <v>85</v>
      </c>
      <c r="Z225" s="69" t="s">
        <v>85</v>
      </c>
      <c r="AA225" s="69" t="s">
        <v>85</v>
      </c>
      <c r="AB225" s="69" t="s">
        <v>85</v>
      </c>
      <c r="AC225" s="69" t="s">
        <v>85</v>
      </c>
      <c r="AD225" s="38" t="str">
        <f>+IF(ISERROR(VLOOKUP($B225,AD$10:AD224,1,0)),IF(AND($N225&gt;=1000,$A225&gt;=AO$8,$A225&lt;=AO$9),$B225,""),"")</f>
        <v/>
      </c>
      <c r="AE225" s="38" t="str">
        <f>+IF(ISERROR(VLOOKUP($B225,AE$10:AE224,1,0)),IF(AND($N225&gt;=1000,$A225&gt;=AP$8,$A225&lt;=AP$9),$B225,""),"")</f>
        <v/>
      </c>
      <c r="AF225" s="38" t="str">
        <f>+IF(ISERROR(VLOOKUP($B225,AF$10:AF224,1,0)),IF(AND($N225&gt;=1000,$A225&gt;=AQ$8,$A225&lt;=AQ$9),$B225,""),"")</f>
        <v/>
      </c>
      <c r="AG225" s="38" t="str">
        <f>+IF(ISERROR(VLOOKUP($B225,AG$10:AG224,1,0)),IF(AND($N225&gt;=1000,$A225&gt;=AR$8,$A225&lt;=AR$9),$B225,""),"")</f>
        <v/>
      </c>
      <c r="AH225" s="38"/>
      <c r="AI225" s="70">
        <v>0</v>
      </c>
      <c r="AJ225" s="38">
        <f>IF(AND(AJ$7="○",$A225&gt;=AJ$8,$A225&lt;=AJ$9),IF(SUM(AJ$10:AJ224)-ROUNDDOWN($K225*AJ$5/100,0)&lt;-AJ$6,-AJ$6-SUM(AJ$10:AJ224),-ROUNDDOWN($K225*AJ$5/100,0)),0)</f>
        <v>0</v>
      </c>
      <c r="AK225" s="38">
        <f>IF(AND(AK$7="○",$A225&gt;=AK$8,$A225&lt;=AK$9),IF(SUM(AK$10:AK224)-ROUNDDOWN($L225*AK$5/100,0)&lt;-AK$6,-AK$6-SUM(AK$10:AK224),-ROUNDDOWN($L225*AK$5/100,0)),0)</f>
        <v>0</v>
      </c>
      <c r="AL225" s="38">
        <f>IF(AND(AL$7="○",$A225&gt;=AL$8,$A225&lt;=AL$9),IF(SUM(AL$10:AL224)-ROUNDDOWN($N225*AL$5/100,0)&lt;-AL$6,-AL$6-SUM(AL$10:AL224),-ROUNDDOWN($N225*AL$5/100,0)),0)</f>
        <v>0</v>
      </c>
      <c r="AM225" s="38">
        <f>IF(AND(AM$7="○",$A225&gt;=AM$8,$A225&lt;=AM$9),IF(SUM(AM$10:AM224)-ROUNDDOWN($L225*AM$5/100,0)&lt;-AM$6,-AM$6-SUM(AM$10:AM224),-ROUNDDOWN($L225*AM$5/100,0)),0)</f>
        <v>0</v>
      </c>
      <c r="AN225" s="38">
        <f>IF(AND(AN$7="○",$A225&gt;=AN$8,$A225&lt;=AN$9),IF(SUM(AN$10:AN224)-ROUNDDOWN($M225*AN$5/100,0)&lt;-AN$6,-AN$6-SUM(AN$10:AN224),-ROUNDDOWN($M225*AN$5/100,0)),0)</f>
        <v>0</v>
      </c>
      <c r="AO225" s="38">
        <f>IF(AND($A225&gt;=AO$8,$A225&lt;=AO$9),IF(SUM(AO$10:AO224)-ROUNDDOWN($K225*AO$5/100,0)&lt;-AO$6,-AO$6-SUM(AO$10:AO224),-ROUNDDOWN($K225*AO$5/100,0)),0)</f>
        <v>0</v>
      </c>
      <c r="AP225" s="38">
        <f>IF(AND($A225&gt;=AP$8,$A225&lt;=AP$9),IF(SUM(AP$10:AP224)-ROUNDDOWN($K225*AP$5/100,0)&lt;-AP$6,-AP$6-SUM(AP$10:AP224),-ROUNDDOWN($K225*AP$5/100,0)),0)</f>
        <v>0</v>
      </c>
      <c r="AQ225" s="38">
        <f>IF(AND($A225&gt;=AQ$8,$A225&lt;=AQ$9),IF(SUM(AQ$10:AQ224)-ROUNDDOWN($K225*AQ$5/100,0)&lt;-AQ$6,-AQ$6-SUM(AQ$10:AQ224),-ROUNDDOWN($K225*AQ$5/100,0)),0)</f>
        <v>0</v>
      </c>
      <c r="AR225" s="38">
        <f>IF(AND($A225&gt;=AR$8,$A225&lt;=AR$9),IF(SUM(AR$10:AR224)-ROUNDDOWN($K225*AR$5/100,0)&lt;-AR$6,-AR$6-SUM(AR$10:AR224),-ROUNDDOWN($K225*AR$5/100,0)),0)</f>
        <v>0</v>
      </c>
      <c r="AS225" s="38">
        <f>IF(SUMIFS(AS$10:AS224,$A$10:$A224,$A225)-ROUNDDOWN($K225*$S225/100,0)&lt;-$S225*1000,-$S225*1000-SUMIFS(AS$10:AS224,$A$10:$A224,$A225),-ROUNDDOWN($K225*$S225/100,0))</f>
        <v>0</v>
      </c>
      <c r="AT225" s="38">
        <f>IF(AND(X225="○",$A225&gt;=AT$8,$A225&lt;=AT$9,K225&gt;=3980),IF(SUM(AT$10:AT224)-ROUNDDOWN($K225*AT$5/100,0)&lt;-AT$6,-AT$6-SUM(AT$10:AT224),-ROUNDDOWN($K225*AT$5/100,0)),0)</f>
        <v>0</v>
      </c>
      <c r="AU225" s="38">
        <f>IF(O225="○",IF(SUM(AU$10:AU224)-ROUNDDOWN($K225*AU$5/100,0)&lt;-AU$6,-AU$6-SUM(AU$10:AU224),-ROUNDDOWN($K225*AU$5/100,0)),0)</f>
        <v>0</v>
      </c>
      <c r="AV225" s="38">
        <f>IF(P225="○",IF(SUM(AV$10:AV224)-ROUNDDOWN($K225*AV$5/100,0)&lt;-AV$6,-AV$6-SUM(AV$10:AV224),-ROUNDDOWN($K225*AV$5/100,0)),0)</f>
        <v>0</v>
      </c>
      <c r="AW225" s="38">
        <f>IF(Q225="○",IF(SUM(AW$10:AW224)-ROUNDDOWN($K225*AW$5/100,0)&lt;-AW$6,-AW$6-SUM(AW$10:AW224),-ROUNDDOWN($K225*AW$5/100,0)),0)</f>
        <v>0</v>
      </c>
      <c r="AX225" s="38">
        <f>IF(R225="○",IF(SUM(AX$10:AX224)-ROUNDDOWN($K225*AX$5/100,0)&lt;-AX$6,-AX$6-SUM(AX$10:AX224),-ROUNDDOWN($K225*AX$5/100,0)),0)</f>
        <v>0</v>
      </c>
      <c r="AY225" s="70">
        <v>0</v>
      </c>
      <c r="AZ225" s="65">
        <f t="shared" si="178"/>
        <v>0</v>
      </c>
      <c r="BA225" s="65">
        <f t="shared" si="179"/>
        <v>0</v>
      </c>
      <c r="BB225" s="70"/>
      <c r="BC225" s="65">
        <f t="shared" si="180"/>
        <v>0</v>
      </c>
      <c r="BD225" s="70">
        <v>0</v>
      </c>
      <c r="BE225" s="65">
        <f t="shared" si="181"/>
        <v>0</v>
      </c>
      <c r="BF225" s="70">
        <v>0</v>
      </c>
      <c r="BG225" s="65">
        <f t="shared" si="182"/>
        <v>0</v>
      </c>
      <c r="BH225" s="70">
        <v>0</v>
      </c>
      <c r="BI225" s="65">
        <f t="shared" si="183"/>
        <v>0</v>
      </c>
      <c r="BJ225" s="38">
        <f>IF(AND(BJ$7="○",$A225&gt;=BJ$8,$A225&lt;=BJ$9),IF(SUM(BJ$10:BJ224)-ROUNDDOWN($M225*BJ$5/100,0)&lt;-BJ$6,-BJ$6-SUM(BJ$10:BJ224),-ROUNDDOWN($M225*BJ$5/100,0)),0)</f>
        <v>0</v>
      </c>
      <c r="BK225" s="38">
        <f>IF(AND(BK$7="○",$A225&gt;=BK$8,$A225&lt;=BK$9),IF(SUM(BK$10:BK224)-ROUNDDOWN($L225*BK$5/100,0)&lt;-BK$6,-BK$6-SUM(BK$10:BK224),-ROUNDDOWN($L225*BK$5/100,0)),0)</f>
        <v>0</v>
      </c>
      <c r="BL225" s="38">
        <f>IF(AND(BL$7="○",$A225&gt;=BL$8,$A225&lt;=BL$9),IF(SUM(BL$10:BL224)-ROUNDDOWN($L225*BL$5/100,0)&lt;-BL$6,-BL$6-SUM(BL$10:BL224),-ROUNDDOWN($L225*BL$5/100,0)),0)</f>
        <v>0</v>
      </c>
      <c r="BM225" s="38">
        <f>IF(AND(BM$7="○",$A225&gt;=BM$8,$A225&lt;=BM$9),IF(SUM(BM$10:BM224)-ROUNDDOWN($M225*BM$5/100,0)&lt;-BM$6,-BM$6-SUM(BM$10:BM224),-ROUNDDOWN($M225*BM$5/100,0)),0)</f>
        <v>0</v>
      </c>
      <c r="BN225" s="38">
        <f>IF(AND(BN$7="○",$A225&gt;=BN$8,$A225&lt;=BN$9),IF(SUM(BN$10:BN224)-ROUNDDOWN($M225*BN$5/100,0)&lt;-BN$6,-BN$6-SUM(BN$10:BN224),-ROUNDDOWN($M225*BN$5/100,0)),0)</f>
        <v>0</v>
      </c>
      <c r="BO225" s="38">
        <f>IF(AND(BO$7="○",$A225&gt;=BO$8,$A225&lt;=BO$9),IF(SUM(BO$10:BO224)-ROUNDDOWN($M225*BO$5/100,0)&lt;-BO$6,-BO$6-SUM(BO$10:BO224),-ROUNDDOWN($M225*BO$5/100,0)),0)</f>
        <v>0</v>
      </c>
      <c r="BP225" s="38">
        <f>IF(AND(BP$7="○",$A225&gt;=BP$8,$A225&lt;=BP$9),IF(SUM(BP$10:BP224)-ROUNDDOWN($M225*BP$5/100,0)&lt;-BP$6,-BP$6-SUM(BP$10:BP224),-ROUNDDOWN($M225*BP$5/100,0)),0)</f>
        <v>0</v>
      </c>
      <c r="BQ225" s="38">
        <f>IF(AND(BQ$7="○",$A225&gt;=BQ$8,$A225&lt;=BQ$9),IF(SUM(BQ$10:BQ224)-ROUNDDOWN($L225*BQ$5/100,0)&lt;-BQ$6,-BQ$6-SUM(BQ$10:BQ224),-ROUNDDOWN($L225*BQ$5/100,0)),0)</f>
        <v>0</v>
      </c>
      <c r="BR225" s="38">
        <f>IF(AND(BR$7="○",$A225&gt;=BR$8,$A225&lt;=BR$9),IF(SUM(BR$10:BR224)-ROUNDDOWN($M225*BR$5/100,0)&lt;-BR$6,-BR$6-SUM(BR$10:BR224),-ROUNDDOWN($M225*BR$5/100,0)),0)</f>
        <v>0</v>
      </c>
      <c r="BS225" s="38">
        <f>IF(AND(BS$7="○",$A225&gt;=BS$8,$A225&lt;=BS$9),IF(SUM(BS$10:BS224)-ROUNDDOWN($M225*BS$5/100,0)&lt;-BS$6,-BS$6-SUM(BS$10:BS224),-ROUNDDOWN($M225*BS$5/100,0)),0)</f>
        <v>0</v>
      </c>
      <c r="BT225" s="38">
        <f>IF(AND(BT$7="○",$A225&gt;=BT$8,$A225&lt;=BT$9),IF(SUM(BT$10:BT224)-ROUNDDOWN($M225*BT$5/100,0)&lt;-BT$6,-BT$6-SUM(BT$10:BT224),-ROUNDDOWN($M225*BT$5/100,0)),0)</f>
        <v>0</v>
      </c>
      <c r="BU225" s="38">
        <f>IF(AND(BU$7="○",$A225&gt;=BU$8,$A225&lt;=BU$9),IF(SUM(BU$10:BU224)-ROUNDDOWN($M225*BU$5/100,0)&lt;-BU$6,-BU$6-SUM(BU$10:BU224),-ROUNDDOWN($M225*BU$5/100,0)),0)</f>
        <v>0</v>
      </c>
      <c r="BV225" s="38">
        <f>IF(AND(BV$7="○",$A225&gt;=BV$8,$A225&lt;=BV$9),IF(SUM(BV$10:BV224)-ROUNDDOWN($M225*BV$5/100,0)&lt;-BV$6,-BV$6-SUM(BV$10:BV224),-ROUNDDOWN($M225*BV$5/100,0)),0)</f>
        <v>0</v>
      </c>
      <c r="BW225" s="38">
        <f>IF(AND(BW$7="○",$A225&gt;=BW$8,$A225&lt;=BW$9),IF(SUM(BW$10:BW224)-ROUNDDOWN($M225*BW$5/100,0)&lt;-BW$6,-BW$6-SUM(BW$10:BW224),-ROUNDDOWN($M225*BW$5/100,0)),0)</f>
        <v>0</v>
      </c>
      <c r="BX225" s="38">
        <f>IF(AND(T225="○",$A225&gt;=BX$8,$A225&lt;=BX$9),IF(SUM(BX$10:BX224)-ROUNDDOWN($K225*BX$5/100,0)&lt;-BX$6,-BX$6-SUM(BX$10:BX224),-ROUNDDOWN($K225*BX$5/100,0)),0)</f>
        <v>0</v>
      </c>
      <c r="BY225" s="38">
        <f>IF(AND(U225="○",$A225&gt;=BY$8,$A225&lt;=BY$9),IF(SUM(BY$10:BY224)-ROUNDDOWN($K225*BY$5/100,0)&lt;-BY$6,-BY$6-SUM(BY$10:BY224),-ROUNDDOWN($K225*BY$5/100,0)),0)</f>
        <v>0</v>
      </c>
      <c r="BZ225" s="38">
        <f>IF(AND(V225="○",$A225&gt;=BZ$8,$A225&lt;=BZ$9),IF(SUM(BZ$10:BZ224)-ROUNDDOWN($K225*BZ$5/100,0)&lt;-BZ$6,-BZ$6-SUM(BZ$10:BZ224),-ROUNDDOWN($K225*BZ$5/100,0)),0)</f>
        <v>0</v>
      </c>
      <c r="CA225" s="38">
        <f>IF(AND(W225="○",$A225&gt;=CA$8,$A225&lt;=CA$9),IF(SUM(CA$10:CA224)-ROUNDDOWN($K225*CA$5/100,0)&lt;-CA$6,-CA$6-SUM(CA$10:CA224),-ROUNDDOWN($K225*CA$5/100,0)),0)</f>
        <v>0</v>
      </c>
      <c r="CB225" s="38"/>
      <c r="CC225" s="38"/>
      <c r="CD225" s="38"/>
      <c r="CE225" s="38"/>
      <c r="CF225" s="38"/>
      <c r="CG225" s="65">
        <f t="shared" si="184"/>
        <v>0</v>
      </c>
      <c r="CH225" s="71">
        <f t="shared" si="185"/>
        <v>0</v>
      </c>
      <c r="CI225" s="1">
        <f t="shared" si="171"/>
        <v>0</v>
      </c>
      <c r="CJ225" s="1"/>
      <c r="CK225" s="2"/>
      <c r="CL225" s="2"/>
      <c r="CM225" s="2"/>
      <c r="CN225" s="2"/>
      <c r="CO225" s="73">
        <f t="shared" si="172"/>
        <v>0</v>
      </c>
      <c r="CP225" s="5">
        <f t="shared" si="173"/>
        <v>0</v>
      </c>
      <c r="CQ225" s="1"/>
      <c r="CR225" s="1">
        <f t="shared" si="174"/>
        <v>0</v>
      </c>
      <c r="CS225" s="1"/>
      <c r="CT225" s="1" t="e">
        <f>INDEX([2]マスタ!$A:$A,MATCH(D225,[2]マスタ!$C:$C,0))</f>
        <v>#N/A</v>
      </c>
      <c r="CU225" s="1" t="str">
        <f t="shared" ca="1" si="175"/>
        <v>20260620_0-0</v>
      </c>
    </row>
    <row r="226" spans="1:99" x14ac:dyDescent="0.4">
      <c r="A226" s="61"/>
      <c r="B226" s="62"/>
      <c r="C226" s="62"/>
      <c r="D226" s="62"/>
      <c r="E226" s="74"/>
      <c r="F226" s="62"/>
      <c r="G226" s="62">
        <v>1</v>
      </c>
      <c r="H226" s="64">
        <f t="shared" si="4"/>
        <v>0</v>
      </c>
      <c r="I226" s="64"/>
      <c r="J226" s="64"/>
      <c r="K226" s="65">
        <f t="shared" ref="K226:K237" si="188">+ROUNDDOWN((H226+I226)/100,0)*100</f>
        <v>0</v>
      </c>
      <c r="L226" s="65">
        <f t="shared" si="6"/>
        <v>0</v>
      </c>
      <c r="M226" s="65">
        <f t="shared" si="7"/>
        <v>0</v>
      </c>
      <c r="N226" s="65">
        <f t="shared" si="8"/>
        <v>0</v>
      </c>
      <c r="O226" s="66" t="str">
        <f t="shared" ref="O226:O255" si="189">IF(OR(WEEKDAY($A226,2)=2,WEEKDAY($A226,2)=4),"○","✕")</f>
        <v>✕</v>
      </c>
      <c r="P226" s="67" t="str">
        <f t="shared" ref="P226:P255" si="190">+IF(MOD(TEXT($A226,"DD"),5)=0,"○","✕")</f>
        <v>○</v>
      </c>
      <c r="Q226" s="67" t="str">
        <f t="shared" ref="Q226:Q237" si="191">+IF((TEXT($A226,"DD")+0)=1,"○","✕")</f>
        <v>✕</v>
      </c>
      <c r="R226" s="67" t="str">
        <f t="shared" ref="R226:R255" si="192">+IF((TEXT($A226,"DD")+0)=18,"○","✕")</f>
        <v>✕</v>
      </c>
      <c r="S226" s="68">
        <v>0</v>
      </c>
      <c r="T226" s="69" t="s">
        <v>85</v>
      </c>
      <c r="U226" s="69" t="s">
        <v>85</v>
      </c>
      <c r="V226" s="69" t="s">
        <v>85</v>
      </c>
      <c r="W226" s="69" t="s">
        <v>85</v>
      </c>
      <c r="X226" s="69" t="s">
        <v>84</v>
      </c>
      <c r="Y226" s="69" t="s">
        <v>85</v>
      </c>
      <c r="Z226" s="69" t="s">
        <v>85</v>
      </c>
      <c r="AA226" s="69" t="s">
        <v>85</v>
      </c>
      <c r="AB226" s="69" t="s">
        <v>85</v>
      </c>
      <c r="AC226" s="69" t="s">
        <v>85</v>
      </c>
      <c r="AD226" s="38" t="str">
        <f>+IF(ISERROR(VLOOKUP($B226,#REF!,1,0)),IF(AND($N226&gt;=1000,$A226&gt;=AO$8,$A226&lt;=AO$9),$B226,""),"")</f>
        <v/>
      </c>
      <c r="AE226" s="38" t="str">
        <f>+IF(ISERROR(VLOOKUP($B226,#REF!,1,0)),IF(AND($N226&gt;=1000,$A226&gt;=AP$8,$A226&lt;=AP$9),$B226,""),"")</f>
        <v/>
      </c>
      <c r="AF226" s="38" t="str">
        <f>+IF(ISERROR(VLOOKUP($B226,#REF!,1,0)),IF(AND($N226&gt;=1000,$A226&gt;=AQ$8,$A226&lt;=AQ$9),$B226,""),"")</f>
        <v/>
      </c>
      <c r="AG226" s="38" t="str">
        <f>+IF(ISERROR(VLOOKUP($B226,#REF!,1,0)),IF(AND($N226&gt;=1000,$A226&gt;=AR$8,$A226&lt;=AR$9),$B226,""),"")</f>
        <v/>
      </c>
      <c r="AH226" s="38"/>
      <c r="AI226" s="70">
        <v>0</v>
      </c>
      <c r="AJ226" s="38">
        <f>IF(AND(AJ$7="○",$A226&gt;=AJ$8,$A226&lt;=AJ$9),IF(SUM(AJ$10:AJ225)-ROUNDDOWN($K226*AJ$5/100,0)&lt;-AJ$6,-AJ$6-SUM(AJ$10:AJ225),-ROUNDDOWN($K226*AJ$5/100,0)),0)</f>
        <v>0</v>
      </c>
      <c r="AK226" s="38">
        <f>IF(AND(AK$7="○",$A226&gt;=AK$8,$A226&lt;=AK$9),IF(SUM(AK$10:AK225)-ROUNDDOWN($L226*AK$5/100,0)&lt;-AK$6,-AK$6-SUM(AK$10:AK225),-ROUNDDOWN($L226*AK$5/100,0)),0)</f>
        <v>0</v>
      </c>
      <c r="AL226" s="38">
        <f>IF(AND(AL$7="○",$A226&gt;=AL$8,$A226&lt;=AL$9),IF(SUM(AL$10:AL225)-ROUNDDOWN($N226*AL$5/100,0)&lt;-AL$6,-AL$6-SUM(AL$10:AL225),-ROUNDDOWN($N226*AL$5/100,0)),0)</f>
        <v>0</v>
      </c>
      <c r="AM226" s="38">
        <f>IF(AND(AM$7="○",$A226&gt;=AM$8,$A226&lt;=AM$9),IF(SUM(AM$10:AM225)-ROUNDDOWN($L226*AM$5/100,0)&lt;-AM$6,-AM$6-SUM(AM$10:AM225),-ROUNDDOWN($L226*AM$5/100,0)),0)</f>
        <v>0</v>
      </c>
      <c r="AN226" s="38">
        <f>IF(AND(AN$7="○",$A226&gt;=AN$8,$A226&lt;=AN$9),IF(SUM(AN$10:AN225)-ROUNDDOWN($M226*AN$5/100,0)&lt;-AN$6,-AN$6-SUM(AN$10:AN225),-ROUNDDOWN($M226*AN$5/100,0)),0)</f>
        <v>0</v>
      </c>
      <c r="AO226" s="38">
        <f>IF(AND($A226&gt;=AO$8,$A226&lt;=AO$9),IF(SUM(AO$10:AO225)-ROUNDDOWN($K226*AO$5/100,0)&lt;-AO$6,-AO$6-SUM(AO$10:AO225),-ROUNDDOWN($K226*AO$5/100,0)),0)</f>
        <v>0</v>
      </c>
      <c r="AP226" s="38">
        <f>IF(AND($A226&gt;=AP$8,$A226&lt;=AP$9),IF(SUM(AP$10:AP225)-ROUNDDOWN($K226*AP$5/100,0)&lt;-AP$6,-AP$6-SUM(AP$10:AP225),-ROUNDDOWN($K226*AP$5/100,0)),0)</f>
        <v>0</v>
      </c>
      <c r="AQ226" s="38">
        <f>IF(AND($A226&gt;=AQ$8,$A226&lt;=AQ$9),IF(SUM(AQ$10:AQ225)-ROUNDDOWN($K226*AQ$5/100,0)&lt;-AQ$6,-AQ$6-SUM(AQ$10:AQ225),-ROUNDDOWN($K226*AQ$5/100,0)),0)</f>
        <v>0</v>
      </c>
      <c r="AR226" s="38">
        <f>IF(AND($A226&gt;=AR$8,$A226&lt;=AR$9),IF(SUM(AR$10:AR225)-ROUNDDOWN($K226*AR$5/100,0)&lt;-AR$6,-AR$6-SUM(AR$10:AR225),-ROUNDDOWN($K226*AR$5/100,0)),0)</f>
        <v>0</v>
      </c>
      <c r="AS226" s="38">
        <f>IF(SUMIFS(AS$10:AS225,$A$10:$A225,$A226)-ROUNDDOWN($K226*$S226/100,0)&lt;-$S226*1000,-$S226*1000-SUMIFS(AS$10:AS225,$A$10:$A225,$A226),-ROUNDDOWN($K226*$S226/100,0))</f>
        <v>0</v>
      </c>
      <c r="AT226" s="38">
        <f>IF(AND(X226="○",$A226&gt;=AT$8,$A226&lt;=AT$9,K226&gt;=3980),IF(SUM(AT$10:AT225)-ROUNDDOWN($K226*AT$5/100,0)&lt;-AT$6,-AT$6-SUM(AT$10:AT225),-ROUNDDOWN($K226*AT$5/100,0)),0)</f>
        <v>0</v>
      </c>
      <c r="AU226" s="38">
        <f>IF(O226="○",IF(SUM(AU$10:AU225)-ROUNDDOWN($K226*AU$5/100,0)&lt;-AU$6,-AU$6-SUM(AU$10:AU225),-ROUNDDOWN($K226*AU$5/100,0)),0)</f>
        <v>0</v>
      </c>
      <c r="AV226" s="38">
        <f>IF(P226="○",IF(SUM(AV$10:AV225)-ROUNDDOWN($K226*AV$5/100,0)&lt;-AV$6,-AV$6-SUM(AV$10:AV225),-ROUNDDOWN($K226*AV$5/100,0)),0)</f>
        <v>0</v>
      </c>
      <c r="AW226" s="38">
        <f>IF(Q226="○",IF(SUM(AW$10:AW225)-ROUNDDOWN($K226*AW$5/100,0)&lt;-AW$6,-AW$6-SUM(AW$10:AW225),-ROUNDDOWN($K226*AW$5/100,0)),0)</f>
        <v>0</v>
      </c>
      <c r="AX226" s="38">
        <f>IF(R226="○",IF(SUM(AX$10:AX225)-ROUNDDOWN($K226*AX$5/100,0)&lt;-AX$6,-AX$6-SUM(AX$10:AX225),-ROUNDDOWN($K226*AX$5/100,0)),0)</f>
        <v>0</v>
      </c>
      <c r="AY226" s="70">
        <v>0</v>
      </c>
      <c r="AZ226" s="65">
        <f t="shared" si="178"/>
        <v>0</v>
      </c>
      <c r="BA226" s="65">
        <f t="shared" si="179"/>
        <v>0</v>
      </c>
      <c r="BB226" s="70"/>
      <c r="BC226" s="65">
        <f t="shared" si="180"/>
        <v>0</v>
      </c>
      <c r="BD226" s="70">
        <v>0</v>
      </c>
      <c r="BE226" s="65">
        <f t="shared" si="181"/>
        <v>0</v>
      </c>
      <c r="BF226" s="70">
        <v>0</v>
      </c>
      <c r="BG226" s="65">
        <f t="shared" si="182"/>
        <v>0</v>
      </c>
      <c r="BH226" s="70">
        <v>0</v>
      </c>
      <c r="BI226" s="65">
        <f t="shared" si="183"/>
        <v>0</v>
      </c>
      <c r="BJ226" s="38">
        <f>IF(AND(BJ$7="○",$A226&gt;=BJ$8,$A226&lt;=BJ$9),IF(SUM(BJ$10:BJ225)-ROUNDDOWN($M226*BJ$5/100,0)&lt;-BJ$6,-BJ$6-SUM(BJ$10:BJ225),-ROUNDDOWN($M226*BJ$5/100,0)),0)</f>
        <v>0</v>
      </c>
      <c r="BK226" s="38">
        <f>IF(AND(BK$7="○",$A226&gt;=BK$8,$A226&lt;=BK$9),IF(SUM(BK$10:BK225)-ROUNDDOWN($L226*BK$5/100,0)&lt;-BK$6,-BK$6-SUM(BK$10:BK225),-ROUNDDOWN($L226*BK$5/100,0)),0)</f>
        <v>0</v>
      </c>
      <c r="BL226" s="38">
        <f>IF(AND(BL$7="○",$A226&gt;=BL$8,$A226&lt;=BL$9),IF(SUM(BL$10:BL225)-ROUNDDOWN($L226*BL$5/100,0)&lt;-BL$6,-BL$6-SUM(BL$10:BL225),-ROUNDDOWN($L226*BL$5/100,0)),0)</f>
        <v>0</v>
      </c>
      <c r="BM226" s="38">
        <f>IF(AND(BM$7="○",$A226&gt;=BM$8,$A226&lt;=BM$9),IF(SUM(BM$10:BM225)-ROUNDDOWN($M226*BM$5/100,0)&lt;-BM$6,-BM$6-SUM(BM$10:BM225),-ROUNDDOWN($M226*BM$5/100,0)),0)</f>
        <v>0</v>
      </c>
      <c r="BN226" s="38">
        <f>IF(AND(BN$7="○",$A226&gt;=BN$8,$A226&lt;=BN$9),IF(SUM(BN$10:BN225)-ROUNDDOWN($M226*BN$5/100,0)&lt;-BN$6,-BN$6-SUM(BN$10:BN225),-ROUNDDOWN($M226*BN$5/100,0)),0)</f>
        <v>0</v>
      </c>
      <c r="BO226" s="38">
        <f>IF(AND(BO$7="○",$A226&gt;=BO$8,$A226&lt;=BO$9),IF(SUM(BO$10:BO225)-ROUNDDOWN($M226*BO$5/100,0)&lt;-BO$6,-BO$6-SUM(BO$10:BO225),-ROUNDDOWN($M226*BO$5/100,0)),0)</f>
        <v>0</v>
      </c>
      <c r="BP226" s="38">
        <f>IF(AND(BP$7="○",$A226&gt;=BP$8,$A226&lt;=BP$9),IF(SUM(BP$10:BP225)-ROUNDDOWN($M226*BP$5/100,0)&lt;-BP$6,-BP$6-SUM(BP$10:BP225),-ROUNDDOWN($M226*BP$5/100,0)),0)</f>
        <v>0</v>
      </c>
      <c r="BQ226" s="38">
        <f>IF(AND(BQ$7="○",$A226&gt;=BQ$8,$A226&lt;=BQ$9),IF(SUM(BQ$10:BQ225)-ROUNDDOWN($L226*BQ$5/100,0)&lt;-BQ$6,-BQ$6-SUM(BQ$10:BQ225),-ROUNDDOWN($L226*BQ$5/100,0)),0)</f>
        <v>0</v>
      </c>
      <c r="BR226" s="38">
        <f>IF(AND(BR$7="○",$A226&gt;=BR$8,$A226&lt;=BR$9),IF(SUM(BR$10:BR225)-ROUNDDOWN($M226*BR$5/100,0)&lt;-BR$6,-BR$6-SUM(BR$10:BR225),-ROUNDDOWN($M226*BR$5/100,0)),0)</f>
        <v>0</v>
      </c>
      <c r="BS226" s="38">
        <f>IF(AND(BS$7="○",$A226&gt;=BS$8,$A226&lt;=BS$9),IF(SUM(BS$10:BS225)-ROUNDDOWN($M226*BS$5/100,0)&lt;-BS$6,-BS$6-SUM(BS$10:BS225),-ROUNDDOWN($M226*BS$5/100,0)),0)</f>
        <v>0</v>
      </c>
      <c r="BT226" s="38">
        <f>IF(AND(BT$7="○",$A226&gt;=BT$8,$A226&lt;=BT$9),IF(SUM(BT$10:BT225)-ROUNDDOWN($M226*BT$5/100,0)&lt;-BT$6,-BT$6-SUM(BT$10:BT225),-ROUNDDOWN($M226*BT$5/100,0)),0)</f>
        <v>0</v>
      </c>
      <c r="BU226" s="38">
        <f>IF(AND(BU$7="○",$A226&gt;=BU$8,$A226&lt;=BU$9),IF(SUM(BU$10:BU225)-ROUNDDOWN($M226*BU$5/100,0)&lt;-BU$6,-BU$6-SUM(BU$10:BU225),-ROUNDDOWN($M226*BU$5/100,0)),0)</f>
        <v>0</v>
      </c>
      <c r="BV226" s="38">
        <f>IF(AND(BV$7="○",$A226&gt;=BV$8,$A226&lt;=BV$9),IF(SUM(BV$10:BV225)-ROUNDDOWN($M226*BV$5/100,0)&lt;-BV$6,-BV$6-SUM(BV$10:BV225),-ROUNDDOWN($M226*BV$5/100,0)),0)</f>
        <v>0</v>
      </c>
      <c r="BW226" s="38">
        <f>IF(AND(BW$7="○",$A226&gt;=BW$8,$A226&lt;=BW$9),IF(SUM(BW$10:BW225)-ROUNDDOWN($M226*BW$5/100,0)&lt;-BW$6,-BW$6-SUM(BW$10:BW225),-ROUNDDOWN($M226*BW$5/100,0)),0)</f>
        <v>0</v>
      </c>
      <c r="BX226" s="38">
        <f>IF(AND(T226="○",$A226&gt;=BX$8,$A226&lt;=BX$9),IF(SUM(BX$10:BX225)-ROUNDDOWN($K226*BX$5/100,0)&lt;-BX$6,-BX$6-SUM(BX$10:BX225),-ROUNDDOWN($K226*BX$5/100,0)),0)</f>
        <v>0</v>
      </c>
      <c r="BY226" s="38">
        <f>IF(AND(U226="○",$A226&gt;=BY$8,$A226&lt;=BY$9),IF(SUM(BY$10:BY225)-ROUNDDOWN($K226*BY$5/100,0)&lt;-BY$6,-BY$6-SUM(BY$10:BY225),-ROUNDDOWN($K226*BY$5/100,0)),0)</f>
        <v>0</v>
      </c>
      <c r="BZ226" s="38">
        <f>IF(AND(V226="○",$A226&gt;=BZ$8,$A226&lt;=BZ$9),IF(SUM(BZ$10:BZ225)-ROUNDDOWN($K226*BZ$5/100,0)&lt;-BZ$6,-BZ$6-SUM(BZ$10:BZ225),-ROUNDDOWN($K226*BZ$5/100,0)),0)</f>
        <v>0</v>
      </c>
      <c r="CA226" s="38">
        <f>IF(AND(W226="○",$A226&gt;=CA$8,$A226&lt;=CA$9),IF(SUM(CA$10:CA225)-ROUNDDOWN($K226*CA$5/100,0)&lt;-CA$6,-CA$6-SUM(CA$10:CA225),-ROUNDDOWN($K226*CA$5/100,0)),0)</f>
        <v>0</v>
      </c>
      <c r="CB226" s="38"/>
      <c r="CC226" s="38"/>
      <c r="CD226" s="38"/>
      <c r="CE226" s="38"/>
      <c r="CF226" s="38"/>
      <c r="CG226" s="65">
        <f t="shared" si="184"/>
        <v>0</v>
      </c>
      <c r="CH226" s="71">
        <f t="shared" si="185"/>
        <v>0</v>
      </c>
      <c r="CI226" s="1">
        <f t="shared" si="19"/>
        <v>0</v>
      </c>
      <c r="CJ226" s="1"/>
      <c r="CK226" s="72"/>
      <c r="CL226" s="72"/>
      <c r="CM226" s="2"/>
      <c r="CN226" s="2"/>
      <c r="CO226" s="73">
        <f t="shared" si="20"/>
        <v>0</v>
      </c>
      <c r="CP226" s="5">
        <f t="shared" si="21"/>
        <v>0</v>
      </c>
      <c r="CQ226" s="1"/>
      <c r="CR226" s="1">
        <f t="shared" si="22"/>
        <v>0</v>
      </c>
      <c r="CS226" s="1"/>
      <c r="CT226" s="1" t="e">
        <f>INDEX([2]マスタ!$A:$A,MATCH(D226,[2]マスタ!$C:$C,0))</f>
        <v>#N/A</v>
      </c>
      <c r="CU226" s="1" t="str">
        <f t="shared" ca="1" si="23"/>
        <v>20260620_0-0</v>
      </c>
    </row>
    <row r="227" spans="1:99" x14ac:dyDescent="0.4">
      <c r="A227" s="61"/>
      <c r="B227" s="62"/>
      <c r="C227" s="62"/>
      <c r="D227" s="62"/>
      <c r="E227" s="76"/>
      <c r="F227" s="62"/>
      <c r="G227" s="62">
        <v>1</v>
      </c>
      <c r="H227" s="64">
        <f t="shared" si="4"/>
        <v>0</v>
      </c>
      <c r="I227" s="64"/>
      <c r="J227" s="64"/>
      <c r="K227" s="65">
        <f t="shared" si="188"/>
        <v>0</v>
      </c>
      <c r="L227" s="65">
        <f t="shared" si="6"/>
        <v>0</v>
      </c>
      <c r="M227" s="65">
        <f t="shared" si="7"/>
        <v>0</v>
      </c>
      <c r="N227" s="65">
        <f t="shared" si="8"/>
        <v>0</v>
      </c>
      <c r="O227" s="66" t="str">
        <f t="shared" si="189"/>
        <v>✕</v>
      </c>
      <c r="P227" s="67" t="str">
        <f t="shared" si="190"/>
        <v>○</v>
      </c>
      <c r="Q227" s="67" t="str">
        <f t="shared" si="191"/>
        <v>✕</v>
      </c>
      <c r="R227" s="67" t="str">
        <f t="shared" si="192"/>
        <v>✕</v>
      </c>
      <c r="S227" s="68">
        <v>0</v>
      </c>
      <c r="T227" s="69" t="s">
        <v>85</v>
      </c>
      <c r="U227" s="69" t="s">
        <v>85</v>
      </c>
      <c r="V227" s="69" t="s">
        <v>85</v>
      </c>
      <c r="W227" s="69" t="s">
        <v>85</v>
      </c>
      <c r="X227" s="69" t="s">
        <v>84</v>
      </c>
      <c r="Y227" s="69" t="s">
        <v>85</v>
      </c>
      <c r="Z227" s="69" t="s">
        <v>85</v>
      </c>
      <c r="AA227" s="69" t="s">
        <v>85</v>
      </c>
      <c r="AB227" s="69" t="s">
        <v>85</v>
      </c>
      <c r="AC227" s="69" t="s">
        <v>85</v>
      </c>
      <c r="AD227" s="38" t="str">
        <f>+IF(ISERROR(VLOOKUP($B227,AD$10:AD226,1,0)),IF(AND($N227&gt;=1000,$A227&gt;=AO$8,$A227&lt;=AO$9),$B227,""),"")</f>
        <v/>
      </c>
      <c r="AE227" s="38" t="str">
        <f>+IF(ISERROR(VLOOKUP($B227,AE$10:AE226,1,0)),IF(AND($N227&gt;=1000,$A227&gt;=AP$8,$A227&lt;=AP$9),$B227,""),"")</f>
        <v/>
      </c>
      <c r="AF227" s="38" t="str">
        <f>+IF(ISERROR(VLOOKUP($B227,AF$10:AF226,1,0)),IF(AND($N227&gt;=1000,$A227&gt;=AQ$8,$A227&lt;=AQ$9),$B227,""),"")</f>
        <v/>
      </c>
      <c r="AG227" s="38" t="str">
        <f>+IF(ISERROR(VLOOKUP($B227,AG$10:AG226,1,0)),IF(AND($N227&gt;=1000,$A227&gt;=AR$8,$A227&lt;=AR$9),$B227,""),"")</f>
        <v/>
      </c>
      <c r="AH227" s="38"/>
      <c r="AI227" s="70">
        <v>0</v>
      </c>
      <c r="AJ227" s="38">
        <f>IF(AND(AJ$7="○",$A227&gt;=AJ$8,$A227&lt;=AJ$9),IF(SUM(AJ$10:AJ226)-ROUNDDOWN($K227*AJ$5/100,0)&lt;-AJ$6,-AJ$6-SUM(AJ$10:AJ226),-ROUNDDOWN($K227*AJ$5/100,0)),0)</f>
        <v>0</v>
      </c>
      <c r="AK227" s="38">
        <f>IF(AND(AK$7="○",$A227&gt;=AK$8,$A227&lt;=AK$9),IF(SUM(AK$10:AK226)-ROUNDDOWN($L227*AK$5/100,0)&lt;-AK$6,-AK$6-SUM(AK$10:AK226),-ROUNDDOWN($L227*AK$5/100,0)),0)</f>
        <v>0</v>
      </c>
      <c r="AL227" s="38">
        <f>IF(AND(AL$7="○",$A227&gt;=AL$8,$A227&lt;=AL$9),IF(SUM(AL$10:AL226)-ROUNDDOWN($N227*AL$5/100,0)&lt;-AL$6,-AL$6-SUM(AL$10:AL226),-ROUNDDOWN($N227*AL$5/100,0)),0)</f>
        <v>0</v>
      </c>
      <c r="AM227" s="38">
        <f>IF(AND(AM$7="○",$A227&gt;=AM$8,$A227&lt;=AM$9),IF(SUM(AM$10:AM226)-ROUNDDOWN($L227*AM$5/100,0)&lt;-AM$6,-AM$6-SUM(AM$10:AM226),-ROUNDDOWN($L227*AM$5/100,0)),0)</f>
        <v>0</v>
      </c>
      <c r="AN227" s="38">
        <f>IF(AND(AN$7="○",$A227&gt;=AN$8,$A227&lt;=AN$9),IF(SUM(AN$10:AN226)-ROUNDDOWN($M227*AN$5/100,0)&lt;-AN$6,-AN$6-SUM(AN$10:AN226),-ROUNDDOWN($M227*AN$5/100,0)),0)</f>
        <v>0</v>
      </c>
      <c r="AO227" s="38">
        <f>IF(AND($A227&gt;=AO$8,$A227&lt;=AO$9),IF(SUM(AO$10:AO226)-ROUNDDOWN($K227*AO$5/100,0)&lt;-AO$6,-AO$6-SUM(AO$10:AO226),-ROUNDDOWN($K227*AO$5/100,0)),0)</f>
        <v>0</v>
      </c>
      <c r="AP227" s="38">
        <f>IF(AND($A227&gt;=AP$8,$A227&lt;=AP$9),IF(SUM(AP$10:AP226)-ROUNDDOWN($K227*AP$5/100,0)&lt;-AP$6,-AP$6-SUM(AP$10:AP226),-ROUNDDOWN($K227*AP$5/100,0)),0)</f>
        <v>0</v>
      </c>
      <c r="AQ227" s="38">
        <f>IF(AND($A227&gt;=AQ$8,$A227&lt;=AQ$9),IF(SUM(AQ$10:AQ226)-ROUNDDOWN($K227*AQ$5/100,0)&lt;-AQ$6,-AQ$6-SUM(AQ$10:AQ226),-ROUNDDOWN($K227*AQ$5/100,0)),0)</f>
        <v>0</v>
      </c>
      <c r="AR227" s="38">
        <f>IF(AND($A227&gt;=AR$8,$A227&lt;=AR$9),IF(SUM(AR$10:AR226)-ROUNDDOWN($K227*AR$5/100,0)&lt;-AR$6,-AR$6-SUM(AR$10:AR226),-ROUNDDOWN($K227*AR$5/100,0)),0)</f>
        <v>0</v>
      </c>
      <c r="AS227" s="38">
        <f>IF(SUMIFS(AS$10:AS226,$A$10:$A226,$A227)-ROUNDDOWN($K227*$S227/100,0)&lt;-$S227*1000,-$S227*1000-SUMIFS(AS$10:AS226,$A$10:$A226,$A227),-ROUNDDOWN($K227*$S227/100,0))</f>
        <v>0</v>
      </c>
      <c r="AT227" s="38">
        <f>IF(AND(X227="○",$A227&gt;=AT$8,$A227&lt;=AT$9,K227&gt;=3980),IF(SUM(AT$10:AT226)-ROUNDDOWN($K227*AT$5/100,0)&lt;-AT$6,-AT$6-SUM(AT$10:AT226),-ROUNDDOWN($K227*AT$5/100,0)),0)</f>
        <v>0</v>
      </c>
      <c r="AU227" s="38">
        <f>IF(O227="○",IF(SUM(AU$10:AU226)-ROUNDDOWN($K227*AU$5/100,0)&lt;-AU$6,-AU$6-SUM(AU$10:AU226),-ROUNDDOWN($K227*AU$5/100,0)),0)</f>
        <v>0</v>
      </c>
      <c r="AV227" s="38">
        <f>IF(P227="○",IF(SUM(AV$10:AV226)-ROUNDDOWN($K227*AV$5/100,0)&lt;-AV$6,-AV$6-SUM(AV$10:AV226),-ROUNDDOWN($K227*AV$5/100,0)),0)</f>
        <v>0</v>
      </c>
      <c r="AW227" s="38">
        <f>IF(Q227="○",IF(SUM(AW$10:AW226)-ROUNDDOWN($K227*AW$5/100,0)&lt;-AW$6,-AW$6-SUM(AW$10:AW226),-ROUNDDOWN($K227*AW$5/100,0)),0)</f>
        <v>0</v>
      </c>
      <c r="AX227" s="38">
        <f>IF(R227="○",IF(SUM(AX$10:AX226)-ROUNDDOWN($K227*AX$5/100,0)&lt;-AX$6,-AX$6-SUM(AX$10:AX226),-ROUNDDOWN($K227*AX$5/100,0)),0)</f>
        <v>0</v>
      </c>
      <c r="AY227" s="70">
        <v>0</v>
      </c>
      <c r="AZ227" s="65">
        <f t="shared" si="178"/>
        <v>0</v>
      </c>
      <c r="BA227" s="65">
        <f t="shared" si="179"/>
        <v>0</v>
      </c>
      <c r="BB227" s="70"/>
      <c r="BC227" s="65">
        <f t="shared" si="180"/>
        <v>0</v>
      </c>
      <c r="BD227" s="70">
        <v>0</v>
      </c>
      <c r="BE227" s="65">
        <f t="shared" si="181"/>
        <v>0</v>
      </c>
      <c r="BF227" s="70">
        <v>0</v>
      </c>
      <c r="BG227" s="65">
        <f t="shared" si="182"/>
        <v>0</v>
      </c>
      <c r="BH227" s="70">
        <v>0</v>
      </c>
      <c r="BI227" s="65">
        <f t="shared" si="183"/>
        <v>0</v>
      </c>
      <c r="BJ227" s="38">
        <f>IF(AND(BJ$7="○",$A227&gt;=BJ$8,$A227&lt;=BJ$9),IF(SUM(BJ$10:BJ226)-ROUNDDOWN($M227*BJ$5/100,0)&lt;-BJ$6,-BJ$6-SUM(BJ$10:BJ226),-ROUNDDOWN($M227*BJ$5/100,0)),0)</f>
        <v>0</v>
      </c>
      <c r="BK227" s="38">
        <f>IF(AND(BK$7="○",$A227&gt;=BK$8,$A227&lt;=BK$9),IF(SUM(BK$10:BK226)-ROUNDDOWN($L227*BK$5/100,0)&lt;-BK$6,-BK$6-SUM(BK$10:BK226),-ROUNDDOWN($L227*BK$5/100,0)),0)</f>
        <v>0</v>
      </c>
      <c r="BL227" s="38">
        <f>IF(AND(BL$7="○",$A227&gt;=BL$8,$A227&lt;=BL$9),IF(SUM(BL$10:BL226)-ROUNDDOWN($L227*BL$5/100,0)&lt;-BL$6,-BL$6-SUM(BL$10:BL226),-ROUNDDOWN($L227*BL$5/100,0)),0)</f>
        <v>0</v>
      </c>
      <c r="BM227" s="38">
        <f>IF(AND(BM$7="○",$A227&gt;=BM$8,$A227&lt;=BM$9),IF(SUM(BM$10:BM226)-ROUNDDOWN($M227*BM$5/100,0)&lt;-BM$6,-BM$6-SUM(BM$10:BM226),-ROUNDDOWN($M227*BM$5/100,0)),0)</f>
        <v>0</v>
      </c>
      <c r="BN227" s="38">
        <f>IF(AND(BN$7="○",$A227&gt;=BN$8,$A227&lt;=BN$9),IF(SUM(BN$10:BN226)-ROUNDDOWN($M227*BN$5/100,0)&lt;-BN$6,-BN$6-SUM(BN$10:BN226),-ROUNDDOWN($M227*BN$5/100,0)),0)</f>
        <v>0</v>
      </c>
      <c r="BO227" s="38">
        <f>IF(AND(BO$7="○",$A227&gt;=BO$8,$A227&lt;=BO$9),IF(SUM(BO$10:BO226)-ROUNDDOWN($M227*BO$5/100,0)&lt;-BO$6,-BO$6-SUM(BO$10:BO226),-ROUNDDOWN($M227*BO$5/100,0)),0)</f>
        <v>0</v>
      </c>
      <c r="BP227" s="38">
        <f>IF(AND(BP$7="○",$A227&gt;=BP$8,$A227&lt;=BP$9),IF(SUM(BP$10:BP226)-ROUNDDOWN($M227*BP$5/100,0)&lt;-BP$6,-BP$6-SUM(BP$10:BP226),-ROUNDDOWN($M227*BP$5/100,0)),0)</f>
        <v>0</v>
      </c>
      <c r="BQ227" s="38">
        <f>IF(AND(BQ$7="○",$A227&gt;=BQ$8,$A227&lt;=BQ$9),IF(SUM(BQ$10:BQ226)-ROUNDDOWN($L227*BQ$5/100,0)&lt;-BQ$6,-BQ$6-SUM(BQ$10:BQ226),-ROUNDDOWN($L227*BQ$5/100,0)),0)</f>
        <v>0</v>
      </c>
      <c r="BR227" s="38">
        <f>IF(AND(BR$7="○",$A227&gt;=BR$8,$A227&lt;=BR$9),IF(SUM(BR$10:BR226)-ROUNDDOWN($M227*BR$5/100,0)&lt;-BR$6,-BR$6-SUM(BR$10:BR226),-ROUNDDOWN($M227*BR$5/100,0)),0)</f>
        <v>0</v>
      </c>
      <c r="BS227" s="38">
        <f>IF(AND(BS$7="○",$A227&gt;=BS$8,$A227&lt;=BS$9),IF(SUM(BS$10:BS226)-ROUNDDOWN($M227*BS$5/100,0)&lt;-BS$6,-BS$6-SUM(BS$10:BS226),-ROUNDDOWN($M227*BS$5/100,0)),0)</f>
        <v>0</v>
      </c>
      <c r="BT227" s="38">
        <f>IF(AND(BT$7="○",$A227&gt;=BT$8,$A227&lt;=BT$9),IF(SUM(BT$10:BT226)-ROUNDDOWN($M227*BT$5/100,0)&lt;-BT$6,-BT$6-SUM(BT$10:BT226),-ROUNDDOWN($M227*BT$5/100,0)),0)</f>
        <v>0</v>
      </c>
      <c r="BU227" s="38">
        <f>IF(AND(BU$7="○",$A227&gt;=BU$8,$A227&lt;=BU$9),IF(SUM(BU$10:BU226)-ROUNDDOWN($M227*BU$5/100,0)&lt;-BU$6,-BU$6-SUM(BU$10:BU226),-ROUNDDOWN($M227*BU$5/100,0)),0)</f>
        <v>0</v>
      </c>
      <c r="BV227" s="38">
        <f>IF(AND(BV$7="○",$A227&gt;=BV$8,$A227&lt;=BV$9),IF(SUM(BV$10:BV226)-ROUNDDOWN($M227*BV$5/100,0)&lt;-BV$6,-BV$6-SUM(BV$10:BV226),-ROUNDDOWN($M227*BV$5/100,0)),0)</f>
        <v>0</v>
      </c>
      <c r="BW227" s="38">
        <f>IF(AND(BW$7="○",$A227&gt;=BW$8,$A227&lt;=BW$9),IF(SUM(BW$10:BW226)-ROUNDDOWN($M227*BW$5/100,0)&lt;-BW$6,-BW$6-SUM(BW$10:BW226),-ROUNDDOWN($M227*BW$5/100,0)),0)</f>
        <v>0</v>
      </c>
      <c r="BX227" s="38">
        <f>IF(AND(T227="○",$A227&gt;=BX$8,$A227&lt;=BX$9),IF(SUM(BX$10:BX226)-ROUNDDOWN($K227*BX$5/100,0)&lt;-BX$6,-BX$6-SUM(BX$10:BX226),-ROUNDDOWN($K227*BX$5/100,0)),0)</f>
        <v>0</v>
      </c>
      <c r="BY227" s="38">
        <f>IF(AND(U227="○",$A227&gt;=BY$8,$A227&lt;=BY$9),IF(SUM(BY$10:BY226)-ROUNDDOWN($K227*BY$5/100,0)&lt;-BY$6,-BY$6-SUM(BY$10:BY226),-ROUNDDOWN($K227*BY$5/100,0)),0)</f>
        <v>0</v>
      </c>
      <c r="BZ227" s="38">
        <f>IF(AND(V227="○",$A227&gt;=BZ$8,$A227&lt;=BZ$9),IF(SUM(BZ$10:BZ226)-ROUNDDOWN($K227*BZ$5/100,0)&lt;-BZ$6,-BZ$6-SUM(BZ$10:BZ226),-ROUNDDOWN($K227*BZ$5/100,0)),0)</f>
        <v>0</v>
      </c>
      <c r="CA227" s="38">
        <f>IF(AND(W227="○",$A227&gt;=CA$8,$A227&lt;=CA$9),IF(SUM(CA$10:CA226)-ROUNDDOWN($K227*CA$5/100,0)&lt;-CA$6,-CA$6-SUM(CA$10:CA226),-ROUNDDOWN($K227*CA$5/100,0)),0)</f>
        <v>0</v>
      </c>
      <c r="CB227" s="38"/>
      <c r="CC227" s="38"/>
      <c r="CD227" s="38"/>
      <c r="CE227" s="38"/>
      <c r="CF227" s="38"/>
      <c r="CG227" s="65">
        <f t="shared" si="184"/>
        <v>0</v>
      </c>
      <c r="CH227" s="71">
        <f t="shared" si="185"/>
        <v>0</v>
      </c>
      <c r="CI227" s="1">
        <f t="shared" si="19"/>
        <v>0</v>
      </c>
      <c r="CJ227" s="1"/>
      <c r="CK227" s="72"/>
      <c r="CL227" s="72"/>
      <c r="CM227" s="2"/>
      <c r="CN227" s="2"/>
      <c r="CO227" s="73">
        <f t="shared" si="20"/>
        <v>0</v>
      </c>
      <c r="CP227" s="5">
        <f t="shared" si="21"/>
        <v>0</v>
      </c>
      <c r="CQ227" s="1"/>
      <c r="CR227" s="1">
        <f t="shared" si="22"/>
        <v>0</v>
      </c>
      <c r="CS227" s="1"/>
      <c r="CT227" s="1" t="e">
        <f>INDEX([2]マスタ!$A:$A,MATCH(D227,[2]マスタ!$C:$C,0))</f>
        <v>#N/A</v>
      </c>
      <c r="CU227" s="1" t="str">
        <f t="shared" ca="1" si="23"/>
        <v>20260620_0-0</v>
      </c>
    </row>
    <row r="228" spans="1:99" x14ac:dyDescent="0.4">
      <c r="A228" s="61"/>
      <c r="B228" s="62"/>
      <c r="C228" s="62"/>
      <c r="D228" s="62"/>
      <c r="E228" s="63"/>
      <c r="F228" s="62"/>
      <c r="G228" s="62">
        <v>1</v>
      </c>
      <c r="H228" s="64">
        <f t="shared" si="4"/>
        <v>0</v>
      </c>
      <c r="I228" s="64"/>
      <c r="J228" s="64"/>
      <c r="K228" s="65">
        <f t="shared" si="188"/>
        <v>0</v>
      </c>
      <c r="L228" s="65">
        <f t="shared" si="6"/>
        <v>0</v>
      </c>
      <c r="M228" s="65">
        <f t="shared" si="7"/>
        <v>0</v>
      </c>
      <c r="N228" s="65">
        <f t="shared" si="8"/>
        <v>0</v>
      </c>
      <c r="O228" s="66" t="str">
        <f t="shared" si="189"/>
        <v>✕</v>
      </c>
      <c r="P228" s="67" t="str">
        <f t="shared" si="190"/>
        <v>○</v>
      </c>
      <c r="Q228" s="67" t="str">
        <f t="shared" si="191"/>
        <v>✕</v>
      </c>
      <c r="R228" s="67" t="str">
        <f t="shared" si="192"/>
        <v>✕</v>
      </c>
      <c r="S228" s="68">
        <v>0</v>
      </c>
      <c r="T228" s="69" t="s">
        <v>85</v>
      </c>
      <c r="U228" s="69" t="s">
        <v>85</v>
      </c>
      <c r="V228" s="69" t="s">
        <v>85</v>
      </c>
      <c r="W228" s="69" t="s">
        <v>85</v>
      </c>
      <c r="X228" s="69" t="s">
        <v>84</v>
      </c>
      <c r="Y228" s="69" t="s">
        <v>85</v>
      </c>
      <c r="Z228" s="69" t="s">
        <v>85</v>
      </c>
      <c r="AA228" s="69" t="s">
        <v>85</v>
      </c>
      <c r="AB228" s="69" t="s">
        <v>85</v>
      </c>
      <c r="AC228" s="69" t="s">
        <v>85</v>
      </c>
      <c r="AD228" s="38" t="str">
        <f>+IF(ISERROR(VLOOKUP($B228,AD$10:AD227,1,0)),IF(AND($N228&gt;=1000,$A228&gt;=AO$8,$A228&lt;=AO$9),$B228,""),"")</f>
        <v/>
      </c>
      <c r="AE228" s="38" t="str">
        <f>+IF(ISERROR(VLOOKUP($B228,AE$10:AE227,1,0)),IF(AND($N228&gt;=1000,$A228&gt;=AP$8,$A228&lt;=AP$9),$B228,""),"")</f>
        <v/>
      </c>
      <c r="AF228" s="38" t="str">
        <f>+IF(ISERROR(VLOOKUP($B228,AF$10:AF227,1,0)),IF(AND($N228&gt;=1000,$A228&gt;=AQ$8,$A228&lt;=AQ$9),$B228,""),"")</f>
        <v/>
      </c>
      <c r="AG228" s="38" t="str">
        <f>+IF(ISERROR(VLOOKUP($B228,AG$10:AG227,1,0)),IF(AND($N228&gt;=1000,$A228&gt;=AR$8,$A228&lt;=AR$9),$B228,""),"")</f>
        <v/>
      </c>
      <c r="AH228" s="38"/>
      <c r="AI228" s="70">
        <v>0</v>
      </c>
      <c r="AJ228" s="38">
        <f>IF(AND(AJ$7="○",$A228&gt;=AJ$8,$A228&lt;=AJ$9),IF(SUM(AJ$10:AJ227)-ROUNDDOWN($K228*AJ$5/100,0)&lt;-AJ$6,-AJ$6-SUM(AJ$10:AJ227),-ROUNDDOWN($K228*AJ$5/100,0)),0)</f>
        <v>0</v>
      </c>
      <c r="AK228" s="38">
        <f>IF(AND(AK$7="○",$A228&gt;=AK$8,$A228&lt;=AK$9),IF(SUM(AK$10:AK227)-ROUNDDOWN($L228*AK$5/100,0)&lt;-AK$6,-AK$6-SUM(AK$10:AK227),-ROUNDDOWN($L228*AK$5/100,0)),0)</f>
        <v>0</v>
      </c>
      <c r="AL228" s="38">
        <f>IF(AND(AL$7="○",$A228&gt;=AL$8,$A228&lt;=AL$9),IF(SUM(AL$10:AL227)-ROUNDDOWN($N228*AL$5/100,0)&lt;-AL$6,-AL$6-SUM(AL$10:AL227),-ROUNDDOWN($N228*AL$5/100,0)),0)</f>
        <v>0</v>
      </c>
      <c r="AM228" s="38">
        <f>IF(AND(AM$7="○",$A228&gt;=AM$8,$A228&lt;=AM$9),IF(SUM(AM$10:AM227)-ROUNDDOWN($L228*AM$5/100,0)&lt;-AM$6,-AM$6-SUM(AM$10:AM227),-ROUNDDOWN($L228*AM$5/100,0)),0)</f>
        <v>0</v>
      </c>
      <c r="AN228" s="38">
        <f>IF(AND(AN$7="○",$A228&gt;=AN$8,$A228&lt;=AN$9),IF(SUM(AN$10:AN227)-ROUNDDOWN($M228*AN$5/100,0)&lt;-AN$6,-AN$6-SUM(AN$10:AN227),-ROUNDDOWN($M228*AN$5/100,0)),0)</f>
        <v>0</v>
      </c>
      <c r="AO228" s="38">
        <f>IF(AND($A228&gt;=AO$8,$A228&lt;=AO$9),IF(SUM(AO$10:AO227)-ROUNDDOWN($K228*AO$5/100,0)&lt;-AO$6,-AO$6-SUM(AO$10:AO227),-ROUNDDOWN($K228*AO$5/100,0)),0)</f>
        <v>0</v>
      </c>
      <c r="AP228" s="38">
        <f>IF(AND($A228&gt;=AP$8,$A228&lt;=AP$9),IF(SUM(AP$10:AP227)-ROUNDDOWN($K228*AP$5/100,0)&lt;-AP$6,-AP$6-SUM(AP$10:AP227),-ROUNDDOWN($K228*AP$5/100,0)),0)</f>
        <v>0</v>
      </c>
      <c r="AQ228" s="38">
        <f>IF(AND($A228&gt;=AQ$8,$A228&lt;=AQ$9),IF(SUM(AQ$10:AQ227)-ROUNDDOWN($K228*AQ$5/100,0)&lt;-AQ$6,-AQ$6-SUM(AQ$10:AQ227),-ROUNDDOWN($K228*AQ$5/100,0)),0)</f>
        <v>0</v>
      </c>
      <c r="AR228" s="38">
        <f>IF(AND($A228&gt;=AR$8,$A228&lt;=AR$9),IF(SUM(AR$10:AR227)-ROUNDDOWN($K228*AR$5/100,0)&lt;-AR$6,-AR$6-SUM(AR$10:AR227),-ROUNDDOWN($K228*AR$5/100,0)),0)</f>
        <v>0</v>
      </c>
      <c r="AS228" s="38">
        <f>IF(SUMIFS(AS$10:AS227,$A$10:$A227,$A228)-ROUNDDOWN($K228*$S228/100,0)&lt;-$S228*1000,-$S228*1000-SUMIFS(AS$10:AS227,$A$10:$A227,$A228),-ROUNDDOWN($K228*$S228/100,0))</f>
        <v>0</v>
      </c>
      <c r="AT228" s="38">
        <f>IF(AND(X228="○",$A228&gt;=AT$8,$A228&lt;=AT$9,K228&gt;=3980),IF(SUM(AT$10:AT227)-ROUNDDOWN($K228*AT$5/100,0)&lt;-AT$6,-AT$6-SUM(AT$10:AT227),-ROUNDDOWN($K228*AT$5/100,0)),0)</f>
        <v>0</v>
      </c>
      <c r="AU228" s="38">
        <f>IF(O228="○",IF(SUM(AU$10:AU227)-ROUNDDOWN($K228*AU$5/100,0)&lt;-AU$6,-AU$6-SUM(AU$10:AU227),-ROUNDDOWN($K228*AU$5/100,0)),0)</f>
        <v>0</v>
      </c>
      <c r="AV228" s="38">
        <f>IF(P228="○",IF(SUM(AV$10:AV227)-ROUNDDOWN($K228*AV$5/100,0)&lt;-AV$6,-AV$6-SUM(AV$10:AV227),-ROUNDDOWN($K228*AV$5/100,0)),0)</f>
        <v>0</v>
      </c>
      <c r="AW228" s="38">
        <f>IF(Q228="○",IF(SUM(AW$10:AW227)-ROUNDDOWN($K228*AW$5/100,0)&lt;-AW$6,-AW$6-SUM(AW$10:AW227),-ROUNDDOWN($K228*AW$5/100,0)),0)</f>
        <v>0</v>
      </c>
      <c r="AX228" s="38">
        <f>IF(R228="○",IF(SUM(AX$10:AX227)-ROUNDDOWN($K228*AX$5/100,0)&lt;-AX$6,-AX$6-SUM(AX$10:AX227),-ROUNDDOWN($K228*AX$5/100,0)),0)</f>
        <v>0</v>
      </c>
      <c r="AY228" s="70">
        <v>0</v>
      </c>
      <c r="AZ228" s="65">
        <f t="shared" si="178"/>
        <v>0</v>
      </c>
      <c r="BA228" s="65">
        <f t="shared" si="179"/>
        <v>0</v>
      </c>
      <c r="BB228" s="70"/>
      <c r="BC228" s="65">
        <f t="shared" si="180"/>
        <v>0</v>
      </c>
      <c r="BD228" s="70">
        <v>0</v>
      </c>
      <c r="BE228" s="65">
        <f t="shared" si="181"/>
        <v>0</v>
      </c>
      <c r="BF228" s="70">
        <v>0</v>
      </c>
      <c r="BG228" s="65">
        <f t="shared" si="182"/>
        <v>0</v>
      </c>
      <c r="BH228" s="70">
        <v>0</v>
      </c>
      <c r="BI228" s="65">
        <f t="shared" si="183"/>
        <v>0</v>
      </c>
      <c r="BJ228" s="38">
        <f>IF(AND(BJ$7="○",$A228&gt;=BJ$8,$A228&lt;=BJ$9),IF(SUM(BJ$10:BJ227)-ROUNDDOWN($M228*BJ$5/100,0)&lt;-BJ$6,-BJ$6-SUM(BJ$10:BJ227),-ROUNDDOWN($M228*BJ$5/100,0)),0)</f>
        <v>0</v>
      </c>
      <c r="BK228" s="38">
        <f>IF(AND(BK$7="○",$A228&gt;=BK$8,$A228&lt;=BK$9),IF(SUM(BK$10:BK227)-ROUNDDOWN($L228*BK$5/100,0)&lt;-BK$6,-BK$6-SUM(BK$10:BK227),-ROUNDDOWN($L228*BK$5/100,0)),0)</f>
        <v>0</v>
      </c>
      <c r="BL228" s="38">
        <f>IF(AND(BL$7="○",$A228&gt;=BL$8,$A228&lt;=BL$9),IF(SUM(BL$10:BL227)-ROUNDDOWN($L228*BL$5/100,0)&lt;-BL$6,-BL$6-SUM(BL$10:BL227),-ROUNDDOWN($L228*BL$5/100,0)),0)</f>
        <v>0</v>
      </c>
      <c r="BM228" s="38">
        <f>IF(AND(BM$7="○",$A228&gt;=BM$8,$A228&lt;=BM$9),IF(SUM(BM$10:BM227)-ROUNDDOWN($M228*BM$5/100,0)&lt;-BM$6,-BM$6-SUM(BM$10:BM227),-ROUNDDOWN($M228*BM$5/100,0)),0)</f>
        <v>0</v>
      </c>
      <c r="BN228" s="38">
        <f>IF(AND(BN$7="○",$A228&gt;=BN$8,$A228&lt;=BN$9),IF(SUM(BN$10:BN227)-ROUNDDOWN($M228*BN$5/100,0)&lt;-BN$6,-BN$6-SUM(BN$10:BN227),-ROUNDDOWN($M228*BN$5/100,0)),0)</f>
        <v>0</v>
      </c>
      <c r="BO228" s="38">
        <f>IF(AND(BO$7="○",$A228&gt;=BO$8,$A228&lt;=BO$9),IF(SUM(BO$10:BO227)-ROUNDDOWN($M228*BO$5/100,0)&lt;-BO$6,-BO$6-SUM(BO$10:BO227),-ROUNDDOWN($M228*BO$5/100,0)),0)</f>
        <v>0</v>
      </c>
      <c r="BP228" s="38">
        <f>IF(AND(BP$7="○",$A228&gt;=BP$8,$A228&lt;=BP$9),IF(SUM(BP$10:BP227)-ROUNDDOWN($M228*BP$5/100,0)&lt;-BP$6,-BP$6-SUM(BP$10:BP227),-ROUNDDOWN($M228*BP$5/100,0)),0)</f>
        <v>0</v>
      </c>
      <c r="BQ228" s="38">
        <f>IF(AND(BQ$7="○",$A228&gt;=BQ$8,$A228&lt;=BQ$9),IF(SUM(BQ$10:BQ227)-ROUNDDOWN($L228*BQ$5/100,0)&lt;-BQ$6,-BQ$6-SUM(BQ$10:BQ227),-ROUNDDOWN($L228*BQ$5/100,0)),0)</f>
        <v>0</v>
      </c>
      <c r="BR228" s="38">
        <f>IF(AND(BR$7="○",$A228&gt;=BR$8,$A228&lt;=BR$9),IF(SUM(BR$10:BR227)-ROUNDDOWN($M228*BR$5/100,0)&lt;-BR$6,-BR$6-SUM(BR$10:BR227),-ROUNDDOWN($M228*BR$5/100,0)),0)</f>
        <v>0</v>
      </c>
      <c r="BS228" s="38">
        <f>IF(AND(BS$7="○",$A228&gt;=BS$8,$A228&lt;=BS$9),IF(SUM(BS$10:BS227)-ROUNDDOWN($M228*BS$5/100,0)&lt;-BS$6,-BS$6-SUM(BS$10:BS227),-ROUNDDOWN($M228*BS$5/100,0)),0)</f>
        <v>0</v>
      </c>
      <c r="BT228" s="38">
        <f>IF(AND(BT$7="○",$A228&gt;=BT$8,$A228&lt;=BT$9),IF(SUM(BT$10:BT227)-ROUNDDOWN($M228*BT$5/100,0)&lt;-BT$6,-BT$6-SUM(BT$10:BT227),-ROUNDDOWN($M228*BT$5/100,0)),0)</f>
        <v>0</v>
      </c>
      <c r="BU228" s="38">
        <f>IF(AND(BU$7="○",$A228&gt;=BU$8,$A228&lt;=BU$9),IF(SUM(BU$10:BU227)-ROUNDDOWN($M228*BU$5/100,0)&lt;-BU$6,-BU$6-SUM(BU$10:BU227),-ROUNDDOWN($M228*BU$5/100,0)),0)</f>
        <v>0</v>
      </c>
      <c r="BV228" s="38">
        <f>IF(AND(BV$7="○",$A228&gt;=BV$8,$A228&lt;=BV$9),IF(SUM(BV$10:BV227)-ROUNDDOWN($M228*BV$5/100,0)&lt;-BV$6,-BV$6-SUM(BV$10:BV227),-ROUNDDOWN($M228*BV$5/100,0)),0)</f>
        <v>0</v>
      </c>
      <c r="BW228" s="38">
        <f>IF(AND(BW$7="○",$A228&gt;=BW$8,$A228&lt;=BW$9),IF(SUM(BW$10:BW227)-ROUNDDOWN($M228*BW$5/100,0)&lt;-BW$6,-BW$6-SUM(BW$10:BW227),-ROUNDDOWN($M228*BW$5/100,0)),0)</f>
        <v>0</v>
      </c>
      <c r="BX228" s="38">
        <f>IF(AND(T228="○",$A228&gt;=BX$8,$A228&lt;=BX$9),IF(SUM(BX$10:BX227)-ROUNDDOWN($K228*BX$5/100,0)&lt;-BX$6,-BX$6-SUM(BX$10:BX227),-ROUNDDOWN($K228*BX$5/100,0)),0)</f>
        <v>0</v>
      </c>
      <c r="BY228" s="38">
        <f>IF(AND(U228="○",$A228&gt;=BY$8,$A228&lt;=BY$9),IF(SUM(BY$10:BY227)-ROUNDDOWN($K228*BY$5/100,0)&lt;-BY$6,-BY$6-SUM(BY$10:BY227),-ROUNDDOWN($K228*BY$5/100,0)),0)</f>
        <v>0</v>
      </c>
      <c r="BZ228" s="38">
        <f>IF(AND(V228="○",$A228&gt;=BZ$8,$A228&lt;=BZ$9),IF(SUM(BZ$10:BZ227)-ROUNDDOWN($K228*BZ$5/100,0)&lt;-BZ$6,-BZ$6-SUM(BZ$10:BZ227),-ROUNDDOWN($K228*BZ$5/100,0)),0)</f>
        <v>0</v>
      </c>
      <c r="CA228" s="38">
        <f>IF(AND(W228="○",$A228&gt;=CA$8,$A228&lt;=CA$9),IF(SUM(CA$10:CA227)-ROUNDDOWN($K228*CA$5/100,0)&lt;-CA$6,-CA$6-SUM(CA$10:CA227),-ROUNDDOWN($K228*CA$5/100,0)),0)</f>
        <v>0</v>
      </c>
      <c r="CB228" s="38"/>
      <c r="CC228" s="38"/>
      <c r="CD228" s="38"/>
      <c r="CE228" s="38"/>
      <c r="CF228" s="38"/>
      <c r="CG228" s="65">
        <f t="shared" si="184"/>
        <v>0</v>
      </c>
      <c r="CH228" s="71">
        <f t="shared" si="185"/>
        <v>0</v>
      </c>
      <c r="CI228" s="1">
        <f t="shared" si="19"/>
        <v>0</v>
      </c>
      <c r="CJ228" s="1"/>
      <c r="CK228" s="72"/>
      <c r="CL228" s="72"/>
      <c r="CM228" s="2"/>
      <c r="CN228" s="2"/>
      <c r="CO228" s="73">
        <f t="shared" si="20"/>
        <v>0</v>
      </c>
      <c r="CP228" s="5">
        <f t="shared" si="21"/>
        <v>0</v>
      </c>
      <c r="CQ228" s="1"/>
      <c r="CR228" s="1">
        <f t="shared" si="22"/>
        <v>0</v>
      </c>
      <c r="CS228" s="1"/>
      <c r="CT228" s="1" t="e">
        <f>INDEX([2]マスタ!$A:$A,MATCH(D228,[2]マスタ!$C:$C,0))</f>
        <v>#N/A</v>
      </c>
      <c r="CU228" s="1" t="str">
        <f t="shared" ca="1" si="23"/>
        <v>20260620_0-0</v>
      </c>
    </row>
    <row r="229" spans="1:99" x14ac:dyDescent="0.4">
      <c r="A229" s="61"/>
      <c r="B229" s="62"/>
      <c r="C229" s="62"/>
      <c r="D229" s="62"/>
      <c r="E229" s="74"/>
      <c r="F229" s="62"/>
      <c r="G229" s="62">
        <v>1</v>
      </c>
      <c r="H229" s="64">
        <f t="shared" si="4"/>
        <v>0</v>
      </c>
      <c r="I229" s="64"/>
      <c r="J229" s="64"/>
      <c r="K229" s="65">
        <f t="shared" si="188"/>
        <v>0</v>
      </c>
      <c r="L229" s="65">
        <f t="shared" si="6"/>
        <v>0</v>
      </c>
      <c r="M229" s="65">
        <f t="shared" si="7"/>
        <v>0</v>
      </c>
      <c r="N229" s="65">
        <f t="shared" si="8"/>
        <v>0</v>
      </c>
      <c r="O229" s="66" t="str">
        <f t="shared" si="189"/>
        <v>✕</v>
      </c>
      <c r="P229" s="67" t="str">
        <f t="shared" si="190"/>
        <v>○</v>
      </c>
      <c r="Q229" s="67" t="str">
        <f t="shared" si="191"/>
        <v>✕</v>
      </c>
      <c r="R229" s="67" t="str">
        <f t="shared" si="192"/>
        <v>✕</v>
      </c>
      <c r="S229" s="68">
        <v>0</v>
      </c>
      <c r="T229" s="69" t="s">
        <v>85</v>
      </c>
      <c r="U229" s="69" t="s">
        <v>85</v>
      </c>
      <c r="V229" s="69" t="s">
        <v>85</v>
      </c>
      <c r="W229" s="69" t="s">
        <v>85</v>
      </c>
      <c r="X229" s="69" t="s">
        <v>84</v>
      </c>
      <c r="Y229" s="69" t="s">
        <v>85</v>
      </c>
      <c r="Z229" s="69" t="s">
        <v>85</v>
      </c>
      <c r="AA229" s="69" t="s">
        <v>85</v>
      </c>
      <c r="AB229" s="69" t="s">
        <v>85</v>
      </c>
      <c r="AC229" s="69" t="s">
        <v>85</v>
      </c>
      <c r="AD229" s="38" t="str">
        <f>+IF(ISERROR(VLOOKUP($B229,AD$10:AD228,1,0)),IF(AND($N229&gt;=1000,$A229&gt;=AO$8,$A229&lt;=AO$9),$B229,""),"")</f>
        <v/>
      </c>
      <c r="AE229" s="38" t="str">
        <f>+IF(ISERROR(VLOOKUP($B229,AE$10:AE228,1,0)),IF(AND($N229&gt;=1000,$A229&gt;=AP$8,$A229&lt;=AP$9),$B229,""),"")</f>
        <v/>
      </c>
      <c r="AF229" s="38" t="str">
        <f>+IF(ISERROR(VLOOKUP($B229,AF$10:AF228,1,0)),IF(AND($N229&gt;=1000,$A229&gt;=AQ$8,$A229&lt;=AQ$9),$B229,""),"")</f>
        <v/>
      </c>
      <c r="AG229" s="38" t="str">
        <f>+IF(ISERROR(VLOOKUP($B229,AG$10:AG228,1,0)),IF(AND($N229&gt;=1000,$A229&gt;=AR$8,$A229&lt;=AR$9),$B229,""),"")</f>
        <v/>
      </c>
      <c r="AH229" s="38"/>
      <c r="AI229" s="70">
        <v>0</v>
      </c>
      <c r="AJ229" s="38">
        <f>IF(AND(AJ$7="○",$A229&gt;=AJ$8,$A229&lt;=AJ$9),IF(SUM(AJ$10:AJ228)-ROUNDDOWN($K229*AJ$5/100,0)&lt;-AJ$6,-AJ$6-SUM(AJ$10:AJ228),-ROUNDDOWN($K229*AJ$5/100,0)),0)</f>
        <v>0</v>
      </c>
      <c r="AK229" s="38">
        <f>IF(AND(AK$7="○",$A229&gt;=AK$8,$A229&lt;=AK$9),IF(SUM(AK$10:AK228)-ROUNDDOWN($L229*AK$5/100,0)&lt;-AK$6,-AK$6-SUM(AK$10:AK228),-ROUNDDOWN($L229*AK$5/100,0)),0)</f>
        <v>0</v>
      </c>
      <c r="AL229" s="38">
        <f>IF(AND(AL$7="○",$A229&gt;=AL$8,$A229&lt;=AL$9),IF(SUM(AL$10:AL228)-ROUNDDOWN($N229*AL$5/100,0)&lt;-AL$6,-AL$6-SUM(AL$10:AL228),-ROUNDDOWN($N229*AL$5/100,0)),0)</f>
        <v>0</v>
      </c>
      <c r="AM229" s="38">
        <f>IF(AND(AM$7="○",$A229&gt;=AM$8,$A229&lt;=AM$9),IF(SUM(AM$10:AM228)-ROUNDDOWN($L229*AM$5/100,0)&lt;-AM$6,-AM$6-SUM(AM$10:AM228),-ROUNDDOWN($L229*AM$5/100,0)),0)</f>
        <v>0</v>
      </c>
      <c r="AN229" s="38">
        <f>IF(AND(AN$7="○",$A229&gt;=AN$8,$A229&lt;=AN$9),IF(SUM(AN$10:AN228)-ROUNDDOWN($M229*AN$5/100,0)&lt;-AN$6,-AN$6-SUM(AN$10:AN228),-ROUNDDOWN($M229*AN$5/100,0)),0)</f>
        <v>0</v>
      </c>
      <c r="AO229" s="38">
        <f>IF(AND($A229&gt;=AO$8,$A229&lt;=AO$9),IF(SUM(AO$10:AO228)-ROUNDDOWN($K229*AO$5/100,0)&lt;-AO$6,-AO$6-SUM(AO$10:AO228),-ROUNDDOWN($K229*AO$5/100,0)),0)</f>
        <v>0</v>
      </c>
      <c r="AP229" s="38">
        <f>IF(AND($A229&gt;=AP$8,$A229&lt;=AP$9),IF(SUM(AP$10:AP228)-ROUNDDOWN($K229*AP$5/100,0)&lt;-AP$6,-AP$6-SUM(AP$10:AP228),-ROUNDDOWN($K229*AP$5/100,0)),0)</f>
        <v>0</v>
      </c>
      <c r="AQ229" s="38">
        <f>IF(AND($A229&gt;=AQ$8,$A229&lt;=AQ$9),IF(SUM(AQ$10:AQ228)-ROUNDDOWN($K229*AQ$5/100,0)&lt;-AQ$6,-AQ$6-SUM(AQ$10:AQ228),-ROUNDDOWN($K229*AQ$5/100,0)),0)</f>
        <v>0</v>
      </c>
      <c r="AR229" s="38">
        <f>IF(AND($A229&gt;=AR$8,$A229&lt;=AR$9),IF(SUM(AR$10:AR228)-ROUNDDOWN($K229*AR$5/100,0)&lt;-AR$6,-AR$6-SUM(AR$10:AR228),-ROUNDDOWN($K229*AR$5/100,0)),0)</f>
        <v>0</v>
      </c>
      <c r="AS229" s="38">
        <f>IF(SUMIFS(AS$10:AS228,$A$10:$A228,$A229)-ROUNDDOWN($K229*$S229/100,0)&lt;-$S229*1000,-$S229*1000-SUMIFS(AS$10:AS228,$A$10:$A228,$A229),-ROUNDDOWN($K229*$S229/100,0))</f>
        <v>0</v>
      </c>
      <c r="AT229" s="38">
        <f>IF(AND(X229="○",$A229&gt;=AT$8,$A229&lt;=AT$9,K229&gt;=3980),IF(SUM(AT$10:AT228)-ROUNDDOWN($K229*AT$5/100,0)&lt;-AT$6,-AT$6-SUM(AT$10:AT228),-ROUNDDOWN($K229*AT$5/100,0)),0)</f>
        <v>0</v>
      </c>
      <c r="AU229" s="38">
        <f>IF(O229="○",IF(SUM(AU$10:AU228)-ROUNDDOWN($K229*AU$5/100,0)&lt;-AU$6,-AU$6-SUM(AU$10:AU228),-ROUNDDOWN($K229*AU$5/100,0)),0)</f>
        <v>0</v>
      </c>
      <c r="AV229" s="38">
        <f>IF(P229="○",IF(SUM(AV$10:AV228)-ROUNDDOWN($K229*AV$5/100,0)&lt;-AV$6,-AV$6-SUM(AV$10:AV228),-ROUNDDOWN($K229*AV$5/100,0)),0)</f>
        <v>0</v>
      </c>
      <c r="AW229" s="38">
        <f>IF(Q229="○",IF(SUM(AW$10:AW228)-ROUNDDOWN($K229*AW$5/100,0)&lt;-AW$6,-AW$6-SUM(AW$10:AW228),-ROUNDDOWN($K229*AW$5/100,0)),0)</f>
        <v>0</v>
      </c>
      <c r="AX229" s="38">
        <f>IF(R229="○",IF(SUM(AX$10:AX228)-ROUNDDOWN($K229*AX$5/100,0)&lt;-AX$6,-AX$6-SUM(AX$10:AX228),-ROUNDDOWN($K229*AX$5/100,0)),0)</f>
        <v>0</v>
      </c>
      <c r="AY229" s="70">
        <v>0</v>
      </c>
      <c r="AZ229" s="65">
        <f t="shared" si="178"/>
        <v>0</v>
      </c>
      <c r="BA229" s="65">
        <f t="shared" si="179"/>
        <v>0</v>
      </c>
      <c r="BB229" s="70"/>
      <c r="BC229" s="65">
        <f t="shared" si="180"/>
        <v>0</v>
      </c>
      <c r="BD229" s="70">
        <v>0</v>
      </c>
      <c r="BE229" s="65">
        <f t="shared" si="181"/>
        <v>0</v>
      </c>
      <c r="BF229" s="70">
        <v>0</v>
      </c>
      <c r="BG229" s="65">
        <f t="shared" si="182"/>
        <v>0</v>
      </c>
      <c r="BH229" s="70">
        <v>0</v>
      </c>
      <c r="BI229" s="65">
        <f t="shared" si="183"/>
        <v>0</v>
      </c>
      <c r="BJ229" s="38">
        <f>IF(AND(BJ$7="○",$A229&gt;=BJ$8,$A229&lt;=BJ$9),IF(SUM(BJ$10:BJ228)-ROUNDDOWN($M229*BJ$5/100,0)&lt;-BJ$6,-BJ$6-SUM(BJ$10:BJ228),-ROUNDDOWN($M229*BJ$5/100,0)),0)</f>
        <v>0</v>
      </c>
      <c r="BK229" s="38">
        <f>IF(AND(BK$7="○",$A229&gt;=BK$8,$A229&lt;=BK$9),IF(SUM(BK$10:BK228)-ROUNDDOWN($L229*BK$5/100,0)&lt;-BK$6,-BK$6-SUM(BK$10:BK228),-ROUNDDOWN($L229*BK$5/100,0)),0)</f>
        <v>0</v>
      </c>
      <c r="BL229" s="38">
        <f>IF(AND(BL$7="○",$A229&gt;=BL$8,$A229&lt;=BL$9),IF(SUM(BL$10:BL228)-ROUNDDOWN($L229*BL$5/100,0)&lt;-BL$6,-BL$6-SUM(BL$10:BL228),-ROUNDDOWN($L229*BL$5/100,0)),0)</f>
        <v>0</v>
      </c>
      <c r="BM229" s="38">
        <f>IF(AND(BM$7="○",$A229&gt;=BM$8,$A229&lt;=BM$9),IF(SUM(BM$10:BM228)-ROUNDDOWN($M229*BM$5/100,0)&lt;-BM$6,-BM$6-SUM(BM$10:BM228),-ROUNDDOWN($M229*BM$5/100,0)),0)</f>
        <v>0</v>
      </c>
      <c r="BN229" s="38">
        <f>IF(AND(BN$7="○",$A229&gt;=BN$8,$A229&lt;=BN$9),IF(SUM(BN$10:BN228)-ROUNDDOWN($M229*BN$5/100,0)&lt;-BN$6,-BN$6-SUM(BN$10:BN228),-ROUNDDOWN($M229*BN$5/100,0)),0)</f>
        <v>0</v>
      </c>
      <c r="BO229" s="38">
        <f>IF(AND(BO$7="○",$A229&gt;=BO$8,$A229&lt;=BO$9),IF(SUM(BO$10:BO228)-ROUNDDOWN($M229*BO$5/100,0)&lt;-BO$6,-BO$6-SUM(BO$10:BO228),-ROUNDDOWN($M229*BO$5/100,0)),0)</f>
        <v>0</v>
      </c>
      <c r="BP229" s="38">
        <f>IF(AND(BP$7="○",$A229&gt;=BP$8,$A229&lt;=BP$9),IF(SUM(BP$10:BP228)-ROUNDDOWN($M229*BP$5/100,0)&lt;-BP$6,-BP$6-SUM(BP$10:BP228),-ROUNDDOWN($M229*BP$5/100,0)),0)</f>
        <v>0</v>
      </c>
      <c r="BQ229" s="38">
        <f>IF(AND(BQ$7="○",$A229&gt;=BQ$8,$A229&lt;=BQ$9),IF(SUM(BQ$10:BQ228)-ROUNDDOWN($L229*BQ$5/100,0)&lt;-BQ$6,-BQ$6-SUM(BQ$10:BQ228),-ROUNDDOWN($L229*BQ$5/100,0)),0)</f>
        <v>0</v>
      </c>
      <c r="BR229" s="38">
        <f>IF(AND(BR$7="○",$A229&gt;=BR$8,$A229&lt;=BR$9),IF(SUM(BR$10:BR228)-ROUNDDOWN($M229*BR$5/100,0)&lt;-BR$6,-BR$6-SUM(BR$10:BR228),-ROUNDDOWN($M229*BR$5/100,0)),0)</f>
        <v>0</v>
      </c>
      <c r="BS229" s="38">
        <f>IF(AND(BS$7="○",$A229&gt;=BS$8,$A229&lt;=BS$9),IF(SUM(BS$10:BS228)-ROUNDDOWN($M229*BS$5/100,0)&lt;-BS$6,-BS$6-SUM(BS$10:BS228),-ROUNDDOWN($M229*BS$5/100,0)),0)</f>
        <v>0</v>
      </c>
      <c r="BT229" s="38">
        <f>IF(AND(BT$7="○",$A229&gt;=BT$8,$A229&lt;=BT$9),IF(SUM(BT$10:BT228)-ROUNDDOWN($M229*BT$5/100,0)&lt;-BT$6,-BT$6-SUM(BT$10:BT228),-ROUNDDOWN($M229*BT$5/100,0)),0)</f>
        <v>0</v>
      </c>
      <c r="BU229" s="38">
        <f>IF(AND(BU$7="○",$A229&gt;=BU$8,$A229&lt;=BU$9),IF(SUM(BU$10:BU228)-ROUNDDOWN($M229*BU$5/100,0)&lt;-BU$6,-BU$6-SUM(BU$10:BU228),-ROUNDDOWN($M229*BU$5/100,0)),0)</f>
        <v>0</v>
      </c>
      <c r="BV229" s="38">
        <f>IF(AND(BV$7="○",$A229&gt;=BV$8,$A229&lt;=BV$9),IF(SUM(BV$10:BV228)-ROUNDDOWN($M229*BV$5/100,0)&lt;-BV$6,-BV$6-SUM(BV$10:BV228),-ROUNDDOWN($M229*BV$5/100,0)),0)</f>
        <v>0</v>
      </c>
      <c r="BW229" s="38">
        <f>IF(AND(BW$7="○",$A229&gt;=BW$8,$A229&lt;=BW$9),IF(SUM(BW$10:BW228)-ROUNDDOWN($M229*BW$5/100,0)&lt;-BW$6,-BW$6-SUM(BW$10:BW228),-ROUNDDOWN($M229*BW$5/100,0)),0)</f>
        <v>0</v>
      </c>
      <c r="BX229" s="38">
        <f>IF(AND(T229="○",$A229&gt;=BX$8,$A229&lt;=BX$9),IF(SUM(BX$10:BX228)-ROUNDDOWN($K229*BX$5/100,0)&lt;-BX$6,-BX$6-SUM(BX$10:BX228),-ROUNDDOWN($K229*BX$5/100,0)),0)</f>
        <v>0</v>
      </c>
      <c r="BY229" s="38">
        <f>IF(AND(U229="○",$A229&gt;=BY$8,$A229&lt;=BY$9),IF(SUM(BY$10:BY228)-ROUNDDOWN($K229*BY$5/100,0)&lt;-BY$6,-BY$6-SUM(BY$10:BY228),-ROUNDDOWN($K229*BY$5/100,0)),0)</f>
        <v>0</v>
      </c>
      <c r="BZ229" s="38">
        <f>IF(AND(V229="○",$A229&gt;=BZ$8,$A229&lt;=BZ$9),IF(SUM(BZ$10:BZ228)-ROUNDDOWN($K229*BZ$5/100,0)&lt;-BZ$6,-BZ$6-SUM(BZ$10:BZ228),-ROUNDDOWN($K229*BZ$5/100,0)),0)</f>
        <v>0</v>
      </c>
      <c r="CA229" s="38">
        <f>IF(AND(W229="○",$A229&gt;=CA$8,$A229&lt;=CA$9),IF(SUM(CA$10:CA228)-ROUNDDOWN($K229*CA$5/100,0)&lt;-CA$6,-CA$6-SUM(CA$10:CA228),-ROUNDDOWN($K229*CA$5/100,0)),0)</f>
        <v>0</v>
      </c>
      <c r="CB229" s="38"/>
      <c r="CC229" s="38"/>
      <c r="CD229" s="38"/>
      <c r="CE229" s="38"/>
      <c r="CF229" s="38"/>
      <c r="CG229" s="65">
        <f t="shared" si="184"/>
        <v>0</v>
      </c>
      <c r="CH229" s="71">
        <f t="shared" si="185"/>
        <v>0</v>
      </c>
      <c r="CI229" s="1">
        <f t="shared" si="19"/>
        <v>0</v>
      </c>
      <c r="CJ229" s="1"/>
      <c r="CK229" s="72"/>
      <c r="CL229" s="72"/>
      <c r="CM229" s="2"/>
      <c r="CN229" s="2"/>
      <c r="CO229" s="73">
        <f t="shared" si="20"/>
        <v>0</v>
      </c>
      <c r="CP229" s="5">
        <f t="shared" si="21"/>
        <v>0</v>
      </c>
      <c r="CQ229" s="1"/>
      <c r="CR229" s="1">
        <f t="shared" si="22"/>
        <v>0</v>
      </c>
      <c r="CS229" s="1"/>
      <c r="CT229" s="1" t="e">
        <f>INDEX([2]マスタ!$A:$A,MATCH(D229,[2]マスタ!$C:$C,0))</f>
        <v>#N/A</v>
      </c>
      <c r="CU229" s="1" t="str">
        <f t="shared" ca="1" si="23"/>
        <v>20260620_0-0</v>
      </c>
    </row>
    <row r="230" spans="1:99" x14ac:dyDescent="0.4">
      <c r="A230" s="61"/>
      <c r="B230" s="62"/>
      <c r="C230" s="62"/>
      <c r="D230" s="62"/>
      <c r="E230" s="74"/>
      <c r="F230" s="62"/>
      <c r="G230" s="62">
        <v>1</v>
      </c>
      <c r="H230" s="64">
        <f t="shared" si="4"/>
        <v>0</v>
      </c>
      <c r="I230" s="64"/>
      <c r="J230" s="64"/>
      <c r="K230" s="65">
        <f t="shared" si="188"/>
        <v>0</v>
      </c>
      <c r="L230" s="65">
        <f t="shared" si="6"/>
        <v>0</v>
      </c>
      <c r="M230" s="65">
        <f t="shared" si="7"/>
        <v>0</v>
      </c>
      <c r="N230" s="65">
        <f t="shared" si="8"/>
        <v>0</v>
      </c>
      <c r="O230" s="66" t="str">
        <f t="shared" si="189"/>
        <v>✕</v>
      </c>
      <c r="P230" s="67" t="str">
        <f t="shared" si="190"/>
        <v>○</v>
      </c>
      <c r="Q230" s="67" t="str">
        <f t="shared" si="191"/>
        <v>✕</v>
      </c>
      <c r="R230" s="67" t="str">
        <f t="shared" si="192"/>
        <v>✕</v>
      </c>
      <c r="S230" s="68">
        <v>0</v>
      </c>
      <c r="T230" s="69" t="s">
        <v>85</v>
      </c>
      <c r="U230" s="69" t="s">
        <v>85</v>
      </c>
      <c r="V230" s="69" t="s">
        <v>85</v>
      </c>
      <c r="W230" s="69" t="s">
        <v>85</v>
      </c>
      <c r="X230" s="69" t="s">
        <v>84</v>
      </c>
      <c r="Y230" s="69" t="s">
        <v>85</v>
      </c>
      <c r="Z230" s="69" t="s">
        <v>85</v>
      </c>
      <c r="AA230" s="69" t="s">
        <v>85</v>
      </c>
      <c r="AB230" s="69" t="s">
        <v>85</v>
      </c>
      <c r="AC230" s="69" t="s">
        <v>85</v>
      </c>
      <c r="AD230" s="38" t="str">
        <f>+IF(ISERROR(VLOOKUP($B230,AD$10:AD229,1,0)),IF(AND($N230&gt;=1000,$A230&gt;=AO$8,$A230&lt;=AO$9),$B230,""),"")</f>
        <v/>
      </c>
      <c r="AE230" s="38" t="str">
        <f>+IF(ISERROR(VLOOKUP($B230,AE$10:AE229,1,0)),IF(AND($N230&gt;=1000,$A230&gt;=AP$8,$A230&lt;=AP$9),$B230,""),"")</f>
        <v/>
      </c>
      <c r="AF230" s="38" t="str">
        <f>+IF(ISERROR(VLOOKUP($B230,AF$10:AF229,1,0)),IF(AND($N230&gt;=1000,$A230&gt;=AQ$8,$A230&lt;=AQ$9),$B230,""),"")</f>
        <v/>
      </c>
      <c r="AG230" s="38" t="str">
        <f>+IF(ISERROR(VLOOKUP($B230,AG$10:AG229,1,0)),IF(AND($N230&gt;=1000,$A230&gt;=AR$8,$A230&lt;=AR$9),$B230,""),"")</f>
        <v/>
      </c>
      <c r="AH230" s="38"/>
      <c r="AI230" s="70">
        <v>0</v>
      </c>
      <c r="AJ230" s="38">
        <f>IF(AND(AJ$7="○",$A230&gt;=AJ$8,$A230&lt;=AJ$9),IF(SUM(AJ$10:AJ229)-ROUNDDOWN($K230*AJ$5/100,0)&lt;-AJ$6,-AJ$6-SUM(AJ$10:AJ229),-ROUNDDOWN($K230*AJ$5/100,0)),0)</f>
        <v>0</v>
      </c>
      <c r="AK230" s="38">
        <f>IF(AND(AK$7="○",$A230&gt;=AK$8,$A230&lt;=AK$9),IF(SUM(AK$10:AK229)-ROUNDDOWN($L230*AK$5/100,0)&lt;-AK$6,-AK$6-SUM(AK$10:AK229),-ROUNDDOWN($L230*AK$5/100,0)),0)</f>
        <v>0</v>
      </c>
      <c r="AL230" s="38">
        <f>IF(AND(AL$7="○",$A230&gt;=AL$8,$A230&lt;=AL$9),IF(SUM(AL$10:AL229)-ROUNDDOWN($N230*AL$5/100,0)&lt;-AL$6,-AL$6-SUM(AL$10:AL229),-ROUNDDOWN($N230*AL$5/100,0)),0)</f>
        <v>0</v>
      </c>
      <c r="AM230" s="38">
        <f>IF(AND(AM$7="○",$A230&gt;=AM$8,$A230&lt;=AM$9),IF(SUM(AM$10:AM229)-ROUNDDOWN($L230*AM$5/100,0)&lt;-AM$6,-AM$6-SUM(AM$10:AM229),-ROUNDDOWN($L230*AM$5/100,0)),0)</f>
        <v>0</v>
      </c>
      <c r="AN230" s="38">
        <f>IF(AND(AN$7="○",$A230&gt;=AN$8,$A230&lt;=AN$9),IF(SUM(AN$10:AN229)-ROUNDDOWN($M230*AN$5/100,0)&lt;-AN$6,-AN$6-SUM(AN$10:AN229),-ROUNDDOWN($M230*AN$5/100,0)),0)</f>
        <v>0</v>
      </c>
      <c r="AO230" s="38">
        <f>IF(AND($A230&gt;=AO$8,$A230&lt;=AO$9),IF(SUM(AO$10:AO229)-ROUNDDOWN($K230*AO$5/100,0)&lt;-AO$6,-AO$6-SUM(AO$10:AO229),-ROUNDDOWN($K230*AO$5/100,0)),0)</f>
        <v>0</v>
      </c>
      <c r="AP230" s="38">
        <f>IF(AND($A230&gt;=AP$8,$A230&lt;=AP$9),IF(SUM(AP$10:AP229)-ROUNDDOWN($K230*AP$5/100,0)&lt;-AP$6,-AP$6-SUM(AP$10:AP229),-ROUNDDOWN($K230*AP$5/100,0)),0)</f>
        <v>0</v>
      </c>
      <c r="AQ230" s="38">
        <f>IF(AND($A230&gt;=AQ$8,$A230&lt;=AQ$9),IF(SUM(AQ$10:AQ229)-ROUNDDOWN($K230*AQ$5/100,0)&lt;-AQ$6,-AQ$6-SUM(AQ$10:AQ229),-ROUNDDOWN($K230*AQ$5/100,0)),0)</f>
        <v>0</v>
      </c>
      <c r="AR230" s="38">
        <f>IF(AND($A230&gt;=AR$8,$A230&lt;=AR$9),IF(SUM(AR$10:AR229)-ROUNDDOWN($K230*AR$5/100,0)&lt;-AR$6,-AR$6-SUM(AR$10:AR229),-ROUNDDOWN($K230*AR$5/100,0)),0)</f>
        <v>0</v>
      </c>
      <c r="AS230" s="38">
        <f>IF(SUMIFS(AS$10:AS229,$A$10:$A229,$A230)-ROUNDDOWN($K230*$S230/100,0)&lt;-$S230*1000,-$S230*1000-SUMIFS(AS$10:AS229,$A$10:$A229,$A230),-ROUNDDOWN($K230*$S230/100,0))</f>
        <v>0</v>
      </c>
      <c r="AT230" s="38">
        <f>IF(AND(X230="○",$A230&gt;=AT$8,$A230&lt;=AT$9,K230&gt;=3980),IF(SUM(AT$10:AT229)-ROUNDDOWN($K230*AT$5/100,0)&lt;-AT$6,-AT$6-SUM(AT$10:AT229),-ROUNDDOWN($K230*AT$5/100,0)),0)</f>
        <v>0</v>
      </c>
      <c r="AU230" s="38">
        <f>IF(O230="○",IF(SUM(AU$10:AU229)-ROUNDDOWN($K230*AU$5/100,0)&lt;-AU$6,-AU$6-SUM(AU$10:AU229),-ROUNDDOWN($K230*AU$5/100,0)),0)</f>
        <v>0</v>
      </c>
      <c r="AV230" s="38">
        <f>IF(P230="○",IF(SUM(AV$10:AV229)-ROUNDDOWN($K230*AV$5/100,0)&lt;-AV$6,-AV$6-SUM(AV$10:AV229),-ROUNDDOWN($K230*AV$5/100,0)),0)</f>
        <v>0</v>
      </c>
      <c r="AW230" s="38">
        <f>IF(Q230="○",IF(SUM(AW$10:AW229)-ROUNDDOWN($K230*AW$5/100,0)&lt;-AW$6,-AW$6-SUM(AW$10:AW229),-ROUNDDOWN($K230*AW$5/100,0)),0)</f>
        <v>0</v>
      </c>
      <c r="AX230" s="38">
        <f>IF(R230="○",IF(SUM(AX$10:AX229)-ROUNDDOWN($K230*AX$5/100,0)&lt;-AX$6,-AX$6-SUM(AX$10:AX229),-ROUNDDOWN($K230*AX$5/100,0)),0)</f>
        <v>0</v>
      </c>
      <c r="AY230" s="70">
        <v>0</v>
      </c>
      <c r="AZ230" s="65">
        <f t="shared" si="178"/>
        <v>0</v>
      </c>
      <c r="BA230" s="65">
        <f t="shared" si="179"/>
        <v>0</v>
      </c>
      <c r="BB230" s="70"/>
      <c r="BC230" s="65">
        <f t="shared" si="180"/>
        <v>0</v>
      </c>
      <c r="BD230" s="70">
        <v>0</v>
      </c>
      <c r="BE230" s="65">
        <f t="shared" si="181"/>
        <v>0</v>
      </c>
      <c r="BF230" s="70">
        <v>0</v>
      </c>
      <c r="BG230" s="65">
        <f t="shared" si="182"/>
        <v>0</v>
      </c>
      <c r="BH230" s="70">
        <v>0</v>
      </c>
      <c r="BI230" s="65">
        <f t="shared" si="183"/>
        <v>0</v>
      </c>
      <c r="BJ230" s="38">
        <f>IF(AND(BJ$7="○",$A230&gt;=BJ$8,$A230&lt;=BJ$9),IF(SUM(BJ$10:BJ229)-ROUNDDOWN($M230*BJ$5/100,0)&lt;-BJ$6,-BJ$6-SUM(BJ$10:BJ229),-ROUNDDOWN($M230*BJ$5/100,0)),0)</f>
        <v>0</v>
      </c>
      <c r="BK230" s="38">
        <f>IF(AND(BK$7="○",$A230&gt;=BK$8,$A230&lt;=BK$9),IF(SUM(BK$10:BK229)-ROUNDDOWN($L230*BK$5/100,0)&lt;-BK$6,-BK$6-SUM(BK$10:BK229),-ROUNDDOWN($L230*BK$5/100,0)),0)</f>
        <v>0</v>
      </c>
      <c r="BL230" s="38">
        <f>IF(AND(BL$7="○",$A230&gt;=BL$8,$A230&lt;=BL$9),IF(SUM(BL$10:BL229)-ROUNDDOWN($L230*BL$5/100,0)&lt;-BL$6,-BL$6-SUM(BL$10:BL229),-ROUNDDOWN($L230*BL$5/100,0)),0)</f>
        <v>0</v>
      </c>
      <c r="BM230" s="38">
        <f>IF(AND(BM$7="○",$A230&gt;=BM$8,$A230&lt;=BM$9),IF(SUM(BM$10:BM229)-ROUNDDOWN($M230*BM$5/100,0)&lt;-BM$6,-BM$6-SUM(BM$10:BM229),-ROUNDDOWN($M230*BM$5/100,0)),0)</f>
        <v>0</v>
      </c>
      <c r="BN230" s="38">
        <f>IF(AND(BN$7="○",$A230&gt;=BN$8,$A230&lt;=BN$9),IF(SUM(BN$10:BN229)-ROUNDDOWN($M230*BN$5/100,0)&lt;-BN$6,-BN$6-SUM(BN$10:BN229),-ROUNDDOWN($M230*BN$5/100,0)),0)</f>
        <v>0</v>
      </c>
      <c r="BO230" s="38">
        <f>IF(AND(BO$7="○",$A230&gt;=BO$8,$A230&lt;=BO$9),IF(SUM(BO$10:BO229)-ROUNDDOWN($M230*BO$5/100,0)&lt;-BO$6,-BO$6-SUM(BO$10:BO229),-ROUNDDOWN($M230*BO$5/100,0)),0)</f>
        <v>0</v>
      </c>
      <c r="BP230" s="38">
        <f>IF(AND(BP$7="○",$A230&gt;=BP$8,$A230&lt;=BP$9),IF(SUM(BP$10:BP229)-ROUNDDOWN($M230*BP$5/100,0)&lt;-BP$6,-BP$6-SUM(BP$10:BP229),-ROUNDDOWN($M230*BP$5/100,0)),0)</f>
        <v>0</v>
      </c>
      <c r="BQ230" s="38">
        <f>IF(AND(BQ$7="○",$A230&gt;=BQ$8,$A230&lt;=BQ$9),IF(SUM(BQ$10:BQ229)-ROUNDDOWN($L230*BQ$5/100,0)&lt;-BQ$6,-BQ$6-SUM(BQ$10:BQ229),-ROUNDDOWN($L230*BQ$5/100,0)),0)</f>
        <v>0</v>
      </c>
      <c r="BR230" s="38">
        <f>IF(AND(BR$7="○",$A230&gt;=BR$8,$A230&lt;=BR$9),IF(SUM(BR$10:BR229)-ROUNDDOWN($M230*BR$5/100,0)&lt;-BR$6,-BR$6-SUM(BR$10:BR229),-ROUNDDOWN($M230*BR$5/100,0)),0)</f>
        <v>0</v>
      </c>
      <c r="BS230" s="38">
        <f>IF(AND(BS$7="○",$A230&gt;=BS$8,$A230&lt;=BS$9),IF(SUM(BS$10:BS229)-ROUNDDOWN($M230*BS$5/100,0)&lt;-BS$6,-BS$6-SUM(BS$10:BS229),-ROUNDDOWN($M230*BS$5/100,0)),0)</f>
        <v>0</v>
      </c>
      <c r="BT230" s="38">
        <f>IF(AND(BT$7="○",$A230&gt;=BT$8,$A230&lt;=BT$9),IF(SUM(BT$10:BT229)-ROUNDDOWN($M230*BT$5/100,0)&lt;-BT$6,-BT$6-SUM(BT$10:BT229),-ROUNDDOWN($M230*BT$5/100,0)),0)</f>
        <v>0</v>
      </c>
      <c r="BU230" s="38">
        <f>IF(AND(BU$7="○",$A230&gt;=BU$8,$A230&lt;=BU$9),IF(SUM(BU$10:BU229)-ROUNDDOWN($M230*BU$5/100,0)&lt;-BU$6,-BU$6-SUM(BU$10:BU229),-ROUNDDOWN($M230*BU$5/100,0)),0)</f>
        <v>0</v>
      </c>
      <c r="BV230" s="38">
        <f>IF(AND(BV$7="○",$A230&gt;=BV$8,$A230&lt;=BV$9),IF(SUM(BV$10:BV229)-ROUNDDOWN($M230*BV$5/100,0)&lt;-BV$6,-BV$6-SUM(BV$10:BV229),-ROUNDDOWN($M230*BV$5/100,0)),0)</f>
        <v>0</v>
      </c>
      <c r="BW230" s="38">
        <f>IF(AND(BW$7="○",$A230&gt;=BW$8,$A230&lt;=BW$9),IF(SUM(BW$10:BW229)-ROUNDDOWN($M230*BW$5/100,0)&lt;-BW$6,-BW$6-SUM(BW$10:BW229),-ROUNDDOWN($M230*BW$5/100,0)),0)</f>
        <v>0</v>
      </c>
      <c r="BX230" s="38">
        <f>IF(AND(T230="○",$A230&gt;=BX$8,$A230&lt;=BX$9),IF(SUM(BX$10:BX229)-ROUNDDOWN($K230*BX$5/100,0)&lt;-BX$6,-BX$6-SUM(BX$10:BX229),-ROUNDDOWN($K230*BX$5/100,0)),0)</f>
        <v>0</v>
      </c>
      <c r="BY230" s="38">
        <f>IF(AND(U230="○",$A230&gt;=BY$8,$A230&lt;=BY$9),IF(SUM(BY$10:BY229)-ROUNDDOWN($K230*BY$5/100,0)&lt;-BY$6,-BY$6-SUM(BY$10:BY229),-ROUNDDOWN($K230*BY$5/100,0)),0)</f>
        <v>0</v>
      </c>
      <c r="BZ230" s="38">
        <f>IF(AND(V230="○",$A230&gt;=BZ$8,$A230&lt;=BZ$9),IF(SUM(BZ$10:BZ229)-ROUNDDOWN($K230*BZ$5/100,0)&lt;-BZ$6,-BZ$6-SUM(BZ$10:BZ229),-ROUNDDOWN($K230*BZ$5/100,0)),0)</f>
        <v>0</v>
      </c>
      <c r="CA230" s="38">
        <f>IF(AND(W230="○",$A230&gt;=CA$8,$A230&lt;=CA$9),IF(SUM(CA$10:CA229)-ROUNDDOWN($K230*CA$5/100,0)&lt;-CA$6,-CA$6-SUM(CA$10:CA229),-ROUNDDOWN($K230*CA$5/100,0)),0)</f>
        <v>0</v>
      </c>
      <c r="CB230" s="38"/>
      <c r="CC230" s="38"/>
      <c r="CD230" s="38"/>
      <c r="CE230" s="38"/>
      <c r="CF230" s="38"/>
      <c r="CG230" s="65">
        <f t="shared" si="184"/>
        <v>0</v>
      </c>
      <c r="CH230" s="71">
        <f t="shared" si="185"/>
        <v>0</v>
      </c>
      <c r="CI230" s="1">
        <f t="shared" si="19"/>
        <v>0</v>
      </c>
      <c r="CJ230" s="1"/>
      <c r="CK230" s="72"/>
      <c r="CL230" s="72"/>
      <c r="CM230" s="2"/>
      <c r="CN230" s="2"/>
      <c r="CO230" s="73">
        <f t="shared" si="20"/>
        <v>0</v>
      </c>
      <c r="CP230" s="5">
        <f t="shared" si="21"/>
        <v>0</v>
      </c>
      <c r="CQ230" s="1"/>
      <c r="CR230" s="1">
        <f t="shared" si="22"/>
        <v>0</v>
      </c>
      <c r="CS230" s="1"/>
      <c r="CT230" s="1" t="e">
        <f>INDEX([2]マスタ!$A:$A,MATCH(D230,[2]マスタ!$C:$C,0))</f>
        <v>#N/A</v>
      </c>
      <c r="CU230" s="1" t="str">
        <f t="shared" ca="1" si="23"/>
        <v>20260620_0-0</v>
      </c>
    </row>
    <row r="231" spans="1:99" x14ac:dyDescent="0.4">
      <c r="A231" s="61"/>
      <c r="B231" s="62"/>
      <c r="C231" s="62"/>
      <c r="D231" s="62"/>
      <c r="E231" s="74"/>
      <c r="F231" s="62"/>
      <c r="G231" s="62">
        <v>1</v>
      </c>
      <c r="H231" s="64">
        <f t="shared" si="4"/>
        <v>0</v>
      </c>
      <c r="I231" s="64"/>
      <c r="J231" s="64"/>
      <c r="K231" s="65">
        <f t="shared" si="188"/>
        <v>0</v>
      </c>
      <c r="L231" s="65">
        <f t="shared" si="6"/>
        <v>0</v>
      </c>
      <c r="M231" s="65">
        <f t="shared" si="7"/>
        <v>0</v>
      </c>
      <c r="N231" s="65">
        <f t="shared" si="8"/>
        <v>0</v>
      </c>
      <c r="O231" s="66" t="str">
        <f t="shared" si="189"/>
        <v>✕</v>
      </c>
      <c r="P231" s="67" t="str">
        <f t="shared" si="190"/>
        <v>○</v>
      </c>
      <c r="Q231" s="67" t="str">
        <f t="shared" si="191"/>
        <v>✕</v>
      </c>
      <c r="R231" s="67" t="str">
        <f t="shared" si="192"/>
        <v>✕</v>
      </c>
      <c r="S231" s="68">
        <v>0</v>
      </c>
      <c r="T231" s="69" t="s">
        <v>85</v>
      </c>
      <c r="U231" s="69" t="s">
        <v>85</v>
      </c>
      <c r="V231" s="69" t="s">
        <v>85</v>
      </c>
      <c r="W231" s="69" t="s">
        <v>85</v>
      </c>
      <c r="X231" s="69" t="s">
        <v>84</v>
      </c>
      <c r="Y231" s="69" t="s">
        <v>85</v>
      </c>
      <c r="Z231" s="69" t="s">
        <v>85</v>
      </c>
      <c r="AA231" s="69" t="s">
        <v>85</v>
      </c>
      <c r="AB231" s="69" t="s">
        <v>85</v>
      </c>
      <c r="AC231" s="69" t="s">
        <v>85</v>
      </c>
      <c r="AD231" s="38" t="str">
        <f>+IF(ISERROR(VLOOKUP($B231,AD$10:AD230,1,0)),IF(AND($N231&gt;=1000,$A231&gt;=AO$8,$A231&lt;=AO$9),$B231,""),"")</f>
        <v/>
      </c>
      <c r="AE231" s="38" t="str">
        <f>+IF(ISERROR(VLOOKUP($B231,AE$10:AE230,1,0)),IF(AND($N231&gt;=1000,$A231&gt;=AP$8,$A231&lt;=AP$9),$B231,""),"")</f>
        <v/>
      </c>
      <c r="AF231" s="38" t="str">
        <f>+IF(ISERROR(VLOOKUP($B231,AF$10:AF230,1,0)),IF(AND($N231&gt;=1000,$A231&gt;=AQ$8,$A231&lt;=AQ$9),$B231,""),"")</f>
        <v/>
      </c>
      <c r="AG231" s="38" t="str">
        <f>+IF(ISERROR(VLOOKUP($B231,AG$10:AG230,1,0)),IF(AND($N231&gt;=1000,$A231&gt;=AR$8,$A231&lt;=AR$9),$B231,""),"")</f>
        <v/>
      </c>
      <c r="AH231" s="38"/>
      <c r="AI231" s="70">
        <v>0</v>
      </c>
      <c r="AJ231" s="38">
        <f>IF(AND(AJ$7="○",$A231&gt;=AJ$8,$A231&lt;=AJ$9),IF(SUM(AJ$10:AJ230)-ROUNDDOWN($K231*AJ$5/100,0)&lt;-AJ$6,-AJ$6-SUM(AJ$10:AJ230),-ROUNDDOWN($K231*AJ$5/100,0)),0)</f>
        <v>0</v>
      </c>
      <c r="AK231" s="38">
        <f>IF(AND(AK$7="○",$A231&gt;=AK$8,$A231&lt;=AK$9),IF(SUM(AK$10:AK230)-ROUNDDOWN($L231*AK$5/100,0)&lt;-AK$6,-AK$6-SUM(AK$10:AK230),-ROUNDDOWN($L231*AK$5/100,0)),0)</f>
        <v>0</v>
      </c>
      <c r="AL231" s="38">
        <f>IF(AND(AL$7="○",$A231&gt;=AL$8,$A231&lt;=AL$9),IF(SUM(AL$10:AL230)-ROUNDDOWN($N231*AL$5/100,0)&lt;-AL$6,-AL$6-SUM(AL$10:AL230),-ROUNDDOWN($N231*AL$5/100,0)),0)</f>
        <v>0</v>
      </c>
      <c r="AM231" s="38">
        <f>IF(AND(AM$7="○",$A231&gt;=AM$8,$A231&lt;=AM$9),IF(SUM(AM$10:AM230)-ROUNDDOWN($L231*AM$5/100,0)&lt;-AM$6,-AM$6-SUM(AM$10:AM230),-ROUNDDOWN($L231*AM$5/100,0)),0)</f>
        <v>0</v>
      </c>
      <c r="AN231" s="38">
        <f>IF(AND(AN$7="○",$A231&gt;=AN$8,$A231&lt;=AN$9),IF(SUM(AN$10:AN230)-ROUNDDOWN($M231*AN$5/100,0)&lt;-AN$6,-AN$6-SUM(AN$10:AN230),-ROUNDDOWN($M231*AN$5/100,0)),0)</f>
        <v>0</v>
      </c>
      <c r="AO231" s="38">
        <f>IF(AND($A231&gt;=AO$8,$A231&lt;=AO$9),IF(SUM(AO$10:AO230)-ROUNDDOWN($K231*AO$5/100,0)&lt;-AO$6,-AO$6-SUM(AO$10:AO230),-ROUNDDOWN($K231*AO$5/100,0)),0)</f>
        <v>0</v>
      </c>
      <c r="AP231" s="38">
        <f>IF(AND($A231&gt;=AP$8,$A231&lt;=AP$9),IF(SUM(AP$10:AP230)-ROUNDDOWN($K231*AP$5/100,0)&lt;-AP$6,-AP$6-SUM(AP$10:AP230),-ROUNDDOWN($K231*AP$5/100,0)),0)</f>
        <v>0</v>
      </c>
      <c r="AQ231" s="38">
        <f>IF(AND($A231&gt;=AQ$8,$A231&lt;=AQ$9),IF(SUM(AQ$10:AQ230)-ROUNDDOWN($K231*AQ$5/100,0)&lt;-AQ$6,-AQ$6-SUM(AQ$10:AQ230),-ROUNDDOWN($K231*AQ$5/100,0)),0)</f>
        <v>0</v>
      </c>
      <c r="AR231" s="38">
        <f>IF(AND($A231&gt;=AR$8,$A231&lt;=AR$9),IF(SUM(AR$10:AR230)-ROUNDDOWN($K231*AR$5/100,0)&lt;-AR$6,-AR$6-SUM(AR$10:AR230),-ROUNDDOWN($K231*AR$5/100,0)),0)</f>
        <v>0</v>
      </c>
      <c r="AS231" s="38">
        <f>IF(SUMIFS(AS$10:AS230,$A$10:$A230,$A231)-ROUNDDOWN($K231*$S231/100,0)&lt;-$S231*1000,-$S231*1000-SUMIFS(AS$10:AS230,$A$10:$A230,$A231),-ROUNDDOWN($K231*$S231/100,0))</f>
        <v>0</v>
      </c>
      <c r="AT231" s="38">
        <f>IF(AND(X231="○",$A231&gt;=AT$8,$A231&lt;=AT$9,K231&gt;=3980),IF(SUM(AT$10:AT230)-ROUNDDOWN($K231*AT$5/100,0)&lt;-AT$6,-AT$6-SUM(AT$10:AT230),-ROUNDDOWN($K231*AT$5/100,0)),0)</f>
        <v>0</v>
      </c>
      <c r="AU231" s="38">
        <f>IF(O231="○",IF(SUM(AU$10:AU230)-ROUNDDOWN($K231*AU$5/100,0)&lt;-AU$6,-AU$6-SUM(AU$10:AU230),-ROUNDDOWN($K231*AU$5/100,0)),0)</f>
        <v>0</v>
      </c>
      <c r="AV231" s="38">
        <f>IF(P231="○",IF(SUM(AV$10:AV230)-ROUNDDOWN($K231*AV$5/100,0)&lt;-AV$6,-AV$6-SUM(AV$10:AV230),-ROUNDDOWN($K231*AV$5/100,0)),0)</f>
        <v>0</v>
      </c>
      <c r="AW231" s="38">
        <f>IF(Q231="○",IF(SUM(AW$10:AW230)-ROUNDDOWN($K231*AW$5/100,0)&lt;-AW$6,-AW$6-SUM(AW$10:AW230),-ROUNDDOWN($K231*AW$5/100,0)),0)</f>
        <v>0</v>
      </c>
      <c r="AX231" s="38">
        <f>IF(R231="○",IF(SUM(AX$10:AX230)-ROUNDDOWN($K231*AX$5/100,0)&lt;-AX$6,-AX$6-SUM(AX$10:AX230),-ROUNDDOWN($K231*AX$5/100,0)),0)</f>
        <v>0</v>
      </c>
      <c r="AY231" s="70">
        <v>0</v>
      </c>
      <c r="AZ231" s="65">
        <f t="shared" si="178"/>
        <v>0</v>
      </c>
      <c r="BA231" s="65">
        <f t="shared" si="179"/>
        <v>0</v>
      </c>
      <c r="BB231" s="70"/>
      <c r="BC231" s="65">
        <f t="shared" si="180"/>
        <v>0</v>
      </c>
      <c r="BD231" s="70">
        <v>0</v>
      </c>
      <c r="BE231" s="65">
        <f t="shared" si="181"/>
        <v>0</v>
      </c>
      <c r="BF231" s="70">
        <v>0</v>
      </c>
      <c r="BG231" s="65">
        <f t="shared" si="182"/>
        <v>0</v>
      </c>
      <c r="BH231" s="70">
        <v>0</v>
      </c>
      <c r="BI231" s="65">
        <f t="shared" si="183"/>
        <v>0</v>
      </c>
      <c r="BJ231" s="38">
        <f>IF(AND(BJ$7="○",$A231&gt;=BJ$8,$A231&lt;=BJ$9),IF(SUM(BJ$10:BJ230)-ROUNDDOWN($M231*BJ$5/100,0)&lt;-BJ$6,-BJ$6-SUM(BJ$10:BJ230),-ROUNDDOWN($M231*BJ$5/100,0)),0)</f>
        <v>0</v>
      </c>
      <c r="BK231" s="38">
        <f>IF(AND(BK$7="○",$A231&gt;=BK$8,$A231&lt;=BK$9),IF(SUM(BK$10:BK230)-ROUNDDOWN($L231*BK$5/100,0)&lt;-BK$6,-BK$6-SUM(BK$10:BK230),-ROUNDDOWN($L231*BK$5/100,0)),0)</f>
        <v>0</v>
      </c>
      <c r="BL231" s="38">
        <f>IF(AND(BL$7="○",$A231&gt;=BL$8,$A231&lt;=BL$9),IF(SUM(BL$10:BL230)-ROUNDDOWN($L231*BL$5/100,0)&lt;-BL$6,-BL$6-SUM(BL$10:BL230),-ROUNDDOWN($L231*BL$5/100,0)),0)</f>
        <v>0</v>
      </c>
      <c r="BM231" s="38">
        <f>IF(AND(BM$7="○",$A231&gt;=BM$8,$A231&lt;=BM$9),IF(SUM(BM$10:BM230)-ROUNDDOWN($M231*BM$5/100,0)&lt;-BM$6,-BM$6-SUM(BM$10:BM230),-ROUNDDOWN($M231*BM$5/100,0)),0)</f>
        <v>0</v>
      </c>
      <c r="BN231" s="38">
        <f>IF(AND(BN$7="○",$A231&gt;=BN$8,$A231&lt;=BN$9),IF(SUM(BN$10:BN230)-ROUNDDOWN($M231*BN$5/100,0)&lt;-BN$6,-BN$6-SUM(BN$10:BN230),-ROUNDDOWN($M231*BN$5/100,0)),0)</f>
        <v>0</v>
      </c>
      <c r="BO231" s="38">
        <f>IF(AND(BO$7="○",$A231&gt;=BO$8,$A231&lt;=BO$9),IF(SUM(BO$10:BO230)-ROUNDDOWN($M231*BO$5/100,0)&lt;-BO$6,-BO$6-SUM(BO$10:BO230),-ROUNDDOWN($M231*BO$5/100,0)),0)</f>
        <v>0</v>
      </c>
      <c r="BP231" s="38">
        <f>IF(AND(BP$7="○",$A231&gt;=BP$8,$A231&lt;=BP$9),IF(SUM(BP$10:BP230)-ROUNDDOWN($M231*BP$5/100,0)&lt;-BP$6,-BP$6-SUM(BP$10:BP230),-ROUNDDOWN($M231*BP$5/100,0)),0)</f>
        <v>0</v>
      </c>
      <c r="BQ231" s="38">
        <f>IF(AND(BQ$7="○",$A231&gt;=BQ$8,$A231&lt;=BQ$9),IF(SUM(BQ$10:BQ230)-ROUNDDOWN($L231*BQ$5/100,0)&lt;-BQ$6,-BQ$6-SUM(BQ$10:BQ230),-ROUNDDOWN($L231*BQ$5/100,0)),0)</f>
        <v>0</v>
      </c>
      <c r="BR231" s="38">
        <f>IF(AND(BR$7="○",$A231&gt;=BR$8,$A231&lt;=BR$9),IF(SUM(BR$10:BR230)-ROUNDDOWN($M231*BR$5/100,0)&lt;-BR$6,-BR$6-SUM(BR$10:BR230),-ROUNDDOWN($M231*BR$5/100,0)),0)</f>
        <v>0</v>
      </c>
      <c r="BS231" s="38">
        <f>IF(AND(BS$7="○",$A231&gt;=BS$8,$A231&lt;=BS$9),IF(SUM(BS$10:BS230)-ROUNDDOWN($M231*BS$5/100,0)&lt;-BS$6,-BS$6-SUM(BS$10:BS230),-ROUNDDOWN($M231*BS$5/100,0)),0)</f>
        <v>0</v>
      </c>
      <c r="BT231" s="38">
        <f>IF(AND(BT$7="○",$A231&gt;=BT$8,$A231&lt;=BT$9),IF(SUM(BT$10:BT230)-ROUNDDOWN($M231*BT$5/100,0)&lt;-BT$6,-BT$6-SUM(BT$10:BT230),-ROUNDDOWN($M231*BT$5/100,0)),0)</f>
        <v>0</v>
      </c>
      <c r="BU231" s="38">
        <f>IF(AND(BU$7="○",$A231&gt;=BU$8,$A231&lt;=BU$9),IF(SUM(BU$10:BU230)-ROUNDDOWN($M231*BU$5/100,0)&lt;-BU$6,-BU$6-SUM(BU$10:BU230),-ROUNDDOWN($M231*BU$5/100,0)),0)</f>
        <v>0</v>
      </c>
      <c r="BV231" s="38">
        <f>IF(AND(BV$7="○",$A231&gt;=BV$8,$A231&lt;=BV$9),IF(SUM(BV$10:BV230)-ROUNDDOWN($M231*BV$5/100,0)&lt;-BV$6,-BV$6-SUM(BV$10:BV230),-ROUNDDOWN($M231*BV$5/100,0)),0)</f>
        <v>0</v>
      </c>
      <c r="BW231" s="38">
        <f>IF(AND(BW$7="○",$A231&gt;=BW$8,$A231&lt;=BW$9),IF(SUM(BW$10:BW230)-ROUNDDOWN($M231*BW$5/100,0)&lt;-BW$6,-BW$6-SUM(BW$10:BW230),-ROUNDDOWN($M231*BW$5/100,0)),0)</f>
        <v>0</v>
      </c>
      <c r="BX231" s="38">
        <f>IF(AND(T231="○",$A231&gt;=BX$8,$A231&lt;=BX$9),IF(SUM(BX$10:BX230)-ROUNDDOWN($K231*BX$5/100,0)&lt;-BX$6,-BX$6-SUM(BX$10:BX230),-ROUNDDOWN($K231*BX$5/100,0)),0)</f>
        <v>0</v>
      </c>
      <c r="BY231" s="38">
        <f>IF(AND(U231="○",$A231&gt;=BY$8,$A231&lt;=BY$9),IF(SUM(BY$10:BY230)-ROUNDDOWN($K231*BY$5/100,0)&lt;-BY$6,-BY$6-SUM(BY$10:BY230),-ROUNDDOWN($K231*BY$5/100,0)),0)</f>
        <v>0</v>
      </c>
      <c r="BZ231" s="38">
        <f>IF(AND(V231="○",$A231&gt;=BZ$8,$A231&lt;=BZ$9),IF(SUM(BZ$10:BZ230)-ROUNDDOWN($K231*BZ$5/100,0)&lt;-BZ$6,-BZ$6-SUM(BZ$10:BZ230),-ROUNDDOWN($K231*BZ$5/100,0)),0)</f>
        <v>0</v>
      </c>
      <c r="CA231" s="38">
        <f>IF(AND(W231="○",$A231&gt;=CA$8,$A231&lt;=CA$9),IF(SUM(CA$10:CA230)-ROUNDDOWN($K231*CA$5/100,0)&lt;-CA$6,-CA$6-SUM(CA$10:CA230),-ROUNDDOWN($K231*CA$5/100,0)),0)</f>
        <v>0</v>
      </c>
      <c r="CB231" s="38"/>
      <c r="CC231" s="38"/>
      <c r="CD231" s="38"/>
      <c r="CE231" s="38"/>
      <c r="CF231" s="38"/>
      <c r="CG231" s="65">
        <f t="shared" si="184"/>
        <v>0</v>
      </c>
      <c r="CH231" s="71">
        <f t="shared" si="185"/>
        <v>0</v>
      </c>
      <c r="CI231" s="1">
        <f t="shared" si="19"/>
        <v>0</v>
      </c>
      <c r="CJ231" s="1"/>
      <c r="CK231" s="72"/>
      <c r="CL231" s="72"/>
      <c r="CM231" s="2"/>
      <c r="CN231" s="2"/>
      <c r="CO231" s="73">
        <f t="shared" si="20"/>
        <v>0</v>
      </c>
      <c r="CP231" s="5">
        <f t="shared" si="21"/>
        <v>0</v>
      </c>
      <c r="CQ231" s="1"/>
      <c r="CR231" s="1">
        <f t="shared" si="22"/>
        <v>0</v>
      </c>
      <c r="CS231" s="1"/>
      <c r="CT231" s="1" t="e">
        <f>INDEX([2]マスタ!$A:$A,MATCH(D231,[2]マスタ!$C:$C,0))</f>
        <v>#N/A</v>
      </c>
      <c r="CU231" s="1" t="str">
        <f t="shared" ca="1" si="23"/>
        <v>20260620_0-0</v>
      </c>
    </row>
    <row r="232" spans="1:99" x14ac:dyDescent="0.4">
      <c r="A232" s="61"/>
      <c r="B232" s="62"/>
      <c r="C232" s="62"/>
      <c r="D232" s="62"/>
      <c r="E232" s="74"/>
      <c r="F232" s="62"/>
      <c r="G232" s="62">
        <v>1</v>
      </c>
      <c r="H232" s="64">
        <f t="shared" si="4"/>
        <v>0</v>
      </c>
      <c r="I232" s="64"/>
      <c r="J232" s="64"/>
      <c r="K232" s="65">
        <f t="shared" si="188"/>
        <v>0</v>
      </c>
      <c r="L232" s="65">
        <f t="shared" si="6"/>
        <v>0</v>
      </c>
      <c r="M232" s="65">
        <f t="shared" si="7"/>
        <v>0</v>
      </c>
      <c r="N232" s="65">
        <f t="shared" si="8"/>
        <v>0</v>
      </c>
      <c r="O232" s="66" t="str">
        <f t="shared" si="189"/>
        <v>✕</v>
      </c>
      <c r="P232" s="67" t="str">
        <f t="shared" si="190"/>
        <v>○</v>
      </c>
      <c r="Q232" s="67" t="str">
        <f t="shared" si="191"/>
        <v>✕</v>
      </c>
      <c r="R232" s="67" t="str">
        <f t="shared" si="192"/>
        <v>✕</v>
      </c>
      <c r="S232" s="68">
        <v>0</v>
      </c>
      <c r="T232" s="69" t="s">
        <v>85</v>
      </c>
      <c r="U232" s="69" t="s">
        <v>85</v>
      </c>
      <c r="V232" s="69" t="s">
        <v>85</v>
      </c>
      <c r="W232" s="69" t="s">
        <v>85</v>
      </c>
      <c r="X232" s="69" t="s">
        <v>84</v>
      </c>
      <c r="Y232" s="69" t="s">
        <v>85</v>
      </c>
      <c r="Z232" s="69" t="s">
        <v>85</v>
      </c>
      <c r="AA232" s="69" t="s">
        <v>85</v>
      </c>
      <c r="AB232" s="69" t="s">
        <v>85</v>
      </c>
      <c r="AC232" s="69" t="s">
        <v>85</v>
      </c>
      <c r="AD232" s="38" t="str">
        <f>+IF(ISERROR(VLOOKUP($B232,AD$10:AD231,1,0)),IF(AND($N232&gt;=1000,$A232&gt;=AO$8,$A232&lt;=AO$9),$B232,""),"")</f>
        <v/>
      </c>
      <c r="AE232" s="38" t="str">
        <f>+IF(ISERROR(VLOOKUP($B232,AE$10:AE231,1,0)),IF(AND($N232&gt;=1000,$A232&gt;=AP$8,$A232&lt;=AP$9),$B232,""),"")</f>
        <v/>
      </c>
      <c r="AF232" s="38" t="str">
        <f>+IF(ISERROR(VLOOKUP($B232,AF$10:AF231,1,0)),IF(AND($N232&gt;=1000,$A232&gt;=AQ$8,$A232&lt;=AQ$9),$B232,""),"")</f>
        <v/>
      </c>
      <c r="AG232" s="38" t="str">
        <f>+IF(ISERROR(VLOOKUP($B232,AG$10:AG231,1,0)),IF(AND($N232&gt;=1000,$A232&gt;=AR$8,$A232&lt;=AR$9),$B232,""),"")</f>
        <v/>
      </c>
      <c r="AH232" s="38"/>
      <c r="AI232" s="70">
        <v>0</v>
      </c>
      <c r="AJ232" s="38">
        <f>IF(AND(AJ$7="○",$A232&gt;=AJ$8,$A232&lt;=AJ$9),IF(SUM(AJ$10:AJ231)-ROUNDDOWN($K232*AJ$5/100,0)&lt;-AJ$6,-AJ$6-SUM(AJ$10:AJ231),-ROUNDDOWN($K232*AJ$5/100,0)),0)</f>
        <v>0</v>
      </c>
      <c r="AK232" s="38">
        <f>IF(AND(AK$7="○",$A232&gt;=AK$8,$A232&lt;=AK$9),IF(SUM(AK$10:AK231)-ROUNDDOWN($L232*AK$5/100,0)&lt;-AK$6,-AK$6-SUM(AK$10:AK231),-ROUNDDOWN($L232*AK$5/100,0)),0)</f>
        <v>0</v>
      </c>
      <c r="AL232" s="38">
        <f>IF(AND(AL$7="○",$A232&gt;=AL$8,$A232&lt;=AL$9),IF(SUM(AL$10:AL231)-ROUNDDOWN($N232*AL$5/100,0)&lt;-AL$6,-AL$6-SUM(AL$10:AL231),-ROUNDDOWN($N232*AL$5/100,0)),0)</f>
        <v>0</v>
      </c>
      <c r="AM232" s="38">
        <f>IF(AND(AM$7="○",$A232&gt;=AM$8,$A232&lt;=AM$9),IF(SUM(AM$10:AM231)-ROUNDDOWN($L232*AM$5/100,0)&lt;-AM$6,-AM$6-SUM(AM$10:AM231),-ROUNDDOWN($L232*AM$5/100,0)),0)</f>
        <v>0</v>
      </c>
      <c r="AN232" s="38">
        <f>IF(AND(AN$7="○",$A232&gt;=AN$8,$A232&lt;=AN$9),IF(SUM(AN$10:AN231)-ROUNDDOWN($M232*AN$5/100,0)&lt;-AN$6,-AN$6-SUM(AN$10:AN231),-ROUNDDOWN($M232*AN$5/100,0)),0)</f>
        <v>0</v>
      </c>
      <c r="AO232" s="38">
        <f>IF(AND($A232&gt;=AO$8,$A232&lt;=AO$9),IF(SUM(AO$10:AO231)-ROUNDDOWN($K232*AO$5/100,0)&lt;-AO$6,-AO$6-SUM(AO$10:AO231),-ROUNDDOWN($K232*AO$5/100,0)),0)</f>
        <v>0</v>
      </c>
      <c r="AP232" s="38">
        <f>IF(AND($A232&gt;=AP$8,$A232&lt;=AP$9),IF(SUM(AP$10:AP231)-ROUNDDOWN($K232*AP$5/100,0)&lt;-AP$6,-AP$6-SUM(AP$10:AP231),-ROUNDDOWN($K232*AP$5/100,0)),0)</f>
        <v>0</v>
      </c>
      <c r="AQ232" s="38">
        <f>IF(AND($A232&gt;=AQ$8,$A232&lt;=AQ$9),IF(SUM(AQ$10:AQ231)-ROUNDDOWN($K232*AQ$5/100,0)&lt;-AQ$6,-AQ$6-SUM(AQ$10:AQ231),-ROUNDDOWN($K232*AQ$5/100,0)),0)</f>
        <v>0</v>
      </c>
      <c r="AR232" s="38">
        <f>IF(AND($A232&gt;=AR$8,$A232&lt;=AR$9),IF(SUM(AR$10:AR231)-ROUNDDOWN($K232*AR$5/100,0)&lt;-AR$6,-AR$6-SUM(AR$10:AR231),-ROUNDDOWN($K232*AR$5/100,0)),0)</f>
        <v>0</v>
      </c>
      <c r="AS232" s="38">
        <f>IF(SUMIFS(AS$10:AS231,$A$10:$A231,$A232)-ROUNDDOWN($K232*$S232/100,0)&lt;-$S232*1000,-$S232*1000-SUMIFS(AS$10:AS231,$A$10:$A231,$A232),-ROUNDDOWN($K232*$S232/100,0))</f>
        <v>0</v>
      </c>
      <c r="AT232" s="38">
        <f>IF(AND(X232="○",$A232&gt;=AT$8,$A232&lt;=AT$9,K232&gt;=3980),IF(SUM(AT$10:AT231)-ROUNDDOWN($K232*AT$5/100,0)&lt;-AT$6,-AT$6-SUM(AT$10:AT231),-ROUNDDOWN($K232*AT$5/100,0)),0)</f>
        <v>0</v>
      </c>
      <c r="AU232" s="38">
        <f>IF(O232="○",IF(SUM(AU$10:AU231)-ROUNDDOWN($K232*AU$5/100,0)&lt;-AU$6,-AU$6-SUM(AU$10:AU231),-ROUNDDOWN($K232*AU$5/100,0)),0)</f>
        <v>0</v>
      </c>
      <c r="AV232" s="38">
        <f>IF(P232="○",IF(SUM(AV$10:AV231)-ROUNDDOWN($K232*AV$5/100,0)&lt;-AV$6,-AV$6-SUM(AV$10:AV231),-ROUNDDOWN($K232*AV$5/100,0)),0)</f>
        <v>0</v>
      </c>
      <c r="AW232" s="38">
        <f>IF(Q232="○",IF(SUM(AW$10:AW231)-ROUNDDOWN($K232*AW$5/100,0)&lt;-AW$6,-AW$6-SUM(AW$10:AW231),-ROUNDDOWN($K232*AW$5/100,0)),0)</f>
        <v>0</v>
      </c>
      <c r="AX232" s="38">
        <f>IF(R232="○",IF(SUM(AX$10:AX231)-ROUNDDOWN($K232*AX$5/100,0)&lt;-AX$6,-AX$6-SUM(AX$10:AX231),-ROUNDDOWN($K232*AX$5/100,0)),0)</f>
        <v>0</v>
      </c>
      <c r="AY232" s="70">
        <v>0</v>
      </c>
      <c r="AZ232" s="65">
        <f t="shared" si="178"/>
        <v>0</v>
      </c>
      <c r="BA232" s="65">
        <f t="shared" si="179"/>
        <v>0</v>
      </c>
      <c r="BB232" s="70"/>
      <c r="BC232" s="65">
        <f t="shared" si="180"/>
        <v>0</v>
      </c>
      <c r="BD232" s="70">
        <v>0</v>
      </c>
      <c r="BE232" s="65">
        <f t="shared" si="181"/>
        <v>0</v>
      </c>
      <c r="BF232" s="70">
        <v>0</v>
      </c>
      <c r="BG232" s="65">
        <f t="shared" si="182"/>
        <v>0</v>
      </c>
      <c r="BH232" s="70">
        <v>0</v>
      </c>
      <c r="BI232" s="65">
        <f t="shared" si="183"/>
        <v>0</v>
      </c>
      <c r="BJ232" s="38">
        <f>IF(AND(BJ$7="○",$A232&gt;=BJ$8,$A232&lt;=BJ$9),IF(SUM(BJ$10:BJ231)-ROUNDDOWN($M232*BJ$5/100,0)&lt;-BJ$6,-BJ$6-SUM(BJ$10:BJ231),-ROUNDDOWN($M232*BJ$5/100,0)),0)</f>
        <v>0</v>
      </c>
      <c r="BK232" s="38">
        <f>IF(AND(BK$7="○",$A232&gt;=BK$8,$A232&lt;=BK$9),IF(SUM(BK$10:BK231)-ROUNDDOWN($L232*BK$5/100,0)&lt;-BK$6,-BK$6-SUM(BK$10:BK231),-ROUNDDOWN($L232*BK$5/100,0)),0)</f>
        <v>0</v>
      </c>
      <c r="BL232" s="38">
        <f>IF(AND(BL$7="○",$A232&gt;=BL$8,$A232&lt;=BL$9),IF(SUM(BL$10:BL231)-ROUNDDOWN($L232*BL$5/100,0)&lt;-BL$6,-BL$6-SUM(BL$10:BL231),-ROUNDDOWN($L232*BL$5/100,0)),0)</f>
        <v>0</v>
      </c>
      <c r="BM232" s="38">
        <f>IF(AND(BM$7="○",$A232&gt;=BM$8,$A232&lt;=BM$9),IF(SUM(BM$10:BM231)-ROUNDDOWN($M232*BM$5/100,0)&lt;-BM$6,-BM$6-SUM(BM$10:BM231),-ROUNDDOWN($M232*BM$5/100,0)),0)</f>
        <v>0</v>
      </c>
      <c r="BN232" s="38">
        <f>IF(AND(BN$7="○",$A232&gt;=BN$8,$A232&lt;=BN$9),IF(SUM(BN$10:BN231)-ROUNDDOWN($M232*BN$5/100,0)&lt;-BN$6,-BN$6-SUM(BN$10:BN231),-ROUNDDOWN($M232*BN$5/100,0)),0)</f>
        <v>0</v>
      </c>
      <c r="BO232" s="38">
        <f>IF(AND(BO$7="○",$A232&gt;=BO$8,$A232&lt;=BO$9),IF(SUM(BO$10:BO231)-ROUNDDOWN($M232*BO$5/100,0)&lt;-BO$6,-BO$6-SUM(BO$10:BO231),-ROUNDDOWN($M232*BO$5/100,0)),0)</f>
        <v>0</v>
      </c>
      <c r="BP232" s="38">
        <f>IF(AND(BP$7="○",$A232&gt;=BP$8,$A232&lt;=BP$9),IF(SUM(BP$10:BP231)-ROUNDDOWN($M232*BP$5/100,0)&lt;-BP$6,-BP$6-SUM(BP$10:BP231),-ROUNDDOWN($M232*BP$5/100,0)),0)</f>
        <v>0</v>
      </c>
      <c r="BQ232" s="38">
        <f>IF(AND(BQ$7="○",$A232&gt;=BQ$8,$A232&lt;=BQ$9),IF(SUM(BQ$10:BQ231)-ROUNDDOWN($L232*BQ$5/100,0)&lt;-BQ$6,-BQ$6-SUM(BQ$10:BQ231),-ROUNDDOWN($L232*BQ$5/100,0)),0)</f>
        <v>0</v>
      </c>
      <c r="BR232" s="38">
        <f>IF(AND(BR$7="○",$A232&gt;=BR$8,$A232&lt;=BR$9),IF(SUM(BR$10:BR231)-ROUNDDOWN($M232*BR$5/100,0)&lt;-BR$6,-BR$6-SUM(BR$10:BR231),-ROUNDDOWN($M232*BR$5/100,0)),0)</f>
        <v>0</v>
      </c>
      <c r="BS232" s="38">
        <f>IF(AND(BS$7="○",$A232&gt;=BS$8,$A232&lt;=BS$9),IF(SUM(BS$10:BS231)-ROUNDDOWN($M232*BS$5/100,0)&lt;-BS$6,-BS$6-SUM(BS$10:BS231),-ROUNDDOWN($M232*BS$5/100,0)),0)</f>
        <v>0</v>
      </c>
      <c r="BT232" s="38">
        <f>IF(AND(BT$7="○",$A232&gt;=BT$8,$A232&lt;=BT$9),IF(SUM(BT$10:BT231)-ROUNDDOWN($M232*BT$5/100,0)&lt;-BT$6,-BT$6-SUM(BT$10:BT231),-ROUNDDOWN($M232*BT$5/100,0)),0)</f>
        <v>0</v>
      </c>
      <c r="BU232" s="38">
        <f>IF(AND(BU$7="○",$A232&gt;=BU$8,$A232&lt;=BU$9),IF(SUM(BU$10:BU231)-ROUNDDOWN($M232*BU$5/100,0)&lt;-BU$6,-BU$6-SUM(BU$10:BU231),-ROUNDDOWN($M232*BU$5/100,0)),0)</f>
        <v>0</v>
      </c>
      <c r="BV232" s="38">
        <f>IF(AND(BV$7="○",$A232&gt;=BV$8,$A232&lt;=BV$9),IF(SUM(BV$10:BV231)-ROUNDDOWN($M232*BV$5/100,0)&lt;-BV$6,-BV$6-SUM(BV$10:BV231),-ROUNDDOWN($M232*BV$5/100,0)),0)</f>
        <v>0</v>
      </c>
      <c r="BW232" s="38">
        <f>IF(AND(BW$7="○",$A232&gt;=BW$8,$A232&lt;=BW$9),IF(SUM(BW$10:BW231)-ROUNDDOWN($M232*BW$5/100,0)&lt;-BW$6,-BW$6-SUM(BW$10:BW231),-ROUNDDOWN($M232*BW$5/100,0)),0)</f>
        <v>0</v>
      </c>
      <c r="BX232" s="38">
        <f>IF(AND(T232="○",$A232&gt;=BX$8,$A232&lt;=BX$9),IF(SUM(BX$10:BX231)-ROUNDDOWN($K232*BX$5/100,0)&lt;-BX$6,-BX$6-SUM(BX$10:BX231),-ROUNDDOWN($K232*BX$5/100,0)),0)</f>
        <v>0</v>
      </c>
      <c r="BY232" s="38">
        <f>IF(AND(U232="○",$A232&gt;=BY$8,$A232&lt;=BY$9),IF(SUM(BY$10:BY231)-ROUNDDOWN($K232*BY$5/100,0)&lt;-BY$6,-BY$6-SUM(BY$10:BY231),-ROUNDDOWN($K232*BY$5/100,0)),0)</f>
        <v>0</v>
      </c>
      <c r="BZ232" s="38">
        <f>IF(AND(V232="○",$A232&gt;=BZ$8,$A232&lt;=BZ$9),IF(SUM(BZ$10:BZ231)-ROUNDDOWN($K232*BZ$5/100,0)&lt;-BZ$6,-BZ$6-SUM(BZ$10:BZ231),-ROUNDDOWN($K232*BZ$5/100,0)),0)</f>
        <v>0</v>
      </c>
      <c r="CA232" s="38">
        <f>IF(AND(W232="○",$A232&gt;=CA$8,$A232&lt;=CA$9),IF(SUM(CA$10:CA231)-ROUNDDOWN($K232*CA$5/100,0)&lt;-CA$6,-CA$6-SUM(CA$10:CA231),-ROUNDDOWN($K232*CA$5/100,0)),0)</f>
        <v>0</v>
      </c>
      <c r="CB232" s="38"/>
      <c r="CC232" s="38"/>
      <c r="CD232" s="38"/>
      <c r="CE232" s="38"/>
      <c r="CF232" s="38"/>
      <c r="CG232" s="65">
        <f t="shared" si="184"/>
        <v>0</v>
      </c>
      <c r="CH232" s="71">
        <f t="shared" si="185"/>
        <v>0</v>
      </c>
      <c r="CI232" s="1">
        <f t="shared" si="19"/>
        <v>0</v>
      </c>
      <c r="CJ232" s="1"/>
      <c r="CK232" s="72"/>
      <c r="CL232" s="72"/>
      <c r="CM232" s="2"/>
      <c r="CN232" s="2"/>
      <c r="CO232" s="73">
        <f t="shared" si="20"/>
        <v>0</v>
      </c>
      <c r="CP232" s="5">
        <f t="shared" si="21"/>
        <v>0</v>
      </c>
      <c r="CQ232" s="1"/>
      <c r="CR232" s="1">
        <f t="shared" si="22"/>
        <v>0</v>
      </c>
      <c r="CS232" s="1"/>
      <c r="CT232" s="1" t="e">
        <f>INDEX([2]マスタ!$A:$A,MATCH(D232,[2]マスタ!$C:$C,0))</f>
        <v>#N/A</v>
      </c>
      <c r="CU232" s="1" t="str">
        <f t="shared" ca="1" si="23"/>
        <v>20260620_0-0</v>
      </c>
    </row>
    <row r="233" spans="1:99" x14ac:dyDescent="0.4">
      <c r="A233" s="61"/>
      <c r="B233" s="62"/>
      <c r="C233" s="62"/>
      <c r="D233" s="62"/>
      <c r="E233" s="74"/>
      <c r="F233" s="62"/>
      <c r="G233" s="62">
        <v>1</v>
      </c>
      <c r="H233" s="64">
        <f t="shared" si="4"/>
        <v>0</v>
      </c>
      <c r="I233" s="64"/>
      <c r="J233" s="64"/>
      <c r="K233" s="65">
        <f t="shared" si="188"/>
        <v>0</v>
      </c>
      <c r="L233" s="65">
        <f t="shared" si="6"/>
        <v>0</v>
      </c>
      <c r="M233" s="65">
        <f t="shared" si="7"/>
        <v>0</v>
      </c>
      <c r="N233" s="65">
        <f t="shared" si="8"/>
        <v>0</v>
      </c>
      <c r="O233" s="66" t="str">
        <f t="shared" si="189"/>
        <v>✕</v>
      </c>
      <c r="P233" s="67" t="str">
        <f t="shared" si="190"/>
        <v>○</v>
      </c>
      <c r="Q233" s="67" t="str">
        <f t="shared" si="191"/>
        <v>✕</v>
      </c>
      <c r="R233" s="67" t="str">
        <f t="shared" si="192"/>
        <v>✕</v>
      </c>
      <c r="S233" s="68">
        <v>0</v>
      </c>
      <c r="T233" s="69" t="s">
        <v>85</v>
      </c>
      <c r="U233" s="69" t="s">
        <v>85</v>
      </c>
      <c r="V233" s="69" t="s">
        <v>85</v>
      </c>
      <c r="W233" s="69" t="s">
        <v>85</v>
      </c>
      <c r="X233" s="69" t="s">
        <v>84</v>
      </c>
      <c r="Y233" s="69" t="s">
        <v>85</v>
      </c>
      <c r="Z233" s="69" t="s">
        <v>85</v>
      </c>
      <c r="AA233" s="69" t="s">
        <v>85</v>
      </c>
      <c r="AB233" s="69" t="s">
        <v>85</v>
      </c>
      <c r="AC233" s="69" t="s">
        <v>85</v>
      </c>
      <c r="AD233" s="38" t="str">
        <f>+IF(ISERROR(VLOOKUP($B233,AD$10:AD232,1,0)),IF(AND($N233&gt;=1000,$A233&gt;=AO$8,$A233&lt;=AO$9),$B233,""),"")</f>
        <v/>
      </c>
      <c r="AE233" s="38" t="str">
        <f>+IF(ISERROR(VLOOKUP($B233,AE$10:AE232,1,0)),IF(AND($N233&gt;=1000,$A233&gt;=AP$8,$A233&lt;=AP$9),$B233,""),"")</f>
        <v/>
      </c>
      <c r="AF233" s="38" t="str">
        <f>+IF(ISERROR(VLOOKUP($B233,AF$10:AF232,1,0)),IF(AND($N233&gt;=1000,$A233&gt;=AQ$8,$A233&lt;=AQ$9),$B233,""),"")</f>
        <v/>
      </c>
      <c r="AG233" s="38" t="str">
        <f>+IF(ISERROR(VLOOKUP($B233,AG$10:AG232,1,0)),IF(AND($N233&gt;=1000,$A233&gt;=AR$8,$A233&lt;=AR$9),$B233,""),"")</f>
        <v/>
      </c>
      <c r="AH233" s="38"/>
      <c r="AI233" s="70">
        <v>0</v>
      </c>
      <c r="AJ233" s="38">
        <f>IF(AND(AJ$7="○",$A233&gt;=AJ$8,$A233&lt;=AJ$9),IF(SUM(AJ$10:AJ232)-ROUNDDOWN($K233*AJ$5/100,0)&lt;-AJ$6,-AJ$6-SUM(AJ$10:AJ232),-ROUNDDOWN($K233*AJ$5/100,0)),0)</f>
        <v>0</v>
      </c>
      <c r="AK233" s="38">
        <f>IF(AND(AK$7="○",$A233&gt;=AK$8,$A233&lt;=AK$9),IF(SUM(AK$10:AK232)-ROUNDDOWN($L233*AK$5/100,0)&lt;-AK$6,-AK$6-SUM(AK$10:AK232),-ROUNDDOWN($L233*AK$5/100,0)),0)</f>
        <v>0</v>
      </c>
      <c r="AL233" s="38">
        <f>IF(AND(AL$7="○",$A233&gt;=AL$8,$A233&lt;=AL$9),IF(SUM(AL$10:AL232)-ROUNDDOWN($N233*AL$5/100,0)&lt;-AL$6,-AL$6-SUM(AL$10:AL232),-ROUNDDOWN($N233*AL$5/100,0)),0)</f>
        <v>0</v>
      </c>
      <c r="AM233" s="38">
        <f>IF(AND(AM$7="○",$A233&gt;=AM$8,$A233&lt;=AM$9),IF(SUM(AM$10:AM232)-ROUNDDOWN($L233*AM$5/100,0)&lt;-AM$6,-AM$6-SUM(AM$10:AM232),-ROUNDDOWN($L233*AM$5/100,0)),0)</f>
        <v>0</v>
      </c>
      <c r="AN233" s="38">
        <f>IF(AND(AN$7="○",$A233&gt;=AN$8,$A233&lt;=AN$9),IF(SUM(AN$10:AN232)-ROUNDDOWN($M233*AN$5/100,0)&lt;-AN$6,-AN$6-SUM(AN$10:AN232),-ROUNDDOWN($M233*AN$5/100,0)),0)</f>
        <v>0</v>
      </c>
      <c r="AO233" s="38">
        <f>IF(AND($A233&gt;=AO$8,$A233&lt;=AO$9),IF(SUM(AO$10:AO232)-ROUNDDOWN($K233*AO$5/100,0)&lt;-AO$6,-AO$6-SUM(AO$10:AO232),-ROUNDDOWN($K233*AO$5/100,0)),0)</f>
        <v>0</v>
      </c>
      <c r="AP233" s="38">
        <f>IF(AND($A233&gt;=AP$8,$A233&lt;=AP$9),IF(SUM(AP$10:AP232)-ROUNDDOWN($K233*AP$5/100,0)&lt;-AP$6,-AP$6-SUM(AP$10:AP232),-ROUNDDOWN($K233*AP$5/100,0)),0)</f>
        <v>0</v>
      </c>
      <c r="AQ233" s="38">
        <f>IF(AND($A233&gt;=AQ$8,$A233&lt;=AQ$9),IF(SUM(AQ$10:AQ232)-ROUNDDOWN($K233*AQ$5/100,0)&lt;-AQ$6,-AQ$6-SUM(AQ$10:AQ232),-ROUNDDOWN($K233*AQ$5/100,0)),0)</f>
        <v>0</v>
      </c>
      <c r="AR233" s="38">
        <f>IF(AND($A233&gt;=AR$8,$A233&lt;=AR$9),IF(SUM(AR$10:AR232)-ROUNDDOWN($K233*AR$5/100,0)&lt;-AR$6,-AR$6-SUM(AR$10:AR232),-ROUNDDOWN($K233*AR$5/100,0)),0)</f>
        <v>0</v>
      </c>
      <c r="AS233" s="38">
        <f>IF(SUMIFS(AS$10:AS232,$A$10:$A232,$A233)-ROUNDDOWN($K233*$S233/100,0)&lt;-$S233*1000,-$S233*1000-SUMIFS(AS$10:AS232,$A$10:$A232,$A233),-ROUNDDOWN($K233*$S233/100,0))</f>
        <v>0</v>
      </c>
      <c r="AT233" s="38">
        <f>IF(AND(X233="○",$A233&gt;=AT$8,$A233&lt;=AT$9,K233&gt;=3980),IF(SUM(AT$10:AT232)-ROUNDDOWN($K233*AT$5/100,0)&lt;-AT$6,-AT$6-SUM(AT$10:AT232),-ROUNDDOWN($K233*AT$5/100,0)),0)</f>
        <v>0</v>
      </c>
      <c r="AU233" s="38">
        <f>IF(O233="○",IF(SUM(AU$10:AU232)-ROUNDDOWN($K233*AU$5/100,0)&lt;-AU$6,-AU$6-SUM(AU$10:AU232),-ROUNDDOWN($K233*AU$5/100,0)),0)</f>
        <v>0</v>
      </c>
      <c r="AV233" s="38">
        <f>IF(P233="○",IF(SUM(AV$10:AV232)-ROUNDDOWN($K233*AV$5/100,0)&lt;-AV$6,-AV$6-SUM(AV$10:AV232),-ROUNDDOWN($K233*AV$5/100,0)),0)</f>
        <v>0</v>
      </c>
      <c r="AW233" s="38">
        <f>IF(Q233="○",IF(SUM(AW$10:AW232)-ROUNDDOWN($K233*AW$5/100,0)&lt;-AW$6,-AW$6-SUM(AW$10:AW232),-ROUNDDOWN($K233*AW$5/100,0)),0)</f>
        <v>0</v>
      </c>
      <c r="AX233" s="38">
        <f>IF(R233="○",IF(SUM(AX$10:AX232)-ROUNDDOWN($K233*AX$5/100,0)&lt;-AX$6,-AX$6-SUM(AX$10:AX232),-ROUNDDOWN($K233*AX$5/100,0)),0)</f>
        <v>0</v>
      </c>
      <c r="AY233" s="70">
        <v>0</v>
      </c>
      <c r="AZ233" s="65">
        <f t="shared" si="178"/>
        <v>0</v>
      </c>
      <c r="BA233" s="65">
        <f t="shared" si="179"/>
        <v>0</v>
      </c>
      <c r="BB233" s="70"/>
      <c r="BC233" s="65">
        <f t="shared" si="180"/>
        <v>0</v>
      </c>
      <c r="BD233" s="70">
        <v>0</v>
      </c>
      <c r="BE233" s="65">
        <f t="shared" si="181"/>
        <v>0</v>
      </c>
      <c r="BF233" s="70">
        <v>0</v>
      </c>
      <c r="BG233" s="65">
        <f t="shared" si="182"/>
        <v>0</v>
      </c>
      <c r="BH233" s="70">
        <v>0</v>
      </c>
      <c r="BI233" s="65">
        <f t="shared" si="183"/>
        <v>0</v>
      </c>
      <c r="BJ233" s="38">
        <f>IF(AND(BJ$7="○",$A233&gt;=BJ$8,$A233&lt;=BJ$9),IF(SUM(BJ$10:BJ232)-ROUNDDOWN($M233*BJ$5/100,0)&lt;-BJ$6,-BJ$6-SUM(BJ$10:BJ232),-ROUNDDOWN($M233*BJ$5/100,0)),0)</f>
        <v>0</v>
      </c>
      <c r="BK233" s="38">
        <f>IF(AND(BK$7="○",$A233&gt;=BK$8,$A233&lt;=BK$9),IF(SUM(BK$10:BK232)-ROUNDDOWN($L233*BK$5/100,0)&lt;-BK$6,-BK$6-SUM(BK$10:BK232),-ROUNDDOWN($L233*BK$5/100,0)),0)</f>
        <v>0</v>
      </c>
      <c r="BL233" s="38">
        <f>IF(AND(BL$7="○",$A233&gt;=BL$8,$A233&lt;=BL$9),IF(SUM(BL$10:BL232)-ROUNDDOWN($L233*BL$5/100,0)&lt;-BL$6,-BL$6-SUM(BL$10:BL232),-ROUNDDOWN($L233*BL$5/100,0)),0)</f>
        <v>0</v>
      </c>
      <c r="BM233" s="38">
        <f>IF(AND(BM$7="○",$A233&gt;=BM$8,$A233&lt;=BM$9),IF(SUM(BM$10:BM232)-ROUNDDOWN($M233*BM$5/100,0)&lt;-BM$6,-BM$6-SUM(BM$10:BM232),-ROUNDDOWN($M233*BM$5/100,0)),0)</f>
        <v>0</v>
      </c>
      <c r="BN233" s="38">
        <f>IF(AND(BN$7="○",$A233&gt;=BN$8,$A233&lt;=BN$9),IF(SUM(BN$10:BN232)-ROUNDDOWN($M233*BN$5/100,0)&lt;-BN$6,-BN$6-SUM(BN$10:BN232),-ROUNDDOWN($M233*BN$5/100,0)),0)</f>
        <v>0</v>
      </c>
      <c r="BO233" s="38">
        <f>IF(AND(BO$7="○",$A233&gt;=BO$8,$A233&lt;=BO$9),IF(SUM(BO$10:BO232)-ROUNDDOWN($M233*BO$5/100,0)&lt;-BO$6,-BO$6-SUM(BO$10:BO232),-ROUNDDOWN($M233*BO$5/100,0)),0)</f>
        <v>0</v>
      </c>
      <c r="BP233" s="38">
        <f>IF(AND(BP$7="○",$A233&gt;=BP$8,$A233&lt;=BP$9),IF(SUM(BP$10:BP232)-ROUNDDOWN($M233*BP$5/100,0)&lt;-BP$6,-BP$6-SUM(BP$10:BP232),-ROUNDDOWN($M233*BP$5/100,0)),0)</f>
        <v>0</v>
      </c>
      <c r="BQ233" s="38">
        <f>IF(AND(BQ$7="○",$A233&gt;=BQ$8,$A233&lt;=BQ$9),IF(SUM(BQ$10:BQ232)-ROUNDDOWN($L233*BQ$5/100,0)&lt;-BQ$6,-BQ$6-SUM(BQ$10:BQ232),-ROUNDDOWN($L233*BQ$5/100,0)),0)</f>
        <v>0</v>
      </c>
      <c r="BR233" s="38">
        <f>IF(AND(BR$7="○",$A233&gt;=BR$8,$A233&lt;=BR$9),IF(SUM(BR$10:BR232)-ROUNDDOWN($M233*BR$5/100,0)&lt;-BR$6,-BR$6-SUM(BR$10:BR232),-ROUNDDOWN($M233*BR$5/100,0)),0)</f>
        <v>0</v>
      </c>
      <c r="BS233" s="38">
        <f>IF(AND(BS$7="○",$A233&gt;=BS$8,$A233&lt;=BS$9),IF(SUM(BS$10:BS232)-ROUNDDOWN($M233*BS$5/100,0)&lt;-BS$6,-BS$6-SUM(BS$10:BS232),-ROUNDDOWN($M233*BS$5/100,0)),0)</f>
        <v>0</v>
      </c>
      <c r="BT233" s="38">
        <f>IF(AND(BT$7="○",$A233&gt;=BT$8,$A233&lt;=BT$9),IF(SUM(BT$10:BT232)-ROUNDDOWN($M233*BT$5/100,0)&lt;-BT$6,-BT$6-SUM(BT$10:BT232),-ROUNDDOWN($M233*BT$5/100,0)),0)</f>
        <v>0</v>
      </c>
      <c r="BU233" s="38">
        <f>IF(AND(BU$7="○",$A233&gt;=BU$8,$A233&lt;=BU$9),IF(SUM(BU$10:BU232)-ROUNDDOWN($M233*BU$5/100,0)&lt;-BU$6,-BU$6-SUM(BU$10:BU232),-ROUNDDOWN($M233*BU$5/100,0)),0)</f>
        <v>0</v>
      </c>
      <c r="BV233" s="38">
        <f>IF(AND(BV$7="○",$A233&gt;=BV$8,$A233&lt;=BV$9),IF(SUM(BV$10:BV232)-ROUNDDOWN($M233*BV$5/100,0)&lt;-BV$6,-BV$6-SUM(BV$10:BV232),-ROUNDDOWN($M233*BV$5/100,0)),0)</f>
        <v>0</v>
      </c>
      <c r="BW233" s="38">
        <f>IF(AND(BW$7="○",$A233&gt;=BW$8,$A233&lt;=BW$9),IF(SUM(BW$10:BW232)-ROUNDDOWN($M233*BW$5/100,0)&lt;-BW$6,-BW$6-SUM(BW$10:BW232),-ROUNDDOWN($M233*BW$5/100,0)),0)</f>
        <v>0</v>
      </c>
      <c r="BX233" s="38">
        <f>IF(AND(T233="○",$A233&gt;=BX$8,$A233&lt;=BX$9),IF(SUM(BX$10:BX232)-ROUNDDOWN($K233*BX$5/100,0)&lt;-BX$6,-BX$6-SUM(BX$10:BX232),-ROUNDDOWN($K233*BX$5/100,0)),0)</f>
        <v>0</v>
      </c>
      <c r="BY233" s="38">
        <f>IF(AND(U233="○",$A233&gt;=BY$8,$A233&lt;=BY$9),IF(SUM(BY$10:BY232)-ROUNDDOWN($K233*BY$5/100,0)&lt;-BY$6,-BY$6-SUM(BY$10:BY232),-ROUNDDOWN($K233*BY$5/100,0)),0)</f>
        <v>0</v>
      </c>
      <c r="BZ233" s="38">
        <f>IF(AND(V233="○",$A233&gt;=BZ$8,$A233&lt;=BZ$9),IF(SUM(BZ$10:BZ232)-ROUNDDOWN($K233*BZ$5/100,0)&lt;-BZ$6,-BZ$6-SUM(BZ$10:BZ232),-ROUNDDOWN($K233*BZ$5/100,0)),0)</f>
        <v>0</v>
      </c>
      <c r="CA233" s="38">
        <f>IF(AND(W233="○",$A233&gt;=CA$8,$A233&lt;=CA$9),IF(SUM(CA$10:CA232)-ROUNDDOWN($K233*CA$5/100,0)&lt;-CA$6,-CA$6-SUM(CA$10:CA232),-ROUNDDOWN($K233*CA$5/100,0)),0)</f>
        <v>0</v>
      </c>
      <c r="CB233" s="38"/>
      <c r="CC233" s="38"/>
      <c r="CD233" s="38"/>
      <c r="CE233" s="38"/>
      <c r="CF233" s="38"/>
      <c r="CG233" s="65">
        <f t="shared" si="184"/>
        <v>0</v>
      </c>
      <c r="CH233" s="71">
        <f t="shared" si="185"/>
        <v>0</v>
      </c>
      <c r="CI233" s="1">
        <f t="shared" si="19"/>
        <v>0</v>
      </c>
      <c r="CJ233" s="1"/>
      <c r="CK233" s="72"/>
      <c r="CL233" s="72"/>
      <c r="CM233" s="2"/>
      <c r="CN233" s="2"/>
      <c r="CO233" s="73">
        <f t="shared" si="20"/>
        <v>0</v>
      </c>
      <c r="CP233" s="5">
        <f t="shared" si="21"/>
        <v>0</v>
      </c>
      <c r="CQ233" s="1"/>
      <c r="CR233" s="1">
        <f t="shared" si="22"/>
        <v>0</v>
      </c>
      <c r="CS233" s="1"/>
      <c r="CT233" s="1" t="e">
        <f>INDEX([2]マスタ!$A:$A,MATCH(D233,[2]マスタ!$C:$C,0))</f>
        <v>#N/A</v>
      </c>
      <c r="CU233" s="1" t="str">
        <f t="shared" ca="1" si="23"/>
        <v>20260620_0-0</v>
      </c>
    </row>
    <row r="234" spans="1:99" x14ac:dyDescent="0.4">
      <c r="A234" s="61"/>
      <c r="B234" s="62"/>
      <c r="C234" s="62"/>
      <c r="D234" s="62"/>
      <c r="E234" s="74"/>
      <c r="F234" s="62"/>
      <c r="G234" s="62">
        <v>1</v>
      </c>
      <c r="H234" s="64">
        <f t="shared" si="4"/>
        <v>0</v>
      </c>
      <c r="I234" s="64"/>
      <c r="J234" s="64"/>
      <c r="K234" s="65">
        <f t="shared" si="188"/>
        <v>0</v>
      </c>
      <c r="L234" s="65">
        <f t="shared" si="6"/>
        <v>0</v>
      </c>
      <c r="M234" s="65">
        <f t="shared" si="7"/>
        <v>0</v>
      </c>
      <c r="N234" s="65">
        <f t="shared" si="8"/>
        <v>0</v>
      </c>
      <c r="O234" s="66" t="str">
        <f t="shared" si="189"/>
        <v>✕</v>
      </c>
      <c r="P234" s="67" t="str">
        <f t="shared" si="190"/>
        <v>○</v>
      </c>
      <c r="Q234" s="67" t="str">
        <f t="shared" si="191"/>
        <v>✕</v>
      </c>
      <c r="R234" s="67" t="str">
        <f t="shared" si="192"/>
        <v>✕</v>
      </c>
      <c r="S234" s="68">
        <v>0</v>
      </c>
      <c r="T234" s="69" t="s">
        <v>85</v>
      </c>
      <c r="U234" s="69" t="s">
        <v>85</v>
      </c>
      <c r="V234" s="69" t="s">
        <v>85</v>
      </c>
      <c r="W234" s="69" t="s">
        <v>85</v>
      </c>
      <c r="X234" s="69" t="s">
        <v>84</v>
      </c>
      <c r="Y234" s="69" t="s">
        <v>85</v>
      </c>
      <c r="Z234" s="69" t="s">
        <v>85</v>
      </c>
      <c r="AA234" s="69" t="s">
        <v>85</v>
      </c>
      <c r="AB234" s="69" t="s">
        <v>85</v>
      </c>
      <c r="AC234" s="69" t="s">
        <v>85</v>
      </c>
      <c r="AD234" s="38" t="str">
        <f>+IF(ISERROR(VLOOKUP($B234,AD$10:AD233,1,0)),IF(AND($N234&gt;=1000,$A234&gt;=AO$8,$A234&lt;=AO$9),$B234,""),"")</f>
        <v/>
      </c>
      <c r="AE234" s="38" t="str">
        <f>+IF(ISERROR(VLOOKUP($B234,AE$10:AE233,1,0)),IF(AND($N234&gt;=1000,$A234&gt;=AP$8,$A234&lt;=AP$9),$B234,""),"")</f>
        <v/>
      </c>
      <c r="AF234" s="38" t="str">
        <f>+IF(ISERROR(VLOOKUP($B234,AF$10:AF233,1,0)),IF(AND($N234&gt;=1000,$A234&gt;=AQ$8,$A234&lt;=AQ$9),$B234,""),"")</f>
        <v/>
      </c>
      <c r="AG234" s="38" t="str">
        <f>+IF(ISERROR(VLOOKUP($B234,AG$10:AG233,1,0)),IF(AND($N234&gt;=1000,$A234&gt;=AR$8,$A234&lt;=AR$9),$B234,""),"")</f>
        <v/>
      </c>
      <c r="AH234" s="38"/>
      <c r="AI234" s="70">
        <v>0</v>
      </c>
      <c r="AJ234" s="38">
        <f>IF(AND(AJ$7="○",$A234&gt;=AJ$8,$A234&lt;=AJ$9),IF(SUM(AJ$10:AJ233)-ROUNDDOWN($K234*AJ$5/100,0)&lt;-AJ$6,-AJ$6-SUM(AJ$10:AJ233),-ROUNDDOWN($K234*AJ$5/100,0)),0)</f>
        <v>0</v>
      </c>
      <c r="AK234" s="38">
        <f>IF(AND(AK$7="○",$A234&gt;=AK$8,$A234&lt;=AK$9),IF(SUM(AK$10:AK233)-ROUNDDOWN($L234*AK$5/100,0)&lt;-AK$6,-AK$6-SUM(AK$10:AK233),-ROUNDDOWN($L234*AK$5/100,0)),0)</f>
        <v>0</v>
      </c>
      <c r="AL234" s="38">
        <f>IF(AND(AL$7="○",$A234&gt;=AL$8,$A234&lt;=AL$9),IF(SUM(AL$10:AL233)-ROUNDDOWN($N234*AL$5/100,0)&lt;-AL$6,-AL$6-SUM(AL$10:AL233),-ROUNDDOWN($N234*AL$5/100,0)),0)</f>
        <v>0</v>
      </c>
      <c r="AM234" s="38">
        <f>IF(AND(AM$7="○",$A234&gt;=AM$8,$A234&lt;=AM$9),IF(SUM(AM$10:AM233)-ROUNDDOWN($L234*AM$5/100,0)&lt;-AM$6,-AM$6-SUM(AM$10:AM233),-ROUNDDOWN($L234*AM$5/100,0)),0)</f>
        <v>0</v>
      </c>
      <c r="AN234" s="38">
        <f>IF(AND(AN$7="○",$A234&gt;=AN$8,$A234&lt;=AN$9),IF(SUM(AN$10:AN233)-ROUNDDOWN($M234*AN$5/100,0)&lt;-AN$6,-AN$6-SUM(AN$10:AN233),-ROUNDDOWN($M234*AN$5/100,0)),0)</f>
        <v>0</v>
      </c>
      <c r="AO234" s="38">
        <f>IF(AND($A234&gt;=AO$8,$A234&lt;=AO$9),IF(SUM(AO$10:AO233)-ROUNDDOWN($K234*AO$5/100,0)&lt;-AO$6,-AO$6-SUM(AO$10:AO233),-ROUNDDOWN($K234*AO$5/100,0)),0)</f>
        <v>0</v>
      </c>
      <c r="AP234" s="38">
        <f>IF(AND($A234&gt;=AP$8,$A234&lt;=AP$9),IF(SUM(AP$10:AP233)-ROUNDDOWN($K234*AP$5/100,0)&lt;-AP$6,-AP$6-SUM(AP$10:AP233),-ROUNDDOWN($K234*AP$5/100,0)),0)</f>
        <v>0</v>
      </c>
      <c r="AQ234" s="38">
        <f>IF(AND($A234&gt;=AQ$8,$A234&lt;=AQ$9),IF(SUM(AQ$10:AQ233)-ROUNDDOWN($K234*AQ$5/100,0)&lt;-AQ$6,-AQ$6-SUM(AQ$10:AQ233),-ROUNDDOWN($K234*AQ$5/100,0)),0)</f>
        <v>0</v>
      </c>
      <c r="AR234" s="38">
        <f>IF(AND($A234&gt;=AR$8,$A234&lt;=AR$9),IF(SUM(AR$10:AR233)-ROUNDDOWN($K234*AR$5/100,0)&lt;-AR$6,-AR$6-SUM(AR$10:AR233),-ROUNDDOWN($K234*AR$5/100,0)),0)</f>
        <v>0</v>
      </c>
      <c r="AS234" s="38">
        <f>IF(SUMIFS(AS$10:AS233,$A$10:$A233,$A234)-ROUNDDOWN($K234*$S234/100,0)&lt;-$S234*1000,-$S234*1000-SUMIFS(AS$10:AS233,$A$10:$A233,$A234),-ROUNDDOWN($K234*$S234/100,0))</f>
        <v>0</v>
      </c>
      <c r="AT234" s="38">
        <f>IF(AND(X234="○",$A234&gt;=AT$8,$A234&lt;=AT$9,K234&gt;=3980),IF(SUM(AT$10:AT233)-ROUNDDOWN($K234*AT$5/100,0)&lt;-AT$6,-AT$6-SUM(AT$10:AT233),-ROUNDDOWN($K234*AT$5/100,0)),0)</f>
        <v>0</v>
      </c>
      <c r="AU234" s="38">
        <f>IF(O234="○",IF(SUM(AU$10:AU233)-ROUNDDOWN($K234*AU$5/100,0)&lt;-AU$6,-AU$6-SUM(AU$10:AU233),-ROUNDDOWN($K234*AU$5/100,0)),0)</f>
        <v>0</v>
      </c>
      <c r="AV234" s="38">
        <f>IF(P234="○",IF(SUM(AV$10:AV233)-ROUNDDOWN($K234*AV$5/100,0)&lt;-AV$6,-AV$6-SUM(AV$10:AV233),-ROUNDDOWN($K234*AV$5/100,0)),0)</f>
        <v>0</v>
      </c>
      <c r="AW234" s="38">
        <f>IF(Q234="○",IF(SUM(AW$10:AW233)-ROUNDDOWN($K234*AW$5/100,0)&lt;-AW$6,-AW$6-SUM(AW$10:AW233),-ROUNDDOWN($K234*AW$5/100,0)),0)</f>
        <v>0</v>
      </c>
      <c r="AX234" s="38">
        <f>IF(R234="○",IF(SUM(AX$10:AX233)-ROUNDDOWN($K234*AX$5/100,0)&lt;-AX$6,-AX$6-SUM(AX$10:AX233),-ROUNDDOWN($K234*AX$5/100,0)),0)</f>
        <v>0</v>
      </c>
      <c r="AY234" s="70">
        <v>0</v>
      </c>
      <c r="AZ234" s="65">
        <f t="shared" si="178"/>
        <v>0</v>
      </c>
      <c r="BA234" s="65">
        <f t="shared" si="179"/>
        <v>0</v>
      </c>
      <c r="BB234" s="70"/>
      <c r="BC234" s="65">
        <f t="shared" si="180"/>
        <v>0</v>
      </c>
      <c r="BD234" s="70">
        <v>0</v>
      </c>
      <c r="BE234" s="65">
        <f t="shared" si="181"/>
        <v>0</v>
      </c>
      <c r="BF234" s="70">
        <v>0</v>
      </c>
      <c r="BG234" s="65">
        <f t="shared" si="182"/>
        <v>0</v>
      </c>
      <c r="BH234" s="70">
        <v>0</v>
      </c>
      <c r="BI234" s="65">
        <f t="shared" si="183"/>
        <v>0</v>
      </c>
      <c r="BJ234" s="38">
        <f>IF(AND(BJ$7="○",$A234&gt;=BJ$8,$A234&lt;=BJ$9),IF(SUM(BJ$10:BJ233)-ROUNDDOWN($M234*BJ$5/100,0)&lt;-BJ$6,-BJ$6-SUM(BJ$10:BJ233),-ROUNDDOWN($M234*BJ$5/100,0)),0)</f>
        <v>0</v>
      </c>
      <c r="BK234" s="38">
        <f>IF(AND(BK$7="○",$A234&gt;=BK$8,$A234&lt;=BK$9),IF(SUM(BK$10:BK233)-ROUNDDOWN($L234*BK$5/100,0)&lt;-BK$6,-BK$6-SUM(BK$10:BK233),-ROUNDDOWN($L234*BK$5/100,0)),0)</f>
        <v>0</v>
      </c>
      <c r="BL234" s="38">
        <f>IF(AND(BL$7="○",$A234&gt;=BL$8,$A234&lt;=BL$9),IF(SUM(BL$10:BL233)-ROUNDDOWN($L234*BL$5/100,0)&lt;-BL$6,-BL$6-SUM(BL$10:BL233),-ROUNDDOWN($L234*BL$5/100,0)),0)</f>
        <v>0</v>
      </c>
      <c r="BM234" s="38">
        <f>IF(AND(BM$7="○",$A234&gt;=BM$8,$A234&lt;=BM$9),IF(SUM(BM$10:BM233)-ROUNDDOWN($M234*BM$5/100,0)&lt;-BM$6,-BM$6-SUM(BM$10:BM233),-ROUNDDOWN($M234*BM$5/100,0)),0)</f>
        <v>0</v>
      </c>
      <c r="BN234" s="38">
        <f>IF(AND(BN$7="○",$A234&gt;=BN$8,$A234&lt;=BN$9),IF(SUM(BN$10:BN233)-ROUNDDOWN($M234*BN$5/100,0)&lt;-BN$6,-BN$6-SUM(BN$10:BN233),-ROUNDDOWN($M234*BN$5/100,0)),0)</f>
        <v>0</v>
      </c>
      <c r="BO234" s="38">
        <f>IF(AND(BO$7="○",$A234&gt;=BO$8,$A234&lt;=BO$9),IF(SUM(BO$10:BO233)-ROUNDDOWN($M234*BO$5/100,0)&lt;-BO$6,-BO$6-SUM(BO$10:BO233),-ROUNDDOWN($M234*BO$5/100,0)),0)</f>
        <v>0</v>
      </c>
      <c r="BP234" s="38">
        <f>IF(AND(BP$7="○",$A234&gt;=BP$8,$A234&lt;=BP$9),IF(SUM(BP$10:BP233)-ROUNDDOWN($M234*BP$5/100,0)&lt;-BP$6,-BP$6-SUM(BP$10:BP233),-ROUNDDOWN($M234*BP$5/100,0)),0)</f>
        <v>0</v>
      </c>
      <c r="BQ234" s="38">
        <f>IF(AND(BQ$7="○",$A234&gt;=BQ$8,$A234&lt;=BQ$9),IF(SUM(BQ$10:BQ233)-ROUNDDOWN($L234*BQ$5/100,0)&lt;-BQ$6,-BQ$6-SUM(BQ$10:BQ233),-ROUNDDOWN($L234*BQ$5/100,0)),0)</f>
        <v>0</v>
      </c>
      <c r="BR234" s="38">
        <f>IF(AND(BR$7="○",$A234&gt;=BR$8,$A234&lt;=BR$9),IF(SUM(BR$10:BR233)-ROUNDDOWN($M234*BR$5/100,0)&lt;-BR$6,-BR$6-SUM(BR$10:BR233),-ROUNDDOWN($M234*BR$5/100,0)),0)</f>
        <v>0</v>
      </c>
      <c r="BS234" s="38">
        <f>IF(AND(BS$7="○",$A234&gt;=BS$8,$A234&lt;=BS$9),IF(SUM(BS$10:BS233)-ROUNDDOWN($M234*BS$5/100,0)&lt;-BS$6,-BS$6-SUM(BS$10:BS233),-ROUNDDOWN($M234*BS$5/100,0)),0)</f>
        <v>0</v>
      </c>
      <c r="BT234" s="38">
        <f>IF(AND(BT$7="○",$A234&gt;=BT$8,$A234&lt;=BT$9),IF(SUM(BT$10:BT233)-ROUNDDOWN($M234*BT$5/100,0)&lt;-BT$6,-BT$6-SUM(BT$10:BT233),-ROUNDDOWN($M234*BT$5/100,0)),0)</f>
        <v>0</v>
      </c>
      <c r="BU234" s="38">
        <f>IF(AND(BU$7="○",$A234&gt;=BU$8,$A234&lt;=BU$9),IF(SUM(BU$10:BU233)-ROUNDDOWN($M234*BU$5/100,0)&lt;-BU$6,-BU$6-SUM(BU$10:BU233),-ROUNDDOWN($M234*BU$5/100,0)),0)</f>
        <v>0</v>
      </c>
      <c r="BV234" s="38">
        <f>IF(AND(BV$7="○",$A234&gt;=BV$8,$A234&lt;=BV$9),IF(SUM(BV$10:BV233)-ROUNDDOWN($M234*BV$5/100,0)&lt;-BV$6,-BV$6-SUM(BV$10:BV233),-ROUNDDOWN($M234*BV$5/100,0)),0)</f>
        <v>0</v>
      </c>
      <c r="BW234" s="38">
        <f>IF(AND(BW$7="○",$A234&gt;=BW$8,$A234&lt;=BW$9),IF(SUM(BW$10:BW233)-ROUNDDOWN($M234*BW$5/100,0)&lt;-BW$6,-BW$6-SUM(BW$10:BW233),-ROUNDDOWN($M234*BW$5/100,0)),0)</f>
        <v>0</v>
      </c>
      <c r="BX234" s="38">
        <f>IF(AND(T234="○",$A234&gt;=BX$8,$A234&lt;=BX$9),IF(SUM(BX$10:BX233)-ROUNDDOWN($K234*BX$5/100,0)&lt;-BX$6,-BX$6-SUM(BX$10:BX233),-ROUNDDOWN($K234*BX$5/100,0)),0)</f>
        <v>0</v>
      </c>
      <c r="BY234" s="38">
        <f>IF(AND(U234="○",$A234&gt;=BY$8,$A234&lt;=BY$9),IF(SUM(BY$10:BY233)-ROUNDDOWN($K234*BY$5/100,0)&lt;-BY$6,-BY$6-SUM(BY$10:BY233),-ROUNDDOWN($K234*BY$5/100,0)),0)</f>
        <v>0</v>
      </c>
      <c r="BZ234" s="38">
        <f>IF(AND(V234="○",$A234&gt;=BZ$8,$A234&lt;=BZ$9),IF(SUM(BZ$10:BZ233)-ROUNDDOWN($K234*BZ$5/100,0)&lt;-BZ$6,-BZ$6-SUM(BZ$10:BZ233),-ROUNDDOWN($K234*BZ$5/100,0)),0)</f>
        <v>0</v>
      </c>
      <c r="CA234" s="38">
        <f>IF(AND(W234="○",$A234&gt;=CA$8,$A234&lt;=CA$9),IF(SUM(CA$10:CA233)-ROUNDDOWN($K234*CA$5/100,0)&lt;-CA$6,-CA$6-SUM(CA$10:CA233),-ROUNDDOWN($K234*CA$5/100,0)),0)</f>
        <v>0</v>
      </c>
      <c r="CB234" s="38"/>
      <c r="CC234" s="38"/>
      <c r="CD234" s="38"/>
      <c r="CE234" s="38"/>
      <c r="CF234" s="38"/>
      <c r="CG234" s="65">
        <f t="shared" si="184"/>
        <v>0</v>
      </c>
      <c r="CH234" s="71">
        <f t="shared" si="185"/>
        <v>0</v>
      </c>
      <c r="CI234" s="1">
        <f t="shared" si="19"/>
        <v>0</v>
      </c>
      <c r="CJ234" s="1"/>
      <c r="CK234" s="72"/>
      <c r="CL234" s="72"/>
      <c r="CM234" s="2"/>
      <c r="CN234" s="2"/>
      <c r="CO234" s="73">
        <f t="shared" si="20"/>
        <v>0</v>
      </c>
      <c r="CP234" s="5">
        <f t="shared" si="21"/>
        <v>0</v>
      </c>
      <c r="CQ234" s="1"/>
      <c r="CR234" s="1">
        <f t="shared" si="22"/>
        <v>0</v>
      </c>
      <c r="CS234" s="1"/>
      <c r="CT234" s="1" t="e">
        <f>INDEX([2]マスタ!$A:$A,MATCH(D234,[2]マスタ!$C:$C,0))</f>
        <v>#N/A</v>
      </c>
      <c r="CU234" s="1" t="str">
        <f t="shared" ca="1" si="23"/>
        <v>20260620_0-0</v>
      </c>
    </row>
    <row r="235" spans="1:99" x14ac:dyDescent="0.4">
      <c r="A235" s="61"/>
      <c r="B235" s="62"/>
      <c r="C235" s="62"/>
      <c r="D235" s="62"/>
      <c r="E235" s="74"/>
      <c r="F235" s="62"/>
      <c r="G235" s="62">
        <v>1</v>
      </c>
      <c r="H235" s="64">
        <f t="shared" si="4"/>
        <v>0</v>
      </c>
      <c r="I235" s="64"/>
      <c r="J235" s="64"/>
      <c r="K235" s="65">
        <f t="shared" si="188"/>
        <v>0</v>
      </c>
      <c r="L235" s="65">
        <f t="shared" si="6"/>
        <v>0</v>
      </c>
      <c r="M235" s="65">
        <f t="shared" si="7"/>
        <v>0</v>
      </c>
      <c r="N235" s="65">
        <f t="shared" si="8"/>
        <v>0</v>
      </c>
      <c r="O235" s="66" t="str">
        <f t="shared" si="189"/>
        <v>✕</v>
      </c>
      <c r="P235" s="67" t="str">
        <f t="shared" si="190"/>
        <v>○</v>
      </c>
      <c r="Q235" s="67" t="str">
        <f t="shared" si="191"/>
        <v>✕</v>
      </c>
      <c r="R235" s="67" t="str">
        <f t="shared" si="192"/>
        <v>✕</v>
      </c>
      <c r="S235" s="68">
        <v>0</v>
      </c>
      <c r="T235" s="69" t="s">
        <v>85</v>
      </c>
      <c r="U235" s="69" t="s">
        <v>85</v>
      </c>
      <c r="V235" s="69" t="s">
        <v>85</v>
      </c>
      <c r="W235" s="69" t="s">
        <v>85</v>
      </c>
      <c r="X235" s="69" t="s">
        <v>84</v>
      </c>
      <c r="Y235" s="69" t="s">
        <v>85</v>
      </c>
      <c r="Z235" s="69" t="s">
        <v>85</v>
      </c>
      <c r="AA235" s="69" t="s">
        <v>85</v>
      </c>
      <c r="AB235" s="69" t="s">
        <v>85</v>
      </c>
      <c r="AC235" s="69" t="s">
        <v>85</v>
      </c>
      <c r="AD235" s="38" t="str">
        <f>+IF(ISERROR(VLOOKUP($B235,AD$10:AD234,1,0)),IF(AND($N235&gt;=1000,$A235&gt;=AO$8,$A235&lt;=AO$9),$B235,""),"")</f>
        <v/>
      </c>
      <c r="AE235" s="38" t="str">
        <f>+IF(ISERROR(VLOOKUP($B235,AE$10:AE234,1,0)),IF(AND($N235&gt;=1000,$A235&gt;=AP$8,$A235&lt;=AP$9),$B235,""),"")</f>
        <v/>
      </c>
      <c r="AF235" s="38" t="str">
        <f>+IF(ISERROR(VLOOKUP($B235,AF$10:AF234,1,0)),IF(AND($N235&gt;=1000,$A235&gt;=AQ$8,$A235&lt;=AQ$9),$B235,""),"")</f>
        <v/>
      </c>
      <c r="AG235" s="38" t="str">
        <f>+IF(ISERROR(VLOOKUP($B235,AG$10:AG234,1,0)),IF(AND($N235&gt;=1000,$A235&gt;=AR$8,$A235&lt;=AR$9),$B235,""),"")</f>
        <v/>
      </c>
      <c r="AH235" s="38"/>
      <c r="AI235" s="70">
        <v>0</v>
      </c>
      <c r="AJ235" s="38">
        <f>IF(AND(AJ$7="○",$A235&gt;=AJ$8,$A235&lt;=AJ$9),IF(SUM(AJ$10:AJ234)-ROUNDDOWN($K235*AJ$5/100,0)&lt;-AJ$6,-AJ$6-SUM(AJ$10:AJ234),-ROUNDDOWN($K235*AJ$5/100,0)),0)</f>
        <v>0</v>
      </c>
      <c r="AK235" s="38">
        <f>IF(AND(AK$7="○",$A235&gt;=AK$8,$A235&lt;=AK$9),IF(SUM(AK$10:AK234)-ROUNDDOWN($L235*AK$5/100,0)&lt;-AK$6,-AK$6-SUM(AK$10:AK234),-ROUNDDOWN($L235*AK$5/100,0)),0)</f>
        <v>0</v>
      </c>
      <c r="AL235" s="38">
        <f>IF(AND(AL$7="○",$A235&gt;=AL$8,$A235&lt;=AL$9),IF(SUM(AL$10:AL234)-ROUNDDOWN($N235*AL$5/100,0)&lt;-AL$6,-AL$6-SUM(AL$10:AL234),-ROUNDDOWN($N235*AL$5/100,0)),0)</f>
        <v>0</v>
      </c>
      <c r="AM235" s="38">
        <f>IF(AND(AM$7="○",$A235&gt;=AM$8,$A235&lt;=AM$9),IF(SUM(AM$10:AM234)-ROUNDDOWN($L235*AM$5/100,0)&lt;-AM$6,-AM$6-SUM(AM$10:AM234),-ROUNDDOWN($L235*AM$5/100,0)),0)</f>
        <v>0</v>
      </c>
      <c r="AN235" s="38">
        <f>IF(AND(AN$7="○",$A235&gt;=AN$8,$A235&lt;=AN$9),IF(SUM(AN$10:AN234)-ROUNDDOWN($M235*AN$5/100,0)&lt;-AN$6,-AN$6-SUM(AN$10:AN234),-ROUNDDOWN($M235*AN$5/100,0)),0)</f>
        <v>0</v>
      </c>
      <c r="AO235" s="38">
        <f>IF(AND($A235&gt;=AO$8,$A235&lt;=AO$9),IF(SUM(AO$10:AO234)-ROUNDDOWN($K235*AO$5/100,0)&lt;-AO$6,-AO$6-SUM(AO$10:AO234),-ROUNDDOWN($K235*AO$5/100,0)),0)</f>
        <v>0</v>
      </c>
      <c r="AP235" s="38">
        <f>IF(AND($A235&gt;=AP$8,$A235&lt;=AP$9),IF(SUM(AP$10:AP234)-ROUNDDOWN($K235*AP$5/100,0)&lt;-AP$6,-AP$6-SUM(AP$10:AP234),-ROUNDDOWN($K235*AP$5/100,0)),0)</f>
        <v>0</v>
      </c>
      <c r="AQ235" s="38">
        <f>IF(AND($A235&gt;=AQ$8,$A235&lt;=AQ$9),IF(SUM(AQ$10:AQ234)-ROUNDDOWN($K235*AQ$5/100,0)&lt;-AQ$6,-AQ$6-SUM(AQ$10:AQ234),-ROUNDDOWN($K235*AQ$5/100,0)),0)</f>
        <v>0</v>
      </c>
      <c r="AR235" s="38">
        <f>IF(AND($A235&gt;=AR$8,$A235&lt;=AR$9),IF(SUM(AR$10:AR234)-ROUNDDOWN($K235*AR$5/100,0)&lt;-AR$6,-AR$6-SUM(AR$10:AR234),-ROUNDDOWN($K235*AR$5/100,0)),0)</f>
        <v>0</v>
      </c>
      <c r="AS235" s="38">
        <f>IF(SUMIFS(AS$10:AS234,$A$10:$A234,$A235)-ROUNDDOWN($K235*$S235/100,0)&lt;-$S235*1000,-$S235*1000-SUMIFS(AS$10:AS234,$A$10:$A234,$A235),-ROUNDDOWN($K235*$S235/100,0))</f>
        <v>0</v>
      </c>
      <c r="AT235" s="38">
        <f>IF(AND(X235="○",$A235&gt;=AT$8,$A235&lt;=AT$9,K235&gt;=3980),IF(SUM(AT$10:AT234)-ROUNDDOWN($K235*AT$5/100,0)&lt;-AT$6,-AT$6-SUM(AT$10:AT234),-ROUNDDOWN($K235*AT$5/100,0)),0)</f>
        <v>0</v>
      </c>
      <c r="AU235" s="38">
        <f>IF(O235="○",IF(SUM(AU$10:AU234)-ROUNDDOWN($K235*AU$5/100,0)&lt;-AU$6,-AU$6-SUM(AU$10:AU234),-ROUNDDOWN($K235*AU$5/100,0)),0)</f>
        <v>0</v>
      </c>
      <c r="AV235" s="38">
        <f>IF(P235="○",IF(SUM(AV$10:AV234)-ROUNDDOWN($K235*AV$5/100,0)&lt;-AV$6,-AV$6-SUM(AV$10:AV234),-ROUNDDOWN($K235*AV$5/100,0)),0)</f>
        <v>0</v>
      </c>
      <c r="AW235" s="38">
        <f>IF(Q235="○",IF(SUM(AW$10:AW234)-ROUNDDOWN($K235*AW$5/100,0)&lt;-AW$6,-AW$6-SUM(AW$10:AW234),-ROUNDDOWN($K235*AW$5/100,0)),0)</f>
        <v>0</v>
      </c>
      <c r="AX235" s="38">
        <f>IF(R235="○",IF(SUM(AX$10:AX234)-ROUNDDOWN($K235*AX$5/100,0)&lt;-AX$6,-AX$6-SUM(AX$10:AX234),-ROUNDDOWN($K235*AX$5/100,0)),0)</f>
        <v>0</v>
      </c>
      <c r="AY235" s="70">
        <v>0</v>
      </c>
      <c r="AZ235" s="65">
        <f t="shared" si="178"/>
        <v>0</v>
      </c>
      <c r="BA235" s="65">
        <f t="shared" si="179"/>
        <v>0</v>
      </c>
      <c r="BB235" s="70"/>
      <c r="BC235" s="65">
        <f t="shared" si="180"/>
        <v>0</v>
      </c>
      <c r="BD235" s="70">
        <v>0</v>
      </c>
      <c r="BE235" s="65">
        <f t="shared" si="181"/>
        <v>0</v>
      </c>
      <c r="BF235" s="70">
        <v>0</v>
      </c>
      <c r="BG235" s="65">
        <f t="shared" si="182"/>
        <v>0</v>
      </c>
      <c r="BH235" s="70">
        <v>0</v>
      </c>
      <c r="BI235" s="65">
        <f t="shared" si="183"/>
        <v>0</v>
      </c>
      <c r="BJ235" s="38">
        <f>IF(AND(BJ$7="○",$A235&gt;=BJ$8,$A235&lt;=BJ$9),IF(SUM(BJ$10:BJ234)-ROUNDDOWN($M235*BJ$5/100,0)&lt;-BJ$6,-BJ$6-SUM(BJ$10:BJ234),-ROUNDDOWN($M235*BJ$5/100,0)),0)</f>
        <v>0</v>
      </c>
      <c r="BK235" s="38">
        <f>IF(AND(BK$7="○",$A235&gt;=BK$8,$A235&lt;=BK$9),IF(SUM(BK$10:BK234)-ROUNDDOWN($L235*BK$5/100,0)&lt;-BK$6,-BK$6-SUM(BK$10:BK234),-ROUNDDOWN($L235*BK$5/100,0)),0)</f>
        <v>0</v>
      </c>
      <c r="BL235" s="38">
        <f>IF(AND(BL$7="○",$A235&gt;=BL$8,$A235&lt;=BL$9),IF(SUM(BL$10:BL234)-ROUNDDOWN($L235*BL$5/100,0)&lt;-BL$6,-BL$6-SUM(BL$10:BL234),-ROUNDDOWN($L235*BL$5/100,0)),0)</f>
        <v>0</v>
      </c>
      <c r="BM235" s="38">
        <f>IF(AND(BM$7="○",$A235&gt;=BM$8,$A235&lt;=BM$9),IF(SUM(BM$10:BM234)-ROUNDDOWN($M235*BM$5/100,0)&lt;-BM$6,-BM$6-SUM(BM$10:BM234),-ROUNDDOWN($M235*BM$5/100,0)),0)</f>
        <v>0</v>
      </c>
      <c r="BN235" s="38">
        <f>IF(AND(BN$7="○",$A235&gt;=BN$8,$A235&lt;=BN$9),IF(SUM(BN$10:BN234)-ROUNDDOWN($M235*BN$5/100,0)&lt;-BN$6,-BN$6-SUM(BN$10:BN234),-ROUNDDOWN($M235*BN$5/100,0)),0)</f>
        <v>0</v>
      </c>
      <c r="BO235" s="38">
        <f>IF(AND(BO$7="○",$A235&gt;=BO$8,$A235&lt;=BO$9),IF(SUM(BO$10:BO234)-ROUNDDOWN($M235*BO$5/100,0)&lt;-BO$6,-BO$6-SUM(BO$10:BO234),-ROUNDDOWN($M235*BO$5/100,0)),0)</f>
        <v>0</v>
      </c>
      <c r="BP235" s="38">
        <f>IF(AND(BP$7="○",$A235&gt;=BP$8,$A235&lt;=BP$9),IF(SUM(BP$10:BP234)-ROUNDDOWN($M235*BP$5/100,0)&lt;-BP$6,-BP$6-SUM(BP$10:BP234),-ROUNDDOWN($M235*BP$5/100,0)),0)</f>
        <v>0</v>
      </c>
      <c r="BQ235" s="38">
        <f>IF(AND(BQ$7="○",$A235&gt;=BQ$8,$A235&lt;=BQ$9),IF(SUM(BQ$10:BQ234)-ROUNDDOWN($L235*BQ$5/100,0)&lt;-BQ$6,-BQ$6-SUM(BQ$10:BQ234),-ROUNDDOWN($L235*BQ$5/100,0)),0)</f>
        <v>0</v>
      </c>
      <c r="BR235" s="38">
        <f>IF(AND(BR$7="○",$A235&gt;=BR$8,$A235&lt;=BR$9),IF(SUM(BR$10:BR234)-ROUNDDOWN($M235*BR$5/100,0)&lt;-BR$6,-BR$6-SUM(BR$10:BR234),-ROUNDDOWN($M235*BR$5/100,0)),0)</f>
        <v>0</v>
      </c>
      <c r="BS235" s="38">
        <f>IF(AND(BS$7="○",$A235&gt;=BS$8,$A235&lt;=BS$9),IF(SUM(BS$10:BS234)-ROUNDDOWN($M235*BS$5/100,0)&lt;-BS$6,-BS$6-SUM(BS$10:BS234),-ROUNDDOWN($M235*BS$5/100,0)),0)</f>
        <v>0</v>
      </c>
      <c r="BT235" s="38">
        <f>IF(AND(BT$7="○",$A235&gt;=BT$8,$A235&lt;=BT$9),IF(SUM(BT$10:BT234)-ROUNDDOWN($M235*BT$5/100,0)&lt;-BT$6,-BT$6-SUM(BT$10:BT234),-ROUNDDOWN($M235*BT$5/100,0)),0)</f>
        <v>0</v>
      </c>
      <c r="BU235" s="38">
        <f>IF(AND(BU$7="○",$A235&gt;=BU$8,$A235&lt;=BU$9),IF(SUM(BU$10:BU234)-ROUNDDOWN($M235*BU$5/100,0)&lt;-BU$6,-BU$6-SUM(BU$10:BU234),-ROUNDDOWN($M235*BU$5/100,0)),0)</f>
        <v>0</v>
      </c>
      <c r="BV235" s="38">
        <f>IF(AND(BV$7="○",$A235&gt;=BV$8,$A235&lt;=BV$9),IF(SUM(BV$10:BV234)-ROUNDDOWN($M235*BV$5/100,0)&lt;-BV$6,-BV$6-SUM(BV$10:BV234),-ROUNDDOWN($M235*BV$5/100,0)),0)</f>
        <v>0</v>
      </c>
      <c r="BW235" s="38">
        <f>IF(AND(BW$7="○",$A235&gt;=BW$8,$A235&lt;=BW$9),IF(SUM(BW$10:BW234)-ROUNDDOWN($M235*BW$5/100,0)&lt;-BW$6,-BW$6-SUM(BW$10:BW234),-ROUNDDOWN($M235*BW$5/100,0)),0)</f>
        <v>0</v>
      </c>
      <c r="BX235" s="38">
        <f>IF(AND(T235="○",$A235&gt;=BX$8,$A235&lt;=BX$9),IF(SUM(BX$10:BX234)-ROUNDDOWN($K235*BX$5/100,0)&lt;-BX$6,-BX$6-SUM(BX$10:BX234),-ROUNDDOWN($K235*BX$5/100,0)),0)</f>
        <v>0</v>
      </c>
      <c r="BY235" s="38">
        <f>IF(AND(U235="○",$A235&gt;=BY$8,$A235&lt;=BY$9),IF(SUM(BY$10:BY234)-ROUNDDOWN($K235*BY$5/100,0)&lt;-BY$6,-BY$6-SUM(BY$10:BY234),-ROUNDDOWN($K235*BY$5/100,0)),0)</f>
        <v>0</v>
      </c>
      <c r="BZ235" s="38">
        <f>IF(AND(V235="○",$A235&gt;=BZ$8,$A235&lt;=BZ$9),IF(SUM(BZ$10:BZ234)-ROUNDDOWN($K235*BZ$5/100,0)&lt;-BZ$6,-BZ$6-SUM(BZ$10:BZ234),-ROUNDDOWN($K235*BZ$5/100,0)),0)</f>
        <v>0</v>
      </c>
      <c r="CA235" s="38">
        <f>IF(AND(W235="○",$A235&gt;=CA$8,$A235&lt;=CA$9),IF(SUM(CA$10:CA234)-ROUNDDOWN($K235*CA$5/100,0)&lt;-CA$6,-CA$6-SUM(CA$10:CA234),-ROUNDDOWN($K235*CA$5/100,0)),0)</f>
        <v>0</v>
      </c>
      <c r="CB235" s="38"/>
      <c r="CC235" s="38"/>
      <c r="CD235" s="38"/>
      <c r="CE235" s="38"/>
      <c r="CF235" s="38"/>
      <c r="CG235" s="65">
        <f t="shared" si="184"/>
        <v>0</v>
      </c>
      <c r="CH235" s="71">
        <f t="shared" si="185"/>
        <v>0</v>
      </c>
      <c r="CI235" s="1">
        <f t="shared" si="19"/>
        <v>0</v>
      </c>
      <c r="CJ235" s="1"/>
      <c r="CK235" s="72"/>
      <c r="CL235" s="72"/>
      <c r="CM235" s="2"/>
      <c r="CN235" s="2"/>
      <c r="CO235" s="73">
        <f t="shared" si="20"/>
        <v>0</v>
      </c>
      <c r="CP235" s="5">
        <f t="shared" si="21"/>
        <v>0</v>
      </c>
      <c r="CQ235" s="1"/>
      <c r="CR235" s="1">
        <f t="shared" si="22"/>
        <v>0</v>
      </c>
      <c r="CS235" s="1"/>
      <c r="CT235" s="1" t="e">
        <f>INDEX([2]マスタ!$A:$A,MATCH(D235,[2]マスタ!$C:$C,0))</f>
        <v>#N/A</v>
      </c>
      <c r="CU235" s="1" t="str">
        <f t="shared" ca="1" si="23"/>
        <v>20260620_0-0</v>
      </c>
    </row>
    <row r="236" spans="1:99" x14ac:dyDescent="0.4">
      <c r="A236" s="61"/>
      <c r="B236" s="62"/>
      <c r="C236" s="62"/>
      <c r="D236" s="62"/>
      <c r="E236" s="74"/>
      <c r="F236" s="62"/>
      <c r="G236" s="62">
        <v>1</v>
      </c>
      <c r="H236" s="64">
        <f t="shared" si="4"/>
        <v>0</v>
      </c>
      <c r="I236" s="64"/>
      <c r="J236" s="64"/>
      <c r="K236" s="65">
        <f t="shared" si="188"/>
        <v>0</v>
      </c>
      <c r="L236" s="65">
        <f t="shared" si="6"/>
        <v>0</v>
      </c>
      <c r="M236" s="65">
        <f t="shared" si="7"/>
        <v>0</v>
      </c>
      <c r="N236" s="65">
        <f t="shared" si="8"/>
        <v>0</v>
      </c>
      <c r="O236" s="66" t="str">
        <f t="shared" si="189"/>
        <v>✕</v>
      </c>
      <c r="P236" s="67" t="str">
        <f t="shared" si="190"/>
        <v>○</v>
      </c>
      <c r="Q236" s="67" t="str">
        <f t="shared" si="191"/>
        <v>✕</v>
      </c>
      <c r="R236" s="67" t="str">
        <f t="shared" si="192"/>
        <v>✕</v>
      </c>
      <c r="S236" s="68">
        <v>0</v>
      </c>
      <c r="T236" s="69" t="s">
        <v>85</v>
      </c>
      <c r="U236" s="69" t="s">
        <v>85</v>
      </c>
      <c r="V236" s="69" t="s">
        <v>85</v>
      </c>
      <c r="W236" s="69" t="s">
        <v>85</v>
      </c>
      <c r="X236" s="69" t="s">
        <v>84</v>
      </c>
      <c r="Y236" s="69" t="s">
        <v>85</v>
      </c>
      <c r="Z236" s="69" t="s">
        <v>85</v>
      </c>
      <c r="AA236" s="69" t="s">
        <v>85</v>
      </c>
      <c r="AB236" s="69" t="s">
        <v>85</v>
      </c>
      <c r="AC236" s="69" t="s">
        <v>85</v>
      </c>
      <c r="AD236" s="38" t="str">
        <f>+IF(ISERROR(VLOOKUP($B236,AD$10:AD235,1,0)),IF(AND($N236&gt;=1000,$A236&gt;=AO$8,$A236&lt;=AO$9),$B236,""),"")</f>
        <v/>
      </c>
      <c r="AE236" s="38" t="str">
        <f>+IF(ISERROR(VLOOKUP($B236,AE$10:AE235,1,0)),IF(AND($N236&gt;=1000,$A236&gt;=AP$8,$A236&lt;=AP$9),$B236,""),"")</f>
        <v/>
      </c>
      <c r="AF236" s="38" t="str">
        <f>+IF(ISERROR(VLOOKUP($B236,AF$10:AF235,1,0)),IF(AND($N236&gt;=1000,$A236&gt;=AQ$8,$A236&lt;=AQ$9),$B236,""),"")</f>
        <v/>
      </c>
      <c r="AG236" s="38" t="str">
        <f>+IF(ISERROR(VLOOKUP($B236,AG$10:AG235,1,0)),IF(AND($N236&gt;=1000,$A236&gt;=AR$8,$A236&lt;=AR$9),$B236,""),"")</f>
        <v/>
      </c>
      <c r="AH236" s="38"/>
      <c r="AI236" s="70">
        <v>0</v>
      </c>
      <c r="AJ236" s="38">
        <f>IF(AND(AJ$7="○",$A236&gt;=AJ$8,$A236&lt;=AJ$9),IF(SUM(AJ$10:AJ235)-ROUNDDOWN($K236*AJ$5/100,0)&lt;-AJ$6,-AJ$6-SUM(AJ$10:AJ235),-ROUNDDOWN($K236*AJ$5/100,0)),0)</f>
        <v>0</v>
      </c>
      <c r="AK236" s="38">
        <f>IF(AND(AK$7="○",$A236&gt;=AK$8,$A236&lt;=AK$9),IF(SUM(AK$10:AK235)-ROUNDDOWN($L236*AK$5/100,0)&lt;-AK$6,-AK$6-SUM(AK$10:AK235),-ROUNDDOWN($L236*AK$5/100,0)),0)</f>
        <v>0</v>
      </c>
      <c r="AL236" s="38">
        <f>IF(AND(AL$7="○",$A236&gt;=AL$8,$A236&lt;=AL$9),IF(SUM(AL$10:AL235)-ROUNDDOWN($N236*AL$5/100,0)&lt;-AL$6,-AL$6-SUM(AL$10:AL235),-ROUNDDOWN($N236*AL$5/100,0)),0)</f>
        <v>0</v>
      </c>
      <c r="AM236" s="38">
        <f>IF(AND(AM$7="○",$A236&gt;=AM$8,$A236&lt;=AM$9),IF(SUM(AM$10:AM235)-ROUNDDOWN($L236*AM$5/100,0)&lt;-AM$6,-AM$6-SUM(AM$10:AM235),-ROUNDDOWN($L236*AM$5/100,0)),0)</f>
        <v>0</v>
      </c>
      <c r="AN236" s="38">
        <f>IF(AND(AN$7="○",$A236&gt;=AN$8,$A236&lt;=AN$9),IF(SUM(AN$10:AN235)-ROUNDDOWN($M236*AN$5/100,0)&lt;-AN$6,-AN$6-SUM(AN$10:AN235),-ROUNDDOWN($M236*AN$5/100,0)),0)</f>
        <v>0</v>
      </c>
      <c r="AO236" s="38">
        <f>IF(AND($A236&gt;=AO$8,$A236&lt;=AO$9),IF(SUM(AO$10:AO235)-ROUNDDOWN($K236*AO$5/100,0)&lt;-AO$6,-AO$6-SUM(AO$10:AO235),-ROUNDDOWN($K236*AO$5/100,0)),0)</f>
        <v>0</v>
      </c>
      <c r="AP236" s="38">
        <f>IF(AND($A236&gt;=AP$8,$A236&lt;=AP$9),IF(SUM(AP$10:AP235)-ROUNDDOWN($K236*AP$5/100,0)&lt;-AP$6,-AP$6-SUM(AP$10:AP235),-ROUNDDOWN($K236*AP$5/100,0)),0)</f>
        <v>0</v>
      </c>
      <c r="AQ236" s="38">
        <f>IF(AND($A236&gt;=AQ$8,$A236&lt;=AQ$9),IF(SUM(AQ$10:AQ235)-ROUNDDOWN($K236*AQ$5/100,0)&lt;-AQ$6,-AQ$6-SUM(AQ$10:AQ235),-ROUNDDOWN($K236*AQ$5/100,0)),0)</f>
        <v>0</v>
      </c>
      <c r="AR236" s="38">
        <f>IF(AND($A236&gt;=AR$8,$A236&lt;=AR$9),IF(SUM(AR$10:AR235)-ROUNDDOWN($K236*AR$5/100,0)&lt;-AR$6,-AR$6-SUM(AR$10:AR235),-ROUNDDOWN($K236*AR$5/100,0)),0)</f>
        <v>0</v>
      </c>
      <c r="AS236" s="38">
        <f>IF(SUMIFS(AS$10:AS235,$A$10:$A235,$A236)-ROUNDDOWN($K236*$S236/100,0)&lt;-$S236*1000,-$S236*1000-SUMIFS(AS$10:AS235,$A$10:$A235,$A236),-ROUNDDOWN($K236*$S236/100,0))</f>
        <v>0</v>
      </c>
      <c r="AT236" s="38">
        <f>IF(AND(X236="○",$A236&gt;=AT$8,$A236&lt;=AT$9,K236&gt;=3980),IF(SUM(AT$10:AT235)-ROUNDDOWN($K236*AT$5/100,0)&lt;-AT$6,-AT$6-SUM(AT$10:AT235),-ROUNDDOWN($K236*AT$5/100,0)),0)</f>
        <v>0</v>
      </c>
      <c r="AU236" s="38">
        <f>IF(O236="○",IF(SUM(AU$10:AU235)-ROUNDDOWN($K236*AU$5/100,0)&lt;-AU$6,-AU$6-SUM(AU$10:AU235),-ROUNDDOWN($K236*AU$5/100,0)),0)</f>
        <v>0</v>
      </c>
      <c r="AV236" s="38">
        <f>IF(P236="○",IF(SUM(AV$10:AV235)-ROUNDDOWN($K236*AV$5/100,0)&lt;-AV$6,-AV$6-SUM(AV$10:AV235),-ROUNDDOWN($K236*AV$5/100,0)),0)</f>
        <v>0</v>
      </c>
      <c r="AW236" s="38">
        <f>IF(Q236="○",IF(SUM(AW$10:AW235)-ROUNDDOWN($K236*AW$5/100,0)&lt;-AW$6,-AW$6-SUM(AW$10:AW235),-ROUNDDOWN($K236*AW$5/100,0)),0)</f>
        <v>0</v>
      </c>
      <c r="AX236" s="38">
        <f>IF(R236="○",IF(SUM(AX$10:AX235)-ROUNDDOWN($K236*AX$5/100,0)&lt;-AX$6,-AX$6-SUM(AX$10:AX235),-ROUNDDOWN($K236*AX$5/100,0)),0)</f>
        <v>0</v>
      </c>
      <c r="AY236" s="70">
        <v>0</v>
      </c>
      <c r="AZ236" s="65">
        <f t="shared" si="178"/>
        <v>0</v>
      </c>
      <c r="BA236" s="65">
        <f t="shared" si="179"/>
        <v>0</v>
      </c>
      <c r="BB236" s="70"/>
      <c r="BC236" s="65">
        <f t="shared" si="180"/>
        <v>0</v>
      </c>
      <c r="BD236" s="70">
        <v>0</v>
      </c>
      <c r="BE236" s="65">
        <f t="shared" si="181"/>
        <v>0</v>
      </c>
      <c r="BF236" s="70">
        <v>0</v>
      </c>
      <c r="BG236" s="65">
        <f t="shared" si="182"/>
        <v>0</v>
      </c>
      <c r="BH236" s="70">
        <v>0</v>
      </c>
      <c r="BI236" s="65">
        <f t="shared" si="183"/>
        <v>0</v>
      </c>
      <c r="BJ236" s="38">
        <f>IF(AND(BJ$7="○",$A236&gt;=BJ$8,$A236&lt;=BJ$9),IF(SUM(BJ$10:BJ235)-ROUNDDOWN($M236*BJ$5/100,0)&lt;-BJ$6,-BJ$6-SUM(BJ$10:BJ235),-ROUNDDOWN($M236*BJ$5/100,0)),0)</f>
        <v>0</v>
      </c>
      <c r="BK236" s="38">
        <f>IF(AND(BK$7="○",$A236&gt;=BK$8,$A236&lt;=BK$9),IF(SUM(BK$10:BK235)-ROUNDDOWN($L236*BK$5/100,0)&lt;-BK$6,-BK$6-SUM(BK$10:BK235),-ROUNDDOWN($L236*BK$5/100,0)),0)</f>
        <v>0</v>
      </c>
      <c r="BL236" s="38">
        <f>IF(AND(BL$7="○",$A236&gt;=BL$8,$A236&lt;=BL$9),IF(SUM(BL$10:BL235)-ROUNDDOWN($L236*BL$5/100,0)&lt;-BL$6,-BL$6-SUM(BL$10:BL235),-ROUNDDOWN($L236*BL$5/100,0)),0)</f>
        <v>0</v>
      </c>
      <c r="BM236" s="38">
        <f>IF(AND(BM$7="○",$A236&gt;=BM$8,$A236&lt;=BM$9),IF(SUM(BM$10:BM235)-ROUNDDOWN($M236*BM$5/100,0)&lt;-BM$6,-BM$6-SUM(BM$10:BM235),-ROUNDDOWN($M236*BM$5/100,0)),0)</f>
        <v>0</v>
      </c>
      <c r="BN236" s="38">
        <f>IF(AND(BN$7="○",$A236&gt;=BN$8,$A236&lt;=BN$9),IF(SUM(BN$10:BN235)-ROUNDDOWN($M236*BN$5/100,0)&lt;-BN$6,-BN$6-SUM(BN$10:BN235),-ROUNDDOWN($M236*BN$5/100,0)),0)</f>
        <v>0</v>
      </c>
      <c r="BO236" s="38">
        <f>IF(AND(BO$7="○",$A236&gt;=BO$8,$A236&lt;=BO$9),IF(SUM(BO$10:BO235)-ROUNDDOWN($M236*BO$5/100,0)&lt;-BO$6,-BO$6-SUM(BO$10:BO235),-ROUNDDOWN($M236*BO$5/100,0)),0)</f>
        <v>0</v>
      </c>
      <c r="BP236" s="38">
        <f>IF(AND(BP$7="○",$A236&gt;=BP$8,$A236&lt;=BP$9),IF(SUM(BP$10:BP235)-ROUNDDOWN($M236*BP$5/100,0)&lt;-BP$6,-BP$6-SUM(BP$10:BP235),-ROUNDDOWN($M236*BP$5/100,0)),0)</f>
        <v>0</v>
      </c>
      <c r="BQ236" s="38">
        <f>IF(AND(BQ$7="○",$A236&gt;=BQ$8,$A236&lt;=BQ$9),IF(SUM(BQ$10:BQ235)-ROUNDDOWN($L236*BQ$5/100,0)&lt;-BQ$6,-BQ$6-SUM(BQ$10:BQ235),-ROUNDDOWN($L236*BQ$5/100,0)),0)</f>
        <v>0</v>
      </c>
      <c r="BR236" s="38">
        <f>IF(AND(BR$7="○",$A236&gt;=BR$8,$A236&lt;=BR$9),IF(SUM(BR$10:BR235)-ROUNDDOWN($M236*BR$5/100,0)&lt;-BR$6,-BR$6-SUM(BR$10:BR235),-ROUNDDOWN($M236*BR$5/100,0)),0)</f>
        <v>0</v>
      </c>
      <c r="BS236" s="38">
        <f>IF(AND(BS$7="○",$A236&gt;=BS$8,$A236&lt;=BS$9),IF(SUM(BS$10:BS235)-ROUNDDOWN($M236*BS$5/100,0)&lt;-BS$6,-BS$6-SUM(BS$10:BS235),-ROUNDDOWN($M236*BS$5/100,0)),0)</f>
        <v>0</v>
      </c>
      <c r="BT236" s="38">
        <f>IF(AND(BT$7="○",$A236&gt;=BT$8,$A236&lt;=BT$9),IF(SUM(BT$10:BT235)-ROUNDDOWN($M236*BT$5/100,0)&lt;-BT$6,-BT$6-SUM(BT$10:BT235),-ROUNDDOWN($M236*BT$5/100,0)),0)</f>
        <v>0</v>
      </c>
      <c r="BU236" s="38">
        <f>IF(AND(BU$7="○",$A236&gt;=BU$8,$A236&lt;=BU$9),IF(SUM(BU$10:BU235)-ROUNDDOWN($M236*BU$5/100,0)&lt;-BU$6,-BU$6-SUM(BU$10:BU235),-ROUNDDOWN($M236*BU$5/100,0)),0)</f>
        <v>0</v>
      </c>
      <c r="BV236" s="38">
        <f>IF(AND(BV$7="○",$A236&gt;=BV$8,$A236&lt;=BV$9),IF(SUM(BV$10:BV235)-ROUNDDOWN($M236*BV$5/100,0)&lt;-BV$6,-BV$6-SUM(BV$10:BV235),-ROUNDDOWN($M236*BV$5/100,0)),0)</f>
        <v>0</v>
      </c>
      <c r="BW236" s="38">
        <f>IF(AND(BW$7="○",$A236&gt;=BW$8,$A236&lt;=BW$9),IF(SUM(BW$10:BW235)-ROUNDDOWN($M236*BW$5/100,0)&lt;-BW$6,-BW$6-SUM(BW$10:BW235),-ROUNDDOWN($M236*BW$5/100,0)),0)</f>
        <v>0</v>
      </c>
      <c r="BX236" s="38">
        <f>IF(AND(T236="○",$A236&gt;=BX$8,$A236&lt;=BX$9),IF(SUM(BX$10:BX235)-ROUNDDOWN($K236*BX$5/100,0)&lt;-BX$6,-BX$6-SUM(BX$10:BX235),-ROUNDDOWN($K236*BX$5/100,0)),0)</f>
        <v>0</v>
      </c>
      <c r="BY236" s="38">
        <f>IF(AND(U236="○",$A236&gt;=BY$8,$A236&lt;=BY$9),IF(SUM(BY$10:BY235)-ROUNDDOWN($K236*BY$5/100,0)&lt;-BY$6,-BY$6-SUM(BY$10:BY235),-ROUNDDOWN($K236*BY$5/100,0)),0)</f>
        <v>0</v>
      </c>
      <c r="BZ236" s="38">
        <f>IF(AND(V236="○",$A236&gt;=BZ$8,$A236&lt;=BZ$9),IF(SUM(BZ$10:BZ235)-ROUNDDOWN($K236*BZ$5/100,0)&lt;-BZ$6,-BZ$6-SUM(BZ$10:BZ235),-ROUNDDOWN($K236*BZ$5/100,0)),0)</f>
        <v>0</v>
      </c>
      <c r="CA236" s="38">
        <f>IF(AND(W236="○",$A236&gt;=CA$8,$A236&lt;=CA$9),IF(SUM(CA$10:CA235)-ROUNDDOWN($K236*CA$5/100,0)&lt;-CA$6,-CA$6-SUM(CA$10:CA235),-ROUNDDOWN($K236*CA$5/100,0)),0)</f>
        <v>0</v>
      </c>
      <c r="CB236" s="38"/>
      <c r="CC236" s="38"/>
      <c r="CD236" s="38"/>
      <c r="CE236" s="38"/>
      <c r="CF236" s="38"/>
      <c r="CG236" s="65">
        <f t="shared" si="184"/>
        <v>0</v>
      </c>
      <c r="CH236" s="71">
        <f t="shared" si="185"/>
        <v>0</v>
      </c>
      <c r="CI236" s="1">
        <f t="shared" si="19"/>
        <v>0</v>
      </c>
      <c r="CJ236" s="1"/>
      <c r="CK236" s="72"/>
      <c r="CL236" s="72"/>
      <c r="CM236" s="2"/>
      <c r="CN236" s="2"/>
      <c r="CO236" s="73">
        <f t="shared" si="20"/>
        <v>0</v>
      </c>
      <c r="CP236" s="5">
        <f t="shared" si="21"/>
        <v>0</v>
      </c>
      <c r="CQ236" s="1"/>
      <c r="CR236" s="1">
        <f t="shared" si="22"/>
        <v>0</v>
      </c>
      <c r="CS236" s="1"/>
      <c r="CT236" s="1" t="e">
        <f>INDEX([2]マスタ!$A:$A,MATCH(D236,[2]マスタ!$C:$C,0))</f>
        <v>#N/A</v>
      </c>
      <c r="CU236" s="1" t="str">
        <f t="shared" ca="1" si="23"/>
        <v>20260620_0-0</v>
      </c>
    </row>
    <row r="237" spans="1:99" x14ac:dyDescent="0.4">
      <c r="A237" s="61"/>
      <c r="B237" s="62"/>
      <c r="C237" s="62"/>
      <c r="D237" s="62"/>
      <c r="E237" s="74"/>
      <c r="F237" s="62"/>
      <c r="G237" s="62">
        <v>1</v>
      </c>
      <c r="H237" s="64">
        <f t="shared" si="4"/>
        <v>0</v>
      </c>
      <c r="I237" s="64"/>
      <c r="J237" s="64"/>
      <c r="K237" s="65">
        <f t="shared" si="188"/>
        <v>0</v>
      </c>
      <c r="L237" s="65">
        <f t="shared" si="6"/>
        <v>0</v>
      </c>
      <c r="M237" s="65">
        <f t="shared" si="7"/>
        <v>0</v>
      </c>
      <c r="N237" s="65">
        <f t="shared" si="8"/>
        <v>0</v>
      </c>
      <c r="O237" s="66" t="str">
        <f t="shared" si="189"/>
        <v>✕</v>
      </c>
      <c r="P237" s="67" t="str">
        <f t="shared" si="190"/>
        <v>○</v>
      </c>
      <c r="Q237" s="67" t="str">
        <f t="shared" si="191"/>
        <v>✕</v>
      </c>
      <c r="R237" s="67" t="str">
        <f t="shared" si="192"/>
        <v>✕</v>
      </c>
      <c r="S237" s="68">
        <v>0</v>
      </c>
      <c r="T237" s="69" t="s">
        <v>85</v>
      </c>
      <c r="U237" s="69" t="s">
        <v>85</v>
      </c>
      <c r="V237" s="69" t="s">
        <v>85</v>
      </c>
      <c r="W237" s="69" t="s">
        <v>85</v>
      </c>
      <c r="X237" s="69" t="s">
        <v>84</v>
      </c>
      <c r="Y237" s="69" t="s">
        <v>85</v>
      </c>
      <c r="Z237" s="69" t="s">
        <v>85</v>
      </c>
      <c r="AA237" s="69" t="s">
        <v>85</v>
      </c>
      <c r="AB237" s="69" t="s">
        <v>85</v>
      </c>
      <c r="AC237" s="69" t="s">
        <v>85</v>
      </c>
      <c r="AD237" s="38" t="str">
        <f>+IF(ISERROR(VLOOKUP($B237,AD$10:AD236,1,0)),IF(AND($N237&gt;=1000,$A237&gt;=AO$8,$A237&lt;=AO$9),$B237,""),"")</f>
        <v/>
      </c>
      <c r="AE237" s="38" t="str">
        <f>+IF(ISERROR(VLOOKUP($B237,AE$10:AE236,1,0)),IF(AND($N237&gt;=1000,$A237&gt;=AP$8,$A237&lt;=AP$9),$B237,""),"")</f>
        <v/>
      </c>
      <c r="AF237" s="38" t="str">
        <f>+IF(ISERROR(VLOOKUP($B237,AF$10:AF236,1,0)),IF(AND($N237&gt;=1000,$A237&gt;=AQ$8,$A237&lt;=AQ$9),$B237,""),"")</f>
        <v/>
      </c>
      <c r="AG237" s="38" t="str">
        <f>+IF(ISERROR(VLOOKUP($B237,AG$10:AG236,1,0)),IF(AND($N237&gt;=1000,$A237&gt;=AR$8,$A237&lt;=AR$9),$B237,""),"")</f>
        <v/>
      </c>
      <c r="AH237" s="38"/>
      <c r="AI237" s="70">
        <v>0</v>
      </c>
      <c r="AJ237" s="38">
        <f>IF(AND(AJ$7="○",$A237&gt;=AJ$8,$A237&lt;=AJ$9),IF(SUM(AJ$10:AJ236)-ROUNDDOWN($K237*AJ$5/100,0)&lt;-AJ$6,-AJ$6-SUM(AJ$10:AJ236),-ROUNDDOWN($K237*AJ$5/100,0)),0)</f>
        <v>0</v>
      </c>
      <c r="AK237" s="38">
        <f>IF(AND(AK$7="○",$A237&gt;=AK$8,$A237&lt;=AK$9),IF(SUM(AK$10:AK236)-ROUNDDOWN($L237*AK$5/100,0)&lt;-AK$6,-AK$6-SUM(AK$10:AK236),-ROUNDDOWN($L237*AK$5/100,0)),0)</f>
        <v>0</v>
      </c>
      <c r="AL237" s="38">
        <f>IF(AND(AL$7="○",$A237&gt;=AL$8,$A237&lt;=AL$9),IF(SUM(AL$10:AL236)-ROUNDDOWN($N237*AL$5/100,0)&lt;-AL$6,-AL$6-SUM(AL$10:AL236),-ROUNDDOWN($N237*AL$5/100,0)),0)</f>
        <v>0</v>
      </c>
      <c r="AM237" s="38">
        <f>IF(AND(AM$7="○",$A237&gt;=AM$8,$A237&lt;=AM$9),IF(SUM(AM$10:AM236)-ROUNDDOWN($L237*AM$5/100,0)&lt;-AM$6,-AM$6-SUM(AM$10:AM236),-ROUNDDOWN($L237*AM$5/100,0)),0)</f>
        <v>0</v>
      </c>
      <c r="AN237" s="38">
        <f>IF(AND(AN$7="○",$A237&gt;=AN$8,$A237&lt;=AN$9),IF(SUM(AN$10:AN236)-ROUNDDOWN($M237*AN$5/100,0)&lt;-AN$6,-AN$6-SUM(AN$10:AN236),-ROUNDDOWN($M237*AN$5/100,0)),0)</f>
        <v>0</v>
      </c>
      <c r="AO237" s="38">
        <f>IF(AND($A237&gt;=AO$8,$A237&lt;=AO$9),IF(SUM(AO$10:AO236)-ROUNDDOWN($K237*AO$5/100,0)&lt;-AO$6,-AO$6-SUM(AO$10:AO236),-ROUNDDOWN($K237*AO$5/100,0)),0)</f>
        <v>0</v>
      </c>
      <c r="AP237" s="38">
        <f>IF(AND($A237&gt;=AP$8,$A237&lt;=AP$9),IF(SUM(AP$10:AP236)-ROUNDDOWN($K237*AP$5/100,0)&lt;-AP$6,-AP$6-SUM(AP$10:AP236),-ROUNDDOWN($K237*AP$5/100,0)),0)</f>
        <v>0</v>
      </c>
      <c r="AQ237" s="38">
        <f>IF(AND($A237&gt;=AQ$8,$A237&lt;=AQ$9),IF(SUM(AQ$10:AQ236)-ROUNDDOWN($K237*AQ$5/100,0)&lt;-AQ$6,-AQ$6-SUM(AQ$10:AQ236),-ROUNDDOWN($K237*AQ$5/100,0)),0)</f>
        <v>0</v>
      </c>
      <c r="AR237" s="38">
        <f>IF(AND($A237&gt;=AR$8,$A237&lt;=AR$9),IF(SUM(AR$10:AR236)-ROUNDDOWN($K237*AR$5/100,0)&lt;-AR$6,-AR$6-SUM(AR$10:AR236),-ROUNDDOWN($K237*AR$5/100,0)),0)</f>
        <v>0</v>
      </c>
      <c r="AS237" s="38">
        <f>IF(SUMIFS(AS$10:AS236,$A$10:$A236,$A237)-ROUNDDOWN($K237*$S237/100,0)&lt;-$S237*1000,-$S237*1000-SUMIFS(AS$10:AS236,$A$10:$A236,$A237),-ROUNDDOWN($K237*$S237/100,0))</f>
        <v>0</v>
      </c>
      <c r="AT237" s="38">
        <f>IF(AND(X237="○",$A237&gt;=AT$8,$A237&lt;=AT$9,K237&gt;=3980),IF(SUM(AT$10:AT236)-ROUNDDOWN($K237*AT$5/100,0)&lt;-AT$6,-AT$6-SUM(AT$10:AT236),-ROUNDDOWN($K237*AT$5/100,0)),0)</f>
        <v>0</v>
      </c>
      <c r="AU237" s="38">
        <f>IF(O237="○",IF(SUM(AU$10:AU236)-ROUNDDOWN($K237*AU$5/100,0)&lt;-AU$6,-AU$6-SUM(AU$10:AU236),-ROUNDDOWN($K237*AU$5/100,0)),0)</f>
        <v>0</v>
      </c>
      <c r="AV237" s="38">
        <f>IF(P237="○",IF(SUM(AV$10:AV236)-ROUNDDOWN($K237*AV$5/100,0)&lt;-AV$6,-AV$6-SUM(AV$10:AV236),-ROUNDDOWN($K237*AV$5/100,0)),0)</f>
        <v>0</v>
      </c>
      <c r="AW237" s="38">
        <f>IF(Q237="○",IF(SUM(AW$10:AW236)-ROUNDDOWN($K237*AW$5/100,0)&lt;-AW$6,-AW$6-SUM(AW$10:AW236),-ROUNDDOWN($K237*AW$5/100,0)),0)</f>
        <v>0</v>
      </c>
      <c r="AX237" s="38">
        <f>IF(R237="○",IF(SUM(AX$10:AX236)-ROUNDDOWN($K237*AX$5/100,0)&lt;-AX$6,-AX$6-SUM(AX$10:AX236),-ROUNDDOWN($K237*AX$5/100,0)),0)</f>
        <v>0</v>
      </c>
      <c r="AY237" s="70">
        <v>0</v>
      </c>
      <c r="AZ237" s="65">
        <f t="shared" si="178"/>
        <v>0</v>
      </c>
      <c r="BA237" s="65">
        <f t="shared" si="179"/>
        <v>0</v>
      </c>
      <c r="BB237" s="70"/>
      <c r="BC237" s="65">
        <f t="shared" si="180"/>
        <v>0</v>
      </c>
      <c r="BD237" s="70">
        <v>0</v>
      </c>
      <c r="BE237" s="65">
        <f t="shared" si="181"/>
        <v>0</v>
      </c>
      <c r="BF237" s="70">
        <v>0</v>
      </c>
      <c r="BG237" s="65">
        <f t="shared" si="182"/>
        <v>0</v>
      </c>
      <c r="BH237" s="70">
        <v>0</v>
      </c>
      <c r="BI237" s="65">
        <f t="shared" si="183"/>
        <v>0</v>
      </c>
      <c r="BJ237" s="38">
        <f>IF(AND(BJ$7="○",$A237&gt;=BJ$8,$A237&lt;=BJ$9),IF(SUM(BJ$10:BJ236)-ROUNDDOWN($M237*BJ$5/100,0)&lt;-BJ$6,-BJ$6-SUM(BJ$10:BJ236),-ROUNDDOWN($M237*BJ$5/100,0)),0)</f>
        <v>0</v>
      </c>
      <c r="BK237" s="38">
        <f>IF(AND(BK$7="○",$A237&gt;=BK$8,$A237&lt;=BK$9),IF(SUM(BK$10:BK236)-ROUNDDOWN($L237*BK$5/100,0)&lt;-BK$6,-BK$6-SUM(BK$10:BK236),-ROUNDDOWN($L237*BK$5/100,0)),0)</f>
        <v>0</v>
      </c>
      <c r="BL237" s="38">
        <f>IF(AND(BL$7="○",$A237&gt;=BL$8,$A237&lt;=BL$9),IF(SUM(BL$10:BL236)-ROUNDDOWN($L237*BL$5/100,0)&lt;-BL$6,-BL$6-SUM(BL$10:BL236),-ROUNDDOWN($L237*BL$5/100,0)),0)</f>
        <v>0</v>
      </c>
      <c r="BM237" s="38">
        <f>IF(AND(BM$7="○",$A237&gt;=BM$8,$A237&lt;=BM$9),IF(SUM(BM$10:BM236)-ROUNDDOWN($M237*BM$5/100,0)&lt;-BM$6,-BM$6-SUM(BM$10:BM236),-ROUNDDOWN($M237*BM$5/100,0)),0)</f>
        <v>0</v>
      </c>
      <c r="BN237" s="38">
        <f>IF(AND(BN$7="○",$A237&gt;=BN$8,$A237&lt;=BN$9),IF(SUM(BN$10:BN236)-ROUNDDOWN($M237*BN$5/100,0)&lt;-BN$6,-BN$6-SUM(BN$10:BN236),-ROUNDDOWN($M237*BN$5/100,0)),0)</f>
        <v>0</v>
      </c>
      <c r="BO237" s="38">
        <f>IF(AND(BO$7="○",$A237&gt;=BO$8,$A237&lt;=BO$9),IF(SUM(BO$10:BO236)-ROUNDDOWN($M237*BO$5/100,0)&lt;-BO$6,-BO$6-SUM(BO$10:BO236),-ROUNDDOWN($M237*BO$5/100,0)),0)</f>
        <v>0</v>
      </c>
      <c r="BP237" s="38">
        <f>IF(AND(BP$7="○",$A237&gt;=BP$8,$A237&lt;=BP$9),IF(SUM(BP$10:BP236)-ROUNDDOWN($M237*BP$5/100,0)&lt;-BP$6,-BP$6-SUM(BP$10:BP236),-ROUNDDOWN($M237*BP$5/100,0)),0)</f>
        <v>0</v>
      </c>
      <c r="BQ237" s="38">
        <f>IF(AND(BQ$7="○",$A237&gt;=BQ$8,$A237&lt;=BQ$9),IF(SUM(BQ$10:BQ236)-ROUNDDOWN($L237*BQ$5/100,0)&lt;-BQ$6,-BQ$6-SUM(BQ$10:BQ236),-ROUNDDOWN($L237*BQ$5/100,0)),0)</f>
        <v>0</v>
      </c>
      <c r="BR237" s="38">
        <f>IF(AND(BR$7="○",$A237&gt;=BR$8,$A237&lt;=BR$9),IF(SUM(BR$10:BR236)-ROUNDDOWN($M237*BR$5/100,0)&lt;-BR$6,-BR$6-SUM(BR$10:BR236),-ROUNDDOWN($M237*BR$5/100,0)),0)</f>
        <v>0</v>
      </c>
      <c r="BS237" s="38">
        <f>IF(AND(BS$7="○",$A237&gt;=BS$8,$A237&lt;=BS$9),IF(SUM(BS$10:BS236)-ROUNDDOWN($M237*BS$5/100,0)&lt;-BS$6,-BS$6-SUM(BS$10:BS236),-ROUNDDOWN($M237*BS$5/100,0)),0)</f>
        <v>0</v>
      </c>
      <c r="BT237" s="38">
        <f>IF(AND(BT$7="○",$A237&gt;=BT$8,$A237&lt;=BT$9),IF(SUM(BT$10:BT236)-ROUNDDOWN($M237*BT$5/100,0)&lt;-BT$6,-BT$6-SUM(BT$10:BT236),-ROUNDDOWN($M237*BT$5/100,0)),0)</f>
        <v>0</v>
      </c>
      <c r="BU237" s="38">
        <f>IF(AND(BU$7="○",$A237&gt;=BU$8,$A237&lt;=BU$9),IF(SUM(BU$10:BU236)-ROUNDDOWN($M237*BU$5/100,0)&lt;-BU$6,-BU$6-SUM(BU$10:BU236),-ROUNDDOWN($M237*BU$5/100,0)),0)</f>
        <v>0</v>
      </c>
      <c r="BV237" s="38">
        <f>IF(AND(BV$7="○",$A237&gt;=BV$8,$A237&lt;=BV$9),IF(SUM(BV$10:BV236)-ROUNDDOWN($M237*BV$5/100,0)&lt;-BV$6,-BV$6-SUM(BV$10:BV236),-ROUNDDOWN($M237*BV$5/100,0)),0)</f>
        <v>0</v>
      </c>
      <c r="BW237" s="38">
        <f>IF(AND(BW$7="○",$A237&gt;=BW$8,$A237&lt;=BW$9),IF(SUM(BW$10:BW236)-ROUNDDOWN($M237*BW$5/100,0)&lt;-BW$6,-BW$6-SUM(BW$10:BW236),-ROUNDDOWN($M237*BW$5/100,0)),0)</f>
        <v>0</v>
      </c>
      <c r="BX237" s="38">
        <f>IF(AND(T237="○",$A237&gt;=BX$8,$A237&lt;=BX$9),IF(SUM(BX$10:BX236)-ROUNDDOWN($K237*BX$5/100,0)&lt;-BX$6,-BX$6-SUM(BX$10:BX236),-ROUNDDOWN($K237*BX$5/100,0)),0)</f>
        <v>0</v>
      </c>
      <c r="BY237" s="38">
        <f>IF(AND(U237="○",$A237&gt;=BY$8,$A237&lt;=BY$9),IF(SUM(BY$10:BY236)-ROUNDDOWN($K237*BY$5/100,0)&lt;-BY$6,-BY$6-SUM(BY$10:BY236),-ROUNDDOWN($K237*BY$5/100,0)),0)</f>
        <v>0</v>
      </c>
      <c r="BZ237" s="38">
        <f>IF(AND(V237="○",$A237&gt;=BZ$8,$A237&lt;=BZ$9),IF(SUM(BZ$10:BZ236)-ROUNDDOWN($K237*BZ$5/100,0)&lt;-BZ$6,-BZ$6-SUM(BZ$10:BZ236),-ROUNDDOWN($K237*BZ$5/100,0)),0)</f>
        <v>0</v>
      </c>
      <c r="CA237" s="38">
        <f>IF(AND(W237="○",$A237&gt;=CA$8,$A237&lt;=CA$9),IF(SUM(CA$10:CA236)-ROUNDDOWN($K237*CA$5/100,0)&lt;-CA$6,-CA$6-SUM(CA$10:CA236),-ROUNDDOWN($K237*CA$5/100,0)),0)</f>
        <v>0</v>
      </c>
      <c r="CB237" s="38"/>
      <c r="CC237" s="38"/>
      <c r="CD237" s="38"/>
      <c r="CE237" s="38"/>
      <c r="CF237" s="38"/>
      <c r="CG237" s="65">
        <f t="shared" si="184"/>
        <v>0</v>
      </c>
      <c r="CH237" s="71">
        <f t="shared" si="185"/>
        <v>0</v>
      </c>
      <c r="CI237" s="1">
        <f t="shared" si="19"/>
        <v>0</v>
      </c>
      <c r="CJ237" s="1"/>
      <c r="CK237" s="72"/>
      <c r="CL237" s="72"/>
      <c r="CM237" s="2"/>
      <c r="CN237" s="2"/>
      <c r="CO237" s="73">
        <f t="shared" si="20"/>
        <v>0</v>
      </c>
      <c r="CP237" s="5">
        <f t="shared" si="21"/>
        <v>0</v>
      </c>
      <c r="CQ237" s="1"/>
      <c r="CR237" s="1">
        <f t="shared" si="22"/>
        <v>0</v>
      </c>
      <c r="CS237" s="1"/>
      <c r="CT237" s="1" t="e">
        <f>INDEX([2]マスタ!$A:$A,MATCH(D237,[2]マスタ!$C:$C,0))</f>
        <v>#N/A</v>
      </c>
      <c r="CU237" s="1" t="str">
        <f t="shared" ca="1" si="23"/>
        <v>20260620_0-0</v>
      </c>
    </row>
    <row r="238" spans="1:99" x14ac:dyDescent="0.4">
      <c r="A238" s="61"/>
      <c r="B238" s="62"/>
      <c r="C238" s="62"/>
      <c r="D238" s="62"/>
      <c r="E238" s="74"/>
      <c r="F238" s="62"/>
      <c r="G238" s="62">
        <v>1</v>
      </c>
      <c r="H238" s="64">
        <f t="shared" si="4"/>
        <v>0</v>
      </c>
      <c r="I238" s="64"/>
      <c r="J238" s="64"/>
      <c r="K238" s="65">
        <f t="shared" ref="K238:K241" si="193">+ROUNDDOWN((H238+I238+J238)/100,0)*100</f>
        <v>0</v>
      </c>
      <c r="L238" s="65">
        <f t="shared" si="6"/>
        <v>0</v>
      </c>
      <c r="M238" s="65">
        <f t="shared" si="7"/>
        <v>0</v>
      </c>
      <c r="N238" s="65">
        <f t="shared" si="8"/>
        <v>0</v>
      </c>
      <c r="O238" s="66" t="str">
        <f t="shared" si="189"/>
        <v>✕</v>
      </c>
      <c r="P238" s="67" t="str">
        <f t="shared" si="190"/>
        <v>○</v>
      </c>
      <c r="Q238" s="67" t="str">
        <f t="shared" ref="Q238:Q241" si="194">+IF((TEXT(A238,"DD")+0)=1,"○","✕")</f>
        <v>✕</v>
      </c>
      <c r="R238" s="67" t="str">
        <f t="shared" si="192"/>
        <v>✕</v>
      </c>
      <c r="S238" s="68">
        <v>0</v>
      </c>
      <c r="T238" s="69" t="s">
        <v>85</v>
      </c>
      <c r="U238" s="69" t="s">
        <v>85</v>
      </c>
      <c r="V238" s="69" t="s">
        <v>85</v>
      </c>
      <c r="W238" s="69" t="s">
        <v>85</v>
      </c>
      <c r="X238" s="69" t="s">
        <v>84</v>
      </c>
      <c r="Y238" s="69" t="s">
        <v>85</v>
      </c>
      <c r="Z238" s="69" t="s">
        <v>85</v>
      </c>
      <c r="AA238" s="69" t="s">
        <v>85</v>
      </c>
      <c r="AB238" s="69" t="s">
        <v>85</v>
      </c>
      <c r="AC238" s="69" t="s">
        <v>85</v>
      </c>
      <c r="AD238" s="38" t="str">
        <f>+IF(ISERROR(VLOOKUP($B238,AD$10:AD230,1,0)),IF(AND($N238&gt;=1000,$A238&gt;=AO$8,$A238&lt;=AO$9),$B238,""),"")</f>
        <v/>
      </c>
      <c r="AE238" s="38" t="str">
        <f>+IF(ISERROR(VLOOKUP($B238,AE$10:AE230,1,0)),IF(AND($N238&gt;=1000,$A238&gt;=AP$8,$A238&lt;=AP$9),$B238,""),"")</f>
        <v/>
      </c>
      <c r="AF238" s="38" t="str">
        <f>+IF(ISERROR(VLOOKUP($B238,AF$10:AF230,1,0)),IF(AND($N238&gt;=1000,$A238&gt;=AQ$8,$A238&lt;=AQ$9),$B238,""),"")</f>
        <v/>
      </c>
      <c r="AG238" s="38" t="str">
        <f>+IF(ISERROR(VLOOKUP($B238,AG$10:AG230,1,0)),IF(AND($N238&gt;=1000,$A238&gt;=AR$8,$A238&lt;=AR$9),$B238,""),"")</f>
        <v/>
      </c>
      <c r="AH238" s="38"/>
      <c r="AI238" s="70">
        <v>0</v>
      </c>
      <c r="AJ238" s="38">
        <f>IF(AND(AJ$7="○",$A238&gt;=AJ$8,$A238&lt;=AJ$9),IF(SUM(AJ$10:AJ237)-ROUNDDOWN($K238*AJ$5/100,0)&lt;-AJ$6,-AJ$6-SUM(AJ$10:AJ237),-ROUNDDOWN($K238*AJ$5/100,0)),0)</f>
        <v>0</v>
      </c>
      <c r="AK238" s="38">
        <f>IF(AND(AK$7="○",$A238&gt;=AK$8,$A238&lt;=AK$9),IF(SUM(AK$10:AK237)-ROUNDDOWN($L238*AK$5/100,0)&lt;-AK$6,-AK$6-SUM(AK$10:AK237),-ROUNDDOWN($L238*AK$5/100,0)),0)</f>
        <v>0</v>
      </c>
      <c r="AL238" s="38">
        <f>IF(AND(AL$7="○",$A238&gt;=AL$8,$A238&lt;=AL$9),IF(SUM(AL$10:AL237)-ROUNDDOWN($N238*AL$5/100,0)&lt;-AL$6,-AL$6-SUM(AL$10:AL237),-ROUNDDOWN($N238*AL$5/100,0)),0)</f>
        <v>0</v>
      </c>
      <c r="AM238" s="38">
        <f>IF(AND(AM$7="○",$A238&gt;=AM$8,$A238&lt;=AM$9),IF(SUM(AM$10:AM237)-ROUNDDOWN($L238*AM$5/100,0)&lt;-AM$6,-AM$6-SUM(AM$10:AM237),-ROUNDDOWN($L238*AM$5/100,0)),0)</f>
        <v>0</v>
      </c>
      <c r="AN238" s="38">
        <f>IF(AND(AN$7="○",$A238&gt;=AN$8,$A238&lt;=AN$9),IF(SUM(AN$10:AN237)-ROUNDDOWN($M238*AN$5/100,0)&lt;-AN$6,-AN$6-SUM(AN$10:AN237),-ROUNDDOWN($M238*AN$5/100,0)),0)</f>
        <v>0</v>
      </c>
      <c r="AO238" s="38">
        <f>IF(AND($A238&gt;=AO$8,$A238&lt;=AO$9),IF(SUM(AO$10:AO237)-ROUNDDOWN($K238*AO$5/100,0)&lt;-AO$6,-AO$6-SUM(AO$10:AO237),-ROUNDDOWN($K238*AO$5/100,0)),0)</f>
        <v>0</v>
      </c>
      <c r="AP238" s="38">
        <f>IF(AND($A238&gt;=AP$8,$A238&lt;=AP$9),IF(SUM(AP$10:AP237)-ROUNDDOWN($K238*AP$5/100,0)&lt;-AP$6,-AP$6-SUM(AP$10:AP237),-ROUNDDOWN($K238*AP$5/100,0)),0)</f>
        <v>0</v>
      </c>
      <c r="AQ238" s="38">
        <f>IF(AND($A238&gt;=AQ$8,$A238&lt;=AQ$9),IF(SUM(AQ$10:AQ237)-ROUNDDOWN($K238*AQ$5/100,0)&lt;-AQ$6,-AQ$6-SUM(AQ$10:AQ237),-ROUNDDOWN($K238*AQ$5/100,0)),0)</f>
        <v>0</v>
      </c>
      <c r="AR238" s="38">
        <f>IF(AND($A238&gt;=AR$8,$A238&lt;=AR$9),IF(SUM(AR$10:AR237)-ROUNDDOWN($K238*AR$5/100,0)&lt;-AR$6,-AR$6-SUM(AR$10:AR237),-ROUNDDOWN($K238*AR$5/100,0)),0)</f>
        <v>0</v>
      </c>
      <c r="AS238" s="38">
        <f>IF(SUMIFS(AS$10:AS237,$A$10:$A237,$A238)-ROUNDDOWN($K238*$S238/100,0)&lt;-$S238*1000,-$S238*1000-SUMIFS(AS$10:AS237,$A$10:$A237,$A238),-ROUNDDOWN($K238*$S238/100,0))</f>
        <v>0</v>
      </c>
      <c r="AT238" s="38">
        <f>IF(AND(X238="○",$A238&gt;=AT$8,$A238&lt;=AT$9,K238&gt;=3980),IF(SUM(AT$10:AT237)-ROUNDDOWN($K238*AT$5/100,0)&lt;-AT$6,-AT$6-SUM(AT$10:AT237),-ROUNDDOWN($K238*AT$5/100,0)),0)</f>
        <v>0</v>
      </c>
      <c r="AU238" s="38">
        <f>IF(O238="○",IF(SUM(AU$10:AU237)-ROUNDDOWN($K238*AU$5/100,0)&lt;-AU$6,-AU$6-SUM(AU$10:AU237),-ROUNDDOWN($K238*AU$5/100,0)),0)</f>
        <v>0</v>
      </c>
      <c r="AV238" s="38">
        <f>IF(P238="○",IF(SUM(AV$10:AV237)-ROUNDDOWN($K238*AV$5/100,0)&lt;-AV$6,-AV$6-SUM(AV$10:AV237),-ROUNDDOWN($K238*AV$5/100,0)),0)</f>
        <v>0</v>
      </c>
      <c r="AW238" s="38">
        <f>IF(Q238="○",IF(SUM(AW$10:AW237)-ROUNDDOWN($K238*AW$5/100,0)&lt;-AW$6,-AW$6-SUM(AW$10:AW237),-ROUNDDOWN($K238*AW$5/100,0)),0)</f>
        <v>0</v>
      </c>
      <c r="AX238" s="38">
        <f>IF(R238="○",IF(SUM(AX$10:AX237)-ROUNDDOWN($K238*AX$5/100,0)&lt;-AX$6,-AX$6-SUM(AX$10:AX237),-ROUNDDOWN($K238*AX$5/100,0)),0)</f>
        <v>0</v>
      </c>
      <c r="AY238" s="70">
        <v>0</v>
      </c>
      <c r="AZ238" s="65">
        <f t="shared" si="178"/>
        <v>0</v>
      </c>
      <c r="BA238" s="65">
        <f t="shared" si="179"/>
        <v>0</v>
      </c>
      <c r="BB238" s="70"/>
      <c r="BC238" s="65">
        <f t="shared" si="180"/>
        <v>0</v>
      </c>
      <c r="BD238" s="70">
        <v>0</v>
      </c>
      <c r="BE238" s="65">
        <f t="shared" si="181"/>
        <v>0</v>
      </c>
      <c r="BF238" s="70">
        <v>0</v>
      </c>
      <c r="BG238" s="65">
        <f t="shared" si="182"/>
        <v>0</v>
      </c>
      <c r="BH238" s="70">
        <v>0</v>
      </c>
      <c r="BI238" s="65">
        <f t="shared" si="183"/>
        <v>0</v>
      </c>
      <c r="BJ238" s="38">
        <f>IF(AND(BJ$7="○",$A238&gt;=BJ$8,$A238&lt;=BJ$9),IF(SUM(BJ$10:BJ237)-ROUNDDOWN($M238*BJ$5/100,0)&lt;-BJ$6,-BJ$6-SUM(BJ$10:BJ237),-ROUNDDOWN($M238*BJ$5/100,0)),0)</f>
        <v>0</v>
      </c>
      <c r="BK238" s="38">
        <f>IF(AND(BK$7="○",$A238&gt;=BK$8,$A238&lt;=BK$9),IF(SUM(BK$10:BK237)-ROUNDDOWN($L238*BK$5/100,0)&lt;-BK$6,-BK$6-SUM(BK$10:BK237),-ROUNDDOWN($L238*BK$5/100,0)),0)</f>
        <v>0</v>
      </c>
      <c r="BL238" s="38">
        <f>IF(AND(BL$7="○",$A238&gt;=BL$8,$A238&lt;=BL$9),IF(SUM(BL$10:BL237)-ROUNDDOWN($L238*BL$5/100,0)&lt;-BL$6,-BL$6-SUM(BL$10:BL237),-ROUNDDOWN($L238*BL$5/100,0)),0)</f>
        <v>0</v>
      </c>
      <c r="BM238" s="38">
        <f>IF(AND(BM$7="○",$A238&gt;=BM$8,$A238&lt;=BM$9),IF(SUM(BM$10:BM237)-ROUNDDOWN($M238*BM$5/100,0)&lt;-BM$6,-BM$6-SUM(BM$10:BM237),-ROUNDDOWN($M238*BM$5/100,0)),0)</f>
        <v>0</v>
      </c>
      <c r="BN238" s="38">
        <f>IF(AND(BN$7="○",$A238&gt;=BN$8,$A238&lt;=BN$9),IF(SUM(BN$10:BN237)-ROUNDDOWN($M238*BN$5/100,0)&lt;-BN$6,-BN$6-SUM(BN$10:BN237),-ROUNDDOWN($M238*BN$5/100,0)),0)</f>
        <v>0</v>
      </c>
      <c r="BO238" s="38">
        <f>IF(AND(BO$7="○",$A238&gt;=BO$8,$A238&lt;=BO$9),IF(SUM(BO$10:BO237)-ROUNDDOWN($M238*BO$5/100,0)&lt;-BO$6,-BO$6-SUM(BO$10:BO237),-ROUNDDOWN($M238*BO$5/100,0)),0)</f>
        <v>0</v>
      </c>
      <c r="BP238" s="38">
        <f>IF(AND(BP$7="○",$A238&gt;=BP$8,$A238&lt;=BP$9),IF(SUM(BP$10:BP237)-ROUNDDOWN($M238*BP$5/100,0)&lt;-BP$6,-BP$6-SUM(BP$10:BP237),-ROUNDDOWN($M238*BP$5/100,0)),0)</f>
        <v>0</v>
      </c>
      <c r="BQ238" s="38">
        <f>IF(AND(BQ$7="○",$A238&gt;=BQ$8,$A238&lt;=BQ$9),IF(SUM(BQ$10:BQ237)-ROUNDDOWN($L238*BQ$5/100,0)&lt;-BQ$6,-BQ$6-SUM(BQ$10:BQ237),-ROUNDDOWN($L238*BQ$5/100,0)),0)</f>
        <v>0</v>
      </c>
      <c r="BR238" s="38">
        <f>IF(AND(BR$7="○",$A238&gt;=BR$8,$A238&lt;=BR$9),IF(SUM(BR$10:BR237)-ROUNDDOWN($M238*BR$5/100,0)&lt;-BR$6,-BR$6-SUM(BR$10:BR237),-ROUNDDOWN($M238*BR$5/100,0)),0)</f>
        <v>0</v>
      </c>
      <c r="BS238" s="38">
        <f>IF(AND(BS$7="○",$A238&gt;=BS$8,$A238&lt;=BS$9),IF(SUM(BS$10:BS237)-ROUNDDOWN($M238*BS$5/100,0)&lt;-BS$6,-BS$6-SUM(BS$10:BS237),-ROUNDDOWN($M238*BS$5/100,0)),0)</f>
        <v>0</v>
      </c>
      <c r="BT238" s="38">
        <f>IF(AND(BT$7="○",$A238&gt;=BT$8,$A238&lt;=BT$9),IF(SUM(BT$10:BT237)-ROUNDDOWN($M238*BT$5/100,0)&lt;-BT$6,-BT$6-SUM(BT$10:BT237),-ROUNDDOWN($M238*BT$5/100,0)),0)</f>
        <v>0</v>
      </c>
      <c r="BU238" s="38">
        <f>IF(AND(BU$7="○",$A238&gt;=BU$8,$A238&lt;=BU$9),IF(SUM(BU$10:BU237)-ROUNDDOWN($M238*BU$5/100,0)&lt;-BU$6,-BU$6-SUM(BU$10:BU237),-ROUNDDOWN($M238*BU$5/100,0)),0)</f>
        <v>0</v>
      </c>
      <c r="BV238" s="38">
        <f>IF(AND(BV$7="○",$A238&gt;=BV$8,$A238&lt;=BV$9),IF(SUM(BV$10:BV237)-ROUNDDOWN($M238*BV$5/100,0)&lt;-BV$6,-BV$6-SUM(BV$10:BV237),-ROUNDDOWN($M238*BV$5/100,0)),0)</f>
        <v>0</v>
      </c>
      <c r="BW238" s="38">
        <f>IF(AND(BW$7="○",$A238&gt;=BW$8,$A238&lt;=BW$9),IF(SUM(BW$10:BW237)-ROUNDDOWN($M238*BW$5/100,0)&lt;-BW$6,-BW$6-SUM(BW$10:BW237),-ROUNDDOWN($M238*BW$5/100,0)),0)</f>
        <v>0</v>
      </c>
      <c r="BX238" s="38">
        <f>IF(AND(T238="○",$A238&gt;=BX$8,$A238&lt;=BX$9),IF(SUM(BX$10:BX237)-ROUNDDOWN($K238*BX$5/100,0)&lt;-BX$6,-BX$6-SUM(BX$10:BX237),-ROUNDDOWN($K238*BX$5/100,0)),0)</f>
        <v>0</v>
      </c>
      <c r="BY238" s="38">
        <f>IF(AND(U238="○",$A238&gt;=BY$8,$A238&lt;=BY$9),IF(SUM(BY$10:BY237)-ROUNDDOWN($K238*BY$5/100,0)&lt;-BY$6,-BY$6-SUM(BY$10:BY237),-ROUNDDOWN($K238*BY$5/100,0)),0)</f>
        <v>0</v>
      </c>
      <c r="BZ238" s="38">
        <f>IF(AND(V238="○",$A238&gt;=BZ$8,$A238&lt;=BZ$9),IF(SUM(BZ$10:BZ237)-ROUNDDOWN($K238*BZ$5/100,0)&lt;-BZ$6,-BZ$6-SUM(BZ$10:BZ237),-ROUNDDOWN($K238*BZ$5/100,0)),0)</f>
        <v>0</v>
      </c>
      <c r="CA238" s="38">
        <f>IF(AND(W238="○",$A238&gt;=CA$8,$A238&lt;=CA$9),IF(SUM(CA$10:CA237)-ROUNDDOWN($K238*CA$5/100,0)&lt;-CA$6,-CA$6-SUM(CA$10:CA237),-ROUNDDOWN($K238*CA$5/100,0)),0)</f>
        <v>0</v>
      </c>
      <c r="CB238" s="38"/>
      <c r="CC238" s="38"/>
      <c r="CD238" s="38"/>
      <c r="CE238" s="38"/>
      <c r="CF238" s="38"/>
      <c r="CG238" s="65">
        <f t="shared" si="184"/>
        <v>0</v>
      </c>
      <c r="CH238" s="71">
        <f t="shared" si="185"/>
        <v>0</v>
      </c>
      <c r="CI238" s="1">
        <f t="shared" si="19"/>
        <v>0</v>
      </c>
      <c r="CJ238" s="1"/>
      <c r="CK238" s="75"/>
      <c r="CL238" s="75"/>
      <c r="CM238" s="2"/>
      <c r="CN238" s="2"/>
      <c r="CO238" s="73">
        <f t="shared" si="20"/>
        <v>0</v>
      </c>
      <c r="CP238" s="5">
        <f t="shared" si="21"/>
        <v>0</v>
      </c>
      <c r="CQ238" s="1"/>
      <c r="CR238" s="1">
        <f t="shared" si="22"/>
        <v>0</v>
      </c>
      <c r="CS238" s="1"/>
      <c r="CT238" s="1" t="e">
        <f>INDEX([2]マスタ!$A:$A,MATCH(D238,[2]マスタ!$C:$C,0))</f>
        <v>#N/A</v>
      </c>
      <c r="CU238" s="1" t="str">
        <f t="shared" ca="1" si="23"/>
        <v>20260620_0-0</v>
      </c>
    </row>
    <row r="239" spans="1:99" x14ac:dyDescent="0.4">
      <c r="A239" s="61"/>
      <c r="B239" s="62"/>
      <c r="C239" s="62"/>
      <c r="D239" s="62"/>
      <c r="E239" s="74"/>
      <c r="F239" s="62"/>
      <c r="G239" s="62">
        <v>1</v>
      </c>
      <c r="H239" s="64">
        <f t="shared" si="4"/>
        <v>0</v>
      </c>
      <c r="I239" s="64"/>
      <c r="J239" s="64"/>
      <c r="K239" s="65">
        <f t="shared" si="193"/>
        <v>0</v>
      </c>
      <c r="L239" s="65">
        <f t="shared" si="6"/>
        <v>0</v>
      </c>
      <c r="M239" s="65">
        <f t="shared" si="7"/>
        <v>0</v>
      </c>
      <c r="N239" s="65">
        <f t="shared" si="8"/>
        <v>0</v>
      </c>
      <c r="O239" s="66" t="str">
        <f t="shared" si="189"/>
        <v>✕</v>
      </c>
      <c r="P239" s="67" t="str">
        <f t="shared" si="190"/>
        <v>○</v>
      </c>
      <c r="Q239" s="67" t="str">
        <f t="shared" si="194"/>
        <v>✕</v>
      </c>
      <c r="R239" s="67" t="str">
        <f t="shared" si="192"/>
        <v>✕</v>
      </c>
      <c r="S239" s="68">
        <v>0</v>
      </c>
      <c r="T239" s="69" t="s">
        <v>85</v>
      </c>
      <c r="U239" s="69" t="s">
        <v>85</v>
      </c>
      <c r="V239" s="69" t="s">
        <v>85</v>
      </c>
      <c r="W239" s="69" t="s">
        <v>85</v>
      </c>
      <c r="X239" s="69" t="s">
        <v>84</v>
      </c>
      <c r="Y239" s="69" t="s">
        <v>85</v>
      </c>
      <c r="Z239" s="69" t="s">
        <v>85</v>
      </c>
      <c r="AA239" s="69" t="s">
        <v>85</v>
      </c>
      <c r="AB239" s="69" t="s">
        <v>85</v>
      </c>
      <c r="AC239" s="69" t="s">
        <v>85</v>
      </c>
      <c r="AD239" s="38" t="str">
        <f>+IF(ISERROR(VLOOKUP($B239,AD$10:AD238,1,0)),IF(AND($N239&gt;=1000,$A239&gt;=AO$8,$A239&lt;=AO$9),$B239,""),"")</f>
        <v/>
      </c>
      <c r="AE239" s="38" t="str">
        <f>+IF(ISERROR(VLOOKUP($B239,AE$10:AE238,1,0)),IF(AND($N239&gt;=1000,$A239&gt;=AP$8,$A239&lt;=AP$9),$B239,""),"")</f>
        <v/>
      </c>
      <c r="AF239" s="38" t="str">
        <f>+IF(ISERROR(VLOOKUP($B239,AF$10:AF238,1,0)),IF(AND($N239&gt;=1000,$A239&gt;=AQ$8,$A239&lt;=AQ$9),$B239,""),"")</f>
        <v/>
      </c>
      <c r="AG239" s="38" t="str">
        <f>+IF(ISERROR(VLOOKUP($B239,AG$10:AG238,1,0)),IF(AND($N239&gt;=1000,$A239&gt;=AR$8,$A239&lt;=AR$9),$B239,""),"")</f>
        <v/>
      </c>
      <c r="AH239" s="38"/>
      <c r="AI239" s="70">
        <v>0</v>
      </c>
      <c r="AJ239" s="38">
        <f>IF(AND(AJ$7="○",$A239&gt;=AJ$8,$A239&lt;=AJ$9),IF(SUM(AJ$10:AJ238)-ROUNDDOWN($K239*AJ$5/100,0)&lt;-AJ$6,-AJ$6-SUM(AJ$10:AJ238),-ROUNDDOWN($K239*AJ$5/100,0)),0)</f>
        <v>0</v>
      </c>
      <c r="AK239" s="38">
        <f>IF(AND(AK$7="○",$A239&gt;=AK$8,$A239&lt;=AK$9),IF(SUM(AK$10:AK238)-ROUNDDOWN($L239*AK$5/100,0)&lt;-AK$6,-AK$6-SUM(AK$10:AK238),-ROUNDDOWN($L239*AK$5/100,0)),0)</f>
        <v>0</v>
      </c>
      <c r="AL239" s="38">
        <f>IF(AND(AL$7="○",$A239&gt;=AL$8,$A239&lt;=AL$9),IF(SUM(AL$10:AL238)-ROUNDDOWN($N239*AL$5/100,0)&lt;-AL$6,-AL$6-SUM(AL$10:AL238),-ROUNDDOWN($N239*AL$5/100,0)),0)</f>
        <v>0</v>
      </c>
      <c r="AM239" s="38">
        <f>IF(AND(AM$7="○",$A239&gt;=AM$8,$A239&lt;=AM$9),IF(SUM(AM$10:AM238)-ROUNDDOWN($L239*AM$5/100,0)&lt;-AM$6,-AM$6-SUM(AM$10:AM238),-ROUNDDOWN($L239*AM$5/100,0)),0)</f>
        <v>0</v>
      </c>
      <c r="AN239" s="38">
        <f>IF(AND(AN$7="○",$A239&gt;=AN$8,$A239&lt;=AN$9),IF(SUM(AN$10:AN238)-ROUNDDOWN($M239*AN$5/100,0)&lt;-AN$6,-AN$6-SUM(AN$10:AN238),-ROUNDDOWN($M239*AN$5/100,0)),0)</f>
        <v>0</v>
      </c>
      <c r="AO239" s="38">
        <f>IF(AND($A239&gt;=AO$8,$A239&lt;=AO$9),IF(SUM(AO$10:AO238)-ROUNDDOWN($K239*AO$5/100,0)&lt;-AO$6,-AO$6-SUM(AO$10:AO238),-ROUNDDOWN($K239*AO$5/100,0)),0)</f>
        <v>0</v>
      </c>
      <c r="AP239" s="38">
        <f>IF(AND($A239&gt;=AP$8,$A239&lt;=AP$9),IF(SUM(AP$10:AP238)-ROUNDDOWN($K239*AP$5/100,0)&lt;-AP$6,-AP$6-SUM(AP$10:AP238),-ROUNDDOWN($K239*AP$5/100,0)),0)</f>
        <v>0</v>
      </c>
      <c r="AQ239" s="38">
        <f>IF(AND($A239&gt;=AQ$8,$A239&lt;=AQ$9),IF(SUM(AQ$10:AQ238)-ROUNDDOWN($K239*AQ$5/100,0)&lt;-AQ$6,-AQ$6-SUM(AQ$10:AQ238),-ROUNDDOWN($K239*AQ$5/100,0)),0)</f>
        <v>0</v>
      </c>
      <c r="AR239" s="38">
        <f>IF(AND($A239&gt;=AR$8,$A239&lt;=AR$9),IF(SUM(AR$10:AR238)-ROUNDDOWN($K239*AR$5/100,0)&lt;-AR$6,-AR$6-SUM(AR$10:AR238),-ROUNDDOWN($K239*AR$5/100,0)),0)</f>
        <v>0</v>
      </c>
      <c r="AS239" s="38">
        <f>IF(SUMIFS(AS$10:AS238,$A$10:$A238,$A239)-ROUNDDOWN($K239*$S239/100,0)&lt;-$S239*1000,-$S239*1000-SUMIFS(AS$10:AS238,$A$10:$A238,$A239),-ROUNDDOWN($K239*$S239/100,0))</f>
        <v>0</v>
      </c>
      <c r="AT239" s="38">
        <f>IF(AND(X239="○",$A239&gt;=AT$8,$A239&lt;=AT$9,K239&gt;=3980),IF(SUM(AT$10:AT238)-ROUNDDOWN($K239*AT$5/100,0)&lt;-AT$6,-AT$6-SUM(AT$10:AT238),-ROUNDDOWN($K239*AT$5/100,0)),0)</f>
        <v>0</v>
      </c>
      <c r="AU239" s="38">
        <f>IF(O239="○",IF(SUM(AU$10:AU238)-ROUNDDOWN($K239*AU$5/100,0)&lt;-AU$6,-AU$6-SUM(AU$10:AU238),-ROUNDDOWN($K239*AU$5/100,0)),0)</f>
        <v>0</v>
      </c>
      <c r="AV239" s="38">
        <f>IF(P239="○",IF(SUM(AV$10:AV238)-ROUNDDOWN($K239*AV$5/100,0)&lt;-AV$6,-AV$6-SUM(AV$10:AV238),-ROUNDDOWN($K239*AV$5/100,0)),0)</f>
        <v>0</v>
      </c>
      <c r="AW239" s="38">
        <f>IF(Q239="○",IF(SUM(AW$10:AW238)-ROUNDDOWN($K239*AW$5/100,0)&lt;-AW$6,-AW$6-SUM(AW$10:AW238),-ROUNDDOWN($K239*AW$5/100,0)),0)</f>
        <v>0</v>
      </c>
      <c r="AX239" s="38">
        <f>IF(R239="○",IF(SUM(AX$10:AX238)-ROUNDDOWN($K239*AX$5/100,0)&lt;-AX$6,-AX$6-SUM(AX$10:AX238),-ROUNDDOWN($K239*AX$5/100,0)),0)</f>
        <v>0</v>
      </c>
      <c r="AY239" s="70">
        <v>0</v>
      </c>
      <c r="AZ239" s="65">
        <f t="shared" si="178"/>
        <v>0</v>
      </c>
      <c r="BA239" s="65">
        <f t="shared" si="179"/>
        <v>0</v>
      </c>
      <c r="BB239" s="70"/>
      <c r="BC239" s="65">
        <f t="shared" si="180"/>
        <v>0</v>
      </c>
      <c r="BD239" s="70">
        <v>0</v>
      </c>
      <c r="BE239" s="65">
        <f t="shared" si="181"/>
        <v>0</v>
      </c>
      <c r="BF239" s="70">
        <v>0</v>
      </c>
      <c r="BG239" s="65">
        <f t="shared" si="182"/>
        <v>0</v>
      </c>
      <c r="BH239" s="70">
        <v>0</v>
      </c>
      <c r="BI239" s="65">
        <f t="shared" si="183"/>
        <v>0</v>
      </c>
      <c r="BJ239" s="38">
        <f>IF(AND(BJ$7="○",$A239&gt;=BJ$8,$A239&lt;=BJ$9),IF(SUM(BJ$10:BJ238)-ROUNDDOWN($M239*BJ$5/100,0)&lt;-BJ$6,-BJ$6-SUM(BJ$10:BJ238),-ROUNDDOWN($M239*BJ$5/100,0)),0)</f>
        <v>0</v>
      </c>
      <c r="BK239" s="38">
        <f>IF(AND(BK$7="○",$A239&gt;=BK$8,$A239&lt;=BK$9),IF(SUM(BK$10:BK238)-ROUNDDOWN($L239*BK$5/100,0)&lt;-BK$6,-BK$6-SUM(BK$10:BK238),-ROUNDDOWN($L239*BK$5/100,0)),0)</f>
        <v>0</v>
      </c>
      <c r="BL239" s="38">
        <f>IF(AND(BL$7="○",$A239&gt;=BL$8,$A239&lt;=BL$9),IF(SUM(BL$10:BL238)-ROUNDDOWN($L239*BL$5/100,0)&lt;-BL$6,-BL$6-SUM(BL$10:BL238),-ROUNDDOWN($L239*BL$5/100,0)),0)</f>
        <v>0</v>
      </c>
      <c r="BM239" s="38">
        <f>IF(AND(BM$7="○",$A239&gt;=BM$8,$A239&lt;=BM$9),IF(SUM(BM$10:BM238)-ROUNDDOWN($M239*BM$5/100,0)&lt;-BM$6,-BM$6-SUM(BM$10:BM238),-ROUNDDOWN($M239*BM$5/100,0)),0)</f>
        <v>0</v>
      </c>
      <c r="BN239" s="38">
        <f>IF(AND(BN$7="○",$A239&gt;=BN$8,$A239&lt;=BN$9),IF(SUM(BN$10:BN238)-ROUNDDOWN($M239*BN$5/100,0)&lt;-BN$6,-BN$6-SUM(BN$10:BN238),-ROUNDDOWN($M239*BN$5/100,0)),0)</f>
        <v>0</v>
      </c>
      <c r="BO239" s="38">
        <f>IF(AND(BO$7="○",$A239&gt;=BO$8,$A239&lt;=BO$9),IF(SUM(BO$10:BO238)-ROUNDDOWN($M239*BO$5/100,0)&lt;-BO$6,-BO$6-SUM(BO$10:BO238),-ROUNDDOWN($M239*BO$5/100,0)),0)</f>
        <v>0</v>
      </c>
      <c r="BP239" s="38">
        <f>IF(AND(BP$7="○",$A239&gt;=BP$8,$A239&lt;=BP$9),IF(SUM(BP$10:BP238)-ROUNDDOWN($M239*BP$5/100,0)&lt;-BP$6,-BP$6-SUM(BP$10:BP238),-ROUNDDOWN($M239*BP$5/100,0)),0)</f>
        <v>0</v>
      </c>
      <c r="BQ239" s="38">
        <f>IF(AND(BQ$7="○",$A239&gt;=BQ$8,$A239&lt;=BQ$9),IF(SUM(BQ$10:BQ238)-ROUNDDOWN($L239*BQ$5/100,0)&lt;-BQ$6,-BQ$6-SUM(BQ$10:BQ238),-ROUNDDOWN($L239*BQ$5/100,0)),0)</f>
        <v>0</v>
      </c>
      <c r="BR239" s="38">
        <f>IF(AND(BR$7="○",$A239&gt;=BR$8,$A239&lt;=BR$9),IF(SUM(BR$10:BR238)-ROUNDDOWN($M239*BR$5/100,0)&lt;-BR$6,-BR$6-SUM(BR$10:BR238),-ROUNDDOWN($M239*BR$5/100,0)),0)</f>
        <v>0</v>
      </c>
      <c r="BS239" s="38">
        <f>IF(AND(BS$7="○",$A239&gt;=BS$8,$A239&lt;=BS$9),IF(SUM(BS$10:BS238)-ROUNDDOWN($M239*BS$5/100,0)&lt;-BS$6,-BS$6-SUM(BS$10:BS238),-ROUNDDOWN($M239*BS$5/100,0)),0)</f>
        <v>0</v>
      </c>
      <c r="BT239" s="38">
        <f>IF(AND(BT$7="○",$A239&gt;=BT$8,$A239&lt;=BT$9),IF(SUM(BT$10:BT238)-ROUNDDOWN($M239*BT$5/100,0)&lt;-BT$6,-BT$6-SUM(BT$10:BT238),-ROUNDDOWN($M239*BT$5/100,0)),0)</f>
        <v>0</v>
      </c>
      <c r="BU239" s="38">
        <f>IF(AND(BU$7="○",$A239&gt;=BU$8,$A239&lt;=BU$9),IF(SUM(BU$10:BU238)-ROUNDDOWN($M239*BU$5/100,0)&lt;-BU$6,-BU$6-SUM(BU$10:BU238),-ROUNDDOWN($M239*BU$5/100,0)),0)</f>
        <v>0</v>
      </c>
      <c r="BV239" s="38">
        <f>IF(AND(BV$7="○",$A239&gt;=BV$8,$A239&lt;=BV$9),IF(SUM(BV$10:BV238)-ROUNDDOWN($M239*BV$5/100,0)&lt;-BV$6,-BV$6-SUM(BV$10:BV238),-ROUNDDOWN($M239*BV$5/100,0)),0)</f>
        <v>0</v>
      </c>
      <c r="BW239" s="38">
        <f>IF(AND(BW$7="○",$A239&gt;=BW$8,$A239&lt;=BW$9),IF(SUM(BW$10:BW238)-ROUNDDOWN($M239*BW$5/100,0)&lt;-BW$6,-BW$6-SUM(BW$10:BW238),-ROUNDDOWN($M239*BW$5/100,0)),0)</f>
        <v>0</v>
      </c>
      <c r="BX239" s="38">
        <f>IF(AND(T239="○",$A239&gt;=BX$8,$A239&lt;=BX$9),IF(SUM(BX$10:BX238)-ROUNDDOWN($K239*BX$5/100,0)&lt;-BX$6,-BX$6-SUM(BX$10:BX238),-ROUNDDOWN($K239*BX$5/100,0)),0)</f>
        <v>0</v>
      </c>
      <c r="BY239" s="38">
        <f>IF(AND(U239="○",$A239&gt;=BY$8,$A239&lt;=BY$9),IF(SUM(BY$10:BY238)-ROUNDDOWN($K239*BY$5/100,0)&lt;-BY$6,-BY$6-SUM(BY$10:BY238),-ROUNDDOWN($K239*BY$5/100,0)),0)</f>
        <v>0</v>
      </c>
      <c r="BZ239" s="38">
        <f>IF(AND(V239="○",$A239&gt;=BZ$8,$A239&lt;=BZ$9),IF(SUM(BZ$10:BZ238)-ROUNDDOWN($K239*BZ$5/100,0)&lt;-BZ$6,-BZ$6-SUM(BZ$10:BZ238),-ROUNDDOWN($K239*BZ$5/100,0)),0)</f>
        <v>0</v>
      </c>
      <c r="CA239" s="38">
        <f>IF(AND(W239="○",$A239&gt;=CA$8,$A239&lt;=CA$9),IF(SUM(CA$10:CA238)-ROUNDDOWN($K239*CA$5/100,0)&lt;-CA$6,-CA$6-SUM(CA$10:CA238),-ROUNDDOWN($K239*CA$5/100,0)),0)</f>
        <v>0</v>
      </c>
      <c r="CB239" s="38"/>
      <c r="CC239" s="38"/>
      <c r="CD239" s="38"/>
      <c r="CE239" s="38"/>
      <c r="CF239" s="38"/>
      <c r="CG239" s="65">
        <f t="shared" si="184"/>
        <v>0</v>
      </c>
      <c r="CH239" s="71">
        <f t="shared" si="185"/>
        <v>0</v>
      </c>
      <c r="CI239" s="1">
        <f t="shared" si="19"/>
        <v>0</v>
      </c>
      <c r="CJ239" s="1"/>
      <c r="CK239" s="75"/>
      <c r="CL239" s="75"/>
      <c r="CM239" s="2"/>
      <c r="CN239" s="2"/>
      <c r="CO239" s="73">
        <f t="shared" si="20"/>
        <v>0</v>
      </c>
      <c r="CP239" s="5">
        <f t="shared" si="21"/>
        <v>0</v>
      </c>
      <c r="CQ239" s="1"/>
      <c r="CR239" s="1">
        <f t="shared" si="22"/>
        <v>0</v>
      </c>
      <c r="CS239" s="1"/>
      <c r="CT239" s="1" t="e">
        <f>INDEX([2]マスタ!$A:$A,MATCH(D239,[2]マスタ!$C:$C,0))</f>
        <v>#N/A</v>
      </c>
      <c r="CU239" s="1" t="str">
        <f t="shared" ca="1" si="23"/>
        <v>20260620_0-0</v>
      </c>
    </row>
    <row r="240" spans="1:99" x14ac:dyDescent="0.4">
      <c r="A240" s="61"/>
      <c r="B240" s="62"/>
      <c r="C240" s="62"/>
      <c r="D240" s="62"/>
      <c r="E240" s="74"/>
      <c r="F240" s="62"/>
      <c r="G240" s="62">
        <v>1</v>
      </c>
      <c r="H240" s="64">
        <f t="shared" si="4"/>
        <v>0</v>
      </c>
      <c r="I240" s="64"/>
      <c r="J240" s="64"/>
      <c r="K240" s="65">
        <f t="shared" si="193"/>
        <v>0</v>
      </c>
      <c r="L240" s="65">
        <f t="shared" si="6"/>
        <v>0</v>
      </c>
      <c r="M240" s="65">
        <f t="shared" si="7"/>
        <v>0</v>
      </c>
      <c r="N240" s="65">
        <f t="shared" si="8"/>
        <v>0</v>
      </c>
      <c r="O240" s="66" t="str">
        <f t="shared" si="189"/>
        <v>✕</v>
      </c>
      <c r="P240" s="67" t="str">
        <f t="shared" si="190"/>
        <v>○</v>
      </c>
      <c r="Q240" s="67" t="str">
        <f t="shared" si="194"/>
        <v>✕</v>
      </c>
      <c r="R240" s="67" t="str">
        <f t="shared" si="192"/>
        <v>✕</v>
      </c>
      <c r="S240" s="68">
        <v>0</v>
      </c>
      <c r="T240" s="69" t="s">
        <v>85</v>
      </c>
      <c r="U240" s="69" t="s">
        <v>85</v>
      </c>
      <c r="V240" s="69" t="s">
        <v>85</v>
      </c>
      <c r="W240" s="69" t="s">
        <v>85</v>
      </c>
      <c r="X240" s="69" t="s">
        <v>84</v>
      </c>
      <c r="Y240" s="69" t="s">
        <v>85</v>
      </c>
      <c r="Z240" s="69" t="s">
        <v>85</v>
      </c>
      <c r="AA240" s="69" t="s">
        <v>85</v>
      </c>
      <c r="AB240" s="69" t="s">
        <v>85</v>
      </c>
      <c r="AC240" s="69" t="s">
        <v>85</v>
      </c>
      <c r="AD240" s="38" t="str">
        <f>+IF(ISERROR(VLOOKUP($B240,AD$10:AD239,1,0)),IF(AND($N240&gt;=1000,$A240&gt;=AO$8,$A240&lt;=AO$9),$B240,""),"")</f>
        <v/>
      </c>
      <c r="AE240" s="38" t="str">
        <f>+IF(ISERROR(VLOOKUP($B240,AE$10:AE239,1,0)),IF(AND($N240&gt;=1000,$A240&gt;=AP$8,$A240&lt;=AP$9),$B240,""),"")</f>
        <v/>
      </c>
      <c r="AF240" s="38" t="str">
        <f>+IF(ISERROR(VLOOKUP($B240,AF$10:AF239,1,0)),IF(AND($N240&gt;=1000,$A240&gt;=AQ$8,$A240&lt;=AQ$9),$B240,""),"")</f>
        <v/>
      </c>
      <c r="AG240" s="38" t="str">
        <f>+IF(ISERROR(VLOOKUP($B240,AG$10:AG239,1,0)),IF(AND($N240&gt;=1000,$A240&gt;=AR$8,$A240&lt;=AR$9),$B240,""),"")</f>
        <v/>
      </c>
      <c r="AH240" s="38"/>
      <c r="AI240" s="70">
        <v>0</v>
      </c>
      <c r="AJ240" s="38">
        <f>IF(AND(AJ$7="○",$A240&gt;=AJ$8,$A240&lt;=AJ$9),IF(SUM(AJ$10:AJ239)-ROUNDDOWN($K240*AJ$5/100,0)&lt;-AJ$6,-AJ$6-SUM(AJ$10:AJ239),-ROUNDDOWN($K240*AJ$5/100,0)),0)</f>
        <v>0</v>
      </c>
      <c r="AK240" s="38">
        <f>IF(AND(AK$7="○",$A240&gt;=AK$8,$A240&lt;=AK$9),IF(SUM(AK$10:AK239)-ROUNDDOWN($L240*AK$5/100,0)&lt;-AK$6,-AK$6-SUM(AK$10:AK239),-ROUNDDOWN($L240*AK$5/100,0)),0)</f>
        <v>0</v>
      </c>
      <c r="AL240" s="38">
        <f>IF(AND(AL$7="○",$A240&gt;=AL$8,$A240&lt;=AL$9),IF(SUM(AL$10:AL239)-ROUNDDOWN($N240*AL$5/100,0)&lt;-AL$6,-AL$6-SUM(AL$10:AL239),-ROUNDDOWN($N240*AL$5/100,0)),0)</f>
        <v>0</v>
      </c>
      <c r="AM240" s="38">
        <f>IF(AND(AM$7="○",$A240&gt;=AM$8,$A240&lt;=AM$9),IF(SUM(AM$10:AM239)-ROUNDDOWN($L240*AM$5/100,0)&lt;-AM$6,-AM$6-SUM(AM$10:AM239),-ROUNDDOWN($L240*AM$5/100,0)),0)</f>
        <v>0</v>
      </c>
      <c r="AN240" s="38">
        <f>IF(AND(AN$7="○",$A240&gt;=AN$8,$A240&lt;=AN$9),IF(SUM(AN$10:AN239)-ROUNDDOWN($M240*AN$5/100,0)&lt;-AN$6,-AN$6-SUM(AN$10:AN239),-ROUNDDOWN($M240*AN$5/100,0)),0)</f>
        <v>0</v>
      </c>
      <c r="AO240" s="38">
        <f>IF(AND($A240&gt;=AO$8,$A240&lt;=AO$9),IF(SUM(AO$10:AO239)-ROUNDDOWN($K240*AO$5/100,0)&lt;-AO$6,-AO$6-SUM(AO$10:AO239),-ROUNDDOWN($K240*AO$5/100,0)),0)</f>
        <v>0</v>
      </c>
      <c r="AP240" s="38">
        <f>IF(AND($A240&gt;=AP$8,$A240&lt;=AP$9),IF(SUM(AP$10:AP239)-ROUNDDOWN($K240*AP$5/100,0)&lt;-AP$6,-AP$6-SUM(AP$10:AP239),-ROUNDDOWN($K240*AP$5/100,0)),0)</f>
        <v>0</v>
      </c>
      <c r="AQ240" s="38">
        <f>IF(AND($A240&gt;=AQ$8,$A240&lt;=AQ$9),IF(SUM(AQ$10:AQ239)-ROUNDDOWN($K240*AQ$5/100,0)&lt;-AQ$6,-AQ$6-SUM(AQ$10:AQ239),-ROUNDDOWN($K240*AQ$5/100,0)),0)</f>
        <v>0</v>
      </c>
      <c r="AR240" s="38">
        <f>IF(AND($A240&gt;=AR$8,$A240&lt;=AR$9),IF(SUM(AR$10:AR239)-ROUNDDOWN($K240*AR$5/100,0)&lt;-AR$6,-AR$6-SUM(AR$10:AR239),-ROUNDDOWN($K240*AR$5/100,0)),0)</f>
        <v>0</v>
      </c>
      <c r="AS240" s="38">
        <f>IF(SUMIFS(AS$10:AS239,$A$10:$A239,$A240)-ROUNDDOWN($K240*$S240/100,0)&lt;-$S240*1000,-$S240*1000-SUMIFS(AS$10:AS239,$A$10:$A239,$A240),-ROUNDDOWN($K240*$S240/100,0))</f>
        <v>0</v>
      </c>
      <c r="AT240" s="38">
        <f>IF(AND(X240="○",$A240&gt;=AT$8,$A240&lt;=AT$9,K240&gt;=3980),IF(SUM(AT$10:AT239)-ROUNDDOWN($K240*AT$5/100,0)&lt;-AT$6,-AT$6-SUM(AT$10:AT239),-ROUNDDOWN($K240*AT$5/100,0)),0)</f>
        <v>0</v>
      </c>
      <c r="AU240" s="38">
        <f>IF(O240="○",IF(SUM(AU$10:AU239)-ROUNDDOWN($K240*AU$5/100,0)&lt;-AU$6,-AU$6-SUM(AU$10:AU239),-ROUNDDOWN($K240*AU$5/100,0)),0)</f>
        <v>0</v>
      </c>
      <c r="AV240" s="38">
        <f>IF(P240="○",IF(SUM(AV$10:AV239)-ROUNDDOWN($K240*AV$5/100,0)&lt;-AV$6,-AV$6-SUM(AV$10:AV239),-ROUNDDOWN($K240*AV$5/100,0)),0)</f>
        <v>0</v>
      </c>
      <c r="AW240" s="38">
        <f>IF(Q240="○",IF(SUM(AW$10:AW239)-ROUNDDOWN($K240*AW$5/100,0)&lt;-AW$6,-AW$6-SUM(AW$10:AW239),-ROUNDDOWN($K240*AW$5/100,0)),0)</f>
        <v>0</v>
      </c>
      <c r="AX240" s="38">
        <f>IF(R240="○",IF(SUM(AX$10:AX239)-ROUNDDOWN($K240*AX$5/100,0)&lt;-AX$6,-AX$6-SUM(AX$10:AX239),-ROUNDDOWN($K240*AX$5/100,0)),0)</f>
        <v>0</v>
      </c>
      <c r="AY240" s="70">
        <v>0</v>
      </c>
      <c r="AZ240" s="65">
        <f t="shared" si="178"/>
        <v>0</v>
      </c>
      <c r="BA240" s="65">
        <f t="shared" si="179"/>
        <v>0</v>
      </c>
      <c r="BB240" s="70"/>
      <c r="BC240" s="65">
        <f t="shared" si="180"/>
        <v>0</v>
      </c>
      <c r="BD240" s="70">
        <v>0</v>
      </c>
      <c r="BE240" s="65">
        <f t="shared" si="181"/>
        <v>0</v>
      </c>
      <c r="BF240" s="70">
        <v>0</v>
      </c>
      <c r="BG240" s="65">
        <f t="shared" si="182"/>
        <v>0</v>
      </c>
      <c r="BH240" s="70">
        <v>0</v>
      </c>
      <c r="BI240" s="65">
        <f t="shared" si="183"/>
        <v>0</v>
      </c>
      <c r="BJ240" s="38">
        <f>IF(AND(BJ$7="○",$A240&gt;=BJ$8,$A240&lt;=BJ$9),IF(SUM(BJ$10:BJ239)-ROUNDDOWN($M240*BJ$5/100,0)&lt;-BJ$6,-BJ$6-SUM(BJ$10:BJ239),-ROUNDDOWN($M240*BJ$5/100,0)),0)</f>
        <v>0</v>
      </c>
      <c r="BK240" s="38">
        <f>IF(AND(BK$7="○",$A240&gt;=BK$8,$A240&lt;=BK$9),IF(SUM(BK$10:BK239)-ROUNDDOWN($L240*BK$5/100,0)&lt;-BK$6,-BK$6-SUM(BK$10:BK239),-ROUNDDOWN($L240*BK$5/100,0)),0)</f>
        <v>0</v>
      </c>
      <c r="BL240" s="38">
        <f>IF(AND(BL$7="○",$A240&gt;=BL$8,$A240&lt;=BL$9),IF(SUM(BL$10:BL239)-ROUNDDOWN($L240*BL$5/100,0)&lt;-BL$6,-BL$6-SUM(BL$10:BL239),-ROUNDDOWN($L240*BL$5/100,0)),0)</f>
        <v>0</v>
      </c>
      <c r="BM240" s="38">
        <f>IF(AND(BM$7="○",$A240&gt;=BM$8,$A240&lt;=BM$9),IF(SUM(BM$10:BM239)-ROUNDDOWN($M240*BM$5/100,0)&lt;-BM$6,-BM$6-SUM(BM$10:BM239),-ROUNDDOWN($M240*BM$5/100,0)),0)</f>
        <v>0</v>
      </c>
      <c r="BN240" s="38">
        <f>IF(AND(BN$7="○",$A240&gt;=BN$8,$A240&lt;=BN$9),IF(SUM(BN$10:BN239)-ROUNDDOWN($M240*BN$5/100,0)&lt;-BN$6,-BN$6-SUM(BN$10:BN239),-ROUNDDOWN($M240*BN$5/100,0)),0)</f>
        <v>0</v>
      </c>
      <c r="BO240" s="38">
        <f>IF(AND(BO$7="○",$A240&gt;=BO$8,$A240&lt;=BO$9),IF(SUM(BO$10:BO239)-ROUNDDOWN($M240*BO$5/100,0)&lt;-BO$6,-BO$6-SUM(BO$10:BO239),-ROUNDDOWN($M240*BO$5/100,0)),0)</f>
        <v>0</v>
      </c>
      <c r="BP240" s="38">
        <f>IF(AND(BP$7="○",$A240&gt;=BP$8,$A240&lt;=BP$9),IF(SUM(BP$10:BP239)-ROUNDDOWN($M240*BP$5/100,0)&lt;-BP$6,-BP$6-SUM(BP$10:BP239),-ROUNDDOWN($M240*BP$5/100,0)),0)</f>
        <v>0</v>
      </c>
      <c r="BQ240" s="38">
        <f>IF(AND(BQ$7="○",$A240&gt;=BQ$8,$A240&lt;=BQ$9),IF(SUM(BQ$10:BQ239)-ROUNDDOWN($L240*BQ$5/100,0)&lt;-BQ$6,-BQ$6-SUM(BQ$10:BQ239),-ROUNDDOWN($L240*BQ$5/100,0)),0)</f>
        <v>0</v>
      </c>
      <c r="BR240" s="38">
        <f>IF(AND(BR$7="○",$A240&gt;=BR$8,$A240&lt;=BR$9),IF(SUM(BR$10:BR239)-ROUNDDOWN($M240*BR$5/100,0)&lt;-BR$6,-BR$6-SUM(BR$10:BR239),-ROUNDDOWN($M240*BR$5/100,0)),0)</f>
        <v>0</v>
      </c>
      <c r="BS240" s="38">
        <f>IF(AND(BS$7="○",$A240&gt;=BS$8,$A240&lt;=BS$9),IF(SUM(BS$10:BS239)-ROUNDDOWN($M240*BS$5/100,0)&lt;-BS$6,-BS$6-SUM(BS$10:BS239),-ROUNDDOWN($M240*BS$5/100,0)),0)</f>
        <v>0</v>
      </c>
      <c r="BT240" s="38">
        <f>IF(AND(BT$7="○",$A240&gt;=BT$8,$A240&lt;=BT$9),IF(SUM(BT$10:BT239)-ROUNDDOWN($M240*BT$5/100,0)&lt;-BT$6,-BT$6-SUM(BT$10:BT239),-ROUNDDOWN($M240*BT$5/100,0)),0)</f>
        <v>0</v>
      </c>
      <c r="BU240" s="38">
        <f>IF(AND(BU$7="○",$A240&gt;=BU$8,$A240&lt;=BU$9),IF(SUM(BU$10:BU239)-ROUNDDOWN($M240*BU$5/100,0)&lt;-BU$6,-BU$6-SUM(BU$10:BU239),-ROUNDDOWN($M240*BU$5/100,0)),0)</f>
        <v>0</v>
      </c>
      <c r="BV240" s="38">
        <f>IF(AND(BV$7="○",$A240&gt;=BV$8,$A240&lt;=BV$9),IF(SUM(BV$10:BV239)-ROUNDDOWN($M240*BV$5/100,0)&lt;-BV$6,-BV$6-SUM(BV$10:BV239),-ROUNDDOWN($M240*BV$5/100,0)),0)</f>
        <v>0</v>
      </c>
      <c r="BW240" s="38">
        <f>IF(AND(BW$7="○",$A240&gt;=BW$8,$A240&lt;=BW$9),IF(SUM(BW$10:BW239)-ROUNDDOWN($M240*BW$5/100,0)&lt;-BW$6,-BW$6-SUM(BW$10:BW239),-ROUNDDOWN($M240*BW$5/100,0)),0)</f>
        <v>0</v>
      </c>
      <c r="BX240" s="38">
        <f>IF(AND(T240="○",$A240&gt;=BX$8,$A240&lt;=BX$9),IF(SUM(BX$10:BX239)-ROUNDDOWN($K240*BX$5/100,0)&lt;-BX$6,-BX$6-SUM(BX$10:BX239),-ROUNDDOWN($K240*BX$5/100,0)),0)</f>
        <v>0</v>
      </c>
      <c r="BY240" s="38">
        <f>IF(AND(U240="○",$A240&gt;=BY$8,$A240&lt;=BY$9),IF(SUM(BY$10:BY239)-ROUNDDOWN($K240*BY$5/100,0)&lt;-BY$6,-BY$6-SUM(BY$10:BY239),-ROUNDDOWN($K240*BY$5/100,0)),0)</f>
        <v>0</v>
      </c>
      <c r="BZ240" s="38">
        <f>IF(AND(V240="○",$A240&gt;=BZ$8,$A240&lt;=BZ$9),IF(SUM(BZ$10:BZ239)-ROUNDDOWN($K240*BZ$5/100,0)&lt;-BZ$6,-BZ$6-SUM(BZ$10:BZ239),-ROUNDDOWN($K240*BZ$5/100,0)),0)</f>
        <v>0</v>
      </c>
      <c r="CA240" s="38">
        <f>IF(AND(W240="○",$A240&gt;=CA$8,$A240&lt;=CA$9),IF(SUM(CA$10:CA239)-ROUNDDOWN($K240*CA$5/100,0)&lt;-CA$6,-CA$6-SUM(CA$10:CA239),-ROUNDDOWN($K240*CA$5/100,0)),0)</f>
        <v>0</v>
      </c>
      <c r="CB240" s="38"/>
      <c r="CC240" s="38"/>
      <c r="CD240" s="38"/>
      <c r="CE240" s="38"/>
      <c r="CF240" s="38"/>
      <c r="CG240" s="65">
        <f t="shared" si="184"/>
        <v>0</v>
      </c>
      <c r="CH240" s="71">
        <f t="shared" si="185"/>
        <v>0</v>
      </c>
      <c r="CI240" s="1">
        <f t="shared" si="19"/>
        <v>0</v>
      </c>
      <c r="CJ240" s="1"/>
      <c r="CK240" s="75"/>
      <c r="CL240" s="75"/>
      <c r="CM240" s="2"/>
      <c r="CN240" s="2"/>
      <c r="CO240" s="73">
        <f t="shared" si="20"/>
        <v>0</v>
      </c>
      <c r="CP240" s="5">
        <f t="shared" si="21"/>
        <v>0</v>
      </c>
      <c r="CQ240" s="1"/>
      <c r="CR240" s="1">
        <f t="shared" si="22"/>
        <v>0</v>
      </c>
      <c r="CS240" s="1"/>
      <c r="CT240" s="1" t="e">
        <f>INDEX([2]マスタ!$A:$A,MATCH(D240,[2]マスタ!$C:$C,0))</f>
        <v>#N/A</v>
      </c>
      <c r="CU240" s="1" t="str">
        <f t="shared" ca="1" si="23"/>
        <v>20260620_0-0</v>
      </c>
    </row>
    <row r="241" spans="1:99" x14ac:dyDescent="0.4">
      <c r="A241" s="61"/>
      <c r="B241" s="62"/>
      <c r="C241" s="62"/>
      <c r="D241" s="62"/>
      <c r="E241" s="74"/>
      <c r="F241" s="62"/>
      <c r="G241" s="62">
        <v>1</v>
      </c>
      <c r="H241" s="64">
        <f t="shared" si="4"/>
        <v>0</v>
      </c>
      <c r="I241" s="64"/>
      <c r="J241" s="64"/>
      <c r="K241" s="65">
        <f t="shared" si="193"/>
        <v>0</v>
      </c>
      <c r="L241" s="65">
        <f t="shared" si="6"/>
        <v>0</v>
      </c>
      <c r="M241" s="65">
        <f t="shared" si="7"/>
        <v>0</v>
      </c>
      <c r="N241" s="65">
        <f t="shared" si="8"/>
        <v>0</v>
      </c>
      <c r="O241" s="66" t="str">
        <f t="shared" si="189"/>
        <v>✕</v>
      </c>
      <c r="P241" s="67" t="str">
        <f t="shared" si="190"/>
        <v>○</v>
      </c>
      <c r="Q241" s="67" t="str">
        <f t="shared" si="194"/>
        <v>✕</v>
      </c>
      <c r="R241" s="67" t="str">
        <f t="shared" si="192"/>
        <v>✕</v>
      </c>
      <c r="S241" s="68">
        <v>0</v>
      </c>
      <c r="T241" s="69" t="s">
        <v>85</v>
      </c>
      <c r="U241" s="69" t="s">
        <v>85</v>
      </c>
      <c r="V241" s="69" t="s">
        <v>85</v>
      </c>
      <c r="W241" s="69" t="s">
        <v>85</v>
      </c>
      <c r="X241" s="69" t="s">
        <v>84</v>
      </c>
      <c r="Y241" s="69" t="s">
        <v>85</v>
      </c>
      <c r="Z241" s="69" t="s">
        <v>85</v>
      </c>
      <c r="AA241" s="69" t="s">
        <v>85</v>
      </c>
      <c r="AB241" s="69" t="s">
        <v>85</v>
      </c>
      <c r="AC241" s="69" t="s">
        <v>85</v>
      </c>
      <c r="AD241" s="38" t="str">
        <f>+IF(ISERROR(VLOOKUP($B241,AD$10:AD240,1,0)),IF(AND($N241&gt;=1000,$A241&gt;=AO$8,$A241&lt;=AO$9),$B241,""),"")</f>
        <v/>
      </c>
      <c r="AE241" s="38" t="str">
        <f>+IF(ISERROR(VLOOKUP($B241,AE$10:AE240,1,0)),IF(AND($N241&gt;=1000,$A241&gt;=AP$8,$A241&lt;=AP$9),$B241,""),"")</f>
        <v/>
      </c>
      <c r="AF241" s="38" t="str">
        <f>+IF(ISERROR(VLOOKUP($B241,AF$10:AF240,1,0)),IF(AND($N241&gt;=1000,$A241&gt;=AQ$8,$A241&lt;=AQ$9),$B241,""),"")</f>
        <v/>
      </c>
      <c r="AG241" s="38" t="str">
        <f>+IF(ISERROR(VLOOKUP($B241,AG$10:AG240,1,0)),IF(AND($N241&gt;=1000,$A241&gt;=AR$8,$A241&lt;=AR$9),$B241,""),"")</f>
        <v/>
      </c>
      <c r="AH241" s="38"/>
      <c r="AI241" s="70">
        <v>0</v>
      </c>
      <c r="AJ241" s="38">
        <f>IF(AND(AJ$7="○",$A241&gt;=AJ$8,$A241&lt;=AJ$9),IF(SUM(AJ$10:AJ240)-ROUNDDOWN($K241*AJ$5/100,0)&lt;-AJ$6,-AJ$6-SUM(AJ$10:AJ240),-ROUNDDOWN($K241*AJ$5/100,0)),0)</f>
        <v>0</v>
      </c>
      <c r="AK241" s="38">
        <f>IF(AND(AK$7="○",$A241&gt;=AK$8,$A241&lt;=AK$9),IF(SUM(AK$10:AK240)-ROUNDDOWN($L241*AK$5/100,0)&lt;-AK$6,-AK$6-SUM(AK$10:AK240),-ROUNDDOWN($L241*AK$5/100,0)),0)</f>
        <v>0</v>
      </c>
      <c r="AL241" s="38">
        <f>IF(AND(AL$7="○",$A241&gt;=AL$8,$A241&lt;=AL$9),IF(SUM(AL$10:AL240)-ROUNDDOWN($N241*AL$5/100,0)&lt;-AL$6,-AL$6-SUM(AL$10:AL240),-ROUNDDOWN($N241*AL$5/100,0)),0)</f>
        <v>0</v>
      </c>
      <c r="AM241" s="38">
        <f>IF(AND(AM$7="○",$A241&gt;=AM$8,$A241&lt;=AM$9),IF(SUM(AM$10:AM240)-ROUNDDOWN($L241*AM$5/100,0)&lt;-AM$6,-AM$6-SUM(AM$10:AM240),-ROUNDDOWN($L241*AM$5/100,0)),0)</f>
        <v>0</v>
      </c>
      <c r="AN241" s="38">
        <f>IF(AND(AN$7="○",$A241&gt;=AN$8,$A241&lt;=AN$9),IF(SUM(AN$10:AN240)-ROUNDDOWN($M241*AN$5/100,0)&lt;-AN$6,-AN$6-SUM(AN$10:AN240),-ROUNDDOWN($M241*AN$5/100,0)),0)</f>
        <v>0</v>
      </c>
      <c r="AO241" s="38">
        <f>IF(AND($A241&gt;=AO$8,$A241&lt;=AO$9),IF(SUM(AO$10:AO240)-ROUNDDOWN($K241*AO$5/100,0)&lt;-AO$6,-AO$6-SUM(AO$10:AO240),-ROUNDDOWN($K241*AO$5/100,0)),0)</f>
        <v>0</v>
      </c>
      <c r="AP241" s="38">
        <f>IF(AND($A241&gt;=AP$8,$A241&lt;=AP$9),IF(SUM(AP$10:AP240)-ROUNDDOWN($K241*AP$5/100,0)&lt;-AP$6,-AP$6-SUM(AP$10:AP240),-ROUNDDOWN($K241*AP$5/100,0)),0)</f>
        <v>0</v>
      </c>
      <c r="AQ241" s="38">
        <f>IF(AND($A241&gt;=AQ$8,$A241&lt;=AQ$9),IF(SUM(AQ$10:AQ240)-ROUNDDOWN($K241*AQ$5/100,0)&lt;-AQ$6,-AQ$6-SUM(AQ$10:AQ240),-ROUNDDOWN($K241*AQ$5/100,0)),0)</f>
        <v>0</v>
      </c>
      <c r="AR241" s="38">
        <f>IF(AND($A241&gt;=AR$8,$A241&lt;=AR$9),IF(SUM(AR$10:AR240)-ROUNDDOWN($K241*AR$5/100,0)&lt;-AR$6,-AR$6-SUM(AR$10:AR240),-ROUNDDOWN($K241*AR$5/100,0)),0)</f>
        <v>0</v>
      </c>
      <c r="AS241" s="38">
        <f>IF(SUMIFS(AS$10:AS240,$A$10:$A240,$A241)-ROUNDDOWN($K241*$S241/100,0)&lt;-$S241*1000,-$S241*1000-SUMIFS(AS$10:AS240,$A$10:$A240,$A241),-ROUNDDOWN($K241*$S241/100,0))</f>
        <v>0</v>
      </c>
      <c r="AT241" s="38">
        <f>IF(AND(X241="○",$A241&gt;=AT$8,$A241&lt;=AT$9,K241&gt;=3980),IF(SUM(AT$10:AT240)-ROUNDDOWN($K241*AT$5/100,0)&lt;-AT$6,-AT$6-SUM(AT$10:AT240),-ROUNDDOWN($K241*AT$5/100,0)),0)</f>
        <v>0</v>
      </c>
      <c r="AU241" s="38">
        <f>IF(O241="○",IF(SUM(AU$10:AU240)-ROUNDDOWN($K241*AU$5/100,0)&lt;-AU$6,-AU$6-SUM(AU$10:AU240),-ROUNDDOWN($K241*AU$5/100,0)),0)</f>
        <v>0</v>
      </c>
      <c r="AV241" s="38">
        <f>IF(P241="○",IF(SUM(AV$10:AV240)-ROUNDDOWN($K241*AV$5/100,0)&lt;-AV$6,-AV$6-SUM(AV$10:AV240),-ROUNDDOWN($K241*AV$5/100,0)),0)</f>
        <v>0</v>
      </c>
      <c r="AW241" s="38">
        <f>IF(Q241="○",IF(SUM(AW$10:AW240)-ROUNDDOWN($K241*AW$5/100,0)&lt;-AW$6,-AW$6-SUM(AW$10:AW240),-ROUNDDOWN($K241*AW$5/100,0)),0)</f>
        <v>0</v>
      </c>
      <c r="AX241" s="38">
        <f>IF(R241="○",IF(SUM(AX$10:AX240)-ROUNDDOWN($K241*AX$5/100,0)&lt;-AX$6,-AX$6-SUM(AX$10:AX240),-ROUNDDOWN($K241*AX$5/100,0)),0)</f>
        <v>0</v>
      </c>
      <c r="AY241" s="70">
        <v>0</v>
      </c>
      <c r="AZ241" s="65">
        <f t="shared" si="178"/>
        <v>0</v>
      </c>
      <c r="BA241" s="65">
        <f t="shared" si="179"/>
        <v>0</v>
      </c>
      <c r="BB241" s="70"/>
      <c r="BC241" s="65">
        <f t="shared" si="180"/>
        <v>0</v>
      </c>
      <c r="BD241" s="70">
        <v>0</v>
      </c>
      <c r="BE241" s="65">
        <f t="shared" si="181"/>
        <v>0</v>
      </c>
      <c r="BF241" s="70">
        <v>0</v>
      </c>
      <c r="BG241" s="65">
        <f t="shared" si="182"/>
        <v>0</v>
      </c>
      <c r="BH241" s="70">
        <v>0</v>
      </c>
      <c r="BI241" s="65">
        <f t="shared" si="183"/>
        <v>0</v>
      </c>
      <c r="BJ241" s="38">
        <f>IF(AND(BJ$7="○",$A241&gt;=BJ$8,$A241&lt;=BJ$9),IF(SUM(BJ$10:BJ240)-ROUNDDOWN($M241*BJ$5/100,0)&lt;-BJ$6,-BJ$6-SUM(BJ$10:BJ240),-ROUNDDOWN($M241*BJ$5/100,0)),0)</f>
        <v>0</v>
      </c>
      <c r="BK241" s="38">
        <f>IF(AND(BK$7="○",$A241&gt;=BK$8,$A241&lt;=BK$9),IF(SUM(BK$10:BK240)-ROUNDDOWN($L241*BK$5/100,0)&lt;-BK$6,-BK$6-SUM(BK$10:BK240),-ROUNDDOWN($L241*BK$5/100,0)),0)</f>
        <v>0</v>
      </c>
      <c r="BL241" s="38">
        <f>IF(AND(BL$7="○",$A241&gt;=BL$8,$A241&lt;=BL$9),IF(SUM(BL$10:BL240)-ROUNDDOWN($L241*BL$5/100,0)&lt;-BL$6,-BL$6-SUM(BL$10:BL240),-ROUNDDOWN($L241*BL$5/100,0)),0)</f>
        <v>0</v>
      </c>
      <c r="BM241" s="38">
        <f>IF(AND(BM$7="○",$A241&gt;=BM$8,$A241&lt;=BM$9),IF(SUM(BM$10:BM240)-ROUNDDOWN($M241*BM$5/100,0)&lt;-BM$6,-BM$6-SUM(BM$10:BM240),-ROUNDDOWN($M241*BM$5/100,0)),0)</f>
        <v>0</v>
      </c>
      <c r="BN241" s="38">
        <f>IF(AND(BN$7="○",$A241&gt;=BN$8,$A241&lt;=BN$9),IF(SUM(BN$10:BN240)-ROUNDDOWN($M241*BN$5/100,0)&lt;-BN$6,-BN$6-SUM(BN$10:BN240),-ROUNDDOWN($M241*BN$5/100,0)),0)</f>
        <v>0</v>
      </c>
      <c r="BO241" s="38">
        <f>IF(AND(BO$7="○",$A241&gt;=BO$8,$A241&lt;=BO$9),IF(SUM(BO$10:BO240)-ROUNDDOWN($M241*BO$5/100,0)&lt;-BO$6,-BO$6-SUM(BO$10:BO240),-ROUNDDOWN($M241*BO$5/100,0)),0)</f>
        <v>0</v>
      </c>
      <c r="BP241" s="38">
        <f>IF(AND(BP$7="○",$A241&gt;=BP$8,$A241&lt;=BP$9),IF(SUM(BP$10:BP240)-ROUNDDOWN($M241*BP$5/100,0)&lt;-BP$6,-BP$6-SUM(BP$10:BP240),-ROUNDDOWN($M241*BP$5/100,0)),0)</f>
        <v>0</v>
      </c>
      <c r="BQ241" s="38">
        <f>IF(AND(BQ$7="○",$A241&gt;=BQ$8,$A241&lt;=BQ$9),IF(SUM(BQ$10:BQ240)-ROUNDDOWN($L241*BQ$5/100,0)&lt;-BQ$6,-BQ$6-SUM(BQ$10:BQ240),-ROUNDDOWN($L241*BQ$5/100,0)),0)</f>
        <v>0</v>
      </c>
      <c r="BR241" s="38">
        <f>IF(AND(BR$7="○",$A241&gt;=BR$8,$A241&lt;=BR$9),IF(SUM(BR$10:BR240)-ROUNDDOWN($M241*BR$5/100,0)&lt;-BR$6,-BR$6-SUM(BR$10:BR240),-ROUNDDOWN($M241*BR$5/100,0)),0)</f>
        <v>0</v>
      </c>
      <c r="BS241" s="38">
        <f>IF(AND(BS$7="○",$A241&gt;=BS$8,$A241&lt;=BS$9),IF(SUM(BS$10:BS240)-ROUNDDOWN($M241*BS$5/100,0)&lt;-BS$6,-BS$6-SUM(BS$10:BS240),-ROUNDDOWN($M241*BS$5/100,0)),0)</f>
        <v>0</v>
      </c>
      <c r="BT241" s="38">
        <f>IF(AND(BT$7="○",$A241&gt;=BT$8,$A241&lt;=BT$9),IF(SUM(BT$10:BT240)-ROUNDDOWN($M241*BT$5/100,0)&lt;-BT$6,-BT$6-SUM(BT$10:BT240),-ROUNDDOWN($M241*BT$5/100,0)),0)</f>
        <v>0</v>
      </c>
      <c r="BU241" s="38">
        <f>IF(AND(BU$7="○",$A241&gt;=BU$8,$A241&lt;=BU$9),IF(SUM(BU$10:BU240)-ROUNDDOWN($M241*BU$5/100,0)&lt;-BU$6,-BU$6-SUM(BU$10:BU240),-ROUNDDOWN($M241*BU$5/100,0)),0)</f>
        <v>0</v>
      </c>
      <c r="BV241" s="38">
        <f>IF(AND(BV$7="○",$A241&gt;=BV$8,$A241&lt;=BV$9),IF(SUM(BV$10:BV240)-ROUNDDOWN($M241*BV$5/100,0)&lt;-BV$6,-BV$6-SUM(BV$10:BV240),-ROUNDDOWN($M241*BV$5/100,0)),0)</f>
        <v>0</v>
      </c>
      <c r="BW241" s="38">
        <f>IF(AND(BW$7="○",$A241&gt;=BW$8,$A241&lt;=BW$9),IF(SUM(BW$10:BW240)-ROUNDDOWN($M241*BW$5/100,0)&lt;-BW$6,-BW$6-SUM(BW$10:BW240),-ROUNDDOWN($M241*BW$5/100,0)),0)</f>
        <v>0</v>
      </c>
      <c r="BX241" s="38">
        <f>IF(AND(T241="○",$A241&gt;=BX$8,$A241&lt;=BX$9),IF(SUM(BX$10:BX240)-ROUNDDOWN($K241*BX$5/100,0)&lt;-BX$6,-BX$6-SUM(BX$10:BX240),-ROUNDDOWN($K241*BX$5/100,0)),0)</f>
        <v>0</v>
      </c>
      <c r="BY241" s="38">
        <f>IF(AND(U241="○",$A241&gt;=BY$8,$A241&lt;=BY$9),IF(SUM(BY$10:BY240)-ROUNDDOWN($K241*BY$5/100,0)&lt;-BY$6,-BY$6-SUM(BY$10:BY240),-ROUNDDOWN($K241*BY$5/100,0)),0)</f>
        <v>0</v>
      </c>
      <c r="BZ241" s="38">
        <f>IF(AND(V241="○",$A241&gt;=BZ$8,$A241&lt;=BZ$9),IF(SUM(BZ$10:BZ240)-ROUNDDOWN($K241*BZ$5/100,0)&lt;-BZ$6,-BZ$6-SUM(BZ$10:BZ240),-ROUNDDOWN($K241*BZ$5/100,0)),0)</f>
        <v>0</v>
      </c>
      <c r="CA241" s="38">
        <f>IF(AND(W241="○",$A241&gt;=CA$8,$A241&lt;=CA$9),IF(SUM(CA$10:CA240)-ROUNDDOWN($K241*CA$5/100,0)&lt;-CA$6,-CA$6-SUM(CA$10:CA240),-ROUNDDOWN($K241*CA$5/100,0)),0)</f>
        <v>0</v>
      </c>
      <c r="CB241" s="38"/>
      <c r="CC241" s="38"/>
      <c r="CD241" s="38"/>
      <c r="CE241" s="38"/>
      <c r="CF241" s="38"/>
      <c r="CG241" s="65">
        <f t="shared" si="184"/>
        <v>0</v>
      </c>
      <c r="CH241" s="71">
        <f t="shared" si="185"/>
        <v>0</v>
      </c>
      <c r="CI241" s="1">
        <f t="shared" si="19"/>
        <v>0</v>
      </c>
      <c r="CJ241" s="1"/>
      <c r="CK241" s="75"/>
      <c r="CL241" s="75"/>
      <c r="CM241" s="2"/>
      <c r="CN241" s="2"/>
      <c r="CO241" s="73">
        <f t="shared" si="20"/>
        <v>0</v>
      </c>
      <c r="CP241" s="5">
        <f t="shared" si="21"/>
        <v>0</v>
      </c>
      <c r="CQ241" s="1"/>
      <c r="CR241" s="1">
        <f t="shared" si="22"/>
        <v>0</v>
      </c>
      <c r="CS241" s="1"/>
      <c r="CT241" s="1" t="e">
        <f>INDEX([2]マスタ!$A:$A,MATCH(D241,[2]マスタ!$C:$C,0))</f>
        <v>#N/A</v>
      </c>
      <c r="CU241" s="1" t="str">
        <f t="shared" ca="1" si="23"/>
        <v>20260620_0-0</v>
      </c>
    </row>
    <row r="242" spans="1:99" x14ac:dyDescent="0.4">
      <c r="A242" s="61"/>
      <c r="B242" s="62"/>
      <c r="C242" s="62"/>
      <c r="D242" s="62"/>
      <c r="E242" s="74"/>
      <c r="F242" s="62"/>
      <c r="G242" s="62">
        <v>1</v>
      </c>
      <c r="H242" s="64">
        <f t="shared" si="4"/>
        <v>0</v>
      </c>
      <c r="I242" s="64"/>
      <c r="J242" s="64"/>
      <c r="K242" s="65">
        <f>+ROUNDDOWN((H242+I242)/100,0)*100</f>
        <v>0</v>
      </c>
      <c r="L242" s="65">
        <f t="shared" si="6"/>
        <v>0</v>
      </c>
      <c r="M242" s="65">
        <f t="shared" si="7"/>
        <v>0</v>
      </c>
      <c r="N242" s="65">
        <f t="shared" si="8"/>
        <v>0</v>
      </c>
      <c r="O242" s="66" t="str">
        <f t="shared" si="189"/>
        <v>✕</v>
      </c>
      <c r="P242" s="67" t="str">
        <f t="shared" si="190"/>
        <v>○</v>
      </c>
      <c r="Q242" s="67" t="str">
        <f>+IF((TEXT($A242,"DD")+0)=1,"○","✕")</f>
        <v>✕</v>
      </c>
      <c r="R242" s="67" t="str">
        <f t="shared" si="192"/>
        <v>✕</v>
      </c>
      <c r="S242" s="68">
        <v>0</v>
      </c>
      <c r="T242" s="69" t="s">
        <v>85</v>
      </c>
      <c r="U242" s="69" t="s">
        <v>85</v>
      </c>
      <c r="V242" s="69" t="s">
        <v>85</v>
      </c>
      <c r="W242" s="69" t="s">
        <v>85</v>
      </c>
      <c r="X242" s="69" t="s">
        <v>84</v>
      </c>
      <c r="Y242" s="69" t="s">
        <v>85</v>
      </c>
      <c r="Z242" s="69" t="s">
        <v>85</v>
      </c>
      <c r="AA242" s="69" t="s">
        <v>85</v>
      </c>
      <c r="AB242" s="69" t="s">
        <v>85</v>
      </c>
      <c r="AC242" s="69" t="s">
        <v>85</v>
      </c>
      <c r="AD242" s="38" t="str">
        <f>+IF(ISERROR(VLOOKUP($B242,AD$10:AD241,1,0)),IF(AND($N242&gt;=1000,$A242&gt;=AO$8,$A242&lt;=AO$9),$B242,""),"")</f>
        <v/>
      </c>
      <c r="AE242" s="38" t="str">
        <f>+IF(ISERROR(VLOOKUP($B242,AE$10:AE241,1,0)),IF(AND($N242&gt;=1000,$A242&gt;=AP$8,$A242&lt;=AP$9),$B242,""),"")</f>
        <v/>
      </c>
      <c r="AF242" s="38" t="str">
        <f>+IF(ISERROR(VLOOKUP($B242,AF$10:AF241,1,0)),IF(AND($N242&gt;=1000,$A242&gt;=AQ$8,$A242&lt;=AQ$9),$B242,""),"")</f>
        <v/>
      </c>
      <c r="AG242" s="38" t="str">
        <f>+IF(ISERROR(VLOOKUP($B242,AG$10:AG241,1,0)),IF(AND($N242&gt;=1000,$A242&gt;=AR$8,$A242&lt;=AR$9),$B242,""),"")</f>
        <v/>
      </c>
      <c r="AH242" s="38"/>
      <c r="AI242" s="70">
        <v>0</v>
      </c>
      <c r="AJ242" s="38">
        <f>IF(AND(AJ$7="○",$A242&gt;=AJ$8,$A242&lt;=AJ$9),IF(SUM(AJ$10:AJ241)-ROUNDDOWN($K242*AJ$5/100,0)&lt;-AJ$6,-AJ$6-SUM(AJ$10:AJ241),-ROUNDDOWN($K242*AJ$5/100,0)),0)</f>
        <v>0</v>
      </c>
      <c r="AK242" s="38">
        <f>IF(AND(AK$7="○",$A242&gt;=AK$8,$A242&lt;=AK$9),IF(SUM(AK$10:AK241)-ROUNDDOWN($L242*AK$5/100,0)&lt;-AK$6,-AK$6-SUM(AK$10:AK241),-ROUNDDOWN($L242*AK$5/100,0)),0)</f>
        <v>0</v>
      </c>
      <c r="AL242" s="38">
        <f>IF(AND(AL$7="○",$A242&gt;=AL$8,$A242&lt;=AL$9),IF(SUM(AL$10:AL241)-ROUNDDOWN($N242*AL$5/100,0)&lt;-AL$6,-AL$6-SUM(AL$10:AL241),-ROUNDDOWN($N242*AL$5/100,0)),0)</f>
        <v>0</v>
      </c>
      <c r="AM242" s="38">
        <f>IF(AND(AM$7="○",$A242&gt;=AM$8,$A242&lt;=AM$9),IF(SUM(AM$10:AM241)-ROUNDDOWN($L242*AM$5/100,0)&lt;-AM$6,-AM$6-SUM(AM$10:AM241),-ROUNDDOWN($L242*AM$5/100,0)),0)</f>
        <v>0</v>
      </c>
      <c r="AN242" s="38">
        <f>IF(AND(AN$7="○",$A242&gt;=AN$8,$A242&lt;=AN$9),IF(SUM(AN$10:AN241)-ROUNDDOWN($M242*AN$5/100,0)&lt;-AN$6,-AN$6-SUM(AN$10:AN241),-ROUNDDOWN($M242*AN$5/100,0)),0)</f>
        <v>0</v>
      </c>
      <c r="AO242" s="38">
        <f>IF(AND($A242&gt;=AO$8,$A242&lt;=AO$9),IF(SUM(AO$10:AO241)-ROUNDDOWN($K242*AO$5/100,0)&lt;-AO$6,-AO$6-SUM(AO$10:AO241),-ROUNDDOWN($K242*AO$5/100,0)),0)</f>
        <v>0</v>
      </c>
      <c r="AP242" s="38">
        <f>IF(AND($A242&gt;=AP$8,$A242&lt;=AP$9),IF(SUM(AP$10:AP241)-ROUNDDOWN($K242*AP$5/100,0)&lt;-AP$6,-AP$6-SUM(AP$10:AP241),-ROUNDDOWN($K242*AP$5/100,0)),0)</f>
        <v>0</v>
      </c>
      <c r="AQ242" s="38">
        <f>IF(AND($A242&gt;=AQ$8,$A242&lt;=AQ$9),IF(SUM(AQ$10:AQ241)-ROUNDDOWN($K242*AQ$5/100,0)&lt;-AQ$6,-AQ$6-SUM(AQ$10:AQ241),-ROUNDDOWN($K242*AQ$5/100,0)),0)</f>
        <v>0</v>
      </c>
      <c r="AR242" s="38">
        <f>IF(AND($A242&gt;=AR$8,$A242&lt;=AR$9),IF(SUM(AR$10:AR241)-ROUNDDOWN($K242*AR$5/100,0)&lt;-AR$6,-AR$6-SUM(AR$10:AR241),-ROUNDDOWN($K242*AR$5/100,0)),0)</f>
        <v>0</v>
      </c>
      <c r="AS242" s="38">
        <f>IF(SUMIFS(AS$10:AS241,$A$10:$A241,$A242)-ROUNDDOWN($K242*$S242/100,0)&lt;-$S242*1000,-$S242*1000-SUMIFS(AS$10:AS241,$A$10:$A241,$A242),-ROUNDDOWN($K242*$S242/100,0))</f>
        <v>0</v>
      </c>
      <c r="AT242" s="38">
        <f>IF(AND(X242="○",$A242&gt;=AT$8,$A242&lt;=AT$9,K242&gt;=3980),IF(SUM(AT$10:AT241)-ROUNDDOWN($K242*AT$5/100,0)&lt;-AT$6,-AT$6-SUM(AT$10:AT241),-ROUNDDOWN($K242*AT$5/100,0)),0)</f>
        <v>0</v>
      </c>
      <c r="AU242" s="38">
        <f>IF(O242="○",IF(SUM(AU$10:AU241)-ROUNDDOWN($K242*AU$5/100,0)&lt;-AU$6,-AU$6-SUM(AU$10:AU241),-ROUNDDOWN($K242*AU$5/100,0)),0)</f>
        <v>0</v>
      </c>
      <c r="AV242" s="38">
        <f>IF(P242="○",IF(SUM(AV$10:AV241)-ROUNDDOWN($K242*AV$5/100,0)&lt;-AV$6,-AV$6-SUM(AV$10:AV241),-ROUNDDOWN($K242*AV$5/100,0)),0)</f>
        <v>0</v>
      </c>
      <c r="AW242" s="38">
        <f>IF(Q242="○",IF(SUM(AW$10:AW241)-ROUNDDOWN($K242*AW$5/100,0)&lt;-AW$6,-AW$6-SUM(AW$10:AW241),-ROUNDDOWN($K242*AW$5/100,0)),0)</f>
        <v>0</v>
      </c>
      <c r="AX242" s="38">
        <f>IF(R242="○",IF(SUM(AX$10:AX241)-ROUNDDOWN($K242*AX$5/100,0)&lt;-AX$6,-AX$6-SUM(AX$10:AX241),-ROUNDDOWN($K242*AX$5/100,0)),0)</f>
        <v>0</v>
      </c>
      <c r="AY242" s="70">
        <v>0</v>
      </c>
      <c r="AZ242" s="65">
        <f t="shared" si="178"/>
        <v>0</v>
      </c>
      <c r="BA242" s="65">
        <f t="shared" si="179"/>
        <v>0</v>
      </c>
      <c r="BB242" s="70"/>
      <c r="BC242" s="65">
        <f t="shared" si="180"/>
        <v>0</v>
      </c>
      <c r="BD242" s="70">
        <v>0</v>
      </c>
      <c r="BE242" s="65">
        <f t="shared" si="181"/>
        <v>0</v>
      </c>
      <c r="BF242" s="70">
        <v>0</v>
      </c>
      <c r="BG242" s="65">
        <f t="shared" si="182"/>
        <v>0</v>
      </c>
      <c r="BH242" s="70">
        <v>0</v>
      </c>
      <c r="BI242" s="65">
        <f t="shared" si="183"/>
        <v>0</v>
      </c>
      <c r="BJ242" s="38">
        <f>IF(AND(BJ$7="○",$A242&gt;=BJ$8,$A242&lt;=BJ$9),IF(SUM(BJ$10:BJ241)-ROUNDDOWN($M242*BJ$5/100,0)&lt;-BJ$6,-BJ$6-SUM(BJ$10:BJ241),-ROUNDDOWN($M242*BJ$5/100,0)),0)</f>
        <v>0</v>
      </c>
      <c r="BK242" s="38">
        <f>IF(AND(BK$7="○",$A242&gt;=BK$8,$A242&lt;=BK$9),IF(SUM(BK$10:BK241)-ROUNDDOWN($L242*BK$5/100,0)&lt;-BK$6,-BK$6-SUM(BK$10:BK241),-ROUNDDOWN($L242*BK$5/100,0)),0)</f>
        <v>0</v>
      </c>
      <c r="BL242" s="38">
        <f>IF(AND(BL$7="○",$A242&gt;=BL$8,$A242&lt;=BL$9),IF(SUM(BL$10:BL241)-ROUNDDOWN($L242*BL$5/100,0)&lt;-BL$6,-BL$6-SUM(BL$10:BL241),-ROUNDDOWN($L242*BL$5/100,0)),0)</f>
        <v>0</v>
      </c>
      <c r="BM242" s="38">
        <f>IF(AND(BM$7="○",$A242&gt;=BM$8,$A242&lt;=BM$9),IF(SUM(BM$10:BM241)-ROUNDDOWN($M242*BM$5/100,0)&lt;-BM$6,-BM$6-SUM(BM$10:BM241),-ROUNDDOWN($M242*BM$5/100,0)),0)</f>
        <v>0</v>
      </c>
      <c r="BN242" s="38">
        <f>IF(AND(BN$7="○",$A242&gt;=BN$8,$A242&lt;=BN$9),IF(SUM(BN$10:BN241)-ROUNDDOWN($M242*BN$5/100,0)&lt;-BN$6,-BN$6-SUM(BN$10:BN241),-ROUNDDOWN($M242*BN$5/100,0)),0)</f>
        <v>0</v>
      </c>
      <c r="BO242" s="38">
        <f>IF(AND(BO$7="○",$A242&gt;=BO$8,$A242&lt;=BO$9),IF(SUM(BO$10:BO241)-ROUNDDOWN($M242*BO$5/100,0)&lt;-BO$6,-BO$6-SUM(BO$10:BO241),-ROUNDDOWN($M242*BO$5/100,0)),0)</f>
        <v>0</v>
      </c>
      <c r="BP242" s="38">
        <f>IF(AND(BP$7="○",$A242&gt;=BP$8,$A242&lt;=BP$9),IF(SUM(BP$10:BP241)-ROUNDDOWN($M242*BP$5/100,0)&lt;-BP$6,-BP$6-SUM(BP$10:BP241),-ROUNDDOWN($M242*BP$5/100,0)),0)</f>
        <v>0</v>
      </c>
      <c r="BQ242" s="38">
        <f>IF(AND(BQ$7="○",$A242&gt;=BQ$8,$A242&lt;=BQ$9),IF(SUM(BQ$10:BQ241)-ROUNDDOWN($L242*BQ$5/100,0)&lt;-BQ$6,-BQ$6-SUM(BQ$10:BQ241),-ROUNDDOWN($L242*BQ$5/100,0)),0)</f>
        <v>0</v>
      </c>
      <c r="BR242" s="38">
        <f>IF(AND(BR$7="○",$A242&gt;=BR$8,$A242&lt;=BR$9),IF(SUM(BR$10:BR241)-ROUNDDOWN($M242*BR$5/100,0)&lt;-BR$6,-BR$6-SUM(BR$10:BR241),-ROUNDDOWN($M242*BR$5/100,0)),0)</f>
        <v>0</v>
      </c>
      <c r="BS242" s="38">
        <f>IF(AND(BS$7="○",$A242&gt;=BS$8,$A242&lt;=BS$9),IF(SUM(BS$10:BS241)-ROUNDDOWN($M242*BS$5/100,0)&lt;-BS$6,-BS$6-SUM(BS$10:BS241),-ROUNDDOWN($M242*BS$5/100,0)),0)</f>
        <v>0</v>
      </c>
      <c r="BT242" s="38">
        <f>IF(AND(BT$7="○",$A242&gt;=BT$8,$A242&lt;=BT$9),IF(SUM(BT$10:BT241)-ROUNDDOWN($M242*BT$5/100,0)&lt;-BT$6,-BT$6-SUM(BT$10:BT241),-ROUNDDOWN($M242*BT$5/100,0)),0)</f>
        <v>0</v>
      </c>
      <c r="BU242" s="38">
        <f>IF(AND(BU$7="○",$A242&gt;=BU$8,$A242&lt;=BU$9),IF(SUM(BU$10:BU241)-ROUNDDOWN($M242*BU$5/100,0)&lt;-BU$6,-BU$6-SUM(BU$10:BU241),-ROUNDDOWN($M242*BU$5/100,0)),0)</f>
        <v>0</v>
      </c>
      <c r="BV242" s="38">
        <f>IF(AND(BV$7="○",$A242&gt;=BV$8,$A242&lt;=BV$9),IF(SUM(BV$10:BV241)-ROUNDDOWN($M242*BV$5/100,0)&lt;-BV$6,-BV$6-SUM(BV$10:BV241),-ROUNDDOWN($M242*BV$5/100,0)),0)</f>
        <v>0</v>
      </c>
      <c r="BW242" s="38">
        <f>IF(AND(BW$7="○",$A242&gt;=BW$8,$A242&lt;=BW$9),IF(SUM(BW$10:BW241)-ROUNDDOWN($M242*BW$5/100,0)&lt;-BW$6,-BW$6-SUM(BW$10:BW241),-ROUNDDOWN($M242*BW$5/100,0)),0)</f>
        <v>0</v>
      </c>
      <c r="BX242" s="38">
        <f>IF(AND(T242="○",$A242&gt;=BX$8,$A242&lt;=BX$9),IF(SUM(BX$10:BX241)-ROUNDDOWN($K242*BX$5/100,0)&lt;-BX$6,-BX$6-SUM(BX$10:BX241),-ROUNDDOWN($K242*BX$5/100,0)),0)</f>
        <v>0</v>
      </c>
      <c r="BY242" s="38">
        <f>IF(AND(U242="○",$A242&gt;=BY$8,$A242&lt;=BY$9),IF(SUM(BY$10:BY241)-ROUNDDOWN($K242*BY$5/100,0)&lt;-BY$6,-BY$6-SUM(BY$10:BY241),-ROUNDDOWN($K242*BY$5/100,0)),0)</f>
        <v>0</v>
      </c>
      <c r="BZ242" s="38">
        <f>IF(AND(V242="○",$A242&gt;=BZ$8,$A242&lt;=BZ$9),IF(SUM(BZ$10:BZ241)-ROUNDDOWN($K242*BZ$5/100,0)&lt;-BZ$6,-BZ$6-SUM(BZ$10:BZ241),-ROUNDDOWN($K242*BZ$5/100,0)),0)</f>
        <v>0</v>
      </c>
      <c r="CA242" s="38">
        <f>IF(AND(W242="○",$A242&gt;=CA$8,$A242&lt;=CA$9),IF(SUM(CA$10:CA241)-ROUNDDOWN($K242*CA$5/100,0)&lt;-CA$6,-CA$6-SUM(CA$10:CA241),-ROUNDDOWN($K242*CA$5/100,0)),0)</f>
        <v>0</v>
      </c>
      <c r="CB242" s="38"/>
      <c r="CC242" s="38"/>
      <c r="CD242" s="38"/>
      <c r="CE242" s="38"/>
      <c r="CF242" s="38"/>
      <c r="CG242" s="65">
        <f t="shared" si="184"/>
        <v>0</v>
      </c>
      <c r="CH242" s="71">
        <f t="shared" si="185"/>
        <v>0</v>
      </c>
      <c r="CI242" s="1">
        <f t="shared" si="19"/>
        <v>0</v>
      </c>
      <c r="CJ242" s="1"/>
      <c r="CK242" s="75"/>
      <c r="CL242" s="75"/>
      <c r="CM242" s="2"/>
      <c r="CN242" s="2"/>
      <c r="CO242" s="73">
        <f t="shared" si="20"/>
        <v>0</v>
      </c>
      <c r="CP242" s="5">
        <f t="shared" si="21"/>
        <v>0</v>
      </c>
      <c r="CQ242" s="1"/>
      <c r="CR242" s="1">
        <f t="shared" si="22"/>
        <v>0</v>
      </c>
      <c r="CS242" s="1"/>
      <c r="CT242" s="1" t="e">
        <f>INDEX([2]マスタ!$A:$A,MATCH(D242,[2]マスタ!$C:$C,0))</f>
        <v>#N/A</v>
      </c>
      <c r="CU242" s="1" t="str">
        <f t="shared" ca="1" si="23"/>
        <v>20260620_0-0</v>
      </c>
    </row>
    <row r="243" spans="1:99" x14ac:dyDescent="0.4">
      <c r="A243" s="61"/>
      <c r="B243" s="62"/>
      <c r="C243" s="62"/>
      <c r="D243" s="62"/>
      <c r="E243" s="63"/>
      <c r="F243" s="62"/>
      <c r="G243" s="62">
        <v>1</v>
      </c>
      <c r="H243" s="64">
        <f t="shared" si="4"/>
        <v>0</v>
      </c>
      <c r="I243" s="64"/>
      <c r="J243" s="64"/>
      <c r="K243" s="65">
        <f>+ROUNDDOWN((H243+I243)/100,0)*100</f>
        <v>0</v>
      </c>
      <c r="L243" s="65">
        <f t="shared" si="6"/>
        <v>0</v>
      </c>
      <c r="M243" s="65">
        <f t="shared" si="7"/>
        <v>0</v>
      </c>
      <c r="N243" s="65">
        <f t="shared" si="8"/>
        <v>0</v>
      </c>
      <c r="O243" s="66" t="str">
        <f t="shared" si="189"/>
        <v>✕</v>
      </c>
      <c r="P243" s="67" t="str">
        <f t="shared" si="190"/>
        <v>○</v>
      </c>
      <c r="Q243" s="67" t="str">
        <f>+IF((TEXT($A243,"DD")+0)=1,"○","✕")</f>
        <v>✕</v>
      </c>
      <c r="R243" s="67" t="str">
        <f t="shared" si="192"/>
        <v>✕</v>
      </c>
      <c r="S243" s="68">
        <v>0</v>
      </c>
      <c r="T243" s="69" t="s">
        <v>85</v>
      </c>
      <c r="U243" s="69" t="s">
        <v>85</v>
      </c>
      <c r="V243" s="69" t="s">
        <v>85</v>
      </c>
      <c r="W243" s="69" t="s">
        <v>85</v>
      </c>
      <c r="X243" s="69" t="s">
        <v>84</v>
      </c>
      <c r="Y243" s="69" t="s">
        <v>85</v>
      </c>
      <c r="Z243" s="69" t="s">
        <v>85</v>
      </c>
      <c r="AA243" s="69" t="s">
        <v>85</v>
      </c>
      <c r="AB243" s="69" t="s">
        <v>85</v>
      </c>
      <c r="AC243" s="69" t="s">
        <v>85</v>
      </c>
      <c r="AD243" s="38" t="str">
        <f>+IF(ISERROR(VLOOKUP($B243,AD$10:AD242,1,0)),IF(AND($N243&gt;=1000,$A243&gt;=AO$8,$A243&lt;=AO$9),$B243,""),"")</f>
        <v/>
      </c>
      <c r="AE243" s="38" t="str">
        <f>+IF(ISERROR(VLOOKUP($B243,AE$10:AE242,1,0)),IF(AND($N243&gt;=1000,$A243&gt;=AP$8,$A243&lt;=AP$9),$B243,""),"")</f>
        <v/>
      </c>
      <c r="AF243" s="38" t="str">
        <f>+IF(ISERROR(VLOOKUP($B243,AF$10:AF242,1,0)),IF(AND($N243&gt;=1000,$A243&gt;=AQ$8,$A243&lt;=AQ$9),$B243,""),"")</f>
        <v/>
      </c>
      <c r="AG243" s="38" t="str">
        <f>+IF(ISERROR(VLOOKUP($B243,AG$10:AG242,1,0)),IF(AND($N243&gt;=1000,$A243&gt;=AR$8,$A243&lt;=AR$9),$B243,""),"")</f>
        <v/>
      </c>
      <c r="AH243" s="38"/>
      <c r="AI243" s="70">
        <v>0</v>
      </c>
      <c r="AJ243" s="38">
        <f>IF(AND(AJ$7="○",$A243&gt;=AJ$8,$A243&lt;=AJ$9),IF(SUM(AJ$10:AJ242)-ROUNDDOWN($K243*AJ$5/100,0)&lt;-AJ$6,-AJ$6-SUM(AJ$10:AJ242),-ROUNDDOWN($K243*AJ$5/100,0)),0)</f>
        <v>0</v>
      </c>
      <c r="AK243" s="38">
        <f>IF(AND(AK$7="○",$A243&gt;=AK$8,$A243&lt;=AK$9),IF(SUM(AK$10:AK242)-ROUNDDOWN($L243*AK$5/100,0)&lt;-AK$6,-AK$6-SUM(AK$10:AK242),-ROUNDDOWN($L243*AK$5/100,0)),0)</f>
        <v>0</v>
      </c>
      <c r="AL243" s="38">
        <f>IF(AND(AL$7="○",$A243&gt;=AL$8,$A243&lt;=AL$9),IF(SUM(AL$10:AL242)-ROUNDDOWN($N243*AL$5/100,0)&lt;-AL$6,-AL$6-SUM(AL$10:AL242),-ROUNDDOWN($N243*AL$5/100,0)),0)</f>
        <v>0</v>
      </c>
      <c r="AM243" s="38">
        <f>IF(AND(AM$7="○",$A243&gt;=AM$8,$A243&lt;=AM$9),IF(SUM(AM$10:AM242)-ROUNDDOWN($L243*AM$5/100,0)&lt;-AM$6,-AM$6-SUM(AM$10:AM242),-ROUNDDOWN($L243*AM$5/100,0)),0)</f>
        <v>0</v>
      </c>
      <c r="AN243" s="38">
        <f>IF(AND(AN$7="○",$A243&gt;=AN$8,$A243&lt;=AN$9),IF(SUM(AN$10:AN242)-ROUNDDOWN($M243*AN$5/100,0)&lt;-AN$6,-AN$6-SUM(AN$10:AN242),-ROUNDDOWN($M243*AN$5/100,0)),0)</f>
        <v>0</v>
      </c>
      <c r="AO243" s="38">
        <f>IF(AND($A243&gt;=AO$8,$A243&lt;=AO$9),IF(SUM(AO$10:AO242)-ROUNDDOWN($K243*AO$5/100,0)&lt;-AO$6,-AO$6-SUM(AO$10:AO242),-ROUNDDOWN($K243*AO$5/100,0)),0)</f>
        <v>0</v>
      </c>
      <c r="AP243" s="38">
        <f>IF(AND($A243&gt;=AP$8,$A243&lt;=AP$9),IF(SUM(AP$10:AP242)-ROUNDDOWN($K243*AP$5/100,0)&lt;-AP$6,-AP$6-SUM(AP$10:AP242),-ROUNDDOWN($K243*AP$5/100,0)),0)</f>
        <v>0</v>
      </c>
      <c r="AQ243" s="38">
        <f>IF(AND($A243&gt;=AQ$8,$A243&lt;=AQ$9),IF(SUM(AQ$10:AQ242)-ROUNDDOWN($K243*AQ$5/100,0)&lt;-AQ$6,-AQ$6-SUM(AQ$10:AQ242),-ROUNDDOWN($K243*AQ$5/100,0)),0)</f>
        <v>0</v>
      </c>
      <c r="AR243" s="38">
        <f>IF(AND($A243&gt;=AR$8,$A243&lt;=AR$9),IF(SUM(AR$10:AR242)-ROUNDDOWN($K243*AR$5/100,0)&lt;-AR$6,-AR$6-SUM(AR$10:AR242),-ROUNDDOWN($K243*AR$5/100,0)),0)</f>
        <v>0</v>
      </c>
      <c r="AS243" s="38">
        <f>IF(SUMIFS(AS$10:AS242,$A$10:$A242,$A243)-ROUNDDOWN($K243*$S243/100,0)&lt;-$S243*1000,-$S243*1000-SUMIFS(AS$10:AS242,$A$10:$A242,$A243),-ROUNDDOWN($K243*$S243/100,0))</f>
        <v>0</v>
      </c>
      <c r="AT243" s="38">
        <f>IF(AND(X243="○",$A243&gt;=AT$8,$A243&lt;=AT$9,K243&gt;=3980),IF(SUM(AT$10:AT242)-ROUNDDOWN($K243*AT$5/100,0)&lt;-AT$6,-AT$6-SUM(AT$10:AT242),-ROUNDDOWN($K243*AT$5/100,0)),0)</f>
        <v>0</v>
      </c>
      <c r="AU243" s="38">
        <f>IF(O243="○",IF(SUM(AU$10:AU242)-ROUNDDOWN($K243*AU$5/100,0)&lt;-AU$6,-AU$6-SUM(AU$10:AU242),-ROUNDDOWN($K243*AU$5/100,0)),0)</f>
        <v>0</v>
      </c>
      <c r="AV243" s="38">
        <f>IF(P243="○",IF(SUM(AV$10:AV242)-ROUNDDOWN($K243*AV$5/100,0)&lt;-AV$6,-AV$6-SUM(AV$10:AV242),-ROUNDDOWN($K243*AV$5/100,0)),0)</f>
        <v>0</v>
      </c>
      <c r="AW243" s="38">
        <f>IF(Q243="○",IF(SUM(AW$10:AW242)-ROUNDDOWN($K243*AW$5/100,0)&lt;-AW$6,-AW$6-SUM(AW$10:AW242),-ROUNDDOWN($K243*AW$5/100,0)),0)</f>
        <v>0</v>
      </c>
      <c r="AX243" s="38">
        <f>IF(R243="○",IF(SUM(AX$10:AX242)-ROUNDDOWN($K243*AX$5/100,0)&lt;-AX$6,-AX$6-SUM(AX$10:AX242),-ROUNDDOWN($K243*AX$5/100,0)),0)</f>
        <v>0</v>
      </c>
      <c r="AY243" s="70">
        <v>0</v>
      </c>
      <c r="AZ243" s="65">
        <f t="shared" si="178"/>
        <v>0</v>
      </c>
      <c r="BA243" s="65">
        <f t="shared" si="179"/>
        <v>0</v>
      </c>
      <c r="BB243" s="70"/>
      <c r="BC243" s="65">
        <f t="shared" si="180"/>
        <v>0</v>
      </c>
      <c r="BD243" s="70">
        <v>0</v>
      </c>
      <c r="BE243" s="65">
        <f t="shared" si="181"/>
        <v>0</v>
      </c>
      <c r="BF243" s="70">
        <v>0</v>
      </c>
      <c r="BG243" s="65">
        <f t="shared" si="182"/>
        <v>0</v>
      </c>
      <c r="BH243" s="70">
        <v>0</v>
      </c>
      <c r="BI243" s="65">
        <f t="shared" si="183"/>
        <v>0</v>
      </c>
      <c r="BJ243" s="38">
        <f>IF(AND(BJ$7="○",$A243&gt;=BJ$8,$A243&lt;=BJ$9),IF(SUM(BJ$10:BJ242)-ROUNDDOWN($M243*BJ$5/100,0)&lt;-BJ$6,-BJ$6-SUM(BJ$10:BJ242),-ROUNDDOWN($M243*BJ$5/100,0)),0)</f>
        <v>0</v>
      </c>
      <c r="BK243" s="38">
        <f>IF(AND(BK$7="○",$A243&gt;=BK$8,$A243&lt;=BK$9),IF(SUM(BK$10:BK242)-ROUNDDOWN($L243*BK$5/100,0)&lt;-BK$6,-BK$6-SUM(BK$10:BK242),-ROUNDDOWN($L243*BK$5/100,0)),0)</f>
        <v>0</v>
      </c>
      <c r="BL243" s="38">
        <f>IF(AND(BL$7="○",$A243&gt;=BL$8,$A243&lt;=BL$9),IF(SUM(BL$10:BL242)-ROUNDDOWN($L243*BL$5/100,0)&lt;-BL$6,-BL$6-SUM(BL$10:BL242),-ROUNDDOWN($L243*BL$5/100,0)),0)</f>
        <v>0</v>
      </c>
      <c r="BM243" s="38">
        <f>IF(AND(BM$7="○",$A243&gt;=BM$8,$A243&lt;=BM$9),IF(SUM(BM$10:BM242)-ROUNDDOWN($M243*BM$5/100,0)&lt;-BM$6,-BM$6-SUM(BM$10:BM242),-ROUNDDOWN($M243*BM$5/100,0)),0)</f>
        <v>0</v>
      </c>
      <c r="BN243" s="38">
        <f>IF(AND(BN$7="○",$A243&gt;=BN$8,$A243&lt;=BN$9),IF(SUM(BN$10:BN242)-ROUNDDOWN($M243*BN$5/100,0)&lt;-BN$6,-BN$6-SUM(BN$10:BN242),-ROUNDDOWN($M243*BN$5/100,0)),0)</f>
        <v>0</v>
      </c>
      <c r="BO243" s="38">
        <f>IF(AND(BO$7="○",$A243&gt;=BO$8,$A243&lt;=BO$9),IF(SUM(BO$10:BO242)-ROUNDDOWN($M243*BO$5/100,0)&lt;-BO$6,-BO$6-SUM(BO$10:BO242),-ROUNDDOWN($M243*BO$5/100,0)),0)</f>
        <v>0</v>
      </c>
      <c r="BP243" s="38">
        <f>IF(AND(BP$7="○",$A243&gt;=BP$8,$A243&lt;=BP$9),IF(SUM(BP$10:BP242)-ROUNDDOWN($M243*BP$5/100,0)&lt;-BP$6,-BP$6-SUM(BP$10:BP242),-ROUNDDOWN($M243*BP$5/100,0)),0)</f>
        <v>0</v>
      </c>
      <c r="BQ243" s="38">
        <f>IF(AND(BQ$7="○",$A243&gt;=BQ$8,$A243&lt;=BQ$9),IF(SUM(BQ$10:BQ242)-ROUNDDOWN($L243*BQ$5/100,0)&lt;-BQ$6,-BQ$6-SUM(BQ$10:BQ242),-ROUNDDOWN($L243*BQ$5/100,0)),0)</f>
        <v>0</v>
      </c>
      <c r="BR243" s="38">
        <f>IF(AND(BR$7="○",$A243&gt;=BR$8,$A243&lt;=BR$9),IF(SUM(BR$10:BR242)-ROUNDDOWN($M243*BR$5/100,0)&lt;-BR$6,-BR$6-SUM(BR$10:BR242),-ROUNDDOWN($M243*BR$5/100,0)),0)</f>
        <v>0</v>
      </c>
      <c r="BS243" s="38">
        <f>IF(AND(BS$7="○",$A243&gt;=BS$8,$A243&lt;=BS$9),IF(SUM(BS$10:BS242)-ROUNDDOWN($M243*BS$5/100,0)&lt;-BS$6,-BS$6-SUM(BS$10:BS242),-ROUNDDOWN($M243*BS$5/100,0)),0)</f>
        <v>0</v>
      </c>
      <c r="BT243" s="38">
        <f>IF(AND(BT$7="○",$A243&gt;=BT$8,$A243&lt;=BT$9),IF(SUM(BT$10:BT242)-ROUNDDOWN($M243*BT$5/100,0)&lt;-BT$6,-BT$6-SUM(BT$10:BT242),-ROUNDDOWN($M243*BT$5/100,0)),0)</f>
        <v>0</v>
      </c>
      <c r="BU243" s="38">
        <f>IF(AND(BU$7="○",$A243&gt;=BU$8,$A243&lt;=BU$9),IF(SUM(BU$10:BU242)-ROUNDDOWN($M243*BU$5/100,0)&lt;-BU$6,-BU$6-SUM(BU$10:BU242),-ROUNDDOWN($M243*BU$5/100,0)),0)</f>
        <v>0</v>
      </c>
      <c r="BV243" s="38">
        <f>IF(AND(BV$7="○",$A243&gt;=BV$8,$A243&lt;=BV$9),IF(SUM(BV$10:BV242)-ROUNDDOWN($M243*BV$5/100,0)&lt;-BV$6,-BV$6-SUM(BV$10:BV242),-ROUNDDOWN($M243*BV$5/100,0)),0)</f>
        <v>0</v>
      </c>
      <c r="BW243" s="38">
        <f>IF(AND(BW$7="○",$A243&gt;=BW$8,$A243&lt;=BW$9),IF(SUM(BW$10:BW242)-ROUNDDOWN($M243*BW$5/100,0)&lt;-BW$6,-BW$6-SUM(BW$10:BW242),-ROUNDDOWN($M243*BW$5/100,0)),0)</f>
        <v>0</v>
      </c>
      <c r="BX243" s="38">
        <f>IF(AND(T243="○",$A243&gt;=BX$8,$A243&lt;=BX$9),IF(SUM(BX$10:BX242)-ROUNDDOWN($K243*BX$5/100,0)&lt;-BX$6,-BX$6-SUM(BX$10:BX242),-ROUNDDOWN($K243*BX$5/100,0)),0)</f>
        <v>0</v>
      </c>
      <c r="BY243" s="38">
        <f>IF(AND(U243="○",$A243&gt;=BY$8,$A243&lt;=BY$9),IF(SUM(BY$10:BY242)-ROUNDDOWN($K243*BY$5/100,0)&lt;-BY$6,-BY$6-SUM(BY$10:BY242),-ROUNDDOWN($K243*BY$5/100,0)),0)</f>
        <v>0</v>
      </c>
      <c r="BZ243" s="38">
        <f>IF(AND(V243="○",$A243&gt;=BZ$8,$A243&lt;=BZ$9),IF(SUM(BZ$10:BZ242)-ROUNDDOWN($K243*BZ$5/100,0)&lt;-BZ$6,-BZ$6-SUM(BZ$10:BZ242),-ROUNDDOWN($K243*BZ$5/100,0)),0)</f>
        <v>0</v>
      </c>
      <c r="CA243" s="38">
        <f>IF(AND(W243="○",$A243&gt;=CA$8,$A243&lt;=CA$9),IF(SUM(CA$10:CA242)-ROUNDDOWN($K243*CA$5/100,0)&lt;-CA$6,-CA$6-SUM(CA$10:CA242),-ROUNDDOWN($K243*CA$5/100,0)),0)</f>
        <v>0</v>
      </c>
      <c r="CB243" s="38"/>
      <c r="CC243" s="38"/>
      <c r="CD243" s="38"/>
      <c r="CE243" s="38"/>
      <c r="CF243" s="38"/>
      <c r="CG243" s="65">
        <f t="shared" si="184"/>
        <v>0</v>
      </c>
      <c r="CH243" s="71">
        <f t="shared" si="185"/>
        <v>0</v>
      </c>
      <c r="CI243" s="1">
        <f t="shared" si="19"/>
        <v>0</v>
      </c>
      <c r="CJ243" s="1"/>
      <c r="CK243" s="72"/>
      <c r="CL243" s="72"/>
      <c r="CM243" s="2"/>
      <c r="CN243" s="2"/>
      <c r="CO243" s="73">
        <f t="shared" si="20"/>
        <v>0</v>
      </c>
      <c r="CP243" s="5">
        <f t="shared" si="21"/>
        <v>0</v>
      </c>
      <c r="CQ243" s="1"/>
      <c r="CR243" s="1">
        <f t="shared" si="22"/>
        <v>0</v>
      </c>
      <c r="CS243" s="1"/>
      <c r="CT243" s="1" t="e">
        <f>INDEX([2]マスタ!$A:$A,MATCH(D243,[2]マスタ!$C:$C,0))</f>
        <v>#N/A</v>
      </c>
      <c r="CU243" s="1" t="str">
        <f t="shared" ca="1" si="23"/>
        <v>20260620_0-0</v>
      </c>
    </row>
    <row r="244" spans="1:99" x14ac:dyDescent="0.4">
      <c r="A244" s="61"/>
      <c r="B244" s="62"/>
      <c r="C244" s="62"/>
      <c r="D244" s="62"/>
      <c r="E244" s="77"/>
      <c r="F244" s="62"/>
      <c r="G244" s="62">
        <v>1</v>
      </c>
      <c r="H244" s="64">
        <f t="shared" si="4"/>
        <v>0</v>
      </c>
      <c r="I244" s="64"/>
      <c r="J244" s="64"/>
      <c r="K244" s="65">
        <f>+ROUNDDOWN((H244+I244)/100,0)*100</f>
        <v>0</v>
      </c>
      <c r="L244" s="65">
        <f t="shared" si="6"/>
        <v>0</v>
      </c>
      <c r="M244" s="65">
        <f t="shared" si="7"/>
        <v>0</v>
      </c>
      <c r="N244" s="65">
        <f t="shared" si="8"/>
        <v>0</v>
      </c>
      <c r="O244" s="66" t="str">
        <f t="shared" si="189"/>
        <v>✕</v>
      </c>
      <c r="P244" s="67" t="str">
        <f t="shared" si="190"/>
        <v>○</v>
      </c>
      <c r="Q244" s="67" t="str">
        <f>+IF((TEXT($A244,"DD")+0)=1,"○","✕")</f>
        <v>✕</v>
      </c>
      <c r="R244" s="67" t="str">
        <f t="shared" si="192"/>
        <v>✕</v>
      </c>
      <c r="S244" s="68">
        <v>0</v>
      </c>
      <c r="T244" s="69" t="s">
        <v>85</v>
      </c>
      <c r="U244" s="69" t="s">
        <v>85</v>
      </c>
      <c r="V244" s="69" t="s">
        <v>85</v>
      </c>
      <c r="W244" s="69" t="s">
        <v>85</v>
      </c>
      <c r="X244" s="69" t="s">
        <v>84</v>
      </c>
      <c r="Y244" s="69" t="s">
        <v>85</v>
      </c>
      <c r="Z244" s="69" t="s">
        <v>85</v>
      </c>
      <c r="AA244" s="69" t="s">
        <v>85</v>
      </c>
      <c r="AB244" s="69" t="s">
        <v>85</v>
      </c>
      <c r="AC244" s="69" t="s">
        <v>85</v>
      </c>
      <c r="AD244" s="38" t="str">
        <f>+IF(ISERROR(VLOOKUP($B244,AD$10:AD243,1,0)),IF(AND($N244&gt;=1000,$A244&gt;=AO$8,$A244&lt;=AO$9),$B244,""),"")</f>
        <v/>
      </c>
      <c r="AE244" s="38" t="str">
        <f>+IF(ISERROR(VLOOKUP($B244,AE$10:AE243,1,0)),IF(AND($N244&gt;=1000,$A244&gt;=AP$8,$A244&lt;=AP$9),$B244,""),"")</f>
        <v/>
      </c>
      <c r="AF244" s="38" t="str">
        <f>+IF(ISERROR(VLOOKUP($B244,AF$10:AF243,1,0)),IF(AND($N244&gt;=1000,$A244&gt;=AQ$8,$A244&lt;=AQ$9),$B244,""),"")</f>
        <v/>
      </c>
      <c r="AG244" s="38" t="str">
        <f>+IF(ISERROR(VLOOKUP($B244,AG$10:AG243,1,0)),IF(AND($N244&gt;=1000,$A244&gt;=AR$8,$A244&lt;=AR$9),$B244,""),"")</f>
        <v/>
      </c>
      <c r="AH244" s="38"/>
      <c r="AI244" s="70">
        <v>0</v>
      </c>
      <c r="AJ244" s="38">
        <f>IF(AND(AJ$7="○",$A244&gt;=AJ$8,$A244&lt;=AJ$9),IF(SUM(AJ$10:AJ243)-ROUNDDOWN($K244*AJ$5/100,0)&lt;-AJ$6,-AJ$6-SUM(AJ$10:AJ243),-ROUNDDOWN($K244*AJ$5/100,0)),0)</f>
        <v>0</v>
      </c>
      <c r="AK244" s="38">
        <f>IF(AND(AK$7="○",$A244&gt;=AK$8,$A244&lt;=AK$9),IF(SUM(AK$10:AK243)-ROUNDDOWN($L244*AK$5/100,0)&lt;-AK$6,-AK$6-SUM(AK$10:AK243),-ROUNDDOWN($L244*AK$5/100,0)),0)</f>
        <v>0</v>
      </c>
      <c r="AL244" s="38">
        <f>IF(AND(AL$7="○",$A244&gt;=AL$8,$A244&lt;=AL$9),IF(SUM(AL$10:AL243)-ROUNDDOWN($N244*AL$5/100,0)&lt;-AL$6,-AL$6-SUM(AL$10:AL243),-ROUNDDOWN($N244*AL$5/100,0)),0)</f>
        <v>0</v>
      </c>
      <c r="AM244" s="38">
        <f>IF(AND(AM$7="○",$A244&gt;=AM$8,$A244&lt;=AM$9),IF(SUM(AM$10:AM243)-ROUNDDOWN($L244*AM$5/100,0)&lt;-AM$6,-AM$6-SUM(AM$10:AM243),-ROUNDDOWN($L244*AM$5/100,0)),0)</f>
        <v>0</v>
      </c>
      <c r="AN244" s="38">
        <f>IF(AND(AN$7="○",$A244&gt;=AN$8,$A244&lt;=AN$9),IF(SUM(AN$10:AN243)-ROUNDDOWN($M244*AN$5/100,0)&lt;-AN$6,-AN$6-SUM(AN$10:AN243),-ROUNDDOWN($M244*AN$5/100,0)),0)</f>
        <v>0</v>
      </c>
      <c r="AO244" s="38">
        <f>IF(AND($A244&gt;=AO$8,$A244&lt;=AO$9),IF(SUM(AO$10:AO243)-ROUNDDOWN($K244*AO$5/100,0)&lt;-AO$6,-AO$6-SUM(AO$10:AO243),-ROUNDDOWN($K244*AO$5/100,0)),0)</f>
        <v>0</v>
      </c>
      <c r="AP244" s="38">
        <f>IF(AND($A244&gt;=AP$8,$A244&lt;=AP$9),IF(SUM(AP$10:AP243)-ROUNDDOWN($K244*AP$5/100,0)&lt;-AP$6,-AP$6-SUM(AP$10:AP243),-ROUNDDOWN($K244*AP$5/100,0)),0)</f>
        <v>0</v>
      </c>
      <c r="AQ244" s="38">
        <f>IF(AND($A244&gt;=AQ$8,$A244&lt;=AQ$9),IF(SUM(AQ$10:AQ243)-ROUNDDOWN($K244*AQ$5/100,0)&lt;-AQ$6,-AQ$6-SUM(AQ$10:AQ243),-ROUNDDOWN($K244*AQ$5/100,0)),0)</f>
        <v>0</v>
      </c>
      <c r="AR244" s="38">
        <f>IF(AND($A244&gt;=AR$8,$A244&lt;=AR$9),IF(SUM(AR$10:AR243)-ROUNDDOWN($K244*AR$5/100,0)&lt;-AR$6,-AR$6-SUM(AR$10:AR243),-ROUNDDOWN($K244*AR$5/100,0)),0)</f>
        <v>0</v>
      </c>
      <c r="AS244" s="38">
        <f>IF(SUMIFS(AS$10:AS243,$A$10:$A243,$A244)-ROUNDDOWN($K244*$S244/100,0)&lt;-$S244*1000,-$S244*1000-SUMIFS(AS$10:AS243,$A$10:$A243,$A244),-ROUNDDOWN($K244*$S244/100,0))</f>
        <v>0</v>
      </c>
      <c r="AT244" s="38">
        <f>IF(AND(X244="○",$A244&gt;=AT$8,$A244&lt;=AT$9,K244&gt;=3980),IF(SUM(AT$10:AT243)-ROUNDDOWN($K244*AT$5/100,0)&lt;-AT$6,-AT$6-SUM(AT$10:AT243),-ROUNDDOWN($K244*AT$5/100,0)),0)</f>
        <v>0</v>
      </c>
      <c r="AU244" s="38">
        <f>IF(O244="○",IF(SUM(AU$10:AU243)-ROUNDDOWN($K244*AU$5/100,0)&lt;-AU$6,-AU$6-SUM(AU$10:AU243),-ROUNDDOWN($K244*AU$5/100,0)),0)</f>
        <v>0</v>
      </c>
      <c r="AV244" s="38">
        <f>IF(P244="○",IF(SUM(AV$10:AV243)-ROUNDDOWN($K244*AV$5/100,0)&lt;-AV$6,-AV$6-SUM(AV$10:AV243),-ROUNDDOWN($K244*AV$5/100,0)),0)</f>
        <v>0</v>
      </c>
      <c r="AW244" s="38">
        <f>IF(Q244="○",IF(SUM(AW$10:AW243)-ROUNDDOWN($K244*AW$5/100,0)&lt;-AW$6,-AW$6-SUM(AW$10:AW243),-ROUNDDOWN($K244*AW$5/100,0)),0)</f>
        <v>0</v>
      </c>
      <c r="AX244" s="38">
        <f>IF(R244="○",IF(SUM(AX$10:AX243)-ROUNDDOWN($K244*AX$5/100,0)&lt;-AX$6,-AX$6-SUM(AX$10:AX243),-ROUNDDOWN($K244*AX$5/100,0)),0)</f>
        <v>0</v>
      </c>
      <c r="AY244" s="70">
        <v>0</v>
      </c>
      <c r="AZ244" s="65">
        <f t="shared" si="178"/>
        <v>0</v>
      </c>
      <c r="BA244" s="65">
        <f t="shared" si="179"/>
        <v>0</v>
      </c>
      <c r="BB244" s="70"/>
      <c r="BC244" s="65">
        <f t="shared" si="180"/>
        <v>0</v>
      </c>
      <c r="BD244" s="70">
        <v>0</v>
      </c>
      <c r="BE244" s="65">
        <f t="shared" si="181"/>
        <v>0</v>
      </c>
      <c r="BF244" s="70">
        <v>0</v>
      </c>
      <c r="BG244" s="65">
        <f t="shared" si="182"/>
        <v>0</v>
      </c>
      <c r="BH244" s="70">
        <v>0</v>
      </c>
      <c r="BI244" s="65">
        <f t="shared" si="183"/>
        <v>0</v>
      </c>
      <c r="BJ244" s="38">
        <f>IF(AND(BJ$7="○",$A244&gt;=BJ$8,$A244&lt;=BJ$9),IF(SUM(BJ$10:BJ243)-ROUNDDOWN($M244*BJ$5/100,0)&lt;-BJ$6,-BJ$6-SUM(BJ$10:BJ243),-ROUNDDOWN($M244*BJ$5/100,0)),0)</f>
        <v>0</v>
      </c>
      <c r="BK244" s="38">
        <f>IF(AND(BK$7="○",$A244&gt;=BK$8,$A244&lt;=BK$9),IF(SUM(BK$10:BK243)-ROUNDDOWN($L244*BK$5/100,0)&lt;-BK$6,-BK$6-SUM(BK$10:BK243),-ROUNDDOWN($L244*BK$5/100,0)),0)</f>
        <v>0</v>
      </c>
      <c r="BL244" s="38">
        <f>IF(AND(BL$7="○",$A244&gt;=BL$8,$A244&lt;=BL$9),IF(SUM(BL$10:BL243)-ROUNDDOWN($L244*BL$5/100,0)&lt;-BL$6,-BL$6-SUM(BL$10:BL243),-ROUNDDOWN($L244*BL$5/100,0)),0)</f>
        <v>0</v>
      </c>
      <c r="BM244" s="38">
        <f>IF(AND(BM$7="○",$A244&gt;=BM$8,$A244&lt;=BM$9),IF(SUM(BM$10:BM243)-ROUNDDOWN($M244*BM$5/100,0)&lt;-BM$6,-BM$6-SUM(BM$10:BM243),-ROUNDDOWN($M244*BM$5/100,0)),0)</f>
        <v>0</v>
      </c>
      <c r="BN244" s="38">
        <f>IF(AND(BN$7="○",$A244&gt;=BN$8,$A244&lt;=BN$9),IF(SUM(BN$10:BN243)-ROUNDDOWN($M244*BN$5/100,0)&lt;-BN$6,-BN$6-SUM(BN$10:BN243),-ROUNDDOWN($M244*BN$5/100,0)),0)</f>
        <v>0</v>
      </c>
      <c r="BO244" s="38">
        <f>IF(AND(BO$7="○",$A244&gt;=BO$8,$A244&lt;=BO$9),IF(SUM(BO$10:BO243)-ROUNDDOWN($M244*BO$5/100,0)&lt;-BO$6,-BO$6-SUM(BO$10:BO243),-ROUNDDOWN($M244*BO$5/100,0)),0)</f>
        <v>0</v>
      </c>
      <c r="BP244" s="38">
        <f>IF(AND(BP$7="○",$A244&gt;=BP$8,$A244&lt;=BP$9),IF(SUM(BP$10:BP243)-ROUNDDOWN($M244*BP$5/100,0)&lt;-BP$6,-BP$6-SUM(BP$10:BP243),-ROUNDDOWN($M244*BP$5/100,0)),0)</f>
        <v>0</v>
      </c>
      <c r="BQ244" s="38">
        <f>IF(AND(BQ$7="○",$A244&gt;=BQ$8,$A244&lt;=BQ$9),IF(SUM(BQ$10:BQ243)-ROUNDDOWN($L244*BQ$5/100,0)&lt;-BQ$6,-BQ$6-SUM(BQ$10:BQ243),-ROUNDDOWN($L244*BQ$5/100,0)),0)</f>
        <v>0</v>
      </c>
      <c r="BR244" s="38">
        <f>IF(AND(BR$7="○",$A244&gt;=BR$8,$A244&lt;=BR$9),IF(SUM(BR$10:BR243)-ROUNDDOWN($M244*BR$5/100,0)&lt;-BR$6,-BR$6-SUM(BR$10:BR243),-ROUNDDOWN($M244*BR$5/100,0)),0)</f>
        <v>0</v>
      </c>
      <c r="BS244" s="38">
        <f>IF(AND(BS$7="○",$A244&gt;=BS$8,$A244&lt;=BS$9),IF(SUM(BS$10:BS243)-ROUNDDOWN($M244*BS$5/100,0)&lt;-BS$6,-BS$6-SUM(BS$10:BS243),-ROUNDDOWN($M244*BS$5/100,0)),0)</f>
        <v>0</v>
      </c>
      <c r="BT244" s="38">
        <f>IF(AND(BT$7="○",$A244&gt;=BT$8,$A244&lt;=BT$9),IF(SUM(BT$10:BT243)-ROUNDDOWN($M244*BT$5/100,0)&lt;-BT$6,-BT$6-SUM(BT$10:BT243),-ROUNDDOWN($M244*BT$5/100,0)),0)</f>
        <v>0</v>
      </c>
      <c r="BU244" s="38">
        <f>IF(AND(BU$7="○",$A244&gt;=BU$8,$A244&lt;=BU$9),IF(SUM(BU$10:BU243)-ROUNDDOWN($M244*BU$5/100,0)&lt;-BU$6,-BU$6-SUM(BU$10:BU243),-ROUNDDOWN($M244*BU$5/100,0)),0)</f>
        <v>0</v>
      </c>
      <c r="BV244" s="38">
        <f>IF(AND(BV$7="○",$A244&gt;=BV$8,$A244&lt;=BV$9),IF(SUM(BV$10:BV243)-ROUNDDOWN($M244*BV$5/100,0)&lt;-BV$6,-BV$6-SUM(BV$10:BV243),-ROUNDDOWN($M244*BV$5/100,0)),0)</f>
        <v>0</v>
      </c>
      <c r="BW244" s="38">
        <f>IF(AND(BW$7="○",$A244&gt;=BW$8,$A244&lt;=BW$9),IF(SUM(BW$10:BW243)-ROUNDDOWN($M244*BW$5/100,0)&lt;-BW$6,-BW$6-SUM(BW$10:BW243),-ROUNDDOWN($M244*BW$5/100,0)),0)</f>
        <v>0</v>
      </c>
      <c r="BX244" s="38">
        <f>IF(AND(T244="○",$A244&gt;=BX$8,$A244&lt;=BX$9),IF(SUM(BX$10:BX243)-ROUNDDOWN($K244*BX$5/100,0)&lt;-BX$6,-BX$6-SUM(BX$10:BX243),-ROUNDDOWN($K244*BX$5/100,0)),0)</f>
        <v>0</v>
      </c>
      <c r="BY244" s="38">
        <f>IF(AND(U244="○",$A244&gt;=BY$8,$A244&lt;=BY$9),IF(SUM(BY$10:BY243)-ROUNDDOWN($K244*BY$5/100,0)&lt;-BY$6,-BY$6-SUM(BY$10:BY243),-ROUNDDOWN($K244*BY$5/100,0)),0)</f>
        <v>0</v>
      </c>
      <c r="BZ244" s="38">
        <f>IF(AND(V244="○",$A244&gt;=BZ$8,$A244&lt;=BZ$9),IF(SUM(BZ$10:BZ243)-ROUNDDOWN($K244*BZ$5/100,0)&lt;-BZ$6,-BZ$6-SUM(BZ$10:BZ243),-ROUNDDOWN($K244*BZ$5/100,0)),0)</f>
        <v>0</v>
      </c>
      <c r="CA244" s="38">
        <f>IF(AND(W244="○",$A244&gt;=CA$8,$A244&lt;=CA$9),IF(SUM(CA$10:CA243)-ROUNDDOWN($K244*CA$5/100,0)&lt;-CA$6,-CA$6-SUM(CA$10:CA243),-ROUNDDOWN($K244*CA$5/100,0)),0)</f>
        <v>0</v>
      </c>
      <c r="CB244" s="38"/>
      <c r="CC244" s="38"/>
      <c r="CD244" s="38"/>
      <c r="CE244" s="38"/>
      <c r="CF244" s="38"/>
      <c r="CG244" s="65">
        <f t="shared" si="184"/>
        <v>0</v>
      </c>
      <c r="CH244" s="71">
        <f t="shared" si="185"/>
        <v>0</v>
      </c>
      <c r="CI244" s="1">
        <f t="shared" si="19"/>
        <v>0</v>
      </c>
      <c r="CJ244" s="1"/>
      <c r="CK244" s="79"/>
      <c r="CL244" s="79"/>
      <c r="CM244" s="2"/>
      <c r="CN244" s="2"/>
      <c r="CO244" s="73">
        <f t="shared" si="20"/>
        <v>0</v>
      </c>
      <c r="CP244" s="5">
        <f t="shared" si="21"/>
        <v>0</v>
      </c>
      <c r="CQ244" s="1"/>
      <c r="CR244" s="1">
        <f t="shared" si="22"/>
        <v>0</v>
      </c>
      <c r="CS244" s="1"/>
      <c r="CT244" s="1" t="e">
        <f>INDEX([2]マスタ!$A:$A,MATCH(D244,[2]マスタ!$C:$C,0))</f>
        <v>#N/A</v>
      </c>
      <c r="CU244" s="1" t="str">
        <f t="shared" ca="1" si="23"/>
        <v>20260620_0-0</v>
      </c>
    </row>
    <row r="245" spans="1:99" x14ac:dyDescent="0.4">
      <c r="A245" s="61"/>
      <c r="B245" s="62"/>
      <c r="C245" s="62"/>
      <c r="D245" s="62"/>
      <c r="E245" s="63"/>
      <c r="F245" s="62"/>
      <c r="G245" s="62">
        <v>1</v>
      </c>
      <c r="H245" s="64">
        <f t="shared" si="4"/>
        <v>0</v>
      </c>
      <c r="I245" s="64"/>
      <c r="J245" s="64"/>
      <c r="K245" s="65">
        <f>+ROUNDDOWN((H245+I245)/100,0)*100</f>
        <v>0</v>
      </c>
      <c r="L245" s="65">
        <f t="shared" si="6"/>
        <v>0</v>
      </c>
      <c r="M245" s="65">
        <f t="shared" si="7"/>
        <v>0</v>
      </c>
      <c r="N245" s="65">
        <f t="shared" si="8"/>
        <v>0</v>
      </c>
      <c r="O245" s="66" t="str">
        <f t="shared" si="189"/>
        <v>✕</v>
      </c>
      <c r="P245" s="67" t="str">
        <f t="shared" si="190"/>
        <v>○</v>
      </c>
      <c r="Q245" s="67" t="str">
        <f>+IF((TEXT($A245,"DD")+0)=1,"○","✕")</f>
        <v>✕</v>
      </c>
      <c r="R245" s="67" t="str">
        <f t="shared" si="192"/>
        <v>✕</v>
      </c>
      <c r="S245" s="68">
        <v>0</v>
      </c>
      <c r="T245" s="69" t="s">
        <v>85</v>
      </c>
      <c r="U245" s="69" t="s">
        <v>85</v>
      </c>
      <c r="V245" s="69" t="s">
        <v>85</v>
      </c>
      <c r="W245" s="69" t="s">
        <v>85</v>
      </c>
      <c r="X245" s="69" t="s">
        <v>84</v>
      </c>
      <c r="Y245" s="69" t="s">
        <v>85</v>
      </c>
      <c r="Z245" s="69" t="s">
        <v>85</v>
      </c>
      <c r="AA245" s="69" t="s">
        <v>85</v>
      </c>
      <c r="AB245" s="69" t="s">
        <v>85</v>
      </c>
      <c r="AC245" s="69" t="s">
        <v>85</v>
      </c>
      <c r="AD245" s="38" t="str">
        <f>+IF(ISERROR(VLOOKUP($B245,AD$10:AD244,1,0)),IF(AND($N245&gt;=1000,$A245&gt;=AO$8,$A245&lt;=AO$9),$B245,""),"")</f>
        <v/>
      </c>
      <c r="AE245" s="38" t="str">
        <f>+IF(ISERROR(VLOOKUP($B245,AE$10:AE244,1,0)),IF(AND($N245&gt;=1000,$A245&gt;=AP$8,$A245&lt;=AP$9),$B245,""),"")</f>
        <v/>
      </c>
      <c r="AF245" s="38" t="str">
        <f>+IF(ISERROR(VLOOKUP($B245,AF$10:AF244,1,0)),IF(AND($N245&gt;=1000,$A245&gt;=AQ$8,$A245&lt;=AQ$9),$B245,""),"")</f>
        <v/>
      </c>
      <c r="AG245" s="38" t="str">
        <f>+IF(ISERROR(VLOOKUP($B245,AG$10:AG244,1,0)),IF(AND($N245&gt;=1000,$A245&gt;=AR$8,$A245&lt;=AR$9),$B245,""),"")</f>
        <v/>
      </c>
      <c r="AH245" s="38"/>
      <c r="AI245" s="70">
        <v>0</v>
      </c>
      <c r="AJ245" s="38">
        <f>IF(AND(AJ$7="○",$A245&gt;=AJ$8,$A245&lt;=AJ$9),IF(SUM(AJ$10:AJ244)-ROUNDDOWN($K245*AJ$5/100,0)&lt;-AJ$6,-AJ$6-SUM(AJ$10:AJ244),-ROUNDDOWN($K245*AJ$5/100,0)),0)</f>
        <v>0</v>
      </c>
      <c r="AK245" s="38">
        <f>IF(AND(AK$7="○",$A245&gt;=AK$8,$A245&lt;=AK$9),IF(SUM(AK$10:AK244)-ROUNDDOWN($L245*AK$5/100,0)&lt;-AK$6,-AK$6-SUM(AK$10:AK244),-ROUNDDOWN($L245*AK$5/100,0)),0)</f>
        <v>0</v>
      </c>
      <c r="AL245" s="38">
        <f>IF(AND(AL$7="○",$A245&gt;=AL$8,$A245&lt;=AL$9),IF(SUM(AL$10:AL244)-ROUNDDOWN($N245*AL$5/100,0)&lt;-AL$6,-AL$6-SUM(AL$10:AL244),-ROUNDDOWN($N245*AL$5/100,0)),0)</f>
        <v>0</v>
      </c>
      <c r="AM245" s="38">
        <f>IF(AND(AM$7="○",$A245&gt;=AM$8,$A245&lt;=AM$9),IF(SUM(AM$10:AM244)-ROUNDDOWN($L245*AM$5/100,0)&lt;-AM$6,-AM$6-SUM(AM$10:AM244),-ROUNDDOWN($L245*AM$5/100,0)),0)</f>
        <v>0</v>
      </c>
      <c r="AN245" s="38">
        <f>IF(AND(AN$7="○",$A245&gt;=AN$8,$A245&lt;=AN$9),IF(SUM(AN$10:AN244)-ROUNDDOWN($M245*AN$5/100,0)&lt;-AN$6,-AN$6-SUM(AN$10:AN244),-ROUNDDOWN($M245*AN$5/100,0)),0)</f>
        <v>0</v>
      </c>
      <c r="AO245" s="38">
        <f>IF(AND($A245&gt;=AO$8,$A245&lt;=AO$9),IF(SUM(AO$10:AO244)-ROUNDDOWN($K245*AO$5/100,0)&lt;-AO$6,-AO$6-SUM(AO$10:AO244),-ROUNDDOWN($K245*AO$5/100,0)),0)</f>
        <v>0</v>
      </c>
      <c r="AP245" s="38">
        <f>IF(AND($A245&gt;=AP$8,$A245&lt;=AP$9),IF(SUM(AP$10:AP244)-ROUNDDOWN($K245*AP$5/100,0)&lt;-AP$6,-AP$6-SUM(AP$10:AP244),-ROUNDDOWN($K245*AP$5/100,0)),0)</f>
        <v>0</v>
      </c>
      <c r="AQ245" s="38">
        <f>IF(AND($A245&gt;=AQ$8,$A245&lt;=AQ$9),IF(SUM(AQ$10:AQ244)-ROUNDDOWN($K245*AQ$5/100,0)&lt;-AQ$6,-AQ$6-SUM(AQ$10:AQ244),-ROUNDDOWN($K245*AQ$5/100,0)),0)</f>
        <v>0</v>
      </c>
      <c r="AR245" s="38">
        <f>IF(AND($A245&gt;=AR$8,$A245&lt;=AR$9),IF(SUM(AR$10:AR244)-ROUNDDOWN($K245*AR$5/100,0)&lt;-AR$6,-AR$6-SUM(AR$10:AR244),-ROUNDDOWN($K245*AR$5/100,0)),0)</f>
        <v>0</v>
      </c>
      <c r="AS245" s="38">
        <f>IF(SUMIFS(AS$10:AS244,$A$10:$A244,$A245)-ROUNDDOWN($K245*$S245/100,0)&lt;-$S245*1000,-$S245*1000-SUMIFS(AS$10:AS244,$A$10:$A244,$A245),-ROUNDDOWN($K245*$S245/100,0))</f>
        <v>0</v>
      </c>
      <c r="AT245" s="38">
        <f>IF(AND(X245="○",$A245&gt;=AT$8,$A245&lt;=AT$9,K245&gt;=3980),IF(SUM(AT$10:AT244)-ROUNDDOWN($K245*AT$5/100,0)&lt;-AT$6,-AT$6-SUM(AT$10:AT244),-ROUNDDOWN($K245*AT$5/100,0)),0)</f>
        <v>0</v>
      </c>
      <c r="AU245" s="38">
        <f>IF(O245="○",IF(SUM(AU$10:AU244)-ROUNDDOWN($K245*AU$5/100,0)&lt;-AU$6,-AU$6-SUM(AU$10:AU244),-ROUNDDOWN($K245*AU$5/100,0)),0)</f>
        <v>0</v>
      </c>
      <c r="AV245" s="38">
        <f>IF(P245="○",IF(SUM(AV$10:AV244)-ROUNDDOWN($K245*AV$5/100,0)&lt;-AV$6,-AV$6-SUM(AV$10:AV244),-ROUNDDOWN($K245*AV$5/100,0)),0)</f>
        <v>0</v>
      </c>
      <c r="AW245" s="38">
        <f>IF(Q245="○",IF(SUM(AW$10:AW244)-ROUNDDOWN($K245*AW$5/100,0)&lt;-AW$6,-AW$6-SUM(AW$10:AW244),-ROUNDDOWN($K245*AW$5/100,0)),0)</f>
        <v>0</v>
      </c>
      <c r="AX245" s="38">
        <f>IF(R245="○",IF(SUM(AX$10:AX244)-ROUNDDOWN($K245*AX$5/100,0)&lt;-AX$6,-AX$6-SUM(AX$10:AX244),-ROUNDDOWN($K245*AX$5/100,0)),0)</f>
        <v>0</v>
      </c>
      <c r="AY245" s="70">
        <v>0</v>
      </c>
      <c r="AZ245" s="65">
        <f t="shared" si="178"/>
        <v>0</v>
      </c>
      <c r="BA245" s="65">
        <f t="shared" si="179"/>
        <v>0</v>
      </c>
      <c r="BB245" s="70"/>
      <c r="BC245" s="65">
        <f t="shared" si="180"/>
        <v>0</v>
      </c>
      <c r="BD245" s="70">
        <v>0</v>
      </c>
      <c r="BE245" s="65">
        <f t="shared" si="181"/>
        <v>0</v>
      </c>
      <c r="BF245" s="70">
        <v>0</v>
      </c>
      <c r="BG245" s="65">
        <f t="shared" si="182"/>
        <v>0</v>
      </c>
      <c r="BH245" s="70">
        <v>0</v>
      </c>
      <c r="BI245" s="65">
        <f t="shared" si="183"/>
        <v>0</v>
      </c>
      <c r="BJ245" s="38">
        <f>IF(AND(BJ$7="○",$A245&gt;=BJ$8,$A245&lt;=BJ$9),IF(SUM(BJ$10:BJ244)-ROUNDDOWN($M245*BJ$5/100,0)&lt;-BJ$6,-BJ$6-SUM(BJ$10:BJ244),-ROUNDDOWN($M245*BJ$5/100,0)),0)</f>
        <v>0</v>
      </c>
      <c r="BK245" s="38">
        <f>IF(AND(BK$7="○",$A245&gt;=BK$8,$A245&lt;=BK$9),IF(SUM(BK$10:BK244)-ROUNDDOWN($L245*BK$5/100,0)&lt;-BK$6,-BK$6-SUM(BK$10:BK244),-ROUNDDOWN($L245*BK$5/100,0)),0)</f>
        <v>0</v>
      </c>
      <c r="BL245" s="38">
        <f>IF(AND(BL$7="○",$A245&gt;=BL$8,$A245&lt;=BL$9),IF(SUM(BL$10:BL244)-ROUNDDOWN($L245*BL$5/100,0)&lt;-BL$6,-BL$6-SUM(BL$10:BL244),-ROUNDDOWN($L245*BL$5/100,0)),0)</f>
        <v>0</v>
      </c>
      <c r="BM245" s="38">
        <f>IF(AND(BM$7="○",$A245&gt;=BM$8,$A245&lt;=BM$9),IF(SUM(BM$10:BM244)-ROUNDDOWN($M245*BM$5/100,0)&lt;-BM$6,-BM$6-SUM(BM$10:BM244),-ROUNDDOWN($M245*BM$5/100,0)),0)</f>
        <v>0</v>
      </c>
      <c r="BN245" s="38">
        <f>IF(AND(BN$7="○",$A245&gt;=BN$8,$A245&lt;=BN$9),IF(SUM(BN$10:BN244)-ROUNDDOWN($M245*BN$5/100,0)&lt;-BN$6,-BN$6-SUM(BN$10:BN244),-ROUNDDOWN($M245*BN$5/100,0)),0)</f>
        <v>0</v>
      </c>
      <c r="BO245" s="38">
        <f>IF(AND(BO$7="○",$A245&gt;=BO$8,$A245&lt;=BO$9),IF(SUM(BO$10:BO244)-ROUNDDOWN($M245*BO$5/100,0)&lt;-BO$6,-BO$6-SUM(BO$10:BO244),-ROUNDDOWN($M245*BO$5/100,0)),0)</f>
        <v>0</v>
      </c>
      <c r="BP245" s="38">
        <f>IF(AND(BP$7="○",$A245&gt;=BP$8,$A245&lt;=BP$9),IF(SUM(BP$10:BP244)-ROUNDDOWN($M245*BP$5/100,0)&lt;-BP$6,-BP$6-SUM(BP$10:BP244),-ROUNDDOWN($M245*BP$5/100,0)),0)</f>
        <v>0</v>
      </c>
      <c r="BQ245" s="38">
        <f>IF(AND(BQ$7="○",$A245&gt;=BQ$8,$A245&lt;=BQ$9),IF(SUM(BQ$10:BQ244)-ROUNDDOWN($L245*BQ$5/100,0)&lt;-BQ$6,-BQ$6-SUM(BQ$10:BQ244),-ROUNDDOWN($L245*BQ$5/100,0)),0)</f>
        <v>0</v>
      </c>
      <c r="BR245" s="38">
        <f>IF(AND(BR$7="○",$A245&gt;=BR$8,$A245&lt;=BR$9),IF(SUM(BR$10:BR244)-ROUNDDOWN($M245*BR$5/100,0)&lt;-BR$6,-BR$6-SUM(BR$10:BR244),-ROUNDDOWN($M245*BR$5/100,0)),0)</f>
        <v>0</v>
      </c>
      <c r="BS245" s="38">
        <f>IF(AND(BS$7="○",$A245&gt;=BS$8,$A245&lt;=BS$9),IF(SUM(BS$10:BS244)-ROUNDDOWN($M245*BS$5/100,0)&lt;-BS$6,-BS$6-SUM(BS$10:BS244),-ROUNDDOWN($M245*BS$5/100,0)),0)</f>
        <v>0</v>
      </c>
      <c r="BT245" s="38">
        <f>IF(AND(BT$7="○",$A245&gt;=BT$8,$A245&lt;=BT$9),IF(SUM(BT$10:BT244)-ROUNDDOWN($M245*BT$5/100,0)&lt;-BT$6,-BT$6-SUM(BT$10:BT244),-ROUNDDOWN($M245*BT$5/100,0)),0)</f>
        <v>0</v>
      </c>
      <c r="BU245" s="38">
        <f>IF(AND(BU$7="○",$A245&gt;=BU$8,$A245&lt;=BU$9),IF(SUM(BU$10:BU244)-ROUNDDOWN($M245*BU$5/100,0)&lt;-BU$6,-BU$6-SUM(BU$10:BU244),-ROUNDDOWN($M245*BU$5/100,0)),0)</f>
        <v>0</v>
      </c>
      <c r="BV245" s="38">
        <f>IF(AND(BV$7="○",$A245&gt;=BV$8,$A245&lt;=BV$9),IF(SUM(BV$10:BV244)-ROUNDDOWN($M245*BV$5/100,0)&lt;-BV$6,-BV$6-SUM(BV$10:BV244),-ROUNDDOWN($M245*BV$5/100,0)),0)</f>
        <v>0</v>
      </c>
      <c r="BW245" s="38">
        <f>IF(AND(BW$7="○",$A245&gt;=BW$8,$A245&lt;=BW$9),IF(SUM(BW$10:BW244)-ROUNDDOWN($M245*BW$5/100,0)&lt;-BW$6,-BW$6-SUM(BW$10:BW244),-ROUNDDOWN($M245*BW$5/100,0)),0)</f>
        <v>0</v>
      </c>
      <c r="BX245" s="38">
        <f>IF(AND(T245="○",$A245&gt;=BX$8,$A245&lt;=BX$9),IF(SUM(BX$10:BX244)-ROUNDDOWN($K245*BX$5/100,0)&lt;-BX$6,-BX$6-SUM(BX$10:BX244),-ROUNDDOWN($K245*BX$5/100,0)),0)</f>
        <v>0</v>
      </c>
      <c r="BY245" s="38">
        <f>IF(AND(U245="○",$A245&gt;=BY$8,$A245&lt;=BY$9),IF(SUM(BY$10:BY244)-ROUNDDOWN($K245*BY$5/100,0)&lt;-BY$6,-BY$6-SUM(BY$10:BY244),-ROUNDDOWN($K245*BY$5/100,0)),0)</f>
        <v>0</v>
      </c>
      <c r="BZ245" s="38">
        <f>IF(AND(V245="○",$A245&gt;=BZ$8,$A245&lt;=BZ$9),IF(SUM(BZ$10:BZ244)-ROUNDDOWN($K245*BZ$5/100,0)&lt;-BZ$6,-BZ$6-SUM(BZ$10:BZ244),-ROUNDDOWN($K245*BZ$5/100,0)),0)</f>
        <v>0</v>
      </c>
      <c r="CA245" s="38">
        <f>IF(AND(W245="○",$A245&gt;=CA$8,$A245&lt;=CA$9),IF(SUM(CA$10:CA244)-ROUNDDOWN($K245*CA$5/100,0)&lt;-CA$6,-CA$6-SUM(CA$10:CA244),-ROUNDDOWN($K245*CA$5/100,0)),0)</f>
        <v>0</v>
      </c>
      <c r="CB245" s="38"/>
      <c r="CC245" s="38"/>
      <c r="CD245" s="38"/>
      <c r="CE245" s="38"/>
      <c r="CF245" s="38"/>
      <c r="CG245" s="65">
        <f t="shared" si="184"/>
        <v>0</v>
      </c>
      <c r="CH245" s="71">
        <f t="shared" si="185"/>
        <v>0</v>
      </c>
      <c r="CI245" s="1">
        <f t="shared" si="19"/>
        <v>0</v>
      </c>
      <c r="CJ245" s="1"/>
      <c r="CK245" s="79"/>
      <c r="CL245" s="79"/>
      <c r="CM245" s="2"/>
      <c r="CN245" s="2"/>
      <c r="CO245" s="73">
        <f t="shared" si="20"/>
        <v>0</v>
      </c>
      <c r="CP245" s="5">
        <f t="shared" si="21"/>
        <v>0</v>
      </c>
      <c r="CQ245" s="1"/>
      <c r="CR245" s="1">
        <f t="shared" si="22"/>
        <v>0</v>
      </c>
      <c r="CS245" s="1"/>
      <c r="CT245" s="1" t="e">
        <f>INDEX([2]マスタ!$A:$A,MATCH(D245,[2]マスタ!$C:$C,0))</f>
        <v>#N/A</v>
      </c>
      <c r="CU245" s="1" t="str">
        <f t="shared" ca="1" si="23"/>
        <v>20260620_0-0</v>
      </c>
    </row>
    <row r="246" spans="1:99" x14ac:dyDescent="0.4">
      <c r="A246" s="61"/>
      <c r="B246" s="62"/>
      <c r="C246" s="62"/>
      <c r="D246" s="62"/>
      <c r="E246" s="63"/>
      <c r="F246" s="62"/>
      <c r="G246" s="62">
        <v>1</v>
      </c>
      <c r="H246" s="64">
        <f t="shared" si="4"/>
        <v>0</v>
      </c>
      <c r="I246" s="64"/>
      <c r="J246" s="64"/>
      <c r="K246" s="65">
        <f t="shared" ref="K246:K255" si="195">+ROUNDDOWN((H246+I246+J246)/100,0)*100</f>
        <v>0</v>
      </c>
      <c r="L246" s="65">
        <f t="shared" si="6"/>
        <v>0</v>
      </c>
      <c r="M246" s="65">
        <f t="shared" si="7"/>
        <v>0</v>
      </c>
      <c r="N246" s="65">
        <f t="shared" si="8"/>
        <v>0</v>
      </c>
      <c r="O246" s="66" t="str">
        <f t="shared" si="189"/>
        <v>✕</v>
      </c>
      <c r="P246" s="67" t="str">
        <f t="shared" si="190"/>
        <v>○</v>
      </c>
      <c r="Q246" s="67" t="str">
        <f t="shared" ref="Q246:Q255" si="196">+IF((TEXT(A246,"DD")+0)=1,"○","✕")</f>
        <v>✕</v>
      </c>
      <c r="R246" s="67" t="str">
        <f t="shared" si="192"/>
        <v>✕</v>
      </c>
      <c r="S246" s="68">
        <v>0</v>
      </c>
      <c r="T246" s="69" t="s">
        <v>85</v>
      </c>
      <c r="U246" s="69" t="s">
        <v>85</v>
      </c>
      <c r="V246" s="69" t="s">
        <v>85</v>
      </c>
      <c r="W246" s="69" t="s">
        <v>85</v>
      </c>
      <c r="X246" s="69" t="s">
        <v>84</v>
      </c>
      <c r="Y246" s="69" t="s">
        <v>85</v>
      </c>
      <c r="Z246" s="69" t="s">
        <v>85</v>
      </c>
      <c r="AA246" s="69" t="s">
        <v>85</v>
      </c>
      <c r="AB246" s="69" t="s">
        <v>85</v>
      </c>
      <c r="AC246" s="69" t="s">
        <v>85</v>
      </c>
      <c r="AD246" s="38" t="str">
        <f>+IF(ISERROR(VLOOKUP($B246,AD$10:AD245,1,0)),IF(AND($N246&gt;=1000,$A246&gt;=AO$8,$A246&lt;=AO$9),$B246,""),"")</f>
        <v/>
      </c>
      <c r="AE246" s="38" t="str">
        <f>+IF(ISERROR(VLOOKUP($B246,AE$10:AE245,1,0)),IF(AND($N246&gt;=1000,$A246&gt;=AP$8,$A246&lt;=AP$9),$B246,""),"")</f>
        <v/>
      </c>
      <c r="AF246" s="38" t="str">
        <f>+IF(ISERROR(VLOOKUP($B246,AF$10:AF245,1,0)),IF(AND($N246&gt;=1000,$A246&gt;=AQ$8,$A246&lt;=AQ$9),$B246,""),"")</f>
        <v/>
      </c>
      <c r="AG246" s="38" t="str">
        <f>+IF(ISERROR(VLOOKUP($B246,AG$10:AG245,1,0)),IF(AND($N246&gt;=1000,$A246&gt;=AR$8,$A246&lt;=AR$9),$B246,""),"")</f>
        <v/>
      </c>
      <c r="AH246" s="38"/>
      <c r="AI246" s="70">
        <v>0</v>
      </c>
      <c r="AJ246" s="38">
        <f>IF(AND(AJ$7="○",$A246&gt;=AJ$8,$A246&lt;=AJ$9),IF(SUM(AJ$10:AJ245)-ROUNDDOWN($K246*AJ$5/100,0)&lt;-AJ$6,-AJ$6-SUM(AJ$10:AJ245),-ROUNDDOWN($K246*AJ$5/100,0)),0)</f>
        <v>0</v>
      </c>
      <c r="AK246" s="38">
        <f>IF(AND(AK$7="○",$A246&gt;=AK$8,$A246&lt;=AK$9),IF(SUM(AK$10:AK245)-ROUNDDOWN($L246*AK$5/100,0)&lt;-AK$6,-AK$6-SUM(AK$10:AK245),-ROUNDDOWN($L246*AK$5/100,0)),0)</f>
        <v>0</v>
      </c>
      <c r="AL246" s="38">
        <f>IF(AND(AL$7="○",$A246&gt;=AL$8,$A246&lt;=AL$9),IF(SUM(AL$10:AL245)-ROUNDDOWN($N246*AL$5/100,0)&lt;-AL$6,-AL$6-SUM(AL$10:AL245),-ROUNDDOWN($N246*AL$5/100,0)),0)</f>
        <v>0</v>
      </c>
      <c r="AM246" s="38">
        <f>IF(AND(AM$7="○",$A246&gt;=AM$8,$A246&lt;=AM$9),IF(SUM(AM$10:AM245)-ROUNDDOWN($L246*AM$5/100,0)&lt;-AM$6,-AM$6-SUM(AM$10:AM245),-ROUNDDOWN($L246*AM$5/100,0)),0)</f>
        <v>0</v>
      </c>
      <c r="AN246" s="38">
        <f>IF(AND(AN$7="○",$A246&gt;=AN$8,$A246&lt;=AN$9),IF(SUM(AN$10:AN245)-ROUNDDOWN($M246*AN$5/100,0)&lt;-AN$6,-AN$6-SUM(AN$10:AN245),-ROUNDDOWN($M246*AN$5/100,0)),0)</f>
        <v>0</v>
      </c>
      <c r="AO246" s="38">
        <f>IF(AND($A246&gt;=AO$8,$A246&lt;=AO$9),IF(SUM(AO$10:AO245)-ROUNDDOWN($K246*AO$5/100,0)&lt;-AO$6,-AO$6-SUM(AO$10:AO245),-ROUNDDOWN($K246*AO$5/100,0)),0)</f>
        <v>0</v>
      </c>
      <c r="AP246" s="38">
        <f>IF(AND($A246&gt;=AP$8,$A246&lt;=AP$9),IF(SUM(AP$10:AP245)-ROUNDDOWN($K246*AP$5/100,0)&lt;-AP$6,-AP$6-SUM(AP$10:AP245),-ROUNDDOWN($K246*AP$5/100,0)),0)</f>
        <v>0</v>
      </c>
      <c r="AQ246" s="38">
        <f>IF(AND($A246&gt;=AQ$8,$A246&lt;=AQ$9),IF(SUM(AQ$10:AQ245)-ROUNDDOWN($K246*AQ$5/100,0)&lt;-AQ$6,-AQ$6-SUM(AQ$10:AQ245),-ROUNDDOWN($K246*AQ$5/100,0)),0)</f>
        <v>0</v>
      </c>
      <c r="AR246" s="38">
        <f>IF(AND($A246&gt;=AR$8,$A246&lt;=AR$9),IF(SUM(AR$10:AR245)-ROUNDDOWN($K246*AR$5/100,0)&lt;-AR$6,-AR$6-SUM(AR$10:AR245),-ROUNDDOWN($K246*AR$5/100,0)),0)</f>
        <v>0</v>
      </c>
      <c r="AS246" s="38">
        <f>IF(SUMIFS(AS$10:AS245,$A$10:$A245,$A246)-ROUNDDOWN($K246*$S246/100,0)&lt;-$S246*1000,-$S246*1000-SUMIFS(AS$10:AS245,$A$10:$A245,$A246),-ROUNDDOWN($K246*$S246/100,0))</f>
        <v>0</v>
      </c>
      <c r="AT246" s="38">
        <f>IF(AND(X246="○",$A246&gt;=AT$8,$A246&lt;=AT$9,K246&gt;=3980),IF(SUM(AT$10:AT245)-ROUNDDOWN($K246*AT$5/100,0)&lt;-AT$6,-AT$6-SUM(AT$10:AT245),-ROUNDDOWN($K246*AT$5/100,0)),0)</f>
        <v>0</v>
      </c>
      <c r="AU246" s="38">
        <f>IF(O246="○",IF(SUM(AU$10:AU245)-ROUNDDOWN($K246*AU$5/100,0)&lt;-AU$6,-AU$6-SUM(AU$10:AU245),-ROUNDDOWN($K246*AU$5/100,0)),0)</f>
        <v>0</v>
      </c>
      <c r="AV246" s="38">
        <f>IF(P246="○",IF(SUM(AV$10:AV245)-ROUNDDOWN($K246*AV$5/100,0)&lt;-AV$6,-AV$6-SUM(AV$10:AV245),-ROUNDDOWN($K246*AV$5/100,0)),0)</f>
        <v>0</v>
      </c>
      <c r="AW246" s="38">
        <f>IF(Q246="○",IF(SUM(AW$10:AW245)-ROUNDDOWN($K246*AW$5/100,0)&lt;-AW$6,-AW$6-SUM(AW$10:AW245),-ROUNDDOWN($K246*AW$5/100,0)),0)</f>
        <v>0</v>
      </c>
      <c r="AX246" s="38">
        <f>IF(R246="○",IF(SUM(AX$10:AX245)-ROUNDDOWN($K246*AX$5/100,0)&lt;-AX$6,-AX$6-SUM(AX$10:AX245),-ROUNDDOWN($K246*AX$5/100,0)),0)</f>
        <v>0</v>
      </c>
      <c r="AY246" s="70">
        <v>0</v>
      </c>
      <c r="AZ246" s="65">
        <f t="shared" si="178"/>
        <v>0</v>
      </c>
      <c r="BA246" s="65">
        <f t="shared" si="179"/>
        <v>0</v>
      </c>
      <c r="BB246" s="70"/>
      <c r="BC246" s="65">
        <f t="shared" si="180"/>
        <v>0</v>
      </c>
      <c r="BD246" s="70">
        <v>0</v>
      </c>
      <c r="BE246" s="65">
        <f t="shared" si="181"/>
        <v>0</v>
      </c>
      <c r="BF246" s="70">
        <v>0</v>
      </c>
      <c r="BG246" s="65">
        <f t="shared" si="182"/>
        <v>0</v>
      </c>
      <c r="BH246" s="70">
        <v>0</v>
      </c>
      <c r="BI246" s="65">
        <f t="shared" si="183"/>
        <v>0</v>
      </c>
      <c r="BJ246" s="38">
        <f>IF(AND(BJ$7="○",$A246&gt;=BJ$8,$A246&lt;=BJ$9),IF(SUM(BJ$10:BJ245)-ROUNDDOWN($M246*BJ$5/100,0)&lt;-BJ$6,-BJ$6-SUM(BJ$10:BJ245),-ROUNDDOWN($M246*BJ$5/100,0)),0)</f>
        <v>0</v>
      </c>
      <c r="BK246" s="38">
        <f>IF(AND(BK$7="○",$A246&gt;=BK$8,$A246&lt;=BK$9),IF(SUM(BK$10:BK245)-ROUNDDOWN($L246*BK$5/100,0)&lt;-BK$6,-BK$6-SUM(BK$10:BK245),-ROUNDDOWN($L246*BK$5/100,0)),0)</f>
        <v>0</v>
      </c>
      <c r="BL246" s="38">
        <f>IF(AND(BL$7="○",$A246&gt;=BL$8,$A246&lt;=BL$9),IF(SUM(BL$10:BL245)-ROUNDDOWN($L246*BL$5/100,0)&lt;-BL$6,-BL$6-SUM(BL$10:BL245),-ROUNDDOWN($L246*BL$5/100,0)),0)</f>
        <v>0</v>
      </c>
      <c r="BM246" s="38">
        <f>IF(AND(BM$7="○",$A246&gt;=BM$8,$A246&lt;=BM$9),IF(SUM(BM$10:BM245)-ROUNDDOWN($M246*BM$5/100,0)&lt;-BM$6,-BM$6-SUM(BM$10:BM245),-ROUNDDOWN($M246*BM$5/100,0)),0)</f>
        <v>0</v>
      </c>
      <c r="BN246" s="38">
        <f>IF(AND(BN$7="○",$A246&gt;=BN$8,$A246&lt;=BN$9),IF(SUM(BN$10:BN245)-ROUNDDOWN($M246*BN$5/100,0)&lt;-BN$6,-BN$6-SUM(BN$10:BN245),-ROUNDDOWN($M246*BN$5/100,0)),0)</f>
        <v>0</v>
      </c>
      <c r="BO246" s="38">
        <f>IF(AND(BO$7="○",$A246&gt;=BO$8,$A246&lt;=BO$9),IF(SUM(BO$10:BO245)-ROUNDDOWN($M246*BO$5/100,0)&lt;-BO$6,-BO$6-SUM(BO$10:BO245),-ROUNDDOWN($M246*BO$5/100,0)),0)</f>
        <v>0</v>
      </c>
      <c r="BP246" s="38">
        <f>IF(AND(BP$7="○",$A246&gt;=BP$8,$A246&lt;=BP$9),IF(SUM(BP$10:BP245)-ROUNDDOWN($M246*BP$5/100,0)&lt;-BP$6,-BP$6-SUM(BP$10:BP245),-ROUNDDOWN($M246*BP$5/100,0)),0)</f>
        <v>0</v>
      </c>
      <c r="BQ246" s="38">
        <f>IF(AND(BQ$7="○",$A246&gt;=BQ$8,$A246&lt;=BQ$9),IF(SUM(BQ$10:BQ245)-ROUNDDOWN($L246*BQ$5/100,0)&lt;-BQ$6,-BQ$6-SUM(BQ$10:BQ245),-ROUNDDOWN($L246*BQ$5/100,0)),0)</f>
        <v>0</v>
      </c>
      <c r="BR246" s="38">
        <f>IF(AND(BR$7="○",$A246&gt;=BR$8,$A246&lt;=BR$9),IF(SUM(BR$10:BR245)-ROUNDDOWN($M246*BR$5/100,0)&lt;-BR$6,-BR$6-SUM(BR$10:BR245),-ROUNDDOWN($M246*BR$5/100,0)),0)</f>
        <v>0</v>
      </c>
      <c r="BS246" s="38">
        <f>IF(AND(BS$7="○",$A246&gt;=BS$8,$A246&lt;=BS$9),IF(SUM(BS$10:BS245)-ROUNDDOWN($M246*BS$5/100,0)&lt;-BS$6,-BS$6-SUM(BS$10:BS245),-ROUNDDOWN($M246*BS$5/100,0)),0)</f>
        <v>0</v>
      </c>
      <c r="BT246" s="38">
        <f>IF(AND(BT$7="○",$A246&gt;=BT$8,$A246&lt;=BT$9),IF(SUM(BT$10:BT245)-ROUNDDOWN($M246*BT$5/100,0)&lt;-BT$6,-BT$6-SUM(BT$10:BT245),-ROUNDDOWN($M246*BT$5/100,0)),0)</f>
        <v>0</v>
      </c>
      <c r="BU246" s="38">
        <f>IF(AND(BU$7="○",$A246&gt;=BU$8,$A246&lt;=BU$9),IF(SUM(BU$10:BU245)-ROUNDDOWN($M246*BU$5/100,0)&lt;-BU$6,-BU$6-SUM(BU$10:BU245),-ROUNDDOWN($M246*BU$5/100,0)),0)</f>
        <v>0</v>
      </c>
      <c r="BV246" s="38">
        <f>IF(AND(BV$7="○",$A246&gt;=BV$8,$A246&lt;=BV$9),IF(SUM(BV$10:BV245)-ROUNDDOWN($M246*BV$5/100,0)&lt;-BV$6,-BV$6-SUM(BV$10:BV245),-ROUNDDOWN($M246*BV$5/100,0)),0)</f>
        <v>0</v>
      </c>
      <c r="BW246" s="38">
        <f>IF(AND(BW$7="○",$A246&gt;=BW$8,$A246&lt;=BW$9),IF(SUM(BW$10:BW245)-ROUNDDOWN($M246*BW$5/100,0)&lt;-BW$6,-BW$6-SUM(BW$10:BW245),-ROUNDDOWN($M246*BW$5/100,0)),0)</f>
        <v>0</v>
      </c>
      <c r="BX246" s="38">
        <f>IF(AND(T246="○",$A246&gt;=BX$8,$A246&lt;=BX$9),IF(SUM(BX$10:BX245)-ROUNDDOWN($K246*BX$5/100,0)&lt;-BX$6,-BX$6-SUM(BX$10:BX245),-ROUNDDOWN($K246*BX$5/100,0)),0)</f>
        <v>0</v>
      </c>
      <c r="BY246" s="38">
        <f>IF(AND(U246="○",$A246&gt;=BY$8,$A246&lt;=BY$9),IF(SUM(BY$10:BY245)-ROUNDDOWN($K246*BY$5/100,0)&lt;-BY$6,-BY$6-SUM(BY$10:BY245),-ROUNDDOWN($K246*BY$5/100,0)),0)</f>
        <v>0</v>
      </c>
      <c r="BZ246" s="38">
        <f>IF(AND(V246="○",$A246&gt;=BZ$8,$A246&lt;=BZ$9),IF(SUM(BZ$10:BZ245)-ROUNDDOWN($K246*BZ$5/100,0)&lt;-BZ$6,-BZ$6-SUM(BZ$10:BZ245),-ROUNDDOWN($K246*BZ$5/100,0)),0)</f>
        <v>0</v>
      </c>
      <c r="CA246" s="38">
        <f>IF(AND(W246="○",$A246&gt;=CA$8,$A246&lt;=CA$9),IF(SUM(CA$10:CA245)-ROUNDDOWN($K246*CA$5/100,0)&lt;-CA$6,-CA$6-SUM(CA$10:CA245),-ROUNDDOWN($K246*CA$5/100,0)),0)</f>
        <v>0</v>
      </c>
      <c r="CB246" s="38"/>
      <c r="CC246" s="38"/>
      <c r="CD246" s="38"/>
      <c r="CE246" s="38"/>
      <c r="CF246" s="38"/>
      <c r="CG246" s="65">
        <f t="shared" si="184"/>
        <v>0</v>
      </c>
      <c r="CH246" s="71">
        <f t="shared" si="185"/>
        <v>0</v>
      </c>
      <c r="CI246" s="1">
        <f t="shared" si="19"/>
        <v>0</v>
      </c>
      <c r="CJ246" s="1"/>
      <c r="CK246" s="72"/>
      <c r="CL246" s="72"/>
      <c r="CM246" s="2"/>
      <c r="CN246" s="2"/>
      <c r="CO246" s="73">
        <f t="shared" si="20"/>
        <v>0</v>
      </c>
      <c r="CP246" s="5">
        <f t="shared" si="21"/>
        <v>0</v>
      </c>
      <c r="CQ246" s="1"/>
      <c r="CR246" s="1">
        <f t="shared" si="22"/>
        <v>0</v>
      </c>
      <c r="CS246" s="1"/>
      <c r="CT246" s="1" t="e">
        <f>INDEX([2]マスタ!$A:$A,MATCH(D246,[2]マスタ!$C:$C,0))</f>
        <v>#N/A</v>
      </c>
      <c r="CU246" s="1" t="str">
        <f t="shared" ca="1" si="23"/>
        <v>20260620_0-0</v>
      </c>
    </row>
    <row r="247" spans="1:99" x14ac:dyDescent="0.4">
      <c r="A247" s="61"/>
      <c r="B247" s="62"/>
      <c r="C247" s="62"/>
      <c r="D247" s="62"/>
      <c r="E247" s="63"/>
      <c r="F247" s="62"/>
      <c r="G247" s="62">
        <v>1</v>
      </c>
      <c r="H247" s="64">
        <f t="shared" si="4"/>
        <v>0</v>
      </c>
      <c r="I247" s="64"/>
      <c r="J247" s="64"/>
      <c r="K247" s="65">
        <f t="shared" si="195"/>
        <v>0</v>
      </c>
      <c r="L247" s="65">
        <f t="shared" si="6"/>
        <v>0</v>
      </c>
      <c r="M247" s="65">
        <f t="shared" si="7"/>
        <v>0</v>
      </c>
      <c r="N247" s="65">
        <f t="shared" si="8"/>
        <v>0</v>
      </c>
      <c r="O247" s="66" t="str">
        <f t="shared" si="189"/>
        <v>✕</v>
      </c>
      <c r="P247" s="67" t="str">
        <f t="shared" si="190"/>
        <v>○</v>
      </c>
      <c r="Q247" s="67" t="str">
        <f t="shared" si="196"/>
        <v>✕</v>
      </c>
      <c r="R247" s="67" t="str">
        <f t="shared" si="192"/>
        <v>✕</v>
      </c>
      <c r="S247" s="68">
        <v>0</v>
      </c>
      <c r="T247" s="69" t="s">
        <v>85</v>
      </c>
      <c r="U247" s="69" t="s">
        <v>85</v>
      </c>
      <c r="V247" s="69" t="s">
        <v>85</v>
      </c>
      <c r="W247" s="69" t="s">
        <v>85</v>
      </c>
      <c r="X247" s="69" t="s">
        <v>84</v>
      </c>
      <c r="Y247" s="69" t="s">
        <v>85</v>
      </c>
      <c r="Z247" s="69" t="s">
        <v>85</v>
      </c>
      <c r="AA247" s="69" t="s">
        <v>85</v>
      </c>
      <c r="AB247" s="69" t="s">
        <v>85</v>
      </c>
      <c r="AC247" s="69" t="s">
        <v>85</v>
      </c>
      <c r="AD247" s="38" t="str">
        <f>+IF(ISERROR(VLOOKUP($B247,AD$10:AD246,1,0)),IF(AND($N247&gt;=1000,$A247&gt;=AO$8,$A247&lt;=AO$9),$B247,""),"")</f>
        <v/>
      </c>
      <c r="AE247" s="38" t="str">
        <f>+IF(ISERROR(VLOOKUP($B247,AE$10:AE246,1,0)),IF(AND($N247&gt;=1000,$A247&gt;=AP$8,$A247&lt;=AP$9),$B247,""),"")</f>
        <v/>
      </c>
      <c r="AF247" s="38" t="str">
        <f>+IF(ISERROR(VLOOKUP($B247,AF$10:AF246,1,0)),IF(AND($N247&gt;=1000,$A247&gt;=AQ$8,$A247&lt;=AQ$9),$B247,""),"")</f>
        <v/>
      </c>
      <c r="AG247" s="38" t="str">
        <f>+IF(ISERROR(VLOOKUP($B247,AG$10:AG246,1,0)),IF(AND($N247&gt;=1000,$A247&gt;=AR$8,$A247&lt;=AR$9),$B247,""),"")</f>
        <v/>
      </c>
      <c r="AH247" s="38"/>
      <c r="AI247" s="70">
        <v>0</v>
      </c>
      <c r="AJ247" s="38">
        <f>IF(AND(AJ$7="○",$A247&gt;=AJ$8,$A247&lt;=AJ$9),IF(SUM(AJ$10:AJ246)-ROUNDDOWN($K247*AJ$5/100,0)&lt;-AJ$6,-AJ$6-SUM(AJ$10:AJ246),-ROUNDDOWN($K247*AJ$5/100,0)),0)</f>
        <v>0</v>
      </c>
      <c r="AK247" s="38">
        <f>IF(AND(AK$7="○",$A247&gt;=AK$8,$A247&lt;=AK$9),IF(SUM(AK$10:AK246)-ROUNDDOWN($L247*AK$5/100,0)&lt;-AK$6,-AK$6-SUM(AK$10:AK246),-ROUNDDOWN($L247*AK$5/100,0)),0)</f>
        <v>0</v>
      </c>
      <c r="AL247" s="38">
        <f>IF(AND(AL$7="○",$A247&gt;=AL$8,$A247&lt;=AL$9),IF(SUM(AL$10:AL246)-ROUNDDOWN($N247*AL$5/100,0)&lt;-AL$6,-AL$6-SUM(AL$10:AL246),-ROUNDDOWN($N247*AL$5/100,0)),0)</f>
        <v>0</v>
      </c>
      <c r="AM247" s="38">
        <f>IF(AND(AM$7="○",$A247&gt;=AM$8,$A247&lt;=AM$9),IF(SUM(AM$10:AM246)-ROUNDDOWN($L247*AM$5/100,0)&lt;-AM$6,-AM$6-SUM(AM$10:AM246),-ROUNDDOWN($L247*AM$5/100,0)),0)</f>
        <v>0</v>
      </c>
      <c r="AN247" s="38">
        <f>IF(AND(AN$7="○",$A247&gt;=AN$8,$A247&lt;=AN$9),IF(SUM(AN$10:AN246)-ROUNDDOWN($M247*AN$5/100,0)&lt;-AN$6,-AN$6-SUM(AN$10:AN246),-ROUNDDOWN($M247*AN$5/100,0)),0)</f>
        <v>0</v>
      </c>
      <c r="AO247" s="38">
        <f>IF(AND($A247&gt;=AO$8,$A247&lt;=AO$9),IF(SUM(AO$10:AO246)-ROUNDDOWN($K247*AO$5/100,0)&lt;-AO$6,-AO$6-SUM(AO$10:AO246),-ROUNDDOWN($K247*AO$5/100,0)),0)</f>
        <v>0</v>
      </c>
      <c r="AP247" s="38">
        <f>IF(AND($A247&gt;=AP$8,$A247&lt;=AP$9),IF(SUM(AP$10:AP246)-ROUNDDOWN($K247*AP$5/100,0)&lt;-AP$6,-AP$6-SUM(AP$10:AP246),-ROUNDDOWN($K247*AP$5/100,0)),0)</f>
        <v>0</v>
      </c>
      <c r="AQ247" s="38">
        <f>IF(AND($A247&gt;=AQ$8,$A247&lt;=AQ$9),IF(SUM(AQ$10:AQ246)-ROUNDDOWN($K247*AQ$5/100,0)&lt;-AQ$6,-AQ$6-SUM(AQ$10:AQ246),-ROUNDDOWN($K247*AQ$5/100,0)),0)</f>
        <v>0</v>
      </c>
      <c r="AR247" s="38">
        <f>IF(AND($A247&gt;=AR$8,$A247&lt;=AR$9),IF(SUM(AR$10:AR246)-ROUNDDOWN($K247*AR$5/100,0)&lt;-AR$6,-AR$6-SUM(AR$10:AR246),-ROUNDDOWN($K247*AR$5/100,0)),0)</f>
        <v>0</v>
      </c>
      <c r="AS247" s="38">
        <f>IF(SUMIFS(AS$10:AS246,$A$10:$A246,$A247)-ROUNDDOWN($K247*$S247/100,0)&lt;-$S247*1000,-$S247*1000-SUMIFS(AS$10:AS246,$A$10:$A246,$A247),-ROUNDDOWN($K247*$S247/100,0))</f>
        <v>0</v>
      </c>
      <c r="AT247" s="38">
        <f>IF(AND(X247="○",$A247&gt;=AT$8,$A247&lt;=AT$9,K247&gt;=3980),IF(SUM(AT$10:AT246)-ROUNDDOWN($K247*AT$5/100,0)&lt;-AT$6,-AT$6-SUM(AT$10:AT246),-ROUNDDOWN($K247*AT$5/100,0)),0)</f>
        <v>0</v>
      </c>
      <c r="AU247" s="38">
        <f>IF(O247="○",IF(SUM(AU$10:AU246)-ROUNDDOWN($K247*AU$5/100,0)&lt;-AU$6,-AU$6-SUM(AU$10:AU246),-ROUNDDOWN($K247*AU$5/100,0)),0)</f>
        <v>0</v>
      </c>
      <c r="AV247" s="38">
        <f>IF(P247="○",IF(SUM(AV$10:AV246)-ROUNDDOWN($K247*AV$5/100,0)&lt;-AV$6,-AV$6-SUM(AV$10:AV246),-ROUNDDOWN($K247*AV$5/100,0)),0)</f>
        <v>0</v>
      </c>
      <c r="AW247" s="38">
        <f>IF(Q247="○",IF(SUM(AW$10:AW246)-ROUNDDOWN($K247*AW$5/100,0)&lt;-AW$6,-AW$6-SUM(AW$10:AW246),-ROUNDDOWN($K247*AW$5/100,0)),0)</f>
        <v>0</v>
      </c>
      <c r="AX247" s="38">
        <f>IF(R247="○",IF(SUM(AX$10:AX246)-ROUNDDOWN($K247*AX$5/100,0)&lt;-AX$6,-AX$6-SUM(AX$10:AX246),-ROUNDDOWN($K247*AX$5/100,0)),0)</f>
        <v>0</v>
      </c>
      <c r="AY247" s="70">
        <v>0</v>
      </c>
      <c r="AZ247" s="65">
        <f t="shared" si="178"/>
        <v>0</v>
      </c>
      <c r="BA247" s="65">
        <f t="shared" si="179"/>
        <v>0</v>
      </c>
      <c r="BB247" s="70"/>
      <c r="BC247" s="65">
        <f t="shared" si="180"/>
        <v>0</v>
      </c>
      <c r="BD247" s="70">
        <v>0</v>
      </c>
      <c r="BE247" s="65">
        <f t="shared" si="181"/>
        <v>0</v>
      </c>
      <c r="BF247" s="70">
        <v>0</v>
      </c>
      <c r="BG247" s="65">
        <f t="shared" si="182"/>
        <v>0</v>
      </c>
      <c r="BH247" s="70">
        <v>0</v>
      </c>
      <c r="BI247" s="65">
        <f t="shared" si="183"/>
        <v>0</v>
      </c>
      <c r="BJ247" s="38">
        <f>IF(AND(BJ$7="○",$A247&gt;=BJ$8,$A247&lt;=BJ$9),IF(SUM(BJ$10:BJ246)-ROUNDDOWN($M247*BJ$5/100,0)&lt;-BJ$6,-BJ$6-SUM(BJ$10:BJ246),-ROUNDDOWN($M247*BJ$5/100,0)),0)</f>
        <v>0</v>
      </c>
      <c r="BK247" s="38">
        <f>IF(AND(BK$7="○",$A247&gt;=BK$8,$A247&lt;=BK$9),IF(SUM(BK$10:BK246)-ROUNDDOWN($L247*BK$5/100,0)&lt;-BK$6,-BK$6-SUM(BK$10:BK246),-ROUNDDOWN($L247*BK$5/100,0)),0)</f>
        <v>0</v>
      </c>
      <c r="BL247" s="38">
        <f>IF(AND(BL$7="○",$A247&gt;=BL$8,$A247&lt;=BL$9),IF(SUM(BL$10:BL246)-ROUNDDOWN($L247*BL$5/100,0)&lt;-BL$6,-BL$6-SUM(BL$10:BL246),-ROUNDDOWN($L247*BL$5/100,0)),0)</f>
        <v>0</v>
      </c>
      <c r="BM247" s="38">
        <f>IF(AND(BM$7="○",$A247&gt;=BM$8,$A247&lt;=BM$9),IF(SUM(BM$10:BM246)-ROUNDDOWN($M247*BM$5/100,0)&lt;-BM$6,-BM$6-SUM(BM$10:BM246),-ROUNDDOWN($M247*BM$5/100,0)),0)</f>
        <v>0</v>
      </c>
      <c r="BN247" s="38">
        <f>IF(AND(BN$7="○",$A247&gt;=BN$8,$A247&lt;=BN$9),IF(SUM(BN$10:BN246)-ROUNDDOWN($M247*BN$5/100,0)&lt;-BN$6,-BN$6-SUM(BN$10:BN246),-ROUNDDOWN($M247*BN$5/100,0)),0)</f>
        <v>0</v>
      </c>
      <c r="BO247" s="38">
        <f>IF(AND(BO$7="○",$A247&gt;=BO$8,$A247&lt;=BO$9),IF(SUM(BO$10:BO246)-ROUNDDOWN($M247*BO$5/100,0)&lt;-BO$6,-BO$6-SUM(BO$10:BO246),-ROUNDDOWN($M247*BO$5/100,0)),0)</f>
        <v>0</v>
      </c>
      <c r="BP247" s="38">
        <f>IF(AND(BP$7="○",$A247&gt;=BP$8,$A247&lt;=BP$9),IF(SUM(BP$10:BP246)-ROUNDDOWN($M247*BP$5/100,0)&lt;-BP$6,-BP$6-SUM(BP$10:BP246),-ROUNDDOWN($M247*BP$5/100,0)),0)</f>
        <v>0</v>
      </c>
      <c r="BQ247" s="38">
        <f>IF(AND(BQ$7="○",$A247&gt;=BQ$8,$A247&lt;=BQ$9),IF(SUM(BQ$10:BQ246)-ROUNDDOWN($L247*BQ$5/100,0)&lt;-BQ$6,-BQ$6-SUM(BQ$10:BQ246),-ROUNDDOWN($L247*BQ$5/100,0)),0)</f>
        <v>0</v>
      </c>
      <c r="BR247" s="38">
        <f>IF(AND(BR$7="○",$A247&gt;=BR$8,$A247&lt;=BR$9),IF(SUM(BR$10:BR246)-ROUNDDOWN($M247*BR$5/100,0)&lt;-BR$6,-BR$6-SUM(BR$10:BR246),-ROUNDDOWN($M247*BR$5/100,0)),0)</f>
        <v>0</v>
      </c>
      <c r="BS247" s="38">
        <f>IF(AND(BS$7="○",$A247&gt;=BS$8,$A247&lt;=BS$9),IF(SUM(BS$10:BS246)-ROUNDDOWN($M247*BS$5/100,0)&lt;-BS$6,-BS$6-SUM(BS$10:BS246),-ROUNDDOWN($M247*BS$5/100,0)),0)</f>
        <v>0</v>
      </c>
      <c r="BT247" s="38">
        <f>IF(AND(BT$7="○",$A247&gt;=BT$8,$A247&lt;=BT$9),IF(SUM(BT$10:BT246)-ROUNDDOWN($M247*BT$5/100,0)&lt;-BT$6,-BT$6-SUM(BT$10:BT246),-ROUNDDOWN($M247*BT$5/100,0)),0)</f>
        <v>0</v>
      </c>
      <c r="BU247" s="38">
        <f>IF(AND(BU$7="○",$A247&gt;=BU$8,$A247&lt;=BU$9),IF(SUM(BU$10:BU246)-ROUNDDOWN($M247*BU$5/100,0)&lt;-BU$6,-BU$6-SUM(BU$10:BU246),-ROUNDDOWN($M247*BU$5/100,0)),0)</f>
        <v>0</v>
      </c>
      <c r="BV247" s="38">
        <f>IF(AND(BV$7="○",$A247&gt;=BV$8,$A247&lt;=BV$9),IF(SUM(BV$10:BV246)-ROUNDDOWN($M247*BV$5/100,0)&lt;-BV$6,-BV$6-SUM(BV$10:BV246),-ROUNDDOWN($M247*BV$5/100,0)),0)</f>
        <v>0</v>
      </c>
      <c r="BW247" s="38">
        <f>IF(AND(BW$7="○",$A247&gt;=BW$8,$A247&lt;=BW$9),IF(SUM(BW$10:BW246)-ROUNDDOWN($M247*BW$5/100,0)&lt;-BW$6,-BW$6-SUM(BW$10:BW246),-ROUNDDOWN($M247*BW$5/100,0)),0)</f>
        <v>0</v>
      </c>
      <c r="BX247" s="38">
        <f>IF(AND(T247="○",$A247&gt;=BX$8,$A247&lt;=BX$9),IF(SUM(BX$10:BX246)-ROUNDDOWN($K247*BX$5/100,0)&lt;-BX$6,-BX$6-SUM(BX$10:BX246),-ROUNDDOWN($K247*BX$5/100,0)),0)</f>
        <v>0</v>
      </c>
      <c r="BY247" s="38">
        <f>IF(AND(U247="○",$A247&gt;=BY$8,$A247&lt;=BY$9),IF(SUM(BY$10:BY246)-ROUNDDOWN($K247*BY$5/100,0)&lt;-BY$6,-BY$6-SUM(BY$10:BY246),-ROUNDDOWN($K247*BY$5/100,0)),0)</f>
        <v>0</v>
      </c>
      <c r="BZ247" s="38">
        <f>IF(AND(V247="○",$A247&gt;=BZ$8,$A247&lt;=BZ$9),IF(SUM(BZ$10:BZ246)-ROUNDDOWN($K247*BZ$5/100,0)&lt;-BZ$6,-BZ$6-SUM(BZ$10:BZ246),-ROUNDDOWN($K247*BZ$5/100,0)),0)</f>
        <v>0</v>
      </c>
      <c r="CA247" s="38">
        <f>IF(AND(W247="○",$A247&gt;=CA$8,$A247&lt;=CA$9),IF(SUM(CA$10:CA246)-ROUNDDOWN($K247*CA$5/100,0)&lt;-CA$6,-CA$6-SUM(CA$10:CA246),-ROUNDDOWN($K247*CA$5/100,0)),0)</f>
        <v>0</v>
      </c>
      <c r="CB247" s="38"/>
      <c r="CC247" s="38"/>
      <c r="CD247" s="38"/>
      <c r="CE247" s="38"/>
      <c r="CF247" s="38"/>
      <c r="CG247" s="65">
        <f t="shared" si="184"/>
        <v>0</v>
      </c>
      <c r="CH247" s="71">
        <f t="shared" si="185"/>
        <v>0</v>
      </c>
      <c r="CI247" s="1">
        <f t="shared" si="19"/>
        <v>0</v>
      </c>
      <c r="CJ247" s="1"/>
      <c r="CK247" s="72"/>
      <c r="CL247" s="72"/>
      <c r="CM247" s="2"/>
      <c r="CN247" s="2"/>
      <c r="CO247" s="73">
        <f t="shared" si="20"/>
        <v>0</v>
      </c>
      <c r="CP247" s="5">
        <f t="shared" si="21"/>
        <v>0</v>
      </c>
      <c r="CQ247" s="1"/>
      <c r="CR247" s="1">
        <f t="shared" si="22"/>
        <v>0</v>
      </c>
      <c r="CS247" s="1"/>
      <c r="CT247" s="1" t="e">
        <f>INDEX([2]マスタ!$A:$A,MATCH(D247,[2]マスタ!$C:$C,0))</f>
        <v>#N/A</v>
      </c>
      <c r="CU247" s="1" t="str">
        <f t="shared" ca="1" si="23"/>
        <v>20260620_0-0</v>
      </c>
    </row>
    <row r="248" spans="1:99" x14ac:dyDescent="0.4">
      <c r="A248" s="61"/>
      <c r="B248" s="62"/>
      <c r="C248" s="62"/>
      <c r="D248" s="63"/>
      <c r="E248" s="63"/>
      <c r="F248" s="62"/>
      <c r="G248" s="62">
        <v>1</v>
      </c>
      <c r="H248" s="64">
        <f t="shared" si="4"/>
        <v>0</v>
      </c>
      <c r="I248" s="64"/>
      <c r="J248" s="64"/>
      <c r="K248" s="65">
        <f t="shared" si="195"/>
        <v>0</v>
      </c>
      <c r="L248" s="65">
        <f t="shared" si="6"/>
        <v>0</v>
      </c>
      <c r="M248" s="65">
        <f t="shared" si="7"/>
        <v>0</v>
      </c>
      <c r="N248" s="65">
        <f t="shared" si="8"/>
        <v>0</v>
      </c>
      <c r="O248" s="66" t="str">
        <f t="shared" si="189"/>
        <v>✕</v>
      </c>
      <c r="P248" s="67" t="str">
        <f t="shared" si="190"/>
        <v>○</v>
      </c>
      <c r="Q248" s="67" t="str">
        <f t="shared" si="196"/>
        <v>✕</v>
      </c>
      <c r="R248" s="67" t="str">
        <f t="shared" si="192"/>
        <v>✕</v>
      </c>
      <c r="S248" s="68">
        <v>0</v>
      </c>
      <c r="T248" s="69" t="s">
        <v>85</v>
      </c>
      <c r="U248" s="69" t="s">
        <v>85</v>
      </c>
      <c r="V248" s="69" t="s">
        <v>85</v>
      </c>
      <c r="W248" s="69" t="s">
        <v>85</v>
      </c>
      <c r="X248" s="69" t="s">
        <v>84</v>
      </c>
      <c r="Y248" s="69" t="s">
        <v>85</v>
      </c>
      <c r="Z248" s="69" t="s">
        <v>85</v>
      </c>
      <c r="AA248" s="69" t="s">
        <v>85</v>
      </c>
      <c r="AB248" s="69" t="s">
        <v>85</v>
      </c>
      <c r="AC248" s="69" t="s">
        <v>85</v>
      </c>
      <c r="AD248" s="38" t="str">
        <f>+IF(ISERROR(VLOOKUP($B248,AD$10:AD247,1,0)),IF(AND($N248&gt;=1000,$A248&gt;=AO$8,$A248&lt;=AO$9),$B248,""),"")</f>
        <v/>
      </c>
      <c r="AE248" s="38" t="str">
        <f>+IF(ISERROR(VLOOKUP($B248,AE$10:AE247,1,0)),IF(AND($N248&gt;=1000,$A248&gt;=AP$8,$A248&lt;=AP$9),$B248,""),"")</f>
        <v/>
      </c>
      <c r="AF248" s="38" t="str">
        <f>+IF(ISERROR(VLOOKUP($B248,AF$10:AF247,1,0)),IF(AND($N248&gt;=1000,$A248&gt;=AQ$8,$A248&lt;=AQ$9),$B248,""),"")</f>
        <v/>
      </c>
      <c r="AG248" s="38" t="str">
        <f>+IF(ISERROR(VLOOKUP($B248,AG$10:AG247,1,0)),IF(AND($N248&gt;=1000,$A248&gt;=AR$8,$A248&lt;=AR$9),$B248,""),"")</f>
        <v/>
      </c>
      <c r="AH248" s="38"/>
      <c r="AI248" s="70">
        <v>0</v>
      </c>
      <c r="AJ248" s="38">
        <f>IF(AND(AJ$7="○",$A248&gt;=AJ$8,$A248&lt;=AJ$9),IF(SUM(AJ$10:AJ247)-ROUNDDOWN($K248*AJ$5/100,0)&lt;-AJ$6,-AJ$6-SUM(AJ$10:AJ247),-ROUNDDOWN($K248*AJ$5/100,0)),0)</f>
        <v>0</v>
      </c>
      <c r="AK248" s="38">
        <f>IF(AND(AK$7="○",$A248&gt;=AK$8,$A248&lt;=AK$9),IF(SUM(AK$10:AK247)-ROUNDDOWN($L248*AK$5/100,0)&lt;-AK$6,-AK$6-SUM(AK$10:AK247),-ROUNDDOWN($L248*AK$5/100,0)),0)</f>
        <v>0</v>
      </c>
      <c r="AL248" s="38">
        <f>IF(AND(AL$7="○",$A248&gt;=AL$8,$A248&lt;=AL$9),IF(SUM(AL$10:AL247)-ROUNDDOWN($N248*AL$5/100,0)&lt;-AL$6,-AL$6-SUM(AL$10:AL247),-ROUNDDOWN($N248*AL$5/100,0)),0)</f>
        <v>0</v>
      </c>
      <c r="AM248" s="38">
        <f>IF(AND(AM$7="○",$A248&gt;=AM$8,$A248&lt;=AM$9),IF(SUM(AM$10:AM247)-ROUNDDOWN($L248*AM$5/100,0)&lt;-AM$6,-AM$6-SUM(AM$10:AM247),-ROUNDDOWN($L248*AM$5/100,0)),0)</f>
        <v>0</v>
      </c>
      <c r="AN248" s="38">
        <f>IF(AND(AN$7="○",$A248&gt;=AN$8,$A248&lt;=AN$9),IF(SUM(AN$10:AN247)-ROUNDDOWN($M248*AN$5/100,0)&lt;-AN$6,-AN$6-SUM(AN$10:AN247),-ROUNDDOWN($M248*AN$5/100,0)),0)</f>
        <v>0</v>
      </c>
      <c r="AO248" s="38">
        <f>IF(AND($A248&gt;=AO$8,$A248&lt;=AO$9),IF(SUM(AO$10:AO247)-ROUNDDOWN($K248*AO$5/100,0)&lt;-AO$6,-AO$6-SUM(AO$10:AO247),-ROUNDDOWN($K248*AO$5/100,0)),0)</f>
        <v>0</v>
      </c>
      <c r="AP248" s="38">
        <f>IF(AND($A248&gt;=AP$8,$A248&lt;=AP$9),IF(SUM(AP$10:AP247)-ROUNDDOWN($K248*AP$5/100,0)&lt;-AP$6,-AP$6-SUM(AP$10:AP247),-ROUNDDOWN($K248*AP$5/100,0)),0)</f>
        <v>0</v>
      </c>
      <c r="AQ248" s="38">
        <f>IF(AND($A248&gt;=AQ$8,$A248&lt;=AQ$9),IF(SUM(AQ$10:AQ247)-ROUNDDOWN($K248*AQ$5/100,0)&lt;-AQ$6,-AQ$6-SUM(AQ$10:AQ247),-ROUNDDOWN($K248*AQ$5/100,0)),0)</f>
        <v>0</v>
      </c>
      <c r="AR248" s="38">
        <f>IF(AND($A248&gt;=AR$8,$A248&lt;=AR$9),IF(SUM(AR$10:AR247)-ROUNDDOWN($K248*AR$5/100,0)&lt;-AR$6,-AR$6-SUM(AR$10:AR247),-ROUNDDOWN($K248*AR$5/100,0)),0)</f>
        <v>0</v>
      </c>
      <c r="AS248" s="38">
        <f>IF(SUMIFS(AS$10:AS247,$A$10:$A247,$A248)-ROUNDDOWN($K248*$S248/100,0)&lt;-$S248*1000,-$S248*1000-SUMIFS(AS$10:AS247,$A$10:$A247,$A248),-ROUNDDOWN($K248*$S248/100,0))</f>
        <v>0</v>
      </c>
      <c r="AT248" s="38">
        <f>IF(AND(X248="○",$A248&gt;=AT$8,$A248&lt;=AT$9,K248&gt;=3980),IF(SUM(AT$10:AT247)-ROUNDDOWN($K248*AT$5/100,0)&lt;-AT$6,-AT$6-SUM(AT$10:AT247),-ROUNDDOWN($K248*AT$5/100,0)),0)</f>
        <v>0</v>
      </c>
      <c r="AU248" s="38">
        <f>IF(O248="○",IF(SUM(AU$10:AU247)-ROUNDDOWN($K248*AU$5/100,0)&lt;-AU$6,-AU$6-SUM(AU$10:AU247),-ROUNDDOWN($K248*AU$5/100,0)),0)</f>
        <v>0</v>
      </c>
      <c r="AV248" s="38">
        <f>IF(P248="○",IF(SUM(AV$10:AV247)-ROUNDDOWN($K248*AV$5/100,0)&lt;-AV$6,-AV$6-SUM(AV$10:AV247),-ROUNDDOWN($K248*AV$5/100,0)),0)</f>
        <v>0</v>
      </c>
      <c r="AW248" s="38">
        <f>IF(Q248="○",IF(SUM(AW$10:AW247)-ROUNDDOWN($K248*AW$5/100,0)&lt;-AW$6,-AW$6-SUM(AW$10:AW247),-ROUNDDOWN($K248*AW$5/100,0)),0)</f>
        <v>0</v>
      </c>
      <c r="AX248" s="38">
        <f>IF(R248="○",IF(SUM(AX$10:AX247)-ROUNDDOWN($K248*AX$5/100,0)&lt;-AX$6,-AX$6-SUM(AX$10:AX247),-ROUNDDOWN($K248*AX$5/100,0)),0)</f>
        <v>0</v>
      </c>
      <c r="AY248" s="70">
        <v>0</v>
      </c>
      <c r="AZ248" s="65">
        <f t="shared" si="178"/>
        <v>0</v>
      </c>
      <c r="BA248" s="65">
        <f t="shared" si="179"/>
        <v>0</v>
      </c>
      <c r="BB248" s="70"/>
      <c r="BC248" s="65">
        <f t="shared" si="180"/>
        <v>0</v>
      </c>
      <c r="BD248" s="70">
        <v>0</v>
      </c>
      <c r="BE248" s="65">
        <f t="shared" si="181"/>
        <v>0</v>
      </c>
      <c r="BF248" s="70">
        <v>0</v>
      </c>
      <c r="BG248" s="65">
        <f t="shared" si="182"/>
        <v>0</v>
      </c>
      <c r="BH248" s="70">
        <v>0</v>
      </c>
      <c r="BI248" s="65">
        <f t="shared" si="183"/>
        <v>0</v>
      </c>
      <c r="BJ248" s="38">
        <f>IF(AND(BJ$7="○",$A248&gt;=BJ$8,$A248&lt;=BJ$9),IF(SUM(BJ$10:BJ247)-ROUNDDOWN($M248*BJ$5/100,0)&lt;-BJ$6,-BJ$6-SUM(BJ$10:BJ247),-ROUNDDOWN($M248*BJ$5/100,0)),0)</f>
        <v>0</v>
      </c>
      <c r="BK248" s="38">
        <f>IF(AND(BK$7="○",$A248&gt;=BK$8,$A248&lt;=BK$9),IF(SUM(BK$10:BK247)-ROUNDDOWN($L248*BK$5/100,0)&lt;-BK$6,-BK$6-SUM(BK$10:BK247),-ROUNDDOWN($L248*BK$5/100,0)),0)</f>
        <v>0</v>
      </c>
      <c r="BL248" s="38">
        <f>IF(AND(BL$7="○",$A248&gt;=BL$8,$A248&lt;=BL$9),IF(SUM(BL$10:BL247)-ROUNDDOWN($L248*BL$5/100,0)&lt;-BL$6,-BL$6-SUM(BL$10:BL247),-ROUNDDOWN($L248*BL$5/100,0)),0)</f>
        <v>0</v>
      </c>
      <c r="BM248" s="38">
        <f>IF(AND(BM$7="○",$A248&gt;=BM$8,$A248&lt;=BM$9),IF(SUM(BM$10:BM247)-ROUNDDOWN($M248*BM$5/100,0)&lt;-BM$6,-BM$6-SUM(BM$10:BM247),-ROUNDDOWN($M248*BM$5/100,0)),0)</f>
        <v>0</v>
      </c>
      <c r="BN248" s="38">
        <f>IF(AND(BN$7="○",$A248&gt;=BN$8,$A248&lt;=BN$9),IF(SUM(BN$10:BN247)-ROUNDDOWN($M248*BN$5/100,0)&lt;-BN$6,-BN$6-SUM(BN$10:BN247),-ROUNDDOWN($M248*BN$5/100,0)),0)</f>
        <v>0</v>
      </c>
      <c r="BO248" s="38">
        <f>IF(AND(BO$7="○",$A248&gt;=BO$8,$A248&lt;=BO$9),IF(SUM(BO$10:BO247)-ROUNDDOWN($M248*BO$5/100,0)&lt;-BO$6,-BO$6-SUM(BO$10:BO247),-ROUNDDOWN($M248*BO$5/100,0)),0)</f>
        <v>0</v>
      </c>
      <c r="BP248" s="38">
        <f>IF(AND(BP$7="○",$A248&gt;=BP$8,$A248&lt;=BP$9),IF(SUM(BP$10:BP247)-ROUNDDOWN($M248*BP$5/100,0)&lt;-BP$6,-BP$6-SUM(BP$10:BP247),-ROUNDDOWN($M248*BP$5/100,0)),0)</f>
        <v>0</v>
      </c>
      <c r="BQ248" s="38">
        <f>IF(AND(BQ$7="○",$A248&gt;=BQ$8,$A248&lt;=BQ$9),IF(SUM(BQ$10:BQ247)-ROUNDDOWN($L248*BQ$5/100,0)&lt;-BQ$6,-BQ$6-SUM(BQ$10:BQ247),-ROUNDDOWN($L248*BQ$5/100,0)),0)</f>
        <v>0</v>
      </c>
      <c r="BR248" s="38">
        <f>IF(AND(BR$7="○",$A248&gt;=BR$8,$A248&lt;=BR$9),IF(SUM(BR$10:BR247)-ROUNDDOWN($M248*BR$5/100,0)&lt;-BR$6,-BR$6-SUM(BR$10:BR247),-ROUNDDOWN($M248*BR$5/100,0)),0)</f>
        <v>0</v>
      </c>
      <c r="BS248" s="38">
        <f>IF(AND(BS$7="○",$A248&gt;=BS$8,$A248&lt;=BS$9),IF(SUM(BS$10:BS247)-ROUNDDOWN($M248*BS$5/100,0)&lt;-BS$6,-BS$6-SUM(BS$10:BS247),-ROUNDDOWN($M248*BS$5/100,0)),0)</f>
        <v>0</v>
      </c>
      <c r="BT248" s="38">
        <f>IF(AND(BT$7="○",$A248&gt;=BT$8,$A248&lt;=BT$9),IF(SUM(BT$10:BT247)-ROUNDDOWN($M248*BT$5/100,0)&lt;-BT$6,-BT$6-SUM(BT$10:BT247),-ROUNDDOWN($M248*BT$5/100,0)),0)</f>
        <v>0</v>
      </c>
      <c r="BU248" s="38">
        <f>IF(AND(BU$7="○",$A248&gt;=BU$8,$A248&lt;=BU$9),IF(SUM(BU$10:BU247)-ROUNDDOWN($M248*BU$5/100,0)&lt;-BU$6,-BU$6-SUM(BU$10:BU247),-ROUNDDOWN($M248*BU$5/100,0)),0)</f>
        <v>0</v>
      </c>
      <c r="BV248" s="38">
        <f>IF(AND(BV$7="○",$A248&gt;=BV$8,$A248&lt;=BV$9),IF(SUM(BV$10:BV247)-ROUNDDOWN($M248*BV$5/100,0)&lt;-BV$6,-BV$6-SUM(BV$10:BV247),-ROUNDDOWN($M248*BV$5/100,0)),0)</f>
        <v>0</v>
      </c>
      <c r="BW248" s="38">
        <f>IF(AND(BW$7="○",$A248&gt;=BW$8,$A248&lt;=BW$9),IF(SUM(BW$10:BW247)-ROUNDDOWN($M248*BW$5/100,0)&lt;-BW$6,-BW$6-SUM(BW$10:BW247),-ROUNDDOWN($M248*BW$5/100,0)),0)</f>
        <v>0</v>
      </c>
      <c r="BX248" s="38">
        <f>IF(AND(T248="○",$A248&gt;=BX$8,$A248&lt;=BX$9),IF(SUM(BX$10:BX247)-ROUNDDOWN($K248*BX$5/100,0)&lt;-BX$6,-BX$6-SUM(BX$10:BX247),-ROUNDDOWN($K248*BX$5/100,0)),0)</f>
        <v>0</v>
      </c>
      <c r="BY248" s="38">
        <f>IF(AND(U248="○",$A248&gt;=BY$8,$A248&lt;=BY$9),IF(SUM(BY$10:BY247)-ROUNDDOWN($K248*BY$5/100,0)&lt;-BY$6,-BY$6-SUM(BY$10:BY247),-ROUNDDOWN($K248*BY$5/100,0)),0)</f>
        <v>0</v>
      </c>
      <c r="BZ248" s="38">
        <f>IF(AND(V248="○",$A248&gt;=BZ$8,$A248&lt;=BZ$9),IF(SUM(BZ$10:BZ247)-ROUNDDOWN($K248*BZ$5/100,0)&lt;-BZ$6,-BZ$6-SUM(BZ$10:BZ247),-ROUNDDOWN($K248*BZ$5/100,0)),0)</f>
        <v>0</v>
      </c>
      <c r="CA248" s="38">
        <f>IF(AND(W248="○",$A248&gt;=CA$8,$A248&lt;=CA$9),IF(SUM(CA$10:CA247)-ROUNDDOWN($K248*CA$5/100,0)&lt;-CA$6,-CA$6-SUM(CA$10:CA247),-ROUNDDOWN($K248*CA$5/100,0)),0)</f>
        <v>0</v>
      </c>
      <c r="CB248" s="38"/>
      <c r="CC248" s="38"/>
      <c r="CD248" s="38"/>
      <c r="CE248" s="38"/>
      <c r="CF248" s="38"/>
      <c r="CG248" s="65">
        <f t="shared" si="184"/>
        <v>0</v>
      </c>
      <c r="CH248" s="71">
        <f t="shared" si="185"/>
        <v>0</v>
      </c>
      <c r="CI248" s="1">
        <f t="shared" si="19"/>
        <v>0</v>
      </c>
      <c r="CJ248" s="1"/>
      <c r="CK248" s="2"/>
      <c r="CL248" s="2"/>
      <c r="CM248" s="2"/>
      <c r="CN248" s="2"/>
      <c r="CO248" s="73">
        <f t="shared" si="20"/>
        <v>0</v>
      </c>
      <c r="CP248" s="5">
        <f t="shared" si="21"/>
        <v>0</v>
      </c>
      <c r="CQ248" s="1"/>
      <c r="CR248" s="1">
        <f t="shared" si="22"/>
        <v>0</v>
      </c>
      <c r="CS248" s="1"/>
      <c r="CT248" s="1" t="e">
        <f>INDEX([2]マスタ!$A:$A,MATCH(D248,[2]マスタ!$C:$C,0))</f>
        <v>#N/A</v>
      </c>
      <c r="CU248" s="1" t="str">
        <f t="shared" ca="1" si="23"/>
        <v>20260620_0-0</v>
      </c>
    </row>
    <row r="249" spans="1:99" x14ac:dyDescent="0.4">
      <c r="A249" s="61"/>
      <c r="B249" s="62"/>
      <c r="C249" s="62"/>
      <c r="D249" s="62"/>
      <c r="E249" s="63"/>
      <c r="F249" s="62"/>
      <c r="G249" s="62">
        <v>1</v>
      </c>
      <c r="H249" s="64">
        <f t="shared" si="4"/>
        <v>0</v>
      </c>
      <c r="I249" s="64"/>
      <c r="J249" s="78"/>
      <c r="K249" s="65">
        <f t="shared" si="195"/>
        <v>0</v>
      </c>
      <c r="L249" s="65">
        <f t="shared" si="6"/>
        <v>0</v>
      </c>
      <c r="M249" s="65">
        <f t="shared" si="7"/>
        <v>0</v>
      </c>
      <c r="N249" s="65">
        <f t="shared" si="8"/>
        <v>0</v>
      </c>
      <c r="O249" s="66" t="str">
        <f t="shared" si="189"/>
        <v>✕</v>
      </c>
      <c r="P249" s="67" t="str">
        <f t="shared" si="190"/>
        <v>○</v>
      </c>
      <c r="Q249" s="67" t="str">
        <f t="shared" si="196"/>
        <v>✕</v>
      </c>
      <c r="R249" s="67" t="str">
        <f t="shared" si="192"/>
        <v>✕</v>
      </c>
      <c r="S249" s="68">
        <v>0</v>
      </c>
      <c r="T249" s="69" t="s">
        <v>85</v>
      </c>
      <c r="U249" s="69" t="s">
        <v>85</v>
      </c>
      <c r="V249" s="69" t="s">
        <v>85</v>
      </c>
      <c r="W249" s="69" t="s">
        <v>85</v>
      </c>
      <c r="X249" s="69" t="s">
        <v>84</v>
      </c>
      <c r="Y249" s="69" t="s">
        <v>85</v>
      </c>
      <c r="Z249" s="69" t="s">
        <v>85</v>
      </c>
      <c r="AA249" s="69" t="s">
        <v>85</v>
      </c>
      <c r="AB249" s="69" t="s">
        <v>85</v>
      </c>
      <c r="AC249" s="69" t="s">
        <v>85</v>
      </c>
      <c r="AD249" s="38" t="str">
        <f>+IF(ISERROR(VLOOKUP($B249,AD$10:AD248,1,0)),IF(AND($N249&gt;=1000,$A249&gt;=AO$8,$A249&lt;=AO$9),$B249,""),"")</f>
        <v/>
      </c>
      <c r="AE249" s="38" t="str">
        <f>+IF(ISERROR(VLOOKUP($B249,AE$10:AE248,1,0)),IF(AND($N249&gt;=1000,$A249&gt;=AP$8,$A249&lt;=AP$9),$B249,""),"")</f>
        <v/>
      </c>
      <c r="AF249" s="38" t="str">
        <f>+IF(ISERROR(VLOOKUP($B249,AF$10:AF248,1,0)),IF(AND($N249&gt;=1000,$A249&gt;=AQ$8,$A249&lt;=AQ$9),$B249,""),"")</f>
        <v/>
      </c>
      <c r="AG249" s="38" t="str">
        <f>+IF(ISERROR(VLOOKUP($B249,AG$10:AG248,1,0)),IF(AND($N249&gt;=1000,$A249&gt;=AR$8,$A249&lt;=AR$9),$B249,""),"")</f>
        <v/>
      </c>
      <c r="AH249" s="38"/>
      <c r="AI249" s="70">
        <v>0</v>
      </c>
      <c r="AJ249" s="38">
        <f>IF(AND(AJ$7="○",$A249&gt;=AJ$8,$A249&lt;=AJ$9),IF(SUM(AJ$10:AJ248)-ROUNDDOWN($K249*AJ$5/100,0)&lt;-AJ$6,-AJ$6-SUM(AJ$10:AJ248),-ROUNDDOWN($K249*AJ$5/100,0)),0)</f>
        <v>0</v>
      </c>
      <c r="AK249" s="38">
        <f>IF(AND(AK$7="○",$A249&gt;=AK$8,$A249&lt;=AK$9),IF(SUM(AK$10:AK248)-ROUNDDOWN($L249*AK$5/100,0)&lt;-AK$6,-AK$6-SUM(AK$10:AK248),-ROUNDDOWN($L249*AK$5/100,0)),0)</f>
        <v>0</v>
      </c>
      <c r="AL249" s="38">
        <f>IF(AND(AL$7="○",$A249&gt;=AL$8,$A249&lt;=AL$9),IF(SUM(AL$10:AL248)-ROUNDDOWN($N249*AL$5/100,0)&lt;-AL$6,-AL$6-SUM(AL$10:AL248),-ROUNDDOWN($N249*AL$5/100,0)),0)</f>
        <v>0</v>
      </c>
      <c r="AM249" s="38">
        <f>IF(AND(AM$7="○",$A249&gt;=AM$8,$A249&lt;=AM$9),IF(SUM(AM$10:AM248)-ROUNDDOWN($L249*AM$5/100,0)&lt;-AM$6,-AM$6-SUM(AM$10:AM248),-ROUNDDOWN($L249*AM$5/100,0)),0)</f>
        <v>0</v>
      </c>
      <c r="AN249" s="38">
        <f>IF(AND(AN$7="○",$A249&gt;=AN$8,$A249&lt;=AN$9),IF(SUM(AN$10:AN248)-ROUNDDOWN($M249*AN$5/100,0)&lt;-AN$6,-AN$6-SUM(AN$10:AN248),-ROUNDDOWN($M249*AN$5/100,0)),0)</f>
        <v>0</v>
      </c>
      <c r="AO249" s="38">
        <f>IF(AND($A249&gt;=AO$8,$A249&lt;=AO$9),IF(SUM(AO$10:AO248)-ROUNDDOWN($K249*AO$5/100,0)&lt;-AO$6,-AO$6-SUM(AO$10:AO248),-ROUNDDOWN($K249*AO$5/100,0)),0)</f>
        <v>0</v>
      </c>
      <c r="AP249" s="38">
        <f>IF(AND($A249&gt;=AP$8,$A249&lt;=AP$9),IF(SUM(AP$10:AP248)-ROUNDDOWN($K249*AP$5/100,0)&lt;-AP$6,-AP$6-SUM(AP$10:AP248),-ROUNDDOWN($K249*AP$5/100,0)),0)</f>
        <v>0</v>
      </c>
      <c r="AQ249" s="38">
        <f>IF(AND($A249&gt;=AQ$8,$A249&lt;=AQ$9),IF(SUM(AQ$10:AQ248)-ROUNDDOWN($K249*AQ$5/100,0)&lt;-AQ$6,-AQ$6-SUM(AQ$10:AQ248),-ROUNDDOWN($K249*AQ$5/100,0)),0)</f>
        <v>0</v>
      </c>
      <c r="AR249" s="38">
        <f>IF(AND($A249&gt;=AR$8,$A249&lt;=AR$9),IF(SUM(AR$10:AR248)-ROUNDDOWN($K249*AR$5/100,0)&lt;-AR$6,-AR$6-SUM(AR$10:AR248),-ROUNDDOWN($K249*AR$5/100,0)),0)</f>
        <v>0</v>
      </c>
      <c r="AS249" s="38">
        <f>IF(SUMIFS(AS$10:AS248,$A$10:$A248,$A249)-ROUNDDOWN($K249*$S249/100,0)&lt;-$S249*1000,-$S249*1000-SUMIFS(AS$10:AS248,$A$10:$A248,$A249),-ROUNDDOWN($K249*$S249/100,0))</f>
        <v>0</v>
      </c>
      <c r="AT249" s="38">
        <f>IF(AND(X249="○",$A249&gt;=AT$8,$A249&lt;=AT$9,K249&gt;=3980),IF(SUM(AT$10:AT248)-ROUNDDOWN($K249*AT$5/100,0)&lt;-AT$6,-AT$6-SUM(AT$10:AT248),-ROUNDDOWN($K249*AT$5/100,0)),0)</f>
        <v>0</v>
      </c>
      <c r="AU249" s="38">
        <f>IF(O249="○",IF(SUM(AU$10:AU248)-ROUNDDOWN($K249*AU$5/100,0)&lt;-AU$6,-AU$6-SUM(AU$10:AU248),-ROUNDDOWN($K249*AU$5/100,0)),0)</f>
        <v>0</v>
      </c>
      <c r="AV249" s="38">
        <f>IF(P249="○",IF(SUM(AV$10:AV248)-ROUNDDOWN($K249*AV$5/100,0)&lt;-AV$6,-AV$6-SUM(AV$10:AV248),-ROUNDDOWN($K249*AV$5/100,0)),0)</f>
        <v>0</v>
      </c>
      <c r="AW249" s="38">
        <f>IF(Q249="○",IF(SUM(AW$10:AW248)-ROUNDDOWN($K249*AW$5/100,0)&lt;-AW$6,-AW$6-SUM(AW$10:AW248),-ROUNDDOWN($K249*AW$5/100,0)),0)</f>
        <v>0</v>
      </c>
      <c r="AX249" s="38">
        <f>IF(R249="○",IF(SUM(AX$10:AX248)-ROUNDDOWN($K249*AX$5/100,0)&lt;-AX$6,-AX$6-SUM(AX$10:AX248),-ROUNDDOWN($K249*AX$5/100,0)),0)</f>
        <v>0</v>
      </c>
      <c r="AY249" s="70">
        <v>0</v>
      </c>
      <c r="AZ249" s="65">
        <f t="shared" si="178"/>
        <v>0</v>
      </c>
      <c r="BA249" s="65">
        <f t="shared" si="179"/>
        <v>0</v>
      </c>
      <c r="BB249" s="70"/>
      <c r="BC249" s="65">
        <f t="shared" si="180"/>
        <v>0</v>
      </c>
      <c r="BD249" s="70">
        <v>0</v>
      </c>
      <c r="BE249" s="65">
        <f t="shared" si="181"/>
        <v>0</v>
      </c>
      <c r="BF249" s="70">
        <v>0</v>
      </c>
      <c r="BG249" s="65">
        <f t="shared" si="182"/>
        <v>0</v>
      </c>
      <c r="BH249" s="70">
        <v>0</v>
      </c>
      <c r="BI249" s="65">
        <f t="shared" si="183"/>
        <v>0</v>
      </c>
      <c r="BJ249" s="38">
        <f>IF(AND(BJ$7="○",$A249&gt;=BJ$8,$A249&lt;=BJ$9),IF(SUM(BJ$10:BJ248)-ROUNDDOWN($M249*BJ$5/100,0)&lt;-BJ$6,-BJ$6-SUM(BJ$10:BJ248),-ROUNDDOWN($M249*BJ$5/100,0)),0)</f>
        <v>0</v>
      </c>
      <c r="BK249" s="38">
        <f>IF(AND(BK$7="○",$A249&gt;=BK$8,$A249&lt;=BK$9),IF(SUM(BK$10:BK248)-ROUNDDOWN($L249*BK$5/100,0)&lt;-BK$6,-BK$6-SUM(BK$10:BK248),-ROUNDDOWN($L249*BK$5/100,0)),0)</f>
        <v>0</v>
      </c>
      <c r="BL249" s="38">
        <f>IF(AND(BL$7="○",$A249&gt;=BL$8,$A249&lt;=BL$9),IF(SUM(BL$10:BL248)-ROUNDDOWN($L249*BL$5/100,0)&lt;-BL$6,-BL$6-SUM(BL$10:BL248),-ROUNDDOWN($L249*BL$5/100,0)),0)</f>
        <v>0</v>
      </c>
      <c r="BM249" s="38">
        <f>IF(AND(BM$7="○",$A249&gt;=BM$8,$A249&lt;=BM$9),IF(SUM(BM$10:BM248)-ROUNDDOWN($M249*BM$5/100,0)&lt;-BM$6,-BM$6-SUM(BM$10:BM248),-ROUNDDOWN($M249*BM$5/100,0)),0)</f>
        <v>0</v>
      </c>
      <c r="BN249" s="38">
        <f>IF(AND(BN$7="○",$A249&gt;=BN$8,$A249&lt;=BN$9),IF(SUM(BN$10:BN248)-ROUNDDOWN($M249*BN$5/100,0)&lt;-BN$6,-BN$6-SUM(BN$10:BN248),-ROUNDDOWN($M249*BN$5/100,0)),0)</f>
        <v>0</v>
      </c>
      <c r="BO249" s="38">
        <f>IF(AND(BO$7="○",$A249&gt;=BO$8,$A249&lt;=BO$9),IF(SUM(BO$10:BO248)-ROUNDDOWN($M249*BO$5/100,0)&lt;-BO$6,-BO$6-SUM(BO$10:BO248),-ROUNDDOWN($M249*BO$5/100,0)),0)</f>
        <v>0</v>
      </c>
      <c r="BP249" s="38">
        <f>IF(AND(BP$7="○",$A249&gt;=BP$8,$A249&lt;=BP$9),IF(SUM(BP$10:BP248)-ROUNDDOWN($M249*BP$5/100,0)&lt;-BP$6,-BP$6-SUM(BP$10:BP248),-ROUNDDOWN($M249*BP$5/100,0)),0)</f>
        <v>0</v>
      </c>
      <c r="BQ249" s="38">
        <f>IF(AND(BQ$7="○",$A249&gt;=BQ$8,$A249&lt;=BQ$9),IF(SUM(BQ$10:BQ248)-ROUNDDOWN($L249*BQ$5/100,0)&lt;-BQ$6,-BQ$6-SUM(BQ$10:BQ248),-ROUNDDOWN($L249*BQ$5/100,0)),0)</f>
        <v>0</v>
      </c>
      <c r="BR249" s="38">
        <f>IF(AND(BR$7="○",$A249&gt;=BR$8,$A249&lt;=BR$9),IF(SUM(BR$10:BR248)-ROUNDDOWN($M249*BR$5/100,0)&lt;-BR$6,-BR$6-SUM(BR$10:BR248),-ROUNDDOWN($M249*BR$5/100,0)),0)</f>
        <v>0</v>
      </c>
      <c r="BS249" s="38">
        <f>IF(AND(BS$7="○",$A249&gt;=BS$8,$A249&lt;=BS$9),IF(SUM(BS$10:BS248)-ROUNDDOWN($M249*BS$5/100,0)&lt;-BS$6,-BS$6-SUM(BS$10:BS248),-ROUNDDOWN($M249*BS$5/100,0)),0)</f>
        <v>0</v>
      </c>
      <c r="BT249" s="38">
        <f>IF(AND(BT$7="○",$A249&gt;=BT$8,$A249&lt;=BT$9),IF(SUM(BT$10:BT248)-ROUNDDOWN($M249*BT$5/100,0)&lt;-BT$6,-BT$6-SUM(BT$10:BT248),-ROUNDDOWN($M249*BT$5/100,0)),0)</f>
        <v>0</v>
      </c>
      <c r="BU249" s="38">
        <f>IF(AND(BU$7="○",$A249&gt;=BU$8,$A249&lt;=BU$9),IF(SUM(BU$10:BU248)-ROUNDDOWN($M249*BU$5/100,0)&lt;-BU$6,-BU$6-SUM(BU$10:BU248),-ROUNDDOWN($M249*BU$5/100,0)),0)</f>
        <v>0</v>
      </c>
      <c r="BV249" s="38">
        <f>IF(AND(BV$7="○",$A249&gt;=BV$8,$A249&lt;=BV$9),IF(SUM(BV$10:BV248)-ROUNDDOWN($M249*BV$5/100,0)&lt;-BV$6,-BV$6-SUM(BV$10:BV248),-ROUNDDOWN($M249*BV$5/100,0)),0)</f>
        <v>0</v>
      </c>
      <c r="BW249" s="38">
        <f>IF(AND(BW$7="○",$A249&gt;=BW$8,$A249&lt;=BW$9),IF(SUM(BW$10:BW248)-ROUNDDOWN($M249*BW$5/100,0)&lt;-BW$6,-BW$6-SUM(BW$10:BW248),-ROUNDDOWN($M249*BW$5/100,0)),0)</f>
        <v>0</v>
      </c>
      <c r="BX249" s="38">
        <f>IF(AND(T249="○",$A249&gt;=BX$8,$A249&lt;=BX$9),IF(SUM(BX$10:BX248)-ROUNDDOWN($K249*BX$5/100,0)&lt;-BX$6,-BX$6-SUM(BX$10:BX248),-ROUNDDOWN($K249*BX$5/100,0)),0)</f>
        <v>0</v>
      </c>
      <c r="BY249" s="38">
        <f>IF(AND(U249="○",$A249&gt;=BY$8,$A249&lt;=BY$9),IF(SUM(BY$10:BY248)-ROUNDDOWN($K249*BY$5/100,0)&lt;-BY$6,-BY$6-SUM(BY$10:BY248),-ROUNDDOWN($K249*BY$5/100,0)),0)</f>
        <v>0</v>
      </c>
      <c r="BZ249" s="38">
        <f>IF(AND(V249="○",$A249&gt;=BZ$8,$A249&lt;=BZ$9),IF(SUM(BZ$10:BZ248)-ROUNDDOWN($K249*BZ$5/100,0)&lt;-BZ$6,-BZ$6-SUM(BZ$10:BZ248),-ROUNDDOWN($K249*BZ$5/100,0)),0)</f>
        <v>0</v>
      </c>
      <c r="CA249" s="38">
        <f>IF(AND(W249="○",$A249&gt;=CA$8,$A249&lt;=CA$9),IF(SUM(CA$10:CA248)-ROUNDDOWN($K249*CA$5/100,0)&lt;-CA$6,-CA$6-SUM(CA$10:CA248),-ROUNDDOWN($K249*CA$5/100,0)),0)</f>
        <v>0</v>
      </c>
      <c r="CB249" s="38"/>
      <c r="CC249" s="38"/>
      <c r="CD249" s="38"/>
      <c r="CE249" s="38"/>
      <c r="CF249" s="38"/>
      <c r="CG249" s="65">
        <f t="shared" si="184"/>
        <v>0</v>
      </c>
      <c r="CH249" s="71">
        <f t="shared" si="185"/>
        <v>0</v>
      </c>
      <c r="CI249" s="1">
        <f t="shared" si="19"/>
        <v>0</v>
      </c>
      <c r="CJ249" s="1"/>
      <c r="CK249" s="79"/>
      <c r="CL249" s="79"/>
      <c r="CM249" s="2"/>
      <c r="CN249" s="2"/>
      <c r="CO249" s="73">
        <f t="shared" si="20"/>
        <v>0</v>
      </c>
      <c r="CP249" s="5">
        <f t="shared" si="21"/>
        <v>0</v>
      </c>
      <c r="CQ249" s="1"/>
      <c r="CR249" s="1">
        <f t="shared" si="22"/>
        <v>0</v>
      </c>
      <c r="CS249" s="1"/>
      <c r="CT249" s="1" t="e">
        <f>INDEX([2]マスタ!$A:$A,MATCH(D249,[2]マスタ!$C:$C,0))</f>
        <v>#N/A</v>
      </c>
      <c r="CU249" s="1" t="str">
        <f t="shared" ca="1" si="23"/>
        <v>20260620_0-0</v>
      </c>
    </row>
    <row r="250" spans="1:99" x14ac:dyDescent="0.4">
      <c r="A250" s="61"/>
      <c r="B250" s="62"/>
      <c r="C250" s="62"/>
      <c r="D250" s="62"/>
      <c r="E250" s="63"/>
      <c r="F250" s="62"/>
      <c r="G250" s="62">
        <v>1</v>
      </c>
      <c r="H250" s="64">
        <f t="shared" si="4"/>
        <v>0</v>
      </c>
      <c r="I250" s="64"/>
      <c r="J250" s="64"/>
      <c r="K250" s="65">
        <f t="shared" si="195"/>
        <v>0</v>
      </c>
      <c r="L250" s="65">
        <f t="shared" si="6"/>
        <v>0</v>
      </c>
      <c r="M250" s="65">
        <f t="shared" si="7"/>
        <v>0</v>
      </c>
      <c r="N250" s="65">
        <f t="shared" si="8"/>
        <v>0</v>
      </c>
      <c r="O250" s="66" t="str">
        <f t="shared" si="189"/>
        <v>✕</v>
      </c>
      <c r="P250" s="67" t="str">
        <f t="shared" si="190"/>
        <v>○</v>
      </c>
      <c r="Q250" s="67" t="str">
        <f t="shared" si="196"/>
        <v>✕</v>
      </c>
      <c r="R250" s="67" t="str">
        <f t="shared" si="192"/>
        <v>✕</v>
      </c>
      <c r="S250" s="68">
        <v>0</v>
      </c>
      <c r="T250" s="69" t="s">
        <v>85</v>
      </c>
      <c r="U250" s="69" t="s">
        <v>85</v>
      </c>
      <c r="V250" s="69" t="s">
        <v>85</v>
      </c>
      <c r="W250" s="69" t="s">
        <v>85</v>
      </c>
      <c r="X250" s="69" t="s">
        <v>84</v>
      </c>
      <c r="Y250" s="69" t="s">
        <v>85</v>
      </c>
      <c r="Z250" s="69" t="s">
        <v>85</v>
      </c>
      <c r="AA250" s="69" t="s">
        <v>85</v>
      </c>
      <c r="AB250" s="69" t="s">
        <v>85</v>
      </c>
      <c r="AC250" s="69" t="s">
        <v>85</v>
      </c>
      <c r="AD250" s="38" t="str">
        <f>+IF(ISERROR(VLOOKUP($B250,AD$10:AD249,1,0)),IF(AND($N250&gt;=1000,$A250&gt;=AO$8,$A250&lt;=AO$9),$B250,""),"")</f>
        <v/>
      </c>
      <c r="AE250" s="38" t="str">
        <f>+IF(ISERROR(VLOOKUP($B250,AE$10:AE249,1,0)),IF(AND($N250&gt;=1000,$A250&gt;=AP$8,$A250&lt;=AP$9),$B250,""),"")</f>
        <v/>
      </c>
      <c r="AF250" s="38" t="str">
        <f>+IF(ISERROR(VLOOKUP($B250,AF$10:AF249,1,0)),IF(AND($N250&gt;=1000,$A250&gt;=AQ$8,$A250&lt;=AQ$9),$B250,""),"")</f>
        <v/>
      </c>
      <c r="AG250" s="38" t="str">
        <f>+IF(ISERROR(VLOOKUP($B250,AG$10:AG249,1,0)),IF(AND($N250&gt;=1000,$A250&gt;=AR$8,$A250&lt;=AR$9),$B250,""),"")</f>
        <v/>
      </c>
      <c r="AH250" s="38"/>
      <c r="AI250" s="70">
        <v>0</v>
      </c>
      <c r="AJ250" s="38">
        <f>IF(AND(AJ$7="○",$A250&gt;=AJ$8,$A250&lt;=AJ$9),IF(SUM(AJ$10:AJ249)-ROUNDDOWN($K250*AJ$5/100,0)&lt;-AJ$6,-AJ$6-SUM(AJ$10:AJ249),-ROUNDDOWN($K250*AJ$5/100,0)),0)</f>
        <v>0</v>
      </c>
      <c r="AK250" s="38">
        <f>IF(AND(AK$7="○",$A250&gt;=AK$8,$A250&lt;=AK$9),IF(SUM(AK$10:AK249)-ROUNDDOWN($L250*AK$5/100,0)&lt;-AK$6,-AK$6-SUM(AK$10:AK249),-ROUNDDOWN($L250*AK$5/100,0)),0)</f>
        <v>0</v>
      </c>
      <c r="AL250" s="38">
        <f>IF(AND(AL$7="○",$A250&gt;=AL$8,$A250&lt;=AL$9),IF(SUM(AL$10:AL249)-ROUNDDOWN($N250*AL$5/100,0)&lt;-AL$6,-AL$6-SUM(AL$10:AL249),-ROUNDDOWN($N250*AL$5/100,0)),0)</f>
        <v>0</v>
      </c>
      <c r="AM250" s="38">
        <f>IF(AND(AM$7="○",$A250&gt;=AM$8,$A250&lt;=AM$9),IF(SUM(AM$10:AM249)-ROUNDDOWN($L250*AM$5/100,0)&lt;-AM$6,-AM$6-SUM(AM$10:AM249),-ROUNDDOWN($L250*AM$5/100,0)),0)</f>
        <v>0</v>
      </c>
      <c r="AN250" s="38">
        <f>IF(AND(AN$7="○",$A250&gt;=AN$8,$A250&lt;=AN$9),IF(SUM(AN$10:AN249)-ROUNDDOWN($M250*AN$5/100,0)&lt;-AN$6,-AN$6-SUM(AN$10:AN249),-ROUNDDOWN($M250*AN$5/100,0)),0)</f>
        <v>0</v>
      </c>
      <c r="AO250" s="38">
        <f>IF(AND($A250&gt;=AO$8,$A250&lt;=AO$9),IF(SUM(AO$10:AO249)-ROUNDDOWN($K250*AO$5/100,0)&lt;-AO$6,-AO$6-SUM(AO$10:AO249),-ROUNDDOWN($K250*AO$5/100,0)),0)</f>
        <v>0</v>
      </c>
      <c r="AP250" s="38">
        <f>IF(AND($A250&gt;=AP$8,$A250&lt;=AP$9),IF(SUM(AP$10:AP249)-ROUNDDOWN($K250*AP$5/100,0)&lt;-AP$6,-AP$6-SUM(AP$10:AP249),-ROUNDDOWN($K250*AP$5/100,0)),0)</f>
        <v>0</v>
      </c>
      <c r="AQ250" s="38">
        <f>IF(AND($A250&gt;=AQ$8,$A250&lt;=AQ$9),IF(SUM(AQ$10:AQ249)-ROUNDDOWN($K250*AQ$5/100,0)&lt;-AQ$6,-AQ$6-SUM(AQ$10:AQ249),-ROUNDDOWN($K250*AQ$5/100,0)),0)</f>
        <v>0</v>
      </c>
      <c r="AR250" s="38">
        <f>IF(AND($A250&gt;=AR$8,$A250&lt;=AR$9),IF(SUM(AR$10:AR249)-ROUNDDOWN($K250*AR$5/100,0)&lt;-AR$6,-AR$6-SUM(AR$10:AR249),-ROUNDDOWN($K250*AR$5/100,0)),0)</f>
        <v>0</v>
      </c>
      <c r="AS250" s="38">
        <f>IF(SUMIFS(AS$10:AS249,$A$10:$A249,$A250)-ROUNDDOWN($K250*$S250/100,0)&lt;-$S250*1000,-$S250*1000-SUMIFS(AS$10:AS249,$A$10:$A249,$A250),-ROUNDDOWN($K250*$S250/100,0))</f>
        <v>0</v>
      </c>
      <c r="AT250" s="38">
        <f>IF(AND(X250="○",$A250&gt;=AT$8,$A250&lt;=AT$9,K250&gt;=3980),IF(SUM(AT$10:AT249)-ROUNDDOWN($K250*AT$5/100,0)&lt;-AT$6,-AT$6-SUM(AT$10:AT249),-ROUNDDOWN($K250*AT$5/100,0)),0)</f>
        <v>0</v>
      </c>
      <c r="AU250" s="38">
        <f>IF(O250="○",IF(SUM(AU$10:AU249)-ROUNDDOWN($K250*AU$5/100,0)&lt;-AU$6,-AU$6-SUM(AU$10:AU249),-ROUNDDOWN($K250*AU$5/100,0)),0)</f>
        <v>0</v>
      </c>
      <c r="AV250" s="38">
        <f>IF(P250="○",IF(SUM(AV$10:AV249)-ROUNDDOWN($K250*AV$5/100,0)&lt;-AV$6,-AV$6-SUM(AV$10:AV249),-ROUNDDOWN($K250*AV$5/100,0)),0)</f>
        <v>0</v>
      </c>
      <c r="AW250" s="38">
        <f>IF(Q250="○",IF(SUM(AW$10:AW249)-ROUNDDOWN($K250*AW$5/100,0)&lt;-AW$6,-AW$6-SUM(AW$10:AW249),-ROUNDDOWN($K250*AW$5/100,0)),0)</f>
        <v>0</v>
      </c>
      <c r="AX250" s="38">
        <f>IF(R250="○",IF(SUM(AX$10:AX249)-ROUNDDOWN($K250*AX$5/100,0)&lt;-AX$6,-AX$6-SUM(AX$10:AX249),-ROUNDDOWN($K250*AX$5/100,0)),0)</f>
        <v>0</v>
      </c>
      <c r="AY250" s="70">
        <v>0</v>
      </c>
      <c r="AZ250" s="65">
        <f t="shared" si="178"/>
        <v>0</v>
      </c>
      <c r="BA250" s="65">
        <f t="shared" si="179"/>
        <v>0</v>
      </c>
      <c r="BB250" s="70"/>
      <c r="BC250" s="65">
        <f t="shared" si="180"/>
        <v>0</v>
      </c>
      <c r="BD250" s="70">
        <v>0</v>
      </c>
      <c r="BE250" s="65">
        <f t="shared" si="181"/>
        <v>0</v>
      </c>
      <c r="BF250" s="70">
        <v>0</v>
      </c>
      <c r="BG250" s="65">
        <f t="shared" si="182"/>
        <v>0</v>
      </c>
      <c r="BH250" s="70">
        <v>0</v>
      </c>
      <c r="BI250" s="65">
        <f t="shared" si="183"/>
        <v>0</v>
      </c>
      <c r="BJ250" s="38">
        <f>IF(AND(BJ$7="○",$A250&gt;=BJ$8,$A250&lt;=BJ$9),IF(SUM(BJ$10:BJ249)-ROUNDDOWN($M250*BJ$5/100,0)&lt;-BJ$6,-BJ$6-SUM(BJ$10:BJ249),-ROUNDDOWN($M250*BJ$5/100,0)),0)</f>
        <v>0</v>
      </c>
      <c r="BK250" s="38">
        <f>IF(AND(BK$7="○",$A250&gt;=BK$8,$A250&lt;=BK$9),IF(SUM(BK$10:BK249)-ROUNDDOWN($L250*BK$5/100,0)&lt;-BK$6,-BK$6-SUM(BK$10:BK249),-ROUNDDOWN($L250*BK$5/100,0)),0)</f>
        <v>0</v>
      </c>
      <c r="BL250" s="38">
        <f>IF(AND(BL$7="○",$A250&gt;=BL$8,$A250&lt;=BL$9),IF(SUM(BL$10:BL249)-ROUNDDOWN($L250*BL$5/100,0)&lt;-BL$6,-BL$6-SUM(BL$10:BL249),-ROUNDDOWN($L250*BL$5/100,0)),0)</f>
        <v>0</v>
      </c>
      <c r="BM250" s="38">
        <f>IF(AND(BM$7="○",$A250&gt;=BM$8,$A250&lt;=BM$9),IF(SUM(BM$10:BM249)-ROUNDDOWN($M250*BM$5/100,0)&lt;-BM$6,-BM$6-SUM(BM$10:BM249),-ROUNDDOWN($M250*BM$5/100,0)),0)</f>
        <v>0</v>
      </c>
      <c r="BN250" s="38">
        <f>IF(AND(BN$7="○",$A250&gt;=BN$8,$A250&lt;=BN$9),IF(SUM(BN$10:BN249)-ROUNDDOWN($M250*BN$5/100,0)&lt;-BN$6,-BN$6-SUM(BN$10:BN249),-ROUNDDOWN($M250*BN$5/100,0)),0)</f>
        <v>0</v>
      </c>
      <c r="BO250" s="38">
        <f>IF(AND(BO$7="○",$A250&gt;=BO$8,$A250&lt;=BO$9),IF(SUM(BO$10:BO249)-ROUNDDOWN($M250*BO$5/100,0)&lt;-BO$6,-BO$6-SUM(BO$10:BO249),-ROUNDDOWN($M250*BO$5/100,0)),0)</f>
        <v>0</v>
      </c>
      <c r="BP250" s="38">
        <f>IF(AND(BP$7="○",$A250&gt;=BP$8,$A250&lt;=BP$9),IF(SUM(BP$10:BP249)-ROUNDDOWN($M250*BP$5/100,0)&lt;-BP$6,-BP$6-SUM(BP$10:BP249),-ROUNDDOWN($M250*BP$5/100,0)),0)</f>
        <v>0</v>
      </c>
      <c r="BQ250" s="38">
        <f>IF(AND(BQ$7="○",$A250&gt;=BQ$8,$A250&lt;=BQ$9),IF(SUM(BQ$10:BQ249)-ROUNDDOWN($L250*BQ$5/100,0)&lt;-BQ$6,-BQ$6-SUM(BQ$10:BQ249),-ROUNDDOWN($L250*BQ$5/100,0)),0)</f>
        <v>0</v>
      </c>
      <c r="BR250" s="38">
        <f>IF(AND(BR$7="○",$A250&gt;=BR$8,$A250&lt;=BR$9),IF(SUM(BR$10:BR249)-ROUNDDOWN($M250*BR$5/100,0)&lt;-BR$6,-BR$6-SUM(BR$10:BR249),-ROUNDDOWN($M250*BR$5/100,0)),0)</f>
        <v>0</v>
      </c>
      <c r="BS250" s="38">
        <f>IF(AND(BS$7="○",$A250&gt;=BS$8,$A250&lt;=BS$9),IF(SUM(BS$10:BS249)-ROUNDDOWN($M250*BS$5/100,0)&lt;-BS$6,-BS$6-SUM(BS$10:BS249),-ROUNDDOWN($M250*BS$5/100,0)),0)</f>
        <v>0</v>
      </c>
      <c r="BT250" s="38">
        <f>IF(AND(BT$7="○",$A250&gt;=BT$8,$A250&lt;=BT$9),IF(SUM(BT$10:BT249)-ROUNDDOWN($M250*BT$5/100,0)&lt;-BT$6,-BT$6-SUM(BT$10:BT249),-ROUNDDOWN($M250*BT$5/100,0)),0)</f>
        <v>0</v>
      </c>
      <c r="BU250" s="38">
        <f>IF(AND(BU$7="○",$A250&gt;=BU$8,$A250&lt;=BU$9),IF(SUM(BU$10:BU249)-ROUNDDOWN($M250*BU$5/100,0)&lt;-BU$6,-BU$6-SUM(BU$10:BU249),-ROUNDDOWN($M250*BU$5/100,0)),0)</f>
        <v>0</v>
      </c>
      <c r="BV250" s="38">
        <f>IF(AND(BV$7="○",$A250&gt;=BV$8,$A250&lt;=BV$9),IF(SUM(BV$10:BV249)-ROUNDDOWN($M250*BV$5/100,0)&lt;-BV$6,-BV$6-SUM(BV$10:BV249),-ROUNDDOWN($M250*BV$5/100,0)),0)</f>
        <v>0</v>
      </c>
      <c r="BW250" s="38">
        <f>IF(AND(BW$7="○",$A250&gt;=BW$8,$A250&lt;=BW$9),IF(SUM(BW$10:BW249)-ROUNDDOWN($M250*BW$5/100,0)&lt;-BW$6,-BW$6-SUM(BW$10:BW249),-ROUNDDOWN($M250*BW$5/100,0)),0)</f>
        <v>0</v>
      </c>
      <c r="BX250" s="38">
        <f>IF(AND(T250="○",$A250&gt;=BX$8,$A250&lt;=BX$9),IF(SUM(BX$10:BX249)-ROUNDDOWN($K250*BX$5/100,0)&lt;-BX$6,-BX$6-SUM(BX$10:BX249),-ROUNDDOWN($K250*BX$5/100,0)),0)</f>
        <v>0</v>
      </c>
      <c r="BY250" s="38">
        <f>IF(AND(U250="○",$A250&gt;=BY$8,$A250&lt;=BY$9),IF(SUM(BY$10:BY249)-ROUNDDOWN($K250*BY$5/100,0)&lt;-BY$6,-BY$6-SUM(BY$10:BY249),-ROUNDDOWN($K250*BY$5/100,0)),0)</f>
        <v>0</v>
      </c>
      <c r="BZ250" s="38">
        <f>IF(AND(V250="○",$A250&gt;=BZ$8,$A250&lt;=BZ$9),IF(SUM(BZ$10:BZ249)-ROUNDDOWN($K250*BZ$5/100,0)&lt;-BZ$6,-BZ$6-SUM(BZ$10:BZ249),-ROUNDDOWN($K250*BZ$5/100,0)),0)</f>
        <v>0</v>
      </c>
      <c r="CA250" s="38">
        <f>IF(AND(W250="○",$A250&gt;=CA$8,$A250&lt;=CA$9),IF(SUM(CA$10:CA249)-ROUNDDOWN($K250*CA$5/100,0)&lt;-CA$6,-CA$6-SUM(CA$10:CA249),-ROUNDDOWN($K250*CA$5/100,0)),0)</f>
        <v>0</v>
      </c>
      <c r="CB250" s="38"/>
      <c r="CC250" s="38"/>
      <c r="CD250" s="38"/>
      <c r="CE250" s="38"/>
      <c r="CF250" s="38"/>
      <c r="CG250" s="65">
        <f t="shared" si="184"/>
        <v>0</v>
      </c>
      <c r="CH250" s="71">
        <f t="shared" si="185"/>
        <v>0</v>
      </c>
      <c r="CI250" s="1">
        <f t="shared" si="19"/>
        <v>0</v>
      </c>
      <c r="CJ250" s="1"/>
      <c r="CK250" s="72"/>
      <c r="CL250" s="72"/>
      <c r="CM250" s="2"/>
      <c r="CN250" s="2"/>
      <c r="CO250" s="73">
        <f t="shared" si="20"/>
        <v>0</v>
      </c>
      <c r="CP250" s="5">
        <f t="shared" si="21"/>
        <v>0</v>
      </c>
      <c r="CQ250" s="1"/>
      <c r="CR250" s="1">
        <f t="shared" si="22"/>
        <v>0</v>
      </c>
      <c r="CS250" s="1"/>
      <c r="CT250" s="1" t="e">
        <f>INDEX([2]マスタ!$A:$A,MATCH(D250,[2]マスタ!$C:$C,0))</f>
        <v>#N/A</v>
      </c>
      <c r="CU250" s="1" t="str">
        <f t="shared" ca="1" si="23"/>
        <v>20260620_0-0</v>
      </c>
    </row>
    <row r="251" spans="1:99" x14ac:dyDescent="0.4">
      <c r="A251" s="61"/>
      <c r="B251" s="62"/>
      <c r="C251" s="62"/>
      <c r="D251" s="62"/>
      <c r="E251" s="63"/>
      <c r="F251" s="62"/>
      <c r="G251" s="62">
        <v>1</v>
      </c>
      <c r="H251" s="64">
        <f t="shared" si="4"/>
        <v>0</v>
      </c>
      <c r="I251" s="64"/>
      <c r="J251" s="64"/>
      <c r="K251" s="65">
        <f t="shared" si="195"/>
        <v>0</v>
      </c>
      <c r="L251" s="65">
        <f t="shared" si="6"/>
        <v>0</v>
      </c>
      <c r="M251" s="65">
        <f t="shared" si="7"/>
        <v>0</v>
      </c>
      <c r="N251" s="65">
        <f t="shared" si="8"/>
        <v>0</v>
      </c>
      <c r="O251" s="66" t="str">
        <f t="shared" si="189"/>
        <v>✕</v>
      </c>
      <c r="P251" s="67" t="str">
        <f t="shared" si="190"/>
        <v>○</v>
      </c>
      <c r="Q251" s="67" t="str">
        <f t="shared" si="196"/>
        <v>✕</v>
      </c>
      <c r="R251" s="67" t="str">
        <f t="shared" si="192"/>
        <v>✕</v>
      </c>
      <c r="S251" s="68">
        <v>0</v>
      </c>
      <c r="T251" s="69" t="s">
        <v>85</v>
      </c>
      <c r="U251" s="69" t="s">
        <v>85</v>
      </c>
      <c r="V251" s="69" t="s">
        <v>85</v>
      </c>
      <c r="W251" s="69" t="s">
        <v>85</v>
      </c>
      <c r="X251" s="69" t="s">
        <v>84</v>
      </c>
      <c r="Y251" s="69" t="s">
        <v>85</v>
      </c>
      <c r="Z251" s="69" t="s">
        <v>85</v>
      </c>
      <c r="AA251" s="69" t="s">
        <v>85</v>
      </c>
      <c r="AB251" s="69" t="s">
        <v>85</v>
      </c>
      <c r="AC251" s="69" t="s">
        <v>85</v>
      </c>
      <c r="AD251" s="38" t="str">
        <f>+IF(ISERROR(VLOOKUP($B251,AD$10:AD250,1,0)),IF(AND($N251&gt;=1000,$A251&gt;=AO$8,$A251&lt;=AO$9),$B251,""),"")</f>
        <v/>
      </c>
      <c r="AE251" s="38" t="str">
        <f>+IF(ISERROR(VLOOKUP($B251,AE$10:AE250,1,0)),IF(AND($N251&gt;=1000,$A251&gt;=AP$8,$A251&lt;=AP$9),$B251,""),"")</f>
        <v/>
      </c>
      <c r="AF251" s="38" t="str">
        <f>+IF(ISERROR(VLOOKUP($B251,AF$10:AF250,1,0)),IF(AND($N251&gt;=1000,$A251&gt;=AQ$8,$A251&lt;=AQ$9),$B251,""),"")</f>
        <v/>
      </c>
      <c r="AG251" s="38" t="str">
        <f>+IF(ISERROR(VLOOKUP($B251,AG$10:AG250,1,0)),IF(AND($N251&gt;=1000,$A251&gt;=AR$8,$A251&lt;=AR$9),$B251,""),"")</f>
        <v/>
      </c>
      <c r="AH251" s="38"/>
      <c r="AI251" s="70">
        <v>0</v>
      </c>
      <c r="AJ251" s="38">
        <f>IF(AND(AJ$7="○",$A251&gt;=AJ$8,$A251&lt;=AJ$9),IF(SUM(AJ$10:AJ250)-ROUNDDOWN($K251*AJ$5/100,0)&lt;-AJ$6,-AJ$6-SUM(AJ$10:AJ250),-ROUNDDOWN($K251*AJ$5/100,0)),0)</f>
        <v>0</v>
      </c>
      <c r="AK251" s="38">
        <f>IF(AND(AK$7="○",$A251&gt;=AK$8,$A251&lt;=AK$9),IF(SUM(AK$10:AK250)-ROUNDDOWN($L251*AK$5/100,0)&lt;-AK$6,-AK$6-SUM(AK$10:AK250),-ROUNDDOWN($L251*AK$5/100,0)),0)</f>
        <v>0</v>
      </c>
      <c r="AL251" s="38">
        <f>IF(AND(AL$7="○",$A251&gt;=AL$8,$A251&lt;=AL$9),IF(SUM(AL$10:AL250)-ROUNDDOWN($N251*AL$5/100,0)&lt;-AL$6,-AL$6-SUM(AL$10:AL250),-ROUNDDOWN($N251*AL$5/100,0)),0)</f>
        <v>0</v>
      </c>
      <c r="AM251" s="38">
        <f>IF(AND(AM$7="○",$A251&gt;=AM$8,$A251&lt;=AM$9),IF(SUM(AM$10:AM250)-ROUNDDOWN($L251*AM$5/100,0)&lt;-AM$6,-AM$6-SUM(AM$10:AM250),-ROUNDDOWN($L251*AM$5/100,0)),0)</f>
        <v>0</v>
      </c>
      <c r="AN251" s="38">
        <f>IF(AND(AN$7="○",$A251&gt;=AN$8,$A251&lt;=AN$9),IF(SUM(AN$10:AN250)-ROUNDDOWN($M251*AN$5/100,0)&lt;-AN$6,-AN$6-SUM(AN$10:AN250),-ROUNDDOWN($M251*AN$5/100,0)),0)</f>
        <v>0</v>
      </c>
      <c r="AO251" s="38">
        <f>IF(AND($A251&gt;=AO$8,$A251&lt;=AO$9),IF(SUM(AO$10:AO250)-ROUNDDOWN($K251*AO$5/100,0)&lt;-AO$6,-AO$6-SUM(AO$10:AO250),-ROUNDDOWN($K251*AO$5/100,0)),0)</f>
        <v>0</v>
      </c>
      <c r="AP251" s="38">
        <f>IF(AND($A251&gt;=AP$8,$A251&lt;=AP$9),IF(SUM(AP$10:AP250)-ROUNDDOWN($K251*AP$5/100,0)&lt;-AP$6,-AP$6-SUM(AP$10:AP250),-ROUNDDOWN($K251*AP$5/100,0)),0)</f>
        <v>0</v>
      </c>
      <c r="AQ251" s="38">
        <f>IF(AND($A251&gt;=AQ$8,$A251&lt;=AQ$9),IF(SUM(AQ$10:AQ250)-ROUNDDOWN($K251*AQ$5/100,0)&lt;-AQ$6,-AQ$6-SUM(AQ$10:AQ250),-ROUNDDOWN($K251*AQ$5/100,0)),0)</f>
        <v>0</v>
      </c>
      <c r="AR251" s="38">
        <f>IF(AND($A251&gt;=AR$8,$A251&lt;=AR$9),IF(SUM(AR$10:AR250)-ROUNDDOWN($K251*AR$5/100,0)&lt;-AR$6,-AR$6-SUM(AR$10:AR250),-ROUNDDOWN($K251*AR$5/100,0)),0)</f>
        <v>0</v>
      </c>
      <c r="AS251" s="38">
        <f>IF(SUMIFS(AS$10:AS250,$A$10:$A250,$A251)-ROUNDDOWN($K251*$S251/100,0)&lt;-$S251*1000,-$S251*1000-SUMIFS(AS$10:AS250,$A$10:$A250,$A251),-ROUNDDOWN($K251*$S251/100,0))</f>
        <v>0</v>
      </c>
      <c r="AT251" s="38">
        <f>IF(AND(X251="○",$A251&gt;=AT$8,$A251&lt;=AT$9,K251&gt;=3980),IF(SUM(AT$10:AT250)-ROUNDDOWN($K251*AT$5/100,0)&lt;-AT$6,-AT$6-SUM(AT$10:AT250),-ROUNDDOWN($K251*AT$5/100,0)),0)</f>
        <v>0</v>
      </c>
      <c r="AU251" s="38">
        <f>IF(O251="○",IF(SUM(AU$10:AU250)-ROUNDDOWN($K251*AU$5/100,0)&lt;-AU$6,-AU$6-SUM(AU$10:AU250),-ROUNDDOWN($K251*AU$5/100,0)),0)</f>
        <v>0</v>
      </c>
      <c r="AV251" s="38">
        <f>IF(P251="○",IF(SUM(AV$10:AV250)-ROUNDDOWN($K251*AV$5/100,0)&lt;-AV$6,-AV$6-SUM(AV$10:AV250),-ROUNDDOWN($K251*AV$5/100,0)),0)</f>
        <v>0</v>
      </c>
      <c r="AW251" s="38">
        <f>IF(Q251="○",IF(SUM(AW$10:AW250)-ROUNDDOWN($K251*AW$5/100,0)&lt;-AW$6,-AW$6-SUM(AW$10:AW250),-ROUNDDOWN($K251*AW$5/100,0)),0)</f>
        <v>0</v>
      </c>
      <c r="AX251" s="38">
        <f>IF(R251="○",IF(SUM(AX$10:AX250)-ROUNDDOWN($K251*AX$5/100,0)&lt;-AX$6,-AX$6-SUM(AX$10:AX250),-ROUNDDOWN($K251*AX$5/100,0)),0)</f>
        <v>0</v>
      </c>
      <c r="AY251" s="70">
        <v>0</v>
      </c>
      <c r="AZ251" s="65">
        <f t="shared" si="178"/>
        <v>0</v>
      </c>
      <c r="BA251" s="65">
        <f t="shared" si="179"/>
        <v>0</v>
      </c>
      <c r="BB251" s="70"/>
      <c r="BC251" s="65">
        <f t="shared" si="180"/>
        <v>0</v>
      </c>
      <c r="BD251" s="70">
        <v>0</v>
      </c>
      <c r="BE251" s="65">
        <f t="shared" si="181"/>
        <v>0</v>
      </c>
      <c r="BF251" s="70">
        <v>0</v>
      </c>
      <c r="BG251" s="65">
        <f t="shared" si="182"/>
        <v>0</v>
      </c>
      <c r="BH251" s="70">
        <v>0</v>
      </c>
      <c r="BI251" s="65">
        <f t="shared" si="183"/>
        <v>0</v>
      </c>
      <c r="BJ251" s="38">
        <f>IF(AND(BJ$7="○",$A251&gt;=BJ$8,$A251&lt;=BJ$9),IF(SUM(BJ$10:BJ250)-ROUNDDOWN($M251*BJ$5/100,0)&lt;-BJ$6,-BJ$6-SUM(BJ$10:BJ250),-ROUNDDOWN($M251*BJ$5/100,0)),0)</f>
        <v>0</v>
      </c>
      <c r="BK251" s="38">
        <f>IF(AND(BK$7="○",$A251&gt;=BK$8,$A251&lt;=BK$9),IF(SUM(BK$10:BK250)-ROUNDDOWN($L251*BK$5/100,0)&lt;-BK$6,-BK$6-SUM(BK$10:BK250),-ROUNDDOWN($L251*BK$5/100,0)),0)</f>
        <v>0</v>
      </c>
      <c r="BL251" s="38">
        <f>IF(AND(BL$7="○",$A251&gt;=BL$8,$A251&lt;=BL$9),IF(SUM(BL$10:BL250)-ROUNDDOWN($L251*BL$5/100,0)&lt;-BL$6,-BL$6-SUM(BL$10:BL250),-ROUNDDOWN($L251*BL$5/100,0)),0)</f>
        <v>0</v>
      </c>
      <c r="BM251" s="38">
        <f>IF(AND(BM$7="○",$A251&gt;=BM$8,$A251&lt;=BM$9),IF(SUM(BM$10:BM250)-ROUNDDOWN($M251*BM$5/100,0)&lt;-BM$6,-BM$6-SUM(BM$10:BM250),-ROUNDDOWN($M251*BM$5/100,0)),0)</f>
        <v>0</v>
      </c>
      <c r="BN251" s="38">
        <f>IF(AND(BN$7="○",$A251&gt;=BN$8,$A251&lt;=BN$9),IF(SUM(BN$10:BN250)-ROUNDDOWN($M251*BN$5/100,0)&lt;-BN$6,-BN$6-SUM(BN$10:BN250),-ROUNDDOWN($M251*BN$5/100,0)),0)</f>
        <v>0</v>
      </c>
      <c r="BO251" s="38">
        <f>IF(AND(BO$7="○",$A251&gt;=BO$8,$A251&lt;=BO$9),IF(SUM(BO$10:BO250)-ROUNDDOWN($M251*BO$5/100,0)&lt;-BO$6,-BO$6-SUM(BO$10:BO250),-ROUNDDOWN($M251*BO$5/100,0)),0)</f>
        <v>0</v>
      </c>
      <c r="BP251" s="38">
        <f>IF(AND(BP$7="○",$A251&gt;=BP$8,$A251&lt;=BP$9),IF(SUM(BP$10:BP250)-ROUNDDOWN($M251*BP$5/100,0)&lt;-BP$6,-BP$6-SUM(BP$10:BP250),-ROUNDDOWN($M251*BP$5/100,0)),0)</f>
        <v>0</v>
      </c>
      <c r="BQ251" s="38">
        <f>IF(AND(BQ$7="○",$A251&gt;=BQ$8,$A251&lt;=BQ$9),IF(SUM(BQ$10:BQ250)-ROUNDDOWN($L251*BQ$5/100,0)&lt;-BQ$6,-BQ$6-SUM(BQ$10:BQ250),-ROUNDDOWN($L251*BQ$5/100,0)),0)</f>
        <v>0</v>
      </c>
      <c r="BR251" s="38">
        <f>IF(AND(BR$7="○",$A251&gt;=BR$8,$A251&lt;=BR$9),IF(SUM(BR$10:BR250)-ROUNDDOWN($M251*BR$5/100,0)&lt;-BR$6,-BR$6-SUM(BR$10:BR250),-ROUNDDOWN($M251*BR$5/100,0)),0)</f>
        <v>0</v>
      </c>
      <c r="BS251" s="38">
        <f>IF(AND(BS$7="○",$A251&gt;=BS$8,$A251&lt;=BS$9),IF(SUM(BS$10:BS250)-ROUNDDOWN($M251*BS$5/100,0)&lt;-BS$6,-BS$6-SUM(BS$10:BS250),-ROUNDDOWN($M251*BS$5/100,0)),0)</f>
        <v>0</v>
      </c>
      <c r="BT251" s="38">
        <f>IF(AND(BT$7="○",$A251&gt;=BT$8,$A251&lt;=BT$9),IF(SUM(BT$10:BT250)-ROUNDDOWN($M251*BT$5/100,0)&lt;-BT$6,-BT$6-SUM(BT$10:BT250),-ROUNDDOWN($M251*BT$5/100,0)),0)</f>
        <v>0</v>
      </c>
      <c r="BU251" s="38">
        <f>IF(AND(BU$7="○",$A251&gt;=BU$8,$A251&lt;=BU$9),IF(SUM(BU$10:BU250)-ROUNDDOWN($M251*BU$5/100,0)&lt;-BU$6,-BU$6-SUM(BU$10:BU250),-ROUNDDOWN($M251*BU$5/100,0)),0)</f>
        <v>0</v>
      </c>
      <c r="BV251" s="38">
        <f>IF(AND(BV$7="○",$A251&gt;=BV$8,$A251&lt;=BV$9),IF(SUM(BV$10:BV250)-ROUNDDOWN($M251*BV$5/100,0)&lt;-BV$6,-BV$6-SUM(BV$10:BV250),-ROUNDDOWN($M251*BV$5/100,0)),0)</f>
        <v>0</v>
      </c>
      <c r="BW251" s="38">
        <f>IF(AND(BW$7="○",$A251&gt;=BW$8,$A251&lt;=BW$9),IF(SUM(BW$10:BW250)-ROUNDDOWN($M251*BW$5/100,0)&lt;-BW$6,-BW$6-SUM(BW$10:BW250),-ROUNDDOWN($M251*BW$5/100,0)),0)</f>
        <v>0</v>
      </c>
      <c r="BX251" s="38">
        <f>IF(AND(T251="○",$A251&gt;=BX$8,$A251&lt;=BX$9),IF(SUM(BX$10:BX250)-ROUNDDOWN($K251*BX$5/100,0)&lt;-BX$6,-BX$6-SUM(BX$10:BX250),-ROUNDDOWN($K251*BX$5/100,0)),0)</f>
        <v>0</v>
      </c>
      <c r="BY251" s="38">
        <f>IF(AND(U251="○",$A251&gt;=BY$8,$A251&lt;=BY$9),IF(SUM(BY$10:BY250)-ROUNDDOWN($K251*BY$5/100,0)&lt;-BY$6,-BY$6-SUM(BY$10:BY250),-ROUNDDOWN($K251*BY$5/100,0)),0)</f>
        <v>0</v>
      </c>
      <c r="BZ251" s="38">
        <f>IF(AND(V251="○",$A251&gt;=BZ$8,$A251&lt;=BZ$9),IF(SUM(BZ$10:BZ250)-ROUNDDOWN($K251*BZ$5/100,0)&lt;-BZ$6,-BZ$6-SUM(BZ$10:BZ250),-ROUNDDOWN($K251*BZ$5/100,0)),0)</f>
        <v>0</v>
      </c>
      <c r="CA251" s="38">
        <f>IF(AND(W251="○",$A251&gt;=CA$8,$A251&lt;=CA$9),IF(SUM(CA$10:CA250)-ROUNDDOWN($K251*CA$5/100,0)&lt;-CA$6,-CA$6-SUM(CA$10:CA250),-ROUNDDOWN($K251*CA$5/100,0)),0)</f>
        <v>0</v>
      </c>
      <c r="CB251" s="38"/>
      <c r="CC251" s="38"/>
      <c r="CD251" s="38"/>
      <c r="CE251" s="38"/>
      <c r="CF251" s="38"/>
      <c r="CG251" s="65">
        <f t="shared" si="184"/>
        <v>0</v>
      </c>
      <c r="CH251" s="71">
        <f t="shared" si="185"/>
        <v>0</v>
      </c>
      <c r="CI251" s="1">
        <f t="shared" si="19"/>
        <v>0</v>
      </c>
      <c r="CJ251" s="1"/>
      <c r="CK251" s="2"/>
      <c r="CL251" s="2"/>
      <c r="CM251" s="2"/>
      <c r="CN251" s="2"/>
      <c r="CO251" s="73">
        <f t="shared" si="20"/>
        <v>0</v>
      </c>
      <c r="CP251" s="5">
        <f t="shared" si="21"/>
        <v>0</v>
      </c>
      <c r="CQ251" s="1"/>
      <c r="CR251" s="1">
        <f t="shared" si="22"/>
        <v>0</v>
      </c>
      <c r="CS251" s="1"/>
      <c r="CT251" s="1" t="e">
        <f>INDEX([2]マスタ!$A:$A,MATCH(D251,[2]マスタ!$C:$C,0))</f>
        <v>#N/A</v>
      </c>
      <c r="CU251" s="1" t="str">
        <f t="shared" ca="1" si="23"/>
        <v>20260620_0-0</v>
      </c>
    </row>
    <row r="252" spans="1:99" x14ac:dyDescent="0.4">
      <c r="A252" s="61"/>
      <c r="B252" s="62"/>
      <c r="C252" s="62"/>
      <c r="D252" s="62"/>
      <c r="E252" s="63"/>
      <c r="F252" s="62"/>
      <c r="G252" s="62">
        <v>1</v>
      </c>
      <c r="H252" s="64">
        <f t="shared" si="4"/>
        <v>0</v>
      </c>
      <c r="I252" s="64"/>
      <c r="J252" s="78"/>
      <c r="K252" s="65">
        <f t="shared" si="195"/>
        <v>0</v>
      </c>
      <c r="L252" s="65">
        <f t="shared" si="6"/>
        <v>0</v>
      </c>
      <c r="M252" s="65">
        <f t="shared" si="7"/>
        <v>0</v>
      </c>
      <c r="N252" s="65">
        <f t="shared" si="8"/>
        <v>0</v>
      </c>
      <c r="O252" s="66" t="str">
        <f t="shared" si="189"/>
        <v>✕</v>
      </c>
      <c r="P252" s="67" t="str">
        <f t="shared" si="190"/>
        <v>○</v>
      </c>
      <c r="Q252" s="67" t="str">
        <f t="shared" si="196"/>
        <v>✕</v>
      </c>
      <c r="R252" s="67" t="str">
        <f t="shared" si="192"/>
        <v>✕</v>
      </c>
      <c r="S252" s="68">
        <v>0</v>
      </c>
      <c r="T252" s="69" t="s">
        <v>85</v>
      </c>
      <c r="U252" s="69" t="s">
        <v>85</v>
      </c>
      <c r="V252" s="69" t="s">
        <v>85</v>
      </c>
      <c r="W252" s="69" t="s">
        <v>85</v>
      </c>
      <c r="X252" s="69" t="s">
        <v>84</v>
      </c>
      <c r="Y252" s="69" t="s">
        <v>85</v>
      </c>
      <c r="Z252" s="69" t="s">
        <v>85</v>
      </c>
      <c r="AA252" s="69" t="s">
        <v>85</v>
      </c>
      <c r="AB252" s="69" t="s">
        <v>85</v>
      </c>
      <c r="AC252" s="69" t="s">
        <v>85</v>
      </c>
      <c r="AD252" s="38" t="str">
        <f>+IF(ISERROR(VLOOKUP($B252,AD$10:AD251,1,0)),IF(AND($N252&gt;=1000,$A252&gt;=AO$8,$A252&lt;=AO$9),$B252,""),"")</f>
        <v/>
      </c>
      <c r="AE252" s="38" t="str">
        <f>+IF(ISERROR(VLOOKUP($B252,AE$10:AE251,1,0)),IF(AND($N252&gt;=1000,$A252&gt;=AP$8,$A252&lt;=AP$9),$B252,""),"")</f>
        <v/>
      </c>
      <c r="AF252" s="38" t="str">
        <f>+IF(ISERROR(VLOOKUP($B252,AF$10:AF251,1,0)),IF(AND($N252&gt;=1000,$A252&gt;=AQ$8,$A252&lt;=AQ$9),$B252,""),"")</f>
        <v/>
      </c>
      <c r="AG252" s="38" t="str">
        <f>+IF(ISERROR(VLOOKUP($B252,AG$10:AG251,1,0)),IF(AND($N252&gt;=1000,$A252&gt;=AR$8,$A252&lt;=AR$9),$B252,""),"")</f>
        <v/>
      </c>
      <c r="AH252" s="38"/>
      <c r="AI252" s="70">
        <v>0</v>
      </c>
      <c r="AJ252" s="38">
        <f>IF(AND(AJ$7="○",$A252&gt;=AJ$8,$A252&lt;=AJ$9),IF(SUM(AJ$10:AJ251)-ROUNDDOWN($K252*AJ$5/100,0)&lt;-AJ$6,-AJ$6-SUM(AJ$10:AJ251),-ROUNDDOWN($K252*AJ$5/100,0)),0)</f>
        <v>0</v>
      </c>
      <c r="AK252" s="38">
        <f>IF(AND(AK$7="○",$A252&gt;=AK$8,$A252&lt;=AK$9),IF(SUM(AK$10:AK251)-ROUNDDOWN($L252*AK$5/100,0)&lt;-AK$6,-AK$6-SUM(AK$10:AK251),-ROUNDDOWN($L252*AK$5/100,0)),0)</f>
        <v>0</v>
      </c>
      <c r="AL252" s="38">
        <f>IF(AND(AL$7="○",$A252&gt;=AL$8,$A252&lt;=AL$9),IF(SUM(AL$10:AL251)-ROUNDDOWN($N252*AL$5/100,0)&lt;-AL$6,-AL$6-SUM(AL$10:AL251),-ROUNDDOWN($N252*AL$5/100,0)),0)</f>
        <v>0</v>
      </c>
      <c r="AM252" s="38">
        <f>IF(AND(AM$7="○",$A252&gt;=AM$8,$A252&lt;=AM$9),IF(SUM(AM$10:AM251)-ROUNDDOWN($L252*AM$5/100,0)&lt;-AM$6,-AM$6-SUM(AM$10:AM251),-ROUNDDOWN($L252*AM$5/100,0)),0)</f>
        <v>0</v>
      </c>
      <c r="AN252" s="38">
        <f>IF(AND(AN$7="○",$A252&gt;=AN$8,$A252&lt;=AN$9),IF(SUM(AN$10:AN251)-ROUNDDOWN($M252*AN$5/100,0)&lt;-AN$6,-AN$6-SUM(AN$10:AN251),-ROUNDDOWN($M252*AN$5/100,0)),0)</f>
        <v>0</v>
      </c>
      <c r="AO252" s="38">
        <f>IF(AND($A252&gt;=AO$8,$A252&lt;=AO$9),IF(SUM(AO$10:AO251)-ROUNDDOWN($K252*AO$5/100,0)&lt;-AO$6,-AO$6-SUM(AO$10:AO251),-ROUNDDOWN($K252*AO$5/100,0)),0)</f>
        <v>0</v>
      </c>
      <c r="AP252" s="38">
        <f>IF(AND($A252&gt;=AP$8,$A252&lt;=AP$9),IF(SUM(AP$10:AP251)-ROUNDDOWN($K252*AP$5/100,0)&lt;-AP$6,-AP$6-SUM(AP$10:AP251),-ROUNDDOWN($K252*AP$5/100,0)),0)</f>
        <v>0</v>
      </c>
      <c r="AQ252" s="38">
        <f>IF(AND($A252&gt;=AQ$8,$A252&lt;=AQ$9),IF(SUM(AQ$10:AQ251)-ROUNDDOWN($K252*AQ$5/100,0)&lt;-AQ$6,-AQ$6-SUM(AQ$10:AQ251),-ROUNDDOWN($K252*AQ$5/100,0)),0)</f>
        <v>0</v>
      </c>
      <c r="AR252" s="38">
        <f>IF(AND($A252&gt;=AR$8,$A252&lt;=AR$9),IF(SUM(AR$10:AR251)-ROUNDDOWN($K252*AR$5/100,0)&lt;-AR$6,-AR$6-SUM(AR$10:AR251),-ROUNDDOWN($K252*AR$5/100,0)),0)</f>
        <v>0</v>
      </c>
      <c r="AS252" s="38">
        <f>IF(SUMIFS(AS$10:AS251,$A$10:$A251,$A252)-ROUNDDOWN($K252*$S252/100,0)&lt;-$S252*1000,-$S252*1000-SUMIFS(AS$10:AS251,$A$10:$A251,$A252),-ROUNDDOWN($K252*$S252/100,0))</f>
        <v>0</v>
      </c>
      <c r="AT252" s="38">
        <f>IF(AND(X252="○",$A252&gt;=AT$8,$A252&lt;=AT$9,K252&gt;=3980),IF(SUM(AT$10:AT251)-ROUNDDOWN($K252*AT$5/100,0)&lt;-AT$6,-AT$6-SUM(AT$10:AT251),-ROUNDDOWN($K252*AT$5/100,0)),0)</f>
        <v>0</v>
      </c>
      <c r="AU252" s="38">
        <f>IF(O252="○",IF(SUM(AU$10:AU251)-ROUNDDOWN($K252*AU$5/100,0)&lt;-AU$6,-AU$6-SUM(AU$10:AU251),-ROUNDDOWN($K252*AU$5/100,0)),0)</f>
        <v>0</v>
      </c>
      <c r="AV252" s="38">
        <f>IF(P252="○",IF(SUM(AV$10:AV251)-ROUNDDOWN($K252*AV$5/100,0)&lt;-AV$6,-AV$6-SUM(AV$10:AV251),-ROUNDDOWN($K252*AV$5/100,0)),0)</f>
        <v>0</v>
      </c>
      <c r="AW252" s="38">
        <f>IF(Q252="○",IF(SUM(AW$10:AW251)-ROUNDDOWN($K252*AW$5/100,0)&lt;-AW$6,-AW$6-SUM(AW$10:AW251),-ROUNDDOWN($K252*AW$5/100,0)),0)</f>
        <v>0</v>
      </c>
      <c r="AX252" s="38">
        <f>IF(R252="○",IF(SUM(AX$10:AX251)-ROUNDDOWN($K252*AX$5/100,0)&lt;-AX$6,-AX$6-SUM(AX$10:AX251),-ROUNDDOWN($K252*AX$5/100,0)),0)</f>
        <v>0</v>
      </c>
      <c r="AY252" s="70">
        <v>0</v>
      </c>
      <c r="AZ252" s="65">
        <f t="shared" si="178"/>
        <v>0</v>
      </c>
      <c r="BA252" s="65">
        <f t="shared" si="179"/>
        <v>0</v>
      </c>
      <c r="BB252" s="70"/>
      <c r="BC252" s="65">
        <f t="shared" si="180"/>
        <v>0</v>
      </c>
      <c r="BD252" s="70">
        <v>0</v>
      </c>
      <c r="BE252" s="65">
        <f t="shared" si="181"/>
        <v>0</v>
      </c>
      <c r="BF252" s="70">
        <v>0</v>
      </c>
      <c r="BG252" s="65">
        <f t="shared" si="182"/>
        <v>0</v>
      </c>
      <c r="BH252" s="70">
        <v>0</v>
      </c>
      <c r="BI252" s="65">
        <f t="shared" si="183"/>
        <v>0</v>
      </c>
      <c r="BJ252" s="38">
        <f>IF(AND(BJ$7="○",$A252&gt;=BJ$8,$A252&lt;=BJ$9),IF(SUM(BJ$10:BJ251)-ROUNDDOWN($M252*BJ$5/100,0)&lt;-BJ$6,-BJ$6-SUM(BJ$10:BJ251),-ROUNDDOWN($M252*BJ$5/100,0)),0)</f>
        <v>0</v>
      </c>
      <c r="BK252" s="38">
        <f>IF(AND(BK$7="○",$A252&gt;=BK$8,$A252&lt;=BK$9),IF(SUM(BK$10:BK251)-ROUNDDOWN($L252*BK$5/100,0)&lt;-BK$6,-BK$6-SUM(BK$10:BK251),-ROUNDDOWN($L252*BK$5/100,0)),0)</f>
        <v>0</v>
      </c>
      <c r="BL252" s="38">
        <f>IF(AND(BL$7="○",$A252&gt;=BL$8,$A252&lt;=BL$9),IF(SUM(BL$10:BL251)-ROUNDDOWN($L252*BL$5/100,0)&lt;-BL$6,-BL$6-SUM(BL$10:BL251),-ROUNDDOWN($L252*BL$5/100,0)),0)</f>
        <v>0</v>
      </c>
      <c r="BM252" s="38">
        <f>IF(AND(BM$7="○",$A252&gt;=BM$8,$A252&lt;=BM$9),IF(SUM(BM$10:BM251)-ROUNDDOWN($M252*BM$5/100,0)&lt;-BM$6,-BM$6-SUM(BM$10:BM251),-ROUNDDOWN($M252*BM$5/100,0)),0)</f>
        <v>0</v>
      </c>
      <c r="BN252" s="38">
        <f>IF(AND(BN$7="○",$A252&gt;=BN$8,$A252&lt;=BN$9),IF(SUM(BN$10:BN251)-ROUNDDOWN($M252*BN$5/100,0)&lt;-BN$6,-BN$6-SUM(BN$10:BN251),-ROUNDDOWN($M252*BN$5/100,0)),0)</f>
        <v>0</v>
      </c>
      <c r="BO252" s="38">
        <f>IF(AND(BO$7="○",$A252&gt;=BO$8,$A252&lt;=BO$9),IF(SUM(BO$10:BO251)-ROUNDDOWN($M252*BO$5/100,0)&lt;-BO$6,-BO$6-SUM(BO$10:BO251),-ROUNDDOWN($M252*BO$5/100,0)),0)</f>
        <v>0</v>
      </c>
      <c r="BP252" s="38">
        <f>IF(AND(BP$7="○",$A252&gt;=BP$8,$A252&lt;=BP$9),IF(SUM(BP$10:BP251)-ROUNDDOWN($M252*BP$5/100,0)&lt;-BP$6,-BP$6-SUM(BP$10:BP251),-ROUNDDOWN($M252*BP$5/100,0)),0)</f>
        <v>0</v>
      </c>
      <c r="BQ252" s="38">
        <f>IF(AND(BQ$7="○",$A252&gt;=BQ$8,$A252&lt;=BQ$9),IF(SUM(BQ$10:BQ251)-ROUNDDOWN($L252*BQ$5/100,0)&lt;-BQ$6,-BQ$6-SUM(BQ$10:BQ251),-ROUNDDOWN($L252*BQ$5/100,0)),0)</f>
        <v>0</v>
      </c>
      <c r="BR252" s="38">
        <f>IF(AND(BR$7="○",$A252&gt;=BR$8,$A252&lt;=BR$9),IF(SUM(BR$10:BR251)-ROUNDDOWN($M252*BR$5/100,0)&lt;-BR$6,-BR$6-SUM(BR$10:BR251),-ROUNDDOWN($M252*BR$5/100,0)),0)</f>
        <v>0</v>
      </c>
      <c r="BS252" s="38">
        <f>IF(AND(BS$7="○",$A252&gt;=BS$8,$A252&lt;=BS$9),IF(SUM(BS$10:BS251)-ROUNDDOWN($M252*BS$5/100,0)&lt;-BS$6,-BS$6-SUM(BS$10:BS251),-ROUNDDOWN($M252*BS$5/100,0)),0)</f>
        <v>0</v>
      </c>
      <c r="BT252" s="38">
        <f>IF(AND(BT$7="○",$A252&gt;=BT$8,$A252&lt;=BT$9),IF(SUM(BT$10:BT251)-ROUNDDOWN($M252*BT$5/100,0)&lt;-BT$6,-BT$6-SUM(BT$10:BT251),-ROUNDDOWN($M252*BT$5/100,0)),0)</f>
        <v>0</v>
      </c>
      <c r="BU252" s="38">
        <f>IF(AND(BU$7="○",$A252&gt;=BU$8,$A252&lt;=BU$9),IF(SUM(BU$10:BU251)-ROUNDDOWN($M252*BU$5/100,0)&lt;-BU$6,-BU$6-SUM(BU$10:BU251),-ROUNDDOWN($M252*BU$5/100,0)),0)</f>
        <v>0</v>
      </c>
      <c r="BV252" s="38">
        <f>IF(AND(BV$7="○",$A252&gt;=BV$8,$A252&lt;=BV$9),IF(SUM(BV$10:BV251)-ROUNDDOWN($M252*BV$5/100,0)&lt;-BV$6,-BV$6-SUM(BV$10:BV251),-ROUNDDOWN($M252*BV$5/100,0)),0)</f>
        <v>0</v>
      </c>
      <c r="BW252" s="38">
        <f>IF(AND(BW$7="○",$A252&gt;=BW$8,$A252&lt;=BW$9),IF(SUM(BW$10:BW251)-ROUNDDOWN($M252*BW$5/100,0)&lt;-BW$6,-BW$6-SUM(BW$10:BW251),-ROUNDDOWN($M252*BW$5/100,0)),0)</f>
        <v>0</v>
      </c>
      <c r="BX252" s="38">
        <f>IF(AND(T252="○",$A252&gt;=BX$8,$A252&lt;=BX$9),IF(SUM(BX$10:BX251)-ROUNDDOWN($K252*BX$5/100,0)&lt;-BX$6,-BX$6-SUM(BX$10:BX251),-ROUNDDOWN($K252*BX$5/100,0)),0)</f>
        <v>0</v>
      </c>
      <c r="BY252" s="38">
        <f>IF(AND(U252="○",$A252&gt;=BY$8,$A252&lt;=BY$9),IF(SUM(BY$10:BY251)-ROUNDDOWN($K252*BY$5/100,0)&lt;-BY$6,-BY$6-SUM(BY$10:BY251),-ROUNDDOWN($K252*BY$5/100,0)),0)</f>
        <v>0</v>
      </c>
      <c r="BZ252" s="38">
        <f>IF(AND(V252="○",$A252&gt;=BZ$8,$A252&lt;=BZ$9),IF(SUM(BZ$10:BZ251)-ROUNDDOWN($K252*BZ$5/100,0)&lt;-BZ$6,-BZ$6-SUM(BZ$10:BZ251),-ROUNDDOWN($K252*BZ$5/100,0)),0)</f>
        <v>0</v>
      </c>
      <c r="CA252" s="38">
        <f>IF(AND(W252="○",$A252&gt;=CA$8,$A252&lt;=CA$9),IF(SUM(CA$10:CA251)-ROUNDDOWN($K252*CA$5/100,0)&lt;-CA$6,-CA$6-SUM(CA$10:CA251),-ROUNDDOWN($K252*CA$5/100,0)),0)</f>
        <v>0</v>
      </c>
      <c r="CB252" s="38"/>
      <c r="CC252" s="38"/>
      <c r="CD252" s="38"/>
      <c r="CE252" s="38"/>
      <c r="CF252" s="38"/>
      <c r="CG252" s="65">
        <f t="shared" si="184"/>
        <v>0</v>
      </c>
      <c r="CH252" s="71">
        <f t="shared" si="185"/>
        <v>0</v>
      </c>
      <c r="CI252" s="1">
        <f t="shared" si="19"/>
        <v>0</v>
      </c>
      <c r="CJ252" s="1"/>
      <c r="CK252" s="79"/>
      <c r="CL252" s="79"/>
      <c r="CM252" s="2"/>
      <c r="CN252" s="2"/>
      <c r="CO252" s="73">
        <f t="shared" si="20"/>
        <v>0</v>
      </c>
      <c r="CP252" s="5">
        <f t="shared" si="21"/>
        <v>0</v>
      </c>
      <c r="CQ252" s="1"/>
      <c r="CR252" s="1">
        <f t="shared" si="22"/>
        <v>0</v>
      </c>
      <c r="CS252" s="1"/>
      <c r="CT252" s="1" t="e">
        <f>INDEX([2]マスタ!$A:$A,MATCH(D252,[2]マスタ!$C:$C,0))</f>
        <v>#N/A</v>
      </c>
      <c r="CU252" s="1" t="str">
        <f t="shared" ca="1" si="23"/>
        <v>20260620_0-0</v>
      </c>
    </row>
    <row r="253" spans="1:99" x14ac:dyDescent="0.4">
      <c r="A253" s="61"/>
      <c r="B253" s="62"/>
      <c r="C253" s="62"/>
      <c r="D253" s="62"/>
      <c r="E253" s="63"/>
      <c r="F253" s="62"/>
      <c r="G253" s="62">
        <v>1</v>
      </c>
      <c r="H253" s="64">
        <f t="shared" si="4"/>
        <v>0</v>
      </c>
      <c r="I253" s="64"/>
      <c r="J253" s="78"/>
      <c r="K253" s="65">
        <f t="shared" si="195"/>
        <v>0</v>
      </c>
      <c r="L253" s="65">
        <f t="shared" si="6"/>
        <v>0</v>
      </c>
      <c r="M253" s="65">
        <f t="shared" si="7"/>
        <v>0</v>
      </c>
      <c r="N253" s="65">
        <f t="shared" si="8"/>
        <v>0</v>
      </c>
      <c r="O253" s="66" t="str">
        <f t="shared" si="189"/>
        <v>✕</v>
      </c>
      <c r="P253" s="67" t="str">
        <f t="shared" si="190"/>
        <v>○</v>
      </c>
      <c r="Q253" s="67" t="str">
        <f t="shared" si="196"/>
        <v>✕</v>
      </c>
      <c r="R253" s="67" t="str">
        <f t="shared" si="192"/>
        <v>✕</v>
      </c>
      <c r="S253" s="68">
        <v>0</v>
      </c>
      <c r="T253" s="69" t="s">
        <v>85</v>
      </c>
      <c r="U253" s="69" t="s">
        <v>85</v>
      </c>
      <c r="V253" s="69" t="s">
        <v>85</v>
      </c>
      <c r="W253" s="69" t="s">
        <v>85</v>
      </c>
      <c r="X253" s="69" t="s">
        <v>84</v>
      </c>
      <c r="Y253" s="69" t="s">
        <v>85</v>
      </c>
      <c r="Z253" s="69" t="s">
        <v>85</v>
      </c>
      <c r="AA253" s="69" t="s">
        <v>85</v>
      </c>
      <c r="AB253" s="69" t="s">
        <v>85</v>
      </c>
      <c r="AC253" s="69" t="s">
        <v>85</v>
      </c>
      <c r="AD253" s="38" t="str">
        <f>+IF(ISERROR(VLOOKUP($B253,AD$10:AD252,1,0)),IF(AND($N253&gt;=1000,$A253&gt;=AO$8,$A253&lt;=AO$9),$B253,""),"")</f>
        <v/>
      </c>
      <c r="AE253" s="38" t="str">
        <f>+IF(ISERROR(VLOOKUP($B253,AE$10:AE252,1,0)),IF(AND($N253&gt;=1000,$A253&gt;=AP$8,$A253&lt;=AP$9),$B253,""),"")</f>
        <v/>
      </c>
      <c r="AF253" s="38" t="str">
        <f>+IF(ISERROR(VLOOKUP($B253,AF$10:AF252,1,0)),IF(AND($N253&gt;=1000,$A253&gt;=AQ$8,$A253&lt;=AQ$9),$B253,""),"")</f>
        <v/>
      </c>
      <c r="AG253" s="38" t="str">
        <f>+IF(ISERROR(VLOOKUP($B253,AG$10:AG252,1,0)),IF(AND($N253&gt;=1000,$A253&gt;=AR$8,$A253&lt;=AR$9),$B253,""),"")</f>
        <v/>
      </c>
      <c r="AH253" s="38"/>
      <c r="AI253" s="70">
        <v>0</v>
      </c>
      <c r="AJ253" s="38">
        <f>IF(AND(AJ$7="○",$A253&gt;=AJ$8,$A253&lt;=AJ$9),IF(SUM(AJ$10:AJ252)-ROUNDDOWN($K253*AJ$5/100,0)&lt;-AJ$6,-AJ$6-SUM(AJ$10:AJ252),-ROUNDDOWN($K253*AJ$5/100,0)),0)</f>
        <v>0</v>
      </c>
      <c r="AK253" s="38">
        <f>IF(AND(AK$7="○",$A253&gt;=AK$8,$A253&lt;=AK$9),IF(SUM(AK$10:AK252)-ROUNDDOWN($L253*AK$5/100,0)&lt;-AK$6,-AK$6-SUM(AK$10:AK252),-ROUNDDOWN($L253*AK$5/100,0)),0)</f>
        <v>0</v>
      </c>
      <c r="AL253" s="38">
        <f>IF(AND(AL$7="○",$A253&gt;=AL$8,$A253&lt;=AL$9),IF(SUM(AL$10:AL252)-ROUNDDOWN($N253*AL$5/100,0)&lt;-AL$6,-AL$6-SUM(AL$10:AL252),-ROUNDDOWN($N253*AL$5/100,0)),0)</f>
        <v>0</v>
      </c>
      <c r="AM253" s="38">
        <f>IF(AND(AM$7="○",$A253&gt;=AM$8,$A253&lt;=AM$9),IF(SUM(AM$10:AM252)-ROUNDDOWN($L253*AM$5/100,0)&lt;-AM$6,-AM$6-SUM(AM$10:AM252),-ROUNDDOWN($L253*AM$5/100,0)),0)</f>
        <v>0</v>
      </c>
      <c r="AN253" s="38">
        <f>IF(AND(AN$7="○",$A253&gt;=AN$8,$A253&lt;=AN$9),IF(SUM(AN$10:AN252)-ROUNDDOWN($M253*AN$5/100,0)&lt;-AN$6,-AN$6-SUM(AN$10:AN252),-ROUNDDOWN($M253*AN$5/100,0)),0)</f>
        <v>0</v>
      </c>
      <c r="AO253" s="38">
        <f>IF(AND($A253&gt;=AO$8,$A253&lt;=AO$9),IF(SUM(AO$10:AO252)-ROUNDDOWN($K253*AO$5/100,0)&lt;-AO$6,-AO$6-SUM(AO$10:AO252),-ROUNDDOWN($K253*AO$5/100,0)),0)</f>
        <v>0</v>
      </c>
      <c r="AP253" s="38">
        <f>IF(AND($A253&gt;=AP$8,$A253&lt;=AP$9),IF(SUM(AP$10:AP252)-ROUNDDOWN($K253*AP$5/100,0)&lt;-AP$6,-AP$6-SUM(AP$10:AP252),-ROUNDDOWN($K253*AP$5/100,0)),0)</f>
        <v>0</v>
      </c>
      <c r="AQ253" s="38">
        <f>IF(AND($A253&gt;=AQ$8,$A253&lt;=AQ$9),IF(SUM(AQ$10:AQ252)-ROUNDDOWN($K253*AQ$5/100,0)&lt;-AQ$6,-AQ$6-SUM(AQ$10:AQ252),-ROUNDDOWN($K253*AQ$5/100,0)),0)</f>
        <v>0</v>
      </c>
      <c r="AR253" s="38">
        <f>IF(AND($A253&gt;=AR$8,$A253&lt;=AR$9),IF(SUM(AR$10:AR252)-ROUNDDOWN($K253*AR$5/100,0)&lt;-AR$6,-AR$6-SUM(AR$10:AR252),-ROUNDDOWN($K253*AR$5/100,0)),0)</f>
        <v>0</v>
      </c>
      <c r="AS253" s="38">
        <f>IF(SUMIFS(AS$10:AS252,$A$10:$A252,$A253)-ROUNDDOWN($K253*$S253/100,0)&lt;-$S253*1000,-$S253*1000-SUMIFS(AS$10:AS252,$A$10:$A252,$A253),-ROUNDDOWN($K253*$S253/100,0))</f>
        <v>0</v>
      </c>
      <c r="AT253" s="38">
        <f>IF(AND(X253="○",$A253&gt;=AT$8,$A253&lt;=AT$9,K253&gt;=3980),IF(SUM(AT$10:AT252)-ROUNDDOWN($K253*AT$5/100,0)&lt;-AT$6,-AT$6-SUM(AT$10:AT252),-ROUNDDOWN($K253*AT$5/100,0)),0)</f>
        <v>0</v>
      </c>
      <c r="AU253" s="38">
        <f>IF(O253="○",IF(SUM(AU$10:AU252)-ROUNDDOWN($K253*AU$5/100,0)&lt;-AU$6,-AU$6-SUM(AU$10:AU252),-ROUNDDOWN($K253*AU$5/100,0)),0)</f>
        <v>0</v>
      </c>
      <c r="AV253" s="38">
        <f>IF(P253="○",IF(SUM(AV$10:AV252)-ROUNDDOWN($K253*AV$5/100,0)&lt;-AV$6,-AV$6-SUM(AV$10:AV252),-ROUNDDOWN($K253*AV$5/100,0)),0)</f>
        <v>0</v>
      </c>
      <c r="AW253" s="38">
        <f>IF(Q253="○",IF(SUM(AW$10:AW252)-ROUNDDOWN($K253*AW$5/100,0)&lt;-AW$6,-AW$6-SUM(AW$10:AW252),-ROUNDDOWN($K253*AW$5/100,0)),0)</f>
        <v>0</v>
      </c>
      <c r="AX253" s="38">
        <f>IF(R253="○",IF(SUM(AX$10:AX252)-ROUNDDOWN($K253*AX$5/100,0)&lt;-AX$6,-AX$6-SUM(AX$10:AX252),-ROUNDDOWN($K253*AX$5/100,0)),0)</f>
        <v>0</v>
      </c>
      <c r="AY253" s="70">
        <v>0</v>
      </c>
      <c r="AZ253" s="65">
        <f t="shared" si="178"/>
        <v>0</v>
      </c>
      <c r="BA253" s="65">
        <f t="shared" si="179"/>
        <v>0</v>
      </c>
      <c r="BB253" s="70"/>
      <c r="BC253" s="65">
        <f t="shared" si="180"/>
        <v>0</v>
      </c>
      <c r="BD253" s="70">
        <v>0</v>
      </c>
      <c r="BE253" s="65">
        <f t="shared" si="181"/>
        <v>0</v>
      </c>
      <c r="BF253" s="70">
        <v>0</v>
      </c>
      <c r="BG253" s="65">
        <f t="shared" si="182"/>
        <v>0</v>
      </c>
      <c r="BH253" s="70">
        <v>0</v>
      </c>
      <c r="BI253" s="65">
        <f t="shared" si="183"/>
        <v>0</v>
      </c>
      <c r="BJ253" s="38">
        <f>IF(AND(BJ$7="○",$A253&gt;=BJ$8,$A253&lt;=BJ$9),IF(SUM(BJ$10:BJ252)-ROUNDDOWN($M253*BJ$5/100,0)&lt;-BJ$6,-BJ$6-SUM(BJ$10:BJ252),-ROUNDDOWN($M253*BJ$5/100,0)),0)</f>
        <v>0</v>
      </c>
      <c r="BK253" s="38">
        <f>IF(AND(BK$7="○",$A253&gt;=BK$8,$A253&lt;=BK$9),IF(SUM(BK$10:BK252)-ROUNDDOWN($L253*BK$5/100,0)&lt;-BK$6,-BK$6-SUM(BK$10:BK252),-ROUNDDOWN($L253*BK$5/100,0)),0)</f>
        <v>0</v>
      </c>
      <c r="BL253" s="38">
        <f>IF(AND(BL$7="○",$A253&gt;=BL$8,$A253&lt;=BL$9),IF(SUM(BL$10:BL252)-ROUNDDOWN($L253*BL$5/100,0)&lt;-BL$6,-BL$6-SUM(BL$10:BL252),-ROUNDDOWN($L253*BL$5/100,0)),0)</f>
        <v>0</v>
      </c>
      <c r="BM253" s="38">
        <f>IF(AND(BM$7="○",$A253&gt;=BM$8,$A253&lt;=BM$9),IF(SUM(BM$10:BM252)-ROUNDDOWN($M253*BM$5/100,0)&lt;-BM$6,-BM$6-SUM(BM$10:BM252),-ROUNDDOWN($M253*BM$5/100,0)),0)</f>
        <v>0</v>
      </c>
      <c r="BN253" s="38">
        <f>IF(AND(BN$7="○",$A253&gt;=BN$8,$A253&lt;=BN$9),IF(SUM(BN$10:BN252)-ROUNDDOWN($M253*BN$5/100,0)&lt;-BN$6,-BN$6-SUM(BN$10:BN252),-ROUNDDOWN($M253*BN$5/100,0)),0)</f>
        <v>0</v>
      </c>
      <c r="BO253" s="38">
        <f>IF(AND(BO$7="○",$A253&gt;=BO$8,$A253&lt;=BO$9),IF(SUM(BO$10:BO252)-ROUNDDOWN($M253*BO$5/100,0)&lt;-BO$6,-BO$6-SUM(BO$10:BO252),-ROUNDDOWN($M253*BO$5/100,0)),0)</f>
        <v>0</v>
      </c>
      <c r="BP253" s="38">
        <f>IF(AND(BP$7="○",$A253&gt;=BP$8,$A253&lt;=BP$9),IF(SUM(BP$10:BP252)-ROUNDDOWN($M253*BP$5/100,0)&lt;-BP$6,-BP$6-SUM(BP$10:BP252),-ROUNDDOWN($M253*BP$5/100,0)),0)</f>
        <v>0</v>
      </c>
      <c r="BQ253" s="38">
        <f>IF(AND(BQ$7="○",$A253&gt;=BQ$8,$A253&lt;=BQ$9),IF(SUM(BQ$10:BQ252)-ROUNDDOWN($L253*BQ$5/100,0)&lt;-BQ$6,-BQ$6-SUM(BQ$10:BQ252),-ROUNDDOWN($L253*BQ$5/100,0)),0)</f>
        <v>0</v>
      </c>
      <c r="BR253" s="38">
        <f>IF(AND(BR$7="○",$A253&gt;=BR$8,$A253&lt;=BR$9),IF(SUM(BR$10:BR252)-ROUNDDOWN($M253*BR$5/100,0)&lt;-BR$6,-BR$6-SUM(BR$10:BR252),-ROUNDDOWN($M253*BR$5/100,0)),0)</f>
        <v>0</v>
      </c>
      <c r="BS253" s="38">
        <f>IF(AND(BS$7="○",$A253&gt;=BS$8,$A253&lt;=BS$9),IF(SUM(BS$10:BS252)-ROUNDDOWN($M253*BS$5/100,0)&lt;-BS$6,-BS$6-SUM(BS$10:BS252),-ROUNDDOWN($M253*BS$5/100,0)),0)</f>
        <v>0</v>
      </c>
      <c r="BT253" s="38">
        <f>IF(AND(BT$7="○",$A253&gt;=BT$8,$A253&lt;=BT$9),IF(SUM(BT$10:BT252)-ROUNDDOWN($M253*BT$5/100,0)&lt;-BT$6,-BT$6-SUM(BT$10:BT252),-ROUNDDOWN($M253*BT$5/100,0)),0)</f>
        <v>0</v>
      </c>
      <c r="BU253" s="38">
        <f>IF(AND(BU$7="○",$A253&gt;=BU$8,$A253&lt;=BU$9),IF(SUM(BU$10:BU252)-ROUNDDOWN($M253*BU$5/100,0)&lt;-BU$6,-BU$6-SUM(BU$10:BU252),-ROUNDDOWN($M253*BU$5/100,0)),0)</f>
        <v>0</v>
      </c>
      <c r="BV253" s="38">
        <f>IF(AND(BV$7="○",$A253&gt;=BV$8,$A253&lt;=BV$9),IF(SUM(BV$10:BV252)-ROUNDDOWN($M253*BV$5/100,0)&lt;-BV$6,-BV$6-SUM(BV$10:BV252),-ROUNDDOWN($M253*BV$5/100,0)),0)</f>
        <v>0</v>
      </c>
      <c r="BW253" s="38">
        <f>IF(AND(BW$7="○",$A253&gt;=BW$8,$A253&lt;=BW$9),IF(SUM(BW$10:BW252)-ROUNDDOWN($M253*BW$5/100,0)&lt;-BW$6,-BW$6-SUM(BW$10:BW252),-ROUNDDOWN($M253*BW$5/100,0)),0)</f>
        <v>0</v>
      </c>
      <c r="BX253" s="38">
        <f>IF(AND(T253="○",$A253&gt;=BX$8,$A253&lt;=BX$9),IF(SUM(BX$10:BX252)-ROUNDDOWN($K253*BX$5/100,0)&lt;-BX$6,-BX$6-SUM(BX$10:BX252),-ROUNDDOWN($K253*BX$5/100,0)),0)</f>
        <v>0</v>
      </c>
      <c r="BY253" s="38">
        <f>IF(AND(U253="○",$A253&gt;=BY$8,$A253&lt;=BY$9),IF(SUM(BY$10:BY252)-ROUNDDOWN($K253*BY$5/100,0)&lt;-BY$6,-BY$6-SUM(BY$10:BY252),-ROUNDDOWN($K253*BY$5/100,0)),0)</f>
        <v>0</v>
      </c>
      <c r="BZ253" s="38">
        <f>IF(AND(V253="○",$A253&gt;=BZ$8,$A253&lt;=BZ$9),IF(SUM(BZ$10:BZ252)-ROUNDDOWN($K253*BZ$5/100,0)&lt;-BZ$6,-BZ$6-SUM(BZ$10:BZ252),-ROUNDDOWN($K253*BZ$5/100,0)),0)</f>
        <v>0</v>
      </c>
      <c r="CA253" s="38">
        <f>IF(AND(W253="○",$A253&gt;=CA$8,$A253&lt;=CA$9),IF(SUM(CA$10:CA252)-ROUNDDOWN($K253*CA$5/100,0)&lt;-CA$6,-CA$6-SUM(CA$10:CA252),-ROUNDDOWN($K253*CA$5/100,0)),0)</f>
        <v>0</v>
      </c>
      <c r="CB253" s="38"/>
      <c r="CC253" s="38"/>
      <c r="CD253" s="38"/>
      <c r="CE253" s="38"/>
      <c r="CF253" s="38"/>
      <c r="CG253" s="65">
        <f t="shared" si="184"/>
        <v>0</v>
      </c>
      <c r="CH253" s="71">
        <f t="shared" si="185"/>
        <v>0</v>
      </c>
      <c r="CI253" s="1">
        <f t="shared" si="19"/>
        <v>0</v>
      </c>
      <c r="CJ253" s="1"/>
      <c r="CK253" s="79"/>
      <c r="CL253" s="79"/>
      <c r="CM253" s="2"/>
      <c r="CN253" s="2"/>
      <c r="CO253" s="73">
        <f t="shared" si="20"/>
        <v>0</v>
      </c>
      <c r="CP253" s="5">
        <f t="shared" si="21"/>
        <v>0</v>
      </c>
      <c r="CQ253" s="1"/>
      <c r="CR253" s="1">
        <f t="shared" si="22"/>
        <v>0</v>
      </c>
      <c r="CS253" s="1"/>
      <c r="CT253" s="1" t="e">
        <f>INDEX([2]マスタ!$A:$A,MATCH(D253,[2]マスタ!$C:$C,0))</f>
        <v>#N/A</v>
      </c>
      <c r="CU253" s="1" t="str">
        <f t="shared" ca="1" si="23"/>
        <v>20260620_0-0</v>
      </c>
    </row>
    <row r="254" spans="1:99" x14ac:dyDescent="0.4">
      <c r="A254" s="61"/>
      <c r="B254" s="62"/>
      <c r="C254" s="62"/>
      <c r="D254" s="62"/>
      <c r="E254" s="77"/>
      <c r="F254" s="62"/>
      <c r="G254" s="62">
        <v>1</v>
      </c>
      <c r="H254" s="64">
        <f t="shared" si="4"/>
        <v>0</v>
      </c>
      <c r="I254" s="64"/>
      <c r="J254" s="64"/>
      <c r="K254" s="65">
        <f t="shared" si="195"/>
        <v>0</v>
      </c>
      <c r="L254" s="65">
        <f t="shared" si="6"/>
        <v>0</v>
      </c>
      <c r="M254" s="65">
        <f t="shared" si="7"/>
        <v>0</v>
      </c>
      <c r="N254" s="65">
        <f t="shared" si="8"/>
        <v>0</v>
      </c>
      <c r="O254" s="66" t="str">
        <f t="shared" si="189"/>
        <v>✕</v>
      </c>
      <c r="P254" s="67" t="str">
        <f t="shared" si="190"/>
        <v>○</v>
      </c>
      <c r="Q254" s="67" t="str">
        <f t="shared" si="196"/>
        <v>✕</v>
      </c>
      <c r="R254" s="67" t="str">
        <f t="shared" si="192"/>
        <v>✕</v>
      </c>
      <c r="S254" s="68">
        <v>0</v>
      </c>
      <c r="T254" s="69" t="s">
        <v>85</v>
      </c>
      <c r="U254" s="69" t="s">
        <v>85</v>
      </c>
      <c r="V254" s="69" t="s">
        <v>85</v>
      </c>
      <c r="W254" s="69" t="s">
        <v>85</v>
      </c>
      <c r="X254" s="69" t="s">
        <v>84</v>
      </c>
      <c r="Y254" s="69" t="s">
        <v>85</v>
      </c>
      <c r="Z254" s="69" t="s">
        <v>85</v>
      </c>
      <c r="AA254" s="69" t="s">
        <v>85</v>
      </c>
      <c r="AB254" s="69" t="s">
        <v>85</v>
      </c>
      <c r="AC254" s="69" t="s">
        <v>85</v>
      </c>
      <c r="AD254" s="38" t="str">
        <f>+IF(ISERROR(VLOOKUP($B254,AD$10:AD253,1,0)),IF(AND($N254&gt;=1000,$A254&gt;=AO$8,$A254&lt;=AO$9),$B254,""),"")</f>
        <v/>
      </c>
      <c r="AE254" s="38" t="str">
        <f>+IF(ISERROR(VLOOKUP($B254,AE$10:AE253,1,0)),IF(AND($N254&gt;=1000,$A254&gt;=AP$8,$A254&lt;=AP$9),$B254,""),"")</f>
        <v/>
      </c>
      <c r="AF254" s="38" t="str">
        <f>+IF(ISERROR(VLOOKUP($B254,AF$10:AF253,1,0)),IF(AND($N254&gt;=1000,$A254&gt;=AQ$8,$A254&lt;=AQ$9),$B254,""),"")</f>
        <v/>
      </c>
      <c r="AG254" s="38" t="str">
        <f>+IF(ISERROR(VLOOKUP($B254,AG$10:AG253,1,0)),IF(AND($N254&gt;=1000,$A254&gt;=AR$8,$A254&lt;=AR$9),$B254,""),"")</f>
        <v/>
      </c>
      <c r="AH254" s="38"/>
      <c r="AI254" s="70">
        <v>0</v>
      </c>
      <c r="AJ254" s="38">
        <f>IF(AND(AJ$7="○",$A254&gt;=AJ$8,$A254&lt;=AJ$9),IF(SUM(AJ$10:AJ253)-ROUNDDOWN($K254*AJ$5/100,0)&lt;-AJ$6,-AJ$6-SUM(AJ$10:AJ253),-ROUNDDOWN($K254*AJ$5/100,0)),0)</f>
        <v>0</v>
      </c>
      <c r="AK254" s="38">
        <f>IF(AND(AK$7="○",$A254&gt;=AK$8,$A254&lt;=AK$9),IF(SUM(AK$10:AK253)-ROUNDDOWN($L254*AK$5/100,0)&lt;-AK$6,-AK$6-SUM(AK$10:AK253),-ROUNDDOWN($L254*AK$5/100,0)),0)</f>
        <v>0</v>
      </c>
      <c r="AL254" s="38">
        <f>IF(AND(AL$7="○",$A254&gt;=AL$8,$A254&lt;=AL$9),IF(SUM(AL$10:AL253)-ROUNDDOWN($N254*AL$5/100,0)&lt;-AL$6,-AL$6-SUM(AL$10:AL253),-ROUNDDOWN($N254*AL$5/100,0)),0)</f>
        <v>0</v>
      </c>
      <c r="AM254" s="38">
        <f>IF(AND(AM$7="○",$A254&gt;=AM$8,$A254&lt;=AM$9),IF(SUM(AM$10:AM253)-ROUNDDOWN($L254*AM$5/100,0)&lt;-AM$6,-AM$6-SUM(AM$10:AM253),-ROUNDDOWN($L254*AM$5/100,0)),0)</f>
        <v>0</v>
      </c>
      <c r="AN254" s="38">
        <f>IF(AND(AN$7="○",$A254&gt;=AN$8,$A254&lt;=AN$9),IF(SUM(AN$10:AN253)-ROUNDDOWN($M254*AN$5/100,0)&lt;-AN$6,-AN$6-SUM(AN$10:AN253),-ROUNDDOWN($M254*AN$5/100,0)),0)</f>
        <v>0</v>
      </c>
      <c r="AO254" s="38">
        <f>IF(AND($A254&gt;=AO$8,$A254&lt;=AO$9),IF(SUM(AO$10:AO253)-ROUNDDOWN($K254*AO$5/100,0)&lt;-AO$6,-AO$6-SUM(AO$10:AO253),-ROUNDDOWN($K254*AO$5/100,0)),0)</f>
        <v>0</v>
      </c>
      <c r="AP254" s="38">
        <f>IF(AND($A254&gt;=AP$8,$A254&lt;=AP$9),IF(SUM(AP$10:AP253)-ROUNDDOWN($K254*AP$5/100,0)&lt;-AP$6,-AP$6-SUM(AP$10:AP253),-ROUNDDOWN($K254*AP$5/100,0)),0)</f>
        <v>0</v>
      </c>
      <c r="AQ254" s="38">
        <f>IF(AND($A254&gt;=AQ$8,$A254&lt;=AQ$9),IF(SUM(AQ$10:AQ253)-ROUNDDOWN($K254*AQ$5/100,0)&lt;-AQ$6,-AQ$6-SUM(AQ$10:AQ253),-ROUNDDOWN($K254*AQ$5/100,0)),0)</f>
        <v>0</v>
      </c>
      <c r="AR254" s="38">
        <f>IF(AND($A254&gt;=AR$8,$A254&lt;=AR$9),IF(SUM(AR$10:AR253)-ROUNDDOWN($K254*AR$5/100,0)&lt;-AR$6,-AR$6-SUM(AR$10:AR253),-ROUNDDOWN($K254*AR$5/100,0)),0)</f>
        <v>0</v>
      </c>
      <c r="AS254" s="38">
        <f>IF(SUMIFS(AS$10:AS253,$A$10:$A253,$A254)-ROUNDDOWN($K254*$S254/100,0)&lt;-$S254*1000,-$S254*1000-SUMIFS(AS$10:AS253,$A$10:$A253,$A254),-ROUNDDOWN($K254*$S254/100,0))</f>
        <v>0</v>
      </c>
      <c r="AT254" s="38">
        <f>IF(AND(X254="○",$A254&gt;=AT$8,$A254&lt;=AT$9,K254&gt;=3980),IF(SUM(AT$10:AT253)-ROUNDDOWN($K254*AT$5/100,0)&lt;-AT$6,-AT$6-SUM(AT$10:AT253),-ROUNDDOWN($K254*AT$5/100,0)),0)</f>
        <v>0</v>
      </c>
      <c r="AU254" s="38">
        <f>IF(O254="○",IF(SUM(AU$10:AU253)-ROUNDDOWN($K254*AU$5/100,0)&lt;-AU$6,-AU$6-SUM(AU$10:AU253),-ROUNDDOWN($K254*AU$5/100,0)),0)</f>
        <v>0</v>
      </c>
      <c r="AV254" s="38">
        <f>IF(P254="○",IF(SUM(AV$10:AV253)-ROUNDDOWN($K254*AV$5/100,0)&lt;-AV$6,-AV$6-SUM(AV$10:AV253),-ROUNDDOWN($K254*AV$5/100,0)),0)</f>
        <v>0</v>
      </c>
      <c r="AW254" s="38">
        <f>IF(Q254="○",IF(SUM(AW$10:AW253)-ROUNDDOWN($K254*AW$5/100,0)&lt;-AW$6,-AW$6-SUM(AW$10:AW253),-ROUNDDOWN($K254*AW$5/100,0)),0)</f>
        <v>0</v>
      </c>
      <c r="AX254" s="38">
        <f>IF(R254="○",IF(SUM(AX$10:AX253)-ROUNDDOWN($K254*AX$5/100,0)&lt;-AX$6,-AX$6-SUM(AX$10:AX253),-ROUNDDOWN($K254*AX$5/100,0)),0)</f>
        <v>0</v>
      </c>
      <c r="AY254" s="70">
        <v>0</v>
      </c>
      <c r="AZ254" s="65">
        <f t="shared" si="178"/>
        <v>0</v>
      </c>
      <c r="BA254" s="65">
        <f t="shared" si="179"/>
        <v>0</v>
      </c>
      <c r="BB254" s="70"/>
      <c r="BC254" s="65">
        <f t="shared" si="180"/>
        <v>0</v>
      </c>
      <c r="BD254" s="70">
        <v>0</v>
      </c>
      <c r="BE254" s="65">
        <f t="shared" si="181"/>
        <v>0</v>
      </c>
      <c r="BF254" s="70">
        <v>0</v>
      </c>
      <c r="BG254" s="65">
        <f t="shared" si="182"/>
        <v>0</v>
      </c>
      <c r="BH254" s="70">
        <v>0</v>
      </c>
      <c r="BI254" s="65">
        <f t="shared" si="183"/>
        <v>0</v>
      </c>
      <c r="BJ254" s="38">
        <f>IF(AND(BJ$7="○",$A254&gt;=BJ$8,$A254&lt;=BJ$9),IF(SUM(BJ$10:BJ253)-ROUNDDOWN($M254*BJ$5/100,0)&lt;-BJ$6,-BJ$6-SUM(BJ$10:BJ253),-ROUNDDOWN($M254*BJ$5/100,0)),0)</f>
        <v>0</v>
      </c>
      <c r="BK254" s="38">
        <f>IF(AND(BK$7="○",$A254&gt;=BK$8,$A254&lt;=BK$9),IF(SUM(BK$10:BK253)-ROUNDDOWN($L254*BK$5/100,0)&lt;-BK$6,-BK$6-SUM(BK$10:BK253),-ROUNDDOWN($L254*BK$5/100,0)),0)</f>
        <v>0</v>
      </c>
      <c r="BL254" s="38">
        <f>IF(AND(BL$7="○",$A254&gt;=BL$8,$A254&lt;=BL$9),IF(SUM(BL$10:BL253)-ROUNDDOWN($L254*BL$5/100,0)&lt;-BL$6,-BL$6-SUM(BL$10:BL253),-ROUNDDOWN($L254*BL$5/100,0)),0)</f>
        <v>0</v>
      </c>
      <c r="BM254" s="38">
        <f>IF(AND(BM$7="○",$A254&gt;=BM$8,$A254&lt;=BM$9),IF(SUM(BM$10:BM253)-ROUNDDOWN($M254*BM$5/100,0)&lt;-BM$6,-BM$6-SUM(BM$10:BM253),-ROUNDDOWN($M254*BM$5/100,0)),0)</f>
        <v>0</v>
      </c>
      <c r="BN254" s="38">
        <f>IF(AND(BN$7="○",$A254&gt;=BN$8,$A254&lt;=BN$9),IF(SUM(BN$10:BN253)-ROUNDDOWN($M254*BN$5/100,0)&lt;-BN$6,-BN$6-SUM(BN$10:BN253),-ROUNDDOWN($M254*BN$5/100,0)),0)</f>
        <v>0</v>
      </c>
      <c r="BO254" s="38">
        <f>IF(AND(BO$7="○",$A254&gt;=BO$8,$A254&lt;=BO$9),IF(SUM(BO$10:BO253)-ROUNDDOWN($M254*BO$5/100,0)&lt;-BO$6,-BO$6-SUM(BO$10:BO253),-ROUNDDOWN($M254*BO$5/100,0)),0)</f>
        <v>0</v>
      </c>
      <c r="BP254" s="38">
        <f>IF(AND(BP$7="○",$A254&gt;=BP$8,$A254&lt;=BP$9),IF(SUM(BP$10:BP253)-ROUNDDOWN($M254*BP$5/100,0)&lt;-BP$6,-BP$6-SUM(BP$10:BP253),-ROUNDDOWN($M254*BP$5/100,0)),0)</f>
        <v>0</v>
      </c>
      <c r="BQ254" s="38">
        <f>IF(AND(BQ$7="○",$A254&gt;=BQ$8,$A254&lt;=BQ$9),IF(SUM(BQ$10:BQ253)-ROUNDDOWN($L254*BQ$5/100,0)&lt;-BQ$6,-BQ$6-SUM(BQ$10:BQ253),-ROUNDDOWN($L254*BQ$5/100,0)),0)</f>
        <v>0</v>
      </c>
      <c r="BR254" s="38">
        <f>IF(AND(BR$7="○",$A254&gt;=BR$8,$A254&lt;=BR$9),IF(SUM(BR$10:BR253)-ROUNDDOWN($M254*BR$5/100,0)&lt;-BR$6,-BR$6-SUM(BR$10:BR253),-ROUNDDOWN($M254*BR$5/100,0)),0)</f>
        <v>0</v>
      </c>
      <c r="BS254" s="38">
        <f>IF(AND(BS$7="○",$A254&gt;=BS$8,$A254&lt;=BS$9),IF(SUM(BS$10:BS253)-ROUNDDOWN($M254*BS$5/100,0)&lt;-BS$6,-BS$6-SUM(BS$10:BS253),-ROUNDDOWN($M254*BS$5/100,0)),0)</f>
        <v>0</v>
      </c>
      <c r="BT254" s="38">
        <f>IF(AND(BT$7="○",$A254&gt;=BT$8,$A254&lt;=BT$9),IF(SUM(BT$10:BT253)-ROUNDDOWN($M254*BT$5/100,0)&lt;-BT$6,-BT$6-SUM(BT$10:BT253),-ROUNDDOWN($M254*BT$5/100,0)),0)</f>
        <v>0</v>
      </c>
      <c r="BU254" s="38">
        <f>IF(AND(BU$7="○",$A254&gt;=BU$8,$A254&lt;=BU$9),IF(SUM(BU$10:BU253)-ROUNDDOWN($M254*BU$5/100,0)&lt;-BU$6,-BU$6-SUM(BU$10:BU253),-ROUNDDOWN($M254*BU$5/100,0)),0)</f>
        <v>0</v>
      </c>
      <c r="BV254" s="38">
        <f>IF(AND(BV$7="○",$A254&gt;=BV$8,$A254&lt;=BV$9),IF(SUM(BV$10:BV253)-ROUNDDOWN($M254*BV$5/100,0)&lt;-BV$6,-BV$6-SUM(BV$10:BV253),-ROUNDDOWN($M254*BV$5/100,0)),0)</f>
        <v>0</v>
      </c>
      <c r="BW254" s="38">
        <f>IF(AND(BW$7="○",$A254&gt;=BW$8,$A254&lt;=BW$9),IF(SUM(BW$10:BW253)-ROUNDDOWN($M254*BW$5/100,0)&lt;-BW$6,-BW$6-SUM(BW$10:BW253),-ROUNDDOWN($M254*BW$5/100,0)),0)</f>
        <v>0</v>
      </c>
      <c r="BX254" s="38">
        <f>IF(AND(T254="○",$A254&gt;=BX$8,$A254&lt;=BX$9),IF(SUM(BX$10:BX253)-ROUNDDOWN($K254*BX$5/100,0)&lt;-BX$6,-BX$6-SUM(BX$10:BX253),-ROUNDDOWN($K254*BX$5/100,0)),0)</f>
        <v>0</v>
      </c>
      <c r="BY254" s="38">
        <f>IF(AND(U254="○",$A254&gt;=BY$8,$A254&lt;=BY$9),IF(SUM(BY$10:BY253)-ROUNDDOWN($K254*BY$5/100,0)&lt;-BY$6,-BY$6-SUM(BY$10:BY253),-ROUNDDOWN($K254*BY$5/100,0)),0)</f>
        <v>0</v>
      </c>
      <c r="BZ254" s="38">
        <f>IF(AND(V254="○",$A254&gt;=BZ$8,$A254&lt;=BZ$9),IF(SUM(BZ$10:BZ253)-ROUNDDOWN($K254*BZ$5/100,0)&lt;-BZ$6,-BZ$6-SUM(BZ$10:BZ253),-ROUNDDOWN($K254*BZ$5/100,0)),0)</f>
        <v>0</v>
      </c>
      <c r="CA254" s="38">
        <f>IF(AND(W254="○",$A254&gt;=CA$8,$A254&lt;=CA$9),IF(SUM(CA$10:CA253)-ROUNDDOWN($K254*CA$5/100,0)&lt;-CA$6,-CA$6-SUM(CA$10:CA253),-ROUNDDOWN($K254*CA$5/100,0)),0)</f>
        <v>0</v>
      </c>
      <c r="CB254" s="38"/>
      <c r="CC254" s="38"/>
      <c r="CD254" s="38"/>
      <c r="CE254" s="38"/>
      <c r="CF254" s="38"/>
      <c r="CG254" s="65">
        <f t="shared" si="184"/>
        <v>0</v>
      </c>
      <c r="CH254" s="71">
        <f t="shared" si="185"/>
        <v>0</v>
      </c>
      <c r="CI254" s="1">
        <f t="shared" si="19"/>
        <v>0</v>
      </c>
      <c r="CJ254" s="1"/>
      <c r="CK254" s="79"/>
      <c r="CL254" s="79"/>
      <c r="CM254" s="2"/>
      <c r="CN254" s="2"/>
      <c r="CO254" s="73">
        <f t="shared" si="20"/>
        <v>0</v>
      </c>
      <c r="CP254" s="5">
        <f t="shared" si="21"/>
        <v>0</v>
      </c>
      <c r="CQ254" s="1"/>
      <c r="CR254" s="1">
        <f t="shared" si="22"/>
        <v>0</v>
      </c>
      <c r="CS254" s="1"/>
      <c r="CT254" s="1" t="e">
        <f>INDEX([2]マスタ!$A:$A,MATCH(D254,[2]マスタ!$C:$C,0))</f>
        <v>#N/A</v>
      </c>
      <c r="CU254" s="1" t="str">
        <f t="shared" ca="1" si="23"/>
        <v>20260620_0-0</v>
      </c>
    </row>
    <row r="255" spans="1:99" x14ac:dyDescent="0.4">
      <c r="A255" s="61"/>
      <c r="B255" s="62"/>
      <c r="C255" s="62"/>
      <c r="D255" s="62"/>
      <c r="E255" s="63"/>
      <c r="F255" s="62"/>
      <c r="G255" s="62">
        <v>1</v>
      </c>
      <c r="H255" s="64">
        <f t="shared" si="4"/>
        <v>0</v>
      </c>
      <c r="I255" s="64"/>
      <c r="J255" s="64"/>
      <c r="K255" s="65">
        <f t="shared" si="195"/>
        <v>0</v>
      </c>
      <c r="L255" s="65">
        <f t="shared" si="6"/>
        <v>0</v>
      </c>
      <c r="M255" s="65">
        <f t="shared" si="7"/>
        <v>0</v>
      </c>
      <c r="N255" s="65">
        <f t="shared" si="8"/>
        <v>0</v>
      </c>
      <c r="O255" s="66" t="str">
        <f t="shared" si="189"/>
        <v>✕</v>
      </c>
      <c r="P255" s="67" t="str">
        <f t="shared" si="190"/>
        <v>○</v>
      </c>
      <c r="Q255" s="67" t="str">
        <f t="shared" si="196"/>
        <v>✕</v>
      </c>
      <c r="R255" s="67" t="str">
        <f t="shared" si="192"/>
        <v>✕</v>
      </c>
      <c r="S255" s="68">
        <v>0</v>
      </c>
      <c r="T255" s="69" t="s">
        <v>85</v>
      </c>
      <c r="U255" s="69" t="s">
        <v>85</v>
      </c>
      <c r="V255" s="69" t="s">
        <v>85</v>
      </c>
      <c r="W255" s="69" t="s">
        <v>85</v>
      </c>
      <c r="X255" s="69" t="s">
        <v>84</v>
      </c>
      <c r="Y255" s="69" t="s">
        <v>85</v>
      </c>
      <c r="Z255" s="69" t="s">
        <v>85</v>
      </c>
      <c r="AA255" s="69" t="s">
        <v>85</v>
      </c>
      <c r="AB255" s="69" t="s">
        <v>85</v>
      </c>
      <c r="AC255" s="69" t="s">
        <v>85</v>
      </c>
      <c r="AD255" s="38" t="str">
        <f>+IF(ISERROR(VLOOKUP($B255,AD$10:AD254,1,0)),IF(AND($N255&gt;=1000,$A255&gt;=AO$8,$A255&lt;=AO$9),$B255,""),"")</f>
        <v/>
      </c>
      <c r="AE255" s="38" t="str">
        <f>+IF(ISERROR(VLOOKUP($B255,AE$10:AE254,1,0)),IF(AND($N255&gt;=1000,$A255&gt;=AP$8,$A255&lt;=AP$9),$B255,""),"")</f>
        <v/>
      </c>
      <c r="AF255" s="38" t="str">
        <f>+IF(ISERROR(VLOOKUP($B255,AF$10:AF254,1,0)),IF(AND($N255&gt;=1000,$A255&gt;=AQ$8,$A255&lt;=AQ$9),$B255,""),"")</f>
        <v/>
      </c>
      <c r="AG255" s="38" t="str">
        <f>+IF(ISERROR(VLOOKUP($B255,AG$10:AG254,1,0)),IF(AND($N255&gt;=1000,$A255&gt;=AR$8,$A255&lt;=AR$9),$B255,""),"")</f>
        <v/>
      </c>
      <c r="AH255" s="38"/>
      <c r="AI255" s="70">
        <v>0</v>
      </c>
      <c r="AJ255" s="38">
        <f>IF(AND(AJ$7="○",$A255&gt;=AJ$8,$A255&lt;=AJ$9),IF(SUM(AJ$10:AJ254)-ROUNDDOWN($K255*AJ$5/100,0)&lt;-AJ$6,-AJ$6-SUM(AJ$10:AJ254),-ROUNDDOWN($K255*AJ$5/100,0)),0)</f>
        <v>0</v>
      </c>
      <c r="AK255" s="38">
        <f>IF(AND(AK$7="○",$A255&gt;=AK$8,$A255&lt;=AK$9),IF(SUM(AK$10:AK254)-ROUNDDOWN($L255*AK$5/100,0)&lt;-AK$6,-AK$6-SUM(AK$10:AK254),-ROUNDDOWN($L255*AK$5/100,0)),0)</f>
        <v>0</v>
      </c>
      <c r="AL255" s="38">
        <f>IF(AND(AL$7="○",$A255&gt;=AL$8,$A255&lt;=AL$9),IF(SUM(AL$10:AL254)-ROUNDDOWN($N255*AL$5/100,0)&lt;-AL$6,-AL$6-SUM(AL$10:AL254),-ROUNDDOWN($N255*AL$5/100,0)),0)</f>
        <v>0</v>
      </c>
      <c r="AM255" s="38">
        <f>IF(AND(AM$7="○",$A255&gt;=AM$8,$A255&lt;=AM$9),IF(SUM(AM$10:AM254)-ROUNDDOWN($L255*AM$5/100,0)&lt;-AM$6,-AM$6-SUM(AM$10:AM254),-ROUNDDOWN($L255*AM$5/100,0)),0)</f>
        <v>0</v>
      </c>
      <c r="AN255" s="38">
        <f>IF(AND(AN$7="○",$A255&gt;=AN$8,$A255&lt;=AN$9),IF(SUM(AN$10:AN254)-ROUNDDOWN($M255*AN$5/100,0)&lt;-AN$6,-AN$6-SUM(AN$10:AN254),-ROUNDDOWN($M255*AN$5/100,0)),0)</f>
        <v>0</v>
      </c>
      <c r="AO255" s="38">
        <f>IF(AND($A255&gt;=AO$8,$A255&lt;=AO$9),IF(SUM(AO$10:AO254)-ROUNDDOWN($K255*AO$5/100,0)&lt;-AO$6,-AO$6-SUM(AO$10:AO254),-ROUNDDOWN($K255*AO$5/100,0)),0)</f>
        <v>0</v>
      </c>
      <c r="AP255" s="38">
        <f>IF(AND($A255&gt;=AP$8,$A255&lt;=AP$9),IF(SUM(AP$10:AP254)-ROUNDDOWN($K255*AP$5/100,0)&lt;-AP$6,-AP$6-SUM(AP$10:AP254),-ROUNDDOWN($K255*AP$5/100,0)),0)</f>
        <v>0</v>
      </c>
      <c r="AQ255" s="38">
        <f>IF(AND($A255&gt;=AQ$8,$A255&lt;=AQ$9),IF(SUM(AQ$10:AQ254)-ROUNDDOWN($K255*AQ$5/100,0)&lt;-AQ$6,-AQ$6-SUM(AQ$10:AQ254),-ROUNDDOWN($K255*AQ$5/100,0)),0)</f>
        <v>0</v>
      </c>
      <c r="AR255" s="38">
        <f>IF(AND($A255&gt;=AR$8,$A255&lt;=AR$9),IF(SUM(AR$10:AR254)-ROUNDDOWN($K255*AR$5/100,0)&lt;-AR$6,-AR$6-SUM(AR$10:AR254),-ROUNDDOWN($K255*AR$5/100,0)),0)</f>
        <v>0</v>
      </c>
      <c r="AS255" s="38">
        <f>IF(SUMIFS(AS$10:AS254,$A$10:$A254,$A255)-ROUNDDOWN($K255*$S255/100,0)&lt;-$S255*1000,-$S255*1000-SUMIFS(AS$10:AS254,$A$10:$A254,$A255),-ROUNDDOWN($K255*$S255/100,0))</f>
        <v>0</v>
      </c>
      <c r="AT255" s="38">
        <f>IF(AND(X255="○",$A255&gt;=AT$8,$A255&lt;=AT$9,K255&gt;=3980),IF(SUM(AT$10:AT254)-ROUNDDOWN($K255*AT$5/100,0)&lt;-AT$6,-AT$6-SUM(AT$10:AT254),-ROUNDDOWN($K255*AT$5/100,0)),0)</f>
        <v>0</v>
      </c>
      <c r="AU255" s="38">
        <f>IF(O255="○",IF(SUM(AU$10:AU254)-ROUNDDOWN($K255*AU$5/100,0)&lt;-AU$6,-AU$6-SUM(AU$10:AU254),-ROUNDDOWN($K255*AU$5/100,0)),0)</f>
        <v>0</v>
      </c>
      <c r="AV255" s="38">
        <f>IF(P255="○",IF(SUM(AV$10:AV254)-ROUNDDOWN($K255*AV$5/100,0)&lt;-AV$6,-AV$6-SUM(AV$10:AV254),-ROUNDDOWN($K255*AV$5/100,0)),0)</f>
        <v>0</v>
      </c>
      <c r="AW255" s="38">
        <f>IF(Q255="○",IF(SUM(AW$10:AW254)-ROUNDDOWN($K255*AW$5/100,0)&lt;-AW$6,-AW$6-SUM(AW$10:AW254),-ROUNDDOWN($K255*AW$5/100,0)),0)</f>
        <v>0</v>
      </c>
      <c r="AX255" s="38">
        <f>IF(R255="○",IF(SUM(AX$10:AX254)-ROUNDDOWN($K255*AX$5/100,0)&lt;-AX$6,-AX$6-SUM(AX$10:AX254),-ROUNDDOWN($K255*AX$5/100,0)),0)</f>
        <v>0</v>
      </c>
      <c r="AY255" s="70">
        <v>0</v>
      </c>
      <c r="AZ255" s="65">
        <f t="shared" si="178"/>
        <v>0</v>
      </c>
      <c r="BA255" s="65">
        <f t="shared" si="179"/>
        <v>0</v>
      </c>
      <c r="BB255" s="70"/>
      <c r="BC255" s="65">
        <f t="shared" si="180"/>
        <v>0</v>
      </c>
      <c r="BD255" s="70">
        <v>0</v>
      </c>
      <c r="BE255" s="65">
        <f t="shared" si="181"/>
        <v>0</v>
      </c>
      <c r="BF255" s="70">
        <v>0</v>
      </c>
      <c r="BG255" s="65">
        <f t="shared" si="182"/>
        <v>0</v>
      </c>
      <c r="BH255" s="70">
        <v>0</v>
      </c>
      <c r="BI255" s="65">
        <f t="shared" si="183"/>
        <v>0</v>
      </c>
      <c r="BJ255" s="38">
        <f>IF(AND(BJ$7="○",$A255&gt;=BJ$8,$A255&lt;=BJ$9),IF(SUM(BJ$10:BJ254)-ROUNDDOWN($M255*BJ$5/100,0)&lt;-BJ$6,-BJ$6-SUM(BJ$10:BJ254),-ROUNDDOWN($M255*BJ$5/100,0)),0)</f>
        <v>0</v>
      </c>
      <c r="BK255" s="38">
        <f>IF(AND(BK$7="○",$A255&gt;=BK$8,$A255&lt;=BK$9),IF(SUM(BK$10:BK254)-ROUNDDOWN($L255*BK$5/100,0)&lt;-BK$6,-BK$6-SUM(BK$10:BK254),-ROUNDDOWN($L255*BK$5/100,0)),0)</f>
        <v>0</v>
      </c>
      <c r="BL255" s="38">
        <f>IF(AND(BL$7="○",$A255&gt;=BL$8,$A255&lt;=BL$9),IF(SUM(BL$10:BL254)-ROUNDDOWN($L255*BL$5/100,0)&lt;-BL$6,-BL$6-SUM(BL$10:BL254),-ROUNDDOWN($L255*BL$5/100,0)),0)</f>
        <v>0</v>
      </c>
      <c r="BM255" s="38">
        <f>IF(AND(BM$7="○",$A255&gt;=BM$8,$A255&lt;=BM$9),IF(SUM(BM$10:BM254)-ROUNDDOWN($M255*BM$5/100,0)&lt;-BM$6,-BM$6-SUM(BM$10:BM254),-ROUNDDOWN($M255*BM$5/100,0)),0)</f>
        <v>0</v>
      </c>
      <c r="BN255" s="38">
        <f>IF(AND(BN$7="○",$A255&gt;=BN$8,$A255&lt;=BN$9),IF(SUM(BN$10:BN254)-ROUNDDOWN($M255*BN$5/100,0)&lt;-BN$6,-BN$6-SUM(BN$10:BN254),-ROUNDDOWN($M255*BN$5/100,0)),0)</f>
        <v>0</v>
      </c>
      <c r="BO255" s="38">
        <f>IF(AND(BO$7="○",$A255&gt;=BO$8,$A255&lt;=BO$9),IF(SUM(BO$10:BO254)-ROUNDDOWN($M255*BO$5/100,0)&lt;-BO$6,-BO$6-SUM(BO$10:BO254),-ROUNDDOWN($M255*BO$5/100,0)),0)</f>
        <v>0</v>
      </c>
      <c r="BP255" s="38">
        <f>IF(AND(BP$7="○",$A255&gt;=BP$8,$A255&lt;=BP$9),IF(SUM(BP$10:BP254)-ROUNDDOWN($M255*BP$5/100,0)&lt;-BP$6,-BP$6-SUM(BP$10:BP254),-ROUNDDOWN($M255*BP$5/100,0)),0)</f>
        <v>0</v>
      </c>
      <c r="BQ255" s="38">
        <f>IF(AND(BQ$7="○",$A255&gt;=BQ$8,$A255&lt;=BQ$9),IF(SUM(BQ$10:BQ254)-ROUNDDOWN($L255*BQ$5/100,0)&lt;-BQ$6,-BQ$6-SUM(BQ$10:BQ254),-ROUNDDOWN($L255*BQ$5/100,0)),0)</f>
        <v>0</v>
      </c>
      <c r="BR255" s="38">
        <f>IF(AND(BR$7="○",$A255&gt;=BR$8,$A255&lt;=BR$9),IF(SUM(BR$10:BR254)-ROUNDDOWN($M255*BR$5/100,0)&lt;-BR$6,-BR$6-SUM(BR$10:BR254),-ROUNDDOWN($M255*BR$5/100,0)),0)</f>
        <v>0</v>
      </c>
      <c r="BS255" s="38">
        <f>IF(AND(BS$7="○",$A255&gt;=BS$8,$A255&lt;=BS$9),IF(SUM(BS$10:BS254)-ROUNDDOWN($M255*BS$5/100,0)&lt;-BS$6,-BS$6-SUM(BS$10:BS254),-ROUNDDOWN($M255*BS$5/100,0)),0)</f>
        <v>0</v>
      </c>
      <c r="BT255" s="38">
        <f>IF(AND(BT$7="○",$A255&gt;=BT$8,$A255&lt;=BT$9),IF(SUM(BT$10:BT254)-ROUNDDOWN($M255*BT$5/100,0)&lt;-BT$6,-BT$6-SUM(BT$10:BT254),-ROUNDDOWN($M255*BT$5/100,0)),0)</f>
        <v>0</v>
      </c>
      <c r="BU255" s="38">
        <f>IF(AND(BU$7="○",$A255&gt;=BU$8,$A255&lt;=BU$9),IF(SUM(BU$10:BU254)-ROUNDDOWN($M255*BU$5/100,0)&lt;-BU$6,-BU$6-SUM(BU$10:BU254),-ROUNDDOWN($M255*BU$5/100,0)),0)</f>
        <v>0</v>
      </c>
      <c r="BV255" s="38">
        <f>IF(AND(BV$7="○",$A255&gt;=BV$8,$A255&lt;=BV$9),IF(SUM(BV$10:BV254)-ROUNDDOWN($M255*BV$5/100,0)&lt;-BV$6,-BV$6-SUM(BV$10:BV254),-ROUNDDOWN($M255*BV$5/100,0)),0)</f>
        <v>0</v>
      </c>
      <c r="BW255" s="38">
        <f>IF(AND(BW$7="○",$A255&gt;=BW$8,$A255&lt;=BW$9),IF(SUM(BW$10:BW254)-ROUNDDOWN($M255*BW$5/100,0)&lt;-BW$6,-BW$6-SUM(BW$10:BW254),-ROUNDDOWN($M255*BW$5/100,0)),0)</f>
        <v>0</v>
      </c>
      <c r="BX255" s="38">
        <f>IF(AND(T255="○",$A255&gt;=BX$8,$A255&lt;=BX$9),IF(SUM(BX$10:BX254)-ROUNDDOWN($K255*BX$5/100,0)&lt;-BX$6,-BX$6-SUM(BX$10:BX254),-ROUNDDOWN($K255*BX$5/100,0)),0)</f>
        <v>0</v>
      </c>
      <c r="BY255" s="38">
        <f>IF(AND(U255="○",$A255&gt;=BY$8,$A255&lt;=BY$9),IF(SUM(BY$10:BY254)-ROUNDDOWN($K255*BY$5/100,0)&lt;-BY$6,-BY$6-SUM(BY$10:BY254),-ROUNDDOWN($K255*BY$5/100,0)),0)</f>
        <v>0</v>
      </c>
      <c r="BZ255" s="38">
        <f>IF(AND(V255="○",$A255&gt;=BZ$8,$A255&lt;=BZ$9),IF(SUM(BZ$10:BZ254)-ROUNDDOWN($K255*BZ$5/100,0)&lt;-BZ$6,-BZ$6-SUM(BZ$10:BZ254),-ROUNDDOWN($K255*BZ$5/100,0)),0)</f>
        <v>0</v>
      </c>
      <c r="CA255" s="38">
        <f>IF(AND(W255="○",$A255&gt;=CA$8,$A255&lt;=CA$9),IF(SUM(CA$10:CA254)-ROUNDDOWN($K255*CA$5/100,0)&lt;-CA$6,-CA$6-SUM(CA$10:CA254),-ROUNDDOWN($K255*CA$5/100,0)),0)</f>
        <v>0</v>
      </c>
      <c r="CB255" s="38"/>
      <c r="CC255" s="38"/>
      <c r="CD255" s="38"/>
      <c r="CE255" s="38"/>
      <c r="CF255" s="38"/>
      <c r="CG255" s="65">
        <f t="shared" si="184"/>
        <v>0</v>
      </c>
      <c r="CH255" s="71">
        <f t="shared" si="185"/>
        <v>0</v>
      </c>
      <c r="CI255" s="1">
        <f t="shared" si="19"/>
        <v>0</v>
      </c>
      <c r="CJ255" s="1"/>
      <c r="CK255" s="2"/>
      <c r="CL255" s="2"/>
      <c r="CM255" s="2"/>
      <c r="CN255" s="2"/>
      <c r="CO255" s="73">
        <f t="shared" si="20"/>
        <v>0</v>
      </c>
      <c r="CP255" s="5">
        <f t="shared" si="21"/>
        <v>0</v>
      </c>
      <c r="CQ255" s="1"/>
      <c r="CR255" s="1">
        <f t="shared" si="22"/>
        <v>0</v>
      </c>
      <c r="CS255" s="1"/>
      <c r="CT255" s="1" t="e">
        <f>INDEX([2]マスタ!$A:$A,MATCH(D255,[2]マスタ!$C:$C,0))</f>
        <v>#N/A</v>
      </c>
      <c r="CU255" s="1" t="str">
        <f t="shared" ca="1" si="23"/>
        <v>20260620_0-0</v>
      </c>
    </row>
    <row r="256" spans="1:99" x14ac:dyDescent="0.4">
      <c r="A256" s="61"/>
      <c r="B256" s="62"/>
      <c r="C256" s="62"/>
      <c r="D256" s="62"/>
      <c r="E256" s="74"/>
      <c r="F256" s="62"/>
      <c r="G256" s="62">
        <v>1</v>
      </c>
      <c r="H256" s="64">
        <f t="shared" ref="H256:H285" si="197">+F256*G256</f>
        <v>0</v>
      </c>
      <c r="I256" s="64"/>
      <c r="J256" s="64"/>
      <c r="K256" s="65">
        <f t="shared" ref="K256:K267" si="198">+ROUNDDOWN((H256+I256)/100,0)*100</f>
        <v>0</v>
      </c>
      <c r="L256" s="65">
        <f t="shared" ref="L256:L285" si="199">+ROUNDDOWN((H256+I256)/1.1/100,0)*100</f>
        <v>0</v>
      </c>
      <c r="M256" s="65">
        <f t="shared" ref="M256:M285" si="200">+ROUNDDOWN((H256+I256)/1.1/200,0)*200</f>
        <v>0</v>
      </c>
      <c r="N256" s="65">
        <f t="shared" ref="N256:N285" si="201">+H256+I256+J256</f>
        <v>0</v>
      </c>
      <c r="O256" s="66" t="str">
        <f t="shared" ref="O256:O285" si="202">IF(OR(WEEKDAY($A256,2)=2,WEEKDAY($A256,2)=4),"○","✕")</f>
        <v>✕</v>
      </c>
      <c r="P256" s="67" t="str">
        <f t="shared" ref="P256:P285" si="203">+IF(MOD(TEXT($A256,"DD"),5)=0,"○","✕")</f>
        <v>○</v>
      </c>
      <c r="Q256" s="67" t="str">
        <f t="shared" ref="Q256:Q267" si="204">+IF((TEXT($A256,"DD")+0)=1,"○","✕")</f>
        <v>✕</v>
      </c>
      <c r="R256" s="67" t="str">
        <f t="shared" ref="R256:R285" si="205">+IF((TEXT($A256,"DD")+0)=18,"○","✕")</f>
        <v>✕</v>
      </c>
      <c r="S256" s="68">
        <v>0</v>
      </c>
      <c r="T256" s="69" t="s">
        <v>85</v>
      </c>
      <c r="U256" s="69" t="s">
        <v>85</v>
      </c>
      <c r="V256" s="69" t="s">
        <v>85</v>
      </c>
      <c r="W256" s="69" t="s">
        <v>85</v>
      </c>
      <c r="X256" s="69" t="s">
        <v>84</v>
      </c>
      <c r="Y256" s="69" t="s">
        <v>85</v>
      </c>
      <c r="Z256" s="69" t="s">
        <v>85</v>
      </c>
      <c r="AA256" s="69" t="s">
        <v>85</v>
      </c>
      <c r="AB256" s="69" t="s">
        <v>85</v>
      </c>
      <c r="AC256" s="69" t="s">
        <v>85</v>
      </c>
      <c r="AD256" s="38" t="str">
        <f>+IF(ISERROR(VLOOKUP($B256,#REF!,1,0)),IF(AND($N256&gt;=1000,$A256&gt;=AO$8,$A256&lt;=AO$9),$B256,""),"")</f>
        <v/>
      </c>
      <c r="AE256" s="38" t="str">
        <f>+IF(ISERROR(VLOOKUP($B256,#REF!,1,0)),IF(AND($N256&gt;=1000,$A256&gt;=AP$8,$A256&lt;=AP$9),$B256,""),"")</f>
        <v/>
      </c>
      <c r="AF256" s="38" t="str">
        <f>+IF(ISERROR(VLOOKUP($B256,#REF!,1,0)),IF(AND($N256&gt;=1000,$A256&gt;=AQ$8,$A256&lt;=AQ$9),$B256,""),"")</f>
        <v/>
      </c>
      <c r="AG256" s="38" t="str">
        <f>+IF(ISERROR(VLOOKUP($B256,#REF!,1,0)),IF(AND($N256&gt;=1000,$A256&gt;=AR$8,$A256&lt;=AR$9),$B256,""),"")</f>
        <v/>
      </c>
      <c r="AH256" s="38"/>
      <c r="AI256" s="70">
        <v>0</v>
      </c>
      <c r="AJ256" s="38">
        <f>IF(AND(AJ$7="○",$A256&gt;=AJ$8,$A256&lt;=AJ$9),IF(SUM(AJ$10:AJ255)-ROUNDDOWN($K256*AJ$5/100,0)&lt;-AJ$6,-AJ$6-SUM(AJ$10:AJ255),-ROUNDDOWN($K256*AJ$5/100,0)),0)</f>
        <v>0</v>
      </c>
      <c r="AK256" s="38">
        <f>IF(AND(AK$7="○",$A256&gt;=AK$8,$A256&lt;=AK$9),IF(SUM(AK$10:AK255)-ROUNDDOWN($L256*AK$5/100,0)&lt;-AK$6,-AK$6-SUM(AK$10:AK255),-ROUNDDOWN($L256*AK$5/100,0)),0)</f>
        <v>0</v>
      </c>
      <c r="AL256" s="38">
        <f>IF(AND(AL$7="○",$A256&gt;=AL$8,$A256&lt;=AL$9),IF(SUM(AL$10:AL255)-ROUNDDOWN($N256*AL$5/100,0)&lt;-AL$6,-AL$6-SUM(AL$10:AL255),-ROUNDDOWN($N256*AL$5/100,0)),0)</f>
        <v>0</v>
      </c>
      <c r="AM256" s="38">
        <f>IF(AND(AM$7="○",$A256&gt;=AM$8,$A256&lt;=AM$9),IF(SUM(AM$10:AM255)-ROUNDDOWN($L256*AM$5/100,0)&lt;-AM$6,-AM$6-SUM(AM$10:AM255),-ROUNDDOWN($L256*AM$5/100,0)),0)</f>
        <v>0</v>
      </c>
      <c r="AN256" s="38">
        <f>IF(AND(AN$7="○",$A256&gt;=AN$8,$A256&lt;=AN$9),IF(SUM(AN$10:AN255)-ROUNDDOWN($M256*AN$5/100,0)&lt;-AN$6,-AN$6-SUM(AN$10:AN255),-ROUNDDOWN($M256*AN$5/100,0)),0)</f>
        <v>0</v>
      </c>
      <c r="AO256" s="38">
        <f>IF(AND($A256&gt;=AO$8,$A256&lt;=AO$9),IF(SUM(AO$10:AO255)-ROUNDDOWN($K256*AO$5/100,0)&lt;-AO$6,-AO$6-SUM(AO$10:AO255),-ROUNDDOWN($K256*AO$5/100,0)),0)</f>
        <v>0</v>
      </c>
      <c r="AP256" s="38">
        <f>IF(AND($A256&gt;=AP$8,$A256&lt;=AP$9),IF(SUM(AP$10:AP255)-ROUNDDOWN($K256*AP$5/100,0)&lt;-AP$6,-AP$6-SUM(AP$10:AP255),-ROUNDDOWN($K256*AP$5/100,0)),0)</f>
        <v>0</v>
      </c>
      <c r="AQ256" s="38">
        <f>IF(AND($A256&gt;=AQ$8,$A256&lt;=AQ$9),IF(SUM(AQ$10:AQ255)-ROUNDDOWN($K256*AQ$5/100,0)&lt;-AQ$6,-AQ$6-SUM(AQ$10:AQ255),-ROUNDDOWN($K256*AQ$5/100,0)),0)</f>
        <v>0</v>
      </c>
      <c r="AR256" s="38">
        <f>IF(AND($A256&gt;=AR$8,$A256&lt;=AR$9),IF(SUM(AR$10:AR255)-ROUNDDOWN($K256*AR$5/100,0)&lt;-AR$6,-AR$6-SUM(AR$10:AR255),-ROUNDDOWN($K256*AR$5/100,0)),0)</f>
        <v>0</v>
      </c>
      <c r="AS256" s="38">
        <f>IF(SUMIFS(AS$10:AS255,$A$10:$A255,$A256)-ROUNDDOWN($K256*$S256/100,0)&lt;-$S256*1000,-$S256*1000-SUMIFS(AS$10:AS255,$A$10:$A255,$A256),-ROUNDDOWN($K256*$S256/100,0))</f>
        <v>0</v>
      </c>
      <c r="AT256" s="38">
        <f>IF(AND(X256="○",$A256&gt;=AT$8,$A256&lt;=AT$9,K256&gt;=3980),IF(SUM(AT$10:AT255)-ROUNDDOWN($K256*AT$5/100,0)&lt;-AT$6,-AT$6-SUM(AT$10:AT255),-ROUNDDOWN($K256*AT$5/100,0)),0)</f>
        <v>0</v>
      </c>
      <c r="AU256" s="38">
        <f>IF(O256="○",IF(SUM(AU$10:AU255)-ROUNDDOWN($K256*AU$5/100,0)&lt;-AU$6,-AU$6-SUM(AU$10:AU255),-ROUNDDOWN($K256*AU$5/100,0)),0)</f>
        <v>0</v>
      </c>
      <c r="AV256" s="38">
        <f>IF(P256="○",IF(SUM(AV$10:AV255)-ROUNDDOWN($K256*AV$5/100,0)&lt;-AV$6,-AV$6-SUM(AV$10:AV255),-ROUNDDOWN($K256*AV$5/100,0)),0)</f>
        <v>0</v>
      </c>
      <c r="AW256" s="38">
        <f>IF(Q256="○",IF(SUM(AW$10:AW255)-ROUNDDOWN($K256*AW$5/100,0)&lt;-AW$6,-AW$6-SUM(AW$10:AW255),-ROUNDDOWN($K256*AW$5/100,0)),0)</f>
        <v>0</v>
      </c>
      <c r="AX256" s="38">
        <f>IF(R256="○",IF(SUM(AX$10:AX255)-ROUNDDOWN($K256*AX$5/100,0)&lt;-AX$6,-AX$6-SUM(AX$10:AX255),-ROUNDDOWN($K256*AX$5/100,0)),0)</f>
        <v>0</v>
      </c>
      <c r="AY256" s="70">
        <v>0</v>
      </c>
      <c r="AZ256" s="65">
        <f t="shared" si="178"/>
        <v>0</v>
      </c>
      <c r="BA256" s="65">
        <f t="shared" si="179"/>
        <v>0</v>
      </c>
      <c r="BB256" s="70"/>
      <c r="BC256" s="65">
        <f t="shared" si="180"/>
        <v>0</v>
      </c>
      <c r="BD256" s="70">
        <v>0</v>
      </c>
      <c r="BE256" s="65">
        <f t="shared" si="181"/>
        <v>0</v>
      </c>
      <c r="BF256" s="70">
        <v>0</v>
      </c>
      <c r="BG256" s="65">
        <f t="shared" si="182"/>
        <v>0</v>
      </c>
      <c r="BH256" s="70">
        <v>0</v>
      </c>
      <c r="BI256" s="65">
        <f t="shared" si="183"/>
        <v>0</v>
      </c>
      <c r="BJ256" s="38">
        <f>IF(AND(BJ$7="○",$A256&gt;=BJ$8,$A256&lt;=BJ$9),IF(SUM(BJ$10:BJ255)-ROUNDDOWN($M256*BJ$5/100,0)&lt;-BJ$6,-BJ$6-SUM(BJ$10:BJ255),-ROUNDDOWN($M256*BJ$5/100,0)),0)</f>
        <v>0</v>
      </c>
      <c r="BK256" s="38">
        <f>IF(AND(BK$7="○",$A256&gt;=BK$8,$A256&lt;=BK$9),IF(SUM(BK$10:BK255)-ROUNDDOWN($L256*BK$5/100,0)&lt;-BK$6,-BK$6-SUM(BK$10:BK255),-ROUNDDOWN($L256*BK$5/100,0)),0)</f>
        <v>0</v>
      </c>
      <c r="BL256" s="38">
        <f>IF(AND(BL$7="○",$A256&gt;=BL$8,$A256&lt;=BL$9),IF(SUM(BL$10:BL255)-ROUNDDOWN($L256*BL$5/100,0)&lt;-BL$6,-BL$6-SUM(BL$10:BL255),-ROUNDDOWN($L256*BL$5/100,0)),0)</f>
        <v>0</v>
      </c>
      <c r="BM256" s="38">
        <f>IF(AND(BM$7="○",$A256&gt;=BM$8,$A256&lt;=BM$9),IF(SUM(BM$10:BM255)-ROUNDDOWN($M256*BM$5/100,0)&lt;-BM$6,-BM$6-SUM(BM$10:BM255),-ROUNDDOWN($M256*BM$5/100,0)),0)</f>
        <v>0</v>
      </c>
      <c r="BN256" s="38">
        <f>IF(AND(BN$7="○",$A256&gt;=BN$8,$A256&lt;=BN$9),IF(SUM(BN$10:BN255)-ROUNDDOWN($M256*BN$5/100,0)&lt;-BN$6,-BN$6-SUM(BN$10:BN255),-ROUNDDOWN($M256*BN$5/100,0)),0)</f>
        <v>0</v>
      </c>
      <c r="BO256" s="38">
        <f>IF(AND(BO$7="○",$A256&gt;=BO$8,$A256&lt;=BO$9),IF(SUM(BO$10:BO255)-ROUNDDOWN($M256*BO$5/100,0)&lt;-BO$6,-BO$6-SUM(BO$10:BO255),-ROUNDDOWN($M256*BO$5/100,0)),0)</f>
        <v>0</v>
      </c>
      <c r="BP256" s="38">
        <f>IF(AND(BP$7="○",$A256&gt;=BP$8,$A256&lt;=BP$9),IF(SUM(BP$10:BP255)-ROUNDDOWN($M256*BP$5/100,0)&lt;-BP$6,-BP$6-SUM(BP$10:BP255),-ROUNDDOWN($M256*BP$5/100,0)),0)</f>
        <v>0</v>
      </c>
      <c r="BQ256" s="38">
        <f>IF(AND(BQ$7="○",$A256&gt;=BQ$8,$A256&lt;=BQ$9),IF(SUM(BQ$10:BQ255)-ROUNDDOWN($L256*BQ$5/100,0)&lt;-BQ$6,-BQ$6-SUM(BQ$10:BQ255),-ROUNDDOWN($L256*BQ$5/100,0)),0)</f>
        <v>0</v>
      </c>
      <c r="BR256" s="38">
        <f>IF(AND(BR$7="○",$A256&gt;=BR$8,$A256&lt;=BR$9),IF(SUM(BR$10:BR255)-ROUNDDOWN($M256*BR$5/100,0)&lt;-BR$6,-BR$6-SUM(BR$10:BR255),-ROUNDDOWN($M256*BR$5/100,0)),0)</f>
        <v>0</v>
      </c>
      <c r="BS256" s="38">
        <f>IF(AND(BS$7="○",$A256&gt;=BS$8,$A256&lt;=BS$9),IF(SUM(BS$10:BS255)-ROUNDDOWN($M256*BS$5/100,0)&lt;-BS$6,-BS$6-SUM(BS$10:BS255),-ROUNDDOWN($M256*BS$5/100,0)),0)</f>
        <v>0</v>
      </c>
      <c r="BT256" s="38">
        <f>IF(AND(BT$7="○",$A256&gt;=BT$8,$A256&lt;=BT$9),IF(SUM(BT$10:BT255)-ROUNDDOWN($M256*BT$5/100,0)&lt;-BT$6,-BT$6-SUM(BT$10:BT255),-ROUNDDOWN($M256*BT$5/100,0)),0)</f>
        <v>0</v>
      </c>
      <c r="BU256" s="38">
        <f>IF(AND(BU$7="○",$A256&gt;=BU$8,$A256&lt;=BU$9),IF(SUM(BU$10:BU255)-ROUNDDOWN($M256*BU$5/100,0)&lt;-BU$6,-BU$6-SUM(BU$10:BU255),-ROUNDDOWN($M256*BU$5/100,0)),0)</f>
        <v>0</v>
      </c>
      <c r="BV256" s="38">
        <f>IF(AND(BV$7="○",$A256&gt;=BV$8,$A256&lt;=BV$9),IF(SUM(BV$10:BV255)-ROUNDDOWN($M256*BV$5/100,0)&lt;-BV$6,-BV$6-SUM(BV$10:BV255),-ROUNDDOWN($M256*BV$5/100,0)),0)</f>
        <v>0</v>
      </c>
      <c r="BW256" s="38">
        <f>IF(AND(BW$7="○",$A256&gt;=BW$8,$A256&lt;=BW$9),IF(SUM(BW$10:BW255)-ROUNDDOWN($M256*BW$5/100,0)&lt;-BW$6,-BW$6-SUM(BW$10:BW255),-ROUNDDOWN($M256*BW$5/100,0)),0)</f>
        <v>0</v>
      </c>
      <c r="BX256" s="38">
        <f>IF(AND(T256="○",$A256&gt;=BX$8,$A256&lt;=BX$9),IF(SUM(BX$10:BX255)-ROUNDDOWN($K256*BX$5/100,0)&lt;-BX$6,-BX$6-SUM(BX$10:BX255),-ROUNDDOWN($K256*BX$5/100,0)),0)</f>
        <v>0</v>
      </c>
      <c r="BY256" s="38">
        <f>IF(AND(U256="○",$A256&gt;=BY$8,$A256&lt;=BY$9),IF(SUM(BY$10:BY255)-ROUNDDOWN($K256*BY$5/100,0)&lt;-BY$6,-BY$6-SUM(BY$10:BY255),-ROUNDDOWN($K256*BY$5/100,0)),0)</f>
        <v>0</v>
      </c>
      <c r="BZ256" s="38">
        <f>IF(AND(V256="○",$A256&gt;=BZ$8,$A256&lt;=BZ$9),IF(SUM(BZ$10:BZ255)-ROUNDDOWN($K256*BZ$5/100,0)&lt;-BZ$6,-BZ$6-SUM(BZ$10:BZ255),-ROUNDDOWN($K256*BZ$5/100,0)),0)</f>
        <v>0</v>
      </c>
      <c r="CA256" s="38">
        <f>IF(AND(W256="○",$A256&gt;=CA$8,$A256&lt;=CA$9),IF(SUM(CA$10:CA255)-ROUNDDOWN($K256*CA$5/100,0)&lt;-CA$6,-CA$6-SUM(CA$10:CA255),-ROUNDDOWN($K256*CA$5/100,0)),0)</f>
        <v>0</v>
      </c>
      <c r="CB256" s="38"/>
      <c r="CC256" s="38"/>
      <c r="CD256" s="38"/>
      <c r="CE256" s="38"/>
      <c r="CF256" s="38"/>
      <c r="CG256" s="65">
        <f t="shared" si="184"/>
        <v>0</v>
      </c>
      <c r="CH256" s="71">
        <f t="shared" si="185"/>
        <v>0</v>
      </c>
      <c r="CI256" s="1">
        <f t="shared" ref="CI256:CI285" si="206">IFERROR(ROUNDDOWN((CH256/G256),0),0)</f>
        <v>0</v>
      </c>
      <c r="CJ256" s="1"/>
      <c r="CK256" s="72"/>
      <c r="CL256" s="72"/>
      <c r="CM256" s="2"/>
      <c r="CN256" s="2"/>
      <c r="CO256" s="73">
        <f t="shared" ref="CO256:CO285" si="207">IFERROR(CN256-CI256,0)</f>
        <v>0</v>
      </c>
      <c r="CP256" s="5">
        <f t="shared" ref="CP256:CP285" si="208">IFERROR(CN256/CI256,0)</f>
        <v>0</v>
      </c>
      <c r="CQ256" s="1"/>
      <c r="CR256" s="1">
        <f t="shared" ref="CR256:CR285" si="209">+CO256*G256</f>
        <v>0</v>
      </c>
      <c r="CS256" s="1"/>
      <c r="CT256" s="1" t="e">
        <f>INDEX([2]マスタ!$A:$A,MATCH(D256,[2]マスタ!$C:$C,0))</f>
        <v>#N/A</v>
      </c>
      <c r="CU256" s="1" t="str">
        <f t="shared" ref="CU256:CU285" ca="1" si="210">IFERROR(TEXT(TODAY(),"yyyymmdd")&amp;"_"&amp;ROUNDDOWN(H256+I256,0)&amp;"-"&amp;ROUNDDOWN(CI256,0),"")</f>
        <v>20260620_0-0</v>
      </c>
    </row>
    <row r="257" spans="1:99" x14ac:dyDescent="0.4">
      <c r="A257" s="61"/>
      <c r="B257" s="62"/>
      <c r="C257" s="62"/>
      <c r="D257" s="62"/>
      <c r="E257" s="76"/>
      <c r="F257" s="62"/>
      <c r="G257" s="62">
        <v>1</v>
      </c>
      <c r="H257" s="64">
        <f t="shared" si="197"/>
        <v>0</v>
      </c>
      <c r="I257" s="64"/>
      <c r="J257" s="64"/>
      <c r="K257" s="65">
        <f t="shared" si="198"/>
        <v>0</v>
      </c>
      <c r="L257" s="65">
        <f t="shared" si="199"/>
        <v>0</v>
      </c>
      <c r="M257" s="65">
        <f t="shared" si="200"/>
        <v>0</v>
      </c>
      <c r="N257" s="65">
        <f t="shared" si="201"/>
        <v>0</v>
      </c>
      <c r="O257" s="66" t="str">
        <f t="shared" si="202"/>
        <v>✕</v>
      </c>
      <c r="P257" s="67" t="str">
        <f t="shared" si="203"/>
        <v>○</v>
      </c>
      <c r="Q257" s="67" t="str">
        <f t="shared" si="204"/>
        <v>✕</v>
      </c>
      <c r="R257" s="67" t="str">
        <f t="shared" si="205"/>
        <v>✕</v>
      </c>
      <c r="S257" s="68">
        <v>0</v>
      </c>
      <c r="T257" s="69" t="s">
        <v>85</v>
      </c>
      <c r="U257" s="69" t="s">
        <v>85</v>
      </c>
      <c r="V257" s="69" t="s">
        <v>85</v>
      </c>
      <c r="W257" s="69" t="s">
        <v>85</v>
      </c>
      <c r="X257" s="69" t="s">
        <v>84</v>
      </c>
      <c r="Y257" s="69" t="s">
        <v>85</v>
      </c>
      <c r="Z257" s="69" t="s">
        <v>85</v>
      </c>
      <c r="AA257" s="69" t="s">
        <v>85</v>
      </c>
      <c r="AB257" s="69" t="s">
        <v>85</v>
      </c>
      <c r="AC257" s="69" t="s">
        <v>85</v>
      </c>
      <c r="AD257" s="38" t="str">
        <f>+IF(ISERROR(VLOOKUP($B257,AD$10:AD256,1,0)),IF(AND($N257&gt;=1000,$A257&gt;=AO$8,$A257&lt;=AO$9),$B257,""),"")</f>
        <v/>
      </c>
      <c r="AE257" s="38" t="str">
        <f>+IF(ISERROR(VLOOKUP($B257,AE$10:AE256,1,0)),IF(AND($N257&gt;=1000,$A257&gt;=AP$8,$A257&lt;=AP$9),$B257,""),"")</f>
        <v/>
      </c>
      <c r="AF257" s="38" t="str">
        <f>+IF(ISERROR(VLOOKUP($B257,AF$10:AF256,1,0)),IF(AND($N257&gt;=1000,$A257&gt;=AQ$8,$A257&lt;=AQ$9),$B257,""),"")</f>
        <v/>
      </c>
      <c r="AG257" s="38" t="str">
        <f>+IF(ISERROR(VLOOKUP($B257,AG$10:AG256,1,0)),IF(AND($N257&gt;=1000,$A257&gt;=AR$8,$A257&lt;=AR$9),$B257,""),"")</f>
        <v/>
      </c>
      <c r="AH257" s="38"/>
      <c r="AI257" s="70">
        <v>0</v>
      </c>
      <c r="AJ257" s="38">
        <f>IF(AND(AJ$7="○",$A257&gt;=AJ$8,$A257&lt;=AJ$9),IF(SUM(AJ$10:AJ256)-ROUNDDOWN($K257*AJ$5/100,0)&lt;-AJ$6,-AJ$6-SUM(AJ$10:AJ256),-ROUNDDOWN($K257*AJ$5/100,0)),0)</f>
        <v>0</v>
      </c>
      <c r="AK257" s="38">
        <f>IF(AND(AK$7="○",$A257&gt;=AK$8,$A257&lt;=AK$9),IF(SUM(AK$10:AK256)-ROUNDDOWN($L257*AK$5/100,0)&lt;-AK$6,-AK$6-SUM(AK$10:AK256),-ROUNDDOWN($L257*AK$5/100,0)),0)</f>
        <v>0</v>
      </c>
      <c r="AL257" s="38">
        <f>IF(AND(AL$7="○",$A257&gt;=AL$8,$A257&lt;=AL$9),IF(SUM(AL$10:AL256)-ROUNDDOWN($N257*AL$5/100,0)&lt;-AL$6,-AL$6-SUM(AL$10:AL256),-ROUNDDOWN($N257*AL$5/100,0)),0)</f>
        <v>0</v>
      </c>
      <c r="AM257" s="38">
        <f>IF(AND(AM$7="○",$A257&gt;=AM$8,$A257&lt;=AM$9),IF(SUM(AM$10:AM256)-ROUNDDOWN($L257*AM$5/100,0)&lt;-AM$6,-AM$6-SUM(AM$10:AM256),-ROUNDDOWN($L257*AM$5/100,0)),0)</f>
        <v>0</v>
      </c>
      <c r="AN257" s="38">
        <f>IF(AND(AN$7="○",$A257&gt;=AN$8,$A257&lt;=AN$9),IF(SUM(AN$10:AN256)-ROUNDDOWN($M257*AN$5/100,0)&lt;-AN$6,-AN$6-SUM(AN$10:AN256),-ROUNDDOWN($M257*AN$5/100,0)),0)</f>
        <v>0</v>
      </c>
      <c r="AO257" s="38">
        <f>IF(AND($A257&gt;=AO$8,$A257&lt;=AO$9),IF(SUM(AO$10:AO256)-ROUNDDOWN($K257*AO$5/100,0)&lt;-AO$6,-AO$6-SUM(AO$10:AO256),-ROUNDDOWN($K257*AO$5/100,0)),0)</f>
        <v>0</v>
      </c>
      <c r="AP257" s="38">
        <f>IF(AND($A257&gt;=AP$8,$A257&lt;=AP$9),IF(SUM(AP$10:AP256)-ROUNDDOWN($K257*AP$5/100,0)&lt;-AP$6,-AP$6-SUM(AP$10:AP256),-ROUNDDOWN($K257*AP$5/100,0)),0)</f>
        <v>0</v>
      </c>
      <c r="AQ257" s="38">
        <f>IF(AND($A257&gt;=AQ$8,$A257&lt;=AQ$9),IF(SUM(AQ$10:AQ256)-ROUNDDOWN($K257*AQ$5/100,0)&lt;-AQ$6,-AQ$6-SUM(AQ$10:AQ256),-ROUNDDOWN($K257*AQ$5/100,0)),0)</f>
        <v>0</v>
      </c>
      <c r="AR257" s="38">
        <f>IF(AND($A257&gt;=AR$8,$A257&lt;=AR$9),IF(SUM(AR$10:AR256)-ROUNDDOWN($K257*AR$5/100,0)&lt;-AR$6,-AR$6-SUM(AR$10:AR256),-ROUNDDOWN($K257*AR$5/100,0)),0)</f>
        <v>0</v>
      </c>
      <c r="AS257" s="38">
        <f>IF(SUMIFS(AS$10:AS256,$A$10:$A256,$A257)-ROUNDDOWN($K257*$S257/100,0)&lt;-$S257*1000,-$S257*1000-SUMIFS(AS$10:AS256,$A$10:$A256,$A257),-ROUNDDOWN($K257*$S257/100,0))</f>
        <v>0</v>
      </c>
      <c r="AT257" s="38">
        <f>IF(AND(X257="○",$A257&gt;=AT$8,$A257&lt;=AT$9,K257&gt;=3980),IF(SUM(AT$10:AT256)-ROUNDDOWN($K257*AT$5/100,0)&lt;-AT$6,-AT$6-SUM(AT$10:AT256),-ROUNDDOWN($K257*AT$5/100,0)),0)</f>
        <v>0</v>
      </c>
      <c r="AU257" s="38">
        <f>IF(O257="○",IF(SUM(AU$10:AU256)-ROUNDDOWN($K257*AU$5/100,0)&lt;-AU$6,-AU$6-SUM(AU$10:AU256),-ROUNDDOWN($K257*AU$5/100,0)),0)</f>
        <v>0</v>
      </c>
      <c r="AV257" s="38">
        <f>IF(P257="○",IF(SUM(AV$10:AV256)-ROUNDDOWN($K257*AV$5/100,0)&lt;-AV$6,-AV$6-SUM(AV$10:AV256),-ROUNDDOWN($K257*AV$5/100,0)),0)</f>
        <v>0</v>
      </c>
      <c r="AW257" s="38">
        <f>IF(Q257="○",IF(SUM(AW$10:AW256)-ROUNDDOWN($K257*AW$5/100,0)&lt;-AW$6,-AW$6-SUM(AW$10:AW256),-ROUNDDOWN($K257*AW$5/100,0)),0)</f>
        <v>0</v>
      </c>
      <c r="AX257" s="38">
        <f>IF(R257="○",IF(SUM(AX$10:AX256)-ROUNDDOWN($K257*AX$5/100,0)&lt;-AX$6,-AX$6-SUM(AX$10:AX256),-ROUNDDOWN($K257*AX$5/100,0)),0)</f>
        <v>0</v>
      </c>
      <c r="AY257" s="70">
        <v>0</v>
      </c>
      <c r="AZ257" s="65">
        <f t="shared" si="178"/>
        <v>0</v>
      </c>
      <c r="BA257" s="65">
        <f t="shared" si="179"/>
        <v>0</v>
      </c>
      <c r="BB257" s="70"/>
      <c r="BC257" s="65">
        <f t="shared" si="180"/>
        <v>0</v>
      </c>
      <c r="BD257" s="70">
        <v>0</v>
      </c>
      <c r="BE257" s="65">
        <f t="shared" si="181"/>
        <v>0</v>
      </c>
      <c r="BF257" s="70">
        <v>0</v>
      </c>
      <c r="BG257" s="65">
        <f t="shared" si="182"/>
        <v>0</v>
      </c>
      <c r="BH257" s="70">
        <v>0</v>
      </c>
      <c r="BI257" s="65">
        <f t="shared" si="183"/>
        <v>0</v>
      </c>
      <c r="BJ257" s="38">
        <f>IF(AND(BJ$7="○",$A257&gt;=BJ$8,$A257&lt;=BJ$9),IF(SUM(BJ$10:BJ256)-ROUNDDOWN($M257*BJ$5/100,0)&lt;-BJ$6,-BJ$6-SUM(BJ$10:BJ256),-ROUNDDOWN($M257*BJ$5/100,0)),0)</f>
        <v>0</v>
      </c>
      <c r="BK257" s="38">
        <f>IF(AND(BK$7="○",$A257&gt;=BK$8,$A257&lt;=BK$9),IF(SUM(BK$10:BK256)-ROUNDDOWN($L257*BK$5/100,0)&lt;-BK$6,-BK$6-SUM(BK$10:BK256),-ROUNDDOWN($L257*BK$5/100,0)),0)</f>
        <v>0</v>
      </c>
      <c r="BL257" s="38">
        <f>IF(AND(BL$7="○",$A257&gt;=BL$8,$A257&lt;=BL$9),IF(SUM(BL$10:BL256)-ROUNDDOWN($L257*BL$5/100,0)&lt;-BL$6,-BL$6-SUM(BL$10:BL256),-ROUNDDOWN($L257*BL$5/100,0)),0)</f>
        <v>0</v>
      </c>
      <c r="BM257" s="38">
        <f>IF(AND(BM$7="○",$A257&gt;=BM$8,$A257&lt;=BM$9),IF(SUM(BM$10:BM256)-ROUNDDOWN($M257*BM$5/100,0)&lt;-BM$6,-BM$6-SUM(BM$10:BM256),-ROUNDDOWN($M257*BM$5/100,0)),0)</f>
        <v>0</v>
      </c>
      <c r="BN257" s="38">
        <f>IF(AND(BN$7="○",$A257&gt;=BN$8,$A257&lt;=BN$9),IF(SUM(BN$10:BN256)-ROUNDDOWN($M257*BN$5/100,0)&lt;-BN$6,-BN$6-SUM(BN$10:BN256),-ROUNDDOWN($M257*BN$5/100,0)),0)</f>
        <v>0</v>
      </c>
      <c r="BO257" s="38">
        <f>IF(AND(BO$7="○",$A257&gt;=BO$8,$A257&lt;=BO$9),IF(SUM(BO$10:BO256)-ROUNDDOWN($M257*BO$5/100,0)&lt;-BO$6,-BO$6-SUM(BO$10:BO256),-ROUNDDOWN($M257*BO$5/100,0)),0)</f>
        <v>0</v>
      </c>
      <c r="BP257" s="38">
        <f>IF(AND(BP$7="○",$A257&gt;=BP$8,$A257&lt;=BP$9),IF(SUM(BP$10:BP256)-ROUNDDOWN($M257*BP$5/100,0)&lt;-BP$6,-BP$6-SUM(BP$10:BP256),-ROUNDDOWN($M257*BP$5/100,0)),0)</f>
        <v>0</v>
      </c>
      <c r="BQ257" s="38">
        <f>IF(AND(BQ$7="○",$A257&gt;=BQ$8,$A257&lt;=BQ$9),IF(SUM(BQ$10:BQ256)-ROUNDDOWN($L257*BQ$5/100,0)&lt;-BQ$6,-BQ$6-SUM(BQ$10:BQ256),-ROUNDDOWN($L257*BQ$5/100,0)),0)</f>
        <v>0</v>
      </c>
      <c r="BR257" s="38">
        <f>IF(AND(BR$7="○",$A257&gt;=BR$8,$A257&lt;=BR$9),IF(SUM(BR$10:BR256)-ROUNDDOWN($M257*BR$5/100,0)&lt;-BR$6,-BR$6-SUM(BR$10:BR256),-ROUNDDOWN($M257*BR$5/100,0)),0)</f>
        <v>0</v>
      </c>
      <c r="BS257" s="38">
        <f>IF(AND(BS$7="○",$A257&gt;=BS$8,$A257&lt;=BS$9),IF(SUM(BS$10:BS256)-ROUNDDOWN($M257*BS$5/100,0)&lt;-BS$6,-BS$6-SUM(BS$10:BS256),-ROUNDDOWN($M257*BS$5/100,0)),0)</f>
        <v>0</v>
      </c>
      <c r="BT257" s="38">
        <f>IF(AND(BT$7="○",$A257&gt;=BT$8,$A257&lt;=BT$9),IF(SUM(BT$10:BT256)-ROUNDDOWN($M257*BT$5/100,0)&lt;-BT$6,-BT$6-SUM(BT$10:BT256),-ROUNDDOWN($M257*BT$5/100,0)),0)</f>
        <v>0</v>
      </c>
      <c r="BU257" s="38">
        <f>IF(AND(BU$7="○",$A257&gt;=BU$8,$A257&lt;=BU$9),IF(SUM(BU$10:BU256)-ROUNDDOWN($M257*BU$5/100,0)&lt;-BU$6,-BU$6-SUM(BU$10:BU256),-ROUNDDOWN($M257*BU$5/100,0)),0)</f>
        <v>0</v>
      </c>
      <c r="BV257" s="38">
        <f>IF(AND(BV$7="○",$A257&gt;=BV$8,$A257&lt;=BV$9),IF(SUM(BV$10:BV256)-ROUNDDOWN($M257*BV$5/100,0)&lt;-BV$6,-BV$6-SUM(BV$10:BV256),-ROUNDDOWN($M257*BV$5/100,0)),0)</f>
        <v>0</v>
      </c>
      <c r="BW257" s="38">
        <f>IF(AND(BW$7="○",$A257&gt;=BW$8,$A257&lt;=BW$9),IF(SUM(BW$10:BW256)-ROUNDDOWN($M257*BW$5/100,0)&lt;-BW$6,-BW$6-SUM(BW$10:BW256),-ROUNDDOWN($M257*BW$5/100,0)),0)</f>
        <v>0</v>
      </c>
      <c r="BX257" s="38">
        <f>IF(AND(T257="○",$A257&gt;=BX$8,$A257&lt;=BX$9),IF(SUM(BX$10:BX256)-ROUNDDOWN($K257*BX$5/100,0)&lt;-BX$6,-BX$6-SUM(BX$10:BX256),-ROUNDDOWN($K257*BX$5/100,0)),0)</f>
        <v>0</v>
      </c>
      <c r="BY257" s="38">
        <f>IF(AND(U257="○",$A257&gt;=BY$8,$A257&lt;=BY$9),IF(SUM(BY$10:BY256)-ROUNDDOWN($K257*BY$5/100,0)&lt;-BY$6,-BY$6-SUM(BY$10:BY256),-ROUNDDOWN($K257*BY$5/100,0)),0)</f>
        <v>0</v>
      </c>
      <c r="BZ257" s="38">
        <f>IF(AND(V257="○",$A257&gt;=BZ$8,$A257&lt;=BZ$9),IF(SUM(BZ$10:BZ256)-ROUNDDOWN($K257*BZ$5/100,0)&lt;-BZ$6,-BZ$6-SUM(BZ$10:BZ256),-ROUNDDOWN($K257*BZ$5/100,0)),0)</f>
        <v>0</v>
      </c>
      <c r="CA257" s="38">
        <f>IF(AND(W257="○",$A257&gt;=CA$8,$A257&lt;=CA$9),IF(SUM(CA$10:CA256)-ROUNDDOWN($K257*CA$5/100,0)&lt;-CA$6,-CA$6-SUM(CA$10:CA256),-ROUNDDOWN($K257*CA$5/100,0)),0)</f>
        <v>0</v>
      </c>
      <c r="CB257" s="38"/>
      <c r="CC257" s="38"/>
      <c r="CD257" s="38"/>
      <c r="CE257" s="38"/>
      <c r="CF257" s="38"/>
      <c r="CG257" s="65">
        <f t="shared" si="184"/>
        <v>0</v>
      </c>
      <c r="CH257" s="71">
        <f t="shared" si="185"/>
        <v>0</v>
      </c>
      <c r="CI257" s="1">
        <f t="shared" si="206"/>
        <v>0</v>
      </c>
      <c r="CJ257" s="1"/>
      <c r="CK257" s="72"/>
      <c r="CL257" s="72"/>
      <c r="CM257" s="2"/>
      <c r="CN257" s="2"/>
      <c r="CO257" s="73">
        <f t="shared" si="207"/>
        <v>0</v>
      </c>
      <c r="CP257" s="5">
        <f t="shared" si="208"/>
        <v>0</v>
      </c>
      <c r="CQ257" s="1"/>
      <c r="CR257" s="1">
        <f t="shared" si="209"/>
        <v>0</v>
      </c>
      <c r="CS257" s="1"/>
      <c r="CT257" s="1" t="e">
        <f>INDEX([2]マスタ!$A:$A,MATCH(D257,[2]マスタ!$C:$C,0))</f>
        <v>#N/A</v>
      </c>
      <c r="CU257" s="1" t="str">
        <f t="shared" ca="1" si="210"/>
        <v>20260620_0-0</v>
      </c>
    </row>
    <row r="258" spans="1:99" x14ac:dyDescent="0.4">
      <c r="A258" s="61"/>
      <c r="B258" s="62"/>
      <c r="C258" s="62"/>
      <c r="D258" s="62"/>
      <c r="E258" s="63"/>
      <c r="F258" s="62"/>
      <c r="G258" s="62">
        <v>1</v>
      </c>
      <c r="H258" s="64">
        <f t="shared" si="197"/>
        <v>0</v>
      </c>
      <c r="I258" s="64"/>
      <c r="J258" s="64"/>
      <c r="K258" s="65">
        <f t="shared" si="198"/>
        <v>0</v>
      </c>
      <c r="L258" s="65">
        <f t="shared" si="199"/>
        <v>0</v>
      </c>
      <c r="M258" s="65">
        <f t="shared" si="200"/>
        <v>0</v>
      </c>
      <c r="N258" s="65">
        <f t="shared" si="201"/>
        <v>0</v>
      </c>
      <c r="O258" s="66" t="str">
        <f t="shared" si="202"/>
        <v>✕</v>
      </c>
      <c r="P258" s="67" t="str">
        <f t="shared" si="203"/>
        <v>○</v>
      </c>
      <c r="Q258" s="67" t="str">
        <f t="shared" si="204"/>
        <v>✕</v>
      </c>
      <c r="R258" s="67" t="str">
        <f t="shared" si="205"/>
        <v>✕</v>
      </c>
      <c r="S258" s="68">
        <v>0</v>
      </c>
      <c r="T258" s="69" t="s">
        <v>85</v>
      </c>
      <c r="U258" s="69" t="s">
        <v>85</v>
      </c>
      <c r="V258" s="69" t="s">
        <v>85</v>
      </c>
      <c r="W258" s="69" t="s">
        <v>85</v>
      </c>
      <c r="X258" s="69" t="s">
        <v>84</v>
      </c>
      <c r="Y258" s="69" t="s">
        <v>85</v>
      </c>
      <c r="Z258" s="69" t="s">
        <v>85</v>
      </c>
      <c r="AA258" s="69" t="s">
        <v>85</v>
      </c>
      <c r="AB258" s="69" t="s">
        <v>85</v>
      </c>
      <c r="AC258" s="69" t="s">
        <v>85</v>
      </c>
      <c r="AD258" s="38" t="str">
        <f>+IF(ISERROR(VLOOKUP($B258,AD$10:AD257,1,0)),IF(AND($N258&gt;=1000,$A258&gt;=AO$8,$A258&lt;=AO$9),$B258,""),"")</f>
        <v/>
      </c>
      <c r="AE258" s="38" t="str">
        <f>+IF(ISERROR(VLOOKUP($B258,AE$10:AE257,1,0)),IF(AND($N258&gt;=1000,$A258&gt;=AP$8,$A258&lt;=AP$9),$B258,""),"")</f>
        <v/>
      </c>
      <c r="AF258" s="38" t="str">
        <f>+IF(ISERROR(VLOOKUP($B258,AF$10:AF257,1,0)),IF(AND($N258&gt;=1000,$A258&gt;=AQ$8,$A258&lt;=AQ$9),$B258,""),"")</f>
        <v/>
      </c>
      <c r="AG258" s="38" t="str">
        <f>+IF(ISERROR(VLOOKUP($B258,AG$10:AG257,1,0)),IF(AND($N258&gt;=1000,$A258&gt;=AR$8,$A258&lt;=AR$9),$B258,""),"")</f>
        <v/>
      </c>
      <c r="AH258" s="38"/>
      <c r="AI258" s="70">
        <v>0</v>
      </c>
      <c r="AJ258" s="38">
        <f>IF(AND(AJ$7="○",$A258&gt;=AJ$8,$A258&lt;=AJ$9),IF(SUM(AJ$10:AJ257)-ROUNDDOWN($K258*AJ$5/100,0)&lt;-AJ$6,-AJ$6-SUM(AJ$10:AJ257),-ROUNDDOWN($K258*AJ$5/100,0)),0)</f>
        <v>0</v>
      </c>
      <c r="AK258" s="38">
        <f>IF(AND(AK$7="○",$A258&gt;=AK$8,$A258&lt;=AK$9),IF(SUM(AK$10:AK257)-ROUNDDOWN($L258*AK$5/100,0)&lt;-AK$6,-AK$6-SUM(AK$10:AK257),-ROUNDDOWN($L258*AK$5/100,0)),0)</f>
        <v>0</v>
      </c>
      <c r="AL258" s="38">
        <f>IF(AND(AL$7="○",$A258&gt;=AL$8,$A258&lt;=AL$9),IF(SUM(AL$10:AL257)-ROUNDDOWN($N258*AL$5/100,0)&lt;-AL$6,-AL$6-SUM(AL$10:AL257),-ROUNDDOWN($N258*AL$5/100,0)),0)</f>
        <v>0</v>
      </c>
      <c r="AM258" s="38">
        <f>IF(AND(AM$7="○",$A258&gt;=AM$8,$A258&lt;=AM$9),IF(SUM(AM$10:AM257)-ROUNDDOWN($L258*AM$5/100,0)&lt;-AM$6,-AM$6-SUM(AM$10:AM257),-ROUNDDOWN($L258*AM$5/100,0)),0)</f>
        <v>0</v>
      </c>
      <c r="AN258" s="38">
        <f>IF(AND(AN$7="○",$A258&gt;=AN$8,$A258&lt;=AN$9),IF(SUM(AN$10:AN257)-ROUNDDOWN($M258*AN$5/100,0)&lt;-AN$6,-AN$6-SUM(AN$10:AN257),-ROUNDDOWN($M258*AN$5/100,0)),0)</f>
        <v>0</v>
      </c>
      <c r="AO258" s="38">
        <f>IF(AND($A258&gt;=AO$8,$A258&lt;=AO$9),IF(SUM(AO$10:AO257)-ROUNDDOWN($K258*AO$5/100,0)&lt;-AO$6,-AO$6-SUM(AO$10:AO257),-ROUNDDOWN($K258*AO$5/100,0)),0)</f>
        <v>0</v>
      </c>
      <c r="AP258" s="38">
        <f>IF(AND($A258&gt;=AP$8,$A258&lt;=AP$9),IF(SUM(AP$10:AP257)-ROUNDDOWN($K258*AP$5/100,0)&lt;-AP$6,-AP$6-SUM(AP$10:AP257),-ROUNDDOWN($K258*AP$5/100,0)),0)</f>
        <v>0</v>
      </c>
      <c r="AQ258" s="38">
        <f>IF(AND($A258&gt;=AQ$8,$A258&lt;=AQ$9),IF(SUM(AQ$10:AQ257)-ROUNDDOWN($K258*AQ$5/100,0)&lt;-AQ$6,-AQ$6-SUM(AQ$10:AQ257),-ROUNDDOWN($K258*AQ$5/100,0)),0)</f>
        <v>0</v>
      </c>
      <c r="AR258" s="38">
        <f>IF(AND($A258&gt;=AR$8,$A258&lt;=AR$9),IF(SUM(AR$10:AR257)-ROUNDDOWN($K258*AR$5/100,0)&lt;-AR$6,-AR$6-SUM(AR$10:AR257),-ROUNDDOWN($K258*AR$5/100,0)),0)</f>
        <v>0</v>
      </c>
      <c r="AS258" s="38">
        <f>IF(SUMIFS(AS$10:AS257,$A$10:$A257,$A258)-ROUNDDOWN($K258*$S258/100,0)&lt;-$S258*1000,-$S258*1000-SUMIFS(AS$10:AS257,$A$10:$A257,$A258),-ROUNDDOWN($K258*$S258/100,0))</f>
        <v>0</v>
      </c>
      <c r="AT258" s="38">
        <f>IF(AND(X258="○",$A258&gt;=AT$8,$A258&lt;=AT$9,K258&gt;=3980),IF(SUM(AT$10:AT257)-ROUNDDOWN($K258*AT$5/100,0)&lt;-AT$6,-AT$6-SUM(AT$10:AT257),-ROUNDDOWN($K258*AT$5/100,0)),0)</f>
        <v>0</v>
      </c>
      <c r="AU258" s="38">
        <f>IF(O258="○",IF(SUM(AU$10:AU257)-ROUNDDOWN($K258*AU$5/100,0)&lt;-AU$6,-AU$6-SUM(AU$10:AU257),-ROUNDDOWN($K258*AU$5/100,0)),0)</f>
        <v>0</v>
      </c>
      <c r="AV258" s="38">
        <f>IF(P258="○",IF(SUM(AV$10:AV257)-ROUNDDOWN($K258*AV$5/100,0)&lt;-AV$6,-AV$6-SUM(AV$10:AV257),-ROUNDDOWN($K258*AV$5/100,0)),0)</f>
        <v>0</v>
      </c>
      <c r="AW258" s="38">
        <f>IF(Q258="○",IF(SUM(AW$10:AW257)-ROUNDDOWN($K258*AW$5/100,0)&lt;-AW$6,-AW$6-SUM(AW$10:AW257),-ROUNDDOWN($K258*AW$5/100,0)),0)</f>
        <v>0</v>
      </c>
      <c r="AX258" s="38">
        <f>IF(R258="○",IF(SUM(AX$10:AX257)-ROUNDDOWN($K258*AX$5/100,0)&lt;-AX$6,-AX$6-SUM(AX$10:AX257),-ROUNDDOWN($K258*AX$5/100,0)),0)</f>
        <v>0</v>
      </c>
      <c r="AY258" s="70">
        <v>0</v>
      </c>
      <c r="AZ258" s="65">
        <f t="shared" si="178"/>
        <v>0</v>
      </c>
      <c r="BA258" s="65">
        <f t="shared" si="179"/>
        <v>0</v>
      </c>
      <c r="BB258" s="70"/>
      <c r="BC258" s="65">
        <f t="shared" si="180"/>
        <v>0</v>
      </c>
      <c r="BD258" s="70">
        <v>0</v>
      </c>
      <c r="BE258" s="65">
        <f t="shared" si="181"/>
        <v>0</v>
      </c>
      <c r="BF258" s="70">
        <v>0</v>
      </c>
      <c r="BG258" s="65">
        <f t="shared" si="182"/>
        <v>0</v>
      </c>
      <c r="BH258" s="70">
        <v>0</v>
      </c>
      <c r="BI258" s="65">
        <f t="shared" si="183"/>
        <v>0</v>
      </c>
      <c r="BJ258" s="38">
        <f>IF(AND(BJ$7="○",$A258&gt;=BJ$8,$A258&lt;=BJ$9),IF(SUM(BJ$10:BJ257)-ROUNDDOWN($M258*BJ$5/100,0)&lt;-BJ$6,-BJ$6-SUM(BJ$10:BJ257),-ROUNDDOWN($M258*BJ$5/100,0)),0)</f>
        <v>0</v>
      </c>
      <c r="BK258" s="38">
        <f>IF(AND(BK$7="○",$A258&gt;=BK$8,$A258&lt;=BK$9),IF(SUM(BK$10:BK257)-ROUNDDOWN($L258*BK$5/100,0)&lt;-BK$6,-BK$6-SUM(BK$10:BK257),-ROUNDDOWN($L258*BK$5/100,0)),0)</f>
        <v>0</v>
      </c>
      <c r="BL258" s="38">
        <f>IF(AND(BL$7="○",$A258&gt;=BL$8,$A258&lt;=BL$9),IF(SUM(BL$10:BL257)-ROUNDDOWN($L258*BL$5/100,0)&lt;-BL$6,-BL$6-SUM(BL$10:BL257),-ROUNDDOWN($L258*BL$5/100,0)),0)</f>
        <v>0</v>
      </c>
      <c r="BM258" s="38">
        <f>IF(AND(BM$7="○",$A258&gt;=BM$8,$A258&lt;=BM$9),IF(SUM(BM$10:BM257)-ROUNDDOWN($M258*BM$5/100,0)&lt;-BM$6,-BM$6-SUM(BM$10:BM257),-ROUNDDOWN($M258*BM$5/100,0)),0)</f>
        <v>0</v>
      </c>
      <c r="BN258" s="38">
        <f>IF(AND(BN$7="○",$A258&gt;=BN$8,$A258&lt;=BN$9),IF(SUM(BN$10:BN257)-ROUNDDOWN($M258*BN$5/100,0)&lt;-BN$6,-BN$6-SUM(BN$10:BN257),-ROUNDDOWN($M258*BN$5/100,0)),0)</f>
        <v>0</v>
      </c>
      <c r="BO258" s="38">
        <f>IF(AND(BO$7="○",$A258&gt;=BO$8,$A258&lt;=BO$9),IF(SUM(BO$10:BO257)-ROUNDDOWN($M258*BO$5/100,0)&lt;-BO$6,-BO$6-SUM(BO$10:BO257),-ROUNDDOWN($M258*BO$5/100,0)),0)</f>
        <v>0</v>
      </c>
      <c r="BP258" s="38">
        <f>IF(AND(BP$7="○",$A258&gt;=BP$8,$A258&lt;=BP$9),IF(SUM(BP$10:BP257)-ROUNDDOWN($M258*BP$5/100,0)&lt;-BP$6,-BP$6-SUM(BP$10:BP257),-ROUNDDOWN($M258*BP$5/100,0)),0)</f>
        <v>0</v>
      </c>
      <c r="BQ258" s="38">
        <f>IF(AND(BQ$7="○",$A258&gt;=BQ$8,$A258&lt;=BQ$9),IF(SUM(BQ$10:BQ257)-ROUNDDOWN($L258*BQ$5/100,0)&lt;-BQ$6,-BQ$6-SUM(BQ$10:BQ257),-ROUNDDOWN($L258*BQ$5/100,0)),0)</f>
        <v>0</v>
      </c>
      <c r="BR258" s="38">
        <f>IF(AND(BR$7="○",$A258&gt;=BR$8,$A258&lt;=BR$9),IF(SUM(BR$10:BR257)-ROUNDDOWN($M258*BR$5/100,0)&lt;-BR$6,-BR$6-SUM(BR$10:BR257),-ROUNDDOWN($M258*BR$5/100,0)),0)</f>
        <v>0</v>
      </c>
      <c r="BS258" s="38">
        <f>IF(AND(BS$7="○",$A258&gt;=BS$8,$A258&lt;=BS$9),IF(SUM(BS$10:BS257)-ROUNDDOWN($M258*BS$5/100,0)&lt;-BS$6,-BS$6-SUM(BS$10:BS257),-ROUNDDOWN($M258*BS$5/100,0)),0)</f>
        <v>0</v>
      </c>
      <c r="BT258" s="38">
        <f>IF(AND(BT$7="○",$A258&gt;=BT$8,$A258&lt;=BT$9),IF(SUM(BT$10:BT257)-ROUNDDOWN($M258*BT$5/100,0)&lt;-BT$6,-BT$6-SUM(BT$10:BT257),-ROUNDDOWN($M258*BT$5/100,0)),0)</f>
        <v>0</v>
      </c>
      <c r="BU258" s="38">
        <f>IF(AND(BU$7="○",$A258&gt;=BU$8,$A258&lt;=BU$9),IF(SUM(BU$10:BU257)-ROUNDDOWN($M258*BU$5/100,0)&lt;-BU$6,-BU$6-SUM(BU$10:BU257),-ROUNDDOWN($M258*BU$5/100,0)),0)</f>
        <v>0</v>
      </c>
      <c r="BV258" s="38">
        <f>IF(AND(BV$7="○",$A258&gt;=BV$8,$A258&lt;=BV$9),IF(SUM(BV$10:BV257)-ROUNDDOWN($M258*BV$5/100,0)&lt;-BV$6,-BV$6-SUM(BV$10:BV257),-ROUNDDOWN($M258*BV$5/100,0)),0)</f>
        <v>0</v>
      </c>
      <c r="BW258" s="38">
        <f>IF(AND(BW$7="○",$A258&gt;=BW$8,$A258&lt;=BW$9),IF(SUM(BW$10:BW257)-ROUNDDOWN($M258*BW$5/100,0)&lt;-BW$6,-BW$6-SUM(BW$10:BW257),-ROUNDDOWN($M258*BW$5/100,0)),0)</f>
        <v>0</v>
      </c>
      <c r="BX258" s="38">
        <f>IF(AND(T258="○",$A258&gt;=BX$8,$A258&lt;=BX$9),IF(SUM(BX$10:BX257)-ROUNDDOWN($K258*BX$5/100,0)&lt;-BX$6,-BX$6-SUM(BX$10:BX257),-ROUNDDOWN($K258*BX$5/100,0)),0)</f>
        <v>0</v>
      </c>
      <c r="BY258" s="38">
        <f>IF(AND(U258="○",$A258&gt;=BY$8,$A258&lt;=BY$9),IF(SUM(BY$10:BY257)-ROUNDDOWN($K258*BY$5/100,0)&lt;-BY$6,-BY$6-SUM(BY$10:BY257),-ROUNDDOWN($K258*BY$5/100,0)),0)</f>
        <v>0</v>
      </c>
      <c r="BZ258" s="38">
        <f>IF(AND(V258="○",$A258&gt;=BZ$8,$A258&lt;=BZ$9),IF(SUM(BZ$10:BZ257)-ROUNDDOWN($K258*BZ$5/100,0)&lt;-BZ$6,-BZ$6-SUM(BZ$10:BZ257),-ROUNDDOWN($K258*BZ$5/100,0)),0)</f>
        <v>0</v>
      </c>
      <c r="CA258" s="38">
        <f>IF(AND(W258="○",$A258&gt;=CA$8,$A258&lt;=CA$9),IF(SUM(CA$10:CA257)-ROUNDDOWN($K258*CA$5/100,0)&lt;-CA$6,-CA$6-SUM(CA$10:CA257),-ROUNDDOWN($K258*CA$5/100,0)),0)</f>
        <v>0</v>
      </c>
      <c r="CB258" s="38"/>
      <c r="CC258" s="38"/>
      <c r="CD258" s="38"/>
      <c r="CE258" s="38"/>
      <c r="CF258" s="38"/>
      <c r="CG258" s="65">
        <f t="shared" si="184"/>
        <v>0</v>
      </c>
      <c r="CH258" s="71">
        <f t="shared" si="185"/>
        <v>0</v>
      </c>
      <c r="CI258" s="1">
        <f t="shared" si="206"/>
        <v>0</v>
      </c>
      <c r="CJ258" s="1"/>
      <c r="CK258" s="72"/>
      <c r="CL258" s="72"/>
      <c r="CM258" s="2"/>
      <c r="CN258" s="2"/>
      <c r="CO258" s="73">
        <f t="shared" si="207"/>
        <v>0</v>
      </c>
      <c r="CP258" s="5">
        <f t="shared" si="208"/>
        <v>0</v>
      </c>
      <c r="CQ258" s="1"/>
      <c r="CR258" s="1">
        <f t="shared" si="209"/>
        <v>0</v>
      </c>
      <c r="CS258" s="1"/>
      <c r="CT258" s="1" t="e">
        <f>INDEX([2]マスタ!$A:$A,MATCH(D258,[2]マスタ!$C:$C,0))</f>
        <v>#N/A</v>
      </c>
      <c r="CU258" s="1" t="str">
        <f t="shared" ca="1" si="210"/>
        <v>20260620_0-0</v>
      </c>
    </row>
    <row r="259" spans="1:99" x14ac:dyDescent="0.4">
      <c r="A259" s="61"/>
      <c r="B259" s="62"/>
      <c r="C259" s="62"/>
      <c r="D259" s="62"/>
      <c r="E259" s="74"/>
      <c r="F259" s="62"/>
      <c r="G259" s="62">
        <v>1</v>
      </c>
      <c r="H259" s="64">
        <f t="shared" si="197"/>
        <v>0</v>
      </c>
      <c r="I259" s="64"/>
      <c r="J259" s="64"/>
      <c r="K259" s="65">
        <f t="shared" si="198"/>
        <v>0</v>
      </c>
      <c r="L259" s="65">
        <f t="shared" si="199"/>
        <v>0</v>
      </c>
      <c r="M259" s="65">
        <f t="shared" si="200"/>
        <v>0</v>
      </c>
      <c r="N259" s="65">
        <f t="shared" si="201"/>
        <v>0</v>
      </c>
      <c r="O259" s="66" t="str">
        <f t="shared" si="202"/>
        <v>✕</v>
      </c>
      <c r="P259" s="67" t="str">
        <f t="shared" si="203"/>
        <v>○</v>
      </c>
      <c r="Q259" s="67" t="str">
        <f t="shared" si="204"/>
        <v>✕</v>
      </c>
      <c r="R259" s="67" t="str">
        <f t="shared" si="205"/>
        <v>✕</v>
      </c>
      <c r="S259" s="68">
        <v>0</v>
      </c>
      <c r="T259" s="69" t="s">
        <v>85</v>
      </c>
      <c r="U259" s="69" t="s">
        <v>85</v>
      </c>
      <c r="V259" s="69" t="s">
        <v>85</v>
      </c>
      <c r="W259" s="69" t="s">
        <v>85</v>
      </c>
      <c r="X259" s="69" t="s">
        <v>84</v>
      </c>
      <c r="Y259" s="69" t="s">
        <v>85</v>
      </c>
      <c r="Z259" s="69" t="s">
        <v>85</v>
      </c>
      <c r="AA259" s="69" t="s">
        <v>85</v>
      </c>
      <c r="AB259" s="69" t="s">
        <v>85</v>
      </c>
      <c r="AC259" s="69" t="s">
        <v>85</v>
      </c>
      <c r="AD259" s="38" t="str">
        <f>+IF(ISERROR(VLOOKUP($B259,AD$10:AD258,1,0)),IF(AND($N259&gt;=1000,$A259&gt;=AO$8,$A259&lt;=AO$9),$B259,""),"")</f>
        <v/>
      </c>
      <c r="AE259" s="38" t="str">
        <f>+IF(ISERROR(VLOOKUP($B259,AE$10:AE258,1,0)),IF(AND($N259&gt;=1000,$A259&gt;=AP$8,$A259&lt;=AP$9),$B259,""),"")</f>
        <v/>
      </c>
      <c r="AF259" s="38" t="str">
        <f>+IF(ISERROR(VLOOKUP($B259,AF$10:AF258,1,0)),IF(AND($N259&gt;=1000,$A259&gt;=AQ$8,$A259&lt;=AQ$9),$B259,""),"")</f>
        <v/>
      </c>
      <c r="AG259" s="38" t="str">
        <f>+IF(ISERROR(VLOOKUP($B259,AG$10:AG258,1,0)),IF(AND($N259&gt;=1000,$A259&gt;=AR$8,$A259&lt;=AR$9),$B259,""),"")</f>
        <v/>
      </c>
      <c r="AH259" s="38"/>
      <c r="AI259" s="70">
        <v>0</v>
      </c>
      <c r="AJ259" s="38">
        <f>IF(AND(AJ$7="○",$A259&gt;=AJ$8,$A259&lt;=AJ$9),IF(SUM(AJ$10:AJ258)-ROUNDDOWN($K259*AJ$5/100,0)&lt;-AJ$6,-AJ$6-SUM(AJ$10:AJ258),-ROUNDDOWN($K259*AJ$5/100,0)),0)</f>
        <v>0</v>
      </c>
      <c r="AK259" s="38">
        <f>IF(AND(AK$7="○",$A259&gt;=AK$8,$A259&lt;=AK$9),IF(SUM(AK$10:AK258)-ROUNDDOWN($L259*AK$5/100,0)&lt;-AK$6,-AK$6-SUM(AK$10:AK258),-ROUNDDOWN($L259*AK$5/100,0)),0)</f>
        <v>0</v>
      </c>
      <c r="AL259" s="38">
        <f>IF(AND(AL$7="○",$A259&gt;=AL$8,$A259&lt;=AL$9),IF(SUM(AL$10:AL258)-ROUNDDOWN($N259*AL$5/100,0)&lt;-AL$6,-AL$6-SUM(AL$10:AL258),-ROUNDDOWN($N259*AL$5/100,0)),0)</f>
        <v>0</v>
      </c>
      <c r="AM259" s="38">
        <f>IF(AND(AM$7="○",$A259&gt;=AM$8,$A259&lt;=AM$9),IF(SUM(AM$10:AM258)-ROUNDDOWN($L259*AM$5/100,0)&lt;-AM$6,-AM$6-SUM(AM$10:AM258),-ROUNDDOWN($L259*AM$5/100,0)),0)</f>
        <v>0</v>
      </c>
      <c r="AN259" s="38">
        <f>IF(AND(AN$7="○",$A259&gt;=AN$8,$A259&lt;=AN$9),IF(SUM(AN$10:AN258)-ROUNDDOWN($M259*AN$5/100,0)&lt;-AN$6,-AN$6-SUM(AN$10:AN258),-ROUNDDOWN($M259*AN$5/100,0)),0)</f>
        <v>0</v>
      </c>
      <c r="AO259" s="38">
        <f>IF(AND($A259&gt;=AO$8,$A259&lt;=AO$9),IF(SUM(AO$10:AO258)-ROUNDDOWN($K259*AO$5/100,0)&lt;-AO$6,-AO$6-SUM(AO$10:AO258),-ROUNDDOWN($K259*AO$5/100,0)),0)</f>
        <v>0</v>
      </c>
      <c r="AP259" s="38">
        <f>IF(AND($A259&gt;=AP$8,$A259&lt;=AP$9),IF(SUM(AP$10:AP258)-ROUNDDOWN($K259*AP$5/100,0)&lt;-AP$6,-AP$6-SUM(AP$10:AP258),-ROUNDDOWN($K259*AP$5/100,0)),0)</f>
        <v>0</v>
      </c>
      <c r="AQ259" s="38">
        <f>IF(AND($A259&gt;=AQ$8,$A259&lt;=AQ$9),IF(SUM(AQ$10:AQ258)-ROUNDDOWN($K259*AQ$5/100,0)&lt;-AQ$6,-AQ$6-SUM(AQ$10:AQ258),-ROUNDDOWN($K259*AQ$5/100,0)),0)</f>
        <v>0</v>
      </c>
      <c r="AR259" s="38">
        <f>IF(AND($A259&gt;=AR$8,$A259&lt;=AR$9),IF(SUM(AR$10:AR258)-ROUNDDOWN($K259*AR$5/100,0)&lt;-AR$6,-AR$6-SUM(AR$10:AR258),-ROUNDDOWN($K259*AR$5/100,0)),0)</f>
        <v>0</v>
      </c>
      <c r="AS259" s="38">
        <f>IF(SUMIFS(AS$10:AS258,$A$10:$A258,$A259)-ROUNDDOWN($K259*$S259/100,0)&lt;-$S259*1000,-$S259*1000-SUMIFS(AS$10:AS258,$A$10:$A258,$A259),-ROUNDDOWN($K259*$S259/100,0))</f>
        <v>0</v>
      </c>
      <c r="AT259" s="38">
        <f>IF(AND(X259="○",$A259&gt;=AT$8,$A259&lt;=AT$9,K259&gt;=3980),IF(SUM(AT$10:AT258)-ROUNDDOWN($K259*AT$5/100,0)&lt;-AT$6,-AT$6-SUM(AT$10:AT258),-ROUNDDOWN($K259*AT$5/100,0)),0)</f>
        <v>0</v>
      </c>
      <c r="AU259" s="38">
        <f>IF(O259="○",IF(SUM(AU$10:AU258)-ROUNDDOWN($K259*AU$5/100,0)&lt;-AU$6,-AU$6-SUM(AU$10:AU258),-ROUNDDOWN($K259*AU$5/100,0)),0)</f>
        <v>0</v>
      </c>
      <c r="AV259" s="38">
        <f>IF(P259="○",IF(SUM(AV$10:AV258)-ROUNDDOWN($K259*AV$5/100,0)&lt;-AV$6,-AV$6-SUM(AV$10:AV258),-ROUNDDOWN($K259*AV$5/100,0)),0)</f>
        <v>0</v>
      </c>
      <c r="AW259" s="38">
        <f>IF(Q259="○",IF(SUM(AW$10:AW258)-ROUNDDOWN($K259*AW$5/100,0)&lt;-AW$6,-AW$6-SUM(AW$10:AW258),-ROUNDDOWN($K259*AW$5/100,0)),0)</f>
        <v>0</v>
      </c>
      <c r="AX259" s="38">
        <f>IF(R259="○",IF(SUM(AX$10:AX258)-ROUNDDOWN($K259*AX$5/100,0)&lt;-AX$6,-AX$6-SUM(AX$10:AX258),-ROUNDDOWN($K259*AX$5/100,0)),0)</f>
        <v>0</v>
      </c>
      <c r="AY259" s="70">
        <v>0</v>
      </c>
      <c r="AZ259" s="65">
        <f t="shared" si="178"/>
        <v>0</v>
      </c>
      <c r="BA259" s="65">
        <f t="shared" si="179"/>
        <v>0</v>
      </c>
      <c r="BB259" s="70"/>
      <c r="BC259" s="65">
        <f t="shared" si="180"/>
        <v>0</v>
      </c>
      <c r="BD259" s="70">
        <v>0</v>
      </c>
      <c r="BE259" s="65">
        <f t="shared" si="181"/>
        <v>0</v>
      </c>
      <c r="BF259" s="70">
        <v>0</v>
      </c>
      <c r="BG259" s="65">
        <f t="shared" si="182"/>
        <v>0</v>
      </c>
      <c r="BH259" s="70">
        <v>0</v>
      </c>
      <c r="BI259" s="65">
        <f t="shared" si="183"/>
        <v>0</v>
      </c>
      <c r="BJ259" s="38">
        <f>IF(AND(BJ$7="○",$A259&gt;=BJ$8,$A259&lt;=BJ$9),IF(SUM(BJ$10:BJ258)-ROUNDDOWN($M259*BJ$5/100,0)&lt;-BJ$6,-BJ$6-SUM(BJ$10:BJ258),-ROUNDDOWN($M259*BJ$5/100,0)),0)</f>
        <v>0</v>
      </c>
      <c r="BK259" s="38">
        <f>IF(AND(BK$7="○",$A259&gt;=BK$8,$A259&lt;=BK$9),IF(SUM(BK$10:BK258)-ROUNDDOWN($L259*BK$5/100,0)&lt;-BK$6,-BK$6-SUM(BK$10:BK258),-ROUNDDOWN($L259*BK$5/100,0)),0)</f>
        <v>0</v>
      </c>
      <c r="BL259" s="38">
        <f>IF(AND(BL$7="○",$A259&gt;=BL$8,$A259&lt;=BL$9),IF(SUM(BL$10:BL258)-ROUNDDOWN($L259*BL$5/100,0)&lt;-BL$6,-BL$6-SUM(BL$10:BL258),-ROUNDDOWN($L259*BL$5/100,0)),0)</f>
        <v>0</v>
      </c>
      <c r="BM259" s="38">
        <f>IF(AND(BM$7="○",$A259&gt;=BM$8,$A259&lt;=BM$9),IF(SUM(BM$10:BM258)-ROUNDDOWN($M259*BM$5/100,0)&lt;-BM$6,-BM$6-SUM(BM$10:BM258),-ROUNDDOWN($M259*BM$5/100,0)),0)</f>
        <v>0</v>
      </c>
      <c r="BN259" s="38">
        <f>IF(AND(BN$7="○",$A259&gt;=BN$8,$A259&lt;=BN$9),IF(SUM(BN$10:BN258)-ROUNDDOWN($M259*BN$5/100,0)&lt;-BN$6,-BN$6-SUM(BN$10:BN258),-ROUNDDOWN($M259*BN$5/100,0)),0)</f>
        <v>0</v>
      </c>
      <c r="BO259" s="38">
        <f>IF(AND(BO$7="○",$A259&gt;=BO$8,$A259&lt;=BO$9),IF(SUM(BO$10:BO258)-ROUNDDOWN($M259*BO$5/100,0)&lt;-BO$6,-BO$6-SUM(BO$10:BO258),-ROUNDDOWN($M259*BO$5/100,0)),0)</f>
        <v>0</v>
      </c>
      <c r="BP259" s="38">
        <f>IF(AND(BP$7="○",$A259&gt;=BP$8,$A259&lt;=BP$9),IF(SUM(BP$10:BP258)-ROUNDDOWN($M259*BP$5/100,0)&lt;-BP$6,-BP$6-SUM(BP$10:BP258),-ROUNDDOWN($M259*BP$5/100,0)),0)</f>
        <v>0</v>
      </c>
      <c r="BQ259" s="38">
        <f>IF(AND(BQ$7="○",$A259&gt;=BQ$8,$A259&lt;=BQ$9),IF(SUM(BQ$10:BQ258)-ROUNDDOWN($L259*BQ$5/100,0)&lt;-BQ$6,-BQ$6-SUM(BQ$10:BQ258),-ROUNDDOWN($L259*BQ$5/100,0)),0)</f>
        <v>0</v>
      </c>
      <c r="BR259" s="38">
        <f>IF(AND(BR$7="○",$A259&gt;=BR$8,$A259&lt;=BR$9),IF(SUM(BR$10:BR258)-ROUNDDOWN($M259*BR$5/100,0)&lt;-BR$6,-BR$6-SUM(BR$10:BR258),-ROUNDDOWN($M259*BR$5/100,0)),0)</f>
        <v>0</v>
      </c>
      <c r="BS259" s="38">
        <f>IF(AND(BS$7="○",$A259&gt;=BS$8,$A259&lt;=BS$9),IF(SUM(BS$10:BS258)-ROUNDDOWN($M259*BS$5/100,0)&lt;-BS$6,-BS$6-SUM(BS$10:BS258),-ROUNDDOWN($M259*BS$5/100,0)),0)</f>
        <v>0</v>
      </c>
      <c r="BT259" s="38">
        <f>IF(AND(BT$7="○",$A259&gt;=BT$8,$A259&lt;=BT$9),IF(SUM(BT$10:BT258)-ROUNDDOWN($M259*BT$5/100,0)&lt;-BT$6,-BT$6-SUM(BT$10:BT258),-ROUNDDOWN($M259*BT$5/100,0)),0)</f>
        <v>0</v>
      </c>
      <c r="BU259" s="38">
        <f>IF(AND(BU$7="○",$A259&gt;=BU$8,$A259&lt;=BU$9),IF(SUM(BU$10:BU258)-ROUNDDOWN($M259*BU$5/100,0)&lt;-BU$6,-BU$6-SUM(BU$10:BU258),-ROUNDDOWN($M259*BU$5/100,0)),0)</f>
        <v>0</v>
      </c>
      <c r="BV259" s="38">
        <f>IF(AND(BV$7="○",$A259&gt;=BV$8,$A259&lt;=BV$9),IF(SUM(BV$10:BV258)-ROUNDDOWN($M259*BV$5/100,0)&lt;-BV$6,-BV$6-SUM(BV$10:BV258),-ROUNDDOWN($M259*BV$5/100,0)),0)</f>
        <v>0</v>
      </c>
      <c r="BW259" s="38">
        <f>IF(AND(BW$7="○",$A259&gt;=BW$8,$A259&lt;=BW$9),IF(SUM(BW$10:BW258)-ROUNDDOWN($M259*BW$5/100,0)&lt;-BW$6,-BW$6-SUM(BW$10:BW258),-ROUNDDOWN($M259*BW$5/100,0)),0)</f>
        <v>0</v>
      </c>
      <c r="BX259" s="38">
        <f>IF(AND(T259="○",$A259&gt;=BX$8,$A259&lt;=BX$9),IF(SUM(BX$10:BX258)-ROUNDDOWN($K259*BX$5/100,0)&lt;-BX$6,-BX$6-SUM(BX$10:BX258),-ROUNDDOWN($K259*BX$5/100,0)),0)</f>
        <v>0</v>
      </c>
      <c r="BY259" s="38">
        <f>IF(AND(U259="○",$A259&gt;=BY$8,$A259&lt;=BY$9),IF(SUM(BY$10:BY258)-ROUNDDOWN($K259*BY$5/100,0)&lt;-BY$6,-BY$6-SUM(BY$10:BY258),-ROUNDDOWN($K259*BY$5/100,0)),0)</f>
        <v>0</v>
      </c>
      <c r="BZ259" s="38">
        <f>IF(AND(V259="○",$A259&gt;=BZ$8,$A259&lt;=BZ$9),IF(SUM(BZ$10:BZ258)-ROUNDDOWN($K259*BZ$5/100,0)&lt;-BZ$6,-BZ$6-SUM(BZ$10:BZ258),-ROUNDDOWN($K259*BZ$5/100,0)),0)</f>
        <v>0</v>
      </c>
      <c r="CA259" s="38">
        <f>IF(AND(W259="○",$A259&gt;=CA$8,$A259&lt;=CA$9),IF(SUM(CA$10:CA258)-ROUNDDOWN($K259*CA$5/100,0)&lt;-CA$6,-CA$6-SUM(CA$10:CA258),-ROUNDDOWN($K259*CA$5/100,0)),0)</f>
        <v>0</v>
      </c>
      <c r="CB259" s="38"/>
      <c r="CC259" s="38"/>
      <c r="CD259" s="38"/>
      <c r="CE259" s="38"/>
      <c r="CF259" s="38"/>
      <c r="CG259" s="65">
        <f t="shared" si="184"/>
        <v>0</v>
      </c>
      <c r="CH259" s="71">
        <f t="shared" si="185"/>
        <v>0</v>
      </c>
      <c r="CI259" s="1">
        <f t="shared" si="206"/>
        <v>0</v>
      </c>
      <c r="CJ259" s="1"/>
      <c r="CK259" s="72"/>
      <c r="CL259" s="72"/>
      <c r="CM259" s="2"/>
      <c r="CN259" s="2"/>
      <c r="CO259" s="73">
        <f t="shared" si="207"/>
        <v>0</v>
      </c>
      <c r="CP259" s="5">
        <f t="shared" si="208"/>
        <v>0</v>
      </c>
      <c r="CQ259" s="1"/>
      <c r="CR259" s="1">
        <f t="shared" si="209"/>
        <v>0</v>
      </c>
      <c r="CS259" s="1"/>
      <c r="CT259" s="1" t="e">
        <f>INDEX([2]マスタ!$A:$A,MATCH(D259,[2]マスタ!$C:$C,0))</f>
        <v>#N/A</v>
      </c>
      <c r="CU259" s="1" t="str">
        <f t="shared" ca="1" si="210"/>
        <v>20260620_0-0</v>
      </c>
    </row>
    <row r="260" spans="1:99" x14ac:dyDescent="0.4">
      <c r="A260" s="61"/>
      <c r="B260" s="62"/>
      <c r="C260" s="62"/>
      <c r="D260" s="62"/>
      <c r="E260" s="74"/>
      <c r="F260" s="62"/>
      <c r="G260" s="62">
        <v>1</v>
      </c>
      <c r="H260" s="64">
        <f t="shared" si="197"/>
        <v>0</v>
      </c>
      <c r="I260" s="64"/>
      <c r="J260" s="64"/>
      <c r="K260" s="65">
        <f t="shared" si="198"/>
        <v>0</v>
      </c>
      <c r="L260" s="65">
        <f t="shared" si="199"/>
        <v>0</v>
      </c>
      <c r="M260" s="65">
        <f t="shared" si="200"/>
        <v>0</v>
      </c>
      <c r="N260" s="65">
        <f t="shared" si="201"/>
        <v>0</v>
      </c>
      <c r="O260" s="66" t="str">
        <f t="shared" si="202"/>
        <v>✕</v>
      </c>
      <c r="P260" s="67" t="str">
        <f t="shared" si="203"/>
        <v>○</v>
      </c>
      <c r="Q260" s="67" t="str">
        <f t="shared" si="204"/>
        <v>✕</v>
      </c>
      <c r="R260" s="67" t="str">
        <f t="shared" si="205"/>
        <v>✕</v>
      </c>
      <c r="S260" s="68">
        <v>0</v>
      </c>
      <c r="T260" s="69" t="s">
        <v>85</v>
      </c>
      <c r="U260" s="69" t="s">
        <v>85</v>
      </c>
      <c r="V260" s="69" t="s">
        <v>85</v>
      </c>
      <c r="W260" s="69" t="s">
        <v>85</v>
      </c>
      <c r="X260" s="69" t="s">
        <v>84</v>
      </c>
      <c r="Y260" s="69" t="s">
        <v>85</v>
      </c>
      <c r="Z260" s="69" t="s">
        <v>85</v>
      </c>
      <c r="AA260" s="69" t="s">
        <v>85</v>
      </c>
      <c r="AB260" s="69" t="s">
        <v>85</v>
      </c>
      <c r="AC260" s="69" t="s">
        <v>85</v>
      </c>
      <c r="AD260" s="38" t="str">
        <f>+IF(ISERROR(VLOOKUP($B260,AD$10:AD259,1,0)),IF(AND($N260&gt;=1000,$A260&gt;=AO$8,$A260&lt;=AO$9),$B260,""),"")</f>
        <v/>
      </c>
      <c r="AE260" s="38" t="str">
        <f>+IF(ISERROR(VLOOKUP($B260,AE$10:AE259,1,0)),IF(AND($N260&gt;=1000,$A260&gt;=AP$8,$A260&lt;=AP$9),$B260,""),"")</f>
        <v/>
      </c>
      <c r="AF260" s="38" t="str">
        <f>+IF(ISERROR(VLOOKUP($B260,AF$10:AF259,1,0)),IF(AND($N260&gt;=1000,$A260&gt;=AQ$8,$A260&lt;=AQ$9),$B260,""),"")</f>
        <v/>
      </c>
      <c r="AG260" s="38" t="str">
        <f>+IF(ISERROR(VLOOKUP($B260,AG$10:AG259,1,0)),IF(AND($N260&gt;=1000,$A260&gt;=AR$8,$A260&lt;=AR$9),$B260,""),"")</f>
        <v/>
      </c>
      <c r="AH260" s="38"/>
      <c r="AI260" s="70">
        <v>0</v>
      </c>
      <c r="AJ260" s="38">
        <f>IF(AND(AJ$7="○",$A260&gt;=AJ$8,$A260&lt;=AJ$9),IF(SUM(AJ$10:AJ259)-ROUNDDOWN($K260*AJ$5/100,0)&lt;-AJ$6,-AJ$6-SUM(AJ$10:AJ259),-ROUNDDOWN($K260*AJ$5/100,0)),0)</f>
        <v>0</v>
      </c>
      <c r="AK260" s="38">
        <f>IF(AND(AK$7="○",$A260&gt;=AK$8,$A260&lt;=AK$9),IF(SUM(AK$10:AK259)-ROUNDDOWN($L260*AK$5/100,0)&lt;-AK$6,-AK$6-SUM(AK$10:AK259),-ROUNDDOWN($L260*AK$5/100,0)),0)</f>
        <v>0</v>
      </c>
      <c r="AL260" s="38">
        <f>IF(AND(AL$7="○",$A260&gt;=AL$8,$A260&lt;=AL$9),IF(SUM(AL$10:AL259)-ROUNDDOWN($N260*AL$5/100,0)&lt;-AL$6,-AL$6-SUM(AL$10:AL259),-ROUNDDOWN($N260*AL$5/100,0)),0)</f>
        <v>0</v>
      </c>
      <c r="AM260" s="38">
        <f>IF(AND(AM$7="○",$A260&gt;=AM$8,$A260&lt;=AM$9),IF(SUM(AM$10:AM259)-ROUNDDOWN($L260*AM$5/100,0)&lt;-AM$6,-AM$6-SUM(AM$10:AM259),-ROUNDDOWN($L260*AM$5/100,0)),0)</f>
        <v>0</v>
      </c>
      <c r="AN260" s="38">
        <f>IF(AND(AN$7="○",$A260&gt;=AN$8,$A260&lt;=AN$9),IF(SUM(AN$10:AN259)-ROUNDDOWN($M260*AN$5/100,0)&lt;-AN$6,-AN$6-SUM(AN$10:AN259),-ROUNDDOWN($M260*AN$5/100,0)),0)</f>
        <v>0</v>
      </c>
      <c r="AO260" s="38">
        <f>IF(AND($A260&gt;=AO$8,$A260&lt;=AO$9),IF(SUM(AO$10:AO259)-ROUNDDOWN($K260*AO$5/100,0)&lt;-AO$6,-AO$6-SUM(AO$10:AO259),-ROUNDDOWN($K260*AO$5/100,0)),0)</f>
        <v>0</v>
      </c>
      <c r="AP260" s="38">
        <f>IF(AND($A260&gt;=AP$8,$A260&lt;=AP$9),IF(SUM(AP$10:AP259)-ROUNDDOWN($K260*AP$5/100,0)&lt;-AP$6,-AP$6-SUM(AP$10:AP259),-ROUNDDOWN($K260*AP$5/100,0)),0)</f>
        <v>0</v>
      </c>
      <c r="AQ260" s="38">
        <f>IF(AND($A260&gt;=AQ$8,$A260&lt;=AQ$9),IF(SUM(AQ$10:AQ259)-ROUNDDOWN($K260*AQ$5/100,0)&lt;-AQ$6,-AQ$6-SUM(AQ$10:AQ259),-ROUNDDOWN($K260*AQ$5/100,0)),0)</f>
        <v>0</v>
      </c>
      <c r="AR260" s="38">
        <f>IF(AND($A260&gt;=AR$8,$A260&lt;=AR$9),IF(SUM(AR$10:AR259)-ROUNDDOWN($K260*AR$5/100,0)&lt;-AR$6,-AR$6-SUM(AR$10:AR259),-ROUNDDOWN($K260*AR$5/100,0)),0)</f>
        <v>0</v>
      </c>
      <c r="AS260" s="38">
        <f>IF(SUMIFS(AS$10:AS259,$A$10:$A259,$A260)-ROUNDDOWN($K260*$S260/100,0)&lt;-$S260*1000,-$S260*1000-SUMIFS(AS$10:AS259,$A$10:$A259,$A260),-ROUNDDOWN($K260*$S260/100,0))</f>
        <v>0</v>
      </c>
      <c r="AT260" s="38">
        <f>IF(AND(X260="○",$A260&gt;=AT$8,$A260&lt;=AT$9,K260&gt;=3980),IF(SUM(AT$10:AT259)-ROUNDDOWN($K260*AT$5/100,0)&lt;-AT$6,-AT$6-SUM(AT$10:AT259),-ROUNDDOWN($K260*AT$5/100,0)),0)</f>
        <v>0</v>
      </c>
      <c r="AU260" s="38">
        <f>IF(O260="○",IF(SUM(AU$10:AU259)-ROUNDDOWN($K260*AU$5/100,0)&lt;-AU$6,-AU$6-SUM(AU$10:AU259),-ROUNDDOWN($K260*AU$5/100,0)),0)</f>
        <v>0</v>
      </c>
      <c r="AV260" s="38">
        <f>IF(P260="○",IF(SUM(AV$10:AV259)-ROUNDDOWN($K260*AV$5/100,0)&lt;-AV$6,-AV$6-SUM(AV$10:AV259),-ROUNDDOWN($K260*AV$5/100,0)),0)</f>
        <v>0</v>
      </c>
      <c r="AW260" s="38">
        <f>IF(Q260="○",IF(SUM(AW$10:AW259)-ROUNDDOWN($K260*AW$5/100,0)&lt;-AW$6,-AW$6-SUM(AW$10:AW259),-ROUNDDOWN($K260*AW$5/100,0)),0)</f>
        <v>0</v>
      </c>
      <c r="AX260" s="38">
        <f>IF(R260="○",IF(SUM(AX$10:AX259)-ROUNDDOWN($K260*AX$5/100,0)&lt;-AX$6,-AX$6-SUM(AX$10:AX259),-ROUNDDOWN($K260*AX$5/100,0)),0)</f>
        <v>0</v>
      </c>
      <c r="AY260" s="70">
        <v>0</v>
      </c>
      <c r="AZ260" s="65">
        <f t="shared" si="178"/>
        <v>0</v>
      </c>
      <c r="BA260" s="65">
        <f t="shared" si="179"/>
        <v>0</v>
      </c>
      <c r="BB260" s="70"/>
      <c r="BC260" s="65">
        <f t="shared" si="180"/>
        <v>0</v>
      </c>
      <c r="BD260" s="70">
        <v>0</v>
      </c>
      <c r="BE260" s="65">
        <f t="shared" si="181"/>
        <v>0</v>
      </c>
      <c r="BF260" s="70">
        <v>0</v>
      </c>
      <c r="BG260" s="65">
        <f t="shared" si="182"/>
        <v>0</v>
      </c>
      <c r="BH260" s="70">
        <v>0</v>
      </c>
      <c r="BI260" s="65">
        <f t="shared" si="183"/>
        <v>0</v>
      </c>
      <c r="BJ260" s="38">
        <f>IF(AND(BJ$7="○",$A260&gt;=BJ$8,$A260&lt;=BJ$9),IF(SUM(BJ$10:BJ259)-ROUNDDOWN($M260*BJ$5/100,0)&lt;-BJ$6,-BJ$6-SUM(BJ$10:BJ259),-ROUNDDOWN($M260*BJ$5/100,0)),0)</f>
        <v>0</v>
      </c>
      <c r="BK260" s="38">
        <f>IF(AND(BK$7="○",$A260&gt;=BK$8,$A260&lt;=BK$9),IF(SUM(BK$10:BK259)-ROUNDDOWN($L260*BK$5/100,0)&lt;-BK$6,-BK$6-SUM(BK$10:BK259),-ROUNDDOWN($L260*BK$5/100,0)),0)</f>
        <v>0</v>
      </c>
      <c r="BL260" s="38">
        <f>IF(AND(BL$7="○",$A260&gt;=BL$8,$A260&lt;=BL$9),IF(SUM(BL$10:BL259)-ROUNDDOWN($L260*BL$5/100,0)&lt;-BL$6,-BL$6-SUM(BL$10:BL259),-ROUNDDOWN($L260*BL$5/100,0)),0)</f>
        <v>0</v>
      </c>
      <c r="BM260" s="38">
        <f>IF(AND(BM$7="○",$A260&gt;=BM$8,$A260&lt;=BM$9),IF(SUM(BM$10:BM259)-ROUNDDOWN($M260*BM$5/100,0)&lt;-BM$6,-BM$6-SUM(BM$10:BM259),-ROUNDDOWN($M260*BM$5/100,0)),0)</f>
        <v>0</v>
      </c>
      <c r="BN260" s="38">
        <f>IF(AND(BN$7="○",$A260&gt;=BN$8,$A260&lt;=BN$9),IF(SUM(BN$10:BN259)-ROUNDDOWN($M260*BN$5/100,0)&lt;-BN$6,-BN$6-SUM(BN$10:BN259),-ROUNDDOWN($M260*BN$5/100,0)),0)</f>
        <v>0</v>
      </c>
      <c r="BO260" s="38">
        <f>IF(AND(BO$7="○",$A260&gt;=BO$8,$A260&lt;=BO$9),IF(SUM(BO$10:BO259)-ROUNDDOWN($M260*BO$5/100,0)&lt;-BO$6,-BO$6-SUM(BO$10:BO259),-ROUNDDOWN($M260*BO$5/100,0)),0)</f>
        <v>0</v>
      </c>
      <c r="BP260" s="38">
        <f>IF(AND(BP$7="○",$A260&gt;=BP$8,$A260&lt;=BP$9),IF(SUM(BP$10:BP259)-ROUNDDOWN($M260*BP$5/100,0)&lt;-BP$6,-BP$6-SUM(BP$10:BP259),-ROUNDDOWN($M260*BP$5/100,0)),0)</f>
        <v>0</v>
      </c>
      <c r="BQ260" s="38">
        <f>IF(AND(BQ$7="○",$A260&gt;=BQ$8,$A260&lt;=BQ$9),IF(SUM(BQ$10:BQ259)-ROUNDDOWN($L260*BQ$5/100,0)&lt;-BQ$6,-BQ$6-SUM(BQ$10:BQ259),-ROUNDDOWN($L260*BQ$5/100,0)),0)</f>
        <v>0</v>
      </c>
      <c r="BR260" s="38">
        <f>IF(AND(BR$7="○",$A260&gt;=BR$8,$A260&lt;=BR$9),IF(SUM(BR$10:BR259)-ROUNDDOWN($M260*BR$5/100,0)&lt;-BR$6,-BR$6-SUM(BR$10:BR259),-ROUNDDOWN($M260*BR$5/100,0)),0)</f>
        <v>0</v>
      </c>
      <c r="BS260" s="38">
        <f>IF(AND(BS$7="○",$A260&gt;=BS$8,$A260&lt;=BS$9),IF(SUM(BS$10:BS259)-ROUNDDOWN($M260*BS$5/100,0)&lt;-BS$6,-BS$6-SUM(BS$10:BS259),-ROUNDDOWN($M260*BS$5/100,0)),0)</f>
        <v>0</v>
      </c>
      <c r="BT260" s="38">
        <f>IF(AND(BT$7="○",$A260&gt;=BT$8,$A260&lt;=BT$9),IF(SUM(BT$10:BT259)-ROUNDDOWN($M260*BT$5/100,0)&lt;-BT$6,-BT$6-SUM(BT$10:BT259),-ROUNDDOWN($M260*BT$5/100,0)),0)</f>
        <v>0</v>
      </c>
      <c r="BU260" s="38">
        <f>IF(AND(BU$7="○",$A260&gt;=BU$8,$A260&lt;=BU$9),IF(SUM(BU$10:BU259)-ROUNDDOWN($M260*BU$5/100,0)&lt;-BU$6,-BU$6-SUM(BU$10:BU259),-ROUNDDOWN($M260*BU$5/100,0)),0)</f>
        <v>0</v>
      </c>
      <c r="BV260" s="38">
        <f>IF(AND(BV$7="○",$A260&gt;=BV$8,$A260&lt;=BV$9),IF(SUM(BV$10:BV259)-ROUNDDOWN($M260*BV$5/100,0)&lt;-BV$6,-BV$6-SUM(BV$10:BV259),-ROUNDDOWN($M260*BV$5/100,0)),0)</f>
        <v>0</v>
      </c>
      <c r="BW260" s="38">
        <f>IF(AND(BW$7="○",$A260&gt;=BW$8,$A260&lt;=BW$9),IF(SUM(BW$10:BW259)-ROUNDDOWN($M260*BW$5/100,0)&lt;-BW$6,-BW$6-SUM(BW$10:BW259),-ROUNDDOWN($M260*BW$5/100,0)),0)</f>
        <v>0</v>
      </c>
      <c r="BX260" s="38">
        <f>IF(AND(T260="○",$A260&gt;=BX$8,$A260&lt;=BX$9),IF(SUM(BX$10:BX259)-ROUNDDOWN($K260*BX$5/100,0)&lt;-BX$6,-BX$6-SUM(BX$10:BX259),-ROUNDDOWN($K260*BX$5/100,0)),0)</f>
        <v>0</v>
      </c>
      <c r="BY260" s="38">
        <f>IF(AND(U260="○",$A260&gt;=BY$8,$A260&lt;=BY$9),IF(SUM(BY$10:BY259)-ROUNDDOWN($K260*BY$5/100,0)&lt;-BY$6,-BY$6-SUM(BY$10:BY259),-ROUNDDOWN($K260*BY$5/100,0)),0)</f>
        <v>0</v>
      </c>
      <c r="BZ260" s="38">
        <f>IF(AND(V260="○",$A260&gt;=BZ$8,$A260&lt;=BZ$9),IF(SUM(BZ$10:BZ259)-ROUNDDOWN($K260*BZ$5/100,0)&lt;-BZ$6,-BZ$6-SUM(BZ$10:BZ259),-ROUNDDOWN($K260*BZ$5/100,0)),0)</f>
        <v>0</v>
      </c>
      <c r="CA260" s="38">
        <f>IF(AND(W260="○",$A260&gt;=CA$8,$A260&lt;=CA$9),IF(SUM(CA$10:CA259)-ROUNDDOWN($K260*CA$5/100,0)&lt;-CA$6,-CA$6-SUM(CA$10:CA259),-ROUNDDOWN($K260*CA$5/100,0)),0)</f>
        <v>0</v>
      </c>
      <c r="CB260" s="38"/>
      <c r="CC260" s="38"/>
      <c r="CD260" s="38"/>
      <c r="CE260" s="38"/>
      <c r="CF260" s="38"/>
      <c r="CG260" s="65">
        <f t="shared" si="184"/>
        <v>0</v>
      </c>
      <c r="CH260" s="71">
        <f t="shared" si="185"/>
        <v>0</v>
      </c>
      <c r="CI260" s="1">
        <f t="shared" si="206"/>
        <v>0</v>
      </c>
      <c r="CJ260" s="1"/>
      <c r="CK260" s="72"/>
      <c r="CL260" s="72"/>
      <c r="CM260" s="2"/>
      <c r="CN260" s="2"/>
      <c r="CO260" s="73">
        <f t="shared" si="207"/>
        <v>0</v>
      </c>
      <c r="CP260" s="5">
        <f t="shared" si="208"/>
        <v>0</v>
      </c>
      <c r="CQ260" s="1"/>
      <c r="CR260" s="1">
        <f t="shared" si="209"/>
        <v>0</v>
      </c>
      <c r="CS260" s="1"/>
      <c r="CT260" s="1" t="e">
        <f>INDEX([2]マスタ!$A:$A,MATCH(D260,[2]マスタ!$C:$C,0))</f>
        <v>#N/A</v>
      </c>
      <c r="CU260" s="1" t="str">
        <f t="shared" ca="1" si="210"/>
        <v>20260620_0-0</v>
      </c>
    </row>
    <row r="261" spans="1:99" x14ac:dyDescent="0.4">
      <c r="A261" s="61"/>
      <c r="B261" s="62"/>
      <c r="C261" s="62"/>
      <c r="D261" s="62"/>
      <c r="E261" s="74"/>
      <c r="F261" s="62"/>
      <c r="G261" s="62">
        <v>1</v>
      </c>
      <c r="H261" s="64">
        <f t="shared" si="197"/>
        <v>0</v>
      </c>
      <c r="I261" s="64"/>
      <c r="J261" s="64"/>
      <c r="K261" s="65">
        <f t="shared" si="198"/>
        <v>0</v>
      </c>
      <c r="L261" s="65">
        <f t="shared" si="199"/>
        <v>0</v>
      </c>
      <c r="M261" s="65">
        <f t="shared" si="200"/>
        <v>0</v>
      </c>
      <c r="N261" s="65">
        <f t="shared" si="201"/>
        <v>0</v>
      </c>
      <c r="O261" s="66" t="str">
        <f t="shared" si="202"/>
        <v>✕</v>
      </c>
      <c r="P261" s="67" t="str">
        <f t="shared" si="203"/>
        <v>○</v>
      </c>
      <c r="Q261" s="67" t="str">
        <f t="shared" si="204"/>
        <v>✕</v>
      </c>
      <c r="R261" s="67" t="str">
        <f t="shared" si="205"/>
        <v>✕</v>
      </c>
      <c r="S261" s="68">
        <v>0</v>
      </c>
      <c r="T261" s="69" t="s">
        <v>85</v>
      </c>
      <c r="U261" s="69" t="s">
        <v>85</v>
      </c>
      <c r="V261" s="69" t="s">
        <v>85</v>
      </c>
      <c r="W261" s="69" t="s">
        <v>85</v>
      </c>
      <c r="X261" s="69" t="s">
        <v>84</v>
      </c>
      <c r="Y261" s="69" t="s">
        <v>85</v>
      </c>
      <c r="Z261" s="69" t="s">
        <v>85</v>
      </c>
      <c r="AA261" s="69" t="s">
        <v>85</v>
      </c>
      <c r="AB261" s="69" t="s">
        <v>85</v>
      </c>
      <c r="AC261" s="69" t="s">
        <v>85</v>
      </c>
      <c r="AD261" s="38" t="str">
        <f>+IF(ISERROR(VLOOKUP($B261,AD$10:AD260,1,0)),IF(AND($N261&gt;=1000,$A261&gt;=AO$8,$A261&lt;=AO$9),$B261,""),"")</f>
        <v/>
      </c>
      <c r="AE261" s="38" t="str">
        <f>+IF(ISERROR(VLOOKUP($B261,AE$10:AE260,1,0)),IF(AND($N261&gt;=1000,$A261&gt;=AP$8,$A261&lt;=AP$9),$B261,""),"")</f>
        <v/>
      </c>
      <c r="AF261" s="38" t="str">
        <f>+IF(ISERROR(VLOOKUP($B261,AF$10:AF260,1,0)),IF(AND($N261&gt;=1000,$A261&gt;=AQ$8,$A261&lt;=AQ$9),$B261,""),"")</f>
        <v/>
      </c>
      <c r="AG261" s="38" t="str">
        <f>+IF(ISERROR(VLOOKUP($B261,AG$10:AG260,1,0)),IF(AND($N261&gt;=1000,$A261&gt;=AR$8,$A261&lt;=AR$9),$B261,""),"")</f>
        <v/>
      </c>
      <c r="AH261" s="38"/>
      <c r="AI261" s="70">
        <v>0</v>
      </c>
      <c r="AJ261" s="38">
        <f>IF(AND(AJ$7="○",$A261&gt;=AJ$8,$A261&lt;=AJ$9),IF(SUM(AJ$10:AJ260)-ROUNDDOWN($K261*AJ$5/100,0)&lt;-AJ$6,-AJ$6-SUM(AJ$10:AJ260),-ROUNDDOWN($K261*AJ$5/100,0)),0)</f>
        <v>0</v>
      </c>
      <c r="AK261" s="38">
        <f>IF(AND(AK$7="○",$A261&gt;=AK$8,$A261&lt;=AK$9),IF(SUM(AK$10:AK260)-ROUNDDOWN($L261*AK$5/100,0)&lt;-AK$6,-AK$6-SUM(AK$10:AK260),-ROUNDDOWN($L261*AK$5/100,0)),0)</f>
        <v>0</v>
      </c>
      <c r="AL261" s="38">
        <f>IF(AND(AL$7="○",$A261&gt;=AL$8,$A261&lt;=AL$9),IF(SUM(AL$10:AL260)-ROUNDDOWN($N261*AL$5/100,0)&lt;-AL$6,-AL$6-SUM(AL$10:AL260),-ROUNDDOWN($N261*AL$5/100,0)),0)</f>
        <v>0</v>
      </c>
      <c r="AM261" s="38">
        <f>IF(AND(AM$7="○",$A261&gt;=AM$8,$A261&lt;=AM$9),IF(SUM(AM$10:AM260)-ROUNDDOWN($L261*AM$5/100,0)&lt;-AM$6,-AM$6-SUM(AM$10:AM260),-ROUNDDOWN($L261*AM$5/100,0)),0)</f>
        <v>0</v>
      </c>
      <c r="AN261" s="38">
        <f>IF(AND(AN$7="○",$A261&gt;=AN$8,$A261&lt;=AN$9),IF(SUM(AN$10:AN260)-ROUNDDOWN($M261*AN$5/100,0)&lt;-AN$6,-AN$6-SUM(AN$10:AN260),-ROUNDDOWN($M261*AN$5/100,0)),0)</f>
        <v>0</v>
      </c>
      <c r="AO261" s="38">
        <f>IF(AND($A261&gt;=AO$8,$A261&lt;=AO$9),IF(SUM(AO$10:AO260)-ROUNDDOWN($K261*AO$5/100,0)&lt;-AO$6,-AO$6-SUM(AO$10:AO260),-ROUNDDOWN($K261*AO$5/100,0)),0)</f>
        <v>0</v>
      </c>
      <c r="AP261" s="38">
        <f>IF(AND($A261&gt;=AP$8,$A261&lt;=AP$9),IF(SUM(AP$10:AP260)-ROUNDDOWN($K261*AP$5/100,0)&lt;-AP$6,-AP$6-SUM(AP$10:AP260),-ROUNDDOWN($K261*AP$5/100,0)),0)</f>
        <v>0</v>
      </c>
      <c r="AQ261" s="38">
        <f>IF(AND($A261&gt;=AQ$8,$A261&lt;=AQ$9),IF(SUM(AQ$10:AQ260)-ROUNDDOWN($K261*AQ$5/100,0)&lt;-AQ$6,-AQ$6-SUM(AQ$10:AQ260),-ROUNDDOWN($K261*AQ$5/100,0)),0)</f>
        <v>0</v>
      </c>
      <c r="AR261" s="38">
        <f>IF(AND($A261&gt;=AR$8,$A261&lt;=AR$9),IF(SUM(AR$10:AR260)-ROUNDDOWN($K261*AR$5/100,0)&lt;-AR$6,-AR$6-SUM(AR$10:AR260),-ROUNDDOWN($K261*AR$5/100,0)),0)</f>
        <v>0</v>
      </c>
      <c r="AS261" s="38">
        <f>IF(SUMIFS(AS$10:AS260,$A$10:$A260,$A261)-ROUNDDOWN($K261*$S261/100,0)&lt;-$S261*1000,-$S261*1000-SUMIFS(AS$10:AS260,$A$10:$A260,$A261),-ROUNDDOWN($K261*$S261/100,0))</f>
        <v>0</v>
      </c>
      <c r="AT261" s="38">
        <f>IF(AND(X261="○",$A261&gt;=AT$8,$A261&lt;=AT$9,K261&gt;=3980),IF(SUM(AT$10:AT260)-ROUNDDOWN($K261*AT$5/100,0)&lt;-AT$6,-AT$6-SUM(AT$10:AT260),-ROUNDDOWN($K261*AT$5/100,0)),0)</f>
        <v>0</v>
      </c>
      <c r="AU261" s="38">
        <f>IF(O261="○",IF(SUM(AU$10:AU260)-ROUNDDOWN($K261*AU$5/100,0)&lt;-AU$6,-AU$6-SUM(AU$10:AU260),-ROUNDDOWN($K261*AU$5/100,0)),0)</f>
        <v>0</v>
      </c>
      <c r="AV261" s="38">
        <f>IF(P261="○",IF(SUM(AV$10:AV260)-ROUNDDOWN($K261*AV$5/100,0)&lt;-AV$6,-AV$6-SUM(AV$10:AV260),-ROUNDDOWN($K261*AV$5/100,0)),0)</f>
        <v>0</v>
      </c>
      <c r="AW261" s="38">
        <f>IF(Q261="○",IF(SUM(AW$10:AW260)-ROUNDDOWN($K261*AW$5/100,0)&lt;-AW$6,-AW$6-SUM(AW$10:AW260),-ROUNDDOWN($K261*AW$5/100,0)),0)</f>
        <v>0</v>
      </c>
      <c r="AX261" s="38">
        <f>IF(R261="○",IF(SUM(AX$10:AX260)-ROUNDDOWN($K261*AX$5/100,0)&lt;-AX$6,-AX$6-SUM(AX$10:AX260),-ROUNDDOWN($K261*AX$5/100,0)),0)</f>
        <v>0</v>
      </c>
      <c r="AY261" s="70">
        <v>0</v>
      </c>
      <c r="AZ261" s="65">
        <f t="shared" si="178"/>
        <v>0</v>
      </c>
      <c r="BA261" s="65">
        <f t="shared" si="179"/>
        <v>0</v>
      </c>
      <c r="BB261" s="70"/>
      <c r="BC261" s="65">
        <f t="shared" si="180"/>
        <v>0</v>
      </c>
      <c r="BD261" s="70">
        <v>0</v>
      </c>
      <c r="BE261" s="65">
        <f t="shared" si="181"/>
        <v>0</v>
      </c>
      <c r="BF261" s="70">
        <v>0</v>
      </c>
      <c r="BG261" s="65">
        <f t="shared" si="182"/>
        <v>0</v>
      </c>
      <c r="BH261" s="70">
        <v>0</v>
      </c>
      <c r="BI261" s="65">
        <f t="shared" si="183"/>
        <v>0</v>
      </c>
      <c r="BJ261" s="38">
        <f>IF(AND(BJ$7="○",$A261&gt;=BJ$8,$A261&lt;=BJ$9),IF(SUM(BJ$10:BJ260)-ROUNDDOWN($M261*BJ$5/100,0)&lt;-BJ$6,-BJ$6-SUM(BJ$10:BJ260),-ROUNDDOWN($M261*BJ$5/100,0)),0)</f>
        <v>0</v>
      </c>
      <c r="BK261" s="38">
        <f>IF(AND(BK$7="○",$A261&gt;=BK$8,$A261&lt;=BK$9),IF(SUM(BK$10:BK260)-ROUNDDOWN($L261*BK$5/100,0)&lt;-BK$6,-BK$6-SUM(BK$10:BK260),-ROUNDDOWN($L261*BK$5/100,0)),0)</f>
        <v>0</v>
      </c>
      <c r="BL261" s="38">
        <f>IF(AND(BL$7="○",$A261&gt;=BL$8,$A261&lt;=BL$9),IF(SUM(BL$10:BL260)-ROUNDDOWN($L261*BL$5/100,0)&lt;-BL$6,-BL$6-SUM(BL$10:BL260),-ROUNDDOWN($L261*BL$5/100,0)),0)</f>
        <v>0</v>
      </c>
      <c r="BM261" s="38">
        <f>IF(AND(BM$7="○",$A261&gt;=BM$8,$A261&lt;=BM$9),IF(SUM(BM$10:BM260)-ROUNDDOWN($M261*BM$5/100,0)&lt;-BM$6,-BM$6-SUM(BM$10:BM260),-ROUNDDOWN($M261*BM$5/100,0)),0)</f>
        <v>0</v>
      </c>
      <c r="BN261" s="38">
        <f>IF(AND(BN$7="○",$A261&gt;=BN$8,$A261&lt;=BN$9),IF(SUM(BN$10:BN260)-ROUNDDOWN($M261*BN$5/100,0)&lt;-BN$6,-BN$6-SUM(BN$10:BN260),-ROUNDDOWN($M261*BN$5/100,0)),0)</f>
        <v>0</v>
      </c>
      <c r="BO261" s="38">
        <f>IF(AND(BO$7="○",$A261&gt;=BO$8,$A261&lt;=BO$9),IF(SUM(BO$10:BO260)-ROUNDDOWN($M261*BO$5/100,0)&lt;-BO$6,-BO$6-SUM(BO$10:BO260),-ROUNDDOWN($M261*BO$5/100,0)),0)</f>
        <v>0</v>
      </c>
      <c r="BP261" s="38">
        <f>IF(AND(BP$7="○",$A261&gt;=BP$8,$A261&lt;=BP$9),IF(SUM(BP$10:BP260)-ROUNDDOWN($M261*BP$5/100,0)&lt;-BP$6,-BP$6-SUM(BP$10:BP260),-ROUNDDOWN($M261*BP$5/100,0)),0)</f>
        <v>0</v>
      </c>
      <c r="BQ261" s="38">
        <f>IF(AND(BQ$7="○",$A261&gt;=BQ$8,$A261&lt;=BQ$9),IF(SUM(BQ$10:BQ260)-ROUNDDOWN($L261*BQ$5/100,0)&lt;-BQ$6,-BQ$6-SUM(BQ$10:BQ260),-ROUNDDOWN($L261*BQ$5/100,0)),0)</f>
        <v>0</v>
      </c>
      <c r="BR261" s="38">
        <f>IF(AND(BR$7="○",$A261&gt;=BR$8,$A261&lt;=BR$9),IF(SUM(BR$10:BR260)-ROUNDDOWN($M261*BR$5/100,0)&lt;-BR$6,-BR$6-SUM(BR$10:BR260),-ROUNDDOWN($M261*BR$5/100,0)),0)</f>
        <v>0</v>
      </c>
      <c r="BS261" s="38">
        <f>IF(AND(BS$7="○",$A261&gt;=BS$8,$A261&lt;=BS$9),IF(SUM(BS$10:BS260)-ROUNDDOWN($M261*BS$5/100,0)&lt;-BS$6,-BS$6-SUM(BS$10:BS260),-ROUNDDOWN($M261*BS$5/100,0)),0)</f>
        <v>0</v>
      </c>
      <c r="BT261" s="38">
        <f>IF(AND(BT$7="○",$A261&gt;=BT$8,$A261&lt;=BT$9),IF(SUM(BT$10:BT260)-ROUNDDOWN($M261*BT$5/100,0)&lt;-BT$6,-BT$6-SUM(BT$10:BT260),-ROUNDDOWN($M261*BT$5/100,0)),0)</f>
        <v>0</v>
      </c>
      <c r="BU261" s="38">
        <f>IF(AND(BU$7="○",$A261&gt;=BU$8,$A261&lt;=BU$9),IF(SUM(BU$10:BU260)-ROUNDDOWN($M261*BU$5/100,0)&lt;-BU$6,-BU$6-SUM(BU$10:BU260),-ROUNDDOWN($M261*BU$5/100,0)),0)</f>
        <v>0</v>
      </c>
      <c r="BV261" s="38">
        <f>IF(AND(BV$7="○",$A261&gt;=BV$8,$A261&lt;=BV$9),IF(SUM(BV$10:BV260)-ROUNDDOWN($M261*BV$5/100,0)&lt;-BV$6,-BV$6-SUM(BV$10:BV260),-ROUNDDOWN($M261*BV$5/100,0)),0)</f>
        <v>0</v>
      </c>
      <c r="BW261" s="38">
        <f>IF(AND(BW$7="○",$A261&gt;=BW$8,$A261&lt;=BW$9),IF(SUM(BW$10:BW260)-ROUNDDOWN($M261*BW$5/100,0)&lt;-BW$6,-BW$6-SUM(BW$10:BW260),-ROUNDDOWN($M261*BW$5/100,0)),0)</f>
        <v>0</v>
      </c>
      <c r="BX261" s="38">
        <f>IF(AND(T261="○",$A261&gt;=BX$8,$A261&lt;=BX$9),IF(SUM(BX$10:BX260)-ROUNDDOWN($K261*BX$5/100,0)&lt;-BX$6,-BX$6-SUM(BX$10:BX260),-ROUNDDOWN($K261*BX$5/100,0)),0)</f>
        <v>0</v>
      </c>
      <c r="BY261" s="38">
        <f>IF(AND(U261="○",$A261&gt;=BY$8,$A261&lt;=BY$9),IF(SUM(BY$10:BY260)-ROUNDDOWN($K261*BY$5/100,0)&lt;-BY$6,-BY$6-SUM(BY$10:BY260),-ROUNDDOWN($K261*BY$5/100,0)),0)</f>
        <v>0</v>
      </c>
      <c r="BZ261" s="38">
        <f>IF(AND(V261="○",$A261&gt;=BZ$8,$A261&lt;=BZ$9),IF(SUM(BZ$10:BZ260)-ROUNDDOWN($K261*BZ$5/100,0)&lt;-BZ$6,-BZ$6-SUM(BZ$10:BZ260),-ROUNDDOWN($K261*BZ$5/100,0)),0)</f>
        <v>0</v>
      </c>
      <c r="CA261" s="38">
        <f>IF(AND(W261="○",$A261&gt;=CA$8,$A261&lt;=CA$9),IF(SUM(CA$10:CA260)-ROUNDDOWN($K261*CA$5/100,0)&lt;-CA$6,-CA$6-SUM(CA$10:CA260),-ROUNDDOWN($K261*CA$5/100,0)),0)</f>
        <v>0</v>
      </c>
      <c r="CB261" s="38"/>
      <c r="CC261" s="38"/>
      <c r="CD261" s="38"/>
      <c r="CE261" s="38"/>
      <c r="CF261" s="38"/>
      <c r="CG261" s="65">
        <f t="shared" si="184"/>
        <v>0</v>
      </c>
      <c r="CH261" s="71">
        <f t="shared" si="185"/>
        <v>0</v>
      </c>
      <c r="CI261" s="1">
        <f t="shared" si="206"/>
        <v>0</v>
      </c>
      <c r="CJ261" s="1"/>
      <c r="CK261" s="72"/>
      <c r="CL261" s="72"/>
      <c r="CM261" s="2"/>
      <c r="CN261" s="2"/>
      <c r="CO261" s="73">
        <f t="shared" si="207"/>
        <v>0</v>
      </c>
      <c r="CP261" s="5">
        <f t="shared" si="208"/>
        <v>0</v>
      </c>
      <c r="CQ261" s="1"/>
      <c r="CR261" s="1">
        <f t="shared" si="209"/>
        <v>0</v>
      </c>
      <c r="CS261" s="1"/>
      <c r="CT261" s="1" t="e">
        <f>INDEX([2]マスタ!$A:$A,MATCH(D261,[2]マスタ!$C:$C,0))</f>
        <v>#N/A</v>
      </c>
      <c r="CU261" s="1" t="str">
        <f t="shared" ca="1" si="210"/>
        <v>20260620_0-0</v>
      </c>
    </row>
    <row r="262" spans="1:99" x14ac:dyDescent="0.4">
      <c r="A262" s="61"/>
      <c r="B262" s="62"/>
      <c r="C262" s="62"/>
      <c r="D262" s="62"/>
      <c r="E262" s="74"/>
      <c r="F262" s="62"/>
      <c r="G262" s="62">
        <v>1</v>
      </c>
      <c r="H262" s="64">
        <f t="shared" si="197"/>
        <v>0</v>
      </c>
      <c r="I262" s="64"/>
      <c r="J262" s="64"/>
      <c r="K262" s="65">
        <f t="shared" si="198"/>
        <v>0</v>
      </c>
      <c r="L262" s="65">
        <f t="shared" si="199"/>
        <v>0</v>
      </c>
      <c r="M262" s="65">
        <f t="shared" si="200"/>
        <v>0</v>
      </c>
      <c r="N262" s="65">
        <f t="shared" si="201"/>
        <v>0</v>
      </c>
      <c r="O262" s="66" t="str">
        <f t="shared" si="202"/>
        <v>✕</v>
      </c>
      <c r="P262" s="67" t="str">
        <f t="shared" si="203"/>
        <v>○</v>
      </c>
      <c r="Q262" s="67" t="str">
        <f t="shared" si="204"/>
        <v>✕</v>
      </c>
      <c r="R262" s="67" t="str">
        <f t="shared" si="205"/>
        <v>✕</v>
      </c>
      <c r="S262" s="68">
        <v>0</v>
      </c>
      <c r="T262" s="69" t="s">
        <v>85</v>
      </c>
      <c r="U262" s="69" t="s">
        <v>85</v>
      </c>
      <c r="V262" s="69" t="s">
        <v>85</v>
      </c>
      <c r="W262" s="69" t="s">
        <v>85</v>
      </c>
      <c r="X262" s="69" t="s">
        <v>84</v>
      </c>
      <c r="Y262" s="69" t="s">
        <v>85</v>
      </c>
      <c r="Z262" s="69" t="s">
        <v>85</v>
      </c>
      <c r="AA262" s="69" t="s">
        <v>85</v>
      </c>
      <c r="AB262" s="69" t="s">
        <v>85</v>
      </c>
      <c r="AC262" s="69" t="s">
        <v>85</v>
      </c>
      <c r="AD262" s="38" t="str">
        <f>+IF(ISERROR(VLOOKUP($B262,AD$10:AD261,1,0)),IF(AND($N262&gt;=1000,$A262&gt;=AO$8,$A262&lt;=AO$9),$B262,""),"")</f>
        <v/>
      </c>
      <c r="AE262" s="38" t="str">
        <f>+IF(ISERROR(VLOOKUP($B262,AE$10:AE261,1,0)),IF(AND($N262&gt;=1000,$A262&gt;=AP$8,$A262&lt;=AP$9),$B262,""),"")</f>
        <v/>
      </c>
      <c r="AF262" s="38" t="str">
        <f>+IF(ISERROR(VLOOKUP($B262,AF$10:AF261,1,0)),IF(AND($N262&gt;=1000,$A262&gt;=AQ$8,$A262&lt;=AQ$9),$B262,""),"")</f>
        <v/>
      </c>
      <c r="AG262" s="38" t="str">
        <f>+IF(ISERROR(VLOOKUP($B262,AG$10:AG261,1,0)),IF(AND($N262&gt;=1000,$A262&gt;=AR$8,$A262&lt;=AR$9),$B262,""),"")</f>
        <v/>
      </c>
      <c r="AH262" s="38"/>
      <c r="AI262" s="70">
        <v>0</v>
      </c>
      <c r="AJ262" s="38">
        <f>IF(AND(AJ$7="○",$A262&gt;=AJ$8,$A262&lt;=AJ$9),IF(SUM(AJ$10:AJ261)-ROUNDDOWN($K262*AJ$5/100,0)&lt;-AJ$6,-AJ$6-SUM(AJ$10:AJ261),-ROUNDDOWN($K262*AJ$5/100,0)),0)</f>
        <v>0</v>
      </c>
      <c r="AK262" s="38">
        <f>IF(AND(AK$7="○",$A262&gt;=AK$8,$A262&lt;=AK$9),IF(SUM(AK$10:AK261)-ROUNDDOWN($L262*AK$5/100,0)&lt;-AK$6,-AK$6-SUM(AK$10:AK261),-ROUNDDOWN($L262*AK$5/100,0)),0)</f>
        <v>0</v>
      </c>
      <c r="AL262" s="38">
        <f>IF(AND(AL$7="○",$A262&gt;=AL$8,$A262&lt;=AL$9),IF(SUM(AL$10:AL261)-ROUNDDOWN($N262*AL$5/100,0)&lt;-AL$6,-AL$6-SUM(AL$10:AL261),-ROUNDDOWN($N262*AL$5/100,0)),0)</f>
        <v>0</v>
      </c>
      <c r="AM262" s="38">
        <f>IF(AND(AM$7="○",$A262&gt;=AM$8,$A262&lt;=AM$9),IF(SUM(AM$10:AM261)-ROUNDDOWN($L262*AM$5/100,0)&lt;-AM$6,-AM$6-SUM(AM$10:AM261),-ROUNDDOWN($L262*AM$5/100,0)),0)</f>
        <v>0</v>
      </c>
      <c r="AN262" s="38">
        <f>IF(AND(AN$7="○",$A262&gt;=AN$8,$A262&lt;=AN$9),IF(SUM(AN$10:AN261)-ROUNDDOWN($M262*AN$5/100,0)&lt;-AN$6,-AN$6-SUM(AN$10:AN261),-ROUNDDOWN($M262*AN$5/100,0)),0)</f>
        <v>0</v>
      </c>
      <c r="AO262" s="38">
        <f>IF(AND($A262&gt;=AO$8,$A262&lt;=AO$9),IF(SUM(AO$10:AO261)-ROUNDDOWN($K262*AO$5/100,0)&lt;-AO$6,-AO$6-SUM(AO$10:AO261),-ROUNDDOWN($K262*AO$5/100,0)),0)</f>
        <v>0</v>
      </c>
      <c r="AP262" s="38">
        <f>IF(AND($A262&gt;=AP$8,$A262&lt;=AP$9),IF(SUM(AP$10:AP261)-ROUNDDOWN($K262*AP$5/100,0)&lt;-AP$6,-AP$6-SUM(AP$10:AP261),-ROUNDDOWN($K262*AP$5/100,0)),0)</f>
        <v>0</v>
      </c>
      <c r="AQ262" s="38">
        <f>IF(AND($A262&gt;=AQ$8,$A262&lt;=AQ$9),IF(SUM(AQ$10:AQ261)-ROUNDDOWN($K262*AQ$5/100,0)&lt;-AQ$6,-AQ$6-SUM(AQ$10:AQ261),-ROUNDDOWN($K262*AQ$5/100,0)),0)</f>
        <v>0</v>
      </c>
      <c r="AR262" s="38">
        <f>IF(AND($A262&gt;=AR$8,$A262&lt;=AR$9),IF(SUM(AR$10:AR261)-ROUNDDOWN($K262*AR$5/100,0)&lt;-AR$6,-AR$6-SUM(AR$10:AR261),-ROUNDDOWN($K262*AR$5/100,0)),0)</f>
        <v>0</v>
      </c>
      <c r="AS262" s="38">
        <f>IF(SUMIFS(AS$10:AS261,$A$10:$A261,$A262)-ROUNDDOWN($K262*$S262/100,0)&lt;-$S262*1000,-$S262*1000-SUMIFS(AS$10:AS261,$A$10:$A261,$A262),-ROUNDDOWN($K262*$S262/100,0))</f>
        <v>0</v>
      </c>
      <c r="AT262" s="38">
        <f>IF(AND(X262="○",$A262&gt;=AT$8,$A262&lt;=AT$9,K262&gt;=3980),IF(SUM(AT$10:AT261)-ROUNDDOWN($K262*AT$5/100,0)&lt;-AT$6,-AT$6-SUM(AT$10:AT261),-ROUNDDOWN($K262*AT$5/100,0)),0)</f>
        <v>0</v>
      </c>
      <c r="AU262" s="38">
        <f>IF(O262="○",IF(SUM(AU$10:AU261)-ROUNDDOWN($K262*AU$5/100,0)&lt;-AU$6,-AU$6-SUM(AU$10:AU261),-ROUNDDOWN($K262*AU$5/100,0)),0)</f>
        <v>0</v>
      </c>
      <c r="AV262" s="38">
        <f>IF(P262="○",IF(SUM(AV$10:AV261)-ROUNDDOWN($K262*AV$5/100,0)&lt;-AV$6,-AV$6-SUM(AV$10:AV261),-ROUNDDOWN($K262*AV$5/100,0)),0)</f>
        <v>0</v>
      </c>
      <c r="AW262" s="38">
        <f>IF(Q262="○",IF(SUM(AW$10:AW261)-ROUNDDOWN($K262*AW$5/100,0)&lt;-AW$6,-AW$6-SUM(AW$10:AW261),-ROUNDDOWN($K262*AW$5/100,0)),0)</f>
        <v>0</v>
      </c>
      <c r="AX262" s="38">
        <f>IF(R262="○",IF(SUM(AX$10:AX261)-ROUNDDOWN($K262*AX$5/100,0)&lt;-AX$6,-AX$6-SUM(AX$10:AX261),-ROUNDDOWN($K262*AX$5/100,0)),0)</f>
        <v>0</v>
      </c>
      <c r="AY262" s="70">
        <v>0</v>
      </c>
      <c r="AZ262" s="65">
        <f t="shared" si="178"/>
        <v>0</v>
      </c>
      <c r="BA262" s="65">
        <f t="shared" si="179"/>
        <v>0</v>
      </c>
      <c r="BB262" s="70"/>
      <c r="BC262" s="65">
        <f t="shared" si="180"/>
        <v>0</v>
      </c>
      <c r="BD262" s="70">
        <v>0</v>
      </c>
      <c r="BE262" s="65">
        <f t="shared" si="181"/>
        <v>0</v>
      </c>
      <c r="BF262" s="70">
        <v>0</v>
      </c>
      <c r="BG262" s="65">
        <f t="shared" si="182"/>
        <v>0</v>
      </c>
      <c r="BH262" s="70">
        <v>0</v>
      </c>
      <c r="BI262" s="65">
        <f t="shared" si="183"/>
        <v>0</v>
      </c>
      <c r="BJ262" s="38">
        <f>IF(AND(BJ$7="○",$A262&gt;=BJ$8,$A262&lt;=BJ$9),IF(SUM(BJ$10:BJ261)-ROUNDDOWN($M262*BJ$5/100,0)&lt;-BJ$6,-BJ$6-SUM(BJ$10:BJ261),-ROUNDDOWN($M262*BJ$5/100,0)),0)</f>
        <v>0</v>
      </c>
      <c r="BK262" s="38">
        <f>IF(AND(BK$7="○",$A262&gt;=BK$8,$A262&lt;=BK$9),IF(SUM(BK$10:BK261)-ROUNDDOWN($L262*BK$5/100,0)&lt;-BK$6,-BK$6-SUM(BK$10:BK261),-ROUNDDOWN($L262*BK$5/100,0)),0)</f>
        <v>0</v>
      </c>
      <c r="BL262" s="38">
        <f>IF(AND(BL$7="○",$A262&gt;=BL$8,$A262&lt;=BL$9),IF(SUM(BL$10:BL261)-ROUNDDOWN($L262*BL$5/100,0)&lt;-BL$6,-BL$6-SUM(BL$10:BL261),-ROUNDDOWN($L262*BL$5/100,0)),0)</f>
        <v>0</v>
      </c>
      <c r="BM262" s="38">
        <f>IF(AND(BM$7="○",$A262&gt;=BM$8,$A262&lt;=BM$9),IF(SUM(BM$10:BM261)-ROUNDDOWN($M262*BM$5/100,0)&lt;-BM$6,-BM$6-SUM(BM$10:BM261),-ROUNDDOWN($M262*BM$5/100,0)),0)</f>
        <v>0</v>
      </c>
      <c r="BN262" s="38">
        <f>IF(AND(BN$7="○",$A262&gt;=BN$8,$A262&lt;=BN$9),IF(SUM(BN$10:BN261)-ROUNDDOWN($M262*BN$5/100,0)&lt;-BN$6,-BN$6-SUM(BN$10:BN261),-ROUNDDOWN($M262*BN$5/100,0)),0)</f>
        <v>0</v>
      </c>
      <c r="BO262" s="38">
        <f>IF(AND(BO$7="○",$A262&gt;=BO$8,$A262&lt;=BO$9),IF(SUM(BO$10:BO261)-ROUNDDOWN($M262*BO$5/100,0)&lt;-BO$6,-BO$6-SUM(BO$10:BO261),-ROUNDDOWN($M262*BO$5/100,0)),0)</f>
        <v>0</v>
      </c>
      <c r="BP262" s="38">
        <f>IF(AND(BP$7="○",$A262&gt;=BP$8,$A262&lt;=BP$9),IF(SUM(BP$10:BP261)-ROUNDDOWN($M262*BP$5/100,0)&lt;-BP$6,-BP$6-SUM(BP$10:BP261),-ROUNDDOWN($M262*BP$5/100,0)),0)</f>
        <v>0</v>
      </c>
      <c r="BQ262" s="38">
        <f>IF(AND(BQ$7="○",$A262&gt;=BQ$8,$A262&lt;=BQ$9),IF(SUM(BQ$10:BQ261)-ROUNDDOWN($L262*BQ$5/100,0)&lt;-BQ$6,-BQ$6-SUM(BQ$10:BQ261),-ROUNDDOWN($L262*BQ$5/100,0)),0)</f>
        <v>0</v>
      </c>
      <c r="BR262" s="38">
        <f>IF(AND(BR$7="○",$A262&gt;=BR$8,$A262&lt;=BR$9),IF(SUM(BR$10:BR261)-ROUNDDOWN($M262*BR$5/100,0)&lt;-BR$6,-BR$6-SUM(BR$10:BR261),-ROUNDDOWN($M262*BR$5/100,0)),0)</f>
        <v>0</v>
      </c>
      <c r="BS262" s="38">
        <f>IF(AND(BS$7="○",$A262&gt;=BS$8,$A262&lt;=BS$9),IF(SUM(BS$10:BS261)-ROUNDDOWN($M262*BS$5/100,0)&lt;-BS$6,-BS$6-SUM(BS$10:BS261),-ROUNDDOWN($M262*BS$5/100,0)),0)</f>
        <v>0</v>
      </c>
      <c r="BT262" s="38">
        <f>IF(AND(BT$7="○",$A262&gt;=BT$8,$A262&lt;=BT$9),IF(SUM(BT$10:BT261)-ROUNDDOWN($M262*BT$5/100,0)&lt;-BT$6,-BT$6-SUM(BT$10:BT261),-ROUNDDOWN($M262*BT$5/100,0)),0)</f>
        <v>0</v>
      </c>
      <c r="BU262" s="38">
        <f>IF(AND(BU$7="○",$A262&gt;=BU$8,$A262&lt;=BU$9),IF(SUM(BU$10:BU261)-ROUNDDOWN($M262*BU$5/100,0)&lt;-BU$6,-BU$6-SUM(BU$10:BU261),-ROUNDDOWN($M262*BU$5/100,0)),0)</f>
        <v>0</v>
      </c>
      <c r="BV262" s="38">
        <f>IF(AND(BV$7="○",$A262&gt;=BV$8,$A262&lt;=BV$9),IF(SUM(BV$10:BV261)-ROUNDDOWN($M262*BV$5/100,0)&lt;-BV$6,-BV$6-SUM(BV$10:BV261),-ROUNDDOWN($M262*BV$5/100,0)),0)</f>
        <v>0</v>
      </c>
      <c r="BW262" s="38">
        <f>IF(AND(BW$7="○",$A262&gt;=BW$8,$A262&lt;=BW$9),IF(SUM(BW$10:BW261)-ROUNDDOWN($M262*BW$5/100,0)&lt;-BW$6,-BW$6-SUM(BW$10:BW261),-ROUNDDOWN($M262*BW$5/100,0)),0)</f>
        <v>0</v>
      </c>
      <c r="BX262" s="38">
        <f>IF(AND(T262="○",$A262&gt;=BX$8,$A262&lt;=BX$9),IF(SUM(BX$10:BX261)-ROUNDDOWN($K262*BX$5/100,0)&lt;-BX$6,-BX$6-SUM(BX$10:BX261),-ROUNDDOWN($K262*BX$5/100,0)),0)</f>
        <v>0</v>
      </c>
      <c r="BY262" s="38">
        <f>IF(AND(U262="○",$A262&gt;=BY$8,$A262&lt;=BY$9),IF(SUM(BY$10:BY261)-ROUNDDOWN($K262*BY$5/100,0)&lt;-BY$6,-BY$6-SUM(BY$10:BY261),-ROUNDDOWN($K262*BY$5/100,0)),0)</f>
        <v>0</v>
      </c>
      <c r="BZ262" s="38">
        <f>IF(AND(V262="○",$A262&gt;=BZ$8,$A262&lt;=BZ$9),IF(SUM(BZ$10:BZ261)-ROUNDDOWN($K262*BZ$5/100,0)&lt;-BZ$6,-BZ$6-SUM(BZ$10:BZ261),-ROUNDDOWN($K262*BZ$5/100,0)),0)</f>
        <v>0</v>
      </c>
      <c r="CA262" s="38">
        <f>IF(AND(W262="○",$A262&gt;=CA$8,$A262&lt;=CA$9),IF(SUM(CA$10:CA261)-ROUNDDOWN($K262*CA$5/100,0)&lt;-CA$6,-CA$6-SUM(CA$10:CA261),-ROUNDDOWN($K262*CA$5/100,0)),0)</f>
        <v>0</v>
      </c>
      <c r="CB262" s="38"/>
      <c r="CC262" s="38"/>
      <c r="CD262" s="38"/>
      <c r="CE262" s="38"/>
      <c r="CF262" s="38"/>
      <c r="CG262" s="65">
        <f t="shared" si="184"/>
        <v>0</v>
      </c>
      <c r="CH262" s="71">
        <f t="shared" si="185"/>
        <v>0</v>
      </c>
      <c r="CI262" s="1">
        <f t="shared" si="206"/>
        <v>0</v>
      </c>
      <c r="CJ262" s="1"/>
      <c r="CK262" s="72"/>
      <c r="CL262" s="72"/>
      <c r="CM262" s="2"/>
      <c r="CN262" s="2"/>
      <c r="CO262" s="73">
        <f t="shared" si="207"/>
        <v>0</v>
      </c>
      <c r="CP262" s="5">
        <f t="shared" si="208"/>
        <v>0</v>
      </c>
      <c r="CQ262" s="1"/>
      <c r="CR262" s="1">
        <f t="shared" si="209"/>
        <v>0</v>
      </c>
      <c r="CS262" s="1"/>
      <c r="CT262" s="1" t="e">
        <f>INDEX([2]マスタ!$A:$A,MATCH(D262,[2]マスタ!$C:$C,0))</f>
        <v>#N/A</v>
      </c>
      <c r="CU262" s="1" t="str">
        <f t="shared" ca="1" si="210"/>
        <v>20260620_0-0</v>
      </c>
    </row>
    <row r="263" spans="1:99" x14ac:dyDescent="0.4">
      <c r="A263" s="61"/>
      <c r="B263" s="62"/>
      <c r="C263" s="62"/>
      <c r="D263" s="62"/>
      <c r="E263" s="74"/>
      <c r="F263" s="62"/>
      <c r="G263" s="62">
        <v>1</v>
      </c>
      <c r="H263" s="64">
        <f t="shared" si="197"/>
        <v>0</v>
      </c>
      <c r="I263" s="64"/>
      <c r="J263" s="64"/>
      <c r="K263" s="65">
        <f t="shared" si="198"/>
        <v>0</v>
      </c>
      <c r="L263" s="65">
        <f t="shared" si="199"/>
        <v>0</v>
      </c>
      <c r="M263" s="65">
        <f t="shared" si="200"/>
        <v>0</v>
      </c>
      <c r="N263" s="65">
        <f t="shared" si="201"/>
        <v>0</v>
      </c>
      <c r="O263" s="66" t="str">
        <f t="shared" si="202"/>
        <v>✕</v>
      </c>
      <c r="P263" s="67" t="str">
        <f t="shared" si="203"/>
        <v>○</v>
      </c>
      <c r="Q263" s="67" t="str">
        <f t="shared" si="204"/>
        <v>✕</v>
      </c>
      <c r="R263" s="67" t="str">
        <f t="shared" si="205"/>
        <v>✕</v>
      </c>
      <c r="S263" s="68">
        <v>0</v>
      </c>
      <c r="T263" s="69" t="s">
        <v>85</v>
      </c>
      <c r="U263" s="69" t="s">
        <v>85</v>
      </c>
      <c r="V263" s="69" t="s">
        <v>85</v>
      </c>
      <c r="W263" s="69" t="s">
        <v>85</v>
      </c>
      <c r="X263" s="69" t="s">
        <v>84</v>
      </c>
      <c r="Y263" s="69" t="s">
        <v>85</v>
      </c>
      <c r="Z263" s="69" t="s">
        <v>85</v>
      </c>
      <c r="AA263" s="69" t="s">
        <v>85</v>
      </c>
      <c r="AB263" s="69" t="s">
        <v>85</v>
      </c>
      <c r="AC263" s="69" t="s">
        <v>85</v>
      </c>
      <c r="AD263" s="38" t="str">
        <f>+IF(ISERROR(VLOOKUP($B263,AD$10:AD262,1,0)),IF(AND($N263&gt;=1000,$A263&gt;=AO$8,$A263&lt;=AO$9),$B263,""),"")</f>
        <v/>
      </c>
      <c r="AE263" s="38" t="str">
        <f>+IF(ISERROR(VLOOKUP($B263,AE$10:AE262,1,0)),IF(AND($N263&gt;=1000,$A263&gt;=AP$8,$A263&lt;=AP$9),$B263,""),"")</f>
        <v/>
      </c>
      <c r="AF263" s="38" t="str">
        <f>+IF(ISERROR(VLOOKUP($B263,AF$10:AF262,1,0)),IF(AND($N263&gt;=1000,$A263&gt;=AQ$8,$A263&lt;=AQ$9),$B263,""),"")</f>
        <v/>
      </c>
      <c r="AG263" s="38" t="str">
        <f>+IF(ISERROR(VLOOKUP($B263,AG$10:AG262,1,0)),IF(AND($N263&gt;=1000,$A263&gt;=AR$8,$A263&lt;=AR$9),$B263,""),"")</f>
        <v/>
      </c>
      <c r="AH263" s="38"/>
      <c r="AI263" s="70">
        <v>0</v>
      </c>
      <c r="AJ263" s="38">
        <f>IF(AND(AJ$7="○",$A263&gt;=AJ$8,$A263&lt;=AJ$9),IF(SUM(AJ$10:AJ262)-ROUNDDOWN($K263*AJ$5/100,0)&lt;-AJ$6,-AJ$6-SUM(AJ$10:AJ262),-ROUNDDOWN($K263*AJ$5/100,0)),0)</f>
        <v>0</v>
      </c>
      <c r="AK263" s="38">
        <f>IF(AND(AK$7="○",$A263&gt;=AK$8,$A263&lt;=AK$9),IF(SUM(AK$10:AK262)-ROUNDDOWN($L263*AK$5/100,0)&lt;-AK$6,-AK$6-SUM(AK$10:AK262),-ROUNDDOWN($L263*AK$5/100,0)),0)</f>
        <v>0</v>
      </c>
      <c r="AL263" s="38">
        <f>IF(AND(AL$7="○",$A263&gt;=AL$8,$A263&lt;=AL$9),IF(SUM(AL$10:AL262)-ROUNDDOWN($N263*AL$5/100,0)&lt;-AL$6,-AL$6-SUM(AL$10:AL262),-ROUNDDOWN($N263*AL$5/100,0)),0)</f>
        <v>0</v>
      </c>
      <c r="AM263" s="38">
        <f>IF(AND(AM$7="○",$A263&gt;=AM$8,$A263&lt;=AM$9),IF(SUM(AM$10:AM262)-ROUNDDOWN($L263*AM$5/100,0)&lt;-AM$6,-AM$6-SUM(AM$10:AM262),-ROUNDDOWN($L263*AM$5/100,0)),0)</f>
        <v>0</v>
      </c>
      <c r="AN263" s="38">
        <f>IF(AND(AN$7="○",$A263&gt;=AN$8,$A263&lt;=AN$9),IF(SUM(AN$10:AN262)-ROUNDDOWN($M263*AN$5/100,0)&lt;-AN$6,-AN$6-SUM(AN$10:AN262),-ROUNDDOWN($M263*AN$5/100,0)),0)</f>
        <v>0</v>
      </c>
      <c r="AO263" s="38">
        <f>IF(AND($A263&gt;=AO$8,$A263&lt;=AO$9),IF(SUM(AO$10:AO262)-ROUNDDOWN($K263*AO$5/100,0)&lt;-AO$6,-AO$6-SUM(AO$10:AO262),-ROUNDDOWN($K263*AO$5/100,0)),0)</f>
        <v>0</v>
      </c>
      <c r="AP263" s="38">
        <f>IF(AND($A263&gt;=AP$8,$A263&lt;=AP$9),IF(SUM(AP$10:AP262)-ROUNDDOWN($K263*AP$5/100,0)&lt;-AP$6,-AP$6-SUM(AP$10:AP262),-ROUNDDOWN($K263*AP$5/100,0)),0)</f>
        <v>0</v>
      </c>
      <c r="AQ263" s="38">
        <f>IF(AND($A263&gt;=AQ$8,$A263&lt;=AQ$9),IF(SUM(AQ$10:AQ262)-ROUNDDOWN($K263*AQ$5/100,0)&lt;-AQ$6,-AQ$6-SUM(AQ$10:AQ262),-ROUNDDOWN($K263*AQ$5/100,0)),0)</f>
        <v>0</v>
      </c>
      <c r="AR263" s="38">
        <f>IF(AND($A263&gt;=AR$8,$A263&lt;=AR$9),IF(SUM(AR$10:AR262)-ROUNDDOWN($K263*AR$5/100,0)&lt;-AR$6,-AR$6-SUM(AR$10:AR262),-ROUNDDOWN($K263*AR$5/100,0)),0)</f>
        <v>0</v>
      </c>
      <c r="AS263" s="38">
        <f>IF(SUMIFS(AS$10:AS262,$A$10:$A262,$A263)-ROUNDDOWN($K263*$S263/100,0)&lt;-$S263*1000,-$S263*1000-SUMIFS(AS$10:AS262,$A$10:$A262,$A263),-ROUNDDOWN($K263*$S263/100,0))</f>
        <v>0</v>
      </c>
      <c r="AT263" s="38">
        <f>IF(AND(X263="○",$A263&gt;=AT$8,$A263&lt;=AT$9,K263&gt;=3980),IF(SUM(AT$10:AT262)-ROUNDDOWN($K263*AT$5/100,0)&lt;-AT$6,-AT$6-SUM(AT$10:AT262),-ROUNDDOWN($K263*AT$5/100,0)),0)</f>
        <v>0</v>
      </c>
      <c r="AU263" s="38">
        <f>IF(O263="○",IF(SUM(AU$10:AU262)-ROUNDDOWN($K263*AU$5/100,0)&lt;-AU$6,-AU$6-SUM(AU$10:AU262),-ROUNDDOWN($K263*AU$5/100,0)),0)</f>
        <v>0</v>
      </c>
      <c r="AV263" s="38">
        <f>IF(P263="○",IF(SUM(AV$10:AV262)-ROUNDDOWN($K263*AV$5/100,0)&lt;-AV$6,-AV$6-SUM(AV$10:AV262),-ROUNDDOWN($K263*AV$5/100,0)),0)</f>
        <v>0</v>
      </c>
      <c r="AW263" s="38">
        <f>IF(Q263="○",IF(SUM(AW$10:AW262)-ROUNDDOWN($K263*AW$5/100,0)&lt;-AW$6,-AW$6-SUM(AW$10:AW262),-ROUNDDOWN($K263*AW$5/100,0)),0)</f>
        <v>0</v>
      </c>
      <c r="AX263" s="38">
        <f>IF(R263="○",IF(SUM(AX$10:AX262)-ROUNDDOWN($K263*AX$5/100,0)&lt;-AX$6,-AX$6-SUM(AX$10:AX262),-ROUNDDOWN($K263*AX$5/100,0)),0)</f>
        <v>0</v>
      </c>
      <c r="AY263" s="70">
        <v>0</v>
      </c>
      <c r="AZ263" s="65">
        <f t="shared" si="178"/>
        <v>0</v>
      </c>
      <c r="BA263" s="65">
        <f t="shared" si="179"/>
        <v>0</v>
      </c>
      <c r="BB263" s="70"/>
      <c r="BC263" s="65">
        <f t="shared" si="180"/>
        <v>0</v>
      </c>
      <c r="BD263" s="70">
        <v>0</v>
      </c>
      <c r="BE263" s="65">
        <f t="shared" si="181"/>
        <v>0</v>
      </c>
      <c r="BF263" s="70">
        <v>0</v>
      </c>
      <c r="BG263" s="65">
        <f t="shared" si="182"/>
        <v>0</v>
      </c>
      <c r="BH263" s="70">
        <v>0</v>
      </c>
      <c r="BI263" s="65">
        <f t="shared" si="183"/>
        <v>0</v>
      </c>
      <c r="BJ263" s="38">
        <f>IF(AND(BJ$7="○",$A263&gt;=BJ$8,$A263&lt;=BJ$9),IF(SUM(BJ$10:BJ262)-ROUNDDOWN($M263*BJ$5/100,0)&lt;-BJ$6,-BJ$6-SUM(BJ$10:BJ262),-ROUNDDOWN($M263*BJ$5/100,0)),0)</f>
        <v>0</v>
      </c>
      <c r="BK263" s="38">
        <f>IF(AND(BK$7="○",$A263&gt;=BK$8,$A263&lt;=BK$9),IF(SUM(BK$10:BK262)-ROUNDDOWN($L263*BK$5/100,0)&lt;-BK$6,-BK$6-SUM(BK$10:BK262),-ROUNDDOWN($L263*BK$5/100,0)),0)</f>
        <v>0</v>
      </c>
      <c r="BL263" s="38">
        <f>IF(AND(BL$7="○",$A263&gt;=BL$8,$A263&lt;=BL$9),IF(SUM(BL$10:BL262)-ROUNDDOWN($L263*BL$5/100,0)&lt;-BL$6,-BL$6-SUM(BL$10:BL262),-ROUNDDOWN($L263*BL$5/100,0)),0)</f>
        <v>0</v>
      </c>
      <c r="BM263" s="38">
        <f>IF(AND(BM$7="○",$A263&gt;=BM$8,$A263&lt;=BM$9),IF(SUM(BM$10:BM262)-ROUNDDOWN($M263*BM$5/100,0)&lt;-BM$6,-BM$6-SUM(BM$10:BM262),-ROUNDDOWN($M263*BM$5/100,0)),0)</f>
        <v>0</v>
      </c>
      <c r="BN263" s="38">
        <f>IF(AND(BN$7="○",$A263&gt;=BN$8,$A263&lt;=BN$9),IF(SUM(BN$10:BN262)-ROUNDDOWN($M263*BN$5/100,0)&lt;-BN$6,-BN$6-SUM(BN$10:BN262),-ROUNDDOWN($M263*BN$5/100,0)),0)</f>
        <v>0</v>
      </c>
      <c r="BO263" s="38">
        <f>IF(AND(BO$7="○",$A263&gt;=BO$8,$A263&lt;=BO$9),IF(SUM(BO$10:BO262)-ROUNDDOWN($M263*BO$5/100,0)&lt;-BO$6,-BO$6-SUM(BO$10:BO262),-ROUNDDOWN($M263*BO$5/100,0)),0)</f>
        <v>0</v>
      </c>
      <c r="BP263" s="38">
        <f>IF(AND(BP$7="○",$A263&gt;=BP$8,$A263&lt;=BP$9),IF(SUM(BP$10:BP262)-ROUNDDOWN($M263*BP$5/100,0)&lt;-BP$6,-BP$6-SUM(BP$10:BP262),-ROUNDDOWN($M263*BP$5/100,0)),0)</f>
        <v>0</v>
      </c>
      <c r="BQ263" s="38">
        <f>IF(AND(BQ$7="○",$A263&gt;=BQ$8,$A263&lt;=BQ$9),IF(SUM(BQ$10:BQ262)-ROUNDDOWN($L263*BQ$5/100,0)&lt;-BQ$6,-BQ$6-SUM(BQ$10:BQ262),-ROUNDDOWN($L263*BQ$5/100,0)),0)</f>
        <v>0</v>
      </c>
      <c r="BR263" s="38">
        <f>IF(AND(BR$7="○",$A263&gt;=BR$8,$A263&lt;=BR$9),IF(SUM(BR$10:BR262)-ROUNDDOWN($M263*BR$5/100,0)&lt;-BR$6,-BR$6-SUM(BR$10:BR262),-ROUNDDOWN($M263*BR$5/100,0)),0)</f>
        <v>0</v>
      </c>
      <c r="BS263" s="38">
        <f>IF(AND(BS$7="○",$A263&gt;=BS$8,$A263&lt;=BS$9),IF(SUM(BS$10:BS262)-ROUNDDOWN($M263*BS$5/100,0)&lt;-BS$6,-BS$6-SUM(BS$10:BS262),-ROUNDDOWN($M263*BS$5/100,0)),0)</f>
        <v>0</v>
      </c>
      <c r="BT263" s="38">
        <f>IF(AND(BT$7="○",$A263&gt;=BT$8,$A263&lt;=BT$9),IF(SUM(BT$10:BT262)-ROUNDDOWN($M263*BT$5/100,0)&lt;-BT$6,-BT$6-SUM(BT$10:BT262),-ROUNDDOWN($M263*BT$5/100,0)),0)</f>
        <v>0</v>
      </c>
      <c r="BU263" s="38">
        <f>IF(AND(BU$7="○",$A263&gt;=BU$8,$A263&lt;=BU$9),IF(SUM(BU$10:BU262)-ROUNDDOWN($M263*BU$5/100,0)&lt;-BU$6,-BU$6-SUM(BU$10:BU262),-ROUNDDOWN($M263*BU$5/100,0)),0)</f>
        <v>0</v>
      </c>
      <c r="BV263" s="38">
        <f>IF(AND(BV$7="○",$A263&gt;=BV$8,$A263&lt;=BV$9),IF(SUM(BV$10:BV262)-ROUNDDOWN($M263*BV$5/100,0)&lt;-BV$6,-BV$6-SUM(BV$10:BV262),-ROUNDDOWN($M263*BV$5/100,0)),0)</f>
        <v>0</v>
      </c>
      <c r="BW263" s="38">
        <f>IF(AND(BW$7="○",$A263&gt;=BW$8,$A263&lt;=BW$9),IF(SUM(BW$10:BW262)-ROUNDDOWN($M263*BW$5/100,0)&lt;-BW$6,-BW$6-SUM(BW$10:BW262),-ROUNDDOWN($M263*BW$5/100,0)),0)</f>
        <v>0</v>
      </c>
      <c r="BX263" s="38">
        <f>IF(AND(T263="○",$A263&gt;=BX$8,$A263&lt;=BX$9),IF(SUM(BX$10:BX262)-ROUNDDOWN($K263*BX$5/100,0)&lt;-BX$6,-BX$6-SUM(BX$10:BX262),-ROUNDDOWN($K263*BX$5/100,0)),0)</f>
        <v>0</v>
      </c>
      <c r="BY263" s="38">
        <f>IF(AND(U263="○",$A263&gt;=BY$8,$A263&lt;=BY$9),IF(SUM(BY$10:BY262)-ROUNDDOWN($K263*BY$5/100,0)&lt;-BY$6,-BY$6-SUM(BY$10:BY262),-ROUNDDOWN($K263*BY$5/100,0)),0)</f>
        <v>0</v>
      </c>
      <c r="BZ263" s="38">
        <f>IF(AND(V263="○",$A263&gt;=BZ$8,$A263&lt;=BZ$9),IF(SUM(BZ$10:BZ262)-ROUNDDOWN($K263*BZ$5/100,0)&lt;-BZ$6,-BZ$6-SUM(BZ$10:BZ262),-ROUNDDOWN($K263*BZ$5/100,0)),0)</f>
        <v>0</v>
      </c>
      <c r="CA263" s="38">
        <f>IF(AND(W263="○",$A263&gt;=CA$8,$A263&lt;=CA$9),IF(SUM(CA$10:CA262)-ROUNDDOWN($K263*CA$5/100,0)&lt;-CA$6,-CA$6-SUM(CA$10:CA262),-ROUNDDOWN($K263*CA$5/100,0)),0)</f>
        <v>0</v>
      </c>
      <c r="CB263" s="38"/>
      <c r="CC263" s="38"/>
      <c r="CD263" s="38"/>
      <c r="CE263" s="38"/>
      <c r="CF263" s="38"/>
      <c r="CG263" s="65">
        <f t="shared" si="184"/>
        <v>0</v>
      </c>
      <c r="CH263" s="71">
        <f t="shared" si="185"/>
        <v>0</v>
      </c>
      <c r="CI263" s="1">
        <f t="shared" si="206"/>
        <v>0</v>
      </c>
      <c r="CJ263" s="1"/>
      <c r="CK263" s="72"/>
      <c r="CL263" s="72"/>
      <c r="CM263" s="2"/>
      <c r="CN263" s="2"/>
      <c r="CO263" s="73">
        <f t="shared" si="207"/>
        <v>0</v>
      </c>
      <c r="CP263" s="5">
        <f t="shared" si="208"/>
        <v>0</v>
      </c>
      <c r="CQ263" s="1"/>
      <c r="CR263" s="1">
        <f t="shared" si="209"/>
        <v>0</v>
      </c>
      <c r="CS263" s="1"/>
      <c r="CT263" s="1" t="e">
        <f>INDEX([2]マスタ!$A:$A,MATCH(D263,[2]マスタ!$C:$C,0))</f>
        <v>#N/A</v>
      </c>
      <c r="CU263" s="1" t="str">
        <f t="shared" ca="1" si="210"/>
        <v>20260620_0-0</v>
      </c>
    </row>
    <row r="264" spans="1:99" x14ac:dyDescent="0.4">
      <c r="A264" s="61"/>
      <c r="B264" s="62"/>
      <c r="C264" s="62"/>
      <c r="D264" s="62"/>
      <c r="E264" s="74"/>
      <c r="F264" s="62"/>
      <c r="G264" s="62">
        <v>1</v>
      </c>
      <c r="H264" s="64">
        <f t="shared" si="197"/>
        <v>0</v>
      </c>
      <c r="I264" s="64"/>
      <c r="J264" s="64"/>
      <c r="K264" s="65">
        <f t="shared" si="198"/>
        <v>0</v>
      </c>
      <c r="L264" s="65">
        <f t="shared" si="199"/>
        <v>0</v>
      </c>
      <c r="M264" s="65">
        <f t="shared" si="200"/>
        <v>0</v>
      </c>
      <c r="N264" s="65">
        <f t="shared" si="201"/>
        <v>0</v>
      </c>
      <c r="O264" s="66" t="str">
        <f t="shared" si="202"/>
        <v>✕</v>
      </c>
      <c r="P264" s="67" t="str">
        <f t="shared" si="203"/>
        <v>○</v>
      </c>
      <c r="Q264" s="67" t="str">
        <f t="shared" si="204"/>
        <v>✕</v>
      </c>
      <c r="R264" s="67" t="str">
        <f t="shared" si="205"/>
        <v>✕</v>
      </c>
      <c r="S264" s="68">
        <v>0</v>
      </c>
      <c r="T264" s="69" t="s">
        <v>85</v>
      </c>
      <c r="U264" s="69" t="s">
        <v>85</v>
      </c>
      <c r="V264" s="69" t="s">
        <v>85</v>
      </c>
      <c r="W264" s="69" t="s">
        <v>85</v>
      </c>
      <c r="X264" s="69" t="s">
        <v>84</v>
      </c>
      <c r="Y264" s="69" t="s">
        <v>85</v>
      </c>
      <c r="Z264" s="69" t="s">
        <v>85</v>
      </c>
      <c r="AA264" s="69" t="s">
        <v>85</v>
      </c>
      <c r="AB264" s="69" t="s">
        <v>85</v>
      </c>
      <c r="AC264" s="69" t="s">
        <v>85</v>
      </c>
      <c r="AD264" s="38" t="str">
        <f>+IF(ISERROR(VLOOKUP($B264,AD$10:AD263,1,0)),IF(AND($N264&gt;=1000,$A264&gt;=AO$8,$A264&lt;=AO$9),$B264,""),"")</f>
        <v/>
      </c>
      <c r="AE264" s="38" t="str">
        <f>+IF(ISERROR(VLOOKUP($B264,AE$10:AE263,1,0)),IF(AND($N264&gt;=1000,$A264&gt;=AP$8,$A264&lt;=AP$9),$B264,""),"")</f>
        <v/>
      </c>
      <c r="AF264" s="38" t="str">
        <f>+IF(ISERROR(VLOOKUP($B264,AF$10:AF263,1,0)),IF(AND($N264&gt;=1000,$A264&gt;=AQ$8,$A264&lt;=AQ$9),$B264,""),"")</f>
        <v/>
      </c>
      <c r="AG264" s="38" t="str">
        <f>+IF(ISERROR(VLOOKUP($B264,AG$10:AG263,1,0)),IF(AND($N264&gt;=1000,$A264&gt;=AR$8,$A264&lt;=AR$9),$B264,""),"")</f>
        <v/>
      </c>
      <c r="AH264" s="38"/>
      <c r="AI264" s="70">
        <v>0</v>
      </c>
      <c r="AJ264" s="38">
        <f>IF(AND(AJ$7="○",$A264&gt;=AJ$8,$A264&lt;=AJ$9),IF(SUM(AJ$10:AJ263)-ROUNDDOWN($K264*AJ$5/100,0)&lt;-AJ$6,-AJ$6-SUM(AJ$10:AJ263),-ROUNDDOWN($K264*AJ$5/100,0)),0)</f>
        <v>0</v>
      </c>
      <c r="AK264" s="38">
        <f>IF(AND(AK$7="○",$A264&gt;=AK$8,$A264&lt;=AK$9),IF(SUM(AK$10:AK263)-ROUNDDOWN($L264*AK$5/100,0)&lt;-AK$6,-AK$6-SUM(AK$10:AK263),-ROUNDDOWN($L264*AK$5/100,0)),0)</f>
        <v>0</v>
      </c>
      <c r="AL264" s="38">
        <f>IF(AND(AL$7="○",$A264&gt;=AL$8,$A264&lt;=AL$9),IF(SUM(AL$10:AL263)-ROUNDDOWN($N264*AL$5/100,0)&lt;-AL$6,-AL$6-SUM(AL$10:AL263),-ROUNDDOWN($N264*AL$5/100,0)),0)</f>
        <v>0</v>
      </c>
      <c r="AM264" s="38">
        <f>IF(AND(AM$7="○",$A264&gt;=AM$8,$A264&lt;=AM$9),IF(SUM(AM$10:AM263)-ROUNDDOWN($L264*AM$5/100,0)&lt;-AM$6,-AM$6-SUM(AM$10:AM263),-ROUNDDOWN($L264*AM$5/100,0)),0)</f>
        <v>0</v>
      </c>
      <c r="AN264" s="38">
        <f>IF(AND(AN$7="○",$A264&gt;=AN$8,$A264&lt;=AN$9),IF(SUM(AN$10:AN263)-ROUNDDOWN($M264*AN$5/100,0)&lt;-AN$6,-AN$6-SUM(AN$10:AN263),-ROUNDDOWN($M264*AN$5/100,0)),0)</f>
        <v>0</v>
      </c>
      <c r="AO264" s="38">
        <f>IF(AND($A264&gt;=AO$8,$A264&lt;=AO$9),IF(SUM(AO$10:AO263)-ROUNDDOWN($K264*AO$5/100,0)&lt;-AO$6,-AO$6-SUM(AO$10:AO263),-ROUNDDOWN($K264*AO$5/100,0)),0)</f>
        <v>0</v>
      </c>
      <c r="AP264" s="38">
        <f>IF(AND($A264&gt;=AP$8,$A264&lt;=AP$9),IF(SUM(AP$10:AP263)-ROUNDDOWN($K264*AP$5/100,0)&lt;-AP$6,-AP$6-SUM(AP$10:AP263),-ROUNDDOWN($K264*AP$5/100,0)),0)</f>
        <v>0</v>
      </c>
      <c r="AQ264" s="38">
        <f>IF(AND($A264&gt;=AQ$8,$A264&lt;=AQ$9),IF(SUM(AQ$10:AQ263)-ROUNDDOWN($K264*AQ$5/100,0)&lt;-AQ$6,-AQ$6-SUM(AQ$10:AQ263),-ROUNDDOWN($K264*AQ$5/100,0)),0)</f>
        <v>0</v>
      </c>
      <c r="AR264" s="38">
        <f>IF(AND($A264&gt;=AR$8,$A264&lt;=AR$9),IF(SUM(AR$10:AR263)-ROUNDDOWN($K264*AR$5/100,0)&lt;-AR$6,-AR$6-SUM(AR$10:AR263),-ROUNDDOWN($K264*AR$5/100,0)),0)</f>
        <v>0</v>
      </c>
      <c r="AS264" s="38">
        <f>IF(SUMIFS(AS$10:AS263,$A$10:$A263,$A264)-ROUNDDOWN($K264*$S264/100,0)&lt;-$S264*1000,-$S264*1000-SUMIFS(AS$10:AS263,$A$10:$A263,$A264),-ROUNDDOWN($K264*$S264/100,0))</f>
        <v>0</v>
      </c>
      <c r="AT264" s="38">
        <f>IF(AND(X264="○",$A264&gt;=AT$8,$A264&lt;=AT$9,K264&gt;=3980),IF(SUM(AT$10:AT263)-ROUNDDOWN($K264*AT$5/100,0)&lt;-AT$6,-AT$6-SUM(AT$10:AT263),-ROUNDDOWN($K264*AT$5/100,0)),0)</f>
        <v>0</v>
      </c>
      <c r="AU264" s="38">
        <f>IF(O264="○",IF(SUM(AU$10:AU263)-ROUNDDOWN($K264*AU$5/100,0)&lt;-AU$6,-AU$6-SUM(AU$10:AU263),-ROUNDDOWN($K264*AU$5/100,0)),0)</f>
        <v>0</v>
      </c>
      <c r="AV264" s="38">
        <f>IF(P264="○",IF(SUM(AV$10:AV263)-ROUNDDOWN($K264*AV$5/100,0)&lt;-AV$6,-AV$6-SUM(AV$10:AV263),-ROUNDDOWN($K264*AV$5/100,0)),0)</f>
        <v>0</v>
      </c>
      <c r="AW264" s="38">
        <f>IF(Q264="○",IF(SUM(AW$10:AW263)-ROUNDDOWN($K264*AW$5/100,0)&lt;-AW$6,-AW$6-SUM(AW$10:AW263),-ROUNDDOWN($K264*AW$5/100,0)),0)</f>
        <v>0</v>
      </c>
      <c r="AX264" s="38">
        <f>IF(R264="○",IF(SUM(AX$10:AX263)-ROUNDDOWN($K264*AX$5/100,0)&lt;-AX$6,-AX$6-SUM(AX$10:AX263),-ROUNDDOWN($K264*AX$5/100,0)),0)</f>
        <v>0</v>
      </c>
      <c r="AY264" s="70">
        <v>0</v>
      </c>
      <c r="AZ264" s="65">
        <f t="shared" si="178"/>
        <v>0</v>
      </c>
      <c r="BA264" s="65">
        <f t="shared" si="179"/>
        <v>0</v>
      </c>
      <c r="BB264" s="70"/>
      <c r="BC264" s="65">
        <f t="shared" si="180"/>
        <v>0</v>
      </c>
      <c r="BD264" s="70">
        <v>0</v>
      </c>
      <c r="BE264" s="65">
        <f t="shared" si="181"/>
        <v>0</v>
      </c>
      <c r="BF264" s="70">
        <v>0</v>
      </c>
      <c r="BG264" s="65">
        <f t="shared" si="182"/>
        <v>0</v>
      </c>
      <c r="BH264" s="70">
        <v>0</v>
      </c>
      <c r="BI264" s="65">
        <f t="shared" si="183"/>
        <v>0</v>
      </c>
      <c r="BJ264" s="38">
        <f>IF(AND(BJ$7="○",$A264&gt;=BJ$8,$A264&lt;=BJ$9),IF(SUM(BJ$10:BJ263)-ROUNDDOWN($M264*BJ$5/100,0)&lt;-BJ$6,-BJ$6-SUM(BJ$10:BJ263),-ROUNDDOWN($M264*BJ$5/100,0)),0)</f>
        <v>0</v>
      </c>
      <c r="BK264" s="38">
        <f>IF(AND(BK$7="○",$A264&gt;=BK$8,$A264&lt;=BK$9),IF(SUM(BK$10:BK263)-ROUNDDOWN($L264*BK$5/100,0)&lt;-BK$6,-BK$6-SUM(BK$10:BK263),-ROUNDDOWN($L264*BK$5/100,0)),0)</f>
        <v>0</v>
      </c>
      <c r="BL264" s="38">
        <f>IF(AND(BL$7="○",$A264&gt;=BL$8,$A264&lt;=BL$9),IF(SUM(BL$10:BL263)-ROUNDDOWN($L264*BL$5/100,0)&lt;-BL$6,-BL$6-SUM(BL$10:BL263),-ROUNDDOWN($L264*BL$5/100,0)),0)</f>
        <v>0</v>
      </c>
      <c r="BM264" s="38">
        <f>IF(AND(BM$7="○",$A264&gt;=BM$8,$A264&lt;=BM$9),IF(SUM(BM$10:BM263)-ROUNDDOWN($M264*BM$5/100,0)&lt;-BM$6,-BM$6-SUM(BM$10:BM263),-ROUNDDOWN($M264*BM$5/100,0)),0)</f>
        <v>0</v>
      </c>
      <c r="BN264" s="38">
        <f>IF(AND(BN$7="○",$A264&gt;=BN$8,$A264&lt;=BN$9),IF(SUM(BN$10:BN263)-ROUNDDOWN($M264*BN$5/100,0)&lt;-BN$6,-BN$6-SUM(BN$10:BN263),-ROUNDDOWN($M264*BN$5/100,0)),0)</f>
        <v>0</v>
      </c>
      <c r="BO264" s="38">
        <f>IF(AND(BO$7="○",$A264&gt;=BO$8,$A264&lt;=BO$9),IF(SUM(BO$10:BO263)-ROUNDDOWN($M264*BO$5/100,0)&lt;-BO$6,-BO$6-SUM(BO$10:BO263),-ROUNDDOWN($M264*BO$5/100,0)),0)</f>
        <v>0</v>
      </c>
      <c r="BP264" s="38">
        <f>IF(AND(BP$7="○",$A264&gt;=BP$8,$A264&lt;=BP$9),IF(SUM(BP$10:BP263)-ROUNDDOWN($M264*BP$5/100,0)&lt;-BP$6,-BP$6-SUM(BP$10:BP263),-ROUNDDOWN($M264*BP$5/100,0)),0)</f>
        <v>0</v>
      </c>
      <c r="BQ264" s="38">
        <f>IF(AND(BQ$7="○",$A264&gt;=BQ$8,$A264&lt;=BQ$9),IF(SUM(BQ$10:BQ263)-ROUNDDOWN($L264*BQ$5/100,0)&lt;-BQ$6,-BQ$6-SUM(BQ$10:BQ263),-ROUNDDOWN($L264*BQ$5/100,0)),0)</f>
        <v>0</v>
      </c>
      <c r="BR264" s="38">
        <f>IF(AND(BR$7="○",$A264&gt;=BR$8,$A264&lt;=BR$9),IF(SUM(BR$10:BR263)-ROUNDDOWN($M264*BR$5/100,0)&lt;-BR$6,-BR$6-SUM(BR$10:BR263),-ROUNDDOWN($M264*BR$5/100,0)),0)</f>
        <v>0</v>
      </c>
      <c r="BS264" s="38">
        <f>IF(AND(BS$7="○",$A264&gt;=BS$8,$A264&lt;=BS$9),IF(SUM(BS$10:BS263)-ROUNDDOWN($M264*BS$5/100,0)&lt;-BS$6,-BS$6-SUM(BS$10:BS263),-ROUNDDOWN($M264*BS$5/100,0)),0)</f>
        <v>0</v>
      </c>
      <c r="BT264" s="38">
        <f>IF(AND(BT$7="○",$A264&gt;=BT$8,$A264&lt;=BT$9),IF(SUM(BT$10:BT263)-ROUNDDOWN($M264*BT$5/100,0)&lt;-BT$6,-BT$6-SUM(BT$10:BT263),-ROUNDDOWN($M264*BT$5/100,0)),0)</f>
        <v>0</v>
      </c>
      <c r="BU264" s="38">
        <f>IF(AND(BU$7="○",$A264&gt;=BU$8,$A264&lt;=BU$9),IF(SUM(BU$10:BU263)-ROUNDDOWN($M264*BU$5/100,0)&lt;-BU$6,-BU$6-SUM(BU$10:BU263),-ROUNDDOWN($M264*BU$5/100,0)),0)</f>
        <v>0</v>
      </c>
      <c r="BV264" s="38">
        <f>IF(AND(BV$7="○",$A264&gt;=BV$8,$A264&lt;=BV$9),IF(SUM(BV$10:BV263)-ROUNDDOWN($M264*BV$5/100,0)&lt;-BV$6,-BV$6-SUM(BV$10:BV263),-ROUNDDOWN($M264*BV$5/100,0)),0)</f>
        <v>0</v>
      </c>
      <c r="BW264" s="38">
        <f>IF(AND(BW$7="○",$A264&gt;=BW$8,$A264&lt;=BW$9),IF(SUM(BW$10:BW263)-ROUNDDOWN($M264*BW$5/100,0)&lt;-BW$6,-BW$6-SUM(BW$10:BW263),-ROUNDDOWN($M264*BW$5/100,0)),0)</f>
        <v>0</v>
      </c>
      <c r="BX264" s="38">
        <f>IF(AND(T264="○",$A264&gt;=BX$8,$A264&lt;=BX$9),IF(SUM(BX$10:BX263)-ROUNDDOWN($K264*BX$5/100,0)&lt;-BX$6,-BX$6-SUM(BX$10:BX263),-ROUNDDOWN($K264*BX$5/100,0)),0)</f>
        <v>0</v>
      </c>
      <c r="BY264" s="38">
        <f>IF(AND(U264="○",$A264&gt;=BY$8,$A264&lt;=BY$9),IF(SUM(BY$10:BY263)-ROUNDDOWN($K264*BY$5/100,0)&lt;-BY$6,-BY$6-SUM(BY$10:BY263),-ROUNDDOWN($K264*BY$5/100,0)),0)</f>
        <v>0</v>
      </c>
      <c r="BZ264" s="38">
        <f>IF(AND(V264="○",$A264&gt;=BZ$8,$A264&lt;=BZ$9),IF(SUM(BZ$10:BZ263)-ROUNDDOWN($K264*BZ$5/100,0)&lt;-BZ$6,-BZ$6-SUM(BZ$10:BZ263),-ROUNDDOWN($K264*BZ$5/100,0)),0)</f>
        <v>0</v>
      </c>
      <c r="CA264" s="38">
        <f>IF(AND(W264="○",$A264&gt;=CA$8,$A264&lt;=CA$9),IF(SUM(CA$10:CA263)-ROUNDDOWN($K264*CA$5/100,0)&lt;-CA$6,-CA$6-SUM(CA$10:CA263),-ROUNDDOWN($K264*CA$5/100,0)),0)</f>
        <v>0</v>
      </c>
      <c r="CB264" s="38"/>
      <c r="CC264" s="38"/>
      <c r="CD264" s="38"/>
      <c r="CE264" s="38"/>
      <c r="CF264" s="38"/>
      <c r="CG264" s="65">
        <f t="shared" si="184"/>
        <v>0</v>
      </c>
      <c r="CH264" s="71">
        <f t="shared" si="185"/>
        <v>0</v>
      </c>
      <c r="CI264" s="1">
        <f t="shared" si="206"/>
        <v>0</v>
      </c>
      <c r="CJ264" s="1"/>
      <c r="CK264" s="72"/>
      <c r="CL264" s="72"/>
      <c r="CM264" s="2"/>
      <c r="CN264" s="2"/>
      <c r="CO264" s="73">
        <f t="shared" si="207"/>
        <v>0</v>
      </c>
      <c r="CP264" s="5">
        <f t="shared" si="208"/>
        <v>0</v>
      </c>
      <c r="CQ264" s="1"/>
      <c r="CR264" s="1">
        <f t="shared" si="209"/>
        <v>0</v>
      </c>
      <c r="CS264" s="1"/>
      <c r="CT264" s="1" t="e">
        <f>INDEX([2]マスタ!$A:$A,MATCH(D264,[2]マスタ!$C:$C,0))</f>
        <v>#N/A</v>
      </c>
      <c r="CU264" s="1" t="str">
        <f t="shared" ca="1" si="210"/>
        <v>20260620_0-0</v>
      </c>
    </row>
    <row r="265" spans="1:99" x14ac:dyDescent="0.4">
      <c r="A265" s="61"/>
      <c r="B265" s="62"/>
      <c r="C265" s="62"/>
      <c r="D265" s="62"/>
      <c r="E265" s="74"/>
      <c r="F265" s="62"/>
      <c r="G265" s="62">
        <v>1</v>
      </c>
      <c r="H265" s="64">
        <f t="shared" si="197"/>
        <v>0</v>
      </c>
      <c r="I265" s="64"/>
      <c r="J265" s="64"/>
      <c r="K265" s="65">
        <f t="shared" si="198"/>
        <v>0</v>
      </c>
      <c r="L265" s="65">
        <f t="shared" si="199"/>
        <v>0</v>
      </c>
      <c r="M265" s="65">
        <f t="shared" si="200"/>
        <v>0</v>
      </c>
      <c r="N265" s="65">
        <f t="shared" si="201"/>
        <v>0</v>
      </c>
      <c r="O265" s="66" t="str">
        <f t="shared" si="202"/>
        <v>✕</v>
      </c>
      <c r="P265" s="67" t="str">
        <f t="shared" si="203"/>
        <v>○</v>
      </c>
      <c r="Q265" s="67" t="str">
        <f t="shared" si="204"/>
        <v>✕</v>
      </c>
      <c r="R265" s="67" t="str">
        <f t="shared" si="205"/>
        <v>✕</v>
      </c>
      <c r="S265" s="68">
        <v>0</v>
      </c>
      <c r="T265" s="69" t="s">
        <v>85</v>
      </c>
      <c r="U265" s="69" t="s">
        <v>85</v>
      </c>
      <c r="V265" s="69" t="s">
        <v>85</v>
      </c>
      <c r="W265" s="69" t="s">
        <v>85</v>
      </c>
      <c r="X265" s="69" t="s">
        <v>84</v>
      </c>
      <c r="Y265" s="69" t="s">
        <v>85</v>
      </c>
      <c r="Z265" s="69" t="s">
        <v>85</v>
      </c>
      <c r="AA265" s="69" t="s">
        <v>85</v>
      </c>
      <c r="AB265" s="69" t="s">
        <v>85</v>
      </c>
      <c r="AC265" s="69" t="s">
        <v>85</v>
      </c>
      <c r="AD265" s="38" t="str">
        <f>+IF(ISERROR(VLOOKUP($B265,AD$10:AD264,1,0)),IF(AND($N265&gt;=1000,$A265&gt;=AO$8,$A265&lt;=AO$9),$B265,""),"")</f>
        <v/>
      </c>
      <c r="AE265" s="38" t="str">
        <f>+IF(ISERROR(VLOOKUP($B265,AE$10:AE264,1,0)),IF(AND($N265&gt;=1000,$A265&gt;=AP$8,$A265&lt;=AP$9),$B265,""),"")</f>
        <v/>
      </c>
      <c r="AF265" s="38" t="str">
        <f>+IF(ISERROR(VLOOKUP($B265,AF$10:AF264,1,0)),IF(AND($N265&gt;=1000,$A265&gt;=AQ$8,$A265&lt;=AQ$9),$B265,""),"")</f>
        <v/>
      </c>
      <c r="AG265" s="38" t="str">
        <f>+IF(ISERROR(VLOOKUP($B265,AG$10:AG264,1,0)),IF(AND($N265&gt;=1000,$A265&gt;=AR$8,$A265&lt;=AR$9),$B265,""),"")</f>
        <v/>
      </c>
      <c r="AH265" s="38"/>
      <c r="AI265" s="70">
        <v>0</v>
      </c>
      <c r="AJ265" s="38">
        <f>IF(AND(AJ$7="○",$A265&gt;=AJ$8,$A265&lt;=AJ$9),IF(SUM(AJ$10:AJ264)-ROUNDDOWN($K265*AJ$5/100,0)&lt;-AJ$6,-AJ$6-SUM(AJ$10:AJ264),-ROUNDDOWN($K265*AJ$5/100,0)),0)</f>
        <v>0</v>
      </c>
      <c r="AK265" s="38">
        <f>IF(AND(AK$7="○",$A265&gt;=AK$8,$A265&lt;=AK$9),IF(SUM(AK$10:AK264)-ROUNDDOWN($L265*AK$5/100,0)&lt;-AK$6,-AK$6-SUM(AK$10:AK264),-ROUNDDOWN($L265*AK$5/100,0)),0)</f>
        <v>0</v>
      </c>
      <c r="AL265" s="38">
        <f>IF(AND(AL$7="○",$A265&gt;=AL$8,$A265&lt;=AL$9),IF(SUM(AL$10:AL264)-ROUNDDOWN($N265*AL$5/100,0)&lt;-AL$6,-AL$6-SUM(AL$10:AL264),-ROUNDDOWN($N265*AL$5/100,0)),0)</f>
        <v>0</v>
      </c>
      <c r="AM265" s="38">
        <f>IF(AND(AM$7="○",$A265&gt;=AM$8,$A265&lt;=AM$9),IF(SUM(AM$10:AM264)-ROUNDDOWN($L265*AM$5/100,0)&lt;-AM$6,-AM$6-SUM(AM$10:AM264),-ROUNDDOWN($L265*AM$5/100,0)),0)</f>
        <v>0</v>
      </c>
      <c r="AN265" s="38">
        <f>IF(AND(AN$7="○",$A265&gt;=AN$8,$A265&lt;=AN$9),IF(SUM(AN$10:AN264)-ROUNDDOWN($M265*AN$5/100,0)&lt;-AN$6,-AN$6-SUM(AN$10:AN264),-ROUNDDOWN($M265*AN$5/100,0)),0)</f>
        <v>0</v>
      </c>
      <c r="AO265" s="38">
        <f>IF(AND($A265&gt;=AO$8,$A265&lt;=AO$9),IF(SUM(AO$10:AO264)-ROUNDDOWN($K265*AO$5/100,0)&lt;-AO$6,-AO$6-SUM(AO$10:AO264),-ROUNDDOWN($K265*AO$5/100,0)),0)</f>
        <v>0</v>
      </c>
      <c r="AP265" s="38">
        <f>IF(AND($A265&gt;=AP$8,$A265&lt;=AP$9),IF(SUM(AP$10:AP264)-ROUNDDOWN($K265*AP$5/100,0)&lt;-AP$6,-AP$6-SUM(AP$10:AP264),-ROUNDDOWN($K265*AP$5/100,0)),0)</f>
        <v>0</v>
      </c>
      <c r="AQ265" s="38">
        <f>IF(AND($A265&gt;=AQ$8,$A265&lt;=AQ$9),IF(SUM(AQ$10:AQ264)-ROUNDDOWN($K265*AQ$5/100,0)&lt;-AQ$6,-AQ$6-SUM(AQ$10:AQ264),-ROUNDDOWN($K265*AQ$5/100,0)),0)</f>
        <v>0</v>
      </c>
      <c r="AR265" s="38">
        <f>IF(AND($A265&gt;=AR$8,$A265&lt;=AR$9),IF(SUM(AR$10:AR264)-ROUNDDOWN($K265*AR$5/100,0)&lt;-AR$6,-AR$6-SUM(AR$10:AR264),-ROUNDDOWN($K265*AR$5/100,0)),0)</f>
        <v>0</v>
      </c>
      <c r="AS265" s="38">
        <f>IF(SUMIFS(AS$10:AS264,$A$10:$A264,$A265)-ROUNDDOWN($K265*$S265/100,0)&lt;-$S265*1000,-$S265*1000-SUMIFS(AS$10:AS264,$A$10:$A264,$A265),-ROUNDDOWN($K265*$S265/100,0))</f>
        <v>0</v>
      </c>
      <c r="AT265" s="38">
        <f>IF(AND(X265="○",$A265&gt;=AT$8,$A265&lt;=AT$9,K265&gt;=3980),IF(SUM(AT$10:AT264)-ROUNDDOWN($K265*AT$5/100,0)&lt;-AT$6,-AT$6-SUM(AT$10:AT264),-ROUNDDOWN($K265*AT$5/100,0)),0)</f>
        <v>0</v>
      </c>
      <c r="AU265" s="38">
        <f>IF(O265="○",IF(SUM(AU$10:AU264)-ROUNDDOWN($K265*AU$5/100,0)&lt;-AU$6,-AU$6-SUM(AU$10:AU264),-ROUNDDOWN($K265*AU$5/100,0)),0)</f>
        <v>0</v>
      </c>
      <c r="AV265" s="38">
        <f>IF(P265="○",IF(SUM(AV$10:AV264)-ROUNDDOWN($K265*AV$5/100,0)&lt;-AV$6,-AV$6-SUM(AV$10:AV264),-ROUNDDOWN($K265*AV$5/100,0)),0)</f>
        <v>0</v>
      </c>
      <c r="AW265" s="38">
        <f>IF(Q265="○",IF(SUM(AW$10:AW264)-ROUNDDOWN($K265*AW$5/100,0)&lt;-AW$6,-AW$6-SUM(AW$10:AW264),-ROUNDDOWN($K265*AW$5/100,0)),0)</f>
        <v>0</v>
      </c>
      <c r="AX265" s="38">
        <f>IF(R265="○",IF(SUM(AX$10:AX264)-ROUNDDOWN($K265*AX$5/100,0)&lt;-AX$6,-AX$6-SUM(AX$10:AX264),-ROUNDDOWN($K265*AX$5/100,0)),0)</f>
        <v>0</v>
      </c>
      <c r="AY265" s="70">
        <v>0</v>
      </c>
      <c r="AZ265" s="65">
        <f t="shared" si="178"/>
        <v>0</v>
      </c>
      <c r="BA265" s="65">
        <f t="shared" si="179"/>
        <v>0</v>
      </c>
      <c r="BB265" s="70"/>
      <c r="BC265" s="65">
        <f t="shared" si="180"/>
        <v>0</v>
      </c>
      <c r="BD265" s="70">
        <v>0</v>
      </c>
      <c r="BE265" s="65">
        <f t="shared" si="181"/>
        <v>0</v>
      </c>
      <c r="BF265" s="70">
        <v>0</v>
      </c>
      <c r="BG265" s="65">
        <f t="shared" si="182"/>
        <v>0</v>
      </c>
      <c r="BH265" s="70">
        <v>0</v>
      </c>
      <c r="BI265" s="65">
        <f t="shared" si="183"/>
        <v>0</v>
      </c>
      <c r="BJ265" s="38">
        <f>IF(AND(BJ$7="○",$A265&gt;=BJ$8,$A265&lt;=BJ$9),IF(SUM(BJ$10:BJ264)-ROUNDDOWN($M265*BJ$5/100,0)&lt;-BJ$6,-BJ$6-SUM(BJ$10:BJ264),-ROUNDDOWN($M265*BJ$5/100,0)),0)</f>
        <v>0</v>
      </c>
      <c r="BK265" s="38">
        <f>IF(AND(BK$7="○",$A265&gt;=BK$8,$A265&lt;=BK$9),IF(SUM(BK$10:BK264)-ROUNDDOWN($L265*BK$5/100,0)&lt;-BK$6,-BK$6-SUM(BK$10:BK264),-ROUNDDOWN($L265*BK$5/100,0)),0)</f>
        <v>0</v>
      </c>
      <c r="BL265" s="38">
        <f>IF(AND(BL$7="○",$A265&gt;=BL$8,$A265&lt;=BL$9),IF(SUM(BL$10:BL264)-ROUNDDOWN($L265*BL$5/100,0)&lt;-BL$6,-BL$6-SUM(BL$10:BL264),-ROUNDDOWN($L265*BL$5/100,0)),0)</f>
        <v>0</v>
      </c>
      <c r="BM265" s="38">
        <f>IF(AND(BM$7="○",$A265&gt;=BM$8,$A265&lt;=BM$9),IF(SUM(BM$10:BM264)-ROUNDDOWN($M265*BM$5/100,0)&lt;-BM$6,-BM$6-SUM(BM$10:BM264),-ROUNDDOWN($M265*BM$5/100,0)),0)</f>
        <v>0</v>
      </c>
      <c r="BN265" s="38">
        <f>IF(AND(BN$7="○",$A265&gt;=BN$8,$A265&lt;=BN$9),IF(SUM(BN$10:BN264)-ROUNDDOWN($M265*BN$5/100,0)&lt;-BN$6,-BN$6-SUM(BN$10:BN264),-ROUNDDOWN($M265*BN$5/100,0)),0)</f>
        <v>0</v>
      </c>
      <c r="BO265" s="38">
        <f>IF(AND(BO$7="○",$A265&gt;=BO$8,$A265&lt;=BO$9),IF(SUM(BO$10:BO264)-ROUNDDOWN($M265*BO$5/100,0)&lt;-BO$6,-BO$6-SUM(BO$10:BO264),-ROUNDDOWN($M265*BO$5/100,0)),0)</f>
        <v>0</v>
      </c>
      <c r="BP265" s="38">
        <f>IF(AND(BP$7="○",$A265&gt;=BP$8,$A265&lt;=BP$9),IF(SUM(BP$10:BP264)-ROUNDDOWN($M265*BP$5/100,0)&lt;-BP$6,-BP$6-SUM(BP$10:BP264),-ROUNDDOWN($M265*BP$5/100,0)),0)</f>
        <v>0</v>
      </c>
      <c r="BQ265" s="38">
        <f>IF(AND(BQ$7="○",$A265&gt;=BQ$8,$A265&lt;=BQ$9),IF(SUM(BQ$10:BQ264)-ROUNDDOWN($L265*BQ$5/100,0)&lt;-BQ$6,-BQ$6-SUM(BQ$10:BQ264),-ROUNDDOWN($L265*BQ$5/100,0)),0)</f>
        <v>0</v>
      </c>
      <c r="BR265" s="38">
        <f>IF(AND(BR$7="○",$A265&gt;=BR$8,$A265&lt;=BR$9),IF(SUM(BR$10:BR264)-ROUNDDOWN($M265*BR$5/100,0)&lt;-BR$6,-BR$6-SUM(BR$10:BR264),-ROUNDDOWN($M265*BR$5/100,0)),0)</f>
        <v>0</v>
      </c>
      <c r="BS265" s="38">
        <f>IF(AND(BS$7="○",$A265&gt;=BS$8,$A265&lt;=BS$9),IF(SUM(BS$10:BS264)-ROUNDDOWN($M265*BS$5/100,0)&lt;-BS$6,-BS$6-SUM(BS$10:BS264),-ROUNDDOWN($M265*BS$5/100,0)),0)</f>
        <v>0</v>
      </c>
      <c r="BT265" s="38">
        <f>IF(AND(BT$7="○",$A265&gt;=BT$8,$A265&lt;=BT$9),IF(SUM(BT$10:BT264)-ROUNDDOWN($M265*BT$5/100,0)&lt;-BT$6,-BT$6-SUM(BT$10:BT264),-ROUNDDOWN($M265*BT$5/100,0)),0)</f>
        <v>0</v>
      </c>
      <c r="BU265" s="38">
        <f>IF(AND(BU$7="○",$A265&gt;=BU$8,$A265&lt;=BU$9),IF(SUM(BU$10:BU264)-ROUNDDOWN($M265*BU$5/100,0)&lt;-BU$6,-BU$6-SUM(BU$10:BU264),-ROUNDDOWN($M265*BU$5/100,0)),0)</f>
        <v>0</v>
      </c>
      <c r="BV265" s="38">
        <f>IF(AND(BV$7="○",$A265&gt;=BV$8,$A265&lt;=BV$9),IF(SUM(BV$10:BV264)-ROUNDDOWN($M265*BV$5/100,0)&lt;-BV$6,-BV$6-SUM(BV$10:BV264),-ROUNDDOWN($M265*BV$5/100,0)),0)</f>
        <v>0</v>
      </c>
      <c r="BW265" s="38">
        <f>IF(AND(BW$7="○",$A265&gt;=BW$8,$A265&lt;=BW$9),IF(SUM(BW$10:BW264)-ROUNDDOWN($M265*BW$5/100,0)&lt;-BW$6,-BW$6-SUM(BW$10:BW264),-ROUNDDOWN($M265*BW$5/100,0)),0)</f>
        <v>0</v>
      </c>
      <c r="BX265" s="38">
        <f>IF(AND(T265="○",$A265&gt;=BX$8,$A265&lt;=BX$9),IF(SUM(BX$10:BX264)-ROUNDDOWN($K265*BX$5/100,0)&lt;-BX$6,-BX$6-SUM(BX$10:BX264),-ROUNDDOWN($K265*BX$5/100,0)),0)</f>
        <v>0</v>
      </c>
      <c r="BY265" s="38">
        <f>IF(AND(U265="○",$A265&gt;=BY$8,$A265&lt;=BY$9),IF(SUM(BY$10:BY264)-ROUNDDOWN($K265*BY$5/100,0)&lt;-BY$6,-BY$6-SUM(BY$10:BY264),-ROUNDDOWN($K265*BY$5/100,0)),0)</f>
        <v>0</v>
      </c>
      <c r="BZ265" s="38">
        <f>IF(AND(V265="○",$A265&gt;=BZ$8,$A265&lt;=BZ$9),IF(SUM(BZ$10:BZ264)-ROUNDDOWN($K265*BZ$5/100,0)&lt;-BZ$6,-BZ$6-SUM(BZ$10:BZ264),-ROUNDDOWN($K265*BZ$5/100,0)),0)</f>
        <v>0</v>
      </c>
      <c r="CA265" s="38">
        <f>IF(AND(W265="○",$A265&gt;=CA$8,$A265&lt;=CA$9),IF(SUM(CA$10:CA264)-ROUNDDOWN($K265*CA$5/100,0)&lt;-CA$6,-CA$6-SUM(CA$10:CA264),-ROUNDDOWN($K265*CA$5/100,0)),0)</f>
        <v>0</v>
      </c>
      <c r="CB265" s="38"/>
      <c r="CC265" s="38"/>
      <c r="CD265" s="38"/>
      <c r="CE265" s="38"/>
      <c r="CF265" s="38"/>
      <c r="CG265" s="65">
        <f t="shared" si="184"/>
        <v>0</v>
      </c>
      <c r="CH265" s="71">
        <f t="shared" si="185"/>
        <v>0</v>
      </c>
      <c r="CI265" s="1">
        <f t="shared" si="206"/>
        <v>0</v>
      </c>
      <c r="CJ265" s="1"/>
      <c r="CK265" s="72"/>
      <c r="CL265" s="72"/>
      <c r="CM265" s="2"/>
      <c r="CN265" s="2"/>
      <c r="CO265" s="73">
        <f t="shared" si="207"/>
        <v>0</v>
      </c>
      <c r="CP265" s="5">
        <f t="shared" si="208"/>
        <v>0</v>
      </c>
      <c r="CQ265" s="1"/>
      <c r="CR265" s="1">
        <f t="shared" si="209"/>
        <v>0</v>
      </c>
      <c r="CS265" s="1"/>
      <c r="CT265" s="1" t="e">
        <f>INDEX([2]マスタ!$A:$A,MATCH(D265,[2]マスタ!$C:$C,0))</f>
        <v>#N/A</v>
      </c>
      <c r="CU265" s="1" t="str">
        <f t="shared" ca="1" si="210"/>
        <v>20260620_0-0</v>
      </c>
    </row>
    <row r="266" spans="1:99" x14ac:dyDescent="0.4">
      <c r="A266" s="61"/>
      <c r="B266" s="62"/>
      <c r="C266" s="62"/>
      <c r="D266" s="62"/>
      <c r="E266" s="74"/>
      <c r="F266" s="62"/>
      <c r="G266" s="62">
        <v>1</v>
      </c>
      <c r="H266" s="64">
        <f t="shared" si="197"/>
        <v>0</v>
      </c>
      <c r="I266" s="64"/>
      <c r="J266" s="64"/>
      <c r="K266" s="65">
        <f t="shared" si="198"/>
        <v>0</v>
      </c>
      <c r="L266" s="65">
        <f t="shared" si="199"/>
        <v>0</v>
      </c>
      <c r="M266" s="65">
        <f t="shared" si="200"/>
        <v>0</v>
      </c>
      <c r="N266" s="65">
        <f t="shared" si="201"/>
        <v>0</v>
      </c>
      <c r="O266" s="66" t="str">
        <f t="shared" si="202"/>
        <v>✕</v>
      </c>
      <c r="P266" s="67" t="str">
        <f t="shared" si="203"/>
        <v>○</v>
      </c>
      <c r="Q266" s="67" t="str">
        <f t="shared" si="204"/>
        <v>✕</v>
      </c>
      <c r="R266" s="67" t="str">
        <f t="shared" si="205"/>
        <v>✕</v>
      </c>
      <c r="S266" s="68">
        <v>0</v>
      </c>
      <c r="T266" s="69" t="s">
        <v>85</v>
      </c>
      <c r="U266" s="69" t="s">
        <v>85</v>
      </c>
      <c r="V266" s="69" t="s">
        <v>85</v>
      </c>
      <c r="W266" s="69" t="s">
        <v>85</v>
      </c>
      <c r="X266" s="69" t="s">
        <v>84</v>
      </c>
      <c r="Y266" s="69" t="s">
        <v>85</v>
      </c>
      <c r="Z266" s="69" t="s">
        <v>85</v>
      </c>
      <c r="AA266" s="69" t="s">
        <v>85</v>
      </c>
      <c r="AB266" s="69" t="s">
        <v>85</v>
      </c>
      <c r="AC266" s="69" t="s">
        <v>85</v>
      </c>
      <c r="AD266" s="38" t="str">
        <f>+IF(ISERROR(VLOOKUP($B266,AD$10:AD265,1,0)),IF(AND($N266&gt;=1000,$A266&gt;=AO$8,$A266&lt;=AO$9),$B266,""),"")</f>
        <v/>
      </c>
      <c r="AE266" s="38" t="str">
        <f>+IF(ISERROR(VLOOKUP($B266,AE$10:AE265,1,0)),IF(AND($N266&gt;=1000,$A266&gt;=AP$8,$A266&lt;=AP$9),$B266,""),"")</f>
        <v/>
      </c>
      <c r="AF266" s="38" t="str">
        <f>+IF(ISERROR(VLOOKUP($B266,AF$10:AF265,1,0)),IF(AND($N266&gt;=1000,$A266&gt;=AQ$8,$A266&lt;=AQ$9),$B266,""),"")</f>
        <v/>
      </c>
      <c r="AG266" s="38" t="str">
        <f>+IF(ISERROR(VLOOKUP($B266,AG$10:AG265,1,0)),IF(AND($N266&gt;=1000,$A266&gt;=AR$8,$A266&lt;=AR$9),$B266,""),"")</f>
        <v/>
      </c>
      <c r="AH266" s="38"/>
      <c r="AI266" s="70">
        <v>0</v>
      </c>
      <c r="AJ266" s="38">
        <f>IF(AND(AJ$7="○",$A266&gt;=AJ$8,$A266&lt;=AJ$9),IF(SUM(AJ$10:AJ265)-ROUNDDOWN($K266*AJ$5/100,0)&lt;-AJ$6,-AJ$6-SUM(AJ$10:AJ265),-ROUNDDOWN($K266*AJ$5/100,0)),0)</f>
        <v>0</v>
      </c>
      <c r="AK266" s="38">
        <f>IF(AND(AK$7="○",$A266&gt;=AK$8,$A266&lt;=AK$9),IF(SUM(AK$10:AK265)-ROUNDDOWN($L266*AK$5/100,0)&lt;-AK$6,-AK$6-SUM(AK$10:AK265),-ROUNDDOWN($L266*AK$5/100,0)),0)</f>
        <v>0</v>
      </c>
      <c r="AL266" s="38">
        <f>IF(AND(AL$7="○",$A266&gt;=AL$8,$A266&lt;=AL$9),IF(SUM(AL$10:AL265)-ROUNDDOWN($N266*AL$5/100,0)&lt;-AL$6,-AL$6-SUM(AL$10:AL265),-ROUNDDOWN($N266*AL$5/100,0)),0)</f>
        <v>0</v>
      </c>
      <c r="AM266" s="38">
        <f>IF(AND(AM$7="○",$A266&gt;=AM$8,$A266&lt;=AM$9),IF(SUM(AM$10:AM265)-ROUNDDOWN($L266*AM$5/100,0)&lt;-AM$6,-AM$6-SUM(AM$10:AM265),-ROUNDDOWN($L266*AM$5/100,0)),0)</f>
        <v>0</v>
      </c>
      <c r="AN266" s="38">
        <f>IF(AND(AN$7="○",$A266&gt;=AN$8,$A266&lt;=AN$9),IF(SUM(AN$10:AN265)-ROUNDDOWN($M266*AN$5/100,0)&lt;-AN$6,-AN$6-SUM(AN$10:AN265),-ROUNDDOWN($M266*AN$5/100,0)),0)</f>
        <v>0</v>
      </c>
      <c r="AO266" s="38">
        <f>IF(AND($A266&gt;=AO$8,$A266&lt;=AO$9),IF(SUM(AO$10:AO265)-ROUNDDOWN($K266*AO$5/100,0)&lt;-AO$6,-AO$6-SUM(AO$10:AO265),-ROUNDDOWN($K266*AO$5/100,0)),0)</f>
        <v>0</v>
      </c>
      <c r="AP266" s="38">
        <f>IF(AND($A266&gt;=AP$8,$A266&lt;=AP$9),IF(SUM(AP$10:AP265)-ROUNDDOWN($K266*AP$5/100,0)&lt;-AP$6,-AP$6-SUM(AP$10:AP265),-ROUNDDOWN($K266*AP$5/100,0)),0)</f>
        <v>0</v>
      </c>
      <c r="AQ266" s="38">
        <f>IF(AND($A266&gt;=AQ$8,$A266&lt;=AQ$9),IF(SUM(AQ$10:AQ265)-ROUNDDOWN($K266*AQ$5/100,0)&lt;-AQ$6,-AQ$6-SUM(AQ$10:AQ265),-ROUNDDOWN($K266*AQ$5/100,0)),0)</f>
        <v>0</v>
      </c>
      <c r="AR266" s="38">
        <f>IF(AND($A266&gt;=AR$8,$A266&lt;=AR$9),IF(SUM(AR$10:AR265)-ROUNDDOWN($K266*AR$5/100,0)&lt;-AR$6,-AR$6-SUM(AR$10:AR265),-ROUNDDOWN($K266*AR$5/100,0)),0)</f>
        <v>0</v>
      </c>
      <c r="AS266" s="38">
        <f>IF(SUMIFS(AS$10:AS265,$A$10:$A265,$A266)-ROUNDDOWN($K266*$S266/100,0)&lt;-$S266*1000,-$S266*1000-SUMIFS(AS$10:AS265,$A$10:$A265,$A266),-ROUNDDOWN($K266*$S266/100,0))</f>
        <v>0</v>
      </c>
      <c r="AT266" s="38">
        <f>IF(AND(X266="○",$A266&gt;=AT$8,$A266&lt;=AT$9,K266&gt;=3980),IF(SUM(AT$10:AT265)-ROUNDDOWN($K266*AT$5/100,0)&lt;-AT$6,-AT$6-SUM(AT$10:AT265),-ROUNDDOWN($K266*AT$5/100,0)),0)</f>
        <v>0</v>
      </c>
      <c r="AU266" s="38">
        <f>IF(O266="○",IF(SUM(AU$10:AU265)-ROUNDDOWN($K266*AU$5/100,0)&lt;-AU$6,-AU$6-SUM(AU$10:AU265),-ROUNDDOWN($K266*AU$5/100,0)),0)</f>
        <v>0</v>
      </c>
      <c r="AV266" s="38">
        <f>IF(P266="○",IF(SUM(AV$10:AV265)-ROUNDDOWN($K266*AV$5/100,0)&lt;-AV$6,-AV$6-SUM(AV$10:AV265),-ROUNDDOWN($K266*AV$5/100,0)),0)</f>
        <v>0</v>
      </c>
      <c r="AW266" s="38">
        <f>IF(Q266="○",IF(SUM(AW$10:AW265)-ROUNDDOWN($K266*AW$5/100,0)&lt;-AW$6,-AW$6-SUM(AW$10:AW265),-ROUNDDOWN($K266*AW$5/100,0)),0)</f>
        <v>0</v>
      </c>
      <c r="AX266" s="38">
        <f>IF(R266="○",IF(SUM(AX$10:AX265)-ROUNDDOWN($K266*AX$5/100,0)&lt;-AX$6,-AX$6-SUM(AX$10:AX265),-ROUNDDOWN($K266*AX$5/100,0)),0)</f>
        <v>0</v>
      </c>
      <c r="AY266" s="70">
        <v>0</v>
      </c>
      <c r="AZ266" s="65">
        <f t="shared" si="178"/>
        <v>0</v>
      </c>
      <c r="BA266" s="65">
        <f t="shared" si="179"/>
        <v>0</v>
      </c>
      <c r="BB266" s="70"/>
      <c r="BC266" s="65">
        <f t="shared" si="180"/>
        <v>0</v>
      </c>
      <c r="BD266" s="70">
        <v>0</v>
      </c>
      <c r="BE266" s="65">
        <f t="shared" si="181"/>
        <v>0</v>
      </c>
      <c r="BF266" s="70">
        <v>0</v>
      </c>
      <c r="BG266" s="65">
        <f t="shared" si="182"/>
        <v>0</v>
      </c>
      <c r="BH266" s="70">
        <v>0</v>
      </c>
      <c r="BI266" s="65">
        <f t="shared" si="183"/>
        <v>0</v>
      </c>
      <c r="BJ266" s="38">
        <f>IF(AND(BJ$7="○",$A266&gt;=BJ$8,$A266&lt;=BJ$9),IF(SUM(BJ$10:BJ265)-ROUNDDOWN($M266*BJ$5/100,0)&lt;-BJ$6,-BJ$6-SUM(BJ$10:BJ265),-ROUNDDOWN($M266*BJ$5/100,0)),0)</f>
        <v>0</v>
      </c>
      <c r="BK266" s="38">
        <f>IF(AND(BK$7="○",$A266&gt;=BK$8,$A266&lt;=BK$9),IF(SUM(BK$10:BK265)-ROUNDDOWN($L266*BK$5/100,0)&lt;-BK$6,-BK$6-SUM(BK$10:BK265),-ROUNDDOWN($L266*BK$5/100,0)),0)</f>
        <v>0</v>
      </c>
      <c r="BL266" s="38">
        <f>IF(AND(BL$7="○",$A266&gt;=BL$8,$A266&lt;=BL$9),IF(SUM(BL$10:BL265)-ROUNDDOWN($L266*BL$5/100,0)&lt;-BL$6,-BL$6-SUM(BL$10:BL265),-ROUNDDOWN($L266*BL$5/100,0)),0)</f>
        <v>0</v>
      </c>
      <c r="BM266" s="38">
        <f>IF(AND(BM$7="○",$A266&gt;=BM$8,$A266&lt;=BM$9),IF(SUM(BM$10:BM265)-ROUNDDOWN($M266*BM$5/100,0)&lt;-BM$6,-BM$6-SUM(BM$10:BM265),-ROUNDDOWN($M266*BM$5/100,0)),0)</f>
        <v>0</v>
      </c>
      <c r="BN266" s="38">
        <f>IF(AND(BN$7="○",$A266&gt;=BN$8,$A266&lt;=BN$9),IF(SUM(BN$10:BN265)-ROUNDDOWN($M266*BN$5/100,0)&lt;-BN$6,-BN$6-SUM(BN$10:BN265),-ROUNDDOWN($M266*BN$5/100,0)),0)</f>
        <v>0</v>
      </c>
      <c r="BO266" s="38">
        <f>IF(AND(BO$7="○",$A266&gt;=BO$8,$A266&lt;=BO$9),IF(SUM(BO$10:BO265)-ROUNDDOWN($M266*BO$5/100,0)&lt;-BO$6,-BO$6-SUM(BO$10:BO265),-ROUNDDOWN($M266*BO$5/100,0)),0)</f>
        <v>0</v>
      </c>
      <c r="BP266" s="38">
        <f>IF(AND(BP$7="○",$A266&gt;=BP$8,$A266&lt;=BP$9),IF(SUM(BP$10:BP265)-ROUNDDOWN($M266*BP$5/100,0)&lt;-BP$6,-BP$6-SUM(BP$10:BP265),-ROUNDDOWN($M266*BP$5/100,0)),0)</f>
        <v>0</v>
      </c>
      <c r="BQ266" s="38">
        <f>IF(AND(BQ$7="○",$A266&gt;=BQ$8,$A266&lt;=BQ$9),IF(SUM(BQ$10:BQ265)-ROUNDDOWN($L266*BQ$5/100,0)&lt;-BQ$6,-BQ$6-SUM(BQ$10:BQ265),-ROUNDDOWN($L266*BQ$5/100,0)),0)</f>
        <v>0</v>
      </c>
      <c r="BR266" s="38">
        <f>IF(AND(BR$7="○",$A266&gt;=BR$8,$A266&lt;=BR$9),IF(SUM(BR$10:BR265)-ROUNDDOWN($M266*BR$5/100,0)&lt;-BR$6,-BR$6-SUM(BR$10:BR265),-ROUNDDOWN($M266*BR$5/100,0)),0)</f>
        <v>0</v>
      </c>
      <c r="BS266" s="38">
        <f>IF(AND(BS$7="○",$A266&gt;=BS$8,$A266&lt;=BS$9),IF(SUM(BS$10:BS265)-ROUNDDOWN($M266*BS$5/100,0)&lt;-BS$6,-BS$6-SUM(BS$10:BS265),-ROUNDDOWN($M266*BS$5/100,0)),0)</f>
        <v>0</v>
      </c>
      <c r="BT266" s="38">
        <f>IF(AND(BT$7="○",$A266&gt;=BT$8,$A266&lt;=BT$9),IF(SUM(BT$10:BT265)-ROUNDDOWN($M266*BT$5/100,0)&lt;-BT$6,-BT$6-SUM(BT$10:BT265),-ROUNDDOWN($M266*BT$5/100,0)),0)</f>
        <v>0</v>
      </c>
      <c r="BU266" s="38">
        <f>IF(AND(BU$7="○",$A266&gt;=BU$8,$A266&lt;=BU$9),IF(SUM(BU$10:BU265)-ROUNDDOWN($M266*BU$5/100,0)&lt;-BU$6,-BU$6-SUM(BU$10:BU265),-ROUNDDOWN($M266*BU$5/100,0)),0)</f>
        <v>0</v>
      </c>
      <c r="BV266" s="38">
        <f>IF(AND(BV$7="○",$A266&gt;=BV$8,$A266&lt;=BV$9),IF(SUM(BV$10:BV265)-ROUNDDOWN($M266*BV$5/100,0)&lt;-BV$6,-BV$6-SUM(BV$10:BV265),-ROUNDDOWN($M266*BV$5/100,0)),0)</f>
        <v>0</v>
      </c>
      <c r="BW266" s="38">
        <f>IF(AND(BW$7="○",$A266&gt;=BW$8,$A266&lt;=BW$9),IF(SUM(BW$10:BW265)-ROUNDDOWN($M266*BW$5/100,0)&lt;-BW$6,-BW$6-SUM(BW$10:BW265),-ROUNDDOWN($M266*BW$5/100,0)),0)</f>
        <v>0</v>
      </c>
      <c r="BX266" s="38">
        <f>IF(AND(T266="○",$A266&gt;=BX$8,$A266&lt;=BX$9),IF(SUM(BX$10:BX265)-ROUNDDOWN($K266*BX$5/100,0)&lt;-BX$6,-BX$6-SUM(BX$10:BX265),-ROUNDDOWN($K266*BX$5/100,0)),0)</f>
        <v>0</v>
      </c>
      <c r="BY266" s="38">
        <f>IF(AND(U266="○",$A266&gt;=BY$8,$A266&lt;=BY$9),IF(SUM(BY$10:BY265)-ROUNDDOWN($K266*BY$5/100,0)&lt;-BY$6,-BY$6-SUM(BY$10:BY265),-ROUNDDOWN($K266*BY$5/100,0)),0)</f>
        <v>0</v>
      </c>
      <c r="BZ266" s="38">
        <f>IF(AND(V266="○",$A266&gt;=BZ$8,$A266&lt;=BZ$9),IF(SUM(BZ$10:BZ265)-ROUNDDOWN($K266*BZ$5/100,0)&lt;-BZ$6,-BZ$6-SUM(BZ$10:BZ265),-ROUNDDOWN($K266*BZ$5/100,0)),0)</f>
        <v>0</v>
      </c>
      <c r="CA266" s="38">
        <f>IF(AND(W266="○",$A266&gt;=CA$8,$A266&lt;=CA$9),IF(SUM(CA$10:CA265)-ROUNDDOWN($K266*CA$5/100,0)&lt;-CA$6,-CA$6-SUM(CA$10:CA265),-ROUNDDOWN($K266*CA$5/100,0)),0)</f>
        <v>0</v>
      </c>
      <c r="CB266" s="38"/>
      <c r="CC266" s="38"/>
      <c r="CD266" s="38"/>
      <c r="CE266" s="38"/>
      <c r="CF266" s="38"/>
      <c r="CG266" s="65">
        <f t="shared" si="184"/>
        <v>0</v>
      </c>
      <c r="CH266" s="71">
        <f t="shared" si="185"/>
        <v>0</v>
      </c>
      <c r="CI266" s="1">
        <f t="shared" si="206"/>
        <v>0</v>
      </c>
      <c r="CJ266" s="1"/>
      <c r="CK266" s="72"/>
      <c r="CL266" s="72"/>
      <c r="CM266" s="2"/>
      <c r="CN266" s="2"/>
      <c r="CO266" s="73">
        <f t="shared" si="207"/>
        <v>0</v>
      </c>
      <c r="CP266" s="5">
        <f t="shared" si="208"/>
        <v>0</v>
      </c>
      <c r="CQ266" s="1"/>
      <c r="CR266" s="1">
        <f t="shared" si="209"/>
        <v>0</v>
      </c>
      <c r="CS266" s="1"/>
      <c r="CT266" s="1" t="e">
        <f>INDEX([2]マスタ!$A:$A,MATCH(D266,[2]マスタ!$C:$C,0))</f>
        <v>#N/A</v>
      </c>
      <c r="CU266" s="1" t="str">
        <f t="shared" ca="1" si="210"/>
        <v>20260620_0-0</v>
      </c>
    </row>
    <row r="267" spans="1:99" x14ac:dyDescent="0.4">
      <c r="A267" s="61"/>
      <c r="B267" s="62"/>
      <c r="C267" s="62"/>
      <c r="D267" s="62"/>
      <c r="E267" s="74"/>
      <c r="F267" s="62"/>
      <c r="G267" s="62">
        <v>1</v>
      </c>
      <c r="H267" s="64">
        <f t="shared" si="197"/>
        <v>0</v>
      </c>
      <c r="I267" s="64"/>
      <c r="J267" s="64"/>
      <c r="K267" s="65">
        <f t="shared" si="198"/>
        <v>0</v>
      </c>
      <c r="L267" s="65">
        <f t="shared" si="199"/>
        <v>0</v>
      </c>
      <c r="M267" s="65">
        <f t="shared" si="200"/>
        <v>0</v>
      </c>
      <c r="N267" s="65">
        <f t="shared" si="201"/>
        <v>0</v>
      </c>
      <c r="O267" s="66" t="str">
        <f t="shared" si="202"/>
        <v>✕</v>
      </c>
      <c r="P267" s="67" t="str">
        <f t="shared" si="203"/>
        <v>○</v>
      </c>
      <c r="Q267" s="67" t="str">
        <f t="shared" si="204"/>
        <v>✕</v>
      </c>
      <c r="R267" s="67" t="str">
        <f t="shared" si="205"/>
        <v>✕</v>
      </c>
      <c r="S267" s="68">
        <v>0</v>
      </c>
      <c r="T267" s="69" t="s">
        <v>85</v>
      </c>
      <c r="U267" s="69" t="s">
        <v>85</v>
      </c>
      <c r="V267" s="69" t="s">
        <v>85</v>
      </c>
      <c r="W267" s="69" t="s">
        <v>85</v>
      </c>
      <c r="X267" s="69" t="s">
        <v>84</v>
      </c>
      <c r="Y267" s="69" t="s">
        <v>85</v>
      </c>
      <c r="Z267" s="69" t="s">
        <v>85</v>
      </c>
      <c r="AA267" s="69" t="s">
        <v>85</v>
      </c>
      <c r="AB267" s="69" t="s">
        <v>85</v>
      </c>
      <c r="AC267" s="69" t="s">
        <v>85</v>
      </c>
      <c r="AD267" s="38" t="str">
        <f>+IF(ISERROR(VLOOKUP($B267,AD$10:AD266,1,0)),IF(AND($N267&gt;=1000,$A267&gt;=AO$8,$A267&lt;=AO$9),$B267,""),"")</f>
        <v/>
      </c>
      <c r="AE267" s="38" t="str">
        <f>+IF(ISERROR(VLOOKUP($B267,AE$10:AE266,1,0)),IF(AND($N267&gt;=1000,$A267&gt;=AP$8,$A267&lt;=AP$9),$B267,""),"")</f>
        <v/>
      </c>
      <c r="AF267" s="38" t="str">
        <f>+IF(ISERROR(VLOOKUP($B267,AF$10:AF266,1,0)),IF(AND($N267&gt;=1000,$A267&gt;=AQ$8,$A267&lt;=AQ$9),$B267,""),"")</f>
        <v/>
      </c>
      <c r="AG267" s="38" t="str">
        <f>+IF(ISERROR(VLOOKUP($B267,AG$10:AG266,1,0)),IF(AND($N267&gt;=1000,$A267&gt;=AR$8,$A267&lt;=AR$9),$B267,""),"")</f>
        <v/>
      </c>
      <c r="AH267" s="38"/>
      <c r="AI267" s="70">
        <v>0</v>
      </c>
      <c r="AJ267" s="38">
        <f>IF(AND(AJ$7="○",$A267&gt;=AJ$8,$A267&lt;=AJ$9),IF(SUM(AJ$10:AJ266)-ROUNDDOWN($K267*AJ$5/100,0)&lt;-AJ$6,-AJ$6-SUM(AJ$10:AJ266),-ROUNDDOWN($K267*AJ$5/100,0)),0)</f>
        <v>0</v>
      </c>
      <c r="AK267" s="38">
        <f>IF(AND(AK$7="○",$A267&gt;=AK$8,$A267&lt;=AK$9),IF(SUM(AK$10:AK266)-ROUNDDOWN($L267*AK$5/100,0)&lt;-AK$6,-AK$6-SUM(AK$10:AK266),-ROUNDDOWN($L267*AK$5/100,0)),0)</f>
        <v>0</v>
      </c>
      <c r="AL267" s="38">
        <f>IF(AND(AL$7="○",$A267&gt;=AL$8,$A267&lt;=AL$9),IF(SUM(AL$10:AL266)-ROUNDDOWN($N267*AL$5/100,0)&lt;-AL$6,-AL$6-SUM(AL$10:AL266),-ROUNDDOWN($N267*AL$5/100,0)),0)</f>
        <v>0</v>
      </c>
      <c r="AM267" s="38">
        <f>IF(AND(AM$7="○",$A267&gt;=AM$8,$A267&lt;=AM$9),IF(SUM(AM$10:AM266)-ROUNDDOWN($L267*AM$5/100,0)&lt;-AM$6,-AM$6-SUM(AM$10:AM266),-ROUNDDOWN($L267*AM$5/100,0)),0)</f>
        <v>0</v>
      </c>
      <c r="AN267" s="38">
        <f>IF(AND(AN$7="○",$A267&gt;=AN$8,$A267&lt;=AN$9),IF(SUM(AN$10:AN266)-ROUNDDOWN($M267*AN$5/100,0)&lt;-AN$6,-AN$6-SUM(AN$10:AN266),-ROUNDDOWN($M267*AN$5/100,0)),0)</f>
        <v>0</v>
      </c>
      <c r="AO267" s="38">
        <f>IF(AND($A267&gt;=AO$8,$A267&lt;=AO$9),IF(SUM(AO$10:AO266)-ROUNDDOWN($K267*AO$5/100,0)&lt;-AO$6,-AO$6-SUM(AO$10:AO266),-ROUNDDOWN($K267*AO$5/100,0)),0)</f>
        <v>0</v>
      </c>
      <c r="AP267" s="38">
        <f>IF(AND($A267&gt;=AP$8,$A267&lt;=AP$9),IF(SUM(AP$10:AP266)-ROUNDDOWN($K267*AP$5/100,0)&lt;-AP$6,-AP$6-SUM(AP$10:AP266),-ROUNDDOWN($K267*AP$5/100,0)),0)</f>
        <v>0</v>
      </c>
      <c r="AQ267" s="38">
        <f>IF(AND($A267&gt;=AQ$8,$A267&lt;=AQ$9),IF(SUM(AQ$10:AQ266)-ROUNDDOWN($K267*AQ$5/100,0)&lt;-AQ$6,-AQ$6-SUM(AQ$10:AQ266),-ROUNDDOWN($K267*AQ$5/100,0)),0)</f>
        <v>0</v>
      </c>
      <c r="AR267" s="38">
        <f>IF(AND($A267&gt;=AR$8,$A267&lt;=AR$9),IF(SUM(AR$10:AR266)-ROUNDDOWN($K267*AR$5/100,0)&lt;-AR$6,-AR$6-SUM(AR$10:AR266),-ROUNDDOWN($K267*AR$5/100,0)),0)</f>
        <v>0</v>
      </c>
      <c r="AS267" s="38">
        <f>IF(SUMIFS(AS$10:AS266,$A$10:$A266,$A267)-ROUNDDOWN($K267*$S267/100,0)&lt;-$S267*1000,-$S267*1000-SUMIFS(AS$10:AS266,$A$10:$A266,$A267),-ROUNDDOWN($K267*$S267/100,0))</f>
        <v>0</v>
      </c>
      <c r="AT267" s="38">
        <f>IF(AND(X267="○",$A267&gt;=AT$8,$A267&lt;=AT$9,K267&gt;=3980),IF(SUM(AT$10:AT266)-ROUNDDOWN($K267*AT$5/100,0)&lt;-AT$6,-AT$6-SUM(AT$10:AT266),-ROUNDDOWN($K267*AT$5/100,0)),0)</f>
        <v>0</v>
      </c>
      <c r="AU267" s="38">
        <f>IF(O267="○",IF(SUM(AU$10:AU266)-ROUNDDOWN($K267*AU$5/100,0)&lt;-AU$6,-AU$6-SUM(AU$10:AU266),-ROUNDDOWN($K267*AU$5/100,0)),0)</f>
        <v>0</v>
      </c>
      <c r="AV267" s="38">
        <f>IF(P267="○",IF(SUM(AV$10:AV266)-ROUNDDOWN($K267*AV$5/100,0)&lt;-AV$6,-AV$6-SUM(AV$10:AV266),-ROUNDDOWN($K267*AV$5/100,0)),0)</f>
        <v>0</v>
      </c>
      <c r="AW267" s="38">
        <f>IF(Q267="○",IF(SUM(AW$10:AW266)-ROUNDDOWN($K267*AW$5/100,0)&lt;-AW$6,-AW$6-SUM(AW$10:AW266),-ROUNDDOWN($K267*AW$5/100,0)),0)</f>
        <v>0</v>
      </c>
      <c r="AX267" s="38">
        <f>IF(R267="○",IF(SUM(AX$10:AX266)-ROUNDDOWN($K267*AX$5/100,0)&lt;-AX$6,-AX$6-SUM(AX$10:AX266),-ROUNDDOWN($K267*AX$5/100,0)),0)</f>
        <v>0</v>
      </c>
      <c r="AY267" s="70">
        <v>0</v>
      </c>
      <c r="AZ267" s="65">
        <f t="shared" si="178"/>
        <v>0</v>
      </c>
      <c r="BA267" s="65">
        <f t="shared" si="179"/>
        <v>0</v>
      </c>
      <c r="BB267" s="70"/>
      <c r="BC267" s="65">
        <f t="shared" si="180"/>
        <v>0</v>
      </c>
      <c r="BD267" s="70">
        <v>0</v>
      </c>
      <c r="BE267" s="65">
        <f t="shared" si="181"/>
        <v>0</v>
      </c>
      <c r="BF267" s="70">
        <v>0</v>
      </c>
      <c r="BG267" s="65">
        <f t="shared" si="182"/>
        <v>0</v>
      </c>
      <c r="BH267" s="70">
        <v>0</v>
      </c>
      <c r="BI267" s="65">
        <f t="shared" si="183"/>
        <v>0</v>
      </c>
      <c r="BJ267" s="38">
        <f>IF(AND(BJ$7="○",$A267&gt;=BJ$8,$A267&lt;=BJ$9),IF(SUM(BJ$10:BJ266)-ROUNDDOWN($M267*BJ$5/100,0)&lt;-BJ$6,-BJ$6-SUM(BJ$10:BJ266),-ROUNDDOWN($M267*BJ$5/100,0)),0)</f>
        <v>0</v>
      </c>
      <c r="BK267" s="38">
        <f>IF(AND(BK$7="○",$A267&gt;=BK$8,$A267&lt;=BK$9),IF(SUM(BK$10:BK266)-ROUNDDOWN($L267*BK$5/100,0)&lt;-BK$6,-BK$6-SUM(BK$10:BK266),-ROUNDDOWN($L267*BK$5/100,0)),0)</f>
        <v>0</v>
      </c>
      <c r="BL267" s="38">
        <f>IF(AND(BL$7="○",$A267&gt;=BL$8,$A267&lt;=BL$9),IF(SUM(BL$10:BL266)-ROUNDDOWN($L267*BL$5/100,0)&lt;-BL$6,-BL$6-SUM(BL$10:BL266),-ROUNDDOWN($L267*BL$5/100,0)),0)</f>
        <v>0</v>
      </c>
      <c r="BM267" s="38">
        <f>IF(AND(BM$7="○",$A267&gt;=BM$8,$A267&lt;=BM$9),IF(SUM(BM$10:BM266)-ROUNDDOWN($M267*BM$5/100,0)&lt;-BM$6,-BM$6-SUM(BM$10:BM266),-ROUNDDOWN($M267*BM$5/100,0)),0)</f>
        <v>0</v>
      </c>
      <c r="BN267" s="38">
        <f>IF(AND(BN$7="○",$A267&gt;=BN$8,$A267&lt;=BN$9),IF(SUM(BN$10:BN266)-ROUNDDOWN($M267*BN$5/100,0)&lt;-BN$6,-BN$6-SUM(BN$10:BN266),-ROUNDDOWN($M267*BN$5/100,0)),0)</f>
        <v>0</v>
      </c>
      <c r="BO267" s="38">
        <f>IF(AND(BO$7="○",$A267&gt;=BO$8,$A267&lt;=BO$9),IF(SUM(BO$10:BO266)-ROUNDDOWN($M267*BO$5/100,0)&lt;-BO$6,-BO$6-SUM(BO$10:BO266),-ROUNDDOWN($M267*BO$5/100,0)),0)</f>
        <v>0</v>
      </c>
      <c r="BP267" s="38">
        <f>IF(AND(BP$7="○",$A267&gt;=BP$8,$A267&lt;=BP$9),IF(SUM(BP$10:BP266)-ROUNDDOWN($M267*BP$5/100,0)&lt;-BP$6,-BP$6-SUM(BP$10:BP266),-ROUNDDOWN($M267*BP$5/100,0)),0)</f>
        <v>0</v>
      </c>
      <c r="BQ267" s="38">
        <f>IF(AND(BQ$7="○",$A267&gt;=BQ$8,$A267&lt;=BQ$9),IF(SUM(BQ$10:BQ266)-ROUNDDOWN($L267*BQ$5/100,0)&lt;-BQ$6,-BQ$6-SUM(BQ$10:BQ266),-ROUNDDOWN($L267*BQ$5/100,0)),0)</f>
        <v>0</v>
      </c>
      <c r="BR267" s="38">
        <f>IF(AND(BR$7="○",$A267&gt;=BR$8,$A267&lt;=BR$9),IF(SUM(BR$10:BR266)-ROUNDDOWN($M267*BR$5/100,0)&lt;-BR$6,-BR$6-SUM(BR$10:BR266),-ROUNDDOWN($M267*BR$5/100,0)),0)</f>
        <v>0</v>
      </c>
      <c r="BS267" s="38">
        <f>IF(AND(BS$7="○",$A267&gt;=BS$8,$A267&lt;=BS$9),IF(SUM(BS$10:BS266)-ROUNDDOWN($M267*BS$5/100,0)&lt;-BS$6,-BS$6-SUM(BS$10:BS266),-ROUNDDOWN($M267*BS$5/100,0)),0)</f>
        <v>0</v>
      </c>
      <c r="BT267" s="38">
        <f>IF(AND(BT$7="○",$A267&gt;=BT$8,$A267&lt;=BT$9),IF(SUM(BT$10:BT266)-ROUNDDOWN($M267*BT$5/100,0)&lt;-BT$6,-BT$6-SUM(BT$10:BT266),-ROUNDDOWN($M267*BT$5/100,0)),0)</f>
        <v>0</v>
      </c>
      <c r="BU267" s="38">
        <f>IF(AND(BU$7="○",$A267&gt;=BU$8,$A267&lt;=BU$9),IF(SUM(BU$10:BU266)-ROUNDDOWN($M267*BU$5/100,0)&lt;-BU$6,-BU$6-SUM(BU$10:BU266),-ROUNDDOWN($M267*BU$5/100,0)),0)</f>
        <v>0</v>
      </c>
      <c r="BV267" s="38">
        <f>IF(AND(BV$7="○",$A267&gt;=BV$8,$A267&lt;=BV$9),IF(SUM(BV$10:BV266)-ROUNDDOWN($M267*BV$5/100,0)&lt;-BV$6,-BV$6-SUM(BV$10:BV266),-ROUNDDOWN($M267*BV$5/100,0)),0)</f>
        <v>0</v>
      </c>
      <c r="BW267" s="38">
        <f>IF(AND(BW$7="○",$A267&gt;=BW$8,$A267&lt;=BW$9),IF(SUM(BW$10:BW266)-ROUNDDOWN($M267*BW$5/100,0)&lt;-BW$6,-BW$6-SUM(BW$10:BW266),-ROUNDDOWN($M267*BW$5/100,0)),0)</f>
        <v>0</v>
      </c>
      <c r="BX267" s="38">
        <f>IF(AND(T267="○",$A267&gt;=BX$8,$A267&lt;=BX$9),IF(SUM(BX$10:BX266)-ROUNDDOWN($K267*BX$5/100,0)&lt;-BX$6,-BX$6-SUM(BX$10:BX266),-ROUNDDOWN($K267*BX$5/100,0)),0)</f>
        <v>0</v>
      </c>
      <c r="BY267" s="38">
        <f>IF(AND(U267="○",$A267&gt;=BY$8,$A267&lt;=BY$9),IF(SUM(BY$10:BY266)-ROUNDDOWN($K267*BY$5/100,0)&lt;-BY$6,-BY$6-SUM(BY$10:BY266),-ROUNDDOWN($K267*BY$5/100,0)),0)</f>
        <v>0</v>
      </c>
      <c r="BZ267" s="38">
        <f>IF(AND(V267="○",$A267&gt;=BZ$8,$A267&lt;=BZ$9),IF(SUM(BZ$10:BZ266)-ROUNDDOWN($K267*BZ$5/100,0)&lt;-BZ$6,-BZ$6-SUM(BZ$10:BZ266),-ROUNDDOWN($K267*BZ$5/100,0)),0)</f>
        <v>0</v>
      </c>
      <c r="CA267" s="38">
        <f>IF(AND(W267="○",$A267&gt;=CA$8,$A267&lt;=CA$9),IF(SUM(CA$10:CA266)-ROUNDDOWN($K267*CA$5/100,0)&lt;-CA$6,-CA$6-SUM(CA$10:CA266),-ROUNDDOWN($K267*CA$5/100,0)),0)</f>
        <v>0</v>
      </c>
      <c r="CB267" s="38"/>
      <c r="CC267" s="38"/>
      <c r="CD267" s="38"/>
      <c r="CE267" s="38"/>
      <c r="CF267" s="38"/>
      <c r="CG267" s="65">
        <f t="shared" si="184"/>
        <v>0</v>
      </c>
      <c r="CH267" s="71">
        <f t="shared" si="185"/>
        <v>0</v>
      </c>
      <c r="CI267" s="1">
        <f t="shared" si="206"/>
        <v>0</v>
      </c>
      <c r="CJ267" s="1"/>
      <c r="CK267" s="72"/>
      <c r="CL267" s="72"/>
      <c r="CM267" s="2"/>
      <c r="CN267" s="2"/>
      <c r="CO267" s="73">
        <f t="shared" si="207"/>
        <v>0</v>
      </c>
      <c r="CP267" s="5">
        <f t="shared" si="208"/>
        <v>0</v>
      </c>
      <c r="CQ267" s="1"/>
      <c r="CR267" s="1">
        <f t="shared" si="209"/>
        <v>0</v>
      </c>
      <c r="CS267" s="1"/>
      <c r="CT267" s="1" t="e">
        <f>INDEX([2]マスタ!$A:$A,MATCH(D267,[2]マスタ!$C:$C,0))</f>
        <v>#N/A</v>
      </c>
      <c r="CU267" s="1" t="str">
        <f t="shared" ca="1" si="210"/>
        <v>20260620_0-0</v>
      </c>
    </row>
    <row r="268" spans="1:99" x14ac:dyDescent="0.4">
      <c r="A268" s="61"/>
      <c r="B268" s="62"/>
      <c r="C268" s="62"/>
      <c r="D268" s="62"/>
      <c r="E268" s="74"/>
      <c r="F268" s="62"/>
      <c r="G268" s="62">
        <v>1</v>
      </c>
      <c r="H268" s="64">
        <f t="shared" si="197"/>
        <v>0</v>
      </c>
      <c r="I268" s="64"/>
      <c r="J268" s="64"/>
      <c r="K268" s="65">
        <f t="shared" ref="K268:K271" si="211">+ROUNDDOWN((H268+I268+J268)/100,0)*100</f>
        <v>0</v>
      </c>
      <c r="L268" s="65">
        <f t="shared" si="199"/>
        <v>0</v>
      </c>
      <c r="M268" s="65">
        <f t="shared" si="200"/>
        <v>0</v>
      </c>
      <c r="N268" s="65">
        <f t="shared" si="201"/>
        <v>0</v>
      </c>
      <c r="O268" s="66" t="str">
        <f t="shared" si="202"/>
        <v>✕</v>
      </c>
      <c r="P268" s="67" t="str">
        <f t="shared" si="203"/>
        <v>○</v>
      </c>
      <c r="Q268" s="67" t="str">
        <f t="shared" ref="Q268:Q271" si="212">+IF((TEXT(A268,"DD")+0)=1,"○","✕")</f>
        <v>✕</v>
      </c>
      <c r="R268" s="67" t="str">
        <f t="shared" si="205"/>
        <v>✕</v>
      </c>
      <c r="S268" s="68">
        <v>0</v>
      </c>
      <c r="T268" s="69" t="s">
        <v>85</v>
      </c>
      <c r="U268" s="69" t="s">
        <v>85</v>
      </c>
      <c r="V268" s="69" t="s">
        <v>85</v>
      </c>
      <c r="W268" s="69" t="s">
        <v>85</v>
      </c>
      <c r="X268" s="69" t="s">
        <v>84</v>
      </c>
      <c r="Y268" s="69" t="s">
        <v>85</v>
      </c>
      <c r="Z268" s="69" t="s">
        <v>85</v>
      </c>
      <c r="AA268" s="69" t="s">
        <v>85</v>
      </c>
      <c r="AB268" s="69" t="s">
        <v>85</v>
      </c>
      <c r="AC268" s="69" t="s">
        <v>85</v>
      </c>
      <c r="AD268" s="38" t="str">
        <f>+IF(ISERROR(VLOOKUP($B268,AD$10:AD260,1,0)),IF(AND($N268&gt;=1000,$A268&gt;=AO$8,$A268&lt;=AO$9),$B268,""),"")</f>
        <v/>
      </c>
      <c r="AE268" s="38" t="str">
        <f>+IF(ISERROR(VLOOKUP($B268,AE$10:AE260,1,0)),IF(AND($N268&gt;=1000,$A268&gt;=AP$8,$A268&lt;=AP$9),$B268,""),"")</f>
        <v/>
      </c>
      <c r="AF268" s="38" t="str">
        <f>+IF(ISERROR(VLOOKUP($B268,AF$10:AF260,1,0)),IF(AND($N268&gt;=1000,$A268&gt;=AQ$8,$A268&lt;=AQ$9),$B268,""),"")</f>
        <v/>
      </c>
      <c r="AG268" s="38" t="str">
        <f>+IF(ISERROR(VLOOKUP($B268,AG$10:AG260,1,0)),IF(AND($N268&gt;=1000,$A268&gt;=AR$8,$A268&lt;=AR$9),$B268,""),"")</f>
        <v/>
      </c>
      <c r="AH268" s="38"/>
      <c r="AI268" s="70">
        <v>0</v>
      </c>
      <c r="AJ268" s="38">
        <f>IF(AND(AJ$7="○",$A268&gt;=AJ$8,$A268&lt;=AJ$9),IF(SUM(AJ$10:AJ267)-ROUNDDOWN($K268*AJ$5/100,0)&lt;-AJ$6,-AJ$6-SUM(AJ$10:AJ267),-ROUNDDOWN($K268*AJ$5/100,0)),0)</f>
        <v>0</v>
      </c>
      <c r="AK268" s="38">
        <f>IF(AND(AK$7="○",$A268&gt;=AK$8,$A268&lt;=AK$9),IF(SUM(AK$10:AK267)-ROUNDDOWN($L268*AK$5/100,0)&lt;-AK$6,-AK$6-SUM(AK$10:AK267),-ROUNDDOWN($L268*AK$5/100,0)),0)</f>
        <v>0</v>
      </c>
      <c r="AL268" s="38">
        <f>IF(AND(AL$7="○",$A268&gt;=AL$8,$A268&lt;=AL$9),IF(SUM(AL$10:AL267)-ROUNDDOWN($N268*AL$5/100,0)&lt;-AL$6,-AL$6-SUM(AL$10:AL267),-ROUNDDOWN($N268*AL$5/100,0)),0)</f>
        <v>0</v>
      </c>
      <c r="AM268" s="38">
        <f>IF(AND(AM$7="○",$A268&gt;=AM$8,$A268&lt;=AM$9),IF(SUM(AM$10:AM267)-ROUNDDOWN($L268*AM$5/100,0)&lt;-AM$6,-AM$6-SUM(AM$10:AM267),-ROUNDDOWN($L268*AM$5/100,0)),0)</f>
        <v>0</v>
      </c>
      <c r="AN268" s="38">
        <f>IF(AND(AN$7="○",$A268&gt;=AN$8,$A268&lt;=AN$9),IF(SUM(AN$10:AN267)-ROUNDDOWN($M268*AN$5/100,0)&lt;-AN$6,-AN$6-SUM(AN$10:AN267),-ROUNDDOWN($M268*AN$5/100,0)),0)</f>
        <v>0</v>
      </c>
      <c r="AO268" s="38">
        <f>IF(AND($A268&gt;=AO$8,$A268&lt;=AO$9),IF(SUM(AO$10:AO267)-ROUNDDOWN($K268*AO$5/100,0)&lt;-AO$6,-AO$6-SUM(AO$10:AO267),-ROUNDDOWN($K268*AO$5/100,0)),0)</f>
        <v>0</v>
      </c>
      <c r="AP268" s="38">
        <f>IF(AND($A268&gt;=AP$8,$A268&lt;=AP$9),IF(SUM(AP$10:AP267)-ROUNDDOWN($K268*AP$5/100,0)&lt;-AP$6,-AP$6-SUM(AP$10:AP267),-ROUNDDOWN($K268*AP$5/100,0)),0)</f>
        <v>0</v>
      </c>
      <c r="AQ268" s="38">
        <f>IF(AND($A268&gt;=AQ$8,$A268&lt;=AQ$9),IF(SUM(AQ$10:AQ267)-ROUNDDOWN($K268*AQ$5/100,0)&lt;-AQ$6,-AQ$6-SUM(AQ$10:AQ267),-ROUNDDOWN($K268*AQ$5/100,0)),0)</f>
        <v>0</v>
      </c>
      <c r="AR268" s="38">
        <f>IF(AND($A268&gt;=AR$8,$A268&lt;=AR$9),IF(SUM(AR$10:AR267)-ROUNDDOWN($K268*AR$5/100,0)&lt;-AR$6,-AR$6-SUM(AR$10:AR267),-ROUNDDOWN($K268*AR$5/100,0)),0)</f>
        <v>0</v>
      </c>
      <c r="AS268" s="38">
        <f>IF(SUMIFS(AS$10:AS267,$A$10:$A267,$A268)-ROUNDDOWN($K268*$S268/100,0)&lt;-$S268*1000,-$S268*1000-SUMIFS(AS$10:AS267,$A$10:$A267,$A268),-ROUNDDOWN($K268*$S268/100,0))</f>
        <v>0</v>
      </c>
      <c r="AT268" s="38">
        <f>IF(AND(X268="○",$A268&gt;=AT$8,$A268&lt;=AT$9,K268&gt;=3980),IF(SUM(AT$10:AT267)-ROUNDDOWN($K268*AT$5/100,0)&lt;-AT$6,-AT$6-SUM(AT$10:AT267),-ROUNDDOWN($K268*AT$5/100,0)),0)</f>
        <v>0</v>
      </c>
      <c r="AU268" s="38">
        <f>IF(O268="○",IF(SUM(AU$10:AU267)-ROUNDDOWN($K268*AU$5/100,0)&lt;-AU$6,-AU$6-SUM(AU$10:AU267),-ROUNDDOWN($K268*AU$5/100,0)),0)</f>
        <v>0</v>
      </c>
      <c r="AV268" s="38">
        <f>IF(P268="○",IF(SUM(AV$10:AV267)-ROUNDDOWN($K268*AV$5/100,0)&lt;-AV$6,-AV$6-SUM(AV$10:AV267),-ROUNDDOWN($K268*AV$5/100,0)),0)</f>
        <v>0</v>
      </c>
      <c r="AW268" s="38">
        <f>IF(Q268="○",IF(SUM(AW$10:AW267)-ROUNDDOWN($K268*AW$5/100,0)&lt;-AW$6,-AW$6-SUM(AW$10:AW267),-ROUNDDOWN($K268*AW$5/100,0)),0)</f>
        <v>0</v>
      </c>
      <c r="AX268" s="38">
        <f>IF(R268="○",IF(SUM(AX$10:AX267)-ROUNDDOWN($K268*AX$5/100,0)&lt;-AX$6,-AX$6-SUM(AX$10:AX267),-ROUNDDOWN($K268*AX$5/100,0)),0)</f>
        <v>0</v>
      </c>
      <c r="AY268" s="70">
        <v>0</v>
      </c>
      <c r="AZ268" s="65">
        <f t="shared" si="178"/>
        <v>0</v>
      </c>
      <c r="BA268" s="65">
        <f t="shared" si="179"/>
        <v>0</v>
      </c>
      <c r="BB268" s="70"/>
      <c r="BC268" s="65">
        <f t="shared" si="180"/>
        <v>0</v>
      </c>
      <c r="BD268" s="70">
        <v>0</v>
      </c>
      <c r="BE268" s="65">
        <f t="shared" si="181"/>
        <v>0</v>
      </c>
      <c r="BF268" s="70">
        <v>0</v>
      </c>
      <c r="BG268" s="65">
        <f t="shared" si="182"/>
        <v>0</v>
      </c>
      <c r="BH268" s="70">
        <v>0</v>
      </c>
      <c r="BI268" s="65">
        <f t="shared" si="183"/>
        <v>0</v>
      </c>
      <c r="BJ268" s="38">
        <f>IF(AND(BJ$7="○",$A268&gt;=BJ$8,$A268&lt;=BJ$9),IF(SUM(BJ$10:BJ267)-ROUNDDOWN($M268*BJ$5/100,0)&lt;-BJ$6,-BJ$6-SUM(BJ$10:BJ267),-ROUNDDOWN($M268*BJ$5/100,0)),0)</f>
        <v>0</v>
      </c>
      <c r="BK268" s="38">
        <f>IF(AND(BK$7="○",$A268&gt;=BK$8,$A268&lt;=BK$9),IF(SUM(BK$10:BK267)-ROUNDDOWN($L268*BK$5/100,0)&lt;-BK$6,-BK$6-SUM(BK$10:BK267),-ROUNDDOWN($L268*BK$5/100,0)),0)</f>
        <v>0</v>
      </c>
      <c r="BL268" s="38">
        <f>IF(AND(BL$7="○",$A268&gt;=BL$8,$A268&lt;=BL$9),IF(SUM(BL$10:BL267)-ROUNDDOWN($L268*BL$5/100,0)&lt;-BL$6,-BL$6-SUM(BL$10:BL267),-ROUNDDOWN($L268*BL$5/100,0)),0)</f>
        <v>0</v>
      </c>
      <c r="BM268" s="38">
        <f>IF(AND(BM$7="○",$A268&gt;=BM$8,$A268&lt;=BM$9),IF(SUM(BM$10:BM267)-ROUNDDOWN($M268*BM$5/100,0)&lt;-BM$6,-BM$6-SUM(BM$10:BM267),-ROUNDDOWN($M268*BM$5/100,0)),0)</f>
        <v>0</v>
      </c>
      <c r="BN268" s="38">
        <f>IF(AND(BN$7="○",$A268&gt;=BN$8,$A268&lt;=BN$9),IF(SUM(BN$10:BN267)-ROUNDDOWN($M268*BN$5/100,0)&lt;-BN$6,-BN$6-SUM(BN$10:BN267),-ROUNDDOWN($M268*BN$5/100,0)),0)</f>
        <v>0</v>
      </c>
      <c r="BO268" s="38">
        <f>IF(AND(BO$7="○",$A268&gt;=BO$8,$A268&lt;=BO$9),IF(SUM(BO$10:BO267)-ROUNDDOWN($M268*BO$5/100,0)&lt;-BO$6,-BO$6-SUM(BO$10:BO267),-ROUNDDOWN($M268*BO$5/100,0)),0)</f>
        <v>0</v>
      </c>
      <c r="BP268" s="38">
        <f>IF(AND(BP$7="○",$A268&gt;=BP$8,$A268&lt;=BP$9),IF(SUM(BP$10:BP267)-ROUNDDOWN($M268*BP$5/100,0)&lt;-BP$6,-BP$6-SUM(BP$10:BP267),-ROUNDDOWN($M268*BP$5/100,0)),0)</f>
        <v>0</v>
      </c>
      <c r="BQ268" s="38">
        <f>IF(AND(BQ$7="○",$A268&gt;=BQ$8,$A268&lt;=BQ$9),IF(SUM(BQ$10:BQ267)-ROUNDDOWN($L268*BQ$5/100,0)&lt;-BQ$6,-BQ$6-SUM(BQ$10:BQ267),-ROUNDDOWN($L268*BQ$5/100,0)),0)</f>
        <v>0</v>
      </c>
      <c r="BR268" s="38">
        <f>IF(AND(BR$7="○",$A268&gt;=BR$8,$A268&lt;=BR$9),IF(SUM(BR$10:BR267)-ROUNDDOWN($M268*BR$5/100,0)&lt;-BR$6,-BR$6-SUM(BR$10:BR267),-ROUNDDOWN($M268*BR$5/100,0)),0)</f>
        <v>0</v>
      </c>
      <c r="BS268" s="38">
        <f>IF(AND(BS$7="○",$A268&gt;=BS$8,$A268&lt;=BS$9),IF(SUM(BS$10:BS267)-ROUNDDOWN($M268*BS$5/100,0)&lt;-BS$6,-BS$6-SUM(BS$10:BS267),-ROUNDDOWN($M268*BS$5/100,0)),0)</f>
        <v>0</v>
      </c>
      <c r="BT268" s="38">
        <f>IF(AND(BT$7="○",$A268&gt;=BT$8,$A268&lt;=BT$9),IF(SUM(BT$10:BT267)-ROUNDDOWN($M268*BT$5/100,0)&lt;-BT$6,-BT$6-SUM(BT$10:BT267),-ROUNDDOWN($M268*BT$5/100,0)),0)</f>
        <v>0</v>
      </c>
      <c r="BU268" s="38">
        <f>IF(AND(BU$7="○",$A268&gt;=BU$8,$A268&lt;=BU$9),IF(SUM(BU$10:BU267)-ROUNDDOWN($M268*BU$5/100,0)&lt;-BU$6,-BU$6-SUM(BU$10:BU267),-ROUNDDOWN($M268*BU$5/100,0)),0)</f>
        <v>0</v>
      </c>
      <c r="BV268" s="38">
        <f>IF(AND(BV$7="○",$A268&gt;=BV$8,$A268&lt;=BV$9),IF(SUM(BV$10:BV267)-ROUNDDOWN($M268*BV$5/100,0)&lt;-BV$6,-BV$6-SUM(BV$10:BV267),-ROUNDDOWN($M268*BV$5/100,0)),0)</f>
        <v>0</v>
      </c>
      <c r="BW268" s="38">
        <f>IF(AND(BW$7="○",$A268&gt;=BW$8,$A268&lt;=BW$9),IF(SUM(BW$10:BW267)-ROUNDDOWN($M268*BW$5/100,0)&lt;-BW$6,-BW$6-SUM(BW$10:BW267),-ROUNDDOWN($M268*BW$5/100,0)),0)</f>
        <v>0</v>
      </c>
      <c r="BX268" s="38">
        <f>IF(AND(T268="○",$A268&gt;=BX$8,$A268&lt;=BX$9),IF(SUM(BX$10:BX267)-ROUNDDOWN($K268*BX$5/100,0)&lt;-BX$6,-BX$6-SUM(BX$10:BX267),-ROUNDDOWN($K268*BX$5/100,0)),0)</f>
        <v>0</v>
      </c>
      <c r="BY268" s="38">
        <f>IF(AND(U268="○",$A268&gt;=BY$8,$A268&lt;=BY$9),IF(SUM(BY$10:BY267)-ROUNDDOWN($K268*BY$5/100,0)&lt;-BY$6,-BY$6-SUM(BY$10:BY267),-ROUNDDOWN($K268*BY$5/100,0)),0)</f>
        <v>0</v>
      </c>
      <c r="BZ268" s="38">
        <f>IF(AND(V268="○",$A268&gt;=BZ$8,$A268&lt;=BZ$9),IF(SUM(BZ$10:BZ267)-ROUNDDOWN($K268*BZ$5/100,0)&lt;-BZ$6,-BZ$6-SUM(BZ$10:BZ267),-ROUNDDOWN($K268*BZ$5/100,0)),0)</f>
        <v>0</v>
      </c>
      <c r="CA268" s="38">
        <f>IF(AND(W268="○",$A268&gt;=CA$8,$A268&lt;=CA$9),IF(SUM(CA$10:CA267)-ROUNDDOWN($K268*CA$5/100,0)&lt;-CA$6,-CA$6-SUM(CA$10:CA267),-ROUNDDOWN($K268*CA$5/100,0)),0)</f>
        <v>0</v>
      </c>
      <c r="CB268" s="38"/>
      <c r="CC268" s="38"/>
      <c r="CD268" s="38"/>
      <c r="CE268" s="38"/>
      <c r="CF268" s="38"/>
      <c r="CG268" s="65">
        <f t="shared" si="184"/>
        <v>0</v>
      </c>
      <c r="CH268" s="71">
        <f t="shared" si="185"/>
        <v>0</v>
      </c>
      <c r="CI268" s="1">
        <f t="shared" si="206"/>
        <v>0</v>
      </c>
      <c r="CJ268" s="1"/>
      <c r="CK268" s="75"/>
      <c r="CL268" s="75"/>
      <c r="CM268" s="2"/>
      <c r="CN268" s="2"/>
      <c r="CO268" s="73">
        <f t="shared" si="207"/>
        <v>0</v>
      </c>
      <c r="CP268" s="5">
        <f t="shared" si="208"/>
        <v>0</v>
      </c>
      <c r="CQ268" s="1"/>
      <c r="CR268" s="1">
        <f t="shared" si="209"/>
        <v>0</v>
      </c>
      <c r="CS268" s="1"/>
      <c r="CT268" s="1" t="e">
        <f>INDEX([2]マスタ!$A:$A,MATCH(D268,[2]マスタ!$C:$C,0))</f>
        <v>#N/A</v>
      </c>
      <c r="CU268" s="1" t="str">
        <f t="shared" ca="1" si="210"/>
        <v>20260620_0-0</v>
      </c>
    </row>
    <row r="269" spans="1:99" x14ac:dyDescent="0.4">
      <c r="A269" s="61"/>
      <c r="B269" s="62"/>
      <c r="C269" s="62"/>
      <c r="D269" s="62"/>
      <c r="E269" s="74"/>
      <c r="F269" s="62"/>
      <c r="G269" s="62">
        <v>1</v>
      </c>
      <c r="H269" s="64">
        <f t="shared" si="197"/>
        <v>0</v>
      </c>
      <c r="I269" s="64"/>
      <c r="J269" s="64"/>
      <c r="K269" s="65">
        <f t="shared" si="211"/>
        <v>0</v>
      </c>
      <c r="L269" s="65">
        <f t="shared" si="199"/>
        <v>0</v>
      </c>
      <c r="M269" s="65">
        <f t="shared" si="200"/>
        <v>0</v>
      </c>
      <c r="N269" s="65">
        <f t="shared" si="201"/>
        <v>0</v>
      </c>
      <c r="O269" s="66" t="str">
        <f t="shared" si="202"/>
        <v>✕</v>
      </c>
      <c r="P269" s="67" t="str">
        <f t="shared" si="203"/>
        <v>○</v>
      </c>
      <c r="Q269" s="67" t="str">
        <f t="shared" si="212"/>
        <v>✕</v>
      </c>
      <c r="R269" s="67" t="str">
        <f t="shared" si="205"/>
        <v>✕</v>
      </c>
      <c r="S269" s="68">
        <v>0</v>
      </c>
      <c r="T269" s="69" t="s">
        <v>85</v>
      </c>
      <c r="U269" s="69" t="s">
        <v>85</v>
      </c>
      <c r="V269" s="69" t="s">
        <v>85</v>
      </c>
      <c r="W269" s="69" t="s">
        <v>85</v>
      </c>
      <c r="X269" s="69" t="s">
        <v>84</v>
      </c>
      <c r="Y269" s="69" t="s">
        <v>85</v>
      </c>
      <c r="Z269" s="69" t="s">
        <v>85</v>
      </c>
      <c r="AA269" s="69" t="s">
        <v>85</v>
      </c>
      <c r="AB269" s="69" t="s">
        <v>85</v>
      </c>
      <c r="AC269" s="69" t="s">
        <v>85</v>
      </c>
      <c r="AD269" s="38" t="str">
        <f>+IF(ISERROR(VLOOKUP($B269,AD$10:AD268,1,0)),IF(AND($N269&gt;=1000,$A269&gt;=AO$8,$A269&lt;=AO$9),$B269,""),"")</f>
        <v/>
      </c>
      <c r="AE269" s="38" t="str">
        <f>+IF(ISERROR(VLOOKUP($B269,AE$10:AE268,1,0)),IF(AND($N269&gt;=1000,$A269&gt;=AP$8,$A269&lt;=AP$9),$B269,""),"")</f>
        <v/>
      </c>
      <c r="AF269" s="38" t="str">
        <f>+IF(ISERROR(VLOOKUP($B269,AF$10:AF268,1,0)),IF(AND($N269&gt;=1000,$A269&gt;=AQ$8,$A269&lt;=AQ$9),$B269,""),"")</f>
        <v/>
      </c>
      <c r="AG269" s="38" t="str">
        <f>+IF(ISERROR(VLOOKUP($B269,AG$10:AG268,1,0)),IF(AND($N269&gt;=1000,$A269&gt;=AR$8,$A269&lt;=AR$9),$B269,""),"")</f>
        <v/>
      </c>
      <c r="AH269" s="38"/>
      <c r="AI269" s="70">
        <v>0</v>
      </c>
      <c r="AJ269" s="38">
        <f>IF(AND(AJ$7="○",$A269&gt;=AJ$8,$A269&lt;=AJ$9),IF(SUM(AJ$10:AJ268)-ROUNDDOWN($K269*AJ$5/100,0)&lt;-AJ$6,-AJ$6-SUM(AJ$10:AJ268),-ROUNDDOWN($K269*AJ$5/100,0)),0)</f>
        <v>0</v>
      </c>
      <c r="AK269" s="38">
        <f>IF(AND(AK$7="○",$A269&gt;=AK$8,$A269&lt;=AK$9),IF(SUM(AK$10:AK268)-ROUNDDOWN($L269*AK$5/100,0)&lt;-AK$6,-AK$6-SUM(AK$10:AK268),-ROUNDDOWN($L269*AK$5/100,0)),0)</f>
        <v>0</v>
      </c>
      <c r="AL269" s="38">
        <f>IF(AND(AL$7="○",$A269&gt;=AL$8,$A269&lt;=AL$9),IF(SUM(AL$10:AL268)-ROUNDDOWN($N269*AL$5/100,0)&lt;-AL$6,-AL$6-SUM(AL$10:AL268),-ROUNDDOWN($N269*AL$5/100,0)),0)</f>
        <v>0</v>
      </c>
      <c r="AM269" s="38">
        <f>IF(AND(AM$7="○",$A269&gt;=AM$8,$A269&lt;=AM$9),IF(SUM(AM$10:AM268)-ROUNDDOWN($L269*AM$5/100,0)&lt;-AM$6,-AM$6-SUM(AM$10:AM268),-ROUNDDOWN($L269*AM$5/100,0)),0)</f>
        <v>0</v>
      </c>
      <c r="AN269" s="38">
        <f>IF(AND(AN$7="○",$A269&gt;=AN$8,$A269&lt;=AN$9),IF(SUM(AN$10:AN268)-ROUNDDOWN($M269*AN$5/100,0)&lt;-AN$6,-AN$6-SUM(AN$10:AN268),-ROUNDDOWN($M269*AN$5/100,0)),0)</f>
        <v>0</v>
      </c>
      <c r="AO269" s="38">
        <f>IF(AND($A269&gt;=AO$8,$A269&lt;=AO$9),IF(SUM(AO$10:AO268)-ROUNDDOWN($K269*AO$5/100,0)&lt;-AO$6,-AO$6-SUM(AO$10:AO268),-ROUNDDOWN($K269*AO$5/100,0)),0)</f>
        <v>0</v>
      </c>
      <c r="AP269" s="38">
        <f>IF(AND($A269&gt;=AP$8,$A269&lt;=AP$9),IF(SUM(AP$10:AP268)-ROUNDDOWN($K269*AP$5/100,0)&lt;-AP$6,-AP$6-SUM(AP$10:AP268),-ROUNDDOWN($K269*AP$5/100,0)),0)</f>
        <v>0</v>
      </c>
      <c r="AQ269" s="38">
        <f>IF(AND($A269&gt;=AQ$8,$A269&lt;=AQ$9),IF(SUM(AQ$10:AQ268)-ROUNDDOWN($K269*AQ$5/100,0)&lt;-AQ$6,-AQ$6-SUM(AQ$10:AQ268),-ROUNDDOWN($K269*AQ$5/100,0)),0)</f>
        <v>0</v>
      </c>
      <c r="AR269" s="38">
        <f>IF(AND($A269&gt;=AR$8,$A269&lt;=AR$9),IF(SUM(AR$10:AR268)-ROUNDDOWN($K269*AR$5/100,0)&lt;-AR$6,-AR$6-SUM(AR$10:AR268),-ROUNDDOWN($K269*AR$5/100,0)),0)</f>
        <v>0</v>
      </c>
      <c r="AS269" s="38">
        <f>IF(SUMIFS(AS$10:AS268,$A$10:$A268,$A269)-ROUNDDOWN($K269*$S269/100,0)&lt;-$S269*1000,-$S269*1000-SUMIFS(AS$10:AS268,$A$10:$A268,$A269),-ROUNDDOWN($K269*$S269/100,0))</f>
        <v>0</v>
      </c>
      <c r="AT269" s="38">
        <f>IF(AND(X269="○",$A269&gt;=AT$8,$A269&lt;=AT$9,K269&gt;=3980),IF(SUM(AT$10:AT268)-ROUNDDOWN($K269*AT$5/100,0)&lt;-AT$6,-AT$6-SUM(AT$10:AT268),-ROUNDDOWN($K269*AT$5/100,0)),0)</f>
        <v>0</v>
      </c>
      <c r="AU269" s="38">
        <f>IF(O269="○",IF(SUM(AU$10:AU268)-ROUNDDOWN($K269*AU$5/100,0)&lt;-AU$6,-AU$6-SUM(AU$10:AU268),-ROUNDDOWN($K269*AU$5/100,0)),0)</f>
        <v>0</v>
      </c>
      <c r="AV269" s="38">
        <f>IF(P269="○",IF(SUM(AV$10:AV268)-ROUNDDOWN($K269*AV$5/100,0)&lt;-AV$6,-AV$6-SUM(AV$10:AV268),-ROUNDDOWN($K269*AV$5/100,0)),0)</f>
        <v>0</v>
      </c>
      <c r="AW269" s="38">
        <f>IF(Q269="○",IF(SUM(AW$10:AW268)-ROUNDDOWN($K269*AW$5/100,0)&lt;-AW$6,-AW$6-SUM(AW$10:AW268),-ROUNDDOWN($K269*AW$5/100,0)),0)</f>
        <v>0</v>
      </c>
      <c r="AX269" s="38">
        <f>IF(R269="○",IF(SUM(AX$10:AX268)-ROUNDDOWN($K269*AX$5/100,0)&lt;-AX$6,-AX$6-SUM(AX$10:AX268),-ROUNDDOWN($K269*AX$5/100,0)),0)</f>
        <v>0</v>
      </c>
      <c r="AY269" s="70">
        <v>0</v>
      </c>
      <c r="AZ269" s="65">
        <f t="shared" si="178"/>
        <v>0</v>
      </c>
      <c r="BA269" s="65">
        <f t="shared" si="179"/>
        <v>0</v>
      </c>
      <c r="BB269" s="70"/>
      <c r="BC269" s="65">
        <f t="shared" si="180"/>
        <v>0</v>
      </c>
      <c r="BD269" s="70">
        <v>0</v>
      </c>
      <c r="BE269" s="65">
        <f t="shared" si="181"/>
        <v>0</v>
      </c>
      <c r="BF269" s="70">
        <v>0</v>
      </c>
      <c r="BG269" s="65">
        <f t="shared" si="182"/>
        <v>0</v>
      </c>
      <c r="BH269" s="70">
        <v>0</v>
      </c>
      <c r="BI269" s="65">
        <f t="shared" si="183"/>
        <v>0</v>
      </c>
      <c r="BJ269" s="38">
        <f>IF(AND(BJ$7="○",$A269&gt;=BJ$8,$A269&lt;=BJ$9),IF(SUM(BJ$10:BJ268)-ROUNDDOWN($M269*BJ$5/100,0)&lt;-BJ$6,-BJ$6-SUM(BJ$10:BJ268),-ROUNDDOWN($M269*BJ$5/100,0)),0)</f>
        <v>0</v>
      </c>
      <c r="BK269" s="38">
        <f>IF(AND(BK$7="○",$A269&gt;=BK$8,$A269&lt;=BK$9),IF(SUM(BK$10:BK268)-ROUNDDOWN($L269*BK$5/100,0)&lt;-BK$6,-BK$6-SUM(BK$10:BK268),-ROUNDDOWN($L269*BK$5/100,0)),0)</f>
        <v>0</v>
      </c>
      <c r="BL269" s="38">
        <f>IF(AND(BL$7="○",$A269&gt;=BL$8,$A269&lt;=BL$9),IF(SUM(BL$10:BL268)-ROUNDDOWN($L269*BL$5/100,0)&lt;-BL$6,-BL$6-SUM(BL$10:BL268),-ROUNDDOWN($L269*BL$5/100,0)),0)</f>
        <v>0</v>
      </c>
      <c r="BM269" s="38">
        <f>IF(AND(BM$7="○",$A269&gt;=BM$8,$A269&lt;=BM$9),IF(SUM(BM$10:BM268)-ROUNDDOWN($M269*BM$5/100,0)&lt;-BM$6,-BM$6-SUM(BM$10:BM268),-ROUNDDOWN($M269*BM$5/100,0)),0)</f>
        <v>0</v>
      </c>
      <c r="BN269" s="38">
        <f>IF(AND(BN$7="○",$A269&gt;=BN$8,$A269&lt;=BN$9),IF(SUM(BN$10:BN268)-ROUNDDOWN($M269*BN$5/100,0)&lt;-BN$6,-BN$6-SUM(BN$10:BN268),-ROUNDDOWN($M269*BN$5/100,0)),0)</f>
        <v>0</v>
      </c>
      <c r="BO269" s="38">
        <f>IF(AND(BO$7="○",$A269&gt;=BO$8,$A269&lt;=BO$9),IF(SUM(BO$10:BO268)-ROUNDDOWN($M269*BO$5/100,0)&lt;-BO$6,-BO$6-SUM(BO$10:BO268),-ROUNDDOWN($M269*BO$5/100,0)),0)</f>
        <v>0</v>
      </c>
      <c r="BP269" s="38">
        <f>IF(AND(BP$7="○",$A269&gt;=BP$8,$A269&lt;=BP$9),IF(SUM(BP$10:BP268)-ROUNDDOWN($M269*BP$5/100,0)&lt;-BP$6,-BP$6-SUM(BP$10:BP268),-ROUNDDOWN($M269*BP$5/100,0)),0)</f>
        <v>0</v>
      </c>
      <c r="BQ269" s="38">
        <f>IF(AND(BQ$7="○",$A269&gt;=BQ$8,$A269&lt;=BQ$9),IF(SUM(BQ$10:BQ268)-ROUNDDOWN($L269*BQ$5/100,0)&lt;-BQ$6,-BQ$6-SUM(BQ$10:BQ268),-ROUNDDOWN($L269*BQ$5/100,0)),0)</f>
        <v>0</v>
      </c>
      <c r="BR269" s="38">
        <f>IF(AND(BR$7="○",$A269&gt;=BR$8,$A269&lt;=BR$9),IF(SUM(BR$10:BR268)-ROUNDDOWN($M269*BR$5/100,0)&lt;-BR$6,-BR$6-SUM(BR$10:BR268),-ROUNDDOWN($M269*BR$5/100,0)),0)</f>
        <v>0</v>
      </c>
      <c r="BS269" s="38">
        <f>IF(AND(BS$7="○",$A269&gt;=BS$8,$A269&lt;=BS$9),IF(SUM(BS$10:BS268)-ROUNDDOWN($M269*BS$5/100,0)&lt;-BS$6,-BS$6-SUM(BS$10:BS268),-ROUNDDOWN($M269*BS$5/100,0)),0)</f>
        <v>0</v>
      </c>
      <c r="BT269" s="38">
        <f>IF(AND(BT$7="○",$A269&gt;=BT$8,$A269&lt;=BT$9),IF(SUM(BT$10:BT268)-ROUNDDOWN($M269*BT$5/100,0)&lt;-BT$6,-BT$6-SUM(BT$10:BT268),-ROUNDDOWN($M269*BT$5/100,0)),0)</f>
        <v>0</v>
      </c>
      <c r="BU269" s="38">
        <f>IF(AND(BU$7="○",$A269&gt;=BU$8,$A269&lt;=BU$9),IF(SUM(BU$10:BU268)-ROUNDDOWN($M269*BU$5/100,0)&lt;-BU$6,-BU$6-SUM(BU$10:BU268),-ROUNDDOWN($M269*BU$5/100,0)),0)</f>
        <v>0</v>
      </c>
      <c r="BV269" s="38">
        <f>IF(AND(BV$7="○",$A269&gt;=BV$8,$A269&lt;=BV$9),IF(SUM(BV$10:BV268)-ROUNDDOWN($M269*BV$5/100,0)&lt;-BV$6,-BV$6-SUM(BV$10:BV268),-ROUNDDOWN($M269*BV$5/100,0)),0)</f>
        <v>0</v>
      </c>
      <c r="BW269" s="38">
        <f>IF(AND(BW$7="○",$A269&gt;=BW$8,$A269&lt;=BW$9),IF(SUM(BW$10:BW268)-ROUNDDOWN($M269*BW$5/100,0)&lt;-BW$6,-BW$6-SUM(BW$10:BW268),-ROUNDDOWN($M269*BW$5/100,0)),0)</f>
        <v>0</v>
      </c>
      <c r="BX269" s="38">
        <f>IF(AND(T269="○",$A269&gt;=BX$8,$A269&lt;=BX$9),IF(SUM(BX$10:BX268)-ROUNDDOWN($K269*BX$5/100,0)&lt;-BX$6,-BX$6-SUM(BX$10:BX268),-ROUNDDOWN($K269*BX$5/100,0)),0)</f>
        <v>0</v>
      </c>
      <c r="BY269" s="38">
        <f>IF(AND(U269="○",$A269&gt;=BY$8,$A269&lt;=BY$9),IF(SUM(BY$10:BY268)-ROUNDDOWN($K269*BY$5/100,0)&lt;-BY$6,-BY$6-SUM(BY$10:BY268),-ROUNDDOWN($K269*BY$5/100,0)),0)</f>
        <v>0</v>
      </c>
      <c r="BZ269" s="38">
        <f>IF(AND(V269="○",$A269&gt;=BZ$8,$A269&lt;=BZ$9),IF(SUM(BZ$10:BZ268)-ROUNDDOWN($K269*BZ$5/100,0)&lt;-BZ$6,-BZ$6-SUM(BZ$10:BZ268),-ROUNDDOWN($K269*BZ$5/100,0)),0)</f>
        <v>0</v>
      </c>
      <c r="CA269" s="38">
        <f>IF(AND(W269="○",$A269&gt;=CA$8,$A269&lt;=CA$9),IF(SUM(CA$10:CA268)-ROUNDDOWN($K269*CA$5/100,0)&lt;-CA$6,-CA$6-SUM(CA$10:CA268),-ROUNDDOWN($K269*CA$5/100,0)),0)</f>
        <v>0</v>
      </c>
      <c r="CB269" s="38"/>
      <c r="CC269" s="38"/>
      <c r="CD269" s="38"/>
      <c r="CE269" s="38"/>
      <c r="CF269" s="38"/>
      <c r="CG269" s="65">
        <f t="shared" si="184"/>
        <v>0</v>
      </c>
      <c r="CH269" s="71">
        <f t="shared" si="185"/>
        <v>0</v>
      </c>
      <c r="CI269" s="1">
        <f t="shared" si="206"/>
        <v>0</v>
      </c>
      <c r="CJ269" s="1"/>
      <c r="CK269" s="75"/>
      <c r="CL269" s="75"/>
      <c r="CM269" s="2"/>
      <c r="CN269" s="2"/>
      <c r="CO269" s="73">
        <f t="shared" si="207"/>
        <v>0</v>
      </c>
      <c r="CP269" s="5">
        <f t="shared" si="208"/>
        <v>0</v>
      </c>
      <c r="CQ269" s="1"/>
      <c r="CR269" s="1">
        <f t="shared" si="209"/>
        <v>0</v>
      </c>
      <c r="CS269" s="1"/>
      <c r="CT269" s="1" t="e">
        <f>INDEX([2]マスタ!$A:$A,MATCH(D269,[2]マスタ!$C:$C,0))</f>
        <v>#N/A</v>
      </c>
      <c r="CU269" s="1" t="str">
        <f t="shared" ca="1" si="210"/>
        <v>20260620_0-0</v>
      </c>
    </row>
    <row r="270" spans="1:99" x14ac:dyDescent="0.4">
      <c r="A270" s="61"/>
      <c r="B270" s="62"/>
      <c r="C270" s="62"/>
      <c r="D270" s="62"/>
      <c r="E270" s="74"/>
      <c r="F270" s="62"/>
      <c r="G270" s="62">
        <v>1</v>
      </c>
      <c r="H270" s="64">
        <f t="shared" si="197"/>
        <v>0</v>
      </c>
      <c r="I270" s="64"/>
      <c r="J270" s="64"/>
      <c r="K270" s="65">
        <f t="shared" si="211"/>
        <v>0</v>
      </c>
      <c r="L270" s="65">
        <f t="shared" si="199"/>
        <v>0</v>
      </c>
      <c r="M270" s="65">
        <f t="shared" si="200"/>
        <v>0</v>
      </c>
      <c r="N270" s="65">
        <f t="shared" si="201"/>
        <v>0</v>
      </c>
      <c r="O270" s="66" t="str">
        <f t="shared" si="202"/>
        <v>✕</v>
      </c>
      <c r="P270" s="67" t="str">
        <f t="shared" si="203"/>
        <v>○</v>
      </c>
      <c r="Q270" s="67" t="str">
        <f t="shared" si="212"/>
        <v>✕</v>
      </c>
      <c r="R270" s="67" t="str">
        <f t="shared" si="205"/>
        <v>✕</v>
      </c>
      <c r="S270" s="68">
        <v>0</v>
      </c>
      <c r="T270" s="69" t="s">
        <v>85</v>
      </c>
      <c r="U270" s="69" t="s">
        <v>85</v>
      </c>
      <c r="V270" s="69" t="s">
        <v>85</v>
      </c>
      <c r="W270" s="69" t="s">
        <v>85</v>
      </c>
      <c r="X270" s="69" t="s">
        <v>84</v>
      </c>
      <c r="Y270" s="69" t="s">
        <v>85</v>
      </c>
      <c r="Z270" s="69" t="s">
        <v>85</v>
      </c>
      <c r="AA270" s="69" t="s">
        <v>85</v>
      </c>
      <c r="AB270" s="69" t="s">
        <v>85</v>
      </c>
      <c r="AC270" s="69" t="s">
        <v>85</v>
      </c>
      <c r="AD270" s="38" t="str">
        <f>+IF(ISERROR(VLOOKUP($B270,AD$10:AD269,1,0)),IF(AND($N270&gt;=1000,$A270&gt;=AO$8,$A270&lt;=AO$9),$B270,""),"")</f>
        <v/>
      </c>
      <c r="AE270" s="38" t="str">
        <f>+IF(ISERROR(VLOOKUP($B270,AE$10:AE269,1,0)),IF(AND($N270&gt;=1000,$A270&gt;=AP$8,$A270&lt;=AP$9),$B270,""),"")</f>
        <v/>
      </c>
      <c r="AF270" s="38" t="str">
        <f>+IF(ISERROR(VLOOKUP($B270,AF$10:AF269,1,0)),IF(AND($N270&gt;=1000,$A270&gt;=AQ$8,$A270&lt;=AQ$9),$B270,""),"")</f>
        <v/>
      </c>
      <c r="AG270" s="38" t="str">
        <f>+IF(ISERROR(VLOOKUP($B270,AG$10:AG269,1,0)),IF(AND($N270&gt;=1000,$A270&gt;=AR$8,$A270&lt;=AR$9),$B270,""),"")</f>
        <v/>
      </c>
      <c r="AH270" s="38"/>
      <c r="AI270" s="70">
        <v>0</v>
      </c>
      <c r="AJ270" s="38">
        <f>IF(AND(AJ$7="○",$A270&gt;=AJ$8,$A270&lt;=AJ$9),IF(SUM(AJ$10:AJ269)-ROUNDDOWN($K270*AJ$5/100,0)&lt;-AJ$6,-AJ$6-SUM(AJ$10:AJ269),-ROUNDDOWN($K270*AJ$5/100,0)),0)</f>
        <v>0</v>
      </c>
      <c r="AK270" s="38">
        <f>IF(AND(AK$7="○",$A270&gt;=AK$8,$A270&lt;=AK$9),IF(SUM(AK$10:AK269)-ROUNDDOWN($L270*AK$5/100,0)&lt;-AK$6,-AK$6-SUM(AK$10:AK269),-ROUNDDOWN($L270*AK$5/100,0)),0)</f>
        <v>0</v>
      </c>
      <c r="AL270" s="38">
        <f>IF(AND(AL$7="○",$A270&gt;=AL$8,$A270&lt;=AL$9),IF(SUM(AL$10:AL269)-ROUNDDOWN($N270*AL$5/100,0)&lt;-AL$6,-AL$6-SUM(AL$10:AL269),-ROUNDDOWN($N270*AL$5/100,0)),0)</f>
        <v>0</v>
      </c>
      <c r="AM270" s="38">
        <f>IF(AND(AM$7="○",$A270&gt;=AM$8,$A270&lt;=AM$9),IF(SUM(AM$10:AM269)-ROUNDDOWN($L270*AM$5/100,0)&lt;-AM$6,-AM$6-SUM(AM$10:AM269),-ROUNDDOWN($L270*AM$5/100,0)),0)</f>
        <v>0</v>
      </c>
      <c r="AN270" s="38">
        <f>IF(AND(AN$7="○",$A270&gt;=AN$8,$A270&lt;=AN$9),IF(SUM(AN$10:AN269)-ROUNDDOWN($M270*AN$5/100,0)&lt;-AN$6,-AN$6-SUM(AN$10:AN269),-ROUNDDOWN($M270*AN$5/100,0)),0)</f>
        <v>0</v>
      </c>
      <c r="AO270" s="38">
        <f>IF(AND($A270&gt;=AO$8,$A270&lt;=AO$9),IF(SUM(AO$10:AO269)-ROUNDDOWN($K270*AO$5/100,0)&lt;-AO$6,-AO$6-SUM(AO$10:AO269),-ROUNDDOWN($K270*AO$5/100,0)),0)</f>
        <v>0</v>
      </c>
      <c r="AP270" s="38">
        <f>IF(AND($A270&gt;=AP$8,$A270&lt;=AP$9),IF(SUM(AP$10:AP269)-ROUNDDOWN($K270*AP$5/100,0)&lt;-AP$6,-AP$6-SUM(AP$10:AP269),-ROUNDDOWN($K270*AP$5/100,0)),0)</f>
        <v>0</v>
      </c>
      <c r="AQ270" s="38">
        <f>IF(AND($A270&gt;=AQ$8,$A270&lt;=AQ$9),IF(SUM(AQ$10:AQ269)-ROUNDDOWN($K270*AQ$5/100,0)&lt;-AQ$6,-AQ$6-SUM(AQ$10:AQ269),-ROUNDDOWN($K270*AQ$5/100,0)),0)</f>
        <v>0</v>
      </c>
      <c r="AR270" s="38">
        <f>IF(AND($A270&gt;=AR$8,$A270&lt;=AR$9),IF(SUM(AR$10:AR269)-ROUNDDOWN($K270*AR$5/100,0)&lt;-AR$6,-AR$6-SUM(AR$10:AR269),-ROUNDDOWN($K270*AR$5/100,0)),0)</f>
        <v>0</v>
      </c>
      <c r="AS270" s="38">
        <f>IF(SUMIFS(AS$10:AS269,$A$10:$A269,$A270)-ROUNDDOWN($K270*$S270/100,0)&lt;-$S270*1000,-$S270*1000-SUMIFS(AS$10:AS269,$A$10:$A269,$A270),-ROUNDDOWN($K270*$S270/100,0))</f>
        <v>0</v>
      </c>
      <c r="AT270" s="38">
        <f>IF(AND(X270="○",$A270&gt;=AT$8,$A270&lt;=AT$9,K270&gt;=3980),IF(SUM(AT$10:AT269)-ROUNDDOWN($K270*AT$5/100,0)&lt;-AT$6,-AT$6-SUM(AT$10:AT269),-ROUNDDOWN($K270*AT$5/100,0)),0)</f>
        <v>0</v>
      </c>
      <c r="AU270" s="38">
        <f>IF(O270="○",IF(SUM(AU$10:AU269)-ROUNDDOWN($K270*AU$5/100,0)&lt;-AU$6,-AU$6-SUM(AU$10:AU269),-ROUNDDOWN($K270*AU$5/100,0)),0)</f>
        <v>0</v>
      </c>
      <c r="AV270" s="38">
        <f>IF(P270="○",IF(SUM(AV$10:AV269)-ROUNDDOWN($K270*AV$5/100,0)&lt;-AV$6,-AV$6-SUM(AV$10:AV269),-ROUNDDOWN($K270*AV$5/100,0)),0)</f>
        <v>0</v>
      </c>
      <c r="AW270" s="38">
        <f>IF(Q270="○",IF(SUM(AW$10:AW269)-ROUNDDOWN($K270*AW$5/100,0)&lt;-AW$6,-AW$6-SUM(AW$10:AW269),-ROUNDDOWN($K270*AW$5/100,0)),0)</f>
        <v>0</v>
      </c>
      <c r="AX270" s="38">
        <f>IF(R270="○",IF(SUM(AX$10:AX269)-ROUNDDOWN($K270*AX$5/100,0)&lt;-AX$6,-AX$6-SUM(AX$10:AX269),-ROUNDDOWN($K270*AX$5/100,0)),0)</f>
        <v>0</v>
      </c>
      <c r="AY270" s="70">
        <v>0</v>
      </c>
      <c r="AZ270" s="65">
        <f t="shared" si="178"/>
        <v>0</v>
      </c>
      <c r="BA270" s="65">
        <f t="shared" si="179"/>
        <v>0</v>
      </c>
      <c r="BB270" s="70"/>
      <c r="BC270" s="65">
        <f t="shared" si="180"/>
        <v>0</v>
      </c>
      <c r="BD270" s="70">
        <v>0</v>
      </c>
      <c r="BE270" s="65">
        <f t="shared" si="181"/>
        <v>0</v>
      </c>
      <c r="BF270" s="70">
        <v>0</v>
      </c>
      <c r="BG270" s="65">
        <f t="shared" si="182"/>
        <v>0</v>
      </c>
      <c r="BH270" s="70">
        <v>0</v>
      </c>
      <c r="BI270" s="65">
        <f t="shared" si="183"/>
        <v>0</v>
      </c>
      <c r="BJ270" s="38">
        <f>IF(AND(BJ$7="○",$A270&gt;=BJ$8,$A270&lt;=BJ$9),IF(SUM(BJ$10:BJ269)-ROUNDDOWN($M270*BJ$5/100,0)&lt;-BJ$6,-BJ$6-SUM(BJ$10:BJ269),-ROUNDDOWN($M270*BJ$5/100,0)),0)</f>
        <v>0</v>
      </c>
      <c r="BK270" s="38">
        <f>IF(AND(BK$7="○",$A270&gt;=BK$8,$A270&lt;=BK$9),IF(SUM(BK$10:BK269)-ROUNDDOWN($L270*BK$5/100,0)&lt;-BK$6,-BK$6-SUM(BK$10:BK269),-ROUNDDOWN($L270*BK$5/100,0)),0)</f>
        <v>0</v>
      </c>
      <c r="BL270" s="38">
        <f>IF(AND(BL$7="○",$A270&gt;=BL$8,$A270&lt;=BL$9),IF(SUM(BL$10:BL269)-ROUNDDOWN($L270*BL$5/100,0)&lt;-BL$6,-BL$6-SUM(BL$10:BL269),-ROUNDDOWN($L270*BL$5/100,0)),0)</f>
        <v>0</v>
      </c>
      <c r="BM270" s="38">
        <f>IF(AND(BM$7="○",$A270&gt;=BM$8,$A270&lt;=BM$9),IF(SUM(BM$10:BM269)-ROUNDDOWN($M270*BM$5/100,0)&lt;-BM$6,-BM$6-SUM(BM$10:BM269),-ROUNDDOWN($M270*BM$5/100,0)),0)</f>
        <v>0</v>
      </c>
      <c r="BN270" s="38">
        <f>IF(AND(BN$7="○",$A270&gt;=BN$8,$A270&lt;=BN$9),IF(SUM(BN$10:BN269)-ROUNDDOWN($M270*BN$5/100,0)&lt;-BN$6,-BN$6-SUM(BN$10:BN269),-ROUNDDOWN($M270*BN$5/100,0)),0)</f>
        <v>0</v>
      </c>
      <c r="BO270" s="38">
        <f>IF(AND(BO$7="○",$A270&gt;=BO$8,$A270&lt;=BO$9),IF(SUM(BO$10:BO269)-ROUNDDOWN($M270*BO$5/100,0)&lt;-BO$6,-BO$6-SUM(BO$10:BO269),-ROUNDDOWN($M270*BO$5/100,0)),0)</f>
        <v>0</v>
      </c>
      <c r="BP270" s="38">
        <f>IF(AND(BP$7="○",$A270&gt;=BP$8,$A270&lt;=BP$9),IF(SUM(BP$10:BP269)-ROUNDDOWN($M270*BP$5/100,0)&lt;-BP$6,-BP$6-SUM(BP$10:BP269),-ROUNDDOWN($M270*BP$5/100,0)),0)</f>
        <v>0</v>
      </c>
      <c r="BQ270" s="38">
        <f>IF(AND(BQ$7="○",$A270&gt;=BQ$8,$A270&lt;=BQ$9),IF(SUM(BQ$10:BQ269)-ROUNDDOWN($L270*BQ$5/100,0)&lt;-BQ$6,-BQ$6-SUM(BQ$10:BQ269),-ROUNDDOWN($L270*BQ$5/100,0)),0)</f>
        <v>0</v>
      </c>
      <c r="BR270" s="38">
        <f>IF(AND(BR$7="○",$A270&gt;=BR$8,$A270&lt;=BR$9),IF(SUM(BR$10:BR269)-ROUNDDOWN($M270*BR$5/100,0)&lt;-BR$6,-BR$6-SUM(BR$10:BR269),-ROUNDDOWN($M270*BR$5/100,0)),0)</f>
        <v>0</v>
      </c>
      <c r="BS270" s="38">
        <f>IF(AND(BS$7="○",$A270&gt;=BS$8,$A270&lt;=BS$9),IF(SUM(BS$10:BS269)-ROUNDDOWN($M270*BS$5/100,0)&lt;-BS$6,-BS$6-SUM(BS$10:BS269),-ROUNDDOWN($M270*BS$5/100,0)),0)</f>
        <v>0</v>
      </c>
      <c r="BT270" s="38">
        <f>IF(AND(BT$7="○",$A270&gt;=BT$8,$A270&lt;=BT$9),IF(SUM(BT$10:BT269)-ROUNDDOWN($M270*BT$5/100,0)&lt;-BT$6,-BT$6-SUM(BT$10:BT269),-ROUNDDOWN($M270*BT$5/100,0)),0)</f>
        <v>0</v>
      </c>
      <c r="BU270" s="38">
        <f>IF(AND(BU$7="○",$A270&gt;=BU$8,$A270&lt;=BU$9),IF(SUM(BU$10:BU269)-ROUNDDOWN($M270*BU$5/100,0)&lt;-BU$6,-BU$6-SUM(BU$10:BU269),-ROUNDDOWN($M270*BU$5/100,0)),0)</f>
        <v>0</v>
      </c>
      <c r="BV270" s="38">
        <f>IF(AND(BV$7="○",$A270&gt;=BV$8,$A270&lt;=BV$9),IF(SUM(BV$10:BV269)-ROUNDDOWN($M270*BV$5/100,0)&lt;-BV$6,-BV$6-SUM(BV$10:BV269),-ROUNDDOWN($M270*BV$5/100,0)),0)</f>
        <v>0</v>
      </c>
      <c r="BW270" s="38">
        <f>IF(AND(BW$7="○",$A270&gt;=BW$8,$A270&lt;=BW$9),IF(SUM(BW$10:BW269)-ROUNDDOWN($M270*BW$5/100,0)&lt;-BW$6,-BW$6-SUM(BW$10:BW269),-ROUNDDOWN($M270*BW$5/100,0)),0)</f>
        <v>0</v>
      </c>
      <c r="BX270" s="38">
        <f>IF(AND(T270="○",$A270&gt;=BX$8,$A270&lt;=BX$9),IF(SUM(BX$10:BX269)-ROUNDDOWN($K270*BX$5/100,0)&lt;-BX$6,-BX$6-SUM(BX$10:BX269),-ROUNDDOWN($K270*BX$5/100,0)),0)</f>
        <v>0</v>
      </c>
      <c r="BY270" s="38">
        <f>IF(AND(U270="○",$A270&gt;=BY$8,$A270&lt;=BY$9),IF(SUM(BY$10:BY269)-ROUNDDOWN($K270*BY$5/100,0)&lt;-BY$6,-BY$6-SUM(BY$10:BY269),-ROUNDDOWN($K270*BY$5/100,0)),0)</f>
        <v>0</v>
      </c>
      <c r="BZ270" s="38">
        <f>IF(AND(V270="○",$A270&gt;=BZ$8,$A270&lt;=BZ$9),IF(SUM(BZ$10:BZ269)-ROUNDDOWN($K270*BZ$5/100,0)&lt;-BZ$6,-BZ$6-SUM(BZ$10:BZ269),-ROUNDDOWN($K270*BZ$5/100,0)),0)</f>
        <v>0</v>
      </c>
      <c r="CA270" s="38">
        <f>IF(AND(W270="○",$A270&gt;=CA$8,$A270&lt;=CA$9),IF(SUM(CA$10:CA269)-ROUNDDOWN($K270*CA$5/100,0)&lt;-CA$6,-CA$6-SUM(CA$10:CA269),-ROUNDDOWN($K270*CA$5/100,0)),0)</f>
        <v>0</v>
      </c>
      <c r="CB270" s="38"/>
      <c r="CC270" s="38"/>
      <c r="CD270" s="38"/>
      <c r="CE270" s="38"/>
      <c r="CF270" s="38"/>
      <c r="CG270" s="65">
        <f t="shared" si="184"/>
        <v>0</v>
      </c>
      <c r="CH270" s="71">
        <f t="shared" si="185"/>
        <v>0</v>
      </c>
      <c r="CI270" s="1">
        <f t="shared" si="206"/>
        <v>0</v>
      </c>
      <c r="CJ270" s="1"/>
      <c r="CK270" s="75"/>
      <c r="CL270" s="75"/>
      <c r="CM270" s="2"/>
      <c r="CN270" s="2"/>
      <c r="CO270" s="73">
        <f t="shared" si="207"/>
        <v>0</v>
      </c>
      <c r="CP270" s="5">
        <f t="shared" si="208"/>
        <v>0</v>
      </c>
      <c r="CQ270" s="1"/>
      <c r="CR270" s="1">
        <f t="shared" si="209"/>
        <v>0</v>
      </c>
      <c r="CS270" s="1"/>
      <c r="CT270" s="1" t="e">
        <f>INDEX([2]マスタ!$A:$A,MATCH(D270,[2]マスタ!$C:$C,0))</f>
        <v>#N/A</v>
      </c>
      <c r="CU270" s="1" t="str">
        <f t="shared" ca="1" si="210"/>
        <v>20260620_0-0</v>
      </c>
    </row>
    <row r="271" spans="1:99" x14ac:dyDescent="0.4">
      <c r="A271" s="61"/>
      <c r="B271" s="62"/>
      <c r="C271" s="62"/>
      <c r="D271" s="62"/>
      <c r="E271" s="74"/>
      <c r="F271" s="62"/>
      <c r="G271" s="62">
        <v>1</v>
      </c>
      <c r="H271" s="64">
        <f t="shared" si="197"/>
        <v>0</v>
      </c>
      <c r="I271" s="64"/>
      <c r="J271" s="64"/>
      <c r="K271" s="65">
        <f t="shared" si="211"/>
        <v>0</v>
      </c>
      <c r="L271" s="65">
        <f t="shared" si="199"/>
        <v>0</v>
      </c>
      <c r="M271" s="65">
        <f t="shared" si="200"/>
        <v>0</v>
      </c>
      <c r="N271" s="65">
        <f t="shared" si="201"/>
        <v>0</v>
      </c>
      <c r="O271" s="66" t="str">
        <f t="shared" si="202"/>
        <v>✕</v>
      </c>
      <c r="P271" s="67" t="str">
        <f t="shared" si="203"/>
        <v>○</v>
      </c>
      <c r="Q271" s="67" t="str">
        <f t="shared" si="212"/>
        <v>✕</v>
      </c>
      <c r="R271" s="67" t="str">
        <f t="shared" si="205"/>
        <v>✕</v>
      </c>
      <c r="S271" s="68">
        <v>0</v>
      </c>
      <c r="T271" s="69" t="s">
        <v>85</v>
      </c>
      <c r="U271" s="69" t="s">
        <v>85</v>
      </c>
      <c r="V271" s="69" t="s">
        <v>85</v>
      </c>
      <c r="W271" s="69" t="s">
        <v>85</v>
      </c>
      <c r="X271" s="69" t="s">
        <v>84</v>
      </c>
      <c r="Y271" s="69" t="s">
        <v>85</v>
      </c>
      <c r="Z271" s="69" t="s">
        <v>85</v>
      </c>
      <c r="AA271" s="69" t="s">
        <v>85</v>
      </c>
      <c r="AB271" s="69" t="s">
        <v>85</v>
      </c>
      <c r="AC271" s="69" t="s">
        <v>85</v>
      </c>
      <c r="AD271" s="38" t="str">
        <f>+IF(ISERROR(VLOOKUP($B271,AD$10:AD270,1,0)),IF(AND($N271&gt;=1000,$A271&gt;=AO$8,$A271&lt;=AO$9),$B271,""),"")</f>
        <v/>
      </c>
      <c r="AE271" s="38" t="str">
        <f>+IF(ISERROR(VLOOKUP($B271,AE$10:AE270,1,0)),IF(AND($N271&gt;=1000,$A271&gt;=AP$8,$A271&lt;=AP$9),$B271,""),"")</f>
        <v/>
      </c>
      <c r="AF271" s="38" t="str">
        <f>+IF(ISERROR(VLOOKUP($B271,AF$10:AF270,1,0)),IF(AND($N271&gt;=1000,$A271&gt;=AQ$8,$A271&lt;=AQ$9),$B271,""),"")</f>
        <v/>
      </c>
      <c r="AG271" s="38" t="str">
        <f>+IF(ISERROR(VLOOKUP($B271,AG$10:AG270,1,0)),IF(AND($N271&gt;=1000,$A271&gt;=AR$8,$A271&lt;=AR$9),$B271,""),"")</f>
        <v/>
      </c>
      <c r="AH271" s="38"/>
      <c r="AI271" s="70">
        <v>0</v>
      </c>
      <c r="AJ271" s="38">
        <f>IF(AND(AJ$7="○",$A271&gt;=AJ$8,$A271&lt;=AJ$9),IF(SUM(AJ$10:AJ270)-ROUNDDOWN($K271*AJ$5/100,0)&lt;-AJ$6,-AJ$6-SUM(AJ$10:AJ270),-ROUNDDOWN($K271*AJ$5/100,0)),0)</f>
        <v>0</v>
      </c>
      <c r="AK271" s="38">
        <f>IF(AND(AK$7="○",$A271&gt;=AK$8,$A271&lt;=AK$9),IF(SUM(AK$10:AK270)-ROUNDDOWN($L271*AK$5/100,0)&lt;-AK$6,-AK$6-SUM(AK$10:AK270),-ROUNDDOWN($L271*AK$5/100,0)),0)</f>
        <v>0</v>
      </c>
      <c r="AL271" s="38">
        <f>IF(AND(AL$7="○",$A271&gt;=AL$8,$A271&lt;=AL$9),IF(SUM(AL$10:AL270)-ROUNDDOWN($N271*AL$5/100,0)&lt;-AL$6,-AL$6-SUM(AL$10:AL270),-ROUNDDOWN($N271*AL$5/100,0)),0)</f>
        <v>0</v>
      </c>
      <c r="AM271" s="38">
        <f>IF(AND(AM$7="○",$A271&gt;=AM$8,$A271&lt;=AM$9),IF(SUM(AM$10:AM270)-ROUNDDOWN($L271*AM$5/100,0)&lt;-AM$6,-AM$6-SUM(AM$10:AM270),-ROUNDDOWN($L271*AM$5/100,0)),0)</f>
        <v>0</v>
      </c>
      <c r="AN271" s="38">
        <f>IF(AND(AN$7="○",$A271&gt;=AN$8,$A271&lt;=AN$9),IF(SUM(AN$10:AN270)-ROUNDDOWN($M271*AN$5/100,0)&lt;-AN$6,-AN$6-SUM(AN$10:AN270),-ROUNDDOWN($M271*AN$5/100,0)),0)</f>
        <v>0</v>
      </c>
      <c r="AO271" s="38">
        <f>IF(AND($A271&gt;=AO$8,$A271&lt;=AO$9),IF(SUM(AO$10:AO270)-ROUNDDOWN($K271*AO$5/100,0)&lt;-AO$6,-AO$6-SUM(AO$10:AO270),-ROUNDDOWN($K271*AO$5/100,0)),0)</f>
        <v>0</v>
      </c>
      <c r="AP271" s="38">
        <f>IF(AND($A271&gt;=AP$8,$A271&lt;=AP$9),IF(SUM(AP$10:AP270)-ROUNDDOWN($K271*AP$5/100,0)&lt;-AP$6,-AP$6-SUM(AP$10:AP270),-ROUNDDOWN($K271*AP$5/100,0)),0)</f>
        <v>0</v>
      </c>
      <c r="AQ271" s="38">
        <f>IF(AND($A271&gt;=AQ$8,$A271&lt;=AQ$9),IF(SUM(AQ$10:AQ270)-ROUNDDOWN($K271*AQ$5/100,0)&lt;-AQ$6,-AQ$6-SUM(AQ$10:AQ270),-ROUNDDOWN($K271*AQ$5/100,0)),0)</f>
        <v>0</v>
      </c>
      <c r="AR271" s="38">
        <f>IF(AND($A271&gt;=AR$8,$A271&lt;=AR$9),IF(SUM(AR$10:AR270)-ROUNDDOWN($K271*AR$5/100,0)&lt;-AR$6,-AR$6-SUM(AR$10:AR270),-ROUNDDOWN($K271*AR$5/100,0)),0)</f>
        <v>0</v>
      </c>
      <c r="AS271" s="38">
        <f>IF(SUMIFS(AS$10:AS270,$A$10:$A270,$A271)-ROUNDDOWN($K271*$S271/100,0)&lt;-$S271*1000,-$S271*1000-SUMIFS(AS$10:AS270,$A$10:$A270,$A271),-ROUNDDOWN($K271*$S271/100,0))</f>
        <v>0</v>
      </c>
      <c r="AT271" s="38">
        <f>IF(AND(X271="○",$A271&gt;=AT$8,$A271&lt;=AT$9,K271&gt;=3980),IF(SUM(AT$10:AT270)-ROUNDDOWN($K271*AT$5/100,0)&lt;-AT$6,-AT$6-SUM(AT$10:AT270),-ROUNDDOWN($K271*AT$5/100,0)),0)</f>
        <v>0</v>
      </c>
      <c r="AU271" s="38">
        <f>IF(O271="○",IF(SUM(AU$10:AU270)-ROUNDDOWN($K271*AU$5/100,0)&lt;-AU$6,-AU$6-SUM(AU$10:AU270),-ROUNDDOWN($K271*AU$5/100,0)),0)</f>
        <v>0</v>
      </c>
      <c r="AV271" s="38">
        <f>IF(P271="○",IF(SUM(AV$10:AV270)-ROUNDDOWN($K271*AV$5/100,0)&lt;-AV$6,-AV$6-SUM(AV$10:AV270),-ROUNDDOWN($K271*AV$5/100,0)),0)</f>
        <v>0</v>
      </c>
      <c r="AW271" s="38">
        <f>IF(Q271="○",IF(SUM(AW$10:AW270)-ROUNDDOWN($K271*AW$5/100,0)&lt;-AW$6,-AW$6-SUM(AW$10:AW270),-ROUNDDOWN($K271*AW$5/100,0)),0)</f>
        <v>0</v>
      </c>
      <c r="AX271" s="38">
        <f>IF(R271="○",IF(SUM(AX$10:AX270)-ROUNDDOWN($K271*AX$5/100,0)&lt;-AX$6,-AX$6-SUM(AX$10:AX270),-ROUNDDOWN($K271*AX$5/100,0)),0)</f>
        <v>0</v>
      </c>
      <c r="AY271" s="70">
        <v>0</v>
      </c>
      <c r="AZ271" s="65">
        <f t="shared" si="178"/>
        <v>0</v>
      </c>
      <c r="BA271" s="65">
        <f t="shared" si="179"/>
        <v>0</v>
      </c>
      <c r="BB271" s="70"/>
      <c r="BC271" s="65">
        <f t="shared" si="180"/>
        <v>0</v>
      </c>
      <c r="BD271" s="70">
        <v>0</v>
      </c>
      <c r="BE271" s="65">
        <f t="shared" si="181"/>
        <v>0</v>
      </c>
      <c r="BF271" s="70">
        <v>0</v>
      </c>
      <c r="BG271" s="65">
        <f t="shared" si="182"/>
        <v>0</v>
      </c>
      <c r="BH271" s="70">
        <v>0</v>
      </c>
      <c r="BI271" s="65">
        <f t="shared" si="183"/>
        <v>0</v>
      </c>
      <c r="BJ271" s="38">
        <f>IF(AND(BJ$7="○",$A271&gt;=BJ$8,$A271&lt;=BJ$9),IF(SUM(BJ$10:BJ270)-ROUNDDOWN($M271*BJ$5/100,0)&lt;-BJ$6,-BJ$6-SUM(BJ$10:BJ270),-ROUNDDOWN($M271*BJ$5/100,0)),0)</f>
        <v>0</v>
      </c>
      <c r="BK271" s="38">
        <f>IF(AND(BK$7="○",$A271&gt;=BK$8,$A271&lt;=BK$9),IF(SUM(BK$10:BK270)-ROUNDDOWN($L271*BK$5/100,0)&lt;-BK$6,-BK$6-SUM(BK$10:BK270),-ROUNDDOWN($L271*BK$5/100,0)),0)</f>
        <v>0</v>
      </c>
      <c r="BL271" s="38">
        <f>IF(AND(BL$7="○",$A271&gt;=BL$8,$A271&lt;=BL$9),IF(SUM(BL$10:BL270)-ROUNDDOWN($L271*BL$5/100,0)&lt;-BL$6,-BL$6-SUM(BL$10:BL270),-ROUNDDOWN($L271*BL$5/100,0)),0)</f>
        <v>0</v>
      </c>
      <c r="BM271" s="38">
        <f>IF(AND(BM$7="○",$A271&gt;=BM$8,$A271&lt;=BM$9),IF(SUM(BM$10:BM270)-ROUNDDOWN($M271*BM$5/100,0)&lt;-BM$6,-BM$6-SUM(BM$10:BM270),-ROUNDDOWN($M271*BM$5/100,0)),0)</f>
        <v>0</v>
      </c>
      <c r="BN271" s="38">
        <f>IF(AND(BN$7="○",$A271&gt;=BN$8,$A271&lt;=BN$9),IF(SUM(BN$10:BN270)-ROUNDDOWN($M271*BN$5/100,0)&lt;-BN$6,-BN$6-SUM(BN$10:BN270),-ROUNDDOWN($M271*BN$5/100,0)),0)</f>
        <v>0</v>
      </c>
      <c r="BO271" s="38">
        <f>IF(AND(BO$7="○",$A271&gt;=BO$8,$A271&lt;=BO$9),IF(SUM(BO$10:BO270)-ROUNDDOWN($M271*BO$5/100,0)&lt;-BO$6,-BO$6-SUM(BO$10:BO270),-ROUNDDOWN($M271*BO$5/100,0)),0)</f>
        <v>0</v>
      </c>
      <c r="BP271" s="38">
        <f>IF(AND(BP$7="○",$A271&gt;=BP$8,$A271&lt;=BP$9),IF(SUM(BP$10:BP270)-ROUNDDOWN($M271*BP$5/100,0)&lt;-BP$6,-BP$6-SUM(BP$10:BP270),-ROUNDDOWN($M271*BP$5/100,0)),0)</f>
        <v>0</v>
      </c>
      <c r="BQ271" s="38">
        <f>IF(AND(BQ$7="○",$A271&gt;=BQ$8,$A271&lt;=BQ$9),IF(SUM(BQ$10:BQ270)-ROUNDDOWN($L271*BQ$5/100,0)&lt;-BQ$6,-BQ$6-SUM(BQ$10:BQ270),-ROUNDDOWN($L271*BQ$5/100,0)),0)</f>
        <v>0</v>
      </c>
      <c r="BR271" s="38">
        <f>IF(AND(BR$7="○",$A271&gt;=BR$8,$A271&lt;=BR$9),IF(SUM(BR$10:BR270)-ROUNDDOWN($M271*BR$5/100,0)&lt;-BR$6,-BR$6-SUM(BR$10:BR270),-ROUNDDOWN($M271*BR$5/100,0)),0)</f>
        <v>0</v>
      </c>
      <c r="BS271" s="38">
        <f>IF(AND(BS$7="○",$A271&gt;=BS$8,$A271&lt;=BS$9),IF(SUM(BS$10:BS270)-ROUNDDOWN($M271*BS$5/100,0)&lt;-BS$6,-BS$6-SUM(BS$10:BS270),-ROUNDDOWN($M271*BS$5/100,0)),0)</f>
        <v>0</v>
      </c>
      <c r="BT271" s="38">
        <f>IF(AND(BT$7="○",$A271&gt;=BT$8,$A271&lt;=BT$9),IF(SUM(BT$10:BT270)-ROUNDDOWN($M271*BT$5/100,0)&lt;-BT$6,-BT$6-SUM(BT$10:BT270),-ROUNDDOWN($M271*BT$5/100,0)),0)</f>
        <v>0</v>
      </c>
      <c r="BU271" s="38">
        <f>IF(AND(BU$7="○",$A271&gt;=BU$8,$A271&lt;=BU$9),IF(SUM(BU$10:BU270)-ROUNDDOWN($M271*BU$5/100,0)&lt;-BU$6,-BU$6-SUM(BU$10:BU270),-ROUNDDOWN($M271*BU$5/100,0)),0)</f>
        <v>0</v>
      </c>
      <c r="BV271" s="38">
        <f>IF(AND(BV$7="○",$A271&gt;=BV$8,$A271&lt;=BV$9),IF(SUM(BV$10:BV270)-ROUNDDOWN($M271*BV$5/100,0)&lt;-BV$6,-BV$6-SUM(BV$10:BV270),-ROUNDDOWN($M271*BV$5/100,0)),0)</f>
        <v>0</v>
      </c>
      <c r="BW271" s="38">
        <f>IF(AND(BW$7="○",$A271&gt;=BW$8,$A271&lt;=BW$9),IF(SUM(BW$10:BW270)-ROUNDDOWN($M271*BW$5/100,0)&lt;-BW$6,-BW$6-SUM(BW$10:BW270),-ROUNDDOWN($M271*BW$5/100,0)),0)</f>
        <v>0</v>
      </c>
      <c r="BX271" s="38">
        <f>IF(AND(T271="○",$A271&gt;=BX$8,$A271&lt;=BX$9),IF(SUM(BX$10:BX270)-ROUNDDOWN($K271*BX$5/100,0)&lt;-BX$6,-BX$6-SUM(BX$10:BX270),-ROUNDDOWN($K271*BX$5/100,0)),0)</f>
        <v>0</v>
      </c>
      <c r="BY271" s="38">
        <f>IF(AND(U271="○",$A271&gt;=BY$8,$A271&lt;=BY$9),IF(SUM(BY$10:BY270)-ROUNDDOWN($K271*BY$5/100,0)&lt;-BY$6,-BY$6-SUM(BY$10:BY270),-ROUNDDOWN($K271*BY$5/100,0)),0)</f>
        <v>0</v>
      </c>
      <c r="BZ271" s="38">
        <f>IF(AND(V271="○",$A271&gt;=BZ$8,$A271&lt;=BZ$9),IF(SUM(BZ$10:BZ270)-ROUNDDOWN($K271*BZ$5/100,0)&lt;-BZ$6,-BZ$6-SUM(BZ$10:BZ270),-ROUNDDOWN($K271*BZ$5/100,0)),0)</f>
        <v>0</v>
      </c>
      <c r="CA271" s="38">
        <f>IF(AND(W271="○",$A271&gt;=CA$8,$A271&lt;=CA$9),IF(SUM(CA$10:CA270)-ROUNDDOWN($K271*CA$5/100,0)&lt;-CA$6,-CA$6-SUM(CA$10:CA270),-ROUNDDOWN($K271*CA$5/100,0)),0)</f>
        <v>0</v>
      </c>
      <c r="CB271" s="38"/>
      <c r="CC271" s="38"/>
      <c r="CD271" s="38"/>
      <c r="CE271" s="38"/>
      <c r="CF271" s="38"/>
      <c r="CG271" s="65">
        <f t="shared" si="184"/>
        <v>0</v>
      </c>
      <c r="CH271" s="71">
        <f t="shared" si="185"/>
        <v>0</v>
      </c>
      <c r="CI271" s="1">
        <f t="shared" si="206"/>
        <v>0</v>
      </c>
      <c r="CJ271" s="1"/>
      <c r="CK271" s="75"/>
      <c r="CL271" s="75"/>
      <c r="CM271" s="2"/>
      <c r="CN271" s="2"/>
      <c r="CO271" s="73">
        <f t="shared" si="207"/>
        <v>0</v>
      </c>
      <c r="CP271" s="5">
        <f t="shared" si="208"/>
        <v>0</v>
      </c>
      <c r="CQ271" s="1"/>
      <c r="CR271" s="1">
        <f t="shared" si="209"/>
        <v>0</v>
      </c>
      <c r="CS271" s="1"/>
      <c r="CT271" s="1" t="e">
        <f>INDEX([2]マスタ!$A:$A,MATCH(D271,[2]マスタ!$C:$C,0))</f>
        <v>#N/A</v>
      </c>
      <c r="CU271" s="1" t="str">
        <f t="shared" ca="1" si="210"/>
        <v>20260620_0-0</v>
      </c>
    </row>
    <row r="272" spans="1:99" x14ac:dyDescent="0.4">
      <c r="A272" s="61"/>
      <c r="B272" s="62"/>
      <c r="C272" s="62"/>
      <c r="D272" s="62"/>
      <c r="E272" s="74"/>
      <c r="F272" s="62"/>
      <c r="G272" s="62">
        <v>1</v>
      </c>
      <c r="H272" s="64">
        <f t="shared" si="197"/>
        <v>0</v>
      </c>
      <c r="I272" s="64"/>
      <c r="J272" s="64"/>
      <c r="K272" s="65">
        <f>+ROUNDDOWN((H272+I272)/100,0)*100</f>
        <v>0</v>
      </c>
      <c r="L272" s="65">
        <f t="shared" si="199"/>
        <v>0</v>
      </c>
      <c r="M272" s="65">
        <f t="shared" si="200"/>
        <v>0</v>
      </c>
      <c r="N272" s="65">
        <f t="shared" si="201"/>
        <v>0</v>
      </c>
      <c r="O272" s="66" t="str">
        <f t="shared" si="202"/>
        <v>✕</v>
      </c>
      <c r="P272" s="67" t="str">
        <f t="shared" si="203"/>
        <v>○</v>
      </c>
      <c r="Q272" s="67" t="str">
        <f>+IF((TEXT($A272,"DD")+0)=1,"○","✕")</f>
        <v>✕</v>
      </c>
      <c r="R272" s="67" t="str">
        <f t="shared" si="205"/>
        <v>✕</v>
      </c>
      <c r="S272" s="68">
        <v>0</v>
      </c>
      <c r="T272" s="69" t="s">
        <v>85</v>
      </c>
      <c r="U272" s="69" t="s">
        <v>85</v>
      </c>
      <c r="V272" s="69" t="s">
        <v>85</v>
      </c>
      <c r="W272" s="69" t="s">
        <v>85</v>
      </c>
      <c r="X272" s="69" t="s">
        <v>84</v>
      </c>
      <c r="Y272" s="69" t="s">
        <v>85</v>
      </c>
      <c r="Z272" s="69" t="s">
        <v>85</v>
      </c>
      <c r="AA272" s="69" t="s">
        <v>85</v>
      </c>
      <c r="AB272" s="69" t="s">
        <v>85</v>
      </c>
      <c r="AC272" s="69" t="s">
        <v>85</v>
      </c>
      <c r="AD272" s="38" t="str">
        <f>+IF(ISERROR(VLOOKUP($B272,AD$10:AD271,1,0)),IF(AND($N272&gt;=1000,$A272&gt;=AO$8,$A272&lt;=AO$9),$B272,""),"")</f>
        <v/>
      </c>
      <c r="AE272" s="38" t="str">
        <f>+IF(ISERROR(VLOOKUP($B272,AE$10:AE271,1,0)),IF(AND($N272&gt;=1000,$A272&gt;=AP$8,$A272&lt;=AP$9),$B272,""),"")</f>
        <v/>
      </c>
      <c r="AF272" s="38" t="str">
        <f>+IF(ISERROR(VLOOKUP($B272,AF$10:AF271,1,0)),IF(AND($N272&gt;=1000,$A272&gt;=AQ$8,$A272&lt;=AQ$9),$B272,""),"")</f>
        <v/>
      </c>
      <c r="AG272" s="38" t="str">
        <f>+IF(ISERROR(VLOOKUP($B272,AG$10:AG271,1,0)),IF(AND($N272&gt;=1000,$A272&gt;=AR$8,$A272&lt;=AR$9),$B272,""),"")</f>
        <v/>
      </c>
      <c r="AH272" s="38"/>
      <c r="AI272" s="70">
        <v>0</v>
      </c>
      <c r="AJ272" s="38">
        <f>IF(AND(AJ$7="○",$A272&gt;=AJ$8,$A272&lt;=AJ$9),IF(SUM(AJ$10:AJ271)-ROUNDDOWN($K272*AJ$5/100,0)&lt;-AJ$6,-AJ$6-SUM(AJ$10:AJ271),-ROUNDDOWN($K272*AJ$5/100,0)),0)</f>
        <v>0</v>
      </c>
      <c r="AK272" s="38">
        <f>IF(AND(AK$7="○",$A272&gt;=AK$8,$A272&lt;=AK$9),IF(SUM(AK$10:AK271)-ROUNDDOWN($L272*AK$5/100,0)&lt;-AK$6,-AK$6-SUM(AK$10:AK271),-ROUNDDOWN($L272*AK$5/100,0)),0)</f>
        <v>0</v>
      </c>
      <c r="AL272" s="38">
        <f>IF(AND(AL$7="○",$A272&gt;=AL$8,$A272&lt;=AL$9),IF(SUM(AL$10:AL271)-ROUNDDOWN($N272*AL$5/100,0)&lt;-AL$6,-AL$6-SUM(AL$10:AL271),-ROUNDDOWN($N272*AL$5/100,0)),0)</f>
        <v>0</v>
      </c>
      <c r="AM272" s="38">
        <f>IF(AND(AM$7="○",$A272&gt;=AM$8,$A272&lt;=AM$9),IF(SUM(AM$10:AM271)-ROUNDDOWN($L272*AM$5/100,0)&lt;-AM$6,-AM$6-SUM(AM$10:AM271),-ROUNDDOWN($L272*AM$5/100,0)),0)</f>
        <v>0</v>
      </c>
      <c r="AN272" s="38">
        <f>IF(AND(AN$7="○",$A272&gt;=AN$8,$A272&lt;=AN$9),IF(SUM(AN$10:AN271)-ROUNDDOWN($M272*AN$5/100,0)&lt;-AN$6,-AN$6-SUM(AN$10:AN271),-ROUNDDOWN($M272*AN$5/100,0)),0)</f>
        <v>0</v>
      </c>
      <c r="AO272" s="38">
        <f>IF(AND($A272&gt;=AO$8,$A272&lt;=AO$9),IF(SUM(AO$10:AO271)-ROUNDDOWN($K272*AO$5/100,0)&lt;-AO$6,-AO$6-SUM(AO$10:AO271),-ROUNDDOWN($K272*AO$5/100,0)),0)</f>
        <v>0</v>
      </c>
      <c r="AP272" s="38">
        <f>IF(AND($A272&gt;=AP$8,$A272&lt;=AP$9),IF(SUM(AP$10:AP271)-ROUNDDOWN($K272*AP$5/100,0)&lt;-AP$6,-AP$6-SUM(AP$10:AP271),-ROUNDDOWN($K272*AP$5/100,0)),0)</f>
        <v>0</v>
      </c>
      <c r="AQ272" s="38">
        <f>IF(AND($A272&gt;=AQ$8,$A272&lt;=AQ$9),IF(SUM(AQ$10:AQ271)-ROUNDDOWN($K272*AQ$5/100,0)&lt;-AQ$6,-AQ$6-SUM(AQ$10:AQ271),-ROUNDDOWN($K272*AQ$5/100,0)),0)</f>
        <v>0</v>
      </c>
      <c r="AR272" s="38">
        <f>IF(AND($A272&gt;=AR$8,$A272&lt;=AR$9),IF(SUM(AR$10:AR271)-ROUNDDOWN($K272*AR$5/100,0)&lt;-AR$6,-AR$6-SUM(AR$10:AR271),-ROUNDDOWN($K272*AR$5/100,0)),0)</f>
        <v>0</v>
      </c>
      <c r="AS272" s="38">
        <f>IF(SUMIFS(AS$10:AS271,$A$10:$A271,$A272)-ROUNDDOWN($K272*$S272/100,0)&lt;-$S272*1000,-$S272*1000-SUMIFS(AS$10:AS271,$A$10:$A271,$A272),-ROUNDDOWN($K272*$S272/100,0))</f>
        <v>0</v>
      </c>
      <c r="AT272" s="38">
        <f>IF(AND(X272="○",$A272&gt;=AT$8,$A272&lt;=AT$9,K272&gt;=3980),IF(SUM(AT$10:AT271)-ROUNDDOWN($K272*AT$5/100,0)&lt;-AT$6,-AT$6-SUM(AT$10:AT271),-ROUNDDOWN($K272*AT$5/100,0)),0)</f>
        <v>0</v>
      </c>
      <c r="AU272" s="38">
        <f>IF(O272="○",IF(SUM(AU$10:AU271)-ROUNDDOWN($K272*AU$5/100,0)&lt;-AU$6,-AU$6-SUM(AU$10:AU271),-ROUNDDOWN($K272*AU$5/100,0)),0)</f>
        <v>0</v>
      </c>
      <c r="AV272" s="38">
        <f>IF(P272="○",IF(SUM(AV$10:AV271)-ROUNDDOWN($K272*AV$5/100,0)&lt;-AV$6,-AV$6-SUM(AV$10:AV271),-ROUNDDOWN($K272*AV$5/100,0)),0)</f>
        <v>0</v>
      </c>
      <c r="AW272" s="38">
        <f>IF(Q272="○",IF(SUM(AW$10:AW271)-ROUNDDOWN($K272*AW$5/100,0)&lt;-AW$6,-AW$6-SUM(AW$10:AW271),-ROUNDDOWN($K272*AW$5/100,0)),0)</f>
        <v>0</v>
      </c>
      <c r="AX272" s="38">
        <f>IF(R272="○",IF(SUM(AX$10:AX271)-ROUNDDOWN($K272*AX$5/100,0)&lt;-AX$6,-AX$6-SUM(AX$10:AX271),-ROUNDDOWN($K272*AX$5/100,0)),0)</f>
        <v>0</v>
      </c>
      <c r="AY272" s="70">
        <v>0</v>
      </c>
      <c r="AZ272" s="65">
        <f t="shared" si="178"/>
        <v>0</v>
      </c>
      <c r="BA272" s="65">
        <f t="shared" si="179"/>
        <v>0</v>
      </c>
      <c r="BB272" s="70"/>
      <c r="BC272" s="65">
        <f t="shared" si="180"/>
        <v>0</v>
      </c>
      <c r="BD272" s="70">
        <v>0</v>
      </c>
      <c r="BE272" s="65">
        <f t="shared" si="181"/>
        <v>0</v>
      </c>
      <c r="BF272" s="70">
        <v>0</v>
      </c>
      <c r="BG272" s="65">
        <f t="shared" si="182"/>
        <v>0</v>
      </c>
      <c r="BH272" s="70">
        <v>0</v>
      </c>
      <c r="BI272" s="65">
        <f t="shared" si="183"/>
        <v>0</v>
      </c>
      <c r="BJ272" s="38">
        <f>IF(AND(BJ$7="○",$A272&gt;=BJ$8,$A272&lt;=BJ$9),IF(SUM(BJ$10:BJ271)-ROUNDDOWN($M272*BJ$5/100,0)&lt;-BJ$6,-BJ$6-SUM(BJ$10:BJ271),-ROUNDDOWN($M272*BJ$5/100,0)),0)</f>
        <v>0</v>
      </c>
      <c r="BK272" s="38">
        <f>IF(AND(BK$7="○",$A272&gt;=BK$8,$A272&lt;=BK$9),IF(SUM(BK$10:BK271)-ROUNDDOWN($L272*BK$5/100,0)&lt;-BK$6,-BK$6-SUM(BK$10:BK271),-ROUNDDOWN($L272*BK$5/100,0)),0)</f>
        <v>0</v>
      </c>
      <c r="BL272" s="38">
        <f>IF(AND(BL$7="○",$A272&gt;=BL$8,$A272&lt;=BL$9),IF(SUM(BL$10:BL271)-ROUNDDOWN($L272*BL$5/100,0)&lt;-BL$6,-BL$6-SUM(BL$10:BL271),-ROUNDDOWN($L272*BL$5/100,0)),0)</f>
        <v>0</v>
      </c>
      <c r="BM272" s="38">
        <f>IF(AND(BM$7="○",$A272&gt;=BM$8,$A272&lt;=BM$9),IF(SUM(BM$10:BM271)-ROUNDDOWN($M272*BM$5/100,0)&lt;-BM$6,-BM$6-SUM(BM$10:BM271),-ROUNDDOWN($M272*BM$5/100,0)),0)</f>
        <v>0</v>
      </c>
      <c r="BN272" s="38">
        <f>IF(AND(BN$7="○",$A272&gt;=BN$8,$A272&lt;=BN$9),IF(SUM(BN$10:BN271)-ROUNDDOWN($M272*BN$5/100,0)&lt;-BN$6,-BN$6-SUM(BN$10:BN271),-ROUNDDOWN($M272*BN$5/100,0)),0)</f>
        <v>0</v>
      </c>
      <c r="BO272" s="38">
        <f>IF(AND(BO$7="○",$A272&gt;=BO$8,$A272&lt;=BO$9),IF(SUM(BO$10:BO271)-ROUNDDOWN($M272*BO$5/100,0)&lt;-BO$6,-BO$6-SUM(BO$10:BO271),-ROUNDDOWN($M272*BO$5/100,0)),0)</f>
        <v>0</v>
      </c>
      <c r="BP272" s="38">
        <f>IF(AND(BP$7="○",$A272&gt;=BP$8,$A272&lt;=BP$9),IF(SUM(BP$10:BP271)-ROUNDDOWN($M272*BP$5/100,0)&lt;-BP$6,-BP$6-SUM(BP$10:BP271),-ROUNDDOWN($M272*BP$5/100,0)),0)</f>
        <v>0</v>
      </c>
      <c r="BQ272" s="38">
        <f>IF(AND(BQ$7="○",$A272&gt;=BQ$8,$A272&lt;=BQ$9),IF(SUM(BQ$10:BQ271)-ROUNDDOWN($L272*BQ$5/100,0)&lt;-BQ$6,-BQ$6-SUM(BQ$10:BQ271),-ROUNDDOWN($L272*BQ$5/100,0)),0)</f>
        <v>0</v>
      </c>
      <c r="BR272" s="38">
        <f>IF(AND(BR$7="○",$A272&gt;=BR$8,$A272&lt;=BR$9),IF(SUM(BR$10:BR271)-ROUNDDOWN($M272*BR$5/100,0)&lt;-BR$6,-BR$6-SUM(BR$10:BR271),-ROUNDDOWN($M272*BR$5/100,0)),0)</f>
        <v>0</v>
      </c>
      <c r="BS272" s="38">
        <f>IF(AND(BS$7="○",$A272&gt;=BS$8,$A272&lt;=BS$9),IF(SUM(BS$10:BS271)-ROUNDDOWN($M272*BS$5/100,0)&lt;-BS$6,-BS$6-SUM(BS$10:BS271),-ROUNDDOWN($M272*BS$5/100,0)),0)</f>
        <v>0</v>
      </c>
      <c r="BT272" s="38">
        <f>IF(AND(BT$7="○",$A272&gt;=BT$8,$A272&lt;=BT$9),IF(SUM(BT$10:BT271)-ROUNDDOWN($M272*BT$5/100,0)&lt;-BT$6,-BT$6-SUM(BT$10:BT271),-ROUNDDOWN($M272*BT$5/100,0)),0)</f>
        <v>0</v>
      </c>
      <c r="BU272" s="38">
        <f>IF(AND(BU$7="○",$A272&gt;=BU$8,$A272&lt;=BU$9),IF(SUM(BU$10:BU271)-ROUNDDOWN($M272*BU$5/100,0)&lt;-BU$6,-BU$6-SUM(BU$10:BU271),-ROUNDDOWN($M272*BU$5/100,0)),0)</f>
        <v>0</v>
      </c>
      <c r="BV272" s="38">
        <f>IF(AND(BV$7="○",$A272&gt;=BV$8,$A272&lt;=BV$9),IF(SUM(BV$10:BV271)-ROUNDDOWN($M272*BV$5/100,0)&lt;-BV$6,-BV$6-SUM(BV$10:BV271),-ROUNDDOWN($M272*BV$5/100,0)),0)</f>
        <v>0</v>
      </c>
      <c r="BW272" s="38">
        <f>IF(AND(BW$7="○",$A272&gt;=BW$8,$A272&lt;=BW$9),IF(SUM(BW$10:BW271)-ROUNDDOWN($M272*BW$5/100,0)&lt;-BW$6,-BW$6-SUM(BW$10:BW271),-ROUNDDOWN($M272*BW$5/100,0)),0)</f>
        <v>0</v>
      </c>
      <c r="BX272" s="38">
        <f>IF(AND(T272="○",$A272&gt;=BX$8,$A272&lt;=BX$9),IF(SUM(BX$10:BX271)-ROUNDDOWN($K272*BX$5/100,0)&lt;-BX$6,-BX$6-SUM(BX$10:BX271),-ROUNDDOWN($K272*BX$5/100,0)),0)</f>
        <v>0</v>
      </c>
      <c r="BY272" s="38">
        <f>IF(AND(U272="○",$A272&gt;=BY$8,$A272&lt;=BY$9),IF(SUM(BY$10:BY271)-ROUNDDOWN($K272*BY$5/100,0)&lt;-BY$6,-BY$6-SUM(BY$10:BY271),-ROUNDDOWN($K272*BY$5/100,0)),0)</f>
        <v>0</v>
      </c>
      <c r="BZ272" s="38">
        <f>IF(AND(V272="○",$A272&gt;=BZ$8,$A272&lt;=BZ$9),IF(SUM(BZ$10:BZ271)-ROUNDDOWN($K272*BZ$5/100,0)&lt;-BZ$6,-BZ$6-SUM(BZ$10:BZ271),-ROUNDDOWN($K272*BZ$5/100,0)),0)</f>
        <v>0</v>
      </c>
      <c r="CA272" s="38">
        <f>IF(AND(W272="○",$A272&gt;=CA$8,$A272&lt;=CA$9),IF(SUM(CA$10:CA271)-ROUNDDOWN($K272*CA$5/100,0)&lt;-CA$6,-CA$6-SUM(CA$10:CA271),-ROUNDDOWN($K272*CA$5/100,0)),0)</f>
        <v>0</v>
      </c>
      <c r="CB272" s="38"/>
      <c r="CC272" s="38"/>
      <c r="CD272" s="38"/>
      <c r="CE272" s="38"/>
      <c r="CF272" s="38"/>
      <c r="CG272" s="65">
        <f t="shared" si="184"/>
        <v>0</v>
      </c>
      <c r="CH272" s="71">
        <f t="shared" si="185"/>
        <v>0</v>
      </c>
      <c r="CI272" s="1">
        <f t="shared" si="206"/>
        <v>0</v>
      </c>
      <c r="CJ272" s="1"/>
      <c r="CK272" s="75"/>
      <c r="CL272" s="75"/>
      <c r="CM272" s="2"/>
      <c r="CN272" s="2"/>
      <c r="CO272" s="73">
        <f t="shared" si="207"/>
        <v>0</v>
      </c>
      <c r="CP272" s="5">
        <f t="shared" si="208"/>
        <v>0</v>
      </c>
      <c r="CQ272" s="1"/>
      <c r="CR272" s="1">
        <f t="shared" si="209"/>
        <v>0</v>
      </c>
      <c r="CS272" s="1"/>
      <c r="CT272" s="1" t="e">
        <f>INDEX([2]マスタ!$A:$A,MATCH(D272,[2]マスタ!$C:$C,0))</f>
        <v>#N/A</v>
      </c>
      <c r="CU272" s="1" t="str">
        <f t="shared" ca="1" si="210"/>
        <v>20260620_0-0</v>
      </c>
    </row>
    <row r="273" spans="1:99" x14ac:dyDescent="0.4">
      <c r="A273" s="61"/>
      <c r="B273" s="62"/>
      <c r="C273" s="62"/>
      <c r="D273" s="62"/>
      <c r="E273" s="63"/>
      <c r="F273" s="62"/>
      <c r="G273" s="62">
        <v>1</v>
      </c>
      <c r="H273" s="64">
        <f t="shared" si="197"/>
        <v>0</v>
      </c>
      <c r="I273" s="64"/>
      <c r="J273" s="64"/>
      <c r="K273" s="65">
        <f>+ROUNDDOWN((H273+I273)/100,0)*100</f>
        <v>0</v>
      </c>
      <c r="L273" s="65">
        <f t="shared" si="199"/>
        <v>0</v>
      </c>
      <c r="M273" s="65">
        <f t="shared" si="200"/>
        <v>0</v>
      </c>
      <c r="N273" s="65">
        <f t="shared" si="201"/>
        <v>0</v>
      </c>
      <c r="O273" s="66" t="str">
        <f t="shared" si="202"/>
        <v>✕</v>
      </c>
      <c r="P273" s="67" t="str">
        <f t="shared" si="203"/>
        <v>○</v>
      </c>
      <c r="Q273" s="67" t="str">
        <f>+IF((TEXT($A273,"DD")+0)=1,"○","✕")</f>
        <v>✕</v>
      </c>
      <c r="R273" s="67" t="str">
        <f t="shared" si="205"/>
        <v>✕</v>
      </c>
      <c r="S273" s="68">
        <v>0</v>
      </c>
      <c r="T273" s="69" t="s">
        <v>85</v>
      </c>
      <c r="U273" s="69" t="s">
        <v>85</v>
      </c>
      <c r="V273" s="69" t="s">
        <v>85</v>
      </c>
      <c r="W273" s="69" t="s">
        <v>85</v>
      </c>
      <c r="X273" s="69" t="s">
        <v>84</v>
      </c>
      <c r="Y273" s="69" t="s">
        <v>85</v>
      </c>
      <c r="Z273" s="69" t="s">
        <v>85</v>
      </c>
      <c r="AA273" s="69" t="s">
        <v>85</v>
      </c>
      <c r="AB273" s="69" t="s">
        <v>85</v>
      </c>
      <c r="AC273" s="69" t="s">
        <v>85</v>
      </c>
      <c r="AD273" s="38" t="str">
        <f>+IF(ISERROR(VLOOKUP($B273,AD$10:AD272,1,0)),IF(AND($N273&gt;=1000,$A273&gt;=AO$8,$A273&lt;=AO$9),$B273,""),"")</f>
        <v/>
      </c>
      <c r="AE273" s="38" t="str">
        <f>+IF(ISERROR(VLOOKUP($B273,AE$10:AE272,1,0)),IF(AND($N273&gt;=1000,$A273&gt;=AP$8,$A273&lt;=AP$9),$B273,""),"")</f>
        <v/>
      </c>
      <c r="AF273" s="38" t="str">
        <f>+IF(ISERROR(VLOOKUP($B273,AF$10:AF272,1,0)),IF(AND($N273&gt;=1000,$A273&gt;=AQ$8,$A273&lt;=AQ$9),$B273,""),"")</f>
        <v/>
      </c>
      <c r="AG273" s="38" t="str">
        <f>+IF(ISERROR(VLOOKUP($B273,AG$10:AG272,1,0)),IF(AND($N273&gt;=1000,$A273&gt;=AR$8,$A273&lt;=AR$9),$B273,""),"")</f>
        <v/>
      </c>
      <c r="AH273" s="38"/>
      <c r="AI273" s="70">
        <v>0</v>
      </c>
      <c r="AJ273" s="38">
        <f>IF(AND(AJ$7="○",$A273&gt;=AJ$8,$A273&lt;=AJ$9),IF(SUM(AJ$10:AJ272)-ROUNDDOWN($K273*AJ$5/100,0)&lt;-AJ$6,-AJ$6-SUM(AJ$10:AJ272),-ROUNDDOWN($K273*AJ$5/100,0)),0)</f>
        <v>0</v>
      </c>
      <c r="AK273" s="38">
        <f>IF(AND(AK$7="○",$A273&gt;=AK$8,$A273&lt;=AK$9),IF(SUM(AK$10:AK272)-ROUNDDOWN($L273*AK$5/100,0)&lt;-AK$6,-AK$6-SUM(AK$10:AK272),-ROUNDDOWN($L273*AK$5/100,0)),0)</f>
        <v>0</v>
      </c>
      <c r="AL273" s="38">
        <f>IF(AND(AL$7="○",$A273&gt;=AL$8,$A273&lt;=AL$9),IF(SUM(AL$10:AL272)-ROUNDDOWN($N273*AL$5/100,0)&lt;-AL$6,-AL$6-SUM(AL$10:AL272),-ROUNDDOWN($N273*AL$5/100,0)),0)</f>
        <v>0</v>
      </c>
      <c r="AM273" s="38">
        <f>IF(AND(AM$7="○",$A273&gt;=AM$8,$A273&lt;=AM$9),IF(SUM(AM$10:AM272)-ROUNDDOWN($L273*AM$5/100,0)&lt;-AM$6,-AM$6-SUM(AM$10:AM272),-ROUNDDOWN($L273*AM$5/100,0)),0)</f>
        <v>0</v>
      </c>
      <c r="AN273" s="38">
        <f>IF(AND(AN$7="○",$A273&gt;=AN$8,$A273&lt;=AN$9),IF(SUM(AN$10:AN272)-ROUNDDOWN($M273*AN$5/100,0)&lt;-AN$6,-AN$6-SUM(AN$10:AN272),-ROUNDDOWN($M273*AN$5/100,0)),0)</f>
        <v>0</v>
      </c>
      <c r="AO273" s="38">
        <f>IF(AND($A273&gt;=AO$8,$A273&lt;=AO$9),IF(SUM(AO$10:AO272)-ROUNDDOWN($K273*AO$5/100,0)&lt;-AO$6,-AO$6-SUM(AO$10:AO272),-ROUNDDOWN($K273*AO$5/100,0)),0)</f>
        <v>0</v>
      </c>
      <c r="AP273" s="38">
        <f>IF(AND($A273&gt;=AP$8,$A273&lt;=AP$9),IF(SUM(AP$10:AP272)-ROUNDDOWN($K273*AP$5/100,0)&lt;-AP$6,-AP$6-SUM(AP$10:AP272),-ROUNDDOWN($K273*AP$5/100,0)),0)</f>
        <v>0</v>
      </c>
      <c r="AQ273" s="38">
        <f>IF(AND($A273&gt;=AQ$8,$A273&lt;=AQ$9),IF(SUM(AQ$10:AQ272)-ROUNDDOWN($K273*AQ$5/100,0)&lt;-AQ$6,-AQ$6-SUM(AQ$10:AQ272),-ROUNDDOWN($K273*AQ$5/100,0)),0)</f>
        <v>0</v>
      </c>
      <c r="AR273" s="38">
        <f>IF(AND($A273&gt;=AR$8,$A273&lt;=AR$9),IF(SUM(AR$10:AR272)-ROUNDDOWN($K273*AR$5/100,0)&lt;-AR$6,-AR$6-SUM(AR$10:AR272),-ROUNDDOWN($K273*AR$5/100,0)),0)</f>
        <v>0</v>
      </c>
      <c r="AS273" s="38">
        <f>IF(SUMIFS(AS$10:AS272,$A$10:$A272,$A273)-ROUNDDOWN($K273*$S273/100,0)&lt;-$S273*1000,-$S273*1000-SUMIFS(AS$10:AS272,$A$10:$A272,$A273),-ROUNDDOWN($K273*$S273/100,0))</f>
        <v>0</v>
      </c>
      <c r="AT273" s="38">
        <f>IF(AND(X273="○",$A273&gt;=AT$8,$A273&lt;=AT$9,K273&gt;=3980),IF(SUM(AT$10:AT272)-ROUNDDOWN($K273*AT$5/100,0)&lt;-AT$6,-AT$6-SUM(AT$10:AT272),-ROUNDDOWN($K273*AT$5/100,0)),0)</f>
        <v>0</v>
      </c>
      <c r="AU273" s="38">
        <f>IF(O273="○",IF(SUM(AU$10:AU272)-ROUNDDOWN($K273*AU$5/100,0)&lt;-AU$6,-AU$6-SUM(AU$10:AU272),-ROUNDDOWN($K273*AU$5/100,0)),0)</f>
        <v>0</v>
      </c>
      <c r="AV273" s="38">
        <f>IF(P273="○",IF(SUM(AV$10:AV272)-ROUNDDOWN($K273*AV$5/100,0)&lt;-AV$6,-AV$6-SUM(AV$10:AV272),-ROUNDDOWN($K273*AV$5/100,0)),0)</f>
        <v>0</v>
      </c>
      <c r="AW273" s="38">
        <f>IF(Q273="○",IF(SUM(AW$10:AW272)-ROUNDDOWN($K273*AW$5/100,0)&lt;-AW$6,-AW$6-SUM(AW$10:AW272),-ROUNDDOWN($K273*AW$5/100,0)),0)</f>
        <v>0</v>
      </c>
      <c r="AX273" s="38">
        <f>IF(R273="○",IF(SUM(AX$10:AX272)-ROUNDDOWN($K273*AX$5/100,0)&lt;-AX$6,-AX$6-SUM(AX$10:AX272),-ROUNDDOWN($K273*AX$5/100,0)),0)</f>
        <v>0</v>
      </c>
      <c r="AY273" s="70">
        <v>0</v>
      </c>
      <c r="AZ273" s="65">
        <f t="shared" si="178"/>
        <v>0</v>
      </c>
      <c r="BA273" s="65">
        <f t="shared" si="179"/>
        <v>0</v>
      </c>
      <c r="BB273" s="70"/>
      <c r="BC273" s="65">
        <f t="shared" si="180"/>
        <v>0</v>
      </c>
      <c r="BD273" s="70">
        <v>0</v>
      </c>
      <c r="BE273" s="65">
        <f t="shared" si="181"/>
        <v>0</v>
      </c>
      <c r="BF273" s="70">
        <v>0</v>
      </c>
      <c r="BG273" s="65">
        <f t="shared" si="182"/>
        <v>0</v>
      </c>
      <c r="BH273" s="70">
        <v>0</v>
      </c>
      <c r="BI273" s="65">
        <f t="shared" si="183"/>
        <v>0</v>
      </c>
      <c r="BJ273" s="38">
        <f>IF(AND(BJ$7="○",$A273&gt;=BJ$8,$A273&lt;=BJ$9),IF(SUM(BJ$10:BJ272)-ROUNDDOWN($M273*BJ$5/100,0)&lt;-BJ$6,-BJ$6-SUM(BJ$10:BJ272),-ROUNDDOWN($M273*BJ$5/100,0)),0)</f>
        <v>0</v>
      </c>
      <c r="BK273" s="38">
        <f>IF(AND(BK$7="○",$A273&gt;=BK$8,$A273&lt;=BK$9),IF(SUM(BK$10:BK272)-ROUNDDOWN($L273*BK$5/100,0)&lt;-BK$6,-BK$6-SUM(BK$10:BK272),-ROUNDDOWN($L273*BK$5/100,0)),0)</f>
        <v>0</v>
      </c>
      <c r="BL273" s="38">
        <f>IF(AND(BL$7="○",$A273&gt;=BL$8,$A273&lt;=BL$9),IF(SUM(BL$10:BL272)-ROUNDDOWN($L273*BL$5/100,0)&lt;-BL$6,-BL$6-SUM(BL$10:BL272),-ROUNDDOWN($L273*BL$5/100,0)),0)</f>
        <v>0</v>
      </c>
      <c r="BM273" s="38">
        <f>IF(AND(BM$7="○",$A273&gt;=BM$8,$A273&lt;=BM$9),IF(SUM(BM$10:BM272)-ROUNDDOWN($M273*BM$5/100,0)&lt;-BM$6,-BM$6-SUM(BM$10:BM272),-ROUNDDOWN($M273*BM$5/100,0)),0)</f>
        <v>0</v>
      </c>
      <c r="BN273" s="38">
        <f>IF(AND(BN$7="○",$A273&gt;=BN$8,$A273&lt;=BN$9),IF(SUM(BN$10:BN272)-ROUNDDOWN($M273*BN$5/100,0)&lt;-BN$6,-BN$6-SUM(BN$10:BN272),-ROUNDDOWN($M273*BN$5/100,0)),0)</f>
        <v>0</v>
      </c>
      <c r="BO273" s="38">
        <f>IF(AND(BO$7="○",$A273&gt;=BO$8,$A273&lt;=BO$9),IF(SUM(BO$10:BO272)-ROUNDDOWN($M273*BO$5/100,0)&lt;-BO$6,-BO$6-SUM(BO$10:BO272),-ROUNDDOWN($M273*BO$5/100,0)),0)</f>
        <v>0</v>
      </c>
      <c r="BP273" s="38">
        <f>IF(AND(BP$7="○",$A273&gt;=BP$8,$A273&lt;=BP$9),IF(SUM(BP$10:BP272)-ROUNDDOWN($M273*BP$5/100,0)&lt;-BP$6,-BP$6-SUM(BP$10:BP272),-ROUNDDOWN($M273*BP$5/100,0)),0)</f>
        <v>0</v>
      </c>
      <c r="BQ273" s="38">
        <f>IF(AND(BQ$7="○",$A273&gt;=BQ$8,$A273&lt;=BQ$9),IF(SUM(BQ$10:BQ272)-ROUNDDOWN($L273*BQ$5/100,0)&lt;-BQ$6,-BQ$6-SUM(BQ$10:BQ272),-ROUNDDOWN($L273*BQ$5/100,0)),0)</f>
        <v>0</v>
      </c>
      <c r="BR273" s="38">
        <f>IF(AND(BR$7="○",$A273&gt;=BR$8,$A273&lt;=BR$9),IF(SUM(BR$10:BR272)-ROUNDDOWN($M273*BR$5/100,0)&lt;-BR$6,-BR$6-SUM(BR$10:BR272),-ROUNDDOWN($M273*BR$5/100,0)),0)</f>
        <v>0</v>
      </c>
      <c r="BS273" s="38">
        <f>IF(AND(BS$7="○",$A273&gt;=BS$8,$A273&lt;=BS$9),IF(SUM(BS$10:BS272)-ROUNDDOWN($M273*BS$5/100,0)&lt;-BS$6,-BS$6-SUM(BS$10:BS272),-ROUNDDOWN($M273*BS$5/100,0)),0)</f>
        <v>0</v>
      </c>
      <c r="BT273" s="38">
        <f>IF(AND(BT$7="○",$A273&gt;=BT$8,$A273&lt;=BT$9),IF(SUM(BT$10:BT272)-ROUNDDOWN($M273*BT$5/100,0)&lt;-BT$6,-BT$6-SUM(BT$10:BT272),-ROUNDDOWN($M273*BT$5/100,0)),0)</f>
        <v>0</v>
      </c>
      <c r="BU273" s="38">
        <f>IF(AND(BU$7="○",$A273&gt;=BU$8,$A273&lt;=BU$9),IF(SUM(BU$10:BU272)-ROUNDDOWN($M273*BU$5/100,0)&lt;-BU$6,-BU$6-SUM(BU$10:BU272),-ROUNDDOWN($M273*BU$5/100,0)),0)</f>
        <v>0</v>
      </c>
      <c r="BV273" s="38">
        <f>IF(AND(BV$7="○",$A273&gt;=BV$8,$A273&lt;=BV$9),IF(SUM(BV$10:BV272)-ROUNDDOWN($M273*BV$5/100,0)&lt;-BV$6,-BV$6-SUM(BV$10:BV272),-ROUNDDOWN($M273*BV$5/100,0)),0)</f>
        <v>0</v>
      </c>
      <c r="BW273" s="38">
        <f>IF(AND(BW$7="○",$A273&gt;=BW$8,$A273&lt;=BW$9),IF(SUM(BW$10:BW272)-ROUNDDOWN($M273*BW$5/100,0)&lt;-BW$6,-BW$6-SUM(BW$10:BW272),-ROUNDDOWN($M273*BW$5/100,0)),0)</f>
        <v>0</v>
      </c>
      <c r="BX273" s="38">
        <f>IF(AND(T273="○",$A273&gt;=BX$8,$A273&lt;=BX$9),IF(SUM(BX$10:BX272)-ROUNDDOWN($K273*BX$5/100,0)&lt;-BX$6,-BX$6-SUM(BX$10:BX272),-ROUNDDOWN($K273*BX$5/100,0)),0)</f>
        <v>0</v>
      </c>
      <c r="BY273" s="38">
        <f>IF(AND(U273="○",$A273&gt;=BY$8,$A273&lt;=BY$9),IF(SUM(BY$10:BY272)-ROUNDDOWN($K273*BY$5/100,0)&lt;-BY$6,-BY$6-SUM(BY$10:BY272),-ROUNDDOWN($K273*BY$5/100,0)),0)</f>
        <v>0</v>
      </c>
      <c r="BZ273" s="38">
        <f>IF(AND(V273="○",$A273&gt;=BZ$8,$A273&lt;=BZ$9),IF(SUM(BZ$10:BZ272)-ROUNDDOWN($K273*BZ$5/100,0)&lt;-BZ$6,-BZ$6-SUM(BZ$10:BZ272),-ROUNDDOWN($K273*BZ$5/100,0)),0)</f>
        <v>0</v>
      </c>
      <c r="CA273" s="38">
        <f>IF(AND(W273="○",$A273&gt;=CA$8,$A273&lt;=CA$9),IF(SUM(CA$10:CA272)-ROUNDDOWN($K273*CA$5/100,0)&lt;-CA$6,-CA$6-SUM(CA$10:CA272),-ROUNDDOWN($K273*CA$5/100,0)),0)</f>
        <v>0</v>
      </c>
      <c r="CB273" s="38"/>
      <c r="CC273" s="38"/>
      <c r="CD273" s="38"/>
      <c r="CE273" s="38"/>
      <c r="CF273" s="38"/>
      <c r="CG273" s="65">
        <f t="shared" si="184"/>
        <v>0</v>
      </c>
      <c r="CH273" s="71">
        <f t="shared" si="185"/>
        <v>0</v>
      </c>
      <c r="CI273" s="1">
        <f t="shared" si="206"/>
        <v>0</v>
      </c>
      <c r="CJ273" s="1"/>
      <c r="CK273" s="72"/>
      <c r="CL273" s="72"/>
      <c r="CM273" s="2"/>
      <c r="CN273" s="2"/>
      <c r="CO273" s="73">
        <f t="shared" si="207"/>
        <v>0</v>
      </c>
      <c r="CP273" s="5">
        <f t="shared" si="208"/>
        <v>0</v>
      </c>
      <c r="CQ273" s="1"/>
      <c r="CR273" s="1">
        <f t="shared" si="209"/>
        <v>0</v>
      </c>
      <c r="CS273" s="1"/>
      <c r="CT273" s="1" t="e">
        <f>INDEX([2]マスタ!$A:$A,MATCH(D273,[2]マスタ!$C:$C,0))</f>
        <v>#N/A</v>
      </c>
      <c r="CU273" s="1" t="str">
        <f t="shared" ca="1" si="210"/>
        <v>20260620_0-0</v>
      </c>
    </row>
    <row r="274" spans="1:99" x14ac:dyDescent="0.4">
      <c r="A274" s="61"/>
      <c r="B274" s="62"/>
      <c r="C274" s="62"/>
      <c r="D274" s="62"/>
      <c r="E274" s="77"/>
      <c r="F274" s="62"/>
      <c r="G274" s="62">
        <v>1</v>
      </c>
      <c r="H274" s="64">
        <f t="shared" si="197"/>
        <v>0</v>
      </c>
      <c r="I274" s="64"/>
      <c r="J274" s="64"/>
      <c r="K274" s="65">
        <f>+ROUNDDOWN((H274+I274)/100,0)*100</f>
        <v>0</v>
      </c>
      <c r="L274" s="65">
        <f t="shared" si="199"/>
        <v>0</v>
      </c>
      <c r="M274" s="65">
        <f t="shared" si="200"/>
        <v>0</v>
      </c>
      <c r="N274" s="65">
        <f t="shared" si="201"/>
        <v>0</v>
      </c>
      <c r="O274" s="66" t="str">
        <f t="shared" si="202"/>
        <v>✕</v>
      </c>
      <c r="P274" s="67" t="str">
        <f t="shared" si="203"/>
        <v>○</v>
      </c>
      <c r="Q274" s="67" t="str">
        <f>+IF((TEXT($A274,"DD")+0)=1,"○","✕")</f>
        <v>✕</v>
      </c>
      <c r="R274" s="67" t="str">
        <f t="shared" si="205"/>
        <v>✕</v>
      </c>
      <c r="S274" s="68">
        <v>0</v>
      </c>
      <c r="T274" s="69" t="s">
        <v>85</v>
      </c>
      <c r="U274" s="69" t="s">
        <v>85</v>
      </c>
      <c r="V274" s="69" t="s">
        <v>85</v>
      </c>
      <c r="W274" s="69" t="s">
        <v>85</v>
      </c>
      <c r="X274" s="69" t="s">
        <v>84</v>
      </c>
      <c r="Y274" s="69" t="s">
        <v>85</v>
      </c>
      <c r="Z274" s="69" t="s">
        <v>85</v>
      </c>
      <c r="AA274" s="69" t="s">
        <v>85</v>
      </c>
      <c r="AB274" s="69" t="s">
        <v>85</v>
      </c>
      <c r="AC274" s="69" t="s">
        <v>85</v>
      </c>
      <c r="AD274" s="38" t="str">
        <f>+IF(ISERROR(VLOOKUP($B274,AD$10:AD273,1,0)),IF(AND($N274&gt;=1000,$A274&gt;=AO$8,$A274&lt;=AO$9),$B274,""),"")</f>
        <v/>
      </c>
      <c r="AE274" s="38" t="str">
        <f>+IF(ISERROR(VLOOKUP($B274,AE$10:AE273,1,0)),IF(AND($N274&gt;=1000,$A274&gt;=AP$8,$A274&lt;=AP$9),$B274,""),"")</f>
        <v/>
      </c>
      <c r="AF274" s="38" t="str">
        <f>+IF(ISERROR(VLOOKUP($B274,AF$10:AF273,1,0)),IF(AND($N274&gt;=1000,$A274&gt;=AQ$8,$A274&lt;=AQ$9),$B274,""),"")</f>
        <v/>
      </c>
      <c r="AG274" s="38" t="str">
        <f>+IF(ISERROR(VLOOKUP($B274,AG$10:AG273,1,0)),IF(AND($N274&gt;=1000,$A274&gt;=AR$8,$A274&lt;=AR$9),$B274,""),"")</f>
        <v/>
      </c>
      <c r="AH274" s="38"/>
      <c r="AI274" s="70">
        <v>0</v>
      </c>
      <c r="AJ274" s="38">
        <f>IF(AND(AJ$7="○",$A274&gt;=AJ$8,$A274&lt;=AJ$9),IF(SUM(AJ$10:AJ273)-ROUNDDOWN($K274*AJ$5/100,0)&lt;-AJ$6,-AJ$6-SUM(AJ$10:AJ273),-ROUNDDOWN($K274*AJ$5/100,0)),0)</f>
        <v>0</v>
      </c>
      <c r="AK274" s="38">
        <f>IF(AND(AK$7="○",$A274&gt;=AK$8,$A274&lt;=AK$9),IF(SUM(AK$10:AK273)-ROUNDDOWN($L274*AK$5/100,0)&lt;-AK$6,-AK$6-SUM(AK$10:AK273),-ROUNDDOWN($L274*AK$5/100,0)),0)</f>
        <v>0</v>
      </c>
      <c r="AL274" s="38">
        <f>IF(AND(AL$7="○",$A274&gt;=AL$8,$A274&lt;=AL$9),IF(SUM(AL$10:AL273)-ROUNDDOWN($N274*AL$5/100,0)&lt;-AL$6,-AL$6-SUM(AL$10:AL273),-ROUNDDOWN($N274*AL$5/100,0)),0)</f>
        <v>0</v>
      </c>
      <c r="AM274" s="38">
        <f>IF(AND(AM$7="○",$A274&gt;=AM$8,$A274&lt;=AM$9),IF(SUM(AM$10:AM273)-ROUNDDOWN($L274*AM$5/100,0)&lt;-AM$6,-AM$6-SUM(AM$10:AM273),-ROUNDDOWN($L274*AM$5/100,0)),0)</f>
        <v>0</v>
      </c>
      <c r="AN274" s="38">
        <f>IF(AND(AN$7="○",$A274&gt;=AN$8,$A274&lt;=AN$9),IF(SUM(AN$10:AN273)-ROUNDDOWN($M274*AN$5/100,0)&lt;-AN$6,-AN$6-SUM(AN$10:AN273),-ROUNDDOWN($M274*AN$5/100,0)),0)</f>
        <v>0</v>
      </c>
      <c r="AO274" s="38">
        <f>IF(AND($A274&gt;=AO$8,$A274&lt;=AO$9),IF(SUM(AO$10:AO273)-ROUNDDOWN($K274*AO$5/100,0)&lt;-AO$6,-AO$6-SUM(AO$10:AO273),-ROUNDDOWN($K274*AO$5/100,0)),0)</f>
        <v>0</v>
      </c>
      <c r="AP274" s="38">
        <f>IF(AND($A274&gt;=AP$8,$A274&lt;=AP$9),IF(SUM(AP$10:AP273)-ROUNDDOWN($K274*AP$5/100,0)&lt;-AP$6,-AP$6-SUM(AP$10:AP273),-ROUNDDOWN($K274*AP$5/100,0)),0)</f>
        <v>0</v>
      </c>
      <c r="AQ274" s="38">
        <f>IF(AND($A274&gt;=AQ$8,$A274&lt;=AQ$9),IF(SUM(AQ$10:AQ273)-ROUNDDOWN($K274*AQ$5/100,0)&lt;-AQ$6,-AQ$6-SUM(AQ$10:AQ273),-ROUNDDOWN($K274*AQ$5/100,0)),0)</f>
        <v>0</v>
      </c>
      <c r="AR274" s="38">
        <f>IF(AND($A274&gt;=AR$8,$A274&lt;=AR$9),IF(SUM(AR$10:AR273)-ROUNDDOWN($K274*AR$5/100,0)&lt;-AR$6,-AR$6-SUM(AR$10:AR273),-ROUNDDOWN($K274*AR$5/100,0)),0)</f>
        <v>0</v>
      </c>
      <c r="AS274" s="38">
        <f>IF(SUMIFS(AS$10:AS273,$A$10:$A273,$A274)-ROUNDDOWN($K274*$S274/100,0)&lt;-$S274*1000,-$S274*1000-SUMIFS(AS$10:AS273,$A$10:$A273,$A274),-ROUNDDOWN($K274*$S274/100,0))</f>
        <v>0</v>
      </c>
      <c r="AT274" s="38">
        <f>IF(AND(X274="○",$A274&gt;=AT$8,$A274&lt;=AT$9,K274&gt;=3980),IF(SUM(AT$10:AT273)-ROUNDDOWN($K274*AT$5/100,0)&lt;-AT$6,-AT$6-SUM(AT$10:AT273),-ROUNDDOWN($K274*AT$5/100,0)),0)</f>
        <v>0</v>
      </c>
      <c r="AU274" s="38">
        <f>IF(O274="○",IF(SUM(AU$10:AU273)-ROUNDDOWN($K274*AU$5/100,0)&lt;-AU$6,-AU$6-SUM(AU$10:AU273),-ROUNDDOWN($K274*AU$5/100,0)),0)</f>
        <v>0</v>
      </c>
      <c r="AV274" s="38">
        <f>IF(P274="○",IF(SUM(AV$10:AV273)-ROUNDDOWN($K274*AV$5/100,0)&lt;-AV$6,-AV$6-SUM(AV$10:AV273),-ROUNDDOWN($K274*AV$5/100,0)),0)</f>
        <v>0</v>
      </c>
      <c r="AW274" s="38">
        <f>IF(Q274="○",IF(SUM(AW$10:AW273)-ROUNDDOWN($K274*AW$5/100,0)&lt;-AW$6,-AW$6-SUM(AW$10:AW273),-ROUNDDOWN($K274*AW$5/100,0)),0)</f>
        <v>0</v>
      </c>
      <c r="AX274" s="38">
        <f>IF(R274="○",IF(SUM(AX$10:AX273)-ROUNDDOWN($K274*AX$5/100,0)&lt;-AX$6,-AX$6-SUM(AX$10:AX273),-ROUNDDOWN($K274*AX$5/100,0)),0)</f>
        <v>0</v>
      </c>
      <c r="AY274" s="70">
        <v>0</v>
      </c>
      <c r="AZ274" s="65">
        <f t="shared" si="178"/>
        <v>0</v>
      </c>
      <c r="BA274" s="65">
        <f t="shared" si="179"/>
        <v>0</v>
      </c>
      <c r="BB274" s="70"/>
      <c r="BC274" s="65">
        <f t="shared" si="180"/>
        <v>0</v>
      </c>
      <c r="BD274" s="70">
        <v>0</v>
      </c>
      <c r="BE274" s="65">
        <f t="shared" si="181"/>
        <v>0</v>
      </c>
      <c r="BF274" s="70">
        <v>0</v>
      </c>
      <c r="BG274" s="65">
        <f t="shared" si="182"/>
        <v>0</v>
      </c>
      <c r="BH274" s="70">
        <v>0</v>
      </c>
      <c r="BI274" s="65">
        <f t="shared" si="183"/>
        <v>0</v>
      </c>
      <c r="BJ274" s="38">
        <f>IF(AND(BJ$7="○",$A274&gt;=BJ$8,$A274&lt;=BJ$9),IF(SUM(BJ$10:BJ273)-ROUNDDOWN($M274*BJ$5/100,0)&lt;-BJ$6,-BJ$6-SUM(BJ$10:BJ273),-ROUNDDOWN($M274*BJ$5/100,0)),0)</f>
        <v>0</v>
      </c>
      <c r="BK274" s="38">
        <f>IF(AND(BK$7="○",$A274&gt;=BK$8,$A274&lt;=BK$9),IF(SUM(BK$10:BK273)-ROUNDDOWN($L274*BK$5/100,0)&lt;-BK$6,-BK$6-SUM(BK$10:BK273),-ROUNDDOWN($L274*BK$5/100,0)),0)</f>
        <v>0</v>
      </c>
      <c r="BL274" s="38">
        <f>IF(AND(BL$7="○",$A274&gt;=BL$8,$A274&lt;=BL$9),IF(SUM(BL$10:BL273)-ROUNDDOWN($L274*BL$5/100,0)&lt;-BL$6,-BL$6-SUM(BL$10:BL273),-ROUNDDOWN($L274*BL$5/100,0)),0)</f>
        <v>0</v>
      </c>
      <c r="BM274" s="38">
        <f>IF(AND(BM$7="○",$A274&gt;=BM$8,$A274&lt;=BM$9),IF(SUM(BM$10:BM273)-ROUNDDOWN($M274*BM$5/100,0)&lt;-BM$6,-BM$6-SUM(BM$10:BM273),-ROUNDDOWN($M274*BM$5/100,0)),0)</f>
        <v>0</v>
      </c>
      <c r="BN274" s="38">
        <f>IF(AND(BN$7="○",$A274&gt;=BN$8,$A274&lt;=BN$9),IF(SUM(BN$10:BN273)-ROUNDDOWN($M274*BN$5/100,0)&lt;-BN$6,-BN$6-SUM(BN$10:BN273),-ROUNDDOWN($M274*BN$5/100,0)),0)</f>
        <v>0</v>
      </c>
      <c r="BO274" s="38">
        <f>IF(AND(BO$7="○",$A274&gt;=BO$8,$A274&lt;=BO$9),IF(SUM(BO$10:BO273)-ROUNDDOWN($M274*BO$5/100,0)&lt;-BO$6,-BO$6-SUM(BO$10:BO273),-ROUNDDOWN($M274*BO$5/100,0)),0)</f>
        <v>0</v>
      </c>
      <c r="BP274" s="38">
        <f>IF(AND(BP$7="○",$A274&gt;=BP$8,$A274&lt;=BP$9),IF(SUM(BP$10:BP273)-ROUNDDOWN($M274*BP$5/100,0)&lt;-BP$6,-BP$6-SUM(BP$10:BP273),-ROUNDDOWN($M274*BP$5/100,0)),0)</f>
        <v>0</v>
      </c>
      <c r="BQ274" s="38">
        <f>IF(AND(BQ$7="○",$A274&gt;=BQ$8,$A274&lt;=BQ$9),IF(SUM(BQ$10:BQ273)-ROUNDDOWN($L274*BQ$5/100,0)&lt;-BQ$6,-BQ$6-SUM(BQ$10:BQ273),-ROUNDDOWN($L274*BQ$5/100,0)),0)</f>
        <v>0</v>
      </c>
      <c r="BR274" s="38">
        <f>IF(AND(BR$7="○",$A274&gt;=BR$8,$A274&lt;=BR$9),IF(SUM(BR$10:BR273)-ROUNDDOWN($M274*BR$5/100,0)&lt;-BR$6,-BR$6-SUM(BR$10:BR273),-ROUNDDOWN($M274*BR$5/100,0)),0)</f>
        <v>0</v>
      </c>
      <c r="BS274" s="38">
        <f>IF(AND(BS$7="○",$A274&gt;=BS$8,$A274&lt;=BS$9),IF(SUM(BS$10:BS273)-ROUNDDOWN($M274*BS$5/100,0)&lt;-BS$6,-BS$6-SUM(BS$10:BS273),-ROUNDDOWN($M274*BS$5/100,0)),0)</f>
        <v>0</v>
      </c>
      <c r="BT274" s="38">
        <f>IF(AND(BT$7="○",$A274&gt;=BT$8,$A274&lt;=BT$9),IF(SUM(BT$10:BT273)-ROUNDDOWN($M274*BT$5/100,0)&lt;-BT$6,-BT$6-SUM(BT$10:BT273),-ROUNDDOWN($M274*BT$5/100,0)),0)</f>
        <v>0</v>
      </c>
      <c r="BU274" s="38">
        <f>IF(AND(BU$7="○",$A274&gt;=BU$8,$A274&lt;=BU$9),IF(SUM(BU$10:BU273)-ROUNDDOWN($M274*BU$5/100,0)&lt;-BU$6,-BU$6-SUM(BU$10:BU273),-ROUNDDOWN($M274*BU$5/100,0)),0)</f>
        <v>0</v>
      </c>
      <c r="BV274" s="38">
        <f>IF(AND(BV$7="○",$A274&gt;=BV$8,$A274&lt;=BV$9),IF(SUM(BV$10:BV273)-ROUNDDOWN($M274*BV$5/100,0)&lt;-BV$6,-BV$6-SUM(BV$10:BV273),-ROUNDDOWN($M274*BV$5/100,0)),0)</f>
        <v>0</v>
      </c>
      <c r="BW274" s="38">
        <f>IF(AND(BW$7="○",$A274&gt;=BW$8,$A274&lt;=BW$9),IF(SUM(BW$10:BW273)-ROUNDDOWN($M274*BW$5/100,0)&lt;-BW$6,-BW$6-SUM(BW$10:BW273),-ROUNDDOWN($M274*BW$5/100,0)),0)</f>
        <v>0</v>
      </c>
      <c r="BX274" s="38">
        <f>IF(AND(T274="○",$A274&gt;=BX$8,$A274&lt;=BX$9),IF(SUM(BX$10:BX273)-ROUNDDOWN($K274*BX$5/100,0)&lt;-BX$6,-BX$6-SUM(BX$10:BX273),-ROUNDDOWN($K274*BX$5/100,0)),0)</f>
        <v>0</v>
      </c>
      <c r="BY274" s="38">
        <f>IF(AND(U274="○",$A274&gt;=BY$8,$A274&lt;=BY$9),IF(SUM(BY$10:BY273)-ROUNDDOWN($K274*BY$5/100,0)&lt;-BY$6,-BY$6-SUM(BY$10:BY273),-ROUNDDOWN($K274*BY$5/100,0)),0)</f>
        <v>0</v>
      </c>
      <c r="BZ274" s="38">
        <f>IF(AND(V274="○",$A274&gt;=BZ$8,$A274&lt;=BZ$9),IF(SUM(BZ$10:BZ273)-ROUNDDOWN($K274*BZ$5/100,0)&lt;-BZ$6,-BZ$6-SUM(BZ$10:BZ273),-ROUNDDOWN($K274*BZ$5/100,0)),0)</f>
        <v>0</v>
      </c>
      <c r="CA274" s="38">
        <f>IF(AND(W274="○",$A274&gt;=CA$8,$A274&lt;=CA$9),IF(SUM(CA$10:CA273)-ROUNDDOWN($K274*CA$5/100,0)&lt;-CA$6,-CA$6-SUM(CA$10:CA273),-ROUNDDOWN($K274*CA$5/100,0)),0)</f>
        <v>0</v>
      </c>
      <c r="CB274" s="38"/>
      <c r="CC274" s="38"/>
      <c r="CD274" s="38"/>
      <c r="CE274" s="38"/>
      <c r="CF274" s="38"/>
      <c r="CG274" s="65">
        <f t="shared" si="184"/>
        <v>0</v>
      </c>
      <c r="CH274" s="71">
        <f t="shared" si="185"/>
        <v>0</v>
      </c>
      <c r="CI274" s="1">
        <f t="shared" si="206"/>
        <v>0</v>
      </c>
      <c r="CJ274" s="1"/>
      <c r="CK274" s="79"/>
      <c r="CL274" s="79"/>
      <c r="CM274" s="2"/>
      <c r="CN274" s="2"/>
      <c r="CO274" s="73">
        <f t="shared" si="207"/>
        <v>0</v>
      </c>
      <c r="CP274" s="5">
        <f t="shared" si="208"/>
        <v>0</v>
      </c>
      <c r="CQ274" s="1"/>
      <c r="CR274" s="1">
        <f t="shared" si="209"/>
        <v>0</v>
      </c>
      <c r="CS274" s="1"/>
      <c r="CT274" s="1" t="e">
        <f>INDEX([2]マスタ!$A:$A,MATCH(D274,[2]マスタ!$C:$C,0))</f>
        <v>#N/A</v>
      </c>
      <c r="CU274" s="1" t="str">
        <f t="shared" ca="1" si="210"/>
        <v>20260620_0-0</v>
      </c>
    </row>
    <row r="275" spans="1:99" x14ac:dyDescent="0.4">
      <c r="A275" s="61"/>
      <c r="B275" s="62"/>
      <c r="C275" s="62"/>
      <c r="D275" s="62"/>
      <c r="E275" s="63"/>
      <c r="F275" s="62"/>
      <c r="G275" s="62">
        <v>1</v>
      </c>
      <c r="H275" s="64">
        <f t="shared" si="197"/>
        <v>0</v>
      </c>
      <c r="I275" s="64"/>
      <c r="J275" s="64"/>
      <c r="K275" s="65">
        <f>+ROUNDDOWN((H275+I275)/100,0)*100</f>
        <v>0</v>
      </c>
      <c r="L275" s="65">
        <f t="shared" si="199"/>
        <v>0</v>
      </c>
      <c r="M275" s="65">
        <f t="shared" si="200"/>
        <v>0</v>
      </c>
      <c r="N275" s="65">
        <f t="shared" si="201"/>
        <v>0</v>
      </c>
      <c r="O275" s="66" t="str">
        <f t="shared" si="202"/>
        <v>✕</v>
      </c>
      <c r="P275" s="67" t="str">
        <f t="shared" si="203"/>
        <v>○</v>
      </c>
      <c r="Q275" s="67" t="str">
        <f>+IF((TEXT($A275,"DD")+0)=1,"○","✕")</f>
        <v>✕</v>
      </c>
      <c r="R275" s="67" t="str">
        <f t="shared" si="205"/>
        <v>✕</v>
      </c>
      <c r="S275" s="68">
        <v>0</v>
      </c>
      <c r="T275" s="69" t="s">
        <v>85</v>
      </c>
      <c r="U275" s="69" t="s">
        <v>85</v>
      </c>
      <c r="V275" s="69" t="s">
        <v>85</v>
      </c>
      <c r="W275" s="69" t="s">
        <v>85</v>
      </c>
      <c r="X275" s="69" t="s">
        <v>84</v>
      </c>
      <c r="Y275" s="69" t="s">
        <v>85</v>
      </c>
      <c r="Z275" s="69" t="s">
        <v>85</v>
      </c>
      <c r="AA275" s="69" t="s">
        <v>85</v>
      </c>
      <c r="AB275" s="69" t="s">
        <v>85</v>
      </c>
      <c r="AC275" s="69" t="s">
        <v>85</v>
      </c>
      <c r="AD275" s="38" t="str">
        <f>+IF(ISERROR(VLOOKUP($B275,AD$10:AD274,1,0)),IF(AND($N275&gt;=1000,$A275&gt;=AO$8,$A275&lt;=AO$9),$B275,""),"")</f>
        <v/>
      </c>
      <c r="AE275" s="38" t="str">
        <f>+IF(ISERROR(VLOOKUP($B275,AE$10:AE274,1,0)),IF(AND($N275&gt;=1000,$A275&gt;=AP$8,$A275&lt;=AP$9),$B275,""),"")</f>
        <v/>
      </c>
      <c r="AF275" s="38" t="str">
        <f>+IF(ISERROR(VLOOKUP($B275,AF$10:AF274,1,0)),IF(AND($N275&gt;=1000,$A275&gt;=AQ$8,$A275&lt;=AQ$9),$B275,""),"")</f>
        <v/>
      </c>
      <c r="AG275" s="38" t="str">
        <f>+IF(ISERROR(VLOOKUP($B275,AG$10:AG274,1,0)),IF(AND($N275&gt;=1000,$A275&gt;=AR$8,$A275&lt;=AR$9),$B275,""),"")</f>
        <v/>
      </c>
      <c r="AH275" s="38"/>
      <c r="AI275" s="70">
        <v>0</v>
      </c>
      <c r="AJ275" s="38">
        <f>IF(AND(AJ$7="○",$A275&gt;=AJ$8,$A275&lt;=AJ$9),IF(SUM(AJ$10:AJ274)-ROUNDDOWN($K275*AJ$5/100,0)&lt;-AJ$6,-AJ$6-SUM(AJ$10:AJ274),-ROUNDDOWN($K275*AJ$5/100,0)),0)</f>
        <v>0</v>
      </c>
      <c r="AK275" s="38">
        <f>IF(AND(AK$7="○",$A275&gt;=AK$8,$A275&lt;=AK$9),IF(SUM(AK$10:AK274)-ROUNDDOWN($L275*AK$5/100,0)&lt;-AK$6,-AK$6-SUM(AK$10:AK274),-ROUNDDOWN($L275*AK$5/100,0)),0)</f>
        <v>0</v>
      </c>
      <c r="AL275" s="38">
        <f>IF(AND(AL$7="○",$A275&gt;=AL$8,$A275&lt;=AL$9),IF(SUM(AL$10:AL274)-ROUNDDOWN($N275*AL$5/100,0)&lt;-AL$6,-AL$6-SUM(AL$10:AL274),-ROUNDDOWN($N275*AL$5/100,0)),0)</f>
        <v>0</v>
      </c>
      <c r="AM275" s="38">
        <f>IF(AND(AM$7="○",$A275&gt;=AM$8,$A275&lt;=AM$9),IF(SUM(AM$10:AM274)-ROUNDDOWN($L275*AM$5/100,0)&lt;-AM$6,-AM$6-SUM(AM$10:AM274),-ROUNDDOWN($L275*AM$5/100,0)),0)</f>
        <v>0</v>
      </c>
      <c r="AN275" s="38">
        <f>IF(AND(AN$7="○",$A275&gt;=AN$8,$A275&lt;=AN$9),IF(SUM(AN$10:AN274)-ROUNDDOWN($M275*AN$5/100,0)&lt;-AN$6,-AN$6-SUM(AN$10:AN274),-ROUNDDOWN($M275*AN$5/100,0)),0)</f>
        <v>0</v>
      </c>
      <c r="AO275" s="38">
        <f>IF(AND($A275&gt;=AO$8,$A275&lt;=AO$9),IF(SUM(AO$10:AO274)-ROUNDDOWN($K275*AO$5/100,0)&lt;-AO$6,-AO$6-SUM(AO$10:AO274),-ROUNDDOWN($K275*AO$5/100,0)),0)</f>
        <v>0</v>
      </c>
      <c r="AP275" s="38">
        <f>IF(AND($A275&gt;=AP$8,$A275&lt;=AP$9),IF(SUM(AP$10:AP274)-ROUNDDOWN($K275*AP$5/100,0)&lt;-AP$6,-AP$6-SUM(AP$10:AP274),-ROUNDDOWN($K275*AP$5/100,0)),0)</f>
        <v>0</v>
      </c>
      <c r="AQ275" s="38">
        <f>IF(AND($A275&gt;=AQ$8,$A275&lt;=AQ$9),IF(SUM(AQ$10:AQ274)-ROUNDDOWN($K275*AQ$5/100,0)&lt;-AQ$6,-AQ$6-SUM(AQ$10:AQ274),-ROUNDDOWN($K275*AQ$5/100,0)),0)</f>
        <v>0</v>
      </c>
      <c r="AR275" s="38">
        <f>IF(AND($A275&gt;=AR$8,$A275&lt;=AR$9),IF(SUM(AR$10:AR274)-ROUNDDOWN($K275*AR$5/100,0)&lt;-AR$6,-AR$6-SUM(AR$10:AR274),-ROUNDDOWN($K275*AR$5/100,0)),0)</f>
        <v>0</v>
      </c>
      <c r="AS275" s="38">
        <f>IF(SUMIFS(AS$10:AS274,$A$10:$A274,$A275)-ROUNDDOWN($K275*$S275/100,0)&lt;-$S275*1000,-$S275*1000-SUMIFS(AS$10:AS274,$A$10:$A274,$A275),-ROUNDDOWN($K275*$S275/100,0))</f>
        <v>0</v>
      </c>
      <c r="AT275" s="38">
        <f>IF(AND(X275="○",$A275&gt;=AT$8,$A275&lt;=AT$9,K275&gt;=3980),IF(SUM(AT$10:AT274)-ROUNDDOWN($K275*AT$5/100,0)&lt;-AT$6,-AT$6-SUM(AT$10:AT274),-ROUNDDOWN($K275*AT$5/100,0)),0)</f>
        <v>0</v>
      </c>
      <c r="AU275" s="38">
        <f>IF(O275="○",IF(SUM(AU$10:AU274)-ROUNDDOWN($K275*AU$5/100,0)&lt;-AU$6,-AU$6-SUM(AU$10:AU274),-ROUNDDOWN($K275*AU$5/100,0)),0)</f>
        <v>0</v>
      </c>
      <c r="AV275" s="38">
        <f>IF(P275="○",IF(SUM(AV$10:AV274)-ROUNDDOWN($K275*AV$5/100,0)&lt;-AV$6,-AV$6-SUM(AV$10:AV274),-ROUNDDOWN($K275*AV$5/100,0)),0)</f>
        <v>0</v>
      </c>
      <c r="AW275" s="38">
        <f>IF(Q275="○",IF(SUM(AW$10:AW274)-ROUNDDOWN($K275*AW$5/100,0)&lt;-AW$6,-AW$6-SUM(AW$10:AW274),-ROUNDDOWN($K275*AW$5/100,0)),0)</f>
        <v>0</v>
      </c>
      <c r="AX275" s="38">
        <f>IF(R275="○",IF(SUM(AX$10:AX274)-ROUNDDOWN($K275*AX$5/100,0)&lt;-AX$6,-AX$6-SUM(AX$10:AX274),-ROUNDDOWN($K275*AX$5/100,0)),0)</f>
        <v>0</v>
      </c>
      <c r="AY275" s="70">
        <v>0</v>
      </c>
      <c r="AZ275" s="65">
        <f t="shared" ref="AZ275:AZ338" si="213">-ROUNDDOWN($K275*AY275/100,0)</f>
        <v>0</v>
      </c>
      <c r="BA275" s="65">
        <f t="shared" ref="BA275:BA338" si="214">-ROUNDDOWN($K275*AI275/100,0)</f>
        <v>0</v>
      </c>
      <c r="BB275" s="70"/>
      <c r="BC275" s="65">
        <f t="shared" ref="BC275:BC338" si="215">-ROUNDDOWN($K275*BB275/100,0)</f>
        <v>0</v>
      </c>
      <c r="BD275" s="70">
        <v>0</v>
      </c>
      <c r="BE275" s="65">
        <f t="shared" ref="BE275:BE338" si="216">-ROUNDDOWN($K275*BD275/100,0)</f>
        <v>0</v>
      </c>
      <c r="BF275" s="70">
        <v>0</v>
      </c>
      <c r="BG275" s="65">
        <f t="shared" ref="BG275:BG338" si="217">-ROUNDDOWN($K275*BF275/100,0)</f>
        <v>0</v>
      </c>
      <c r="BH275" s="70">
        <v>0</v>
      </c>
      <c r="BI275" s="65">
        <f t="shared" ref="BI275:BI338" si="218">-ROUNDDOWN($K275*BH275/100,0)</f>
        <v>0</v>
      </c>
      <c r="BJ275" s="38">
        <f>IF(AND(BJ$7="○",$A275&gt;=BJ$8,$A275&lt;=BJ$9),IF(SUM(BJ$10:BJ274)-ROUNDDOWN($M275*BJ$5/100,0)&lt;-BJ$6,-BJ$6-SUM(BJ$10:BJ274),-ROUNDDOWN($M275*BJ$5/100,0)),0)</f>
        <v>0</v>
      </c>
      <c r="BK275" s="38">
        <f>IF(AND(BK$7="○",$A275&gt;=BK$8,$A275&lt;=BK$9),IF(SUM(BK$10:BK274)-ROUNDDOWN($L275*BK$5/100,0)&lt;-BK$6,-BK$6-SUM(BK$10:BK274),-ROUNDDOWN($L275*BK$5/100,0)),0)</f>
        <v>0</v>
      </c>
      <c r="BL275" s="38">
        <f>IF(AND(BL$7="○",$A275&gt;=BL$8,$A275&lt;=BL$9),IF(SUM(BL$10:BL274)-ROUNDDOWN($L275*BL$5/100,0)&lt;-BL$6,-BL$6-SUM(BL$10:BL274),-ROUNDDOWN($L275*BL$5/100,0)),0)</f>
        <v>0</v>
      </c>
      <c r="BM275" s="38">
        <f>IF(AND(BM$7="○",$A275&gt;=BM$8,$A275&lt;=BM$9),IF(SUM(BM$10:BM274)-ROUNDDOWN($M275*BM$5/100,0)&lt;-BM$6,-BM$6-SUM(BM$10:BM274),-ROUNDDOWN($M275*BM$5/100,0)),0)</f>
        <v>0</v>
      </c>
      <c r="BN275" s="38">
        <f>IF(AND(BN$7="○",$A275&gt;=BN$8,$A275&lt;=BN$9),IF(SUM(BN$10:BN274)-ROUNDDOWN($M275*BN$5/100,0)&lt;-BN$6,-BN$6-SUM(BN$10:BN274),-ROUNDDOWN($M275*BN$5/100,0)),0)</f>
        <v>0</v>
      </c>
      <c r="BO275" s="38">
        <f>IF(AND(BO$7="○",$A275&gt;=BO$8,$A275&lt;=BO$9),IF(SUM(BO$10:BO274)-ROUNDDOWN($M275*BO$5/100,0)&lt;-BO$6,-BO$6-SUM(BO$10:BO274),-ROUNDDOWN($M275*BO$5/100,0)),0)</f>
        <v>0</v>
      </c>
      <c r="BP275" s="38">
        <f>IF(AND(BP$7="○",$A275&gt;=BP$8,$A275&lt;=BP$9),IF(SUM(BP$10:BP274)-ROUNDDOWN($M275*BP$5/100,0)&lt;-BP$6,-BP$6-SUM(BP$10:BP274),-ROUNDDOWN($M275*BP$5/100,0)),0)</f>
        <v>0</v>
      </c>
      <c r="BQ275" s="38">
        <f>IF(AND(BQ$7="○",$A275&gt;=BQ$8,$A275&lt;=BQ$9),IF(SUM(BQ$10:BQ274)-ROUNDDOWN($L275*BQ$5/100,0)&lt;-BQ$6,-BQ$6-SUM(BQ$10:BQ274),-ROUNDDOWN($L275*BQ$5/100,0)),0)</f>
        <v>0</v>
      </c>
      <c r="BR275" s="38">
        <f>IF(AND(BR$7="○",$A275&gt;=BR$8,$A275&lt;=BR$9),IF(SUM(BR$10:BR274)-ROUNDDOWN($M275*BR$5/100,0)&lt;-BR$6,-BR$6-SUM(BR$10:BR274),-ROUNDDOWN($M275*BR$5/100,0)),0)</f>
        <v>0</v>
      </c>
      <c r="BS275" s="38">
        <f>IF(AND(BS$7="○",$A275&gt;=BS$8,$A275&lt;=BS$9),IF(SUM(BS$10:BS274)-ROUNDDOWN($M275*BS$5/100,0)&lt;-BS$6,-BS$6-SUM(BS$10:BS274),-ROUNDDOWN($M275*BS$5/100,0)),0)</f>
        <v>0</v>
      </c>
      <c r="BT275" s="38">
        <f>IF(AND(BT$7="○",$A275&gt;=BT$8,$A275&lt;=BT$9),IF(SUM(BT$10:BT274)-ROUNDDOWN($M275*BT$5/100,0)&lt;-BT$6,-BT$6-SUM(BT$10:BT274),-ROUNDDOWN($M275*BT$5/100,0)),0)</f>
        <v>0</v>
      </c>
      <c r="BU275" s="38">
        <f>IF(AND(BU$7="○",$A275&gt;=BU$8,$A275&lt;=BU$9),IF(SUM(BU$10:BU274)-ROUNDDOWN($M275*BU$5/100,0)&lt;-BU$6,-BU$6-SUM(BU$10:BU274),-ROUNDDOWN($M275*BU$5/100,0)),0)</f>
        <v>0</v>
      </c>
      <c r="BV275" s="38">
        <f>IF(AND(BV$7="○",$A275&gt;=BV$8,$A275&lt;=BV$9),IF(SUM(BV$10:BV274)-ROUNDDOWN($M275*BV$5/100,0)&lt;-BV$6,-BV$6-SUM(BV$10:BV274),-ROUNDDOWN($M275*BV$5/100,0)),0)</f>
        <v>0</v>
      </c>
      <c r="BW275" s="38">
        <f>IF(AND(BW$7="○",$A275&gt;=BW$8,$A275&lt;=BW$9),IF(SUM(BW$10:BW274)-ROUNDDOWN($M275*BW$5/100,0)&lt;-BW$6,-BW$6-SUM(BW$10:BW274),-ROUNDDOWN($M275*BW$5/100,0)),0)</f>
        <v>0</v>
      </c>
      <c r="BX275" s="38">
        <f>IF(AND(T275="○",$A275&gt;=BX$8,$A275&lt;=BX$9),IF(SUM(BX$10:BX274)-ROUNDDOWN($K275*BX$5/100,0)&lt;-BX$6,-BX$6-SUM(BX$10:BX274),-ROUNDDOWN($K275*BX$5/100,0)),0)</f>
        <v>0</v>
      </c>
      <c r="BY275" s="38">
        <f>IF(AND(U275="○",$A275&gt;=BY$8,$A275&lt;=BY$9),IF(SUM(BY$10:BY274)-ROUNDDOWN($K275*BY$5/100,0)&lt;-BY$6,-BY$6-SUM(BY$10:BY274),-ROUNDDOWN($K275*BY$5/100,0)),0)</f>
        <v>0</v>
      </c>
      <c r="BZ275" s="38">
        <f>IF(AND(V275="○",$A275&gt;=BZ$8,$A275&lt;=BZ$9),IF(SUM(BZ$10:BZ274)-ROUNDDOWN($K275*BZ$5/100,0)&lt;-BZ$6,-BZ$6-SUM(BZ$10:BZ274),-ROUNDDOWN($K275*BZ$5/100,0)),0)</f>
        <v>0</v>
      </c>
      <c r="CA275" s="38">
        <f>IF(AND(W275="○",$A275&gt;=CA$8,$A275&lt;=CA$9),IF(SUM(CA$10:CA274)-ROUNDDOWN($K275*CA$5/100,0)&lt;-CA$6,-CA$6-SUM(CA$10:CA274),-ROUNDDOWN($K275*CA$5/100,0)),0)</f>
        <v>0</v>
      </c>
      <c r="CB275" s="38"/>
      <c r="CC275" s="38"/>
      <c r="CD275" s="38"/>
      <c r="CE275" s="38"/>
      <c r="CF275" s="38"/>
      <c r="CG275" s="65">
        <f t="shared" ref="CG275:CG338" si="219">+SUM(AJ275:CF275,BC275,BE275,AZ275,BA275,BG275,BI275)</f>
        <v>0</v>
      </c>
      <c r="CH275" s="71">
        <f t="shared" ref="CH275:CH338" si="220">+CG275+N275</f>
        <v>0</v>
      </c>
      <c r="CI275" s="1">
        <f t="shared" si="206"/>
        <v>0</v>
      </c>
      <c r="CJ275" s="1"/>
      <c r="CK275" s="79"/>
      <c r="CL275" s="79"/>
      <c r="CM275" s="2"/>
      <c r="CN275" s="2"/>
      <c r="CO275" s="73">
        <f t="shared" si="207"/>
        <v>0</v>
      </c>
      <c r="CP275" s="5">
        <f t="shared" si="208"/>
        <v>0</v>
      </c>
      <c r="CQ275" s="1"/>
      <c r="CR275" s="1">
        <f t="shared" si="209"/>
        <v>0</v>
      </c>
      <c r="CS275" s="1"/>
      <c r="CT275" s="1" t="e">
        <f>INDEX([2]マスタ!$A:$A,MATCH(D275,[2]マスタ!$C:$C,0))</f>
        <v>#N/A</v>
      </c>
      <c r="CU275" s="1" t="str">
        <f t="shared" ca="1" si="210"/>
        <v>20260620_0-0</v>
      </c>
    </row>
    <row r="276" spans="1:99" x14ac:dyDescent="0.4">
      <c r="A276" s="61"/>
      <c r="B276" s="62"/>
      <c r="C276" s="62"/>
      <c r="D276" s="62"/>
      <c r="E276" s="63"/>
      <c r="F276" s="62"/>
      <c r="G276" s="62">
        <v>1</v>
      </c>
      <c r="H276" s="64">
        <f t="shared" si="197"/>
        <v>0</v>
      </c>
      <c r="I276" s="64"/>
      <c r="J276" s="64"/>
      <c r="K276" s="65">
        <f t="shared" ref="K276:K285" si="221">+ROUNDDOWN((H276+I276+J276)/100,0)*100</f>
        <v>0</v>
      </c>
      <c r="L276" s="65">
        <f t="shared" si="199"/>
        <v>0</v>
      </c>
      <c r="M276" s="65">
        <f t="shared" si="200"/>
        <v>0</v>
      </c>
      <c r="N276" s="65">
        <f t="shared" si="201"/>
        <v>0</v>
      </c>
      <c r="O276" s="66" t="str">
        <f t="shared" si="202"/>
        <v>✕</v>
      </c>
      <c r="P276" s="67" t="str">
        <f t="shared" si="203"/>
        <v>○</v>
      </c>
      <c r="Q276" s="67" t="str">
        <f t="shared" ref="Q276:Q285" si="222">+IF((TEXT(A276,"DD")+0)=1,"○","✕")</f>
        <v>✕</v>
      </c>
      <c r="R276" s="67" t="str">
        <f t="shared" si="205"/>
        <v>✕</v>
      </c>
      <c r="S276" s="68">
        <v>0</v>
      </c>
      <c r="T276" s="69" t="s">
        <v>85</v>
      </c>
      <c r="U276" s="69" t="s">
        <v>85</v>
      </c>
      <c r="V276" s="69" t="s">
        <v>85</v>
      </c>
      <c r="W276" s="69" t="s">
        <v>85</v>
      </c>
      <c r="X276" s="69" t="s">
        <v>84</v>
      </c>
      <c r="Y276" s="69" t="s">
        <v>85</v>
      </c>
      <c r="Z276" s="69" t="s">
        <v>85</v>
      </c>
      <c r="AA276" s="69" t="s">
        <v>85</v>
      </c>
      <c r="AB276" s="69" t="s">
        <v>85</v>
      </c>
      <c r="AC276" s="69" t="s">
        <v>85</v>
      </c>
      <c r="AD276" s="38" t="str">
        <f>+IF(ISERROR(VLOOKUP($B276,AD$10:AD275,1,0)),IF(AND($N276&gt;=1000,$A276&gt;=AO$8,$A276&lt;=AO$9),$B276,""),"")</f>
        <v/>
      </c>
      <c r="AE276" s="38" t="str">
        <f>+IF(ISERROR(VLOOKUP($B276,AE$10:AE275,1,0)),IF(AND($N276&gt;=1000,$A276&gt;=AP$8,$A276&lt;=AP$9),$B276,""),"")</f>
        <v/>
      </c>
      <c r="AF276" s="38" t="str">
        <f>+IF(ISERROR(VLOOKUP($B276,AF$10:AF275,1,0)),IF(AND($N276&gt;=1000,$A276&gt;=AQ$8,$A276&lt;=AQ$9),$B276,""),"")</f>
        <v/>
      </c>
      <c r="AG276" s="38" t="str">
        <f>+IF(ISERROR(VLOOKUP($B276,AG$10:AG275,1,0)),IF(AND($N276&gt;=1000,$A276&gt;=AR$8,$A276&lt;=AR$9),$B276,""),"")</f>
        <v/>
      </c>
      <c r="AH276" s="38"/>
      <c r="AI276" s="70">
        <v>0</v>
      </c>
      <c r="AJ276" s="38">
        <f>IF(AND(AJ$7="○",$A276&gt;=AJ$8,$A276&lt;=AJ$9),IF(SUM(AJ$10:AJ275)-ROUNDDOWN($K276*AJ$5/100,0)&lt;-AJ$6,-AJ$6-SUM(AJ$10:AJ275),-ROUNDDOWN($K276*AJ$5/100,0)),0)</f>
        <v>0</v>
      </c>
      <c r="AK276" s="38">
        <f>IF(AND(AK$7="○",$A276&gt;=AK$8,$A276&lt;=AK$9),IF(SUM(AK$10:AK275)-ROUNDDOWN($L276*AK$5/100,0)&lt;-AK$6,-AK$6-SUM(AK$10:AK275),-ROUNDDOWN($L276*AK$5/100,0)),0)</f>
        <v>0</v>
      </c>
      <c r="AL276" s="38">
        <f>IF(AND(AL$7="○",$A276&gt;=AL$8,$A276&lt;=AL$9),IF(SUM(AL$10:AL275)-ROUNDDOWN($N276*AL$5/100,0)&lt;-AL$6,-AL$6-SUM(AL$10:AL275),-ROUNDDOWN($N276*AL$5/100,0)),0)</f>
        <v>0</v>
      </c>
      <c r="AM276" s="38">
        <f>IF(AND(AM$7="○",$A276&gt;=AM$8,$A276&lt;=AM$9),IF(SUM(AM$10:AM275)-ROUNDDOWN($L276*AM$5/100,0)&lt;-AM$6,-AM$6-SUM(AM$10:AM275),-ROUNDDOWN($L276*AM$5/100,0)),0)</f>
        <v>0</v>
      </c>
      <c r="AN276" s="38">
        <f>IF(AND(AN$7="○",$A276&gt;=AN$8,$A276&lt;=AN$9),IF(SUM(AN$10:AN275)-ROUNDDOWN($M276*AN$5/100,0)&lt;-AN$6,-AN$6-SUM(AN$10:AN275),-ROUNDDOWN($M276*AN$5/100,0)),0)</f>
        <v>0</v>
      </c>
      <c r="AO276" s="38">
        <f>IF(AND($A276&gt;=AO$8,$A276&lt;=AO$9),IF(SUM(AO$10:AO275)-ROUNDDOWN($K276*AO$5/100,0)&lt;-AO$6,-AO$6-SUM(AO$10:AO275),-ROUNDDOWN($K276*AO$5/100,0)),0)</f>
        <v>0</v>
      </c>
      <c r="AP276" s="38">
        <f>IF(AND($A276&gt;=AP$8,$A276&lt;=AP$9),IF(SUM(AP$10:AP275)-ROUNDDOWN($K276*AP$5/100,0)&lt;-AP$6,-AP$6-SUM(AP$10:AP275),-ROUNDDOWN($K276*AP$5/100,0)),0)</f>
        <v>0</v>
      </c>
      <c r="AQ276" s="38">
        <f>IF(AND($A276&gt;=AQ$8,$A276&lt;=AQ$9),IF(SUM(AQ$10:AQ275)-ROUNDDOWN($K276*AQ$5/100,0)&lt;-AQ$6,-AQ$6-SUM(AQ$10:AQ275),-ROUNDDOWN($K276*AQ$5/100,0)),0)</f>
        <v>0</v>
      </c>
      <c r="AR276" s="38">
        <f>IF(AND($A276&gt;=AR$8,$A276&lt;=AR$9),IF(SUM(AR$10:AR275)-ROUNDDOWN($K276*AR$5/100,0)&lt;-AR$6,-AR$6-SUM(AR$10:AR275),-ROUNDDOWN($K276*AR$5/100,0)),0)</f>
        <v>0</v>
      </c>
      <c r="AS276" s="38">
        <f>IF(SUMIFS(AS$10:AS275,$A$10:$A275,$A276)-ROUNDDOWN($K276*$S276/100,0)&lt;-$S276*1000,-$S276*1000-SUMIFS(AS$10:AS275,$A$10:$A275,$A276),-ROUNDDOWN($K276*$S276/100,0))</f>
        <v>0</v>
      </c>
      <c r="AT276" s="38">
        <f>IF(AND(X276="○",$A276&gt;=AT$8,$A276&lt;=AT$9,K276&gt;=3980),IF(SUM(AT$10:AT275)-ROUNDDOWN($K276*AT$5/100,0)&lt;-AT$6,-AT$6-SUM(AT$10:AT275),-ROUNDDOWN($K276*AT$5/100,0)),0)</f>
        <v>0</v>
      </c>
      <c r="AU276" s="38">
        <f>IF(O276="○",IF(SUM(AU$10:AU275)-ROUNDDOWN($K276*AU$5/100,0)&lt;-AU$6,-AU$6-SUM(AU$10:AU275),-ROUNDDOWN($K276*AU$5/100,0)),0)</f>
        <v>0</v>
      </c>
      <c r="AV276" s="38">
        <f>IF(P276="○",IF(SUM(AV$10:AV275)-ROUNDDOWN($K276*AV$5/100,0)&lt;-AV$6,-AV$6-SUM(AV$10:AV275),-ROUNDDOWN($K276*AV$5/100,0)),0)</f>
        <v>0</v>
      </c>
      <c r="AW276" s="38">
        <f>IF(Q276="○",IF(SUM(AW$10:AW275)-ROUNDDOWN($K276*AW$5/100,0)&lt;-AW$6,-AW$6-SUM(AW$10:AW275),-ROUNDDOWN($K276*AW$5/100,0)),0)</f>
        <v>0</v>
      </c>
      <c r="AX276" s="38">
        <f>IF(R276="○",IF(SUM(AX$10:AX275)-ROUNDDOWN($K276*AX$5/100,0)&lt;-AX$6,-AX$6-SUM(AX$10:AX275),-ROUNDDOWN($K276*AX$5/100,0)),0)</f>
        <v>0</v>
      </c>
      <c r="AY276" s="70">
        <v>0</v>
      </c>
      <c r="AZ276" s="65">
        <f t="shared" si="213"/>
        <v>0</v>
      </c>
      <c r="BA276" s="65">
        <f t="shared" si="214"/>
        <v>0</v>
      </c>
      <c r="BB276" s="70"/>
      <c r="BC276" s="65">
        <f t="shared" si="215"/>
        <v>0</v>
      </c>
      <c r="BD276" s="70">
        <v>0</v>
      </c>
      <c r="BE276" s="65">
        <f t="shared" si="216"/>
        <v>0</v>
      </c>
      <c r="BF276" s="70">
        <v>0</v>
      </c>
      <c r="BG276" s="65">
        <f t="shared" si="217"/>
        <v>0</v>
      </c>
      <c r="BH276" s="70">
        <v>0</v>
      </c>
      <c r="BI276" s="65">
        <f t="shared" si="218"/>
        <v>0</v>
      </c>
      <c r="BJ276" s="38">
        <f>IF(AND(BJ$7="○",$A276&gt;=BJ$8,$A276&lt;=BJ$9),IF(SUM(BJ$10:BJ275)-ROUNDDOWN($M276*BJ$5/100,0)&lt;-BJ$6,-BJ$6-SUM(BJ$10:BJ275),-ROUNDDOWN($M276*BJ$5/100,0)),0)</f>
        <v>0</v>
      </c>
      <c r="BK276" s="38">
        <f>IF(AND(BK$7="○",$A276&gt;=BK$8,$A276&lt;=BK$9),IF(SUM(BK$10:BK275)-ROUNDDOWN($L276*BK$5/100,0)&lt;-BK$6,-BK$6-SUM(BK$10:BK275),-ROUNDDOWN($L276*BK$5/100,0)),0)</f>
        <v>0</v>
      </c>
      <c r="BL276" s="38">
        <f>IF(AND(BL$7="○",$A276&gt;=BL$8,$A276&lt;=BL$9),IF(SUM(BL$10:BL275)-ROUNDDOWN($L276*BL$5/100,0)&lt;-BL$6,-BL$6-SUM(BL$10:BL275),-ROUNDDOWN($L276*BL$5/100,0)),0)</f>
        <v>0</v>
      </c>
      <c r="BM276" s="38">
        <f>IF(AND(BM$7="○",$A276&gt;=BM$8,$A276&lt;=BM$9),IF(SUM(BM$10:BM275)-ROUNDDOWN($M276*BM$5/100,0)&lt;-BM$6,-BM$6-SUM(BM$10:BM275),-ROUNDDOWN($M276*BM$5/100,0)),0)</f>
        <v>0</v>
      </c>
      <c r="BN276" s="38">
        <f>IF(AND(BN$7="○",$A276&gt;=BN$8,$A276&lt;=BN$9),IF(SUM(BN$10:BN275)-ROUNDDOWN($M276*BN$5/100,0)&lt;-BN$6,-BN$6-SUM(BN$10:BN275),-ROUNDDOWN($M276*BN$5/100,0)),0)</f>
        <v>0</v>
      </c>
      <c r="BO276" s="38">
        <f>IF(AND(BO$7="○",$A276&gt;=BO$8,$A276&lt;=BO$9),IF(SUM(BO$10:BO275)-ROUNDDOWN($M276*BO$5/100,0)&lt;-BO$6,-BO$6-SUM(BO$10:BO275),-ROUNDDOWN($M276*BO$5/100,0)),0)</f>
        <v>0</v>
      </c>
      <c r="BP276" s="38">
        <f>IF(AND(BP$7="○",$A276&gt;=BP$8,$A276&lt;=BP$9),IF(SUM(BP$10:BP275)-ROUNDDOWN($M276*BP$5/100,0)&lt;-BP$6,-BP$6-SUM(BP$10:BP275),-ROUNDDOWN($M276*BP$5/100,0)),0)</f>
        <v>0</v>
      </c>
      <c r="BQ276" s="38">
        <f>IF(AND(BQ$7="○",$A276&gt;=BQ$8,$A276&lt;=BQ$9),IF(SUM(BQ$10:BQ275)-ROUNDDOWN($L276*BQ$5/100,0)&lt;-BQ$6,-BQ$6-SUM(BQ$10:BQ275),-ROUNDDOWN($L276*BQ$5/100,0)),0)</f>
        <v>0</v>
      </c>
      <c r="BR276" s="38">
        <f>IF(AND(BR$7="○",$A276&gt;=BR$8,$A276&lt;=BR$9),IF(SUM(BR$10:BR275)-ROUNDDOWN($M276*BR$5/100,0)&lt;-BR$6,-BR$6-SUM(BR$10:BR275),-ROUNDDOWN($M276*BR$5/100,0)),0)</f>
        <v>0</v>
      </c>
      <c r="BS276" s="38">
        <f>IF(AND(BS$7="○",$A276&gt;=BS$8,$A276&lt;=BS$9),IF(SUM(BS$10:BS275)-ROUNDDOWN($M276*BS$5/100,0)&lt;-BS$6,-BS$6-SUM(BS$10:BS275),-ROUNDDOWN($M276*BS$5/100,0)),0)</f>
        <v>0</v>
      </c>
      <c r="BT276" s="38">
        <f>IF(AND(BT$7="○",$A276&gt;=BT$8,$A276&lt;=BT$9),IF(SUM(BT$10:BT275)-ROUNDDOWN($M276*BT$5/100,0)&lt;-BT$6,-BT$6-SUM(BT$10:BT275),-ROUNDDOWN($M276*BT$5/100,0)),0)</f>
        <v>0</v>
      </c>
      <c r="BU276" s="38">
        <f>IF(AND(BU$7="○",$A276&gt;=BU$8,$A276&lt;=BU$9),IF(SUM(BU$10:BU275)-ROUNDDOWN($M276*BU$5/100,0)&lt;-BU$6,-BU$6-SUM(BU$10:BU275),-ROUNDDOWN($M276*BU$5/100,0)),0)</f>
        <v>0</v>
      </c>
      <c r="BV276" s="38">
        <f>IF(AND(BV$7="○",$A276&gt;=BV$8,$A276&lt;=BV$9),IF(SUM(BV$10:BV275)-ROUNDDOWN($M276*BV$5/100,0)&lt;-BV$6,-BV$6-SUM(BV$10:BV275),-ROUNDDOWN($M276*BV$5/100,0)),0)</f>
        <v>0</v>
      </c>
      <c r="BW276" s="38">
        <f>IF(AND(BW$7="○",$A276&gt;=BW$8,$A276&lt;=BW$9),IF(SUM(BW$10:BW275)-ROUNDDOWN($M276*BW$5/100,0)&lt;-BW$6,-BW$6-SUM(BW$10:BW275),-ROUNDDOWN($M276*BW$5/100,0)),0)</f>
        <v>0</v>
      </c>
      <c r="BX276" s="38">
        <f>IF(AND(T276="○",$A276&gt;=BX$8,$A276&lt;=BX$9),IF(SUM(BX$10:BX275)-ROUNDDOWN($K276*BX$5/100,0)&lt;-BX$6,-BX$6-SUM(BX$10:BX275),-ROUNDDOWN($K276*BX$5/100,0)),0)</f>
        <v>0</v>
      </c>
      <c r="BY276" s="38">
        <f>IF(AND(U276="○",$A276&gt;=BY$8,$A276&lt;=BY$9),IF(SUM(BY$10:BY275)-ROUNDDOWN($K276*BY$5/100,0)&lt;-BY$6,-BY$6-SUM(BY$10:BY275),-ROUNDDOWN($K276*BY$5/100,0)),0)</f>
        <v>0</v>
      </c>
      <c r="BZ276" s="38">
        <f>IF(AND(V276="○",$A276&gt;=BZ$8,$A276&lt;=BZ$9),IF(SUM(BZ$10:BZ275)-ROUNDDOWN($K276*BZ$5/100,0)&lt;-BZ$6,-BZ$6-SUM(BZ$10:BZ275),-ROUNDDOWN($K276*BZ$5/100,0)),0)</f>
        <v>0</v>
      </c>
      <c r="CA276" s="38">
        <f>IF(AND(W276="○",$A276&gt;=CA$8,$A276&lt;=CA$9),IF(SUM(CA$10:CA275)-ROUNDDOWN($K276*CA$5/100,0)&lt;-CA$6,-CA$6-SUM(CA$10:CA275),-ROUNDDOWN($K276*CA$5/100,0)),0)</f>
        <v>0</v>
      </c>
      <c r="CB276" s="38"/>
      <c r="CC276" s="38"/>
      <c r="CD276" s="38"/>
      <c r="CE276" s="38"/>
      <c r="CF276" s="38"/>
      <c r="CG276" s="65">
        <f t="shared" si="219"/>
        <v>0</v>
      </c>
      <c r="CH276" s="71">
        <f t="shared" si="220"/>
        <v>0</v>
      </c>
      <c r="CI276" s="1">
        <f t="shared" si="206"/>
        <v>0</v>
      </c>
      <c r="CJ276" s="1"/>
      <c r="CK276" s="72"/>
      <c r="CL276" s="72"/>
      <c r="CM276" s="2"/>
      <c r="CN276" s="2"/>
      <c r="CO276" s="73">
        <f t="shared" si="207"/>
        <v>0</v>
      </c>
      <c r="CP276" s="5">
        <f t="shared" si="208"/>
        <v>0</v>
      </c>
      <c r="CQ276" s="1"/>
      <c r="CR276" s="1">
        <f t="shared" si="209"/>
        <v>0</v>
      </c>
      <c r="CS276" s="1"/>
      <c r="CT276" s="1" t="e">
        <f>INDEX([2]マスタ!$A:$A,MATCH(D276,[2]マスタ!$C:$C,0))</f>
        <v>#N/A</v>
      </c>
      <c r="CU276" s="1" t="str">
        <f t="shared" ca="1" si="210"/>
        <v>20260620_0-0</v>
      </c>
    </row>
    <row r="277" spans="1:99" x14ac:dyDescent="0.4">
      <c r="A277" s="61"/>
      <c r="B277" s="62"/>
      <c r="C277" s="62"/>
      <c r="D277" s="62"/>
      <c r="E277" s="63"/>
      <c r="F277" s="62"/>
      <c r="G277" s="62">
        <v>1</v>
      </c>
      <c r="H277" s="64">
        <f t="shared" si="197"/>
        <v>0</v>
      </c>
      <c r="I277" s="64"/>
      <c r="J277" s="64"/>
      <c r="K277" s="65">
        <f t="shared" si="221"/>
        <v>0</v>
      </c>
      <c r="L277" s="65">
        <f t="shared" si="199"/>
        <v>0</v>
      </c>
      <c r="M277" s="65">
        <f t="shared" si="200"/>
        <v>0</v>
      </c>
      <c r="N277" s="65">
        <f t="shared" si="201"/>
        <v>0</v>
      </c>
      <c r="O277" s="66" t="str">
        <f t="shared" si="202"/>
        <v>✕</v>
      </c>
      <c r="P277" s="67" t="str">
        <f t="shared" si="203"/>
        <v>○</v>
      </c>
      <c r="Q277" s="67" t="str">
        <f t="shared" si="222"/>
        <v>✕</v>
      </c>
      <c r="R277" s="67" t="str">
        <f t="shared" si="205"/>
        <v>✕</v>
      </c>
      <c r="S277" s="68">
        <v>0</v>
      </c>
      <c r="T277" s="69" t="s">
        <v>85</v>
      </c>
      <c r="U277" s="69" t="s">
        <v>85</v>
      </c>
      <c r="V277" s="69" t="s">
        <v>85</v>
      </c>
      <c r="W277" s="69" t="s">
        <v>85</v>
      </c>
      <c r="X277" s="69" t="s">
        <v>84</v>
      </c>
      <c r="Y277" s="69" t="s">
        <v>85</v>
      </c>
      <c r="Z277" s="69" t="s">
        <v>85</v>
      </c>
      <c r="AA277" s="69" t="s">
        <v>85</v>
      </c>
      <c r="AB277" s="69" t="s">
        <v>85</v>
      </c>
      <c r="AC277" s="69" t="s">
        <v>85</v>
      </c>
      <c r="AD277" s="38" t="str">
        <f>+IF(ISERROR(VLOOKUP($B277,AD$10:AD276,1,0)),IF(AND($N277&gt;=1000,$A277&gt;=AO$8,$A277&lt;=AO$9),$B277,""),"")</f>
        <v/>
      </c>
      <c r="AE277" s="38" t="str">
        <f>+IF(ISERROR(VLOOKUP($B277,AE$10:AE276,1,0)),IF(AND($N277&gt;=1000,$A277&gt;=AP$8,$A277&lt;=AP$9),$B277,""),"")</f>
        <v/>
      </c>
      <c r="AF277" s="38" t="str">
        <f>+IF(ISERROR(VLOOKUP($B277,AF$10:AF276,1,0)),IF(AND($N277&gt;=1000,$A277&gt;=AQ$8,$A277&lt;=AQ$9),$B277,""),"")</f>
        <v/>
      </c>
      <c r="AG277" s="38" t="str">
        <f>+IF(ISERROR(VLOOKUP($B277,AG$10:AG276,1,0)),IF(AND($N277&gt;=1000,$A277&gt;=AR$8,$A277&lt;=AR$9),$B277,""),"")</f>
        <v/>
      </c>
      <c r="AH277" s="38"/>
      <c r="AI277" s="70">
        <v>0</v>
      </c>
      <c r="AJ277" s="38">
        <f>IF(AND(AJ$7="○",$A277&gt;=AJ$8,$A277&lt;=AJ$9),IF(SUM(AJ$10:AJ276)-ROUNDDOWN($K277*AJ$5/100,0)&lt;-AJ$6,-AJ$6-SUM(AJ$10:AJ276),-ROUNDDOWN($K277*AJ$5/100,0)),0)</f>
        <v>0</v>
      </c>
      <c r="AK277" s="38">
        <f>IF(AND(AK$7="○",$A277&gt;=AK$8,$A277&lt;=AK$9),IF(SUM(AK$10:AK276)-ROUNDDOWN($L277*AK$5/100,0)&lt;-AK$6,-AK$6-SUM(AK$10:AK276),-ROUNDDOWN($L277*AK$5/100,0)),0)</f>
        <v>0</v>
      </c>
      <c r="AL277" s="38">
        <f>IF(AND(AL$7="○",$A277&gt;=AL$8,$A277&lt;=AL$9),IF(SUM(AL$10:AL276)-ROUNDDOWN($N277*AL$5/100,0)&lt;-AL$6,-AL$6-SUM(AL$10:AL276),-ROUNDDOWN($N277*AL$5/100,0)),0)</f>
        <v>0</v>
      </c>
      <c r="AM277" s="38">
        <f>IF(AND(AM$7="○",$A277&gt;=AM$8,$A277&lt;=AM$9),IF(SUM(AM$10:AM276)-ROUNDDOWN($L277*AM$5/100,0)&lt;-AM$6,-AM$6-SUM(AM$10:AM276),-ROUNDDOWN($L277*AM$5/100,0)),0)</f>
        <v>0</v>
      </c>
      <c r="AN277" s="38">
        <f>IF(AND(AN$7="○",$A277&gt;=AN$8,$A277&lt;=AN$9),IF(SUM(AN$10:AN276)-ROUNDDOWN($M277*AN$5/100,0)&lt;-AN$6,-AN$6-SUM(AN$10:AN276),-ROUNDDOWN($M277*AN$5/100,0)),0)</f>
        <v>0</v>
      </c>
      <c r="AO277" s="38">
        <f>IF(AND($A277&gt;=AO$8,$A277&lt;=AO$9),IF(SUM(AO$10:AO276)-ROUNDDOWN($K277*AO$5/100,0)&lt;-AO$6,-AO$6-SUM(AO$10:AO276),-ROUNDDOWN($K277*AO$5/100,0)),0)</f>
        <v>0</v>
      </c>
      <c r="AP277" s="38">
        <f>IF(AND($A277&gt;=AP$8,$A277&lt;=AP$9),IF(SUM(AP$10:AP276)-ROUNDDOWN($K277*AP$5/100,0)&lt;-AP$6,-AP$6-SUM(AP$10:AP276),-ROUNDDOWN($K277*AP$5/100,0)),0)</f>
        <v>0</v>
      </c>
      <c r="AQ277" s="38">
        <f>IF(AND($A277&gt;=AQ$8,$A277&lt;=AQ$9),IF(SUM(AQ$10:AQ276)-ROUNDDOWN($K277*AQ$5/100,0)&lt;-AQ$6,-AQ$6-SUM(AQ$10:AQ276),-ROUNDDOWN($K277*AQ$5/100,0)),0)</f>
        <v>0</v>
      </c>
      <c r="AR277" s="38">
        <f>IF(AND($A277&gt;=AR$8,$A277&lt;=AR$9),IF(SUM(AR$10:AR276)-ROUNDDOWN($K277*AR$5/100,0)&lt;-AR$6,-AR$6-SUM(AR$10:AR276),-ROUNDDOWN($K277*AR$5/100,0)),0)</f>
        <v>0</v>
      </c>
      <c r="AS277" s="38">
        <f>IF(SUMIFS(AS$10:AS276,$A$10:$A276,$A277)-ROUNDDOWN($K277*$S277/100,0)&lt;-$S277*1000,-$S277*1000-SUMIFS(AS$10:AS276,$A$10:$A276,$A277),-ROUNDDOWN($K277*$S277/100,0))</f>
        <v>0</v>
      </c>
      <c r="AT277" s="38">
        <f>IF(AND(X277="○",$A277&gt;=AT$8,$A277&lt;=AT$9,K277&gt;=3980),IF(SUM(AT$10:AT276)-ROUNDDOWN($K277*AT$5/100,0)&lt;-AT$6,-AT$6-SUM(AT$10:AT276),-ROUNDDOWN($K277*AT$5/100,0)),0)</f>
        <v>0</v>
      </c>
      <c r="AU277" s="38">
        <f>IF(O277="○",IF(SUM(AU$10:AU276)-ROUNDDOWN($K277*AU$5/100,0)&lt;-AU$6,-AU$6-SUM(AU$10:AU276),-ROUNDDOWN($K277*AU$5/100,0)),0)</f>
        <v>0</v>
      </c>
      <c r="AV277" s="38">
        <f>IF(P277="○",IF(SUM(AV$10:AV276)-ROUNDDOWN($K277*AV$5/100,0)&lt;-AV$6,-AV$6-SUM(AV$10:AV276),-ROUNDDOWN($K277*AV$5/100,0)),0)</f>
        <v>0</v>
      </c>
      <c r="AW277" s="38">
        <f>IF(Q277="○",IF(SUM(AW$10:AW276)-ROUNDDOWN($K277*AW$5/100,0)&lt;-AW$6,-AW$6-SUM(AW$10:AW276),-ROUNDDOWN($K277*AW$5/100,0)),0)</f>
        <v>0</v>
      </c>
      <c r="AX277" s="38">
        <f>IF(R277="○",IF(SUM(AX$10:AX276)-ROUNDDOWN($K277*AX$5/100,0)&lt;-AX$6,-AX$6-SUM(AX$10:AX276),-ROUNDDOWN($K277*AX$5/100,0)),0)</f>
        <v>0</v>
      </c>
      <c r="AY277" s="70">
        <v>0</v>
      </c>
      <c r="AZ277" s="65">
        <f t="shared" si="213"/>
        <v>0</v>
      </c>
      <c r="BA277" s="65">
        <f t="shared" si="214"/>
        <v>0</v>
      </c>
      <c r="BB277" s="70"/>
      <c r="BC277" s="65">
        <f t="shared" si="215"/>
        <v>0</v>
      </c>
      <c r="BD277" s="70">
        <v>0</v>
      </c>
      <c r="BE277" s="65">
        <f t="shared" si="216"/>
        <v>0</v>
      </c>
      <c r="BF277" s="70">
        <v>0</v>
      </c>
      <c r="BG277" s="65">
        <f t="shared" si="217"/>
        <v>0</v>
      </c>
      <c r="BH277" s="70">
        <v>0</v>
      </c>
      <c r="BI277" s="65">
        <f t="shared" si="218"/>
        <v>0</v>
      </c>
      <c r="BJ277" s="38">
        <f>IF(AND(BJ$7="○",$A277&gt;=BJ$8,$A277&lt;=BJ$9),IF(SUM(BJ$10:BJ276)-ROUNDDOWN($M277*BJ$5/100,0)&lt;-BJ$6,-BJ$6-SUM(BJ$10:BJ276),-ROUNDDOWN($M277*BJ$5/100,0)),0)</f>
        <v>0</v>
      </c>
      <c r="BK277" s="38">
        <f>IF(AND(BK$7="○",$A277&gt;=BK$8,$A277&lt;=BK$9),IF(SUM(BK$10:BK276)-ROUNDDOWN($L277*BK$5/100,0)&lt;-BK$6,-BK$6-SUM(BK$10:BK276),-ROUNDDOWN($L277*BK$5/100,0)),0)</f>
        <v>0</v>
      </c>
      <c r="BL277" s="38">
        <f>IF(AND(BL$7="○",$A277&gt;=BL$8,$A277&lt;=BL$9),IF(SUM(BL$10:BL276)-ROUNDDOWN($L277*BL$5/100,0)&lt;-BL$6,-BL$6-SUM(BL$10:BL276),-ROUNDDOWN($L277*BL$5/100,0)),0)</f>
        <v>0</v>
      </c>
      <c r="BM277" s="38">
        <f>IF(AND(BM$7="○",$A277&gt;=BM$8,$A277&lt;=BM$9),IF(SUM(BM$10:BM276)-ROUNDDOWN($M277*BM$5/100,0)&lt;-BM$6,-BM$6-SUM(BM$10:BM276),-ROUNDDOWN($M277*BM$5/100,0)),0)</f>
        <v>0</v>
      </c>
      <c r="BN277" s="38">
        <f>IF(AND(BN$7="○",$A277&gt;=BN$8,$A277&lt;=BN$9),IF(SUM(BN$10:BN276)-ROUNDDOWN($M277*BN$5/100,0)&lt;-BN$6,-BN$6-SUM(BN$10:BN276),-ROUNDDOWN($M277*BN$5/100,0)),0)</f>
        <v>0</v>
      </c>
      <c r="BO277" s="38">
        <f>IF(AND(BO$7="○",$A277&gt;=BO$8,$A277&lt;=BO$9),IF(SUM(BO$10:BO276)-ROUNDDOWN($M277*BO$5/100,0)&lt;-BO$6,-BO$6-SUM(BO$10:BO276),-ROUNDDOWN($M277*BO$5/100,0)),0)</f>
        <v>0</v>
      </c>
      <c r="BP277" s="38">
        <f>IF(AND(BP$7="○",$A277&gt;=BP$8,$A277&lt;=BP$9),IF(SUM(BP$10:BP276)-ROUNDDOWN($M277*BP$5/100,0)&lt;-BP$6,-BP$6-SUM(BP$10:BP276),-ROUNDDOWN($M277*BP$5/100,0)),0)</f>
        <v>0</v>
      </c>
      <c r="BQ277" s="38">
        <f>IF(AND(BQ$7="○",$A277&gt;=BQ$8,$A277&lt;=BQ$9),IF(SUM(BQ$10:BQ276)-ROUNDDOWN($L277*BQ$5/100,0)&lt;-BQ$6,-BQ$6-SUM(BQ$10:BQ276),-ROUNDDOWN($L277*BQ$5/100,0)),0)</f>
        <v>0</v>
      </c>
      <c r="BR277" s="38">
        <f>IF(AND(BR$7="○",$A277&gt;=BR$8,$A277&lt;=BR$9),IF(SUM(BR$10:BR276)-ROUNDDOWN($M277*BR$5/100,0)&lt;-BR$6,-BR$6-SUM(BR$10:BR276),-ROUNDDOWN($M277*BR$5/100,0)),0)</f>
        <v>0</v>
      </c>
      <c r="BS277" s="38">
        <f>IF(AND(BS$7="○",$A277&gt;=BS$8,$A277&lt;=BS$9),IF(SUM(BS$10:BS276)-ROUNDDOWN($M277*BS$5/100,0)&lt;-BS$6,-BS$6-SUM(BS$10:BS276),-ROUNDDOWN($M277*BS$5/100,0)),0)</f>
        <v>0</v>
      </c>
      <c r="BT277" s="38">
        <f>IF(AND(BT$7="○",$A277&gt;=BT$8,$A277&lt;=BT$9),IF(SUM(BT$10:BT276)-ROUNDDOWN($M277*BT$5/100,0)&lt;-BT$6,-BT$6-SUM(BT$10:BT276),-ROUNDDOWN($M277*BT$5/100,0)),0)</f>
        <v>0</v>
      </c>
      <c r="BU277" s="38">
        <f>IF(AND(BU$7="○",$A277&gt;=BU$8,$A277&lt;=BU$9),IF(SUM(BU$10:BU276)-ROUNDDOWN($M277*BU$5/100,0)&lt;-BU$6,-BU$6-SUM(BU$10:BU276),-ROUNDDOWN($M277*BU$5/100,0)),0)</f>
        <v>0</v>
      </c>
      <c r="BV277" s="38">
        <f>IF(AND(BV$7="○",$A277&gt;=BV$8,$A277&lt;=BV$9),IF(SUM(BV$10:BV276)-ROUNDDOWN($M277*BV$5/100,0)&lt;-BV$6,-BV$6-SUM(BV$10:BV276),-ROUNDDOWN($M277*BV$5/100,0)),0)</f>
        <v>0</v>
      </c>
      <c r="BW277" s="38">
        <f>IF(AND(BW$7="○",$A277&gt;=BW$8,$A277&lt;=BW$9),IF(SUM(BW$10:BW276)-ROUNDDOWN($M277*BW$5/100,0)&lt;-BW$6,-BW$6-SUM(BW$10:BW276),-ROUNDDOWN($M277*BW$5/100,0)),0)</f>
        <v>0</v>
      </c>
      <c r="BX277" s="38">
        <f>IF(AND(T277="○",$A277&gt;=BX$8,$A277&lt;=BX$9),IF(SUM(BX$10:BX276)-ROUNDDOWN($K277*BX$5/100,0)&lt;-BX$6,-BX$6-SUM(BX$10:BX276),-ROUNDDOWN($K277*BX$5/100,0)),0)</f>
        <v>0</v>
      </c>
      <c r="BY277" s="38">
        <f>IF(AND(U277="○",$A277&gt;=BY$8,$A277&lt;=BY$9),IF(SUM(BY$10:BY276)-ROUNDDOWN($K277*BY$5/100,0)&lt;-BY$6,-BY$6-SUM(BY$10:BY276),-ROUNDDOWN($K277*BY$5/100,0)),0)</f>
        <v>0</v>
      </c>
      <c r="BZ277" s="38">
        <f>IF(AND(V277="○",$A277&gt;=BZ$8,$A277&lt;=BZ$9),IF(SUM(BZ$10:BZ276)-ROUNDDOWN($K277*BZ$5/100,0)&lt;-BZ$6,-BZ$6-SUM(BZ$10:BZ276),-ROUNDDOWN($K277*BZ$5/100,0)),0)</f>
        <v>0</v>
      </c>
      <c r="CA277" s="38">
        <f>IF(AND(W277="○",$A277&gt;=CA$8,$A277&lt;=CA$9),IF(SUM(CA$10:CA276)-ROUNDDOWN($K277*CA$5/100,0)&lt;-CA$6,-CA$6-SUM(CA$10:CA276),-ROUNDDOWN($K277*CA$5/100,0)),0)</f>
        <v>0</v>
      </c>
      <c r="CB277" s="38"/>
      <c r="CC277" s="38"/>
      <c r="CD277" s="38"/>
      <c r="CE277" s="38"/>
      <c r="CF277" s="38"/>
      <c r="CG277" s="65">
        <f t="shared" si="219"/>
        <v>0</v>
      </c>
      <c r="CH277" s="71">
        <f t="shared" si="220"/>
        <v>0</v>
      </c>
      <c r="CI277" s="1">
        <f t="shared" si="206"/>
        <v>0</v>
      </c>
      <c r="CJ277" s="1"/>
      <c r="CK277" s="72"/>
      <c r="CL277" s="72"/>
      <c r="CM277" s="2"/>
      <c r="CN277" s="2"/>
      <c r="CO277" s="73">
        <f t="shared" si="207"/>
        <v>0</v>
      </c>
      <c r="CP277" s="5">
        <f t="shared" si="208"/>
        <v>0</v>
      </c>
      <c r="CQ277" s="1"/>
      <c r="CR277" s="1">
        <f t="shared" si="209"/>
        <v>0</v>
      </c>
      <c r="CS277" s="1"/>
      <c r="CT277" s="1" t="e">
        <f>INDEX([2]マスタ!$A:$A,MATCH(D277,[2]マスタ!$C:$C,0))</f>
        <v>#N/A</v>
      </c>
      <c r="CU277" s="1" t="str">
        <f t="shared" ca="1" si="210"/>
        <v>20260620_0-0</v>
      </c>
    </row>
    <row r="278" spans="1:99" x14ac:dyDescent="0.4">
      <c r="A278" s="61"/>
      <c r="B278" s="62"/>
      <c r="C278" s="62"/>
      <c r="D278" s="63"/>
      <c r="E278" s="63"/>
      <c r="F278" s="62"/>
      <c r="G278" s="62">
        <v>1</v>
      </c>
      <c r="H278" s="64">
        <f t="shared" si="197"/>
        <v>0</v>
      </c>
      <c r="I278" s="64"/>
      <c r="J278" s="64"/>
      <c r="K278" s="65">
        <f t="shared" si="221"/>
        <v>0</v>
      </c>
      <c r="L278" s="65">
        <f t="shared" si="199"/>
        <v>0</v>
      </c>
      <c r="M278" s="65">
        <f t="shared" si="200"/>
        <v>0</v>
      </c>
      <c r="N278" s="65">
        <f t="shared" si="201"/>
        <v>0</v>
      </c>
      <c r="O278" s="66" t="str">
        <f t="shared" si="202"/>
        <v>✕</v>
      </c>
      <c r="P278" s="67" t="str">
        <f t="shared" si="203"/>
        <v>○</v>
      </c>
      <c r="Q278" s="67" t="str">
        <f t="shared" si="222"/>
        <v>✕</v>
      </c>
      <c r="R278" s="67" t="str">
        <f t="shared" si="205"/>
        <v>✕</v>
      </c>
      <c r="S278" s="68">
        <v>0</v>
      </c>
      <c r="T278" s="69" t="s">
        <v>85</v>
      </c>
      <c r="U278" s="69" t="s">
        <v>85</v>
      </c>
      <c r="V278" s="69" t="s">
        <v>85</v>
      </c>
      <c r="W278" s="69" t="s">
        <v>85</v>
      </c>
      <c r="X278" s="69" t="s">
        <v>84</v>
      </c>
      <c r="Y278" s="69" t="s">
        <v>85</v>
      </c>
      <c r="Z278" s="69" t="s">
        <v>85</v>
      </c>
      <c r="AA278" s="69" t="s">
        <v>85</v>
      </c>
      <c r="AB278" s="69" t="s">
        <v>85</v>
      </c>
      <c r="AC278" s="69" t="s">
        <v>85</v>
      </c>
      <c r="AD278" s="38" t="str">
        <f>+IF(ISERROR(VLOOKUP($B278,AD$10:AD277,1,0)),IF(AND($N278&gt;=1000,$A278&gt;=AO$8,$A278&lt;=AO$9),$B278,""),"")</f>
        <v/>
      </c>
      <c r="AE278" s="38" t="str">
        <f>+IF(ISERROR(VLOOKUP($B278,AE$10:AE277,1,0)),IF(AND($N278&gt;=1000,$A278&gt;=AP$8,$A278&lt;=AP$9),$B278,""),"")</f>
        <v/>
      </c>
      <c r="AF278" s="38" t="str">
        <f>+IF(ISERROR(VLOOKUP($B278,AF$10:AF277,1,0)),IF(AND($N278&gt;=1000,$A278&gt;=AQ$8,$A278&lt;=AQ$9),$B278,""),"")</f>
        <v/>
      </c>
      <c r="AG278" s="38" t="str">
        <f>+IF(ISERROR(VLOOKUP($B278,AG$10:AG277,1,0)),IF(AND($N278&gt;=1000,$A278&gt;=AR$8,$A278&lt;=AR$9),$B278,""),"")</f>
        <v/>
      </c>
      <c r="AH278" s="38"/>
      <c r="AI278" s="70">
        <v>0</v>
      </c>
      <c r="AJ278" s="38">
        <f>IF(AND(AJ$7="○",$A278&gt;=AJ$8,$A278&lt;=AJ$9),IF(SUM(AJ$10:AJ277)-ROUNDDOWN($K278*AJ$5/100,0)&lt;-AJ$6,-AJ$6-SUM(AJ$10:AJ277),-ROUNDDOWN($K278*AJ$5/100,0)),0)</f>
        <v>0</v>
      </c>
      <c r="AK278" s="38">
        <f>IF(AND(AK$7="○",$A278&gt;=AK$8,$A278&lt;=AK$9),IF(SUM(AK$10:AK277)-ROUNDDOWN($L278*AK$5/100,0)&lt;-AK$6,-AK$6-SUM(AK$10:AK277),-ROUNDDOWN($L278*AK$5/100,0)),0)</f>
        <v>0</v>
      </c>
      <c r="AL278" s="38">
        <f>IF(AND(AL$7="○",$A278&gt;=AL$8,$A278&lt;=AL$9),IF(SUM(AL$10:AL277)-ROUNDDOWN($N278*AL$5/100,0)&lt;-AL$6,-AL$6-SUM(AL$10:AL277),-ROUNDDOWN($N278*AL$5/100,0)),0)</f>
        <v>0</v>
      </c>
      <c r="AM278" s="38">
        <f>IF(AND(AM$7="○",$A278&gt;=AM$8,$A278&lt;=AM$9),IF(SUM(AM$10:AM277)-ROUNDDOWN($L278*AM$5/100,0)&lt;-AM$6,-AM$6-SUM(AM$10:AM277),-ROUNDDOWN($L278*AM$5/100,0)),0)</f>
        <v>0</v>
      </c>
      <c r="AN278" s="38">
        <f>IF(AND(AN$7="○",$A278&gt;=AN$8,$A278&lt;=AN$9),IF(SUM(AN$10:AN277)-ROUNDDOWN($M278*AN$5/100,0)&lt;-AN$6,-AN$6-SUM(AN$10:AN277),-ROUNDDOWN($M278*AN$5/100,0)),0)</f>
        <v>0</v>
      </c>
      <c r="AO278" s="38">
        <f>IF(AND($A278&gt;=AO$8,$A278&lt;=AO$9),IF(SUM(AO$10:AO277)-ROUNDDOWN($K278*AO$5/100,0)&lt;-AO$6,-AO$6-SUM(AO$10:AO277),-ROUNDDOWN($K278*AO$5/100,0)),0)</f>
        <v>0</v>
      </c>
      <c r="AP278" s="38">
        <f>IF(AND($A278&gt;=AP$8,$A278&lt;=AP$9),IF(SUM(AP$10:AP277)-ROUNDDOWN($K278*AP$5/100,0)&lt;-AP$6,-AP$6-SUM(AP$10:AP277),-ROUNDDOWN($K278*AP$5/100,0)),0)</f>
        <v>0</v>
      </c>
      <c r="AQ278" s="38">
        <f>IF(AND($A278&gt;=AQ$8,$A278&lt;=AQ$9),IF(SUM(AQ$10:AQ277)-ROUNDDOWN($K278*AQ$5/100,0)&lt;-AQ$6,-AQ$6-SUM(AQ$10:AQ277),-ROUNDDOWN($K278*AQ$5/100,0)),0)</f>
        <v>0</v>
      </c>
      <c r="AR278" s="38">
        <f>IF(AND($A278&gt;=AR$8,$A278&lt;=AR$9),IF(SUM(AR$10:AR277)-ROUNDDOWN($K278*AR$5/100,0)&lt;-AR$6,-AR$6-SUM(AR$10:AR277),-ROUNDDOWN($K278*AR$5/100,0)),0)</f>
        <v>0</v>
      </c>
      <c r="AS278" s="38">
        <f>IF(SUMIFS(AS$10:AS277,$A$10:$A277,$A278)-ROUNDDOWN($K278*$S278/100,0)&lt;-$S278*1000,-$S278*1000-SUMIFS(AS$10:AS277,$A$10:$A277,$A278),-ROUNDDOWN($K278*$S278/100,0))</f>
        <v>0</v>
      </c>
      <c r="AT278" s="38">
        <f>IF(AND(X278="○",$A278&gt;=AT$8,$A278&lt;=AT$9,K278&gt;=3980),IF(SUM(AT$10:AT277)-ROUNDDOWN($K278*AT$5/100,0)&lt;-AT$6,-AT$6-SUM(AT$10:AT277),-ROUNDDOWN($K278*AT$5/100,0)),0)</f>
        <v>0</v>
      </c>
      <c r="AU278" s="38">
        <f>IF(O278="○",IF(SUM(AU$10:AU277)-ROUNDDOWN($K278*AU$5/100,0)&lt;-AU$6,-AU$6-SUM(AU$10:AU277),-ROUNDDOWN($K278*AU$5/100,0)),0)</f>
        <v>0</v>
      </c>
      <c r="AV278" s="38">
        <f>IF(P278="○",IF(SUM(AV$10:AV277)-ROUNDDOWN($K278*AV$5/100,0)&lt;-AV$6,-AV$6-SUM(AV$10:AV277),-ROUNDDOWN($K278*AV$5/100,0)),0)</f>
        <v>0</v>
      </c>
      <c r="AW278" s="38">
        <f>IF(Q278="○",IF(SUM(AW$10:AW277)-ROUNDDOWN($K278*AW$5/100,0)&lt;-AW$6,-AW$6-SUM(AW$10:AW277),-ROUNDDOWN($K278*AW$5/100,0)),0)</f>
        <v>0</v>
      </c>
      <c r="AX278" s="38">
        <f>IF(R278="○",IF(SUM(AX$10:AX277)-ROUNDDOWN($K278*AX$5/100,0)&lt;-AX$6,-AX$6-SUM(AX$10:AX277),-ROUNDDOWN($K278*AX$5/100,0)),0)</f>
        <v>0</v>
      </c>
      <c r="AY278" s="70">
        <v>0</v>
      </c>
      <c r="AZ278" s="65">
        <f t="shared" si="213"/>
        <v>0</v>
      </c>
      <c r="BA278" s="65">
        <f t="shared" si="214"/>
        <v>0</v>
      </c>
      <c r="BB278" s="70"/>
      <c r="BC278" s="65">
        <f t="shared" si="215"/>
        <v>0</v>
      </c>
      <c r="BD278" s="70">
        <v>0</v>
      </c>
      <c r="BE278" s="65">
        <f t="shared" si="216"/>
        <v>0</v>
      </c>
      <c r="BF278" s="70">
        <v>0</v>
      </c>
      <c r="BG278" s="65">
        <f t="shared" si="217"/>
        <v>0</v>
      </c>
      <c r="BH278" s="70">
        <v>0</v>
      </c>
      <c r="BI278" s="65">
        <f t="shared" si="218"/>
        <v>0</v>
      </c>
      <c r="BJ278" s="38">
        <f>IF(AND(BJ$7="○",$A278&gt;=BJ$8,$A278&lt;=BJ$9),IF(SUM(BJ$10:BJ277)-ROUNDDOWN($M278*BJ$5/100,0)&lt;-BJ$6,-BJ$6-SUM(BJ$10:BJ277),-ROUNDDOWN($M278*BJ$5/100,0)),0)</f>
        <v>0</v>
      </c>
      <c r="BK278" s="38">
        <f>IF(AND(BK$7="○",$A278&gt;=BK$8,$A278&lt;=BK$9),IF(SUM(BK$10:BK277)-ROUNDDOWN($L278*BK$5/100,0)&lt;-BK$6,-BK$6-SUM(BK$10:BK277),-ROUNDDOWN($L278*BK$5/100,0)),0)</f>
        <v>0</v>
      </c>
      <c r="BL278" s="38">
        <f>IF(AND(BL$7="○",$A278&gt;=BL$8,$A278&lt;=BL$9),IF(SUM(BL$10:BL277)-ROUNDDOWN($L278*BL$5/100,0)&lt;-BL$6,-BL$6-SUM(BL$10:BL277),-ROUNDDOWN($L278*BL$5/100,0)),0)</f>
        <v>0</v>
      </c>
      <c r="BM278" s="38">
        <f>IF(AND(BM$7="○",$A278&gt;=BM$8,$A278&lt;=BM$9),IF(SUM(BM$10:BM277)-ROUNDDOWN($M278*BM$5/100,0)&lt;-BM$6,-BM$6-SUM(BM$10:BM277),-ROUNDDOWN($M278*BM$5/100,0)),0)</f>
        <v>0</v>
      </c>
      <c r="BN278" s="38">
        <f>IF(AND(BN$7="○",$A278&gt;=BN$8,$A278&lt;=BN$9),IF(SUM(BN$10:BN277)-ROUNDDOWN($M278*BN$5/100,0)&lt;-BN$6,-BN$6-SUM(BN$10:BN277),-ROUNDDOWN($M278*BN$5/100,0)),0)</f>
        <v>0</v>
      </c>
      <c r="BO278" s="38">
        <f>IF(AND(BO$7="○",$A278&gt;=BO$8,$A278&lt;=BO$9),IF(SUM(BO$10:BO277)-ROUNDDOWN($M278*BO$5/100,0)&lt;-BO$6,-BO$6-SUM(BO$10:BO277),-ROUNDDOWN($M278*BO$5/100,0)),0)</f>
        <v>0</v>
      </c>
      <c r="BP278" s="38">
        <f>IF(AND(BP$7="○",$A278&gt;=BP$8,$A278&lt;=BP$9),IF(SUM(BP$10:BP277)-ROUNDDOWN($M278*BP$5/100,0)&lt;-BP$6,-BP$6-SUM(BP$10:BP277),-ROUNDDOWN($M278*BP$5/100,0)),0)</f>
        <v>0</v>
      </c>
      <c r="BQ278" s="38">
        <f>IF(AND(BQ$7="○",$A278&gt;=BQ$8,$A278&lt;=BQ$9),IF(SUM(BQ$10:BQ277)-ROUNDDOWN($L278*BQ$5/100,0)&lt;-BQ$6,-BQ$6-SUM(BQ$10:BQ277),-ROUNDDOWN($L278*BQ$5/100,0)),0)</f>
        <v>0</v>
      </c>
      <c r="BR278" s="38">
        <f>IF(AND(BR$7="○",$A278&gt;=BR$8,$A278&lt;=BR$9),IF(SUM(BR$10:BR277)-ROUNDDOWN($M278*BR$5/100,0)&lt;-BR$6,-BR$6-SUM(BR$10:BR277),-ROUNDDOWN($M278*BR$5/100,0)),0)</f>
        <v>0</v>
      </c>
      <c r="BS278" s="38">
        <f>IF(AND(BS$7="○",$A278&gt;=BS$8,$A278&lt;=BS$9),IF(SUM(BS$10:BS277)-ROUNDDOWN($M278*BS$5/100,0)&lt;-BS$6,-BS$6-SUM(BS$10:BS277),-ROUNDDOWN($M278*BS$5/100,0)),0)</f>
        <v>0</v>
      </c>
      <c r="BT278" s="38">
        <f>IF(AND(BT$7="○",$A278&gt;=BT$8,$A278&lt;=BT$9),IF(SUM(BT$10:BT277)-ROUNDDOWN($M278*BT$5/100,0)&lt;-BT$6,-BT$6-SUM(BT$10:BT277),-ROUNDDOWN($M278*BT$5/100,0)),0)</f>
        <v>0</v>
      </c>
      <c r="BU278" s="38">
        <f>IF(AND(BU$7="○",$A278&gt;=BU$8,$A278&lt;=BU$9),IF(SUM(BU$10:BU277)-ROUNDDOWN($M278*BU$5/100,0)&lt;-BU$6,-BU$6-SUM(BU$10:BU277),-ROUNDDOWN($M278*BU$5/100,0)),0)</f>
        <v>0</v>
      </c>
      <c r="BV278" s="38">
        <f>IF(AND(BV$7="○",$A278&gt;=BV$8,$A278&lt;=BV$9),IF(SUM(BV$10:BV277)-ROUNDDOWN($M278*BV$5/100,0)&lt;-BV$6,-BV$6-SUM(BV$10:BV277),-ROUNDDOWN($M278*BV$5/100,0)),0)</f>
        <v>0</v>
      </c>
      <c r="BW278" s="38">
        <f>IF(AND(BW$7="○",$A278&gt;=BW$8,$A278&lt;=BW$9),IF(SUM(BW$10:BW277)-ROUNDDOWN($M278*BW$5/100,0)&lt;-BW$6,-BW$6-SUM(BW$10:BW277),-ROUNDDOWN($M278*BW$5/100,0)),0)</f>
        <v>0</v>
      </c>
      <c r="BX278" s="38">
        <f>IF(AND(T278="○",$A278&gt;=BX$8,$A278&lt;=BX$9),IF(SUM(BX$10:BX277)-ROUNDDOWN($K278*BX$5/100,0)&lt;-BX$6,-BX$6-SUM(BX$10:BX277),-ROUNDDOWN($K278*BX$5/100,0)),0)</f>
        <v>0</v>
      </c>
      <c r="BY278" s="38">
        <f>IF(AND(U278="○",$A278&gt;=BY$8,$A278&lt;=BY$9),IF(SUM(BY$10:BY277)-ROUNDDOWN($K278*BY$5/100,0)&lt;-BY$6,-BY$6-SUM(BY$10:BY277),-ROUNDDOWN($K278*BY$5/100,0)),0)</f>
        <v>0</v>
      </c>
      <c r="BZ278" s="38">
        <f>IF(AND(V278="○",$A278&gt;=BZ$8,$A278&lt;=BZ$9),IF(SUM(BZ$10:BZ277)-ROUNDDOWN($K278*BZ$5/100,0)&lt;-BZ$6,-BZ$6-SUM(BZ$10:BZ277),-ROUNDDOWN($K278*BZ$5/100,0)),0)</f>
        <v>0</v>
      </c>
      <c r="CA278" s="38">
        <f>IF(AND(W278="○",$A278&gt;=CA$8,$A278&lt;=CA$9),IF(SUM(CA$10:CA277)-ROUNDDOWN($K278*CA$5/100,0)&lt;-CA$6,-CA$6-SUM(CA$10:CA277),-ROUNDDOWN($K278*CA$5/100,0)),0)</f>
        <v>0</v>
      </c>
      <c r="CB278" s="38"/>
      <c r="CC278" s="38"/>
      <c r="CD278" s="38"/>
      <c r="CE278" s="38"/>
      <c r="CF278" s="38"/>
      <c r="CG278" s="65">
        <f t="shared" si="219"/>
        <v>0</v>
      </c>
      <c r="CH278" s="71">
        <f t="shared" si="220"/>
        <v>0</v>
      </c>
      <c r="CI278" s="1">
        <f t="shared" si="206"/>
        <v>0</v>
      </c>
      <c r="CJ278" s="1"/>
      <c r="CK278" s="2"/>
      <c r="CL278" s="2"/>
      <c r="CM278" s="2"/>
      <c r="CN278" s="2"/>
      <c r="CO278" s="73">
        <f t="shared" si="207"/>
        <v>0</v>
      </c>
      <c r="CP278" s="5">
        <f t="shared" si="208"/>
        <v>0</v>
      </c>
      <c r="CQ278" s="1"/>
      <c r="CR278" s="1">
        <f t="shared" si="209"/>
        <v>0</v>
      </c>
      <c r="CS278" s="1"/>
      <c r="CT278" s="1" t="e">
        <f>INDEX([2]マスタ!$A:$A,MATCH(D278,[2]マスタ!$C:$C,0))</f>
        <v>#N/A</v>
      </c>
      <c r="CU278" s="1" t="str">
        <f t="shared" ca="1" si="210"/>
        <v>20260620_0-0</v>
      </c>
    </row>
    <row r="279" spans="1:99" x14ac:dyDescent="0.4">
      <c r="A279" s="61"/>
      <c r="B279" s="62"/>
      <c r="C279" s="62"/>
      <c r="D279" s="62"/>
      <c r="E279" s="63"/>
      <c r="F279" s="62"/>
      <c r="G279" s="62">
        <v>1</v>
      </c>
      <c r="H279" s="64">
        <f t="shared" si="197"/>
        <v>0</v>
      </c>
      <c r="I279" s="64"/>
      <c r="J279" s="78"/>
      <c r="K279" s="65">
        <f t="shared" si="221"/>
        <v>0</v>
      </c>
      <c r="L279" s="65">
        <f t="shared" si="199"/>
        <v>0</v>
      </c>
      <c r="M279" s="65">
        <f t="shared" si="200"/>
        <v>0</v>
      </c>
      <c r="N279" s="65">
        <f t="shared" si="201"/>
        <v>0</v>
      </c>
      <c r="O279" s="66" t="str">
        <f t="shared" si="202"/>
        <v>✕</v>
      </c>
      <c r="P279" s="67" t="str">
        <f t="shared" si="203"/>
        <v>○</v>
      </c>
      <c r="Q279" s="67" t="str">
        <f t="shared" si="222"/>
        <v>✕</v>
      </c>
      <c r="R279" s="67" t="str">
        <f t="shared" si="205"/>
        <v>✕</v>
      </c>
      <c r="S279" s="68">
        <v>0</v>
      </c>
      <c r="T279" s="69" t="s">
        <v>85</v>
      </c>
      <c r="U279" s="69" t="s">
        <v>85</v>
      </c>
      <c r="V279" s="69" t="s">
        <v>85</v>
      </c>
      <c r="W279" s="69" t="s">
        <v>85</v>
      </c>
      <c r="X279" s="69" t="s">
        <v>84</v>
      </c>
      <c r="Y279" s="69" t="s">
        <v>85</v>
      </c>
      <c r="Z279" s="69" t="s">
        <v>85</v>
      </c>
      <c r="AA279" s="69" t="s">
        <v>85</v>
      </c>
      <c r="AB279" s="69" t="s">
        <v>85</v>
      </c>
      <c r="AC279" s="69" t="s">
        <v>85</v>
      </c>
      <c r="AD279" s="38" t="str">
        <f>+IF(ISERROR(VLOOKUP($B279,AD$10:AD278,1,0)),IF(AND($N279&gt;=1000,$A279&gt;=AO$8,$A279&lt;=AO$9),$B279,""),"")</f>
        <v/>
      </c>
      <c r="AE279" s="38" t="str">
        <f>+IF(ISERROR(VLOOKUP($B279,AE$10:AE278,1,0)),IF(AND($N279&gt;=1000,$A279&gt;=AP$8,$A279&lt;=AP$9),$B279,""),"")</f>
        <v/>
      </c>
      <c r="AF279" s="38" t="str">
        <f>+IF(ISERROR(VLOOKUP($B279,AF$10:AF278,1,0)),IF(AND($N279&gt;=1000,$A279&gt;=AQ$8,$A279&lt;=AQ$9),$B279,""),"")</f>
        <v/>
      </c>
      <c r="AG279" s="38" t="str">
        <f>+IF(ISERROR(VLOOKUP($B279,AG$10:AG278,1,0)),IF(AND($N279&gt;=1000,$A279&gt;=AR$8,$A279&lt;=AR$9),$B279,""),"")</f>
        <v/>
      </c>
      <c r="AH279" s="38"/>
      <c r="AI279" s="70">
        <v>0</v>
      </c>
      <c r="AJ279" s="38">
        <f>IF(AND(AJ$7="○",$A279&gt;=AJ$8,$A279&lt;=AJ$9),IF(SUM(AJ$10:AJ278)-ROUNDDOWN($K279*AJ$5/100,0)&lt;-AJ$6,-AJ$6-SUM(AJ$10:AJ278),-ROUNDDOWN($K279*AJ$5/100,0)),0)</f>
        <v>0</v>
      </c>
      <c r="AK279" s="38">
        <f>IF(AND(AK$7="○",$A279&gt;=AK$8,$A279&lt;=AK$9),IF(SUM(AK$10:AK278)-ROUNDDOWN($L279*AK$5/100,0)&lt;-AK$6,-AK$6-SUM(AK$10:AK278),-ROUNDDOWN($L279*AK$5/100,0)),0)</f>
        <v>0</v>
      </c>
      <c r="AL279" s="38">
        <f>IF(AND(AL$7="○",$A279&gt;=AL$8,$A279&lt;=AL$9),IF(SUM(AL$10:AL278)-ROUNDDOWN($N279*AL$5/100,0)&lt;-AL$6,-AL$6-SUM(AL$10:AL278),-ROUNDDOWN($N279*AL$5/100,0)),0)</f>
        <v>0</v>
      </c>
      <c r="AM279" s="38">
        <f>IF(AND(AM$7="○",$A279&gt;=AM$8,$A279&lt;=AM$9),IF(SUM(AM$10:AM278)-ROUNDDOWN($L279*AM$5/100,0)&lt;-AM$6,-AM$6-SUM(AM$10:AM278),-ROUNDDOWN($L279*AM$5/100,0)),0)</f>
        <v>0</v>
      </c>
      <c r="AN279" s="38">
        <f>IF(AND(AN$7="○",$A279&gt;=AN$8,$A279&lt;=AN$9),IF(SUM(AN$10:AN278)-ROUNDDOWN($M279*AN$5/100,0)&lt;-AN$6,-AN$6-SUM(AN$10:AN278),-ROUNDDOWN($M279*AN$5/100,0)),0)</f>
        <v>0</v>
      </c>
      <c r="AO279" s="38">
        <f>IF(AND($A279&gt;=AO$8,$A279&lt;=AO$9),IF(SUM(AO$10:AO278)-ROUNDDOWN($K279*AO$5/100,0)&lt;-AO$6,-AO$6-SUM(AO$10:AO278),-ROUNDDOWN($K279*AO$5/100,0)),0)</f>
        <v>0</v>
      </c>
      <c r="AP279" s="38">
        <f>IF(AND($A279&gt;=AP$8,$A279&lt;=AP$9),IF(SUM(AP$10:AP278)-ROUNDDOWN($K279*AP$5/100,0)&lt;-AP$6,-AP$6-SUM(AP$10:AP278),-ROUNDDOWN($K279*AP$5/100,0)),0)</f>
        <v>0</v>
      </c>
      <c r="AQ279" s="38">
        <f>IF(AND($A279&gt;=AQ$8,$A279&lt;=AQ$9),IF(SUM(AQ$10:AQ278)-ROUNDDOWN($K279*AQ$5/100,0)&lt;-AQ$6,-AQ$6-SUM(AQ$10:AQ278),-ROUNDDOWN($K279*AQ$5/100,0)),0)</f>
        <v>0</v>
      </c>
      <c r="AR279" s="38">
        <f>IF(AND($A279&gt;=AR$8,$A279&lt;=AR$9),IF(SUM(AR$10:AR278)-ROUNDDOWN($K279*AR$5/100,0)&lt;-AR$6,-AR$6-SUM(AR$10:AR278),-ROUNDDOWN($K279*AR$5/100,0)),0)</f>
        <v>0</v>
      </c>
      <c r="AS279" s="38">
        <f>IF(SUMIFS(AS$10:AS278,$A$10:$A278,$A279)-ROUNDDOWN($K279*$S279/100,0)&lt;-$S279*1000,-$S279*1000-SUMIFS(AS$10:AS278,$A$10:$A278,$A279),-ROUNDDOWN($K279*$S279/100,0))</f>
        <v>0</v>
      </c>
      <c r="AT279" s="38">
        <f>IF(AND(X279="○",$A279&gt;=AT$8,$A279&lt;=AT$9,K279&gt;=3980),IF(SUM(AT$10:AT278)-ROUNDDOWN($K279*AT$5/100,0)&lt;-AT$6,-AT$6-SUM(AT$10:AT278),-ROUNDDOWN($K279*AT$5/100,0)),0)</f>
        <v>0</v>
      </c>
      <c r="AU279" s="38">
        <f>IF(O279="○",IF(SUM(AU$10:AU278)-ROUNDDOWN($K279*AU$5/100,0)&lt;-AU$6,-AU$6-SUM(AU$10:AU278),-ROUNDDOWN($K279*AU$5/100,0)),0)</f>
        <v>0</v>
      </c>
      <c r="AV279" s="38">
        <f>IF(P279="○",IF(SUM(AV$10:AV278)-ROUNDDOWN($K279*AV$5/100,0)&lt;-AV$6,-AV$6-SUM(AV$10:AV278),-ROUNDDOWN($K279*AV$5/100,0)),0)</f>
        <v>0</v>
      </c>
      <c r="AW279" s="38">
        <f>IF(Q279="○",IF(SUM(AW$10:AW278)-ROUNDDOWN($K279*AW$5/100,0)&lt;-AW$6,-AW$6-SUM(AW$10:AW278),-ROUNDDOWN($K279*AW$5/100,0)),0)</f>
        <v>0</v>
      </c>
      <c r="AX279" s="38">
        <f>IF(R279="○",IF(SUM(AX$10:AX278)-ROUNDDOWN($K279*AX$5/100,0)&lt;-AX$6,-AX$6-SUM(AX$10:AX278),-ROUNDDOWN($K279*AX$5/100,0)),0)</f>
        <v>0</v>
      </c>
      <c r="AY279" s="70">
        <v>0</v>
      </c>
      <c r="AZ279" s="65">
        <f t="shared" si="213"/>
        <v>0</v>
      </c>
      <c r="BA279" s="65">
        <f t="shared" si="214"/>
        <v>0</v>
      </c>
      <c r="BB279" s="70"/>
      <c r="BC279" s="65">
        <f t="shared" si="215"/>
        <v>0</v>
      </c>
      <c r="BD279" s="70">
        <v>0</v>
      </c>
      <c r="BE279" s="65">
        <f t="shared" si="216"/>
        <v>0</v>
      </c>
      <c r="BF279" s="70">
        <v>0</v>
      </c>
      <c r="BG279" s="65">
        <f t="shared" si="217"/>
        <v>0</v>
      </c>
      <c r="BH279" s="70">
        <v>0</v>
      </c>
      <c r="BI279" s="65">
        <f t="shared" si="218"/>
        <v>0</v>
      </c>
      <c r="BJ279" s="38">
        <f>IF(AND(BJ$7="○",$A279&gt;=BJ$8,$A279&lt;=BJ$9),IF(SUM(BJ$10:BJ278)-ROUNDDOWN($M279*BJ$5/100,0)&lt;-BJ$6,-BJ$6-SUM(BJ$10:BJ278),-ROUNDDOWN($M279*BJ$5/100,0)),0)</f>
        <v>0</v>
      </c>
      <c r="BK279" s="38">
        <f>IF(AND(BK$7="○",$A279&gt;=BK$8,$A279&lt;=BK$9),IF(SUM(BK$10:BK278)-ROUNDDOWN($L279*BK$5/100,0)&lt;-BK$6,-BK$6-SUM(BK$10:BK278),-ROUNDDOWN($L279*BK$5/100,0)),0)</f>
        <v>0</v>
      </c>
      <c r="BL279" s="38">
        <f>IF(AND(BL$7="○",$A279&gt;=BL$8,$A279&lt;=BL$9),IF(SUM(BL$10:BL278)-ROUNDDOWN($L279*BL$5/100,0)&lt;-BL$6,-BL$6-SUM(BL$10:BL278),-ROUNDDOWN($L279*BL$5/100,0)),0)</f>
        <v>0</v>
      </c>
      <c r="BM279" s="38">
        <f>IF(AND(BM$7="○",$A279&gt;=BM$8,$A279&lt;=BM$9),IF(SUM(BM$10:BM278)-ROUNDDOWN($M279*BM$5/100,0)&lt;-BM$6,-BM$6-SUM(BM$10:BM278),-ROUNDDOWN($M279*BM$5/100,0)),0)</f>
        <v>0</v>
      </c>
      <c r="BN279" s="38">
        <f>IF(AND(BN$7="○",$A279&gt;=BN$8,$A279&lt;=BN$9),IF(SUM(BN$10:BN278)-ROUNDDOWN($M279*BN$5/100,0)&lt;-BN$6,-BN$6-SUM(BN$10:BN278),-ROUNDDOWN($M279*BN$5/100,0)),0)</f>
        <v>0</v>
      </c>
      <c r="BO279" s="38">
        <f>IF(AND(BO$7="○",$A279&gt;=BO$8,$A279&lt;=BO$9),IF(SUM(BO$10:BO278)-ROUNDDOWN($M279*BO$5/100,0)&lt;-BO$6,-BO$6-SUM(BO$10:BO278),-ROUNDDOWN($M279*BO$5/100,0)),0)</f>
        <v>0</v>
      </c>
      <c r="BP279" s="38">
        <f>IF(AND(BP$7="○",$A279&gt;=BP$8,$A279&lt;=BP$9),IF(SUM(BP$10:BP278)-ROUNDDOWN($M279*BP$5/100,0)&lt;-BP$6,-BP$6-SUM(BP$10:BP278),-ROUNDDOWN($M279*BP$5/100,0)),0)</f>
        <v>0</v>
      </c>
      <c r="BQ279" s="38">
        <f>IF(AND(BQ$7="○",$A279&gt;=BQ$8,$A279&lt;=BQ$9),IF(SUM(BQ$10:BQ278)-ROUNDDOWN($L279*BQ$5/100,0)&lt;-BQ$6,-BQ$6-SUM(BQ$10:BQ278),-ROUNDDOWN($L279*BQ$5/100,0)),0)</f>
        <v>0</v>
      </c>
      <c r="BR279" s="38">
        <f>IF(AND(BR$7="○",$A279&gt;=BR$8,$A279&lt;=BR$9),IF(SUM(BR$10:BR278)-ROUNDDOWN($M279*BR$5/100,0)&lt;-BR$6,-BR$6-SUM(BR$10:BR278),-ROUNDDOWN($M279*BR$5/100,0)),0)</f>
        <v>0</v>
      </c>
      <c r="BS279" s="38">
        <f>IF(AND(BS$7="○",$A279&gt;=BS$8,$A279&lt;=BS$9),IF(SUM(BS$10:BS278)-ROUNDDOWN($M279*BS$5/100,0)&lt;-BS$6,-BS$6-SUM(BS$10:BS278),-ROUNDDOWN($M279*BS$5/100,0)),0)</f>
        <v>0</v>
      </c>
      <c r="BT279" s="38">
        <f>IF(AND(BT$7="○",$A279&gt;=BT$8,$A279&lt;=BT$9),IF(SUM(BT$10:BT278)-ROUNDDOWN($M279*BT$5/100,0)&lt;-BT$6,-BT$6-SUM(BT$10:BT278),-ROUNDDOWN($M279*BT$5/100,0)),0)</f>
        <v>0</v>
      </c>
      <c r="BU279" s="38">
        <f>IF(AND(BU$7="○",$A279&gt;=BU$8,$A279&lt;=BU$9),IF(SUM(BU$10:BU278)-ROUNDDOWN($M279*BU$5/100,0)&lt;-BU$6,-BU$6-SUM(BU$10:BU278),-ROUNDDOWN($M279*BU$5/100,0)),0)</f>
        <v>0</v>
      </c>
      <c r="BV279" s="38">
        <f>IF(AND(BV$7="○",$A279&gt;=BV$8,$A279&lt;=BV$9),IF(SUM(BV$10:BV278)-ROUNDDOWN($M279*BV$5/100,0)&lt;-BV$6,-BV$6-SUM(BV$10:BV278),-ROUNDDOWN($M279*BV$5/100,0)),0)</f>
        <v>0</v>
      </c>
      <c r="BW279" s="38">
        <f>IF(AND(BW$7="○",$A279&gt;=BW$8,$A279&lt;=BW$9),IF(SUM(BW$10:BW278)-ROUNDDOWN($M279*BW$5/100,0)&lt;-BW$6,-BW$6-SUM(BW$10:BW278),-ROUNDDOWN($M279*BW$5/100,0)),0)</f>
        <v>0</v>
      </c>
      <c r="BX279" s="38">
        <f>IF(AND(T279="○",$A279&gt;=BX$8,$A279&lt;=BX$9),IF(SUM(BX$10:BX278)-ROUNDDOWN($K279*BX$5/100,0)&lt;-BX$6,-BX$6-SUM(BX$10:BX278),-ROUNDDOWN($K279*BX$5/100,0)),0)</f>
        <v>0</v>
      </c>
      <c r="BY279" s="38">
        <f>IF(AND(U279="○",$A279&gt;=BY$8,$A279&lt;=BY$9),IF(SUM(BY$10:BY278)-ROUNDDOWN($K279*BY$5/100,0)&lt;-BY$6,-BY$6-SUM(BY$10:BY278),-ROUNDDOWN($K279*BY$5/100,0)),0)</f>
        <v>0</v>
      </c>
      <c r="BZ279" s="38">
        <f>IF(AND(V279="○",$A279&gt;=BZ$8,$A279&lt;=BZ$9),IF(SUM(BZ$10:BZ278)-ROUNDDOWN($K279*BZ$5/100,0)&lt;-BZ$6,-BZ$6-SUM(BZ$10:BZ278),-ROUNDDOWN($K279*BZ$5/100,0)),0)</f>
        <v>0</v>
      </c>
      <c r="CA279" s="38">
        <f>IF(AND(W279="○",$A279&gt;=CA$8,$A279&lt;=CA$9),IF(SUM(CA$10:CA278)-ROUNDDOWN($K279*CA$5/100,0)&lt;-CA$6,-CA$6-SUM(CA$10:CA278),-ROUNDDOWN($K279*CA$5/100,0)),0)</f>
        <v>0</v>
      </c>
      <c r="CB279" s="38"/>
      <c r="CC279" s="38"/>
      <c r="CD279" s="38"/>
      <c r="CE279" s="38"/>
      <c r="CF279" s="38"/>
      <c r="CG279" s="65">
        <f t="shared" si="219"/>
        <v>0</v>
      </c>
      <c r="CH279" s="71">
        <f t="shared" si="220"/>
        <v>0</v>
      </c>
      <c r="CI279" s="1">
        <f t="shared" si="206"/>
        <v>0</v>
      </c>
      <c r="CJ279" s="1"/>
      <c r="CK279" s="79"/>
      <c r="CL279" s="79"/>
      <c r="CM279" s="2"/>
      <c r="CN279" s="2"/>
      <c r="CO279" s="73">
        <f t="shared" si="207"/>
        <v>0</v>
      </c>
      <c r="CP279" s="5">
        <f t="shared" si="208"/>
        <v>0</v>
      </c>
      <c r="CQ279" s="1"/>
      <c r="CR279" s="1">
        <f t="shared" si="209"/>
        <v>0</v>
      </c>
      <c r="CS279" s="1"/>
      <c r="CT279" s="1" t="e">
        <f>INDEX([2]マスタ!$A:$A,MATCH(D279,[2]マスタ!$C:$C,0))</f>
        <v>#N/A</v>
      </c>
      <c r="CU279" s="1" t="str">
        <f t="shared" ca="1" si="210"/>
        <v>20260620_0-0</v>
      </c>
    </row>
    <row r="280" spans="1:99" x14ac:dyDescent="0.4">
      <c r="A280" s="61"/>
      <c r="B280" s="62"/>
      <c r="C280" s="62"/>
      <c r="D280" s="62"/>
      <c r="E280" s="63"/>
      <c r="F280" s="62"/>
      <c r="G280" s="62">
        <v>1</v>
      </c>
      <c r="H280" s="64">
        <f t="shared" si="197"/>
        <v>0</v>
      </c>
      <c r="I280" s="64"/>
      <c r="J280" s="64"/>
      <c r="K280" s="65">
        <f t="shared" si="221"/>
        <v>0</v>
      </c>
      <c r="L280" s="65">
        <f t="shared" si="199"/>
        <v>0</v>
      </c>
      <c r="M280" s="65">
        <f t="shared" si="200"/>
        <v>0</v>
      </c>
      <c r="N280" s="65">
        <f t="shared" si="201"/>
        <v>0</v>
      </c>
      <c r="O280" s="66" t="str">
        <f t="shared" si="202"/>
        <v>✕</v>
      </c>
      <c r="P280" s="67" t="str">
        <f t="shared" si="203"/>
        <v>○</v>
      </c>
      <c r="Q280" s="67" t="str">
        <f t="shared" si="222"/>
        <v>✕</v>
      </c>
      <c r="R280" s="67" t="str">
        <f t="shared" si="205"/>
        <v>✕</v>
      </c>
      <c r="S280" s="68">
        <v>0</v>
      </c>
      <c r="T280" s="69" t="s">
        <v>85</v>
      </c>
      <c r="U280" s="69" t="s">
        <v>85</v>
      </c>
      <c r="V280" s="69" t="s">
        <v>85</v>
      </c>
      <c r="W280" s="69" t="s">
        <v>85</v>
      </c>
      <c r="X280" s="69" t="s">
        <v>84</v>
      </c>
      <c r="Y280" s="69" t="s">
        <v>85</v>
      </c>
      <c r="Z280" s="69" t="s">
        <v>85</v>
      </c>
      <c r="AA280" s="69" t="s">
        <v>85</v>
      </c>
      <c r="AB280" s="69" t="s">
        <v>85</v>
      </c>
      <c r="AC280" s="69" t="s">
        <v>85</v>
      </c>
      <c r="AD280" s="38" t="str">
        <f>+IF(ISERROR(VLOOKUP($B280,AD$10:AD279,1,0)),IF(AND($N280&gt;=1000,$A280&gt;=AO$8,$A280&lt;=AO$9),$B280,""),"")</f>
        <v/>
      </c>
      <c r="AE280" s="38" t="str">
        <f>+IF(ISERROR(VLOOKUP($B280,AE$10:AE279,1,0)),IF(AND($N280&gt;=1000,$A280&gt;=AP$8,$A280&lt;=AP$9),$B280,""),"")</f>
        <v/>
      </c>
      <c r="AF280" s="38" t="str">
        <f>+IF(ISERROR(VLOOKUP($B280,AF$10:AF279,1,0)),IF(AND($N280&gt;=1000,$A280&gt;=AQ$8,$A280&lt;=AQ$9),$B280,""),"")</f>
        <v/>
      </c>
      <c r="AG280" s="38" t="str">
        <f>+IF(ISERROR(VLOOKUP($B280,AG$10:AG279,1,0)),IF(AND($N280&gt;=1000,$A280&gt;=AR$8,$A280&lt;=AR$9),$B280,""),"")</f>
        <v/>
      </c>
      <c r="AH280" s="38"/>
      <c r="AI280" s="70">
        <v>0</v>
      </c>
      <c r="AJ280" s="38">
        <f>IF(AND(AJ$7="○",$A280&gt;=AJ$8,$A280&lt;=AJ$9),IF(SUM(AJ$10:AJ279)-ROUNDDOWN($K280*AJ$5/100,0)&lt;-AJ$6,-AJ$6-SUM(AJ$10:AJ279),-ROUNDDOWN($K280*AJ$5/100,0)),0)</f>
        <v>0</v>
      </c>
      <c r="AK280" s="38">
        <f>IF(AND(AK$7="○",$A280&gt;=AK$8,$A280&lt;=AK$9),IF(SUM(AK$10:AK279)-ROUNDDOWN($L280*AK$5/100,0)&lt;-AK$6,-AK$6-SUM(AK$10:AK279),-ROUNDDOWN($L280*AK$5/100,0)),0)</f>
        <v>0</v>
      </c>
      <c r="AL280" s="38">
        <f>IF(AND(AL$7="○",$A280&gt;=AL$8,$A280&lt;=AL$9),IF(SUM(AL$10:AL279)-ROUNDDOWN($N280*AL$5/100,0)&lt;-AL$6,-AL$6-SUM(AL$10:AL279),-ROUNDDOWN($N280*AL$5/100,0)),0)</f>
        <v>0</v>
      </c>
      <c r="AM280" s="38">
        <f>IF(AND(AM$7="○",$A280&gt;=AM$8,$A280&lt;=AM$9),IF(SUM(AM$10:AM279)-ROUNDDOWN($L280*AM$5/100,0)&lt;-AM$6,-AM$6-SUM(AM$10:AM279),-ROUNDDOWN($L280*AM$5/100,0)),0)</f>
        <v>0</v>
      </c>
      <c r="AN280" s="38">
        <f>IF(AND(AN$7="○",$A280&gt;=AN$8,$A280&lt;=AN$9),IF(SUM(AN$10:AN279)-ROUNDDOWN($M280*AN$5/100,0)&lt;-AN$6,-AN$6-SUM(AN$10:AN279),-ROUNDDOWN($M280*AN$5/100,0)),0)</f>
        <v>0</v>
      </c>
      <c r="AO280" s="38">
        <f>IF(AND($A280&gt;=AO$8,$A280&lt;=AO$9),IF(SUM(AO$10:AO279)-ROUNDDOWN($K280*AO$5/100,0)&lt;-AO$6,-AO$6-SUM(AO$10:AO279),-ROUNDDOWN($K280*AO$5/100,0)),0)</f>
        <v>0</v>
      </c>
      <c r="AP280" s="38">
        <f>IF(AND($A280&gt;=AP$8,$A280&lt;=AP$9),IF(SUM(AP$10:AP279)-ROUNDDOWN($K280*AP$5/100,0)&lt;-AP$6,-AP$6-SUM(AP$10:AP279),-ROUNDDOWN($K280*AP$5/100,0)),0)</f>
        <v>0</v>
      </c>
      <c r="AQ280" s="38">
        <f>IF(AND($A280&gt;=AQ$8,$A280&lt;=AQ$9),IF(SUM(AQ$10:AQ279)-ROUNDDOWN($K280*AQ$5/100,0)&lt;-AQ$6,-AQ$6-SUM(AQ$10:AQ279),-ROUNDDOWN($K280*AQ$5/100,0)),0)</f>
        <v>0</v>
      </c>
      <c r="AR280" s="38">
        <f>IF(AND($A280&gt;=AR$8,$A280&lt;=AR$9),IF(SUM(AR$10:AR279)-ROUNDDOWN($K280*AR$5/100,0)&lt;-AR$6,-AR$6-SUM(AR$10:AR279),-ROUNDDOWN($K280*AR$5/100,0)),0)</f>
        <v>0</v>
      </c>
      <c r="AS280" s="38">
        <f>IF(SUMIFS(AS$10:AS279,$A$10:$A279,$A280)-ROUNDDOWN($K280*$S280/100,0)&lt;-$S280*1000,-$S280*1000-SUMIFS(AS$10:AS279,$A$10:$A279,$A280),-ROUNDDOWN($K280*$S280/100,0))</f>
        <v>0</v>
      </c>
      <c r="AT280" s="38">
        <f>IF(AND(X280="○",$A280&gt;=AT$8,$A280&lt;=AT$9,K280&gt;=3980),IF(SUM(AT$10:AT279)-ROUNDDOWN($K280*AT$5/100,0)&lt;-AT$6,-AT$6-SUM(AT$10:AT279),-ROUNDDOWN($K280*AT$5/100,0)),0)</f>
        <v>0</v>
      </c>
      <c r="AU280" s="38">
        <f>IF(O280="○",IF(SUM(AU$10:AU279)-ROUNDDOWN($K280*AU$5/100,0)&lt;-AU$6,-AU$6-SUM(AU$10:AU279),-ROUNDDOWN($K280*AU$5/100,0)),0)</f>
        <v>0</v>
      </c>
      <c r="AV280" s="38">
        <f>IF(P280="○",IF(SUM(AV$10:AV279)-ROUNDDOWN($K280*AV$5/100,0)&lt;-AV$6,-AV$6-SUM(AV$10:AV279),-ROUNDDOWN($K280*AV$5/100,0)),0)</f>
        <v>0</v>
      </c>
      <c r="AW280" s="38">
        <f>IF(Q280="○",IF(SUM(AW$10:AW279)-ROUNDDOWN($K280*AW$5/100,0)&lt;-AW$6,-AW$6-SUM(AW$10:AW279),-ROUNDDOWN($K280*AW$5/100,0)),0)</f>
        <v>0</v>
      </c>
      <c r="AX280" s="38">
        <f>IF(R280="○",IF(SUM(AX$10:AX279)-ROUNDDOWN($K280*AX$5/100,0)&lt;-AX$6,-AX$6-SUM(AX$10:AX279),-ROUNDDOWN($K280*AX$5/100,0)),0)</f>
        <v>0</v>
      </c>
      <c r="AY280" s="70">
        <v>0</v>
      </c>
      <c r="AZ280" s="65">
        <f t="shared" si="213"/>
        <v>0</v>
      </c>
      <c r="BA280" s="65">
        <f t="shared" si="214"/>
        <v>0</v>
      </c>
      <c r="BB280" s="70"/>
      <c r="BC280" s="65">
        <f t="shared" si="215"/>
        <v>0</v>
      </c>
      <c r="BD280" s="70">
        <v>0</v>
      </c>
      <c r="BE280" s="65">
        <f t="shared" si="216"/>
        <v>0</v>
      </c>
      <c r="BF280" s="70">
        <v>0</v>
      </c>
      <c r="BG280" s="65">
        <f t="shared" si="217"/>
        <v>0</v>
      </c>
      <c r="BH280" s="70">
        <v>0</v>
      </c>
      <c r="BI280" s="65">
        <f t="shared" si="218"/>
        <v>0</v>
      </c>
      <c r="BJ280" s="38">
        <f>IF(AND(BJ$7="○",$A280&gt;=BJ$8,$A280&lt;=BJ$9),IF(SUM(BJ$10:BJ279)-ROUNDDOWN($M280*BJ$5/100,0)&lt;-BJ$6,-BJ$6-SUM(BJ$10:BJ279),-ROUNDDOWN($M280*BJ$5/100,0)),0)</f>
        <v>0</v>
      </c>
      <c r="BK280" s="38">
        <f>IF(AND(BK$7="○",$A280&gt;=BK$8,$A280&lt;=BK$9),IF(SUM(BK$10:BK279)-ROUNDDOWN($L280*BK$5/100,0)&lt;-BK$6,-BK$6-SUM(BK$10:BK279),-ROUNDDOWN($L280*BK$5/100,0)),0)</f>
        <v>0</v>
      </c>
      <c r="BL280" s="38">
        <f>IF(AND(BL$7="○",$A280&gt;=BL$8,$A280&lt;=BL$9),IF(SUM(BL$10:BL279)-ROUNDDOWN($L280*BL$5/100,0)&lt;-BL$6,-BL$6-SUM(BL$10:BL279),-ROUNDDOWN($L280*BL$5/100,0)),0)</f>
        <v>0</v>
      </c>
      <c r="BM280" s="38">
        <f>IF(AND(BM$7="○",$A280&gt;=BM$8,$A280&lt;=BM$9),IF(SUM(BM$10:BM279)-ROUNDDOWN($M280*BM$5/100,0)&lt;-BM$6,-BM$6-SUM(BM$10:BM279),-ROUNDDOWN($M280*BM$5/100,0)),0)</f>
        <v>0</v>
      </c>
      <c r="BN280" s="38">
        <f>IF(AND(BN$7="○",$A280&gt;=BN$8,$A280&lt;=BN$9),IF(SUM(BN$10:BN279)-ROUNDDOWN($M280*BN$5/100,0)&lt;-BN$6,-BN$6-SUM(BN$10:BN279),-ROUNDDOWN($M280*BN$5/100,0)),0)</f>
        <v>0</v>
      </c>
      <c r="BO280" s="38">
        <f>IF(AND(BO$7="○",$A280&gt;=BO$8,$A280&lt;=BO$9),IF(SUM(BO$10:BO279)-ROUNDDOWN($M280*BO$5/100,0)&lt;-BO$6,-BO$6-SUM(BO$10:BO279),-ROUNDDOWN($M280*BO$5/100,0)),0)</f>
        <v>0</v>
      </c>
      <c r="BP280" s="38">
        <f>IF(AND(BP$7="○",$A280&gt;=BP$8,$A280&lt;=BP$9),IF(SUM(BP$10:BP279)-ROUNDDOWN($M280*BP$5/100,0)&lt;-BP$6,-BP$6-SUM(BP$10:BP279),-ROUNDDOWN($M280*BP$5/100,0)),0)</f>
        <v>0</v>
      </c>
      <c r="BQ280" s="38">
        <f>IF(AND(BQ$7="○",$A280&gt;=BQ$8,$A280&lt;=BQ$9),IF(SUM(BQ$10:BQ279)-ROUNDDOWN($L280*BQ$5/100,0)&lt;-BQ$6,-BQ$6-SUM(BQ$10:BQ279),-ROUNDDOWN($L280*BQ$5/100,0)),0)</f>
        <v>0</v>
      </c>
      <c r="BR280" s="38">
        <f>IF(AND(BR$7="○",$A280&gt;=BR$8,$A280&lt;=BR$9),IF(SUM(BR$10:BR279)-ROUNDDOWN($M280*BR$5/100,0)&lt;-BR$6,-BR$6-SUM(BR$10:BR279),-ROUNDDOWN($M280*BR$5/100,0)),0)</f>
        <v>0</v>
      </c>
      <c r="BS280" s="38">
        <f>IF(AND(BS$7="○",$A280&gt;=BS$8,$A280&lt;=BS$9),IF(SUM(BS$10:BS279)-ROUNDDOWN($M280*BS$5/100,0)&lt;-BS$6,-BS$6-SUM(BS$10:BS279),-ROUNDDOWN($M280*BS$5/100,0)),0)</f>
        <v>0</v>
      </c>
      <c r="BT280" s="38">
        <f>IF(AND(BT$7="○",$A280&gt;=BT$8,$A280&lt;=BT$9),IF(SUM(BT$10:BT279)-ROUNDDOWN($M280*BT$5/100,0)&lt;-BT$6,-BT$6-SUM(BT$10:BT279),-ROUNDDOWN($M280*BT$5/100,0)),0)</f>
        <v>0</v>
      </c>
      <c r="BU280" s="38">
        <f>IF(AND(BU$7="○",$A280&gt;=BU$8,$A280&lt;=BU$9),IF(SUM(BU$10:BU279)-ROUNDDOWN($M280*BU$5/100,0)&lt;-BU$6,-BU$6-SUM(BU$10:BU279),-ROUNDDOWN($M280*BU$5/100,0)),0)</f>
        <v>0</v>
      </c>
      <c r="BV280" s="38">
        <f>IF(AND(BV$7="○",$A280&gt;=BV$8,$A280&lt;=BV$9),IF(SUM(BV$10:BV279)-ROUNDDOWN($M280*BV$5/100,0)&lt;-BV$6,-BV$6-SUM(BV$10:BV279),-ROUNDDOWN($M280*BV$5/100,0)),0)</f>
        <v>0</v>
      </c>
      <c r="BW280" s="38">
        <f>IF(AND(BW$7="○",$A280&gt;=BW$8,$A280&lt;=BW$9),IF(SUM(BW$10:BW279)-ROUNDDOWN($M280*BW$5/100,0)&lt;-BW$6,-BW$6-SUM(BW$10:BW279),-ROUNDDOWN($M280*BW$5/100,0)),0)</f>
        <v>0</v>
      </c>
      <c r="BX280" s="38">
        <f>IF(AND(T280="○",$A280&gt;=BX$8,$A280&lt;=BX$9),IF(SUM(BX$10:BX279)-ROUNDDOWN($K280*BX$5/100,0)&lt;-BX$6,-BX$6-SUM(BX$10:BX279),-ROUNDDOWN($K280*BX$5/100,0)),0)</f>
        <v>0</v>
      </c>
      <c r="BY280" s="38">
        <f>IF(AND(U280="○",$A280&gt;=BY$8,$A280&lt;=BY$9),IF(SUM(BY$10:BY279)-ROUNDDOWN($K280*BY$5/100,0)&lt;-BY$6,-BY$6-SUM(BY$10:BY279),-ROUNDDOWN($K280*BY$5/100,0)),0)</f>
        <v>0</v>
      </c>
      <c r="BZ280" s="38">
        <f>IF(AND(V280="○",$A280&gt;=BZ$8,$A280&lt;=BZ$9),IF(SUM(BZ$10:BZ279)-ROUNDDOWN($K280*BZ$5/100,0)&lt;-BZ$6,-BZ$6-SUM(BZ$10:BZ279),-ROUNDDOWN($K280*BZ$5/100,0)),0)</f>
        <v>0</v>
      </c>
      <c r="CA280" s="38">
        <f>IF(AND(W280="○",$A280&gt;=CA$8,$A280&lt;=CA$9),IF(SUM(CA$10:CA279)-ROUNDDOWN($K280*CA$5/100,0)&lt;-CA$6,-CA$6-SUM(CA$10:CA279),-ROUNDDOWN($K280*CA$5/100,0)),0)</f>
        <v>0</v>
      </c>
      <c r="CB280" s="38"/>
      <c r="CC280" s="38"/>
      <c r="CD280" s="38"/>
      <c r="CE280" s="38"/>
      <c r="CF280" s="38"/>
      <c r="CG280" s="65">
        <f t="shared" si="219"/>
        <v>0</v>
      </c>
      <c r="CH280" s="71">
        <f t="shared" si="220"/>
        <v>0</v>
      </c>
      <c r="CI280" s="1">
        <f t="shared" si="206"/>
        <v>0</v>
      </c>
      <c r="CJ280" s="1"/>
      <c r="CK280" s="72"/>
      <c r="CL280" s="72"/>
      <c r="CM280" s="2"/>
      <c r="CN280" s="2"/>
      <c r="CO280" s="73">
        <f t="shared" si="207"/>
        <v>0</v>
      </c>
      <c r="CP280" s="5">
        <f t="shared" si="208"/>
        <v>0</v>
      </c>
      <c r="CQ280" s="1"/>
      <c r="CR280" s="1">
        <f t="shared" si="209"/>
        <v>0</v>
      </c>
      <c r="CS280" s="1"/>
      <c r="CT280" s="1" t="e">
        <f>INDEX([2]マスタ!$A:$A,MATCH(D280,[2]マスタ!$C:$C,0))</f>
        <v>#N/A</v>
      </c>
      <c r="CU280" s="1" t="str">
        <f t="shared" ca="1" si="210"/>
        <v>20260620_0-0</v>
      </c>
    </row>
    <row r="281" spans="1:99" x14ac:dyDescent="0.4">
      <c r="A281" s="61"/>
      <c r="B281" s="62"/>
      <c r="C281" s="62"/>
      <c r="D281" s="62"/>
      <c r="E281" s="63"/>
      <c r="F281" s="62"/>
      <c r="G281" s="62">
        <v>1</v>
      </c>
      <c r="H281" s="64">
        <f t="shared" si="197"/>
        <v>0</v>
      </c>
      <c r="I281" s="64"/>
      <c r="J281" s="64"/>
      <c r="K281" s="65">
        <f t="shared" si="221"/>
        <v>0</v>
      </c>
      <c r="L281" s="65">
        <f t="shared" si="199"/>
        <v>0</v>
      </c>
      <c r="M281" s="65">
        <f t="shared" si="200"/>
        <v>0</v>
      </c>
      <c r="N281" s="65">
        <f t="shared" si="201"/>
        <v>0</v>
      </c>
      <c r="O281" s="66" t="str">
        <f t="shared" si="202"/>
        <v>✕</v>
      </c>
      <c r="P281" s="67" t="str">
        <f t="shared" si="203"/>
        <v>○</v>
      </c>
      <c r="Q281" s="67" t="str">
        <f t="shared" si="222"/>
        <v>✕</v>
      </c>
      <c r="R281" s="67" t="str">
        <f t="shared" si="205"/>
        <v>✕</v>
      </c>
      <c r="S281" s="68">
        <v>0</v>
      </c>
      <c r="T281" s="69" t="s">
        <v>85</v>
      </c>
      <c r="U281" s="69" t="s">
        <v>85</v>
      </c>
      <c r="V281" s="69" t="s">
        <v>85</v>
      </c>
      <c r="W281" s="69" t="s">
        <v>85</v>
      </c>
      <c r="X281" s="69" t="s">
        <v>84</v>
      </c>
      <c r="Y281" s="69" t="s">
        <v>85</v>
      </c>
      <c r="Z281" s="69" t="s">
        <v>85</v>
      </c>
      <c r="AA281" s="69" t="s">
        <v>85</v>
      </c>
      <c r="AB281" s="69" t="s">
        <v>85</v>
      </c>
      <c r="AC281" s="69" t="s">
        <v>85</v>
      </c>
      <c r="AD281" s="38" t="str">
        <f>+IF(ISERROR(VLOOKUP($B281,AD$10:AD280,1,0)),IF(AND($N281&gt;=1000,$A281&gt;=AO$8,$A281&lt;=AO$9),$B281,""),"")</f>
        <v/>
      </c>
      <c r="AE281" s="38" t="str">
        <f>+IF(ISERROR(VLOOKUP($B281,AE$10:AE280,1,0)),IF(AND($N281&gt;=1000,$A281&gt;=AP$8,$A281&lt;=AP$9),$B281,""),"")</f>
        <v/>
      </c>
      <c r="AF281" s="38" t="str">
        <f>+IF(ISERROR(VLOOKUP($B281,AF$10:AF280,1,0)),IF(AND($N281&gt;=1000,$A281&gt;=AQ$8,$A281&lt;=AQ$9),$B281,""),"")</f>
        <v/>
      </c>
      <c r="AG281" s="38" t="str">
        <f>+IF(ISERROR(VLOOKUP($B281,AG$10:AG280,1,0)),IF(AND($N281&gt;=1000,$A281&gt;=AR$8,$A281&lt;=AR$9),$B281,""),"")</f>
        <v/>
      </c>
      <c r="AH281" s="38"/>
      <c r="AI281" s="70">
        <v>0</v>
      </c>
      <c r="AJ281" s="38">
        <f>IF(AND(AJ$7="○",$A281&gt;=AJ$8,$A281&lt;=AJ$9),IF(SUM(AJ$10:AJ280)-ROUNDDOWN($K281*AJ$5/100,0)&lt;-AJ$6,-AJ$6-SUM(AJ$10:AJ280),-ROUNDDOWN($K281*AJ$5/100,0)),0)</f>
        <v>0</v>
      </c>
      <c r="AK281" s="38">
        <f>IF(AND(AK$7="○",$A281&gt;=AK$8,$A281&lt;=AK$9),IF(SUM(AK$10:AK280)-ROUNDDOWN($L281*AK$5/100,0)&lt;-AK$6,-AK$6-SUM(AK$10:AK280),-ROUNDDOWN($L281*AK$5/100,0)),0)</f>
        <v>0</v>
      </c>
      <c r="AL281" s="38">
        <f>IF(AND(AL$7="○",$A281&gt;=AL$8,$A281&lt;=AL$9),IF(SUM(AL$10:AL280)-ROUNDDOWN($N281*AL$5/100,0)&lt;-AL$6,-AL$6-SUM(AL$10:AL280),-ROUNDDOWN($N281*AL$5/100,0)),0)</f>
        <v>0</v>
      </c>
      <c r="AM281" s="38">
        <f>IF(AND(AM$7="○",$A281&gt;=AM$8,$A281&lt;=AM$9),IF(SUM(AM$10:AM280)-ROUNDDOWN($L281*AM$5/100,0)&lt;-AM$6,-AM$6-SUM(AM$10:AM280),-ROUNDDOWN($L281*AM$5/100,0)),0)</f>
        <v>0</v>
      </c>
      <c r="AN281" s="38">
        <f>IF(AND(AN$7="○",$A281&gt;=AN$8,$A281&lt;=AN$9),IF(SUM(AN$10:AN280)-ROUNDDOWN($M281*AN$5/100,0)&lt;-AN$6,-AN$6-SUM(AN$10:AN280),-ROUNDDOWN($M281*AN$5/100,0)),0)</f>
        <v>0</v>
      </c>
      <c r="AO281" s="38">
        <f>IF(AND($A281&gt;=AO$8,$A281&lt;=AO$9),IF(SUM(AO$10:AO280)-ROUNDDOWN($K281*AO$5/100,0)&lt;-AO$6,-AO$6-SUM(AO$10:AO280),-ROUNDDOWN($K281*AO$5/100,0)),0)</f>
        <v>0</v>
      </c>
      <c r="AP281" s="38">
        <f>IF(AND($A281&gt;=AP$8,$A281&lt;=AP$9),IF(SUM(AP$10:AP280)-ROUNDDOWN($K281*AP$5/100,0)&lt;-AP$6,-AP$6-SUM(AP$10:AP280),-ROUNDDOWN($K281*AP$5/100,0)),0)</f>
        <v>0</v>
      </c>
      <c r="AQ281" s="38">
        <f>IF(AND($A281&gt;=AQ$8,$A281&lt;=AQ$9),IF(SUM(AQ$10:AQ280)-ROUNDDOWN($K281*AQ$5/100,0)&lt;-AQ$6,-AQ$6-SUM(AQ$10:AQ280),-ROUNDDOWN($K281*AQ$5/100,0)),0)</f>
        <v>0</v>
      </c>
      <c r="AR281" s="38">
        <f>IF(AND($A281&gt;=AR$8,$A281&lt;=AR$9),IF(SUM(AR$10:AR280)-ROUNDDOWN($K281*AR$5/100,0)&lt;-AR$6,-AR$6-SUM(AR$10:AR280),-ROUNDDOWN($K281*AR$5/100,0)),0)</f>
        <v>0</v>
      </c>
      <c r="AS281" s="38">
        <f>IF(SUMIFS(AS$10:AS280,$A$10:$A280,$A281)-ROUNDDOWN($K281*$S281/100,0)&lt;-$S281*1000,-$S281*1000-SUMIFS(AS$10:AS280,$A$10:$A280,$A281),-ROUNDDOWN($K281*$S281/100,0))</f>
        <v>0</v>
      </c>
      <c r="AT281" s="38">
        <f>IF(AND(X281="○",$A281&gt;=AT$8,$A281&lt;=AT$9,K281&gt;=3980),IF(SUM(AT$10:AT280)-ROUNDDOWN($K281*AT$5/100,0)&lt;-AT$6,-AT$6-SUM(AT$10:AT280),-ROUNDDOWN($K281*AT$5/100,0)),0)</f>
        <v>0</v>
      </c>
      <c r="AU281" s="38">
        <f>IF(O281="○",IF(SUM(AU$10:AU280)-ROUNDDOWN($K281*AU$5/100,0)&lt;-AU$6,-AU$6-SUM(AU$10:AU280),-ROUNDDOWN($K281*AU$5/100,0)),0)</f>
        <v>0</v>
      </c>
      <c r="AV281" s="38">
        <f>IF(P281="○",IF(SUM(AV$10:AV280)-ROUNDDOWN($K281*AV$5/100,0)&lt;-AV$6,-AV$6-SUM(AV$10:AV280),-ROUNDDOWN($K281*AV$5/100,0)),0)</f>
        <v>0</v>
      </c>
      <c r="AW281" s="38">
        <f>IF(Q281="○",IF(SUM(AW$10:AW280)-ROUNDDOWN($K281*AW$5/100,0)&lt;-AW$6,-AW$6-SUM(AW$10:AW280),-ROUNDDOWN($K281*AW$5/100,0)),0)</f>
        <v>0</v>
      </c>
      <c r="AX281" s="38">
        <f>IF(R281="○",IF(SUM(AX$10:AX280)-ROUNDDOWN($K281*AX$5/100,0)&lt;-AX$6,-AX$6-SUM(AX$10:AX280),-ROUNDDOWN($K281*AX$5/100,0)),0)</f>
        <v>0</v>
      </c>
      <c r="AY281" s="70">
        <v>0</v>
      </c>
      <c r="AZ281" s="65">
        <f t="shared" si="213"/>
        <v>0</v>
      </c>
      <c r="BA281" s="65">
        <f t="shared" si="214"/>
        <v>0</v>
      </c>
      <c r="BB281" s="70"/>
      <c r="BC281" s="65">
        <f t="shared" si="215"/>
        <v>0</v>
      </c>
      <c r="BD281" s="70">
        <v>0</v>
      </c>
      <c r="BE281" s="65">
        <f t="shared" si="216"/>
        <v>0</v>
      </c>
      <c r="BF281" s="70">
        <v>0</v>
      </c>
      <c r="BG281" s="65">
        <f t="shared" si="217"/>
        <v>0</v>
      </c>
      <c r="BH281" s="70">
        <v>0</v>
      </c>
      <c r="BI281" s="65">
        <f t="shared" si="218"/>
        <v>0</v>
      </c>
      <c r="BJ281" s="38">
        <f>IF(AND(BJ$7="○",$A281&gt;=BJ$8,$A281&lt;=BJ$9),IF(SUM(BJ$10:BJ280)-ROUNDDOWN($M281*BJ$5/100,0)&lt;-BJ$6,-BJ$6-SUM(BJ$10:BJ280),-ROUNDDOWN($M281*BJ$5/100,0)),0)</f>
        <v>0</v>
      </c>
      <c r="BK281" s="38">
        <f>IF(AND(BK$7="○",$A281&gt;=BK$8,$A281&lt;=BK$9),IF(SUM(BK$10:BK280)-ROUNDDOWN($L281*BK$5/100,0)&lt;-BK$6,-BK$6-SUM(BK$10:BK280),-ROUNDDOWN($L281*BK$5/100,0)),0)</f>
        <v>0</v>
      </c>
      <c r="BL281" s="38">
        <f>IF(AND(BL$7="○",$A281&gt;=BL$8,$A281&lt;=BL$9),IF(SUM(BL$10:BL280)-ROUNDDOWN($L281*BL$5/100,0)&lt;-BL$6,-BL$6-SUM(BL$10:BL280),-ROUNDDOWN($L281*BL$5/100,0)),0)</f>
        <v>0</v>
      </c>
      <c r="BM281" s="38">
        <f>IF(AND(BM$7="○",$A281&gt;=BM$8,$A281&lt;=BM$9),IF(SUM(BM$10:BM280)-ROUNDDOWN($M281*BM$5/100,0)&lt;-BM$6,-BM$6-SUM(BM$10:BM280),-ROUNDDOWN($M281*BM$5/100,0)),0)</f>
        <v>0</v>
      </c>
      <c r="BN281" s="38">
        <f>IF(AND(BN$7="○",$A281&gt;=BN$8,$A281&lt;=BN$9),IF(SUM(BN$10:BN280)-ROUNDDOWN($M281*BN$5/100,0)&lt;-BN$6,-BN$6-SUM(BN$10:BN280),-ROUNDDOWN($M281*BN$5/100,0)),0)</f>
        <v>0</v>
      </c>
      <c r="BO281" s="38">
        <f>IF(AND(BO$7="○",$A281&gt;=BO$8,$A281&lt;=BO$9),IF(SUM(BO$10:BO280)-ROUNDDOWN($M281*BO$5/100,0)&lt;-BO$6,-BO$6-SUM(BO$10:BO280),-ROUNDDOWN($M281*BO$5/100,0)),0)</f>
        <v>0</v>
      </c>
      <c r="BP281" s="38">
        <f>IF(AND(BP$7="○",$A281&gt;=BP$8,$A281&lt;=BP$9),IF(SUM(BP$10:BP280)-ROUNDDOWN($M281*BP$5/100,0)&lt;-BP$6,-BP$6-SUM(BP$10:BP280),-ROUNDDOWN($M281*BP$5/100,0)),0)</f>
        <v>0</v>
      </c>
      <c r="BQ281" s="38">
        <f>IF(AND(BQ$7="○",$A281&gt;=BQ$8,$A281&lt;=BQ$9),IF(SUM(BQ$10:BQ280)-ROUNDDOWN($L281*BQ$5/100,0)&lt;-BQ$6,-BQ$6-SUM(BQ$10:BQ280),-ROUNDDOWN($L281*BQ$5/100,0)),0)</f>
        <v>0</v>
      </c>
      <c r="BR281" s="38">
        <f>IF(AND(BR$7="○",$A281&gt;=BR$8,$A281&lt;=BR$9),IF(SUM(BR$10:BR280)-ROUNDDOWN($M281*BR$5/100,0)&lt;-BR$6,-BR$6-SUM(BR$10:BR280),-ROUNDDOWN($M281*BR$5/100,0)),0)</f>
        <v>0</v>
      </c>
      <c r="BS281" s="38">
        <f>IF(AND(BS$7="○",$A281&gt;=BS$8,$A281&lt;=BS$9),IF(SUM(BS$10:BS280)-ROUNDDOWN($M281*BS$5/100,0)&lt;-BS$6,-BS$6-SUM(BS$10:BS280),-ROUNDDOWN($M281*BS$5/100,0)),0)</f>
        <v>0</v>
      </c>
      <c r="BT281" s="38">
        <f>IF(AND(BT$7="○",$A281&gt;=BT$8,$A281&lt;=BT$9),IF(SUM(BT$10:BT280)-ROUNDDOWN($M281*BT$5/100,0)&lt;-BT$6,-BT$6-SUM(BT$10:BT280),-ROUNDDOWN($M281*BT$5/100,0)),0)</f>
        <v>0</v>
      </c>
      <c r="BU281" s="38">
        <f>IF(AND(BU$7="○",$A281&gt;=BU$8,$A281&lt;=BU$9),IF(SUM(BU$10:BU280)-ROUNDDOWN($M281*BU$5/100,0)&lt;-BU$6,-BU$6-SUM(BU$10:BU280),-ROUNDDOWN($M281*BU$5/100,0)),0)</f>
        <v>0</v>
      </c>
      <c r="BV281" s="38">
        <f>IF(AND(BV$7="○",$A281&gt;=BV$8,$A281&lt;=BV$9),IF(SUM(BV$10:BV280)-ROUNDDOWN($M281*BV$5/100,0)&lt;-BV$6,-BV$6-SUM(BV$10:BV280),-ROUNDDOWN($M281*BV$5/100,0)),0)</f>
        <v>0</v>
      </c>
      <c r="BW281" s="38">
        <f>IF(AND(BW$7="○",$A281&gt;=BW$8,$A281&lt;=BW$9),IF(SUM(BW$10:BW280)-ROUNDDOWN($M281*BW$5/100,0)&lt;-BW$6,-BW$6-SUM(BW$10:BW280),-ROUNDDOWN($M281*BW$5/100,0)),0)</f>
        <v>0</v>
      </c>
      <c r="BX281" s="38">
        <f>IF(AND(T281="○",$A281&gt;=BX$8,$A281&lt;=BX$9),IF(SUM(BX$10:BX280)-ROUNDDOWN($K281*BX$5/100,0)&lt;-BX$6,-BX$6-SUM(BX$10:BX280),-ROUNDDOWN($K281*BX$5/100,0)),0)</f>
        <v>0</v>
      </c>
      <c r="BY281" s="38">
        <f>IF(AND(U281="○",$A281&gt;=BY$8,$A281&lt;=BY$9),IF(SUM(BY$10:BY280)-ROUNDDOWN($K281*BY$5/100,0)&lt;-BY$6,-BY$6-SUM(BY$10:BY280),-ROUNDDOWN($K281*BY$5/100,0)),0)</f>
        <v>0</v>
      </c>
      <c r="BZ281" s="38">
        <f>IF(AND(V281="○",$A281&gt;=BZ$8,$A281&lt;=BZ$9),IF(SUM(BZ$10:BZ280)-ROUNDDOWN($K281*BZ$5/100,0)&lt;-BZ$6,-BZ$6-SUM(BZ$10:BZ280),-ROUNDDOWN($K281*BZ$5/100,0)),0)</f>
        <v>0</v>
      </c>
      <c r="CA281" s="38">
        <f>IF(AND(W281="○",$A281&gt;=CA$8,$A281&lt;=CA$9),IF(SUM(CA$10:CA280)-ROUNDDOWN($K281*CA$5/100,0)&lt;-CA$6,-CA$6-SUM(CA$10:CA280),-ROUNDDOWN($K281*CA$5/100,0)),0)</f>
        <v>0</v>
      </c>
      <c r="CB281" s="38"/>
      <c r="CC281" s="38"/>
      <c r="CD281" s="38"/>
      <c r="CE281" s="38"/>
      <c r="CF281" s="38"/>
      <c r="CG281" s="65">
        <f t="shared" si="219"/>
        <v>0</v>
      </c>
      <c r="CH281" s="71">
        <f t="shared" si="220"/>
        <v>0</v>
      </c>
      <c r="CI281" s="1">
        <f t="shared" si="206"/>
        <v>0</v>
      </c>
      <c r="CJ281" s="1"/>
      <c r="CK281" s="2"/>
      <c r="CL281" s="2"/>
      <c r="CM281" s="2"/>
      <c r="CN281" s="2"/>
      <c r="CO281" s="73">
        <f t="shared" si="207"/>
        <v>0</v>
      </c>
      <c r="CP281" s="5">
        <f t="shared" si="208"/>
        <v>0</v>
      </c>
      <c r="CQ281" s="1"/>
      <c r="CR281" s="1">
        <f t="shared" si="209"/>
        <v>0</v>
      </c>
      <c r="CS281" s="1"/>
      <c r="CT281" s="1" t="e">
        <f>INDEX([2]マスタ!$A:$A,MATCH(D281,[2]マスタ!$C:$C,0))</f>
        <v>#N/A</v>
      </c>
      <c r="CU281" s="1" t="str">
        <f t="shared" ca="1" si="210"/>
        <v>20260620_0-0</v>
      </c>
    </row>
    <row r="282" spans="1:99" x14ac:dyDescent="0.4">
      <c r="A282" s="61"/>
      <c r="B282" s="62"/>
      <c r="C282" s="62"/>
      <c r="D282" s="62"/>
      <c r="E282" s="63"/>
      <c r="F282" s="62"/>
      <c r="G282" s="62">
        <v>1</v>
      </c>
      <c r="H282" s="64">
        <f t="shared" si="197"/>
        <v>0</v>
      </c>
      <c r="I282" s="64"/>
      <c r="J282" s="78"/>
      <c r="K282" s="65">
        <f t="shared" si="221"/>
        <v>0</v>
      </c>
      <c r="L282" s="65">
        <f t="shared" si="199"/>
        <v>0</v>
      </c>
      <c r="M282" s="65">
        <f t="shared" si="200"/>
        <v>0</v>
      </c>
      <c r="N282" s="65">
        <f t="shared" si="201"/>
        <v>0</v>
      </c>
      <c r="O282" s="66" t="str">
        <f t="shared" si="202"/>
        <v>✕</v>
      </c>
      <c r="P282" s="67" t="str">
        <f t="shared" si="203"/>
        <v>○</v>
      </c>
      <c r="Q282" s="67" t="str">
        <f t="shared" si="222"/>
        <v>✕</v>
      </c>
      <c r="R282" s="67" t="str">
        <f t="shared" si="205"/>
        <v>✕</v>
      </c>
      <c r="S282" s="68">
        <v>0</v>
      </c>
      <c r="T282" s="69" t="s">
        <v>85</v>
      </c>
      <c r="U282" s="69" t="s">
        <v>85</v>
      </c>
      <c r="V282" s="69" t="s">
        <v>85</v>
      </c>
      <c r="W282" s="69" t="s">
        <v>85</v>
      </c>
      <c r="X282" s="69" t="s">
        <v>84</v>
      </c>
      <c r="Y282" s="69" t="s">
        <v>85</v>
      </c>
      <c r="Z282" s="69" t="s">
        <v>85</v>
      </c>
      <c r="AA282" s="69" t="s">
        <v>85</v>
      </c>
      <c r="AB282" s="69" t="s">
        <v>85</v>
      </c>
      <c r="AC282" s="69" t="s">
        <v>85</v>
      </c>
      <c r="AD282" s="38" t="str">
        <f>+IF(ISERROR(VLOOKUP($B282,AD$10:AD281,1,0)),IF(AND($N282&gt;=1000,$A282&gt;=AO$8,$A282&lt;=AO$9),$B282,""),"")</f>
        <v/>
      </c>
      <c r="AE282" s="38" t="str">
        <f>+IF(ISERROR(VLOOKUP($B282,AE$10:AE281,1,0)),IF(AND($N282&gt;=1000,$A282&gt;=AP$8,$A282&lt;=AP$9),$B282,""),"")</f>
        <v/>
      </c>
      <c r="AF282" s="38" t="str">
        <f>+IF(ISERROR(VLOOKUP($B282,AF$10:AF281,1,0)),IF(AND($N282&gt;=1000,$A282&gt;=AQ$8,$A282&lt;=AQ$9),$B282,""),"")</f>
        <v/>
      </c>
      <c r="AG282" s="38" t="str">
        <f>+IF(ISERROR(VLOOKUP($B282,AG$10:AG281,1,0)),IF(AND($N282&gt;=1000,$A282&gt;=AR$8,$A282&lt;=AR$9),$B282,""),"")</f>
        <v/>
      </c>
      <c r="AH282" s="38"/>
      <c r="AI282" s="70">
        <v>0</v>
      </c>
      <c r="AJ282" s="38">
        <f>IF(AND(AJ$7="○",$A282&gt;=AJ$8,$A282&lt;=AJ$9),IF(SUM(AJ$10:AJ281)-ROUNDDOWN($K282*AJ$5/100,0)&lt;-AJ$6,-AJ$6-SUM(AJ$10:AJ281),-ROUNDDOWN($K282*AJ$5/100,0)),0)</f>
        <v>0</v>
      </c>
      <c r="AK282" s="38">
        <f>IF(AND(AK$7="○",$A282&gt;=AK$8,$A282&lt;=AK$9),IF(SUM(AK$10:AK281)-ROUNDDOWN($L282*AK$5/100,0)&lt;-AK$6,-AK$6-SUM(AK$10:AK281),-ROUNDDOWN($L282*AK$5/100,0)),0)</f>
        <v>0</v>
      </c>
      <c r="AL282" s="38">
        <f>IF(AND(AL$7="○",$A282&gt;=AL$8,$A282&lt;=AL$9),IF(SUM(AL$10:AL281)-ROUNDDOWN($N282*AL$5/100,0)&lt;-AL$6,-AL$6-SUM(AL$10:AL281),-ROUNDDOWN($N282*AL$5/100,0)),0)</f>
        <v>0</v>
      </c>
      <c r="AM282" s="38">
        <f>IF(AND(AM$7="○",$A282&gt;=AM$8,$A282&lt;=AM$9),IF(SUM(AM$10:AM281)-ROUNDDOWN($L282*AM$5/100,0)&lt;-AM$6,-AM$6-SUM(AM$10:AM281),-ROUNDDOWN($L282*AM$5/100,0)),0)</f>
        <v>0</v>
      </c>
      <c r="AN282" s="38">
        <f>IF(AND(AN$7="○",$A282&gt;=AN$8,$A282&lt;=AN$9),IF(SUM(AN$10:AN281)-ROUNDDOWN($M282*AN$5/100,0)&lt;-AN$6,-AN$6-SUM(AN$10:AN281),-ROUNDDOWN($M282*AN$5/100,0)),0)</f>
        <v>0</v>
      </c>
      <c r="AO282" s="38">
        <f>IF(AND($A282&gt;=AO$8,$A282&lt;=AO$9),IF(SUM(AO$10:AO281)-ROUNDDOWN($K282*AO$5/100,0)&lt;-AO$6,-AO$6-SUM(AO$10:AO281),-ROUNDDOWN($K282*AO$5/100,0)),0)</f>
        <v>0</v>
      </c>
      <c r="AP282" s="38">
        <f>IF(AND($A282&gt;=AP$8,$A282&lt;=AP$9),IF(SUM(AP$10:AP281)-ROUNDDOWN($K282*AP$5/100,0)&lt;-AP$6,-AP$6-SUM(AP$10:AP281),-ROUNDDOWN($K282*AP$5/100,0)),0)</f>
        <v>0</v>
      </c>
      <c r="AQ282" s="38">
        <f>IF(AND($A282&gt;=AQ$8,$A282&lt;=AQ$9),IF(SUM(AQ$10:AQ281)-ROUNDDOWN($K282*AQ$5/100,0)&lt;-AQ$6,-AQ$6-SUM(AQ$10:AQ281),-ROUNDDOWN($K282*AQ$5/100,0)),0)</f>
        <v>0</v>
      </c>
      <c r="AR282" s="38">
        <f>IF(AND($A282&gt;=AR$8,$A282&lt;=AR$9),IF(SUM(AR$10:AR281)-ROUNDDOWN($K282*AR$5/100,0)&lt;-AR$6,-AR$6-SUM(AR$10:AR281),-ROUNDDOWN($K282*AR$5/100,0)),0)</f>
        <v>0</v>
      </c>
      <c r="AS282" s="38">
        <f>IF(SUMIFS(AS$10:AS281,$A$10:$A281,$A282)-ROUNDDOWN($K282*$S282/100,0)&lt;-$S282*1000,-$S282*1000-SUMIFS(AS$10:AS281,$A$10:$A281,$A282),-ROUNDDOWN($K282*$S282/100,0))</f>
        <v>0</v>
      </c>
      <c r="AT282" s="38">
        <f>IF(AND(X282="○",$A282&gt;=AT$8,$A282&lt;=AT$9,K282&gt;=3980),IF(SUM(AT$10:AT281)-ROUNDDOWN($K282*AT$5/100,0)&lt;-AT$6,-AT$6-SUM(AT$10:AT281),-ROUNDDOWN($K282*AT$5/100,0)),0)</f>
        <v>0</v>
      </c>
      <c r="AU282" s="38">
        <f>IF(O282="○",IF(SUM(AU$10:AU281)-ROUNDDOWN($K282*AU$5/100,0)&lt;-AU$6,-AU$6-SUM(AU$10:AU281),-ROUNDDOWN($K282*AU$5/100,0)),0)</f>
        <v>0</v>
      </c>
      <c r="AV282" s="38">
        <f>IF(P282="○",IF(SUM(AV$10:AV281)-ROUNDDOWN($K282*AV$5/100,0)&lt;-AV$6,-AV$6-SUM(AV$10:AV281),-ROUNDDOWN($K282*AV$5/100,0)),0)</f>
        <v>0</v>
      </c>
      <c r="AW282" s="38">
        <f>IF(Q282="○",IF(SUM(AW$10:AW281)-ROUNDDOWN($K282*AW$5/100,0)&lt;-AW$6,-AW$6-SUM(AW$10:AW281),-ROUNDDOWN($K282*AW$5/100,0)),0)</f>
        <v>0</v>
      </c>
      <c r="AX282" s="38">
        <f>IF(R282="○",IF(SUM(AX$10:AX281)-ROUNDDOWN($K282*AX$5/100,0)&lt;-AX$6,-AX$6-SUM(AX$10:AX281),-ROUNDDOWN($K282*AX$5/100,0)),0)</f>
        <v>0</v>
      </c>
      <c r="AY282" s="70">
        <v>0</v>
      </c>
      <c r="AZ282" s="65">
        <f t="shared" si="213"/>
        <v>0</v>
      </c>
      <c r="BA282" s="65">
        <f t="shared" si="214"/>
        <v>0</v>
      </c>
      <c r="BB282" s="70"/>
      <c r="BC282" s="65">
        <f t="shared" si="215"/>
        <v>0</v>
      </c>
      <c r="BD282" s="70">
        <v>0</v>
      </c>
      <c r="BE282" s="65">
        <f t="shared" si="216"/>
        <v>0</v>
      </c>
      <c r="BF282" s="70">
        <v>0</v>
      </c>
      <c r="BG282" s="65">
        <f t="shared" si="217"/>
        <v>0</v>
      </c>
      <c r="BH282" s="70">
        <v>0</v>
      </c>
      <c r="BI282" s="65">
        <f t="shared" si="218"/>
        <v>0</v>
      </c>
      <c r="BJ282" s="38">
        <f>IF(AND(BJ$7="○",$A282&gt;=BJ$8,$A282&lt;=BJ$9),IF(SUM(BJ$10:BJ281)-ROUNDDOWN($M282*BJ$5/100,0)&lt;-BJ$6,-BJ$6-SUM(BJ$10:BJ281),-ROUNDDOWN($M282*BJ$5/100,0)),0)</f>
        <v>0</v>
      </c>
      <c r="BK282" s="38">
        <f>IF(AND(BK$7="○",$A282&gt;=BK$8,$A282&lt;=BK$9),IF(SUM(BK$10:BK281)-ROUNDDOWN($L282*BK$5/100,0)&lt;-BK$6,-BK$6-SUM(BK$10:BK281),-ROUNDDOWN($L282*BK$5/100,0)),0)</f>
        <v>0</v>
      </c>
      <c r="BL282" s="38">
        <f>IF(AND(BL$7="○",$A282&gt;=BL$8,$A282&lt;=BL$9),IF(SUM(BL$10:BL281)-ROUNDDOWN($L282*BL$5/100,0)&lt;-BL$6,-BL$6-SUM(BL$10:BL281),-ROUNDDOWN($L282*BL$5/100,0)),0)</f>
        <v>0</v>
      </c>
      <c r="BM282" s="38">
        <f>IF(AND(BM$7="○",$A282&gt;=BM$8,$A282&lt;=BM$9),IF(SUM(BM$10:BM281)-ROUNDDOWN($M282*BM$5/100,0)&lt;-BM$6,-BM$6-SUM(BM$10:BM281),-ROUNDDOWN($M282*BM$5/100,0)),0)</f>
        <v>0</v>
      </c>
      <c r="BN282" s="38">
        <f>IF(AND(BN$7="○",$A282&gt;=BN$8,$A282&lt;=BN$9),IF(SUM(BN$10:BN281)-ROUNDDOWN($M282*BN$5/100,0)&lt;-BN$6,-BN$6-SUM(BN$10:BN281),-ROUNDDOWN($M282*BN$5/100,0)),0)</f>
        <v>0</v>
      </c>
      <c r="BO282" s="38">
        <f>IF(AND(BO$7="○",$A282&gt;=BO$8,$A282&lt;=BO$9),IF(SUM(BO$10:BO281)-ROUNDDOWN($M282*BO$5/100,0)&lt;-BO$6,-BO$6-SUM(BO$10:BO281),-ROUNDDOWN($M282*BO$5/100,0)),0)</f>
        <v>0</v>
      </c>
      <c r="BP282" s="38">
        <f>IF(AND(BP$7="○",$A282&gt;=BP$8,$A282&lt;=BP$9),IF(SUM(BP$10:BP281)-ROUNDDOWN($M282*BP$5/100,0)&lt;-BP$6,-BP$6-SUM(BP$10:BP281),-ROUNDDOWN($M282*BP$5/100,0)),0)</f>
        <v>0</v>
      </c>
      <c r="BQ282" s="38">
        <f>IF(AND(BQ$7="○",$A282&gt;=BQ$8,$A282&lt;=BQ$9),IF(SUM(BQ$10:BQ281)-ROUNDDOWN($L282*BQ$5/100,0)&lt;-BQ$6,-BQ$6-SUM(BQ$10:BQ281),-ROUNDDOWN($L282*BQ$5/100,0)),0)</f>
        <v>0</v>
      </c>
      <c r="BR282" s="38">
        <f>IF(AND(BR$7="○",$A282&gt;=BR$8,$A282&lt;=BR$9),IF(SUM(BR$10:BR281)-ROUNDDOWN($M282*BR$5/100,0)&lt;-BR$6,-BR$6-SUM(BR$10:BR281),-ROUNDDOWN($M282*BR$5/100,0)),0)</f>
        <v>0</v>
      </c>
      <c r="BS282" s="38">
        <f>IF(AND(BS$7="○",$A282&gt;=BS$8,$A282&lt;=BS$9),IF(SUM(BS$10:BS281)-ROUNDDOWN($M282*BS$5/100,0)&lt;-BS$6,-BS$6-SUM(BS$10:BS281),-ROUNDDOWN($M282*BS$5/100,0)),0)</f>
        <v>0</v>
      </c>
      <c r="BT282" s="38">
        <f>IF(AND(BT$7="○",$A282&gt;=BT$8,$A282&lt;=BT$9),IF(SUM(BT$10:BT281)-ROUNDDOWN($M282*BT$5/100,0)&lt;-BT$6,-BT$6-SUM(BT$10:BT281),-ROUNDDOWN($M282*BT$5/100,0)),0)</f>
        <v>0</v>
      </c>
      <c r="BU282" s="38">
        <f>IF(AND(BU$7="○",$A282&gt;=BU$8,$A282&lt;=BU$9),IF(SUM(BU$10:BU281)-ROUNDDOWN($M282*BU$5/100,0)&lt;-BU$6,-BU$6-SUM(BU$10:BU281),-ROUNDDOWN($M282*BU$5/100,0)),0)</f>
        <v>0</v>
      </c>
      <c r="BV282" s="38">
        <f>IF(AND(BV$7="○",$A282&gt;=BV$8,$A282&lt;=BV$9),IF(SUM(BV$10:BV281)-ROUNDDOWN($M282*BV$5/100,0)&lt;-BV$6,-BV$6-SUM(BV$10:BV281),-ROUNDDOWN($M282*BV$5/100,0)),0)</f>
        <v>0</v>
      </c>
      <c r="BW282" s="38">
        <f>IF(AND(BW$7="○",$A282&gt;=BW$8,$A282&lt;=BW$9),IF(SUM(BW$10:BW281)-ROUNDDOWN($M282*BW$5/100,0)&lt;-BW$6,-BW$6-SUM(BW$10:BW281),-ROUNDDOWN($M282*BW$5/100,0)),0)</f>
        <v>0</v>
      </c>
      <c r="BX282" s="38">
        <f>IF(AND(T282="○",$A282&gt;=BX$8,$A282&lt;=BX$9),IF(SUM(BX$10:BX281)-ROUNDDOWN($K282*BX$5/100,0)&lt;-BX$6,-BX$6-SUM(BX$10:BX281),-ROUNDDOWN($K282*BX$5/100,0)),0)</f>
        <v>0</v>
      </c>
      <c r="BY282" s="38">
        <f>IF(AND(U282="○",$A282&gt;=BY$8,$A282&lt;=BY$9),IF(SUM(BY$10:BY281)-ROUNDDOWN($K282*BY$5/100,0)&lt;-BY$6,-BY$6-SUM(BY$10:BY281),-ROUNDDOWN($K282*BY$5/100,0)),0)</f>
        <v>0</v>
      </c>
      <c r="BZ282" s="38">
        <f>IF(AND(V282="○",$A282&gt;=BZ$8,$A282&lt;=BZ$9),IF(SUM(BZ$10:BZ281)-ROUNDDOWN($K282*BZ$5/100,0)&lt;-BZ$6,-BZ$6-SUM(BZ$10:BZ281),-ROUNDDOWN($K282*BZ$5/100,0)),0)</f>
        <v>0</v>
      </c>
      <c r="CA282" s="38">
        <f>IF(AND(W282="○",$A282&gt;=CA$8,$A282&lt;=CA$9),IF(SUM(CA$10:CA281)-ROUNDDOWN($K282*CA$5/100,0)&lt;-CA$6,-CA$6-SUM(CA$10:CA281),-ROUNDDOWN($K282*CA$5/100,0)),0)</f>
        <v>0</v>
      </c>
      <c r="CB282" s="38"/>
      <c r="CC282" s="38"/>
      <c r="CD282" s="38"/>
      <c r="CE282" s="38"/>
      <c r="CF282" s="38"/>
      <c r="CG282" s="65">
        <f t="shared" si="219"/>
        <v>0</v>
      </c>
      <c r="CH282" s="71">
        <f t="shared" si="220"/>
        <v>0</v>
      </c>
      <c r="CI282" s="1">
        <f t="shared" si="206"/>
        <v>0</v>
      </c>
      <c r="CJ282" s="1"/>
      <c r="CK282" s="79"/>
      <c r="CL282" s="79"/>
      <c r="CM282" s="2"/>
      <c r="CN282" s="2"/>
      <c r="CO282" s="73">
        <f t="shared" si="207"/>
        <v>0</v>
      </c>
      <c r="CP282" s="5">
        <f t="shared" si="208"/>
        <v>0</v>
      </c>
      <c r="CQ282" s="1"/>
      <c r="CR282" s="1">
        <f t="shared" si="209"/>
        <v>0</v>
      </c>
      <c r="CS282" s="1"/>
      <c r="CT282" s="1" t="e">
        <f>INDEX([2]マスタ!$A:$A,MATCH(D282,[2]マスタ!$C:$C,0))</f>
        <v>#N/A</v>
      </c>
      <c r="CU282" s="1" t="str">
        <f t="shared" ca="1" si="210"/>
        <v>20260620_0-0</v>
      </c>
    </row>
    <row r="283" spans="1:99" x14ac:dyDescent="0.4">
      <c r="A283" s="61"/>
      <c r="B283" s="62"/>
      <c r="C283" s="62"/>
      <c r="D283" s="62"/>
      <c r="E283" s="63"/>
      <c r="F283" s="62"/>
      <c r="G283" s="62">
        <v>1</v>
      </c>
      <c r="H283" s="64">
        <f t="shared" si="197"/>
        <v>0</v>
      </c>
      <c r="I283" s="64"/>
      <c r="J283" s="78"/>
      <c r="K283" s="65">
        <f t="shared" si="221"/>
        <v>0</v>
      </c>
      <c r="L283" s="65">
        <f t="shared" si="199"/>
        <v>0</v>
      </c>
      <c r="M283" s="65">
        <f t="shared" si="200"/>
        <v>0</v>
      </c>
      <c r="N283" s="65">
        <f t="shared" si="201"/>
        <v>0</v>
      </c>
      <c r="O283" s="66" t="str">
        <f t="shared" si="202"/>
        <v>✕</v>
      </c>
      <c r="P283" s="67" t="str">
        <f t="shared" si="203"/>
        <v>○</v>
      </c>
      <c r="Q283" s="67" t="str">
        <f t="shared" si="222"/>
        <v>✕</v>
      </c>
      <c r="R283" s="67" t="str">
        <f t="shared" si="205"/>
        <v>✕</v>
      </c>
      <c r="S283" s="68">
        <v>0</v>
      </c>
      <c r="T283" s="69" t="s">
        <v>85</v>
      </c>
      <c r="U283" s="69" t="s">
        <v>85</v>
      </c>
      <c r="V283" s="69" t="s">
        <v>85</v>
      </c>
      <c r="W283" s="69" t="s">
        <v>85</v>
      </c>
      <c r="X283" s="69" t="s">
        <v>84</v>
      </c>
      <c r="Y283" s="69" t="s">
        <v>85</v>
      </c>
      <c r="Z283" s="69" t="s">
        <v>85</v>
      </c>
      <c r="AA283" s="69" t="s">
        <v>85</v>
      </c>
      <c r="AB283" s="69" t="s">
        <v>85</v>
      </c>
      <c r="AC283" s="69" t="s">
        <v>85</v>
      </c>
      <c r="AD283" s="38" t="str">
        <f>+IF(ISERROR(VLOOKUP($B283,AD$10:AD282,1,0)),IF(AND($N283&gt;=1000,$A283&gt;=AO$8,$A283&lt;=AO$9),$B283,""),"")</f>
        <v/>
      </c>
      <c r="AE283" s="38" t="str">
        <f>+IF(ISERROR(VLOOKUP($B283,AE$10:AE282,1,0)),IF(AND($N283&gt;=1000,$A283&gt;=AP$8,$A283&lt;=AP$9),$B283,""),"")</f>
        <v/>
      </c>
      <c r="AF283" s="38" t="str">
        <f>+IF(ISERROR(VLOOKUP($B283,AF$10:AF282,1,0)),IF(AND($N283&gt;=1000,$A283&gt;=AQ$8,$A283&lt;=AQ$9),$B283,""),"")</f>
        <v/>
      </c>
      <c r="AG283" s="38" t="str">
        <f>+IF(ISERROR(VLOOKUP($B283,AG$10:AG282,1,0)),IF(AND($N283&gt;=1000,$A283&gt;=AR$8,$A283&lt;=AR$9),$B283,""),"")</f>
        <v/>
      </c>
      <c r="AH283" s="38"/>
      <c r="AI283" s="70">
        <v>0</v>
      </c>
      <c r="AJ283" s="38">
        <f>IF(AND(AJ$7="○",$A283&gt;=AJ$8,$A283&lt;=AJ$9),IF(SUM(AJ$10:AJ282)-ROUNDDOWN($K283*AJ$5/100,0)&lt;-AJ$6,-AJ$6-SUM(AJ$10:AJ282),-ROUNDDOWN($K283*AJ$5/100,0)),0)</f>
        <v>0</v>
      </c>
      <c r="AK283" s="38">
        <f>IF(AND(AK$7="○",$A283&gt;=AK$8,$A283&lt;=AK$9),IF(SUM(AK$10:AK282)-ROUNDDOWN($L283*AK$5/100,0)&lt;-AK$6,-AK$6-SUM(AK$10:AK282),-ROUNDDOWN($L283*AK$5/100,0)),0)</f>
        <v>0</v>
      </c>
      <c r="AL283" s="38">
        <f>IF(AND(AL$7="○",$A283&gt;=AL$8,$A283&lt;=AL$9),IF(SUM(AL$10:AL282)-ROUNDDOWN($N283*AL$5/100,0)&lt;-AL$6,-AL$6-SUM(AL$10:AL282),-ROUNDDOWN($N283*AL$5/100,0)),0)</f>
        <v>0</v>
      </c>
      <c r="AM283" s="38">
        <f>IF(AND(AM$7="○",$A283&gt;=AM$8,$A283&lt;=AM$9),IF(SUM(AM$10:AM282)-ROUNDDOWN($L283*AM$5/100,0)&lt;-AM$6,-AM$6-SUM(AM$10:AM282),-ROUNDDOWN($L283*AM$5/100,0)),0)</f>
        <v>0</v>
      </c>
      <c r="AN283" s="38">
        <f>IF(AND(AN$7="○",$A283&gt;=AN$8,$A283&lt;=AN$9),IF(SUM(AN$10:AN282)-ROUNDDOWN($M283*AN$5/100,0)&lt;-AN$6,-AN$6-SUM(AN$10:AN282),-ROUNDDOWN($M283*AN$5/100,0)),0)</f>
        <v>0</v>
      </c>
      <c r="AO283" s="38">
        <f>IF(AND($A283&gt;=AO$8,$A283&lt;=AO$9),IF(SUM(AO$10:AO282)-ROUNDDOWN($K283*AO$5/100,0)&lt;-AO$6,-AO$6-SUM(AO$10:AO282),-ROUNDDOWN($K283*AO$5/100,0)),0)</f>
        <v>0</v>
      </c>
      <c r="AP283" s="38">
        <f>IF(AND($A283&gt;=AP$8,$A283&lt;=AP$9),IF(SUM(AP$10:AP282)-ROUNDDOWN($K283*AP$5/100,0)&lt;-AP$6,-AP$6-SUM(AP$10:AP282),-ROUNDDOWN($K283*AP$5/100,0)),0)</f>
        <v>0</v>
      </c>
      <c r="AQ283" s="38">
        <f>IF(AND($A283&gt;=AQ$8,$A283&lt;=AQ$9),IF(SUM(AQ$10:AQ282)-ROUNDDOWN($K283*AQ$5/100,0)&lt;-AQ$6,-AQ$6-SUM(AQ$10:AQ282),-ROUNDDOWN($K283*AQ$5/100,0)),0)</f>
        <v>0</v>
      </c>
      <c r="AR283" s="38">
        <f>IF(AND($A283&gt;=AR$8,$A283&lt;=AR$9),IF(SUM(AR$10:AR282)-ROUNDDOWN($K283*AR$5/100,0)&lt;-AR$6,-AR$6-SUM(AR$10:AR282),-ROUNDDOWN($K283*AR$5/100,0)),0)</f>
        <v>0</v>
      </c>
      <c r="AS283" s="38">
        <f>IF(SUMIFS(AS$10:AS282,$A$10:$A282,$A283)-ROUNDDOWN($K283*$S283/100,0)&lt;-$S283*1000,-$S283*1000-SUMIFS(AS$10:AS282,$A$10:$A282,$A283),-ROUNDDOWN($K283*$S283/100,0))</f>
        <v>0</v>
      </c>
      <c r="AT283" s="38">
        <f>IF(AND(X283="○",$A283&gt;=AT$8,$A283&lt;=AT$9,K283&gt;=3980),IF(SUM(AT$10:AT282)-ROUNDDOWN($K283*AT$5/100,0)&lt;-AT$6,-AT$6-SUM(AT$10:AT282),-ROUNDDOWN($K283*AT$5/100,0)),0)</f>
        <v>0</v>
      </c>
      <c r="AU283" s="38">
        <f>IF(O283="○",IF(SUM(AU$10:AU282)-ROUNDDOWN($K283*AU$5/100,0)&lt;-AU$6,-AU$6-SUM(AU$10:AU282),-ROUNDDOWN($K283*AU$5/100,0)),0)</f>
        <v>0</v>
      </c>
      <c r="AV283" s="38">
        <f>IF(P283="○",IF(SUM(AV$10:AV282)-ROUNDDOWN($K283*AV$5/100,0)&lt;-AV$6,-AV$6-SUM(AV$10:AV282),-ROUNDDOWN($K283*AV$5/100,0)),0)</f>
        <v>0</v>
      </c>
      <c r="AW283" s="38">
        <f>IF(Q283="○",IF(SUM(AW$10:AW282)-ROUNDDOWN($K283*AW$5/100,0)&lt;-AW$6,-AW$6-SUM(AW$10:AW282),-ROUNDDOWN($K283*AW$5/100,0)),0)</f>
        <v>0</v>
      </c>
      <c r="AX283" s="38">
        <f>IF(R283="○",IF(SUM(AX$10:AX282)-ROUNDDOWN($K283*AX$5/100,0)&lt;-AX$6,-AX$6-SUM(AX$10:AX282),-ROUNDDOWN($K283*AX$5/100,0)),0)</f>
        <v>0</v>
      </c>
      <c r="AY283" s="70">
        <v>0</v>
      </c>
      <c r="AZ283" s="65">
        <f t="shared" si="213"/>
        <v>0</v>
      </c>
      <c r="BA283" s="65">
        <f t="shared" si="214"/>
        <v>0</v>
      </c>
      <c r="BB283" s="70"/>
      <c r="BC283" s="65">
        <f t="shared" si="215"/>
        <v>0</v>
      </c>
      <c r="BD283" s="70">
        <v>0</v>
      </c>
      <c r="BE283" s="65">
        <f t="shared" si="216"/>
        <v>0</v>
      </c>
      <c r="BF283" s="70">
        <v>0</v>
      </c>
      <c r="BG283" s="65">
        <f t="shared" si="217"/>
        <v>0</v>
      </c>
      <c r="BH283" s="70">
        <v>0</v>
      </c>
      <c r="BI283" s="65">
        <f t="shared" si="218"/>
        <v>0</v>
      </c>
      <c r="BJ283" s="38">
        <f>IF(AND(BJ$7="○",$A283&gt;=BJ$8,$A283&lt;=BJ$9),IF(SUM(BJ$10:BJ282)-ROUNDDOWN($M283*BJ$5/100,0)&lt;-BJ$6,-BJ$6-SUM(BJ$10:BJ282),-ROUNDDOWN($M283*BJ$5/100,0)),0)</f>
        <v>0</v>
      </c>
      <c r="BK283" s="38">
        <f>IF(AND(BK$7="○",$A283&gt;=BK$8,$A283&lt;=BK$9),IF(SUM(BK$10:BK282)-ROUNDDOWN($L283*BK$5/100,0)&lt;-BK$6,-BK$6-SUM(BK$10:BK282),-ROUNDDOWN($L283*BK$5/100,0)),0)</f>
        <v>0</v>
      </c>
      <c r="BL283" s="38">
        <f>IF(AND(BL$7="○",$A283&gt;=BL$8,$A283&lt;=BL$9),IF(SUM(BL$10:BL282)-ROUNDDOWN($L283*BL$5/100,0)&lt;-BL$6,-BL$6-SUM(BL$10:BL282),-ROUNDDOWN($L283*BL$5/100,0)),0)</f>
        <v>0</v>
      </c>
      <c r="BM283" s="38">
        <f>IF(AND(BM$7="○",$A283&gt;=BM$8,$A283&lt;=BM$9),IF(SUM(BM$10:BM282)-ROUNDDOWN($M283*BM$5/100,0)&lt;-BM$6,-BM$6-SUM(BM$10:BM282),-ROUNDDOWN($M283*BM$5/100,0)),0)</f>
        <v>0</v>
      </c>
      <c r="BN283" s="38">
        <f>IF(AND(BN$7="○",$A283&gt;=BN$8,$A283&lt;=BN$9),IF(SUM(BN$10:BN282)-ROUNDDOWN($M283*BN$5/100,0)&lt;-BN$6,-BN$6-SUM(BN$10:BN282),-ROUNDDOWN($M283*BN$5/100,0)),0)</f>
        <v>0</v>
      </c>
      <c r="BO283" s="38">
        <f>IF(AND(BO$7="○",$A283&gt;=BO$8,$A283&lt;=BO$9),IF(SUM(BO$10:BO282)-ROUNDDOWN($M283*BO$5/100,0)&lt;-BO$6,-BO$6-SUM(BO$10:BO282),-ROUNDDOWN($M283*BO$5/100,0)),0)</f>
        <v>0</v>
      </c>
      <c r="BP283" s="38">
        <f>IF(AND(BP$7="○",$A283&gt;=BP$8,$A283&lt;=BP$9),IF(SUM(BP$10:BP282)-ROUNDDOWN($M283*BP$5/100,0)&lt;-BP$6,-BP$6-SUM(BP$10:BP282),-ROUNDDOWN($M283*BP$5/100,0)),0)</f>
        <v>0</v>
      </c>
      <c r="BQ283" s="38">
        <f>IF(AND(BQ$7="○",$A283&gt;=BQ$8,$A283&lt;=BQ$9),IF(SUM(BQ$10:BQ282)-ROUNDDOWN($L283*BQ$5/100,0)&lt;-BQ$6,-BQ$6-SUM(BQ$10:BQ282),-ROUNDDOWN($L283*BQ$5/100,0)),0)</f>
        <v>0</v>
      </c>
      <c r="BR283" s="38">
        <f>IF(AND(BR$7="○",$A283&gt;=BR$8,$A283&lt;=BR$9),IF(SUM(BR$10:BR282)-ROUNDDOWN($M283*BR$5/100,0)&lt;-BR$6,-BR$6-SUM(BR$10:BR282),-ROUNDDOWN($M283*BR$5/100,0)),0)</f>
        <v>0</v>
      </c>
      <c r="BS283" s="38">
        <f>IF(AND(BS$7="○",$A283&gt;=BS$8,$A283&lt;=BS$9),IF(SUM(BS$10:BS282)-ROUNDDOWN($M283*BS$5/100,0)&lt;-BS$6,-BS$6-SUM(BS$10:BS282),-ROUNDDOWN($M283*BS$5/100,0)),0)</f>
        <v>0</v>
      </c>
      <c r="BT283" s="38">
        <f>IF(AND(BT$7="○",$A283&gt;=BT$8,$A283&lt;=BT$9),IF(SUM(BT$10:BT282)-ROUNDDOWN($M283*BT$5/100,0)&lt;-BT$6,-BT$6-SUM(BT$10:BT282),-ROUNDDOWN($M283*BT$5/100,0)),0)</f>
        <v>0</v>
      </c>
      <c r="BU283" s="38">
        <f>IF(AND(BU$7="○",$A283&gt;=BU$8,$A283&lt;=BU$9),IF(SUM(BU$10:BU282)-ROUNDDOWN($M283*BU$5/100,0)&lt;-BU$6,-BU$6-SUM(BU$10:BU282),-ROUNDDOWN($M283*BU$5/100,0)),0)</f>
        <v>0</v>
      </c>
      <c r="BV283" s="38">
        <f>IF(AND(BV$7="○",$A283&gt;=BV$8,$A283&lt;=BV$9),IF(SUM(BV$10:BV282)-ROUNDDOWN($M283*BV$5/100,0)&lt;-BV$6,-BV$6-SUM(BV$10:BV282),-ROUNDDOWN($M283*BV$5/100,0)),0)</f>
        <v>0</v>
      </c>
      <c r="BW283" s="38">
        <f>IF(AND(BW$7="○",$A283&gt;=BW$8,$A283&lt;=BW$9),IF(SUM(BW$10:BW282)-ROUNDDOWN($M283*BW$5/100,0)&lt;-BW$6,-BW$6-SUM(BW$10:BW282),-ROUNDDOWN($M283*BW$5/100,0)),0)</f>
        <v>0</v>
      </c>
      <c r="BX283" s="38">
        <f>IF(AND(T283="○",$A283&gt;=BX$8,$A283&lt;=BX$9),IF(SUM(BX$10:BX282)-ROUNDDOWN($K283*BX$5/100,0)&lt;-BX$6,-BX$6-SUM(BX$10:BX282),-ROUNDDOWN($K283*BX$5/100,0)),0)</f>
        <v>0</v>
      </c>
      <c r="BY283" s="38">
        <f>IF(AND(U283="○",$A283&gt;=BY$8,$A283&lt;=BY$9),IF(SUM(BY$10:BY282)-ROUNDDOWN($K283*BY$5/100,0)&lt;-BY$6,-BY$6-SUM(BY$10:BY282),-ROUNDDOWN($K283*BY$5/100,0)),0)</f>
        <v>0</v>
      </c>
      <c r="BZ283" s="38">
        <f>IF(AND(V283="○",$A283&gt;=BZ$8,$A283&lt;=BZ$9),IF(SUM(BZ$10:BZ282)-ROUNDDOWN($K283*BZ$5/100,0)&lt;-BZ$6,-BZ$6-SUM(BZ$10:BZ282),-ROUNDDOWN($K283*BZ$5/100,0)),0)</f>
        <v>0</v>
      </c>
      <c r="CA283" s="38">
        <f>IF(AND(W283="○",$A283&gt;=CA$8,$A283&lt;=CA$9),IF(SUM(CA$10:CA282)-ROUNDDOWN($K283*CA$5/100,0)&lt;-CA$6,-CA$6-SUM(CA$10:CA282),-ROUNDDOWN($K283*CA$5/100,0)),0)</f>
        <v>0</v>
      </c>
      <c r="CB283" s="38"/>
      <c r="CC283" s="38"/>
      <c r="CD283" s="38"/>
      <c r="CE283" s="38"/>
      <c r="CF283" s="38"/>
      <c r="CG283" s="65">
        <f t="shared" si="219"/>
        <v>0</v>
      </c>
      <c r="CH283" s="71">
        <f t="shared" si="220"/>
        <v>0</v>
      </c>
      <c r="CI283" s="1">
        <f t="shared" si="206"/>
        <v>0</v>
      </c>
      <c r="CJ283" s="1"/>
      <c r="CK283" s="79"/>
      <c r="CL283" s="79"/>
      <c r="CM283" s="2"/>
      <c r="CN283" s="2"/>
      <c r="CO283" s="73">
        <f t="shared" si="207"/>
        <v>0</v>
      </c>
      <c r="CP283" s="5">
        <f t="shared" si="208"/>
        <v>0</v>
      </c>
      <c r="CQ283" s="1"/>
      <c r="CR283" s="1">
        <f t="shared" si="209"/>
        <v>0</v>
      </c>
      <c r="CS283" s="1"/>
      <c r="CT283" s="1" t="e">
        <f>INDEX([2]マスタ!$A:$A,MATCH(D283,[2]マスタ!$C:$C,0))</f>
        <v>#N/A</v>
      </c>
      <c r="CU283" s="1" t="str">
        <f t="shared" ca="1" si="210"/>
        <v>20260620_0-0</v>
      </c>
    </row>
    <row r="284" spans="1:99" x14ac:dyDescent="0.4">
      <c r="A284" s="61"/>
      <c r="B284" s="62"/>
      <c r="C284" s="62"/>
      <c r="D284" s="62"/>
      <c r="E284" s="77"/>
      <c r="F284" s="62"/>
      <c r="G284" s="62">
        <v>1</v>
      </c>
      <c r="H284" s="64">
        <f t="shared" si="197"/>
        <v>0</v>
      </c>
      <c r="I284" s="64"/>
      <c r="J284" s="64"/>
      <c r="K284" s="65">
        <f t="shared" si="221"/>
        <v>0</v>
      </c>
      <c r="L284" s="65">
        <f t="shared" si="199"/>
        <v>0</v>
      </c>
      <c r="M284" s="65">
        <f t="shared" si="200"/>
        <v>0</v>
      </c>
      <c r="N284" s="65">
        <f t="shared" si="201"/>
        <v>0</v>
      </c>
      <c r="O284" s="66" t="str">
        <f t="shared" si="202"/>
        <v>✕</v>
      </c>
      <c r="P284" s="67" t="str">
        <f t="shared" si="203"/>
        <v>○</v>
      </c>
      <c r="Q284" s="67" t="str">
        <f t="shared" si="222"/>
        <v>✕</v>
      </c>
      <c r="R284" s="67" t="str">
        <f t="shared" si="205"/>
        <v>✕</v>
      </c>
      <c r="S284" s="68">
        <v>0</v>
      </c>
      <c r="T284" s="69" t="s">
        <v>85</v>
      </c>
      <c r="U284" s="69" t="s">
        <v>85</v>
      </c>
      <c r="V284" s="69" t="s">
        <v>85</v>
      </c>
      <c r="W284" s="69" t="s">
        <v>85</v>
      </c>
      <c r="X284" s="69" t="s">
        <v>84</v>
      </c>
      <c r="Y284" s="69" t="s">
        <v>85</v>
      </c>
      <c r="Z284" s="69" t="s">
        <v>85</v>
      </c>
      <c r="AA284" s="69" t="s">
        <v>85</v>
      </c>
      <c r="AB284" s="69" t="s">
        <v>85</v>
      </c>
      <c r="AC284" s="69" t="s">
        <v>85</v>
      </c>
      <c r="AD284" s="38" t="str">
        <f>+IF(ISERROR(VLOOKUP($B284,AD$10:AD283,1,0)),IF(AND($N284&gt;=1000,$A284&gt;=AO$8,$A284&lt;=AO$9),$B284,""),"")</f>
        <v/>
      </c>
      <c r="AE284" s="38" t="str">
        <f>+IF(ISERROR(VLOOKUP($B284,AE$10:AE283,1,0)),IF(AND($N284&gt;=1000,$A284&gt;=AP$8,$A284&lt;=AP$9),$B284,""),"")</f>
        <v/>
      </c>
      <c r="AF284" s="38" t="str">
        <f>+IF(ISERROR(VLOOKUP($B284,AF$10:AF283,1,0)),IF(AND($N284&gt;=1000,$A284&gt;=AQ$8,$A284&lt;=AQ$9),$B284,""),"")</f>
        <v/>
      </c>
      <c r="AG284" s="38" t="str">
        <f>+IF(ISERROR(VLOOKUP($B284,AG$10:AG283,1,0)),IF(AND($N284&gt;=1000,$A284&gt;=AR$8,$A284&lt;=AR$9),$B284,""),"")</f>
        <v/>
      </c>
      <c r="AH284" s="38"/>
      <c r="AI284" s="70">
        <v>0</v>
      </c>
      <c r="AJ284" s="38">
        <f>IF(AND(AJ$7="○",$A284&gt;=AJ$8,$A284&lt;=AJ$9),IF(SUM(AJ$10:AJ283)-ROUNDDOWN($K284*AJ$5/100,0)&lt;-AJ$6,-AJ$6-SUM(AJ$10:AJ283),-ROUNDDOWN($K284*AJ$5/100,0)),0)</f>
        <v>0</v>
      </c>
      <c r="AK284" s="38">
        <f>IF(AND(AK$7="○",$A284&gt;=AK$8,$A284&lt;=AK$9),IF(SUM(AK$10:AK283)-ROUNDDOWN($L284*AK$5/100,0)&lt;-AK$6,-AK$6-SUM(AK$10:AK283),-ROUNDDOWN($L284*AK$5/100,0)),0)</f>
        <v>0</v>
      </c>
      <c r="AL284" s="38">
        <f>IF(AND(AL$7="○",$A284&gt;=AL$8,$A284&lt;=AL$9),IF(SUM(AL$10:AL283)-ROUNDDOWN($N284*AL$5/100,0)&lt;-AL$6,-AL$6-SUM(AL$10:AL283),-ROUNDDOWN($N284*AL$5/100,0)),0)</f>
        <v>0</v>
      </c>
      <c r="AM284" s="38">
        <f>IF(AND(AM$7="○",$A284&gt;=AM$8,$A284&lt;=AM$9),IF(SUM(AM$10:AM283)-ROUNDDOWN($L284*AM$5/100,0)&lt;-AM$6,-AM$6-SUM(AM$10:AM283),-ROUNDDOWN($L284*AM$5/100,0)),0)</f>
        <v>0</v>
      </c>
      <c r="AN284" s="38">
        <f>IF(AND(AN$7="○",$A284&gt;=AN$8,$A284&lt;=AN$9),IF(SUM(AN$10:AN283)-ROUNDDOWN($M284*AN$5/100,0)&lt;-AN$6,-AN$6-SUM(AN$10:AN283),-ROUNDDOWN($M284*AN$5/100,0)),0)</f>
        <v>0</v>
      </c>
      <c r="AO284" s="38">
        <f>IF(AND($A284&gt;=AO$8,$A284&lt;=AO$9),IF(SUM(AO$10:AO283)-ROUNDDOWN($K284*AO$5/100,0)&lt;-AO$6,-AO$6-SUM(AO$10:AO283),-ROUNDDOWN($K284*AO$5/100,0)),0)</f>
        <v>0</v>
      </c>
      <c r="AP284" s="38">
        <f>IF(AND($A284&gt;=AP$8,$A284&lt;=AP$9),IF(SUM(AP$10:AP283)-ROUNDDOWN($K284*AP$5/100,0)&lt;-AP$6,-AP$6-SUM(AP$10:AP283),-ROUNDDOWN($K284*AP$5/100,0)),0)</f>
        <v>0</v>
      </c>
      <c r="AQ284" s="38">
        <f>IF(AND($A284&gt;=AQ$8,$A284&lt;=AQ$9),IF(SUM(AQ$10:AQ283)-ROUNDDOWN($K284*AQ$5/100,0)&lt;-AQ$6,-AQ$6-SUM(AQ$10:AQ283),-ROUNDDOWN($K284*AQ$5/100,0)),0)</f>
        <v>0</v>
      </c>
      <c r="AR284" s="38">
        <f>IF(AND($A284&gt;=AR$8,$A284&lt;=AR$9),IF(SUM(AR$10:AR283)-ROUNDDOWN($K284*AR$5/100,0)&lt;-AR$6,-AR$6-SUM(AR$10:AR283),-ROUNDDOWN($K284*AR$5/100,0)),0)</f>
        <v>0</v>
      </c>
      <c r="AS284" s="38">
        <f>IF(SUMIFS(AS$10:AS283,$A$10:$A283,$A284)-ROUNDDOWN($K284*$S284/100,0)&lt;-$S284*1000,-$S284*1000-SUMIFS(AS$10:AS283,$A$10:$A283,$A284),-ROUNDDOWN($K284*$S284/100,0))</f>
        <v>0</v>
      </c>
      <c r="AT284" s="38">
        <f>IF(AND(X284="○",$A284&gt;=AT$8,$A284&lt;=AT$9,K284&gt;=3980),IF(SUM(AT$10:AT283)-ROUNDDOWN($K284*AT$5/100,0)&lt;-AT$6,-AT$6-SUM(AT$10:AT283),-ROUNDDOWN($K284*AT$5/100,0)),0)</f>
        <v>0</v>
      </c>
      <c r="AU284" s="38">
        <f>IF(O284="○",IF(SUM(AU$10:AU283)-ROUNDDOWN($K284*AU$5/100,0)&lt;-AU$6,-AU$6-SUM(AU$10:AU283),-ROUNDDOWN($K284*AU$5/100,0)),0)</f>
        <v>0</v>
      </c>
      <c r="AV284" s="38">
        <f>IF(P284="○",IF(SUM(AV$10:AV283)-ROUNDDOWN($K284*AV$5/100,0)&lt;-AV$6,-AV$6-SUM(AV$10:AV283),-ROUNDDOWN($K284*AV$5/100,0)),0)</f>
        <v>0</v>
      </c>
      <c r="AW284" s="38">
        <f>IF(Q284="○",IF(SUM(AW$10:AW283)-ROUNDDOWN($K284*AW$5/100,0)&lt;-AW$6,-AW$6-SUM(AW$10:AW283),-ROUNDDOWN($K284*AW$5/100,0)),0)</f>
        <v>0</v>
      </c>
      <c r="AX284" s="38">
        <f>IF(R284="○",IF(SUM(AX$10:AX283)-ROUNDDOWN($K284*AX$5/100,0)&lt;-AX$6,-AX$6-SUM(AX$10:AX283),-ROUNDDOWN($K284*AX$5/100,0)),0)</f>
        <v>0</v>
      </c>
      <c r="AY284" s="70">
        <v>0</v>
      </c>
      <c r="AZ284" s="65">
        <f t="shared" si="213"/>
        <v>0</v>
      </c>
      <c r="BA284" s="65">
        <f t="shared" si="214"/>
        <v>0</v>
      </c>
      <c r="BB284" s="70"/>
      <c r="BC284" s="65">
        <f t="shared" si="215"/>
        <v>0</v>
      </c>
      <c r="BD284" s="70">
        <v>0</v>
      </c>
      <c r="BE284" s="65">
        <f t="shared" si="216"/>
        <v>0</v>
      </c>
      <c r="BF284" s="70">
        <v>0</v>
      </c>
      <c r="BG284" s="65">
        <f t="shared" si="217"/>
        <v>0</v>
      </c>
      <c r="BH284" s="70">
        <v>0</v>
      </c>
      <c r="BI284" s="65">
        <f t="shared" si="218"/>
        <v>0</v>
      </c>
      <c r="BJ284" s="38">
        <f>IF(AND(BJ$7="○",$A284&gt;=BJ$8,$A284&lt;=BJ$9),IF(SUM(BJ$10:BJ283)-ROUNDDOWN($M284*BJ$5/100,0)&lt;-BJ$6,-BJ$6-SUM(BJ$10:BJ283),-ROUNDDOWN($M284*BJ$5/100,0)),0)</f>
        <v>0</v>
      </c>
      <c r="BK284" s="38">
        <f>IF(AND(BK$7="○",$A284&gt;=BK$8,$A284&lt;=BK$9),IF(SUM(BK$10:BK283)-ROUNDDOWN($L284*BK$5/100,0)&lt;-BK$6,-BK$6-SUM(BK$10:BK283),-ROUNDDOWN($L284*BK$5/100,0)),0)</f>
        <v>0</v>
      </c>
      <c r="BL284" s="38">
        <f>IF(AND(BL$7="○",$A284&gt;=BL$8,$A284&lt;=BL$9),IF(SUM(BL$10:BL283)-ROUNDDOWN($L284*BL$5/100,0)&lt;-BL$6,-BL$6-SUM(BL$10:BL283),-ROUNDDOWN($L284*BL$5/100,0)),0)</f>
        <v>0</v>
      </c>
      <c r="BM284" s="38">
        <f>IF(AND(BM$7="○",$A284&gt;=BM$8,$A284&lt;=BM$9),IF(SUM(BM$10:BM283)-ROUNDDOWN($M284*BM$5/100,0)&lt;-BM$6,-BM$6-SUM(BM$10:BM283),-ROUNDDOWN($M284*BM$5/100,0)),0)</f>
        <v>0</v>
      </c>
      <c r="BN284" s="38">
        <f>IF(AND(BN$7="○",$A284&gt;=BN$8,$A284&lt;=BN$9),IF(SUM(BN$10:BN283)-ROUNDDOWN($M284*BN$5/100,0)&lt;-BN$6,-BN$6-SUM(BN$10:BN283),-ROUNDDOWN($M284*BN$5/100,0)),0)</f>
        <v>0</v>
      </c>
      <c r="BO284" s="38">
        <f>IF(AND(BO$7="○",$A284&gt;=BO$8,$A284&lt;=BO$9),IF(SUM(BO$10:BO283)-ROUNDDOWN($M284*BO$5/100,0)&lt;-BO$6,-BO$6-SUM(BO$10:BO283),-ROUNDDOWN($M284*BO$5/100,0)),0)</f>
        <v>0</v>
      </c>
      <c r="BP284" s="38">
        <f>IF(AND(BP$7="○",$A284&gt;=BP$8,$A284&lt;=BP$9),IF(SUM(BP$10:BP283)-ROUNDDOWN($M284*BP$5/100,0)&lt;-BP$6,-BP$6-SUM(BP$10:BP283),-ROUNDDOWN($M284*BP$5/100,0)),0)</f>
        <v>0</v>
      </c>
      <c r="BQ284" s="38">
        <f>IF(AND(BQ$7="○",$A284&gt;=BQ$8,$A284&lt;=BQ$9),IF(SUM(BQ$10:BQ283)-ROUNDDOWN($L284*BQ$5/100,0)&lt;-BQ$6,-BQ$6-SUM(BQ$10:BQ283),-ROUNDDOWN($L284*BQ$5/100,0)),0)</f>
        <v>0</v>
      </c>
      <c r="BR284" s="38">
        <f>IF(AND(BR$7="○",$A284&gt;=BR$8,$A284&lt;=BR$9),IF(SUM(BR$10:BR283)-ROUNDDOWN($M284*BR$5/100,0)&lt;-BR$6,-BR$6-SUM(BR$10:BR283),-ROUNDDOWN($M284*BR$5/100,0)),0)</f>
        <v>0</v>
      </c>
      <c r="BS284" s="38">
        <f>IF(AND(BS$7="○",$A284&gt;=BS$8,$A284&lt;=BS$9),IF(SUM(BS$10:BS283)-ROUNDDOWN($M284*BS$5/100,0)&lt;-BS$6,-BS$6-SUM(BS$10:BS283),-ROUNDDOWN($M284*BS$5/100,0)),0)</f>
        <v>0</v>
      </c>
      <c r="BT284" s="38">
        <f>IF(AND(BT$7="○",$A284&gt;=BT$8,$A284&lt;=BT$9),IF(SUM(BT$10:BT283)-ROUNDDOWN($M284*BT$5/100,0)&lt;-BT$6,-BT$6-SUM(BT$10:BT283),-ROUNDDOWN($M284*BT$5/100,0)),0)</f>
        <v>0</v>
      </c>
      <c r="BU284" s="38">
        <f>IF(AND(BU$7="○",$A284&gt;=BU$8,$A284&lt;=BU$9),IF(SUM(BU$10:BU283)-ROUNDDOWN($M284*BU$5/100,0)&lt;-BU$6,-BU$6-SUM(BU$10:BU283),-ROUNDDOWN($M284*BU$5/100,0)),0)</f>
        <v>0</v>
      </c>
      <c r="BV284" s="38">
        <f>IF(AND(BV$7="○",$A284&gt;=BV$8,$A284&lt;=BV$9),IF(SUM(BV$10:BV283)-ROUNDDOWN($M284*BV$5/100,0)&lt;-BV$6,-BV$6-SUM(BV$10:BV283),-ROUNDDOWN($M284*BV$5/100,0)),0)</f>
        <v>0</v>
      </c>
      <c r="BW284" s="38">
        <f>IF(AND(BW$7="○",$A284&gt;=BW$8,$A284&lt;=BW$9),IF(SUM(BW$10:BW283)-ROUNDDOWN($M284*BW$5/100,0)&lt;-BW$6,-BW$6-SUM(BW$10:BW283),-ROUNDDOWN($M284*BW$5/100,0)),0)</f>
        <v>0</v>
      </c>
      <c r="BX284" s="38">
        <f>IF(AND(T284="○",$A284&gt;=BX$8,$A284&lt;=BX$9),IF(SUM(BX$10:BX283)-ROUNDDOWN($K284*BX$5/100,0)&lt;-BX$6,-BX$6-SUM(BX$10:BX283),-ROUNDDOWN($K284*BX$5/100,0)),0)</f>
        <v>0</v>
      </c>
      <c r="BY284" s="38">
        <f>IF(AND(U284="○",$A284&gt;=BY$8,$A284&lt;=BY$9),IF(SUM(BY$10:BY283)-ROUNDDOWN($K284*BY$5/100,0)&lt;-BY$6,-BY$6-SUM(BY$10:BY283),-ROUNDDOWN($K284*BY$5/100,0)),0)</f>
        <v>0</v>
      </c>
      <c r="BZ284" s="38">
        <f>IF(AND(V284="○",$A284&gt;=BZ$8,$A284&lt;=BZ$9),IF(SUM(BZ$10:BZ283)-ROUNDDOWN($K284*BZ$5/100,0)&lt;-BZ$6,-BZ$6-SUM(BZ$10:BZ283),-ROUNDDOWN($K284*BZ$5/100,0)),0)</f>
        <v>0</v>
      </c>
      <c r="CA284" s="38">
        <f>IF(AND(W284="○",$A284&gt;=CA$8,$A284&lt;=CA$9),IF(SUM(CA$10:CA283)-ROUNDDOWN($K284*CA$5/100,0)&lt;-CA$6,-CA$6-SUM(CA$10:CA283),-ROUNDDOWN($K284*CA$5/100,0)),0)</f>
        <v>0</v>
      </c>
      <c r="CB284" s="38"/>
      <c r="CC284" s="38"/>
      <c r="CD284" s="38"/>
      <c r="CE284" s="38"/>
      <c r="CF284" s="38"/>
      <c r="CG284" s="65">
        <f t="shared" si="219"/>
        <v>0</v>
      </c>
      <c r="CH284" s="71">
        <f t="shared" si="220"/>
        <v>0</v>
      </c>
      <c r="CI284" s="1">
        <f t="shared" si="206"/>
        <v>0</v>
      </c>
      <c r="CJ284" s="1"/>
      <c r="CK284" s="79"/>
      <c r="CL284" s="79"/>
      <c r="CM284" s="2"/>
      <c r="CN284" s="2"/>
      <c r="CO284" s="73">
        <f t="shared" si="207"/>
        <v>0</v>
      </c>
      <c r="CP284" s="5">
        <f t="shared" si="208"/>
        <v>0</v>
      </c>
      <c r="CQ284" s="1"/>
      <c r="CR284" s="1">
        <f t="shared" si="209"/>
        <v>0</v>
      </c>
      <c r="CS284" s="1"/>
      <c r="CT284" s="1" t="e">
        <f>INDEX([2]マスタ!$A:$A,MATCH(D284,[2]マスタ!$C:$C,0))</f>
        <v>#N/A</v>
      </c>
      <c r="CU284" s="1" t="str">
        <f t="shared" ca="1" si="210"/>
        <v>20260620_0-0</v>
      </c>
    </row>
    <row r="285" spans="1:99" x14ac:dyDescent="0.4">
      <c r="A285" s="61"/>
      <c r="B285" s="62"/>
      <c r="C285" s="62"/>
      <c r="D285" s="62"/>
      <c r="E285" s="63"/>
      <c r="F285" s="62"/>
      <c r="G285" s="62">
        <v>1</v>
      </c>
      <c r="H285" s="64">
        <f t="shared" si="197"/>
        <v>0</v>
      </c>
      <c r="I285" s="64"/>
      <c r="J285" s="64"/>
      <c r="K285" s="65">
        <f t="shared" si="221"/>
        <v>0</v>
      </c>
      <c r="L285" s="65">
        <f t="shared" si="199"/>
        <v>0</v>
      </c>
      <c r="M285" s="65">
        <f t="shared" si="200"/>
        <v>0</v>
      </c>
      <c r="N285" s="65">
        <f t="shared" si="201"/>
        <v>0</v>
      </c>
      <c r="O285" s="66" t="str">
        <f t="shared" si="202"/>
        <v>✕</v>
      </c>
      <c r="P285" s="67" t="str">
        <f t="shared" si="203"/>
        <v>○</v>
      </c>
      <c r="Q285" s="67" t="str">
        <f t="shared" si="222"/>
        <v>✕</v>
      </c>
      <c r="R285" s="67" t="str">
        <f t="shared" si="205"/>
        <v>✕</v>
      </c>
      <c r="S285" s="68">
        <v>0</v>
      </c>
      <c r="T285" s="69" t="s">
        <v>85</v>
      </c>
      <c r="U285" s="69" t="s">
        <v>85</v>
      </c>
      <c r="V285" s="69" t="s">
        <v>85</v>
      </c>
      <c r="W285" s="69" t="s">
        <v>85</v>
      </c>
      <c r="X285" s="69" t="s">
        <v>84</v>
      </c>
      <c r="Y285" s="69" t="s">
        <v>85</v>
      </c>
      <c r="Z285" s="69" t="s">
        <v>85</v>
      </c>
      <c r="AA285" s="69" t="s">
        <v>85</v>
      </c>
      <c r="AB285" s="69" t="s">
        <v>85</v>
      </c>
      <c r="AC285" s="69" t="s">
        <v>85</v>
      </c>
      <c r="AD285" s="38" t="str">
        <f>+IF(ISERROR(VLOOKUP($B285,AD$10:AD284,1,0)),IF(AND($N285&gt;=1000,$A285&gt;=AO$8,$A285&lt;=AO$9),$B285,""),"")</f>
        <v/>
      </c>
      <c r="AE285" s="38" t="str">
        <f>+IF(ISERROR(VLOOKUP($B285,AE$10:AE284,1,0)),IF(AND($N285&gt;=1000,$A285&gt;=AP$8,$A285&lt;=AP$9),$B285,""),"")</f>
        <v/>
      </c>
      <c r="AF285" s="38" t="str">
        <f>+IF(ISERROR(VLOOKUP($B285,AF$10:AF284,1,0)),IF(AND($N285&gt;=1000,$A285&gt;=AQ$8,$A285&lt;=AQ$9),$B285,""),"")</f>
        <v/>
      </c>
      <c r="AG285" s="38" t="str">
        <f>+IF(ISERROR(VLOOKUP($B285,AG$10:AG284,1,0)),IF(AND($N285&gt;=1000,$A285&gt;=AR$8,$A285&lt;=AR$9),$B285,""),"")</f>
        <v/>
      </c>
      <c r="AH285" s="38"/>
      <c r="AI285" s="70">
        <v>0</v>
      </c>
      <c r="AJ285" s="38">
        <f>IF(AND(AJ$7="○",$A285&gt;=AJ$8,$A285&lt;=AJ$9),IF(SUM(AJ$10:AJ284)-ROUNDDOWN($K285*AJ$5/100,0)&lt;-AJ$6,-AJ$6-SUM(AJ$10:AJ284),-ROUNDDOWN($K285*AJ$5/100,0)),0)</f>
        <v>0</v>
      </c>
      <c r="AK285" s="38">
        <f>IF(AND(AK$7="○",$A285&gt;=AK$8,$A285&lt;=AK$9),IF(SUM(AK$10:AK284)-ROUNDDOWN($L285*AK$5/100,0)&lt;-AK$6,-AK$6-SUM(AK$10:AK284),-ROUNDDOWN($L285*AK$5/100,0)),0)</f>
        <v>0</v>
      </c>
      <c r="AL285" s="38">
        <f>IF(AND(AL$7="○",$A285&gt;=AL$8,$A285&lt;=AL$9),IF(SUM(AL$10:AL284)-ROUNDDOWN($N285*AL$5/100,0)&lt;-AL$6,-AL$6-SUM(AL$10:AL284),-ROUNDDOWN($N285*AL$5/100,0)),0)</f>
        <v>0</v>
      </c>
      <c r="AM285" s="38">
        <f>IF(AND(AM$7="○",$A285&gt;=AM$8,$A285&lt;=AM$9),IF(SUM(AM$10:AM284)-ROUNDDOWN($L285*AM$5/100,0)&lt;-AM$6,-AM$6-SUM(AM$10:AM284),-ROUNDDOWN($L285*AM$5/100,0)),0)</f>
        <v>0</v>
      </c>
      <c r="AN285" s="38">
        <f>IF(AND(AN$7="○",$A285&gt;=AN$8,$A285&lt;=AN$9),IF(SUM(AN$10:AN284)-ROUNDDOWN($M285*AN$5/100,0)&lt;-AN$6,-AN$6-SUM(AN$10:AN284),-ROUNDDOWN($M285*AN$5/100,0)),0)</f>
        <v>0</v>
      </c>
      <c r="AO285" s="38">
        <f>IF(AND($A285&gt;=AO$8,$A285&lt;=AO$9),IF(SUM(AO$10:AO284)-ROUNDDOWN($K285*AO$5/100,0)&lt;-AO$6,-AO$6-SUM(AO$10:AO284),-ROUNDDOWN($K285*AO$5/100,0)),0)</f>
        <v>0</v>
      </c>
      <c r="AP285" s="38">
        <f>IF(AND($A285&gt;=AP$8,$A285&lt;=AP$9),IF(SUM(AP$10:AP284)-ROUNDDOWN($K285*AP$5/100,0)&lt;-AP$6,-AP$6-SUM(AP$10:AP284),-ROUNDDOWN($K285*AP$5/100,0)),0)</f>
        <v>0</v>
      </c>
      <c r="AQ285" s="38">
        <f>IF(AND($A285&gt;=AQ$8,$A285&lt;=AQ$9),IF(SUM(AQ$10:AQ284)-ROUNDDOWN($K285*AQ$5/100,0)&lt;-AQ$6,-AQ$6-SUM(AQ$10:AQ284),-ROUNDDOWN($K285*AQ$5/100,0)),0)</f>
        <v>0</v>
      </c>
      <c r="AR285" s="38">
        <f>IF(AND($A285&gt;=AR$8,$A285&lt;=AR$9),IF(SUM(AR$10:AR284)-ROUNDDOWN($K285*AR$5/100,0)&lt;-AR$6,-AR$6-SUM(AR$10:AR284),-ROUNDDOWN($K285*AR$5/100,0)),0)</f>
        <v>0</v>
      </c>
      <c r="AS285" s="38">
        <f>IF(SUMIFS(AS$10:AS284,$A$10:$A284,$A285)-ROUNDDOWN($K285*$S285/100,0)&lt;-$S285*1000,-$S285*1000-SUMIFS(AS$10:AS284,$A$10:$A284,$A285),-ROUNDDOWN($K285*$S285/100,0))</f>
        <v>0</v>
      </c>
      <c r="AT285" s="38">
        <f>IF(AND(X285="○",$A285&gt;=AT$8,$A285&lt;=AT$9,K285&gt;=3980),IF(SUM(AT$10:AT284)-ROUNDDOWN($K285*AT$5/100,0)&lt;-AT$6,-AT$6-SUM(AT$10:AT284),-ROUNDDOWN($K285*AT$5/100,0)),0)</f>
        <v>0</v>
      </c>
      <c r="AU285" s="38">
        <f>IF(O285="○",IF(SUM(AU$10:AU284)-ROUNDDOWN($K285*AU$5/100,0)&lt;-AU$6,-AU$6-SUM(AU$10:AU284),-ROUNDDOWN($K285*AU$5/100,0)),0)</f>
        <v>0</v>
      </c>
      <c r="AV285" s="38">
        <f>IF(P285="○",IF(SUM(AV$10:AV284)-ROUNDDOWN($K285*AV$5/100,0)&lt;-AV$6,-AV$6-SUM(AV$10:AV284),-ROUNDDOWN($K285*AV$5/100,0)),0)</f>
        <v>0</v>
      </c>
      <c r="AW285" s="38">
        <f>IF(Q285="○",IF(SUM(AW$10:AW284)-ROUNDDOWN($K285*AW$5/100,0)&lt;-AW$6,-AW$6-SUM(AW$10:AW284),-ROUNDDOWN($K285*AW$5/100,0)),0)</f>
        <v>0</v>
      </c>
      <c r="AX285" s="38">
        <f>IF(R285="○",IF(SUM(AX$10:AX284)-ROUNDDOWN($K285*AX$5/100,0)&lt;-AX$6,-AX$6-SUM(AX$10:AX284),-ROUNDDOWN($K285*AX$5/100,0)),0)</f>
        <v>0</v>
      </c>
      <c r="AY285" s="70">
        <v>0</v>
      </c>
      <c r="AZ285" s="65">
        <f t="shared" si="213"/>
        <v>0</v>
      </c>
      <c r="BA285" s="65">
        <f t="shared" si="214"/>
        <v>0</v>
      </c>
      <c r="BB285" s="70"/>
      <c r="BC285" s="65">
        <f t="shared" si="215"/>
        <v>0</v>
      </c>
      <c r="BD285" s="70">
        <v>0</v>
      </c>
      <c r="BE285" s="65">
        <f t="shared" si="216"/>
        <v>0</v>
      </c>
      <c r="BF285" s="70">
        <v>0</v>
      </c>
      <c r="BG285" s="65">
        <f t="shared" si="217"/>
        <v>0</v>
      </c>
      <c r="BH285" s="70">
        <v>0</v>
      </c>
      <c r="BI285" s="65">
        <f t="shared" si="218"/>
        <v>0</v>
      </c>
      <c r="BJ285" s="38">
        <f>IF(AND(BJ$7="○",$A285&gt;=BJ$8,$A285&lt;=BJ$9),IF(SUM(BJ$10:BJ284)-ROUNDDOWN($M285*BJ$5/100,0)&lt;-BJ$6,-BJ$6-SUM(BJ$10:BJ284),-ROUNDDOWN($M285*BJ$5/100,0)),0)</f>
        <v>0</v>
      </c>
      <c r="BK285" s="38">
        <f>IF(AND(BK$7="○",$A285&gt;=BK$8,$A285&lt;=BK$9),IF(SUM(BK$10:BK284)-ROUNDDOWN($L285*BK$5/100,0)&lt;-BK$6,-BK$6-SUM(BK$10:BK284),-ROUNDDOWN($L285*BK$5/100,0)),0)</f>
        <v>0</v>
      </c>
      <c r="BL285" s="38">
        <f>IF(AND(BL$7="○",$A285&gt;=BL$8,$A285&lt;=BL$9),IF(SUM(BL$10:BL284)-ROUNDDOWN($L285*BL$5/100,0)&lt;-BL$6,-BL$6-SUM(BL$10:BL284),-ROUNDDOWN($L285*BL$5/100,0)),0)</f>
        <v>0</v>
      </c>
      <c r="BM285" s="38">
        <f>IF(AND(BM$7="○",$A285&gt;=BM$8,$A285&lt;=BM$9),IF(SUM(BM$10:BM284)-ROUNDDOWN($M285*BM$5/100,0)&lt;-BM$6,-BM$6-SUM(BM$10:BM284),-ROUNDDOWN($M285*BM$5/100,0)),0)</f>
        <v>0</v>
      </c>
      <c r="BN285" s="38">
        <f>IF(AND(BN$7="○",$A285&gt;=BN$8,$A285&lt;=BN$9),IF(SUM(BN$10:BN284)-ROUNDDOWN($M285*BN$5/100,0)&lt;-BN$6,-BN$6-SUM(BN$10:BN284),-ROUNDDOWN($M285*BN$5/100,0)),0)</f>
        <v>0</v>
      </c>
      <c r="BO285" s="38">
        <f>IF(AND(BO$7="○",$A285&gt;=BO$8,$A285&lt;=BO$9),IF(SUM(BO$10:BO284)-ROUNDDOWN($M285*BO$5/100,0)&lt;-BO$6,-BO$6-SUM(BO$10:BO284),-ROUNDDOWN($M285*BO$5/100,0)),0)</f>
        <v>0</v>
      </c>
      <c r="BP285" s="38">
        <f>IF(AND(BP$7="○",$A285&gt;=BP$8,$A285&lt;=BP$9),IF(SUM(BP$10:BP284)-ROUNDDOWN($M285*BP$5/100,0)&lt;-BP$6,-BP$6-SUM(BP$10:BP284),-ROUNDDOWN($M285*BP$5/100,0)),0)</f>
        <v>0</v>
      </c>
      <c r="BQ285" s="38">
        <f>IF(AND(BQ$7="○",$A285&gt;=BQ$8,$A285&lt;=BQ$9),IF(SUM(BQ$10:BQ284)-ROUNDDOWN($L285*BQ$5/100,0)&lt;-BQ$6,-BQ$6-SUM(BQ$10:BQ284),-ROUNDDOWN($L285*BQ$5/100,0)),0)</f>
        <v>0</v>
      </c>
      <c r="BR285" s="38">
        <f>IF(AND(BR$7="○",$A285&gt;=BR$8,$A285&lt;=BR$9),IF(SUM(BR$10:BR284)-ROUNDDOWN($M285*BR$5/100,0)&lt;-BR$6,-BR$6-SUM(BR$10:BR284),-ROUNDDOWN($M285*BR$5/100,0)),0)</f>
        <v>0</v>
      </c>
      <c r="BS285" s="38">
        <f>IF(AND(BS$7="○",$A285&gt;=BS$8,$A285&lt;=BS$9),IF(SUM(BS$10:BS284)-ROUNDDOWN($M285*BS$5/100,0)&lt;-BS$6,-BS$6-SUM(BS$10:BS284),-ROUNDDOWN($M285*BS$5/100,0)),0)</f>
        <v>0</v>
      </c>
      <c r="BT285" s="38">
        <f>IF(AND(BT$7="○",$A285&gt;=BT$8,$A285&lt;=BT$9),IF(SUM(BT$10:BT284)-ROUNDDOWN($M285*BT$5/100,0)&lt;-BT$6,-BT$6-SUM(BT$10:BT284),-ROUNDDOWN($M285*BT$5/100,0)),0)</f>
        <v>0</v>
      </c>
      <c r="BU285" s="38">
        <f>IF(AND(BU$7="○",$A285&gt;=BU$8,$A285&lt;=BU$9),IF(SUM(BU$10:BU284)-ROUNDDOWN($M285*BU$5/100,0)&lt;-BU$6,-BU$6-SUM(BU$10:BU284),-ROUNDDOWN($M285*BU$5/100,0)),0)</f>
        <v>0</v>
      </c>
      <c r="BV285" s="38">
        <f>IF(AND(BV$7="○",$A285&gt;=BV$8,$A285&lt;=BV$9),IF(SUM(BV$10:BV284)-ROUNDDOWN($M285*BV$5/100,0)&lt;-BV$6,-BV$6-SUM(BV$10:BV284),-ROUNDDOWN($M285*BV$5/100,0)),0)</f>
        <v>0</v>
      </c>
      <c r="BW285" s="38">
        <f>IF(AND(BW$7="○",$A285&gt;=BW$8,$A285&lt;=BW$9),IF(SUM(BW$10:BW284)-ROUNDDOWN($M285*BW$5/100,0)&lt;-BW$6,-BW$6-SUM(BW$10:BW284),-ROUNDDOWN($M285*BW$5/100,0)),0)</f>
        <v>0</v>
      </c>
      <c r="BX285" s="38">
        <f>IF(AND(T285="○",$A285&gt;=BX$8,$A285&lt;=BX$9),IF(SUM(BX$10:BX284)-ROUNDDOWN($K285*BX$5/100,0)&lt;-BX$6,-BX$6-SUM(BX$10:BX284),-ROUNDDOWN($K285*BX$5/100,0)),0)</f>
        <v>0</v>
      </c>
      <c r="BY285" s="38">
        <f>IF(AND(U285="○",$A285&gt;=BY$8,$A285&lt;=BY$9),IF(SUM(BY$10:BY284)-ROUNDDOWN($K285*BY$5/100,0)&lt;-BY$6,-BY$6-SUM(BY$10:BY284),-ROUNDDOWN($K285*BY$5/100,0)),0)</f>
        <v>0</v>
      </c>
      <c r="BZ285" s="38">
        <f>IF(AND(V285="○",$A285&gt;=BZ$8,$A285&lt;=BZ$9),IF(SUM(BZ$10:BZ284)-ROUNDDOWN($K285*BZ$5/100,0)&lt;-BZ$6,-BZ$6-SUM(BZ$10:BZ284),-ROUNDDOWN($K285*BZ$5/100,0)),0)</f>
        <v>0</v>
      </c>
      <c r="CA285" s="38">
        <f>IF(AND(W285="○",$A285&gt;=CA$8,$A285&lt;=CA$9),IF(SUM(CA$10:CA284)-ROUNDDOWN($K285*CA$5/100,0)&lt;-CA$6,-CA$6-SUM(CA$10:CA284),-ROUNDDOWN($K285*CA$5/100,0)),0)</f>
        <v>0</v>
      </c>
      <c r="CB285" s="38"/>
      <c r="CC285" s="38"/>
      <c r="CD285" s="38"/>
      <c r="CE285" s="38"/>
      <c r="CF285" s="38"/>
      <c r="CG285" s="65">
        <f t="shared" si="219"/>
        <v>0</v>
      </c>
      <c r="CH285" s="71">
        <f t="shared" si="220"/>
        <v>0</v>
      </c>
      <c r="CI285" s="1">
        <f t="shared" si="206"/>
        <v>0</v>
      </c>
      <c r="CJ285" s="1"/>
      <c r="CK285" s="2"/>
      <c r="CL285" s="2"/>
      <c r="CM285" s="2"/>
      <c r="CN285" s="2"/>
      <c r="CO285" s="73">
        <f t="shared" si="207"/>
        <v>0</v>
      </c>
      <c r="CP285" s="5">
        <f t="shared" si="208"/>
        <v>0</v>
      </c>
      <c r="CQ285" s="1"/>
      <c r="CR285" s="1">
        <f t="shared" si="209"/>
        <v>0</v>
      </c>
      <c r="CS285" s="1"/>
      <c r="CT285" s="1" t="e">
        <f>INDEX([2]マスタ!$A:$A,MATCH(D285,[2]マスタ!$C:$C,0))</f>
        <v>#N/A</v>
      </c>
      <c r="CU285" s="1" t="str">
        <f t="shared" ca="1" si="210"/>
        <v>20260620_0-0</v>
      </c>
    </row>
    <row r="286" spans="1:99" x14ac:dyDescent="0.4">
      <c r="A286" s="61"/>
      <c r="B286" s="62"/>
      <c r="C286" s="62"/>
      <c r="D286" s="62"/>
      <c r="E286" s="74"/>
      <c r="F286" s="62"/>
      <c r="G286" s="62">
        <v>1</v>
      </c>
      <c r="H286" s="64">
        <f t="shared" si="4"/>
        <v>0</v>
      </c>
      <c r="I286" s="64"/>
      <c r="J286" s="64"/>
      <c r="K286" s="65">
        <f t="shared" ref="K286:K297" si="223">+ROUNDDOWN((H286+I286)/100,0)*100</f>
        <v>0</v>
      </c>
      <c r="L286" s="65">
        <f t="shared" si="6"/>
        <v>0</v>
      </c>
      <c r="M286" s="65">
        <f t="shared" si="7"/>
        <v>0</v>
      </c>
      <c r="N286" s="65">
        <f t="shared" si="8"/>
        <v>0</v>
      </c>
      <c r="O286" s="66" t="str">
        <f t="shared" ref="O286:O315" si="224">IF(OR(WEEKDAY($A286,2)=2,WEEKDAY($A286,2)=4),"○","✕")</f>
        <v>✕</v>
      </c>
      <c r="P286" s="67" t="str">
        <f t="shared" ref="P286:P315" si="225">+IF(MOD(TEXT($A286,"DD"),5)=0,"○","✕")</f>
        <v>○</v>
      </c>
      <c r="Q286" s="67" t="str">
        <f t="shared" ref="Q286:Q297" si="226">+IF((TEXT($A286,"DD")+0)=1,"○","✕")</f>
        <v>✕</v>
      </c>
      <c r="R286" s="67" t="str">
        <f t="shared" ref="R286:R315" si="227">+IF((TEXT($A286,"DD")+0)=18,"○","✕")</f>
        <v>✕</v>
      </c>
      <c r="S286" s="68">
        <v>0</v>
      </c>
      <c r="T286" s="69" t="s">
        <v>85</v>
      </c>
      <c r="U286" s="69" t="s">
        <v>85</v>
      </c>
      <c r="V286" s="69" t="s">
        <v>85</v>
      </c>
      <c r="W286" s="69" t="s">
        <v>85</v>
      </c>
      <c r="X286" s="69" t="s">
        <v>84</v>
      </c>
      <c r="Y286" s="69" t="s">
        <v>85</v>
      </c>
      <c r="Z286" s="69" t="s">
        <v>85</v>
      </c>
      <c r="AA286" s="69" t="s">
        <v>85</v>
      </c>
      <c r="AB286" s="69" t="s">
        <v>85</v>
      </c>
      <c r="AC286" s="69" t="s">
        <v>85</v>
      </c>
      <c r="AD286" s="38" t="str">
        <f>+IF(ISERROR(VLOOKUP($B286,#REF!,1,0)),IF(AND($N286&gt;=1000,$A286&gt;=AO$8,$A286&lt;=AO$9),$B286,""),"")</f>
        <v/>
      </c>
      <c r="AE286" s="38" t="str">
        <f>+IF(ISERROR(VLOOKUP($B286,#REF!,1,0)),IF(AND($N286&gt;=1000,$A286&gt;=AP$8,$A286&lt;=AP$9),$B286,""),"")</f>
        <v/>
      </c>
      <c r="AF286" s="38" t="str">
        <f>+IF(ISERROR(VLOOKUP($B286,#REF!,1,0)),IF(AND($N286&gt;=1000,$A286&gt;=AQ$8,$A286&lt;=AQ$9),$B286,""),"")</f>
        <v/>
      </c>
      <c r="AG286" s="38" t="str">
        <f>+IF(ISERROR(VLOOKUP($B286,#REF!,1,0)),IF(AND($N286&gt;=1000,$A286&gt;=AR$8,$A286&lt;=AR$9),$B286,""),"")</f>
        <v/>
      </c>
      <c r="AH286" s="38"/>
      <c r="AI286" s="70">
        <v>0</v>
      </c>
      <c r="AJ286" s="38">
        <f>IF(AND(AJ$7="○",$A286&gt;=AJ$8,$A286&lt;=AJ$9),IF(SUM(AJ$10:AJ285)-ROUNDDOWN($K286*AJ$5/100,0)&lt;-AJ$6,-AJ$6-SUM(AJ$10:AJ285),-ROUNDDOWN($K286*AJ$5/100,0)),0)</f>
        <v>0</v>
      </c>
      <c r="AK286" s="38">
        <f>IF(AND(AK$7="○",$A286&gt;=AK$8,$A286&lt;=AK$9),IF(SUM(AK$10:AK285)-ROUNDDOWN($L286*AK$5/100,0)&lt;-AK$6,-AK$6-SUM(AK$10:AK285),-ROUNDDOWN($L286*AK$5/100,0)),0)</f>
        <v>0</v>
      </c>
      <c r="AL286" s="38">
        <f>IF(AND(AL$7="○",$A286&gt;=AL$8,$A286&lt;=AL$9),IF(SUM(AL$10:AL285)-ROUNDDOWN($N286*AL$5/100,0)&lt;-AL$6,-AL$6-SUM(AL$10:AL285),-ROUNDDOWN($N286*AL$5/100,0)),0)</f>
        <v>0</v>
      </c>
      <c r="AM286" s="38">
        <f>IF(AND(AM$7="○",$A286&gt;=AM$8,$A286&lt;=AM$9),IF(SUM(AM$10:AM285)-ROUNDDOWN($L286*AM$5/100,0)&lt;-AM$6,-AM$6-SUM(AM$10:AM285),-ROUNDDOWN($L286*AM$5/100,0)),0)</f>
        <v>0</v>
      </c>
      <c r="AN286" s="38">
        <f>IF(AND(AN$7="○",$A286&gt;=AN$8,$A286&lt;=AN$9),IF(SUM(AN$10:AN285)-ROUNDDOWN($M286*AN$5/100,0)&lt;-AN$6,-AN$6-SUM(AN$10:AN285),-ROUNDDOWN($M286*AN$5/100,0)),0)</f>
        <v>0</v>
      </c>
      <c r="AO286" s="38">
        <f>IF(AND($A286&gt;=AO$8,$A286&lt;=AO$9),IF(SUM(AO$10:AO285)-ROUNDDOWN($K286*AO$5/100,0)&lt;-AO$6,-AO$6-SUM(AO$10:AO285),-ROUNDDOWN($K286*AO$5/100,0)),0)</f>
        <v>0</v>
      </c>
      <c r="AP286" s="38">
        <f>IF(AND($A286&gt;=AP$8,$A286&lt;=AP$9),IF(SUM(AP$10:AP285)-ROUNDDOWN($K286*AP$5/100,0)&lt;-AP$6,-AP$6-SUM(AP$10:AP285),-ROUNDDOWN($K286*AP$5/100,0)),0)</f>
        <v>0</v>
      </c>
      <c r="AQ286" s="38">
        <f>IF(AND($A286&gt;=AQ$8,$A286&lt;=AQ$9),IF(SUM(AQ$10:AQ285)-ROUNDDOWN($K286*AQ$5/100,0)&lt;-AQ$6,-AQ$6-SUM(AQ$10:AQ285),-ROUNDDOWN($K286*AQ$5/100,0)),0)</f>
        <v>0</v>
      </c>
      <c r="AR286" s="38">
        <f>IF(AND($A286&gt;=AR$8,$A286&lt;=AR$9),IF(SUM(AR$10:AR285)-ROUNDDOWN($K286*AR$5/100,0)&lt;-AR$6,-AR$6-SUM(AR$10:AR285),-ROUNDDOWN($K286*AR$5/100,0)),0)</f>
        <v>0</v>
      </c>
      <c r="AS286" s="38">
        <f>IF(SUMIFS(AS$10:AS285,$A$10:$A285,$A286)-ROUNDDOWN($K286*$S286/100,0)&lt;-$S286*1000,-$S286*1000-SUMIFS(AS$10:AS285,$A$10:$A285,$A286),-ROUNDDOWN($K286*$S286/100,0))</f>
        <v>0</v>
      </c>
      <c r="AT286" s="38">
        <f>IF(AND(X286="○",$A286&gt;=AT$8,$A286&lt;=AT$9,K286&gt;=3980),IF(SUM(AT$10:AT285)-ROUNDDOWN($K286*AT$5/100,0)&lt;-AT$6,-AT$6-SUM(AT$10:AT285),-ROUNDDOWN($K286*AT$5/100,0)),0)</f>
        <v>0</v>
      </c>
      <c r="AU286" s="38">
        <f>IF(O286="○",IF(SUM(AU$10:AU285)-ROUNDDOWN($K286*AU$5/100,0)&lt;-AU$6,-AU$6-SUM(AU$10:AU285),-ROUNDDOWN($K286*AU$5/100,0)),0)</f>
        <v>0</v>
      </c>
      <c r="AV286" s="38">
        <f>IF(P286="○",IF(SUM(AV$10:AV285)-ROUNDDOWN($K286*AV$5/100,0)&lt;-AV$6,-AV$6-SUM(AV$10:AV285),-ROUNDDOWN($K286*AV$5/100,0)),0)</f>
        <v>0</v>
      </c>
      <c r="AW286" s="38">
        <f>IF(Q286="○",IF(SUM(AW$10:AW285)-ROUNDDOWN($K286*AW$5/100,0)&lt;-AW$6,-AW$6-SUM(AW$10:AW285),-ROUNDDOWN($K286*AW$5/100,0)),0)</f>
        <v>0</v>
      </c>
      <c r="AX286" s="38">
        <f>IF(R286="○",IF(SUM(AX$10:AX285)-ROUNDDOWN($K286*AX$5/100,0)&lt;-AX$6,-AX$6-SUM(AX$10:AX285),-ROUNDDOWN($K286*AX$5/100,0)),0)</f>
        <v>0</v>
      </c>
      <c r="AY286" s="70">
        <v>0</v>
      </c>
      <c r="AZ286" s="65">
        <f t="shared" si="213"/>
        <v>0</v>
      </c>
      <c r="BA286" s="65">
        <f t="shared" si="214"/>
        <v>0</v>
      </c>
      <c r="BB286" s="70"/>
      <c r="BC286" s="65">
        <f t="shared" si="215"/>
        <v>0</v>
      </c>
      <c r="BD286" s="70">
        <v>0</v>
      </c>
      <c r="BE286" s="65">
        <f t="shared" si="216"/>
        <v>0</v>
      </c>
      <c r="BF286" s="70">
        <v>0</v>
      </c>
      <c r="BG286" s="65">
        <f t="shared" si="217"/>
        <v>0</v>
      </c>
      <c r="BH286" s="70">
        <v>0</v>
      </c>
      <c r="BI286" s="65">
        <f t="shared" si="218"/>
        <v>0</v>
      </c>
      <c r="BJ286" s="38">
        <f>IF(AND(BJ$7="○",$A286&gt;=BJ$8,$A286&lt;=BJ$9),IF(SUM(BJ$10:BJ285)-ROUNDDOWN($M286*BJ$5/100,0)&lt;-BJ$6,-BJ$6-SUM(BJ$10:BJ285),-ROUNDDOWN($M286*BJ$5/100,0)),0)</f>
        <v>0</v>
      </c>
      <c r="BK286" s="38">
        <f>IF(AND(BK$7="○",$A286&gt;=BK$8,$A286&lt;=BK$9),IF(SUM(BK$10:BK285)-ROUNDDOWN($L286*BK$5/100,0)&lt;-BK$6,-BK$6-SUM(BK$10:BK285),-ROUNDDOWN($L286*BK$5/100,0)),0)</f>
        <v>0</v>
      </c>
      <c r="BL286" s="38">
        <f>IF(AND(BL$7="○",$A286&gt;=BL$8,$A286&lt;=BL$9),IF(SUM(BL$10:BL285)-ROUNDDOWN($L286*BL$5/100,0)&lt;-BL$6,-BL$6-SUM(BL$10:BL285),-ROUNDDOWN($L286*BL$5/100,0)),0)</f>
        <v>0</v>
      </c>
      <c r="BM286" s="38">
        <f>IF(AND(BM$7="○",$A286&gt;=BM$8,$A286&lt;=BM$9),IF(SUM(BM$10:BM285)-ROUNDDOWN($M286*BM$5/100,0)&lt;-BM$6,-BM$6-SUM(BM$10:BM285),-ROUNDDOWN($M286*BM$5/100,0)),0)</f>
        <v>0</v>
      </c>
      <c r="BN286" s="38">
        <f>IF(AND(BN$7="○",$A286&gt;=BN$8,$A286&lt;=BN$9),IF(SUM(BN$10:BN285)-ROUNDDOWN($M286*BN$5/100,0)&lt;-BN$6,-BN$6-SUM(BN$10:BN285),-ROUNDDOWN($M286*BN$5/100,0)),0)</f>
        <v>0</v>
      </c>
      <c r="BO286" s="38">
        <f>IF(AND(BO$7="○",$A286&gt;=BO$8,$A286&lt;=BO$9),IF(SUM(BO$10:BO285)-ROUNDDOWN($M286*BO$5/100,0)&lt;-BO$6,-BO$6-SUM(BO$10:BO285),-ROUNDDOWN($M286*BO$5/100,0)),0)</f>
        <v>0</v>
      </c>
      <c r="BP286" s="38">
        <f>IF(AND(BP$7="○",$A286&gt;=BP$8,$A286&lt;=BP$9),IF(SUM(BP$10:BP285)-ROUNDDOWN($M286*BP$5/100,0)&lt;-BP$6,-BP$6-SUM(BP$10:BP285),-ROUNDDOWN($M286*BP$5/100,0)),0)</f>
        <v>0</v>
      </c>
      <c r="BQ286" s="38">
        <f>IF(AND(BQ$7="○",$A286&gt;=BQ$8,$A286&lt;=BQ$9),IF(SUM(BQ$10:BQ285)-ROUNDDOWN($L286*BQ$5/100,0)&lt;-BQ$6,-BQ$6-SUM(BQ$10:BQ285),-ROUNDDOWN($L286*BQ$5/100,0)),0)</f>
        <v>0</v>
      </c>
      <c r="BR286" s="38">
        <f>IF(AND(BR$7="○",$A286&gt;=BR$8,$A286&lt;=BR$9),IF(SUM(BR$10:BR285)-ROUNDDOWN($M286*BR$5/100,0)&lt;-BR$6,-BR$6-SUM(BR$10:BR285),-ROUNDDOWN($M286*BR$5/100,0)),0)</f>
        <v>0</v>
      </c>
      <c r="BS286" s="38">
        <f>IF(AND(BS$7="○",$A286&gt;=BS$8,$A286&lt;=BS$9),IF(SUM(BS$10:BS285)-ROUNDDOWN($M286*BS$5/100,0)&lt;-BS$6,-BS$6-SUM(BS$10:BS285),-ROUNDDOWN($M286*BS$5/100,0)),0)</f>
        <v>0</v>
      </c>
      <c r="BT286" s="38">
        <f>IF(AND(BT$7="○",$A286&gt;=BT$8,$A286&lt;=BT$9),IF(SUM(BT$10:BT285)-ROUNDDOWN($M286*BT$5/100,0)&lt;-BT$6,-BT$6-SUM(BT$10:BT285),-ROUNDDOWN($M286*BT$5/100,0)),0)</f>
        <v>0</v>
      </c>
      <c r="BU286" s="38">
        <f>IF(AND(BU$7="○",$A286&gt;=BU$8,$A286&lt;=BU$9),IF(SUM(BU$10:BU285)-ROUNDDOWN($M286*BU$5/100,0)&lt;-BU$6,-BU$6-SUM(BU$10:BU285),-ROUNDDOWN($M286*BU$5/100,0)),0)</f>
        <v>0</v>
      </c>
      <c r="BV286" s="38">
        <f>IF(AND(BV$7="○",$A286&gt;=BV$8,$A286&lt;=BV$9),IF(SUM(BV$10:BV285)-ROUNDDOWN($M286*BV$5/100,0)&lt;-BV$6,-BV$6-SUM(BV$10:BV285),-ROUNDDOWN($M286*BV$5/100,0)),0)</f>
        <v>0</v>
      </c>
      <c r="BW286" s="38">
        <f>IF(AND(BW$7="○",$A286&gt;=BW$8,$A286&lt;=BW$9),IF(SUM(BW$10:BW285)-ROUNDDOWN($M286*BW$5/100,0)&lt;-BW$6,-BW$6-SUM(BW$10:BW285),-ROUNDDOWN($M286*BW$5/100,0)),0)</f>
        <v>0</v>
      </c>
      <c r="BX286" s="38">
        <f>IF(AND(T286="○",$A286&gt;=BX$8,$A286&lt;=BX$9),IF(SUM(BX$10:BX285)-ROUNDDOWN($K286*BX$5/100,0)&lt;-BX$6,-BX$6-SUM(BX$10:BX285),-ROUNDDOWN($K286*BX$5/100,0)),0)</f>
        <v>0</v>
      </c>
      <c r="BY286" s="38">
        <f>IF(AND(U286="○",$A286&gt;=BY$8,$A286&lt;=BY$9),IF(SUM(BY$10:BY285)-ROUNDDOWN($K286*BY$5/100,0)&lt;-BY$6,-BY$6-SUM(BY$10:BY285),-ROUNDDOWN($K286*BY$5/100,0)),0)</f>
        <v>0</v>
      </c>
      <c r="BZ286" s="38">
        <f>IF(AND(V286="○",$A286&gt;=BZ$8,$A286&lt;=BZ$9),IF(SUM(BZ$10:BZ285)-ROUNDDOWN($K286*BZ$5/100,0)&lt;-BZ$6,-BZ$6-SUM(BZ$10:BZ285),-ROUNDDOWN($K286*BZ$5/100,0)),0)</f>
        <v>0</v>
      </c>
      <c r="CA286" s="38">
        <f>IF(AND(W286="○",$A286&gt;=CA$8,$A286&lt;=CA$9),IF(SUM(CA$10:CA285)-ROUNDDOWN($K286*CA$5/100,0)&lt;-CA$6,-CA$6-SUM(CA$10:CA285),-ROUNDDOWN($K286*CA$5/100,0)),0)</f>
        <v>0</v>
      </c>
      <c r="CB286" s="38"/>
      <c r="CC286" s="38"/>
      <c r="CD286" s="38"/>
      <c r="CE286" s="38"/>
      <c r="CF286" s="38"/>
      <c r="CG286" s="65">
        <f t="shared" si="219"/>
        <v>0</v>
      </c>
      <c r="CH286" s="71">
        <f t="shared" si="220"/>
        <v>0</v>
      </c>
      <c r="CI286" s="1">
        <f t="shared" si="19"/>
        <v>0</v>
      </c>
      <c r="CJ286" s="1"/>
      <c r="CK286" s="72"/>
      <c r="CL286" s="72"/>
      <c r="CM286" s="2"/>
      <c r="CN286" s="2"/>
      <c r="CO286" s="73">
        <f t="shared" si="20"/>
        <v>0</v>
      </c>
      <c r="CP286" s="5">
        <f t="shared" si="21"/>
        <v>0</v>
      </c>
      <c r="CQ286" s="1"/>
      <c r="CR286" s="1">
        <f t="shared" si="22"/>
        <v>0</v>
      </c>
      <c r="CS286" s="1"/>
      <c r="CT286" s="1" t="e">
        <f>INDEX([2]マスタ!$A:$A,MATCH(D286,[2]マスタ!$C:$C,0))</f>
        <v>#N/A</v>
      </c>
      <c r="CU286" s="1" t="str">
        <f t="shared" ca="1" si="23"/>
        <v>20260620_0-0</v>
      </c>
    </row>
    <row r="287" spans="1:99" x14ac:dyDescent="0.4">
      <c r="A287" s="61"/>
      <c r="B287" s="62"/>
      <c r="C287" s="62"/>
      <c r="D287" s="62"/>
      <c r="E287" s="76"/>
      <c r="F287" s="62"/>
      <c r="G287" s="62">
        <v>1</v>
      </c>
      <c r="H287" s="64">
        <f t="shared" si="4"/>
        <v>0</v>
      </c>
      <c r="I287" s="64"/>
      <c r="J287" s="64"/>
      <c r="K287" s="65">
        <f t="shared" si="223"/>
        <v>0</v>
      </c>
      <c r="L287" s="65">
        <f t="shared" si="6"/>
        <v>0</v>
      </c>
      <c r="M287" s="65">
        <f t="shared" si="7"/>
        <v>0</v>
      </c>
      <c r="N287" s="65">
        <f t="shared" si="8"/>
        <v>0</v>
      </c>
      <c r="O287" s="66" t="str">
        <f t="shared" si="224"/>
        <v>✕</v>
      </c>
      <c r="P287" s="67" t="str">
        <f t="shared" si="225"/>
        <v>○</v>
      </c>
      <c r="Q287" s="67" t="str">
        <f t="shared" si="226"/>
        <v>✕</v>
      </c>
      <c r="R287" s="67" t="str">
        <f t="shared" si="227"/>
        <v>✕</v>
      </c>
      <c r="S287" s="68">
        <v>0</v>
      </c>
      <c r="T287" s="69" t="s">
        <v>85</v>
      </c>
      <c r="U287" s="69" t="s">
        <v>85</v>
      </c>
      <c r="V287" s="69" t="s">
        <v>85</v>
      </c>
      <c r="W287" s="69" t="s">
        <v>85</v>
      </c>
      <c r="X287" s="69" t="s">
        <v>84</v>
      </c>
      <c r="Y287" s="69" t="s">
        <v>85</v>
      </c>
      <c r="Z287" s="69" t="s">
        <v>85</v>
      </c>
      <c r="AA287" s="69" t="s">
        <v>85</v>
      </c>
      <c r="AB287" s="69" t="s">
        <v>85</v>
      </c>
      <c r="AC287" s="69" t="s">
        <v>85</v>
      </c>
      <c r="AD287" s="38" t="str">
        <f>+IF(ISERROR(VLOOKUP($B287,AD$10:AD286,1,0)),IF(AND($N287&gt;=1000,$A287&gt;=AO$8,$A287&lt;=AO$9),$B287,""),"")</f>
        <v/>
      </c>
      <c r="AE287" s="38" t="str">
        <f>+IF(ISERROR(VLOOKUP($B287,AE$10:AE286,1,0)),IF(AND($N287&gt;=1000,$A287&gt;=AP$8,$A287&lt;=AP$9),$B287,""),"")</f>
        <v/>
      </c>
      <c r="AF287" s="38" t="str">
        <f>+IF(ISERROR(VLOOKUP($B287,AF$10:AF286,1,0)),IF(AND($N287&gt;=1000,$A287&gt;=AQ$8,$A287&lt;=AQ$9),$B287,""),"")</f>
        <v/>
      </c>
      <c r="AG287" s="38" t="str">
        <f>+IF(ISERROR(VLOOKUP($B287,AG$10:AG286,1,0)),IF(AND($N287&gt;=1000,$A287&gt;=AR$8,$A287&lt;=AR$9),$B287,""),"")</f>
        <v/>
      </c>
      <c r="AH287" s="38"/>
      <c r="AI287" s="70">
        <v>0</v>
      </c>
      <c r="AJ287" s="38">
        <f>IF(AND(AJ$7="○",$A287&gt;=AJ$8,$A287&lt;=AJ$9),IF(SUM(AJ$10:AJ286)-ROUNDDOWN($K287*AJ$5/100,0)&lt;-AJ$6,-AJ$6-SUM(AJ$10:AJ286),-ROUNDDOWN($K287*AJ$5/100,0)),0)</f>
        <v>0</v>
      </c>
      <c r="AK287" s="38">
        <f>IF(AND(AK$7="○",$A287&gt;=AK$8,$A287&lt;=AK$9),IF(SUM(AK$10:AK286)-ROUNDDOWN($L287*AK$5/100,0)&lt;-AK$6,-AK$6-SUM(AK$10:AK286),-ROUNDDOWN($L287*AK$5/100,0)),0)</f>
        <v>0</v>
      </c>
      <c r="AL287" s="38">
        <f>IF(AND(AL$7="○",$A287&gt;=AL$8,$A287&lt;=AL$9),IF(SUM(AL$10:AL286)-ROUNDDOWN($N287*AL$5/100,0)&lt;-AL$6,-AL$6-SUM(AL$10:AL286),-ROUNDDOWN($N287*AL$5/100,0)),0)</f>
        <v>0</v>
      </c>
      <c r="AM287" s="38">
        <f>IF(AND(AM$7="○",$A287&gt;=AM$8,$A287&lt;=AM$9),IF(SUM(AM$10:AM286)-ROUNDDOWN($L287*AM$5/100,0)&lt;-AM$6,-AM$6-SUM(AM$10:AM286),-ROUNDDOWN($L287*AM$5/100,0)),0)</f>
        <v>0</v>
      </c>
      <c r="AN287" s="38">
        <f>IF(AND(AN$7="○",$A287&gt;=AN$8,$A287&lt;=AN$9),IF(SUM(AN$10:AN286)-ROUNDDOWN($M287*AN$5/100,0)&lt;-AN$6,-AN$6-SUM(AN$10:AN286),-ROUNDDOWN($M287*AN$5/100,0)),0)</f>
        <v>0</v>
      </c>
      <c r="AO287" s="38">
        <f>IF(AND($A287&gt;=AO$8,$A287&lt;=AO$9),IF(SUM(AO$10:AO286)-ROUNDDOWN($K287*AO$5/100,0)&lt;-AO$6,-AO$6-SUM(AO$10:AO286),-ROUNDDOWN($K287*AO$5/100,0)),0)</f>
        <v>0</v>
      </c>
      <c r="AP287" s="38">
        <f>IF(AND($A287&gt;=AP$8,$A287&lt;=AP$9),IF(SUM(AP$10:AP286)-ROUNDDOWN($K287*AP$5/100,0)&lt;-AP$6,-AP$6-SUM(AP$10:AP286),-ROUNDDOWN($K287*AP$5/100,0)),0)</f>
        <v>0</v>
      </c>
      <c r="AQ287" s="38">
        <f>IF(AND($A287&gt;=AQ$8,$A287&lt;=AQ$9),IF(SUM(AQ$10:AQ286)-ROUNDDOWN($K287*AQ$5/100,0)&lt;-AQ$6,-AQ$6-SUM(AQ$10:AQ286),-ROUNDDOWN($K287*AQ$5/100,0)),0)</f>
        <v>0</v>
      </c>
      <c r="AR287" s="38">
        <f>IF(AND($A287&gt;=AR$8,$A287&lt;=AR$9),IF(SUM(AR$10:AR286)-ROUNDDOWN($K287*AR$5/100,0)&lt;-AR$6,-AR$6-SUM(AR$10:AR286),-ROUNDDOWN($K287*AR$5/100,0)),0)</f>
        <v>0</v>
      </c>
      <c r="AS287" s="38">
        <f>IF(SUMIFS(AS$10:AS286,$A$10:$A286,$A287)-ROUNDDOWN($K287*$S287/100,0)&lt;-$S287*1000,-$S287*1000-SUMIFS(AS$10:AS286,$A$10:$A286,$A287),-ROUNDDOWN($K287*$S287/100,0))</f>
        <v>0</v>
      </c>
      <c r="AT287" s="38">
        <f>IF(AND(X287="○",$A287&gt;=AT$8,$A287&lt;=AT$9,K287&gt;=3980),IF(SUM(AT$10:AT286)-ROUNDDOWN($K287*AT$5/100,0)&lt;-AT$6,-AT$6-SUM(AT$10:AT286),-ROUNDDOWN($K287*AT$5/100,0)),0)</f>
        <v>0</v>
      </c>
      <c r="AU287" s="38">
        <f>IF(O287="○",IF(SUM(AU$10:AU286)-ROUNDDOWN($K287*AU$5/100,0)&lt;-AU$6,-AU$6-SUM(AU$10:AU286),-ROUNDDOWN($K287*AU$5/100,0)),0)</f>
        <v>0</v>
      </c>
      <c r="AV287" s="38">
        <f>IF(P287="○",IF(SUM(AV$10:AV286)-ROUNDDOWN($K287*AV$5/100,0)&lt;-AV$6,-AV$6-SUM(AV$10:AV286),-ROUNDDOWN($K287*AV$5/100,0)),0)</f>
        <v>0</v>
      </c>
      <c r="AW287" s="38">
        <f>IF(Q287="○",IF(SUM(AW$10:AW286)-ROUNDDOWN($K287*AW$5/100,0)&lt;-AW$6,-AW$6-SUM(AW$10:AW286),-ROUNDDOWN($K287*AW$5/100,0)),0)</f>
        <v>0</v>
      </c>
      <c r="AX287" s="38">
        <f>IF(R287="○",IF(SUM(AX$10:AX286)-ROUNDDOWN($K287*AX$5/100,0)&lt;-AX$6,-AX$6-SUM(AX$10:AX286),-ROUNDDOWN($K287*AX$5/100,0)),0)</f>
        <v>0</v>
      </c>
      <c r="AY287" s="70">
        <v>0</v>
      </c>
      <c r="AZ287" s="65">
        <f t="shared" si="213"/>
        <v>0</v>
      </c>
      <c r="BA287" s="65">
        <f t="shared" si="214"/>
        <v>0</v>
      </c>
      <c r="BB287" s="70"/>
      <c r="BC287" s="65">
        <f t="shared" si="215"/>
        <v>0</v>
      </c>
      <c r="BD287" s="70">
        <v>0</v>
      </c>
      <c r="BE287" s="65">
        <f t="shared" si="216"/>
        <v>0</v>
      </c>
      <c r="BF287" s="70">
        <v>0</v>
      </c>
      <c r="BG287" s="65">
        <f t="shared" si="217"/>
        <v>0</v>
      </c>
      <c r="BH287" s="70">
        <v>0</v>
      </c>
      <c r="BI287" s="65">
        <f t="shared" si="218"/>
        <v>0</v>
      </c>
      <c r="BJ287" s="38">
        <f>IF(AND(BJ$7="○",$A287&gt;=BJ$8,$A287&lt;=BJ$9),IF(SUM(BJ$10:BJ286)-ROUNDDOWN($M287*BJ$5/100,0)&lt;-BJ$6,-BJ$6-SUM(BJ$10:BJ286),-ROUNDDOWN($M287*BJ$5/100,0)),0)</f>
        <v>0</v>
      </c>
      <c r="BK287" s="38">
        <f>IF(AND(BK$7="○",$A287&gt;=BK$8,$A287&lt;=BK$9),IF(SUM(BK$10:BK286)-ROUNDDOWN($L287*BK$5/100,0)&lt;-BK$6,-BK$6-SUM(BK$10:BK286),-ROUNDDOWN($L287*BK$5/100,0)),0)</f>
        <v>0</v>
      </c>
      <c r="BL287" s="38">
        <f>IF(AND(BL$7="○",$A287&gt;=BL$8,$A287&lt;=BL$9),IF(SUM(BL$10:BL286)-ROUNDDOWN($L287*BL$5/100,0)&lt;-BL$6,-BL$6-SUM(BL$10:BL286),-ROUNDDOWN($L287*BL$5/100,0)),0)</f>
        <v>0</v>
      </c>
      <c r="BM287" s="38">
        <f>IF(AND(BM$7="○",$A287&gt;=BM$8,$A287&lt;=BM$9),IF(SUM(BM$10:BM286)-ROUNDDOWN($M287*BM$5/100,0)&lt;-BM$6,-BM$6-SUM(BM$10:BM286),-ROUNDDOWN($M287*BM$5/100,0)),0)</f>
        <v>0</v>
      </c>
      <c r="BN287" s="38">
        <f>IF(AND(BN$7="○",$A287&gt;=BN$8,$A287&lt;=BN$9),IF(SUM(BN$10:BN286)-ROUNDDOWN($M287*BN$5/100,0)&lt;-BN$6,-BN$6-SUM(BN$10:BN286),-ROUNDDOWN($M287*BN$5/100,0)),0)</f>
        <v>0</v>
      </c>
      <c r="BO287" s="38">
        <f>IF(AND(BO$7="○",$A287&gt;=BO$8,$A287&lt;=BO$9),IF(SUM(BO$10:BO286)-ROUNDDOWN($M287*BO$5/100,0)&lt;-BO$6,-BO$6-SUM(BO$10:BO286),-ROUNDDOWN($M287*BO$5/100,0)),0)</f>
        <v>0</v>
      </c>
      <c r="BP287" s="38">
        <f>IF(AND(BP$7="○",$A287&gt;=BP$8,$A287&lt;=BP$9),IF(SUM(BP$10:BP286)-ROUNDDOWN($M287*BP$5/100,0)&lt;-BP$6,-BP$6-SUM(BP$10:BP286),-ROUNDDOWN($M287*BP$5/100,0)),0)</f>
        <v>0</v>
      </c>
      <c r="BQ287" s="38">
        <f>IF(AND(BQ$7="○",$A287&gt;=BQ$8,$A287&lt;=BQ$9),IF(SUM(BQ$10:BQ286)-ROUNDDOWN($L287*BQ$5/100,0)&lt;-BQ$6,-BQ$6-SUM(BQ$10:BQ286),-ROUNDDOWN($L287*BQ$5/100,0)),0)</f>
        <v>0</v>
      </c>
      <c r="BR287" s="38">
        <f>IF(AND(BR$7="○",$A287&gt;=BR$8,$A287&lt;=BR$9),IF(SUM(BR$10:BR286)-ROUNDDOWN($M287*BR$5/100,0)&lt;-BR$6,-BR$6-SUM(BR$10:BR286),-ROUNDDOWN($M287*BR$5/100,0)),0)</f>
        <v>0</v>
      </c>
      <c r="BS287" s="38">
        <f>IF(AND(BS$7="○",$A287&gt;=BS$8,$A287&lt;=BS$9),IF(SUM(BS$10:BS286)-ROUNDDOWN($M287*BS$5/100,0)&lt;-BS$6,-BS$6-SUM(BS$10:BS286),-ROUNDDOWN($M287*BS$5/100,0)),0)</f>
        <v>0</v>
      </c>
      <c r="BT287" s="38">
        <f>IF(AND(BT$7="○",$A287&gt;=BT$8,$A287&lt;=BT$9),IF(SUM(BT$10:BT286)-ROUNDDOWN($M287*BT$5/100,0)&lt;-BT$6,-BT$6-SUM(BT$10:BT286),-ROUNDDOWN($M287*BT$5/100,0)),0)</f>
        <v>0</v>
      </c>
      <c r="BU287" s="38">
        <f>IF(AND(BU$7="○",$A287&gt;=BU$8,$A287&lt;=BU$9),IF(SUM(BU$10:BU286)-ROUNDDOWN($M287*BU$5/100,0)&lt;-BU$6,-BU$6-SUM(BU$10:BU286),-ROUNDDOWN($M287*BU$5/100,0)),0)</f>
        <v>0</v>
      </c>
      <c r="BV287" s="38">
        <f>IF(AND(BV$7="○",$A287&gt;=BV$8,$A287&lt;=BV$9),IF(SUM(BV$10:BV286)-ROUNDDOWN($M287*BV$5/100,0)&lt;-BV$6,-BV$6-SUM(BV$10:BV286),-ROUNDDOWN($M287*BV$5/100,0)),0)</f>
        <v>0</v>
      </c>
      <c r="BW287" s="38">
        <f>IF(AND(BW$7="○",$A287&gt;=BW$8,$A287&lt;=BW$9),IF(SUM(BW$10:BW286)-ROUNDDOWN($M287*BW$5/100,0)&lt;-BW$6,-BW$6-SUM(BW$10:BW286),-ROUNDDOWN($M287*BW$5/100,0)),0)</f>
        <v>0</v>
      </c>
      <c r="BX287" s="38">
        <f>IF(AND(T287="○",$A287&gt;=BX$8,$A287&lt;=BX$9),IF(SUM(BX$10:BX286)-ROUNDDOWN($K287*BX$5/100,0)&lt;-BX$6,-BX$6-SUM(BX$10:BX286),-ROUNDDOWN($K287*BX$5/100,0)),0)</f>
        <v>0</v>
      </c>
      <c r="BY287" s="38">
        <f>IF(AND(U287="○",$A287&gt;=BY$8,$A287&lt;=BY$9),IF(SUM(BY$10:BY286)-ROUNDDOWN($K287*BY$5/100,0)&lt;-BY$6,-BY$6-SUM(BY$10:BY286),-ROUNDDOWN($K287*BY$5/100,0)),0)</f>
        <v>0</v>
      </c>
      <c r="BZ287" s="38">
        <f>IF(AND(V287="○",$A287&gt;=BZ$8,$A287&lt;=BZ$9),IF(SUM(BZ$10:BZ286)-ROUNDDOWN($K287*BZ$5/100,0)&lt;-BZ$6,-BZ$6-SUM(BZ$10:BZ286),-ROUNDDOWN($K287*BZ$5/100,0)),0)</f>
        <v>0</v>
      </c>
      <c r="CA287" s="38">
        <f>IF(AND(W287="○",$A287&gt;=CA$8,$A287&lt;=CA$9),IF(SUM(CA$10:CA286)-ROUNDDOWN($K287*CA$5/100,0)&lt;-CA$6,-CA$6-SUM(CA$10:CA286),-ROUNDDOWN($K287*CA$5/100,0)),0)</f>
        <v>0</v>
      </c>
      <c r="CB287" s="38"/>
      <c r="CC287" s="38"/>
      <c r="CD287" s="38"/>
      <c r="CE287" s="38"/>
      <c r="CF287" s="38"/>
      <c r="CG287" s="65">
        <f t="shared" si="219"/>
        <v>0</v>
      </c>
      <c r="CH287" s="71">
        <f t="shared" si="220"/>
        <v>0</v>
      </c>
      <c r="CI287" s="1">
        <f t="shared" si="19"/>
        <v>0</v>
      </c>
      <c r="CJ287" s="1"/>
      <c r="CK287" s="72"/>
      <c r="CL287" s="72"/>
      <c r="CM287" s="2"/>
      <c r="CN287" s="2"/>
      <c r="CO287" s="73">
        <f t="shared" si="20"/>
        <v>0</v>
      </c>
      <c r="CP287" s="5">
        <f t="shared" si="21"/>
        <v>0</v>
      </c>
      <c r="CQ287" s="1"/>
      <c r="CR287" s="1">
        <f t="shared" si="22"/>
        <v>0</v>
      </c>
      <c r="CS287" s="1"/>
      <c r="CT287" s="1" t="e">
        <f>INDEX([2]マスタ!$A:$A,MATCH(D287,[2]マスタ!$C:$C,0))</f>
        <v>#N/A</v>
      </c>
      <c r="CU287" s="1" t="str">
        <f t="shared" ca="1" si="23"/>
        <v>20260620_0-0</v>
      </c>
    </row>
    <row r="288" spans="1:99" x14ac:dyDescent="0.4">
      <c r="A288" s="61"/>
      <c r="B288" s="62"/>
      <c r="C288" s="62"/>
      <c r="D288" s="62"/>
      <c r="E288" s="63"/>
      <c r="F288" s="62"/>
      <c r="G288" s="62">
        <v>1</v>
      </c>
      <c r="H288" s="64">
        <f t="shared" si="4"/>
        <v>0</v>
      </c>
      <c r="I288" s="64"/>
      <c r="J288" s="64"/>
      <c r="K288" s="65">
        <f t="shared" si="223"/>
        <v>0</v>
      </c>
      <c r="L288" s="65">
        <f t="shared" si="6"/>
        <v>0</v>
      </c>
      <c r="M288" s="65">
        <f t="shared" si="7"/>
        <v>0</v>
      </c>
      <c r="N288" s="65">
        <f t="shared" si="8"/>
        <v>0</v>
      </c>
      <c r="O288" s="66" t="str">
        <f t="shared" si="224"/>
        <v>✕</v>
      </c>
      <c r="P288" s="67" t="str">
        <f t="shared" si="225"/>
        <v>○</v>
      </c>
      <c r="Q288" s="67" t="str">
        <f t="shared" si="226"/>
        <v>✕</v>
      </c>
      <c r="R288" s="67" t="str">
        <f t="shared" si="227"/>
        <v>✕</v>
      </c>
      <c r="S288" s="68">
        <v>0</v>
      </c>
      <c r="T288" s="69" t="s">
        <v>85</v>
      </c>
      <c r="U288" s="69" t="s">
        <v>85</v>
      </c>
      <c r="V288" s="69" t="s">
        <v>85</v>
      </c>
      <c r="W288" s="69" t="s">
        <v>85</v>
      </c>
      <c r="X288" s="69" t="s">
        <v>84</v>
      </c>
      <c r="Y288" s="69" t="s">
        <v>85</v>
      </c>
      <c r="Z288" s="69" t="s">
        <v>85</v>
      </c>
      <c r="AA288" s="69" t="s">
        <v>85</v>
      </c>
      <c r="AB288" s="69" t="s">
        <v>85</v>
      </c>
      <c r="AC288" s="69" t="s">
        <v>85</v>
      </c>
      <c r="AD288" s="38" t="str">
        <f>+IF(ISERROR(VLOOKUP($B288,AD$10:AD287,1,0)),IF(AND($N288&gt;=1000,$A288&gt;=AO$8,$A288&lt;=AO$9),$B288,""),"")</f>
        <v/>
      </c>
      <c r="AE288" s="38" t="str">
        <f>+IF(ISERROR(VLOOKUP($B288,AE$10:AE287,1,0)),IF(AND($N288&gt;=1000,$A288&gt;=AP$8,$A288&lt;=AP$9),$B288,""),"")</f>
        <v/>
      </c>
      <c r="AF288" s="38" t="str">
        <f>+IF(ISERROR(VLOOKUP($B288,AF$10:AF287,1,0)),IF(AND($N288&gt;=1000,$A288&gt;=AQ$8,$A288&lt;=AQ$9),$B288,""),"")</f>
        <v/>
      </c>
      <c r="AG288" s="38" t="str">
        <f>+IF(ISERROR(VLOOKUP($B288,AG$10:AG287,1,0)),IF(AND($N288&gt;=1000,$A288&gt;=AR$8,$A288&lt;=AR$9),$B288,""),"")</f>
        <v/>
      </c>
      <c r="AH288" s="38"/>
      <c r="AI288" s="70">
        <v>0</v>
      </c>
      <c r="AJ288" s="38">
        <f>IF(AND(AJ$7="○",$A288&gt;=AJ$8,$A288&lt;=AJ$9),IF(SUM(AJ$10:AJ287)-ROUNDDOWN($K288*AJ$5/100,0)&lt;-AJ$6,-AJ$6-SUM(AJ$10:AJ287),-ROUNDDOWN($K288*AJ$5/100,0)),0)</f>
        <v>0</v>
      </c>
      <c r="AK288" s="38">
        <f>IF(AND(AK$7="○",$A288&gt;=AK$8,$A288&lt;=AK$9),IF(SUM(AK$10:AK287)-ROUNDDOWN($L288*AK$5/100,0)&lt;-AK$6,-AK$6-SUM(AK$10:AK287),-ROUNDDOWN($L288*AK$5/100,0)),0)</f>
        <v>0</v>
      </c>
      <c r="AL288" s="38">
        <f>IF(AND(AL$7="○",$A288&gt;=AL$8,$A288&lt;=AL$9),IF(SUM(AL$10:AL287)-ROUNDDOWN($N288*AL$5/100,0)&lt;-AL$6,-AL$6-SUM(AL$10:AL287),-ROUNDDOWN($N288*AL$5/100,0)),0)</f>
        <v>0</v>
      </c>
      <c r="AM288" s="38">
        <f>IF(AND(AM$7="○",$A288&gt;=AM$8,$A288&lt;=AM$9),IF(SUM(AM$10:AM287)-ROUNDDOWN($L288*AM$5/100,0)&lt;-AM$6,-AM$6-SUM(AM$10:AM287),-ROUNDDOWN($L288*AM$5/100,0)),0)</f>
        <v>0</v>
      </c>
      <c r="AN288" s="38">
        <f>IF(AND(AN$7="○",$A288&gt;=AN$8,$A288&lt;=AN$9),IF(SUM(AN$10:AN287)-ROUNDDOWN($M288*AN$5/100,0)&lt;-AN$6,-AN$6-SUM(AN$10:AN287),-ROUNDDOWN($M288*AN$5/100,0)),0)</f>
        <v>0</v>
      </c>
      <c r="AO288" s="38">
        <f>IF(AND($A288&gt;=AO$8,$A288&lt;=AO$9),IF(SUM(AO$10:AO287)-ROUNDDOWN($K288*AO$5/100,0)&lt;-AO$6,-AO$6-SUM(AO$10:AO287),-ROUNDDOWN($K288*AO$5/100,0)),0)</f>
        <v>0</v>
      </c>
      <c r="AP288" s="38">
        <f>IF(AND($A288&gt;=AP$8,$A288&lt;=AP$9),IF(SUM(AP$10:AP287)-ROUNDDOWN($K288*AP$5/100,0)&lt;-AP$6,-AP$6-SUM(AP$10:AP287),-ROUNDDOWN($K288*AP$5/100,0)),0)</f>
        <v>0</v>
      </c>
      <c r="AQ288" s="38">
        <f>IF(AND($A288&gt;=AQ$8,$A288&lt;=AQ$9),IF(SUM(AQ$10:AQ287)-ROUNDDOWN($K288*AQ$5/100,0)&lt;-AQ$6,-AQ$6-SUM(AQ$10:AQ287),-ROUNDDOWN($K288*AQ$5/100,0)),0)</f>
        <v>0</v>
      </c>
      <c r="AR288" s="38">
        <f>IF(AND($A288&gt;=AR$8,$A288&lt;=AR$9),IF(SUM(AR$10:AR287)-ROUNDDOWN($K288*AR$5/100,0)&lt;-AR$6,-AR$6-SUM(AR$10:AR287),-ROUNDDOWN($K288*AR$5/100,0)),0)</f>
        <v>0</v>
      </c>
      <c r="AS288" s="38">
        <f>IF(SUMIFS(AS$10:AS287,$A$10:$A287,$A288)-ROUNDDOWN($K288*$S288/100,0)&lt;-$S288*1000,-$S288*1000-SUMIFS(AS$10:AS287,$A$10:$A287,$A288),-ROUNDDOWN($K288*$S288/100,0))</f>
        <v>0</v>
      </c>
      <c r="AT288" s="38">
        <f>IF(AND(X288="○",$A288&gt;=AT$8,$A288&lt;=AT$9,K288&gt;=3980),IF(SUM(AT$10:AT287)-ROUNDDOWN($K288*AT$5/100,0)&lt;-AT$6,-AT$6-SUM(AT$10:AT287),-ROUNDDOWN($K288*AT$5/100,0)),0)</f>
        <v>0</v>
      </c>
      <c r="AU288" s="38">
        <f>IF(O288="○",IF(SUM(AU$10:AU287)-ROUNDDOWN($K288*AU$5/100,0)&lt;-AU$6,-AU$6-SUM(AU$10:AU287),-ROUNDDOWN($K288*AU$5/100,0)),0)</f>
        <v>0</v>
      </c>
      <c r="AV288" s="38">
        <f>IF(P288="○",IF(SUM(AV$10:AV287)-ROUNDDOWN($K288*AV$5/100,0)&lt;-AV$6,-AV$6-SUM(AV$10:AV287),-ROUNDDOWN($K288*AV$5/100,0)),0)</f>
        <v>0</v>
      </c>
      <c r="AW288" s="38">
        <f>IF(Q288="○",IF(SUM(AW$10:AW287)-ROUNDDOWN($K288*AW$5/100,0)&lt;-AW$6,-AW$6-SUM(AW$10:AW287),-ROUNDDOWN($K288*AW$5/100,0)),0)</f>
        <v>0</v>
      </c>
      <c r="AX288" s="38">
        <f>IF(R288="○",IF(SUM(AX$10:AX287)-ROUNDDOWN($K288*AX$5/100,0)&lt;-AX$6,-AX$6-SUM(AX$10:AX287),-ROUNDDOWN($K288*AX$5/100,0)),0)</f>
        <v>0</v>
      </c>
      <c r="AY288" s="70">
        <v>0</v>
      </c>
      <c r="AZ288" s="65">
        <f t="shared" si="213"/>
        <v>0</v>
      </c>
      <c r="BA288" s="65">
        <f t="shared" si="214"/>
        <v>0</v>
      </c>
      <c r="BB288" s="70"/>
      <c r="BC288" s="65">
        <f t="shared" si="215"/>
        <v>0</v>
      </c>
      <c r="BD288" s="70">
        <v>0</v>
      </c>
      <c r="BE288" s="65">
        <f t="shared" si="216"/>
        <v>0</v>
      </c>
      <c r="BF288" s="70">
        <v>0</v>
      </c>
      <c r="BG288" s="65">
        <f t="shared" si="217"/>
        <v>0</v>
      </c>
      <c r="BH288" s="70">
        <v>0</v>
      </c>
      <c r="BI288" s="65">
        <f t="shared" si="218"/>
        <v>0</v>
      </c>
      <c r="BJ288" s="38">
        <f>IF(AND(BJ$7="○",$A288&gt;=BJ$8,$A288&lt;=BJ$9),IF(SUM(BJ$10:BJ287)-ROUNDDOWN($M288*BJ$5/100,0)&lt;-BJ$6,-BJ$6-SUM(BJ$10:BJ287),-ROUNDDOWN($M288*BJ$5/100,0)),0)</f>
        <v>0</v>
      </c>
      <c r="BK288" s="38">
        <f>IF(AND(BK$7="○",$A288&gt;=BK$8,$A288&lt;=BK$9),IF(SUM(BK$10:BK287)-ROUNDDOWN($L288*BK$5/100,0)&lt;-BK$6,-BK$6-SUM(BK$10:BK287),-ROUNDDOWN($L288*BK$5/100,0)),0)</f>
        <v>0</v>
      </c>
      <c r="BL288" s="38">
        <f>IF(AND(BL$7="○",$A288&gt;=BL$8,$A288&lt;=BL$9),IF(SUM(BL$10:BL287)-ROUNDDOWN($L288*BL$5/100,0)&lt;-BL$6,-BL$6-SUM(BL$10:BL287),-ROUNDDOWN($L288*BL$5/100,0)),0)</f>
        <v>0</v>
      </c>
      <c r="BM288" s="38">
        <f>IF(AND(BM$7="○",$A288&gt;=BM$8,$A288&lt;=BM$9),IF(SUM(BM$10:BM287)-ROUNDDOWN($M288*BM$5/100,0)&lt;-BM$6,-BM$6-SUM(BM$10:BM287),-ROUNDDOWN($M288*BM$5/100,0)),0)</f>
        <v>0</v>
      </c>
      <c r="BN288" s="38">
        <f>IF(AND(BN$7="○",$A288&gt;=BN$8,$A288&lt;=BN$9),IF(SUM(BN$10:BN287)-ROUNDDOWN($M288*BN$5/100,0)&lt;-BN$6,-BN$6-SUM(BN$10:BN287),-ROUNDDOWN($M288*BN$5/100,0)),0)</f>
        <v>0</v>
      </c>
      <c r="BO288" s="38">
        <f>IF(AND(BO$7="○",$A288&gt;=BO$8,$A288&lt;=BO$9),IF(SUM(BO$10:BO287)-ROUNDDOWN($M288*BO$5/100,0)&lt;-BO$6,-BO$6-SUM(BO$10:BO287),-ROUNDDOWN($M288*BO$5/100,0)),0)</f>
        <v>0</v>
      </c>
      <c r="BP288" s="38">
        <f>IF(AND(BP$7="○",$A288&gt;=BP$8,$A288&lt;=BP$9),IF(SUM(BP$10:BP287)-ROUNDDOWN($M288*BP$5/100,0)&lt;-BP$6,-BP$6-SUM(BP$10:BP287),-ROUNDDOWN($M288*BP$5/100,0)),0)</f>
        <v>0</v>
      </c>
      <c r="BQ288" s="38">
        <f>IF(AND(BQ$7="○",$A288&gt;=BQ$8,$A288&lt;=BQ$9),IF(SUM(BQ$10:BQ287)-ROUNDDOWN($L288*BQ$5/100,0)&lt;-BQ$6,-BQ$6-SUM(BQ$10:BQ287),-ROUNDDOWN($L288*BQ$5/100,0)),0)</f>
        <v>0</v>
      </c>
      <c r="BR288" s="38">
        <f>IF(AND(BR$7="○",$A288&gt;=BR$8,$A288&lt;=BR$9),IF(SUM(BR$10:BR287)-ROUNDDOWN($M288*BR$5/100,0)&lt;-BR$6,-BR$6-SUM(BR$10:BR287),-ROUNDDOWN($M288*BR$5/100,0)),0)</f>
        <v>0</v>
      </c>
      <c r="BS288" s="38">
        <f>IF(AND(BS$7="○",$A288&gt;=BS$8,$A288&lt;=BS$9),IF(SUM(BS$10:BS287)-ROUNDDOWN($M288*BS$5/100,0)&lt;-BS$6,-BS$6-SUM(BS$10:BS287),-ROUNDDOWN($M288*BS$5/100,0)),0)</f>
        <v>0</v>
      </c>
      <c r="BT288" s="38">
        <f>IF(AND(BT$7="○",$A288&gt;=BT$8,$A288&lt;=BT$9),IF(SUM(BT$10:BT287)-ROUNDDOWN($M288*BT$5/100,0)&lt;-BT$6,-BT$6-SUM(BT$10:BT287),-ROUNDDOWN($M288*BT$5/100,0)),0)</f>
        <v>0</v>
      </c>
      <c r="BU288" s="38">
        <f>IF(AND(BU$7="○",$A288&gt;=BU$8,$A288&lt;=BU$9),IF(SUM(BU$10:BU287)-ROUNDDOWN($M288*BU$5/100,0)&lt;-BU$6,-BU$6-SUM(BU$10:BU287),-ROUNDDOWN($M288*BU$5/100,0)),0)</f>
        <v>0</v>
      </c>
      <c r="BV288" s="38">
        <f>IF(AND(BV$7="○",$A288&gt;=BV$8,$A288&lt;=BV$9),IF(SUM(BV$10:BV287)-ROUNDDOWN($M288*BV$5/100,0)&lt;-BV$6,-BV$6-SUM(BV$10:BV287),-ROUNDDOWN($M288*BV$5/100,0)),0)</f>
        <v>0</v>
      </c>
      <c r="BW288" s="38">
        <f>IF(AND(BW$7="○",$A288&gt;=BW$8,$A288&lt;=BW$9),IF(SUM(BW$10:BW287)-ROUNDDOWN($M288*BW$5/100,0)&lt;-BW$6,-BW$6-SUM(BW$10:BW287),-ROUNDDOWN($M288*BW$5/100,0)),0)</f>
        <v>0</v>
      </c>
      <c r="BX288" s="38">
        <f>IF(AND(T288="○",$A288&gt;=BX$8,$A288&lt;=BX$9),IF(SUM(BX$10:BX287)-ROUNDDOWN($K288*BX$5/100,0)&lt;-BX$6,-BX$6-SUM(BX$10:BX287),-ROUNDDOWN($K288*BX$5/100,0)),0)</f>
        <v>0</v>
      </c>
      <c r="BY288" s="38">
        <f>IF(AND(U288="○",$A288&gt;=BY$8,$A288&lt;=BY$9),IF(SUM(BY$10:BY287)-ROUNDDOWN($K288*BY$5/100,0)&lt;-BY$6,-BY$6-SUM(BY$10:BY287),-ROUNDDOWN($K288*BY$5/100,0)),0)</f>
        <v>0</v>
      </c>
      <c r="BZ288" s="38">
        <f>IF(AND(V288="○",$A288&gt;=BZ$8,$A288&lt;=BZ$9),IF(SUM(BZ$10:BZ287)-ROUNDDOWN($K288*BZ$5/100,0)&lt;-BZ$6,-BZ$6-SUM(BZ$10:BZ287),-ROUNDDOWN($K288*BZ$5/100,0)),0)</f>
        <v>0</v>
      </c>
      <c r="CA288" s="38">
        <f>IF(AND(W288="○",$A288&gt;=CA$8,$A288&lt;=CA$9),IF(SUM(CA$10:CA287)-ROUNDDOWN($K288*CA$5/100,0)&lt;-CA$6,-CA$6-SUM(CA$10:CA287),-ROUNDDOWN($K288*CA$5/100,0)),0)</f>
        <v>0</v>
      </c>
      <c r="CB288" s="38"/>
      <c r="CC288" s="38"/>
      <c r="CD288" s="38"/>
      <c r="CE288" s="38"/>
      <c r="CF288" s="38"/>
      <c r="CG288" s="65">
        <f t="shared" si="219"/>
        <v>0</v>
      </c>
      <c r="CH288" s="71">
        <f t="shared" si="220"/>
        <v>0</v>
      </c>
      <c r="CI288" s="1">
        <f t="shared" si="19"/>
        <v>0</v>
      </c>
      <c r="CJ288" s="1"/>
      <c r="CK288" s="72"/>
      <c r="CL288" s="72"/>
      <c r="CM288" s="2"/>
      <c r="CN288" s="2"/>
      <c r="CO288" s="73">
        <f t="shared" si="20"/>
        <v>0</v>
      </c>
      <c r="CP288" s="5">
        <f t="shared" si="21"/>
        <v>0</v>
      </c>
      <c r="CQ288" s="1"/>
      <c r="CR288" s="1">
        <f t="shared" si="22"/>
        <v>0</v>
      </c>
      <c r="CS288" s="1"/>
      <c r="CT288" s="1" t="e">
        <f>INDEX([2]マスタ!$A:$A,MATCH(D288,[2]マスタ!$C:$C,0))</f>
        <v>#N/A</v>
      </c>
      <c r="CU288" s="1" t="str">
        <f t="shared" ca="1" si="23"/>
        <v>20260620_0-0</v>
      </c>
    </row>
    <row r="289" spans="1:99" x14ac:dyDescent="0.4">
      <c r="A289" s="61"/>
      <c r="B289" s="62"/>
      <c r="C289" s="62"/>
      <c r="D289" s="62"/>
      <c r="E289" s="74"/>
      <c r="F289" s="62"/>
      <c r="G289" s="62">
        <v>1</v>
      </c>
      <c r="H289" s="64">
        <f t="shared" si="4"/>
        <v>0</v>
      </c>
      <c r="I289" s="64"/>
      <c r="J289" s="64"/>
      <c r="K289" s="65">
        <f t="shared" si="223"/>
        <v>0</v>
      </c>
      <c r="L289" s="65">
        <f t="shared" si="6"/>
        <v>0</v>
      </c>
      <c r="M289" s="65">
        <f t="shared" si="7"/>
        <v>0</v>
      </c>
      <c r="N289" s="65">
        <f t="shared" si="8"/>
        <v>0</v>
      </c>
      <c r="O289" s="66" t="str">
        <f t="shared" si="224"/>
        <v>✕</v>
      </c>
      <c r="P289" s="67" t="str">
        <f t="shared" si="225"/>
        <v>○</v>
      </c>
      <c r="Q289" s="67" t="str">
        <f t="shared" si="226"/>
        <v>✕</v>
      </c>
      <c r="R289" s="67" t="str">
        <f t="shared" si="227"/>
        <v>✕</v>
      </c>
      <c r="S289" s="68">
        <v>0</v>
      </c>
      <c r="T289" s="69" t="s">
        <v>85</v>
      </c>
      <c r="U289" s="69" t="s">
        <v>85</v>
      </c>
      <c r="V289" s="69" t="s">
        <v>85</v>
      </c>
      <c r="W289" s="69" t="s">
        <v>85</v>
      </c>
      <c r="X289" s="69" t="s">
        <v>84</v>
      </c>
      <c r="Y289" s="69" t="s">
        <v>85</v>
      </c>
      <c r="Z289" s="69" t="s">
        <v>85</v>
      </c>
      <c r="AA289" s="69" t="s">
        <v>85</v>
      </c>
      <c r="AB289" s="69" t="s">
        <v>85</v>
      </c>
      <c r="AC289" s="69" t="s">
        <v>85</v>
      </c>
      <c r="AD289" s="38" t="str">
        <f>+IF(ISERROR(VLOOKUP($B289,AD$10:AD288,1,0)),IF(AND($N289&gt;=1000,$A289&gt;=AO$8,$A289&lt;=AO$9),$B289,""),"")</f>
        <v/>
      </c>
      <c r="AE289" s="38" t="str">
        <f>+IF(ISERROR(VLOOKUP($B289,AE$10:AE288,1,0)),IF(AND($N289&gt;=1000,$A289&gt;=AP$8,$A289&lt;=AP$9),$B289,""),"")</f>
        <v/>
      </c>
      <c r="AF289" s="38" t="str">
        <f>+IF(ISERROR(VLOOKUP($B289,AF$10:AF288,1,0)),IF(AND($N289&gt;=1000,$A289&gt;=AQ$8,$A289&lt;=AQ$9),$B289,""),"")</f>
        <v/>
      </c>
      <c r="AG289" s="38" t="str">
        <f>+IF(ISERROR(VLOOKUP($B289,AG$10:AG288,1,0)),IF(AND($N289&gt;=1000,$A289&gt;=AR$8,$A289&lt;=AR$9),$B289,""),"")</f>
        <v/>
      </c>
      <c r="AH289" s="38"/>
      <c r="AI289" s="70">
        <v>0</v>
      </c>
      <c r="AJ289" s="38">
        <f>IF(AND(AJ$7="○",$A289&gt;=AJ$8,$A289&lt;=AJ$9),IF(SUM(AJ$10:AJ288)-ROUNDDOWN($K289*AJ$5/100,0)&lt;-AJ$6,-AJ$6-SUM(AJ$10:AJ288),-ROUNDDOWN($K289*AJ$5/100,0)),0)</f>
        <v>0</v>
      </c>
      <c r="AK289" s="38">
        <f>IF(AND(AK$7="○",$A289&gt;=AK$8,$A289&lt;=AK$9),IF(SUM(AK$10:AK288)-ROUNDDOWN($L289*AK$5/100,0)&lt;-AK$6,-AK$6-SUM(AK$10:AK288),-ROUNDDOWN($L289*AK$5/100,0)),0)</f>
        <v>0</v>
      </c>
      <c r="AL289" s="38">
        <f>IF(AND(AL$7="○",$A289&gt;=AL$8,$A289&lt;=AL$9),IF(SUM(AL$10:AL288)-ROUNDDOWN($N289*AL$5/100,0)&lt;-AL$6,-AL$6-SUM(AL$10:AL288),-ROUNDDOWN($N289*AL$5/100,0)),0)</f>
        <v>0</v>
      </c>
      <c r="AM289" s="38">
        <f>IF(AND(AM$7="○",$A289&gt;=AM$8,$A289&lt;=AM$9),IF(SUM(AM$10:AM288)-ROUNDDOWN($L289*AM$5/100,0)&lt;-AM$6,-AM$6-SUM(AM$10:AM288),-ROUNDDOWN($L289*AM$5/100,0)),0)</f>
        <v>0</v>
      </c>
      <c r="AN289" s="38">
        <f>IF(AND(AN$7="○",$A289&gt;=AN$8,$A289&lt;=AN$9),IF(SUM(AN$10:AN288)-ROUNDDOWN($M289*AN$5/100,0)&lt;-AN$6,-AN$6-SUM(AN$10:AN288),-ROUNDDOWN($M289*AN$5/100,0)),0)</f>
        <v>0</v>
      </c>
      <c r="AO289" s="38">
        <f>IF(AND($A289&gt;=AO$8,$A289&lt;=AO$9),IF(SUM(AO$10:AO288)-ROUNDDOWN($K289*AO$5/100,0)&lt;-AO$6,-AO$6-SUM(AO$10:AO288),-ROUNDDOWN($K289*AO$5/100,0)),0)</f>
        <v>0</v>
      </c>
      <c r="AP289" s="38">
        <f>IF(AND($A289&gt;=AP$8,$A289&lt;=AP$9),IF(SUM(AP$10:AP288)-ROUNDDOWN($K289*AP$5/100,0)&lt;-AP$6,-AP$6-SUM(AP$10:AP288),-ROUNDDOWN($K289*AP$5/100,0)),0)</f>
        <v>0</v>
      </c>
      <c r="AQ289" s="38">
        <f>IF(AND($A289&gt;=AQ$8,$A289&lt;=AQ$9),IF(SUM(AQ$10:AQ288)-ROUNDDOWN($K289*AQ$5/100,0)&lt;-AQ$6,-AQ$6-SUM(AQ$10:AQ288),-ROUNDDOWN($K289*AQ$5/100,0)),0)</f>
        <v>0</v>
      </c>
      <c r="AR289" s="38">
        <f>IF(AND($A289&gt;=AR$8,$A289&lt;=AR$9),IF(SUM(AR$10:AR288)-ROUNDDOWN($K289*AR$5/100,0)&lt;-AR$6,-AR$6-SUM(AR$10:AR288),-ROUNDDOWN($K289*AR$5/100,0)),0)</f>
        <v>0</v>
      </c>
      <c r="AS289" s="38">
        <f>IF(SUMIFS(AS$10:AS288,$A$10:$A288,$A289)-ROUNDDOWN($K289*$S289/100,0)&lt;-$S289*1000,-$S289*1000-SUMIFS(AS$10:AS288,$A$10:$A288,$A289),-ROUNDDOWN($K289*$S289/100,0))</f>
        <v>0</v>
      </c>
      <c r="AT289" s="38">
        <f>IF(AND(X289="○",$A289&gt;=AT$8,$A289&lt;=AT$9,K289&gt;=3980),IF(SUM(AT$10:AT288)-ROUNDDOWN($K289*AT$5/100,0)&lt;-AT$6,-AT$6-SUM(AT$10:AT288),-ROUNDDOWN($K289*AT$5/100,0)),0)</f>
        <v>0</v>
      </c>
      <c r="AU289" s="38">
        <f>IF(O289="○",IF(SUM(AU$10:AU288)-ROUNDDOWN($K289*AU$5/100,0)&lt;-AU$6,-AU$6-SUM(AU$10:AU288),-ROUNDDOWN($K289*AU$5/100,0)),0)</f>
        <v>0</v>
      </c>
      <c r="AV289" s="38">
        <f>IF(P289="○",IF(SUM(AV$10:AV288)-ROUNDDOWN($K289*AV$5/100,0)&lt;-AV$6,-AV$6-SUM(AV$10:AV288),-ROUNDDOWN($K289*AV$5/100,0)),0)</f>
        <v>0</v>
      </c>
      <c r="AW289" s="38">
        <f>IF(Q289="○",IF(SUM(AW$10:AW288)-ROUNDDOWN($K289*AW$5/100,0)&lt;-AW$6,-AW$6-SUM(AW$10:AW288),-ROUNDDOWN($K289*AW$5/100,0)),0)</f>
        <v>0</v>
      </c>
      <c r="AX289" s="38">
        <f>IF(R289="○",IF(SUM(AX$10:AX288)-ROUNDDOWN($K289*AX$5/100,0)&lt;-AX$6,-AX$6-SUM(AX$10:AX288),-ROUNDDOWN($K289*AX$5/100,0)),0)</f>
        <v>0</v>
      </c>
      <c r="AY289" s="70">
        <v>0</v>
      </c>
      <c r="AZ289" s="65">
        <f t="shared" si="213"/>
        <v>0</v>
      </c>
      <c r="BA289" s="65">
        <f t="shared" si="214"/>
        <v>0</v>
      </c>
      <c r="BB289" s="70"/>
      <c r="BC289" s="65">
        <f t="shared" si="215"/>
        <v>0</v>
      </c>
      <c r="BD289" s="70">
        <v>0</v>
      </c>
      <c r="BE289" s="65">
        <f t="shared" si="216"/>
        <v>0</v>
      </c>
      <c r="BF289" s="70">
        <v>0</v>
      </c>
      <c r="BG289" s="65">
        <f t="shared" si="217"/>
        <v>0</v>
      </c>
      <c r="BH289" s="70">
        <v>0</v>
      </c>
      <c r="BI289" s="65">
        <f t="shared" si="218"/>
        <v>0</v>
      </c>
      <c r="BJ289" s="38">
        <f>IF(AND(BJ$7="○",$A289&gt;=BJ$8,$A289&lt;=BJ$9),IF(SUM(BJ$10:BJ288)-ROUNDDOWN($M289*BJ$5/100,0)&lt;-BJ$6,-BJ$6-SUM(BJ$10:BJ288),-ROUNDDOWN($M289*BJ$5/100,0)),0)</f>
        <v>0</v>
      </c>
      <c r="BK289" s="38">
        <f>IF(AND(BK$7="○",$A289&gt;=BK$8,$A289&lt;=BK$9),IF(SUM(BK$10:BK288)-ROUNDDOWN($L289*BK$5/100,0)&lt;-BK$6,-BK$6-SUM(BK$10:BK288),-ROUNDDOWN($L289*BK$5/100,0)),0)</f>
        <v>0</v>
      </c>
      <c r="BL289" s="38">
        <f>IF(AND(BL$7="○",$A289&gt;=BL$8,$A289&lt;=BL$9),IF(SUM(BL$10:BL288)-ROUNDDOWN($L289*BL$5/100,0)&lt;-BL$6,-BL$6-SUM(BL$10:BL288),-ROUNDDOWN($L289*BL$5/100,0)),0)</f>
        <v>0</v>
      </c>
      <c r="BM289" s="38">
        <f>IF(AND(BM$7="○",$A289&gt;=BM$8,$A289&lt;=BM$9),IF(SUM(BM$10:BM288)-ROUNDDOWN($M289*BM$5/100,0)&lt;-BM$6,-BM$6-SUM(BM$10:BM288),-ROUNDDOWN($M289*BM$5/100,0)),0)</f>
        <v>0</v>
      </c>
      <c r="BN289" s="38">
        <f>IF(AND(BN$7="○",$A289&gt;=BN$8,$A289&lt;=BN$9),IF(SUM(BN$10:BN288)-ROUNDDOWN($M289*BN$5/100,0)&lt;-BN$6,-BN$6-SUM(BN$10:BN288),-ROUNDDOWN($M289*BN$5/100,0)),0)</f>
        <v>0</v>
      </c>
      <c r="BO289" s="38">
        <f>IF(AND(BO$7="○",$A289&gt;=BO$8,$A289&lt;=BO$9),IF(SUM(BO$10:BO288)-ROUNDDOWN($M289*BO$5/100,0)&lt;-BO$6,-BO$6-SUM(BO$10:BO288),-ROUNDDOWN($M289*BO$5/100,0)),0)</f>
        <v>0</v>
      </c>
      <c r="BP289" s="38">
        <f>IF(AND(BP$7="○",$A289&gt;=BP$8,$A289&lt;=BP$9),IF(SUM(BP$10:BP288)-ROUNDDOWN($M289*BP$5/100,0)&lt;-BP$6,-BP$6-SUM(BP$10:BP288),-ROUNDDOWN($M289*BP$5/100,0)),0)</f>
        <v>0</v>
      </c>
      <c r="BQ289" s="38">
        <f>IF(AND(BQ$7="○",$A289&gt;=BQ$8,$A289&lt;=BQ$9),IF(SUM(BQ$10:BQ288)-ROUNDDOWN($L289*BQ$5/100,0)&lt;-BQ$6,-BQ$6-SUM(BQ$10:BQ288),-ROUNDDOWN($L289*BQ$5/100,0)),0)</f>
        <v>0</v>
      </c>
      <c r="BR289" s="38">
        <f>IF(AND(BR$7="○",$A289&gt;=BR$8,$A289&lt;=BR$9),IF(SUM(BR$10:BR288)-ROUNDDOWN($M289*BR$5/100,0)&lt;-BR$6,-BR$6-SUM(BR$10:BR288),-ROUNDDOWN($M289*BR$5/100,0)),0)</f>
        <v>0</v>
      </c>
      <c r="BS289" s="38">
        <f>IF(AND(BS$7="○",$A289&gt;=BS$8,$A289&lt;=BS$9),IF(SUM(BS$10:BS288)-ROUNDDOWN($M289*BS$5/100,0)&lt;-BS$6,-BS$6-SUM(BS$10:BS288),-ROUNDDOWN($M289*BS$5/100,0)),0)</f>
        <v>0</v>
      </c>
      <c r="BT289" s="38">
        <f>IF(AND(BT$7="○",$A289&gt;=BT$8,$A289&lt;=BT$9),IF(SUM(BT$10:BT288)-ROUNDDOWN($M289*BT$5/100,0)&lt;-BT$6,-BT$6-SUM(BT$10:BT288),-ROUNDDOWN($M289*BT$5/100,0)),0)</f>
        <v>0</v>
      </c>
      <c r="BU289" s="38">
        <f>IF(AND(BU$7="○",$A289&gt;=BU$8,$A289&lt;=BU$9),IF(SUM(BU$10:BU288)-ROUNDDOWN($M289*BU$5/100,0)&lt;-BU$6,-BU$6-SUM(BU$10:BU288),-ROUNDDOWN($M289*BU$5/100,0)),0)</f>
        <v>0</v>
      </c>
      <c r="BV289" s="38">
        <f>IF(AND(BV$7="○",$A289&gt;=BV$8,$A289&lt;=BV$9),IF(SUM(BV$10:BV288)-ROUNDDOWN($M289*BV$5/100,0)&lt;-BV$6,-BV$6-SUM(BV$10:BV288),-ROUNDDOWN($M289*BV$5/100,0)),0)</f>
        <v>0</v>
      </c>
      <c r="BW289" s="38">
        <f>IF(AND(BW$7="○",$A289&gt;=BW$8,$A289&lt;=BW$9),IF(SUM(BW$10:BW288)-ROUNDDOWN($M289*BW$5/100,0)&lt;-BW$6,-BW$6-SUM(BW$10:BW288),-ROUNDDOWN($M289*BW$5/100,0)),0)</f>
        <v>0</v>
      </c>
      <c r="BX289" s="38">
        <f>IF(AND(T289="○",$A289&gt;=BX$8,$A289&lt;=BX$9),IF(SUM(BX$10:BX288)-ROUNDDOWN($K289*BX$5/100,0)&lt;-BX$6,-BX$6-SUM(BX$10:BX288),-ROUNDDOWN($K289*BX$5/100,0)),0)</f>
        <v>0</v>
      </c>
      <c r="BY289" s="38">
        <f>IF(AND(U289="○",$A289&gt;=BY$8,$A289&lt;=BY$9),IF(SUM(BY$10:BY288)-ROUNDDOWN($K289*BY$5/100,0)&lt;-BY$6,-BY$6-SUM(BY$10:BY288),-ROUNDDOWN($K289*BY$5/100,0)),0)</f>
        <v>0</v>
      </c>
      <c r="BZ289" s="38">
        <f>IF(AND(V289="○",$A289&gt;=BZ$8,$A289&lt;=BZ$9),IF(SUM(BZ$10:BZ288)-ROUNDDOWN($K289*BZ$5/100,0)&lt;-BZ$6,-BZ$6-SUM(BZ$10:BZ288),-ROUNDDOWN($K289*BZ$5/100,0)),0)</f>
        <v>0</v>
      </c>
      <c r="CA289" s="38">
        <f>IF(AND(W289="○",$A289&gt;=CA$8,$A289&lt;=CA$9),IF(SUM(CA$10:CA288)-ROUNDDOWN($K289*CA$5/100,0)&lt;-CA$6,-CA$6-SUM(CA$10:CA288),-ROUNDDOWN($K289*CA$5/100,0)),0)</f>
        <v>0</v>
      </c>
      <c r="CB289" s="38"/>
      <c r="CC289" s="38"/>
      <c r="CD289" s="38"/>
      <c r="CE289" s="38"/>
      <c r="CF289" s="38"/>
      <c r="CG289" s="65">
        <f t="shared" si="219"/>
        <v>0</v>
      </c>
      <c r="CH289" s="71">
        <f t="shared" si="220"/>
        <v>0</v>
      </c>
      <c r="CI289" s="1">
        <f t="shared" si="19"/>
        <v>0</v>
      </c>
      <c r="CJ289" s="1"/>
      <c r="CK289" s="72"/>
      <c r="CL289" s="72"/>
      <c r="CM289" s="2"/>
      <c r="CN289" s="2"/>
      <c r="CO289" s="73">
        <f t="shared" si="20"/>
        <v>0</v>
      </c>
      <c r="CP289" s="5">
        <f t="shared" si="21"/>
        <v>0</v>
      </c>
      <c r="CQ289" s="1"/>
      <c r="CR289" s="1">
        <f t="shared" si="22"/>
        <v>0</v>
      </c>
      <c r="CS289" s="1"/>
      <c r="CT289" s="1" t="e">
        <f>INDEX([2]マスタ!$A:$A,MATCH(D289,[2]マスタ!$C:$C,0))</f>
        <v>#N/A</v>
      </c>
      <c r="CU289" s="1" t="str">
        <f t="shared" ca="1" si="23"/>
        <v>20260620_0-0</v>
      </c>
    </row>
    <row r="290" spans="1:99" x14ac:dyDescent="0.4">
      <c r="A290" s="61"/>
      <c r="B290" s="62"/>
      <c r="C290" s="62"/>
      <c r="D290" s="62"/>
      <c r="E290" s="74"/>
      <c r="F290" s="62"/>
      <c r="G290" s="62">
        <v>1</v>
      </c>
      <c r="H290" s="64">
        <f t="shared" si="4"/>
        <v>0</v>
      </c>
      <c r="I290" s="64"/>
      <c r="J290" s="64"/>
      <c r="K290" s="65">
        <f t="shared" si="223"/>
        <v>0</v>
      </c>
      <c r="L290" s="65">
        <f t="shared" si="6"/>
        <v>0</v>
      </c>
      <c r="M290" s="65">
        <f t="shared" si="7"/>
        <v>0</v>
      </c>
      <c r="N290" s="65">
        <f t="shared" si="8"/>
        <v>0</v>
      </c>
      <c r="O290" s="66" t="str">
        <f t="shared" si="224"/>
        <v>✕</v>
      </c>
      <c r="P290" s="67" t="str">
        <f t="shared" si="225"/>
        <v>○</v>
      </c>
      <c r="Q290" s="67" t="str">
        <f t="shared" si="226"/>
        <v>✕</v>
      </c>
      <c r="R290" s="67" t="str">
        <f t="shared" si="227"/>
        <v>✕</v>
      </c>
      <c r="S290" s="68">
        <v>0</v>
      </c>
      <c r="T290" s="69" t="s">
        <v>85</v>
      </c>
      <c r="U290" s="69" t="s">
        <v>85</v>
      </c>
      <c r="V290" s="69" t="s">
        <v>85</v>
      </c>
      <c r="W290" s="69" t="s">
        <v>85</v>
      </c>
      <c r="X290" s="69" t="s">
        <v>84</v>
      </c>
      <c r="Y290" s="69" t="s">
        <v>85</v>
      </c>
      <c r="Z290" s="69" t="s">
        <v>85</v>
      </c>
      <c r="AA290" s="69" t="s">
        <v>85</v>
      </c>
      <c r="AB290" s="69" t="s">
        <v>85</v>
      </c>
      <c r="AC290" s="69" t="s">
        <v>85</v>
      </c>
      <c r="AD290" s="38" t="str">
        <f>+IF(ISERROR(VLOOKUP($B290,AD$10:AD289,1,0)),IF(AND($N290&gt;=1000,$A290&gt;=AO$8,$A290&lt;=AO$9),$B290,""),"")</f>
        <v/>
      </c>
      <c r="AE290" s="38" t="str">
        <f>+IF(ISERROR(VLOOKUP($B290,AE$10:AE289,1,0)),IF(AND($N290&gt;=1000,$A290&gt;=AP$8,$A290&lt;=AP$9),$B290,""),"")</f>
        <v/>
      </c>
      <c r="AF290" s="38" t="str">
        <f>+IF(ISERROR(VLOOKUP($B290,AF$10:AF289,1,0)),IF(AND($N290&gt;=1000,$A290&gt;=AQ$8,$A290&lt;=AQ$9),$B290,""),"")</f>
        <v/>
      </c>
      <c r="AG290" s="38" t="str">
        <f>+IF(ISERROR(VLOOKUP($B290,AG$10:AG289,1,0)),IF(AND($N290&gt;=1000,$A290&gt;=AR$8,$A290&lt;=AR$9),$B290,""),"")</f>
        <v/>
      </c>
      <c r="AH290" s="38"/>
      <c r="AI290" s="70">
        <v>0</v>
      </c>
      <c r="AJ290" s="38">
        <f>IF(AND(AJ$7="○",$A290&gt;=AJ$8,$A290&lt;=AJ$9),IF(SUM(AJ$10:AJ289)-ROUNDDOWN($K290*AJ$5/100,0)&lt;-AJ$6,-AJ$6-SUM(AJ$10:AJ289),-ROUNDDOWN($K290*AJ$5/100,0)),0)</f>
        <v>0</v>
      </c>
      <c r="AK290" s="38">
        <f>IF(AND(AK$7="○",$A290&gt;=AK$8,$A290&lt;=AK$9),IF(SUM(AK$10:AK289)-ROUNDDOWN($L290*AK$5/100,0)&lt;-AK$6,-AK$6-SUM(AK$10:AK289),-ROUNDDOWN($L290*AK$5/100,0)),0)</f>
        <v>0</v>
      </c>
      <c r="AL290" s="38">
        <f>IF(AND(AL$7="○",$A290&gt;=AL$8,$A290&lt;=AL$9),IF(SUM(AL$10:AL289)-ROUNDDOWN($N290*AL$5/100,0)&lt;-AL$6,-AL$6-SUM(AL$10:AL289),-ROUNDDOWN($N290*AL$5/100,0)),0)</f>
        <v>0</v>
      </c>
      <c r="AM290" s="38">
        <f>IF(AND(AM$7="○",$A290&gt;=AM$8,$A290&lt;=AM$9),IF(SUM(AM$10:AM289)-ROUNDDOWN($L290*AM$5/100,0)&lt;-AM$6,-AM$6-SUM(AM$10:AM289),-ROUNDDOWN($L290*AM$5/100,0)),0)</f>
        <v>0</v>
      </c>
      <c r="AN290" s="38">
        <f>IF(AND(AN$7="○",$A290&gt;=AN$8,$A290&lt;=AN$9),IF(SUM(AN$10:AN289)-ROUNDDOWN($M290*AN$5/100,0)&lt;-AN$6,-AN$6-SUM(AN$10:AN289),-ROUNDDOWN($M290*AN$5/100,0)),0)</f>
        <v>0</v>
      </c>
      <c r="AO290" s="38">
        <f>IF(AND($A290&gt;=AO$8,$A290&lt;=AO$9),IF(SUM(AO$10:AO289)-ROUNDDOWN($K290*AO$5/100,0)&lt;-AO$6,-AO$6-SUM(AO$10:AO289),-ROUNDDOWN($K290*AO$5/100,0)),0)</f>
        <v>0</v>
      </c>
      <c r="AP290" s="38">
        <f>IF(AND($A290&gt;=AP$8,$A290&lt;=AP$9),IF(SUM(AP$10:AP289)-ROUNDDOWN($K290*AP$5/100,0)&lt;-AP$6,-AP$6-SUM(AP$10:AP289),-ROUNDDOWN($K290*AP$5/100,0)),0)</f>
        <v>0</v>
      </c>
      <c r="AQ290" s="38">
        <f>IF(AND($A290&gt;=AQ$8,$A290&lt;=AQ$9),IF(SUM(AQ$10:AQ289)-ROUNDDOWN($K290*AQ$5/100,0)&lt;-AQ$6,-AQ$6-SUM(AQ$10:AQ289),-ROUNDDOWN($K290*AQ$5/100,0)),0)</f>
        <v>0</v>
      </c>
      <c r="AR290" s="38">
        <f>IF(AND($A290&gt;=AR$8,$A290&lt;=AR$9),IF(SUM(AR$10:AR289)-ROUNDDOWN($K290*AR$5/100,0)&lt;-AR$6,-AR$6-SUM(AR$10:AR289),-ROUNDDOWN($K290*AR$5/100,0)),0)</f>
        <v>0</v>
      </c>
      <c r="AS290" s="38">
        <f>IF(SUMIFS(AS$10:AS289,$A$10:$A289,$A290)-ROUNDDOWN($K290*$S290/100,0)&lt;-$S290*1000,-$S290*1000-SUMIFS(AS$10:AS289,$A$10:$A289,$A290),-ROUNDDOWN($K290*$S290/100,0))</f>
        <v>0</v>
      </c>
      <c r="AT290" s="38">
        <f>IF(AND(X290="○",$A290&gt;=AT$8,$A290&lt;=AT$9,K290&gt;=3980),IF(SUM(AT$10:AT289)-ROUNDDOWN($K290*AT$5/100,0)&lt;-AT$6,-AT$6-SUM(AT$10:AT289),-ROUNDDOWN($K290*AT$5/100,0)),0)</f>
        <v>0</v>
      </c>
      <c r="AU290" s="38">
        <f>IF(O290="○",IF(SUM(AU$10:AU289)-ROUNDDOWN($K290*AU$5/100,0)&lt;-AU$6,-AU$6-SUM(AU$10:AU289),-ROUNDDOWN($K290*AU$5/100,0)),0)</f>
        <v>0</v>
      </c>
      <c r="AV290" s="38">
        <f>IF(P290="○",IF(SUM(AV$10:AV289)-ROUNDDOWN($K290*AV$5/100,0)&lt;-AV$6,-AV$6-SUM(AV$10:AV289),-ROUNDDOWN($K290*AV$5/100,0)),0)</f>
        <v>0</v>
      </c>
      <c r="AW290" s="38">
        <f>IF(Q290="○",IF(SUM(AW$10:AW289)-ROUNDDOWN($K290*AW$5/100,0)&lt;-AW$6,-AW$6-SUM(AW$10:AW289),-ROUNDDOWN($K290*AW$5/100,0)),0)</f>
        <v>0</v>
      </c>
      <c r="AX290" s="38">
        <f>IF(R290="○",IF(SUM(AX$10:AX289)-ROUNDDOWN($K290*AX$5/100,0)&lt;-AX$6,-AX$6-SUM(AX$10:AX289),-ROUNDDOWN($K290*AX$5/100,0)),0)</f>
        <v>0</v>
      </c>
      <c r="AY290" s="70">
        <v>0</v>
      </c>
      <c r="AZ290" s="65">
        <f t="shared" si="213"/>
        <v>0</v>
      </c>
      <c r="BA290" s="65">
        <f t="shared" si="214"/>
        <v>0</v>
      </c>
      <c r="BB290" s="70"/>
      <c r="BC290" s="65">
        <f t="shared" si="215"/>
        <v>0</v>
      </c>
      <c r="BD290" s="70">
        <v>0</v>
      </c>
      <c r="BE290" s="65">
        <f t="shared" si="216"/>
        <v>0</v>
      </c>
      <c r="BF290" s="70">
        <v>0</v>
      </c>
      <c r="BG290" s="65">
        <f t="shared" si="217"/>
        <v>0</v>
      </c>
      <c r="BH290" s="70">
        <v>0</v>
      </c>
      <c r="BI290" s="65">
        <f t="shared" si="218"/>
        <v>0</v>
      </c>
      <c r="BJ290" s="38">
        <f>IF(AND(BJ$7="○",$A290&gt;=BJ$8,$A290&lt;=BJ$9),IF(SUM(BJ$10:BJ289)-ROUNDDOWN($M290*BJ$5/100,0)&lt;-BJ$6,-BJ$6-SUM(BJ$10:BJ289),-ROUNDDOWN($M290*BJ$5/100,0)),0)</f>
        <v>0</v>
      </c>
      <c r="BK290" s="38">
        <f>IF(AND(BK$7="○",$A290&gt;=BK$8,$A290&lt;=BK$9),IF(SUM(BK$10:BK289)-ROUNDDOWN($L290*BK$5/100,0)&lt;-BK$6,-BK$6-SUM(BK$10:BK289),-ROUNDDOWN($L290*BK$5/100,0)),0)</f>
        <v>0</v>
      </c>
      <c r="BL290" s="38">
        <f>IF(AND(BL$7="○",$A290&gt;=BL$8,$A290&lt;=BL$9),IF(SUM(BL$10:BL289)-ROUNDDOWN($L290*BL$5/100,0)&lt;-BL$6,-BL$6-SUM(BL$10:BL289),-ROUNDDOWN($L290*BL$5/100,0)),0)</f>
        <v>0</v>
      </c>
      <c r="BM290" s="38">
        <f>IF(AND(BM$7="○",$A290&gt;=BM$8,$A290&lt;=BM$9),IF(SUM(BM$10:BM289)-ROUNDDOWN($M290*BM$5/100,0)&lt;-BM$6,-BM$6-SUM(BM$10:BM289),-ROUNDDOWN($M290*BM$5/100,0)),0)</f>
        <v>0</v>
      </c>
      <c r="BN290" s="38">
        <f>IF(AND(BN$7="○",$A290&gt;=BN$8,$A290&lt;=BN$9),IF(SUM(BN$10:BN289)-ROUNDDOWN($M290*BN$5/100,0)&lt;-BN$6,-BN$6-SUM(BN$10:BN289),-ROUNDDOWN($M290*BN$5/100,0)),0)</f>
        <v>0</v>
      </c>
      <c r="BO290" s="38">
        <f>IF(AND(BO$7="○",$A290&gt;=BO$8,$A290&lt;=BO$9),IF(SUM(BO$10:BO289)-ROUNDDOWN($M290*BO$5/100,0)&lt;-BO$6,-BO$6-SUM(BO$10:BO289),-ROUNDDOWN($M290*BO$5/100,0)),0)</f>
        <v>0</v>
      </c>
      <c r="BP290" s="38">
        <f>IF(AND(BP$7="○",$A290&gt;=BP$8,$A290&lt;=BP$9),IF(SUM(BP$10:BP289)-ROUNDDOWN($M290*BP$5/100,0)&lt;-BP$6,-BP$6-SUM(BP$10:BP289),-ROUNDDOWN($M290*BP$5/100,0)),0)</f>
        <v>0</v>
      </c>
      <c r="BQ290" s="38">
        <f>IF(AND(BQ$7="○",$A290&gt;=BQ$8,$A290&lt;=BQ$9),IF(SUM(BQ$10:BQ289)-ROUNDDOWN($L290*BQ$5/100,0)&lt;-BQ$6,-BQ$6-SUM(BQ$10:BQ289),-ROUNDDOWN($L290*BQ$5/100,0)),0)</f>
        <v>0</v>
      </c>
      <c r="BR290" s="38">
        <f>IF(AND(BR$7="○",$A290&gt;=BR$8,$A290&lt;=BR$9),IF(SUM(BR$10:BR289)-ROUNDDOWN($M290*BR$5/100,0)&lt;-BR$6,-BR$6-SUM(BR$10:BR289),-ROUNDDOWN($M290*BR$5/100,0)),0)</f>
        <v>0</v>
      </c>
      <c r="BS290" s="38">
        <f>IF(AND(BS$7="○",$A290&gt;=BS$8,$A290&lt;=BS$9),IF(SUM(BS$10:BS289)-ROUNDDOWN($M290*BS$5/100,0)&lt;-BS$6,-BS$6-SUM(BS$10:BS289),-ROUNDDOWN($M290*BS$5/100,0)),0)</f>
        <v>0</v>
      </c>
      <c r="BT290" s="38">
        <f>IF(AND(BT$7="○",$A290&gt;=BT$8,$A290&lt;=BT$9),IF(SUM(BT$10:BT289)-ROUNDDOWN($M290*BT$5/100,0)&lt;-BT$6,-BT$6-SUM(BT$10:BT289),-ROUNDDOWN($M290*BT$5/100,0)),0)</f>
        <v>0</v>
      </c>
      <c r="BU290" s="38">
        <f>IF(AND(BU$7="○",$A290&gt;=BU$8,$A290&lt;=BU$9),IF(SUM(BU$10:BU289)-ROUNDDOWN($M290*BU$5/100,0)&lt;-BU$6,-BU$6-SUM(BU$10:BU289),-ROUNDDOWN($M290*BU$5/100,0)),0)</f>
        <v>0</v>
      </c>
      <c r="BV290" s="38">
        <f>IF(AND(BV$7="○",$A290&gt;=BV$8,$A290&lt;=BV$9),IF(SUM(BV$10:BV289)-ROUNDDOWN($M290*BV$5/100,0)&lt;-BV$6,-BV$6-SUM(BV$10:BV289),-ROUNDDOWN($M290*BV$5/100,0)),0)</f>
        <v>0</v>
      </c>
      <c r="BW290" s="38">
        <f>IF(AND(BW$7="○",$A290&gt;=BW$8,$A290&lt;=BW$9),IF(SUM(BW$10:BW289)-ROUNDDOWN($M290*BW$5/100,0)&lt;-BW$6,-BW$6-SUM(BW$10:BW289),-ROUNDDOWN($M290*BW$5/100,0)),0)</f>
        <v>0</v>
      </c>
      <c r="BX290" s="38">
        <f>IF(AND(T290="○",$A290&gt;=BX$8,$A290&lt;=BX$9),IF(SUM(BX$10:BX289)-ROUNDDOWN($K290*BX$5/100,0)&lt;-BX$6,-BX$6-SUM(BX$10:BX289),-ROUNDDOWN($K290*BX$5/100,0)),0)</f>
        <v>0</v>
      </c>
      <c r="BY290" s="38">
        <f>IF(AND(U290="○",$A290&gt;=BY$8,$A290&lt;=BY$9),IF(SUM(BY$10:BY289)-ROUNDDOWN($K290*BY$5/100,0)&lt;-BY$6,-BY$6-SUM(BY$10:BY289),-ROUNDDOWN($K290*BY$5/100,0)),0)</f>
        <v>0</v>
      </c>
      <c r="BZ290" s="38">
        <f>IF(AND(V290="○",$A290&gt;=BZ$8,$A290&lt;=BZ$9),IF(SUM(BZ$10:BZ289)-ROUNDDOWN($K290*BZ$5/100,0)&lt;-BZ$6,-BZ$6-SUM(BZ$10:BZ289),-ROUNDDOWN($K290*BZ$5/100,0)),0)</f>
        <v>0</v>
      </c>
      <c r="CA290" s="38">
        <f>IF(AND(W290="○",$A290&gt;=CA$8,$A290&lt;=CA$9),IF(SUM(CA$10:CA289)-ROUNDDOWN($K290*CA$5/100,0)&lt;-CA$6,-CA$6-SUM(CA$10:CA289),-ROUNDDOWN($K290*CA$5/100,0)),0)</f>
        <v>0</v>
      </c>
      <c r="CB290" s="38"/>
      <c r="CC290" s="38"/>
      <c r="CD290" s="38"/>
      <c r="CE290" s="38"/>
      <c r="CF290" s="38"/>
      <c r="CG290" s="65">
        <f t="shared" si="219"/>
        <v>0</v>
      </c>
      <c r="CH290" s="71">
        <f t="shared" si="220"/>
        <v>0</v>
      </c>
      <c r="CI290" s="1">
        <f t="shared" si="19"/>
        <v>0</v>
      </c>
      <c r="CJ290" s="1"/>
      <c r="CK290" s="72"/>
      <c r="CL290" s="72"/>
      <c r="CM290" s="2"/>
      <c r="CN290" s="2"/>
      <c r="CO290" s="73">
        <f t="shared" si="20"/>
        <v>0</v>
      </c>
      <c r="CP290" s="5">
        <f t="shared" si="21"/>
        <v>0</v>
      </c>
      <c r="CQ290" s="1"/>
      <c r="CR290" s="1">
        <f t="shared" si="22"/>
        <v>0</v>
      </c>
      <c r="CS290" s="1"/>
      <c r="CT290" s="1" t="e">
        <f>INDEX([2]マスタ!$A:$A,MATCH(D290,[2]マスタ!$C:$C,0))</f>
        <v>#N/A</v>
      </c>
      <c r="CU290" s="1" t="str">
        <f t="shared" ca="1" si="23"/>
        <v>20260620_0-0</v>
      </c>
    </row>
    <row r="291" spans="1:99" x14ac:dyDescent="0.4">
      <c r="A291" s="61"/>
      <c r="B291" s="62"/>
      <c r="C291" s="62"/>
      <c r="D291" s="62"/>
      <c r="E291" s="74"/>
      <c r="F291" s="62"/>
      <c r="G291" s="62">
        <v>1</v>
      </c>
      <c r="H291" s="64">
        <f t="shared" si="4"/>
        <v>0</v>
      </c>
      <c r="I291" s="64"/>
      <c r="J291" s="64"/>
      <c r="K291" s="65">
        <f t="shared" si="223"/>
        <v>0</v>
      </c>
      <c r="L291" s="65">
        <f t="shared" si="6"/>
        <v>0</v>
      </c>
      <c r="M291" s="65">
        <f t="shared" si="7"/>
        <v>0</v>
      </c>
      <c r="N291" s="65">
        <f t="shared" si="8"/>
        <v>0</v>
      </c>
      <c r="O291" s="66" t="str">
        <f t="shared" si="224"/>
        <v>✕</v>
      </c>
      <c r="P291" s="67" t="str">
        <f t="shared" si="225"/>
        <v>○</v>
      </c>
      <c r="Q291" s="67" t="str">
        <f t="shared" si="226"/>
        <v>✕</v>
      </c>
      <c r="R291" s="67" t="str">
        <f t="shared" si="227"/>
        <v>✕</v>
      </c>
      <c r="S291" s="68">
        <v>0</v>
      </c>
      <c r="T291" s="69" t="s">
        <v>85</v>
      </c>
      <c r="U291" s="69" t="s">
        <v>85</v>
      </c>
      <c r="V291" s="69" t="s">
        <v>85</v>
      </c>
      <c r="W291" s="69" t="s">
        <v>85</v>
      </c>
      <c r="X291" s="69" t="s">
        <v>84</v>
      </c>
      <c r="Y291" s="69" t="s">
        <v>85</v>
      </c>
      <c r="Z291" s="69" t="s">
        <v>85</v>
      </c>
      <c r="AA291" s="69" t="s">
        <v>85</v>
      </c>
      <c r="AB291" s="69" t="s">
        <v>85</v>
      </c>
      <c r="AC291" s="69" t="s">
        <v>85</v>
      </c>
      <c r="AD291" s="38" t="str">
        <f>+IF(ISERROR(VLOOKUP($B291,AD$10:AD290,1,0)),IF(AND($N291&gt;=1000,$A291&gt;=AO$8,$A291&lt;=AO$9),$B291,""),"")</f>
        <v/>
      </c>
      <c r="AE291" s="38" t="str">
        <f>+IF(ISERROR(VLOOKUP($B291,AE$10:AE290,1,0)),IF(AND($N291&gt;=1000,$A291&gt;=AP$8,$A291&lt;=AP$9),$B291,""),"")</f>
        <v/>
      </c>
      <c r="AF291" s="38" t="str">
        <f>+IF(ISERROR(VLOOKUP($B291,AF$10:AF290,1,0)),IF(AND($N291&gt;=1000,$A291&gt;=AQ$8,$A291&lt;=AQ$9),$B291,""),"")</f>
        <v/>
      </c>
      <c r="AG291" s="38" t="str">
        <f>+IF(ISERROR(VLOOKUP($B291,AG$10:AG290,1,0)),IF(AND($N291&gt;=1000,$A291&gt;=AR$8,$A291&lt;=AR$9),$B291,""),"")</f>
        <v/>
      </c>
      <c r="AH291" s="38"/>
      <c r="AI291" s="70">
        <v>0</v>
      </c>
      <c r="AJ291" s="38">
        <f>IF(AND(AJ$7="○",$A291&gt;=AJ$8,$A291&lt;=AJ$9),IF(SUM(AJ$10:AJ290)-ROUNDDOWN($K291*AJ$5/100,0)&lt;-AJ$6,-AJ$6-SUM(AJ$10:AJ290),-ROUNDDOWN($K291*AJ$5/100,0)),0)</f>
        <v>0</v>
      </c>
      <c r="AK291" s="38">
        <f>IF(AND(AK$7="○",$A291&gt;=AK$8,$A291&lt;=AK$9),IF(SUM(AK$10:AK290)-ROUNDDOWN($L291*AK$5/100,0)&lt;-AK$6,-AK$6-SUM(AK$10:AK290),-ROUNDDOWN($L291*AK$5/100,0)),0)</f>
        <v>0</v>
      </c>
      <c r="AL291" s="38">
        <f>IF(AND(AL$7="○",$A291&gt;=AL$8,$A291&lt;=AL$9),IF(SUM(AL$10:AL290)-ROUNDDOWN($N291*AL$5/100,0)&lt;-AL$6,-AL$6-SUM(AL$10:AL290),-ROUNDDOWN($N291*AL$5/100,0)),0)</f>
        <v>0</v>
      </c>
      <c r="AM291" s="38">
        <f>IF(AND(AM$7="○",$A291&gt;=AM$8,$A291&lt;=AM$9),IF(SUM(AM$10:AM290)-ROUNDDOWN($L291*AM$5/100,0)&lt;-AM$6,-AM$6-SUM(AM$10:AM290),-ROUNDDOWN($L291*AM$5/100,0)),0)</f>
        <v>0</v>
      </c>
      <c r="AN291" s="38">
        <f>IF(AND(AN$7="○",$A291&gt;=AN$8,$A291&lt;=AN$9),IF(SUM(AN$10:AN290)-ROUNDDOWN($M291*AN$5/100,0)&lt;-AN$6,-AN$6-SUM(AN$10:AN290),-ROUNDDOWN($M291*AN$5/100,0)),0)</f>
        <v>0</v>
      </c>
      <c r="AO291" s="38">
        <f>IF(AND($A291&gt;=AO$8,$A291&lt;=AO$9),IF(SUM(AO$10:AO290)-ROUNDDOWN($K291*AO$5/100,0)&lt;-AO$6,-AO$6-SUM(AO$10:AO290),-ROUNDDOWN($K291*AO$5/100,0)),0)</f>
        <v>0</v>
      </c>
      <c r="AP291" s="38">
        <f>IF(AND($A291&gt;=AP$8,$A291&lt;=AP$9),IF(SUM(AP$10:AP290)-ROUNDDOWN($K291*AP$5/100,0)&lt;-AP$6,-AP$6-SUM(AP$10:AP290),-ROUNDDOWN($K291*AP$5/100,0)),0)</f>
        <v>0</v>
      </c>
      <c r="AQ291" s="38">
        <f>IF(AND($A291&gt;=AQ$8,$A291&lt;=AQ$9),IF(SUM(AQ$10:AQ290)-ROUNDDOWN($K291*AQ$5/100,0)&lt;-AQ$6,-AQ$6-SUM(AQ$10:AQ290),-ROUNDDOWN($K291*AQ$5/100,0)),0)</f>
        <v>0</v>
      </c>
      <c r="AR291" s="38">
        <f>IF(AND($A291&gt;=AR$8,$A291&lt;=AR$9),IF(SUM(AR$10:AR290)-ROUNDDOWN($K291*AR$5/100,0)&lt;-AR$6,-AR$6-SUM(AR$10:AR290),-ROUNDDOWN($K291*AR$5/100,0)),0)</f>
        <v>0</v>
      </c>
      <c r="AS291" s="38">
        <f>IF(SUMIFS(AS$10:AS290,$A$10:$A290,$A291)-ROUNDDOWN($K291*$S291/100,0)&lt;-$S291*1000,-$S291*1000-SUMIFS(AS$10:AS290,$A$10:$A290,$A291),-ROUNDDOWN($K291*$S291/100,0))</f>
        <v>0</v>
      </c>
      <c r="AT291" s="38">
        <f>IF(AND(X291="○",$A291&gt;=AT$8,$A291&lt;=AT$9,K291&gt;=3980),IF(SUM(AT$10:AT290)-ROUNDDOWN($K291*AT$5/100,0)&lt;-AT$6,-AT$6-SUM(AT$10:AT290),-ROUNDDOWN($K291*AT$5/100,0)),0)</f>
        <v>0</v>
      </c>
      <c r="AU291" s="38">
        <f>IF(O291="○",IF(SUM(AU$10:AU290)-ROUNDDOWN($K291*AU$5/100,0)&lt;-AU$6,-AU$6-SUM(AU$10:AU290),-ROUNDDOWN($K291*AU$5/100,0)),0)</f>
        <v>0</v>
      </c>
      <c r="AV291" s="38">
        <f>IF(P291="○",IF(SUM(AV$10:AV290)-ROUNDDOWN($K291*AV$5/100,0)&lt;-AV$6,-AV$6-SUM(AV$10:AV290),-ROUNDDOWN($K291*AV$5/100,0)),0)</f>
        <v>0</v>
      </c>
      <c r="AW291" s="38">
        <f>IF(Q291="○",IF(SUM(AW$10:AW290)-ROUNDDOWN($K291*AW$5/100,0)&lt;-AW$6,-AW$6-SUM(AW$10:AW290),-ROUNDDOWN($K291*AW$5/100,0)),0)</f>
        <v>0</v>
      </c>
      <c r="AX291" s="38">
        <f>IF(R291="○",IF(SUM(AX$10:AX290)-ROUNDDOWN($K291*AX$5/100,0)&lt;-AX$6,-AX$6-SUM(AX$10:AX290),-ROUNDDOWN($K291*AX$5/100,0)),0)</f>
        <v>0</v>
      </c>
      <c r="AY291" s="70">
        <v>0</v>
      </c>
      <c r="AZ291" s="65">
        <f t="shared" si="213"/>
        <v>0</v>
      </c>
      <c r="BA291" s="65">
        <f t="shared" si="214"/>
        <v>0</v>
      </c>
      <c r="BB291" s="70"/>
      <c r="BC291" s="65">
        <f t="shared" si="215"/>
        <v>0</v>
      </c>
      <c r="BD291" s="70">
        <v>0</v>
      </c>
      <c r="BE291" s="65">
        <f t="shared" si="216"/>
        <v>0</v>
      </c>
      <c r="BF291" s="70">
        <v>0</v>
      </c>
      <c r="BG291" s="65">
        <f t="shared" si="217"/>
        <v>0</v>
      </c>
      <c r="BH291" s="70">
        <v>0</v>
      </c>
      <c r="BI291" s="65">
        <f t="shared" si="218"/>
        <v>0</v>
      </c>
      <c r="BJ291" s="38">
        <f>IF(AND(BJ$7="○",$A291&gt;=BJ$8,$A291&lt;=BJ$9),IF(SUM(BJ$10:BJ290)-ROUNDDOWN($M291*BJ$5/100,0)&lt;-BJ$6,-BJ$6-SUM(BJ$10:BJ290),-ROUNDDOWN($M291*BJ$5/100,0)),0)</f>
        <v>0</v>
      </c>
      <c r="BK291" s="38">
        <f>IF(AND(BK$7="○",$A291&gt;=BK$8,$A291&lt;=BK$9),IF(SUM(BK$10:BK290)-ROUNDDOWN($L291*BK$5/100,0)&lt;-BK$6,-BK$6-SUM(BK$10:BK290),-ROUNDDOWN($L291*BK$5/100,0)),0)</f>
        <v>0</v>
      </c>
      <c r="BL291" s="38">
        <f>IF(AND(BL$7="○",$A291&gt;=BL$8,$A291&lt;=BL$9),IF(SUM(BL$10:BL290)-ROUNDDOWN($L291*BL$5/100,0)&lt;-BL$6,-BL$6-SUM(BL$10:BL290),-ROUNDDOWN($L291*BL$5/100,0)),0)</f>
        <v>0</v>
      </c>
      <c r="BM291" s="38">
        <f>IF(AND(BM$7="○",$A291&gt;=BM$8,$A291&lt;=BM$9),IF(SUM(BM$10:BM290)-ROUNDDOWN($M291*BM$5/100,0)&lt;-BM$6,-BM$6-SUM(BM$10:BM290),-ROUNDDOWN($M291*BM$5/100,0)),0)</f>
        <v>0</v>
      </c>
      <c r="BN291" s="38">
        <f>IF(AND(BN$7="○",$A291&gt;=BN$8,$A291&lt;=BN$9),IF(SUM(BN$10:BN290)-ROUNDDOWN($M291*BN$5/100,0)&lt;-BN$6,-BN$6-SUM(BN$10:BN290),-ROUNDDOWN($M291*BN$5/100,0)),0)</f>
        <v>0</v>
      </c>
      <c r="BO291" s="38">
        <f>IF(AND(BO$7="○",$A291&gt;=BO$8,$A291&lt;=BO$9),IF(SUM(BO$10:BO290)-ROUNDDOWN($M291*BO$5/100,0)&lt;-BO$6,-BO$6-SUM(BO$10:BO290),-ROUNDDOWN($M291*BO$5/100,0)),0)</f>
        <v>0</v>
      </c>
      <c r="BP291" s="38">
        <f>IF(AND(BP$7="○",$A291&gt;=BP$8,$A291&lt;=BP$9),IF(SUM(BP$10:BP290)-ROUNDDOWN($M291*BP$5/100,0)&lt;-BP$6,-BP$6-SUM(BP$10:BP290),-ROUNDDOWN($M291*BP$5/100,0)),0)</f>
        <v>0</v>
      </c>
      <c r="BQ291" s="38">
        <f>IF(AND(BQ$7="○",$A291&gt;=BQ$8,$A291&lt;=BQ$9),IF(SUM(BQ$10:BQ290)-ROUNDDOWN($L291*BQ$5/100,0)&lt;-BQ$6,-BQ$6-SUM(BQ$10:BQ290),-ROUNDDOWN($L291*BQ$5/100,0)),0)</f>
        <v>0</v>
      </c>
      <c r="BR291" s="38">
        <f>IF(AND(BR$7="○",$A291&gt;=BR$8,$A291&lt;=BR$9),IF(SUM(BR$10:BR290)-ROUNDDOWN($M291*BR$5/100,0)&lt;-BR$6,-BR$6-SUM(BR$10:BR290),-ROUNDDOWN($M291*BR$5/100,0)),0)</f>
        <v>0</v>
      </c>
      <c r="BS291" s="38">
        <f>IF(AND(BS$7="○",$A291&gt;=BS$8,$A291&lt;=BS$9),IF(SUM(BS$10:BS290)-ROUNDDOWN($M291*BS$5/100,0)&lt;-BS$6,-BS$6-SUM(BS$10:BS290),-ROUNDDOWN($M291*BS$5/100,0)),0)</f>
        <v>0</v>
      </c>
      <c r="BT291" s="38">
        <f>IF(AND(BT$7="○",$A291&gt;=BT$8,$A291&lt;=BT$9),IF(SUM(BT$10:BT290)-ROUNDDOWN($M291*BT$5/100,0)&lt;-BT$6,-BT$6-SUM(BT$10:BT290),-ROUNDDOWN($M291*BT$5/100,0)),0)</f>
        <v>0</v>
      </c>
      <c r="BU291" s="38">
        <f>IF(AND(BU$7="○",$A291&gt;=BU$8,$A291&lt;=BU$9),IF(SUM(BU$10:BU290)-ROUNDDOWN($M291*BU$5/100,0)&lt;-BU$6,-BU$6-SUM(BU$10:BU290),-ROUNDDOWN($M291*BU$5/100,0)),0)</f>
        <v>0</v>
      </c>
      <c r="BV291" s="38">
        <f>IF(AND(BV$7="○",$A291&gt;=BV$8,$A291&lt;=BV$9),IF(SUM(BV$10:BV290)-ROUNDDOWN($M291*BV$5/100,0)&lt;-BV$6,-BV$6-SUM(BV$10:BV290),-ROUNDDOWN($M291*BV$5/100,0)),0)</f>
        <v>0</v>
      </c>
      <c r="BW291" s="38">
        <f>IF(AND(BW$7="○",$A291&gt;=BW$8,$A291&lt;=BW$9),IF(SUM(BW$10:BW290)-ROUNDDOWN($M291*BW$5/100,0)&lt;-BW$6,-BW$6-SUM(BW$10:BW290),-ROUNDDOWN($M291*BW$5/100,0)),0)</f>
        <v>0</v>
      </c>
      <c r="BX291" s="38">
        <f>IF(AND(T291="○",$A291&gt;=BX$8,$A291&lt;=BX$9),IF(SUM(BX$10:BX290)-ROUNDDOWN($K291*BX$5/100,0)&lt;-BX$6,-BX$6-SUM(BX$10:BX290),-ROUNDDOWN($K291*BX$5/100,0)),0)</f>
        <v>0</v>
      </c>
      <c r="BY291" s="38">
        <f>IF(AND(U291="○",$A291&gt;=BY$8,$A291&lt;=BY$9),IF(SUM(BY$10:BY290)-ROUNDDOWN($K291*BY$5/100,0)&lt;-BY$6,-BY$6-SUM(BY$10:BY290),-ROUNDDOWN($K291*BY$5/100,0)),0)</f>
        <v>0</v>
      </c>
      <c r="BZ291" s="38">
        <f>IF(AND(V291="○",$A291&gt;=BZ$8,$A291&lt;=BZ$9),IF(SUM(BZ$10:BZ290)-ROUNDDOWN($K291*BZ$5/100,0)&lt;-BZ$6,-BZ$6-SUM(BZ$10:BZ290),-ROUNDDOWN($K291*BZ$5/100,0)),0)</f>
        <v>0</v>
      </c>
      <c r="CA291" s="38">
        <f>IF(AND(W291="○",$A291&gt;=CA$8,$A291&lt;=CA$9),IF(SUM(CA$10:CA290)-ROUNDDOWN($K291*CA$5/100,0)&lt;-CA$6,-CA$6-SUM(CA$10:CA290),-ROUNDDOWN($K291*CA$5/100,0)),0)</f>
        <v>0</v>
      </c>
      <c r="CB291" s="38"/>
      <c r="CC291" s="38"/>
      <c r="CD291" s="38"/>
      <c r="CE291" s="38"/>
      <c r="CF291" s="38"/>
      <c r="CG291" s="65">
        <f t="shared" si="219"/>
        <v>0</v>
      </c>
      <c r="CH291" s="71">
        <f t="shared" si="220"/>
        <v>0</v>
      </c>
      <c r="CI291" s="1">
        <f t="shared" si="19"/>
        <v>0</v>
      </c>
      <c r="CJ291" s="1"/>
      <c r="CK291" s="72"/>
      <c r="CL291" s="72"/>
      <c r="CM291" s="2"/>
      <c r="CN291" s="2"/>
      <c r="CO291" s="73">
        <f t="shared" si="20"/>
        <v>0</v>
      </c>
      <c r="CP291" s="5">
        <f t="shared" si="21"/>
        <v>0</v>
      </c>
      <c r="CQ291" s="1"/>
      <c r="CR291" s="1">
        <f t="shared" si="22"/>
        <v>0</v>
      </c>
      <c r="CS291" s="1"/>
      <c r="CT291" s="1" t="e">
        <f>INDEX([2]マスタ!$A:$A,MATCH(D291,[2]マスタ!$C:$C,0))</f>
        <v>#N/A</v>
      </c>
      <c r="CU291" s="1" t="str">
        <f t="shared" ca="1" si="23"/>
        <v>20260620_0-0</v>
      </c>
    </row>
    <row r="292" spans="1:99" x14ac:dyDescent="0.4">
      <c r="A292" s="61"/>
      <c r="B292" s="62"/>
      <c r="C292" s="62"/>
      <c r="D292" s="62"/>
      <c r="E292" s="74"/>
      <c r="F292" s="62"/>
      <c r="G292" s="62">
        <v>1</v>
      </c>
      <c r="H292" s="64">
        <f t="shared" si="4"/>
        <v>0</v>
      </c>
      <c r="I292" s="64"/>
      <c r="J292" s="64"/>
      <c r="K292" s="65">
        <f t="shared" si="223"/>
        <v>0</v>
      </c>
      <c r="L292" s="65">
        <f t="shared" si="6"/>
        <v>0</v>
      </c>
      <c r="M292" s="65">
        <f t="shared" si="7"/>
        <v>0</v>
      </c>
      <c r="N292" s="65">
        <f t="shared" si="8"/>
        <v>0</v>
      </c>
      <c r="O292" s="66" t="str">
        <f t="shared" si="224"/>
        <v>✕</v>
      </c>
      <c r="P292" s="67" t="str">
        <f t="shared" si="225"/>
        <v>○</v>
      </c>
      <c r="Q292" s="67" t="str">
        <f t="shared" si="226"/>
        <v>✕</v>
      </c>
      <c r="R292" s="67" t="str">
        <f t="shared" si="227"/>
        <v>✕</v>
      </c>
      <c r="S292" s="68">
        <v>0</v>
      </c>
      <c r="T292" s="69" t="s">
        <v>85</v>
      </c>
      <c r="U292" s="69" t="s">
        <v>85</v>
      </c>
      <c r="V292" s="69" t="s">
        <v>85</v>
      </c>
      <c r="W292" s="69" t="s">
        <v>85</v>
      </c>
      <c r="X292" s="69" t="s">
        <v>84</v>
      </c>
      <c r="Y292" s="69" t="s">
        <v>85</v>
      </c>
      <c r="Z292" s="69" t="s">
        <v>85</v>
      </c>
      <c r="AA292" s="69" t="s">
        <v>85</v>
      </c>
      <c r="AB292" s="69" t="s">
        <v>85</v>
      </c>
      <c r="AC292" s="69" t="s">
        <v>85</v>
      </c>
      <c r="AD292" s="38" t="str">
        <f>+IF(ISERROR(VLOOKUP($B292,AD$10:AD291,1,0)),IF(AND($N292&gt;=1000,$A292&gt;=AO$8,$A292&lt;=AO$9),$B292,""),"")</f>
        <v/>
      </c>
      <c r="AE292" s="38" t="str">
        <f>+IF(ISERROR(VLOOKUP($B292,AE$10:AE291,1,0)),IF(AND($N292&gt;=1000,$A292&gt;=AP$8,$A292&lt;=AP$9),$B292,""),"")</f>
        <v/>
      </c>
      <c r="AF292" s="38" t="str">
        <f>+IF(ISERROR(VLOOKUP($B292,AF$10:AF291,1,0)),IF(AND($N292&gt;=1000,$A292&gt;=AQ$8,$A292&lt;=AQ$9),$B292,""),"")</f>
        <v/>
      </c>
      <c r="AG292" s="38" t="str">
        <f>+IF(ISERROR(VLOOKUP($B292,AG$10:AG291,1,0)),IF(AND($N292&gt;=1000,$A292&gt;=AR$8,$A292&lt;=AR$9),$B292,""),"")</f>
        <v/>
      </c>
      <c r="AH292" s="38"/>
      <c r="AI292" s="70">
        <v>0</v>
      </c>
      <c r="AJ292" s="38">
        <f>IF(AND(AJ$7="○",$A292&gt;=AJ$8,$A292&lt;=AJ$9),IF(SUM(AJ$10:AJ291)-ROUNDDOWN($K292*AJ$5/100,0)&lt;-AJ$6,-AJ$6-SUM(AJ$10:AJ291),-ROUNDDOWN($K292*AJ$5/100,0)),0)</f>
        <v>0</v>
      </c>
      <c r="AK292" s="38">
        <f>IF(AND(AK$7="○",$A292&gt;=AK$8,$A292&lt;=AK$9),IF(SUM(AK$10:AK291)-ROUNDDOWN($L292*AK$5/100,0)&lt;-AK$6,-AK$6-SUM(AK$10:AK291),-ROUNDDOWN($L292*AK$5/100,0)),0)</f>
        <v>0</v>
      </c>
      <c r="AL292" s="38">
        <f>IF(AND(AL$7="○",$A292&gt;=AL$8,$A292&lt;=AL$9),IF(SUM(AL$10:AL291)-ROUNDDOWN($N292*AL$5/100,0)&lt;-AL$6,-AL$6-SUM(AL$10:AL291),-ROUNDDOWN($N292*AL$5/100,0)),0)</f>
        <v>0</v>
      </c>
      <c r="AM292" s="38">
        <f>IF(AND(AM$7="○",$A292&gt;=AM$8,$A292&lt;=AM$9),IF(SUM(AM$10:AM291)-ROUNDDOWN($L292*AM$5/100,0)&lt;-AM$6,-AM$6-SUM(AM$10:AM291),-ROUNDDOWN($L292*AM$5/100,0)),0)</f>
        <v>0</v>
      </c>
      <c r="AN292" s="38">
        <f>IF(AND(AN$7="○",$A292&gt;=AN$8,$A292&lt;=AN$9),IF(SUM(AN$10:AN291)-ROUNDDOWN($M292*AN$5/100,0)&lt;-AN$6,-AN$6-SUM(AN$10:AN291),-ROUNDDOWN($M292*AN$5/100,0)),0)</f>
        <v>0</v>
      </c>
      <c r="AO292" s="38">
        <f>IF(AND($A292&gt;=AO$8,$A292&lt;=AO$9),IF(SUM(AO$10:AO291)-ROUNDDOWN($K292*AO$5/100,0)&lt;-AO$6,-AO$6-SUM(AO$10:AO291),-ROUNDDOWN($K292*AO$5/100,0)),0)</f>
        <v>0</v>
      </c>
      <c r="AP292" s="38">
        <f>IF(AND($A292&gt;=AP$8,$A292&lt;=AP$9),IF(SUM(AP$10:AP291)-ROUNDDOWN($K292*AP$5/100,0)&lt;-AP$6,-AP$6-SUM(AP$10:AP291),-ROUNDDOWN($K292*AP$5/100,0)),0)</f>
        <v>0</v>
      </c>
      <c r="AQ292" s="38">
        <f>IF(AND($A292&gt;=AQ$8,$A292&lt;=AQ$9),IF(SUM(AQ$10:AQ291)-ROUNDDOWN($K292*AQ$5/100,0)&lt;-AQ$6,-AQ$6-SUM(AQ$10:AQ291),-ROUNDDOWN($K292*AQ$5/100,0)),0)</f>
        <v>0</v>
      </c>
      <c r="AR292" s="38">
        <f>IF(AND($A292&gt;=AR$8,$A292&lt;=AR$9),IF(SUM(AR$10:AR291)-ROUNDDOWN($K292*AR$5/100,0)&lt;-AR$6,-AR$6-SUM(AR$10:AR291),-ROUNDDOWN($K292*AR$5/100,0)),0)</f>
        <v>0</v>
      </c>
      <c r="AS292" s="38">
        <f>IF(SUMIFS(AS$10:AS291,$A$10:$A291,$A292)-ROUNDDOWN($K292*$S292/100,0)&lt;-$S292*1000,-$S292*1000-SUMIFS(AS$10:AS291,$A$10:$A291,$A292),-ROUNDDOWN($K292*$S292/100,0))</f>
        <v>0</v>
      </c>
      <c r="AT292" s="38">
        <f>IF(AND(X292="○",$A292&gt;=AT$8,$A292&lt;=AT$9,K292&gt;=3980),IF(SUM(AT$10:AT291)-ROUNDDOWN($K292*AT$5/100,0)&lt;-AT$6,-AT$6-SUM(AT$10:AT291),-ROUNDDOWN($K292*AT$5/100,0)),0)</f>
        <v>0</v>
      </c>
      <c r="AU292" s="38">
        <f>IF(O292="○",IF(SUM(AU$10:AU291)-ROUNDDOWN($K292*AU$5/100,0)&lt;-AU$6,-AU$6-SUM(AU$10:AU291),-ROUNDDOWN($K292*AU$5/100,0)),0)</f>
        <v>0</v>
      </c>
      <c r="AV292" s="38">
        <f>IF(P292="○",IF(SUM(AV$10:AV291)-ROUNDDOWN($K292*AV$5/100,0)&lt;-AV$6,-AV$6-SUM(AV$10:AV291),-ROUNDDOWN($K292*AV$5/100,0)),0)</f>
        <v>0</v>
      </c>
      <c r="AW292" s="38">
        <f>IF(Q292="○",IF(SUM(AW$10:AW291)-ROUNDDOWN($K292*AW$5/100,0)&lt;-AW$6,-AW$6-SUM(AW$10:AW291),-ROUNDDOWN($K292*AW$5/100,0)),0)</f>
        <v>0</v>
      </c>
      <c r="AX292" s="38">
        <f>IF(R292="○",IF(SUM(AX$10:AX291)-ROUNDDOWN($K292*AX$5/100,0)&lt;-AX$6,-AX$6-SUM(AX$10:AX291),-ROUNDDOWN($K292*AX$5/100,0)),0)</f>
        <v>0</v>
      </c>
      <c r="AY292" s="70">
        <v>0</v>
      </c>
      <c r="AZ292" s="65">
        <f t="shared" si="213"/>
        <v>0</v>
      </c>
      <c r="BA292" s="65">
        <f t="shared" si="214"/>
        <v>0</v>
      </c>
      <c r="BB292" s="70"/>
      <c r="BC292" s="65">
        <f t="shared" si="215"/>
        <v>0</v>
      </c>
      <c r="BD292" s="70">
        <v>0</v>
      </c>
      <c r="BE292" s="65">
        <f t="shared" si="216"/>
        <v>0</v>
      </c>
      <c r="BF292" s="70">
        <v>0</v>
      </c>
      <c r="BG292" s="65">
        <f t="shared" si="217"/>
        <v>0</v>
      </c>
      <c r="BH292" s="70">
        <v>0</v>
      </c>
      <c r="BI292" s="65">
        <f t="shared" si="218"/>
        <v>0</v>
      </c>
      <c r="BJ292" s="38">
        <f>IF(AND(BJ$7="○",$A292&gt;=BJ$8,$A292&lt;=BJ$9),IF(SUM(BJ$10:BJ291)-ROUNDDOWN($M292*BJ$5/100,0)&lt;-BJ$6,-BJ$6-SUM(BJ$10:BJ291),-ROUNDDOWN($M292*BJ$5/100,0)),0)</f>
        <v>0</v>
      </c>
      <c r="BK292" s="38">
        <f>IF(AND(BK$7="○",$A292&gt;=BK$8,$A292&lt;=BK$9),IF(SUM(BK$10:BK291)-ROUNDDOWN($L292*BK$5/100,0)&lt;-BK$6,-BK$6-SUM(BK$10:BK291),-ROUNDDOWN($L292*BK$5/100,0)),0)</f>
        <v>0</v>
      </c>
      <c r="BL292" s="38">
        <f>IF(AND(BL$7="○",$A292&gt;=BL$8,$A292&lt;=BL$9),IF(SUM(BL$10:BL291)-ROUNDDOWN($L292*BL$5/100,0)&lt;-BL$6,-BL$6-SUM(BL$10:BL291),-ROUNDDOWN($L292*BL$5/100,0)),0)</f>
        <v>0</v>
      </c>
      <c r="BM292" s="38">
        <f>IF(AND(BM$7="○",$A292&gt;=BM$8,$A292&lt;=BM$9),IF(SUM(BM$10:BM291)-ROUNDDOWN($M292*BM$5/100,0)&lt;-BM$6,-BM$6-SUM(BM$10:BM291),-ROUNDDOWN($M292*BM$5/100,0)),0)</f>
        <v>0</v>
      </c>
      <c r="BN292" s="38">
        <f>IF(AND(BN$7="○",$A292&gt;=BN$8,$A292&lt;=BN$9),IF(SUM(BN$10:BN291)-ROUNDDOWN($M292*BN$5/100,0)&lt;-BN$6,-BN$6-SUM(BN$10:BN291),-ROUNDDOWN($M292*BN$5/100,0)),0)</f>
        <v>0</v>
      </c>
      <c r="BO292" s="38">
        <f>IF(AND(BO$7="○",$A292&gt;=BO$8,$A292&lt;=BO$9),IF(SUM(BO$10:BO291)-ROUNDDOWN($M292*BO$5/100,0)&lt;-BO$6,-BO$6-SUM(BO$10:BO291),-ROUNDDOWN($M292*BO$5/100,0)),0)</f>
        <v>0</v>
      </c>
      <c r="BP292" s="38">
        <f>IF(AND(BP$7="○",$A292&gt;=BP$8,$A292&lt;=BP$9),IF(SUM(BP$10:BP291)-ROUNDDOWN($M292*BP$5/100,0)&lt;-BP$6,-BP$6-SUM(BP$10:BP291),-ROUNDDOWN($M292*BP$5/100,0)),0)</f>
        <v>0</v>
      </c>
      <c r="BQ292" s="38">
        <f>IF(AND(BQ$7="○",$A292&gt;=BQ$8,$A292&lt;=BQ$9),IF(SUM(BQ$10:BQ291)-ROUNDDOWN($L292*BQ$5/100,0)&lt;-BQ$6,-BQ$6-SUM(BQ$10:BQ291),-ROUNDDOWN($L292*BQ$5/100,0)),0)</f>
        <v>0</v>
      </c>
      <c r="BR292" s="38">
        <f>IF(AND(BR$7="○",$A292&gt;=BR$8,$A292&lt;=BR$9),IF(SUM(BR$10:BR291)-ROUNDDOWN($M292*BR$5/100,0)&lt;-BR$6,-BR$6-SUM(BR$10:BR291),-ROUNDDOWN($M292*BR$5/100,0)),0)</f>
        <v>0</v>
      </c>
      <c r="BS292" s="38">
        <f>IF(AND(BS$7="○",$A292&gt;=BS$8,$A292&lt;=BS$9),IF(SUM(BS$10:BS291)-ROUNDDOWN($M292*BS$5/100,0)&lt;-BS$6,-BS$6-SUM(BS$10:BS291),-ROUNDDOWN($M292*BS$5/100,0)),0)</f>
        <v>0</v>
      </c>
      <c r="BT292" s="38">
        <f>IF(AND(BT$7="○",$A292&gt;=BT$8,$A292&lt;=BT$9),IF(SUM(BT$10:BT291)-ROUNDDOWN($M292*BT$5/100,0)&lt;-BT$6,-BT$6-SUM(BT$10:BT291),-ROUNDDOWN($M292*BT$5/100,0)),0)</f>
        <v>0</v>
      </c>
      <c r="BU292" s="38">
        <f>IF(AND(BU$7="○",$A292&gt;=BU$8,$A292&lt;=BU$9),IF(SUM(BU$10:BU291)-ROUNDDOWN($M292*BU$5/100,0)&lt;-BU$6,-BU$6-SUM(BU$10:BU291),-ROUNDDOWN($M292*BU$5/100,0)),0)</f>
        <v>0</v>
      </c>
      <c r="BV292" s="38">
        <f>IF(AND(BV$7="○",$A292&gt;=BV$8,$A292&lt;=BV$9),IF(SUM(BV$10:BV291)-ROUNDDOWN($M292*BV$5/100,0)&lt;-BV$6,-BV$6-SUM(BV$10:BV291),-ROUNDDOWN($M292*BV$5/100,0)),0)</f>
        <v>0</v>
      </c>
      <c r="BW292" s="38">
        <f>IF(AND(BW$7="○",$A292&gt;=BW$8,$A292&lt;=BW$9),IF(SUM(BW$10:BW291)-ROUNDDOWN($M292*BW$5/100,0)&lt;-BW$6,-BW$6-SUM(BW$10:BW291),-ROUNDDOWN($M292*BW$5/100,0)),0)</f>
        <v>0</v>
      </c>
      <c r="BX292" s="38">
        <f>IF(AND(T292="○",$A292&gt;=BX$8,$A292&lt;=BX$9),IF(SUM(BX$10:BX291)-ROUNDDOWN($K292*BX$5/100,0)&lt;-BX$6,-BX$6-SUM(BX$10:BX291),-ROUNDDOWN($K292*BX$5/100,0)),0)</f>
        <v>0</v>
      </c>
      <c r="BY292" s="38">
        <f>IF(AND(U292="○",$A292&gt;=BY$8,$A292&lt;=BY$9),IF(SUM(BY$10:BY291)-ROUNDDOWN($K292*BY$5/100,0)&lt;-BY$6,-BY$6-SUM(BY$10:BY291),-ROUNDDOWN($K292*BY$5/100,0)),0)</f>
        <v>0</v>
      </c>
      <c r="BZ292" s="38">
        <f>IF(AND(V292="○",$A292&gt;=BZ$8,$A292&lt;=BZ$9),IF(SUM(BZ$10:BZ291)-ROUNDDOWN($K292*BZ$5/100,0)&lt;-BZ$6,-BZ$6-SUM(BZ$10:BZ291),-ROUNDDOWN($K292*BZ$5/100,0)),0)</f>
        <v>0</v>
      </c>
      <c r="CA292" s="38">
        <f>IF(AND(W292="○",$A292&gt;=CA$8,$A292&lt;=CA$9),IF(SUM(CA$10:CA291)-ROUNDDOWN($K292*CA$5/100,0)&lt;-CA$6,-CA$6-SUM(CA$10:CA291),-ROUNDDOWN($K292*CA$5/100,0)),0)</f>
        <v>0</v>
      </c>
      <c r="CB292" s="38"/>
      <c r="CC292" s="38"/>
      <c r="CD292" s="38"/>
      <c r="CE292" s="38"/>
      <c r="CF292" s="38"/>
      <c r="CG292" s="65">
        <f t="shared" si="219"/>
        <v>0</v>
      </c>
      <c r="CH292" s="71">
        <f t="shared" si="220"/>
        <v>0</v>
      </c>
      <c r="CI292" s="1">
        <f t="shared" si="19"/>
        <v>0</v>
      </c>
      <c r="CJ292" s="1"/>
      <c r="CK292" s="72"/>
      <c r="CL292" s="72"/>
      <c r="CM292" s="2"/>
      <c r="CN292" s="2"/>
      <c r="CO292" s="73">
        <f t="shared" si="20"/>
        <v>0</v>
      </c>
      <c r="CP292" s="5">
        <f t="shared" si="21"/>
        <v>0</v>
      </c>
      <c r="CQ292" s="1"/>
      <c r="CR292" s="1">
        <f t="shared" si="22"/>
        <v>0</v>
      </c>
      <c r="CS292" s="1"/>
      <c r="CT292" s="1" t="e">
        <f>INDEX([2]マスタ!$A:$A,MATCH(D292,[2]マスタ!$C:$C,0))</f>
        <v>#N/A</v>
      </c>
      <c r="CU292" s="1" t="str">
        <f t="shared" ca="1" si="23"/>
        <v>20260620_0-0</v>
      </c>
    </row>
    <row r="293" spans="1:99" x14ac:dyDescent="0.4">
      <c r="A293" s="61"/>
      <c r="B293" s="62"/>
      <c r="C293" s="62"/>
      <c r="D293" s="62"/>
      <c r="E293" s="74"/>
      <c r="F293" s="62"/>
      <c r="G293" s="62">
        <v>1</v>
      </c>
      <c r="H293" s="64">
        <f t="shared" si="4"/>
        <v>0</v>
      </c>
      <c r="I293" s="64"/>
      <c r="J293" s="64"/>
      <c r="K293" s="65">
        <f t="shared" si="223"/>
        <v>0</v>
      </c>
      <c r="L293" s="65">
        <f t="shared" si="6"/>
        <v>0</v>
      </c>
      <c r="M293" s="65">
        <f t="shared" si="7"/>
        <v>0</v>
      </c>
      <c r="N293" s="65">
        <f t="shared" si="8"/>
        <v>0</v>
      </c>
      <c r="O293" s="66" t="str">
        <f t="shared" si="224"/>
        <v>✕</v>
      </c>
      <c r="P293" s="67" t="str">
        <f t="shared" si="225"/>
        <v>○</v>
      </c>
      <c r="Q293" s="67" t="str">
        <f t="shared" si="226"/>
        <v>✕</v>
      </c>
      <c r="R293" s="67" t="str">
        <f t="shared" si="227"/>
        <v>✕</v>
      </c>
      <c r="S293" s="68">
        <v>0</v>
      </c>
      <c r="T293" s="69" t="s">
        <v>85</v>
      </c>
      <c r="U293" s="69" t="s">
        <v>85</v>
      </c>
      <c r="V293" s="69" t="s">
        <v>85</v>
      </c>
      <c r="W293" s="69" t="s">
        <v>85</v>
      </c>
      <c r="X293" s="69" t="s">
        <v>84</v>
      </c>
      <c r="Y293" s="69" t="s">
        <v>85</v>
      </c>
      <c r="Z293" s="69" t="s">
        <v>85</v>
      </c>
      <c r="AA293" s="69" t="s">
        <v>85</v>
      </c>
      <c r="AB293" s="69" t="s">
        <v>85</v>
      </c>
      <c r="AC293" s="69" t="s">
        <v>85</v>
      </c>
      <c r="AD293" s="38" t="str">
        <f>+IF(ISERROR(VLOOKUP($B293,AD$10:AD292,1,0)),IF(AND($N293&gt;=1000,$A293&gt;=AO$8,$A293&lt;=AO$9),$B293,""),"")</f>
        <v/>
      </c>
      <c r="AE293" s="38" t="str">
        <f>+IF(ISERROR(VLOOKUP($B293,AE$10:AE292,1,0)),IF(AND($N293&gt;=1000,$A293&gt;=AP$8,$A293&lt;=AP$9),$B293,""),"")</f>
        <v/>
      </c>
      <c r="AF293" s="38" t="str">
        <f>+IF(ISERROR(VLOOKUP($B293,AF$10:AF292,1,0)),IF(AND($N293&gt;=1000,$A293&gt;=AQ$8,$A293&lt;=AQ$9),$B293,""),"")</f>
        <v/>
      </c>
      <c r="AG293" s="38" t="str">
        <f>+IF(ISERROR(VLOOKUP($B293,AG$10:AG292,1,0)),IF(AND($N293&gt;=1000,$A293&gt;=AR$8,$A293&lt;=AR$9),$B293,""),"")</f>
        <v/>
      </c>
      <c r="AH293" s="38"/>
      <c r="AI293" s="70">
        <v>0</v>
      </c>
      <c r="AJ293" s="38">
        <f>IF(AND(AJ$7="○",$A293&gt;=AJ$8,$A293&lt;=AJ$9),IF(SUM(AJ$10:AJ292)-ROUNDDOWN($K293*AJ$5/100,0)&lt;-AJ$6,-AJ$6-SUM(AJ$10:AJ292),-ROUNDDOWN($K293*AJ$5/100,0)),0)</f>
        <v>0</v>
      </c>
      <c r="AK293" s="38">
        <f>IF(AND(AK$7="○",$A293&gt;=AK$8,$A293&lt;=AK$9),IF(SUM(AK$10:AK292)-ROUNDDOWN($L293*AK$5/100,0)&lt;-AK$6,-AK$6-SUM(AK$10:AK292),-ROUNDDOWN($L293*AK$5/100,0)),0)</f>
        <v>0</v>
      </c>
      <c r="AL293" s="38">
        <f>IF(AND(AL$7="○",$A293&gt;=AL$8,$A293&lt;=AL$9),IF(SUM(AL$10:AL292)-ROUNDDOWN($N293*AL$5/100,0)&lt;-AL$6,-AL$6-SUM(AL$10:AL292),-ROUNDDOWN($N293*AL$5/100,0)),0)</f>
        <v>0</v>
      </c>
      <c r="AM293" s="38">
        <f>IF(AND(AM$7="○",$A293&gt;=AM$8,$A293&lt;=AM$9),IF(SUM(AM$10:AM292)-ROUNDDOWN($L293*AM$5/100,0)&lt;-AM$6,-AM$6-SUM(AM$10:AM292),-ROUNDDOWN($L293*AM$5/100,0)),0)</f>
        <v>0</v>
      </c>
      <c r="AN293" s="38">
        <f>IF(AND(AN$7="○",$A293&gt;=AN$8,$A293&lt;=AN$9),IF(SUM(AN$10:AN292)-ROUNDDOWN($M293*AN$5/100,0)&lt;-AN$6,-AN$6-SUM(AN$10:AN292),-ROUNDDOWN($M293*AN$5/100,0)),0)</f>
        <v>0</v>
      </c>
      <c r="AO293" s="38">
        <f>IF(AND($A293&gt;=AO$8,$A293&lt;=AO$9),IF(SUM(AO$10:AO292)-ROUNDDOWN($K293*AO$5/100,0)&lt;-AO$6,-AO$6-SUM(AO$10:AO292),-ROUNDDOWN($K293*AO$5/100,0)),0)</f>
        <v>0</v>
      </c>
      <c r="AP293" s="38">
        <f>IF(AND($A293&gt;=AP$8,$A293&lt;=AP$9),IF(SUM(AP$10:AP292)-ROUNDDOWN($K293*AP$5/100,0)&lt;-AP$6,-AP$6-SUM(AP$10:AP292),-ROUNDDOWN($K293*AP$5/100,0)),0)</f>
        <v>0</v>
      </c>
      <c r="AQ293" s="38">
        <f>IF(AND($A293&gt;=AQ$8,$A293&lt;=AQ$9),IF(SUM(AQ$10:AQ292)-ROUNDDOWN($K293*AQ$5/100,0)&lt;-AQ$6,-AQ$6-SUM(AQ$10:AQ292),-ROUNDDOWN($K293*AQ$5/100,0)),0)</f>
        <v>0</v>
      </c>
      <c r="AR293" s="38">
        <f>IF(AND($A293&gt;=AR$8,$A293&lt;=AR$9),IF(SUM(AR$10:AR292)-ROUNDDOWN($K293*AR$5/100,0)&lt;-AR$6,-AR$6-SUM(AR$10:AR292),-ROUNDDOWN($K293*AR$5/100,0)),0)</f>
        <v>0</v>
      </c>
      <c r="AS293" s="38">
        <f>IF(SUMIFS(AS$10:AS292,$A$10:$A292,$A293)-ROUNDDOWN($K293*$S293/100,0)&lt;-$S293*1000,-$S293*1000-SUMIFS(AS$10:AS292,$A$10:$A292,$A293),-ROUNDDOWN($K293*$S293/100,0))</f>
        <v>0</v>
      </c>
      <c r="AT293" s="38">
        <f>IF(AND(X293="○",$A293&gt;=AT$8,$A293&lt;=AT$9,K293&gt;=3980),IF(SUM(AT$10:AT292)-ROUNDDOWN($K293*AT$5/100,0)&lt;-AT$6,-AT$6-SUM(AT$10:AT292),-ROUNDDOWN($K293*AT$5/100,0)),0)</f>
        <v>0</v>
      </c>
      <c r="AU293" s="38">
        <f>IF(O293="○",IF(SUM(AU$10:AU292)-ROUNDDOWN($K293*AU$5/100,0)&lt;-AU$6,-AU$6-SUM(AU$10:AU292),-ROUNDDOWN($K293*AU$5/100,0)),0)</f>
        <v>0</v>
      </c>
      <c r="AV293" s="38">
        <f>IF(P293="○",IF(SUM(AV$10:AV292)-ROUNDDOWN($K293*AV$5/100,0)&lt;-AV$6,-AV$6-SUM(AV$10:AV292),-ROUNDDOWN($K293*AV$5/100,0)),0)</f>
        <v>0</v>
      </c>
      <c r="AW293" s="38">
        <f>IF(Q293="○",IF(SUM(AW$10:AW292)-ROUNDDOWN($K293*AW$5/100,0)&lt;-AW$6,-AW$6-SUM(AW$10:AW292),-ROUNDDOWN($K293*AW$5/100,0)),0)</f>
        <v>0</v>
      </c>
      <c r="AX293" s="38">
        <f>IF(R293="○",IF(SUM(AX$10:AX292)-ROUNDDOWN($K293*AX$5/100,0)&lt;-AX$6,-AX$6-SUM(AX$10:AX292),-ROUNDDOWN($K293*AX$5/100,0)),0)</f>
        <v>0</v>
      </c>
      <c r="AY293" s="70">
        <v>0</v>
      </c>
      <c r="AZ293" s="65">
        <f t="shared" si="213"/>
        <v>0</v>
      </c>
      <c r="BA293" s="65">
        <f t="shared" si="214"/>
        <v>0</v>
      </c>
      <c r="BB293" s="70"/>
      <c r="BC293" s="65">
        <f t="shared" si="215"/>
        <v>0</v>
      </c>
      <c r="BD293" s="70">
        <v>0</v>
      </c>
      <c r="BE293" s="65">
        <f t="shared" si="216"/>
        <v>0</v>
      </c>
      <c r="BF293" s="70">
        <v>0</v>
      </c>
      <c r="BG293" s="65">
        <f t="shared" si="217"/>
        <v>0</v>
      </c>
      <c r="BH293" s="70">
        <v>0</v>
      </c>
      <c r="BI293" s="65">
        <f t="shared" si="218"/>
        <v>0</v>
      </c>
      <c r="BJ293" s="38">
        <f>IF(AND(BJ$7="○",$A293&gt;=BJ$8,$A293&lt;=BJ$9),IF(SUM(BJ$10:BJ292)-ROUNDDOWN($M293*BJ$5/100,0)&lt;-BJ$6,-BJ$6-SUM(BJ$10:BJ292),-ROUNDDOWN($M293*BJ$5/100,0)),0)</f>
        <v>0</v>
      </c>
      <c r="BK293" s="38">
        <f>IF(AND(BK$7="○",$A293&gt;=BK$8,$A293&lt;=BK$9),IF(SUM(BK$10:BK292)-ROUNDDOWN($L293*BK$5/100,0)&lt;-BK$6,-BK$6-SUM(BK$10:BK292),-ROUNDDOWN($L293*BK$5/100,0)),0)</f>
        <v>0</v>
      </c>
      <c r="BL293" s="38">
        <f>IF(AND(BL$7="○",$A293&gt;=BL$8,$A293&lt;=BL$9),IF(SUM(BL$10:BL292)-ROUNDDOWN($L293*BL$5/100,0)&lt;-BL$6,-BL$6-SUM(BL$10:BL292),-ROUNDDOWN($L293*BL$5/100,0)),0)</f>
        <v>0</v>
      </c>
      <c r="BM293" s="38">
        <f>IF(AND(BM$7="○",$A293&gt;=BM$8,$A293&lt;=BM$9),IF(SUM(BM$10:BM292)-ROUNDDOWN($M293*BM$5/100,0)&lt;-BM$6,-BM$6-SUM(BM$10:BM292),-ROUNDDOWN($M293*BM$5/100,0)),0)</f>
        <v>0</v>
      </c>
      <c r="BN293" s="38">
        <f>IF(AND(BN$7="○",$A293&gt;=BN$8,$A293&lt;=BN$9),IF(SUM(BN$10:BN292)-ROUNDDOWN($M293*BN$5/100,0)&lt;-BN$6,-BN$6-SUM(BN$10:BN292),-ROUNDDOWN($M293*BN$5/100,0)),0)</f>
        <v>0</v>
      </c>
      <c r="BO293" s="38">
        <f>IF(AND(BO$7="○",$A293&gt;=BO$8,$A293&lt;=BO$9),IF(SUM(BO$10:BO292)-ROUNDDOWN($M293*BO$5/100,0)&lt;-BO$6,-BO$6-SUM(BO$10:BO292),-ROUNDDOWN($M293*BO$5/100,0)),0)</f>
        <v>0</v>
      </c>
      <c r="BP293" s="38">
        <f>IF(AND(BP$7="○",$A293&gt;=BP$8,$A293&lt;=BP$9),IF(SUM(BP$10:BP292)-ROUNDDOWN($M293*BP$5/100,0)&lt;-BP$6,-BP$6-SUM(BP$10:BP292),-ROUNDDOWN($M293*BP$5/100,0)),0)</f>
        <v>0</v>
      </c>
      <c r="BQ293" s="38">
        <f>IF(AND(BQ$7="○",$A293&gt;=BQ$8,$A293&lt;=BQ$9),IF(SUM(BQ$10:BQ292)-ROUNDDOWN($L293*BQ$5/100,0)&lt;-BQ$6,-BQ$6-SUM(BQ$10:BQ292),-ROUNDDOWN($L293*BQ$5/100,0)),0)</f>
        <v>0</v>
      </c>
      <c r="BR293" s="38">
        <f>IF(AND(BR$7="○",$A293&gt;=BR$8,$A293&lt;=BR$9),IF(SUM(BR$10:BR292)-ROUNDDOWN($M293*BR$5/100,0)&lt;-BR$6,-BR$6-SUM(BR$10:BR292),-ROUNDDOWN($M293*BR$5/100,0)),0)</f>
        <v>0</v>
      </c>
      <c r="BS293" s="38">
        <f>IF(AND(BS$7="○",$A293&gt;=BS$8,$A293&lt;=BS$9),IF(SUM(BS$10:BS292)-ROUNDDOWN($M293*BS$5/100,0)&lt;-BS$6,-BS$6-SUM(BS$10:BS292),-ROUNDDOWN($M293*BS$5/100,0)),0)</f>
        <v>0</v>
      </c>
      <c r="BT293" s="38">
        <f>IF(AND(BT$7="○",$A293&gt;=BT$8,$A293&lt;=BT$9),IF(SUM(BT$10:BT292)-ROUNDDOWN($M293*BT$5/100,0)&lt;-BT$6,-BT$6-SUM(BT$10:BT292),-ROUNDDOWN($M293*BT$5/100,0)),0)</f>
        <v>0</v>
      </c>
      <c r="BU293" s="38">
        <f>IF(AND(BU$7="○",$A293&gt;=BU$8,$A293&lt;=BU$9),IF(SUM(BU$10:BU292)-ROUNDDOWN($M293*BU$5/100,0)&lt;-BU$6,-BU$6-SUM(BU$10:BU292),-ROUNDDOWN($M293*BU$5/100,0)),0)</f>
        <v>0</v>
      </c>
      <c r="BV293" s="38">
        <f>IF(AND(BV$7="○",$A293&gt;=BV$8,$A293&lt;=BV$9),IF(SUM(BV$10:BV292)-ROUNDDOWN($M293*BV$5/100,0)&lt;-BV$6,-BV$6-SUM(BV$10:BV292),-ROUNDDOWN($M293*BV$5/100,0)),0)</f>
        <v>0</v>
      </c>
      <c r="BW293" s="38">
        <f>IF(AND(BW$7="○",$A293&gt;=BW$8,$A293&lt;=BW$9),IF(SUM(BW$10:BW292)-ROUNDDOWN($M293*BW$5/100,0)&lt;-BW$6,-BW$6-SUM(BW$10:BW292),-ROUNDDOWN($M293*BW$5/100,0)),0)</f>
        <v>0</v>
      </c>
      <c r="BX293" s="38">
        <f>IF(AND(T293="○",$A293&gt;=BX$8,$A293&lt;=BX$9),IF(SUM(BX$10:BX292)-ROUNDDOWN($K293*BX$5/100,0)&lt;-BX$6,-BX$6-SUM(BX$10:BX292),-ROUNDDOWN($K293*BX$5/100,0)),0)</f>
        <v>0</v>
      </c>
      <c r="BY293" s="38">
        <f>IF(AND(U293="○",$A293&gt;=BY$8,$A293&lt;=BY$9),IF(SUM(BY$10:BY292)-ROUNDDOWN($K293*BY$5/100,0)&lt;-BY$6,-BY$6-SUM(BY$10:BY292),-ROUNDDOWN($K293*BY$5/100,0)),0)</f>
        <v>0</v>
      </c>
      <c r="BZ293" s="38">
        <f>IF(AND(V293="○",$A293&gt;=BZ$8,$A293&lt;=BZ$9),IF(SUM(BZ$10:BZ292)-ROUNDDOWN($K293*BZ$5/100,0)&lt;-BZ$6,-BZ$6-SUM(BZ$10:BZ292),-ROUNDDOWN($K293*BZ$5/100,0)),0)</f>
        <v>0</v>
      </c>
      <c r="CA293" s="38">
        <f>IF(AND(W293="○",$A293&gt;=CA$8,$A293&lt;=CA$9),IF(SUM(CA$10:CA292)-ROUNDDOWN($K293*CA$5/100,0)&lt;-CA$6,-CA$6-SUM(CA$10:CA292),-ROUNDDOWN($K293*CA$5/100,0)),0)</f>
        <v>0</v>
      </c>
      <c r="CB293" s="38"/>
      <c r="CC293" s="38"/>
      <c r="CD293" s="38"/>
      <c r="CE293" s="38"/>
      <c r="CF293" s="38"/>
      <c r="CG293" s="65">
        <f t="shared" si="219"/>
        <v>0</v>
      </c>
      <c r="CH293" s="71">
        <f t="shared" si="220"/>
        <v>0</v>
      </c>
      <c r="CI293" s="1">
        <f t="shared" si="19"/>
        <v>0</v>
      </c>
      <c r="CJ293" s="1"/>
      <c r="CK293" s="72"/>
      <c r="CL293" s="72"/>
      <c r="CM293" s="2"/>
      <c r="CN293" s="2"/>
      <c r="CO293" s="73">
        <f t="shared" si="20"/>
        <v>0</v>
      </c>
      <c r="CP293" s="5">
        <f t="shared" si="21"/>
        <v>0</v>
      </c>
      <c r="CQ293" s="1"/>
      <c r="CR293" s="1">
        <f t="shared" si="22"/>
        <v>0</v>
      </c>
      <c r="CS293" s="1"/>
      <c r="CT293" s="1" t="e">
        <f>INDEX([2]マスタ!$A:$A,MATCH(D293,[2]マスタ!$C:$C,0))</f>
        <v>#N/A</v>
      </c>
      <c r="CU293" s="1" t="str">
        <f t="shared" ca="1" si="23"/>
        <v>20260620_0-0</v>
      </c>
    </row>
    <row r="294" spans="1:99" x14ac:dyDescent="0.4">
      <c r="A294" s="61"/>
      <c r="B294" s="62"/>
      <c r="C294" s="62"/>
      <c r="D294" s="62"/>
      <c r="E294" s="74"/>
      <c r="F294" s="62"/>
      <c r="G294" s="62">
        <v>1</v>
      </c>
      <c r="H294" s="64">
        <f t="shared" si="4"/>
        <v>0</v>
      </c>
      <c r="I294" s="64"/>
      <c r="J294" s="64"/>
      <c r="K294" s="65">
        <f t="shared" si="223"/>
        <v>0</v>
      </c>
      <c r="L294" s="65">
        <f t="shared" si="6"/>
        <v>0</v>
      </c>
      <c r="M294" s="65">
        <f t="shared" si="7"/>
        <v>0</v>
      </c>
      <c r="N294" s="65">
        <f t="shared" si="8"/>
        <v>0</v>
      </c>
      <c r="O294" s="66" t="str">
        <f t="shared" si="224"/>
        <v>✕</v>
      </c>
      <c r="P294" s="67" t="str">
        <f t="shared" si="225"/>
        <v>○</v>
      </c>
      <c r="Q294" s="67" t="str">
        <f t="shared" si="226"/>
        <v>✕</v>
      </c>
      <c r="R294" s="67" t="str">
        <f t="shared" si="227"/>
        <v>✕</v>
      </c>
      <c r="S294" s="68">
        <v>0</v>
      </c>
      <c r="T294" s="69" t="s">
        <v>85</v>
      </c>
      <c r="U294" s="69" t="s">
        <v>85</v>
      </c>
      <c r="V294" s="69" t="s">
        <v>85</v>
      </c>
      <c r="W294" s="69" t="s">
        <v>85</v>
      </c>
      <c r="X294" s="69" t="s">
        <v>84</v>
      </c>
      <c r="Y294" s="69" t="s">
        <v>85</v>
      </c>
      <c r="Z294" s="69" t="s">
        <v>85</v>
      </c>
      <c r="AA294" s="69" t="s">
        <v>85</v>
      </c>
      <c r="AB294" s="69" t="s">
        <v>85</v>
      </c>
      <c r="AC294" s="69" t="s">
        <v>85</v>
      </c>
      <c r="AD294" s="38" t="str">
        <f>+IF(ISERROR(VLOOKUP($B294,AD$10:AD293,1,0)),IF(AND($N294&gt;=1000,$A294&gt;=AO$8,$A294&lt;=AO$9),$B294,""),"")</f>
        <v/>
      </c>
      <c r="AE294" s="38" t="str">
        <f>+IF(ISERROR(VLOOKUP($B294,AE$10:AE293,1,0)),IF(AND($N294&gt;=1000,$A294&gt;=AP$8,$A294&lt;=AP$9),$B294,""),"")</f>
        <v/>
      </c>
      <c r="AF294" s="38" t="str">
        <f>+IF(ISERROR(VLOOKUP($B294,AF$10:AF293,1,0)),IF(AND($N294&gt;=1000,$A294&gt;=AQ$8,$A294&lt;=AQ$9),$B294,""),"")</f>
        <v/>
      </c>
      <c r="AG294" s="38" t="str">
        <f>+IF(ISERROR(VLOOKUP($B294,AG$10:AG293,1,0)),IF(AND($N294&gt;=1000,$A294&gt;=AR$8,$A294&lt;=AR$9),$B294,""),"")</f>
        <v/>
      </c>
      <c r="AH294" s="38"/>
      <c r="AI294" s="70">
        <v>0</v>
      </c>
      <c r="AJ294" s="38">
        <f>IF(AND(AJ$7="○",$A294&gt;=AJ$8,$A294&lt;=AJ$9),IF(SUM(AJ$10:AJ293)-ROUNDDOWN($K294*AJ$5/100,0)&lt;-AJ$6,-AJ$6-SUM(AJ$10:AJ293),-ROUNDDOWN($K294*AJ$5/100,0)),0)</f>
        <v>0</v>
      </c>
      <c r="AK294" s="38">
        <f>IF(AND(AK$7="○",$A294&gt;=AK$8,$A294&lt;=AK$9),IF(SUM(AK$10:AK293)-ROUNDDOWN($L294*AK$5/100,0)&lt;-AK$6,-AK$6-SUM(AK$10:AK293),-ROUNDDOWN($L294*AK$5/100,0)),0)</f>
        <v>0</v>
      </c>
      <c r="AL294" s="38">
        <f>IF(AND(AL$7="○",$A294&gt;=AL$8,$A294&lt;=AL$9),IF(SUM(AL$10:AL293)-ROUNDDOWN($N294*AL$5/100,0)&lt;-AL$6,-AL$6-SUM(AL$10:AL293),-ROUNDDOWN($N294*AL$5/100,0)),0)</f>
        <v>0</v>
      </c>
      <c r="AM294" s="38">
        <f>IF(AND(AM$7="○",$A294&gt;=AM$8,$A294&lt;=AM$9),IF(SUM(AM$10:AM293)-ROUNDDOWN($L294*AM$5/100,0)&lt;-AM$6,-AM$6-SUM(AM$10:AM293),-ROUNDDOWN($L294*AM$5/100,0)),0)</f>
        <v>0</v>
      </c>
      <c r="AN294" s="38">
        <f>IF(AND(AN$7="○",$A294&gt;=AN$8,$A294&lt;=AN$9),IF(SUM(AN$10:AN293)-ROUNDDOWN($M294*AN$5/100,0)&lt;-AN$6,-AN$6-SUM(AN$10:AN293),-ROUNDDOWN($M294*AN$5/100,0)),0)</f>
        <v>0</v>
      </c>
      <c r="AO294" s="38">
        <f>IF(AND($A294&gt;=AO$8,$A294&lt;=AO$9),IF(SUM(AO$10:AO293)-ROUNDDOWN($K294*AO$5/100,0)&lt;-AO$6,-AO$6-SUM(AO$10:AO293),-ROUNDDOWN($K294*AO$5/100,0)),0)</f>
        <v>0</v>
      </c>
      <c r="AP294" s="38">
        <f>IF(AND($A294&gt;=AP$8,$A294&lt;=AP$9),IF(SUM(AP$10:AP293)-ROUNDDOWN($K294*AP$5/100,0)&lt;-AP$6,-AP$6-SUM(AP$10:AP293),-ROUNDDOWN($K294*AP$5/100,0)),0)</f>
        <v>0</v>
      </c>
      <c r="AQ294" s="38">
        <f>IF(AND($A294&gt;=AQ$8,$A294&lt;=AQ$9),IF(SUM(AQ$10:AQ293)-ROUNDDOWN($K294*AQ$5/100,0)&lt;-AQ$6,-AQ$6-SUM(AQ$10:AQ293),-ROUNDDOWN($K294*AQ$5/100,0)),0)</f>
        <v>0</v>
      </c>
      <c r="AR294" s="38">
        <f>IF(AND($A294&gt;=AR$8,$A294&lt;=AR$9),IF(SUM(AR$10:AR293)-ROUNDDOWN($K294*AR$5/100,0)&lt;-AR$6,-AR$6-SUM(AR$10:AR293),-ROUNDDOWN($K294*AR$5/100,0)),0)</f>
        <v>0</v>
      </c>
      <c r="AS294" s="38">
        <f>IF(SUMIFS(AS$10:AS293,$A$10:$A293,$A294)-ROUNDDOWN($K294*$S294/100,0)&lt;-$S294*1000,-$S294*1000-SUMIFS(AS$10:AS293,$A$10:$A293,$A294),-ROUNDDOWN($K294*$S294/100,0))</f>
        <v>0</v>
      </c>
      <c r="AT294" s="38">
        <f>IF(AND(X294="○",$A294&gt;=AT$8,$A294&lt;=AT$9,K294&gt;=3980),IF(SUM(AT$10:AT293)-ROUNDDOWN($K294*AT$5/100,0)&lt;-AT$6,-AT$6-SUM(AT$10:AT293),-ROUNDDOWN($K294*AT$5/100,0)),0)</f>
        <v>0</v>
      </c>
      <c r="AU294" s="38">
        <f>IF(O294="○",IF(SUM(AU$10:AU293)-ROUNDDOWN($K294*AU$5/100,0)&lt;-AU$6,-AU$6-SUM(AU$10:AU293),-ROUNDDOWN($K294*AU$5/100,0)),0)</f>
        <v>0</v>
      </c>
      <c r="AV294" s="38">
        <f>IF(P294="○",IF(SUM(AV$10:AV293)-ROUNDDOWN($K294*AV$5/100,0)&lt;-AV$6,-AV$6-SUM(AV$10:AV293),-ROUNDDOWN($K294*AV$5/100,0)),0)</f>
        <v>0</v>
      </c>
      <c r="AW294" s="38">
        <f>IF(Q294="○",IF(SUM(AW$10:AW293)-ROUNDDOWN($K294*AW$5/100,0)&lt;-AW$6,-AW$6-SUM(AW$10:AW293),-ROUNDDOWN($K294*AW$5/100,0)),0)</f>
        <v>0</v>
      </c>
      <c r="AX294" s="38">
        <f>IF(R294="○",IF(SUM(AX$10:AX293)-ROUNDDOWN($K294*AX$5/100,0)&lt;-AX$6,-AX$6-SUM(AX$10:AX293),-ROUNDDOWN($K294*AX$5/100,0)),0)</f>
        <v>0</v>
      </c>
      <c r="AY294" s="70">
        <v>0</v>
      </c>
      <c r="AZ294" s="65">
        <f t="shared" si="213"/>
        <v>0</v>
      </c>
      <c r="BA294" s="65">
        <f t="shared" si="214"/>
        <v>0</v>
      </c>
      <c r="BB294" s="70"/>
      <c r="BC294" s="65">
        <f t="shared" si="215"/>
        <v>0</v>
      </c>
      <c r="BD294" s="70">
        <v>0</v>
      </c>
      <c r="BE294" s="65">
        <f t="shared" si="216"/>
        <v>0</v>
      </c>
      <c r="BF294" s="70">
        <v>0</v>
      </c>
      <c r="BG294" s="65">
        <f t="shared" si="217"/>
        <v>0</v>
      </c>
      <c r="BH294" s="70">
        <v>0</v>
      </c>
      <c r="BI294" s="65">
        <f t="shared" si="218"/>
        <v>0</v>
      </c>
      <c r="BJ294" s="38">
        <f>IF(AND(BJ$7="○",$A294&gt;=BJ$8,$A294&lt;=BJ$9),IF(SUM(BJ$10:BJ293)-ROUNDDOWN($M294*BJ$5/100,0)&lt;-BJ$6,-BJ$6-SUM(BJ$10:BJ293),-ROUNDDOWN($M294*BJ$5/100,0)),0)</f>
        <v>0</v>
      </c>
      <c r="BK294" s="38">
        <f>IF(AND(BK$7="○",$A294&gt;=BK$8,$A294&lt;=BK$9),IF(SUM(BK$10:BK293)-ROUNDDOWN($L294*BK$5/100,0)&lt;-BK$6,-BK$6-SUM(BK$10:BK293),-ROUNDDOWN($L294*BK$5/100,0)),0)</f>
        <v>0</v>
      </c>
      <c r="BL294" s="38">
        <f>IF(AND(BL$7="○",$A294&gt;=BL$8,$A294&lt;=BL$9),IF(SUM(BL$10:BL293)-ROUNDDOWN($L294*BL$5/100,0)&lt;-BL$6,-BL$6-SUM(BL$10:BL293),-ROUNDDOWN($L294*BL$5/100,0)),0)</f>
        <v>0</v>
      </c>
      <c r="BM294" s="38">
        <f>IF(AND(BM$7="○",$A294&gt;=BM$8,$A294&lt;=BM$9),IF(SUM(BM$10:BM293)-ROUNDDOWN($M294*BM$5/100,0)&lt;-BM$6,-BM$6-SUM(BM$10:BM293),-ROUNDDOWN($M294*BM$5/100,0)),0)</f>
        <v>0</v>
      </c>
      <c r="BN294" s="38">
        <f>IF(AND(BN$7="○",$A294&gt;=BN$8,$A294&lt;=BN$9),IF(SUM(BN$10:BN293)-ROUNDDOWN($M294*BN$5/100,0)&lt;-BN$6,-BN$6-SUM(BN$10:BN293),-ROUNDDOWN($M294*BN$5/100,0)),0)</f>
        <v>0</v>
      </c>
      <c r="BO294" s="38">
        <f>IF(AND(BO$7="○",$A294&gt;=BO$8,$A294&lt;=BO$9),IF(SUM(BO$10:BO293)-ROUNDDOWN($M294*BO$5/100,0)&lt;-BO$6,-BO$6-SUM(BO$10:BO293),-ROUNDDOWN($M294*BO$5/100,0)),0)</f>
        <v>0</v>
      </c>
      <c r="BP294" s="38">
        <f>IF(AND(BP$7="○",$A294&gt;=BP$8,$A294&lt;=BP$9),IF(SUM(BP$10:BP293)-ROUNDDOWN($M294*BP$5/100,0)&lt;-BP$6,-BP$6-SUM(BP$10:BP293),-ROUNDDOWN($M294*BP$5/100,0)),0)</f>
        <v>0</v>
      </c>
      <c r="BQ294" s="38">
        <f>IF(AND(BQ$7="○",$A294&gt;=BQ$8,$A294&lt;=BQ$9),IF(SUM(BQ$10:BQ293)-ROUNDDOWN($L294*BQ$5/100,0)&lt;-BQ$6,-BQ$6-SUM(BQ$10:BQ293),-ROUNDDOWN($L294*BQ$5/100,0)),0)</f>
        <v>0</v>
      </c>
      <c r="BR294" s="38">
        <f>IF(AND(BR$7="○",$A294&gt;=BR$8,$A294&lt;=BR$9),IF(SUM(BR$10:BR293)-ROUNDDOWN($M294*BR$5/100,0)&lt;-BR$6,-BR$6-SUM(BR$10:BR293),-ROUNDDOWN($M294*BR$5/100,0)),0)</f>
        <v>0</v>
      </c>
      <c r="BS294" s="38">
        <f>IF(AND(BS$7="○",$A294&gt;=BS$8,$A294&lt;=BS$9),IF(SUM(BS$10:BS293)-ROUNDDOWN($M294*BS$5/100,0)&lt;-BS$6,-BS$6-SUM(BS$10:BS293),-ROUNDDOWN($M294*BS$5/100,0)),0)</f>
        <v>0</v>
      </c>
      <c r="BT294" s="38">
        <f>IF(AND(BT$7="○",$A294&gt;=BT$8,$A294&lt;=BT$9),IF(SUM(BT$10:BT293)-ROUNDDOWN($M294*BT$5/100,0)&lt;-BT$6,-BT$6-SUM(BT$10:BT293),-ROUNDDOWN($M294*BT$5/100,0)),0)</f>
        <v>0</v>
      </c>
      <c r="BU294" s="38">
        <f>IF(AND(BU$7="○",$A294&gt;=BU$8,$A294&lt;=BU$9),IF(SUM(BU$10:BU293)-ROUNDDOWN($M294*BU$5/100,0)&lt;-BU$6,-BU$6-SUM(BU$10:BU293),-ROUNDDOWN($M294*BU$5/100,0)),0)</f>
        <v>0</v>
      </c>
      <c r="BV294" s="38">
        <f>IF(AND(BV$7="○",$A294&gt;=BV$8,$A294&lt;=BV$9),IF(SUM(BV$10:BV293)-ROUNDDOWN($M294*BV$5/100,0)&lt;-BV$6,-BV$6-SUM(BV$10:BV293),-ROUNDDOWN($M294*BV$5/100,0)),0)</f>
        <v>0</v>
      </c>
      <c r="BW294" s="38">
        <f>IF(AND(BW$7="○",$A294&gt;=BW$8,$A294&lt;=BW$9),IF(SUM(BW$10:BW293)-ROUNDDOWN($M294*BW$5/100,0)&lt;-BW$6,-BW$6-SUM(BW$10:BW293),-ROUNDDOWN($M294*BW$5/100,0)),0)</f>
        <v>0</v>
      </c>
      <c r="BX294" s="38">
        <f>IF(AND(T294="○",$A294&gt;=BX$8,$A294&lt;=BX$9),IF(SUM(BX$10:BX293)-ROUNDDOWN($K294*BX$5/100,0)&lt;-BX$6,-BX$6-SUM(BX$10:BX293),-ROUNDDOWN($K294*BX$5/100,0)),0)</f>
        <v>0</v>
      </c>
      <c r="BY294" s="38">
        <f>IF(AND(U294="○",$A294&gt;=BY$8,$A294&lt;=BY$9),IF(SUM(BY$10:BY293)-ROUNDDOWN($K294*BY$5/100,0)&lt;-BY$6,-BY$6-SUM(BY$10:BY293),-ROUNDDOWN($K294*BY$5/100,0)),0)</f>
        <v>0</v>
      </c>
      <c r="BZ294" s="38">
        <f>IF(AND(V294="○",$A294&gt;=BZ$8,$A294&lt;=BZ$9),IF(SUM(BZ$10:BZ293)-ROUNDDOWN($K294*BZ$5/100,0)&lt;-BZ$6,-BZ$6-SUM(BZ$10:BZ293),-ROUNDDOWN($K294*BZ$5/100,0)),0)</f>
        <v>0</v>
      </c>
      <c r="CA294" s="38">
        <f>IF(AND(W294="○",$A294&gt;=CA$8,$A294&lt;=CA$9),IF(SUM(CA$10:CA293)-ROUNDDOWN($K294*CA$5/100,0)&lt;-CA$6,-CA$6-SUM(CA$10:CA293),-ROUNDDOWN($K294*CA$5/100,0)),0)</f>
        <v>0</v>
      </c>
      <c r="CB294" s="38"/>
      <c r="CC294" s="38"/>
      <c r="CD294" s="38"/>
      <c r="CE294" s="38"/>
      <c r="CF294" s="38"/>
      <c r="CG294" s="65">
        <f t="shared" si="219"/>
        <v>0</v>
      </c>
      <c r="CH294" s="71">
        <f t="shared" si="220"/>
        <v>0</v>
      </c>
      <c r="CI294" s="1">
        <f t="shared" si="19"/>
        <v>0</v>
      </c>
      <c r="CJ294" s="1"/>
      <c r="CK294" s="72"/>
      <c r="CL294" s="72"/>
      <c r="CM294" s="2"/>
      <c r="CN294" s="2"/>
      <c r="CO294" s="73">
        <f t="shared" si="20"/>
        <v>0</v>
      </c>
      <c r="CP294" s="5">
        <f t="shared" si="21"/>
        <v>0</v>
      </c>
      <c r="CQ294" s="1"/>
      <c r="CR294" s="1">
        <f t="shared" si="22"/>
        <v>0</v>
      </c>
      <c r="CS294" s="1"/>
      <c r="CT294" s="1" t="e">
        <f>INDEX([2]マスタ!$A:$A,MATCH(D294,[2]マスタ!$C:$C,0))</f>
        <v>#N/A</v>
      </c>
      <c r="CU294" s="1" t="str">
        <f t="shared" ca="1" si="23"/>
        <v>20260620_0-0</v>
      </c>
    </row>
    <row r="295" spans="1:99" x14ac:dyDescent="0.4">
      <c r="A295" s="61"/>
      <c r="B295" s="62"/>
      <c r="C295" s="62"/>
      <c r="D295" s="62"/>
      <c r="E295" s="74"/>
      <c r="F295" s="62"/>
      <c r="G295" s="62">
        <v>1</v>
      </c>
      <c r="H295" s="64">
        <f t="shared" si="4"/>
        <v>0</v>
      </c>
      <c r="I295" s="64"/>
      <c r="J295" s="64"/>
      <c r="K295" s="65">
        <f t="shared" si="223"/>
        <v>0</v>
      </c>
      <c r="L295" s="65">
        <f t="shared" si="6"/>
        <v>0</v>
      </c>
      <c r="M295" s="65">
        <f t="shared" si="7"/>
        <v>0</v>
      </c>
      <c r="N295" s="65">
        <f t="shared" si="8"/>
        <v>0</v>
      </c>
      <c r="O295" s="66" t="str">
        <f t="shared" si="224"/>
        <v>✕</v>
      </c>
      <c r="P295" s="67" t="str">
        <f t="shared" si="225"/>
        <v>○</v>
      </c>
      <c r="Q295" s="67" t="str">
        <f t="shared" si="226"/>
        <v>✕</v>
      </c>
      <c r="R295" s="67" t="str">
        <f t="shared" si="227"/>
        <v>✕</v>
      </c>
      <c r="S295" s="68">
        <v>0</v>
      </c>
      <c r="T295" s="69" t="s">
        <v>85</v>
      </c>
      <c r="U295" s="69" t="s">
        <v>85</v>
      </c>
      <c r="V295" s="69" t="s">
        <v>85</v>
      </c>
      <c r="W295" s="69" t="s">
        <v>85</v>
      </c>
      <c r="X295" s="69" t="s">
        <v>84</v>
      </c>
      <c r="Y295" s="69" t="s">
        <v>85</v>
      </c>
      <c r="Z295" s="69" t="s">
        <v>85</v>
      </c>
      <c r="AA295" s="69" t="s">
        <v>85</v>
      </c>
      <c r="AB295" s="69" t="s">
        <v>85</v>
      </c>
      <c r="AC295" s="69" t="s">
        <v>85</v>
      </c>
      <c r="AD295" s="38" t="str">
        <f>+IF(ISERROR(VLOOKUP($B295,AD$10:AD294,1,0)),IF(AND($N295&gt;=1000,$A295&gt;=AO$8,$A295&lt;=AO$9),$B295,""),"")</f>
        <v/>
      </c>
      <c r="AE295" s="38" t="str">
        <f>+IF(ISERROR(VLOOKUP($B295,AE$10:AE294,1,0)),IF(AND($N295&gt;=1000,$A295&gt;=AP$8,$A295&lt;=AP$9),$B295,""),"")</f>
        <v/>
      </c>
      <c r="AF295" s="38" t="str">
        <f>+IF(ISERROR(VLOOKUP($B295,AF$10:AF294,1,0)),IF(AND($N295&gt;=1000,$A295&gt;=AQ$8,$A295&lt;=AQ$9),$B295,""),"")</f>
        <v/>
      </c>
      <c r="AG295" s="38" t="str">
        <f>+IF(ISERROR(VLOOKUP($B295,AG$10:AG294,1,0)),IF(AND($N295&gt;=1000,$A295&gt;=AR$8,$A295&lt;=AR$9),$B295,""),"")</f>
        <v/>
      </c>
      <c r="AH295" s="38"/>
      <c r="AI295" s="70">
        <v>0</v>
      </c>
      <c r="AJ295" s="38">
        <f>IF(AND(AJ$7="○",$A295&gt;=AJ$8,$A295&lt;=AJ$9),IF(SUM(AJ$10:AJ294)-ROUNDDOWN($K295*AJ$5/100,0)&lt;-AJ$6,-AJ$6-SUM(AJ$10:AJ294),-ROUNDDOWN($K295*AJ$5/100,0)),0)</f>
        <v>0</v>
      </c>
      <c r="AK295" s="38">
        <f>IF(AND(AK$7="○",$A295&gt;=AK$8,$A295&lt;=AK$9),IF(SUM(AK$10:AK294)-ROUNDDOWN($L295*AK$5/100,0)&lt;-AK$6,-AK$6-SUM(AK$10:AK294),-ROUNDDOWN($L295*AK$5/100,0)),0)</f>
        <v>0</v>
      </c>
      <c r="AL295" s="38">
        <f>IF(AND(AL$7="○",$A295&gt;=AL$8,$A295&lt;=AL$9),IF(SUM(AL$10:AL294)-ROUNDDOWN($N295*AL$5/100,0)&lt;-AL$6,-AL$6-SUM(AL$10:AL294),-ROUNDDOWN($N295*AL$5/100,0)),0)</f>
        <v>0</v>
      </c>
      <c r="AM295" s="38">
        <f>IF(AND(AM$7="○",$A295&gt;=AM$8,$A295&lt;=AM$9),IF(SUM(AM$10:AM294)-ROUNDDOWN($L295*AM$5/100,0)&lt;-AM$6,-AM$6-SUM(AM$10:AM294),-ROUNDDOWN($L295*AM$5/100,0)),0)</f>
        <v>0</v>
      </c>
      <c r="AN295" s="38">
        <f>IF(AND(AN$7="○",$A295&gt;=AN$8,$A295&lt;=AN$9),IF(SUM(AN$10:AN294)-ROUNDDOWN($M295*AN$5/100,0)&lt;-AN$6,-AN$6-SUM(AN$10:AN294),-ROUNDDOWN($M295*AN$5/100,0)),0)</f>
        <v>0</v>
      </c>
      <c r="AO295" s="38">
        <f>IF(AND($A295&gt;=AO$8,$A295&lt;=AO$9),IF(SUM(AO$10:AO294)-ROUNDDOWN($K295*AO$5/100,0)&lt;-AO$6,-AO$6-SUM(AO$10:AO294),-ROUNDDOWN($K295*AO$5/100,0)),0)</f>
        <v>0</v>
      </c>
      <c r="AP295" s="38">
        <f>IF(AND($A295&gt;=AP$8,$A295&lt;=AP$9),IF(SUM(AP$10:AP294)-ROUNDDOWN($K295*AP$5/100,0)&lt;-AP$6,-AP$6-SUM(AP$10:AP294),-ROUNDDOWN($K295*AP$5/100,0)),0)</f>
        <v>0</v>
      </c>
      <c r="AQ295" s="38">
        <f>IF(AND($A295&gt;=AQ$8,$A295&lt;=AQ$9),IF(SUM(AQ$10:AQ294)-ROUNDDOWN($K295*AQ$5/100,0)&lt;-AQ$6,-AQ$6-SUM(AQ$10:AQ294),-ROUNDDOWN($K295*AQ$5/100,0)),0)</f>
        <v>0</v>
      </c>
      <c r="AR295" s="38">
        <f>IF(AND($A295&gt;=AR$8,$A295&lt;=AR$9),IF(SUM(AR$10:AR294)-ROUNDDOWN($K295*AR$5/100,0)&lt;-AR$6,-AR$6-SUM(AR$10:AR294),-ROUNDDOWN($K295*AR$5/100,0)),0)</f>
        <v>0</v>
      </c>
      <c r="AS295" s="38">
        <f>IF(SUMIFS(AS$10:AS294,$A$10:$A294,$A295)-ROUNDDOWN($K295*$S295/100,0)&lt;-$S295*1000,-$S295*1000-SUMIFS(AS$10:AS294,$A$10:$A294,$A295),-ROUNDDOWN($K295*$S295/100,0))</f>
        <v>0</v>
      </c>
      <c r="AT295" s="38">
        <f>IF(AND(X295="○",$A295&gt;=AT$8,$A295&lt;=AT$9,K295&gt;=3980),IF(SUM(AT$10:AT294)-ROUNDDOWN($K295*AT$5/100,0)&lt;-AT$6,-AT$6-SUM(AT$10:AT294),-ROUNDDOWN($K295*AT$5/100,0)),0)</f>
        <v>0</v>
      </c>
      <c r="AU295" s="38">
        <f>IF(O295="○",IF(SUM(AU$10:AU294)-ROUNDDOWN($K295*AU$5/100,0)&lt;-AU$6,-AU$6-SUM(AU$10:AU294),-ROUNDDOWN($K295*AU$5/100,0)),0)</f>
        <v>0</v>
      </c>
      <c r="AV295" s="38">
        <f>IF(P295="○",IF(SUM(AV$10:AV294)-ROUNDDOWN($K295*AV$5/100,0)&lt;-AV$6,-AV$6-SUM(AV$10:AV294),-ROUNDDOWN($K295*AV$5/100,0)),0)</f>
        <v>0</v>
      </c>
      <c r="AW295" s="38">
        <f>IF(Q295="○",IF(SUM(AW$10:AW294)-ROUNDDOWN($K295*AW$5/100,0)&lt;-AW$6,-AW$6-SUM(AW$10:AW294),-ROUNDDOWN($K295*AW$5/100,0)),0)</f>
        <v>0</v>
      </c>
      <c r="AX295" s="38">
        <f>IF(R295="○",IF(SUM(AX$10:AX294)-ROUNDDOWN($K295*AX$5/100,0)&lt;-AX$6,-AX$6-SUM(AX$10:AX294),-ROUNDDOWN($K295*AX$5/100,0)),0)</f>
        <v>0</v>
      </c>
      <c r="AY295" s="70">
        <v>0</v>
      </c>
      <c r="AZ295" s="65">
        <f t="shared" si="213"/>
        <v>0</v>
      </c>
      <c r="BA295" s="65">
        <f t="shared" si="214"/>
        <v>0</v>
      </c>
      <c r="BB295" s="70"/>
      <c r="BC295" s="65">
        <f t="shared" si="215"/>
        <v>0</v>
      </c>
      <c r="BD295" s="70">
        <v>0</v>
      </c>
      <c r="BE295" s="65">
        <f t="shared" si="216"/>
        <v>0</v>
      </c>
      <c r="BF295" s="70">
        <v>0</v>
      </c>
      <c r="BG295" s="65">
        <f t="shared" si="217"/>
        <v>0</v>
      </c>
      <c r="BH295" s="70">
        <v>0</v>
      </c>
      <c r="BI295" s="65">
        <f t="shared" si="218"/>
        <v>0</v>
      </c>
      <c r="BJ295" s="38">
        <f>IF(AND(BJ$7="○",$A295&gt;=BJ$8,$A295&lt;=BJ$9),IF(SUM(BJ$10:BJ294)-ROUNDDOWN($M295*BJ$5/100,0)&lt;-BJ$6,-BJ$6-SUM(BJ$10:BJ294),-ROUNDDOWN($M295*BJ$5/100,0)),0)</f>
        <v>0</v>
      </c>
      <c r="BK295" s="38">
        <f>IF(AND(BK$7="○",$A295&gt;=BK$8,$A295&lt;=BK$9),IF(SUM(BK$10:BK294)-ROUNDDOWN($L295*BK$5/100,0)&lt;-BK$6,-BK$6-SUM(BK$10:BK294),-ROUNDDOWN($L295*BK$5/100,0)),0)</f>
        <v>0</v>
      </c>
      <c r="BL295" s="38">
        <f>IF(AND(BL$7="○",$A295&gt;=BL$8,$A295&lt;=BL$9),IF(SUM(BL$10:BL294)-ROUNDDOWN($L295*BL$5/100,0)&lt;-BL$6,-BL$6-SUM(BL$10:BL294),-ROUNDDOWN($L295*BL$5/100,0)),0)</f>
        <v>0</v>
      </c>
      <c r="BM295" s="38">
        <f>IF(AND(BM$7="○",$A295&gt;=BM$8,$A295&lt;=BM$9),IF(SUM(BM$10:BM294)-ROUNDDOWN($M295*BM$5/100,0)&lt;-BM$6,-BM$6-SUM(BM$10:BM294),-ROUNDDOWN($M295*BM$5/100,0)),0)</f>
        <v>0</v>
      </c>
      <c r="BN295" s="38">
        <f>IF(AND(BN$7="○",$A295&gt;=BN$8,$A295&lt;=BN$9),IF(SUM(BN$10:BN294)-ROUNDDOWN($M295*BN$5/100,0)&lt;-BN$6,-BN$6-SUM(BN$10:BN294),-ROUNDDOWN($M295*BN$5/100,0)),0)</f>
        <v>0</v>
      </c>
      <c r="BO295" s="38">
        <f>IF(AND(BO$7="○",$A295&gt;=BO$8,$A295&lt;=BO$9),IF(SUM(BO$10:BO294)-ROUNDDOWN($M295*BO$5/100,0)&lt;-BO$6,-BO$6-SUM(BO$10:BO294),-ROUNDDOWN($M295*BO$5/100,0)),0)</f>
        <v>0</v>
      </c>
      <c r="BP295" s="38">
        <f>IF(AND(BP$7="○",$A295&gt;=BP$8,$A295&lt;=BP$9),IF(SUM(BP$10:BP294)-ROUNDDOWN($M295*BP$5/100,0)&lt;-BP$6,-BP$6-SUM(BP$10:BP294),-ROUNDDOWN($M295*BP$5/100,0)),0)</f>
        <v>0</v>
      </c>
      <c r="BQ295" s="38">
        <f>IF(AND(BQ$7="○",$A295&gt;=BQ$8,$A295&lt;=BQ$9),IF(SUM(BQ$10:BQ294)-ROUNDDOWN($L295*BQ$5/100,0)&lt;-BQ$6,-BQ$6-SUM(BQ$10:BQ294),-ROUNDDOWN($L295*BQ$5/100,0)),0)</f>
        <v>0</v>
      </c>
      <c r="BR295" s="38">
        <f>IF(AND(BR$7="○",$A295&gt;=BR$8,$A295&lt;=BR$9),IF(SUM(BR$10:BR294)-ROUNDDOWN($M295*BR$5/100,0)&lt;-BR$6,-BR$6-SUM(BR$10:BR294),-ROUNDDOWN($M295*BR$5/100,0)),0)</f>
        <v>0</v>
      </c>
      <c r="BS295" s="38">
        <f>IF(AND(BS$7="○",$A295&gt;=BS$8,$A295&lt;=BS$9),IF(SUM(BS$10:BS294)-ROUNDDOWN($M295*BS$5/100,0)&lt;-BS$6,-BS$6-SUM(BS$10:BS294),-ROUNDDOWN($M295*BS$5/100,0)),0)</f>
        <v>0</v>
      </c>
      <c r="BT295" s="38">
        <f>IF(AND(BT$7="○",$A295&gt;=BT$8,$A295&lt;=BT$9),IF(SUM(BT$10:BT294)-ROUNDDOWN($M295*BT$5/100,0)&lt;-BT$6,-BT$6-SUM(BT$10:BT294),-ROUNDDOWN($M295*BT$5/100,0)),0)</f>
        <v>0</v>
      </c>
      <c r="BU295" s="38">
        <f>IF(AND(BU$7="○",$A295&gt;=BU$8,$A295&lt;=BU$9),IF(SUM(BU$10:BU294)-ROUNDDOWN($M295*BU$5/100,0)&lt;-BU$6,-BU$6-SUM(BU$10:BU294),-ROUNDDOWN($M295*BU$5/100,0)),0)</f>
        <v>0</v>
      </c>
      <c r="BV295" s="38">
        <f>IF(AND(BV$7="○",$A295&gt;=BV$8,$A295&lt;=BV$9),IF(SUM(BV$10:BV294)-ROUNDDOWN($M295*BV$5/100,0)&lt;-BV$6,-BV$6-SUM(BV$10:BV294),-ROUNDDOWN($M295*BV$5/100,0)),0)</f>
        <v>0</v>
      </c>
      <c r="BW295" s="38">
        <f>IF(AND(BW$7="○",$A295&gt;=BW$8,$A295&lt;=BW$9),IF(SUM(BW$10:BW294)-ROUNDDOWN($M295*BW$5/100,0)&lt;-BW$6,-BW$6-SUM(BW$10:BW294),-ROUNDDOWN($M295*BW$5/100,0)),0)</f>
        <v>0</v>
      </c>
      <c r="BX295" s="38">
        <f>IF(AND(T295="○",$A295&gt;=BX$8,$A295&lt;=BX$9),IF(SUM(BX$10:BX294)-ROUNDDOWN($K295*BX$5/100,0)&lt;-BX$6,-BX$6-SUM(BX$10:BX294),-ROUNDDOWN($K295*BX$5/100,0)),0)</f>
        <v>0</v>
      </c>
      <c r="BY295" s="38">
        <f>IF(AND(U295="○",$A295&gt;=BY$8,$A295&lt;=BY$9),IF(SUM(BY$10:BY294)-ROUNDDOWN($K295*BY$5/100,0)&lt;-BY$6,-BY$6-SUM(BY$10:BY294),-ROUNDDOWN($K295*BY$5/100,0)),0)</f>
        <v>0</v>
      </c>
      <c r="BZ295" s="38">
        <f>IF(AND(V295="○",$A295&gt;=BZ$8,$A295&lt;=BZ$9),IF(SUM(BZ$10:BZ294)-ROUNDDOWN($K295*BZ$5/100,0)&lt;-BZ$6,-BZ$6-SUM(BZ$10:BZ294),-ROUNDDOWN($K295*BZ$5/100,0)),0)</f>
        <v>0</v>
      </c>
      <c r="CA295" s="38">
        <f>IF(AND(W295="○",$A295&gt;=CA$8,$A295&lt;=CA$9),IF(SUM(CA$10:CA294)-ROUNDDOWN($K295*CA$5/100,0)&lt;-CA$6,-CA$6-SUM(CA$10:CA294),-ROUNDDOWN($K295*CA$5/100,0)),0)</f>
        <v>0</v>
      </c>
      <c r="CB295" s="38"/>
      <c r="CC295" s="38"/>
      <c r="CD295" s="38"/>
      <c r="CE295" s="38"/>
      <c r="CF295" s="38"/>
      <c r="CG295" s="65">
        <f t="shared" si="219"/>
        <v>0</v>
      </c>
      <c r="CH295" s="71">
        <f t="shared" si="220"/>
        <v>0</v>
      </c>
      <c r="CI295" s="1">
        <f t="shared" si="19"/>
        <v>0</v>
      </c>
      <c r="CJ295" s="1"/>
      <c r="CK295" s="72"/>
      <c r="CL295" s="72"/>
      <c r="CM295" s="2"/>
      <c r="CN295" s="2"/>
      <c r="CO295" s="73">
        <f t="shared" si="20"/>
        <v>0</v>
      </c>
      <c r="CP295" s="5">
        <f t="shared" si="21"/>
        <v>0</v>
      </c>
      <c r="CQ295" s="1"/>
      <c r="CR295" s="1">
        <f t="shared" si="22"/>
        <v>0</v>
      </c>
      <c r="CS295" s="1"/>
      <c r="CT295" s="1" t="e">
        <f>INDEX([2]マスタ!$A:$A,MATCH(D295,[2]マスタ!$C:$C,0))</f>
        <v>#N/A</v>
      </c>
      <c r="CU295" s="1" t="str">
        <f t="shared" ca="1" si="23"/>
        <v>20260620_0-0</v>
      </c>
    </row>
    <row r="296" spans="1:99" x14ac:dyDescent="0.4">
      <c r="A296" s="61"/>
      <c r="B296" s="62"/>
      <c r="C296" s="62"/>
      <c r="D296" s="62"/>
      <c r="E296" s="74"/>
      <c r="F296" s="62"/>
      <c r="G296" s="62">
        <v>1</v>
      </c>
      <c r="H296" s="64">
        <f t="shared" si="4"/>
        <v>0</v>
      </c>
      <c r="I296" s="64"/>
      <c r="J296" s="64"/>
      <c r="K296" s="65">
        <f t="shared" si="223"/>
        <v>0</v>
      </c>
      <c r="L296" s="65">
        <f t="shared" si="6"/>
        <v>0</v>
      </c>
      <c r="M296" s="65">
        <f t="shared" si="7"/>
        <v>0</v>
      </c>
      <c r="N296" s="65">
        <f t="shared" si="8"/>
        <v>0</v>
      </c>
      <c r="O296" s="66" t="str">
        <f t="shared" si="224"/>
        <v>✕</v>
      </c>
      <c r="P296" s="67" t="str">
        <f t="shared" si="225"/>
        <v>○</v>
      </c>
      <c r="Q296" s="67" t="str">
        <f t="shared" si="226"/>
        <v>✕</v>
      </c>
      <c r="R296" s="67" t="str">
        <f t="shared" si="227"/>
        <v>✕</v>
      </c>
      <c r="S296" s="68">
        <v>0</v>
      </c>
      <c r="T296" s="69" t="s">
        <v>85</v>
      </c>
      <c r="U296" s="69" t="s">
        <v>85</v>
      </c>
      <c r="V296" s="69" t="s">
        <v>85</v>
      </c>
      <c r="W296" s="69" t="s">
        <v>85</v>
      </c>
      <c r="X296" s="69" t="s">
        <v>84</v>
      </c>
      <c r="Y296" s="69" t="s">
        <v>85</v>
      </c>
      <c r="Z296" s="69" t="s">
        <v>85</v>
      </c>
      <c r="AA296" s="69" t="s">
        <v>85</v>
      </c>
      <c r="AB296" s="69" t="s">
        <v>85</v>
      </c>
      <c r="AC296" s="69" t="s">
        <v>85</v>
      </c>
      <c r="AD296" s="38" t="str">
        <f>+IF(ISERROR(VLOOKUP($B296,AD$10:AD295,1,0)),IF(AND($N296&gt;=1000,$A296&gt;=AO$8,$A296&lt;=AO$9),$B296,""),"")</f>
        <v/>
      </c>
      <c r="AE296" s="38" t="str">
        <f>+IF(ISERROR(VLOOKUP($B296,AE$10:AE295,1,0)),IF(AND($N296&gt;=1000,$A296&gt;=AP$8,$A296&lt;=AP$9),$B296,""),"")</f>
        <v/>
      </c>
      <c r="AF296" s="38" t="str">
        <f>+IF(ISERROR(VLOOKUP($B296,AF$10:AF295,1,0)),IF(AND($N296&gt;=1000,$A296&gt;=AQ$8,$A296&lt;=AQ$9),$B296,""),"")</f>
        <v/>
      </c>
      <c r="AG296" s="38" t="str">
        <f>+IF(ISERROR(VLOOKUP($B296,AG$10:AG295,1,0)),IF(AND($N296&gt;=1000,$A296&gt;=AR$8,$A296&lt;=AR$9),$B296,""),"")</f>
        <v/>
      </c>
      <c r="AH296" s="38"/>
      <c r="AI296" s="70">
        <v>0</v>
      </c>
      <c r="AJ296" s="38">
        <f>IF(AND(AJ$7="○",$A296&gt;=AJ$8,$A296&lt;=AJ$9),IF(SUM(AJ$10:AJ295)-ROUNDDOWN($K296*AJ$5/100,0)&lt;-AJ$6,-AJ$6-SUM(AJ$10:AJ295),-ROUNDDOWN($K296*AJ$5/100,0)),0)</f>
        <v>0</v>
      </c>
      <c r="AK296" s="38">
        <f>IF(AND(AK$7="○",$A296&gt;=AK$8,$A296&lt;=AK$9),IF(SUM(AK$10:AK295)-ROUNDDOWN($L296*AK$5/100,0)&lt;-AK$6,-AK$6-SUM(AK$10:AK295),-ROUNDDOWN($L296*AK$5/100,0)),0)</f>
        <v>0</v>
      </c>
      <c r="AL296" s="38">
        <f>IF(AND(AL$7="○",$A296&gt;=AL$8,$A296&lt;=AL$9),IF(SUM(AL$10:AL295)-ROUNDDOWN($N296*AL$5/100,0)&lt;-AL$6,-AL$6-SUM(AL$10:AL295),-ROUNDDOWN($N296*AL$5/100,0)),0)</f>
        <v>0</v>
      </c>
      <c r="AM296" s="38">
        <f>IF(AND(AM$7="○",$A296&gt;=AM$8,$A296&lt;=AM$9),IF(SUM(AM$10:AM295)-ROUNDDOWN($L296*AM$5/100,0)&lt;-AM$6,-AM$6-SUM(AM$10:AM295),-ROUNDDOWN($L296*AM$5/100,0)),0)</f>
        <v>0</v>
      </c>
      <c r="AN296" s="38">
        <f>IF(AND(AN$7="○",$A296&gt;=AN$8,$A296&lt;=AN$9),IF(SUM(AN$10:AN295)-ROUNDDOWN($M296*AN$5/100,0)&lt;-AN$6,-AN$6-SUM(AN$10:AN295),-ROUNDDOWN($M296*AN$5/100,0)),0)</f>
        <v>0</v>
      </c>
      <c r="AO296" s="38">
        <f>IF(AND($A296&gt;=AO$8,$A296&lt;=AO$9),IF(SUM(AO$10:AO295)-ROUNDDOWN($K296*AO$5/100,0)&lt;-AO$6,-AO$6-SUM(AO$10:AO295),-ROUNDDOWN($K296*AO$5/100,0)),0)</f>
        <v>0</v>
      </c>
      <c r="AP296" s="38">
        <f>IF(AND($A296&gt;=AP$8,$A296&lt;=AP$9),IF(SUM(AP$10:AP295)-ROUNDDOWN($K296*AP$5/100,0)&lt;-AP$6,-AP$6-SUM(AP$10:AP295),-ROUNDDOWN($K296*AP$5/100,0)),0)</f>
        <v>0</v>
      </c>
      <c r="AQ296" s="38">
        <f>IF(AND($A296&gt;=AQ$8,$A296&lt;=AQ$9),IF(SUM(AQ$10:AQ295)-ROUNDDOWN($K296*AQ$5/100,0)&lt;-AQ$6,-AQ$6-SUM(AQ$10:AQ295),-ROUNDDOWN($K296*AQ$5/100,0)),0)</f>
        <v>0</v>
      </c>
      <c r="AR296" s="38">
        <f>IF(AND($A296&gt;=AR$8,$A296&lt;=AR$9),IF(SUM(AR$10:AR295)-ROUNDDOWN($K296*AR$5/100,0)&lt;-AR$6,-AR$6-SUM(AR$10:AR295),-ROUNDDOWN($K296*AR$5/100,0)),0)</f>
        <v>0</v>
      </c>
      <c r="AS296" s="38">
        <f>IF(SUMIFS(AS$10:AS295,$A$10:$A295,$A296)-ROUNDDOWN($K296*$S296/100,0)&lt;-$S296*1000,-$S296*1000-SUMIFS(AS$10:AS295,$A$10:$A295,$A296),-ROUNDDOWN($K296*$S296/100,0))</f>
        <v>0</v>
      </c>
      <c r="AT296" s="38">
        <f>IF(AND(X296="○",$A296&gt;=AT$8,$A296&lt;=AT$9,K296&gt;=3980),IF(SUM(AT$10:AT295)-ROUNDDOWN($K296*AT$5/100,0)&lt;-AT$6,-AT$6-SUM(AT$10:AT295),-ROUNDDOWN($K296*AT$5/100,0)),0)</f>
        <v>0</v>
      </c>
      <c r="AU296" s="38">
        <f>IF(O296="○",IF(SUM(AU$10:AU295)-ROUNDDOWN($K296*AU$5/100,0)&lt;-AU$6,-AU$6-SUM(AU$10:AU295),-ROUNDDOWN($K296*AU$5/100,0)),0)</f>
        <v>0</v>
      </c>
      <c r="AV296" s="38">
        <f>IF(P296="○",IF(SUM(AV$10:AV295)-ROUNDDOWN($K296*AV$5/100,0)&lt;-AV$6,-AV$6-SUM(AV$10:AV295),-ROUNDDOWN($K296*AV$5/100,0)),0)</f>
        <v>0</v>
      </c>
      <c r="AW296" s="38">
        <f>IF(Q296="○",IF(SUM(AW$10:AW295)-ROUNDDOWN($K296*AW$5/100,0)&lt;-AW$6,-AW$6-SUM(AW$10:AW295),-ROUNDDOWN($K296*AW$5/100,0)),0)</f>
        <v>0</v>
      </c>
      <c r="AX296" s="38">
        <f>IF(R296="○",IF(SUM(AX$10:AX295)-ROUNDDOWN($K296*AX$5/100,0)&lt;-AX$6,-AX$6-SUM(AX$10:AX295),-ROUNDDOWN($K296*AX$5/100,0)),0)</f>
        <v>0</v>
      </c>
      <c r="AY296" s="70">
        <v>0</v>
      </c>
      <c r="AZ296" s="65">
        <f t="shared" si="213"/>
        <v>0</v>
      </c>
      <c r="BA296" s="65">
        <f t="shared" si="214"/>
        <v>0</v>
      </c>
      <c r="BB296" s="70"/>
      <c r="BC296" s="65">
        <f t="shared" si="215"/>
        <v>0</v>
      </c>
      <c r="BD296" s="70">
        <v>0</v>
      </c>
      <c r="BE296" s="65">
        <f t="shared" si="216"/>
        <v>0</v>
      </c>
      <c r="BF296" s="70">
        <v>0</v>
      </c>
      <c r="BG296" s="65">
        <f t="shared" si="217"/>
        <v>0</v>
      </c>
      <c r="BH296" s="70">
        <v>0</v>
      </c>
      <c r="BI296" s="65">
        <f t="shared" si="218"/>
        <v>0</v>
      </c>
      <c r="BJ296" s="38">
        <f>IF(AND(BJ$7="○",$A296&gt;=BJ$8,$A296&lt;=BJ$9),IF(SUM(BJ$10:BJ295)-ROUNDDOWN($M296*BJ$5/100,0)&lt;-BJ$6,-BJ$6-SUM(BJ$10:BJ295),-ROUNDDOWN($M296*BJ$5/100,0)),0)</f>
        <v>0</v>
      </c>
      <c r="BK296" s="38">
        <f>IF(AND(BK$7="○",$A296&gt;=BK$8,$A296&lt;=BK$9),IF(SUM(BK$10:BK295)-ROUNDDOWN($L296*BK$5/100,0)&lt;-BK$6,-BK$6-SUM(BK$10:BK295),-ROUNDDOWN($L296*BK$5/100,0)),0)</f>
        <v>0</v>
      </c>
      <c r="BL296" s="38">
        <f>IF(AND(BL$7="○",$A296&gt;=BL$8,$A296&lt;=BL$9),IF(SUM(BL$10:BL295)-ROUNDDOWN($L296*BL$5/100,0)&lt;-BL$6,-BL$6-SUM(BL$10:BL295),-ROUNDDOWN($L296*BL$5/100,0)),0)</f>
        <v>0</v>
      </c>
      <c r="BM296" s="38">
        <f>IF(AND(BM$7="○",$A296&gt;=BM$8,$A296&lt;=BM$9),IF(SUM(BM$10:BM295)-ROUNDDOWN($M296*BM$5/100,0)&lt;-BM$6,-BM$6-SUM(BM$10:BM295),-ROUNDDOWN($M296*BM$5/100,0)),0)</f>
        <v>0</v>
      </c>
      <c r="BN296" s="38">
        <f>IF(AND(BN$7="○",$A296&gt;=BN$8,$A296&lt;=BN$9),IF(SUM(BN$10:BN295)-ROUNDDOWN($M296*BN$5/100,0)&lt;-BN$6,-BN$6-SUM(BN$10:BN295),-ROUNDDOWN($M296*BN$5/100,0)),0)</f>
        <v>0</v>
      </c>
      <c r="BO296" s="38">
        <f>IF(AND(BO$7="○",$A296&gt;=BO$8,$A296&lt;=BO$9),IF(SUM(BO$10:BO295)-ROUNDDOWN($M296*BO$5/100,0)&lt;-BO$6,-BO$6-SUM(BO$10:BO295),-ROUNDDOWN($M296*BO$5/100,0)),0)</f>
        <v>0</v>
      </c>
      <c r="BP296" s="38">
        <f>IF(AND(BP$7="○",$A296&gt;=BP$8,$A296&lt;=BP$9),IF(SUM(BP$10:BP295)-ROUNDDOWN($M296*BP$5/100,0)&lt;-BP$6,-BP$6-SUM(BP$10:BP295),-ROUNDDOWN($M296*BP$5/100,0)),0)</f>
        <v>0</v>
      </c>
      <c r="BQ296" s="38">
        <f>IF(AND(BQ$7="○",$A296&gt;=BQ$8,$A296&lt;=BQ$9),IF(SUM(BQ$10:BQ295)-ROUNDDOWN($L296*BQ$5/100,0)&lt;-BQ$6,-BQ$6-SUM(BQ$10:BQ295),-ROUNDDOWN($L296*BQ$5/100,0)),0)</f>
        <v>0</v>
      </c>
      <c r="BR296" s="38">
        <f>IF(AND(BR$7="○",$A296&gt;=BR$8,$A296&lt;=BR$9),IF(SUM(BR$10:BR295)-ROUNDDOWN($M296*BR$5/100,0)&lt;-BR$6,-BR$6-SUM(BR$10:BR295),-ROUNDDOWN($M296*BR$5/100,0)),0)</f>
        <v>0</v>
      </c>
      <c r="BS296" s="38">
        <f>IF(AND(BS$7="○",$A296&gt;=BS$8,$A296&lt;=BS$9),IF(SUM(BS$10:BS295)-ROUNDDOWN($M296*BS$5/100,0)&lt;-BS$6,-BS$6-SUM(BS$10:BS295),-ROUNDDOWN($M296*BS$5/100,0)),0)</f>
        <v>0</v>
      </c>
      <c r="BT296" s="38">
        <f>IF(AND(BT$7="○",$A296&gt;=BT$8,$A296&lt;=BT$9),IF(SUM(BT$10:BT295)-ROUNDDOWN($M296*BT$5/100,0)&lt;-BT$6,-BT$6-SUM(BT$10:BT295),-ROUNDDOWN($M296*BT$5/100,0)),0)</f>
        <v>0</v>
      </c>
      <c r="BU296" s="38">
        <f>IF(AND(BU$7="○",$A296&gt;=BU$8,$A296&lt;=BU$9),IF(SUM(BU$10:BU295)-ROUNDDOWN($M296*BU$5/100,0)&lt;-BU$6,-BU$6-SUM(BU$10:BU295),-ROUNDDOWN($M296*BU$5/100,0)),0)</f>
        <v>0</v>
      </c>
      <c r="BV296" s="38">
        <f>IF(AND(BV$7="○",$A296&gt;=BV$8,$A296&lt;=BV$9),IF(SUM(BV$10:BV295)-ROUNDDOWN($M296*BV$5/100,0)&lt;-BV$6,-BV$6-SUM(BV$10:BV295),-ROUNDDOWN($M296*BV$5/100,0)),0)</f>
        <v>0</v>
      </c>
      <c r="BW296" s="38">
        <f>IF(AND(BW$7="○",$A296&gt;=BW$8,$A296&lt;=BW$9),IF(SUM(BW$10:BW295)-ROUNDDOWN($M296*BW$5/100,0)&lt;-BW$6,-BW$6-SUM(BW$10:BW295),-ROUNDDOWN($M296*BW$5/100,0)),0)</f>
        <v>0</v>
      </c>
      <c r="BX296" s="38">
        <f>IF(AND(T296="○",$A296&gt;=BX$8,$A296&lt;=BX$9),IF(SUM(BX$10:BX295)-ROUNDDOWN($K296*BX$5/100,0)&lt;-BX$6,-BX$6-SUM(BX$10:BX295),-ROUNDDOWN($K296*BX$5/100,0)),0)</f>
        <v>0</v>
      </c>
      <c r="BY296" s="38">
        <f>IF(AND(U296="○",$A296&gt;=BY$8,$A296&lt;=BY$9),IF(SUM(BY$10:BY295)-ROUNDDOWN($K296*BY$5/100,0)&lt;-BY$6,-BY$6-SUM(BY$10:BY295),-ROUNDDOWN($K296*BY$5/100,0)),0)</f>
        <v>0</v>
      </c>
      <c r="BZ296" s="38">
        <f>IF(AND(V296="○",$A296&gt;=BZ$8,$A296&lt;=BZ$9),IF(SUM(BZ$10:BZ295)-ROUNDDOWN($K296*BZ$5/100,0)&lt;-BZ$6,-BZ$6-SUM(BZ$10:BZ295),-ROUNDDOWN($K296*BZ$5/100,0)),0)</f>
        <v>0</v>
      </c>
      <c r="CA296" s="38">
        <f>IF(AND(W296="○",$A296&gt;=CA$8,$A296&lt;=CA$9),IF(SUM(CA$10:CA295)-ROUNDDOWN($K296*CA$5/100,0)&lt;-CA$6,-CA$6-SUM(CA$10:CA295),-ROUNDDOWN($K296*CA$5/100,0)),0)</f>
        <v>0</v>
      </c>
      <c r="CB296" s="38"/>
      <c r="CC296" s="38"/>
      <c r="CD296" s="38"/>
      <c r="CE296" s="38"/>
      <c r="CF296" s="38"/>
      <c r="CG296" s="65">
        <f t="shared" si="219"/>
        <v>0</v>
      </c>
      <c r="CH296" s="71">
        <f t="shared" si="220"/>
        <v>0</v>
      </c>
      <c r="CI296" s="1">
        <f t="shared" si="19"/>
        <v>0</v>
      </c>
      <c r="CJ296" s="1"/>
      <c r="CK296" s="72"/>
      <c r="CL296" s="72"/>
      <c r="CM296" s="2"/>
      <c r="CN296" s="2"/>
      <c r="CO296" s="73">
        <f t="shared" si="20"/>
        <v>0</v>
      </c>
      <c r="CP296" s="5">
        <f t="shared" si="21"/>
        <v>0</v>
      </c>
      <c r="CQ296" s="1"/>
      <c r="CR296" s="1">
        <f t="shared" si="22"/>
        <v>0</v>
      </c>
      <c r="CS296" s="1"/>
      <c r="CT296" s="1" t="e">
        <f>INDEX([2]マスタ!$A:$A,MATCH(D296,[2]マスタ!$C:$C,0))</f>
        <v>#N/A</v>
      </c>
      <c r="CU296" s="1" t="str">
        <f t="shared" ca="1" si="23"/>
        <v>20260620_0-0</v>
      </c>
    </row>
    <row r="297" spans="1:99" x14ac:dyDescent="0.4">
      <c r="A297" s="61"/>
      <c r="B297" s="62"/>
      <c r="C297" s="62"/>
      <c r="D297" s="62"/>
      <c r="E297" s="74"/>
      <c r="F297" s="62"/>
      <c r="G297" s="62">
        <v>1</v>
      </c>
      <c r="H297" s="64">
        <f t="shared" si="4"/>
        <v>0</v>
      </c>
      <c r="I297" s="64"/>
      <c r="J297" s="64"/>
      <c r="K297" s="65">
        <f t="shared" si="223"/>
        <v>0</v>
      </c>
      <c r="L297" s="65">
        <f t="shared" si="6"/>
        <v>0</v>
      </c>
      <c r="M297" s="65">
        <f t="shared" si="7"/>
        <v>0</v>
      </c>
      <c r="N297" s="65">
        <f t="shared" si="8"/>
        <v>0</v>
      </c>
      <c r="O297" s="66" t="str">
        <f t="shared" si="224"/>
        <v>✕</v>
      </c>
      <c r="P297" s="67" t="str">
        <f t="shared" si="225"/>
        <v>○</v>
      </c>
      <c r="Q297" s="67" t="str">
        <f t="shared" si="226"/>
        <v>✕</v>
      </c>
      <c r="R297" s="67" t="str">
        <f t="shared" si="227"/>
        <v>✕</v>
      </c>
      <c r="S297" s="68">
        <v>0</v>
      </c>
      <c r="T297" s="69" t="s">
        <v>85</v>
      </c>
      <c r="U297" s="69" t="s">
        <v>85</v>
      </c>
      <c r="V297" s="69" t="s">
        <v>85</v>
      </c>
      <c r="W297" s="69" t="s">
        <v>85</v>
      </c>
      <c r="X297" s="69" t="s">
        <v>84</v>
      </c>
      <c r="Y297" s="69" t="s">
        <v>85</v>
      </c>
      <c r="Z297" s="69" t="s">
        <v>85</v>
      </c>
      <c r="AA297" s="69" t="s">
        <v>85</v>
      </c>
      <c r="AB297" s="69" t="s">
        <v>85</v>
      </c>
      <c r="AC297" s="69" t="s">
        <v>85</v>
      </c>
      <c r="AD297" s="38" t="str">
        <f>+IF(ISERROR(VLOOKUP($B297,AD$10:AD296,1,0)),IF(AND($N297&gt;=1000,$A297&gt;=AO$8,$A297&lt;=AO$9),$B297,""),"")</f>
        <v/>
      </c>
      <c r="AE297" s="38" t="str">
        <f>+IF(ISERROR(VLOOKUP($B297,AE$10:AE296,1,0)),IF(AND($N297&gt;=1000,$A297&gt;=AP$8,$A297&lt;=AP$9),$B297,""),"")</f>
        <v/>
      </c>
      <c r="AF297" s="38" t="str">
        <f>+IF(ISERROR(VLOOKUP($B297,AF$10:AF296,1,0)),IF(AND($N297&gt;=1000,$A297&gt;=AQ$8,$A297&lt;=AQ$9),$B297,""),"")</f>
        <v/>
      </c>
      <c r="AG297" s="38" t="str">
        <f>+IF(ISERROR(VLOOKUP($B297,AG$10:AG296,1,0)),IF(AND($N297&gt;=1000,$A297&gt;=AR$8,$A297&lt;=AR$9),$B297,""),"")</f>
        <v/>
      </c>
      <c r="AH297" s="38"/>
      <c r="AI297" s="70">
        <v>0</v>
      </c>
      <c r="AJ297" s="38">
        <f>IF(AND(AJ$7="○",$A297&gt;=AJ$8,$A297&lt;=AJ$9),IF(SUM(AJ$10:AJ296)-ROUNDDOWN($K297*AJ$5/100,0)&lt;-AJ$6,-AJ$6-SUM(AJ$10:AJ296),-ROUNDDOWN($K297*AJ$5/100,0)),0)</f>
        <v>0</v>
      </c>
      <c r="AK297" s="38">
        <f>IF(AND(AK$7="○",$A297&gt;=AK$8,$A297&lt;=AK$9),IF(SUM(AK$10:AK296)-ROUNDDOWN($L297*AK$5/100,0)&lt;-AK$6,-AK$6-SUM(AK$10:AK296),-ROUNDDOWN($L297*AK$5/100,0)),0)</f>
        <v>0</v>
      </c>
      <c r="AL297" s="38">
        <f>IF(AND(AL$7="○",$A297&gt;=AL$8,$A297&lt;=AL$9),IF(SUM(AL$10:AL296)-ROUNDDOWN($N297*AL$5/100,0)&lt;-AL$6,-AL$6-SUM(AL$10:AL296),-ROUNDDOWN($N297*AL$5/100,0)),0)</f>
        <v>0</v>
      </c>
      <c r="AM297" s="38">
        <f>IF(AND(AM$7="○",$A297&gt;=AM$8,$A297&lt;=AM$9),IF(SUM(AM$10:AM296)-ROUNDDOWN($L297*AM$5/100,0)&lt;-AM$6,-AM$6-SUM(AM$10:AM296),-ROUNDDOWN($L297*AM$5/100,0)),0)</f>
        <v>0</v>
      </c>
      <c r="AN297" s="38">
        <f>IF(AND(AN$7="○",$A297&gt;=AN$8,$A297&lt;=AN$9),IF(SUM(AN$10:AN296)-ROUNDDOWN($M297*AN$5/100,0)&lt;-AN$6,-AN$6-SUM(AN$10:AN296),-ROUNDDOWN($M297*AN$5/100,0)),0)</f>
        <v>0</v>
      </c>
      <c r="AO297" s="38">
        <f>IF(AND($A297&gt;=AO$8,$A297&lt;=AO$9),IF(SUM(AO$10:AO296)-ROUNDDOWN($K297*AO$5/100,0)&lt;-AO$6,-AO$6-SUM(AO$10:AO296),-ROUNDDOWN($K297*AO$5/100,0)),0)</f>
        <v>0</v>
      </c>
      <c r="AP297" s="38">
        <f>IF(AND($A297&gt;=AP$8,$A297&lt;=AP$9),IF(SUM(AP$10:AP296)-ROUNDDOWN($K297*AP$5/100,0)&lt;-AP$6,-AP$6-SUM(AP$10:AP296),-ROUNDDOWN($K297*AP$5/100,0)),0)</f>
        <v>0</v>
      </c>
      <c r="AQ297" s="38">
        <f>IF(AND($A297&gt;=AQ$8,$A297&lt;=AQ$9),IF(SUM(AQ$10:AQ296)-ROUNDDOWN($K297*AQ$5/100,0)&lt;-AQ$6,-AQ$6-SUM(AQ$10:AQ296),-ROUNDDOWN($K297*AQ$5/100,0)),0)</f>
        <v>0</v>
      </c>
      <c r="AR297" s="38">
        <f>IF(AND($A297&gt;=AR$8,$A297&lt;=AR$9),IF(SUM(AR$10:AR296)-ROUNDDOWN($K297*AR$5/100,0)&lt;-AR$6,-AR$6-SUM(AR$10:AR296),-ROUNDDOWN($K297*AR$5/100,0)),0)</f>
        <v>0</v>
      </c>
      <c r="AS297" s="38">
        <f>IF(SUMIFS(AS$10:AS296,$A$10:$A296,$A297)-ROUNDDOWN($K297*$S297/100,0)&lt;-$S297*1000,-$S297*1000-SUMIFS(AS$10:AS296,$A$10:$A296,$A297),-ROUNDDOWN($K297*$S297/100,0))</f>
        <v>0</v>
      </c>
      <c r="AT297" s="38">
        <f>IF(AND(X297="○",$A297&gt;=AT$8,$A297&lt;=AT$9,K297&gt;=3980),IF(SUM(AT$10:AT296)-ROUNDDOWN($K297*AT$5/100,0)&lt;-AT$6,-AT$6-SUM(AT$10:AT296),-ROUNDDOWN($K297*AT$5/100,0)),0)</f>
        <v>0</v>
      </c>
      <c r="AU297" s="38">
        <f>IF(O297="○",IF(SUM(AU$10:AU296)-ROUNDDOWN($K297*AU$5/100,0)&lt;-AU$6,-AU$6-SUM(AU$10:AU296),-ROUNDDOWN($K297*AU$5/100,0)),0)</f>
        <v>0</v>
      </c>
      <c r="AV297" s="38">
        <f>IF(P297="○",IF(SUM(AV$10:AV296)-ROUNDDOWN($K297*AV$5/100,0)&lt;-AV$6,-AV$6-SUM(AV$10:AV296),-ROUNDDOWN($K297*AV$5/100,0)),0)</f>
        <v>0</v>
      </c>
      <c r="AW297" s="38">
        <f>IF(Q297="○",IF(SUM(AW$10:AW296)-ROUNDDOWN($K297*AW$5/100,0)&lt;-AW$6,-AW$6-SUM(AW$10:AW296),-ROUNDDOWN($K297*AW$5/100,0)),0)</f>
        <v>0</v>
      </c>
      <c r="AX297" s="38">
        <f>IF(R297="○",IF(SUM(AX$10:AX296)-ROUNDDOWN($K297*AX$5/100,0)&lt;-AX$6,-AX$6-SUM(AX$10:AX296),-ROUNDDOWN($K297*AX$5/100,0)),0)</f>
        <v>0</v>
      </c>
      <c r="AY297" s="70">
        <v>0</v>
      </c>
      <c r="AZ297" s="65">
        <f t="shared" si="213"/>
        <v>0</v>
      </c>
      <c r="BA297" s="65">
        <f t="shared" si="214"/>
        <v>0</v>
      </c>
      <c r="BB297" s="70"/>
      <c r="BC297" s="65">
        <f t="shared" si="215"/>
        <v>0</v>
      </c>
      <c r="BD297" s="70">
        <v>0</v>
      </c>
      <c r="BE297" s="65">
        <f t="shared" si="216"/>
        <v>0</v>
      </c>
      <c r="BF297" s="70">
        <v>0</v>
      </c>
      <c r="BG297" s="65">
        <f t="shared" si="217"/>
        <v>0</v>
      </c>
      <c r="BH297" s="70">
        <v>0</v>
      </c>
      <c r="BI297" s="65">
        <f t="shared" si="218"/>
        <v>0</v>
      </c>
      <c r="BJ297" s="38">
        <f>IF(AND(BJ$7="○",$A297&gt;=BJ$8,$A297&lt;=BJ$9),IF(SUM(BJ$10:BJ296)-ROUNDDOWN($M297*BJ$5/100,0)&lt;-BJ$6,-BJ$6-SUM(BJ$10:BJ296),-ROUNDDOWN($M297*BJ$5/100,0)),0)</f>
        <v>0</v>
      </c>
      <c r="BK297" s="38">
        <f>IF(AND(BK$7="○",$A297&gt;=BK$8,$A297&lt;=BK$9),IF(SUM(BK$10:BK296)-ROUNDDOWN($L297*BK$5/100,0)&lt;-BK$6,-BK$6-SUM(BK$10:BK296),-ROUNDDOWN($L297*BK$5/100,0)),0)</f>
        <v>0</v>
      </c>
      <c r="BL297" s="38">
        <f>IF(AND(BL$7="○",$A297&gt;=BL$8,$A297&lt;=BL$9),IF(SUM(BL$10:BL296)-ROUNDDOWN($L297*BL$5/100,0)&lt;-BL$6,-BL$6-SUM(BL$10:BL296),-ROUNDDOWN($L297*BL$5/100,0)),0)</f>
        <v>0</v>
      </c>
      <c r="BM297" s="38">
        <f>IF(AND(BM$7="○",$A297&gt;=BM$8,$A297&lt;=BM$9),IF(SUM(BM$10:BM296)-ROUNDDOWN($M297*BM$5/100,0)&lt;-BM$6,-BM$6-SUM(BM$10:BM296),-ROUNDDOWN($M297*BM$5/100,0)),0)</f>
        <v>0</v>
      </c>
      <c r="BN297" s="38">
        <f>IF(AND(BN$7="○",$A297&gt;=BN$8,$A297&lt;=BN$9),IF(SUM(BN$10:BN296)-ROUNDDOWN($M297*BN$5/100,0)&lt;-BN$6,-BN$6-SUM(BN$10:BN296),-ROUNDDOWN($M297*BN$5/100,0)),0)</f>
        <v>0</v>
      </c>
      <c r="BO297" s="38">
        <f>IF(AND(BO$7="○",$A297&gt;=BO$8,$A297&lt;=BO$9),IF(SUM(BO$10:BO296)-ROUNDDOWN($M297*BO$5/100,0)&lt;-BO$6,-BO$6-SUM(BO$10:BO296),-ROUNDDOWN($M297*BO$5/100,0)),0)</f>
        <v>0</v>
      </c>
      <c r="BP297" s="38">
        <f>IF(AND(BP$7="○",$A297&gt;=BP$8,$A297&lt;=BP$9),IF(SUM(BP$10:BP296)-ROUNDDOWN($M297*BP$5/100,0)&lt;-BP$6,-BP$6-SUM(BP$10:BP296),-ROUNDDOWN($M297*BP$5/100,0)),0)</f>
        <v>0</v>
      </c>
      <c r="BQ297" s="38">
        <f>IF(AND(BQ$7="○",$A297&gt;=BQ$8,$A297&lt;=BQ$9),IF(SUM(BQ$10:BQ296)-ROUNDDOWN($L297*BQ$5/100,0)&lt;-BQ$6,-BQ$6-SUM(BQ$10:BQ296),-ROUNDDOWN($L297*BQ$5/100,0)),0)</f>
        <v>0</v>
      </c>
      <c r="BR297" s="38">
        <f>IF(AND(BR$7="○",$A297&gt;=BR$8,$A297&lt;=BR$9),IF(SUM(BR$10:BR296)-ROUNDDOWN($M297*BR$5/100,0)&lt;-BR$6,-BR$6-SUM(BR$10:BR296),-ROUNDDOWN($M297*BR$5/100,0)),0)</f>
        <v>0</v>
      </c>
      <c r="BS297" s="38">
        <f>IF(AND(BS$7="○",$A297&gt;=BS$8,$A297&lt;=BS$9),IF(SUM(BS$10:BS296)-ROUNDDOWN($M297*BS$5/100,0)&lt;-BS$6,-BS$6-SUM(BS$10:BS296),-ROUNDDOWN($M297*BS$5/100,0)),0)</f>
        <v>0</v>
      </c>
      <c r="BT297" s="38">
        <f>IF(AND(BT$7="○",$A297&gt;=BT$8,$A297&lt;=BT$9),IF(SUM(BT$10:BT296)-ROUNDDOWN($M297*BT$5/100,0)&lt;-BT$6,-BT$6-SUM(BT$10:BT296),-ROUNDDOWN($M297*BT$5/100,0)),0)</f>
        <v>0</v>
      </c>
      <c r="BU297" s="38">
        <f>IF(AND(BU$7="○",$A297&gt;=BU$8,$A297&lt;=BU$9),IF(SUM(BU$10:BU296)-ROUNDDOWN($M297*BU$5/100,0)&lt;-BU$6,-BU$6-SUM(BU$10:BU296),-ROUNDDOWN($M297*BU$5/100,0)),0)</f>
        <v>0</v>
      </c>
      <c r="BV297" s="38">
        <f>IF(AND(BV$7="○",$A297&gt;=BV$8,$A297&lt;=BV$9),IF(SUM(BV$10:BV296)-ROUNDDOWN($M297*BV$5/100,0)&lt;-BV$6,-BV$6-SUM(BV$10:BV296),-ROUNDDOWN($M297*BV$5/100,0)),0)</f>
        <v>0</v>
      </c>
      <c r="BW297" s="38">
        <f>IF(AND(BW$7="○",$A297&gt;=BW$8,$A297&lt;=BW$9),IF(SUM(BW$10:BW296)-ROUNDDOWN($M297*BW$5/100,0)&lt;-BW$6,-BW$6-SUM(BW$10:BW296),-ROUNDDOWN($M297*BW$5/100,0)),0)</f>
        <v>0</v>
      </c>
      <c r="BX297" s="38">
        <f>IF(AND(T297="○",$A297&gt;=BX$8,$A297&lt;=BX$9),IF(SUM(BX$10:BX296)-ROUNDDOWN($K297*BX$5/100,0)&lt;-BX$6,-BX$6-SUM(BX$10:BX296),-ROUNDDOWN($K297*BX$5/100,0)),0)</f>
        <v>0</v>
      </c>
      <c r="BY297" s="38">
        <f>IF(AND(U297="○",$A297&gt;=BY$8,$A297&lt;=BY$9),IF(SUM(BY$10:BY296)-ROUNDDOWN($K297*BY$5/100,0)&lt;-BY$6,-BY$6-SUM(BY$10:BY296),-ROUNDDOWN($K297*BY$5/100,0)),0)</f>
        <v>0</v>
      </c>
      <c r="BZ297" s="38">
        <f>IF(AND(V297="○",$A297&gt;=BZ$8,$A297&lt;=BZ$9),IF(SUM(BZ$10:BZ296)-ROUNDDOWN($K297*BZ$5/100,0)&lt;-BZ$6,-BZ$6-SUM(BZ$10:BZ296),-ROUNDDOWN($K297*BZ$5/100,0)),0)</f>
        <v>0</v>
      </c>
      <c r="CA297" s="38">
        <f>IF(AND(W297="○",$A297&gt;=CA$8,$A297&lt;=CA$9),IF(SUM(CA$10:CA296)-ROUNDDOWN($K297*CA$5/100,0)&lt;-CA$6,-CA$6-SUM(CA$10:CA296),-ROUNDDOWN($K297*CA$5/100,0)),0)</f>
        <v>0</v>
      </c>
      <c r="CB297" s="38"/>
      <c r="CC297" s="38"/>
      <c r="CD297" s="38"/>
      <c r="CE297" s="38"/>
      <c r="CF297" s="38"/>
      <c r="CG297" s="65">
        <f t="shared" si="219"/>
        <v>0</v>
      </c>
      <c r="CH297" s="71">
        <f t="shared" si="220"/>
        <v>0</v>
      </c>
      <c r="CI297" s="1">
        <f t="shared" si="19"/>
        <v>0</v>
      </c>
      <c r="CJ297" s="1"/>
      <c r="CK297" s="72"/>
      <c r="CL297" s="72"/>
      <c r="CM297" s="2"/>
      <c r="CN297" s="2"/>
      <c r="CO297" s="73">
        <f t="shared" si="20"/>
        <v>0</v>
      </c>
      <c r="CP297" s="5">
        <f t="shared" si="21"/>
        <v>0</v>
      </c>
      <c r="CQ297" s="1"/>
      <c r="CR297" s="1">
        <f t="shared" si="22"/>
        <v>0</v>
      </c>
      <c r="CS297" s="1"/>
      <c r="CT297" s="1" t="e">
        <f>INDEX([2]マスタ!$A:$A,MATCH(D297,[2]マスタ!$C:$C,0))</f>
        <v>#N/A</v>
      </c>
      <c r="CU297" s="1" t="str">
        <f t="shared" ca="1" si="23"/>
        <v>20260620_0-0</v>
      </c>
    </row>
    <row r="298" spans="1:99" x14ac:dyDescent="0.4">
      <c r="A298" s="61"/>
      <c r="B298" s="62"/>
      <c r="C298" s="62"/>
      <c r="D298" s="62"/>
      <c r="E298" s="74"/>
      <c r="F298" s="62"/>
      <c r="G298" s="62">
        <v>1</v>
      </c>
      <c r="H298" s="64">
        <f t="shared" si="4"/>
        <v>0</v>
      </c>
      <c r="I298" s="64"/>
      <c r="J298" s="64"/>
      <c r="K298" s="65">
        <f t="shared" ref="K298:K301" si="228">+ROUNDDOWN((H298+I298+J298)/100,0)*100</f>
        <v>0</v>
      </c>
      <c r="L298" s="65">
        <f t="shared" si="6"/>
        <v>0</v>
      </c>
      <c r="M298" s="65">
        <f t="shared" si="7"/>
        <v>0</v>
      </c>
      <c r="N298" s="65">
        <f t="shared" si="8"/>
        <v>0</v>
      </c>
      <c r="O298" s="66" t="str">
        <f t="shared" si="224"/>
        <v>✕</v>
      </c>
      <c r="P298" s="67" t="str">
        <f t="shared" si="225"/>
        <v>○</v>
      </c>
      <c r="Q298" s="67" t="str">
        <f t="shared" ref="Q298:Q301" si="229">+IF((TEXT(A298,"DD")+0)=1,"○","✕")</f>
        <v>✕</v>
      </c>
      <c r="R298" s="67" t="str">
        <f t="shared" si="227"/>
        <v>✕</v>
      </c>
      <c r="S298" s="68">
        <v>0</v>
      </c>
      <c r="T298" s="69" t="s">
        <v>85</v>
      </c>
      <c r="U298" s="69" t="s">
        <v>85</v>
      </c>
      <c r="V298" s="69" t="s">
        <v>85</v>
      </c>
      <c r="W298" s="69" t="s">
        <v>85</v>
      </c>
      <c r="X298" s="69" t="s">
        <v>84</v>
      </c>
      <c r="Y298" s="69" t="s">
        <v>85</v>
      </c>
      <c r="Z298" s="69" t="s">
        <v>85</v>
      </c>
      <c r="AA298" s="69" t="s">
        <v>85</v>
      </c>
      <c r="AB298" s="69" t="s">
        <v>85</v>
      </c>
      <c r="AC298" s="69" t="s">
        <v>85</v>
      </c>
      <c r="AD298" s="38" t="str">
        <f>+IF(ISERROR(VLOOKUP($B298,AD$10:AD290,1,0)),IF(AND($N298&gt;=1000,$A298&gt;=AO$8,$A298&lt;=AO$9),$B298,""),"")</f>
        <v/>
      </c>
      <c r="AE298" s="38" t="str">
        <f>+IF(ISERROR(VLOOKUP($B298,AE$10:AE290,1,0)),IF(AND($N298&gt;=1000,$A298&gt;=AP$8,$A298&lt;=AP$9),$B298,""),"")</f>
        <v/>
      </c>
      <c r="AF298" s="38" t="str">
        <f>+IF(ISERROR(VLOOKUP($B298,AF$10:AF290,1,0)),IF(AND($N298&gt;=1000,$A298&gt;=AQ$8,$A298&lt;=AQ$9),$B298,""),"")</f>
        <v/>
      </c>
      <c r="AG298" s="38" t="str">
        <f>+IF(ISERROR(VLOOKUP($B298,AG$10:AG290,1,0)),IF(AND($N298&gt;=1000,$A298&gt;=AR$8,$A298&lt;=AR$9),$B298,""),"")</f>
        <v/>
      </c>
      <c r="AH298" s="38"/>
      <c r="AI298" s="70">
        <v>0</v>
      </c>
      <c r="AJ298" s="38">
        <f>IF(AND(AJ$7="○",$A298&gt;=AJ$8,$A298&lt;=AJ$9),IF(SUM(AJ$10:AJ297)-ROUNDDOWN($K298*AJ$5/100,0)&lt;-AJ$6,-AJ$6-SUM(AJ$10:AJ297),-ROUNDDOWN($K298*AJ$5/100,0)),0)</f>
        <v>0</v>
      </c>
      <c r="AK298" s="38">
        <f>IF(AND(AK$7="○",$A298&gt;=AK$8,$A298&lt;=AK$9),IF(SUM(AK$10:AK297)-ROUNDDOWN($L298*AK$5/100,0)&lt;-AK$6,-AK$6-SUM(AK$10:AK297),-ROUNDDOWN($L298*AK$5/100,0)),0)</f>
        <v>0</v>
      </c>
      <c r="AL298" s="38">
        <f>IF(AND(AL$7="○",$A298&gt;=AL$8,$A298&lt;=AL$9),IF(SUM(AL$10:AL297)-ROUNDDOWN($N298*AL$5/100,0)&lt;-AL$6,-AL$6-SUM(AL$10:AL297),-ROUNDDOWN($N298*AL$5/100,0)),0)</f>
        <v>0</v>
      </c>
      <c r="AM298" s="38">
        <f>IF(AND(AM$7="○",$A298&gt;=AM$8,$A298&lt;=AM$9),IF(SUM(AM$10:AM297)-ROUNDDOWN($L298*AM$5/100,0)&lt;-AM$6,-AM$6-SUM(AM$10:AM297),-ROUNDDOWN($L298*AM$5/100,0)),0)</f>
        <v>0</v>
      </c>
      <c r="AN298" s="38">
        <f>IF(AND(AN$7="○",$A298&gt;=AN$8,$A298&lt;=AN$9),IF(SUM(AN$10:AN297)-ROUNDDOWN($M298*AN$5/100,0)&lt;-AN$6,-AN$6-SUM(AN$10:AN297),-ROUNDDOWN($M298*AN$5/100,0)),0)</f>
        <v>0</v>
      </c>
      <c r="AO298" s="38">
        <f>IF(AND($A298&gt;=AO$8,$A298&lt;=AO$9),IF(SUM(AO$10:AO297)-ROUNDDOWN($K298*AO$5/100,0)&lt;-AO$6,-AO$6-SUM(AO$10:AO297),-ROUNDDOWN($K298*AO$5/100,0)),0)</f>
        <v>0</v>
      </c>
      <c r="AP298" s="38">
        <f>IF(AND($A298&gt;=AP$8,$A298&lt;=AP$9),IF(SUM(AP$10:AP297)-ROUNDDOWN($K298*AP$5/100,0)&lt;-AP$6,-AP$6-SUM(AP$10:AP297),-ROUNDDOWN($K298*AP$5/100,0)),0)</f>
        <v>0</v>
      </c>
      <c r="AQ298" s="38">
        <f>IF(AND($A298&gt;=AQ$8,$A298&lt;=AQ$9),IF(SUM(AQ$10:AQ297)-ROUNDDOWN($K298*AQ$5/100,0)&lt;-AQ$6,-AQ$6-SUM(AQ$10:AQ297),-ROUNDDOWN($K298*AQ$5/100,0)),0)</f>
        <v>0</v>
      </c>
      <c r="AR298" s="38">
        <f>IF(AND($A298&gt;=AR$8,$A298&lt;=AR$9),IF(SUM(AR$10:AR297)-ROUNDDOWN($K298*AR$5/100,0)&lt;-AR$6,-AR$6-SUM(AR$10:AR297),-ROUNDDOWN($K298*AR$5/100,0)),0)</f>
        <v>0</v>
      </c>
      <c r="AS298" s="38">
        <f>IF(SUMIFS(AS$10:AS297,$A$10:$A297,$A298)-ROUNDDOWN($K298*$S298/100,0)&lt;-$S298*1000,-$S298*1000-SUMIFS(AS$10:AS297,$A$10:$A297,$A298),-ROUNDDOWN($K298*$S298/100,0))</f>
        <v>0</v>
      </c>
      <c r="AT298" s="38">
        <f>IF(AND(X298="○",$A298&gt;=AT$8,$A298&lt;=AT$9,K298&gt;=3980),IF(SUM(AT$10:AT297)-ROUNDDOWN($K298*AT$5/100,0)&lt;-AT$6,-AT$6-SUM(AT$10:AT297),-ROUNDDOWN($K298*AT$5/100,0)),0)</f>
        <v>0</v>
      </c>
      <c r="AU298" s="38">
        <f>IF(O298="○",IF(SUM(AU$10:AU297)-ROUNDDOWN($K298*AU$5/100,0)&lt;-AU$6,-AU$6-SUM(AU$10:AU297),-ROUNDDOWN($K298*AU$5/100,0)),0)</f>
        <v>0</v>
      </c>
      <c r="AV298" s="38">
        <f>IF(P298="○",IF(SUM(AV$10:AV297)-ROUNDDOWN($K298*AV$5/100,0)&lt;-AV$6,-AV$6-SUM(AV$10:AV297),-ROUNDDOWN($K298*AV$5/100,0)),0)</f>
        <v>0</v>
      </c>
      <c r="AW298" s="38">
        <f>IF(Q298="○",IF(SUM(AW$10:AW297)-ROUNDDOWN($K298*AW$5/100,0)&lt;-AW$6,-AW$6-SUM(AW$10:AW297),-ROUNDDOWN($K298*AW$5/100,0)),0)</f>
        <v>0</v>
      </c>
      <c r="AX298" s="38">
        <f>IF(R298="○",IF(SUM(AX$10:AX297)-ROUNDDOWN($K298*AX$5/100,0)&lt;-AX$6,-AX$6-SUM(AX$10:AX297),-ROUNDDOWN($K298*AX$5/100,0)),0)</f>
        <v>0</v>
      </c>
      <c r="AY298" s="70">
        <v>0</v>
      </c>
      <c r="AZ298" s="65">
        <f t="shared" si="213"/>
        <v>0</v>
      </c>
      <c r="BA298" s="65">
        <f t="shared" si="214"/>
        <v>0</v>
      </c>
      <c r="BB298" s="70"/>
      <c r="BC298" s="65">
        <f t="shared" si="215"/>
        <v>0</v>
      </c>
      <c r="BD298" s="70">
        <v>0</v>
      </c>
      <c r="BE298" s="65">
        <f t="shared" si="216"/>
        <v>0</v>
      </c>
      <c r="BF298" s="70">
        <v>0</v>
      </c>
      <c r="BG298" s="65">
        <f t="shared" si="217"/>
        <v>0</v>
      </c>
      <c r="BH298" s="70">
        <v>0</v>
      </c>
      <c r="BI298" s="65">
        <f t="shared" si="218"/>
        <v>0</v>
      </c>
      <c r="BJ298" s="38">
        <f>IF(AND(BJ$7="○",$A298&gt;=BJ$8,$A298&lt;=BJ$9),IF(SUM(BJ$10:BJ297)-ROUNDDOWN($M298*BJ$5/100,0)&lt;-BJ$6,-BJ$6-SUM(BJ$10:BJ297),-ROUNDDOWN($M298*BJ$5/100,0)),0)</f>
        <v>0</v>
      </c>
      <c r="BK298" s="38">
        <f>IF(AND(BK$7="○",$A298&gt;=BK$8,$A298&lt;=BK$9),IF(SUM(BK$10:BK297)-ROUNDDOWN($L298*BK$5/100,0)&lt;-BK$6,-BK$6-SUM(BK$10:BK297),-ROUNDDOWN($L298*BK$5/100,0)),0)</f>
        <v>0</v>
      </c>
      <c r="BL298" s="38">
        <f>IF(AND(BL$7="○",$A298&gt;=BL$8,$A298&lt;=BL$9),IF(SUM(BL$10:BL297)-ROUNDDOWN($L298*BL$5/100,0)&lt;-BL$6,-BL$6-SUM(BL$10:BL297),-ROUNDDOWN($L298*BL$5/100,0)),0)</f>
        <v>0</v>
      </c>
      <c r="BM298" s="38">
        <f>IF(AND(BM$7="○",$A298&gt;=BM$8,$A298&lt;=BM$9),IF(SUM(BM$10:BM297)-ROUNDDOWN($M298*BM$5/100,0)&lt;-BM$6,-BM$6-SUM(BM$10:BM297),-ROUNDDOWN($M298*BM$5/100,0)),0)</f>
        <v>0</v>
      </c>
      <c r="BN298" s="38">
        <f>IF(AND(BN$7="○",$A298&gt;=BN$8,$A298&lt;=BN$9),IF(SUM(BN$10:BN297)-ROUNDDOWN($M298*BN$5/100,0)&lt;-BN$6,-BN$6-SUM(BN$10:BN297),-ROUNDDOWN($M298*BN$5/100,0)),0)</f>
        <v>0</v>
      </c>
      <c r="BO298" s="38">
        <f>IF(AND(BO$7="○",$A298&gt;=BO$8,$A298&lt;=BO$9),IF(SUM(BO$10:BO297)-ROUNDDOWN($M298*BO$5/100,0)&lt;-BO$6,-BO$6-SUM(BO$10:BO297),-ROUNDDOWN($M298*BO$5/100,0)),0)</f>
        <v>0</v>
      </c>
      <c r="BP298" s="38">
        <f>IF(AND(BP$7="○",$A298&gt;=BP$8,$A298&lt;=BP$9),IF(SUM(BP$10:BP297)-ROUNDDOWN($M298*BP$5/100,0)&lt;-BP$6,-BP$6-SUM(BP$10:BP297),-ROUNDDOWN($M298*BP$5/100,0)),0)</f>
        <v>0</v>
      </c>
      <c r="BQ298" s="38">
        <f>IF(AND(BQ$7="○",$A298&gt;=BQ$8,$A298&lt;=BQ$9),IF(SUM(BQ$10:BQ297)-ROUNDDOWN($L298*BQ$5/100,0)&lt;-BQ$6,-BQ$6-SUM(BQ$10:BQ297),-ROUNDDOWN($L298*BQ$5/100,0)),0)</f>
        <v>0</v>
      </c>
      <c r="BR298" s="38">
        <f>IF(AND(BR$7="○",$A298&gt;=BR$8,$A298&lt;=BR$9),IF(SUM(BR$10:BR297)-ROUNDDOWN($M298*BR$5/100,0)&lt;-BR$6,-BR$6-SUM(BR$10:BR297),-ROUNDDOWN($M298*BR$5/100,0)),0)</f>
        <v>0</v>
      </c>
      <c r="BS298" s="38">
        <f>IF(AND(BS$7="○",$A298&gt;=BS$8,$A298&lt;=BS$9),IF(SUM(BS$10:BS297)-ROUNDDOWN($M298*BS$5/100,0)&lt;-BS$6,-BS$6-SUM(BS$10:BS297),-ROUNDDOWN($M298*BS$5/100,0)),0)</f>
        <v>0</v>
      </c>
      <c r="BT298" s="38">
        <f>IF(AND(BT$7="○",$A298&gt;=BT$8,$A298&lt;=BT$9),IF(SUM(BT$10:BT297)-ROUNDDOWN($M298*BT$5/100,0)&lt;-BT$6,-BT$6-SUM(BT$10:BT297),-ROUNDDOWN($M298*BT$5/100,0)),0)</f>
        <v>0</v>
      </c>
      <c r="BU298" s="38">
        <f>IF(AND(BU$7="○",$A298&gt;=BU$8,$A298&lt;=BU$9),IF(SUM(BU$10:BU297)-ROUNDDOWN($M298*BU$5/100,0)&lt;-BU$6,-BU$6-SUM(BU$10:BU297),-ROUNDDOWN($M298*BU$5/100,0)),0)</f>
        <v>0</v>
      </c>
      <c r="BV298" s="38">
        <f>IF(AND(BV$7="○",$A298&gt;=BV$8,$A298&lt;=BV$9),IF(SUM(BV$10:BV297)-ROUNDDOWN($M298*BV$5/100,0)&lt;-BV$6,-BV$6-SUM(BV$10:BV297),-ROUNDDOWN($M298*BV$5/100,0)),0)</f>
        <v>0</v>
      </c>
      <c r="BW298" s="38">
        <f>IF(AND(BW$7="○",$A298&gt;=BW$8,$A298&lt;=BW$9),IF(SUM(BW$10:BW297)-ROUNDDOWN($M298*BW$5/100,0)&lt;-BW$6,-BW$6-SUM(BW$10:BW297),-ROUNDDOWN($M298*BW$5/100,0)),0)</f>
        <v>0</v>
      </c>
      <c r="BX298" s="38">
        <f>IF(AND(T298="○",$A298&gt;=BX$8,$A298&lt;=BX$9),IF(SUM(BX$10:BX297)-ROUNDDOWN($K298*BX$5/100,0)&lt;-BX$6,-BX$6-SUM(BX$10:BX297),-ROUNDDOWN($K298*BX$5/100,0)),0)</f>
        <v>0</v>
      </c>
      <c r="BY298" s="38">
        <f>IF(AND(U298="○",$A298&gt;=BY$8,$A298&lt;=BY$9),IF(SUM(BY$10:BY297)-ROUNDDOWN($K298*BY$5/100,0)&lt;-BY$6,-BY$6-SUM(BY$10:BY297),-ROUNDDOWN($K298*BY$5/100,0)),0)</f>
        <v>0</v>
      </c>
      <c r="BZ298" s="38">
        <f>IF(AND(V298="○",$A298&gt;=BZ$8,$A298&lt;=BZ$9),IF(SUM(BZ$10:BZ297)-ROUNDDOWN($K298*BZ$5/100,0)&lt;-BZ$6,-BZ$6-SUM(BZ$10:BZ297),-ROUNDDOWN($K298*BZ$5/100,0)),0)</f>
        <v>0</v>
      </c>
      <c r="CA298" s="38">
        <f>IF(AND(W298="○",$A298&gt;=CA$8,$A298&lt;=CA$9),IF(SUM(CA$10:CA297)-ROUNDDOWN($K298*CA$5/100,0)&lt;-CA$6,-CA$6-SUM(CA$10:CA297),-ROUNDDOWN($K298*CA$5/100,0)),0)</f>
        <v>0</v>
      </c>
      <c r="CB298" s="38"/>
      <c r="CC298" s="38"/>
      <c r="CD298" s="38"/>
      <c r="CE298" s="38"/>
      <c r="CF298" s="38"/>
      <c r="CG298" s="65">
        <f t="shared" si="219"/>
        <v>0</v>
      </c>
      <c r="CH298" s="71">
        <f t="shared" si="220"/>
        <v>0</v>
      </c>
      <c r="CI298" s="1">
        <f t="shared" si="19"/>
        <v>0</v>
      </c>
      <c r="CJ298" s="1"/>
      <c r="CK298" s="75"/>
      <c r="CL298" s="75"/>
      <c r="CM298" s="2"/>
      <c r="CN298" s="2"/>
      <c r="CO298" s="73">
        <f t="shared" si="20"/>
        <v>0</v>
      </c>
      <c r="CP298" s="5">
        <f t="shared" si="21"/>
        <v>0</v>
      </c>
      <c r="CQ298" s="1"/>
      <c r="CR298" s="1">
        <f t="shared" si="22"/>
        <v>0</v>
      </c>
      <c r="CS298" s="1"/>
      <c r="CT298" s="1" t="e">
        <f>INDEX([2]マスタ!$A:$A,MATCH(D298,[2]マスタ!$C:$C,0))</f>
        <v>#N/A</v>
      </c>
      <c r="CU298" s="1" t="str">
        <f t="shared" ca="1" si="23"/>
        <v>20260620_0-0</v>
      </c>
    </row>
    <row r="299" spans="1:99" x14ac:dyDescent="0.4">
      <c r="A299" s="61"/>
      <c r="B299" s="62"/>
      <c r="C299" s="62"/>
      <c r="D299" s="62"/>
      <c r="E299" s="74"/>
      <c r="F299" s="62"/>
      <c r="G299" s="62">
        <v>1</v>
      </c>
      <c r="H299" s="64">
        <f t="shared" si="4"/>
        <v>0</v>
      </c>
      <c r="I299" s="64"/>
      <c r="J299" s="64"/>
      <c r="K299" s="65">
        <f t="shared" si="228"/>
        <v>0</v>
      </c>
      <c r="L299" s="65">
        <f t="shared" si="6"/>
        <v>0</v>
      </c>
      <c r="M299" s="65">
        <f t="shared" si="7"/>
        <v>0</v>
      </c>
      <c r="N299" s="65">
        <f t="shared" si="8"/>
        <v>0</v>
      </c>
      <c r="O299" s="66" t="str">
        <f t="shared" si="224"/>
        <v>✕</v>
      </c>
      <c r="P299" s="67" t="str">
        <f t="shared" si="225"/>
        <v>○</v>
      </c>
      <c r="Q299" s="67" t="str">
        <f t="shared" si="229"/>
        <v>✕</v>
      </c>
      <c r="R299" s="67" t="str">
        <f t="shared" si="227"/>
        <v>✕</v>
      </c>
      <c r="S299" s="68">
        <v>0</v>
      </c>
      <c r="T299" s="69" t="s">
        <v>85</v>
      </c>
      <c r="U299" s="69" t="s">
        <v>85</v>
      </c>
      <c r="V299" s="69" t="s">
        <v>85</v>
      </c>
      <c r="W299" s="69" t="s">
        <v>85</v>
      </c>
      <c r="X299" s="69" t="s">
        <v>84</v>
      </c>
      <c r="Y299" s="69" t="s">
        <v>85</v>
      </c>
      <c r="Z299" s="69" t="s">
        <v>85</v>
      </c>
      <c r="AA299" s="69" t="s">
        <v>85</v>
      </c>
      <c r="AB299" s="69" t="s">
        <v>85</v>
      </c>
      <c r="AC299" s="69" t="s">
        <v>85</v>
      </c>
      <c r="AD299" s="38" t="str">
        <f>+IF(ISERROR(VLOOKUP($B299,AD$10:AD298,1,0)),IF(AND($N299&gt;=1000,$A299&gt;=AO$8,$A299&lt;=AO$9),$B299,""),"")</f>
        <v/>
      </c>
      <c r="AE299" s="38" t="str">
        <f>+IF(ISERROR(VLOOKUP($B299,AE$10:AE298,1,0)),IF(AND($N299&gt;=1000,$A299&gt;=AP$8,$A299&lt;=AP$9),$B299,""),"")</f>
        <v/>
      </c>
      <c r="AF299" s="38" t="str">
        <f>+IF(ISERROR(VLOOKUP($B299,AF$10:AF298,1,0)),IF(AND($N299&gt;=1000,$A299&gt;=AQ$8,$A299&lt;=AQ$9),$B299,""),"")</f>
        <v/>
      </c>
      <c r="AG299" s="38" t="str">
        <f>+IF(ISERROR(VLOOKUP($B299,AG$10:AG298,1,0)),IF(AND($N299&gt;=1000,$A299&gt;=AR$8,$A299&lt;=AR$9),$B299,""),"")</f>
        <v/>
      </c>
      <c r="AH299" s="38"/>
      <c r="AI299" s="70">
        <v>0</v>
      </c>
      <c r="AJ299" s="38">
        <f>IF(AND(AJ$7="○",$A299&gt;=AJ$8,$A299&lt;=AJ$9),IF(SUM(AJ$10:AJ298)-ROUNDDOWN($K299*AJ$5/100,0)&lt;-AJ$6,-AJ$6-SUM(AJ$10:AJ298),-ROUNDDOWN($K299*AJ$5/100,0)),0)</f>
        <v>0</v>
      </c>
      <c r="AK299" s="38">
        <f>IF(AND(AK$7="○",$A299&gt;=AK$8,$A299&lt;=AK$9),IF(SUM(AK$10:AK298)-ROUNDDOWN($L299*AK$5/100,0)&lt;-AK$6,-AK$6-SUM(AK$10:AK298),-ROUNDDOWN($L299*AK$5/100,0)),0)</f>
        <v>0</v>
      </c>
      <c r="AL299" s="38">
        <f>IF(AND(AL$7="○",$A299&gt;=AL$8,$A299&lt;=AL$9),IF(SUM(AL$10:AL298)-ROUNDDOWN($N299*AL$5/100,0)&lt;-AL$6,-AL$6-SUM(AL$10:AL298),-ROUNDDOWN($N299*AL$5/100,0)),0)</f>
        <v>0</v>
      </c>
      <c r="AM299" s="38">
        <f>IF(AND(AM$7="○",$A299&gt;=AM$8,$A299&lt;=AM$9),IF(SUM(AM$10:AM298)-ROUNDDOWN($L299*AM$5/100,0)&lt;-AM$6,-AM$6-SUM(AM$10:AM298),-ROUNDDOWN($L299*AM$5/100,0)),0)</f>
        <v>0</v>
      </c>
      <c r="AN299" s="38">
        <f>IF(AND(AN$7="○",$A299&gt;=AN$8,$A299&lt;=AN$9),IF(SUM(AN$10:AN298)-ROUNDDOWN($M299*AN$5/100,0)&lt;-AN$6,-AN$6-SUM(AN$10:AN298),-ROUNDDOWN($M299*AN$5/100,0)),0)</f>
        <v>0</v>
      </c>
      <c r="AO299" s="38">
        <f>IF(AND($A299&gt;=AO$8,$A299&lt;=AO$9),IF(SUM(AO$10:AO298)-ROUNDDOWN($K299*AO$5/100,0)&lt;-AO$6,-AO$6-SUM(AO$10:AO298),-ROUNDDOWN($K299*AO$5/100,0)),0)</f>
        <v>0</v>
      </c>
      <c r="AP299" s="38">
        <f>IF(AND($A299&gt;=AP$8,$A299&lt;=AP$9),IF(SUM(AP$10:AP298)-ROUNDDOWN($K299*AP$5/100,0)&lt;-AP$6,-AP$6-SUM(AP$10:AP298),-ROUNDDOWN($K299*AP$5/100,0)),0)</f>
        <v>0</v>
      </c>
      <c r="AQ299" s="38">
        <f>IF(AND($A299&gt;=AQ$8,$A299&lt;=AQ$9),IF(SUM(AQ$10:AQ298)-ROUNDDOWN($K299*AQ$5/100,0)&lt;-AQ$6,-AQ$6-SUM(AQ$10:AQ298),-ROUNDDOWN($K299*AQ$5/100,0)),0)</f>
        <v>0</v>
      </c>
      <c r="AR299" s="38">
        <f>IF(AND($A299&gt;=AR$8,$A299&lt;=AR$9),IF(SUM(AR$10:AR298)-ROUNDDOWN($K299*AR$5/100,0)&lt;-AR$6,-AR$6-SUM(AR$10:AR298),-ROUNDDOWN($K299*AR$5/100,0)),0)</f>
        <v>0</v>
      </c>
      <c r="AS299" s="38">
        <f>IF(SUMIFS(AS$10:AS298,$A$10:$A298,$A299)-ROUNDDOWN($K299*$S299/100,0)&lt;-$S299*1000,-$S299*1000-SUMIFS(AS$10:AS298,$A$10:$A298,$A299),-ROUNDDOWN($K299*$S299/100,0))</f>
        <v>0</v>
      </c>
      <c r="AT299" s="38">
        <f>IF(AND(X299="○",$A299&gt;=AT$8,$A299&lt;=AT$9,K299&gt;=3980),IF(SUM(AT$10:AT298)-ROUNDDOWN($K299*AT$5/100,0)&lt;-AT$6,-AT$6-SUM(AT$10:AT298),-ROUNDDOWN($K299*AT$5/100,0)),0)</f>
        <v>0</v>
      </c>
      <c r="AU299" s="38">
        <f>IF(O299="○",IF(SUM(AU$10:AU298)-ROUNDDOWN($K299*AU$5/100,0)&lt;-AU$6,-AU$6-SUM(AU$10:AU298),-ROUNDDOWN($K299*AU$5/100,0)),0)</f>
        <v>0</v>
      </c>
      <c r="AV299" s="38">
        <f>IF(P299="○",IF(SUM(AV$10:AV298)-ROUNDDOWN($K299*AV$5/100,0)&lt;-AV$6,-AV$6-SUM(AV$10:AV298),-ROUNDDOWN($K299*AV$5/100,0)),0)</f>
        <v>0</v>
      </c>
      <c r="AW299" s="38">
        <f>IF(Q299="○",IF(SUM(AW$10:AW298)-ROUNDDOWN($K299*AW$5/100,0)&lt;-AW$6,-AW$6-SUM(AW$10:AW298),-ROUNDDOWN($K299*AW$5/100,0)),0)</f>
        <v>0</v>
      </c>
      <c r="AX299" s="38">
        <f>IF(R299="○",IF(SUM(AX$10:AX298)-ROUNDDOWN($K299*AX$5/100,0)&lt;-AX$6,-AX$6-SUM(AX$10:AX298),-ROUNDDOWN($K299*AX$5/100,0)),0)</f>
        <v>0</v>
      </c>
      <c r="AY299" s="70">
        <v>0</v>
      </c>
      <c r="AZ299" s="65">
        <f t="shared" si="213"/>
        <v>0</v>
      </c>
      <c r="BA299" s="65">
        <f t="shared" si="214"/>
        <v>0</v>
      </c>
      <c r="BB299" s="70"/>
      <c r="BC299" s="65">
        <f t="shared" si="215"/>
        <v>0</v>
      </c>
      <c r="BD299" s="70">
        <v>0</v>
      </c>
      <c r="BE299" s="65">
        <f t="shared" si="216"/>
        <v>0</v>
      </c>
      <c r="BF299" s="70">
        <v>0</v>
      </c>
      <c r="BG299" s="65">
        <f t="shared" si="217"/>
        <v>0</v>
      </c>
      <c r="BH299" s="70">
        <v>0</v>
      </c>
      <c r="BI299" s="65">
        <f t="shared" si="218"/>
        <v>0</v>
      </c>
      <c r="BJ299" s="38">
        <f>IF(AND(BJ$7="○",$A299&gt;=BJ$8,$A299&lt;=BJ$9),IF(SUM(BJ$10:BJ298)-ROUNDDOWN($M299*BJ$5/100,0)&lt;-BJ$6,-BJ$6-SUM(BJ$10:BJ298),-ROUNDDOWN($M299*BJ$5/100,0)),0)</f>
        <v>0</v>
      </c>
      <c r="BK299" s="38">
        <f>IF(AND(BK$7="○",$A299&gt;=BK$8,$A299&lt;=BK$9),IF(SUM(BK$10:BK298)-ROUNDDOWN($L299*BK$5/100,0)&lt;-BK$6,-BK$6-SUM(BK$10:BK298),-ROUNDDOWN($L299*BK$5/100,0)),0)</f>
        <v>0</v>
      </c>
      <c r="BL299" s="38">
        <f>IF(AND(BL$7="○",$A299&gt;=BL$8,$A299&lt;=BL$9),IF(SUM(BL$10:BL298)-ROUNDDOWN($L299*BL$5/100,0)&lt;-BL$6,-BL$6-SUM(BL$10:BL298),-ROUNDDOWN($L299*BL$5/100,0)),0)</f>
        <v>0</v>
      </c>
      <c r="BM299" s="38">
        <f>IF(AND(BM$7="○",$A299&gt;=BM$8,$A299&lt;=BM$9),IF(SUM(BM$10:BM298)-ROUNDDOWN($M299*BM$5/100,0)&lt;-BM$6,-BM$6-SUM(BM$10:BM298),-ROUNDDOWN($M299*BM$5/100,0)),0)</f>
        <v>0</v>
      </c>
      <c r="BN299" s="38">
        <f>IF(AND(BN$7="○",$A299&gt;=BN$8,$A299&lt;=BN$9),IF(SUM(BN$10:BN298)-ROUNDDOWN($M299*BN$5/100,0)&lt;-BN$6,-BN$6-SUM(BN$10:BN298),-ROUNDDOWN($M299*BN$5/100,0)),0)</f>
        <v>0</v>
      </c>
      <c r="BO299" s="38">
        <f>IF(AND(BO$7="○",$A299&gt;=BO$8,$A299&lt;=BO$9),IF(SUM(BO$10:BO298)-ROUNDDOWN($M299*BO$5/100,0)&lt;-BO$6,-BO$6-SUM(BO$10:BO298),-ROUNDDOWN($M299*BO$5/100,0)),0)</f>
        <v>0</v>
      </c>
      <c r="BP299" s="38">
        <f>IF(AND(BP$7="○",$A299&gt;=BP$8,$A299&lt;=BP$9),IF(SUM(BP$10:BP298)-ROUNDDOWN($M299*BP$5/100,0)&lt;-BP$6,-BP$6-SUM(BP$10:BP298),-ROUNDDOWN($M299*BP$5/100,0)),0)</f>
        <v>0</v>
      </c>
      <c r="BQ299" s="38">
        <f>IF(AND(BQ$7="○",$A299&gt;=BQ$8,$A299&lt;=BQ$9),IF(SUM(BQ$10:BQ298)-ROUNDDOWN($L299*BQ$5/100,0)&lt;-BQ$6,-BQ$6-SUM(BQ$10:BQ298),-ROUNDDOWN($L299*BQ$5/100,0)),0)</f>
        <v>0</v>
      </c>
      <c r="BR299" s="38">
        <f>IF(AND(BR$7="○",$A299&gt;=BR$8,$A299&lt;=BR$9),IF(SUM(BR$10:BR298)-ROUNDDOWN($M299*BR$5/100,0)&lt;-BR$6,-BR$6-SUM(BR$10:BR298),-ROUNDDOWN($M299*BR$5/100,0)),0)</f>
        <v>0</v>
      </c>
      <c r="BS299" s="38">
        <f>IF(AND(BS$7="○",$A299&gt;=BS$8,$A299&lt;=BS$9),IF(SUM(BS$10:BS298)-ROUNDDOWN($M299*BS$5/100,0)&lt;-BS$6,-BS$6-SUM(BS$10:BS298),-ROUNDDOWN($M299*BS$5/100,0)),0)</f>
        <v>0</v>
      </c>
      <c r="BT299" s="38">
        <f>IF(AND(BT$7="○",$A299&gt;=BT$8,$A299&lt;=BT$9),IF(SUM(BT$10:BT298)-ROUNDDOWN($M299*BT$5/100,0)&lt;-BT$6,-BT$6-SUM(BT$10:BT298),-ROUNDDOWN($M299*BT$5/100,0)),0)</f>
        <v>0</v>
      </c>
      <c r="BU299" s="38">
        <f>IF(AND(BU$7="○",$A299&gt;=BU$8,$A299&lt;=BU$9),IF(SUM(BU$10:BU298)-ROUNDDOWN($M299*BU$5/100,0)&lt;-BU$6,-BU$6-SUM(BU$10:BU298),-ROUNDDOWN($M299*BU$5/100,0)),0)</f>
        <v>0</v>
      </c>
      <c r="BV299" s="38">
        <f>IF(AND(BV$7="○",$A299&gt;=BV$8,$A299&lt;=BV$9),IF(SUM(BV$10:BV298)-ROUNDDOWN($M299*BV$5/100,0)&lt;-BV$6,-BV$6-SUM(BV$10:BV298),-ROUNDDOWN($M299*BV$5/100,0)),0)</f>
        <v>0</v>
      </c>
      <c r="BW299" s="38">
        <f>IF(AND(BW$7="○",$A299&gt;=BW$8,$A299&lt;=BW$9),IF(SUM(BW$10:BW298)-ROUNDDOWN($M299*BW$5/100,0)&lt;-BW$6,-BW$6-SUM(BW$10:BW298),-ROUNDDOWN($M299*BW$5/100,0)),0)</f>
        <v>0</v>
      </c>
      <c r="BX299" s="38">
        <f>IF(AND(T299="○",$A299&gt;=BX$8,$A299&lt;=BX$9),IF(SUM(BX$10:BX298)-ROUNDDOWN($K299*BX$5/100,0)&lt;-BX$6,-BX$6-SUM(BX$10:BX298),-ROUNDDOWN($K299*BX$5/100,0)),0)</f>
        <v>0</v>
      </c>
      <c r="BY299" s="38">
        <f>IF(AND(U299="○",$A299&gt;=BY$8,$A299&lt;=BY$9),IF(SUM(BY$10:BY298)-ROUNDDOWN($K299*BY$5/100,0)&lt;-BY$6,-BY$6-SUM(BY$10:BY298),-ROUNDDOWN($K299*BY$5/100,0)),0)</f>
        <v>0</v>
      </c>
      <c r="BZ299" s="38">
        <f>IF(AND(V299="○",$A299&gt;=BZ$8,$A299&lt;=BZ$9),IF(SUM(BZ$10:BZ298)-ROUNDDOWN($K299*BZ$5/100,0)&lt;-BZ$6,-BZ$6-SUM(BZ$10:BZ298),-ROUNDDOWN($K299*BZ$5/100,0)),0)</f>
        <v>0</v>
      </c>
      <c r="CA299" s="38">
        <f>IF(AND(W299="○",$A299&gt;=CA$8,$A299&lt;=CA$9),IF(SUM(CA$10:CA298)-ROUNDDOWN($K299*CA$5/100,0)&lt;-CA$6,-CA$6-SUM(CA$10:CA298),-ROUNDDOWN($K299*CA$5/100,0)),0)</f>
        <v>0</v>
      </c>
      <c r="CB299" s="38"/>
      <c r="CC299" s="38"/>
      <c r="CD299" s="38"/>
      <c r="CE299" s="38"/>
      <c r="CF299" s="38"/>
      <c r="CG299" s="65">
        <f t="shared" si="219"/>
        <v>0</v>
      </c>
      <c r="CH299" s="71">
        <f t="shared" si="220"/>
        <v>0</v>
      </c>
      <c r="CI299" s="1">
        <f t="shared" si="19"/>
        <v>0</v>
      </c>
      <c r="CJ299" s="1"/>
      <c r="CK299" s="75"/>
      <c r="CL299" s="75"/>
      <c r="CM299" s="2"/>
      <c r="CN299" s="2"/>
      <c r="CO299" s="73">
        <f t="shared" si="20"/>
        <v>0</v>
      </c>
      <c r="CP299" s="5">
        <f t="shared" si="21"/>
        <v>0</v>
      </c>
      <c r="CQ299" s="1"/>
      <c r="CR299" s="1">
        <f t="shared" si="22"/>
        <v>0</v>
      </c>
      <c r="CS299" s="1"/>
      <c r="CT299" s="1" t="e">
        <f>INDEX([2]マスタ!$A:$A,MATCH(D299,[2]マスタ!$C:$C,0))</f>
        <v>#N/A</v>
      </c>
      <c r="CU299" s="1" t="str">
        <f t="shared" ca="1" si="23"/>
        <v>20260620_0-0</v>
      </c>
    </row>
    <row r="300" spans="1:99" x14ac:dyDescent="0.4">
      <c r="A300" s="61"/>
      <c r="B300" s="62"/>
      <c r="C300" s="62"/>
      <c r="D300" s="62"/>
      <c r="E300" s="74"/>
      <c r="F300" s="62"/>
      <c r="G300" s="62">
        <v>1</v>
      </c>
      <c r="H300" s="64">
        <f t="shared" si="4"/>
        <v>0</v>
      </c>
      <c r="I300" s="64"/>
      <c r="J300" s="64"/>
      <c r="K300" s="65">
        <f t="shared" si="228"/>
        <v>0</v>
      </c>
      <c r="L300" s="65">
        <f t="shared" si="6"/>
        <v>0</v>
      </c>
      <c r="M300" s="65">
        <f t="shared" si="7"/>
        <v>0</v>
      </c>
      <c r="N300" s="65">
        <f t="shared" si="8"/>
        <v>0</v>
      </c>
      <c r="O300" s="66" t="str">
        <f t="shared" si="224"/>
        <v>✕</v>
      </c>
      <c r="P300" s="67" t="str">
        <f t="shared" si="225"/>
        <v>○</v>
      </c>
      <c r="Q300" s="67" t="str">
        <f t="shared" si="229"/>
        <v>✕</v>
      </c>
      <c r="R300" s="67" t="str">
        <f t="shared" si="227"/>
        <v>✕</v>
      </c>
      <c r="S300" s="68">
        <v>0</v>
      </c>
      <c r="T300" s="69" t="s">
        <v>85</v>
      </c>
      <c r="U300" s="69" t="s">
        <v>85</v>
      </c>
      <c r="V300" s="69" t="s">
        <v>85</v>
      </c>
      <c r="W300" s="69" t="s">
        <v>85</v>
      </c>
      <c r="X300" s="69" t="s">
        <v>84</v>
      </c>
      <c r="Y300" s="69" t="s">
        <v>85</v>
      </c>
      <c r="Z300" s="69" t="s">
        <v>85</v>
      </c>
      <c r="AA300" s="69" t="s">
        <v>85</v>
      </c>
      <c r="AB300" s="69" t="s">
        <v>85</v>
      </c>
      <c r="AC300" s="69" t="s">
        <v>85</v>
      </c>
      <c r="AD300" s="38" t="str">
        <f>+IF(ISERROR(VLOOKUP($B300,AD$10:AD299,1,0)),IF(AND($N300&gt;=1000,$A300&gt;=AO$8,$A300&lt;=AO$9),$B300,""),"")</f>
        <v/>
      </c>
      <c r="AE300" s="38" t="str">
        <f>+IF(ISERROR(VLOOKUP($B300,AE$10:AE299,1,0)),IF(AND($N300&gt;=1000,$A300&gt;=AP$8,$A300&lt;=AP$9),$B300,""),"")</f>
        <v/>
      </c>
      <c r="AF300" s="38" t="str">
        <f>+IF(ISERROR(VLOOKUP($B300,AF$10:AF299,1,0)),IF(AND($N300&gt;=1000,$A300&gt;=AQ$8,$A300&lt;=AQ$9),$B300,""),"")</f>
        <v/>
      </c>
      <c r="AG300" s="38" t="str">
        <f>+IF(ISERROR(VLOOKUP($B300,AG$10:AG299,1,0)),IF(AND($N300&gt;=1000,$A300&gt;=AR$8,$A300&lt;=AR$9),$B300,""),"")</f>
        <v/>
      </c>
      <c r="AH300" s="38"/>
      <c r="AI300" s="70">
        <v>0</v>
      </c>
      <c r="AJ300" s="38">
        <f>IF(AND(AJ$7="○",$A300&gt;=AJ$8,$A300&lt;=AJ$9),IF(SUM(AJ$10:AJ299)-ROUNDDOWN($K300*AJ$5/100,0)&lt;-AJ$6,-AJ$6-SUM(AJ$10:AJ299),-ROUNDDOWN($K300*AJ$5/100,0)),0)</f>
        <v>0</v>
      </c>
      <c r="AK300" s="38">
        <f>IF(AND(AK$7="○",$A300&gt;=AK$8,$A300&lt;=AK$9),IF(SUM(AK$10:AK299)-ROUNDDOWN($L300*AK$5/100,0)&lt;-AK$6,-AK$6-SUM(AK$10:AK299),-ROUNDDOWN($L300*AK$5/100,0)),0)</f>
        <v>0</v>
      </c>
      <c r="AL300" s="38">
        <f>IF(AND(AL$7="○",$A300&gt;=AL$8,$A300&lt;=AL$9),IF(SUM(AL$10:AL299)-ROUNDDOWN($N300*AL$5/100,0)&lt;-AL$6,-AL$6-SUM(AL$10:AL299),-ROUNDDOWN($N300*AL$5/100,0)),0)</f>
        <v>0</v>
      </c>
      <c r="AM300" s="38">
        <f>IF(AND(AM$7="○",$A300&gt;=AM$8,$A300&lt;=AM$9),IF(SUM(AM$10:AM299)-ROUNDDOWN($L300*AM$5/100,0)&lt;-AM$6,-AM$6-SUM(AM$10:AM299),-ROUNDDOWN($L300*AM$5/100,0)),0)</f>
        <v>0</v>
      </c>
      <c r="AN300" s="38">
        <f>IF(AND(AN$7="○",$A300&gt;=AN$8,$A300&lt;=AN$9),IF(SUM(AN$10:AN299)-ROUNDDOWN($M300*AN$5/100,0)&lt;-AN$6,-AN$6-SUM(AN$10:AN299),-ROUNDDOWN($M300*AN$5/100,0)),0)</f>
        <v>0</v>
      </c>
      <c r="AO300" s="38">
        <f>IF(AND($A300&gt;=AO$8,$A300&lt;=AO$9),IF(SUM(AO$10:AO299)-ROUNDDOWN($K300*AO$5/100,0)&lt;-AO$6,-AO$6-SUM(AO$10:AO299),-ROUNDDOWN($K300*AO$5/100,0)),0)</f>
        <v>0</v>
      </c>
      <c r="AP300" s="38">
        <f>IF(AND($A300&gt;=AP$8,$A300&lt;=AP$9),IF(SUM(AP$10:AP299)-ROUNDDOWN($K300*AP$5/100,0)&lt;-AP$6,-AP$6-SUM(AP$10:AP299),-ROUNDDOWN($K300*AP$5/100,0)),0)</f>
        <v>0</v>
      </c>
      <c r="AQ300" s="38">
        <f>IF(AND($A300&gt;=AQ$8,$A300&lt;=AQ$9),IF(SUM(AQ$10:AQ299)-ROUNDDOWN($K300*AQ$5/100,0)&lt;-AQ$6,-AQ$6-SUM(AQ$10:AQ299),-ROUNDDOWN($K300*AQ$5/100,0)),0)</f>
        <v>0</v>
      </c>
      <c r="AR300" s="38">
        <f>IF(AND($A300&gt;=AR$8,$A300&lt;=AR$9),IF(SUM(AR$10:AR299)-ROUNDDOWN($K300*AR$5/100,0)&lt;-AR$6,-AR$6-SUM(AR$10:AR299),-ROUNDDOWN($K300*AR$5/100,0)),0)</f>
        <v>0</v>
      </c>
      <c r="AS300" s="38">
        <f>IF(SUMIFS(AS$10:AS299,$A$10:$A299,$A300)-ROUNDDOWN($K300*$S300/100,0)&lt;-$S300*1000,-$S300*1000-SUMIFS(AS$10:AS299,$A$10:$A299,$A300),-ROUNDDOWN($K300*$S300/100,0))</f>
        <v>0</v>
      </c>
      <c r="AT300" s="38">
        <f>IF(AND(X300="○",$A300&gt;=AT$8,$A300&lt;=AT$9,K300&gt;=3980),IF(SUM(AT$10:AT299)-ROUNDDOWN($K300*AT$5/100,0)&lt;-AT$6,-AT$6-SUM(AT$10:AT299),-ROUNDDOWN($K300*AT$5/100,0)),0)</f>
        <v>0</v>
      </c>
      <c r="AU300" s="38">
        <f>IF(O300="○",IF(SUM(AU$10:AU299)-ROUNDDOWN($K300*AU$5/100,0)&lt;-AU$6,-AU$6-SUM(AU$10:AU299),-ROUNDDOWN($K300*AU$5/100,0)),0)</f>
        <v>0</v>
      </c>
      <c r="AV300" s="38">
        <f>IF(P300="○",IF(SUM(AV$10:AV299)-ROUNDDOWN($K300*AV$5/100,0)&lt;-AV$6,-AV$6-SUM(AV$10:AV299),-ROUNDDOWN($K300*AV$5/100,0)),0)</f>
        <v>0</v>
      </c>
      <c r="AW300" s="38">
        <f>IF(Q300="○",IF(SUM(AW$10:AW299)-ROUNDDOWN($K300*AW$5/100,0)&lt;-AW$6,-AW$6-SUM(AW$10:AW299),-ROUNDDOWN($K300*AW$5/100,0)),0)</f>
        <v>0</v>
      </c>
      <c r="AX300" s="38">
        <f>IF(R300="○",IF(SUM(AX$10:AX299)-ROUNDDOWN($K300*AX$5/100,0)&lt;-AX$6,-AX$6-SUM(AX$10:AX299),-ROUNDDOWN($K300*AX$5/100,0)),0)</f>
        <v>0</v>
      </c>
      <c r="AY300" s="70">
        <v>0</v>
      </c>
      <c r="AZ300" s="65">
        <f t="shared" si="213"/>
        <v>0</v>
      </c>
      <c r="BA300" s="65">
        <f t="shared" si="214"/>
        <v>0</v>
      </c>
      <c r="BB300" s="70"/>
      <c r="BC300" s="65">
        <f t="shared" si="215"/>
        <v>0</v>
      </c>
      <c r="BD300" s="70">
        <v>0</v>
      </c>
      <c r="BE300" s="65">
        <f t="shared" si="216"/>
        <v>0</v>
      </c>
      <c r="BF300" s="70">
        <v>0</v>
      </c>
      <c r="BG300" s="65">
        <f t="shared" si="217"/>
        <v>0</v>
      </c>
      <c r="BH300" s="70">
        <v>0</v>
      </c>
      <c r="BI300" s="65">
        <f t="shared" si="218"/>
        <v>0</v>
      </c>
      <c r="BJ300" s="38">
        <f>IF(AND(BJ$7="○",$A300&gt;=BJ$8,$A300&lt;=BJ$9),IF(SUM(BJ$10:BJ299)-ROUNDDOWN($M300*BJ$5/100,0)&lt;-BJ$6,-BJ$6-SUM(BJ$10:BJ299),-ROUNDDOWN($M300*BJ$5/100,0)),0)</f>
        <v>0</v>
      </c>
      <c r="BK300" s="38">
        <f>IF(AND(BK$7="○",$A300&gt;=BK$8,$A300&lt;=BK$9),IF(SUM(BK$10:BK299)-ROUNDDOWN($L300*BK$5/100,0)&lt;-BK$6,-BK$6-SUM(BK$10:BK299),-ROUNDDOWN($L300*BK$5/100,0)),0)</f>
        <v>0</v>
      </c>
      <c r="BL300" s="38">
        <f>IF(AND(BL$7="○",$A300&gt;=BL$8,$A300&lt;=BL$9),IF(SUM(BL$10:BL299)-ROUNDDOWN($L300*BL$5/100,0)&lt;-BL$6,-BL$6-SUM(BL$10:BL299),-ROUNDDOWN($L300*BL$5/100,0)),0)</f>
        <v>0</v>
      </c>
      <c r="BM300" s="38">
        <f>IF(AND(BM$7="○",$A300&gt;=BM$8,$A300&lt;=BM$9),IF(SUM(BM$10:BM299)-ROUNDDOWN($M300*BM$5/100,0)&lt;-BM$6,-BM$6-SUM(BM$10:BM299),-ROUNDDOWN($M300*BM$5/100,0)),0)</f>
        <v>0</v>
      </c>
      <c r="BN300" s="38">
        <f>IF(AND(BN$7="○",$A300&gt;=BN$8,$A300&lt;=BN$9),IF(SUM(BN$10:BN299)-ROUNDDOWN($M300*BN$5/100,0)&lt;-BN$6,-BN$6-SUM(BN$10:BN299),-ROUNDDOWN($M300*BN$5/100,0)),0)</f>
        <v>0</v>
      </c>
      <c r="BO300" s="38">
        <f>IF(AND(BO$7="○",$A300&gt;=BO$8,$A300&lt;=BO$9),IF(SUM(BO$10:BO299)-ROUNDDOWN($M300*BO$5/100,0)&lt;-BO$6,-BO$6-SUM(BO$10:BO299),-ROUNDDOWN($M300*BO$5/100,0)),0)</f>
        <v>0</v>
      </c>
      <c r="BP300" s="38">
        <f>IF(AND(BP$7="○",$A300&gt;=BP$8,$A300&lt;=BP$9),IF(SUM(BP$10:BP299)-ROUNDDOWN($M300*BP$5/100,0)&lt;-BP$6,-BP$6-SUM(BP$10:BP299),-ROUNDDOWN($M300*BP$5/100,0)),0)</f>
        <v>0</v>
      </c>
      <c r="BQ300" s="38">
        <f>IF(AND(BQ$7="○",$A300&gt;=BQ$8,$A300&lt;=BQ$9),IF(SUM(BQ$10:BQ299)-ROUNDDOWN($L300*BQ$5/100,0)&lt;-BQ$6,-BQ$6-SUM(BQ$10:BQ299),-ROUNDDOWN($L300*BQ$5/100,0)),0)</f>
        <v>0</v>
      </c>
      <c r="BR300" s="38">
        <f>IF(AND(BR$7="○",$A300&gt;=BR$8,$A300&lt;=BR$9),IF(SUM(BR$10:BR299)-ROUNDDOWN($M300*BR$5/100,0)&lt;-BR$6,-BR$6-SUM(BR$10:BR299),-ROUNDDOWN($M300*BR$5/100,0)),0)</f>
        <v>0</v>
      </c>
      <c r="BS300" s="38">
        <f>IF(AND(BS$7="○",$A300&gt;=BS$8,$A300&lt;=BS$9),IF(SUM(BS$10:BS299)-ROUNDDOWN($M300*BS$5/100,0)&lt;-BS$6,-BS$6-SUM(BS$10:BS299),-ROUNDDOWN($M300*BS$5/100,0)),0)</f>
        <v>0</v>
      </c>
      <c r="BT300" s="38">
        <f>IF(AND(BT$7="○",$A300&gt;=BT$8,$A300&lt;=BT$9),IF(SUM(BT$10:BT299)-ROUNDDOWN($M300*BT$5/100,0)&lt;-BT$6,-BT$6-SUM(BT$10:BT299),-ROUNDDOWN($M300*BT$5/100,0)),0)</f>
        <v>0</v>
      </c>
      <c r="BU300" s="38">
        <f>IF(AND(BU$7="○",$A300&gt;=BU$8,$A300&lt;=BU$9),IF(SUM(BU$10:BU299)-ROUNDDOWN($M300*BU$5/100,0)&lt;-BU$6,-BU$6-SUM(BU$10:BU299),-ROUNDDOWN($M300*BU$5/100,0)),0)</f>
        <v>0</v>
      </c>
      <c r="BV300" s="38">
        <f>IF(AND(BV$7="○",$A300&gt;=BV$8,$A300&lt;=BV$9),IF(SUM(BV$10:BV299)-ROUNDDOWN($M300*BV$5/100,0)&lt;-BV$6,-BV$6-SUM(BV$10:BV299),-ROUNDDOWN($M300*BV$5/100,0)),0)</f>
        <v>0</v>
      </c>
      <c r="BW300" s="38">
        <f>IF(AND(BW$7="○",$A300&gt;=BW$8,$A300&lt;=BW$9),IF(SUM(BW$10:BW299)-ROUNDDOWN($M300*BW$5/100,0)&lt;-BW$6,-BW$6-SUM(BW$10:BW299),-ROUNDDOWN($M300*BW$5/100,0)),0)</f>
        <v>0</v>
      </c>
      <c r="BX300" s="38">
        <f>IF(AND(T300="○",$A300&gt;=BX$8,$A300&lt;=BX$9),IF(SUM(BX$10:BX299)-ROUNDDOWN($K300*BX$5/100,0)&lt;-BX$6,-BX$6-SUM(BX$10:BX299),-ROUNDDOWN($K300*BX$5/100,0)),0)</f>
        <v>0</v>
      </c>
      <c r="BY300" s="38">
        <f>IF(AND(U300="○",$A300&gt;=BY$8,$A300&lt;=BY$9),IF(SUM(BY$10:BY299)-ROUNDDOWN($K300*BY$5/100,0)&lt;-BY$6,-BY$6-SUM(BY$10:BY299),-ROUNDDOWN($K300*BY$5/100,0)),0)</f>
        <v>0</v>
      </c>
      <c r="BZ300" s="38">
        <f>IF(AND(V300="○",$A300&gt;=BZ$8,$A300&lt;=BZ$9),IF(SUM(BZ$10:BZ299)-ROUNDDOWN($K300*BZ$5/100,0)&lt;-BZ$6,-BZ$6-SUM(BZ$10:BZ299),-ROUNDDOWN($K300*BZ$5/100,0)),0)</f>
        <v>0</v>
      </c>
      <c r="CA300" s="38">
        <f>IF(AND(W300="○",$A300&gt;=CA$8,$A300&lt;=CA$9),IF(SUM(CA$10:CA299)-ROUNDDOWN($K300*CA$5/100,0)&lt;-CA$6,-CA$6-SUM(CA$10:CA299),-ROUNDDOWN($K300*CA$5/100,0)),0)</f>
        <v>0</v>
      </c>
      <c r="CB300" s="38"/>
      <c r="CC300" s="38"/>
      <c r="CD300" s="38"/>
      <c r="CE300" s="38"/>
      <c r="CF300" s="38"/>
      <c r="CG300" s="65">
        <f t="shared" si="219"/>
        <v>0</v>
      </c>
      <c r="CH300" s="71">
        <f t="shared" si="220"/>
        <v>0</v>
      </c>
      <c r="CI300" s="1">
        <f t="shared" si="19"/>
        <v>0</v>
      </c>
      <c r="CJ300" s="1"/>
      <c r="CK300" s="75"/>
      <c r="CL300" s="75"/>
      <c r="CM300" s="2"/>
      <c r="CN300" s="2"/>
      <c r="CO300" s="73">
        <f t="shared" si="20"/>
        <v>0</v>
      </c>
      <c r="CP300" s="5">
        <f t="shared" si="21"/>
        <v>0</v>
      </c>
      <c r="CQ300" s="1"/>
      <c r="CR300" s="1">
        <f t="shared" si="22"/>
        <v>0</v>
      </c>
      <c r="CS300" s="1"/>
      <c r="CT300" s="1" t="e">
        <f>INDEX([2]マスタ!$A:$A,MATCH(D300,[2]マスタ!$C:$C,0))</f>
        <v>#N/A</v>
      </c>
      <c r="CU300" s="1" t="str">
        <f t="shared" ca="1" si="23"/>
        <v>20260620_0-0</v>
      </c>
    </row>
    <row r="301" spans="1:99" x14ac:dyDescent="0.4">
      <c r="A301" s="61"/>
      <c r="B301" s="62"/>
      <c r="C301" s="62"/>
      <c r="D301" s="62"/>
      <c r="E301" s="74"/>
      <c r="F301" s="62"/>
      <c r="G301" s="62">
        <v>1</v>
      </c>
      <c r="H301" s="64">
        <f t="shared" si="4"/>
        <v>0</v>
      </c>
      <c r="I301" s="64"/>
      <c r="J301" s="64"/>
      <c r="K301" s="65">
        <f t="shared" si="228"/>
        <v>0</v>
      </c>
      <c r="L301" s="65">
        <f t="shared" si="6"/>
        <v>0</v>
      </c>
      <c r="M301" s="65">
        <f t="shared" si="7"/>
        <v>0</v>
      </c>
      <c r="N301" s="65">
        <f t="shared" si="8"/>
        <v>0</v>
      </c>
      <c r="O301" s="66" t="str">
        <f t="shared" si="224"/>
        <v>✕</v>
      </c>
      <c r="P301" s="67" t="str">
        <f t="shared" si="225"/>
        <v>○</v>
      </c>
      <c r="Q301" s="67" t="str">
        <f t="shared" si="229"/>
        <v>✕</v>
      </c>
      <c r="R301" s="67" t="str">
        <f t="shared" si="227"/>
        <v>✕</v>
      </c>
      <c r="S301" s="68">
        <v>0</v>
      </c>
      <c r="T301" s="69" t="s">
        <v>85</v>
      </c>
      <c r="U301" s="69" t="s">
        <v>85</v>
      </c>
      <c r="V301" s="69" t="s">
        <v>85</v>
      </c>
      <c r="W301" s="69" t="s">
        <v>85</v>
      </c>
      <c r="X301" s="69" t="s">
        <v>84</v>
      </c>
      <c r="Y301" s="69" t="s">
        <v>85</v>
      </c>
      <c r="Z301" s="69" t="s">
        <v>85</v>
      </c>
      <c r="AA301" s="69" t="s">
        <v>85</v>
      </c>
      <c r="AB301" s="69" t="s">
        <v>85</v>
      </c>
      <c r="AC301" s="69" t="s">
        <v>85</v>
      </c>
      <c r="AD301" s="38" t="str">
        <f>+IF(ISERROR(VLOOKUP($B301,AD$10:AD300,1,0)),IF(AND($N301&gt;=1000,$A301&gt;=AO$8,$A301&lt;=AO$9),$B301,""),"")</f>
        <v/>
      </c>
      <c r="AE301" s="38" t="str">
        <f>+IF(ISERROR(VLOOKUP($B301,AE$10:AE300,1,0)),IF(AND($N301&gt;=1000,$A301&gt;=AP$8,$A301&lt;=AP$9),$B301,""),"")</f>
        <v/>
      </c>
      <c r="AF301" s="38" t="str">
        <f>+IF(ISERROR(VLOOKUP($B301,AF$10:AF300,1,0)),IF(AND($N301&gt;=1000,$A301&gt;=AQ$8,$A301&lt;=AQ$9),$B301,""),"")</f>
        <v/>
      </c>
      <c r="AG301" s="38" t="str">
        <f>+IF(ISERROR(VLOOKUP($B301,AG$10:AG300,1,0)),IF(AND($N301&gt;=1000,$A301&gt;=AR$8,$A301&lt;=AR$9),$B301,""),"")</f>
        <v/>
      </c>
      <c r="AH301" s="38"/>
      <c r="AI301" s="70">
        <v>0</v>
      </c>
      <c r="AJ301" s="38">
        <f>IF(AND(AJ$7="○",$A301&gt;=AJ$8,$A301&lt;=AJ$9),IF(SUM(AJ$10:AJ300)-ROUNDDOWN($K301*AJ$5/100,0)&lt;-AJ$6,-AJ$6-SUM(AJ$10:AJ300),-ROUNDDOWN($K301*AJ$5/100,0)),0)</f>
        <v>0</v>
      </c>
      <c r="AK301" s="38">
        <f>IF(AND(AK$7="○",$A301&gt;=AK$8,$A301&lt;=AK$9),IF(SUM(AK$10:AK300)-ROUNDDOWN($L301*AK$5/100,0)&lt;-AK$6,-AK$6-SUM(AK$10:AK300),-ROUNDDOWN($L301*AK$5/100,0)),0)</f>
        <v>0</v>
      </c>
      <c r="AL301" s="38">
        <f>IF(AND(AL$7="○",$A301&gt;=AL$8,$A301&lt;=AL$9),IF(SUM(AL$10:AL300)-ROUNDDOWN($N301*AL$5/100,0)&lt;-AL$6,-AL$6-SUM(AL$10:AL300),-ROUNDDOWN($N301*AL$5/100,0)),0)</f>
        <v>0</v>
      </c>
      <c r="AM301" s="38">
        <f>IF(AND(AM$7="○",$A301&gt;=AM$8,$A301&lt;=AM$9),IF(SUM(AM$10:AM300)-ROUNDDOWN($L301*AM$5/100,0)&lt;-AM$6,-AM$6-SUM(AM$10:AM300),-ROUNDDOWN($L301*AM$5/100,0)),0)</f>
        <v>0</v>
      </c>
      <c r="AN301" s="38">
        <f>IF(AND(AN$7="○",$A301&gt;=AN$8,$A301&lt;=AN$9),IF(SUM(AN$10:AN300)-ROUNDDOWN($M301*AN$5/100,0)&lt;-AN$6,-AN$6-SUM(AN$10:AN300),-ROUNDDOWN($M301*AN$5/100,0)),0)</f>
        <v>0</v>
      </c>
      <c r="AO301" s="38">
        <f>IF(AND($A301&gt;=AO$8,$A301&lt;=AO$9),IF(SUM(AO$10:AO300)-ROUNDDOWN($K301*AO$5/100,0)&lt;-AO$6,-AO$6-SUM(AO$10:AO300),-ROUNDDOWN($K301*AO$5/100,0)),0)</f>
        <v>0</v>
      </c>
      <c r="AP301" s="38">
        <f>IF(AND($A301&gt;=AP$8,$A301&lt;=AP$9),IF(SUM(AP$10:AP300)-ROUNDDOWN($K301*AP$5/100,0)&lt;-AP$6,-AP$6-SUM(AP$10:AP300),-ROUNDDOWN($K301*AP$5/100,0)),0)</f>
        <v>0</v>
      </c>
      <c r="AQ301" s="38">
        <f>IF(AND($A301&gt;=AQ$8,$A301&lt;=AQ$9),IF(SUM(AQ$10:AQ300)-ROUNDDOWN($K301*AQ$5/100,0)&lt;-AQ$6,-AQ$6-SUM(AQ$10:AQ300),-ROUNDDOWN($K301*AQ$5/100,0)),0)</f>
        <v>0</v>
      </c>
      <c r="AR301" s="38">
        <f>IF(AND($A301&gt;=AR$8,$A301&lt;=AR$9),IF(SUM(AR$10:AR300)-ROUNDDOWN($K301*AR$5/100,0)&lt;-AR$6,-AR$6-SUM(AR$10:AR300),-ROUNDDOWN($K301*AR$5/100,0)),0)</f>
        <v>0</v>
      </c>
      <c r="AS301" s="38">
        <f>IF(SUMIFS(AS$10:AS300,$A$10:$A300,$A301)-ROUNDDOWN($K301*$S301/100,0)&lt;-$S301*1000,-$S301*1000-SUMIFS(AS$10:AS300,$A$10:$A300,$A301),-ROUNDDOWN($K301*$S301/100,0))</f>
        <v>0</v>
      </c>
      <c r="AT301" s="38">
        <f>IF(AND(X301="○",$A301&gt;=AT$8,$A301&lt;=AT$9,K301&gt;=3980),IF(SUM(AT$10:AT300)-ROUNDDOWN($K301*AT$5/100,0)&lt;-AT$6,-AT$6-SUM(AT$10:AT300),-ROUNDDOWN($K301*AT$5/100,0)),0)</f>
        <v>0</v>
      </c>
      <c r="AU301" s="38">
        <f>IF(O301="○",IF(SUM(AU$10:AU300)-ROUNDDOWN($K301*AU$5/100,0)&lt;-AU$6,-AU$6-SUM(AU$10:AU300),-ROUNDDOWN($K301*AU$5/100,0)),0)</f>
        <v>0</v>
      </c>
      <c r="AV301" s="38">
        <f>IF(P301="○",IF(SUM(AV$10:AV300)-ROUNDDOWN($K301*AV$5/100,0)&lt;-AV$6,-AV$6-SUM(AV$10:AV300),-ROUNDDOWN($K301*AV$5/100,0)),0)</f>
        <v>0</v>
      </c>
      <c r="AW301" s="38">
        <f>IF(Q301="○",IF(SUM(AW$10:AW300)-ROUNDDOWN($K301*AW$5/100,0)&lt;-AW$6,-AW$6-SUM(AW$10:AW300),-ROUNDDOWN($K301*AW$5/100,0)),0)</f>
        <v>0</v>
      </c>
      <c r="AX301" s="38">
        <f>IF(R301="○",IF(SUM(AX$10:AX300)-ROUNDDOWN($K301*AX$5/100,0)&lt;-AX$6,-AX$6-SUM(AX$10:AX300),-ROUNDDOWN($K301*AX$5/100,0)),0)</f>
        <v>0</v>
      </c>
      <c r="AY301" s="70">
        <v>0</v>
      </c>
      <c r="AZ301" s="65">
        <f t="shared" si="213"/>
        <v>0</v>
      </c>
      <c r="BA301" s="65">
        <f t="shared" si="214"/>
        <v>0</v>
      </c>
      <c r="BB301" s="70"/>
      <c r="BC301" s="65">
        <f t="shared" si="215"/>
        <v>0</v>
      </c>
      <c r="BD301" s="70">
        <v>0</v>
      </c>
      <c r="BE301" s="65">
        <f t="shared" si="216"/>
        <v>0</v>
      </c>
      <c r="BF301" s="70">
        <v>0</v>
      </c>
      <c r="BG301" s="65">
        <f t="shared" si="217"/>
        <v>0</v>
      </c>
      <c r="BH301" s="70">
        <v>0</v>
      </c>
      <c r="BI301" s="65">
        <f t="shared" si="218"/>
        <v>0</v>
      </c>
      <c r="BJ301" s="38">
        <f>IF(AND(BJ$7="○",$A301&gt;=BJ$8,$A301&lt;=BJ$9),IF(SUM(BJ$10:BJ300)-ROUNDDOWN($M301*BJ$5/100,0)&lt;-BJ$6,-BJ$6-SUM(BJ$10:BJ300),-ROUNDDOWN($M301*BJ$5/100,0)),0)</f>
        <v>0</v>
      </c>
      <c r="BK301" s="38">
        <f>IF(AND(BK$7="○",$A301&gt;=BK$8,$A301&lt;=BK$9),IF(SUM(BK$10:BK300)-ROUNDDOWN($L301*BK$5/100,0)&lt;-BK$6,-BK$6-SUM(BK$10:BK300),-ROUNDDOWN($L301*BK$5/100,0)),0)</f>
        <v>0</v>
      </c>
      <c r="BL301" s="38">
        <f>IF(AND(BL$7="○",$A301&gt;=BL$8,$A301&lt;=BL$9),IF(SUM(BL$10:BL300)-ROUNDDOWN($L301*BL$5/100,0)&lt;-BL$6,-BL$6-SUM(BL$10:BL300),-ROUNDDOWN($L301*BL$5/100,0)),0)</f>
        <v>0</v>
      </c>
      <c r="BM301" s="38">
        <f>IF(AND(BM$7="○",$A301&gt;=BM$8,$A301&lt;=BM$9),IF(SUM(BM$10:BM300)-ROUNDDOWN($M301*BM$5/100,0)&lt;-BM$6,-BM$6-SUM(BM$10:BM300),-ROUNDDOWN($M301*BM$5/100,0)),0)</f>
        <v>0</v>
      </c>
      <c r="BN301" s="38">
        <f>IF(AND(BN$7="○",$A301&gt;=BN$8,$A301&lt;=BN$9),IF(SUM(BN$10:BN300)-ROUNDDOWN($M301*BN$5/100,0)&lt;-BN$6,-BN$6-SUM(BN$10:BN300),-ROUNDDOWN($M301*BN$5/100,0)),0)</f>
        <v>0</v>
      </c>
      <c r="BO301" s="38">
        <f>IF(AND(BO$7="○",$A301&gt;=BO$8,$A301&lt;=BO$9),IF(SUM(BO$10:BO300)-ROUNDDOWN($M301*BO$5/100,0)&lt;-BO$6,-BO$6-SUM(BO$10:BO300),-ROUNDDOWN($M301*BO$5/100,0)),0)</f>
        <v>0</v>
      </c>
      <c r="BP301" s="38">
        <f>IF(AND(BP$7="○",$A301&gt;=BP$8,$A301&lt;=BP$9),IF(SUM(BP$10:BP300)-ROUNDDOWN($M301*BP$5/100,0)&lt;-BP$6,-BP$6-SUM(BP$10:BP300),-ROUNDDOWN($M301*BP$5/100,0)),0)</f>
        <v>0</v>
      </c>
      <c r="BQ301" s="38">
        <f>IF(AND(BQ$7="○",$A301&gt;=BQ$8,$A301&lt;=BQ$9),IF(SUM(BQ$10:BQ300)-ROUNDDOWN($L301*BQ$5/100,0)&lt;-BQ$6,-BQ$6-SUM(BQ$10:BQ300),-ROUNDDOWN($L301*BQ$5/100,0)),0)</f>
        <v>0</v>
      </c>
      <c r="BR301" s="38">
        <f>IF(AND(BR$7="○",$A301&gt;=BR$8,$A301&lt;=BR$9),IF(SUM(BR$10:BR300)-ROUNDDOWN($M301*BR$5/100,0)&lt;-BR$6,-BR$6-SUM(BR$10:BR300),-ROUNDDOWN($M301*BR$5/100,0)),0)</f>
        <v>0</v>
      </c>
      <c r="BS301" s="38">
        <f>IF(AND(BS$7="○",$A301&gt;=BS$8,$A301&lt;=BS$9),IF(SUM(BS$10:BS300)-ROUNDDOWN($M301*BS$5/100,0)&lt;-BS$6,-BS$6-SUM(BS$10:BS300),-ROUNDDOWN($M301*BS$5/100,0)),0)</f>
        <v>0</v>
      </c>
      <c r="BT301" s="38">
        <f>IF(AND(BT$7="○",$A301&gt;=BT$8,$A301&lt;=BT$9),IF(SUM(BT$10:BT300)-ROUNDDOWN($M301*BT$5/100,0)&lt;-BT$6,-BT$6-SUM(BT$10:BT300),-ROUNDDOWN($M301*BT$5/100,0)),0)</f>
        <v>0</v>
      </c>
      <c r="BU301" s="38">
        <f>IF(AND(BU$7="○",$A301&gt;=BU$8,$A301&lt;=BU$9),IF(SUM(BU$10:BU300)-ROUNDDOWN($M301*BU$5/100,0)&lt;-BU$6,-BU$6-SUM(BU$10:BU300),-ROUNDDOWN($M301*BU$5/100,0)),0)</f>
        <v>0</v>
      </c>
      <c r="BV301" s="38">
        <f>IF(AND(BV$7="○",$A301&gt;=BV$8,$A301&lt;=BV$9),IF(SUM(BV$10:BV300)-ROUNDDOWN($M301*BV$5/100,0)&lt;-BV$6,-BV$6-SUM(BV$10:BV300),-ROUNDDOWN($M301*BV$5/100,0)),0)</f>
        <v>0</v>
      </c>
      <c r="BW301" s="38">
        <f>IF(AND(BW$7="○",$A301&gt;=BW$8,$A301&lt;=BW$9),IF(SUM(BW$10:BW300)-ROUNDDOWN($M301*BW$5/100,0)&lt;-BW$6,-BW$6-SUM(BW$10:BW300),-ROUNDDOWN($M301*BW$5/100,0)),0)</f>
        <v>0</v>
      </c>
      <c r="BX301" s="38">
        <f>IF(AND(T301="○",$A301&gt;=BX$8,$A301&lt;=BX$9),IF(SUM(BX$10:BX300)-ROUNDDOWN($K301*BX$5/100,0)&lt;-BX$6,-BX$6-SUM(BX$10:BX300),-ROUNDDOWN($K301*BX$5/100,0)),0)</f>
        <v>0</v>
      </c>
      <c r="BY301" s="38">
        <f>IF(AND(U301="○",$A301&gt;=BY$8,$A301&lt;=BY$9),IF(SUM(BY$10:BY300)-ROUNDDOWN($K301*BY$5/100,0)&lt;-BY$6,-BY$6-SUM(BY$10:BY300),-ROUNDDOWN($K301*BY$5/100,0)),0)</f>
        <v>0</v>
      </c>
      <c r="BZ301" s="38">
        <f>IF(AND(V301="○",$A301&gt;=BZ$8,$A301&lt;=BZ$9),IF(SUM(BZ$10:BZ300)-ROUNDDOWN($K301*BZ$5/100,0)&lt;-BZ$6,-BZ$6-SUM(BZ$10:BZ300),-ROUNDDOWN($K301*BZ$5/100,0)),0)</f>
        <v>0</v>
      </c>
      <c r="CA301" s="38">
        <f>IF(AND(W301="○",$A301&gt;=CA$8,$A301&lt;=CA$9),IF(SUM(CA$10:CA300)-ROUNDDOWN($K301*CA$5/100,0)&lt;-CA$6,-CA$6-SUM(CA$10:CA300),-ROUNDDOWN($K301*CA$5/100,0)),0)</f>
        <v>0</v>
      </c>
      <c r="CB301" s="38"/>
      <c r="CC301" s="38"/>
      <c r="CD301" s="38"/>
      <c r="CE301" s="38"/>
      <c r="CF301" s="38"/>
      <c r="CG301" s="65">
        <f t="shared" si="219"/>
        <v>0</v>
      </c>
      <c r="CH301" s="71">
        <f t="shared" si="220"/>
        <v>0</v>
      </c>
      <c r="CI301" s="1">
        <f t="shared" si="19"/>
        <v>0</v>
      </c>
      <c r="CJ301" s="1"/>
      <c r="CK301" s="75"/>
      <c r="CL301" s="75"/>
      <c r="CM301" s="2"/>
      <c r="CN301" s="2"/>
      <c r="CO301" s="73">
        <f t="shared" si="20"/>
        <v>0</v>
      </c>
      <c r="CP301" s="5">
        <f t="shared" si="21"/>
        <v>0</v>
      </c>
      <c r="CQ301" s="1"/>
      <c r="CR301" s="1">
        <f t="shared" si="22"/>
        <v>0</v>
      </c>
      <c r="CS301" s="1"/>
      <c r="CT301" s="1" t="e">
        <f>INDEX([2]マスタ!$A:$A,MATCH(D301,[2]マスタ!$C:$C,0))</f>
        <v>#N/A</v>
      </c>
      <c r="CU301" s="1" t="str">
        <f t="shared" ca="1" si="23"/>
        <v>20260620_0-0</v>
      </c>
    </row>
    <row r="302" spans="1:99" x14ac:dyDescent="0.4">
      <c r="A302" s="61"/>
      <c r="B302" s="62"/>
      <c r="C302" s="62"/>
      <c r="D302" s="62"/>
      <c r="E302" s="74"/>
      <c r="F302" s="62"/>
      <c r="G302" s="62">
        <v>1</v>
      </c>
      <c r="H302" s="64">
        <f t="shared" si="4"/>
        <v>0</v>
      </c>
      <c r="I302" s="64"/>
      <c r="J302" s="64"/>
      <c r="K302" s="65">
        <f>+ROUNDDOWN((H302+I302)/100,0)*100</f>
        <v>0</v>
      </c>
      <c r="L302" s="65">
        <f t="shared" si="6"/>
        <v>0</v>
      </c>
      <c r="M302" s="65">
        <f t="shared" si="7"/>
        <v>0</v>
      </c>
      <c r="N302" s="65">
        <f t="shared" si="8"/>
        <v>0</v>
      </c>
      <c r="O302" s="66" t="str">
        <f t="shared" si="224"/>
        <v>✕</v>
      </c>
      <c r="P302" s="67" t="str">
        <f t="shared" si="225"/>
        <v>○</v>
      </c>
      <c r="Q302" s="67" t="str">
        <f>+IF((TEXT($A302,"DD")+0)=1,"○","✕")</f>
        <v>✕</v>
      </c>
      <c r="R302" s="67" t="str">
        <f t="shared" si="227"/>
        <v>✕</v>
      </c>
      <c r="S302" s="68">
        <v>0</v>
      </c>
      <c r="T302" s="69" t="s">
        <v>85</v>
      </c>
      <c r="U302" s="69" t="s">
        <v>85</v>
      </c>
      <c r="V302" s="69" t="s">
        <v>85</v>
      </c>
      <c r="W302" s="69" t="s">
        <v>85</v>
      </c>
      <c r="X302" s="69" t="s">
        <v>84</v>
      </c>
      <c r="Y302" s="69" t="s">
        <v>85</v>
      </c>
      <c r="Z302" s="69" t="s">
        <v>85</v>
      </c>
      <c r="AA302" s="69" t="s">
        <v>85</v>
      </c>
      <c r="AB302" s="69" t="s">
        <v>85</v>
      </c>
      <c r="AC302" s="69" t="s">
        <v>85</v>
      </c>
      <c r="AD302" s="38" t="str">
        <f>+IF(ISERROR(VLOOKUP($B302,AD$10:AD301,1,0)),IF(AND($N302&gt;=1000,$A302&gt;=AO$8,$A302&lt;=AO$9),$B302,""),"")</f>
        <v/>
      </c>
      <c r="AE302" s="38" t="str">
        <f>+IF(ISERROR(VLOOKUP($B302,AE$10:AE301,1,0)),IF(AND($N302&gt;=1000,$A302&gt;=AP$8,$A302&lt;=AP$9),$B302,""),"")</f>
        <v/>
      </c>
      <c r="AF302" s="38" t="str">
        <f>+IF(ISERROR(VLOOKUP($B302,AF$10:AF301,1,0)),IF(AND($N302&gt;=1000,$A302&gt;=AQ$8,$A302&lt;=AQ$9),$B302,""),"")</f>
        <v/>
      </c>
      <c r="AG302" s="38" t="str">
        <f>+IF(ISERROR(VLOOKUP($B302,AG$10:AG301,1,0)),IF(AND($N302&gt;=1000,$A302&gt;=AR$8,$A302&lt;=AR$9),$B302,""),"")</f>
        <v/>
      </c>
      <c r="AH302" s="38"/>
      <c r="AI302" s="70">
        <v>0</v>
      </c>
      <c r="AJ302" s="38">
        <f>IF(AND(AJ$7="○",$A302&gt;=AJ$8,$A302&lt;=AJ$9),IF(SUM(AJ$10:AJ301)-ROUNDDOWN($K302*AJ$5/100,0)&lt;-AJ$6,-AJ$6-SUM(AJ$10:AJ301),-ROUNDDOWN($K302*AJ$5/100,0)),0)</f>
        <v>0</v>
      </c>
      <c r="AK302" s="38">
        <f>IF(AND(AK$7="○",$A302&gt;=AK$8,$A302&lt;=AK$9),IF(SUM(AK$10:AK301)-ROUNDDOWN($L302*AK$5/100,0)&lt;-AK$6,-AK$6-SUM(AK$10:AK301),-ROUNDDOWN($L302*AK$5/100,0)),0)</f>
        <v>0</v>
      </c>
      <c r="AL302" s="38">
        <f>IF(AND(AL$7="○",$A302&gt;=AL$8,$A302&lt;=AL$9),IF(SUM(AL$10:AL301)-ROUNDDOWN($N302*AL$5/100,0)&lt;-AL$6,-AL$6-SUM(AL$10:AL301),-ROUNDDOWN($N302*AL$5/100,0)),0)</f>
        <v>0</v>
      </c>
      <c r="AM302" s="38">
        <f>IF(AND(AM$7="○",$A302&gt;=AM$8,$A302&lt;=AM$9),IF(SUM(AM$10:AM301)-ROUNDDOWN($L302*AM$5/100,0)&lt;-AM$6,-AM$6-SUM(AM$10:AM301),-ROUNDDOWN($L302*AM$5/100,0)),0)</f>
        <v>0</v>
      </c>
      <c r="AN302" s="38">
        <f>IF(AND(AN$7="○",$A302&gt;=AN$8,$A302&lt;=AN$9),IF(SUM(AN$10:AN301)-ROUNDDOWN($M302*AN$5/100,0)&lt;-AN$6,-AN$6-SUM(AN$10:AN301),-ROUNDDOWN($M302*AN$5/100,0)),0)</f>
        <v>0</v>
      </c>
      <c r="AO302" s="38">
        <f>IF(AND($A302&gt;=AO$8,$A302&lt;=AO$9),IF(SUM(AO$10:AO301)-ROUNDDOWN($K302*AO$5/100,0)&lt;-AO$6,-AO$6-SUM(AO$10:AO301),-ROUNDDOWN($K302*AO$5/100,0)),0)</f>
        <v>0</v>
      </c>
      <c r="AP302" s="38">
        <f>IF(AND($A302&gt;=AP$8,$A302&lt;=AP$9),IF(SUM(AP$10:AP301)-ROUNDDOWN($K302*AP$5/100,0)&lt;-AP$6,-AP$6-SUM(AP$10:AP301),-ROUNDDOWN($K302*AP$5/100,0)),0)</f>
        <v>0</v>
      </c>
      <c r="AQ302" s="38">
        <f>IF(AND($A302&gt;=AQ$8,$A302&lt;=AQ$9),IF(SUM(AQ$10:AQ301)-ROUNDDOWN($K302*AQ$5/100,0)&lt;-AQ$6,-AQ$6-SUM(AQ$10:AQ301),-ROUNDDOWN($K302*AQ$5/100,0)),0)</f>
        <v>0</v>
      </c>
      <c r="AR302" s="38">
        <f>IF(AND($A302&gt;=AR$8,$A302&lt;=AR$9),IF(SUM(AR$10:AR301)-ROUNDDOWN($K302*AR$5/100,0)&lt;-AR$6,-AR$6-SUM(AR$10:AR301),-ROUNDDOWN($K302*AR$5/100,0)),0)</f>
        <v>0</v>
      </c>
      <c r="AS302" s="38">
        <f>IF(SUMIFS(AS$10:AS301,$A$10:$A301,$A302)-ROUNDDOWN($K302*$S302/100,0)&lt;-$S302*1000,-$S302*1000-SUMIFS(AS$10:AS301,$A$10:$A301,$A302),-ROUNDDOWN($K302*$S302/100,0))</f>
        <v>0</v>
      </c>
      <c r="AT302" s="38">
        <f>IF(AND(X302="○",$A302&gt;=AT$8,$A302&lt;=AT$9,K302&gt;=3980),IF(SUM(AT$10:AT301)-ROUNDDOWN($K302*AT$5/100,0)&lt;-AT$6,-AT$6-SUM(AT$10:AT301),-ROUNDDOWN($K302*AT$5/100,0)),0)</f>
        <v>0</v>
      </c>
      <c r="AU302" s="38">
        <f>IF(O302="○",IF(SUM(AU$10:AU301)-ROUNDDOWN($K302*AU$5/100,0)&lt;-AU$6,-AU$6-SUM(AU$10:AU301),-ROUNDDOWN($K302*AU$5/100,0)),0)</f>
        <v>0</v>
      </c>
      <c r="AV302" s="38">
        <f>IF(P302="○",IF(SUM(AV$10:AV301)-ROUNDDOWN($K302*AV$5/100,0)&lt;-AV$6,-AV$6-SUM(AV$10:AV301),-ROUNDDOWN($K302*AV$5/100,0)),0)</f>
        <v>0</v>
      </c>
      <c r="AW302" s="38">
        <f>IF(Q302="○",IF(SUM(AW$10:AW301)-ROUNDDOWN($K302*AW$5/100,0)&lt;-AW$6,-AW$6-SUM(AW$10:AW301),-ROUNDDOWN($K302*AW$5/100,0)),0)</f>
        <v>0</v>
      </c>
      <c r="AX302" s="38">
        <f>IF(R302="○",IF(SUM(AX$10:AX301)-ROUNDDOWN($K302*AX$5/100,0)&lt;-AX$6,-AX$6-SUM(AX$10:AX301),-ROUNDDOWN($K302*AX$5/100,0)),0)</f>
        <v>0</v>
      </c>
      <c r="AY302" s="70">
        <v>0</v>
      </c>
      <c r="AZ302" s="65">
        <f t="shared" si="213"/>
        <v>0</v>
      </c>
      <c r="BA302" s="65">
        <f t="shared" si="214"/>
        <v>0</v>
      </c>
      <c r="BB302" s="70"/>
      <c r="BC302" s="65">
        <f t="shared" si="215"/>
        <v>0</v>
      </c>
      <c r="BD302" s="70">
        <v>0</v>
      </c>
      <c r="BE302" s="65">
        <f t="shared" si="216"/>
        <v>0</v>
      </c>
      <c r="BF302" s="70">
        <v>0</v>
      </c>
      <c r="BG302" s="65">
        <f t="shared" si="217"/>
        <v>0</v>
      </c>
      <c r="BH302" s="70">
        <v>0</v>
      </c>
      <c r="BI302" s="65">
        <f t="shared" si="218"/>
        <v>0</v>
      </c>
      <c r="BJ302" s="38">
        <f>IF(AND(BJ$7="○",$A302&gt;=BJ$8,$A302&lt;=BJ$9),IF(SUM(BJ$10:BJ301)-ROUNDDOWN($M302*BJ$5/100,0)&lt;-BJ$6,-BJ$6-SUM(BJ$10:BJ301),-ROUNDDOWN($M302*BJ$5/100,0)),0)</f>
        <v>0</v>
      </c>
      <c r="BK302" s="38">
        <f>IF(AND(BK$7="○",$A302&gt;=BK$8,$A302&lt;=BK$9),IF(SUM(BK$10:BK301)-ROUNDDOWN($L302*BK$5/100,0)&lt;-BK$6,-BK$6-SUM(BK$10:BK301),-ROUNDDOWN($L302*BK$5/100,0)),0)</f>
        <v>0</v>
      </c>
      <c r="BL302" s="38">
        <f>IF(AND(BL$7="○",$A302&gt;=BL$8,$A302&lt;=BL$9),IF(SUM(BL$10:BL301)-ROUNDDOWN($L302*BL$5/100,0)&lt;-BL$6,-BL$6-SUM(BL$10:BL301),-ROUNDDOWN($L302*BL$5/100,0)),0)</f>
        <v>0</v>
      </c>
      <c r="BM302" s="38">
        <f>IF(AND(BM$7="○",$A302&gt;=BM$8,$A302&lt;=BM$9),IF(SUM(BM$10:BM301)-ROUNDDOWN($M302*BM$5/100,0)&lt;-BM$6,-BM$6-SUM(BM$10:BM301),-ROUNDDOWN($M302*BM$5/100,0)),0)</f>
        <v>0</v>
      </c>
      <c r="BN302" s="38">
        <f>IF(AND(BN$7="○",$A302&gt;=BN$8,$A302&lt;=BN$9),IF(SUM(BN$10:BN301)-ROUNDDOWN($M302*BN$5/100,0)&lt;-BN$6,-BN$6-SUM(BN$10:BN301),-ROUNDDOWN($M302*BN$5/100,0)),0)</f>
        <v>0</v>
      </c>
      <c r="BO302" s="38">
        <f>IF(AND(BO$7="○",$A302&gt;=BO$8,$A302&lt;=BO$9),IF(SUM(BO$10:BO301)-ROUNDDOWN($M302*BO$5/100,0)&lt;-BO$6,-BO$6-SUM(BO$10:BO301),-ROUNDDOWN($M302*BO$5/100,0)),0)</f>
        <v>0</v>
      </c>
      <c r="BP302" s="38">
        <f>IF(AND(BP$7="○",$A302&gt;=BP$8,$A302&lt;=BP$9),IF(SUM(BP$10:BP301)-ROUNDDOWN($M302*BP$5/100,0)&lt;-BP$6,-BP$6-SUM(BP$10:BP301),-ROUNDDOWN($M302*BP$5/100,0)),0)</f>
        <v>0</v>
      </c>
      <c r="BQ302" s="38">
        <f>IF(AND(BQ$7="○",$A302&gt;=BQ$8,$A302&lt;=BQ$9),IF(SUM(BQ$10:BQ301)-ROUNDDOWN($L302*BQ$5/100,0)&lt;-BQ$6,-BQ$6-SUM(BQ$10:BQ301),-ROUNDDOWN($L302*BQ$5/100,0)),0)</f>
        <v>0</v>
      </c>
      <c r="BR302" s="38">
        <f>IF(AND(BR$7="○",$A302&gt;=BR$8,$A302&lt;=BR$9),IF(SUM(BR$10:BR301)-ROUNDDOWN($M302*BR$5/100,0)&lt;-BR$6,-BR$6-SUM(BR$10:BR301),-ROUNDDOWN($M302*BR$5/100,0)),0)</f>
        <v>0</v>
      </c>
      <c r="BS302" s="38">
        <f>IF(AND(BS$7="○",$A302&gt;=BS$8,$A302&lt;=BS$9),IF(SUM(BS$10:BS301)-ROUNDDOWN($M302*BS$5/100,0)&lt;-BS$6,-BS$6-SUM(BS$10:BS301),-ROUNDDOWN($M302*BS$5/100,0)),0)</f>
        <v>0</v>
      </c>
      <c r="BT302" s="38">
        <f>IF(AND(BT$7="○",$A302&gt;=BT$8,$A302&lt;=BT$9),IF(SUM(BT$10:BT301)-ROUNDDOWN($M302*BT$5/100,0)&lt;-BT$6,-BT$6-SUM(BT$10:BT301),-ROUNDDOWN($M302*BT$5/100,0)),0)</f>
        <v>0</v>
      </c>
      <c r="BU302" s="38">
        <f>IF(AND(BU$7="○",$A302&gt;=BU$8,$A302&lt;=BU$9),IF(SUM(BU$10:BU301)-ROUNDDOWN($M302*BU$5/100,0)&lt;-BU$6,-BU$6-SUM(BU$10:BU301),-ROUNDDOWN($M302*BU$5/100,0)),0)</f>
        <v>0</v>
      </c>
      <c r="BV302" s="38">
        <f>IF(AND(BV$7="○",$A302&gt;=BV$8,$A302&lt;=BV$9),IF(SUM(BV$10:BV301)-ROUNDDOWN($M302*BV$5/100,0)&lt;-BV$6,-BV$6-SUM(BV$10:BV301),-ROUNDDOWN($M302*BV$5/100,0)),0)</f>
        <v>0</v>
      </c>
      <c r="BW302" s="38">
        <f>IF(AND(BW$7="○",$A302&gt;=BW$8,$A302&lt;=BW$9),IF(SUM(BW$10:BW301)-ROUNDDOWN($M302*BW$5/100,0)&lt;-BW$6,-BW$6-SUM(BW$10:BW301),-ROUNDDOWN($M302*BW$5/100,0)),0)</f>
        <v>0</v>
      </c>
      <c r="BX302" s="38">
        <f>IF(AND(T302="○",$A302&gt;=BX$8,$A302&lt;=BX$9),IF(SUM(BX$10:BX301)-ROUNDDOWN($K302*BX$5/100,0)&lt;-BX$6,-BX$6-SUM(BX$10:BX301),-ROUNDDOWN($K302*BX$5/100,0)),0)</f>
        <v>0</v>
      </c>
      <c r="BY302" s="38">
        <f>IF(AND(U302="○",$A302&gt;=BY$8,$A302&lt;=BY$9),IF(SUM(BY$10:BY301)-ROUNDDOWN($K302*BY$5/100,0)&lt;-BY$6,-BY$6-SUM(BY$10:BY301),-ROUNDDOWN($K302*BY$5/100,0)),0)</f>
        <v>0</v>
      </c>
      <c r="BZ302" s="38">
        <f>IF(AND(V302="○",$A302&gt;=BZ$8,$A302&lt;=BZ$9),IF(SUM(BZ$10:BZ301)-ROUNDDOWN($K302*BZ$5/100,0)&lt;-BZ$6,-BZ$6-SUM(BZ$10:BZ301),-ROUNDDOWN($K302*BZ$5/100,0)),0)</f>
        <v>0</v>
      </c>
      <c r="CA302" s="38">
        <f>IF(AND(W302="○",$A302&gt;=CA$8,$A302&lt;=CA$9),IF(SUM(CA$10:CA301)-ROUNDDOWN($K302*CA$5/100,0)&lt;-CA$6,-CA$6-SUM(CA$10:CA301),-ROUNDDOWN($K302*CA$5/100,0)),0)</f>
        <v>0</v>
      </c>
      <c r="CB302" s="38"/>
      <c r="CC302" s="38"/>
      <c r="CD302" s="38"/>
      <c r="CE302" s="38"/>
      <c r="CF302" s="38"/>
      <c r="CG302" s="65">
        <f t="shared" si="219"/>
        <v>0</v>
      </c>
      <c r="CH302" s="71">
        <f t="shared" si="220"/>
        <v>0</v>
      </c>
      <c r="CI302" s="1">
        <f t="shared" si="19"/>
        <v>0</v>
      </c>
      <c r="CJ302" s="1"/>
      <c r="CK302" s="75"/>
      <c r="CL302" s="75"/>
      <c r="CM302" s="2"/>
      <c r="CN302" s="2"/>
      <c r="CO302" s="73">
        <f t="shared" si="20"/>
        <v>0</v>
      </c>
      <c r="CP302" s="5">
        <f t="shared" si="21"/>
        <v>0</v>
      </c>
      <c r="CQ302" s="1"/>
      <c r="CR302" s="1">
        <f t="shared" si="22"/>
        <v>0</v>
      </c>
      <c r="CS302" s="1"/>
      <c r="CT302" s="1" t="e">
        <f>INDEX([2]マスタ!$A:$A,MATCH(D302,[2]マスタ!$C:$C,0))</f>
        <v>#N/A</v>
      </c>
      <c r="CU302" s="1" t="str">
        <f t="shared" ca="1" si="23"/>
        <v>20260620_0-0</v>
      </c>
    </row>
    <row r="303" spans="1:99" x14ac:dyDescent="0.4">
      <c r="A303" s="61"/>
      <c r="B303" s="62"/>
      <c r="C303" s="62"/>
      <c r="D303" s="62"/>
      <c r="E303" s="63"/>
      <c r="F303" s="62"/>
      <c r="G303" s="62">
        <v>1</v>
      </c>
      <c r="H303" s="64">
        <f t="shared" si="4"/>
        <v>0</v>
      </c>
      <c r="I303" s="64"/>
      <c r="J303" s="64"/>
      <c r="K303" s="65">
        <f>+ROUNDDOWN((H303+I303)/100,0)*100</f>
        <v>0</v>
      </c>
      <c r="L303" s="65">
        <f t="shared" si="6"/>
        <v>0</v>
      </c>
      <c r="M303" s="65">
        <f t="shared" si="7"/>
        <v>0</v>
      </c>
      <c r="N303" s="65">
        <f t="shared" si="8"/>
        <v>0</v>
      </c>
      <c r="O303" s="66" t="str">
        <f t="shared" si="224"/>
        <v>✕</v>
      </c>
      <c r="P303" s="67" t="str">
        <f t="shared" si="225"/>
        <v>○</v>
      </c>
      <c r="Q303" s="67" t="str">
        <f>+IF((TEXT($A303,"DD")+0)=1,"○","✕")</f>
        <v>✕</v>
      </c>
      <c r="R303" s="67" t="str">
        <f t="shared" si="227"/>
        <v>✕</v>
      </c>
      <c r="S303" s="68">
        <v>0</v>
      </c>
      <c r="T303" s="69" t="s">
        <v>85</v>
      </c>
      <c r="U303" s="69" t="s">
        <v>85</v>
      </c>
      <c r="V303" s="69" t="s">
        <v>85</v>
      </c>
      <c r="W303" s="69" t="s">
        <v>85</v>
      </c>
      <c r="X303" s="69" t="s">
        <v>84</v>
      </c>
      <c r="Y303" s="69" t="s">
        <v>85</v>
      </c>
      <c r="Z303" s="69" t="s">
        <v>85</v>
      </c>
      <c r="AA303" s="69" t="s">
        <v>85</v>
      </c>
      <c r="AB303" s="69" t="s">
        <v>85</v>
      </c>
      <c r="AC303" s="69" t="s">
        <v>85</v>
      </c>
      <c r="AD303" s="38" t="str">
        <f>+IF(ISERROR(VLOOKUP($B303,AD$10:AD302,1,0)),IF(AND($N303&gt;=1000,$A303&gt;=AO$8,$A303&lt;=AO$9),$B303,""),"")</f>
        <v/>
      </c>
      <c r="AE303" s="38" t="str">
        <f>+IF(ISERROR(VLOOKUP($B303,AE$10:AE302,1,0)),IF(AND($N303&gt;=1000,$A303&gt;=AP$8,$A303&lt;=AP$9),$B303,""),"")</f>
        <v/>
      </c>
      <c r="AF303" s="38" t="str">
        <f>+IF(ISERROR(VLOOKUP($B303,AF$10:AF302,1,0)),IF(AND($N303&gt;=1000,$A303&gt;=AQ$8,$A303&lt;=AQ$9),$B303,""),"")</f>
        <v/>
      </c>
      <c r="AG303" s="38" t="str">
        <f>+IF(ISERROR(VLOOKUP($B303,AG$10:AG302,1,0)),IF(AND($N303&gt;=1000,$A303&gt;=AR$8,$A303&lt;=AR$9),$B303,""),"")</f>
        <v/>
      </c>
      <c r="AH303" s="38"/>
      <c r="AI303" s="70">
        <v>0</v>
      </c>
      <c r="AJ303" s="38">
        <f>IF(AND(AJ$7="○",$A303&gt;=AJ$8,$A303&lt;=AJ$9),IF(SUM(AJ$10:AJ302)-ROUNDDOWN($K303*AJ$5/100,0)&lt;-AJ$6,-AJ$6-SUM(AJ$10:AJ302),-ROUNDDOWN($K303*AJ$5/100,0)),0)</f>
        <v>0</v>
      </c>
      <c r="AK303" s="38">
        <f>IF(AND(AK$7="○",$A303&gt;=AK$8,$A303&lt;=AK$9),IF(SUM(AK$10:AK302)-ROUNDDOWN($L303*AK$5/100,0)&lt;-AK$6,-AK$6-SUM(AK$10:AK302),-ROUNDDOWN($L303*AK$5/100,0)),0)</f>
        <v>0</v>
      </c>
      <c r="AL303" s="38">
        <f>IF(AND(AL$7="○",$A303&gt;=AL$8,$A303&lt;=AL$9),IF(SUM(AL$10:AL302)-ROUNDDOWN($N303*AL$5/100,0)&lt;-AL$6,-AL$6-SUM(AL$10:AL302),-ROUNDDOWN($N303*AL$5/100,0)),0)</f>
        <v>0</v>
      </c>
      <c r="AM303" s="38">
        <f>IF(AND(AM$7="○",$A303&gt;=AM$8,$A303&lt;=AM$9),IF(SUM(AM$10:AM302)-ROUNDDOWN($L303*AM$5/100,0)&lt;-AM$6,-AM$6-SUM(AM$10:AM302),-ROUNDDOWN($L303*AM$5/100,0)),0)</f>
        <v>0</v>
      </c>
      <c r="AN303" s="38">
        <f>IF(AND(AN$7="○",$A303&gt;=AN$8,$A303&lt;=AN$9),IF(SUM(AN$10:AN302)-ROUNDDOWN($M303*AN$5/100,0)&lt;-AN$6,-AN$6-SUM(AN$10:AN302),-ROUNDDOWN($M303*AN$5/100,0)),0)</f>
        <v>0</v>
      </c>
      <c r="AO303" s="38">
        <f>IF(AND($A303&gt;=AO$8,$A303&lt;=AO$9),IF(SUM(AO$10:AO302)-ROUNDDOWN($K303*AO$5/100,0)&lt;-AO$6,-AO$6-SUM(AO$10:AO302),-ROUNDDOWN($K303*AO$5/100,0)),0)</f>
        <v>0</v>
      </c>
      <c r="AP303" s="38">
        <f>IF(AND($A303&gt;=AP$8,$A303&lt;=AP$9),IF(SUM(AP$10:AP302)-ROUNDDOWN($K303*AP$5/100,0)&lt;-AP$6,-AP$6-SUM(AP$10:AP302),-ROUNDDOWN($K303*AP$5/100,0)),0)</f>
        <v>0</v>
      </c>
      <c r="AQ303" s="38">
        <f>IF(AND($A303&gt;=AQ$8,$A303&lt;=AQ$9),IF(SUM(AQ$10:AQ302)-ROUNDDOWN($K303*AQ$5/100,0)&lt;-AQ$6,-AQ$6-SUM(AQ$10:AQ302),-ROUNDDOWN($K303*AQ$5/100,0)),0)</f>
        <v>0</v>
      </c>
      <c r="AR303" s="38">
        <f>IF(AND($A303&gt;=AR$8,$A303&lt;=AR$9),IF(SUM(AR$10:AR302)-ROUNDDOWN($K303*AR$5/100,0)&lt;-AR$6,-AR$6-SUM(AR$10:AR302),-ROUNDDOWN($K303*AR$5/100,0)),0)</f>
        <v>0</v>
      </c>
      <c r="AS303" s="38">
        <f>IF(SUMIFS(AS$10:AS302,$A$10:$A302,$A303)-ROUNDDOWN($K303*$S303/100,0)&lt;-$S303*1000,-$S303*1000-SUMIFS(AS$10:AS302,$A$10:$A302,$A303),-ROUNDDOWN($K303*$S303/100,0))</f>
        <v>0</v>
      </c>
      <c r="AT303" s="38">
        <f>IF(AND(X303="○",$A303&gt;=AT$8,$A303&lt;=AT$9,K303&gt;=3980),IF(SUM(AT$10:AT302)-ROUNDDOWN($K303*AT$5/100,0)&lt;-AT$6,-AT$6-SUM(AT$10:AT302),-ROUNDDOWN($K303*AT$5/100,0)),0)</f>
        <v>0</v>
      </c>
      <c r="AU303" s="38">
        <f>IF(O303="○",IF(SUM(AU$10:AU302)-ROUNDDOWN($K303*AU$5/100,0)&lt;-AU$6,-AU$6-SUM(AU$10:AU302),-ROUNDDOWN($K303*AU$5/100,0)),0)</f>
        <v>0</v>
      </c>
      <c r="AV303" s="38">
        <f>IF(P303="○",IF(SUM(AV$10:AV302)-ROUNDDOWN($K303*AV$5/100,0)&lt;-AV$6,-AV$6-SUM(AV$10:AV302),-ROUNDDOWN($K303*AV$5/100,0)),0)</f>
        <v>0</v>
      </c>
      <c r="AW303" s="38">
        <f>IF(Q303="○",IF(SUM(AW$10:AW302)-ROUNDDOWN($K303*AW$5/100,0)&lt;-AW$6,-AW$6-SUM(AW$10:AW302),-ROUNDDOWN($K303*AW$5/100,0)),0)</f>
        <v>0</v>
      </c>
      <c r="AX303" s="38">
        <f>IF(R303="○",IF(SUM(AX$10:AX302)-ROUNDDOWN($K303*AX$5/100,0)&lt;-AX$6,-AX$6-SUM(AX$10:AX302),-ROUNDDOWN($K303*AX$5/100,0)),0)</f>
        <v>0</v>
      </c>
      <c r="AY303" s="70">
        <v>0</v>
      </c>
      <c r="AZ303" s="65">
        <f t="shared" si="213"/>
        <v>0</v>
      </c>
      <c r="BA303" s="65">
        <f t="shared" si="214"/>
        <v>0</v>
      </c>
      <c r="BB303" s="70"/>
      <c r="BC303" s="65">
        <f t="shared" si="215"/>
        <v>0</v>
      </c>
      <c r="BD303" s="70">
        <v>0</v>
      </c>
      <c r="BE303" s="65">
        <f t="shared" si="216"/>
        <v>0</v>
      </c>
      <c r="BF303" s="70">
        <v>0</v>
      </c>
      <c r="BG303" s="65">
        <f t="shared" si="217"/>
        <v>0</v>
      </c>
      <c r="BH303" s="70">
        <v>0</v>
      </c>
      <c r="BI303" s="65">
        <f t="shared" si="218"/>
        <v>0</v>
      </c>
      <c r="BJ303" s="38">
        <f>IF(AND(BJ$7="○",$A303&gt;=BJ$8,$A303&lt;=BJ$9),IF(SUM(BJ$10:BJ302)-ROUNDDOWN($M303*BJ$5/100,0)&lt;-BJ$6,-BJ$6-SUM(BJ$10:BJ302),-ROUNDDOWN($M303*BJ$5/100,0)),0)</f>
        <v>0</v>
      </c>
      <c r="BK303" s="38">
        <f>IF(AND(BK$7="○",$A303&gt;=BK$8,$A303&lt;=BK$9),IF(SUM(BK$10:BK302)-ROUNDDOWN($L303*BK$5/100,0)&lt;-BK$6,-BK$6-SUM(BK$10:BK302),-ROUNDDOWN($L303*BK$5/100,0)),0)</f>
        <v>0</v>
      </c>
      <c r="BL303" s="38">
        <f>IF(AND(BL$7="○",$A303&gt;=BL$8,$A303&lt;=BL$9),IF(SUM(BL$10:BL302)-ROUNDDOWN($L303*BL$5/100,0)&lt;-BL$6,-BL$6-SUM(BL$10:BL302),-ROUNDDOWN($L303*BL$5/100,0)),0)</f>
        <v>0</v>
      </c>
      <c r="BM303" s="38">
        <f>IF(AND(BM$7="○",$A303&gt;=BM$8,$A303&lt;=BM$9),IF(SUM(BM$10:BM302)-ROUNDDOWN($M303*BM$5/100,0)&lt;-BM$6,-BM$6-SUM(BM$10:BM302),-ROUNDDOWN($M303*BM$5/100,0)),0)</f>
        <v>0</v>
      </c>
      <c r="BN303" s="38">
        <f>IF(AND(BN$7="○",$A303&gt;=BN$8,$A303&lt;=BN$9),IF(SUM(BN$10:BN302)-ROUNDDOWN($M303*BN$5/100,0)&lt;-BN$6,-BN$6-SUM(BN$10:BN302),-ROUNDDOWN($M303*BN$5/100,0)),0)</f>
        <v>0</v>
      </c>
      <c r="BO303" s="38">
        <f>IF(AND(BO$7="○",$A303&gt;=BO$8,$A303&lt;=BO$9),IF(SUM(BO$10:BO302)-ROUNDDOWN($M303*BO$5/100,0)&lt;-BO$6,-BO$6-SUM(BO$10:BO302),-ROUNDDOWN($M303*BO$5/100,0)),0)</f>
        <v>0</v>
      </c>
      <c r="BP303" s="38">
        <f>IF(AND(BP$7="○",$A303&gt;=BP$8,$A303&lt;=BP$9),IF(SUM(BP$10:BP302)-ROUNDDOWN($M303*BP$5/100,0)&lt;-BP$6,-BP$6-SUM(BP$10:BP302),-ROUNDDOWN($M303*BP$5/100,0)),0)</f>
        <v>0</v>
      </c>
      <c r="BQ303" s="38">
        <f>IF(AND(BQ$7="○",$A303&gt;=BQ$8,$A303&lt;=BQ$9),IF(SUM(BQ$10:BQ302)-ROUNDDOWN($L303*BQ$5/100,0)&lt;-BQ$6,-BQ$6-SUM(BQ$10:BQ302),-ROUNDDOWN($L303*BQ$5/100,0)),0)</f>
        <v>0</v>
      </c>
      <c r="BR303" s="38">
        <f>IF(AND(BR$7="○",$A303&gt;=BR$8,$A303&lt;=BR$9),IF(SUM(BR$10:BR302)-ROUNDDOWN($M303*BR$5/100,0)&lt;-BR$6,-BR$6-SUM(BR$10:BR302),-ROUNDDOWN($M303*BR$5/100,0)),0)</f>
        <v>0</v>
      </c>
      <c r="BS303" s="38">
        <f>IF(AND(BS$7="○",$A303&gt;=BS$8,$A303&lt;=BS$9),IF(SUM(BS$10:BS302)-ROUNDDOWN($M303*BS$5/100,0)&lt;-BS$6,-BS$6-SUM(BS$10:BS302),-ROUNDDOWN($M303*BS$5/100,0)),0)</f>
        <v>0</v>
      </c>
      <c r="BT303" s="38">
        <f>IF(AND(BT$7="○",$A303&gt;=BT$8,$A303&lt;=BT$9),IF(SUM(BT$10:BT302)-ROUNDDOWN($M303*BT$5/100,0)&lt;-BT$6,-BT$6-SUM(BT$10:BT302),-ROUNDDOWN($M303*BT$5/100,0)),0)</f>
        <v>0</v>
      </c>
      <c r="BU303" s="38">
        <f>IF(AND(BU$7="○",$A303&gt;=BU$8,$A303&lt;=BU$9),IF(SUM(BU$10:BU302)-ROUNDDOWN($M303*BU$5/100,0)&lt;-BU$6,-BU$6-SUM(BU$10:BU302),-ROUNDDOWN($M303*BU$5/100,0)),0)</f>
        <v>0</v>
      </c>
      <c r="BV303" s="38">
        <f>IF(AND(BV$7="○",$A303&gt;=BV$8,$A303&lt;=BV$9),IF(SUM(BV$10:BV302)-ROUNDDOWN($M303*BV$5/100,0)&lt;-BV$6,-BV$6-SUM(BV$10:BV302),-ROUNDDOWN($M303*BV$5/100,0)),0)</f>
        <v>0</v>
      </c>
      <c r="BW303" s="38">
        <f>IF(AND(BW$7="○",$A303&gt;=BW$8,$A303&lt;=BW$9),IF(SUM(BW$10:BW302)-ROUNDDOWN($M303*BW$5/100,0)&lt;-BW$6,-BW$6-SUM(BW$10:BW302),-ROUNDDOWN($M303*BW$5/100,0)),0)</f>
        <v>0</v>
      </c>
      <c r="BX303" s="38">
        <f>IF(AND(T303="○",$A303&gt;=BX$8,$A303&lt;=BX$9),IF(SUM(BX$10:BX302)-ROUNDDOWN($K303*BX$5/100,0)&lt;-BX$6,-BX$6-SUM(BX$10:BX302),-ROUNDDOWN($K303*BX$5/100,0)),0)</f>
        <v>0</v>
      </c>
      <c r="BY303" s="38">
        <f>IF(AND(U303="○",$A303&gt;=BY$8,$A303&lt;=BY$9),IF(SUM(BY$10:BY302)-ROUNDDOWN($K303*BY$5/100,0)&lt;-BY$6,-BY$6-SUM(BY$10:BY302),-ROUNDDOWN($K303*BY$5/100,0)),0)</f>
        <v>0</v>
      </c>
      <c r="BZ303" s="38">
        <f>IF(AND(V303="○",$A303&gt;=BZ$8,$A303&lt;=BZ$9),IF(SUM(BZ$10:BZ302)-ROUNDDOWN($K303*BZ$5/100,0)&lt;-BZ$6,-BZ$6-SUM(BZ$10:BZ302),-ROUNDDOWN($K303*BZ$5/100,0)),0)</f>
        <v>0</v>
      </c>
      <c r="CA303" s="38">
        <f>IF(AND(W303="○",$A303&gt;=CA$8,$A303&lt;=CA$9),IF(SUM(CA$10:CA302)-ROUNDDOWN($K303*CA$5/100,0)&lt;-CA$6,-CA$6-SUM(CA$10:CA302),-ROUNDDOWN($K303*CA$5/100,0)),0)</f>
        <v>0</v>
      </c>
      <c r="CB303" s="38"/>
      <c r="CC303" s="38"/>
      <c r="CD303" s="38"/>
      <c r="CE303" s="38"/>
      <c r="CF303" s="38"/>
      <c r="CG303" s="65">
        <f t="shared" si="219"/>
        <v>0</v>
      </c>
      <c r="CH303" s="71">
        <f t="shared" si="220"/>
        <v>0</v>
      </c>
      <c r="CI303" s="1">
        <f t="shared" si="19"/>
        <v>0</v>
      </c>
      <c r="CJ303" s="1"/>
      <c r="CK303" s="72"/>
      <c r="CL303" s="72"/>
      <c r="CM303" s="2"/>
      <c r="CN303" s="2"/>
      <c r="CO303" s="73">
        <f t="shared" si="20"/>
        <v>0</v>
      </c>
      <c r="CP303" s="5">
        <f t="shared" si="21"/>
        <v>0</v>
      </c>
      <c r="CQ303" s="1"/>
      <c r="CR303" s="1">
        <f t="shared" si="22"/>
        <v>0</v>
      </c>
      <c r="CS303" s="1"/>
      <c r="CT303" s="1" t="e">
        <f>INDEX([2]マスタ!$A:$A,MATCH(D303,[2]マスタ!$C:$C,0))</f>
        <v>#N/A</v>
      </c>
      <c r="CU303" s="1" t="str">
        <f t="shared" ca="1" si="23"/>
        <v>20260620_0-0</v>
      </c>
    </row>
    <row r="304" spans="1:99" x14ac:dyDescent="0.4">
      <c r="A304" s="61"/>
      <c r="B304" s="62"/>
      <c r="C304" s="62"/>
      <c r="D304" s="62"/>
      <c r="E304" s="77"/>
      <c r="F304" s="62"/>
      <c r="G304" s="62">
        <v>1</v>
      </c>
      <c r="H304" s="64">
        <f t="shared" si="4"/>
        <v>0</v>
      </c>
      <c r="I304" s="64"/>
      <c r="J304" s="64"/>
      <c r="K304" s="65">
        <f>+ROUNDDOWN((H304+I304)/100,0)*100</f>
        <v>0</v>
      </c>
      <c r="L304" s="65">
        <f t="shared" si="6"/>
        <v>0</v>
      </c>
      <c r="M304" s="65">
        <f t="shared" si="7"/>
        <v>0</v>
      </c>
      <c r="N304" s="65">
        <f t="shared" si="8"/>
        <v>0</v>
      </c>
      <c r="O304" s="66" t="str">
        <f t="shared" si="224"/>
        <v>✕</v>
      </c>
      <c r="P304" s="67" t="str">
        <f t="shared" si="225"/>
        <v>○</v>
      </c>
      <c r="Q304" s="67" t="str">
        <f>+IF((TEXT($A304,"DD")+0)=1,"○","✕")</f>
        <v>✕</v>
      </c>
      <c r="R304" s="67" t="str">
        <f t="shared" si="227"/>
        <v>✕</v>
      </c>
      <c r="S304" s="68">
        <v>0</v>
      </c>
      <c r="T304" s="69" t="s">
        <v>85</v>
      </c>
      <c r="U304" s="69" t="s">
        <v>85</v>
      </c>
      <c r="V304" s="69" t="s">
        <v>85</v>
      </c>
      <c r="W304" s="69" t="s">
        <v>85</v>
      </c>
      <c r="X304" s="69" t="s">
        <v>84</v>
      </c>
      <c r="Y304" s="69" t="s">
        <v>85</v>
      </c>
      <c r="Z304" s="69" t="s">
        <v>85</v>
      </c>
      <c r="AA304" s="69" t="s">
        <v>85</v>
      </c>
      <c r="AB304" s="69" t="s">
        <v>85</v>
      </c>
      <c r="AC304" s="69" t="s">
        <v>85</v>
      </c>
      <c r="AD304" s="38" t="str">
        <f>+IF(ISERROR(VLOOKUP($B304,AD$10:AD303,1,0)),IF(AND($N304&gt;=1000,$A304&gt;=AO$8,$A304&lt;=AO$9),$B304,""),"")</f>
        <v/>
      </c>
      <c r="AE304" s="38" t="str">
        <f>+IF(ISERROR(VLOOKUP($B304,AE$10:AE303,1,0)),IF(AND($N304&gt;=1000,$A304&gt;=AP$8,$A304&lt;=AP$9),$B304,""),"")</f>
        <v/>
      </c>
      <c r="AF304" s="38" t="str">
        <f>+IF(ISERROR(VLOOKUP($B304,AF$10:AF303,1,0)),IF(AND($N304&gt;=1000,$A304&gt;=AQ$8,$A304&lt;=AQ$9),$B304,""),"")</f>
        <v/>
      </c>
      <c r="AG304" s="38" t="str">
        <f>+IF(ISERROR(VLOOKUP($B304,AG$10:AG303,1,0)),IF(AND($N304&gt;=1000,$A304&gt;=AR$8,$A304&lt;=AR$9),$B304,""),"")</f>
        <v/>
      </c>
      <c r="AH304" s="38"/>
      <c r="AI304" s="70">
        <v>0</v>
      </c>
      <c r="AJ304" s="38">
        <f>IF(AND(AJ$7="○",$A304&gt;=AJ$8,$A304&lt;=AJ$9),IF(SUM(AJ$10:AJ303)-ROUNDDOWN($K304*AJ$5/100,0)&lt;-AJ$6,-AJ$6-SUM(AJ$10:AJ303),-ROUNDDOWN($K304*AJ$5/100,0)),0)</f>
        <v>0</v>
      </c>
      <c r="AK304" s="38">
        <f>IF(AND(AK$7="○",$A304&gt;=AK$8,$A304&lt;=AK$9),IF(SUM(AK$10:AK303)-ROUNDDOWN($L304*AK$5/100,0)&lt;-AK$6,-AK$6-SUM(AK$10:AK303),-ROUNDDOWN($L304*AK$5/100,0)),0)</f>
        <v>0</v>
      </c>
      <c r="AL304" s="38">
        <f>IF(AND(AL$7="○",$A304&gt;=AL$8,$A304&lt;=AL$9),IF(SUM(AL$10:AL303)-ROUNDDOWN($N304*AL$5/100,0)&lt;-AL$6,-AL$6-SUM(AL$10:AL303),-ROUNDDOWN($N304*AL$5/100,0)),0)</f>
        <v>0</v>
      </c>
      <c r="AM304" s="38">
        <f>IF(AND(AM$7="○",$A304&gt;=AM$8,$A304&lt;=AM$9),IF(SUM(AM$10:AM303)-ROUNDDOWN($L304*AM$5/100,0)&lt;-AM$6,-AM$6-SUM(AM$10:AM303),-ROUNDDOWN($L304*AM$5/100,0)),0)</f>
        <v>0</v>
      </c>
      <c r="AN304" s="38">
        <f>IF(AND(AN$7="○",$A304&gt;=AN$8,$A304&lt;=AN$9),IF(SUM(AN$10:AN303)-ROUNDDOWN($M304*AN$5/100,0)&lt;-AN$6,-AN$6-SUM(AN$10:AN303),-ROUNDDOWN($M304*AN$5/100,0)),0)</f>
        <v>0</v>
      </c>
      <c r="AO304" s="38">
        <f>IF(AND($A304&gt;=AO$8,$A304&lt;=AO$9),IF(SUM(AO$10:AO303)-ROUNDDOWN($K304*AO$5/100,0)&lt;-AO$6,-AO$6-SUM(AO$10:AO303),-ROUNDDOWN($K304*AO$5/100,0)),0)</f>
        <v>0</v>
      </c>
      <c r="AP304" s="38">
        <f>IF(AND($A304&gt;=AP$8,$A304&lt;=AP$9),IF(SUM(AP$10:AP303)-ROUNDDOWN($K304*AP$5/100,0)&lt;-AP$6,-AP$6-SUM(AP$10:AP303),-ROUNDDOWN($K304*AP$5/100,0)),0)</f>
        <v>0</v>
      </c>
      <c r="AQ304" s="38">
        <f>IF(AND($A304&gt;=AQ$8,$A304&lt;=AQ$9),IF(SUM(AQ$10:AQ303)-ROUNDDOWN($K304*AQ$5/100,0)&lt;-AQ$6,-AQ$6-SUM(AQ$10:AQ303),-ROUNDDOWN($K304*AQ$5/100,0)),0)</f>
        <v>0</v>
      </c>
      <c r="AR304" s="38">
        <f>IF(AND($A304&gt;=AR$8,$A304&lt;=AR$9),IF(SUM(AR$10:AR303)-ROUNDDOWN($K304*AR$5/100,0)&lt;-AR$6,-AR$6-SUM(AR$10:AR303),-ROUNDDOWN($K304*AR$5/100,0)),0)</f>
        <v>0</v>
      </c>
      <c r="AS304" s="38">
        <f>IF(SUMIFS(AS$10:AS303,$A$10:$A303,$A304)-ROUNDDOWN($K304*$S304/100,0)&lt;-$S304*1000,-$S304*1000-SUMIFS(AS$10:AS303,$A$10:$A303,$A304),-ROUNDDOWN($K304*$S304/100,0))</f>
        <v>0</v>
      </c>
      <c r="AT304" s="38">
        <f>IF(AND(X304="○",$A304&gt;=AT$8,$A304&lt;=AT$9,K304&gt;=3980),IF(SUM(AT$10:AT303)-ROUNDDOWN($K304*AT$5/100,0)&lt;-AT$6,-AT$6-SUM(AT$10:AT303),-ROUNDDOWN($K304*AT$5/100,0)),0)</f>
        <v>0</v>
      </c>
      <c r="AU304" s="38">
        <f>IF(O304="○",IF(SUM(AU$10:AU303)-ROUNDDOWN($K304*AU$5/100,0)&lt;-AU$6,-AU$6-SUM(AU$10:AU303),-ROUNDDOWN($K304*AU$5/100,0)),0)</f>
        <v>0</v>
      </c>
      <c r="AV304" s="38">
        <f>IF(P304="○",IF(SUM(AV$10:AV303)-ROUNDDOWN($K304*AV$5/100,0)&lt;-AV$6,-AV$6-SUM(AV$10:AV303),-ROUNDDOWN($K304*AV$5/100,0)),0)</f>
        <v>0</v>
      </c>
      <c r="AW304" s="38">
        <f>IF(Q304="○",IF(SUM(AW$10:AW303)-ROUNDDOWN($K304*AW$5/100,0)&lt;-AW$6,-AW$6-SUM(AW$10:AW303),-ROUNDDOWN($K304*AW$5/100,0)),0)</f>
        <v>0</v>
      </c>
      <c r="AX304" s="38">
        <f>IF(R304="○",IF(SUM(AX$10:AX303)-ROUNDDOWN($K304*AX$5/100,0)&lt;-AX$6,-AX$6-SUM(AX$10:AX303),-ROUNDDOWN($K304*AX$5/100,0)),0)</f>
        <v>0</v>
      </c>
      <c r="AY304" s="70">
        <v>0</v>
      </c>
      <c r="AZ304" s="65">
        <f t="shared" si="213"/>
        <v>0</v>
      </c>
      <c r="BA304" s="65">
        <f t="shared" si="214"/>
        <v>0</v>
      </c>
      <c r="BB304" s="70"/>
      <c r="BC304" s="65">
        <f t="shared" si="215"/>
        <v>0</v>
      </c>
      <c r="BD304" s="70">
        <v>0</v>
      </c>
      <c r="BE304" s="65">
        <f t="shared" si="216"/>
        <v>0</v>
      </c>
      <c r="BF304" s="70">
        <v>0</v>
      </c>
      <c r="BG304" s="65">
        <f t="shared" si="217"/>
        <v>0</v>
      </c>
      <c r="BH304" s="70">
        <v>0</v>
      </c>
      <c r="BI304" s="65">
        <f t="shared" si="218"/>
        <v>0</v>
      </c>
      <c r="BJ304" s="38">
        <f>IF(AND(BJ$7="○",$A304&gt;=BJ$8,$A304&lt;=BJ$9),IF(SUM(BJ$10:BJ303)-ROUNDDOWN($M304*BJ$5/100,0)&lt;-BJ$6,-BJ$6-SUM(BJ$10:BJ303),-ROUNDDOWN($M304*BJ$5/100,0)),0)</f>
        <v>0</v>
      </c>
      <c r="BK304" s="38">
        <f>IF(AND(BK$7="○",$A304&gt;=BK$8,$A304&lt;=BK$9),IF(SUM(BK$10:BK303)-ROUNDDOWN($L304*BK$5/100,0)&lt;-BK$6,-BK$6-SUM(BK$10:BK303),-ROUNDDOWN($L304*BK$5/100,0)),0)</f>
        <v>0</v>
      </c>
      <c r="BL304" s="38">
        <f>IF(AND(BL$7="○",$A304&gt;=BL$8,$A304&lt;=BL$9),IF(SUM(BL$10:BL303)-ROUNDDOWN($L304*BL$5/100,0)&lt;-BL$6,-BL$6-SUM(BL$10:BL303),-ROUNDDOWN($L304*BL$5/100,0)),0)</f>
        <v>0</v>
      </c>
      <c r="BM304" s="38">
        <f>IF(AND(BM$7="○",$A304&gt;=BM$8,$A304&lt;=BM$9),IF(SUM(BM$10:BM303)-ROUNDDOWN($M304*BM$5/100,0)&lt;-BM$6,-BM$6-SUM(BM$10:BM303),-ROUNDDOWN($M304*BM$5/100,0)),0)</f>
        <v>0</v>
      </c>
      <c r="BN304" s="38">
        <f>IF(AND(BN$7="○",$A304&gt;=BN$8,$A304&lt;=BN$9),IF(SUM(BN$10:BN303)-ROUNDDOWN($M304*BN$5/100,0)&lt;-BN$6,-BN$6-SUM(BN$10:BN303),-ROUNDDOWN($M304*BN$5/100,0)),0)</f>
        <v>0</v>
      </c>
      <c r="BO304" s="38">
        <f>IF(AND(BO$7="○",$A304&gt;=BO$8,$A304&lt;=BO$9),IF(SUM(BO$10:BO303)-ROUNDDOWN($M304*BO$5/100,0)&lt;-BO$6,-BO$6-SUM(BO$10:BO303),-ROUNDDOWN($M304*BO$5/100,0)),0)</f>
        <v>0</v>
      </c>
      <c r="BP304" s="38">
        <f>IF(AND(BP$7="○",$A304&gt;=BP$8,$A304&lt;=BP$9),IF(SUM(BP$10:BP303)-ROUNDDOWN($M304*BP$5/100,0)&lt;-BP$6,-BP$6-SUM(BP$10:BP303),-ROUNDDOWN($M304*BP$5/100,0)),0)</f>
        <v>0</v>
      </c>
      <c r="BQ304" s="38">
        <f>IF(AND(BQ$7="○",$A304&gt;=BQ$8,$A304&lt;=BQ$9),IF(SUM(BQ$10:BQ303)-ROUNDDOWN($L304*BQ$5/100,0)&lt;-BQ$6,-BQ$6-SUM(BQ$10:BQ303),-ROUNDDOWN($L304*BQ$5/100,0)),0)</f>
        <v>0</v>
      </c>
      <c r="BR304" s="38">
        <f>IF(AND(BR$7="○",$A304&gt;=BR$8,$A304&lt;=BR$9),IF(SUM(BR$10:BR303)-ROUNDDOWN($M304*BR$5/100,0)&lt;-BR$6,-BR$6-SUM(BR$10:BR303),-ROUNDDOWN($M304*BR$5/100,0)),0)</f>
        <v>0</v>
      </c>
      <c r="BS304" s="38">
        <f>IF(AND(BS$7="○",$A304&gt;=BS$8,$A304&lt;=BS$9),IF(SUM(BS$10:BS303)-ROUNDDOWN($M304*BS$5/100,0)&lt;-BS$6,-BS$6-SUM(BS$10:BS303),-ROUNDDOWN($M304*BS$5/100,0)),0)</f>
        <v>0</v>
      </c>
      <c r="BT304" s="38">
        <f>IF(AND(BT$7="○",$A304&gt;=BT$8,$A304&lt;=BT$9),IF(SUM(BT$10:BT303)-ROUNDDOWN($M304*BT$5/100,0)&lt;-BT$6,-BT$6-SUM(BT$10:BT303),-ROUNDDOWN($M304*BT$5/100,0)),0)</f>
        <v>0</v>
      </c>
      <c r="BU304" s="38">
        <f>IF(AND(BU$7="○",$A304&gt;=BU$8,$A304&lt;=BU$9),IF(SUM(BU$10:BU303)-ROUNDDOWN($M304*BU$5/100,0)&lt;-BU$6,-BU$6-SUM(BU$10:BU303),-ROUNDDOWN($M304*BU$5/100,0)),0)</f>
        <v>0</v>
      </c>
      <c r="BV304" s="38">
        <f>IF(AND(BV$7="○",$A304&gt;=BV$8,$A304&lt;=BV$9),IF(SUM(BV$10:BV303)-ROUNDDOWN($M304*BV$5/100,0)&lt;-BV$6,-BV$6-SUM(BV$10:BV303),-ROUNDDOWN($M304*BV$5/100,0)),0)</f>
        <v>0</v>
      </c>
      <c r="BW304" s="38">
        <f>IF(AND(BW$7="○",$A304&gt;=BW$8,$A304&lt;=BW$9),IF(SUM(BW$10:BW303)-ROUNDDOWN($M304*BW$5/100,0)&lt;-BW$6,-BW$6-SUM(BW$10:BW303),-ROUNDDOWN($M304*BW$5/100,0)),0)</f>
        <v>0</v>
      </c>
      <c r="BX304" s="38">
        <f>IF(AND(T304="○",$A304&gt;=BX$8,$A304&lt;=BX$9),IF(SUM(BX$10:BX303)-ROUNDDOWN($K304*BX$5/100,0)&lt;-BX$6,-BX$6-SUM(BX$10:BX303),-ROUNDDOWN($K304*BX$5/100,0)),0)</f>
        <v>0</v>
      </c>
      <c r="BY304" s="38">
        <f>IF(AND(U304="○",$A304&gt;=BY$8,$A304&lt;=BY$9),IF(SUM(BY$10:BY303)-ROUNDDOWN($K304*BY$5/100,0)&lt;-BY$6,-BY$6-SUM(BY$10:BY303),-ROUNDDOWN($K304*BY$5/100,0)),0)</f>
        <v>0</v>
      </c>
      <c r="BZ304" s="38">
        <f>IF(AND(V304="○",$A304&gt;=BZ$8,$A304&lt;=BZ$9),IF(SUM(BZ$10:BZ303)-ROUNDDOWN($K304*BZ$5/100,0)&lt;-BZ$6,-BZ$6-SUM(BZ$10:BZ303),-ROUNDDOWN($K304*BZ$5/100,0)),0)</f>
        <v>0</v>
      </c>
      <c r="CA304" s="38">
        <f>IF(AND(W304="○",$A304&gt;=CA$8,$A304&lt;=CA$9),IF(SUM(CA$10:CA303)-ROUNDDOWN($K304*CA$5/100,0)&lt;-CA$6,-CA$6-SUM(CA$10:CA303),-ROUNDDOWN($K304*CA$5/100,0)),0)</f>
        <v>0</v>
      </c>
      <c r="CB304" s="38"/>
      <c r="CC304" s="38"/>
      <c r="CD304" s="38"/>
      <c r="CE304" s="38"/>
      <c r="CF304" s="38"/>
      <c r="CG304" s="65">
        <f t="shared" si="219"/>
        <v>0</v>
      </c>
      <c r="CH304" s="71">
        <f t="shared" si="220"/>
        <v>0</v>
      </c>
      <c r="CI304" s="1">
        <f t="shared" si="19"/>
        <v>0</v>
      </c>
      <c r="CJ304" s="1"/>
      <c r="CK304" s="79"/>
      <c r="CL304" s="79"/>
      <c r="CM304" s="2"/>
      <c r="CN304" s="2"/>
      <c r="CO304" s="73">
        <f t="shared" si="20"/>
        <v>0</v>
      </c>
      <c r="CP304" s="5">
        <f t="shared" si="21"/>
        <v>0</v>
      </c>
      <c r="CQ304" s="1"/>
      <c r="CR304" s="1">
        <f t="shared" si="22"/>
        <v>0</v>
      </c>
      <c r="CS304" s="1"/>
      <c r="CT304" s="1" t="e">
        <f>INDEX([2]マスタ!$A:$A,MATCH(D304,[2]マスタ!$C:$C,0))</f>
        <v>#N/A</v>
      </c>
      <c r="CU304" s="1" t="str">
        <f t="shared" ca="1" si="23"/>
        <v>20260620_0-0</v>
      </c>
    </row>
    <row r="305" spans="1:99" x14ac:dyDescent="0.4">
      <c r="A305" s="61"/>
      <c r="B305" s="62"/>
      <c r="C305" s="62"/>
      <c r="D305" s="62"/>
      <c r="E305" s="63"/>
      <c r="F305" s="62"/>
      <c r="G305" s="62">
        <v>1</v>
      </c>
      <c r="H305" s="64">
        <f t="shared" si="4"/>
        <v>0</v>
      </c>
      <c r="I305" s="64"/>
      <c r="J305" s="64"/>
      <c r="K305" s="65">
        <f>+ROUNDDOWN((H305+I305)/100,0)*100</f>
        <v>0</v>
      </c>
      <c r="L305" s="65">
        <f t="shared" si="6"/>
        <v>0</v>
      </c>
      <c r="M305" s="65">
        <f t="shared" si="7"/>
        <v>0</v>
      </c>
      <c r="N305" s="65">
        <f t="shared" si="8"/>
        <v>0</v>
      </c>
      <c r="O305" s="66" t="str">
        <f t="shared" si="224"/>
        <v>✕</v>
      </c>
      <c r="P305" s="67" t="str">
        <f t="shared" si="225"/>
        <v>○</v>
      </c>
      <c r="Q305" s="67" t="str">
        <f>+IF((TEXT($A305,"DD")+0)=1,"○","✕")</f>
        <v>✕</v>
      </c>
      <c r="R305" s="67" t="str">
        <f t="shared" si="227"/>
        <v>✕</v>
      </c>
      <c r="S305" s="68">
        <v>0</v>
      </c>
      <c r="T305" s="69" t="s">
        <v>85</v>
      </c>
      <c r="U305" s="69" t="s">
        <v>85</v>
      </c>
      <c r="V305" s="69" t="s">
        <v>85</v>
      </c>
      <c r="W305" s="69" t="s">
        <v>85</v>
      </c>
      <c r="X305" s="69" t="s">
        <v>84</v>
      </c>
      <c r="Y305" s="69" t="s">
        <v>85</v>
      </c>
      <c r="Z305" s="69" t="s">
        <v>85</v>
      </c>
      <c r="AA305" s="69" t="s">
        <v>85</v>
      </c>
      <c r="AB305" s="69" t="s">
        <v>85</v>
      </c>
      <c r="AC305" s="69" t="s">
        <v>85</v>
      </c>
      <c r="AD305" s="38" t="str">
        <f>+IF(ISERROR(VLOOKUP($B305,AD$10:AD304,1,0)),IF(AND($N305&gt;=1000,$A305&gt;=AO$8,$A305&lt;=AO$9),$B305,""),"")</f>
        <v/>
      </c>
      <c r="AE305" s="38" t="str">
        <f>+IF(ISERROR(VLOOKUP($B305,AE$10:AE304,1,0)),IF(AND($N305&gt;=1000,$A305&gt;=AP$8,$A305&lt;=AP$9),$B305,""),"")</f>
        <v/>
      </c>
      <c r="AF305" s="38" t="str">
        <f>+IF(ISERROR(VLOOKUP($B305,AF$10:AF304,1,0)),IF(AND($N305&gt;=1000,$A305&gt;=AQ$8,$A305&lt;=AQ$9),$B305,""),"")</f>
        <v/>
      </c>
      <c r="AG305" s="38" t="str">
        <f>+IF(ISERROR(VLOOKUP($B305,AG$10:AG304,1,0)),IF(AND($N305&gt;=1000,$A305&gt;=AR$8,$A305&lt;=AR$9),$B305,""),"")</f>
        <v/>
      </c>
      <c r="AH305" s="38"/>
      <c r="AI305" s="70">
        <v>0</v>
      </c>
      <c r="AJ305" s="38">
        <f>IF(AND(AJ$7="○",$A305&gt;=AJ$8,$A305&lt;=AJ$9),IF(SUM(AJ$10:AJ304)-ROUNDDOWN($K305*AJ$5/100,0)&lt;-AJ$6,-AJ$6-SUM(AJ$10:AJ304),-ROUNDDOWN($K305*AJ$5/100,0)),0)</f>
        <v>0</v>
      </c>
      <c r="AK305" s="38">
        <f>IF(AND(AK$7="○",$A305&gt;=AK$8,$A305&lt;=AK$9),IF(SUM(AK$10:AK304)-ROUNDDOWN($L305*AK$5/100,0)&lt;-AK$6,-AK$6-SUM(AK$10:AK304),-ROUNDDOWN($L305*AK$5/100,0)),0)</f>
        <v>0</v>
      </c>
      <c r="AL305" s="38">
        <f>IF(AND(AL$7="○",$A305&gt;=AL$8,$A305&lt;=AL$9),IF(SUM(AL$10:AL304)-ROUNDDOWN($N305*AL$5/100,0)&lt;-AL$6,-AL$6-SUM(AL$10:AL304),-ROUNDDOWN($N305*AL$5/100,0)),0)</f>
        <v>0</v>
      </c>
      <c r="AM305" s="38">
        <f>IF(AND(AM$7="○",$A305&gt;=AM$8,$A305&lt;=AM$9),IF(SUM(AM$10:AM304)-ROUNDDOWN($L305*AM$5/100,0)&lt;-AM$6,-AM$6-SUM(AM$10:AM304),-ROUNDDOWN($L305*AM$5/100,0)),0)</f>
        <v>0</v>
      </c>
      <c r="AN305" s="38">
        <f>IF(AND(AN$7="○",$A305&gt;=AN$8,$A305&lt;=AN$9),IF(SUM(AN$10:AN304)-ROUNDDOWN($M305*AN$5/100,0)&lt;-AN$6,-AN$6-SUM(AN$10:AN304),-ROUNDDOWN($M305*AN$5/100,0)),0)</f>
        <v>0</v>
      </c>
      <c r="AO305" s="38">
        <f>IF(AND($A305&gt;=AO$8,$A305&lt;=AO$9),IF(SUM(AO$10:AO304)-ROUNDDOWN($K305*AO$5/100,0)&lt;-AO$6,-AO$6-SUM(AO$10:AO304),-ROUNDDOWN($K305*AO$5/100,0)),0)</f>
        <v>0</v>
      </c>
      <c r="AP305" s="38">
        <f>IF(AND($A305&gt;=AP$8,$A305&lt;=AP$9),IF(SUM(AP$10:AP304)-ROUNDDOWN($K305*AP$5/100,0)&lt;-AP$6,-AP$6-SUM(AP$10:AP304),-ROUNDDOWN($K305*AP$5/100,0)),0)</f>
        <v>0</v>
      </c>
      <c r="AQ305" s="38">
        <f>IF(AND($A305&gt;=AQ$8,$A305&lt;=AQ$9),IF(SUM(AQ$10:AQ304)-ROUNDDOWN($K305*AQ$5/100,0)&lt;-AQ$6,-AQ$6-SUM(AQ$10:AQ304),-ROUNDDOWN($K305*AQ$5/100,0)),0)</f>
        <v>0</v>
      </c>
      <c r="AR305" s="38">
        <f>IF(AND($A305&gt;=AR$8,$A305&lt;=AR$9),IF(SUM(AR$10:AR304)-ROUNDDOWN($K305*AR$5/100,0)&lt;-AR$6,-AR$6-SUM(AR$10:AR304),-ROUNDDOWN($K305*AR$5/100,0)),0)</f>
        <v>0</v>
      </c>
      <c r="AS305" s="38">
        <f>IF(SUMIFS(AS$10:AS304,$A$10:$A304,$A305)-ROUNDDOWN($K305*$S305/100,0)&lt;-$S305*1000,-$S305*1000-SUMIFS(AS$10:AS304,$A$10:$A304,$A305),-ROUNDDOWN($K305*$S305/100,0))</f>
        <v>0</v>
      </c>
      <c r="AT305" s="38">
        <f>IF(AND(X305="○",$A305&gt;=AT$8,$A305&lt;=AT$9,K305&gt;=3980),IF(SUM(AT$10:AT304)-ROUNDDOWN($K305*AT$5/100,0)&lt;-AT$6,-AT$6-SUM(AT$10:AT304),-ROUNDDOWN($K305*AT$5/100,0)),0)</f>
        <v>0</v>
      </c>
      <c r="AU305" s="38">
        <f>IF(O305="○",IF(SUM(AU$10:AU304)-ROUNDDOWN($K305*AU$5/100,0)&lt;-AU$6,-AU$6-SUM(AU$10:AU304),-ROUNDDOWN($K305*AU$5/100,0)),0)</f>
        <v>0</v>
      </c>
      <c r="AV305" s="38">
        <f>IF(P305="○",IF(SUM(AV$10:AV304)-ROUNDDOWN($K305*AV$5/100,0)&lt;-AV$6,-AV$6-SUM(AV$10:AV304),-ROUNDDOWN($K305*AV$5/100,0)),0)</f>
        <v>0</v>
      </c>
      <c r="AW305" s="38">
        <f>IF(Q305="○",IF(SUM(AW$10:AW304)-ROUNDDOWN($K305*AW$5/100,0)&lt;-AW$6,-AW$6-SUM(AW$10:AW304),-ROUNDDOWN($K305*AW$5/100,0)),0)</f>
        <v>0</v>
      </c>
      <c r="AX305" s="38">
        <f>IF(R305="○",IF(SUM(AX$10:AX304)-ROUNDDOWN($K305*AX$5/100,0)&lt;-AX$6,-AX$6-SUM(AX$10:AX304),-ROUNDDOWN($K305*AX$5/100,0)),0)</f>
        <v>0</v>
      </c>
      <c r="AY305" s="70">
        <v>0</v>
      </c>
      <c r="AZ305" s="65">
        <f t="shared" si="213"/>
        <v>0</v>
      </c>
      <c r="BA305" s="65">
        <f t="shared" si="214"/>
        <v>0</v>
      </c>
      <c r="BB305" s="70"/>
      <c r="BC305" s="65">
        <f t="shared" si="215"/>
        <v>0</v>
      </c>
      <c r="BD305" s="70">
        <v>0</v>
      </c>
      <c r="BE305" s="65">
        <f t="shared" si="216"/>
        <v>0</v>
      </c>
      <c r="BF305" s="70">
        <v>0</v>
      </c>
      <c r="BG305" s="65">
        <f t="shared" si="217"/>
        <v>0</v>
      </c>
      <c r="BH305" s="70">
        <v>0</v>
      </c>
      <c r="BI305" s="65">
        <f t="shared" si="218"/>
        <v>0</v>
      </c>
      <c r="BJ305" s="38">
        <f>IF(AND(BJ$7="○",$A305&gt;=BJ$8,$A305&lt;=BJ$9),IF(SUM(BJ$10:BJ304)-ROUNDDOWN($M305*BJ$5/100,0)&lt;-BJ$6,-BJ$6-SUM(BJ$10:BJ304),-ROUNDDOWN($M305*BJ$5/100,0)),0)</f>
        <v>0</v>
      </c>
      <c r="BK305" s="38">
        <f>IF(AND(BK$7="○",$A305&gt;=BK$8,$A305&lt;=BK$9),IF(SUM(BK$10:BK304)-ROUNDDOWN($L305*BK$5/100,0)&lt;-BK$6,-BK$6-SUM(BK$10:BK304),-ROUNDDOWN($L305*BK$5/100,0)),0)</f>
        <v>0</v>
      </c>
      <c r="BL305" s="38">
        <f>IF(AND(BL$7="○",$A305&gt;=BL$8,$A305&lt;=BL$9),IF(SUM(BL$10:BL304)-ROUNDDOWN($L305*BL$5/100,0)&lt;-BL$6,-BL$6-SUM(BL$10:BL304),-ROUNDDOWN($L305*BL$5/100,0)),0)</f>
        <v>0</v>
      </c>
      <c r="BM305" s="38">
        <f>IF(AND(BM$7="○",$A305&gt;=BM$8,$A305&lt;=BM$9),IF(SUM(BM$10:BM304)-ROUNDDOWN($M305*BM$5/100,0)&lt;-BM$6,-BM$6-SUM(BM$10:BM304),-ROUNDDOWN($M305*BM$5/100,0)),0)</f>
        <v>0</v>
      </c>
      <c r="BN305" s="38">
        <f>IF(AND(BN$7="○",$A305&gt;=BN$8,$A305&lt;=BN$9),IF(SUM(BN$10:BN304)-ROUNDDOWN($M305*BN$5/100,0)&lt;-BN$6,-BN$6-SUM(BN$10:BN304),-ROUNDDOWN($M305*BN$5/100,0)),0)</f>
        <v>0</v>
      </c>
      <c r="BO305" s="38">
        <f>IF(AND(BO$7="○",$A305&gt;=BO$8,$A305&lt;=BO$9),IF(SUM(BO$10:BO304)-ROUNDDOWN($M305*BO$5/100,0)&lt;-BO$6,-BO$6-SUM(BO$10:BO304),-ROUNDDOWN($M305*BO$5/100,0)),0)</f>
        <v>0</v>
      </c>
      <c r="BP305" s="38">
        <f>IF(AND(BP$7="○",$A305&gt;=BP$8,$A305&lt;=BP$9),IF(SUM(BP$10:BP304)-ROUNDDOWN($M305*BP$5/100,0)&lt;-BP$6,-BP$6-SUM(BP$10:BP304),-ROUNDDOWN($M305*BP$5/100,0)),0)</f>
        <v>0</v>
      </c>
      <c r="BQ305" s="38">
        <f>IF(AND(BQ$7="○",$A305&gt;=BQ$8,$A305&lt;=BQ$9),IF(SUM(BQ$10:BQ304)-ROUNDDOWN($L305*BQ$5/100,0)&lt;-BQ$6,-BQ$6-SUM(BQ$10:BQ304),-ROUNDDOWN($L305*BQ$5/100,0)),0)</f>
        <v>0</v>
      </c>
      <c r="BR305" s="38">
        <f>IF(AND(BR$7="○",$A305&gt;=BR$8,$A305&lt;=BR$9),IF(SUM(BR$10:BR304)-ROUNDDOWN($M305*BR$5/100,0)&lt;-BR$6,-BR$6-SUM(BR$10:BR304),-ROUNDDOWN($M305*BR$5/100,0)),0)</f>
        <v>0</v>
      </c>
      <c r="BS305" s="38">
        <f>IF(AND(BS$7="○",$A305&gt;=BS$8,$A305&lt;=BS$9),IF(SUM(BS$10:BS304)-ROUNDDOWN($M305*BS$5/100,0)&lt;-BS$6,-BS$6-SUM(BS$10:BS304),-ROUNDDOWN($M305*BS$5/100,0)),0)</f>
        <v>0</v>
      </c>
      <c r="BT305" s="38">
        <f>IF(AND(BT$7="○",$A305&gt;=BT$8,$A305&lt;=BT$9),IF(SUM(BT$10:BT304)-ROUNDDOWN($M305*BT$5/100,0)&lt;-BT$6,-BT$6-SUM(BT$10:BT304),-ROUNDDOWN($M305*BT$5/100,0)),0)</f>
        <v>0</v>
      </c>
      <c r="BU305" s="38">
        <f>IF(AND(BU$7="○",$A305&gt;=BU$8,$A305&lt;=BU$9),IF(SUM(BU$10:BU304)-ROUNDDOWN($M305*BU$5/100,0)&lt;-BU$6,-BU$6-SUM(BU$10:BU304),-ROUNDDOWN($M305*BU$5/100,0)),0)</f>
        <v>0</v>
      </c>
      <c r="BV305" s="38">
        <f>IF(AND(BV$7="○",$A305&gt;=BV$8,$A305&lt;=BV$9),IF(SUM(BV$10:BV304)-ROUNDDOWN($M305*BV$5/100,0)&lt;-BV$6,-BV$6-SUM(BV$10:BV304),-ROUNDDOWN($M305*BV$5/100,0)),0)</f>
        <v>0</v>
      </c>
      <c r="BW305" s="38">
        <f>IF(AND(BW$7="○",$A305&gt;=BW$8,$A305&lt;=BW$9),IF(SUM(BW$10:BW304)-ROUNDDOWN($M305*BW$5/100,0)&lt;-BW$6,-BW$6-SUM(BW$10:BW304),-ROUNDDOWN($M305*BW$5/100,0)),0)</f>
        <v>0</v>
      </c>
      <c r="BX305" s="38">
        <f>IF(AND(T305="○",$A305&gt;=BX$8,$A305&lt;=BX$9),IF(SUM(BX$10:BX304)-ROUNDDOWN($K305*BX$5/100,0)&lt;-BX$6,-BX$6-SUM(BX$10:BX304),-ROUNDDOWN($K305*BX$5/100,0)),0)</f>
        <v>0</v>
      </c>
      <c r="BY305" s="38">
        <f>IF(AND(U305="○",$A305&gt;=BY$8,$A305&lt;=BY$9),IF(SUM(BY$10:BY304)-ROUNDDOWN($K305*BY$5/100,0)&lt;-BY$6,-BY$6-SUM(BY$10:BY304),-ROUNDDOWN($K305*BY$5/100,0)),0)</f>
        <v>0</v>
      </c>
      <c r="BZ305" s="38">
        <f>IF(AND(V305="○",$A305&gt;=BZ$8,$A305&lt;=BZ$9),IF(SUM(BZ$10:BZ304)-ROUNDDOWN($K305*BZ$5/100,0)&lt;-BZ$6,-BZ$6-SUM(BZ$10:BZ304),-ROUNDDOWN($K305*BZ$5/100,0)),0)</f>
        <v>0</v>
      </c>
      <c r="CA305" s="38">
        <f>IF(AND(W305="○",$A305&gt;=CA$8,$A305&lt;=CA$9),IF(SUM(CA$10:CA304)-ROUNDDOWN($K305*CA$5/100,0)&lt;-CA$6,-CA$6-SUM(CA$10:CA304),-ROUNDDOWN($K305*CA$5/100,0)),0)</f>
        <v>0</v>
      </c>
      <c r="CB305" s="38"/>
      <c r="CC305" s="38"/>
      <c r="CD305" s="38"/>
      <c r="CE305" s="38"/>
      <c r="CF305" s="38"/>
      <c r="CG305" s="65">
        <f t="shared" si="219"/>
        <v>0</v>
      </c>
      <c r="CH305" s="71">
        <f t="shared" si="220"/>
        <v>0</v>
      </c>
      <c r="CI305" s="1">
        <f t="shared" si="19"/>
        <v>0</v>
      </c>
      <c r="CJ305" s="1"/>
      <c r="CK305" s="79"/>
      <c r="CL305" s="79"/>
      <c r="CM305" s="2"/>
      <c r="CN305" s="2"/>
      <c r="CO305" s="73">
        <f t="shared" si="20"/>
        <v>0</v>
      </c>
      <c r="CP305" s="5">
        <f t="shared" si="21"/>
        <v>0</v>
      </c>
      <c r="CQ305" s="1"/>
      <c r="CR305" s="1">
        <f t="shared" si="22"/>
        <v>0</v>
      </c>
      <c r="CS305" s="1"/>
      <c r="CT305" s="1" t="e">
        <f>INDEX([2]マスタ!$A:$A,MATCH(D305,[2]マスタ!$C:$C,0))</f>
        <v>#N/A</v>
      </c>
      <c r="CU305" s="1" t="str">
        <f t="shared" ca="1" si="23"/>
        <v>20260620_0-0</v>
      </c>
    </row>
    <row r="306" spans="1:99" x14ac:dyDescent="0.4">
      <c r="A306" s="61"/>
      <c r="B306" s="62"/>
      <c r="C306" s="62"/>
      <c r="D306" s="62"/>
      <c r="E306" s="63"/>
      <c r="F306" s="62"/>
      <c r="G306" s="62">
        <v>1</v>
      </c>
      <c r="H306" s="64">
        <f t="shared" si="4"/>
        <v>0</v>
      </c>
      <c r="I306" s="64"/>
      <c r="J306" s="64"/>
      <c r="K306" s="65">
        <f t="shared" ref="K306:K315" si="230">+ROUNDDOWN((H306+I306+J306)/100,0)*100</f>
        <v>0</v>
      </c>
      <c r="L306" s="65">
        <f t="shared" si="6"/>
        <v>0</v>
      </c>
      <c r="M306" s="65">
        <f t="shared" si="7"/>
        <v>0</v>
      </c>
      <c r="N306" s="65">
        <f t="shared" si="8"/>
        <v>0</v>
      </c>
      <c r="O306" s="66" t="str">
        <f t="shared" si="224"/>
        <v>✕</v>
      </c>
      <c r="P306" s="67" t="str">
        <f t="shared" si="225"/>
        <v>○</v>
      </c>
      <c r="Q306" s="67" t="str">
        <f t="shared" ref="Q306:Q315" si="231">+IF((TEXT(A306,"DD")+0)=1,"○","✕")</f>
        <v>✕</v>
      </c>
      <c r="R306" s="67" t="str">
        <f t="shared" si="227"/>
        <v>✕</v>
      </c>
      <c r="S306" s="68">
        <v>0</v>
      </c>
      <c r="T306" s="69" t="s">
        <v>85</v>
      </c>
      <c r="U306" s="69" t="s">
        <v>85</v>
      </c>
      <c r="V306" s="69" t="s">
        <v>85</v>
      </c>
      <c r="W306" s="69" t="s">
        <v>85</v>
      </c>
      <c r="X306" s="69" t="s">
        <v>84</v>
      </c>
      <c r="Y306" s="69" t="s">
        <v>85</v>
      </c>
      <c r="Z306" s="69" t="s">
        <v>85</v>
      </c>
      <c r="AA306" s="69" t="s">
        <v>85</v>
      </c>
      <c r="AB306" s="69" t="s">
        <v>85</v>
      </c>
      <c r="AC306" s="69" t="s">
        <v>85</v>
      </c>
      <c r="AD306" s="38" t="str">
        <f>+IF(ISERROR(VLOOKUP($B306,AD$10:AD305,1,0)),IF(AND($N306&gt;=1000,$A306&gt;=AO$8,$A306&lt;=AO$9),$B306,""),"")</f>
        <v/>
      </c>
      <c r="AE306" s="38" t="str">
        <f>+IF(ISERROR(VLOOKUP($B306,AE$10:AE305,1,0)),IF(AND($N306&gt;=1000,$A306&gt;=AP$8,$A306&lt;=AP$9),$B306,""),"")</f>
        <v/>
      </c>
      <c r="AF306" s="38" t="str">
        <f>+IF(ISERROR(VLOOKUP($B306,AF$10:AF305,1,0)),IF(AND($N306&gt;=1000,$A306&gt;=AQ$8,$A306&lt;=AQ$9),$B306,""),"")</f>
        <v/>
      </c>
      <c r="AG306" s="38" t="str">
        <f>+IF(ISERROR(VLOOKUP($B306,AG$10:AG305,1,0)),IF(AND($N306&gt;=1000,$A306&gt;=AR$8,$A306&lt;=AR$9),$B306,""),"")</f>
        <v/>
      </c>
      <c r="AH306" s="38"/>
      <c r="AI306" s="70">
        <v>0</v>
      </c>
      <c r="AJ306" s="38">
        <f>IF(AND(AJ$7="○",$A306&gt;=AJ$8,$A306&lt;=AJ$9),IF(SUM(AJ$10:AJ305)-ROUNDDOWN($K306*AJ$5/100,0)&lt;-AJ$6,-AJ$6-SUM(AJ$10:AJ305),-ROUNDDOWN($K306*AJ$5/100,0)),0)</f>
        <v>0</v>
      </c>
      <c r="AK306" s="38">
        <f>IF(AND(AK$7="○",$A306&gt;=AK$8,$A306&lt;=AK$9),IF(SUM(AK$10:AK305)-ROUNDDOWN($L306*AK$5/100,0)&lt;-AK$6,-AK$6-SUM(AK$10:AK305),-ROUNDDOWN($L306*AK$5/100,0)),0)</f>
        <v>0</v>
      </c>
      <c r="AL306" s="38">
        <f>IF(AND(AL$7="○",$A306&gt;=AL$8,$A306&lt;=AL$9),IF(SUM(AL$10:AL305)-ROUNDDOWN($N306*AL$5/100,0)&lt;-AL$6,-AL$6-SUM(AL$10:AL305),-ROUNDDOWN($N306*AL$5/100,0)),0)</f>
        <v>0</v>
      </c>
      <c r="AM306" s="38">
        <f>IF(AND(AM$7="○",$A306&gt;=AM$8,$A306&lt;=AM$9),IF(SUM(AM$10:AM305)-ROUNDDOWN($L306*AM$5/100,0)&lt;-AM$6,-AM$6-SUM(AM$10:AM305),-ROUNDDOWN($L306*AM$5/100,0)),0)</f>
        <v>0</v>
      </c>
      <c r="AN306" s="38">
        <f>IF(AND(AN$7="○",$A306&gt;=AN$8,$A306&lt;=AN$9),IF(SUM(AN$10:AN305)-ROUNDDOWN($M306*AN$5/100,0)&lt;-AN$6,-AN$6-SUM(AN$10:AN305),-ROUNDDOWN($M306*AN$5/100,0)),0)</f>
        <v>0</v>
      </c>
      <c r="AO306" s="38">
        <f>IF(AND($A306&gt;=AO$8,$A306&lt;=AO$9),IF(SUM(AO$10:AO305)-ROUNDDOWN($K306*AO$5/100,0)&lt;-AO$6,-AO$6-SUM(AO$10:AO305),-ROUNDDOWN($K306*AO$5/100,0)),0)</f>
        <v>0</v>
      </c>
      <c r="AP306" s="38">
        <f>IF(AND($A306&gt;=AP$8,$A306&lt;=AP$9),IF(SUM(AP$10:AP305)-ROUNDDOWN($K306*AP$5/100,0)&lt;-AP$6,-AP$6-SUM(AP$10:AP305),-ROUNDDOWN($K306*AP$5/100,0)),0)</f>
        <v>0</v>
      </c>
      <c r="AQ306" s="38">
        <f>IF(AND($A306&gt;=AQ$8,$A306&lt;=AQ$9),IF(SUM(AQ$10:AQ305)-ROUNDDOWN($K306*AQ$5/100,0)&lt;-AQ$6,-AQ$6-SUM(AQ$10:AQ305),-ROUNDDOWN($K306*AQ$5/100,0)),0)</f>
        <v>0</v>
      </c>
      <c r="AR306" s="38">
        <f>IF(AND($A306&gt;=AR$8,$A306&lt;=AR$9),IF(SUM(AR$10:AR305)-ROUNDDOWN($K306*AR$5/100,0)&lt;-AR$6,-AR$6-SUM(AR$10:AR305),-ROUNDDOWN($K306*AR$5/100,0)),0)</f>
        <v>0</v>
      </c>
      <c r="AS306" s="38">
        <f>IF(SUMIFS(AS$10:AS305,$A$10:$A305,$A306)-ROUNDDOWN($K306*$S306/100,0)&lt;-$S306*1000,-$S306*1000-SUMIFS(AS$10:AS305,$A$10:$A305,$A306),-ROUNDDOWN($K306*$S306/100,0))</f>
        <v>0</v>
      </c>
      <c r="AT306" s="38">
        <f>IF(AND(X306="○",$A306&gt;=AT$8,$A306&lt;=AT$9,K306&gt;=3980),IF(SUM(AT$10:AT305)-ROUNDDOWN($K306*AT$5/100,0)&lt;-AT$6,-AT$6-SUM(AT$10:AT305),-ROUNDDOWN($K306*AT$5/100,0)),0)</f>
        <v>0</v>
      </c>
      <c r="AU306" s="38">
        <f>IF(O306="○",IF(SUM(AU$10:AU305)-ROUNDDOWN($K306*AU$5/100,0)&lt;-AU$6,-AU$6-SUM(AU$10:AU305),-ROUNDDOWN($K306*AU$5/100,0)),0)</f>
        <v>0</v>
      </c>
      <c r="AV306" s="38">
        <f>IF(P306="○",IF(SUM(AV$10:AV305)-ROUNDDOWN($K306*AV$5/100,0)&lt;-AV$6,-AV$6-SUM(AV$10:AV305),-ROUNDDOWN($K306*AV$5/100,0)),0)</f>
        <v>0</v>
      </c>
      <c r="AW306" s="38">
        <f>IF(Q306="○",IF(SUM(AW$10:AW305)-ROUNDDOWN($K306*AW$5/100,0)&lt;-AW$6,-AW$6-SUM(AW$10:AW305),-ROUNDDOWN($K306*AW$5/100,0)),0)</f>
        <v>0</v>
      </c>
      <c r="AX306" s="38">
        <f>IF(R306="○",IF(SUM(AX$10:AX305)-ROUNDDOWN($K306*AX$5/100,0)&lt;-AX$6,-AX$6-SUM(AX$10:AX305),-ROUNDDOWN($K306*AX$5/100,0)),0)</f>
        <v>0</v>
      </c>
      <c r="AY306" s="70">
        <v>0</v>
      </c>
      <c r="AZ306" s="65">
        <f t="shared" si="213"/>
        <v>0</v>
      </c>
      <c r="BA306" s="65">
        <f t="shared" si="214"/>
        <v>0</v>
      </c>
      <c r="BB306" s="70"/>
      <c r="BC306" s="65">
        <f t="shared" si="215"/>
        <v>0</v>
      </c>
      <c r="BD306" s="70">
        <v>0</v>
      </c>
      <c r="BE306" s="65">
        <f t="shared" si="216"/>
        <v>0</v>
      </c>
      <c r="BF306" s="70">
        <v>0</v>
      </c>
      <c r="BG306" s="65">
        <f t="shared" si="217"/>
        <v>0</v>
      </c>
      <c r="BH306" s="70">
        <v>0</v>
      </c>
      <c r="BI306" s="65">
        <f t="shared" si="218"/>
        <v>0</v>
      </c>
      <c r="BJ306" s="38">
        <f>IF(AND(BJ$7="○",$A306&gt;=BJ$8,$A306&lt;=BJ$9),IF(SUM(BJ$10:BJ305)-ROUNDDOWN($M306*BJ$5/100,0)&lt;-BJ$6,-BJ$6-SUM(BJ$10:BJ305),-ROUNDDOWN($M306*BJ$5/100,0)),0)</f>
        <v>0</v>
      </c>
      <c r="BK306" s="38">
        <f>IF(AND(BK$7="○",$A306&gt;=BK$8,$A306&lt;=BK$9),IF(SUM(BK$10:BK305)-ROUNDDOWN($L306*BK$5/100,0)&lt;-BK$6,-BK$6-SUM(BK$10:BK305),-ROUNDDOWN($L306*BK$5/100,0)),0)</f>
        <v>0</v>
      </c>
      <c r="BL306" s="38">
        <f>IF(AND(BL$7="○",$A306&gt;=BL$8,$A306&lt;=BL$9),IF(SUM(BL$10:BL305)-ROUNDDOWN($L306*BL$5/100,0)&lt;-BL$6,-BL$6-SUM(BL$10:BL305),-ROUNDDOWN($L306*BL$5/100,0)),0)</f>
        <v>0</v>
      </c>
      <c r="BM306" s="38">
        <f>IF(AND(BM$7="○",$A306&gt;=BM$8,$A306&lt;=BM$9),IF(SUM(BM$10:BM305)-ROUNDDOWN($M306*BM$5/100,0)&lt;-BM$6,-BM$6-SUM(BM$10:BM305),-ROUNDDOWN($M306*BM$5/100,0)),0)</f>
        <v>0</v>
      </c>
      <c r="BN306" s="38">
        <f>IF(AND(BN$7="○",$A306&gt;=BN$8,$A306&lt;=BN$9),IF(SUM(BN$10:BN305)-ROUNDDOWN($M306*BN$5/100,0)&lt;-BN$6,-BN$6-SUM(BN$10:BN305),-ROUNDDOWN($M306*BN$5/100,0)),0)</f>
        <v>0</v>
      </c>
      <c r="BO306" s="38">
        <f>IF(AND(BO$7="○",$A306&gt;=BO$8,$A306&lt;=BO$9),IF(SUM(BO$10:BO305)-ROUNDDOWN($M306*BO$5/100,0)&lt;-BO$6,-BO$6-SUM(BO$10:BO305),-ROUNDDOWN($M306*BO$5/100,0)),0)</f>
        <v>0</v>
      </c>
      <c r="BP306" s="38">
        <f>IF(AND(BP$7="○",$A306&gt;=BP$8,$A306&lt;=BP$9),IF(SUM(BP$10:BP305)-ROUNDDOWN($M306*BP$5/100,0)&lt;-BP$6,-BP$6-SUM(BP$10:BP305),-ROUNDDOWN($M306*BP$5/100,0)),0)</f>
        <v>0</v>
      </c>
      <c r="BQ306" s="38">
        <f>IF(AND(BQ$7="○",$A306&gt;=BQ$8,$A306&lt;=BQ$9),IF(SUM(BQ$10:BQ305)-ROUNDDOWN($L306*BQ$5/100,0)&lt;-BQ$6,-BQ$6-SUM(BQ$10:BQ305),-ROUNDDOWN($L306*BQ$5/100,0)),0)</f>
        <v>0</v>
      </c>
      <c r="BR306" s="38">
        <f>IF(AND(BR$7="○",$A306&gt;=BR$8,$A306&lt;=BR$9),IF(SUM(BR$10:BR305)-ROUNDDOWN($M306*BR$5/100,0)&lt;-BR$6,-BR$6-SUM(BR$10:BR305),-ROUNDDOWN($M306*BR$5/100,0)),0)</f>
        <v>0</v>
      </c>
      <c r="BS306" s="38">
        <f>IF(AND(BS$7="○",$A306&gt;=BS$8,$A306&lt;=BS$9),IF(SUM(BS$10:BS305)-ROUNDDOWN($M306*BS$5/100,0)&lt;-BS$6,-BS$6-SUM(BS$10:BS305),-ROUNDDOWN($M306*BS$5/100,0)),0)</f>
        <v>0</v>
      </c>
      <c r="BT306" s="38">
        <f>IF(AND(BT$7="○",$A306&gt;=BT$8,$A306&lt;=BT$9),IF(SUM(BT$10:BT305)-ROUNDDOWN($M306*BT$5/100,0)&lt;-BT$6,-BT$6-SUM(BT$10:BT305),-ROUNDDOWN($M306*BT$5/100,0)),0)</f>
        <v>0</v>
      </c>
      <c r="BU306" s="38">
        <f>IF(AND(BU$7="○",$A306&gt;=BU$8,$A306&lt;=BU$9),IF(SUM(BU$10:BU305)-ROUNDDOWN($M306*BU$5/100,0)&lt;-BU$6,-BU$6-SUM(BU$10:BU305),-ROUNDDOWN($M306*BU$5/100,0)),0)</f>
        <v>0</v>
      </c>
      <c r="BV306" s="38">
        <f>IF(AND(BV$7="○",$A306&gt;=BV$8,$A306&lt;=BV$9),IF(SUM(BV$10:BV305)-ROUNDDOWN($M306*BV$5/100,0)&lt;-BV$6,-BV$6-SUM(BV$10:BV305),-ROUNDDOWN($M306*BV$5/100,0)),0)</f>
        <v>0</v>
      </c>
      <c r="BW306" s="38">
        <f>IF(AND(BW$7="○",$A306&gt;=BW$8,$A306&lt;=BW$9),IF(SUM(BW$10:BW305)-ROUNDDOWN($M306*BW$5/100,0)&lt;-BW$6,-BW$6-SUM(BW$10:BW305),-ROUNDDOWN($M306*BW$5/100,0)),0)</f>
        <v>0</v>
      </c>
      <c r="BX306" s="38">
        <f>IF(AND(T306="○",$A306&gt;=BX$8,$A306&lt;=BX$9),IF(SUM(BX$10:BX305)-ROUNDDOWN($K306*BX$5/100,0)&lt;-BX$6,-BX$6-SUM(BX$10:BX305),-ROUNDDOWN($K306*BX$5/100,0)),0)</f>
        <v>0</v>
      </c>
      <c r="BY306" s="38">
        <f>IF(AND(U306="○",$A306&gt;=BY$8,$A306&lt;=BY$9),IF(SUM(BY$10:BY305)-ROUNDDOWN($K306*BY$5/100,0)&lt;-BY$6,-BY$6-SUM(BY$10:BY305),-ROUNDDOWN($K306*BY$5/100,0)),0)</f>
        <v>0</v>
      </c>
      <c r="BZ306" s="38">
        <f>IF(AND(V306="○",$A306&gt;=BZ$8,$A306&lt;=BZ$9),IF(SUM(BZ$10:BZ305)-ROUNDDOWN($K306*BZ$5/100,0)&lt;-BZ$6,-BZ$6-SUM(BZ$10:BZ305),-ROUNDDOWN($K306*BZ$5/100,0)),0)</f>
        <v>0</v>
      </c>
      <c r="CA306" s="38">
        <f>IF(AND(W306="○",$A306&gt;=CA$8,$A306&lt;=CA$9),IF(SUM(CA$10:CA305)-ROUNDDOWN($K306*CA$5/100,0)&lt;-CA$6,-CA$6-SUM(CA$10:CA305),-ROUNDDOWN($K306*CA$5/100,0)),0)</f>
        <v>0</v>
      </c>
      <c r="CB306" s="38"/>
      <c r="CC306" s="38"/>
      <c r="CD306" s="38"/>
      <c r="CE306" s="38"/>
      <c r="CF306" s="38"/>
      <c r="CG306" s="65">
        <f t="shared" si="219"/>
        <v>0</v>
      </c>
      <c r="CH306" s="71">
        <f t="shared" si="220"/>
        <v>0</v>
      </c>
      <c r="CI306" s="1">
        <f t="shared" si="19"/>
        <v>0</v>
      </c>
      <c r="CJ306" s="1"/>
      <c r="CK306" s="72"/>
      <c r="CL306" s="72"/>
      <c r="CM306" s="2"/>
      <c r="CN306" s="2"/>
      <c r="CO306" s="73">
        <f t="shared" si="20"/>
        <v>0</v>
      </c>
      <c r="CP306" s="5">
        <f t="shared" si="21"/>
        <v>0</v>
      </c>
      <c r="CQ306" s="1"/>
      <c r="CR306" s="1">
        <f t="shared" si="22"/>
        <v>0</v>
      </c>
      <c r="CS306" s="1"/>
      <c r="CT306" s="1" t="e">
        <f>INDEX([2]マスタ!$A:$A,MATCH(D306,[2]マスタ!$C:$C,0))</f>
        <v>#N/A</v>
      </c>
      <c r="CU306" s="1" t="str">
        <f t="shared" ca="1" si="23"/>
        <v>20260620_0-0</v>
      </c>
    </row>
    <row r="307" spans="1:99" x14ac:dyDescent="0.4">
      <c r="A307" s="61"/>
      <c r="B307" s="62"/>
      <c r="C307" s="62"/>
      <c r="D307" s="62"/>
      <c r="E307" s="63"/>
      <c r="F307" s="62"/>
      <c r="G307" s="62">
        <v>1</v>
      </c>
      <c r="H307" s="64">
        <f t="shared" si="4"/>
        <v>0</v>
      </c>
      <c r="I307" s="64"/>
      <c r="J307" s="64"/>
      <c r="K307" s="65">
        <f t="shared" si="230"/>
        <v>0</v>
      </c>
      <c r="L307" s="65">
        <f t="shared" si="6"/>
        <v>0</v>
      </c>
      <c r="M307" s="65">
        <f t="shared" si="7"/>
        <v>0</v>
      </c>
      <c r="N307" s="65">
        <f t="shared" si="8"/>
        <v>0</v>
      </c>
      <c r="O307" s="66" t="str">
        <f t="shared" si="224"/>
        <v>✕</v>
      </c>
      <c r="P307" s="67" t="str">
        <f t="shared" si="225"/>
        <v>○</v>
      </c>
      <c r="Q307" s="67" t="str">
        <f t="shared" si="231"/>
        <v>✕</v>
      </c>
      <c r="R307" s="67" t="str">
        <f t="shared" si="227"/>
        <v>✕</v>
      </c>
      <c r="S307" s="68">
        <v>0</v>
      </c>
      <c r="T307" s="69" t="s">
        <v>85</v>
      </c>
      <c r="U307" s="69" t="s">
        <v>85</v>
      </c>
      <c r="V307" s="69" t="s">
        <v>85</v>
      </c>
      <c r="W307" s="69" t="s">
        <v>85</v>
      </c>
      <c r="X307" s="69" t="s">
        <v>84</v>
      </c>
      <c r="Y307" s="69" t="s">
        <v>85</v>
      </c>
      <c r="Z307" s="69" t="s">
        <v>85</v>
      </c>
      <c r="AA307" s="69" t="s">
        <v>85</v>
      </c>
      <c r="AB307" s="69" t="s">
        <v>85</v>
      </c>
      <c r="AC307" s="69" t="s">
        <v>85</v>
      </c>
      <c r="AD307" s="38" t="str">
        <f>+IF(ISERROR(VLOOKUP($B307,AD$10:AD306,1,0)),IF(AND($N307&gt;=1000,$A307&gt;=AO$8,$A307&lt;=AO$9),$B307,""),"")</f>
        <v/>
      </c>
      <c r="AE307" s="38" t="str">
        <f>+IF(ISERROR(VLOOKUP($B307,AE$10:AE306,1,0)),IF(AND($N307&gt;=1000,$A307&gt;=AP$8,$A307&lt;=AP$9),$B307,""),"")</f>
        <v/>
      </c>
      <c r="AF307" s="38" t="str">
        <f>+IF(ISERROR(VLOOKUP($B307,AF$10:AF306,1,0)),IF(AND($N307&gt;=1000,$A307&gt;=AQ$8,$A307&lt;=AQ$9),$B307,""),"")</f>
        <v/>
      </c>
      <c r="AG307" s="38" t="str">
        <f>+IF(ISERROR(VLOOKUP($B307,AG$10:AG306,1,0)),IF(AND($N307&gt;=1000,$A307&gt;=AR$8,$A307&lt;=AR$9),$B307,""),"")</f>
        <v/>
      </c>
      <c r="AH307" s="38"/>
      <c r="AI307" s="70">
        <v>0</v>
      </c>
      <c r="AJ307" s="38">
        <f>IF(AND(AJ$7="○",$A307&gt;=AJ$8,$A307&lt;=AJ$9),IF(SUM(AJ$10:AJ306)-ROUNDDOWN($K307*AJ$5/100,0)&lt;-AJ$6,-AJ$6-SUM(AJ$10:AJ306),-ROUNDDOWN($K307*AJ$5/100,0)),0)</f>
        <v>0</v>
      </c>
      <c r="AK307" s="38">
        <f>IF(AND(AK$7="○",$A307&gt;=AK$8,$A307&lt;=AK$9),IF(SUM(AK$10:AK306)-ROUNDDOWN($L307*AK$5/100,0)&lt;-AK$6,-AK$6-SUM(AK$10:AK306),-ROUNDDOWN($L307*AK$5/100,0)),0)</f>
        <v>0</v>
      </c>
      <c r="AL307" s="38">
        <f>IF(AND(AL$7="○",$A307&gt;=AL$8,$A307&lt;=AL$9),IF(SUM(AL$10:AL306)-ROUNDDOWN($N307*AL$5/100,0)&lt;-AL$6,-AL$6-SUM(AL$10:AL306),-ROUNDDOWN($N307*AL$5/100,0)),0)</f>
        <v>0</v>
      </c>
      <c r="AM307" s="38">
        <f>IF(AND(AM$7="○",$A307&gt;=AM$8,$A307&lt;=AM$9),IF(SUM(AM$10:AM306)-ROUNDDOWN($L307*AM$5/100,0)&lt;-AM$6,-AM$6-SUM(AM$10:AM306),-ROUNDDOWN($L307*AM$5/100,0)),0)</f>
        <v>0</v>
      </c>
      <c r="AN307" s="38">
        <f>IF(AND(AN$7="○",$A307&gt;=AN$8,$A307&lt;=AN$9),IF(SUM(AN$10:AN306)-ROUNDDOWN($M307*AN$5/100,0)&lt;-AN$6,-AN$6-SUM(AN$10:AN306),-ROUNDDOWN($M307*AN$5/100,0)),0)</f>
        <v>0</v>
      </c>
      <c r="AO307" s="38">
        <f>IF(AND($A307&gt;=AO$8,$A307&lt;=AO$9),IF(SUM(AO$10:AO306)-ROUNDDOWN($K307*AO$5/100,0)&lt;-AO$6,-AO$6-SUM(AO$10:AO306),-ROUNDDOWN($K307*AO$5/100,0)),0)</f>
        <v>0</v>
      </c>
      <c r="AP307" s="38">
        <f>IF(AND($A307&gt;=AP$8,$A307&lt;=AP$9),IF(SUM(AP$10:AP306)-ROUNDDOWN($K307*AP$5/100,0)&lt;-AP$6,-AP$6-SUM(AP$10:AP306),-ROUNDDOWN($K307*AP$5/100,0)),0)</f>
        <v>0</v>
      </c>
      <c r="AQ307" s="38">
        <f>IF(AND($A307&gt;=AQ$8,$A307&lt;=AQ$9),IF(SUM(AQ$10:AQ306)-ROUNDDOWN($K307*AQ$5/100,0)&lt;-AQ$6,-AQ$6-SUM(AQ$10:AQ306),-ROUNDDOWN($K307*AQ$5/100,0)),0)</f>
        <v>0</v>
      </c>
      <c r="AR307" s="38">
        <f>IF(AND($A307&gt;=AR$8,$A307&lt;=AR$9),IF(SUM(AR$10:AR306)-ROUNDDOWN($K307*AR$5/100,0)&lt;-AR$6,-AR$6-SUM(AR$10:AR306),-ROUNDDOWN($K307*AR$5/100,0)),0)</f>
        <v>0</v>
      </c>
      <c r="AS307" s="38">
        <f>IF(SUMIFS(AS$10:AS306,$A$10:$A306,$A307)-ROUNDDOWN($K307*$S307/100,0)&lt;-$S307*1000,-$S307*1000-SUMIFS(AS$10:AS306,$A$10:$A306,$A307),-ROUNDDOWN($K307*$S307/100,0))</f>
        <v>0</v>
      </c>
      <c r="AT307" s="38">
        <f>IF(AND(X307="○",$A307&gt;=AT$8,$A307&lt;=AT$9,K307&gt;=3980),IF(SUM(AT$10:AT306)-ROUNDDOWN($K307*AT$5/100,0)&lt;-AT$6,-AT$6-SUM(AT$10:AT306),-ROUNDDOWN($K307*AT$5/100,0)),0)</f>
        <v>0</v>
      </c>
      <c r="AU307" s="38">
        <f>IF(O307="○",IF(SUM(AU$10:AU306)-ROUNDDOWN($K307*AU$5/100,0)&lt;-AU$6,-AU$6-SUM(AU$10:AU306),-ROUNDDOWN($K307*AU$5/100,0)),0)</f>
        <v>0</v>
      </c>
      <c r="AV307" s="38">
        <f>IF(P307="○",IF(SUM(AV$10:AV306)-ROUNDDOWN($K307*AV$5/100,0)&lt;-AV$6,-AV$6-SUM(AV$10:AV306),-ROUNDDOWN($K307*AV$5/100,0)),0)</f>
        <v>0</v>
      </c>
      <c r="AW307" s="38">
        <f>IF(Q307="○",IF(SUM(AW$10:AW306)-ROUNDDOWN($K307*AW$5/100,0)&lt;-AW$6,-AW$6-SUM(AW$10:AW306),-ROUNDDOWN($K307*AW$5/100,0)),0)</f>
        <v>0</v>
      </c>
      <c r="AX307" s="38">
        <f>IF(R307="○",IF(SUM(AX$10:AX306)-ROUNDDOWN($K307*AX$5/100,0)&lt;-AX$6,-AX$6-SUM(AX$10:AX306),-ROUNDDOWN($K307*AX$5/100,0)),0)</f>
        <v>0</v>
      </c>
      <c r="AY307" s="70">
        <v>0</v>
      </c>
      <c r="AZ307" s="65">
        <f t="shared" si="213"/>
        <v>0</v>
      </c>
      <c r="BA307" s="65">
        <f t="shared" si="214"/>
        <v>0</v>
      </c>
      <c r="BB307" s="70"/>
      <c r="BC307" s="65">
        <f t="shared" si="215"/>
        <v>0</v>
      </c>
      <c r="BD307" s="70">
        <v>0</v>
      </c>
      <c r="BE307" s="65">
        <f t="shared" si="216"/>
        <v>0</v>
      </c>
      <c r="BF307" s="70">
        <v>0</v>
      </c>
      <c r="BG307" s="65">
        <f t="shared" si="217"/>
        <v>0</v>
      </c>
      <c r="BH307" s="70">
        <v>0</v>
      </c>
      <c r="BI307" s="65">
        <f t="shared" si="218"/>
        <v>0</v>
      </c>
      <c r="BJ307" s="38">
        <f>IF(AND(BJ$7="○",$A307&gt;=BJ$8,$A307&lt;=BJ$9),IF(SUM(BJ$10:BJ306)-ROUNDDOWN($M307*BJ$5/100,0)&lt;-BJ$6,-BJ$6-SUM(BJ$10:BJ306),-ROUNDDOWN($M307*BJ$5/100,0)),0)</f>
        <v>0</v>
      </c>
      <c r="BK307" s="38">
        <f>IF(AND(BK$7="○",$A307&gt;=BK$8,$A307&lt;=BK$9),IF(SUM(BK$10:BK306)-ROUNDDOWN($L307*BK$5/100,0)&lt;-BK$6,-BK$6-SUM(BK$10:BK306),-ROUNDDOWN($L307*BK$5/100,0)),0)</f>
        <v>0</v>
      </c>
      <c r="BL307" s="38">
        <f>IF(AND(BL$7="○",$A307&gt;=BL$8,$A307&lt;=BL$9),IF(SUM(BL$10:BL306)-ROUNDDOWN($L307*BL$5/100,0)&lt;-BL$6,-BL$6-SUM(BL$10:BL306),-ROUNDDOWN($L307*BL$5/100,0)),0)</f>
        <v>0</v>
      </c>
      <c r="BM307" s="38">
        <f>IF(AND(BM$7="○",$A307&gt;=BM$8,$A307&lt;=BM$9),IF(SUM(BM$10:BM306)-ROUNDDOWN($M307*BM$5/100,0)&lt;-BM$6,-BM$6-SUM(BM$10:BM306),-ROUNDDOWN($M307*BM$5/100,0)),0)</f>
        <v>0</v>
      </c>
      <c r="BN307" s="38">
        <f>IF(AND(BN$7="○",$A307&gt;=BN$8,$A307&lt;=BN$9),IF(SUM(BN$10:BN306)-ROUNDDOWN($M307*BN$5/100,0)&lt;-BN$6,-BN$6-SUM(BN$10:BN306),-ROUNDDOWN($M307*BN$5/100,0)),0)</f>
        <v>0</v>
      </c>
      <c r="BO307" s="38">
        <f>IF(AND(BO$7="○",$A307&gt;=BO$8,$A307&lt;=BO$9),IF(SUM(BO$10:BO306)-ROUNDDOWN($M307*BO$5/100,0)&lt;-BO$6,-BO$6-SUM(BO$10:BO306),-ROUNDDOWN($M307*BO$5/100,0)),0)</f>
        <v>0</v>
      </c>
      <c r="BP307" s="38">
        <f>IF(AND(BP$7="○",$A307&gt;=BP$8,$A307&lt;=BP$9),IF(SUM(BP$10:BP306)-ROUNDDOWN($M307*BP$5/100,0)&lt;-BP$6,-BP$6-SUM(BP$10:BP306),-ROUNDDOWN($M307*BP$5/100,0)),0)</f>
        <v>0</v>
      </c>
      <c r="BQ307" s="38">
        <f>IF(AND(BQ$7="○",$A307&gt;=BQ$8,$A307&lt;=BQ$9),IF(SUM(BQ$10:BQ306)-ROUNDDOWN($L307*BQ$5/100,0)&lt;-BQ$6,-BQ$6-SUM(BQ$10:BQ306),-ROUNDDOWN($L307*BQ$5/100,0)),0)</f>
        <v>0</v>
      </c>
      <c r="BR307" s="38">
        <f>IF(AND(BR$7="○",$A307&gt;=BR$8,$A307&lt;=BR$9),IF(SUM(BR$10:BR306)-ROUNDDOWN($M307*BR$5/100,0)&lt;-BR$6,-BR$6-SUM(BR$10:BR306),-ROUNDDOWN($M307*BR$5/100,0)),0)</f>
        <v>0</v>
      </c>
      <c r="BS307" s="38">
        <f>IF(AND(BS$7="○",$A307&gt;=BS$8,$A307&lt;=BS$9),IF(SUM(BS$10:BS306)-ROUNDDOWN($M307*BS$5/100,0)&lt;-BS$6,-BS$6-SUM(BS$10:BS306),-ROUNDDOWN($M307*BS$5/100,0)),0)</f>
        <v>0</v>
      </c>
      <c r="BT307" s="38">
        <f>IF(AND(BT$7="○",$A307&gt;=BT$8,$A307&lt;=BT$9),IF(SUM(BT$10:BT306)-ROUNDDOWN($M307*BT$5/100,0)&lt;-BT$6,-BT$6-SUM(BT$10:BT306),-ROUNDDOWN($M307*BT$5/100,0)),0)</f>
        <v>0</v>
      </c>
      <c r="BU307" s="38">
        <f>IF(AND(BU$7="○",$A307&gt;=BU$8,$A307&lt;=BU$9),IF(SUM(BU$10:BU306)-ROUNDDOWN($M307*BU$5/100,0)&lt;-BU$6,-BU$6-SUM(BU$10:BU306),-ROUNDDOWN($M307*BU$5/100,0)),0)</f>
        <v>0</v>
      </c>
      <c r="BV307" s="38">
        <f>IF(AND(BV$7="○",$A307&gt;=BV$8,$A307&lt;=BV$9),IF(SUM(BV$10:BV306)-ROUNDDOWN($M307*BV$5/100,0)&lt;-BV$6,-BV$6-SUM(BV$10:BV306),-ROUNDDOWN($M307*BV$5/100,0)),0)</f>
        <v>0</v>
      </c>
      <c r="BW307" s="38">
        <f>IF(AND(BW$7="○",$A307&gt;=BW$8,$A307&lt;=BW$9),IF(SUM(BW$10:BW306)-ROUNDDOWN($M307*BW$5/100,0)&lt;-BW$6,-BW$6-SUM(BW$10:BW306),-ROUNDDOWN($M307*BW$5/100,0)),0)</f>
        <v>0</v>
      </c>
      <c r="BX307" s="38">
        <f>IF(AND(T307="○",$A307&gt;=BX$8,$A307&lt;=BX$9),IF(SUM(BX$10:BX306)-ROUNDDOWN($K307*BX$5/100,0)&lt;-BX$6,-BX$6-SUM(BX$10:BX306),-ROUNDDOWN($K307*BX$5/100,0)),0)</f>
        <v>0</v>
      </c>
      <c r="BY307" s="38">
        <f>IF(AND(U307="○",$A307&gt;=BY$8,$A307&lt;=BY$9),IF(SUM(BY$10:BY306)-ROUNDDOWN($K307*BY$5/100,0)&lt;-BY$6,-BY$6-SUM(BY$10:BY306),-ROUNDDOWN($K307*BY$5/100,0)),0)</f>
        <v>0</v>
      </c>
      <c r="BZ307" s="38">
        <f>IF(AND(V307="○",$A307&gt;=BZ$8,$A307&lt;=BZ$9),IF(SUM(BZ$10:BZ306)-ROUNDDOWN($K307*BZ$5/100,0)&lt;-BZ$6,-BZ$6-SUM(BZ$10:BZ306),-ROUNDDOWN($K307*BZ$5/100,0)),0)</f>
        <v>0</v>
      </c>
      <c r="CA307" s="38">
        <f>IF(AND(W307="○",$A307&gt;=CA$8,$A307&lt;=CA$9),IF(SUM(CA$10:CA306)-ROUNDDOWN($K307*CA$5/100,0)&lt;-CA$6,-CA$6-SUM(CA$10:CA306),-ROUNDDOWN($K307*CA$5/100,0)),0)</f>
        <v>0</v>
      </c>
      <c r="CB307" s="38"/>
      <c r="CC307" s="38"/>
      <c r="CD307" s="38"/>
      <c r="CE307" s="38"/>
      <c r="CF307" s="38"/>
      <c r="CG307" s="65">
        <f t="shared" si="219"/>
        <v>0</v>
      </c>
      <c r="CH307" s="71">
        <f t="shared" si="220"/>
        <v>0</v>
      </c>
      <c r="CI307" s="1">
        <f t="shared" si="19"/>
        <v>0</v>
      </c>
      <c r="CJ307" s="1"/>
      <c r="CK307" s="72"/>
      <c r="CL307" s="72"/>
      <c r="CM307" s="2"/>
      <c r="CN307" s="2"/>
      <c r="CO307" s="73">
        <f t="shared" si="20"/>
        <v>0</v>
      </c>
      <c r="CP307" s="5">
        <f t="shared" si="21"/>
        <v>0</v>
      </c>
      <c r="CQ307" s="1"/>
      <c r="CR307" s="1">
        <f t="shared" si="22"/>
        <v>0</v>
      </c>
      <c r="CS307" s="1"/>
      <c r="CT307" s="1" t="e">
        <f>INDEX([2]マスタ!$A:$A,MATCH(D307,[2]マスタ!$C:$C,0))</f>
        <v>#N/A</v>
      </c>
      <c r="CU307" s="1" t="str">
        <f t="shared" ca="1" si="23"/>
        <v>20260620_0-0</v>
      </c>
    </row>
    <row r="308" spans="1:99" x14ac:dyDescent="0.4">
      <c r="A308" s="61"/>
      <c r="B308" s="62"/>
      <c r="C308" s="62"/>
      <c r="D308" s="63"/>
      <c r="E308" s="63"/>
      <c r="F308" s="62"/>
      <c r="G308" s="62">
        <v>1</v>
      </c>
      <c r="H308" s="64">
        <f t="shared" si="4"/>
        <v>0</v>
      </c>
      <c r="I308" s="64"/>
      <c r="J308" s="64"/>
      <c r="K308" s="65">
        <f t="shared" si="230"/>
        <v>0</v>
      </c>
      <c r="L308" s="65">
        <f t="shared" si="6"/>
        <v>0</v>
      </c>
      <c r="M308" s="65">
        <f t="shared" si="7"/>
        <v>0</v>
      </c>
      <c r="N308" s="65">
        <f t="shared" si="8"/>
        <v>0</v>
      </c>
      <c r="O308" s="66" t="str">
        <f t="shared" si="224"/>
        <v>✕</v>
      </c>
      <c r="P308" s="67" t="str">
        <f t="shared" si="225"/>
        <v>○</v>
      </c>
      <c r="Q308" s="67" t="str">
        <f t="shared" si="231"/>
        <v>✕</v>
      </c>
      <c r="R308" s="67" t="str">
        <f t="shared" si="227"/>
        <v>✕</v>
      </c>
      <c r="S308" s="68">
        <v>0</v>
      </c>
      <c r="T308" s="69" t="s">
        <v>85</v>
      </c>
      <c r="U308" s="69" t="s">
        <v>85</v>
      </c>
      <c r="V308" s="69" t="s">
        <v>85</v>
      </c>
      <c r="W308" s="69" t="s">
        <v>85</v>
      </c>
      <c r="X308" s="69" t="s">
        <v>84</v>
      </c>
      <c r="Y308" s="69" t="s">
        <v>85</v>
      </c>
      <c r="Z308" s="69" t="s">
        <v>85</v>
      </c>
      <c r="AA308" s="69" t="s">
        <v>85</v>
      </c>
      <c r="AB308" s="69" t="s">
        <v>85</v>
      </c>
      <c r="AC308" s="69" t="s">
        <v>85</v>
      </c>
      <c r="AD308" s="38" t="str">
        <f>+IF(ISERROR(VLOOKUP($B308,AD$10:AD307,1,0)),IF(AND($N308&gt;=1000,$A308&gt;=AO$8,$A308&lt;=AO$9),$B308,""),"")</f>
        <v/>
      </c>
      <c r="AE308" s="38" t="str">
        <f>+IF(ISERROR(VLOOKUP($B308,AE$10:AE307,1,0)),IF(AND($N308&gt;=1000,$A308&gt;=AP$8,$A308&lt;=AP$9),$B308,""),"")</f>
        <v/>
      </c>
      <c r="AF308" s="38" t="str">
        <f>+IF(ISERROR(VLOOKUP($B308,AF$10:AF307,1,0)),IF(AND($N308&gt;=1000,$A308&gt;=AQ$8,$A308&lt;=AQ$9),$B308,""),"")</f>
        <v/>
      </c>
      <c r="AG308" s="38" t="str">
        <f>+IF(ISERROR(VLOOKUP($B308,AG$10:AG307,1,0)),IF(AND($N308&gt;=1000,$A308&gt;=AR$8,$A308&lt;=AR$9),$B308,""),"")</f>
        <v/>
      </c>
      <c r="AH308" s="38"/>
      <c r="AI308" s="70">
        <v>0</v>
      </c>
      <c r="AJ308" s="38">
        <f>IF(AND(AJ$7="○",$A308&gt;=AJ$8,$A308&lt;=AJ$9),IF(SUM(AJ$10:AJ307)-ROUNDDOWN($K308*AJ$5/100,0)&lt;-AJ$6,-AJ$6-SUM(AJ$10:AJ307),-ROUNDDOWN($K308*AJ$5/100,0)),0)</f>
        <v>0</v>
      </c>
      <c r="AK308" s="38">
        <f>IF(AND(AK$7="○",$A308&gt;=AK$8,$A308&lt;=AK$9),IF(SUM(AK$10:AK307)-ROUNDDOWN($L308*AK$5/100,0)&lt;-AK$6,-AK$6-SUM(AK$10:AK307),-ROUNDDOWN($L308*AK$5/100,0)),0)</f>
        <v>0</v>
      </c>
      <c r="AL308" s="38">
        <f>IF(AND(AL$7="○",$A308&gt;=AL$8,$A308&lt;=AL$9),IF(SUM(AL$10:AL307)-ROUNDDOWN($N308*AL$5/100,0)&lt;-AL$6,-AL$6-SUM(AL$10:AL307),-ROUNDDOWN($N308*AL$5/100,0)),0)</f>
        <v>0</v>
      </c>
      <c r="AM308" s="38">
        <f>IF(AND(AM$7="○",$A308&gt;=AM$8,$A308&lt;=AM$9),IF(SUM(AM$10:AM307)-ROUNDDOWN($L308*AM$5/100,0)&lt;-AM$6,-AM$6-SUM(AM$10:AM307),-ROUNDDOWN($L308*AM$5/100,0)),0)</f>
        <v>0</v>
      </c>
      <c r="AN308" s="38">
        <f>IF(AND(AN$7="○",$A308&gt;=AN$8,$A308&lt;=AN$9),IF(SUM(AN$10:AN307)-ROUNDDOWN($M308*AN$5/100,0)&lt;-AN$6,-AN$6-SUM(AN$10:AN307),-ROUNDDOWN($M308*AN$5/100,0)),0)</f>
        <v>0</v>
      </c>
      <c r="AO308" s="38">
        <f>IF(AND($A308&gt;=AO$8,$A308&lt;=AO$9),IF(SUM(AO$10:AO307)-ROUNDDOWN($K308*AO$5/100,0)&lt;-AO$6,-AO$6-SUM(AO$10:AO307),-ROUNDDOWN($K308*AO$5/100,0)),0)</f>
        <v>0</v>
      </c>
      <c r="AP308" s="38">
        <f>IF(AND($A308&gt;=AP$8,$A308&lt;=AP$9),IF(SUM(AP$10:AP307)-ROUNDDOWN($K308*AP$5/100,0)&lt;-AP$6,-AP$6-SUM(AP$10:AP307),-ROUNDDOWN($K308*AP$5/100,0)),0)</f>
        <v>0</v>
      </c>
      <c r="AQ308" s="38">
        <f>IF(AND($A308&gt;=AQ$8,$A308&lt;=AQ$9),IF(SUM(AQ$10:AQ307)-ROUNDDOWN($K308*AQ$5/100,0)&lt;-AQ$6,-AQ$6-SUM(AQ$10:AQ307),-ROUNDDOWN($K308*AQ$5/100,0)),0)</f>
        <v>0</v>
      </c>
      <c r="AR308" s="38">
        <f>IF(AND($A308&gt;=AR$8,$A308&lt;=AR$9),IF(SUM(AR$10:AR307)-ROUNDDOWN($K308*AR$5/100,0)&lt;-AR$6,-AR$6-SUM(AR$10:AR307),-ROUNDDOWN($K308*AR$5/100,0)),0)</f>
        <v>0</v>
      </c>
      <c r="AS308" s="38">
        <f>IF(SUMIFS(AS$10:AS307,$A$10:$A307,$A308)-ROUNDDOWN($K308*$S308/100,0)&lt;-$S308*1000,-$S308*1000-SUMIFS(AS$10:AS307,$A$10:$A307,$A308),-ROUNDDOWN($K308*$S308/100,0))</f>
        <v>0</v>
      </c>
      <c r="AT308" s="38">
        <f>IF(AND(X308="○",$A308&gt;=AT$8,$A308&lt;=AT$9,K308&gt;=3980),IF(SUM(AT$10:AT307)-ROUNDDOWN($K308*AT$5/100,0)&lt;-AT$6,-AT$6-SUM(AT$10:AT307),-ROUNDDOWN($K308*AT$5/100,0)),0)</f>
        <v>0</v>
      </c>
      <c r="AU308" s="38">
        <f>IF(O308="○",IF(SUM(AU$10:AU307)-ROUNDDOWN($K308*AU$5/100,0)&lt;-AU$6,-AU$6-SUM(AU$10:AU307),-ROUNDDOWN($K308*AU$5/100,0)),0)</f>
        <v>0</v>
      </c>
      <c r="AV308" s="38">
        <f>IF(P308="○",IF(SUM(AV$10:AV307)-ROUNDDOWN($K308*AV$5/100,0)&lt;-AV$6,-AV$6-SUM(AV$10:AV307),-ROUNDDOWN($K308*AV$5/100,0)),0)</f>
        <v>0</v>
      </c>
      <c r="AW308" s="38">
        <f>IF(Q308="○",IF(SUM(AW$10:AW307)-ROUNDDOWN($K308*AW$5/100,0)&lt;-AW$6,-AW$6-SUM(AW$10:AW307),-ROUNDDOWN($K308*AW$5/100,0)),0)</f>
        <v>0</v>
      </c>
      <c r="AX308" s="38">
        <f>IF(R308="○",IF(SUM(AX$10:AX307)-ROUNDDOWN($K308*AX$5/100,0)&lt;-AX$6,-AX$6-SUM(AX$10:AX307),-ROUNDDOWN($K308*AX$5/100,0)),0)</f>
        <v>0</v>
      </c>
      <c r="AY308" s="70">
        <v>0</v>
      </c>
      <c r="AZ308" s="65">
        <f t="shared" si="213"/>
        <v>0</v>
      </c>
      <c r="BA308" s="65">
        <f t="shared" si="214"/>
        <v>0</v>
      </c>
      <c r="BB308" s="70"/>
      <c r="BC308" s="65">
        <f t="shared" si="215"/>
        <v>0</v>
      </c>
      <c r="BD308" s="70">
        <v>0</v>
      </c>
      <c r="BE308" s="65">
        <f t="shared" si="216"/>
        <v>0</v>
      </c>
      <c r="BF308" s="70">
        <v>0</v>
      </c>
      <c r="BG308" s="65">
        <f t="shared" si="217"/>
        <v>0</v>
      </c>
      <c r="BH308" s="70">
        <v>0</v>
      </c>
      <c r="BI308" s="65">
        <f t="shared" si="218"/>
        <v>0</v>
      </c>
      <c r="BJ308" s="38">
        <f>IF(AND(BJ$7="○",$A308&gt;=BJ$8,$A308&lt;=BJ$9),IF(SUM(BJ$10:BJ307)-ROUNDDOWN($M308*BJ$5/100,0)&lt;-BJ$6,-BJ$6-SUM(BJ$10:BJ307),-ROUNDDOWN($M308*BJ$5/100,0)),0)</f>
        <v>0</v>
      </c>
      <c r="BK308" s="38">
        <f>IF(AND(BK$7="○",$A308&gt;=BK$8,$A308&lt;=BK$9),IF(SUM(BK$10:BK307)-ROUNDDOWN($L308*BK$5/100,0)&lt;-BK$6,-BK$6-SUM(BK$10:BK307),-ROUNDDOWN($L308*BK$5/100,0)),0)</f>
        <v>0</v>
      </c>
      <c r="BL308" s="38">
        <f>IF(AND(BL$7="○",$A308&gt;=BL$8,$A308&lt;=BL$9),IF(SUM(BL$10:BL307)-ROUNDDOWN($L308*BL$5/100,0)&lt;-BL$6,-BL$6-SUM(BL$10:BL307),-ROUNDDOWN($L308*BL$5/100,0)),0)</f>
        <v>0</v>
      </c>
      <c r="BM308" s="38">
        <f>IF(AND(BM$7="○",$A308&gt;=BM$8,$A308&lt;=BM$9),IF(SUM(BM$10:BM307)-ROUNDDOWN($M308*BM$5/100,0)&lt;-BM$6,-BM$6-SUM(BM$10:BM307),-ROUNDDOWN($M308*BM$5/100,0)),0)</f>
        <v>0</v>
      </c>
      <c r="BN308" s="38">
        <f>IF(AND(BN$7="○",$A308&gt;=BN$8,$A308&lt;=BN$9),IF(SUM(BN$10:BN307)-ROUNDDOWN($M308*BN$5/100,0)&lt;-BN$6,-BN$6-SUM(BN$10:BN307),-ROUNDDOWN($M308*BN$5/100,0)),0)</f>
        <v>0</v>
      </c>
      <c r="BO308" s="38">
        <f>IF(AND(BO$7="○",$A308&gt;=BO$8,$A308&lt;=BO$9),IF(SUM(BO$10:BO307)-ROUNDDOWN($M308*BO$5/100,0)&lt;-BO$6,-BO$6-SUM(BO$10:BO307),-ROUNDDOWN($M308*BO$5/100,0)),0)</f>
        <v>0</v>
      </c>
      <c r="BP308" s="38">
        <f>IF(AND(BP$7="○",$A308&gt;=BP$8,$A308&lt;=BP$9),IF(SUM(BP$10:BP307)-ROUNDDOWN($M308*BP$5/100,0)&lt;-BP$6,-BP$6-SUM(BP$10:BP307),-ROUNDDOWN($M308*BP$5/100,0)),0)</f>
        <v>0</v>
      </c>
      <c r="BQ308" s="38">
        <f>IF(AND(BQ$7="○",$A308&gt;=BQ$8,$A308&lt;=BQ$9),IF(SUM(BQ$10:BQ307)-ROUNDDOWN($L308*BQ$5/100,0)&lt;-BQ$6,-BQ$6-SUM(BQ$10:BQ307),-ROUNDDOWN($L308*BQ$5/100,0)),0)</f>
        <v>0</v>
      </c>
      <c r="BR308" s="38">
        <f>IF(AND(BR$7="○",$A308&gt;=BR$8,$A308&lt;=BR$9),IF(SUM(BR$10:BR307)-ROUNDDOWN($M308*BR$5/100,0)&lt;-BR$6,-BR$6-SUM(BR$10:BR307),-ROUNDDOWN($M308*BR$5/100,0)),0)</f>
        <v>0</v>
      </c>
      <c r="BS308" s="38">
        <f>IF(AND(BS$7="○",$A308&gt;=BS$8,$A308&lt;=BS$9),IF(SUM(BS$10:BS307)-ROUNDDOWN($M308*BS$5/100,0)&lt;-BS$6,-BS$6-SUM(BS$10:BS307),-ROUNDDOWN($M308*BS$5/100,0)),0)</f>
        <v>0</v>
      </c>
      <c r="BT308" s="38">
        <f>IF(AND(BT$7="○",$A308&gt;=BT$8,$A308&lt;=BT$9),IF(SUM(BT$10:BT307)-ROUNDDOWN($M308*BT$5/100,0)&lt;-BT$6,-BT$6-SUM(BT$10:BT307),-ROUNDDOWN($M308*BT$5/100,0)),0)</f>
        <v>0</v>
      </c>
      <c r="BU308" s="38">
        <f>IF(AND(BU$7="○",$A308&gt;=BU$8,$A308&lt;=BU$9),IF(SUM(BU$10:BU307)-ROUNDDOWN($M308*BU$5/100,0)&lt;-BU$6,-BU$6-SUM(BU$10:BU307),-ROUNDDOWN($M308*BU$5/100,0)),0)</f>
        <v>0</v>
      </c>
      <c r="BV308" s="38">
        <f>IF(AND(BV$7="○",$A308&gt;=BV$8,$A308&lt;=BV$9),IF(SUM(BV$10:BV307)-ROUNDDOWN($M308*BV$5/100,0)&lt;-BV$6,-BV$6-SUM(BV$10:BV307),-ROUNDDOWN($M308*BV$5/100,0)),0)</f>
        <v>0</v>
      </c>
      <c r="BW308" s="38">
        <f>IF(AND(BW$7="○",$A308&gt;=BW$8,$A308&lt;=BW$9),IF(SUM(BW$10:BW307)-ROUNDDOWN($M308*BW$5/100,0)&lt;-BW$6,-BW$6-SUM(BW$10:BW307),-ROUNDDOWN($M308*BW$5/100,0)),0)</f>
        <v>0</v>
      </c>
      <c r="BX308" s="38">
        <f>IF(AND(T308="○",$A308&gt;=BX$8,$A308&lt;=BX$9),IF(SUM(BX$10:BX307)-ROUNDDOWN($K308*BX$5/100,0)&lt;-BX$6,-BX$6-SUM(BX$10:BX307),-ROUNDDOWN($K308*BX$5/100,0)),0)</f>
        <v>0</v>
      </c>
      <c r="BY308" s="38">
        <f>IF(AND(U308="○",$A308&gt;=BY$8,$A308&lt;=BY$9),IF(SUM(BY$10:BY307)-ROUNDDOWN($K308*BY$5/100,0)&lt;-BY$6,-BY$6-SUM(BY$10:BY307),-ROUNDDOWN($K308*BY$5/100,0)),0)</f>
        <v>0</v>
      </c>
      <c r="BZ308" s="38">
        <f>IF(AND(V308="○",$A308&gt;=BZ$8,$A308&lt;=BZ$9),IF(SUM(BZ$10:BZ307)-ROUNDDOWN($K308*BZ$5/100,0)&lt;-BZ$6,-BZ$6-SUM(BZ$10:BZ307),-ROUNDDOWN($K308*BZ$5/100,0)),0)</f>
        <v>0</v>
      </c>
      <c r="CA308" s="38">
        <f>IF(AND(W308="○",$A308&gt;=CA$8,$A308&lt;=CA$9),IF(SUM(CA$10:CA307)-ROUNDDOWN($K308*CA$5/100,0)&lt;-CA$6,-CA$6-SUM(CA$10:CA307),-ROUNDDOWN($K308*CA$5/100,0)),0)</f>
        <v>0</v>
      </c>
      <c r="CB308" s="38"/>
      <c r="CC308" s="38"/>
      <c r="CD308" s="38"/>
      <c r="CE308" s="38"/>
      <c r="CF308" s="38"/>
      <c r="CG308" s="65">
        <f t="shared" si="219"/>
        <v>0</v>
      </c>
      <c r="CH308" s="71">
        <f t="shared" si="220"/>
        <v>0</v>
      </c>
      <c r="CI308" s="1">
        <f t="shared" si="19"/>
        <v>0</v>
      </c>
      <c r="CJ308" s="1"/>
      <c r="CK308" s="2"/>
      <c r="CL308" s="2"/>
      <c r="CM308" s="2"/>
      <c r="CN308" s="2"/>
      <c r="CO308" s="73">
        <f t="shared" si="20"/>
        <v>0</v>
      </c>
      <c r="CP308" s="5">
        <f t="shared" si="21"/>
        <v>0</v>
      </c>
      <c r="CQ308" s="1"/>
      <c r="CR308" s="1">
        <f t="shared" si="22"/>
        <v>0</v>
      </c>
      <c r="CS308" s="1"/>
      <c r="CT308" s="1" t="e">
        <f>INDEX([2]マスタ!$A:$A,MATCH(D308,[2]マスタ!$C:$C,0))</f>
        <v>#N/A</v>
      </c>
      <c r="CU308" s="1" t="str">
        <f t="shared" ca="1" si="23"/>
        <v>20260620_0-0</v>
      </c>
    </row>
    <row r="309" spans="1:99" x14ac:dyDescent="0.4">
      <c r="A309" s="61"/>
      <c r="B309" s="62"/>
      <c r="C309" s="62"/>
      <c r="D309" s="62"/>
      <c r="E309" s="63"/>
      <c r="F309" s="62"/>
      <c r="G309" s="62">
        <v>1</v>
      </c>
      <c r="H309" s="64">
        <f t="shared" si="4"/>
        <v>0</v>
      </c>
      <c r="I309" s="64"/>
      <c r="J309" s="78"/>
      <c r="K309" s="65">
        <f t="shared" si="230"/>
        <v>0</v>
      </c>
      <c r="L309" s="65">
        <f t="shared" si="6"/>
        <v>0</v>
      </c>
      <c r="M309" s="65">
        <f t="shared" si="7"/>
        <v>0</v>
      </c>
      <c r="N309" s="65">
        <f t="shared" si="8"/>
        <v>0</v>
      </c>
      <c r="O309" s="66" t="str">
        <f t="shared" si="224"/>
        <v>✕</v>
      </c>
      <c r="P309" s="67" t="str">
        <f t="shared" si="225"/>
        <v>○</v>
      </c>
      <c r="Q309" s="67" t="str">
        <f t="shared" si="231"/>
        <v>✕</v>
      </c>
      <c r="R309" s="67" t="str">
        <f t="shared" si="227"/>
        <v>✕</v>
      </c>
      <c r="S309" s="68">
        <v>0</v>
      </c>
      <c r="T309" s="69" t="s">
        <v>85</v>
      </c>
      <c r="U309" s="69" t="s">
        <v>85</v>
      </c>
      <c r="V309" s="69" t="s">
        <v>85</v>
      </c>
      <c r="W309" s="69" t="s">
        <v>85</v>
      </c>
      <c r="X309" s="69" t="s">
        <v>84</v>
      </c>
      <c r="Y309" s="69" t="s">
        <v>85</v>
      </c>
      <c r="Z309" s="69" t="s">
        <v>85</v>
      </c>
      <c r="AA309" s="69" t="s">
        <v>85</v>
      </c>
      <c r="AB309" s="69" t="s">
        <v>85</v>
      </c>
      <c r="AC309" s="69" t="s">
        <v>85</v>
      </c>
      <c r="AD309" s="38" t="str">
        <f>+IF(ISERROR(VLOOKUP($B309,AD$10:AD308,1,0)),IF(AND($N309&gt;=1000,$A309&gt;=AO$8,$A309&lt;=AO$9),$B309,""),"")</f>
        <v/>
      </c>
      <c r="AE309" s="38" t="str">
        <f>+IF(ISERROR(VLOOKUP($B309,AE$10:AE308,1,0)),IF(AND($N309&gt;=1000,$A309&gt;=AP$8,$A309&lt;=AP$9),$B309,""),"")</f>
        <v/>
      </c>
      <c r="AF309" s="38" t="str">
        <f>+IF(ISERROR(VLOOKUP($B309,AF$10:AF308,1,0)),IF(AND($N309&gt;=1000,$A309&gt;=AQ$8,$A309&lt;=AQ$9),$B309,""),"")</f>
        <v/>
      </c>
      <c r="AG309" s="38" t="str">
        <f>+IF(ISERROR(VLOOKUP($B309,AG$10:AG308,1,0)),IF(AND($N309&gt;=1000,$A309&gt;=AR$8,$A309&lt;=AR$9),$B309,""),"")</f>
        <v/>
      </c>
      <c r="AH309" s="38"/>
      <c r="AI309" s="70">
        <v>0</v>
      </c>
      <c r="AJ309" s="38">
        <f>IF(AND(AJ$7="○",$A309&gt;=AJ$8,$A309&lt;=AJ$9),IF(SUM(AJ$10:AJ308)-ROUNDDOWN($K309*AJ$5/100,0)&lt;-AJ$6,-AJ$6-SUM(AJ$10:AJ308),-ROUNDDOWN($K309*AJ$5/100,0)),0)</f>
        <v>0</v>
      </c>
      <c r="AK309" s="38">
        <f>IF(AND(AK$7="○",$A309&gt;=AK$8,$A309&lt;=AK$9),IF(SUM(AK$10:AK308)-ROUNDDOWN($L309*AK$5/100,0)&lt;-AK$6,-AK$6-SUM(AK$10:AK308),-ROUNDDOWN($L309*AK$5/100,0)),0)</f>
        <v>0</v>
      </c>
      <c r="AL309" s="38">
        <f>IF(AND(AL$7="○",$A309&gt;=AL$8,$A309&lt;=AL$9),IF(SUM(AL$10:AL308)-ROUNDDOWN($N309*AL$5/100,0)&lt;-AL$6,-AL$6-SUM(AL$10:AL308),-ROUNDDOWN($N309*AL$5/100,0)),0)</f>
        <v>0</v>
      </c>
      <c r="AM309" s="38">
        <f>IF(AND(AM$7="○",$A309&gt;=AM$8,$A309&lt;=AM$9),IF(SUM(AM$10:AM308)-ROUNDDOWN($L309*AM$5/100,0)&lt;-AM$6,-AM$6-SUM(AM$10:AM308),-ROUNDDOWN($L309*AM$5/100,0)),0)</f>
        <v>0</v>
      </c>
      <c r="AN309" s="38">
        <f>IF(AND(AN$7="○",$A309&gt;=AN$8,$A309&lt;=AN$9),IF(SUM(AN$10:AN308)-ROUNDDOWN($M309*AN$5/100,0)&lt;-AN$6,-AN$6-SUM(AN$10:AN308),-ROUNDDOWN($M309*AN$5/100,0)),0)</f>
        <v>0</v>
      </c>
      <c r="AO309" s="38">
        <f>IF(AND($A309&gt;=AO$8,$A309&lt;=AO$9),IF(SUM(AO$10:AO308)-ROUNDDOWN($K309*AO$5/100,0)&lt;-AO$6,-AO$6-SUM(AO$10:AO308),-ROUNDDOWN($K309*AO$5/100,0)),0)</f>
        <v>0</v>
      </c>
      <c r="AP309" s="38">
        <f>IF(AND($A309&gt;=AP$8,$A309&lt;=AP$9),IF(SUM(AP$10:AP308)-ROUNDDOWN($K309*AP$5/100,0)&lt;-AP$6,-AP$6-SUM(AP$10:AP308),-ROUNDDOWN($K309*AP$5/100,0)),0)</f>
        <v>0</v>
      </c>
      <c r="AQ309" s="38">
        <f>IF(AND($A309&gt;=AQ$8,$A309&lt;=AQ$9),IF(SUM(AQ$10:AQ308)-ROUNDDOWN($K309*AQ$5/100,0)&lt;-AQ$6,-AQ$6-SUM(AQ$10:AQ308),-ROUNDDOWN($K309*AQ$5/100,0)),0)</f>
        <v>0</v>
      </c>
      <c r="AR309" s="38">
        <f>IF(AND($A309&gt;=AR$8,$A309&lt;=AR$9),IF(SUM(AR$10:AR308)-ROUNDDOWN($K309*AR$5/100,0)&lt;-AR$6,-AR$6-SUM(AR$10:AR308),-ROUNDDOWN($K309*AR$5/100,0)),0)</f>
        <v>0</v>
      </c>
      <c r="AS309" s="38">
        <f>IF(SUMIFS(AS$10:AS308,$A$10:$A308,$A309)-ROUNDDOWN($K309*$S309/100,0)&lt;-$S309*1000,-$S309*1000-SUMIFS(AS$10:AS308,$A$10:$A308,$A309),-ROUNDDOWN($K309*$S309/100,0))</f>
        <v>0</v>
      </c>
      <c r="AT309" s="38">
        <f>IF(AND(X309="○",$A309&gt;=AT$8,$A309&lt;=AT$9,K309&gt;=3980),IF(SUM(AT$10:AT308)-ROUNDDOWN($K309*AT$5/100,0)&lt;-AT$6,-AT$6-SUM(AT$10:AT308),-ROUNDDOWN($K309*AT$5/100,0)),0)</f>
        <v>0</v>
      </c>
      <c r="AU309" s="38">
        <f>IF(O309="○",IF(SUM(AU$10:AU308)-ROUNDDOWN($K309*AU$5/100,0)&lt;-AU$6,-AU$6-SUM(AU$10:AU308),-ROUNDDOWN($K309*AU$5/100,0)),0)</f>
        <v>0</v>
      </c>
      <c r="AV309" s="38">
        <f>IF(P309="○",IF(SUM(AV$10:AV308)-ROUNDDOWN($K309*AV$5/100,0)&lt;-AV$6,-AV$6-SUM(AV$10:AV308),-ROUNDDOWN($K309*AV$5/100,0)),0)</f>
        <v>0</v>
      </c>
      <c r="AW309" s="38">
        <f>IF(Q309="○",IF(SUM(AW$10:AW308)-ROUNDDOWN($K309*AW$5/100,0)&lt;-AW$6,-AW$6-SUM(AW$10:AW308),-ROUNDDOWN($K309*AW$5/100,0)),0)</f>
        <v>0</v>
      </c>
      <c r="AX309" s="38">
        <f>IF(R309="○",IF(SUM(AX$10:AX308)-ROUNDDOWN($K309*AX$5/100,0)&lt;-AX$6,-AX$6-SUM(AX$10:AX308),-ROUNDDOWN($K309*AX$5/100,0)),0)</f>
        <v>0</v>
      </c>
      <c r="AY309" s="70">
        <v>0</v>
      </c>
      <c r="AZ309" s="65">
        <f t="shared" si="213"/>
        <v>0</v>
      </c>
      <c r="BA309" s="65">
        <f t="shared" si="214"/>
        <v>0</v>
      </c>
      <c r="BB309" s="70"/>
      <c r="BC309" s="65">
        <f t="shared" si="215"/>
        <v>0</v>
      </c>
      <c r="BD309" s="70">
        <v>0</v>
      </c>
      <c r="BE309" s="65">
        <f t="shared" si="216"/>
        <v>0</v>
      </c>
      <c r="BF309" s="70">
        <v>0</v>
      </c>
      <c r="BG309" s="65">
        <f t="shared" si="217"/>
        <v>0</v>
      </c>
      <c r="BH309" s="70">
        <v>0</v>
      </c>
      <c r="BI309" s="65">
        <f t="shared" si="218"/>
        <v>0</v>
      </c>
      <c r="BJ309" s="38">
        <f>IF(AND(BJ$7="○",$A309&gt;=BJ$8,$A309&lt;=BJ$9),IF(SUM(BJ$10:BJ308)-ROUNDDOWN($M309*BJ$5/100,0)&lt;-BJ$6,-BJ$6-SUM(BJ$10:BJ308),-ROUNDDOWN($M309*BJ$5/100,0)),0)</f>
        <v>0</v>
      </c>
      <c r="BK309" s="38">
        <f>IF(AND(BK$7="○",$A309&gt;=BK$8,$A309&lt;=BK$9),IF(SUM(BK$10:BK308)-ROUNDDOWN($L309*BK$5/100,0)&lt;-BK$6,-BK$6-SUM(BK$10:BK308),-ROUNDDOWN($L309*BK$5/100,0)),0)</f>
        <v>0</v>
      </c>
      <c r="BL309" s="38">
        <f>IF(AND(BL$7="○",$A309&gt;=BL$8,$A309&lt;=BL$9),IF(SUM(BL$10:BL308)-ROUNDDOWN($L309*BL$5/100,0)&lt;-BL$6,-BL$6-SUM(BL$10:BL308),-ROUNDDOWN($L309*BL$5/100,0)),0)</f>
        <v>0</v>
      </c>
      <c r="BM309" s="38">
        <f>IF(AND(BM$7="○",$A309&gt;=BM$8,$A309&lt;=BM$9),IF(SUM(BM$10:BM308)-ROUNDDOWN($M309*BM$5/100,0)&lt;-BM$6,-BM$6-SUM(BM$10:BM308),-ROUNDDOWN($M309*BM$5/100,0)),0)</f>
        <v>0</v>
      </c>
      <c r="BN309" s="38">
        <f>IF(AND(BN$7="○",$A309&gt;=BN$8,$A309&lt;=BN$9),IF(SUM(BN$10:BN308)-ROUNDDOWN($M309*BN$5/100,0)&lt;-BN$6,-BN$6-SUM(BN$10:BN308),-ROUNDDOWN($M309*BN$5/100,0)),0)</f>
        <v>0</v>
      </c>
      <c r="BO309" s="38">
        <f>IF(AND(BO$7="○",$A309&gt;=BO$8,$A309&lt;=BO$9),IF(SUM(BO$10:BO308)-ROUNDDOWN($M309*BO$5/100,0)&lt;-BO$6,-BO$6-SUM(BO$10:BO308),-ROUNDDOWN($M309*BO$5/100,0)),0)</f>
        <v>0</v>
      </c>
      <c r="BP309" s="38">
        <f>IF(AND(BP$7="○",$A309&gt;=BP$8,$A309&lt;=BP$9),IF(SUM(BP$10:BP308)-ROUNDDOWN($M309*BP$5/100,0)&lt;-BP$6,-BP$6-SUM(BP$10:BP308),-ROUNDDOWN($M309*BP$5/100,0)),0)</f>
        <v>0</v>
      </c>
      <c r="BQ309" s="38">
        <f>IF(AND(BQ$7="○",$A309&gt;=BQ$8,$A309&lt;=BQ$9),IF(SUM(BQ$10:BQ308)-ROUNDDOWN($L309*BQ$5/100,0)&lt;-BQ$6,-BQ$6-SUM(BQ$10:BQ308),-ROUNDDOWN($L309*BQ$5/100,0)),0)</f>
        <v>0</v>
      </c>
      <c r="BR309" s="38">
        <f>IF(AND(BR$7="○",$A309&gt;=BR$8,$A309&lt;=BR$9),IF(SUM(BR$10:BR308)-ROUNDDOWN($M309*BR$5/100,0)&lt;-BR$6,-BR$6-SUM(BR$10:BR308),-ROUNDDOWN($M309*BR$5/100,0)),0)</f>
        <v>0</v>
      </c>
      <c r="BS309" s="38">
        <f>IF(AND(BS$7="○",$A309&gt;=BS$8,$A309&lt;=BS$9),IF(SUM(BS$10:BS308)-ROUNDDOWN($M309*BS$5/100,0)&lt;-BS$6,-BS$6-SUM(BS$10:BS308),-ROUNDDOWN($M309*BS$5/100,0)),0)</f>
        <v>0</v>
      </c>
      <c r="BT309" s="38">
        <f>IF(AND(BT$7="○",$A309&gt;=BT$8,$A309&lt;=BT$9),IF(SUM(BT$10:BT308)-ROUNDDOWN($M309*BT$5/100,0)&lt;-BT$6,-BT$6-SUM(BT$10:BT308),-ROUNDDOWN($M309*BT$5/100,0)),0)</f>
        <v>0</v>
      </c>
      <c r="BU309" s="38">
        <f>IF(AND(BU$7="○",$A309&gt;=BU$8,$A309&lt;=BU$9),IF(SUM(BU$10:BU308)-ROUNDDOWN($M309*BU$5/100,0)&lt;-BU$6,-BU$6-SUM(BU$10:BU308),-ROUNDDOWN($M309*BU$5/100,0)),0)</f>
        <v>0</v>
      </c>
      <c r="BV309" s="38">
        <f>IF(AND(BV$7="○",$A309&gt;=BV$8,$A309&lt;=BV$9),IF(SUM(BV$10:BV308)-ROUNDDOWN($M309*BV$5/100,0)&lt;-BV$6,-BV$6-SUM(BV$10:BV308),-ROUNDDOWN($M309*BV$5/100,0)),0)</f>
        <v>0</v>
      </c>
      <c r="BW309" s="38">
        <f>IF(AND(BW$7="○",$A309&gt;=BW$8,$A309&lt;=BW$9),IF(SUM(BW$10:BW308)-ROUNDDOWN($M309*BW$5/100,0)&lt;-BW$6,-BW$6-SUM(BW$10:BW308),-ROUNDDOWN($M309*BW$5/100,0)),0)</f>
        <v>0</v>
      </c>
      <c r="BX309" s="38">
        <f>IF(AND(T309="○",$A309&gt;=BX$8,$A309&lt;=BX$9),IF(SUM(BX$10:BX308)-ROUNDDOWN($K309*BX$5/100,0)&lt;-BX$6,-BX$6-SUM(BX$10:BX308),-ROUNDDOWN($K309*BX$5/100,0)),0)</f>
        <v>0</v>
      </c>
      <c r="BY309" s="38">
        <f>IF(AND(U309="○",$A309&gt;=BY$8,$A309&lt;=BY$9),IF(SUM(BY$10:BY308)-ROUNDDOWN($K309*BY$5/100,0)&lt;-BY$6,-BY$6-SUM(BY$10:BY308),-ROUNDDOWN($K309*BY$5/100,0)),0)</f>
        <v>0</v>
      </c>
      <c r="BZ309" s="38">
        <f>IF(AND(V309="○",$A309&gt;=BZ$8,$A309&lt;=BZ$9),IF(SUM(BZ$10:BZ308)-ROUNDDOWN($K309*BZ$5/100,0)&lt;-BZ$6,-BZ$6-SUM(BZ$10:BZ308),-ROUNDDOWN($K309*BZ$5/100,0)),0)</f>
        <v>0</v>
      </c>
      <c r="CA309" s="38">
        <f>IF(AND(W309="○",$A309&gt;=CA$8,$A309&lt;=CA$9),IF(SUM(CA$10:CA308)-ROUNDDOWN($K309*CA$5/100,0)&lt;-CA$6,-CA$6-SUM(CA$10:CA308),-ROUNDDOWN($K309*CA$5/100,0)),0)</f>
        <v>0</v>
      </c>
      <c r="CB309" s="38"/>
      <c r="CC309" s="38"/>
      <c r="CD309" s="38"/>
      <c r="CE309" s="38"/>
      <c r="CF309" s="38"/>
      <c r="CG309" s="65">
        <f t="shared" si="219"/>
        <v>0</v>
      </c>
      <c r="CH309" s="71">
        <f t="shared" si="220"/>
        <v>0</v>
      </c>
      <c r="CI309" s="1">
        <f t="shared" si="19"/>
        <v>0</v>
      </c>
      <c r="CJ309" s="1"/>
      <c r="CK309" s="79"/>
      <c r="CL309" s="79"/>
      <c r="CM309" s="2"/>
      <c r="CN309" s="2"/>
      <c r="CO309" s="73">
        <f t="shared" si="20"/>
        <v>0</v>
      </c>
      <c r="CP309" s="5">
        <f t="shared" si="21"/>
        <v>0</v>
      </c>
      <c r="CQ309" s="1"/>
      <c r="CR309" s="1">
        <f t="shared" si="22"/>
        <v>0</v>
      </c>
      <c r="CS309" s="1"/>
      <c r="CT309" s="1" t="e">
        <f>INDEX([2]マスタ!$A:$A,MATCH(D309,[2]マスタ!$C:$C,0))</f>
        <v>#N/A</v>
      </c>
      <c r="CU309" s="1" t="str">
        <f t="shared" ca="1" si="23"/>
        <v>20260620_0-0</v>
      </c>
    </row>
    <row r="310" spans="1:99" x14ac:dyDescent="0.4">
      <c r="A310" s="61"/>
      <c r="B310" s="62"/>
      <c r="C310" s="62"/>
      <c r="D310" s="62"/>
      <c r="E310" s="63"/>
      <c r="F310" s="62"/>
      <c r="G310" s="62">
        <v>1</v>
      </c>
      <c r="H310" s="64">
        <f t="shared" si="4"/>
        <v>0</v>
      </c>
      <c r="I310" s="64"/>
      <c r="J310" s="64"/>
      <c r="K310" s="65">
        <f t="shared" si="230"/>
        <v>0</v>
      </c>
      <c r="L310" s="65">
        <f t="shared" si="6"/>
        <v>0</v>
      </c>
      <c r="M310" s="65">
        <f t="shared" si="7"/>
        <v>0</v>
      </c>
      <c r="N310" s="65">
        <f t="shared" si="8"/>
        <v>0</v>
      </c>
      <c r="O310" s="66" t="str">
        <f t="shared" si="224"/>
        <v>✕</v>
      </c>
      <c r="P310" s="67" t="str">
        <f t="shared" si="225"/>
        <v>○</v>
      </c>
      <c r="Q310" s="67" t="str">
        <f t="shared" si="231"/>
        <v>✕</v>
      </c>
      <c r="R310" s="67" t="str">
        <f t="shared" si="227"/>
        <v>✕</v>
      </c>
      <c r="S310" s="68">
        <v>0</v>
      </c>
      <c r="T310" s="69" t="s">
        <v>85</v>
      </c>
      <c r="U310" s="69" t="s">
        <v>85</v>
      </c>
      <c r="V310" s="69" t="s">
        <v>85</v>
      </c>
      <c r="W310" s="69" t="s">
        <v>85</v>
      </c>
      <c r="X310" s="69" t="s">
        <v>84</v>
      </c>
      <c r="Y310" s="69" t="s">
        <v>85</v>
      </c>
      <c r="Z310" s="69" t="s">
        <v>85</v>
      </c>
      <c r="AA310" s="69" t="s">
        <v>85</v>
      </c>
      <c r="AB310" s="69" t="s">
        <v>85</v>
      </c>
      <c r="AC310" s="69" t="s">
        <v>85</v>
      </c>
      <c r="AD310" s="38" t="str">
        <f>+IF(ISERROR(VLOOKUP($B310,AD$10:AD309,1,0)),IF(AND($N310&gt;=1000,$A310&gt;=AO$8,$A310&lt;=AO$9),$B310,""),"")</f>
        <v/>
      </c>
      <c r="AE310" s="38" t="str">
        <f>+IF(ISERROR(VLOOKUP($B310,AE$10:AE309,1,0)),IF(AND($N310&gt;=1000,$A310&gt;=AP$8,$A310&lt;=AP$9),$B310,""),"")</f>
        <v/>
      </c>
      <c r="AF310" s="38" t="str">
        <f>+IF(ISERROR(VLOOKUP($B310,AF$10:AF309,1,0)),IF(AND($N310&gt;=1000,$A310&gt;=AQ$8,$A310&lt;=AQ$9),$B310,""),"")</f>
        <v/>
      </c>
      <c r="AG310" s="38" t="str">
        <f>+IF(ISERROR(VLOOKUP($B310,AG$10:AG309,1,0)),IF(AND($N310&gt;=1000,$A310&gt;=AR$8,$A310&lt;=AR$9),$B310,""),"")</f>
        <v/>
      </c>
      <c r="AH310" s="38"/>
      <c r="AI310" s="70">
        <v>0</v>
      </c>
      <c r="AJ310" s="38">
        <f>IF(AND(AJ$7="○",$A310&gt;=AJ$8,$A310&lt;=AJ$9),IF(SUM(AJ$10:AJ309)-ROUNDDOWN($K310*AJ$5/100,0)&lt;-AJ$6,-AJ$6-SUM(AJ$10:AJ309),-ROUNDDOWN($K310*AJ$5/100,0)),0)</f>
        <v>0</v>
      </c>
      <c r="AK310" s="38">
        <f>IF(AND(AK$7="○",$A310&gt;=AK$8,$A310&lt;=AK$9),IF(SUM(AK$10:AK309)-ROUNDDOWN($L310*AK$5/100,0)&lt;-AK$6,-AK$6-SUM(AK$10:AK309),-ROUNDDOWN($L310*AK$5/100,0)),0)</f>
        <v>0</v>
      </c>
      <c r="AL310" s="38">
        <f>IF(AND(AL$7="○",$A310&gt;=AL$8,$A310&lt;=AL$9),IF(SUM(AL$10:AL309)-ROUNDDOWN($N310*AL$5/100,0)&lt;-AL$6,-AL$6-SUM(AL$10:AL309),-ROUNDDOWN($N310*AL$5/100,0)),0)</f>
        <v>0</v>
      </c>
      <c r="AM310" s="38">
        <f>IF(AND(AM$7="○",$A310&gt;=AM$8,$A310&lt;=AM$9),IF(SUM(AM$10:AM309)-ROUNDDOWN($L310*AM$5/100,0)&lt;-AM$6,-AM$6-SUM(AM$10:AM309),-ROUNDDOWN($L310*AM$5/100,0)),0)</f>
        <v>0</v>
      </c>
      <c r="AN310" s="38">
        <f>IF(AND(AN$7="○",$A310&gt;=AN$8,$A310&lt;=AN$9),IF(SUM(AN$10:AN309)-ROUNDDOWN($M310*AN$5/100,0)&lt;-AN$6,-AN$6-SUM(AN$10:AN309),-ROUNDDOWN($M310*AN$5/100,0)),0)</f>
        <v>0</v>
      </c>
      <c r="AO310" s="38">
        <f>IF(AND($A310&gt;=AO$8,$A310&lt;=AO$9),IF(SUM(AO$10:AO309)-ROUNDDOWN($K310*AO$5/100,0)&lt;-AO$6,-AO$6-SUM(AO$10:AO309),-ROUNDDOWN($K310*AO$5/100,0)),0)</f>
        <v>0</v>
      </c>
      <c r="AP310" s="38">
        <f>IF(AND($A310&gt;=AP$8,$A310&lt;=AP$9),IF(SUM(AP$10:AP309)-ROUNDDOWN($K310*AP$5/100,0)&lt;-AP$6,-AP$6-SUM(AP$10:AP309),-ROUNDDOWN($K310*AP$5/100,0)),0)</f>
        <v>0</v>
      </c>
      <c r="AQ310" s="38">
        <f>IF(AND($A310&gt;=AQ$8,$A310&lt;=AQ$9),IF(SUM(AQ$10:AQ309)-ROUNDDOWN($K310*AQ$5/100,0)&lt;-AQ$6,-AQ$6-SUM(AQ$10:AQ309),-ROUNDDOWN($K310*AQ$5/100,0)),0)</f>
        <v>0</v>
      </c>
      <c r="AR310" s="38">
        <f>IF(AND($A310&gt;=AR$8,$A310&lt;=AR$9),IF(SUM(AR$10:AR309)-ROUNDDOWN($K310*AR$5/100,0)&lt;-AR$6,-AR$6-SUM(AR$10:AR309),-ROUNDDOWN($K310*AR$5/100,0)),0)</f>
        <v>0</v>
      </c>
      <c r="AS310" s="38">
        <f>IF(SUMIFS(AS$10:AS309,$A$10:$A309,$A310)-ROUNDDOWN($K310*$S310/100,0)&lt;-$S310*1000,-$S310*1000-SUMIFS(AS$10:AS309,$A$10:$A309,$A310),-ROUNDDOWN($K310*$S310/100,0))</f>
        <v>0</v>
      </c>
      <c r="AT310" s="38">
        <f>IF(AND(X310="○",$A310&gt;=AT$8,$A310&lt;=AT$9,K310&gt;=3980),IF(SUM(AT$10:AT309)-ROUNDDOWN($K310*AT$5/100,0)&lt;-AT$6,-AT$6-SUM(AT$10:AT309),-ROUNDDOWN($K310*AT$5/100,0)),0)</f>
        <v>0</v>
      </c>
      <c r="AU310" s="38">
        <f>IF(O310="○",IF(SUM(AU$10:AU309)-ROUNDDOWN($K310*AU$5/100,0)&lt;-AU$6,-AU$6-SUM(AU$10:AU309),-ROUNDDOWN($K310*AU$5/100,0)),0)</f>
        <v>0</v>
      </c>
      <c r="AV310" s="38">
        <f>IF(P310="○",IF(SUM(AV$10:AV309)-ROUNDDOWN($K310*AV$5/100,0)&lt;-AV$6,-AV$6-SUM(AV$10:AV309),-ROUNDDOWN($K310*AV$5/100,0)),0)</f>
        <v>0</v>
      </c>
      <c r="AW310" s="38">
        <f>IF(Q310="○",IF(SUM(AW$10:AW309)-ROUNDDOWN($K310*AW$5/100,0)&lt;-AW$6,-AW$6-SUM(AW$10:AW309),-ROUNDDOWN($K310*AW$5/100,0)),0)</f>
        <v>0</v>
      </c>
      <c r="AX310" s="38">
        <f>IF(R310="○",IF(SUM(AX$10:AX309)-ROUNDDOWN($K310*AX$5/100,0)&lt;-AX$6,-AX$6-SUM(AX$10:AX309),-ROUNDDOWN($K310*AX$5/100,0)),0)</f>
        <v>0</v>
      </c>
      <c r="AY310" s="70">
        <v>0</v>
      </c>
      <c r="AZ310" s="65">
        <f t="shared" si="213"/>
        <v>0</v>
      </c>
      <c r="BA310" s="65">
        <f t="shared" si="214"/>
        <v>0</v>
      </c>
      <c r="BB310" s="70"/>
      <c r="BC310" s="65">
        <f t="shared" si="215"/>
        <v>0</v>
      </c>
      <c r="BD310" s="70">
        <v>0</v>
      </c>
      <c r="BE310" s="65">
        <f t="shared" si="216"/>
        <v>0</v>
      </c>
      <c r="BF310" s="70">
        <v>0</v>
      </c>
      <c r="BG310" s="65">
        <f t="shared" si="217"/>
        <v>0</v>
      </c>
      <c r="BH310" s="70">
        <v>0</v>
      </c>
      <c r="BI310" s="65">
        <f t="shared" si="218"/>
        <v>0</v>
      </c>
      <c r="BJ310" s="38">
        <f>IF(AND(BJ$7="○",$A310&gt;=BJ$8,$A310&lt;=BJ$9),IF(SUM(BJ$10:BJ309)-ROUNDDOWN($M310*BJ$5/100,0)&lt;-BJ$6,-BJ$6-SUM(BJ$10:BJ309),-ROUNDDOWN($M310*BJ$5/100,0)),0)</f>
        <v>0</v>
      </c>
      <c r="BK310" s="38">
        <f>IF(AND(BK$7="○",$A310&gt;=BK$8,$A310&lt;=BK$9),IF(SUM(BK$10:BK309)-ROUNDDOWN($L310*BK$5/100,0)&lt;-BK$6,-BK$6-SUM(BK$10:BK309),-ROUNDDOWN($L310*BK$5/100,0)),0)</f>
        <v>0</v>
      </c>
      <c r="BL310" s="38">
        <f>IF(AND(BL$7="○",$A310&gt;=BL$8,$A310&lt;=BL$9),IF(SUM(BL$10:BL309)-ROUNDDOWN($L310*BL$5/100,0)&lt;-BL$6,-BL$6-SUM(BL$10:BL309),-ROUNDDOWN($L310*BL$5/100,0)),0)</f>
        <v>0</v>
      </c>
      <c r="BM310" s="38">
        <f>IF(AND(BM$7="○",$A310&gt;=BM$8,$A310&lt;=BM$9),IF(SUM(BM$10:BM309)-ROUNDDOWN($M310*BM$5/100,0)&lt;-BM$6,-BM$6-SUM(BM$10:BM309),-ROUNDDOWN($M310*BM$5/100,0)),0)</f>
        <v>0</v>
      </c>
      <c r="BN310" s="38">
        <f>IF(AND(BN$7="○",$A310&gt;=BN$8,$A310&lt;=BN$9),IF(SUM(BN$10:BN309)-ROUNDDOWN($M310*BN$5/100,0)&lt;-BN$6,-BN$6-SUM(BN$10:BN309),-ROUNDDOWN($M310*BN$5/100,0)),0)</f>
        <v>0</v>
      </c>
      <c r="BO310" s="38">
        <f>IF(AND(BO$7="○",$A310&gt;=BO$8,$A310&lt;=BO$9),IF(SUM(BO$10:BO309)-ROUNDDOWN($M310*BO$5/100,0)&lt;-BO$6,-BO$6-SUM(BO$10:BO309),-ROUNDDOWN($M310*BO$5/100,0)),0)</f>
        <v>0</v>
      </c>
      <c r="BP310" s="38">
        <f>IF(AND(BP$7="○",$A310&gt;=BP$8,$A310&lt;=BP$9),IF(SUM(BP$10:BP309)-ROUNDDOWN($M310*BP$5/100,0)&lt;-BP$6,-BP$6-SUM(BP$10:BP309),-ROUNDDOWN($M310*BP$5/100,0)),0)</f>
        <v>0</v>
      </c>
      <c r="BQ310" s="38">
        <f>IF(AND(BQ$7="○",$A310&gt;=BQ$8,$A310&lt;=BQ$9),IF(SUM(BQ$10:BQ309)-ROUNDDOWN($L310*BQ$5/100,0)&lt;-BQ$6,-BQ$6-SUM(BQ$10:BQ309),-ROUNDDOWN($L310*BQ$5/100,0)),0)</f>
        <v>0</v>
      </c>
      <c r="BR310" s="38">
        <f>IF(AND(BR$7="○",$A310&gt;=BR$8,$A310&lt;=BR$9),IF(SUM(BR$10:BR309)-ROUNDDOWN($M310*BR$5/100,0)&lt;-BR$6,-BR$6-SUM(BR$10:BR309),-ROUNDDOWN($M310*BR$5/100,0)),0)</f>
        <v>0</v>
      </c>
      <c r="BS310" s="38">
        <f>IF(AND(BS$7="○",$A310&gt;=BS$8,$A310&lt;=BS$9),IF(SUM(BS$10:BS309)-ROUNDDOWN($M310*BS$5/100,0)&lt;-BS$6,-BS$6-SUM(BS$10:BS309),-ROUNDDOWN($M310*BS$5/100,0)),0)</f>
        <v>0</v>
      </c>
      <c r="BT310" s="38">
        <f>IF(AND(BT$7="○",$A310&gt;=BT$8,$A310&lt;=BT$9),IF(SUM(BT$10:BT309)-ROUNDDOWN($M310*BT$5/100,0)&lt;-BT$6,-BT$6-SUM(BT$10:BT309),-ROUNDDOWN($M310*BT$5/100,0)),0)</f>
        <v>0</v>
      </c>
      <c r="BU310" s="38">
        <f>IF(AND(BU$7="○",$A310&gt;=BU$8,$A310&lt;=BU$9),IF(SUM(BU$10:BU309)-ROUNDDOWN($M310*BU$5/100,0)&lt;-BU$6,-BU$6-SUM(BU$10:BU309),-ROUNDDOWN($M310*BU$5/100,0)),0)</f>
        <v>0</v>
      </c>
      <c r="BV310" s="38">
        <f>IF(AND(BV$7="○",$A310&gt;=BV$8,$A310&lt;=BV$9),IF(SUM(BV$10:BV309)-ROUNDDOWN($M310*BV$5/100,0)&lt;-BV$6,-BV$6-SUM(BV$10:BV309),-ROUNDDOWN($M310*BV$5/100,0)),0)</f>
        <v>0</v>
      </c>
      <c r="BW310" s="38">
        <f>IF(AND(BW$7="○",$A310&gt;=BW$8,$A310&lt;=BW$9),IF(SUM(BW$10:BW309)-ROUNDDOWN($M310*BW$5/100,0)&lt;-BW$6,-BW$6-SUM(BW$10:BW309),-ROUNDDOWN($M310*BW$5/100,0)),0)</f>
        <v>0</v>
      </c>
      <c r="BX310" s="38">
        <f>IF(AND(T310="○",$A310&gt;=BX$8,$A310&lt;=BX$9),IF(SUM(BX$10:BX309)-ROUNDDOWN($K310*BX$5/100,0)&lt;-BX$6,-BX$6-SUM(BX$10:BX309),-ROUNDDOWN($K310*BX$5/100,0)),0)</f>
        <v>0</v>
      </c>
      <c r="BY310" s="38">
        <f>IF(AND(U310="○",$A310&gt;=BY$8,$A310&lt;=BY$9),IF(SUM(BY$10:BY309)-ROUNDDOWN($K310*BY$5/100,0)&lt;-BY$6,-BY$6-SUM(BY$10:BY309),-ROUNDDOWN($K310*BY$5/100,0)),0)</f>
        <v>0</v>
      </c>
      <c r="BZ310" s="38">
        <f>IF(AND(V310="○",$A310&gt;=BZ$8,$A310&lt;=BZ$9),IF(SUM(BZ$10:BZ309)-ROUNDDOWN($K310*BZ$5/100,0)&lt;-BZ$6,-BZ$6-SUM(BZ$10:BZ309),-ROUNDDOWN($K310*BZ$5/100,0)),0)</f>
        <v>0</v>
      </c>
      <c r="CA310" s="38">
        <f>IF(AND(W310="○",$A310&gt;=CA$8,$A310&lt;=CA$9),IF(SUM(CA$10:CA309)-ROUNDDOWN($K310*CA$5/100,0)&lt;-CA$6,-CA$6-SUM(CA$10:CA309),-ROUNDDOWN($K310*CA$5/100,0)),0)</f>
        <v>0</v>
      </c>
      <c r="CB310" s="38"/>
      <c r="CC310" s="38"/>
      <c r="CD310" s="38"/>
      <c r="CE310" s="38"/>
      <c r="CF310" s="38"/>
      <c r="CG310" s="65">
        <f t="shared" si="219"/>
        <v>0</v>
      </c>
      <c r="CH310" s="71">
        <f t="shared" si="220"/>
        <v>0</v>
      </c>
      <c r="CI310" s="1">
        <f t="shared" si="19"/>
        <v>0</v>
      </c>
      <c r="CJ310" s="1"/>
      <c r="CK310" s="72"/>
      <c r="CL310" s="72"/>
      <c r="CM310" s="2"/>
      <c r="CN310" s="2"/>
      <c r="CO310" s="73">
        <f t="shared" si="20"/>
        <v>0</v>
      </c>
      <c r="CP310" s="5">
        <f t="shared" si="21"/>
        <v>0</v>
      </c>
      <c r="CQ310" s="1"/>
      <c r="CR310" s="1">
        <f t="shared" si="22"/>
        <v>0</v>
      </c>
      <c r="CS310" s="1"/>
      <c r="CT310" s="1" t="e">
        <f>INDEX([2]マスタ!$A:$A,MATCH(D310,[2]マスタ!$C:$C,0))</f>
        <v>#N/A</v>
      </c>
      <c r="CU310" s="1" t="str">
        <f t="shared" ca="1" si="23"/>
        <v>20260620_0-0</v>
      </c>
    </row>
    <row r="311" spans="1:99" x14ac:dyDescent="0.4">
      <c r="A311" s="61"/>
      <c r="B311" s="62"/>
      <c r="C311" s="62"/>
      <c r="D311" s="62"/>
      <c r="E311" s="63"/>
      <c r="F311" s="62"/>
      <c r="G311" s="62">
        <v>1</v>
      </c>
      <c r="H311" s="64">
        <f t="shared" si="4"/>
        <v>0</v>
      </c>
      <c r="I311" s="64"/>
      <c r="J311" s="64"/>
      <c r="K311" s="65">
        <f t="shared" si="230"/>
        <v>0</v>
      </c>
      <c r="L311" s="65">
        <f t="shared" si="6"/>
        <v>0</v>
      </c>
      <c r="M311" s="65">
        <f t="shared" si="7"/>
        <v>0</v>
      </c>
      <c r="N311" s="65">
        <f t="shared" si="8"/>
        <v>0</v>
      </c>
      <c r="O311" s="66" t="str">
        <f t="shared" si="224"/>
        <v>✕</v>
      </c>
      <c r="P311" s="67" t="str">
        <f t="shared" si="225"/>
        <v>○</v>
      </c>
      <c r="Q311" s="67" t="str">
        <f t="shared" si="231"/>
        <v>✕</v>
      </c>
      <c r="R311" s="67" t="str">
        <f t="shared" si="227"/>
        <v>✕</v>
      </c>
      <c r="S311" s="68">
        <v>0</v>
      </c>
      <c r="T311" s="69" t="s">
        <v>85</v>
      </c>
      <c r="U311" s="69" t="s">
        <v>85</v>
      </c>
      <c r="V311" s="69" t="s">
        <v>85</v>
      </c>
      <c r="W311" s="69" t="s">
        <v>85</v>
      </c>
      <c r="X311" s="69" t="s">
        <v>84</v>
      </c>
      <c r="Y311" s="69" t="s">
        <v>85</v>
      </c>
      <c r="Z311" s="69" t="s">
        <v>85</v>
      </c>
      <c r="AA311" s="69" t="s">
        <v>85</v>
      </c>
      <c r="AB311" s="69" t="s">
        <v>85</v>
      </c>
      <c r="AC311" s="69" t="s">
        <v>85</v>
      </c>
      <c r="AD311" s="38" t="str">
        <f>+IF(ISERROR(VLOOKUP($B311,AD$10:AD310,1,0)),IF(AND($N311&gt;=1000,$A311&gt;=AO$8,$A311&lt;=AO$9),$B311,""),"")</f>
        <v/>
      </c>
      <c r="AE311" s="38" t="str">
        <f>+IF(ISERROR(VLOOKUP($B311,AE$10:AE310,1,0)),IF(AND($N311&gt;=1000,$A311&gt;=AP$8,$A311&lt;=AP$9),$B311,""),"")</f>
        <v/>
      </c>
      <c r="AF311" s="38" t="str">
        <f>+IF(ISERROR(VLOOKUP($B311,AF$10:AF310,1,0)),IF(AND($N311&gt;=1000,$A311&gt;=AQ$8,$A311&lt;=AQ$9),$B311,""),"")</f>
        <v/>
      </c>
      <c r="AG311" s="38" t="str">
        <f>+IF(ISERROR(VLOOKUP($B311,AG$10:AG310,1,0)),IF(AND($N311&gt;=1000,$A311&gt;=AR$8,$A311&lt;=AR$9),$B311,""),"")</f>
        <v/>
      </c>
      <c r="AH311" s="38"/>
      <c r="AI311" s="70">
        <v>0</v>
      </c>
      <c r="AJ311" s="38">
        <f>IF(AND(AJ$7="○",$A311&gt;=AJ$8,$A311&lt;=AJ$9),IF(SUM(AJ$10:AJ310)-ROUNDDOWN($K311*AJ$5/100,0)&lt;-AJ$6,-AJ$6-SUM(AJ$10:AJ310),-ROUNDDOWN($K311*AJ$5/100,0)),0)</f>
        <v>0</v>
      </c>
      <c r="AK311" s="38">
        <f>IF(AND(AK$7="○",$A311&gt;=AK$8,$A311&lt;=AK$9),IF(SUM(AK$10:AK310)-ROUNDDOWN($L311*AK$5/100,0)&lt;-AK$6,-AK$6-SUM(AK$10:AK310),-ROUNDDOWN($L311*AK$5/100,0)),0)</f>
        <v>0</v>
      </c>
      <c r="AL311" s="38">
        <f>IF(AND(AL$7="○",$A311&gt;=AL$8,$A311&lt;=AL$9),IF(SUM(AL$10:AL310)-ROUNDDOWN($N311*AL$5/100,0)&lt;-AL$6,-AL$6-SUM(AL$10:AL310),-ROUNDDOWN($N311*AL$5/100,0)),0)</f>
        <v>0</v>
      </c>
      <c r="AM311" s="38">
        <f>IF(AND(AM$7="○",$A311&gt;=AM$8,$A311&lt;=AM$9),IF(SUM(AM$10:AM310)-ROUNDDOWN($L311*AM$5/100,0)&lt;-AM$6,-AM$6-SUM(AM$10:AM310),-ROUNDDOWN($L311*AM$5/100,0)),0)</f>
        <v>0</v>
      </c>
      <c r="AN311" s="38">
        <f>IF(AND(AN$7="○",$A311&gt;=AN$8,$A311&lt;=AN$9),IF(SUM(AN$10:AN310)-ROUNDDOWN($M311*AN$5/100,0)&lt;-AN$6,-AN$6-SUM(AN$10:AN310),-ROUNDDOWN($M311*AN$5/100,0)),0)</f>
        <v>0</v>
      </c>
      <c r="AO311" s="38">
        <f>IF(AND($A311&gt;=AO$8,$A311&lt;=AO$9),IF(SUM(AO$10:AO310)-ROUNDDOWN($K311*AO$5/100,0)&lt;-AO$6,-AO$6-SUM(AO$10:AO310),-ROUNDDOWN($K311*AO$5/100,0)),0)</f>
        <v>0</v>
      </c>
      <c r="AP311" s="38">
        <f>IF(AND($A311&gt;=AP$8,$A311&lt;=AP$9),IF(SUM(AP$10:AP310)-ROUNDDOWN($K311*AP$5/100,0)&lt;-AP$6,-AP$6-SUM(AP$10:AP310),-ROUNDDOWN($K311*AP$5/100,0)),0)</f>
        <v>0</v>
      </c>
      <c r="AQ311" s="38">
        <f>IF(AND($A311&gt;=AQ$8,$A311&lt;=AQ$9),IF(SUM(AQ$10:AQ310)-ROUNDDOWN($K311*AQ$5/100,0)&lt;-AQ$6,-AQ$6-SUM(AQ$10:AQ310),-ROUNDDOWN($K311*AQ$5/100,0)),0)</f>
        <v>0</v>
      </c>
      <c r="AR311" s="38">
        <f>IF(AND($A311&gt;=AR$8,$A311&lt;=AR$9),IF(SUM(AR$10:AR310)-ROUNDDOWN($K311*AR$5/100,0)&lt;-AR$6,-AR$6-SUM(AR$10:AR310),-ROUNDDOWN($K311*AR$5/100,0)),0)</f>
        <v>0</v>
      </c>
      <c r="AS311" s="38">
        <f>IF(SUMIFS(AS$10:AS310,$A$10:$A310,$A311)-ROUNDDOWN($K311*$S311/100,0)&lt;-$S311*1000,-$S311*1000-SUMIFS(AS$10:AS310,$A$10:$A310,$A311),-ROUNDDOWN($K311*$S311/100,0))</f>
        <v>0</v>
      </c>
      <c r="AT311" s="38">
        <f>IF(AND(X311="○",$A311&gt;=AT$8,$A311&lt;=AT$9,K311&gt;=3980),IF(SUM(AT$10:AT310)-ROUNDDOWN($K311*AT$5/100,0)&lt;-AT$6,-AT$6-SUM(AT$10:AT310),-ROUNDDOWN($K311*AT$5/100,0)),0)</f>
        <v>0</v>
      </c>
      <c r="AU311" s="38">
        <f>IF(O311="○",IF(SUM(AU$10:AU310)-ROUNDDOWN($K311*AU$5/100,0)&lt;-AU$6,-AU$6-SUM(AU$10:AU310),-ROUNDDOWN($K311*AU$5/100,0)),0)</f>
        <v>0</v>
      </c>
      <c r="AV311" s="38">
        <f>IF(P311="○",IF(SUM(AV$10:AV310)-ROUNDDOWN($K311*AV$5/100,0)&lt;-AV$6,-AV$6-SUM(AV$10:AV310),-ROUNDDOWN($K311*AV$5/100,0)),0)</f>
        <v>0</v>
      </c>
      <c r="AW311" s="38">
        <f>IF(Q311="○",IF(SUM(AW$10:AW310)-ROUNDDOWN($K311*AW$5/100,0)&lt;-AW$6,-AW$6-SUM(AW$10:AW310),-ROUNDDOWN($K311*AW$5/100,0)),0)</f>
        <v>0</v>
      </c>
      <c r="AX311" s="38">
        <f>IF(R311="○",IF(SUM(AX$10:AX310)-ROUNDDOWN($K311*AX$5/100,0)&lt;-AX$6,-AX$6-SUM(AX$10:AX310),-ROUNDDOWN($K311*AX$5/100,0)),0)</f>
        <v>0</v>
      </c>
      <c r="AY311" s="70">
        <v>0</v>
      </c>
      <c r="AZ311" s="65">
        <f t="shared" si="213"/>
        <v>0</v>
      </c>
      <c r="BA311" s="65">
        <f t="shared" si="214"/>
        <v>0</v>
      </c>
      <c r="BB311" s="70"/>
      <c r="BC311" s="65">
        <f t="shared" si="215"/>
        <v>0</v>
      </c>
      <c r="BD311" s="70">
        <v>0</v>
      </c>
      <c r="BE311" s="65">
        <f t="shared" si="216"/>
        <v>0</v>
      </c>
      <c r="BF311" s="70">
        <v>0</v>
      </c>
      <c r="BG311" s="65">
        <f t="shared" si="217"/>
        <v>0</v>
      </c>
      <c r="BH311" s="70">
        <v>0</v>
      </c>
      <c r="BI311" s="65">
        <f t="shared" si="218"/>
        <v>0</v>
      </c>
      <c r="BJ311" s="38">
        <f>IF(AND(BJ$7="○",$A311&gt;=BJ$8,$A311&lt;=BJ$9),IF(SUM(BJ$10:BJ310)-ROUNDDOWN($M311*BJ$5/100,0)&lt;-BJ$6,-BJ$6-SUM(BJ$10:BJ310),-ROUNDDOWN($M311*BJ$5/100,0)),0)</f>
        <v>0</v>
      </c>
      <c r="BK311" s="38">
        <f>IF(AND(BK$7="○",$A311&gt;=BK$8,$A311&lt;=BK$9),IF(SUM(BK$10:BK310)-ROUNDDOWN($L311*BK$5/100,0)&lt;-BK$6,-BK$6-SUM(BK$10:BK310),-ROUNDDOWN($L311*BK$5/100,0)),0)</f>
        <v>0</v>
      </c>
      <c r="BL311" s="38">
        <f>IF(AND(BL$7="○",$A311&gt;=BL$8,$A311&lt;=BL$9),IF(SUM(BL$10:BL310)-ROUNDDOWN($L311*BL$5/100,0)&lt;-BL$6,-BL$6-SUM(BL$10:BL310),-ROUNDDOWN($L311*BL$5/100,0)),0)</f>
        <v>0</v>
      </c>
      <c r="BM311" s="38">
        <f>IF(AND(BM$7="○",$A311&gt;=BM$8,$A311&lt;=BM$9),IF(SUM(BM$10:BM310)-ROUNDDOWN($M311*BM$5/100,0)&lt;-BM$6,-BM$6-SUM(BM$10:BM310),-ROUNDDOWN($M311*BM$5/100,0)),0)</f>
        <v>0</v>
      </c>
      <c r="BN311" s="38">
        <f>IF(AND(BN$7="○",$A311&gt;=BN$8,$A311&lt;=BN$9),IF(SUM(BN$10:BN310)-ROUNDDOWN($M311*BN$5/100,0)&lt;-BN$6,-BN$6-SUM(BN$10:BN310),-ROUNDDOWN($M311*BN$5/100,0)),0)</f>
        <v>0</v>
      </c>
      <c r="BO311" s="38">
        <f>IF(AND(BO$7="○",$A311&gt;=BO$8,$A311&lt;=BO$9),IF(SUM(BO$10:BO310)-ROUNDDOWN($M311*BO$5/100,0)&lt;-BO$6,-BO$6-SUM(BO$10:BO310),-ROUNDDOWN($M311*BO$5/100,0)),0)</f>
        <v>0</v>
      </c>
      <c r="BP311" s="38">
        <f>IF(AND(BP$7="○",$A311&gt;=BP$8,$A311&lt;=BP$9),IF(SUM(BP$10:BP310)-ROUNDDOWN($M311*BP$5/100,0)&lt;-BP$6,-BP$6-SUM(BP$10:BP310),-ROUNDDOWN($M311*BP$5/100,0)),0)</f>
        <v>0</v>
      </c>
      <c r="BQ311" s="38">
        <f>IF(AND(BQ$7="○",$A311&gt;=BQ$8,$A311&lt;=BQ$9),IF(SUM(BQ$10:BQ310)-ROUNDDOWN($L311*BQ$5/100,0)&lt;-BQ$6,-BQ$6-SUM(BQ$10:BQ310),-ROUNDDOWN($L311*BQ$5/100,0)),0)</f>
        <v>0</v>
      </c>
      <c r="BR311" s="38">
        <f>IF(AND(BR$7="○",$A311&gt;=BR$8,$A311&lt;=BR$9),IF(SUM(BR$10:BR310)-ROUNDDOWN($M311*BR$5/100,0)&lt;-BR$6,-BR$6-SUM(BR$10:BR310),-ROUNDDOWN($M311*BR$5/100,0)),0)</f>
        <v>0</v>
      </c>
      <c r="BS311" s="38">
        <f>IF(AND(BS$7="○",$A311&gt;=BS$8,$A311&lt;=BS$9),IF(SUM(BS$10:BS310)-ROUNDDOWN($M311*BS$5/100,0)&lt;-BS$6,-BS$6-SUM(BS$10:BS310),-ROUNDDOWN($M311*BS$5/100,0)),0)</f>
        <v>0</v>
      </c>
      <c r="BT311" s="38">
        <f>IF(AND(BT$7="○",$A311&gt;=BT$8,$A311&lt;=BT$9),IF(SUM(BT$10:BT310)-ROUNDDOWN($M311*BT$5/100,0)&lt;-BT$6,-BT$6-SUM(BT$10:BT310),-ROUNDDOWN($M311*BT$5/100,0)),0)</f>
        <v>0</v>
      </c>
      <c r="BU311" s="38">
        <f>IF(AND(BU$7="○",$A311&gt;=BU$8,$A311&lt;=BU$9),IF(SUM(BU$10:BU310)-ROUNDDOWN($M311*BU$5/100,0)&lt;-BU$6,-BU$6-SUM(BU$10:BU310),-ROUNDDOWN($M311*BU$5/100,0)),0)</f>
        <v>0</v>
      </c>
      <c r="BV311" s="38">
        <f>IF(AND(BV$7="○",$A311&gt;=BV$8,$A311&lt;=BV$9),IF(SUM(BV$10:BV310)-ROUNDDOWN($M311*BV$5/100,0)&lt;-BV$6,-BV$6-SUM(BV$10:BV310),-ROUNDDOWN($M311*BV$5/100,0)),0)</f>
        <v>0</v>
      </c>
      <c r="BW311" s="38">
        <f>IF(AND(BW$7="○",$A311&gt;=BW$8,$A311&lt;=BW$9),IF(SUM(BW$10:BW310)-ROUNDDOWN($M311*BW$5/100,0)&lt;-BW$6,-BW$6-SUM(BW$10:BW310),-ROUNDDOWN($M311*BW$5/100,0)),0)</f>
        <v>0</v>
      </c>
      <c r="BX311" s="38">
        <f>IF(AND(T311="○",$A311&gt;=BX$8,$A311&lt;=BX$9),IF(SUM(BX$10:BX310)-ROUNDDOWN($K311*BX$5/100,0)&lt;-BX$6,-BX$6-SUM(BX$10:BX310),-ROUNDDOWN($K311*BX$5/100,0)),0)</f>
        <v>0</v>
      </c>
      <c r="BY311" s="38">
        <f>IF(AND(U311="○",$A311&gt;=BY$8,$A311&lt;=BY$9),IF(SUM(BY$10:BY310)-ROUNDDOWN($K311*BY$5/100,0)&lt;-BY$6,-BY$6-SUM(BY$10:BY310),-ROUNDDOWN($K311*BY$5/100,0)),0)</f>
        <v>0</v>
      </c>
      <c r="BZ311" s="38">
        <f>IF(AND(V311="○",$A311&gt;=BZ$8,$A311&lt;=BZ$9),IF(SUM(BZ$10:BZ310)-ROUNDDOWN($K311*BZ$5/100,0)&lt;-BZ$6,-BZ$6-SUM(BZ$10:BZ310),-ROUNDDOWN($K311*BZ$5/100,0)),0)</f>
        <v>0</v>
      </c>
      <c r="CA311" s="38">
        <f>IF(AND(W311="○",$A311&gt;=CA$8,$A311&lt;=CA$9),IF(SUM(CA$10:CA310)-ROUNDDOWN($K311*CA$5/100,0)&lt;-CA$6,-CA$6-SUM(CA$10:CA310),-ROUNDDOWN($K311*CA$5/100,0)),0)</f>
        <v>0</v>
      </c>
      <c r="CB311" s="38"/>
      <c r="CC311" s="38"/>
      <c r="CD311" s="38"/>
      <c r="CE311" s="38"/>
      <c r="CF311" s="38"/>
      <c r="CG311" s="65">
        <f t="shared" si="219"/>
        <v>0</v>
      </c>
      <c r="CH311" s="71">
        <f t="shared" si="220"/>
        <v>0</v>
      </c>
      <c r="CI311" s="1">
        <f t="shared" si="19"/>
        <v>0</v>
      </c>
      <c r="CJ311" s="1"/>
      <c r="CK311" s="2"/>
      <c r="CL311" s="2"/>
      <c r="CM311" s="2"/>
      <c r="CN311" s="2"/>
      <c r="CO311" s="73">
        <f t="shared" si="20"/>
        <v>0</v>
      </c>
      <c r="CP311" s="5">
        <f t="shared" si="21"/>
        <v>0</v>
      </c>
      <c r="CQ311" s="1"/>
      <c r="CR311" s="1">
        <f t="shared" si="22"/>
        <v>0</v>
      </c>
      <c r="CS311" s="1"/>
      <c r="CT311" s="1" t="e">
        <f>INDEX([2]マスタ!$A:$A,MATCH(D311,[2]マスタ!$C:$C,0))</f>
        <v>#N/A</v>
      </c>
      <c r="CU311" s="1" t="str">
        <f t="shared" ca="1" si="23"/>
        <v>20260620_0-0</v>
      </c>
    </row>
    <row r="312" spans="1:99" x14ac:dyDescent="0.4">
      <c r="A312" s="61"/>
      <c r="B312" s="62"/>
      <c r="C312" s="62"/>
      <c r="D312" s="62"/>
      <c r="E312" s="63"/>
      <c r="F312" s="62"/>
      <c r="G312" s="62">
        <v>1</v>
      </c>
      <c r="H312" s="64">
        <f t="shared" si="4"/>
        <v>0</v>
      </c>
      <c r="I312" s="64"/>
      <c r="J312" s="78"/>
      <c r="K312" s="65">
        <f t="shared" si="230"/>
        <v>0</v>
      </c>
      <c r="L312" s="65">
        <f t="shared" si="6"/>
        <v>0</v>
      </c>
      <c r="M312" s="65">
        <f t="shared" si="7"/>
        <v>0</v>
      </c>
      <c r="N312" s="65">
        <f t="shared" si="8"/>
        <v>0</v>
      </c>
      <c r="O312" s="66" t="str">
        <f t="shared" si="224"/>
        <v>✕</v>
      </c>
      <c r="P312" s="67" t="str">
        <f t="shared" si="225"/>
        <v>○</v>
      </c>
      <c r="Q312" s="67" t="str">
        <f t="shared" si="231"/>
        <v>✕</v>
      </c>
      <c r="R312" s="67" t="str">
        <f t="shared" si="227"/>
        <v>✕</v>
      </c>
      <c r="S312" s="68">
        <v>0</v>
      </c>
      <c r="T312" s="69" t="s">
        <v>85</v>
      </c>
      <c r="U312" s="69" t="s">
        <v>85</v>
      </c>
      <c r="V312" s="69" t="s">
        <v>85</v>
      </c>
      <c r="W312" s="69" t="s">
        <v>85</v>
      </c>
      <c r="X312" s="69" t="s">
        <v>84</v>
      </c>
      <c r="Y312" s="69" t="s">
        <v>85</v>
      </c>
      <c r="Z312" s="69" t="s">
        <v>85</v>
      </c>
      <c r="AA312" s="69" t="s">
        <v>85</v>
      </c>
      <c r="AB312" s="69" t="s">
        <v>85</v>
      </c>
      <c r="AC312" s="69" t="s">
        <v>85</v>
      </c>
      <c r="AD312" s="38" t="str">
        <f>+IF(ISERROR(VLOOKUP($B312,AD$10:AD311,1,0)),IF(AND($N312&gt;=1000,$A312&gt;=AO$8,$A312&lt;=AO$9),$B312,""),"")</f>
        <v/>
      </c>
      <c r="AE312" s="38" t="str">
        <f>+IF(ISERROR(VLOOKUP($B312,AE$10:AE311,1,0)),IF(AND($N312&gt;=1000,$A312&gt;=AP$8,$A312&lt;=AP$9),$B312,""),"")</f>
        <v/>
      </c>
      <c r="AF312" s="38" t="str">
        <f>+IF(ISERROR(VLOOKUP($B312,AF$10:AF311,1,0)),IF(AND($N312&gt;=1000,$A312&gt;=AQ$8,$A312&lt;=AQ$9),$B312,""),"")</f>
        <v/>
      </c>
      <c r="AG312" s="38" t="str">
        <f>+IF(ISERROR(VLOOKUP($B312,AG$10:AG311,1,0)),IF(AND($N312&gt;=1000,$A312&gt;=AR$8,$A312&lt;=AR$9),$B312,""),"")</f>
        <v/>
      </c>
      <c r="AH312" s="38"/>
      <c r="AI312" s="70">
        <v>0</v>
      </c>
      <c r="AJ312" s="38">
        <f>IF(AND(AJ$7="○",$A312&gt;=AJ$8,$A312&lt;=AJ$9),IF(SUM(AJ$10:AJ311)-ROUNDDOWN($K312*AJ$5/100,0)&lt;-AJ$6,-AJ$6-SUM(AJ$10:AJ311),-ROUNDDOWN($K312*AJ$5/100,0)),0)</f>
        <v>0</v>
      </c>
      <c r="AK312" s="38">
        <f>IF(AND(AK$7="○",$A312&gt;=AK$8,$A312&lt;=AK$9),IF(SUM(AK$10:AK311)-ROUNDDOWN($L312*AK$5/100,0)&lt;-AK$6,-AK$6-SUM(AK$10:AK311),-ROUNDDOWN($L312*AK$5/100,0)),0)</f>
        <v>0</v>
      </c>
      <c r="AL312" s="38">
        <f>IF(AND(AL$7="○",$A312&gt;=AL$8,$A312&lt;=AL$9),IF(SUM(AL$10:AL311)-ROUNDDOWN($N312*AL$5/100,0)&lt;-AL$6,-AL$6-SUM(AL$10:AL311),-ROUNDDOWN($N312*AL$5/100,0)),0)</f>
        <v>0</v>
      </c>
      <c r="AM312" s="38">
        <f>IF(AND(AM$7="○",$A312&gt;=AM$8,$A312&lt;=AM$9),IF(SUM(AM$10:AM311)-ROUNDDOWN($L312*AM$5/100,0)&lt;-AM$6,-AM$6-SUM(AM$10:AM311),-ROUNDDOWN($L312*AM$5/100,0)),0)</f>
        <v>0</v>
      </c>
      <c r="AN312" s="38">
        <f>IF(AND(AN$7="○",$A312&gt;=AN$8,$A312&lt;=AN$9),IF(SUM(AN$10:AN311)-ROUNDDOWN($M312*AN$5/100,0)&lt;-AN$6,-AN$6-SUM(AN$10:AN311),-ROUNDDOWN($M312*AN$5/100,0)),0)</f>
        <v>0</v>
      </c>
      <c r="AO312" s="38">
        <f>IF(AND($A312&gt;=AO$8,$A312&lt;=AO$9),IF(SUM(AO$10:AO311)-ROUNDDOWN($K312*AO$5/100,0)&lt;-AO$6,-AO$6-SUM(AO$10:AO311),-ROUNDDOWN($K312*AO$5/100,0)),0)</f>
        <v>0</v>
      </c>
      <c r="AP312" s="38">
        <f>IF(AND($A312&gt;=AP$8,$A312&lt;=AP$9),IF(SUM(AP$10:AP311)-ROUNDDOWN($K312*AP$5/100,0)&lt;-AP$6,-AP$6-SUM(AP$10:AP311),-ROUNDDOWN($K312*AP$5/100,0)),0)</f>
        <v>0</v>
      </c>
      <c r="AQ312" s="38">
        <f>IF(AND($A312&gt;=AQ$8,$A312&lt;=AQ$9),IF(SUM(AQ$10:AQ311)-ROUNDDOWN($K312*AQ$5/100,0)&lt;-AQ$6,-AQ$6-SUM(AQ$10:AQ311),-ROUNDDOWN($K312*AQ$5/100,0)),0)</f>
        <v>0</v>
      </c>
      <c r="AR312" s="38">
        <f>IF(AND($A312&gt;=AR$8,$A312&lt;=AR$9),IF(SUM(AR$10:AR311)-ROUNDDOWN($K312*AR$5/100,0)&lt;-AR$6,-AR$6-SUM(AR$10:AR311),-ROUNDDOWN($K312*AR$5/100,0)),0)</f>
        <v>0</v>
      </c>
      <c r="AS312" s="38">
        <f>IF(SUMIFS(AS$10:AS311,$A$10:$A311,$A312)-ROUNDDOWN($K312*$S312/100,0)&lt;-$S312*1000,-$S312*1000-SUMIFS(AS$10:AS311,$A$10:$A311,$A312),-ROUNDDOWN($K312*$S312/100,0))</f>
        <v>0</v>
      </c>
      <c r="AT312" s="38">
        <f>IF(AND(X312="○",$A312&gt;=AT$8,$A312&lt;=AT$9,K312&gt;=3980),IF(SUM(AT$10:AT311)-ROUNDDOWN($K312*AT$5/100,0)&lt;-AT$6,-AT$6-SUM(AT$10:AT311),-ROUNDDOWN($K312*AT$5/100,0)),0)</f>
        <v>0</v>
      </c>
      <c r="AU312" s="38">
        <f>IF(O312="○",IF(SUM(AU$10:AU311)-ROUNDDOWN($K312*AU$5/100,0)&lt;-AU$6,-AU$6-SUM(AU$10:AU311),-ROUNDDOWN($K312*AU$5/100,0)),0)</f>
        <v>0</v>
      </c>
      <c r="AV312" s="38">
        <f>IF(P312="○",IF(SUM(AV$10:AV311)-ROUNDDOWN($K312*AV$5/100,0)&lt;-AV$6,-AV$6-SUM(AV$10:AV311),-ROUNDDOWN($K312*AV$5/100,0)),0)</f>
        <v>0</v>
      </c>
      <c r="AW312" s="38">
        <f>IF(Q312="○",IF(SUM(AW$10:AW311)-ROUNDDOWN($K312*AW$5/100,0)&lt;-AW$6,-AW$6-SUM(AW$10:AW311),-ROUNDDOWN($K312*AW$5/100,0)),0)</f>
        <v>0</v>
      </c>
      <c r="AX312" s="38">
        <f>IF(R312="○",IF(SUM(AX$10:AX311)-ROUNDDOWN($K312*AX$5/100,0)&lt;-AX$6,-AX$6-SUM(AX$10:AX311),-ROUNDDOWN($K312*AX$5/100,0)),0)</f>
        <v>0</v>
      </c>
      <c r="AY312" s="70">
        <v>0</v>
      </c>
      <c r="AZ312" s="65">
        <f t="shared" si="213"/>
        <v>0</v>
      </c>
      <c r="BA312" s="65">
        <f t="shared" si="214"/>
        <v>0</v>
      </c>
      <c r="BB312" s="70"/>
      <c r="BC312" s="65">
        <f t="shared" si="215"/>
        <v>0</v>
      </c>
      <c r="BD312" s="70">
        <v>0</v>
      </c>
      <c r="BE312" s="65">
        <f t="shared" si="216"/>
        <v>0</v>
      </c>
      <c r="BF312" s="70">
        <v>0</v>
      </c>
      <c r="BG312" s="65">
        <f t="shared" si="217"/>
        <v>0</v>
      </c>
      <c r="BH312" s="70">
        <v>0</v>
      </c>
      <c r="BI312" s="65">
        <f t="shared" si="218"/>
        <v>0</v>
      </c>
      <c r="BJ312" s="38">
        <f>IF(AND(BJ$7="○",$A312&gt;=BJ$8,$A312&lt;=BJ$9),IF(SUM(BJ$10:BJ311)-ROUNDDOWN($M312*BJ$5/100,0)&lt;-BJ$6,-BJ$6-SUM(BJ$10:BJ311),-ROUNDDOWN($M312*BJ$5/100,0)),0)</f>
        <v>0</v>
      </c>
      <c r="BK312" s="38">
        <f>IF(AND(BK$7="○",$A312&gt;=BK$8,$A312&lt;=BK$9),IF(SUM(BK$10:BK311)-ROUNDDOWN($L312*BK$5/100,0)&lt;-BK$6,-BK$6-SUM(BK$10:BK311),-ROUNDDOWN($L312*BK$5/100,0)),0)</f>
        <v>0</v>
      </c>
      <c r="BL312" s="38">
        <f>IF(AND(BL$7="○",$A312&gt;=BL$8,$A312&lt;=BL$9),IF(SUM(BL$10:BL311)-ROUNDDOWN($L312*BL$5/100,0)&lt;-BL$6,-BL$6-SUM(BL$10:BL311),-ROUNDDOWN($L312*BL$5/100,0)),0)</f>
        <v>0</v>
      </c>
      <c r="BM312" s="38">
        <f>IF(AND(BM$7="○",$A312&gt;=BM$8,$A312&lt;=BM$9),IF(SUM(BM$10:BM311)-ROUNDDOWN($M312*BM$5/100,0)&lt;-BM$6,-BM$6-SUM(BM$10:BM311),-ROUNDDOWN($M312*BM$5/100,0)),0)</f>
        <v>0</v>
      </c>
      <c r="BN312" s="38">
        <f>IF(AND(BN$7="○",$A312&gt;=BN$8,$A312&lt;=BN$9),IF(SUM(BN$10:BN311)-ROUNDDOWN($M312*BN$5/100,0)&lt;-BN$6,-BN$6-SUM(BN$10:BN311),-ROUNDDOWN($M312*BN$5/100,0)),0)</f>
        <v>0</v>
      </c>
      <c r="BO312" s="38">
        <f>IF(AND(BO$7="○",$A312&gt;=BO$8,$A312&lt;=BO$9),IF(SUM(BO$10:BO311)-ROUNDDOWN($M312*BO$5/100,0)&lt;-BO$6,-BO$6-SUM(BO$10:BO311),-ROUNDDOWN($M312*BO$5/100,0)),0)</f>
        <v>0</v>
      </c>
      <c r="BP312" s="38">
        <f>IF(AND(BP$7="○",$A312&gt;=BP$8,$A312&lt;=BP$9),IF(SUM(BP$10:BP311)-ROUNDDOWN($M312*BP$5/100,0)&lt;-BP$6,-BP$6-SUM(BP$10:BP311),-ROUNDDOWN($M312*BP$5/100,0)),0)</f>
        <v>0</v>
      </c>
      <c r="BQ312" s="38">
        <f>IF(AND(BQ$7="○",$A312&gt;=BQ$8,$A312&lt;=BQ$9),IF(SUM(BQ$10:BQ311)-ROUNDDOWN($L312*BQ$5/100,0)&lt;-BQ$6,-BQ$6-SUM(BQ$10:BQ311),-ROUNDDOWN($L312*BQ$5/100,0)),0)</f>
        <v>0</v>
      </c>
      <c r="BR312" s="38">
        <f>IF(AND(BR$7="○",$A312&gt;=BR$8,$A312&lt;=BR$9),IF(SUM(BR$10:BR311)-ROUNDDOWN($M312*BR$5/100,0)&lt;-BR$6,-BR$6-SUM(BR$10:BR311),-ROUNDDOWN($M312*BR$5/100,0)),0)</f>
        <v>0</v>
      </c>
      <c r="BS312" s="38">
        <f>IF(AND(BS$7="○",$A312&gt;=BS$8,$A312&lt;=BS$9),IF(SUM(BS$10:BS311)-ROUNDDOWN($M312*BS$5/100,0)&lt;-BS$6,-BS$6-SUM(BS$10:BS311),-ROUNDDOWN($M312*BS$5/100,0)),0)</f>
        <v>0</v>
      </c>
      <c r="BT312" s="38">
        <f>IF(AND(BT$7="○",$A312&gt;=BT$8,$A312&lt;=BT$9),IF(SUM(BT$10:BT311)-ROUNDDOWN($M312*BT$5/100,0)&lt;-BT$6,-BT$6-SUM(BT$10:BT311),-ROUNDDOWN($M312*BT$5/100,0)),0)</f>
        <v>0</v>
      </c>
      <c r="BU312" s="38">
        <f>IF(AND(BU$7="○",$A312&gt;=BU$8,$A312&lt;=BU$9),IF(SUM(BU$10:BU311)-ROUNDDOWN($M312*BU$5/100,0)&lt;-BU$6,-BU$6-SUM(BU$10:BU311),-ROUNDDOWN($M312*BU$5/100,0)),0)</f>
        <v>0</v>
      </c>
      <c r="BV312" s="38">
        <f>IF(AND(BV$7="○",$A312&gt;=BV$8,$A312&lt;=BV$9),IF(SUM(BV$10:BV311)-ROUNDDOWN($M312*BV$5/100,0)&lt;-BV$6,-BV$6-SUM(BV$10:BV311),-ROUNDDOWN($M312*BV$5/100,0)),0)</f>
        <v>0</v>
      </c>
      <c r="BW312" s="38">
        <f>IF(AND(BW$7="○",$A312&gt;=BW$8,$A312&lt;=BW$9),IF(SUM(BW$10:BW311)-ROUNDDOWN($M312*BW$5/100,0)&lt;-BW$6,-BW$6-SUM(BW$10:BW311),-ROUNDDOWN($M312*BW$5/100,0)),0)</f>
        <v>0</v>
      </c>
      <c r="BX312" s="38">
        <f>IF(AND(T312="○",$A312&gt;=BX$8,$A312&lt;=BX$9),IF(SUM(BX$10:BX311)-ROUNDDOWN($K312*BX$5/100,0)&lt;-BX$6,-BX$6-SUM(BX$10:BX311),-ROUNDDOWN($K312*BX$5/100,0)),0)</f>
        <v>0</v>
      </c>
      <c r="BY312" s="38">
        <f>IF(AND(U312="○",$A312&gt;=BY$8,$A312&lt;=BY$9),IF(SUM(BY$10:BY311)-ROUNDDOWN($K312*BY$5/100,0)&lt;-BY$6,-BY$6-SUM(BY$10:BY311),-ROUNDDOWN($K312*BY$5/100,0)),0)</f>
        <v>0</v>
      </c>
      <c r="BZ312" s="38">
        <f>IF(AND(V312="○",$A312&gt;=BZ$8,$A312&lt;=BZ$9),IF(SUM(BZ$10:BZ311)-ROUNDDOWN($K312*BZ$5/100,0)&lt;-BZ$6,-BZ$6-SUM(BZ$10:BZ311),-ROUNDDOWN($K312*BZ$5/100,0)),0)</f>
        <v>0</v>
      </c>
      <c r="CA312" s="38">
        <f>IF(AND(W312="○",$A312&gt;=CA$8,$A312&lt;=CA$9),IF(SUM(CA$10:CA311)-ROUNDDOWN($K312*CA$5/100,0)&lt;-CA$6,-CA$6-SUM(CA$10:CA311),-ROUNDDOWN($K312*CA$5/100,0)),0)</f>
        <v>0</v>
      </c>
      <c r="CB312" s="38"/>
      <c r="CC312" s="38"/>
      <c r="CD312" s="38"/>
      <c r="CE312" s="38"/>
      <c r="CF312" s="38"/>
      <c r="CG312" s="65">
        <f t="shared" si="219"/>
        <v>0</v>
      </c>
      <c r="CH312" s="71">
        <f t="shared" si="220"/>
        <v>0</v>
      </c>
      <c r="CI312" s="1">
        <f t="shared" si="19"/>
        <v>0</v>
      </c>
      <c r="CJ312" s="1"/>
      <c r="CK312" s="79"/>
      <c r="CL312" s="79"/>
      <c r="CM312" s="2"/>
      <c r="CN312" s="2"/>
      <c r="CO312" s="73">
        <f t="shared" si="20"/>
        <v>0</v>
      </c>
      <c r="CP312" s="5">
        <f t="shared" si="21"/>
        <v>0</v>
      </c>
      <c r="CQ312" s="1"/>
      <c r="CR312" s="1">
        <f t="shared" si="22"/>
        <v>0</v>
      </c>
      <c r="CS312" s="1"/>
      <c r="CT312" s="1" t="e">
        <f>INDEX([2]マスタ!$A:$A,MATCH(D312,[2]マスタ!$C:$C,0))</f>
        <v>#N/A</v>
      </c>
      <c r="CU312" s="1" t="str">
        <f t="shared" ca="1" si="23"/>
        <v>20260620_0-0</v>
      </c>
    </row>
    <row r="313" spans="1:99" x14ac:dyDescent="0.4">
      <c r="A313" s="61"/>
      <c r="B313" s="62"/>
      <c r="C313" s="62"/>
      <c r="D313" s="62"/>
      <c r="E313" s="63"/>
      <c r="F313" s="62"/>
      <c r="G313" s="62">
        <v>1</v>
      </c>
      <c r="H313" s="64">
        <f t="shared" si="4"/>
        <v>0</v>
      </c>
      <c r="I313" s="64"/>
      <c r="J313" s="78"/>
      <c r="K313" s="65">
        <f t="shared" si="230"/>
        <v>0</v>
      </c>
      <c r="L313" s="65">
        <f t="shared" si="6"/>
        <v>0</v>
      </c>
      <c r="M313" s="65">
        <f t="shared" si="7"/>
        <v>0</v>
      </c>
      <c r="N313" s="65">
        <f t="shared" si="8"/>
        <v>0</v>
      </c>
      <c r="O313" s="66" t="str">
        <f t="shared" si="224"/>
        <v>✕</v>
      </c>
      <c r="P313" s="67" t="str">
        <f t="shared" si="225"/>
        <v>○</v>
      </c>
      <c r="Q313" s="67" t="str">
        <f t="shared" si="231"/>
        <v>✕</v>
      </c>
      <c r="R313" s="67" t="str">
        <f t="shared" si="227"/>
        <v>✕</v>
      </c>
      <c r="S313" s="68">
        <v>0</v>
      </c>
      <c r="T313" s="69" t="s">
        <v>85</v>
      </c>
      <c r="U313" s="69" t="s">
        <v>85</v>
      </c>
      <c r="V313" s="69" t="s">
        <v>85</v>
      </c>
      <c r="W313" s="69" t="s">
        <v>85</v>
      </c>
      <c r="X313" s="69" t="s">
        <v>84</v>
      </c>
      <c r="Y313" s="69" t="s">
        <v>85</v>
      </c>
      <c r="Z313" s="69" t="s">
        <v>85</v>
      </c>
      <c r="AA313" s="69" t="s">
        <v>85</v>
      </c>
      <c r="AB313" s="69" t="s">
        <v>85</v>
      </c>
      <c r="AC313" s="69" t="s">
        <v>85</v>
      </c>
      <c r="AD313" s="38" t="str">
        <f>+IF(ISERROR(VLOOKUP($B313,AD$10:AD312,1,0)),IF(AND($N313&gt;=1000,$A313&gt;=AO$8,$A313&lt;=AO$9),$B313,""),"")</f>
        <v/>
      </c>
      <c r="AE313" s="38" t="str">
        <f>+IF(ISERROR(VLOOKUP($B313,AE$10:AE312,1,0)),IF(AND($N313&gt;=1000,$A313&gt;=AP$8,$A313&lt;=AP$9),$B313,""),"")</f>
        <v/>
      </c>
      <c r="AF313" s="38" t="str">
        <f>+IF(ISERROR(VLOOKUP($B313,AF$10:AF312,1,0)),IF(AND($N313&gt;=1000,$A313&gt;=AQ$8,$A313&lt;=AQ$9),$B313,""),"")</f>
        <v/>
      </c>
      <c r="AG313" s="38" t="str">
        <f>+IF(ISERROR(VLOOKUP($B313,AG$10:AG312,1,0)),IF(AND($N313&gt;=1000,$A313&gt;=AR$8,$A313&lt;=AR$9),$B313,""),"")</f>
        <v/>
      </c>
      <c r="AH313" s="38"/>
      <c r="AI313" s="70">
        <v>0</v>
      </c>
      <c r="AJ313" s="38">
        <f>IF(AND(AJ$7="○",$A313&gt;=AJ$8,$A313&lt;=AJ$9),IF(SUM(AJ$10:AJ312)-ROUNDDOWN($K313*AJ$5/100,0)&lt;-AJ$6,-AJ$6-SUM(AJ$10:AJ312),-ROUNDDOWN($K313*AJ$5/100,0)),0)</f>
        <v>0</v>
      </c>
      <c r="AK313" s="38">
        <f>IF(AND(AK$7="○",$A313&gt;=AK$8,$A313&lt;=AK$9),IF(SUM(AK$10:AK312)-ROUNDDOWN($L313*AK$5/100,0)&lt;-AK$6,-AK$6-SUM(AK$10:AK312),-ROUNDDOWN($L313*AK$5/100,0)),0)</f>
        <v>0</v>
      </c>
      <c r="AL313" s="38">
        <f>IF(AND(AL$7="○",$A313&gt;=AL$8,$A313&lt;=AL$9),IF(SUM(AL$10:AL312)-ROUNDDOWN($N313*AL$5/100,0)&lt;-AL$6,-AL$6-SUM(AL$10:AL312),-ROUNDDOWN($N313*AL$5/100,0)),0)</f>
        <v>0</v>
      </c>
      <c r="AM313" s="38">
        <f>IF(AND(AM$7="○",$A313&gt;=AM$8,$A313&lt;=AM$9),IF(SUM(AM$10:AM312)-ROUNDDOWN($L313*AM$5/100,0)&lt;-AM$6,-AM$6-SUM(AM$10:AM312),-ROUNDDOWN($L313*AM$5/100,0)),0)</f>
        <v>0</v>
      </c>
      <c r="AN313" s="38">
        <f>IF(AND(AN$7="○",$A313&gt;=AN$8,$A313&lt;=AN$9),IF(SUM(AN$10:AN312)-ROUNDDOWN($M313*AN$5/100,0)&lt;-AN$6,-AN$6-SUM(AN$10:AN312),-ROUNDDOWN($M313*AN$5/100,0)),0)</f>
        <v>0</v>
      </c>
      <c r="AO313" s="38">
        <f>IF(AND($A313&gt;=AO$8,$A313&lt;=AO$9),IF(SUM(AO$10:AO312)-ROUNDDOWN($K313*AO$5/100,0)&lt;-AO$6,-AO$6-SUM(AO$10:AO312),-ROUNDDOWN($K313*AO$5/100,0)),0)</f>
        <v>0</v>
      </c>
      <c r="AP313" s="38">
        <f>IF(AND($A313&gt;=AP$8,$A313&lt;=AP$9),IF(SUM(AP$10:AP312)-ROUNDDOWN($K313*AP$5/100,0)&lt;-AP$6,-AP$6-SUM(AP$10:AP312),-ROUNDDOWN($K313*AP$5/100,0)),0)</f>
        <v>0</v>
      </c>
      <c r="AQ313" s="38">
        <f>IF(AND($A313&gt;=AQ$8,$A313&lt;=AQ$9),IF(SUM(AQ$10:AQ312)-ROUNDDOWN($K313*AQ$5/100,0)&lt;-AQ$6,-AQ$6-SUM(AQ$10:AQ312),-ROUNDDOWN($K313*AQ$5/100,0)),0)</f>
        <v>0</v>
      </c>
      <c r="AR313" s="38">
        <f>IF(AND($A313&gt;=AR$8,$A313&lt;=AR$9),IF(SUM(AR$10:AR312)-ROUNDDOWN($K313*AR$5/100,0)&lt;-AR$6,-AR$6-SUM(AR$10:AR312),-ROUNDDOWN($K313*AR$5/100,0)),0)</f>
        <v>0</v>
      </c>
      <c r="AS313" s="38">
        <f>IF(SUMIFS(AS$10:AS312,$A$10:$A312,$A313)-ROUNDDOWN($K313*$S313/100,0)&lt;-$S313*1000,-$S313*1000-SUMIFS(AS$10:AS312,$A$10:$A312,$A313),-ROUNDDOWN($K313*$S313/100,0))</f>
        <v>0</v>
      </c>
      <c r="AT313" s="38">
        <f>IF(AND(X313="○",$A313&gt;=AT$8,$A313&lt;=AT$9,K313&gt;=3980),IF(SUM(AT$10:AT312)-ROUNDDOWN($K313*AT$5/100,0)&lt;-AT$6,-AT$6-SUM(AT$10:AT312),-ROUNDDOWN($K313*AT$5/100,0)),0)</f>
        <v>0</v>
      </c>
      <c r="AU313" s="38">
        <f>IF(O313="○",IF(SUM(AU$10:AU312)-ROUNDDOWN($K313*AU$5/100,0)&lt;-AU$6,-AU$6-SUM(AU$10:AU312),-ROUNDDOWN($K313*AU$5/100,0)),0)</f>
        <v>0</v>
      </c>
      <c r="AV313" s="38">
        <f>IF(P313="○",IF(SUM(AV$10:AV312)-ROUNDDOWN($K313*AV$5/100,0)&lt;-AV$6,-AV$6-SUM(AV$10:AV312),-ROUNDDOWN($K313*AV$5/100,0)),0)</f>
        <v>0</v>
      </c>
      <c r="AW313" s="38">
        <f>IF(Q313="○",IF(SUM(AW$10:AW312)-ROUNDDOWN($K313*AW$5/100,0)&lt;-AW$6,-AW$6-SUM(AW$10:AW312),-ROUNDDOWN($K313*AW$5/100,0)),0)</f>
        <v>0</v>
      </c>
      <c r="AX313" s="38">
        <f>IF(R313="○",IF(SUM(AX$10:AX312)-ROUNDDOWN($K313*AX$5/100,0)&lt;-AX$6,-AX$6-SUM(AX$10:AX312),-ROUNDDOWN($K313*AX$5/100,0)),0)</f>
        <v>0</v>
      </c>
      <c r="AY313" s="70">
        <v>0</v>
      </c>
      <c r="AZ313" s="65">
        <f t="shared" si="213"/>
        <v>0</v>
      </c>
      <c r="BA313" s="65">
        <f t="shared" si="214"/>
        <v>0</v>
      </c>
      <c r="BB313" s="70"/>
      <c r="BC313" s="65">
        <f t="shared" si="215"/>
        <v>0</v>
      </c>
      <c r="BD313" s="70">
        <v>0</v>
      </c>
      <c r="BE313" s="65">
        <f t="shared" si="216"/>
        <v>0</v>
      </c>
      <c r="BF313" s="70">
        <v>0</v>
      </c>
      <c r="BG313" s="65">
        <f t="shared" si="217"/>
        <v>0</v>
      </c>
      <c r="BH313" s="70">
        <v>0</v>
      </c>
      <c r="BI313" s="65">
        <f t="shared" si="218"/>
        <v>0</v>
      </c>
      <c r="BJ313" s="38">
        <f>IF(AND(BJ$7="○",$A313&gt;=BJ$8,$A313&lt;=BJ$9),IF(SUM(BJ$10:BJ312)-ROUNDDOWN($M313*BJ$5/100,0)&lt;-BJ$6,-BJ$6-SUM(BJ$10:BJ312),-ROUNDDOWN($M313*BJ$5/100,0)),0)</f>
        <v>0</v>
      </c>
      <c r="BK313" s="38">
        <f>IF(AND(BK$7="○",$A313&gt;=BK$8,$A313&lt;=BK$9),IF(SUM(BK$10:BK312)-ROUNDDOWN($L313*BK$5/100,0)&lt;-BK$6,-BK$6-SUM(BK$10:BK312),-ROUNDDOWN($L313*BK$5/100,0)),0)</f>
        <v>0</v>
      </c>
      <c r="BL313" s="38">
        <f>IF(AND(BL$7="○",$A313&gt;=BL$8,$A313&lt;=BL$9),IF(SUM(BL$10:BL312)-ROUNDDOWN($L313*BL$5/100,0)&lt;-BL$6,-BL$6-SUM(BL$10:BL312),-ROUNDDOWN($L313*BL$5/100,0)),0)</f>
        <v>0</v>
      </c>
      <c r="BM313" s="38">
        <f>IF(AND(BM$7="○",$A313&gt;=BM$8,$A313&lt;=BM$9),IF(SUM(BM$10:BM312)-ROUNDDOWN($M313*BM$5/100,0)&lt;-BM$6,-BM$6-SUM(BM$10:BM312),-ROUNDDOWN($M313*BM$5/100,0)),0)</f>
        <v>0</v>
      </c>
      <c r="BN313" s="38">
        <f>IF(AND(BN$7="○",$A313&gt;=BN$8,$A313&lt;=BN$9),IF(SUM(BN$10:BN312)-ROUNDDOWN($M313*BN$5/100,0)&lt;-BN$6,-BN$6-SUM(BN$10:BN312),-ROUNDDOWN($M313*BN$5/100,0)),0)</f>
        <v>0</v>
      </c>
      <c r="BO313" s="38">
        <f>IF(AND(BO$7="○",$A313&gt;=BO$8,$A313&lt;=BO$9),IF(SUM(BO$10:BO312)-ROUNDDOWN($M313*BO$5/100,0)&lt;-BO$6,-BO$6-SUM(BO$10:BO312),-ROUNDDOWN($M313*BO$5/100,0)),0)</f>
        <v>0</v>
      </c>
      <c r="BP313" s="38">
        <f>IF(AND(BP$7="○",$A313&gt;=BP$8,$A313&lt;=BP$9),IF(SUM(BP$10:BP312)-ROUNDDOWN($M313*BP$5/100,0)&lt;-BP$6,-BP$6-SUM(BP$10:BP312),-ROUNDDOWN($M313*BP$5/100,0)),0)</f>
        <v>0</v>
      </c>
      <c r="BQ313" s="38">
        <f>IF(AND(BQ$7="○",$A313&gt;=BQ$8,$A313&lt;=BQ$9),IF(SUM(BQ$10:BQ312)-ROUNDDOWN($L313*BQ$5/100,0)&lt;-BQ$6,-BQ$6-SUM(BQ$10:BQ312),-ROUNDDOWN($L313*BQ$5/100,0)),0)</f>
        <v>0</v>
      </c>
      <c r="BR313" s="38">
        <f>IF(AND(BR$7="○",$A313&gt;=BR$8,$A313&lt;=BR$9),IF(SUM(BR$10:BR312)-ROUNDDOWN($M313*BR$5/100,0)&lt;-BR$6,-BR$6-SUM(BR$10:BR312),-ROUNDDOWN($M313*BR$5/100,0)),0)</f>
        <v>0</v>
      </c>
      <c r="BS313" s="38">
        <f>IF(AND(BS$7="○",$A313&gt;=BS$8,$A313&lt;=BS$9),IF(SUM(BS$10:BS312)-ROUNDDOWN($M313*BS$5/100,0)&lt;-BS$6,-BS$6-SUM(BS$10:BS312),-ROUNDDOWN($M313*BS$5/100,0)),0)</f>
        <v>0</v>
      </c>
      <c r="BT313" s="38">
        <f>IF(AND(BT$7="○",$A313&gt;=BT$8,$A313&lt;=BT$9),IF(SUM(BT$10:BT312)-ROUNDDOWN($M313*BT$5/100,0)&lt;-BT$6,-BT$6-SUM(BT$10:BT312),-ROUNDDOWN($M313*BT$5/100,0)),0)</f>
        <v>0</v>
      </c>
      <c r="BU313" s="38">
        <f>IF(AND(BU$7="○",$A313&gt;=BU$8,$A313&lt;=BU$9),IF(SUM(BU$10:BU312)-ROUNDDOWN($M313*BU$5/100,0)&lt;-BU$6,-BU$6-SUM(BU$10:BU312),-ROUNDDOWN($M313*BU$5/100,0)),0)</f>
        <v>0</v>
      </c>
      <c r="BV313" s="38">
        <f>IF(AND(BV$7="○",$A313&gt;=BV$8,$A313&lt;=BV$9),IF(SUM(BV$10:BV312)-ROUNDDOWN($M313*BV$5/100,0)&lt;-BV$6,-BV$6-SUM(BV$10:BV312),-ROUNDDOWN($M313*BV$5/100,0)),0)</f>
        <v>0</v>
      </c>
      <c r="BW313" s="38">
        <f>IF(AND(BW$7="○",$A313&gt;=BW$8,$A313&lt;=BW$9),IF(SUM(BW$10:BW312)-ROUNDDOWN($M313*BW$5/100,0)&lt;-BW$6,-BW$6-SUM(BW$10:BW312),-ROUNDDOWN($M313*BW$5/100,0)),0)</f>
        <v>0</v>
      </c>
      <c r="BX313" s="38">
        <f>IF(AND(T313="○",$A313&gt;=BX$8,$A313&lt;=BX$9),IF(SUM(BX$10:BX312)-ROUNDDOWN($K313*BX$5/100,0)&lt;-BX$6,-BX$6-SUM(BX$10:BX312),-ROUNDDOWN($K313*BX$5/100,0)),0)</f>
        <v>0</v>
      </c>
      <c r="BY313" s="38">
        <f>IF(AND(U313="○",$A313&gt;=BY$8,$A313&lt;=BY$9),IF(SUM(BY$10:BY312)-ROUNDDOWN($K313*BY$5/100,0)&lt;-BY$6,-BY$6-SUM(BY$10:BY312),-ROUNDDOWN($K313*BY$5/100,0)),0)</f>
        <v>0</v>
      </c>
      <c r="BZ313" s="38">
        <f>IF(AND(V313="○",$A313&gt;=BZ$8,$A313&lt;=BZ$9),IF(SUM(BZ$10:BZ312)-ROUNDDOWN($K313*BZ$5/100,0)&lt;-BZ$6,-BZ$6-SUM(BZ$10:BZ312),-ROUNDDOWN($K313*BZ$5/100,0)),0)</f>
        <v>0</v>
      </c>
      <c r="CA313" s="38">
        <f>IF(AND(W313="○",$A313&gt;=CA$8,$A313&lt;=CA$9),IF(SUM(CA$10:CA312)-ROUNDDOWN($K313*CA$5/100,0)&lt;-CA$6,-CA$6-SUM(CA$10:CA312),-ROUNDDOWN($K313*CA$5/100,0)),0)</f>
        <v>0</v>
      </c>
      <c r="CB313" s="38"/>
      <c r="CC313" s="38"/>
      <c r="CD313" s="38"/>
      <c r="CE313" s="38"/>
      <c r="CF313" s="38"/>
      <c r="CG313" s="65">
        <f t="shared" si="219"/>
        <v>0</v>
      </c>
      <c r="CH313" s="71">
        <f t="shared" si="220"/>
        <v>0</v>
      </c>
      <c r="CI313" s="1">
        <f t="shared" si="19"/>
        <v>0</v>
      </c>
      <c r="CJ313" s="1"/>
      <c r="CK313" s="79"/>
      <c r="CL313" s="79"/>
      <c r="CM313" s="2"/>
      <c r="CN313" s="2"/>
      <c r="CO313" s="73">
        <f t="shared" si="20"/>
        <v>0</v>
      </c>
      <c r="CP313" s="5">
        <f t="shared" si="21"/>
        <v>0</v>
      </c>
      <c r="CQ313" s="1"/>
      <c r="CR313" s="1">
        <f t="shared" si="22"/>
        <v>0</v>
      </c>
      <c r="CS313" s="1"/>
      <c r="CT313" s="1" t="e">
        <f>INDEX([2]マスタ!$A:$A,MATCH(D313,[2]マスタ!$C:$C,0))</f>
        <v>#N/A</v>
      </c>
      <c r="CU313" s="1" t="str">
        <f t="shared" ca="1" si="23"/>
        <v>20260620_0-0</v>
      </c>
    </row>
    <row r="314" spans="1:99" x14ac:dyDescent="0.4">
      <c r="A314" s="61"/>
      <c r="B314" s="62"/>
      <c r="C314" s="62"/>
      <c r="D314" s="62"/>
      <c r="E314" s="77"/>
      <c r="F314" s="62"/>
      <c r="G314" s="62">
        <v>1</v>
      </c>
      <c r="H314" s="64">
        <f t="shared" si="4"/>
        <v>0</v>
      </c>
      <c r="I314" s="64"/>
      <c r="J314" s="64"/>
      <c r="K314" s="65">
        <f t="shared" si="230"/>
        <v>0</v>
      </c>
      <c r="L314" s="65">
        <f t="shared" si="6"/>
        <v>0</v>
      </c>
      <c r="M314" s="65">
        <f t="shared" si="7"/>
        <v>0</v>
      </c>
      <c r="N314" s="65">
        <f t="shared" si="8"/>
        <v>0</v>
      </c>
      <c r="O314" s="66" t="str">
        <f t="shared" si="224"/>
        <v>✕</v>
      </c>
      <c r="P314" s="67" t="str">
        <f t="shared" si="225"/>
        <v>○</v>
      </c>
      <c r="Q314" s="67" t="str">
        <f t="shared" si="231"/>
        <v>✕</v>
      </c>
      <c r="R314" s="67" t="str">
        <f t="shared" si="227"/>
        <v>✕</v>
      </c>
      <c r="S314" s="68">
        <v>0</v>
      </c>
      <c r="T314" s="69" t="s">
        <v>85</v>
      </c>
      <c r="U314" s="69" t="s">
        <v>85</v>
      </c>
      <c r="V314" s="69" t="s">
        <v>85</v>
      </c>
      <c r="W314" s="69" t="s">
        <v>85</v>
      </c>
      <c r="X314" s="69" t="s">
        <v>84</v>
      </c>
      <c r="Y314" s="69" t="s">
        <v>85</v>
      </c>
      <c r="Z314" s="69" t="s">
        <v>85</v>
      </c>
      <c r="AA314" s="69" t="s">
        <v>85</v>
      </c>
      <c r="AB314" s="69" t="s">
        <v>85</v>
      </c>
      <c r="AC314" s="69" t="s">
        <v>85</v>
      </c>
      <c r="AD314" s="38" t="str">
        <f>+IF(ISERROR(VLOOKUP($B314,AD$10:AD313,1,0)),IF(AND($N314&gt;=1000,$A314&gt;=AO$8,$A314&lt;=AO$9),$B314,""),"")</f>
        <v/>
      </c>
      <c r="AE314" s="38" t="str">
        <f>+IF(ISERROR(VLOOKUP($B314,AE$10:AE313,1,0)),IF(AND($N314&gt;=1000,$A314&gt;=AP$8,$A314&lt;=AP$9),$B314,""),"")</f>
        <v/>
      </c>
      <c r="AF314" s="38" t="str">
        <f>+IF(ISERROR(VLOOKUP($B314,AF$10:AF313,1,0)),IF(AND($N314&gt;=1000,$A314&gt;=AQ$8,$A314&lt;=AQ$9),$B314,""),"")</f>
        <v/>
      </c>
      <c r="AG314" s="38" t="str">
        <f>+IF(ISERROR(VLOOKUP($B314,AG$10:AG313,1,0)),IF(AND($N314&gt;=1000,$A314&gt;=AR$8,$A314&lt;=AR$9),$B314,""),"")</f>
        <v/>
      </c>
      <c r="AH314" s="38"/>
      <c r="AI314" s="70">
        <v>0</v>
      </c>
      <c r="AJ314" s="38">
        <f>IF(AND(AJ$7="○",$A314&gt;=AJ$8,$A314&lt;=AJ$9),IF(SUM(AJ$10:AJ313)-ROUNDDOWN($K314*AJ$5/100,0)&lt;-AJ$6,-AJ$6-SUM(AJ$10:AJ313),-ROUNDDOWN($K314*AJ$5/100,0)),0)</f>
        <v>0</v>
      </c>
      <c r="AK314" s="38">
        <f>IF(AND(AK$7="○",$A314&gt;=AK$8,$A314&lt;=AK$9),IF(SUM(AK$10:AK313)-ROUNDDOWN($L314*AK$5/100,0)&lt;-AK$6,-AK$6-SUM(AK$10:AK313),-ROUNDDOWN($L314*AK$5/100,0)),0)</f>
        <v>0</v>
      </c>
      <c r="AL314" s="38">
        <f>IF(AND(AL$7="○",$A314&gt;=AL$8,$A314&lt;=AL$9),IF(SUM(AL$10:AL313)-ROUNDDOWN($N314*AL$5/100,0)&lt;-AL$6,-AL$6-SUM(AL$10:AL313),-ROUNDDOWN($N314*AL$5/100,0)),0)</f>
        <v>0</v>
      </c>
      <c r="AM314" s="38">
        <f>IF(AND(AM$7="○",$A314&gt;=AM$8,$A314&lt;=AM$9),IF(SUM(AM$10:AM313)-ROUNDDOWN($L314*AM$5/100,0)&lt;-AM$6,-AM$6-SUM(AM$10:AM313),-ROUNDDOWN($L314*AM$5/100,0)),0)</f>
        <v>0</v>
      </c>
      <c r="AN314" s="38">
        <f>IF(AND(AN$7="○",$A314&gt;=AN$8,$A314&lt;=AN$9),IF(SUM(AN$10:AN313)-ROUNDDOWN($M314*AN$5/100,0)&lt;-AN$6,-AN$6-SUM(AN$10:AN313),-ROUNDDOWN($M314*AN$5/100,0)),0)</f>
        <v>0</v>
      </c>
      <c r="AO314" s="38">
        <f>IF(AND($A314&gt;=AO$8,$A314&lt;=AO$9),IF(SUM(AO$10:AO313)-ROUNDDOWN($K314*AO$5/100,0)&lt;-AO$6,-AO$6-SUM(AO$10:AO313),-ROUNDDOWN($K314*AO$5/100,0)),0)</f>
        <v>0</v>
      </c>
      <c r="AP314" s="38">
        <f>IF(AND($A314&gt;=AP$8,$A314&lt;=AP$9),IF(SUM(AP$10:AP313)-ROUNDDOWN($K314*AP$5/100,0)&lt;-AP$6,-AP$6-SUM(AP$10:AP313),-ROUNDDOWN($K314*AP$5/100,0)),0)</f>
        <v>0</v>
      </c>
      <c r="AQ314" s="38">
        <f>IF(AND($A314&gt;=AQ$8,$A314&lt;=AQ$9),IF(SUM(AQ$10:AQ313)-ROUNDDOWN($K314*AQ$5/100,0)&lt;-AQ$6,-AQ$6-SUM(AQ$10:AQ313),-ROUNDDOWN($K314*AQ$5/100,0)),0)</f>
        <v>0</v>
      </c>
      <c r="AR314" s="38">
        <f>IF(AND($A314&gt;=AR$8,$A314&lt;=AR$9),IF(SUM(AR$10:AR313)-ROUNDDOWN($K314*AR$5/100,0)&lt;-AR$6,-AR$6-SUM(AR$10:AR313),-ROUNDDOWN($K314*AR$5/100,0)),0)</f>
        <v>0</v>
      </c>
      <c r="AS314" s="38">
        <f>IF(SUMIFS(AS$10:AS313,$A$10:$A313,$A314)-ROUNDDOWN($K314*$S314/100,0)&lt;-$S314*1000,-$S314*1000-SUMIFS(AS$10:AS313,$A$10:$A313,$A314),-ROUNDDOWN($K314*$S314/100,0))</f>
        <v>0</v>
      </c>
      <c r="AT314" s="38">
        <f>IF(AND(X314="○",$A314&gt;=AT$8,$A314&lt;=AT$9,K314&gt;=3980),IF(SUM(AT$10:AT313)-ROUNDDOWN($K314*AT$5/100,0)&lt;-AT$6,-AT$6-SUM(AT$10:AT313),-ROUNDDOWN($K314*AT$5/100,0)),0)</f>
        <v>0</v>
      </c>
      <c r="AU314" s="38">
        <f>IF(O314="○",IF(SUM(AU$10:AU313)-ROUNDDOWN($K314*AU$5/100,0)&lt;-AU$6,-AU$6-SUM(AU$10:AU313),-ROUNDDOWN($K314*AU$5/100,0)),0)</f>
        <v>0</v>
      </c>
      <c r="AV314" s="38">
        <f>IF(P314="○",IF(SUM(AV$10:AV313)-ROUNDDOWN($K314*AV$5/100,0)&lt;-AV$6,-AV$6-SUM(AV$10:AV313),-ROUNDDOWN($K314*AV$5/100,0)),0)</f>
        <v>0</v>
      </c>
      <c r="AW314" s="38">
        <f>IF(Q314="○",IF(SUM(AW$10:AW313)-ROUNDDOWN($K314*AW$5/100,0)&lt;-AW$6,-AW$6-SUM(AW$10:AW313),-ROUNDDOWN($K314*AW$5/100,0)),0)</f>
        <v>0</v>
      </c>
      <c r="AX314" s="38">
        <f>IF(R314="○",IF(SUM(AX$10:AX313)-ROUNDDOWN($K314*AX$5/100,0)&lt;-AX$6,-AX$6-SUM(AX$10:AX313),-ROUNDDOWN($K314*AX$5/100,0)),0)</f>
        <v>0</v>
      </c>
      <c r="AY314" s="70">
        <v>0</v>
      </c>
      <c r="AZ314" s="65">
        <f t="shared" si="213"/>
        <v>0</v>
      </c>
      <c r="BA314" s="65">
        <f t="shared" si="214"/>
        <v>0</v>
      </c>
      <c r="BB314" s="70"/>
      <c r="BC314" s="65">
        <f t="shared" si="215"/>
        <v>0</v>
      </c>
      <c r="BD314" s="70">
        <v>0</v>
      </c>
      <c r="BE314" s="65">
        <f t="shared" si="216"/>
        <v>0</v>
      </c>
      <c r="BF314" s="70">
        <v>0</v>
      </c>
      <c r="BG314" s="65">
        <f t="shared" si="217"/>
        <v>0</v>
      </c>
      <c r="BH314" s="70">
        <v>0</v>
      </c>
      <c r="BI314" s="65">
        <f t="shared" si="218"/>
        <v>0</v>
      </c>
      <c r="BJ314" s="38">
        <f>IF(AND(BJ$7="○",$A314&gt;=BJ$8,$A314&lt;=BJ$9),IF(SUM(BJ$10:BJ313)-ROUNDDOWN($M314*BJ$5/100,0)&lt;-BJ$6,-BJ$6-SUM(BJ$10:BJ313),-ROUNDDOWN($M314*BJ$5/100,0)),0)</f>
        <v>0</v>
      </c>
      <c r="BK314" s="38">
        <f>IF(AND(BK$7="○",$A314&gt;=BK$8,$A314&lt;=BK$9),IF(SUM(BK$10:BK313)-ROUNDDOWN($L314*BK$5/100,0)&lt;-BK$6,-BK$6-SUM(BK$10:BK313),-ROUNDDOWN($L314*BK$5/100,0)),0)</f>
        <v>0</v>
      </c>
      <c r="BL314" s="38">
        <f>IF(AND(BL$7="○",$A314&gt;=BL$8,$A314&lt;=BL$9),IF(SUM(BL$10:BL313)-ROUNDDOWN($L314*BL$5/100,0)&lt;-BL$6,-BL$6-SUM(BL$10:BL313),-ROUNDDOWN($L314*BL$5/100,0)),0)</f>
        <v>0</v>
      </c>
      <c r="BM314" s="38">
        <f>IF(AND(BM$7="○",$A314&gt;=BM$8,$A314&lt;=BM$9),IF(SUM(BM$10:BM313)-ROUNDDOWN($M314*BM$5/100,0)&lt;-BM$6,-BM$6-SUM(BM$10:BM313),-ROUNDDOWN($M314*BM$5/100,0)),0)</f>
        <v>0</v>
      </c>
      <c r="BN314" s="38">
        <f>IF(AND(BN$7="○",$A314&gt;=BN$8,$A314&lt;=BN$9),IF(SUM(BN$10:BN313)-ROUNDDOWN($M314*BN$5/100,0)&lt;-BN$6,-BN$6-SUM(BN$10:BN313),-ROUNDDOWN($M314*BN$5/100,0)),0)</f>
        <v>0</v>
      </c>
      <c r="BO314" s="38">
        <f>IF(AND(BO$7="○",$A314&gt;=BO$8,$A314&lt;=BO$9),IF(SUM(BO$10:BO313)-ROUNDDOWN($M314*BO$5/100,0)&lt;-BO$6,-BO$6-SUM(BO$10:BO313),-ROUNDDOWN($M314*BO$5/100,0)),0)</f>
        <v>0</v>
      </c>
      <c r="BP314" s="38">
        <f>IF(AND(BP$7="○",$A314&gt;=BP$8,$A314&lt;=BP$9),IF(SUM(BP$10:BP313)-ROUNDDOWN($M314*BP$5/100,0)&lt;-BP$6,-BP$6-SUM(BP$10:BP313),-ROUNDDOWN($M314*BP$5/100,0)),0)</f>
        <v>0</v>
      </c>
      <c r="BQ314" s="38">
        <f>IF(AND(BQ$7="○",$A314&gt;=BQ$8,$A314&lt;=BQ$9),IF(SUM(BQ$10:BQ313)-ROUNDDOWN($L314*BQ$5/100,0)&lt;-BQ$6,-BQ$6-SUM(BQ$10:BQ313),-ROUNDDOWN($L314*BQ$5/100,0)),0)</f>
        <v>0</v>
      </c>
      <c r="BR314" s="38">
        <f>IF(AND(BR$7="○",$A314&gt;=BR$8,$A314&lt;=BR$9),IF(SUM(BR$10:BR313)-ROUNDDOWN($M314*BR$5/100,0)&lt;-BR$6,-BR$6-SUM(BR$10:BR313),-ROUNDDOWN($M314*BR$5/100,0)),0)</f>
        <v>0</v>
      </c>
      <c r="BS314" s="38">
        <f>IF(AND(BS$7="○",$A314&gt;=BS$8,$A314&lt;=BS$9),IF(SUM(BS$10:BS313)-ROUNDDOWN($M314*BS$5/100,0)&lt;-BS$6,-BS$6-SUM(BS$10:BS313),-ROUNDDOWN($M314*BS$5/100,0)),0)</f>
        <v>0</v>
      </c>
      <c r="BT314" s="38">
        <f>IF(AND(BT$7="○",$A314&gt;=BT$8,$A314&lt;=BT$9),IF(SUM(BT$10:BT313)-ROUNDDOWN($M314*BT$5/100,0)&lt;-BT$6,-BT$6-SUM(BT$10:BT313),-ROUNDDOWN($M314*BT$5/100,0)),0)</f>
        <v>0</v>
      </c>
      <c r="BU314" s="38">
        <f>IF(AND(BU$7="○",$A314&gt;=BU$8,$A314&lt;=BU$9),IF(SUM(BU$10:BU313)-ROUNDDOWN($M314*BU$5/100,0)&lt;-BU$6,-BU$6-SUM(BU$10:BU313),-ROUNDDOWN($M314*BU$5/100,0)),0)</f>
        <v>0</v>
      </c>
      <c r="BV314" s="38">
        <f>IF(AND(BV$7="○",$A314&gt;=BV$8,$A314&lt;=BV$9),IF(SUM(BV$10:BV313)-ROUNDDOWN($M314*BV$5/100,0)&lt;-BV$6,-BV$6-SUM(BV$10:BV313),-ROUNDDOWN($M314*BV$5/100,0)),0)</f>
        <v>0</v>
      </c>
      <c r="BW314" s="38">
        <f>IF(AND(BW$7="○",$A314&gt;=BW$8,$A314&lt;=BW$9),IF(SUM(BW$10:BW313)-ROUNDDOWN($M314*BW$5/100,0)&lt;-BW$6,-BW$6-SUM(BW$10:BW313),-ROUNDDOWN($M314*BW$5/100,0)),0)</f>
        <v>0</v>
      </c>
      <c r="BX314" s="38">
        <f>IF(AND(T314="○",$A314&gt;=BX$8,$A314&lt;=BX$9),IF(SUM(BX$10:BX313)-ROUNDDOWN($K314*BX$5/100,0)&lt;-BX$6,-BX$6-SUM(BX$10:BX313),-ROUNDDOWN($K314*BX$5/100,0)),0)</f>
        <v>0</v>
      </c>
      <c r="BY314" s="38">
        <f>IF(AND(U314="○",$A314&gt;=BY$8,$A314&lt;=BY$9),IF(SUM(BY$10:BY313)-ROUNDDOWN($K314*BY$5/100,0)&lt;-BY$6,-BY$6-SUM(BY$10:BY313),-ROUNDDOWN($K314*BY$5/100,0)),0)</f>
        <v>0</v>
      </c>
      <c r="BZ314" s="38">
        <f>IF(AND(V314="○",$A314&gt;=BZ$8,$A314&lt;=BZ$9),IF(SUM(BZ$10:BZ313)-ROUNDDOWN($K314*BZ$5/100,0)&lt;-BZ$6,-BZ$6-SUM(BZ$10:BZ313),-ROUNDDOWN($K314*BZ$5/100,0)),0)</f>
        <v>0</v>
      </c>
      <c r="CA314" s="38">
        <f>IF(AND(W314="○",$A314&gt;=CA$8,$A314&lt;=CA$9),IF(SUM(CA$10:CA313)-ROUNDDOWN($K314*CA$5/100,0)&lt;-CA$6,-CA$6-SUM(CA$10:CA313),-ROUNDDOWN($K314*CA$5/100,0)),0)</f>
        <v>0</v>
      </c>
      <c r="CB314" s="38"/>
      <c r="CC314" s="38"/>
      <c r="CD314" s="38"/>
      <c r="CE314" s="38"/>
      <c r="CF314" s="38"/>
      <c r="CG314" s="65">
        <f t="shared" si="219"/>
        <v>0</v>
      </c>
      <c r="CH314" s="71">
        <f t="shared" si="220"/>
        <v>0</v>
      </c>
      <c r="CI314" s="1">
        <f t="shared" si="19"/>
        <v>0</v>
      </c>
      <c r="CJ314" s="1"/>
      <c r="CK314" s="79"/>
      <c r="CL314" s="79"/>
      <c r="CM314" s="2"/>
      <c r="CN314" s="2"/>
      <c r="CO314" s="73">
        <f t="shared" si="20"/>
        <v>0</v>
      </c>
      <c r="CP314" s="5">
        <f t="shared" si="21"/>
        <v>0</v>
      </c>
      <c r="CQ314" s="1"/>
      <c r="CR314" s="1">
        <f t="shared" si="22"/>
        <v>0</v>
      </c>
      <c r="CS314" s="1"/>
      <c r="CT314" s="1" t="e">
        <f>INDEX([2]マスタ!$A:$A,MATCH(D314,[2]マスタ!$C:$C,0))</f>
        <v>#N/A</v>
      </c>
      <c r="CU314" s="1" t="str">
        <f t="shared" ca="1" si="23"/>
        <v>20260620_0-0</v>
      </c>
    </row>
    <row r="315" spans="1:99" x14ac:dyDescent="0.4">
      <c r="A315" s="61"/>
      <c r="B315" s="62"/>
      <c r="C315" s="62"/>
      <c r="D315" s="62"/>
      <c r="E315" s="63"/>
      <c r="F315" s="62"/>
      <c r="G315" s="62">
        <v>1</v>
      </c>
      <c r="H315" s="64">
        <f t="shared" si="4"/>
        <v>0</v>
      </c>
      <c r="I315" s="64"/>
      <c r="J315" s="64"/>
      <c r="K315" s="65">
        <f t="shared" si="230"/>
        <v>0</v>
      </c>
      <c r="L315" s="65">
        <f t="shared" si="6"/>
        <v>0</v>
      </c>
      <c r="M315" s="65">
        <f t="shared" si="7"/>
        <v>0</v>
      </c>
      <c r="N315" s="65">
        <f t="shared" si="8"/>
        <v>0</v>
      </c>
      <c r="O315" s="66" t="str">
        <f t="shared" si="224"/>
        <v>✕</v>
      </c>
      <c r="P315" s="67" t="str">
        <f t="shared" si="225"/>
        <v>○</v>
      </c>
      <c r="Q315" s="67" t="str">
        <f t="shared" si="231"/>
        <v>✕</v>
      </c>
      <c r="R315" s="67" t="str">
        <f t="shared" si="227"/>
        <v>✕</v>
      </c>
      <c r="S315" s="68">
        <v>0</v>
      </c>
      <c r="T315" s="69" t="s">
        <v>85</v>
      </c>
      <c r="U315" s="69" t="s">
        <v>85</v>
      </c>
      <c r="V315" s="69" t="s">
        <v>85</v>
      </c>
      <c r="W315" s="69" t="s">
        <v>85</v>
      </c>
      <c r="X315" s="69" t="s">
        <v>84</v>
      </c>
      <c r="Y315" s="69" t="s">
        <v>85</v>
      </c>
      <c r="Z315" s="69" t="s">
        <v>85</v>
      </c>
      <c r="AA315" s="69" t="s">
        <v>85</v>
      </c>
      <c r="AB315" s="69" t="s">
        <v>85</v>
      </c>
      <c r="AC315" s="69" t="s">
        <v>85</v>
      </c>
      <c r="AD315" s="38" t="str">
        <f>+IF(ISERROR(VLOOKUP($B315,AD$10:AD314,1,0)),IF(AND($N315&gt;=1000,$A315&gt;=AO$8,$A315&lt;=AO$9),$B315,""),"")</f>
        <v/>
      </c>
      <c r="AE315" s="38" t="str">
        <f>+IF(ISERROR(VLOOKUP($B315,AE$10:AE314,1,0)),IF(AND($N315&gt;=1000,$A315&gt;=AP$8,$A315&lt;=AP$9),$B315,""),"")</f>
        <v/>
      </c>
      <c r="AF315" s="38" t="str">
        <f>+IF(ISERROR(VLOOKUP($B315,AF$10:AF314,1,0)),IF(AND($N315&gt;=1000,$A315&gt;=AQ$8,$A315&lt;=AQ$9),$B315,""),"")</f>
        <v/>
      </c>
      <c r="AG315" s="38" t="str">
        <f>+IF(ISERROR(VLOOKUP($B315,AG$10:AG314,1,0)),IF(AND($N315&gt;=1000,$A315&gt;=AR$8,$A315&lt;=AR$9),$B315,""),"")</f>
        <v/>
      </c>
      <c r="AH315" s="38"/>
      <c r="AI315" s="70">
        <v>0</v>
      </c>
      <c r="AJ315" s="38">
        <f>IF(AND(AJ$7="○",$A315&gt;=AJ$8,$A315&lt;=AJ$9),IF(SUM(AJ$10:AJ314)-ROUNDDOWN($K315*AJ$5/100,0)&lt;-AJ$6,-AJ$6-SUM(AJ$10:AJ314),-ROUNDDOWN($K315*AJ$5/100,0)),0)</f>
        <v>0</v>
      </c>
      <c r="AK315" s="38">
        <f>IF(AND(AK$7="○",$A315&gt;=AK$8,$A315&lt;=AK$9),IF(SUM(AK$10:AK314)-ROUNDDOWN($L315*AK$5/100,0)&lt;-AK$6,-AK$6-SUM(AK$10:AK314),-ROUNDDOWN($L315*AK$5/100,0)),0)</f>
        <v>0</v>
      </c>
      <c r="AL315" s="38">
        <f>IF(AND(AL$7="○",$A315&gt;=AL$8,$A315&lt;=AL$9),IF(SUM(AL$10:AL314)-ROUNDDOWN($N315*AL$5/100,0)&lt;-AL$6,-AL$6-SUM(AL$10:AL314),-ROUNDDOWN($N315*AL$5/100,0)),0)</f>
        <v>0</v>
      </c>
      <c r="AM315" s="38">
        <f>IF(AND(AM$7="○",$A315&gt;=AM$8,$A315&lt;=AM$9),IF(SUM(AM$10:AM314)-ROUNDDOWN($L315*AM$5/100,0)&lt;-AM$6,-AM$6-SUM(AM$10:AM314),-ROUNDDOWN($L315*AM$5/100,0)),0)</f>
        <v>0</v>
      </c>
      <c r="AN315" s="38">
        <f>IF(AND(AN$7="○",$A315&gt;=AN$8,$A315&lt;=AN$9),IF(SUM(AN$10:AN314)-ROUNDDOWN($M315*AN$5/100,0)&lt;-AN$6,-AN$6-SUM(AN$10:AN314),-ROUNDDOWN($M315*AN$5/100,0)),0)</f>
        <v>0</v>
      </c>
      <c r="AO315" s="38">
        <f>IF(AND($A315&gt;=AO$8,$A315&lt;=AO$9),IF(SUM(AO$10:AO314)-ROUNDDOWN($K315*AO$5/100,0)&lt;-AO$6,-AO$6-SUM(AO$10:AO314),-ROUNDDOWN($K315*AO$5/100,0)),0)</f>
        <v>0</v>
      </c>
      <c r="AP315" s="38">
        <f>IF(AND($A315&gt;=AP$8,$A315&lt;=AP$9),IF(SUM(AP$10:AP314)-ROUNDDOWN($K315*AP$5/100,0)&lt;-AP$6,-AP$6-SUM(AP$10:AP314),-ROUNDDOWN($K315*AP$5/100,0)),0)</f>
        <v>0</v>
      </c>
      <c r="AQ315" s="38">
        <f>IF(AND($A315&gt;=AQ$8,$A315&lt;=AQ$9),IF(SUM(AQ$10:AQ314)-ROUNDDOWN($K315*AQ$5/100,0)&lt;-AQ$6,-AQ$6-SUM(AQ$10:AQ314),-ROUNDDOWN($K315*AQ$5/100,0)),0)</f>
        <v>0</v>
      </c>
      <c r="AR315" s="38">
        <f>IF(AND($A315&gt;=AR$8,$A315&lt;=AR$9),IF(SUM(AR$10:AR314)-ROUNDDOWN($K315*AR$5/100,0)&lt;-AR$6,-AR$6-SUM(AR$10:AR314),-ROUNDDOWN($K315*AR$5/100,0)),0)</f>
        <v>0</v>
      </c>
      <c r="AS315" s="38">
        <f>IF(SUMIFS(AS$10:AS314,$A$10:$A314,$A315)-ROUNDDOWN($K315*$S315/100,0)&lt;-$S315*1000,-$S315*1000-SUMIFS(AS$10:AS314,$A$10:$A314,$A315),-ROUNDDOWN($K315*$S315/100,0))</f>
        <v>0</v>
      </c>
      <c r="AT315" s="38">
        <f>IF(AND(X315="○",$A315&gt;=AT$8,$A315&lt;=AT$9,K315&gt;=3980),IF(SUM(AT$10:AT314)-ROUNDDOWN($K315*AT$5/100,0)&lt;-AT$6,-AT$6-SUM(AT$10:AT314),-ROUNDDOWN($K315*AT$5/100,0)),0)</f>
        <v>0</v>
      </c>
      <c r="AU315" s="38">
        <f>IF(O315="○",IF(SUM(AU$10:AU314)-ROUNDDOWN($K315*AU$5/100,0)&lt;-AU$6,-AU$6-SUM(AU$10:AU314),-ROUNDDOWN($K315*AU$5/100,0)),0)</f>
        <v>0</v>
      </c>
      <c r="AV315" s="38">
        <f>IF(P315="○",IF(SUM(AV$10:AV314)-ROUNDDOWN($K315*AV$5/100,0)&lt;-AV$6,-AV$6-SUM(AV$10:AV314),-ROUNDDOWN($K315*AV$5/100,0)),0)</f>
        <v>0</v>
      </c>
      <c r="AW315" s="38">
        <f>IF(Q315="○",IF(SUM(AW$10:AW314)-ROUNDDOWN($K315*AW$5/100,0)&lt;-AW$6,-AW$6-SUM(AW$10:AW314),-ROUNDDOWN($K315*AW$5/100,0)),0)</f>
        <v>0</v>
      </c>
      <c r="AX315" s="38">
        <f>IF(R315="○",IF(SUM(AX$10:AX314)-ROUNDDOWN($K315*AX$5/100,0)&lt;-AX$6,-AX$6-SUM(AX$10:AX314),-ROUNDDOWN($K315*AX$5/100,0)),0)</f>
        <v>0</v>
      </c>
      <c r="AY315" s="70">
        <v>0</v>
      </c>
      <c r="AZ315" s="65">
        <f t="shared" si="213"/>
        <v>0</v>
      </c>
      <c r="BA315" s="65">
        <f t="shared" si="214"/>
        <v>0</v>
      </c>
      <c r="BB315" s="70"/>
      <c r="BC315" s="65">
        <f t="shared" si="215"/>
        <v>0</v>
      </c>
      <c r="BD315" s="70">
        <v>0</v>
      </c>
      <c r="BE315" s="65">
        <f t="shared" si="216"/>
        <v>0</v>
      </c>
      <c r="BF315" s="70">
        <v>0</v>
      </c>
      <c r="BG315" s="65">
        <f t="shared" si="217"/>
        <v>0</v>
      </c>
      <c r="BH315" s="70">
        <v>0</v>
      </c>
      <c r="BI315" s="65">
        <f t="shared" si="218"/>
        <v>0</v>
      </c>
      <c r="BJ315" s="38">
        <f>IF(AND(BJ$7="○",$A315&gt;=BJ$8,$A315&lt;=BJ$9),IF(SUM(BJ$10:BJ314)-ROUNDDOWN($M315*BJ$5/100,0)&lt;-BJ$6,-BJ$6-SUM(BJ$10:BJ314),-ROUNDDOWN($M315*BJ$5/100,0)),0)</f>
        <v>0</v>
      </c>
      <c r="BK315" s="38">
        <f>IF(AND(BK$7="○",$A315&gt;=BK$8,$A315&lt;=BK$9),IF(SUM(BK$10:BK314)-ROUNDDOWN($L315*BK$5/100,0)&lt;-BK$6,-BK$6-SUM(BK$10:BK314),-ROUNDDOWN($L315*BK$5/100,0)),0)</f>
        <v>0</v>
      </c>
      <c r="BL315" s="38">
        <f>IF(AND(BL$7="○",$A315&gt;=BL$8,$A315&lt;=BL$9),IF(SUM(BL$10:BL314)-ROUNDDOWN($L315*BL$5/100,0)&lt;-BL$6,-BL$6-SUM(BL$10:BL314),-ROUNDDOWN($L315*BL$5/100,0)),0)</f>
        <v>0</v>
      </c>
      <c r="BM315" s="38">
        <f>IF(AND(BM$7="○",$A315&gt;=BM$8,$A315&lt;=BM$9),IF(SUM(BM$10:BM314)-ROUNDDOWN($M315*BM$5/100,0)&lt;-BM$6,-BM$6-SUM(BM$10:BM314),-ROUNDDOWN($M315*BM$5/100,0)),0)</f>
        <v>0</v>
      </c>
      <c r="BN315" s="38">
        <f>IF(AND(BN$7="○",$A315&gt;=BN$8,$A315&lt;=BN$9),IF(SUM(BN$10:BN314)-ROUNDDOWN($M315*BN$5/100,0)&lt;-BN$6,-BN$6-SUM(BN$10:BN314),-ROUNDDOWN($M315*BN$5/100,0)),0)</f>
        <v>0</v>
      </c>
      <c r="BO315" s="38">
        <f>IF(AND(BO$7="○",$A315&gt;=BO$8,$A315&lt;=BO$9),IF(SUM(BO$10:BO314)-ROUNDDOWN($M315*BO$5/100,0)&lt;-BO$6,-BO$6-SUM(BO$10:BO314),-ROUNDDOWN($M315*BO$5/100,0)),0)</f>
        <v>0</v>
      </c>
      <c r="BP315" s="38">
        <f>IF(AND(BP$7="○",$A315&gt;=BP$8,$A315&lt;=BP$9),IF(SUM(BP$10:BP314)-ROUNDDOWN($M315*BP$5/100,0)&lt;-BP$6,-BP$6-SUM(BP$10:BP314),-ROUNDDOWN($M315*BP$5/100,0)),0)</f>
        <v>0</v>
      </c>
      <c r="BQ315" s="38">
        <f>IF(AND(BQ$7="○",$A315&gt;=BQ$8,$A315&lt;=BQ$9),IF(SUM(BQ$10:BQ314)-ROUNDDOWN($L315*BQ$5/100,0)&lt;-BQ$6,-BQ$6-SUM(BQ$10:BQ314),-ROUNDDOWN($L315*BQ$5/100,0)),0)</f>
        <v>0</v>
      </c>
      <c r="BR315" s="38">
        <f>IF(AND(BR$7="○",$A315&gt;=BR$8,$A315&lt;=BR$9),IF(SUM(BR$10:BR314)-ROUNDDOWN($M315*BR$5/100,0)&lt;-BR$6,-BR$6-SUM(BR$10:BR314),-ROUNDDOWN($M315*BR$5/100,0)),0)</f>
        <v>0</v>
      </c>
      <c r="BS315" s="38">
        <f>IF(AND(BS$7="○",$A315&gt;=BS$8,$A315&lt;=BS$9),IF(SUM(BS$10:BS314)-ROUNDDOWN($M315*BS$5/100,0)&lt;-BS$6,-BS$6-SUM(BS$10:BS314),-ROUNDDOWN($M315*BS$5/100,0)),0)</f>
        <v>0</v>
      </c>
      <c r="BT315" s="38">
        <f>IF(AND(BT$7="○",$A315&gt;=BT$8,$A315&lt;=BT$9),IF(SUM(BT$10:BT314)-ROUNDDOWN($M315*BT$5/100,0)&lt;-BT$6,-BT$6-SUM(BT$10:BT314),-ROUNDDOWN($M315*BT$5/100,0)),0)</f>
        <v>0</v>
      </c>
      <c r="BU315" s="38">
        <f>IF(AND(BU$7="○",$A315&gt;=BU$8,$A315&lt;=BU$9),IF(SUM(BU$10:BU314)-ROUNDDOWN($M315*BU$5/100,0)&lt;-BU$6,-BU$6-SUM(BU$10:BU314),-ROUNDDOWN($M315*BU$5/100,0)),0)</f>
        <v>0</v>
      </c>
      <c r="BV315" s="38">
        <f>IF(AND(BV$7="○",$A315&gt;=BV$8,$A315&lt;=BV$9),IF(SUM(BV$10:BV314)-ROUNDDOWN($M315*BV$5/100,0)&lt;-BV$6,-BV$6-SUM(BV$10:BV314),-ROUNDDOWN($M315*BV$5/100,0)),0)</f>
        <v>0</v>
      </c>
      <c r="BW315" s="38">
        <f>IF(AND(BW$7="○",$A315&gt;=BW$8,$A315&lt;=BW$9),IF(SUM(BW$10:BW314)-ROUNDDOWN($M315*BW$5/100,0)&lt;-BW$6,-BW$6-SUM(BW$10:BW314),-ROUNDDOWN($M315*BW$5/100,0)),0)</f>
        <v>0</v>
      </c>
      <c r="BX315" s="38">
        <f>IF(AND(T315="○",$A315&gt;=BX$8,$A315&lt;=BX$9),IF(SUM(BX$10:BX314)-ROUNDDOWN($K315*BX$5/100,0)&lt;-BX$6,-BX$6-SUM(BX$10:BX314),-ROUNDDOWN($K315*BX$5/100,0)),0)</f>
        <v>0</v>
      </c>
      <c r="BY315" s="38">
        <f>IF(AND(U315="○",$A315&gt;=BY$8,$A315&lt;=BY$9),IF(SUM(BY$10:BY314)-ROUNDDOWN($K315*BY$5/100,0)&lt;-BY$6,-BY$6-SUM(BY$10:BY314),-ROUNDDOWN($K315*BY$5/100,0)),0)</f>
        <v>0</v>
      </c>
      <c r="BZ315" s="38">
        <f>IF(AND(V315="○",$A315&gt;=BZ$8,$A315&lt;=BZ$9),IF(SUM(BZ$10:BZ314)-ROUNDDOWN($K315*BZ$5/100,0)&lt;-BZ$6,-BZ$6-SUM(BZ$10:BZ314),-ROUNDDOWN($K315*BZ$5/100,0)),0)</f>
        <v>0</v>
      </c>
      <c r="CA315" s="38">
        <f>IF(AND(W315="○",$A315&gt;=CA$8,$A315&lt;=CA$9),IF(SUM(CA$10:CA314)-ROUNDDOWN($K315*CA$5/100,0)&lt;-CA$6,-CA$6-SUM(CA$10:CA314),-ROUNDDOWN($K315*CA$5/100,0)),0)</f>
        <v>0</v>
      </c>
      <c r="CB315" s="38"/>
      <c r="CC315" s="38"/>
      <c r="CD315" s="38"/>
      <c r="CE315" s="38"/>
      <c r="CF315" s="38"/>
      <c r="CG315" s="65">
        <f t="shared" si="219"/>
        <v>0</v>
      </c>
      <c r="CH315" s="71">
        <f t="shared" si="220"/>
        <v>0</v>
      </c>
      <c r="CI315" s="1">
        <f t="shared" si="19"/>
        <v>0</v>
      </c>
      <c r="CJ315" s="1"/>
      <c r="CK315" s="2"/>
      <c r="CL315" s="2"/>
      <c r="CM315" s="2"/>
      <c r="CN315" s="2"/>
      <c r="CO315" s="73">
        <f t="shared" si="20"/>
        <v>0</v>
      </c>
      <c r="CP315" s="5">
        <f t="shared" si="21"/>
        <v>0</v>
      </c>
      <c r="CQ315" s="1"/>
      <c r="CR315" s="1">
        <f t="shared" si="22"/>
        <v>0</v>
      </c>
      <c r="CS315" s="1"/>
      <c r="CT315" s="1" t="e">
        <f>INDEX([2]マスタ!$A:$A,MATCH(D315,[2]マスタ!$C:$C,0))</f>
        <v>#N/A</v>
      </c>
      <c r="CU315" s="1" t="str">
        <f t="shared" ca="1" si="23"/>
        <v>20260620_0-0</v>
      </c>
    </row>
    <row r="316" spans="1:99" x14ac:dyDescent="0.4">
      <c r="A316" s="61"/>
      <c r="B316" s="62"/>
      <c r="C316" s="62"/>
      <c r="D316" s="62"/>
      <c r="E316" s="74"/>
      <c r="F316" s="62"/>
      <c r="G316" s="62">
        <v>1</v>
      </c>
      <c r="H316" s="64">
        <f t="shared" ref="H316:H345" si="232">+F316*G316</f>
        <v>0</v>
      </c>
      <c r="I316" s="64"/>
      <c r="J316" s="64"/>
      <c r="K316" s="65">
        <f t="shared" ref="K316:K327" si="233">+ROUNDDOWN((H316+I316)/100,0)*100</f>
        <v>0</v>
      </c>
      <c r="L316" s="65">
        <f t="shared" ref="L316:L345" si="234">+ROUNDDOWN((H316+I316)/1.1/100,0)*100</f>
        <v>0</v>
      </c>
      <c r="M316" s="65">
        <f t="shared" ref="M316:M345" si="235">+ROUNDDOWN((H316+I316)/1.1/200,0)*200</f>
        <v>0</v>
      </c>
      <c r="N316" s="65">
        <f t="shared" ref="N316:N345" si="236">+H316+I316+J316</f>
        <v>0</v>
      </c>
      <c r="O316" s="66" t="str">
        <f t="shared" ref="O316:O345" si="237">IF(OR(WEEKDAY($A316,2)=2,WEEKDAY($A316,2)=4),"○","✕")</f>
        <v>✕</v>
      </c>
      <c r="P316" s="67" t="str">
        <f t="shared" ref="P316:P345" si="238">+IF(MOD(TEXT($A316,"DD"),5)=0,"○","✕")</f>
        <v>○</v>
      </c>
      <c r="Q316" s="67" t="str">
        <f t="shared" ref="Q316:Q327" si="239">+IF((TEXT($A316,"DD")+0)=1,"○","✕")</f>
        <v>✕</v>
      </c>
      <c r="R316" s="67" t="str">
        <f t="shared" ref="R316:R345" si="240">+IF((TEXT($A316,"DD")+0)=18,"○","✕")</f>
        <v>✕</v>
      </c>
      <c r="S316" s="68">
        <v>0</v>
      </c>
      <c r="T316" s="69" t="s">
        <v>85</v>
      </c>
      <c r="U316" s="69" t="s">
        <v>85</v>
      </c>
      <c r="V316" s="69" t="s">
        <v>85</v>
      </c>
      <c r="W316" s="69" t="s">
        <v>85</v>
      </c>
      <c r="X316" s="69" t="s">
        <v>84</v>
      </c>
      <c r="Y316" s="69" t="s">
        <v>85</v>
      </c>
      <c r="Z316" s="69" t="s">
        <v>85</v>
      </c>
      <c r="AA316" s="69" t="s">
        <v>85</v>
      </c>
      <c r="AB316" s="69" t="s">
        <v>85</v>
      </c>
      <c r="AC316" s="69" t="s">
        <v>85</v>
      </c>
      <c r="AD316" s="38" t="str">
        <f>+IF(ISERROR(VLOOKUP($B316,#REF!,1,0)),IF(AND($N316&gt;=1000,$A316&gt;=AO$8,$A316&lt;=AO$9),$B316,""),"")</f>
        <v/>
      </c>
      <c r="AE316" s="38" t="str">
        <f>+IF(ISERROR(VLOOKUP($B316,#REF!,1,0)),IF(AND($N316&gt;=1000,$A316&gt;=AP$8,$A316&lt;=AP$9),$B316,""),"")</f>
        <v/>
      </c>
      <c r="AF316" s="38" t="str">
        <f>+IF(ISERROR(VLOOKUP($B316,#REF!,1,0)),IF(AND($N316&gt;=1000,$A316&gt;=AQ$8,$A316&lt;=AQ$9),$B316,""),"")</f>
        <v/>
      </c>
      <c r="AG316" s="38" t="str">
        <f>+IF(ISERROR(VLOOKUP($B316,#REF!,1,0)),IF(AND($N316&gt;=1000,$A316&gt;=AR$8,$A316&lt;=AR$9),$B316,""),"")</f>
        <v/>
      </c>
      <c r="AH316" s="38"/>
      <c r="AI316" s="70">
        <v>0</v>
      </c>
      <c r="AJ316" s="38">
        <f>IF(AND(AJ$7="○",$A316&gt;=AJ$8,$A316&lt;=AJ$9),IF(SUM(AJ$10:AJ315)-ROUNDDOWN($K316*AJ$5/100,0)&lt;-AJ$6,-AJ$6-SUM(AJ$10:AJ315),-ROUNDDOWN($K316*AJ$5/100,0)),0)</f>
        <v>0</v>
      </c>
      <c r="AK316" s="38">
        <f>IF(AND(AK$7="○",$A316&gt;=AK$8,$A316&lt;=AK$9),IF(SUM(AK$10:AK315)-ROUNDDOWN($L316*AK$5/100,0)&lt;-AK$6,-AK$6-SUM(AK$10:AK315),-ROUNDDOWN($L316*AK$5/100,0)),0)</f>
        <v>0</v>
      </c>
      <c r="AL316" s="38">
        <f>IF(AND(AL$7="○",$A316&gt;=AL$8,$A316&lt;=AL$9),IF(SUM(AL$10:AL315)-ROUNDDOWN($N316*AL$5/100,0)&lt;-AL$6,-AL$6-SUM(AL$10:AL315),-ROUNDDOWN($N316*AL$5/100,0)),0)</f>
        <v>0</v>
      </c>
      <c r="AM316" s="38">
        <f>IF(AND(AM$7="○",$A316&gt;=AM$8,$A316&lt;=AM$9),IF(SUM(AM$10:AM315)-ROUNDDOWN($L316*AM$5/100,0)&lt;-AM$6,-AM$6-SUM(AM$10:AM315),-ROUNDDOWN($L316*AM$5/100,0)),0)</f>
        <v>0</v>
      </c>
      <c r="AN316" s="38">
        <f>IF(AND(AN$7="○",$A316&gt;=AN$8,$A316&lt;=AN$9),IF(SUM(AN$10:AN315)-ROUNDDOWN($M316*AN$5/100,0)&lt;-AN$6,-AN$6-SUM(AN$10:AN315),-ROUNDDOWN($M316*AN$5/100,0)),0)</f>
        <v>0</v>
      </c>
      <c r="AO316" s="38">
        <f>IF(AND($A316&gt;=AO$8,$A316&lt;=AO$9),IF(SUM(AO$10:AO315)-ROUNDDOWN($K316*AO$5/100,0)&lt;-AO$6,-AO$6-SUM(AO$10:AO315),-ROUNDDOWN($K316*AO$5/100,0)),0)</f>
        <v>0</v>
      </c>
      <c r="AP316" s="38">
        <f>IF(AND($A316&gt;=AP$8,$A316&lt;=AP$9),IF(SUM(AP$10:AP315)-ROUNDDOWN($K316*AP$5/100,0)&lt;-AP$6,-AP$6-SUM(AP$10:AP315),-ROUNDDOWN($K316*AP$5/100,0)),0)</f>
        <v>0</v>
      </c>
      <c r="AQ316" s="38">
        <f>IF(AND($A316&gt;=AQ$8,$A316&lt;=AQ$9),IF(SUM(AQ$10:AQ315)-ROUNDDOWN($K316*AQ$5/100,0)&lt;-AQ$6,-AQ$6-SUM(AQ$10:AQ315),-ROUNDDOWN($K316*AQ$5/100,0)),0)</f>
        <v>0</v>
      </c>
      <c r="AR316" s="38">
        <f>IF(AND($A316&gt;=AR$8,$A316&lt;=AR$9),IF(SUM(AR$10:AR315)-ROUNDDOWN($K316*AR$5/100,0)&lt;-AR$6,-AR$6-SUM(AR$10:AR315),-ROUNDDOWN($K316*AR$5/100,0)),0)</f>
        <v>0</v>
      </c>
      <c r="AS316" s="38">
        <f>IF(SUMIFS(AS$10:AS315,$A$10:$A315,$A316)-ROUNDDOWN($K316*$S316/100,0)&lt;-$S316*1000,-$S316*1000-SUMIFS(AS$10:AS315,$A$10:$A315,$A316),-ROUNDDOWN($K316*$S316/100,0))</f>
        <v>0</v>
      </c>
      <c r="AT316" s="38">
        <f>IF(AND(X316="○",$A316&gt;=AT$8,$A316&lt;=AT$9,K316&gt;=3980),IF(SUM(AT$10:AT315)-ROUNDDOWN($K316*AT$5/100,0)&lt;-AT$6,-AT$6-SUM(AT$10:AT315),-ROUNDDOWN($K316*AT$5/100,0)),0)</f>
        <v>0</v>
      </c>
      <c r="AU316" s="38">
        <f>IF(O316="○",IF(SUM(AU$10:AU315)-ROUNDDOWN($K316*AU$5/100,0)&lt;-AU$6,-AU$6-SUM(AU$10:AU315),-ROUNDDOWN($K316*AU$5/100,0)),0)</f>
        <v>0</v>
      </c>
      <c r="AV316" s="38">
        <f>IF(P316="○",IF(SUM(AV$10:AV315)-ROUNDDOWN($K316*AV$5/100,0)&lt;-AV$6,-AV$6-SUM(AV$10:AV315),-ROUNDDOWN($K316*AV$5/100,0)),0)</f>
        <v>0</v>
      </c>
      <c r="AW316" s="38">
        <f>IF(Q316="○",IF(SUM(AW$10:AW315)-ROUNDDOWN($K316*AW$5/100,0)&lt;-AW$6,-AW$6-SUM(AW$10:AW315),-ROUNDDOWN($K316*AW$5/100,0)),0)</f>
        <v>0</v>
      </c>
      <c r="AX316" s="38">
        <f>IF(R316="○",IF(SUM(AX$10:AX315)-ROUNDDOWN($K316*AX$5/100,0)&lt;-AX$6,-AX$6-SUM(AX$10:AX315),-ROUNDDOWN($K316*AX$5/100,0)),0)</f>
        <v>0</v>
      </c>
      <c r="AY316" s="70">
        <v>0</v>
      </c>
      <c r="AZ316" s="65">
        <f t="shared" si="213"/>
        <v>0</v>
      </c>
      <c r="BA316" s="65">
        <f t="shared" si="214"/>
        <v>0</v>
      </c>
      <c r="BB316" s="70"/>
      <c r="BC316" s="65">
        <f t="shared" si="215"/>
        <v>0</v>
      </c>
      <c r="BD316" s="70">
        <v>0</v>
      </c>
      <c r="BE316" s="65">
        <f t="shared" si="216"/>
        <v>0</v>
      </c>
      <c r="BF316" s="70">
        <v>0</v>
      </c>
      <c r="BG316" s="65">
        <f t="shared" si="217"/>
        <v>0</v>
      </c>
      <c r="BH316" s="70">
        <v>0</v>
      </c>
      <c r="BI316" s="65">
        <f t="shared" si="218"/>
        <v>0</v>
      </c>
      <c r="BJ316" s="38">
        <f>IF(AND(BJ$7="○",$A316&gt;=BJ$8,$A316&lt;=BJ$9),IF(SUM(BJ$10:BJ315)-ROUNDDOWN($M316*BJ$5/100,0)&lt;-BJ$6,-BJ$6-SUM(BJ$10:BJ315),-ROUNDDOWN($M316*BJ$5/100,0)),0)</f>
        <v>0</v>
      </c>
      <c r="BK316" s="38">
        <f>IF(AND(BK$7="○",$A316&gt;=BK$8,$A316&lt;=BK$9),IF(SUM(BK$10:BK315)-ROUNDDOWN($L316*BK$5/100,0)&lt;-BK$6,-BK$6-SUM(BK$10:BK315),-ROUNDDOWN($L316*BK$5/100,0)),0)</f>
        <v>0</v>
      </c>
      <c r="BL316" s="38">
        <f>IF(AND(BL$7="○",$A316&gt;=BL$8,$A316&lt;=BL$9),IF(SUM(BL$10:BL315)-ROUNDDOWN($L316*BL$5/100,0)&lt;-BL$6,-BL$6-SUM(BL$10:BL315),-ROUNDDOWN($L316*BL$5/100,0)),0)</f>
        <v>0</v>
      </c>
      <c r="BM316" s="38">
        <f>IF(AND(BM$7="○",$A316&gt;=BM$8,$A316&lt;=BM$9),IF(SUM(BM$10:BM315)-ROUNDDOWN($M316*BM$5/100,0)&lt;-BM$6,-BM$6-SUM(BM$10:BM315),-ROUNDDOWN($M316*BM$5/100,0)),0)</f>
        <v>0</v>
      </c>
      <c r="BN316" s="38">
        <f>IF(AND(BN$7="○",$A316&gt;=BN$8,$A316&lt;=BN$9),IF(SUM(BN$10:BN315)-ROUNDDOWN($M316*BN$5/100,0)&lt;-BN$6,-BN$6-SUM(BN$10:BN315),-ROUNDDOWN($M316*BN$5/100,0)),0)</f>
        <v>0</v>
      </c>
      <c r="BO316" s="38">
        <f>IF(AND(BO$7="○",$A316&gt;=BO$8,$A316&lt;=BO$9),IF(SUM(BO$10:BO315)-ROUNDDOWN($M316*BO$5/100,0)&lt;-BO$6,-BO$6-SUM(BO$10:BO315),-ROUNDDOWN($M316*BO$5/100,0)),0)</f>
        <v>0</v>
      </c>
      <c r="BP316" s="38">
        <f>IF(AND(BP$7="○",$A316&gt;=BP$8,$A316&lt;=BP$9),IF(SUM(BP$10:BP315)-ROUNDDOWN($M316*BP$5/100,0)&lt;-BP$6,-BP$6-SUM(BP$10:BP315),-ROUNDDOWN($M316*BP$5/100,0)),0)</f>
        <v>0</v>
      </c>
      <c r="BQ316" s="38">
        <f>IF(AND(BQ$7="○",$A316&gt;=BQ$8,$A316&lt;=BQ$9),IF(SUM(BQ$10:BQ315)-ROUNDDOWN($L316*BQ$5/100,0)&lt;-BQ$6,-BQ$6-SUM(BQ$10:BQ315),-ROUNDDOWN($L316*BQ$5/100,0)),0)</f>
        <v>0</v>
      </c>
      <c r="BR316" s="38">
        <f>IF(AND(BR$7="○",$A316&gt;=BR$8,$A316&lt;=BR$9),IF(SUM(BR$10:BR315)-ROUNDDOWN($M316*BR$5/100,0)&lt;-BR$6,-BR$6-SUM(BR$10:BR315),-ROUNDDOWN($M316*BR$5/100,0)),0)</f>
        <v>0</v>
      </c>
      <c r="BS316" s="38">
        <f>IF(AND(BS$7="○",$A316&gt;=BS$8,$A316&lt;=BS$9),IF(SUM(BS$10:BS315)-ROUNDDOWN($M316*BS$5/100,0)&lt;-BS$6,-BS$6-SUM(BS$10:BS315),-ROUNDDOWN($M316*BS$5/100,0)),0)</f>
        <v>0</v>
      </c>
      <c r="BT316" s="38">
        <f>IF(AND(BT$7="○",$A316&gt;=BT$8,$A316&lt;=BT$9),IF(SUM(BT$10:BT315)-ROUNDDOWN($M316*BT$5/100,0)&lt;-BT$6,-BT$6-SUM(BT$10:BT315),-ROUNDDOWN($M316*BT$5/100,0)),0)</f>
        <v>0</v>
      </c>
      <c r="BU316" s="38">
        <f>IF(AND(BU$7="○",$A316&gt;=BU$8,$A316&lt;=BU$9),IF(SUM(BU$10:BU315)-ROUNDDOWN($M316*BU$5/100,0)&lt;-BU$6,-BU$6-SUM(BU$10:BU315),-ROUNDDOWN($M316*BU$5/100,0)),0)</f>
        <v>0</v>
      </c>
      <c r="BV316" s="38">
        <f>IF(AND(BV$7="○",$A316&gt;=BV$8,$A316&lt;=BV$9),IF(SUM(BV$10:BV315)-ROUNDDOWN($M316*BV$5/100,0)&lt;-BV$6,-BV$6-SUM(BV$10:BV315),-ROUNDDOWN($M316*BV$5/100,0)),0)</f>
        <v>0</v>
      </c>
      <c r="BW316" s="38">
        <f>IF(AND(BW$7="○",$A316&gt;=BW$8,$A316&lt;=BW$9),IF(SUM(BW$10:BW315)-ROUNDDOWN($M316*BW$5/100,0)&lt;-BW$6,-BW$6-SUM(BW$10:BW315),-ROUNDDOWN($M316*BW$5/100,0)),0)</f>
        <v>0</v>
      </c>
      <c r="BX316" s="38">
        <f>IF(AND(T316="○",$A316&gt;=BX$8,$A316&lt;=BX$9),IF(SUM(BX$10:BX315)-ROUNDDOWN($K316*BX$5/100,0)&lt;-BX$6,-BX$6-SUM(BX$10:BX315),-ROUNDDOWN($K316*BX$5/100,0)),0)</f>
        <v>0</v>
      </c>
      <c r="BY316" s="38">
        <f>IF(AND(U316="○",$A316&gt;=BY$8,$A316&lt;=BY$9),IF(SUM(BY$10:BY315)-ROUNDDOWN($K316*BY$5/100,0)&lt;-BY$6,-BY$6-SUM(BY$10:BY315),-ROUNDDOWN($K316*BY$5/100,0)),0)</f>
        <v>0</v>
      </c>
      <c r="BZ316" s="38">
        <f>IF(AND(V316="○",$A316&gt;=BZ$8,$A316&lt;=BZ$9),IF(SUM(BZ$10:BZ315)-ROUNDDOWN($K316*BZ$5/100,0)&lt;-BZ$6,-BZ$6-SUM(BZ$10:BZ315),-ROUNDDOWN($K316*BZ$5/100,0)),0)</f>
        <v>0</v>
      </c>
      <c r="CA316" s="38">
        <f>IF(AND(W316="○",$A316&gt;=CA$8,$A316&lt;=CA$9),IF(SUM(CA$10:CA315)-ROUNDDOWN($K316*CA$5/100,0)&lt;-CA$6,-CA$6-SUM(CA$10:CA315),-ROUNDDOWN($K316*CA$5/100,0)),0)</f>
        <v>0</v>
      </c>
      <c r="CB316" s="38"/>
      <c r="CC316" s="38"/>
      <c r="CD316" s="38"/>
      <c r="CE316" s="38"/>
      <c r="CF316" s="38"/>
      <c r="CG316" s="65">
        <f t="shared" si="219"/>
        <v>0</v>
      </c>
      <c r="CH316" s="71">
        <f t="shared" si="220"/>
        <v>0</v>
      </c>
      <c r="CI316" s="1">
        <f t="shared" ref="CI316:CI345" si="241">IFERROR(ROUNDDOWN((CH316/G316),0),0)</f>
        <v>0</v>
      </c>
      <c r="CJ316" s="1"/>
      <c r="CK316" s="72"/>
      <c r="CL316" s="72"/>
      <c r="CM316" s="2"/>
      <c r="CN316" s="2"/>
      <c r="CO316" s="73">
        <f t="shared" ref="CO316:CO345" si="242">IFERROR(CN316-CI316,0)</f>
        <v>0</v>
      </c>
      <c r="CP316" s="5">
        <f t="shared" ref="CP316:CP345" si="243">IFERROR(CN316/CI316,0)</f>
        <v>0</v>
      </c>
      <c r="CQ316" s="1"/>
      <c r="CR316" s="1">
        <f t="shared" ref="CR316:CR345" si="244">+CO316*G316</f>
        <v>0</v>
      </c>
      <c r="CS316" s="1"/>
      <c r="CT316" s="1" t="e">
        <f>INDEX([2]マスタ!$A:$A,MATCH(D316,[2]マスタ!$C:$C,0))</f>
        <v>#N/A</v>
      </c>
      <c r="CU316" s="1" t="str">
        <f t="shared" ref="CU316:CU345" ca="1" si="245">IFERROR(TEXT(TODAY(),"yyyymmdd")&amp;"_"&amp;ROUNDDOWN(H316+I316,0)&amp;"-"&amp;ROUNDDOWN(CI316,0),"")</f>
        <v>20260620_0-0</v>
      </c>
    </row>
    <row r="317" spans="1:99" x14ac:dyDescent="0.4">
      <c r="A317" s="61"/>
      <c r="B317" s="62"/>
      <c r="C317" s="62"/>
      <c r="D317" s="62"/>
      <c r="E317" s="76"/>
      <c r="F317" s="62"/>
      <c r="G317" s="62">
        <v>1</v>
      </c>
      <c r="H317" s="64">
        <f t="shared" si="232"/>
        <v>0</v>
      </c>
      <c r="I317" s="64"/>
      <c r="J317" s="64"/>
      <c r="K317" s="65">
        <f t="shared" si="233"/>
        <v>0</v>
      </c>
      <c r="L317" s="65">
        <f t="shared" si="234"/>
        <v>0</v>
      </c>
      <c r="M317" s="65">
        <f t="shared" si="235"/>
        <v>0</v>
      </c>
      <c r="N317" s="65">
        <f t="shared" si="236"/>
        <v>0</v>
      </c>
      <c r="O317" s="66" t="str">
        <f t="shared" si="237"/>
        <v>✕</v>
      </c>
      <c r="P317" s="67" t="str">
        <f t="shared" si="238"/>
        <v>○</v>
      </c>
      <c r="Q317" s="67" t="str">
        <f t="shared" si="239"/>
        <v>✕</v>
      </c>
      <c r="R317" s="67" t="str">
        <f t="shared" si="240"/>
        <v>✕</v>
      </c>
      <c r="S317" s="68">
        <v>0</v>
      </c>
      <c r="T317" s="69" t="s">
        <v>85</v>
      </c>
      <c r="U317" s="69" t="s">
        <v>85</v>
      </c>
      <c r="V317" s="69" t="s">
        <v>85</v>
      </c>
      <c r="W317" s="69" t="s">
        <v>85</v>
      </c>
      <c r="X317" s="69" t="s">
        <v>84</v>
      </c>
      <c r="Y317" s="69" t="s">
        <v>85</v>
      </c>
      <c r="Z317" s="69" t="s">
        <v>85</v>
      </c>
      <c r="AA317" s="69" t="s">
        <v>85</v>
      </c>
      <c r="AB317" s="69" t="s">
        <v>85</v>
      </c>
      <c r="AC317" s="69" t="s">
        <v>85</v>
      </c>
      <c r="AD317" s="38" t="str">
        <f>+IF(ISERROR(VLOOKUP($B317,AD$10:AD316,1,0)),IF(AND($N317&gt;=1000,$A317&gt;=AO$8,$A317&lt;=AO$9),$B317,""),"")</f>
        <v/>
      </c>
      <c r="AE317" s="38" t="str">
        <f>+IF(ISERROR(VLOOKUP($B317,AE$10:AE316,1,0)),IF(AND($N317&gt;=1000,$A317&gt;=AP$8,$A317&lt;=AP$9),$B317,""),"")</f>
        <v/>
      </c>
      <c r="AF317" s="38" t="str">
        <f>+IF(ISERROR(VLOOKUP($B317,AF$10:AF316,1,0)),IF(AND($N317&gt;=1000,$A317&gt;=AQ$8,$A317&lt;=AQ$9),$B317,""),"")</f>
        <v/>
      </c>
      <c r="AG317" s="38" t="str">
        <f>+IF(ISERROR(VLOOKUP($B317,AG$10:AG316,1,0)),IF(AND($N317&gt;=1000,$A317&gt;=AR$8,$A317&lt;=AR$9),$B317,""),"")</f>
        <v/>
      </c>
      <c r="AH317" s="38"/>
      <c r="AI317" s="70">
        <v>0</v>
      </c>
      <c r="AJ317" s="38">
        <f>IF(AND(AJ$7="○",$A317&gt;=AJ$8,$A317&lt;=AJ$9),IF(SUM(AJ$10:AJ316)-ROUNDDOWN($K317*AJ$5/100,0)&lt;-AJ$6,-AJ$6-SUM(AJ$10:AJ316),-ROUNDDOWN($K317*AJ$5/100,0)),0)</f>
        <v>0</v>
      </c>
      <c r="AK317" s="38">
        <f>IF(AND(AK$7="○",$A317&gt;=AK$8,$A317&lt;=AK$9),IF(SUM(AK$10:AK316)-ROUNDDOWN($L317*AK$5/100,0)&lt;-AK$6,-AK$6-SUM(AK$10:AK316),-ROUNDDOWN($L317*AK$5/100,0)),0)</f>
        <v>0</v>
      </c>
      <c r="AL317" s="38">
        <f>IF(AND(AL$7="○",$A317&gt;=AL$8,$A317&lt;=AL$9),IF(SUM(AL$10:AL316)-ROUNDDOWN($N317*AL$5/100,0)&lt;-AL$6,-AL$6-SUM(AL$10:AL316),-ROUNDDOWN($N317*AL$5/100,0)),0)</f>
        <v>0</v>
      </c>
      <c r="AM317" s="38">
        <f>IF(AND(AM$7="○",$A317&gt;=AM$8,$A317&lt;=AM$9),IF(SUM(AM$10:AM316)-ROUNDDOWN($L317*AM$5/100,0)&lt;-AM$6,-AM$6-SUM(AM$10:AM316),-ROUNDDOWN($L317*AM$5/100,0)),0)</f>
        <v>0</v>
      </c>
      <c r="AN317" s="38">
        <f>IF(AND(AN$7="○",$A317&gt;=AN$8,$A317&lt;=AN$9),IF(SUM(AN$10:AN316)-ROUNDDOWN($M317*AN$5/100,0)&lt;-AN$6,-AN$6-SUM(AN$10:AN316),-ROUNDDOWN($M317*AN$5/100,0)),0)</f>
        <v>0</v>
      </c>
      <c r="AO317" s="38">
        <f>IF(AND($A317&gt;=AO$8,$A317&lt;=AO$9),IF(SUM(AO$10:AO316)-ROUNDDOWN($K317*AO$5/100,0)&lt;-AO$6,-AO$6-SUM(AO$10:AO316),-ROUNDDOWN($K317*AO$5/100,0)),0)</f>
        <v>0</v>
      </c>
      <c r="AP317" s="38">
        <f>IF(AND($A317&gt;=AP$8,$A317&lt;=AP$9),IF(SUM(AP$10:AP316)-ROUNDDOWN($K317*AP$5/100,0)&lt;-AP$6,-AP$6-SUM(AP$10:AP316),-ROUNDDOWN($K317*AP$5/100,0)),0)</f>
        <v>0</v>
      </c>
      <c r="AQ317" s="38">
        <f>IF(AND($A317&gt;=AQ$8,$A317&lt;=AQ$9),IF(SUM(AQ$10:AQ316)-ROUNDDOWN($K317*AQ$5/100,0)&lt;-AQ$6,-AQ$6-SUM(AQ$10:AQ316),-ROUNDDOWN($K317*AQ$5/100,0)),0)</f>
        <v>0</v>
      </c>
      <c r="AR317" s="38">
        <f>IF(AND($A317&gt;=AR$8,$A317&lt;=AR$9),IF(SUM(AR$10:AR316)-ROUNDDOWN($K317*AR$5/100,0)&lt;-AR$6,-AR$6-SUM(AR$10:AR316),-ROUNDDOWN($K317*AR$5/100,0)),0)</f>
        <v>0</v>
      </c>
      <c r="AS317" s="38">
        <f>IF(SUMIFS(AS$10:AS316,$A$10:$A316,$A317)-ROUNDDOWN($K317*$S317/100,0)&lt;-$S317*1000,-$S317*1000-SUMIFS(AS$10:AS316,$A$10:$A316,$A317),-ROUNDDOWN($K317*$S317/100,0))</f>
        <v>0</v>
      </c>
      <c r="AT317" s="38">
        <f>IF(AND(X317="○",$A317&gt;=AT$8,$A317&lt;=AT$9,K317&gt;=3980),IF(SUM(AT$10:AT316)-ROUNDDOWN($K317*AT$5/100,0)&lt;-AT$6,-AT$6-SUM(AT$10:AT316),-ROUNDDOWN($K317*AT$5/100,0)),0)</f>
        <v>0</v>
      </c>
      <c r="AU317" s="38">
        <f>IF(O317="○",IF(SUM(AU$10:AU316)-ROUNDDOWN($K317*AU$5/100,0)&lt;-AU$6,-AU$6-SUM(AU$10:AU316),-ROUNDDOWN($K317*AU$5/100,0)),0)</f>
        <v>0</v>
      </c>
      <c r="AV317" s="38">
        <f>IF(P317="○",IF(SUM(AV$10:AV316)-ROUNDDOWN($K317*AV$5/100,0)&lt;-AV$6,-AV$6-SUM(AV$10:AV316),-ROUNDDOWN($K317*AV$5/100,0)),0)</f>
        <v>0</v>
      </c>
      <c r="AW317" s="38">
        <f>IF(Q317="○",IF(SUM(AW$10:AW316)-ROUNDDOWN($K317*AW$5/100,0)&lt;-AW$6,-AW$6-SUM(AW$10:AW316),-ROUNDDOWN($K317*AW$5/100,0)),0)</f>
        <v>0</v>
      </c>
      <c r="AX317" s="38">
        <f>IF(R317="○",IF(SUM(AX$10:AX316)-ROUNDDOWN($K317*AX$5/100,0)&lt;-AX$6,-AX$6-SUM(AX$10:AX316),-ROUNDDOWN($K317*AX$5/100,0)),0)</f>
        <v>0</v>
      </c>
      <c r="AY317" s="70">
        <v>0</v>
      </c>
      <c r="AZ317" s="65">
        <f t="shared" si="213"/>
        <v>0</v>
      </c>
      <c r="BA317" s="65">
        <f t="shared" si="214"/>
        <v>0</v>
      </c>
      <c r="BB317" s="70"/>
      <c r="BC317" s="65">
        <f t="shared" si="215"/>
        <v>0</v>
      </c>
      <c r="BD317" s="70">
        <v>0</v>
      </c>
      <c r="BE317" s="65">
        <f t="shared" si="216"/>
        <v>0</v>
      </c>
      <c r="BF317" s="70">
        <v>0</v>
      </c>
      <c r="BG317" s="65">
        <f t="shared" si="217"/>
        <v>0</v>
      </c>
      <c r="BH317" s="70">
        <v>0</v>
      </c>
      <c r="BI317" s="65">
        <f t="shared" si="218"/>
        <v>0</v>
      </c>
      <c r="BJ317" s="38">
        <f>IF(AND(BJ$7="○",$A317&gt;=BJ$8,$A317&lt;=BJ$9),IF(SUM(BJ$10:BJ316)-ROUNDDOWN($M317*BJ$5/100,0)&lt;-BJ$6,-BJ$6-SUM(BJ$10:BJ316),-ROUNDDOWN($M317*BJ$5/100,0)),0)</f>
        <v>0</v>
      </c>
      <c r="BK317" s="38">
        <f>IF(AND(BK$7="○",$A317&gt;=BK$8,$A317&lt;=BK$9),IF(SUM(BK$10:BK316)-ROUNDDOWN($L317*BK$5/100,0)&lt;-BK$6,-BK$6-SUM(BK$10:BK316),-ROUNDDOWN($L317*BK$5/100,0)),0)</f>
        <v>0</v>
      </c>
      <c r="BL317" s="38">
        <f>IF(AND(BL$7="○",$A317&gt;=BL$8,$A317&lt;=BL$9),IF(SUM(BL$10:BL316)-ROUNDDOWN($L317*BL$5/100,0)&lt;-BL$6,-BL$6-SUM(BL$10:BL316),-ROUNDDOWN($L317*BL$5/100,0)),0)</f>
        <v>0</v>
      </c>
      <c r="BM317" s="38">
        <f>IF(AND(BM$7="○",$A317&gt;=BM$8,$A317&lt;=BM$9),IF(SUM(BM$10:BM316)-ROUNDDOWN($M317*BM$5/100,0)&lt;-BM$6,-BM$6-SUM(BM$10:BM316),-ROUNDDOWN($M317*BM$5/100,0)),0)</f>
        <v>0</v>
      </c>
      <c r="BN317" s="38">
        <f>IF(AND(BN$7="○",$A317&gt;=BN$8,$A317&lt;=BN$9),IF(SUM(BN$10:BN316)-ROUNDDOWN($M317*BN$5/100,0)&lt;-BN$6,-BN$6-SUM(BN$10:BN316),-ROUNDDOWN($M317*BN$5/100,0)),0)</f>
        <v>0</v>
      </c>
      <c r="BO317" s="38">
        <f>IF(AND(BO$7="○",$A317&gt;=BO$8,$A317&lt;=BO$9),IF(SUM(BO$10:BO316)-ROUNDDOWN($M317*BO$5/100,0)&lt;-BO$6,-BO$6-SUM(BO$10:BO316),-ROUNDDOWN($M317*BO$5/100,0)),0)</f>
        <v>0</v>
      </c>
      <c r="BP317" s="38">
        <f>IF(AND(BP$7="○",$A317&gt;=BP$8,$A317&lt;=BP$9),IF(SUM(BP$10:BP316)-ROUNDDOWN($M317*BP$5/100,0)&lt;-BP$6,-BP$6-SUM(BP$10:BP316),-ROUNDDOWN($M317*BP$5/100,0)),0)</f>
        <v>0</v>
      </c>
      <c r="BQ317" s="38">
        <f>IF(AND(BQ$7="○",$A317&gt;=BQ$8,$A317&lt;=BQ$9),IF(SUM(BQ$10:BQ316)-ROUNDDOWN($L317*BQ$5/100,0)&lt;-BQ$6,-BQ$6-SUM(BQ$10:BQ316),-ROUNDDOWN($L317*BQ$5/100,0)),0)</f>
        <v>0</v>
      </c>
      <c r="BR317" s="38">
        <f>IF(AND(BR$7="○",$A317&gt;=BR$8,$A317&lt;=BR$9),IF(SUM(BR$10:BR316)-ROUNDDOWN($M317*BR$5/100,0)&lt;-BR$6,-BR$6-SUM(BR$10:BR316),-ROUNDDOWN($M317*BR$5/100,0)),0)</f>
        <v>0</v>
      </c>
      <c r="BS317" s="38">
        <f>IF(AND(BS$7="○",$A317&gt;=BS$8,$A317&lt;=BS$9),IF(SUM(BS$10:BS316)-ROUNDDOWN($M317*BS$5/100,0)&lt;-BS$6,-BS$6-SUM(BS$10:BS316),-ROUNDDOWN($M317*BS$5/100,0)),0)</f>
        <v>0</v>
      </c>
      <c r="BT317" s="38">
        <f>IF(AND(BT$7="○",$A317&gt;=BT$8,$A317&lt;=BT$9),IF(SUM(BT$10:BT316)-ROUNDDOWN($M317*BT$5/100,0)&lt;-BT$6,-BT$6-SUM(BT$10:BT316),-ROUNDDOWN($M317*BT$5/100,0)),0)</f>
        <v>0</v>
      </c>
      <c r="BU317" s="38">
        <f>IF(AND(BU$7="○",$A317&gt;=BU$8,$A317&lt;=BU$9),IF(SUM(BU$10:BU316)-ROUNDDOWN($M317*BU$5/100,0)&lt;-BU$6,-BU$6-SUM(BU$10:BU316),-ROUNDDOWN($M317*BU$5/100,0)),0)</f>
        <v>0</v>
      </c>
      <c r="BV317" s="38">
        <f>IF(AND(BV$7="○",$A317&gt;=BV$8,$A317&lt;=BV$9),IF(SUM(BV$10:BV316)-ROUNDDOWN($M317*BV$5/100,0)&lt;-BV$6,-BV$6-SUM(BV$10:BV316),-ROUNDDOWN($M317*BV$5/100,0)),0)</f>
        <v>0</v>
      </c>
      <c r="BW317" s="38">
        <f>IF(AND(BW$7="○",$A317&gt;=BW$8,$A317&lt;=BW$9),IF(SUM(BW$10:BW316)-ROUNDDOWN($M317*BW$5/100,0)&lt;-BW$6,-BW$6-SUM(BW$10:BW316),-ROUNDDOWN($M317*BW$5/100,0)),0)</f>
        <v>0</v>
      </c>
      <c r="BX317" s="38">
        <f>IF(AND(T317="○",$A317&gt;=BX$8,$A317&lt;=BX$9),IF(SUM(BX$10:BX316)-ROUNDDOWN($K317*BX$5/100,0)&lt;-BX$6,-BX$6-SUM(BX$10:BX316),-ROUNDDOWN($K317*BX$5/100,0)),0)</f>
        <v>0</v>
      </c>
      <c r="BY317" s="38">
        <f>IF(AND(U317="○",$A317&gt;=BY$8,$A317&lt;=BY$9),IF(SUM(BY$10:BY316)-ROUNDDOWN($K317*BY$5/100,0)&lt;-BY$6,-BY$6-SUM(BY$10:BY316),-ROUNDDOWN($K317*BY$5/100,0)),0)</f>
        <v>0</v>
      </c>
      <c r="BZ317" s="38">
        <f>IF(AND(V317="○",$A317&gt;=BZ$8,$A317&lt;=BZ$9),IF(SUM(BZ$10:BZ316)-ROUNDDOWN($K317*BZ$5/100,0)&lt;-BZ$6,-BZ$6-SUM(BZ$10:BZ316),-ROUNDDOWN($K317*BZ$5/100,0)),0)</f>
        <v>0</v>
      </c>
      <c r="CA317" s="38">
        <f>IF(AND(W317="○",$A317&gt;=CA$8,$A317&lt;=CA$9),IF(SUM(CA$10:CA316)-ROUNDDOWN($K317*CA$5/100,0)&lt;-CA$6,-CA$6-SUM(CA$10:CA316),-ROUNDDOWN($K317*CA$5/100,0)),0)</f>
        <v>0</v>
      </c>
      <c r="CB317" s="38"/>
      <c r="CC317" s="38"/>
      <c r="CD317" s="38"/>
      <c r="CE317" s="38"/>
      <c r="CF317" s="38"/>
      <c r="CG317" s="65">
        <f t="shared" si="219"/>
        <v>0</v>
      </c>
      <c r="CH317" s="71">
        <f t="shared" si="220"/>
        <v>0</v>
      </c>
      <c r="CI317" s="1">
        <f t="shared" si="241"/>
        <v>0</v>
      </c>
      <c r="CJ317" s="1"/>
      <c r="CK317" s="72"/>
      <c r="CL317" s="72"/>
      <c r="CM317" s="2"/>
      <c r="CN317" s="2"/>
      <c r="CO317" s="73">
        <f t="shared" si="242"/>
        <v>0</v>
      </c>
      <c r="CP317" s="5">
        <f t="shared" si="243"/>
        <v>0</v>
      </c>
      <c r="CQ317" s="1"/>
      <c r="CR317" s="1">
        <f t="shared" si="244"/>
        <v>0</v>
      </c>
      <c r="CS317" s="1"/>
      <c r="CT317" s="1" t="e">
        <f>INDEX([2]マスタ!$A:$A,MATCH(D317,[2]マスタ!$C:$C,0))</f>
        <v>#N/A</v>
      </c>
      <c r="CU317" s="1" t="str">
        <f t="shared" ca="1" si="245"/>
        <v>20260620_0-0</v>
      </c>
    </row>
    <row r="318" spans="1:99" x14ac:dyDescent="0.4">
      <c r="A318" s="61"/>
      <c r="B318" s="62"/>
      <c r="C318" s="62"/>
      <c r="D318" s="62"/>
      <c r="E318" s="63"/>
      <c r="F318" s="62"/>
      <c r="G318" s="62">
        <v>1</v>
      </c>
      <c r="H318" s="64">
        <f t="shared" si="232"/>
        <v>0</v>
      </c>
      <c r="I318" s="64"/>
      <c r="J318" s="64"/>
      <c r="K318" s="65">
        <f t="shared" si="233"/>
        <v>0</v>
      </c>
      <c r="L318" s="65">
        <f t="shared" si="234"/>
        <v>0</v>
      </c>
      <c r="M318" s="65">
        <f t="shared" si="235"/>
        <v>0</v>
      </c>
      <c r="N318" s="65">
        <f t="shared" si="236"/>
        <v>0</v>
      </c>
      <c r="O318" s="66" t="str">
        <f t="shared" si="237"/>
        <v>✕</v>
      </c>
      <c r="P318" s="67" t="str">
        <f t="shared" si="238"/>
        <v>○</v>
      </c>
      <c r="Q318" s="67" t="str">
        <f t="shared" si="239"/>
        <v>✕</v>
      </c>
      <c r="R318" s="67" t="str">
        <f t="shared" si="240"/>
        <v>✕</v>
      </c>
      <c r="S318" s="68">
        <v>0</v>
      </c>
      <c r="T318" s="69" t="s">
        <v>85</v>
      </c>
      <c r="U318" s="69" t="s">
        <v>85</v>
      </c>
      <c r="V318" s="69" t="s">
        <v>85</v>
      </c>
      <c r="W318" s="69" t="s">
        <v>85</v>
      </c>
      <c r="X318" s="69" t="s">
        <v>84</v>
      </c>
      <c r="Y318" s="69" t="s">
        <v>85</v>
      </c>
      <c r="Z318" s="69" t="s">
        <v>85</v>
      </c>
      <c r="AA318" s="69" t="s">
        <v>85</v>
      </c>
      <c r="AB318" s="69" t="s">
        <v>85</v>
      </c>
      <c r="AC318" s="69" t="s">
        <v>85</v>
      </c>
      <c r="AD318" s="38" t="str">
        <f>+IF(ISERROR(VLOOKUP($B318,AD$10:AD317,1,0)),IF(AND($N318&gt;=1000,$A318&gt;=AO$8,$A318&lt;=AO$9),$B318,""),"")</f>
        <v/>
      </c>
      <c r="AE318" s="38" t="str">
        <f>+IF(ISERROR(VLOOKUP($B318,AE$10:AE317,1,0)),IF(AND($N318&gt;=1000,$A318&gt;=AP$8,$A318&lt;=AP$9),$B318,""),"")</f>
        <v/>
      </c>
      <c r="AF318" s="38" t="str">
        <f>+IF(ISERROR(VLOOKUP($B318,AF$10:AF317,1,0)),IF(AND($N318&gt;=1000,$A318&gt;=AQ$8,$A318&lt;=AQ$9),$B318,""),"")</f>
        <v/>
      </c>
      <c r="AG318" s="38" t="str">
        <f>+IF(ISERROR(VLOOKUP($B318,AG$10:AG317,1,0)),IF(AND($N318&gt;=1000,$A318&gt;=AR$8,$A318&lt;=AR$9),$B318,""),"")</f>
        <v/>
      </c>
      <c r="AH318" s="38"/>
      <c r="AI318" s="70">
        <v>0</v>
      </c>
      <c r="AJ318" s="38">
        <f>IF(AND(AJ$7="○",$A318&gt;=AJ$8,$A318&lt;=AJ$9),IF(SUM(AJ$10:AJ317)-ROUNDDOWN($K318*AJ$5/100,0)&lt;-AJ$6,-AJ$6-SUM(AJ$10:AJ317),-ROUNDDOWN($K318*AJ$5/100,0)),0)</f>
        <v>0</v>
      </c>
      <c r="AK318" s="38">
        <f>IF(AND(AK$7="○",$A318&gt;=AK$8,$A318&lt;=AK$9),IF(SUM(AK$10:AK317)-ROUNDDOWN($L318*AK$5/100,0)&lt;-AK$6,-AK$6-SUM(AK$10:AK317),-ROUNDDOWN($L318*AK$5/100,0)),0)</f>
        <v>0</v>
      </c>
      <c r="AL318" s="38">
        <f>IF(AND(AL$7="○",$A318&gt;=AL$8,$A318&lt;=AL$9),IF(SUM(AL$10:AL317)-ROUNDDOWN($N318*AL$5/100,0)&lt;-AL$6,-AL$6-SUM(AL$10:AL317),-ROUNDDOWN($N318*AL$5/100,0)),0)</f>
        <v>0</v>
      </c>
      <c r="AM318" s="38">
        <f>IF(AND(AM$7="○",$A318&gt;=AM$8,$A318&lt;=AM$9),IF(SUM(AM$10:AM317)-ROUNDDOWN($L318*AM$5/100,0)&lt;-AM$6,-AM$6-SUM(AM$10:AM317),-ROUNDDOWN($L318*AM$5/100,0)),0)</f>
        <v>0</v>
      </c>
      <c r="AN318" s="38">
        <f>IF(AND(AN$7="○",$A318&gt;=AN$8,$A318&lt;=AN$9),IF(SUM(AN$10:AN317)-ROUNDDOWN($M318*AN$5/100,0)&lt;-AN$6,-AN$6-SUM(AN$10:AN317),-ROUNDDOWN($M318*AN$5/100,0)),0)</f>
        <v>0</v>
      </c>
      <c r="AO318" s="38">
        <f>IF(AND($A318&gt;=AO$8,$A318&lt;=AO$9),IF(SUM(AO$10:AO317)-ROUNDDOWN($K318*AO$5/100,0)&lt;-AO$6,-AO$6-SUM(AO$10:AO317),-ROUNDDOWN($K318*AO$5/100,0)),0)</f>
        <v>0</v>
      </c>
      <c r="AP318" s="38">
        <f>IF(AND($A318&gt;=AP$8,$A318&lt;=AP$9),IF(SUM(AP$10:AP317)-ROUNDDOWN($K318*AP$5/100,0)&lt;-AP$6,-AP$6-SUM(AP$10:AP317),-ROUNDDOWN($K318*AP$5/100,0)),0)</f>
        <v>0</v>
      </c>
      <c r="AQ318" s="38">
        <f>IF(AND($A318&gt;=AQ$8,$A318&lt;=AQ$9),IF(SUM(AQ$10:AQ317)-ROUNDDOWN($K318*AQ$5/100,0)&lt;-AQ$6,-AQ$6-SUM(AQ$10:AQ317),-ROUNDDOWN($K318*AQ$5/100,0)),0)</f>
        <v>0</v>
      </c>
      <c r="AR318" s="38">
        <f>IF(AND($A318&gt;=AR$8,$A318&lt;=AR$9),IF(SUM(AR$10:AR317)-ROUNDDOWN($K318*AR$5/100,0)&lt;-AR$6,-AR$6-SUM(AR$10:AR317),-ROUNDDOWN($K318*AR$5/100,0)),0)</f>
        <v>0</v>
      </c>
      <c r="AS318" s="38">
        <f>IF(SUMIFS(AS$10:AS317,$A$10:$A317,$A318)-ROUNDDOWN($K318*$S318/100,0)&lt;-$S318*1000,-$S318*1000-SUMIFS(AS$10:AS317,$A$10:$A317,$A318),-ROUNDDOWN($K318*$S318/100,0))</f>
        <v>0</v>
      </c>
      <c r="AT318" s="38">
        <f>IF(AND(X318="○",$A318&gt;=AT$8,$A318&lt;=AT$9,K318&gt;=3980),IF(SUM(AT$10:AT317)-ROUNDDOWN($K318*AT$5/100,0)&lt;-AT$6,-AT$6-SUM(AT$10:AT317),-ROUNDDOWN($K318*AT$5/100,0)),0)</f>
        <v>0</v>
      </c>
      <c r="AU318" s="38">
        <f>IF(O318="○",IF(SUM(AU$10:AU317)-ROUNDDOWN($K318*AU$5/100,0)&lt;-AU$6,-AU$6-SUM(AU$10:AU317),-ROUNDDOWN($K318*AU$5/100,0)),0)</f>
        <v>0</v>
      </c>
      <c r="AV318" s="38">
        <f>IF(P318="○",IF(SUM(AV$10:AV317)-ROUNDDOWN($K318*AV$5/100,0)&lt;-AV$6,-AV$6-SUM(AV$10:AV317),-ROUNDDOWN($K318*AV$5/100,0)),0)</f>
        <v>0</v>
      </c>
      <c r="AW318" s="38">
        <f>IF(Q318="○",IF(SUM(AW$10:AW317)-ROUNDDOWN($K318*AW$5/100,0)&lt;-AW$6,-AW$6-SUM(AW$10:AW317),-ROUNDDOWN($K318*AW$5/100,0)),0)</f>
        <v>0</v>
      </c>
      <c r="AX318" s="38">
        <f>IF(R318="○",IF(SUM(AX$10:AX317)-ROUNDDOWN($K318*AX$5/100,0)&lt;-AX$6,-AX$6-SUM(AX$10:AX317),-ROUNDDOWN($K318*AX$5/100,0)),0)</f>
        <v>0</v>
      </c>
      <c r="AY318" s="70">
        <v>0</v>
      </c>
      <c r="AZ318" s="65">
        <f t="shared" si="213"/>
        <v>0</v>
      </c>
      <c r="BA318" s="65">
        <f t="shared" si="214"/>
        <v>0</v>
      </c>
      <c r="BB318" s="70"/>
      <c r="BC318" s="65">
        <f t="shared" si="215"/>
        <v>0</v>
      </c>
      <c r="BD318" s="70">
        <v>0</v>
      </c>
      <c r="BE318" s="65">
        <f t="shared" si="216"/>
        <v>0</v>
      </c>
      <c r="BF318" s="70">
        <v>0</v>
      </c>
      <c r="BG318" s="65">
        <f t="shared" si="217"/>
        <v>0</v>
      </c>
      <c r="BH318" s="70">
        <v>0</v>
      </c>
      <c r="BI318" s="65">
        <f t="shared" si="218"/>
        <v>0</v>
      </c>
      <c r="BJ318" s="38">
        <f>IF(AND(BJ$7="○",$A318&gt;=BJ$8,$A318&lt;=BJ$9),IF(SUM(BJ$10:BJ317)-ROUNDDOWN($M318*BJ$5/100,0)&lt;-BJ$6,-BJ$6-SUM(BJ$10:BJ317),-ROUNDDOWN($M318*BJ$5/100,0)),0)</f>
        <v>0</v>
      </c>
      <c r="BK318" s="38">
        <f>IF(AND(BK$7="○",$A318&gt;=BK$8,$A318&lt;=BK$9),IF(SUM(BK$10:BK317)-ROUNDDOWN($L318*BK$5/100,0)&lt;-BK$6,-BK$6-SUM(BK$10:BK317),-ROUNDDOWN($L318*BK$5/100,0)),0)</f>
        <v>0</v>
      </c>
      <c r="BL318" s="38">
        <f>IF(AND(BL$7="○",$A318&gt;=BL$8,$A318&lt;=BL$9),IF(SUM(BL$10:BL317)-ROUNDDOWN($L318*BL$5/100,0)&lt;-BL$6,-BL$6-SUM(BL$10:BL317),-ROUNDDOWN($L318*BL$5/100,0)),0)</f>
        <v>0</v>
      </c>
      <c r="BM318" s="38">
        <f>IF(AND(BM$7="○",$A318&gt;=BM$8,$A318&lt;=BM$9),IF(SUM(BM$10:BM317)-ROUNDDOWN($M318*BM$5/100,0)&lt;-BM$6,-BM$6-SUM(BM$10:BM317),-ROUNDDOWN($M318*BM$5/100,0)),0)</f>
        <v>0</v>
      </c>
      <c r="BN318" s="38">
        <f>IF(AND(BN$7="○",$A318&gt;=BN$8,$A318&lt;=BN$9),IF(SUM(BN$10:BN317)-ROUNDDOWN($M318*BN$5/100,0)&lt;-BN$6,-BN$6-SUM(BN$10:BN317),-ROUNDDOWN($M318*BN$5/100,0)),0)</f>
        <v>0</v>
      </c>
      <c r="BO318" s="38">
        <f>IF(AND(BO$7="○",$A318&gt;=BO$8,$A318&lt;=BO$9),IF(SUM(BO$10:BO317)-ROUNDDOWN($M318*BO$5/100,0)&lt;-BO$6,-BO$6-SUM(BO$10:BO317),-ROUNDDOWN($M318*BO$5/100,0)),0)</f>
        <v>0</v>
      </c>
      <c r="BP318" s="38">
        <f>IF(AND(BP$7="○",$A318&gt;=BP$8,$A318&lt;=BP$9),IF(SUM(BP$10:BP317)-ROUNDDOWN($M318*BP$5/100,0)&lt;-BP$6,-BP$6-SUM(BP$10:BP317),-ROUNDDOWN($M318*BP$5/100,0)),0)</f>
        <v>0</v>
      </c>
      <c r="BQ318" s="38">
        <f>IF(AND(BQ$7="○",$A318&gt;=BQ$8,$A318&lt;=BQ$9),IF(SUM(BQ$10:BQ317)-ROUNDDOWN($L318*BQ$5/100,0)&lt;-BQ$6,-BQ$6-SUM(BQ$10:BQ317),-ROUNDDOWN($L318*BQ$5/100,0)),0)</f>
        <v>0</v>
      </c>
      <c r="BR318" s="38">
        <f>IF(AND(BR$7="○",$A318&gt;=BR$8,$A318&lt;=BR$9),IF(SUM(BR$10:BR317)-ROUNDDOWN($M318*BR$5/100,0)&lt;-BR$6,-BR$6-SUM(BR$10:BR317),-ROUNDDOWN($M318*BR$5/100,0)),0)</f>
        <v>0</v>
      </c>
      <c r="BS318" s="38">
        <f>IF(AND(BS$7="○",$A318&gt;=BS$8,$A318&lt;=BS$9),IF(SUM(BS$10:BS317)-ROUNDDOWN($M318*BS$5/100,0)&lt;-BS$6,-BS$6-SUM(BS$10:BS317),-ROUNDDOWN($M318*BS$5/100,0)),0)</f>
        <v>0</v>
      </c>
      <c r="BT318" s="38">
        <f>IF(AND(BT$7="○",$A318&gt;=BT$8,$A318&lt;=BT$9),IF(SUM(BT$10:BT317)-ROUNDDOWN($M318*BT$5/100,0)&lt;-BT$6,-BT$6-SUM(BT$10:BT317),-ROUNDDOWN($M318*BT$5/100,0)),0)</f>
        <v>0</v>
      </c>
      <c r="BU318" s="38">
        <f>IF(AND(BU$7="○",$A318&gt;=BU$8,$A318&lt;=BU$9),IF(SUM(BU$10:BU317)-ROUNDDOWN($M318*BU$5/100,0)&lt;-BU$6,-BU$6-SUM(BU$10:BU317),-ROUNDDOWN($M318*BU$5/100,0)),0)</f>
        <v>0</v>
      </c>
      <c r="BV318" s="38">
        <f>IF(AND(BV$7="○",$A318&gt;=BV$8,$A318&lt;=BV$9),IF(SUM(BV$10:BV317)-ROUNDDOWN($M318*BV$5/100,0)&lt;-BV$6,-BV$6-SUM(BV$10:BV317),-ROUNDDOWN($M318*BV$5/100,0)),0)</f>
        <v>0</v>
      </c>
      <c r="BW318" s="38">
        <f>IF(AND(BW$7="○",$A318&gt;=BW$8,$A318&lt;=BW$9),IF(SUM(BW$10:BW317)-ROUNDDOWN($M318*BW$5/100,0)&lt;-BW$6,-BW$6-SUM(BW$10:BW317),-ROUNDDOWN($M318*BW$5/100,0)),0)</f>
        <v>0</v>
      </c>
      <c r="BX318" s="38">
        <f>IF(AND(T318="○",$A318&gt;=BX$8,$A318&lt;=BX$9),IF(SUM(BX$10:BX317)-ROUNDDOWN($K318*BX$5/100,0)&lt;-BX$6,-BX$6-SUM(BX$10:BX317),-ROUNDDOWN($K318*BX$5/100,0)),0)</f>
        <v>0</v>
      </c>
      <c r="BY318" s="38">
        <f>IF(AND(U318="○",$A318&gt;=BY$8,$A318&lt;=BY$9),IF(SUM(BY$10:BY317)-ROUNDDOWN($K318*BY$5/100,0)&lt;-BY$6,-BY$6-SUM(BY$10:BY317),-ROUNDDOWN($K318*BY$5/100,0)),0)</f>
        <v>0</v>
      </c>
      <c r="BZ318" s="38">
        <f>IF(AND(V318="○",$A318&gt;=BZ$8,$A318&lt;=BZ$9),IF(SUM(BZ$10:BZ317)-ROUNDDOWN($K318*BZ$5/100,0)&lt;-BZ$6,-BZ$6-SUM(BZ$10:BZ317),-ROUNDDOWN($K318*BZ$5/100,0)),0)</f>
        <v>0</v>
      </c>
      <c r="CA318" s="38">
        <f>IF(AND(W318="○",$A318&gt;=CA$8,$A318&lt;=CA$9),IF(SUM(CA$10:CA317)-ROUNDDOWN($K318*CA$5/100,0)&lt;-CA$6,-CA$6-SUM(CA$10:CA317),-ROUNDDOWN($K318*CA$5/100,0)),0)</f>
        <v>0</v>
      </c>
      <c r="CB318" s="38"/>
      <c r="CC318" s="38"/>
      <c r="CD318" s="38"/>
      <c r="CE318" s="38"/>
      <c r="CF318" s="38"/>
      <c r="CG318" s="65">
        <f t="shared" si="219"/>
        <v>0</v>
      </c>
      <c r="CH318" s="71">
        <f t="shared" si="220"/>
        <v>0</v>
      </c>
      <c r="CI318" s="1">
        <f t="shared" si="241"/>
        <v>0</v>
      </c>
      <c r="CJ318" s="1"/>
      <c r="CK318" s="72"/>
      <c r="CL318" s="72"/>
      <c r="CM318" s="2"/>
      <c r="CN318" s="2"/>
      <c r="CO318" s="73">
        <f t="shared" si="242"/>
        <v>0</v>
      </c>
      <c r="CP318" s="5">
        <f t="shared" si="243"/>
        <v>0</v>
      </c>
      <c r="CQ318" s="1"/>
      <c r="CR318" s="1">
        <f t="shared" si="244"/>
        <v>0</v>
      </c>
      <c r="CS318" s="1"/>
      <c r="CT318" s="1" t="e">
        <f>INDEX([2]マスタ!$A:$A,MATCH(D318,[2]マスタ!$C:$C,0))</f>
        <v>#N/A</v>
      </c>
      <c r="CU318" s="1" t="str">
        <f t="shared" ca="1" si="245"/>
        <v>20260620_0-0</v>
      </c>
    </row>
    <row r="319" spans="1:99" x14ac:dyDescent="0.4">
      <c r="A319" s="61"/>
      <c r="B319" s="62"/>
      <c r="C319" s="62"/>
      <c r="D319" s="62"/>
      <c r="E319" s="74"/>
      <c r="F319" s="62"/>
      <c r="G319" s="62">
        <v>1</v>
      </c>
      <c r="H319" s="64">
        <f t="shared" si="232"/>
        <v>0</v>
      </c>
      <c r="I319" s="64"/>
      <c r="J319" s="64"/>
      <c r="K319" s="65">
        <f t="shared" si="233"/>
        <v>0</v>
      </c>
      <c r="L319" s="65">
        <f t="shared" si="234"/>
        <v>0</v>
      </c>
      <c r="M319" s="65">
        <f t="shared" si="235"/>
        <v>0</v>
      </c>
      <c r="N319" s="65">
        <f t="shared" si="236"/>
        <v>0</v>
      </c>
      <c r="O319" s="66" t="str">
        <f t="shared" si="237"/>
        <v>✕</v>
      </c>
      <c r="P319" s="67" t="str">
        <f t="shared" si="238"/>
        <v>○</v>
      </c>
      <c r="Q319" s="67" t="str">
        <f t="shared" si="239"/>
        <v>✕</v>
      </c>
      <c r="R319" s="67" t="str">
        <f t="shared" si="240"/>
        <v>✕</v>
      </c>
      <c r="S319" s="68">
        <v>0</v>
      </c>
      <c r="T319" s="69" t="s">
        <v>85</v>
      </c>
      <c r="U319" s="69" t="s">
        <v>85</v>
      </c>
      <c r="V319" s="69" t="s">
        <v>85</v>
      </c>
      <c r="W319" s="69" t="s">
        <v>85</v>
      </c>
      <c r="X319" s="69" t="s">
        <v>84</v>
      </c>
      <c r="Y319" s="69" t="s">
        <v>85</v>
      </c>
      <c r="Z319" s="69" t="s">
        <v>85</v>
      </c>
      <c r="AA319" s="69" t="s">
        <v>85</v>
      </c>
      <c r="AB319" s="69" t="s">
        <v>85</v>
      </c>
      <c r="AC319" s="69" t="s">
        <v>85</v>
      </c>
      <c r="AD319" s="38" t="str">
        <f>+IF(ISERROR(VLOOKUP($B319,AD$10:AD318,1,0)),IF(AND($N319&gt;=1000,$A319&gt;=AO$8,$A319&lt;=AO$9),$B319,""),"")</f>
        <v/>
      </c>
      <c r="AE319" s="38" t="str">
        <f>+IF(ISERROR(VLOOKUP($B319,AE$10:AE318,1,0)),IF(AND($N319&gt;=1000,$A319&gt;=AP$8,$A319&lt;=AP$9),$B319,""),"")</f>
        <v/>
      </c>
      <c r="AF319" s="38" t="str">
        <f>+IF(ISERROR(VLOOKUP($B319,AF$10:AF318,1,0)),IF(AND($N319&gt;=1000,$A319&gt;=AQ$8,$A319&lt;=AQ$9),$B319,""),"")</f>
        <v/>
      </c>
      <c r="AG319" s="38" t="str">
        <f>+IF(ISERROR(VLOOKUP($B319,AG$10:AG318,1,0)),IF(AND($N319&gt;=1000,$A319&gt;=AR$8,$A319&lt;=AR$9),$B319,""),"")</f>
        <v/>
      </c>
      <c r="AH319" s="38"/>
      <c r="AI319" s="70">
        <v>0</v>
      </c>
      <c r="AJ319" s="38">
        <f>IF(AND(AJ$7="○",$A319&gt;=AJ$8,$A319&lt;=AJ$9),IF(SUM(AJ$10:AJ318)-ROUNDDOWN($K319*AJ$5/100,0)&lt;-AJ$6,-AJ$6-SUM(AJ$10:AJ318),-ROUNDDOWN($K319*AJ$5/100,0)),0)</f>
        <v>0</v>
      </c>
      <c r="AK319" s="38">
        <f>IF(AND(AK$7="○",$A319&gt;=AK$8,$A319&lt;=AK$9),IF(SUM(AK$10:AK318)-ROUNDDOWN($L319*AK$5/100,0)&lt;-AK$6,-AK$6-SUM(AK$10:AK318),-ROUNDDOWN($L319*AK$5/100,0)),0)</f>
        <v>0</v>
      </c>
      <c r="AL319" s="38">
        <f>IF(AND(AL$7="○",$A319&gt;=AL$8,$A319&lt;=AL$9),IF(SUM(AL$10:AL318)-ROUNDDOWN($N319*AL$5/100,0)&lt;-AL$6,-AL$6-SUM(AL$10:AL318),-ROUNDDOWN($N319*AL$5/100,0)),0)</f>
        <v>0</v>
      </c>
      <c r="AM319" s="38">
        <f>IF(AND(AM$7="○",$A319&gt;=AM$8,$A319&lt;=AM$9),IF(SUM(AM$10:AM318)-ROUNDDOWN($L319*AM$5/100,0)&lt;-AM$6,-AM$6-SUM(AM$10:AM318),-ROUNDDOWN($L319*AM$5/100,0)),0)</f>
        <v>0</v>
      </c>
      <c r="AN319" s="38">
        <f>IF(AND(AN$7="○",$A319&gt;=AN$8,$A319&lt;=AN$9),IF(SUM(AN$10:AN318)-ROUNDDOWN($M319*AN$5/100,0)&lt;-AN$6,-AN$6-SUM(AN$10:AN318),-ROUNDDOWN($M319*AN$5/100,0)),0)</f>
        <v>0</v>
      </c>
      <c r="AO319" s="38">
        <f>IF(AND($A319&gt;=AO$8,$A319&lt;=AO$9),IF(SUM(AO$10:AO318)-ROUNDDOWN($K319*AO$5/100,0)&lt;-AO$6,-AO$6-SUM(AO$10:AO318),-ROUNDDOWN($K319*AO$5/100,0)),0)</f>
        <v>0</v>
      </c>
      <c r="AP319" s="38">
        <f>IF(AND($A319&gt;=AP$8,$A319&lt;=AP$9),IF(SUM(AP$10:AP318)-ROUNDDOWN($K319*AP$5/100,0)&lt;-AP$6,-AP$6-SUM(AP$10:AP318),-ROUNDDOWN($K319*AP$5/100,0)),0)</f>
        <v>0</v>
      </c>
      <c r="AQ319" s="38">
        <f>IF(AND($A319&gt;=AQ$8,$A319&lt;=AQ$9),IF(SUM(AQ$10:AQ318)-ROUNDDOWN($K319*AQ$5/100,0)&lt;-AQ$6,-AQ$6-SUM(AQ$10:AQ318),-ROUNDDOWN($K319*AQ$5/100,0)),0)</f>
        <v>0</v>
      </c>
      <c r="AR319" s="38">
        <f>IF(AND($A319&gt;=AR$8,$A319&lt;=AR$9),IF(SUM(AR$10:AR318)-ROUNDDOWN($K319*AR$5/100,0)&lt;-AR$6,-AR$6-SUM(AR$10:AR318),-ROUNDDOWN($K319*AR$5/100,0)),0)</f>
        <v>0</v>
      </c>
      <c r="AS319" s="38">
        <f>IF(SUMIFS(AS$10:AS318,$A$10:$A318,$A319)-ROUNDDOWN($K319*$S319/100,0)&lt;-$S319*1000,-$S319*1000-SUMIFS(AS$10:AS318,$A$10:$A318,$A319),-ROUNDDOWN($K319*$S319/100,0))</f>
        <v>0</v>
      </c>
      <c r="AT319" s="38">
        <f>IF(AND(X319="○",$A319&gt;=AT$8,$A319&lt;=AT$9,K319&gt;=3980),IF(SUM(AT$10:AT318)-ROUNDDOWN($K319*AT$5/100,0)&lt;-AT$6,-AT$6-SUM(AT$10:AT318),-ROUNDDOWN($K319*AT$5/100,0)),0)</f>
        <v>0</v>
      </c>
      <c r="AU319" s="38">
        <f>IF(O319="○",IF(SUM(AU$10:AU318)-ROUNDDOWN($K319*AU$5/100,0)&lt;-AU$6,-AU$6-SUM(AU$10:AU318),-ROUNDDOWN($K319*AU$5/100,0)),0)</f>
        <v>0</v>
      </c>
      <c r="AV319" s="38">
        <f>IF(P319="○",IF(SUM(AV$10:AV318)-ROUNDDOWN($K319*AV$5/100,0)&lt;-AV$6,-AV$6-SUM(AV$10:AV318),-ROUNDDOWN($K319*AV$5/100,0)),0)</f>
        <v>0</v>
      </c>
      <c r="AW319" s="38">
        <f>IF(Q319="○",IF(SUM(AW$10:AW318)-ROUNDDOWN($K319*AW$5/100,0)&lt;-AW$6,-AW$6-SUM(AW$10:AW318),-ROUNDDOWN($K319*AW$5/100,0)),0)</f>
        <v>0</v>
      </c>
      <c r="AX319" s="38">
        <f>IF(R319="○",IF(SUM(AX$10:AX318)-ROUNDDOWN($K319*AX$5/100,0)&lt;-AX$6,-AX$6-SUM(AX$10:AX318),-ROUNDDOWN($K319*AX$5/100,0)),0)</f>
        <v>0</v>
      </c>
      <c r="AY319" s="70">
        <v>0</v>
      </c>
      <c r="AZ319" s="65">
        <f t="shared" si="213"/>
        <v>0</v>
      </c>
      <c r="BA319" s="65">
        <f t="shared" si="214"/>
        <v>0</v>
      </c>
      <c r="BB319" s="70"/>
      <c r="BC319" s="65">
        <f t="shared" si="215"/>
        <v>0</v>
      </c>
      <c r="BD319" s="70">
        <v>0</v>
      </c>
      <c r="BE319" s="65">
        <f t="shared" si="216"/>
        <v>0</v>
      </c>
      <c r="BF319" s="70">
        <v>0</v>
      </c>
      <c r="BG319" s="65">
        <f t="shared" si="217"/>
        <v>0</v>
      </c>
      <c r="BH319" s="70">
        <v>0</v>
      </c>
      <c r="BI319" s="65">
        <f t="shared" si="218"/>
        <v>0</v>
      </c>
      <c r="BJ319" s="38">
        <f>IF(AND(BJ$7="○",$A319&gt;=BJ$8,$A319&lt;=BJ$9),IF(SUM(BJ$10:BJ318)-ROUNDDOWN($M319*BJ$5/100,0)&lt;-BJ$6,-BJ$6-SUM(BJ$10:BJ318),-ROUNDDOWN($M319*BJ$5/100,0)),0)</f>
        <v>0</v>
      </c>
      <c r="BK319" s="38">
        <f>IF(AND(BK$7="○",$A319&gt;=BK$8,$A319&lt;=BK$9),IF(SUM(BK$10:BK318)-ROUNDDOWN($L319*BK$5/100,0)&lt;-BK$6,-BK$6-SUM(BK$10:BK318),-ROUNDDOWN($L319*BK$5/100,0)),0)</f>
        <v>0</v>
      </c>
      <c r="BL319" s="38">
        <f>IF(AND(BL$7="○",$A319&gt;=BL$8,$A319&lt;=BL$9),IF(SUM(BL$10:BL318)-ROUNDDOWN($L319*BL$5/100,0)&lt;-BL$6,-BL$6-SUM(BL$10:BL318),-ROUNDDOWN($L319*BL$5/100,0)),0)</f>
        <v>0</v>
      </c>
      <c r="BM319" s="38">
        <f>IF(AND(BM$7="○",$A319&gt;=BM$8,$A319&lt;=BM$9),IF(SUM(BM$10:BM318)-ROUNDDOWN($M319*BM$5/100,0)&lt;-BM$6,-BM$6-SUM(BM$10:BM318),-ROUNDDOWN($M319*BM$5/100,0)),0)</f>
        <v>0</v>
      </c>
      <c r="BN319" s="38">
        <f>IF(AND(BN$7="○",$A319&gt;=BN$8,$A319&lt;=BN$9),IF(SUM(BN$10:BN318)-ROUNDDOWN($M319*BN$5/100,0)&lt;-BN$6,-BN$6-SUM(BN$10:BN318),-ROUNDDOWN($M319*BN$5/100,0)),0)</f>
        <v>0</v>
      </c>
      <c r="BO319" s="38">
        <f>IF(AND(BO$7="○",$A319&gt;=BO$8,$A319&lt;=BO$9),IF(SUM(BO$10:BO318)-ROUNDDOWN($M319*BO$5/100,0)&lt;-BO$6,-BO$6-SUM(BO$10:BO318),-ROUNDDOWN($M319*BO$5/100,0)),0)</f>
        <v>0</v>
      </c>
      <c r="BP319" s="38">
        <f>IF(AND(BP$7="○",$A319&gt;=BP$8,$A319&lt;=BP$9),IF(SUM(BP$10:BP318)-ROUNDDOWN($M319*BP$5/100,0)&lt;-BP$6,-BP$6-SUM(BP$10:BP318),-ROUNDDOWN($M319*BP$5/100,0)),0)</f>
        <v>0</v>
      </c>
      <c r="BQ319" s="38">
        <f>IF(AND(BQ$7="○",$A319&gt;=BQ$8,$A319&lt;=BQ$9),IF(SUM(BQ$10:BQ318)-ROUNDDOWN($L319*BQ$5/100,0)&lt;-BQ$6,-BQ$6-SUM(BQ$10:BQ318),-ROUNDDOWN($L319*BQ$5/100,0)),0)</f>
        <v>0</v>
      </c>
      <c r="BR319" s="38">
        <f>IF(AND(BR$7="○",$A319&gt;=BR$8,$A319&lt;=BR$9),IF(SUM(BR$10:BR318)-ROUNDDOWN($M319*BR$5/100,0)&lt;-BR$6,-BR$6-SUM(BR$10:BR318),-ROUNDDOWN($M319*BR$5/100,0)),0)</f>
        <v>0</v>
      </c>
      <c r="BS319" s="38">
        <f>IF(AND(BS$7="○",$A319&gt;=BS$8,$A319&lt;=BS$9),IF(SUM(BS$10:BS318)-ROUNDDOWN($M319*BS$5/100,0)&lt;-BS$6,-BS$6-SUM(BS$10:BS318),-ROUNDDOWN($M319*BS$5/100,0)),0)</f>
        <v>0</v>
      </c>
      <c r="BT319" s="38">
        <f>IF(AND(BT$7="○",$A319&gt;=BT$8,$A319&lt;=BT$9),IF(SUM(BT$10:BT318)-ROUNDDOWN($M319*BT$5/100,0)&lt;-BT$6,-BT$6-SUM(BT$10:BT318),-ROUNDDOWN($M319*BT$5/100,0)),0)</f>
        <v>0</v>
      </c>
      <c r="BU319" s="38">
        <f>IF(AND(BU$7="○",$A319&gt;=BU$8,$A319&lt;=BU$9),IF(SUM(BU$10:BU318)-ROUNDDOWN($M319*BU$5/100,0)&lt;-BU$6,-BU$6-SUM(BU$10:BU318),-ROUNDDOWN($M319*BU$5/100,0)),0)</f>
        <v>0</v>
      </c>
      <c r="BV319" s="38">
        <f>IF(AND(BV$7="○",$A319&gt;=BV$8,$A319&lt;=BV$9),IF(SUM(BV$10:BV318)-ROUNDDOWN($M319*BV$5/100,0)&lt;-BV$6,-BV$6-SUM(BV$10:BV318),-ROUNDDOWN($M319*BV$5/100,0)),0)</f>
        <v>0</v>
      </c>
      <c r="BW319" s="38">
        <f>IF(AND(BW$7="○",$A319&gt;=BW$8,$A319&lt;=BW$9),IF(SUM(BW$10:BW318)-ROUNDDOWN($M319*BW$5/100,0)&lt;-BW$6,-BW$6-SUM(BW$10:BW318),-ROUNDDOWN($M319*BW$5/100,0)),0)</f>
        <v>0</v>
      </c>
      <c r="BX319" s="38">
        <f>IF(AND(T319="○",$A319&gt;=BX$8,$A319&lt;=BX$9),IF(SUM(BX$10:BX318)-ROUNDDOWN($K319*BX$5/100,0)&lt;-BX$6,-BX$6-SUM(BX$10:BX318),-ROUNDDOWN($K319*BX$5/100,0)),0)</f>
        <v>0</v>
      </c>
      <c r="BY319" s="38">
        <f>IF(AND(U319="○",$A319&gt;=BY$8,$A319&lt;=BY$9),IF(SUM(BY$10:BY318)-ROUNDDOWN($K319*BY$5/100,0)&lt;-BY$6,-BY$6-SUM(BY$10:BY318),-ROUNDDOWN($K319*BY$5/100,0)),0)</f>
        <v>0</v>
      </c>
      <c r="BZ319" s="38">
        <f>IF(AND(V319="○",$A319&gt;=BZ$8,$A319&lt;=BZ$9),IF(SUM(BZ$10:BZ318)-ROUNDDOWN($K319*BZ$5/100,0)&lt;-BZ$6,-BZ$6-SUM(BZ$10:BZ318),-ROUNDDOWN($K319*BZ$5/100,0)),0)</f>
        <v>0</v>
      </c>
      <c r="CA319" s="38">
        <f>IF(AND(W319="○",$A319&gt;=CA$8,$A319&lt;=CA$9),IF(SUM(CA$10:CA318)-ROUNDDOWN($K319*CA$5/100,0)&lt;-CA$6,-CA$6-SUM(CA$10:CA318),-ROUNDDOWN($K319*CA$5/100,0)),0)</f>
        <v>0</v>
      </c>
      <c r="CB319" s="38"/>
      <c r="CC319" s="38"/>
      <c r="CD319" s="38"/>
      <c r="CE319" s="38"/>
      <c r="CF319" s="38"/>
      <c r="CG319" s="65">
        <f t="shared" si="219"/>
        <v>0</v>
      </c>
      <c r="CH319" s="71">
        <f t="shared" si="220"/>
        <v>0</v>
      </c>
      <c r="CI319" s="1">
        <f t="shared" si="241"/>
        <v>0</v>
      </c>
      <c r="CJ319" s="1"/>
      <c r="CK319" s="72"/>
      <c r="CL319" s="72"/>
      <c r="CM319" s="2"/>
      <c r="CN319" s="2"/>
      <c r="CO319" s="73">
        <f t="shared" si="242"/>
        <v>0</v>
      </c>
      <c r="CP319" s="5">
        <f t="shared" si="243"/>
        <v>0</v>
      </c>
      <c r="CQ319" s="1"/>
      <c r="CR319" s="1">
        <f t="shared" si="244"/>
        <v>0</v>
      </c>
      <c r="CS319" s="1"/>
      <c r="CT319" s="1" t="e">
        <f>INDEX([2]マスタ!$A:$A,MATCH(D319,[2]マスタ!$C:$C,0))</f>
        <v>#N/A</v>
      </c>
      <c r="CU319" s="1" t="str">
        <f t="shared" ca="1" si="245"/>
        <v>20260620_0-0</v>
      </c>
    </row>
    <row r="320" spans="1:99" x14ac:dyDescent="0.4">
      <c r="A320" s="61"/>
      <c r="B320" s="62"/>
      <c r="C320" s="62"/>
      <c r="D320" s="62"/>
      <c r="E320" s="74"/>
      <c r="F320" s="62"/>
      <c r="G320" s="62">
        <v>1</v>
      </c>
      <c r="H320" s="64">
        <f t="shared" si="232"/>
        <v>0</v>
      </c>
      <c r="I320" s="64"/>
      <c r="J320" s="64"/>
      <c r="K320" s="65">
        <f t="shared" si="233"/>
        <v>0</v>
      </c>
      <c r="L320" s="65">
        <f t="shared" si="234"/>
        <v>0</v>
      </c>
      <c r="M320" s="65">
        <f t="shared" si="235"/>
        <v>0</v>
      </c>
      <c r="N320" s="65">
        <f t="shared" si="236"/>
        <v>0</v>
      </c>
      <c r="O320" s="66" t="str">
        <f t="shared" si="237"/>
        <v>✕</v>
      </c>
      <c r="P320" s="67" t="str">
        <f t="shared" si="238"/>
        <v>○</v>
      </c>
      <c r="Q320" s="67" t="str">
        <f t="shared" si="239"/>
        <v>✕</v>
      </c>
      <c r="R320" s="67" t="str">
        <f t="shared" si="240"/>
        <v>✕</v>
      </c>
      <c r="S320" s="68">
        <v>0</v>
      </c>
      <c r="T320" s="69" t="s">
        <v>85</v>
      </c>
      <c r="U320" s="69" t="s">
        <v>85</v>
      </c>
      <c r="V320" s="69" t="s">
        <v>85</v>
      </c>
      <c r="W320" s="69" t="s">
        <v>85</v>
      </c>
      <c r="X320" s="69" t="s">
        <v>84</v>
      </c>
      <c r="Y320" s="69" t="s">
        <v>85</v>
      </c>
      <c r="Z320" s="69" t="s">
        <v>85</v>
      </c>
      <c r="AA320" s="69" t="s">
        <v>85</v>
      </c>
      <c r="AB320" s="69" t="s">
        <v>85</v>
      </c>
      <c r="AC320" s="69" t="s">
        <v>85</v>
      </c>
      <c r="AD320" s="38" t="str">
        <f>+IF(ISERROR(VLOOKUP($B320,AD$10:AD319,1,0)),IF(AND($N320&gt;=1000,$A320&gt;=AO$8,$A320&lt;=AO$9),$B320,""),"")</f>
        <v/>
      </c>
      <c r="AE320" s="38" t="str">
        <f>+IF(ISERROR(VLOOKUP($B320,AE$10:AE319,1,0)),IF(AND($N320&gt;=1000,$A320&gt;=AP$8,$A320&lt;=AP$9),$B320,""),"")</f>
        <v/>
      </c>
      <c r="AF320" s="38" t="str">
        <f>+IF(ISERROR(VLOOKUP($B320,AF$10:AF319,1,0)),IF(AND($N320&gt;=1000,$A320&gt;=AQ$8,$A320&lt;=AQ$9),$B320,""),"")</f>
        <v/>
      </c>
      <c r="AG320" s="38" t="str">
        <f>+IF(ISERROR(VLOOKUP($B320,AG$10:AG319,1,0)),IF(AND($N320&gt;=1000,$A320&gt;=AR$8,$A320&lt;=AR$9),$B320,""),"")</f>
        <v/>
      </c>
      <c r="AH320" s="38"/>
      <c r="AI320" s="70">
        <v>0</v>
      </c>
      <c r="AJ320" s="38">
        <f>IF(AND(AJ$7="○",$A320&gt;=AJ$8,$A320&lt;=AJ$9),IF(SUM(AJ$10:AJ319)-ROUNDDOWN($K320*AJ$5/100,0)&lt;-AJ$6,-AJ$6-SUM(AJ$10:AJ319),-ROUNDDOWN($K320*AJ$5/100,0)),0)</f>
        <v>0</v>
      </c>
      <c r="AK320" s="38">
        <f>IF(AND(AK$7="○",$A320&gt;=AK$8,$A320&lt;=AK$9),IF(SUM(AK$10:AK319)-ROUNDDOWN($L320*AK$5/100,0)&lt;-AK$6,-AK$6-SUM(AK$10:AK319),-ROUNDDOWN($L320*AK$5/100,0)),0)</f>
        <v>0</v>
      </c>
      <c r="AL320" s="38">
        <f>IF(AND(AL$7="○",$A320&gt;=AL$8,$A320&lt;=AL$9),IF(SUM(AL$10:AL319)-ROUNDDOWN($N320*AL$5/100,0)&lt;-AL$6,-AL$6-SUM(AL$10:AL319),-ROUNDDOWN($N320*AL$5/100,0)),0)</f>
        <v>0</v>
      </c>
      <c r="AM320" s="38">
        <f>IF(AND(AM$7="○",$A320&gt;=AM$8,$A320&lt;=AM$9),IF(SUM(AM$10:AM319)-ROUNDDOWN($L320*AM$5/100,0)&lt;-AM$6,-AM$6-SUM(AM$10:AM319),-ROUNDDOWN($L320*AM$5/100,0)),0)</f>
        <v>0</v>
      </c>
      <c r="AN320" s="38">
        <f>IF(AND(AN$7="○",$A320&gt;=AN$8,$A320&lt;=AN$9),IF(SUM(AN$10:AN319)-ROUNDDOWN($M320*AN$5/100,0)&lt;-AN$6,-AN$6-SUM(AN$10:AN319),-ROUNDDOWN($M320*AN$5/100,0)),0)</f>
        <v>0</v>
      </c>
      <c r="AO320" s="38">
        <f>IF(AND($A320&gt;=AO$8,$A320&lt;=AO$9),IF(SUM(AO$10:AO319)-ROUNDDOWN($K320*AO$5/100,0)&lt;-AO$6,-AO$6-SUM(AO$10:AO319),-ROUNDDOWN($K320*AO$5/100,0)),0)</f>
        <v>0</v>
      </c>
      <c r="AP320" s="38">
        <f>IF(AND($A320&gt;=AP$8,$A320&lt;=AP$9),IF(SUM(AP$10:AP319)-ROUNDDOWN($K320*AP$5/100,0)&lt;-AP$6,-AP$6-SUM(AP$10:AP319),-ROUNDDOWN($K320*AP$5/100,0)),0)</f>
        <v>0</v>
      </c>
      <c r="AQ320" s="38">
        <f>IF(AND($A320&gt;=AQ$8,$A320&lt;=AQ$9),IF(SUM(AQ$10:AQ319)-ROUNDDOWN($K320*AQ$5/100,0)&lt;-AQ$6,-AQ$6-SUM(AQ$10:AQ319),-ROUNDDOWN($K320*AQ$5/100,0)),0)</f>
        <v>0</v>
      </c>
      <c r="AR320" s="38">
        <f>IF(AND($A320&gt;=AR$8,$A320&lt;=AR$9),IF(SUM(AR$10:AR319)-ROUNDDOWN($K320*AR$5/100,0)&lt;-AR$6,-AR$6-SUM(AR$10:AR319),-ROUNDDOWN($K320*AR$5/100,0)),0)</f>
        <v>0</v>
      </c>
      <c r="AS320" s="38">
        <f>IF(SUMIFS(AS$10:AS319,$A$10:$A319,$A320)-ROUNDDOWN($K320*$S320/100,0)&lt;-$S320*1000,-$S320*1000-SUMIFS(AS$10:AS319,$A$10:$A319,$A320),-ROUNDDOWN($K320*$S320/100,0))</f>
        <v>0</v>
      </c>
      <c r="AT320" s="38">
        <f>IF(AND(X320="○",$A320&gt;=AT$8,$A320&lt;=AT$9,K320&gt;=3980),IF(SUM(AT$10:AT319)-ROUNDDOWN($K320*AT$5/100,0)&lt;-AT$6,-AT$6-SUM(AT$10:AT319),-ROUNDDOWN($K320*AT$5/100,0)),0)</f>
        <v>0</v>
      </c>
      <c r="AU320" s="38">
        <f>IF(O320="○",IF(SUM(AU$10:AU319)-ROUNDDOWN($K320*AU$5/100,0)&lt;-AU$6,-AU$6-SUM(AU$10:AU319),-ROUNDDOWN($K320*AU$5/100,0)),0)</f>
        <v>0</v>
      </c>
      <c r="AV320" s="38">
        <f>IF(P320="○",IF(SUM(AV$10:AV319)-ROUNDDOWN($K320*AV$5/100,0)&lt;-AV$6,-AV$6-SUM(AV$10:AV319),-ROUNDDOWN($K320*AV$5/100,0)),0)</f>
        <v>0</v>
      </c>
      <c r="AW320" s="38">
        <f>IF(Q320="○",IF(SUM(AW$10:AW319)-ROUNDDOWN($K320*AW$5/100,0)&lt;-AW$6,-AW$6-SUM(AW$10:AW319),-ROUNDDOWN($K320*AW$5/100,0)),0)</f>
        <v>0</v>
      </c>
      <c r="AX320" s="38">
        <f>IF(R320="○",IF(SUM(AX$10:AX319)-ROUNDDOWN($K320*AX$5/100,0)&lt;-AX$6,-AX$6-SUM(AX$10:AX319),-ROUNDDOWN($K320*AX$5/100,0)),0)</f>
        <v>0</v>
      </c>
      <c r="AY320" s="70">
        <v>0</v>
      </c>
      <c r="AZ320" s="65">
        <f t="shared" si="213"/>
        <v>0</v>
      </c>
      <c r="BA320" s="65">
        <f t="shared" si="214"/>
        <v>0</v>
      </c>
      <c r="BB320" s="70"/>
      <c r="BC320" s="65">
        <f t="shared" si="215"/>
        <v>0</v>
      </c>
      <c r="BD320" s="70">
        <v>0</v>
      </c>
      <c r="BE320" s="65">
        <f t="shared" si="216"/>
        <v>0</v>
      </c>
      <c r="BF320" s="70">
        <v>0</v>
      </c>
      <c r="BG320" s="65">
        <f t="shared" si="217"/>
        <v>0</v>
      </c>
      <c r="BH320" s="70">
        <v>0</v>
      </c>
      <c r="BI320" s="65">
        <f t="shared" si="218"/>
        <v>0</v>
      </c>
      <c r="BJ320" s="38">
        <f>IF(AND(BJ$7="○",$A320&gt;=BJ$8,$A320&lt;=BJ$9),IF(SUM(BJ$10:BJ319)-ROUNDDOWN($M320*BJ$5/100,0)&lt;-BJ$6,-BJ$6-SUM(BJ$10:BJ319),-ROUNDDOWN($M320*BJ$5/100,0)),0)</f>
        <v>0</v>
      </c>
      <c r="BK320" s="38">
        <f>IF(AND(BK$7="○",$A320&gt;=BK$8,$A320&lt;=BK$9),IF(SUM(BK$10:BK319)-ROUNDDOWN($L320*BK$5/100,0)&lt;-BK$6,-BK$6-SUM(BK$10:BK319),-ROUNDDOWN($L320*BK$5/100,0)),0)</f>
        <v>0</v>
      </c>
      <c r="BL320" s="38">
        <f>IF(AND(BL$7="○",$A320&gt;=BL$8,$A320&lt;=BL$9),IF(SUM(BL$10:BL319)-ROUNDDOWN($L320*BL$5/100,0)&lt;-BL$6,-BL$6-SUM(BL$10:BL319),-ROUNDDOWN($L320*BL$5/100,0)),0)</f>
        <v>0</v>
      </c>
      <c r="BM320" s="38">
        <f>IF(AND(BM$7="○",$A320&gt;=BM$8,$A320&lt;=BM$9),IF(SUM(BM$10:BM319)-ROUNDDOWN($M320*BM$5/100,0)&lt;-BM$6,-BM$6-SUM(BM$10:BM319),-ROUNDDOWN($M320*BM$5/100,0)),0)</f>
        <v>0</v>
      </c>
      <c r="BN320" s="38">
        <f>IF(AND(BN$7="○",$A320&gt;=BN$8,$A320&lt;=BN$9),IF(SUM(BN$10:BN319)-ROUNDDOWN($M320*BN$5/100,0)&lt;-BN$6,-BN$6-SUM(BN$10:BN319),-ROUNDDOWN($M320*BN$5/100,0)),0)</f>
        <v>0</v>
      </c>
      <c r="BO320" s="38">
        <f>IF(AND(BO$7="○",$A320&gt;=BO$8,$A320&lt;=BO$9),IF(SUM(BO$10:BO319)-ROUNDDOWN($M320*BO$5/100,0)&lt;-BO$6,-BO$6-SUM(BO$10:BO319),-ROUNDDOWN($M320*BO$5/100,0)),0)</f>
        <v>0</v>
      </c>
      <c r="BP320" s="38">
        <f>IF(AND(BP$7="○",$A320&gt;=BP$8,$A320&lt;=BP$9),IF(SUM(BP$10:BP319)-ROUNDDOWN($M320*BP$5/100,0)&lt;-BP$6,-BP$6-SUM(BP$10:BP319),-ROUNDDOWN($M320*BP$5/100,0)),0)</f>
        <v>0</v>
      </c>
      <c r="BQ320" s="38">
        <f>IF(AND(BQ$7="○",$A320&gt;=BQ$8,$A320&lt;=BQ$9),IF(SUM(BQ$10:BQ319)-ROUNDDOWN($L320*BQ$5/100,0)&lt;-BQ$6,-BQ$6-SUM(BQ$10:BQ319),-ROUNDDOWN($L320*BQ$5/100,0)),0)</f>
        <v>0</v>
      </c>
      <c r="BR320" s="38">
        <f>IF(AND(BR$7="○",$A320&gt;=BR$8,$A320&lt;=BR$9),IF(SUM(BR$10:BR319)-ROUNDDOWN($M320*BR$5/100,0)&lt;-BR$6,-BR$6-SUM(BR$10:BR319),-ROUNDDOWN($M320*BR$5/100,0)),0)</f>
        <v>0</v>
      </c>
      <c r="BS320" s="38">
        <f>IF(AND(BS$7="○",$A320&gt;=BS$8,$A320&lt;=BS$9),IF(SUM(BS$10:BS319)-ROUNDDOWN($M320*BS$5/100,0)&lt;-BS$6,-BS$6-SUM(BS$10:BS319),-ROUNDDOWN($M320*BS$5/100,0)),0)</f>
        <v>0</v>
      </c>
      <c r="BT320" s="38">
        <f>IF(AND(BT$7="○",$A320&gt;=BT$8,$A320&lt;=BT$9),IF(SUM(BT$10:BT319)-ROUNDDOWN($M320*BT$5/100,0)&lt;-BT$6,-BT$6-SUM(BT$10:BT319),-ROUNDDOWN($M320*BT$5/100,0)),0)</f>
        <v>0</v>
      </c>
      <c r="BU320" s="38">
        <f>IF(AND(BU$7="○",$A320&gt;=BU$8,$A320&lt;=BU$9),IF(SUM(BU$10:BU319)-ROUNDDOWN($M320*BU$5/100,0)&lt;-BU$6,-BU$6-SUM(BU$10:BU319),-ROUNDDOWN($M320*BU$5/100,0)),0)</f>
        <v>0</v>
      </c>
      <c r="BV320" s="38">
        <f>IF(AND(BV$7="○",$A320&gt;=BV$8,$A320&lt;=BV$9),IF(SUM(BV$10:BV319)-ROUNDDOWN($M320*BV$5/100,0)&lt;-BV$6,-BV$6-SUM(BV$10:BV319),-ROUNDDOWN($M320*BV$5/100,0)),0)</f>
        <v>0</v>
      </c>
      <c r="BW320" s="38">
        <f>IF(AND(BW$7="○",$A320&gt;=BW$8,$A320&lt;=BW$9),IF(SUM(BW$10:BW319)-ROUNDDOWN($M320*BW$5/100,0)&lt;-BW$6,-BW$6-SUM(BW$10:BW319),-ROUNDDOWN($M320*BW$5/100,0)),0)</f>
        <v>0</v>
      </c>
      <c r="BX320" s="38">
        <f>IF(AND(T320="○",$A320&gt;=BX$8,$A320&lt;=BX$9),IF(SUM(BX$10:BX319)-ROUNDDOWN($K320*BX$5/100,0)&lt;-BX$6,-BX$6-SUM(BX$10:BX319),-ROUNDDOWN($K320*BX$5/100,0)),0)</f>
        <v>0</v>
      </c>
      <c r="BY320" s="38">
        <f>IF(AND(U320="○",$A320&gt;=BY$8,$A320&lt;=BY$9),IF(SUM(BY$10:BY319)-ROUNDDOWN($K320*BY$5/100,0)&lt;-BY$6,-BY$6-SUM(BY$10:BY319),-ROUNDDOWN($K320*BY$5/100,0)),0)</f>
        <v>0</v>
      </c>
      <c r="BZ320" s="38">
        <f>IF(AND(V320="○",$A320&gt;=BZ$8,$A320&lt;=BZ$9),IF(SUM(BZ$10:BZ319)-ROUNDDOWN($K320*BZ$5/100,0)&lt;-BZ$6,-BZ$6-SUM(BZ$10:BZ319),-ROUNDDOWN($K320*BZ$5/100,0)),0)</f>
        <v>0</v>
      </c>
      <c r="CA320" s="38">
        <f>IF(AND(W320="○",$A320&gt;=CA$8,$A320&lt;=CA$9),IF(SUM(CA$10:CA319)-ROUNDDOWN($K320*CA$5/100,0)&lt;-CA$6,-CA$6-SUM(CA$10:CA319),-ROUNDDOWN($K320*CA$5/100,0)),0)</f>
        <v>0</v>
      </c>
      <c r="CB320" s="38"/>
      <c r="CC320" s="38"/>
      <c r="CD320" s="38"/>
      <c r="CE320" s="38"/>
      <c r="CF320" s="38"/>
      <c r="CG320" s="65">
        <f t="shared" si="219"/>
        <v>0</v>
      </c>
      <c r="CH320" s="71">
        <f t="shared" si="220"/>
        <v>0</v>
      </c>
      <c r="CI320" s="1">
        <f t="shared" si="241"/>
        <v>0</v>
      </c>
      <c r="CJ320" s="1"/>
      <c r="CK320" s="72"/>
      <c r="CL320" s="72"/>
      <c r="CM320" s="2"/>
      <c r="CN320" s="2"/>
      <c r="CO320" s="73">
        <f t="shared" si="242"/>
        <v>0</v>
      </c>
      <c r="CP320" s="5">
        <f t="shared" si="243"/>
        <v>0</v>
      </c>
      <c r="CQ320" s="1"/>
      <c r="CR320" s="1">
        <f t="shared" si="244"/>
        <v>0</v>
      </c>
      <c r="CS320" s="1"/>
      <c r="CT320" s="1" t="e">
        <f>INDEX([2]マスタ!$A:$A,MATCH(D320,[2]マスタ!$C:$C,0))</f>
        <v>#N/A</v>
      </c>
      <c r="CU320" s="1" t="str">
        <f t="shared" ca="1" si="245"/>
        <v>20260620_0-0</v>
      </c>
    </row>
    <row r="321" spans="1:99" x14ac:dyDescent="0.4">
      <c r="A321" s="61"/>
      <c r="B321" s="62"/>
      <c r="C321" s="62"/>
      <c r="D321" s="62"/>
      <c r="E321" s="74"/>
      <c r="F321" s="62"/>
      <c r="G321" s="62">
        <v>1</v>
      </c>
      <c r="H321" s="64">
        <f t="shared" si="232"/>
        <v>0</v>
      </c>
      <c r="I321" s="64"/>
      <c r="J321" s="64"/>
      <c r="K321" s="65">
        <f t="shared" si="233"/>
        <v>0</v>
      </c>
      <c r="L321" s="65">
        <f t="shared" si="234"/>
        <v>0</v>
      </c>
      <c r="M321" s="65">
        <f t="shared" si="235"/>
        <v>0</v>
      </c>
      <c r="N321" s="65">
        <f t="shared" si="236"/>
        <v>0</v>
      </c>
      <c r="O321" s="66" t="str">
        <f t="shared" si="237"/>
        <v>✕</v>
      </c>
      <c r="P321" s="67" t="str">
        <f t="shared" si="238"/>
        <v>○</v>
      </c>
      <c r="Q321" s="67" t="str">
        <f t="shared" si="239"/>
        <v>✕</v>
      </c>
      <c r="R321" s="67" t="str">
        <f t="shared" si="240"/>
        <v>✕</v>
      </c>
      <c r="S321" s="68">
        <v>0</v>
      </c>
      <c r="T321" s="69" t="s">
        <v>85</v>
      </c>
      <c r="U321" s="69" t="s">
        <v>85</v>
      </c>
      <c r="V321" s="69" t="s">
        <v>85</v>
      </c>
      <c r="W321" s="69" t="s">
        <v>85</v>
      </c>
      <c r="X321" s="69" t="s">
        <v>84</v>
      </c>
      <c r="Y321" s="69" t="s">
        <v>85</v>
      </c>
      <c r="Z321" s="69" t="s">
        <v>85</v>
      </c>
      <c r="AA321" s="69" t="s">
        <v>85</v>
      </c>
      <c r="AB321" s="69" t="s">
        <v>85</v>
      </c>
      <c r="AC321" s="69" t="s">
        <v>85</v>
      </c>
      <c r="AD321" s="38" t="str">
        <f>+IF(ISERROR(VLOOKUP($B321,AD$10:AD320,1,0)),IF(AND($N321&gt;=1000,$A321&gt;=AO$8,$A321&lt;=AO$9),$B321,""),"")</f>
        <v/>
      </c>
      <c r="AE321" s="38" t="str">
        <f>+IF(ISERROR(VLOOKUP($B321,AE$10:AE320,1,0)),IF(AND($N321&gt;=1000,$A321&gt;=AP$8,$A321&lt;=AP$9),$B321,""),"")</f>
        <v/>
      </c>
      <c r="AF321" s="38" t="str">
        <f>+IF(ISERROR(VLOOKUP($B321,AF$10:AF320,1,0)),IF(AND($N321&gt;=1000,$A321&gt;=AQ$8,$A321&lt;=AQ$9),$B321,""),"")</f>
        <v/>
      </c>
      <c r="AG321" s="38" t="str">
        <f>+IF(ISERROR(VLOOKUP($B321,AG$10:AG320,1,0)),IF(AND($N321&gt;=1000,$A321&gt;=AR$8,$A321&lt;=AR$9),$B321,""),"")</f>
        <v/>
      </c>
      <c r="AH321" s="38"/>
      <c r="AI321" s="70">
        <v>0</v>
      </c>
      <c r="AJ321" s="38">
        <f>IF(AND(AJ$7="○",$A321&gt;=AJ$8,$A321&lt;=AJ$9),IF(SUM(AJ$10:AJ320)-ROUNDDOWN($K321*AJ$5/100,0)&lt;-AJ$6,-AJ$6-SUM(AJ$10:AJ320),-ROUNDDOWN($K321*AJ$5/100,0)),0)</f>
        <v>0</v>
      </c>
      <c r="AK321" s="38">
        <f>IF(AND(AK$7="○",$A321&gt;=AK$8,$A321&lt;=AK$9),IF(SUM(AK$10:AK320)-ROUNDDOWN($L321*AK$5/100,0)&lt;-AK$6,-AK$6-SUM(AK$10:AK320),-ROUNDDOWN($L321*AK$5/100,0)),0)</f>
        <v>0</v>
      </c>
      <c r="AL321" s="38">
        <f>IF(AND(AL$7="○",$A321&gt;=AL$8,$A321&lt;=AL$9),IF(SUM(AL$10:AL320)-ROUNDDOWN($N321*AL$5/100,0)&lt;-AL$6,-AL$6-SUM(AL$10:AL320),-ROUNDDOWN($N321*AL$5/100,0)),0)</f>
        <v>0</v>
      </c>
      <c r="AM321" s="38">
        <f>IF(AND(AM$7="○",$A321&gt;=AM$8,$A321&lt;=AM$9),IF(SUM(AM$10:AM320)-ROUNDDOWN($L321*AM$5/100,0)&lt;-AM$6,-AM$6-SUM(AM$10:AM320),-ROUNDDOWN($L321*AM$5/100,0)),0)</f>
        <v>0</v>
      </c>
      <c r="AN321" s="38">
        <f>IF(AND(AN$7="○",$A321&gt;=AN$8,$A321&lt;=AN$9),IF(SUM(AN$10:AN320)-ROUNDDOWN($M321*AN$5/100,0)&lt;-AN$6,-AN$6-SUM(AN$10:AN320),-ROUNDDOWN($M321*AN$5/100,0)),0)</f>
        <v>0</v>
      </c>
      <c r="AO321" s="38">
        <f>IF(AND($A321&gt;=AO$8,$A321&lt;=AO$9),IF(SUM(AO$10:AO320)-ROUNDDOWN($K321*AO$5/100,0)&lt;-AO$6,-AO$6-SUM(AO$10:AO320),-ROUNDDOWN($K321*AO$5/100,0)),0)</f>
        <v>0</v>
      </c>
      <c r="AP321" s="38">
        <f>IF(AND($A321&gt;=AP$8,$A321&lt;=AP$9),IF(SUM(AP$10:AP320)-ROUNDDOWN($K321*AP$5/100,0)&lt;-AP$6,-AP$6-SUM(AP$10:AP320),-ROUNDDOWN($K321*AP$5/100,0)),0)</f>
        <v>0</v>
      </c>
      <c r="AQ321" s="38">
        <f>IF(AND($A321&gt;=AQ$8,$A321&lt;=AQ$9),IF(SUM(AQ$10:AQ320)-ROUNDDOWN($K321*AQ$5/100,0)&lt;-AQ$6,-AQ$6-SUM(AQ$10:AQ320),-ROUNDDOWN($K321*AQ$5/100,0)),0)</f>
        <v>0</v>
      </c>
      <c r="AR321" s="38">
        <f>IF(AND($A321&gt;=AR$8,$A321&lt;=AR$9),IF(SUM(AR$10:AR320)-ROUNDDOWN($K321*AR$5/100,0)&lt;-AR$6,-AR$6-SUM(AR$10:AR320),-ROUNDDOWN($K321*AR$5/100,0)),0)</f>
        <v>0</v>
      </c>
      <c r="AS321" s="38">
        <f>IF(SUMIFS(AS$10:AS320,$A$10:$A320,$A321)-ROUNDDOWN($K321*$S321/100,0)&lt;-$S321*1000,-$S321*1000-SUMIFS(AS$10:AS320,$A$10:$A320,$A321),-ROUNDDOWN($K321*$S321/100,0))</f>
        <v>0</v>
      </c>
      <c r="AT321" s="38">
        <f>IF(AND(X321="○",$A321&gt;=AT$8,$A321&lt;=AT$9,K321&gt;=3980),IF(SUM(AT$10:AT320)-ROUNDDOWN($K321*AT$5/100,0)&lt;-AT$6,-AT$6-SUM(AT$10:AT320),-ROUNDDOWN($K321*AT$5/100,0)),0)</f>
        <v>0</v>
      </c>
      <c r="AU321" s="38">
        <f>IF(O321="○",IF(SUM(AU$10:AU320)-ROUNDDOWN($K321*AU$5/100,0)&lt;-AU$6,-AU$6-SUM(AU$10:AU320),-ROUNDDOWN($K321*AU$5/100,0)),0)</f>
        <v>0</v>
      </c>
      <c r="AV321" s="38">
        <f>IF(P321="○",IF(SUM(AV$10:AV320)-ROUNDDOWN($K321*AV$5/100,0)&lt;-AV$6,-AV$6-SUM(AV$10:AV320),-ROUNDDOWN($K321*AV$5/100,0)),0)</f>
        <v>0</v>
      </c>
      <c r="AW321" s="38">
        <f>IF(Q321="○",IF(SUM(AW$10:AW320)-ROUNDDOWN($K321*AW$5/100,0)&lt;-AW$6,-AW$6-SUM(AW$10:AW320),-ROUNDDOWN($K321*AW$5/100,0)),0)</f>
        <v>0</v>
      </c>
      <c r="AX321" s="38">
        <f>IF(R321="○",IF(SUM(AX$10:AX320)-ROUNDDOWN($K321*AX$5/100,0)&lt;-AX$6,-AX$6-SUM(AX$10:AX320),-ROUNDDOWN($K321*AX$5/100,0)),0)</f>
        <v>0</v>
      </c>
      <c r="AY321" s="70">
        <v>0</v>
      </c>
      <c r="AZ321" s="65">
        <f t="shared" si="213"/>
        <v>0</v>
      </c>
      <c r="BA321" s="65">
        <f t="shared" si="214"/>
        <v>0</v>
      </c>
      <c r="BB321" s="70"/>
      <c r="BC321" s="65">
        <f t="shared" si="215"/>
        <v>0</v>
      </c>
      <c r="BD321" s="70">
        <v>0</v>
      </c>
      <c r="BE321" s="65">
        <f t="shared" si="216"/>
        <v>0</v>
      </c>
      <c r="BF321" s="70">
        <v>0</v>
      </c>
      <c r="BG321" s="65">
        <f t="shared" si="217"/>
        <v>0</v>
      </c>
      <c r="BH321" s="70">
        <v>0</v>
      </c>
      <c r="BI321" s="65">
        <f t="shared" si="218"/>
        <v>0</v>
      </c>
      <c r="BJ321" s="38">
        <f>IF(AND(BJ$7="○",$A321&gt;=BJ$8,$A321&lt;=BJ$9),IF(SUM(BJ$10:BJ320)-ROUNDDOWN($M321*BJ$5/100,0)&lt;-BJ$6,-BJ$6-SUM(BJ$10:BJ320),-ROUNDDOWN($M321*BJ$5/100,0)),0)</f>
        <v>0</v>
      </c>
      <c r="BK321" s="38">
        <f>IF(AND(BK$7="○",$A321&gt;=BK$8,$A321&lt;=BK$9),IF(SUM(BK$10:BK320)-ROUNDDOWN($L321*BK$5/100,0)&lt;-BK$6,-BK$6-SUM(BK$10:BK320),-ROUNDDOWN($L321*BK$5/100,0)),0)</f>
        <v>0</v>
      </c>
      <c r="BL321" s="38">
        <f>IF(AND(BL$7="○",$A321&gt;=BL$8,$A321&lt;=BL$9),IF(SUM(BL$10:BL320)-ROUNDDOWN($L321*BL$5/100,0)&lt;-BL$6,-BL$6-SUM(BL$10:BL320),-ROUNDDOWN($L321*BL$5/100,0)),0)</f>
        <v>0</v>
      </c>
      <c r="BM321" s="38">
        <f>IF(AND(BM$7="○",$A321&gt;=BM$8,$A321&lt;=BM$9),IF(SUM(BM$10:BM320)-ROUNDDOWN($M321*BM$5/100,0)&lt;-BM$6,-BM$6-SUM(BM$10:BM320),-ROUNDDOWN($M321*BM$5/100,0)),0)</f>
        <v>0</v>
      </c>
      <c r="BN321" s="38">
        <f>IF(AND(BN$7="○",$A321&gt;=BN$8,$A321&lt;=BN$9),IF(SUM(BN$10:BN320)-ROUNDDOWN($M321*BN$5/100,0)&lt;-BN$6,-BN$6-SUM(BN$10:BN320),-ROUNDDOWN($M321*BN$5/100,0)),0)</f>
        <v>0</v>
      </c>
      <c r="BO321" s="38">
        <f>IF(AND(BO$7="○",$A321&gt;=BO$8,$A321&lt;=BO$9),IF(SUM(BO$10:BO320)-ROUNDDOWN($M321*BO$5/100,0)&lt;-BO$6,-BO$6-SUM(BO$10:BO320),-ROUNDDOWN($M321*BO$5/100,0)),0)</f>
        <v>0</v>
      </c>
      <c r="BP321" s="38">
        <f>IF(AND(BP$7="○",$A321&gt;=BP$8,$A321&lt;=BP$9),IF(SUM(BP$10:BP320)-ROUNDDOWN($M321*BP$5/100,0)&lt;-BP$6,-BP$6-SUM(BP$10:BP320),-ROUNDDOWN($M321*BP$5/100,0)),0)</f>
        <v>0</v>
      </c>
      <c r="BQ321" s="38">
        <f>IF(AND(BQ$7="○",$A321&gt;=BQ$8,$A321&lt;=BQ$9),IF(SUM(BQ$10:BQ320)-ROUNDDOWN($L321*BQ$5/100,0)&lt;-BQ$6,-BQ$6-SUM(BQ$10:BQ320),-ROUNDDOWN($L321*BQ$5/100,0)),0)</f>
        <v>0</v>
      </c>
      <c r="BR321" s="38">
        <f>IF(AND(BR$7="○",$A321&gt;=BR$8,$A321&lt;=BR$9),IF(SUM(BR$10:BR320)-ROUNDDOWN($M321*BR$5/100,0)&lt;-BR$6,-BR$6-SUM(BR$10:BR320),-ROUNDDOWN($M321*BR$5/100,0)),0)</f>
        <v>0</v>
      </c>
      <c r="BS321" s="38">
        <f>IF(AND(BS$7="○",$A321&gt;=BS$8,$A321&lt;=BS$9),IF(SUM(BS$10:BS320)-ROUNDDOWN($M321*BS$5/100,0)&lt;-BS$6,-BS$6-SUM(BS$10:BS320),-ROUNDDOWN($M321*BS$5/100,0)),0)</f>
        <v>0</v>
      </c>
      <c r="BT321" s="38">
        <f>IF(AND(BT$7="○",$A321&gt;=BT$8,$A321&lt;=BT$9),IF(SUM(BT$10:BT320)-ROUNDDOWN($M321*BT$5/100,0)&lt;-BT$6,-BT$6-SUM(BT$10:BT320),-ROUNDDOWN($M321*BT$5/100,0)),0)</f>
        <v>0</v>
      </c>
      <c r="BU321" s="38">
        <f>IF(AND(BU$7="○",$A321&gt;=BU$8,$A321&lt;=BU$9),IF(SUM(BU$10:BU320)-ROUNDDOWN($M321*BU$5/100,0)&lt;-BU$6,-BU$6-SUM(BU$10:BU320),-ROUNDDOWN($M321*BU$5/100,0)),0)</f>
        <v>0</v>
      </c>
      <c r="BV321" s="38">
        <f>IF(AND(BV$7="○",$A321&gt;=BV$8,$A321&lt;=BV$9),IF(SUM(BV$10:BV320)-ROUNDDOWN($M321*BV$5/100,0)&lt;-BV$6,-BV$6-SUM(BV$10:BV320),-ROUNDDOWN($M321*BV$5/100,0)),0)</f>
        <v>0</v>
      </c>
      <c r="BW321" s="38">
        <f>IF(AND(BW$7="○",$A321&gt;=BW$8,$A321&lt;=BW$9),IF(SUM(BW$10:BW320)-ROUNDDOWN($M321*BW$5/100,0)&lt;-BW$6,-BW$6-SUM(BW$10:BW320),-ROUNDDOWN($M321*BW$5/100,0)),0)</f>
        <v>0</v>
      </c>
      <c r="BX321" s="38">
        <f>IF(AND(T321="○",$A321&gt;=BX$8,$A321&lt;=BX$9),IF(SUM(BX$10:BX320)-ROUNDDOWN($K321*BX$5/100,0)&lt;-BX$6,-BX$6-SUM(BX$10:BX320),-ROUNDDOWN($K321*BX$5/100,0)),0)</f>
        <v>0</v>
      </c>
      <c r="BY321" s="38">
        <f>IF(AND(U321="○",$A321&gt;=BY$8,$A321&lt;=BY$9),IF(SUM(BY$10:BY320)-ROUNDDOWN($K321*BY$5/100,0)&lt;-BY$6,-BY$6-SUM(BY$10:BY320),-ROUNDDOWN($K321*BY$5/100,0)),0)</f>
        <v>0</v>
      </c>
      <c r="BZ321" s="38">
        <f>IF(AND(V321="○",$A321&gt;=BZ$8,$A321&lt;=BZ$9),IF(SUM(BZ$10:BZ320)-ROUNDDOWN($K321*BZ$5/100,0)&lt;-BZ$6,-BZ$6-SUM(BZ$10:BZ320),-ROUNDDOWN($K321*BZ$5/100,0)),0)</f>
        <v>0</v>
      </c>
      <c r="CA321" s="38">
        <f>IF(AND(W321="○",$A321&gt;=CA$8,$A321&lt;=CA$9),IF(SUM(CA$10:CA320)-ROUNDDOWN($K321*CA$5/100,0)&lt;-CA$6,-CA$6-SUM(CA$10:CA320),-ROUNDDOWN($K321*CA$5/100,0)),0)</f>
        <v>0</v>
      </c>
      <c r="CB321" s="38"/>
      <c r="CC321" s="38"/>
      <c r="CD321" s="38"/>
      <c r="CE321" s="38"/>
      <c r="CF321" s="38"/>
      <c r="CG321" s="65">
        <f t="shared" si="219"/>
        <v>0</v>
      </c>
      <c r="CH321" s="71">
        <f t="shared" si="220"/>
        <v>0</v>
      </c>
      <c r="CI321" s="1">
        <f t="shared" si="241"/>
        <v>0</v>
      </c>
      <c r="CJ321" s="1"/>
      <c r="CK321" s="72"/>
      <c r="CL321" s="72"/>
      <c r="CM321" s="2"/>
      <c r="CN321" s="2"/>
      <c r="CO321" s="73">
        <f t="shared" si="242"/>
        <v>0</v>
      </c>
      <c r="CP321" s="5">
        <f t="shared" si="243"/>
        <v>0</v>
      </c>
      <c r="CQ321" s="1"/>
      <c r="CR321" s="1">
        <f t="shared" si="244"/>
        <v>0</v>
      </c>
      <c r="CS321" s="1"/>
      <c r="CT321" s="1" t="e">
        <f>INDEX([2]マスタ!$A:$A,MATCH(D321,[2]マスタ!$C:$C,0))</f>
        <v>#N/A</v>
      </c>
      <c r="CU321" s="1" t="str">
        <f t="shared" ca="1" si="245"/>
        <v>20260620_0-0</v>
      </c>
    </row>
    <row r="322" spans="1:99" x14ac:dyDescent="0.4">
      <c r="A322" s="61"/>
      <c r="B322" s="62"/>
      <c r="C322" s="62"/>
      <c r="D322" s="62"/>
      <c r="E322" s="74"/>
      <c r="F322" s="62"/>
      <c r="G322" s="62">
        <v>1</v>
      </c>
      <c r="H322" s="64">
        <f t="shared" si="232"/>
        <v>0</v>
      </c>
      <c r="I322" s="64"/>
      <c r="J322" s="64"/>
      <c r="K322" s="65">
        <f t="shared" si="233"/>
        <v>0</v>
      </c>
      <c r="L322" s="65">
        <f t="shared" si="234"/>
        <v>0</v>
      </c>
      <c r="M322" s="65">
        <f t="shared" si="235"/>
        <v>0</v>
      </c>
      <c r="N322" s="65">
        <f t="shared" si="236"/>
        <v>0</v>
      </c>
      <c r="O322" s="66" t="str">
        <f t="shared" si="237"/>
        <v>✕</v>
      </c>
      <c r="P322" s="67" t="str">
        <f t="shared" si="238"/>
        <v>○</v>
      </c>
      <c r="Q322" s="67" t="str">
        <f t="shared" si="239"/>
        <v>✕</v>
      </c>
      <c r="R322" s="67" t="str">
        <f t="shared" si="240"/>
        <v>✕</v>
      </c>
      <c r="S322" s="68">
        <v>0</v>
      </c>
      <c r="T322" s="69" t="s">
        <v>85</v>
      </c>
      <c r="U322" s="69" t="s">
        <v>85</v>
      </c>
      <c r="V322" s="69" t="s">
        <v>85</v>
      </c>
      <c r="W322" s="69" t="s">
        <v>85</v>
      </c>
      <c r="X322" s="69" t="s">
        <v>84</v>
      </c>
      <c r="Y322" s="69" t="s">
        <v>85</v>
      </c>
      <c r="Z322" s="69" t="s">
        <v>85</v>
      </c>
      <c r="AA322" s="69" t="s">
        <v>85</v>
      </c>
      <c r="AB322" s="69" t="s">
        <v>85</v>
      </c>
      <c r="AC322" s="69" t="s">
        <v>85</v>
      </c>
      <c r="AD322" s="38" t="str">
        <f>+IF(ISERROR(VLOOKUP($B322,AD$10:AD321,1,0)),IF(AND($N322&gt;=1000,$A322&gt;=AO$8,$A322&lt;=AO$9),$B322,""),"")</f>
        <v/>
      </c>
      <c r="AE322" s="38" t="str">
        <f>+IF(ISERROR(VLOOKUP($B322,AE$10:AE321,1,0)),IF(AND($N322&gt;=1000,$A322&gt;=AP$8,$A322&lt;=AP$9),$B322,""),"")</f>
        <v/>
      </c>
      <c r="AF322" s="38" t="str">
        <f>+IF(ISERROR(VLOOKUP($B322,AF$10:AF321,1,0)),IF(AND($N322&gt;=1000,$A322&gt;=AQ$8,$A322&lt;=AQ$9),$B322,""),"")</f>
        <v/>
      </c>
      <c r="AG322" s="38" t="str">
        <f>+IF(ISERROR(VLOOKUP($B322,AG$10:AG321,1,0)),IF(AND($N322&gt;=1000,$A322&gt;=AR$8,$A322&lt;=AR$9),$B322,""),"")</f>
        <v/>
      </c>
      <c r="AH322" s="38"/>
      <c r="AI322" s="70">
        <v>0</v>
      </c>
      <c r="AJ322" s="38">
        <f>IF(AND(AJ$7="○",$A322&gt;=AJ$8,$A322&lt;=AJ$9),IF(SUM(AJ$10:AJ321)-ROUNDDOWN($K322*AJ$5/100,0)&lt;-AJ$6,-AJ$6-SUM(AJ$10:AJ321),-ROUNDDOWN($K322*AJ$5/100,0)),0)</f>
        <v>0</v>
      </c>
      <c r="AK322" s="38">
        <f>IF(AND(AK$7="○",$A322&gt;=AK$8,$A322&lt;=AK$9),IF(SUM(AK$10:AK321)-ROUNDDOWN($L322*AK$5/100,0)&lt;-AK$6,-AK$6-SUM(AK$10:AK321),-ROUNDDOWN($L322*AK$5/100,0)),0)</f>
        <v>0</v>
      </c>
      <c r="AL322" s="38">
        <f>IF(AND(AL$7="○",$A322&gt;=AL$8,$A322&lt;=AL$9),IF(SUM(AL$10:AL321)-ROUNDDOWN($N322*AL$5/100,0)&lt;-AL$6,-AL$6-SUM(AL$10:AL321),-ROUNDDOWN($N322*AL$5/100,0)),0)</f>
        <v>0</v>
      </c>
      <c r="AM322" s="38">
        <f>IF(AND(AM$7="○",$A322&gt;=AM$8,$A322&lt;=AM$9),IF(SUM(AM$10:AM321)-ROUNDDOWN($L322*AM$5/100,0)&lt;-AM$6,-AM$6-SUM(AM$10:AM321),-ROUNDDOWN($L322*AM$5/100,0)),0)</f>
        <v>0</v>
      </c>
      <c r="AN322" s="38">
        <f>IF(AND(AN$7="○",$A322&gt;=AN$8,$A322&lt;=AN$9),IF(SUM(AN$10:AN321)-ROUNDDOWN($M322*AN$5/100,0)&lt;-AN$6,-AN$6-SUM(AN$10:AN321),-ROUNDDOWN($M322*AN$5/100,0)),0)</f>
        <v>0</v>
      </c>
      <c r="AO322" s="38">
        <f>IF(AND($A322&gt;=AO$8,$A322&lt;=AO$9),IF(SUM(AO$10:AO321)-ROUNDDOWN($K322*AO$5/100,0)&lt;-AO$6,-AO$6-SUM(AO$10:AO321),-ROUNDDOWN($K322*AO$5/100,0)),0)</f>
        <v>0</v>
      </c>
      <c r="AP322" s="38">
        <f>IF(AND($A322&gt;=AP$8,$A322&lt;=AP$9),IF(SUM(AP$10:AP321)-ROUNDDOWN($K322*AP$5/100,0)&lt;-AP$6,-AP$6-SUM(AP$10:AP321),-ROUNDDOWN($K322*AP$5/100,0)),0)</f>
        <v>0</v>
      </c>
      <c r="AQ322" s="38">
        <f>IF(AND($A322&gt;=AQ$8,$A322&lt;=AQ$9),IF(SUM(AQ$10:AQ321)-ROUNDDOWN($K322*AQ$5/100,0)&lt;-AQ$6,-AQ$6-SUM(AQ$10:AQ321),-ROUNDDOWN($K322*AQ$5/100,0)),0)</f>
        <v>0</v>
      </c>
      <c r="AR322" s="38">
        <f>IF(AND($A322&gt;=AR$8,$A322&lt;=AR$9),IF(SUM(AR$10:AR321)-ROUNDDOWN($K322*AR$5/100,0)&lt;-AR$6,-AR$6-SUM(AR$10:AR321),-ROUNDDOWN($K322*AR$5/100,0)),0)</f>
        <v>0</v>
      </c>
      <c r="AS322" s="38">
        <f>IF(SUMIFS(AS$10:AS321,$A$10:$A321,$A322)-ROUNDDOWN($K322*$S322/100,0)&lt;-$S322*1000,-$S322*1000-SUMIFS(AS$10:AS321,$A$10:$A321,$A322),-ROUNDDOWN($K322*$S322/100,0))</f>
        <v>0</v>
      </c>
      <c r="AT322" s="38">
        <f>IF(AND(X322="○",$A322&gt;=AT$8,$A322&lt;=AT$9,K322&gt;=3980),IF(SUM(AT$10:AT321)-ROUNDDOWN($K322*AT$5/100,0)&lt;-AT$6,-AT$6-SUM(AT$10:AT321),-ROUNDDOWN($K322*AT$5/100,0)),0)</f>
        <v>0</v>
      </c>
      <c r="AU322" s="38">
        <f>IF(O322="○",IF(SUM(AU$10:AU321)-ROUNDDOWN($K322*AU$5/100,0)&lt;-AU$6,-AU$6-SUM(AU$10:AU321),-ROUNDDOWN($K322*AU$5/100,0)),0)</f>
        <v>0</v>
      </c>
      <c r="AV322" s="38">
        <f>IF(P322="○",IF(SUM(AV$10:AV321)-ROUNDDOWN($K322*AV$5/100,0)&lt;-AV$6,-AV$6-SUM(AV$10:AV321),-ROUNDDOWN($K322*AV$5/100,0)),0)</f>
        <v>0</v>
      </c>
      <c r="AW322" s="38">
        <f>IF(Q322="○",IF(SUM(AW$10:AW321)-ROUNDDOWN($K322*AW$5/100,0)&lt;-AW$6,-AW$6-SUM(AW$10:AW321),-ROUNDDOWN($K322*AW$5/100,0)),0)</f>
        <v>0</v>
      </c>
      <c r="AX322" s="38">
        <f>IF(R322="○",IF(SUM(AX$10:AX321)-ROUNDDOWN($K322*AX$5/100,0)&lt;-AX$6,-AX$6-SUM(AX$10:AX321),-ROUNDDOWN($K322*AX$5/100,0)),0)</f>
        <v>0</v>
      </c>
      <c r="AY322" s="70">
        <v>0</v>
      </c>
      <c r="AZ322" s="65">
        <f t="shared" si="213"/>
        <v>0</v>
      </c>
      <c r="BA322" s="65">
        <f t="shared" si="214"/>
        <v>0</v>
      </c>
      <c r="BB322" s="70"/>
      <c r="BC322" s="65">
        <f t="shared" si="215"/>
        <v>0</v>
      </c>
      <c r="BD322" s="70">
        <v>0</v>
      </c>
      <c r="BE322" s="65">
        <f t="shared" si="216"/>
        <v>0</v>
      </c>
      <c r="BF322" s="70">
        <v>0</v>
      </c>
      <c r="BG322" s="65">
        <f t="shared" si="217"/>
        <v>0</v>
      </c>
      <c r="BH322" s="70">
        <v>0</v>
      </c>
      <c r="BI322" s="65">
        <f t="shared" si="218"/>
        <v>0</v>
      </c>
      <c r="BJ322" s="38">
        <f>IF(AND(BJ$7="○",$A322&gt;=BJ$8,$A322&lt;=BJ$9),IF(SUM(BJ$10:BJ321)-ROUNDDOWN($M322*BJ$5/100,0)&lt;-BJ$6,-BJ$6-SUM(BJ$10:BJ321),-ROUNDDOWN($M322*BJ$5/100,0)),0)</f>
        <v>0</v>
      </c>
      <c r="BK322" s="38">
        <f>IF(AND(BK$7="○",$A322&gt;=BK$8,$A322&lt;=BK$9),IF(SUM(BK$10:BK321)-ROUNDDOWN($L322*BK$5/100,0)&lt;-BK$6,-BK$6-SUM(BK$10:BK321),-ROUNDDOWN($L322*BK$5/100,0)),0)</f>
        <v>0</v>
      </c>
      <c r="BL322" s="38">
        <f>IF(AND(BL$7="○",$A322&gt;=BL$8,$A322&lt;=BL$9),IF(SUM(BL$10:BL321)-ROUNDDOWN($L322*BL$5/100,0)&lt;-BL$6,-BL$6-SUM(BL$10:BL321),-ROUNDDOWN($L322*BL$5/100,0)),0)</f>
        <v>0</v>
      </c>
      <c r="BM322" s="38">
        <f>IF(AND(BM$7="○",$A322&gt;=BM$8,$A322&lt;=BM$9),IF(SUM(BM$10:BM321)-ROUNDDOWN($M322*BM$5/100,0)&lt;-BM$6,-BM$6-SUM(BM$10:BM321),-ROUNDDOWN($M322*BM$5/100,0)),0)</f>
        <v>0</v>
      </c>
      <c r="BN322" s="38">
        <f>IF(AND(BN$7="○",$A322&gt;=BN$8,$A322&lt;=BN$9),IF(SUM(BN$10:BN321)-ROUNDDOWN($M322*BN$5/100,0)&lt;-BN$6,-BN$6-SUM(BN$10:BN321),-ROUNDDOWN($M322*BN$5/100,0)),0)</f>
        <v>0</v>
      </c>
      <c r="BO322" s="38">
        <f>IF(AND(BO$7="○",$A322&gt;=BO$8,$A322&lt;=BO$9),IF(SUM(BO$10:BO321)-ROUNDDOWN($M322*BO$5/100,0)&lt;-BO$6,-BO$6-SUM(BO$10:BO321),-ROUNDDOWN($M322*BO$5/100,0)),0)</f>
        <v>0</v>
      </c>
      <c r="BP322" s="38">
        <f>IF(AND(BP$7="○",$A322&gt;=BP$8,$A322&lt;=BP$9),IF(SUM(BP$10:BP321)-ROUNDDOWN($M322*BP$5/100,0)&lt;-BP$6,-BP$6-SUM(BP$10:BP321),-ROUNDDOWN($M322*BP$5/100,0)),0)</f>
        <v>0</v>
      </c>
      <c r="BQ322" s="38">
        <f>IF(AND(BQ$7="○",$A322&gt;=BQ$8,$A322&lt;=BQ$9),IF(SUM(BQ$10:BQ321)-ROUNDDOWN($L322*BQ$5/100,0)&lt;-BQ$6,-BQ$6-SUM(BQ$10:BQ321),-ROUNDDOWN($L322*BQ$5/100,0)),0)</f>
        <v>0</v>
      </c>
      <c r="BR322" s="38">
        <f>IF(AND(BR$7="○",$A322&gt;=BR$8,$A322&lt;=BR$9),IF(SUM(BR$10:BR321)-ROUNDDOWN($M322*BR$5/100,0)&lt;-BR$6,-BR$6-SUM(BR$10:BR321),-ROUNDDOWN($M322*BR$5/100,0)),0)</f>
        <v>0</v>
      </c>
      <c r="BS322" s="38">
        <f>IF(AND(BS$7="○",$A322&gt;=BS$8,$A322&lt;=BS$9),IF(SUM(BS$10:BS321)-ROUNDDOWN($M322*BS$5/100,0)&lt;-BS$6,-BS$6-SUM(BS$10:BS321),-ROUNDDOWN($M322*BS$5/100,0)),0)</f>
        <v>0</v>
      </c>
      <c r="BT322" s="38">
        <f>IF(AND(BT$7="○",$A322&gt;=BT$8,$A322&lt;=BT$9),IF(SUM(BT$10:BT321)-ROUNDDOWN($M322*BT$5/100,0)&lt;-BT$6,-BT$6-SUM(BT$10:BT321),-ROUNDDOWN($M322*BT$5/100,0)),0)</f>
        <v>0</v>
      </c>
      <c r="BU322" s="38">
        <f>IF(AND(BU$7="○",$A322&gt;=BU$8,$A322&lt;=BU$9),IF(SUM(BU$10:BU321)-ROUNDDOWN($M322*BU$5/100,0)&lt;-BU$6,-BU$6-SUM(BU$10:BU321),-ROUNDDOWN($M322*BU$5/100,0)),0)</f>
        <v>0</v>
      </c>
      <c r="BV322" s="38">
        <f>IF(AND(BV$7="○",$A322&gt;=BV$8,$A322&lt;=BV$9),IF(SUM(BV$10:BV321)-ROUNDDOWN($M322*BV$5/100,0)&lt;-BV$6,-BV$6-SUM(BV$10:BV321),-ROUNDDOWN($M322*BV$5/100,0)),0)</f>
        <v>0</v>
      </c>
      <c r="BW322" s="38">
        <f>IF(AND(BW$7="○",$A322&gt;=BW$8,$A322&lt;=BW$9),IF(SUM(BW$10:BW321)-ROUNDDOWN($M322*BW$5/100,0)&lt;-BW$6,-BW$6-SUM(BW$10:BW321),-ROUNDDOWN($M322*BW$5/100,0)),0)</f>
        <v>0</v>
      </c>
      <c r="BX322" s="38">
        <f>IF(AND(T322="○",$A322&gt;=BX$8,$A322&lt;=BX$9),IF(SUM(BX$10:BX321)-ROUNDDOWN($K322*BX$5/100,0)&lt;-BX$6,-BX$6-SUM(BX$10:BX321),-ROUNDDOWN($K322*BX$5/100,0)),0)</f>
        <v>0</v>
      </c>
      <c r="BY322" s="38">
        <f>IF(AND(U322="○",$A322&gt;=BY$8,$A322&lt;=BY$9),IF(SUM(BY$10:BY321)-ROUNDDOWN($K322*BY$5/100,0)&lt;-BY$6,-BY$6-SUM(BY$10:BY321),-ROUNDDOWN($K322*BY$5/100,0)),0)</f>
        <v>0</v>
      </c>
      <c r="BZ322" s="38">
        <f>IF(AND(V322="○",$A322&gt;=BZ$8,$A322&lt;=BZ$9),IF(SUM(BZ$10:BZ321)-ROUNDDOWN($K322*BZ$5/100,0)&lt;-BZ$6,-BZ$6-SUM(BZ$10:BZ321),-ROUNDDOWN($K322*BZ$5/100,0)),0)</f>
        <v>0</v>
      </c>
      <c r="CA322" s="38">
        <f>IF(AND(W322="○",$A322&gt;=CA$8,$A322&lt;=CA$9),IF(SUM(CA$10:CA321)-ROUNDDOWN($K322*CA$5/100,0)&lt;-CA$6,-CA$6-SUM(CA$10:CA321),-ROUNDDOWN($K322*CA$5/100,0)),0)</f>
        <v>0</v>
      </c>
      <c r="CB322" s="38"/>
      <c r="CC322" s="38"/>
      <c r="CD322" s="38"/>
      <c r="CE322" s="38"/>
      <c r="CF322" s="38"/>
      <c r="CG322" s="65">
        <f t="shared" si="219"/>
        <v>0</v>
      </c>
      <c r="CH322" s="71">
        <f t="shared" si="220"/>
        <v>0</v>
      </c>
      <c r="CI322" s="1">
        <f t="shared" si="241"/>
        <v>0</v>
      </c>
      <c r="CJ322" s="1"/>
      <c r="CK322" s="72"/>
      <c r="CL322" s="72"/>
      <c r="CM322" s="2"/>
      <c r="CN322" s="2"/>
      <c r="CO322" s="73">
        <f t="shared" si="242"/>
        <v>0</v>
      </c>
      <c r="CP322" s="5">
        <f t="shared" si="243"/>
        <v>0</v>
      </c>
      <c r="CQ322" s="1"/>
      <c r="CR322" s="1">
        <f t="shared" si="244"/>
        <v>0</v>
      </c>
      <c r="CS322" s="1"/>
      <c r="CT322" s="1" t="e">
        <f>INDEX([2]マスタ!$A:$A,MATCH(D322,[2]マスタ!$C:$C,0))</f>
        <v>#N/A</v>
      </c>
      <c r="CU322" s="1" t="str">
        <f t="shared" ca="1" si="245"/>
        <v>20260620_0-0</v>
      </c>
    </row>
    <row r="323" spans="1:99" x14ac:dyDescent="0.4">
      <c r="A323" s="61"/>
      <c r="B323" s="62"/>
      <c r="C323" s="62"/>
      <c r="D323" s="62"/>
      <c r="E323" s="74"/>
      <c r="F323" s="62"/>
      <c r="G323" s="62">
        <v>1</v>
      </c>
      <c r="H323" s="64">
        <f t="shared" si="232"/>
        <v>0</v>
      </c>
      <c r="I323" s="64"/>
      <c r="J323" s="64"/>
      <c r="K323" s="65">
        <f t="shared" si="233"/>
        <v>0</v>
      </c>
      <c r="L323" s="65">
        <f t="shared" si="234"/>
        <v>0</v>
      </c>
      <c r="M323" s="65">
        <f t="shared" si="235"/>
        <v>0</v>
      </c>
      <c r="N323" s="65">
        <f t="shared" si="236"/>
        <v>0</v>
      </c>
      <c r="O323" s="66" t="str">
        <f t="shared" si="237"/>
        <v>✕</v>
      </c>
      <c r="P323" s="67" t="str">
        <f t="shared" si="238"/>
        <v>○</v>
      </c>
      <c r="Q323" s="67" t="str">
        <f t="shared" si="239"/>
        <v>✕</v>
      </c>
      <c r="R323" s="67" t="str">
        <f t="shared" si="240"/>
        <v>✕</v>
      </c>
      <c r="S323" s="68">
        <v>0</v>
      </c>
      <c r="T323" s="69" t="s">
        <v>85</v>
      </c>
      <c r="U323" s="69" t="s">
        <v>85</v>
      </c>
      <c r="V323" s="69" t="s">
        <v>85</v>
      </c>
      <c r="W323" s="69" t="s">
        <v>85</v>
      </c>
      <c r="X323" s="69" t="s">
        <v>84</v>
      </c>
      <c r="Y323" s="69" t="s">
        <v>85</v>
      </c>
      <c r="Z323" s="69" t="s">
        <v>85</v>
      </c>
      <c r="AA323" s="69" t="s">
        <v>85</v>
      </c>
      <c r="AB323" s="69" t="s">
        <v>85</v>
      </c>
      <c r="AC323" s="69" t="s">
        <v>85</v>
      </c>
      <c r="AD323" s="38" t="str">
        <f>+IF(ISERROR(VLOOKUP($B323,AD$10:AD322,1,0)),IF(AND($N323&gt;=1000,$A323&gt;=AO$8,$A323&lt;=AO$9),$B323,""),"")</f>
        <v/>
      </c>
      <c r="AE323" s="38" t="str">
        <f>+IF(ISERROR(VLOOKUP($B323,AE$10:AE322,1,0)),IF(AND($N323&gt;=1000,$A323&gt;=AP$8,$A323&lt;=AP$9),$B323,""),"")</f>
        <v/>
      </c>
      <c r="AF323" s="38" t="str">
        <f>+IF(ISERROR(VLOOKUP($B323,AF$10:AF322,1,0)),IF(AND($N323&gt;=1000,$A323&gt;=AQ$8,$A323&lt;=AQ$9),$B323,""),"")</f>
        <v/>
      </c>
      <c r="AG323" s="38" t="str">
        <f>+IF(ISERROR(VLOOKUP($B323,AG$10:AG322,1,0)),IF(AND($N323&gt;=1000,$A323&gt;=AR$8,$A323&lt;=AR$9),$B323,""),"")</f>
        <v/>
      </c>
      <c r="AH323" s="38"/>
      <c r="AI323" s="70">
        <v>0</v>
      </c>
      <c r="AJ323" s="38">
        <f>IF(AND(AJ$7="○",$A323&gt;=AJ$8,$A323&lt;=AJ$9),IF(SUM(AJ$10:AJ322)-ROUNDDOWN($K323*AJ$5/100,0)&lt;-AJ$6,-AJ$6-SUM(AJ$10:AJ322),-ROUNDDOWN($K323*AJ$5/100,0)),0)</f>
        <v>0</v>
      </c>
      <c r="AK323" s="38">
        <f>IF(AND(AK$7="○",$A323&gt;=AK$8,$A323&lt;=AK$9),IF(SUM(AK$10:AK322)-ROUNDDOWN($L323*AK$5/100,0)&lt;-AK$6,-AK$6-SUM(AK$10:AK322),-ROUNDDOWN($L323*AK$5/100,0)),0)</f>
        <v>0</v>
      </c>
      <c r="AL323" s="38">
        <f>IF(AND(AL$7="○",$A323&gt;=AL$8,$A323&lt;=AL$9),IF(SUM(AL$10:AL322)-ROUNDDOWN($N323*AL$5/100,0)&lt;-AL$6,-AL$6-SUM(AL$10:AL322),-ROUNDDOWN($N323*AL$5/100,0)),0)</f>
        <v>0</v>
      </c>
      <c r="AM323" s="38">
        <f>IF(AND(AM$7="○",$A323&gt;=AM$8,$A323&lt;=AM$9),IF(SUM(AM$10:AM322)-ROUNDDOWN($L323*AM$5/100,0)&lt;-AM$6,-AM$6-SUM(AM$10:AM322),-ROUNDDOWN($L323*AM$5/100,0)),0)</f>
        <v>0</v>
      </c>
      <c r="AN323" s="38">
        <f>IF(AND(AN$7="○",$A323&gt;=AN$8,$A323&lt;=AN$9),IF(SUM(AN$10:AN322)-ROUNDDOWN($M323*AN$5/100,0)&lt;-AN$6,-AN$6-SUM(AN$10:AN322),-ROUNDDOWN($M323*AN$5/100,0)),0)</f>
        <v>0</v>
      </c>
      <c r="AO323" s="38">
        <f>IF(AND($A323&gt;=AO$8,$A323&lt;=AO$9),IF(SUM(AO$10:AO322)-ROUNDDOWN($K323*AO$5/100,0)&lt;-AO$6,-AO$6-SUM(AO$10:AO322),-ROUNDDOWN($K323*AO$5/100,0)),0)</f>
        <v>0</v>
      </c>
      <c r="AP323" s="38">
        <f>IF(AND($A323&gt;=AP$8,$A323&lt;=AP$9),IF(SUM(AP$10:AP322)-ROUNDDOWN($K323*AP$5/100,0)&lt;-AP$6,-AP$6-SUM(AP$10:AP322),-ROUNDDOWN($K323*AP$5/100,0)),0)</f>
        <v>0</v>
      </c>
      <c r="AQ323" s="38">
        <f>IF(AND($A323&gt;=AQ$8,$A323&lt;=AQ$9),IF(SUM(AQ$10:AQ322)-ROUNDDOWN($K323*AQ$5/100,0)&lt;-AQ$6,-AQ$6-SUM(AQ$10:AQ322),-ROUNDDOWN($K323*AQ$5/100,0)),0)</f>
        <v>0</v>
      </c>
      <c r="AR323" s="38">
        <f>IF(AND($A323&gt;=AR$8,$A323&lt;=AR$9),IF(SUM(AR$10:AR322)-ROUNDDOWN($K323*AR$5/100,0)&lt;-AR$6,-AR$6-SUM(AR$10:AR322),-ROUNDDOWN($K323*AR$5/100,0)),0)</f>
        <v>0</v>
      </c>
      <c r="AS323" s="38">
        <f>IF(SUMIFS(AS$10:AS322,$A$10:$A322,$A323)-ROUNDDOWN($K323*$S323/100,0)&lt;-$S323*1000,-$S323*1000-SUMIFS(AS$10:AS322,$A$10:$A322,$A323),-ROUNDDOWN($K323*$S323/100,0))</f>
        <v>0</v>
      </c>
      <c r="AT323" s="38">
        <f>IF(AND(X323="○",$A323&gt;=AT$8,$A323&lt;=AT$9,K323&gt;=3980),IF(SUM(AT$10:AT322)-ROUNDDOWN($K323*AT$5/100,0)&lt;-AT$6,-AT$6-SUM(AT$10:AT322),-ROUNDDOWN($K323*AT$5/100,0)),0)</f>
        <v>0</v>
      </c>
      <c r="AU323" s="38">
        <f>IF(O323="○",IF(SUM(AU$10:AU322)-ROUNDDOWN($K323*AU$5/100,0)&lt;-AU$6,-AU$6-SUM(AU$10:AU322),-ROUNDDOWN($K323*AU$5/100,0)),0)</f>
        <v>0</v>
      </c>
      <c r="AV323" s="38">
        <f>IF(P323="○",IF(SUM(AV$10:AV322)-ROUNDDOWN($K323*AV$5/100,0)&lt;-AV$6,-AV$6-SUM(AV$10:AV322),-ROUNDDOWN($K323*AV$5/100,0)),0)</f>
        <v>0</v>
      </c>
      <c r="AW323" s="38">
        <f>IF(Q323="○",IF(SUM(AW$10:AW322)-ROUNDDOWN($K323*AW$5/100,0)&lt;-AW$6,-AW$6-SUM(AW$10:AW322),-ROUNDDOWN($K323*AW$5/100,0)),0)</f>
        <v>0</v>
      </c>
      <c r="AX323" s="38">
        <f>IF(R323="○",IF(SUM(AX$10:AX322)-ROUNDDOWN($K323*AX$5/100,0)&lt;-AX$6,-AX$6-SUM(AX$10:AX322),-ROUNDDOWN($K323*AX$5/100,0)),0)</f>
        <v>0</v>
      </c>
      <c r="AY323" s="70">
        <v>0</v>
      </c>
      <c r="AZ323" s="65">
        <f t="shared" si="213"/>
        <v>0</v>
      </c>
      <c r="BA323" s="65">
        <f t="shared" si="214"/>
        <v>0</v>
      </c>
      <c r="BB323" s="70"/>
      <c r="BC323" s="65">
        <f t="shared" si="215"/>
        <v>0</v>
      </c>
      <c r="BD323" s="70">
        <v>0</v>
      </c>
      <c r="BE323" s="65">
        <f t="shared" si="216"/>
        <v>0</v>
      </c>
      <c r="BF323" s="70">
        <v>0</v>
      </c>
      <c r="BG323" s="65">
        <f t="shared" si="217"/>
        <v>0</v>
      </c>
      <c r="BH323" s="70">
        <v>0</v>
      </c>
      <c r="BI323" s="65">
        <f t="shared" si="218"/>
        <v>0</v>
      </c>
      <c r="BJ323" s="38">
        <f>IF(AND(BJ$7="○",$A323&gt;=BJ$8,$A323&lt;=BJ$9),IF(SUM(BJ$10:BJ322)-ROUNDDOWN($M323*BJ$5/100,0)&lt;-BJ$6,-BJ$6-SUM(BJ$10:BJ322),-ROUNDDOWN($M323*BJ$5/100,0)),0)</f>
        <v>0</v>
      </c>
      <c r="BK323" s="38">
        <f>IF(AND(BK$7="○",$A323&gt;=BK$8,$A323&lt;=BK$9),IF(SUM(BK$10:BK322)-ROUNDDOWN($L323*BK$5/100,0)&lt;-BK$6,-BK$6-SUM(BK$10:BK322),-ROUNDDOWN($L323*BK$5/100,0)),0)</f>
        <v>0</v>
      </c>
      <c r="BL323" s="38">
        <f>IF(AND(BL$7="○",$A323&gt;=BL$8,$A323&lt;=BL$9),IF(SUM(BL$10:BL322)-ROUNDDOWN($L323*BL$5/100,0)&lt;-BL$6,-BL$6-SUM(BL$10:BL322),-ROUNDDOWN($L323*BL$5/100,0)),0)</f>
        <v>0</v>
      </c>
      <c r="BM323" s="38">
        <f>IF(AND(BM$7="○",$A323&gt;=BM$8,$A323&lt;=BM$9),IF(SUM(BM$10:BM322)-ROUNDDOWN($M323*BM$5/100,0)&lt;-BM$6,-BM$6-SUM(BM$10:BM322),-ROUNDDOWN($M323*BM$5/100,0)),0)</f>
        <v>0</v>
      </c>
      <c r="BN323" s="38">
        <f>IF(AND(BN$7="○",$A323&gt;=BN$8,$A323&lt;=BN$9),IF(SUM(BN$10:BN322)-ROUNDDOWN($M323*BN$5/100,0)&lt;-BN$6,-BN$6-SUM(BN$10:BN322),-ROUNDDOWN($M323*BN$5/100,0)),0)</f>
        <v>0</v>
      </c>
      <c r="BO323" s="38">
        <f>IF(AND(BO$7="○",$A323&gt;=BO$8,$A323&lt;=BO$9),IF(SUM(BO$10:BO322)-ROUNDDOWN($M323*BO$5/100,0)&lt;-BO$6,-BO$6-SUM(BO$10:BO322),-ROUNDDOWN($M323*BO$5/100,0)),0)</f>
        <v>0</v>
      </c>
      <c r="BP323" s="38">
        <f>IF(AND(BP$7="○",$A323&gt;=BP$8,$A323&lt;=BP$9),IF(SUM(BP$10:BP322)-ROUNDDOWN($M323*BP$5/100,0)&lt;-BP$6,-BP$6-SUM(BP$10:BP322),-ROUNDDOWN($M323*BP$5/100,0)),0)</f>
        <v>0</v>
      </c>
      <c r="BQ323" s="38">
        <f>IF(AND(BQ$7="○",$A323&gt;=BQ$8,$A323&lt;=BQ$9),IF(SUM(BQ$10:BQ322)-ROUNDDOWN($L323*BQ$5/100,0)&lt;-BQ$6,-BQ$6-SUM(BQ$10:BQ322),-ROUNDDOWN($L323*BQ$5/100,0)),0)</f>
        <v>0</v>
      </c>
      <c r="BR323" s="38">
        <f>IF(AND(BR$7="○",$A323&gt;=BR$8,$A323&lt;=BR$9),IF(SUM(BR$10:BR322)-ROUNDDOWN($M323*BR$5/100,0)&lt;-BR$6,-BR$6-SUM(BR$10:BR322),-ROUNDDOWN($M323*BR$5/100,0)),0)</f>
        <v>0</v>
      </c>
      <c r="BS323" s="38">
        <f>IF(AND(BS$7="○",$A323&gt;=BS$8,$A323&lt;=BS$9),IF(SUM(BS$10:BS322)-ROUNDDOWN($M323*BS$5/100,0)&lt;-BS$6,-BS$6-SUM(BS$10:BS322),-ROUNDDOWN($M323*BS$5/100,0)),0)</f>
        <v>0</v>
      </c>
      <c r="BT323" s="38">
        <f>IF(AND(BT$7="○",$A323&gt;=BT$8,$A323&lt;=BT$9),IF(SUM(BT$10:BT322)-ROUNDDOWN($M323*BT$5/100,0)&lt;-BT$6,-BT$6-SUM(BT$10:BT322),-ROUNDDOWN($M323*BT$5/100,0)),0)</f>
        <v>0</v>
      </c>
      <c r="BU323" s="38">
        <f>IF(AND(BU$7="○",$A323&gt;=BU$8,$A323&lt;=BU$9),IF(SUM(BU$10:BU322)-ROUNDDOWN($M323*BU$5/100,0)&lt;-BU$6,-BU$6-SUM(BU$10:BU322),-ROUNDDOWN($M323*BU$5/100,0)),0)</f>
        <v>0</v>
      </c>
      <c r="BV323" s="38">
        <f>IF(AND(BV$7="○",$A323&gt;=BV$8,$A323&lt;=BV$9),IF(SUM(BV$10:BV322)-ROUNDDOWN($M323*BV$5/100,0)&lt;-BV$6,-BV$6-SUM(BV$10:BV322),-ROUNDDOWN($M323*BV$5/100,0)),0)</f>
        <v>0</v>
      </c>
      <c r="BW323" s="38">
        <f>IF(AND(BW$7="○",$A323&gt;=BW$8,$A323&lt;=BW$9),IF(SUM(BW$10:BW322)-ROUNDDOWN($M323*BW$5/100,0)&lt;-BW$6,-BW$6-SUM(BW$10:BW322),-ROUNDDOWN($M323*BW$5/100,0)),0)</f>
        <v>0</v>
      </c>
      <c r="BX323" s="38">
        <f>IF(AND(T323="○",$A323&gt;=BX$8,$A323&lt;=BX$9),IF(SUM(BX$10:BX322)-ROUNDDOWN($K323*BX$5/100,0)&lt;-BX$6,-BX$6-SUM(BX$10:BX322),-ROUNDDOWN($K323*BX$5/100,0)),0)</f>
        <v>0</v>
      </c>
      <c r="BY323" s="38">
        <f>IF(AND(U323="○",$A323&gt;=BY$8,$A323&lt;=BY$9),IF(SUM(BY$10:BY322)-ROUNDDOWN($K323*BY$5/100,0)&lt;-BY$6,-BY$6-SUM(BY$10:BY322),-ROUNDDOWN($K323*BY$5/100,0)),0)</f>
        <v>0</v>
      </c>
      <c r="BZ323" s="38">
        <f>IF(AND(V323="○",$A323&gt;=BZ$8,$A323&lt;=BZ$9),IF(SUM(BZ$10:BZ322)-ROUNDDOWN($K323*BZ$5/100,0)&lt;-BZ$6,-BZ$6-SUM(BZ$10:BZ322),-ROUNDDOWN($K323*BZ$5/100,0)),0)</f>
        <v>0</v>
      </c>
      <c r="CA323" s="38">
        <f>IF(AND(W323="○",$A323&gt;=CA$8,$A323&lt;=CA$9),IF(SUM(CA$10:CA322)-ROUNDDOWN($K323*CA$5/100,0)&lt;-CA$6,-CA$6-SUM(CA$10:CA322),-ROUNDDOWN($K323*CA$5/100,0)),0)</f>
        <v>0</v>
      </c>
      <c r="CB323" s="38"/>
      <c r="CC323" s="38"/>
      <c r="CD323" s="38"/>
      <c r="CE323" s="38"/>
      <c r="CF323" s="38"/>
      <c r="CG323" s="65">
        <f t="shared" si="219"/>
        <v>0</v>
      </c>
      <c r="CH323" s="71">
        <f t="shared" si="220"/>
        <v>0</v>
      </c>
      <c r="CI323" s="1">
        <f t="shared" si="241"/>
        <v>0</v>
      </c>
      <c r="CJ323" s="1"/>
      <c r="CK323" s="72"/>
      <c r="CL323" s="72"/>
      <c r="CM323" s="2"/>
      <c r="CN323" s="2"/>
      <c r="CO323" s="73">
        <f t="shared" si="242"/>
        <v>0</v>
      </c>
      <c r="CP323" s="5">
        <f t="shared" si="243"/>
        <v>0</v>
      </c>
      <c r="CQ323" s="1"/>
      <c r="CR323" s="1">
        <f t="shared" si="244"/>
        <v>0</v>
      </c>
      <c r="CS323" s="1"/>
      <c r="CT323" s="1" t="e">
        <f>INDEX([2]マスタ!$A:$A,MATCH(D323,[2]マスタ!$C:$C,0))</f>
        <v>#N/A</v>
      </c>
      <c r="CU323" s="1" t="str">
        <f t="shared" ca="1" si="245"/>
        <v>20260620_0-0</v>
      </c>
    </row>
    <row r="324" spans="1:99" x14ac:dyDescent="0.4">
      <c r="A324" s="61"/>
      <c r="B324" s="62"/>
      <c r="C324" s="62"/>
      <c r="D324" s="62"/>
      <c r="E324" s="74"/>
      <c r="F324" s="62"/>
      <c r="G324" s="62">
        <v>1</v>
      </c>
      <c r="H324" s="64">
        <f t="shared" si="232"/>
        <v>0</v>
      </c>
      <c r="I324" s="64"/>
      <c r="J324" s="64"/>
      <c r="K324" s="65">
        <f t="shared" si="233"/>
        <v>0</v>
      </c>
      <c r="L324" s="65">
        <f t="shared" si="234"/>
        <v>0</v>
      </c>
      <c r="M324" s="65">
        <f t="shared" si="235"/>
        <v>0</v>
      </c>
      <c r="N324" s="65">
        <f t="shared" si="236"/>
        <v>0</v>
      </c>
      <c r="O324" s="66" t="str">
        <f t="shared" si="237"/>
        <v>✕</v>
      </c>
      <c r="P324" s="67" t="str">
        <f t="shared" si="238"/>
        <v>○</v>
      </c>
      <c r="Q324" s="67" t="str">
        <f t="shared" si="239"/>
        <v>✕</v>
      </c>
      <c r="R324" s="67" t="str">
        <f t="shared" si="240"/>
        <v>✕</v>
      </c>
      <c r="S324" s="68">
        <v>0</v>
      </c>
      <c r="T324" s="69" t="s">
        <v>85</v>
      </c>
      <c r="U324" s="69" t="s">
        <v>85</v>
      </c>
      <c r="V324" s="69" t="s">
        <v>85</v>
      </c>
      <c r="W324" s="69" t="s">
        <v>85</v>
      </c>
      <c r="X324" s="69" t="s">
        <v>84</v>
      </c>
      <c r="Y324" s="69" t="s">
        <v>85</v>
      </c>
      <c r="Z324" s="69" t="s">
        <v>85</v>
      </c>
      <c r="AA324" s="69" t="s">
        <v>85</v>
      </c>
      <c r="AB324" s="69" t="s">
        <v>85</v>
      </c>
      <c r="AC324" s="69" t="s">
        <v>85</v>
      </c>
      <c r="AD324" s="38" t="str">
        <f>+IF(ISERROR(VLOOKUP($B324,AD$10:AD323,1,0)),IF(AND($N324&gt;=1000,$A324&gt;=AO$8,$A324&lt;=AO$9),$B324,""),"")</f>
        <v/>
      </c>
      <c r="AE324" s="38" t="str">
        <f>+IF(ISERROR(VLOOKUP($B324,AE$10:AE323,1,0)),IF(AND($N324&gt;=1000,$A324&gt;=AP$8,$A324&lt;=AP$9),$B324,""),"")</f>
        <v/>
      </c>
      <c r="AF324" s="38" t="str">
        <f>+IF(ISERROR(VLOOKUP($B324,AF$10:AF323,1,0)),IF(AND($N324&gt;=1000,$A324&gt;=AQ$8,$A324&lt;=AQ$9),$B324,""),"")</f>
        <v/>
      </c>
      <c r="AG324" s="38" t="str">
        <f>+IF(ISERROR(VLOOKUP($B324,AG$10:AG323,1,0)),IF(AND($N324&gt;=1000,$A324&gt;=AR$8,$A324&lt;=AR$9),$B324,""),"")</f>
        <v/>
      </c>
      <c r="AH324" s="38"/>
      <c r="AI324" s="70">
        <v>0</v>
      </c>
      <c r="AJ324" s="38">
        <f>IF(AND(AJ$7="○",$A324&gt;=AJ$8,$A324&lt;=AJ$9),IF(SUM(AJ$10:AJ323)-ROUNDDOWN($K324*AJ$5/100,0)&lt;-AJ$6,-AJ$6-SUM(AJ$10:AJ323),-ROUNDDOWN($K324*AJ$5/100,0)),0)</f>
        <v>0</v>
      </c>
      <c r="AK324" s="38">
        <f>IF(AND(AK$7="○",$A324&gt;=AK$8,$A324&lt;=AK$9),IF(SUM(AK$10:AK323)-ROUNDDOWN($L324*AK$5/100,0)&lt;-AK$6,-AK$6-SUM(AK$10:AK323),-ROUNDDOWN($L324*AK$5/100,0)),0)</f>
        <v>0</v>
      </c>
      <c r="AL324" s="38">
        <f>IF(AND(AL$7="○",$A324&gt;=AL$8,$A324&lt;=AL$9),IF(SUM(AL$10:AL323)-ROUNDDOWN($N324*AL$5/100,0)&lt;-AL$6,-AL$6-SUM(AL$10:AL323),-ROUNDDOWN($N324*AL$5/100,0)),0)</f>
        <v>0</v>
      </c>
      <c r="AM324" s="38">
        <f>IF(AND(AM$7="○",$A324&gt;=AM$8,$A324&lt;=AM$9),IF(SUM(AM$10:AM323)-ROUNDDOWN($L324*AM$5/100,0)&lt;-AM$6,-AM$6-SUM(AM$10:AM323),-ROUNDDOWN($L324*AM$5/100,0)),0)</f>
        <v>0</v>
      </c>
      <c r="AN324" s="38">
        <f>IF(AND(AN$7="○",$A324&gt;=AN$8,$A324&lt;=AN$9),IF(SUM(AN$10:AN323)-ROUNDDOWN($M324*AN$5/100,0)&lt;-AN$6,-AN$6-SUM(AN$10:AN323),-ROUNDDOWN($M324*AN$5/100,0)),0)</f>
        <v>0</v>
      </c>
      <c r="AO324" s="38">
        <f>IF(AND($A324&gt;=AO$8,$A324&lt;=AO$9),IF(SUM(AO$10:AO323)-ROUNDDOWN($K324*AO$5/100,0)&lt;-AO$6,-AO$6-SUM(AO$10:AO323),-ROUNDDOWN($K324*AO$5/100,0)),0)</f>
        <v>0</v>
      </c>
      <c r="AP324" s="38">
        <f>IF(AND($A324&gt;=AP$8,$A324&lt;=AP$9),IF(SUM(AP$10:AP323)-ROUNDDOWN($K324*AP$5/100,0)&lt;-AP$6,-AP$6-SUM(AP$10:AP323),-ROUNDDOWN($K324*AP$5/100,0)),0)</f>
        <v>0</v>
      </c>
      <c r="AQ324" s="38">
        <f>IF(AND($A324&gt;=AQ$8,$A324&lt;=AQ$9),IF(SUM(AQ$10:AQ323)-ROUNDDOWN($K324*AQ$5/100,0)&lt;-AQ$6,-AQ$6-SUM(AQ$10:AQ323),-ROUNDDOWN($K324*AQ$5/100,0)),0)</f>
        <v>0</v>
      </c>
      <c r="AR324" s="38">
        <f>IF(AND($A324&gt;=AR$8,$A324&lt;=AR$9),IF(SUM(AR$10:AR323)-ROUNDDOWN($K324*AR$5/100,0)&lt;-AR$6,-AR$6-SUM(AR$10:AR323),-ROUNDDOWN($K324*AR$5/100,0)),0)</f>
        <v>0</v>
      </c>
      <c r="AS324" s="38">
        <f>IF(SUMIFS(AS$10:AS323,$A$10:$A323,$A324)-ROUNDDOWN($K324*$S324/100,0)&lt;-$S324*1000,-$S324*1000-SUMIFS(AS$10:AS323,$A$10:$A323,$A324),-ROUNDDOWN($K324*$S324/100,0))</f>
        <v>0</v>
      </c>
      <c r="AT324" s="38">
        <f>IF(AND(X324="○",$A324&gt;=AT$8,$A324&lt;=AT$9,K324&gt;=3980),IF(SUM(AT$10:AT323)-ROUNDDOWN($K324*AT$5/100,0)&lt;-AT$6,-AT$6-SUM(AT$10:AT323),-ROUNDDOWN($K324*AT$5/100,0)),0)</f>
        <v>0</v>
      </c>
      <c r="AU324" s="38">
        <f>IF(O324="○",IF(SUM(AU$10:AU323)-ROUNDDOWN($K324*AU$5/100,0)&lt;-AU$6,-AU$6-SUM(AU$10:AU323),-ROUNDDOWN($K324*AU$5/100,0)),0)</f>
        <v>0</v>
      </c>
      <c r="AV324" s="38">
        <f>IF(P324="○",IF(SUM(AV$10:AV323)-ROUNDDOWN($K324*AV$5/100,0)&lt;-AV$6,-AV$6-SUM(AV$10:AV323),-ROUNDDOWN($K324*AV$5/100,0)),0)</f>
        <v>0</v>
      </c>
      <c r="AW324" s="38">
        <f>IF(Q324="○",IF(SUM(AW$10:AW323)-ROUNDDOWN($K324*AW$5/100,0)&lt;-AW$6,-AW$6-SUM(AW$10:AW323),-ROUNDDOWN($K324*AW$5/100,0)),0)</f>
        <v>0</v>
      </c>
      <c r="AX324" s="38">
        <f>IF(R324="○",IF(SUM(AX$10:AX323)-ROUNDDOWN($K324*AX$5/100,0)&lt;-AX$6,-AX$6-SUM(AX$10:AX323),-ROUNDDOWN($K324*AX$5/100,0)),0)</f>
        <v>0</v>
      </c>
      <c r="AY324" s="70">
        <v>0</v>
      </c>
      <c r="AZ324" s="65">
        <f t="shared" si="213"/>
        <v>0</v>
      </c>
      <c r="BA324" s="65">
        <f t="shared" si="214"/>
        <v>0</v>
      </c>
      <c r="BB324" s="70"/>
      <c r="BC324" s="65">
        <f t="shared" si="215"/>
        <v>0</v>
      </c>
      <c r="BD324" s="70">
        <v>0</v>
      </c>
      <c r="BE324" s="65">
        <f t="shared" si="216"/>
        <v>0</v>
      </c>
      <c r="BF324" s="70">
        <v>0</v>
      </c>
      <c r="BG324" s="65">
        <f t="shared" si="217"/>
        <v>0</v>
      </c>
      <c r="BH324" s="70">
        <v>0</v>
      </c>
      <c r="BI324" s="65">
        <f t="shared" si="218"/>
        <v>0</v>
      </c>
      <c r="BJ324" s="38">
        <f>IF(AND(BJ$7="○",$A324&gt;=BJ$8,$A324&lt;=BJ$9),IF(SUM(BJ$10:BJ323)-ROUNDDOWN($M324*BJ$5/100,0)&lt;-BJ$6,-BJ$6-SUM(BJ$10:BJ323),-ROUNDDOWN($M324*BJ$5/100,0)),0)</f>
        <v>0</v>
      </c>
      <c r="BK324" s="38">
        <f>IF(AND(BK$7="○",$A324&gt;=BK$8,$A324&lt;=BK$9),IF(SUM(BK$10:BK323)-ROUNDDOWN($L324*BK$5/100,0)&lt;-BK$6,-BK$6-SUM(BK$10:BK323),-ROUNDDOWN($L324*BK$5/100,0)),0)</f>
        <v>0</v>
      </c>
      <c r="BL324" s="38">
        <f>IF(AND(BL$7="○",$A324&gt;=BL$8,$A324&lt;=BL$9),IF(SUM(BL$10:BL323)-ROUNDDOWN($L324*BL$5/100,0)&lt;-BL$6,-BL$6-SUM(BL$10:BL323),-ROUNDDOWN($L324*BL$5/100,0)),0)</f>
        <v>0</v>
      </c>
      <c r="BM324" s="38">
        <f>IF(AND(BM$7="○",$A324&gt;=BM$8,$A324&lt;=BM$9),IF(SUM(BM$10:BM323)-ROUNDDOWN($M324*BM$5/100,0)&lt;-BM$6,-BM$6-SUM(BM$10:BM323),-ROUNDDOWN($M324*BM$5/100,0)),0)</f>
        <v>0</v>
      </c>
      <c r="BN324" s="38">
        <f>IF(AND(BN$7="○",$A324&gt;=BN$8,$A324&lt;=BN$9),IF(SUM(BN$10:BN323)-ROUNDDOWN($M324*BN$5/100,0)&lt;-BN$6,-BN$6-SUM(BN$10:BN323),-ROUNDDOWN($M324*BN$5/100,0)),0)</f>
        <v>0</v>
      </c>
      <c r="BO324" s="38">
        <f>IF(AND(BO$7="○",$A324&gt;=BO$8,$A324&lt;=BO$9),IF(SUM(BO$10:BO323)-ROUNDDOWN($M324*BO$5/100,0)&lt;-BO$6,-BO$6-SUM(BO$10:BO323),-ROUNDDOWN($M324*BO$5/100,0)),0)</f>
        <v>0</v>
      </c>
      <c r="BP324" s="38">
        <f>IF(AND(BP$7="○",$A324&gt;=BP$8,$A324&lt;=BP$9),IF(SUM(BP$10:BP323)-ROUNDDOWN($M324*BP$5/100,0)&lt;-BP$6,-BP$6-SUM(BP$10:BP323),-ROUNDDOWN($M324*BP$5/100,0)),0)</f>
        <v>0</v>
      </c>
      <c r="BQ324" s="38">
        <f>IF(AND(BQ$7="○",$A324&gt;=BQ$8,$A324&lt;=BQ$9),IF(SUM(BQ$10:BQ323)-ROUNDDOWN($L324*BQ$5/100,0)&lt;-BQ$6,-BQ$6-SUM(BQ$10:BQ323),-ROUNDDOWN($L324*BQ$5/100,0)),0)</f>
        <v>0</v>
      </c>
      <c r="BR324" s="38">
        <f>IF(AND(BR$7="○",$A324&gt;=BR$8,$A324&lt;=BR$9),IF(SUM(BR$10:BR323)-ROUNDDOWN($M324*BR$5/100,0)&lt;-BR$6,-BR$6-SUM(BR$10:BR323),-ROUNDDOWN($M324*BR$5/100,0)),0)</f>
        <v>0</v>
      </c>
      <c r="BS324" s="38">
        <f>IF(AND(BS$7="○",$A324&gt;=BS$8,$A324&lt;=BS$9),IF(SUM(BS$10:BS323)-ROUNDDOWN($M324*BS$5/100,0)&lt;-BS$6,-BS$6-SUM(BS$10:BS323),-ROUNDDOWN($M324*BS$5/100,0)),0)</f>
        <v>0</v>
      </c>
      <c r="BT324" s="38">
        <f>IF(AND(BT$7="○",$A324&gt;=BT$8,$A324&lt;=BT$9),IF(SUM(BT$10:BT323)-ROUNDDOWN($M324*BT$5/100,0)&lt;-BT$6,-BT$6-SUM(BT$10:BT323),-ROUNDDOWN($M324*BT$5/100,0)),0)</f>
        <v>0</v>
      </c>
      <c r="BU324" s="38">
        <f>IF(AND(BU$7="○",$A324&gt;=BU$8,$A324&lt;=BU$9),IF(SUM(BU$10:BU323)-ROUNDDOWN($M324*BU$5/100,0)&lt;-BU$6,-BU$6-SUM(BU$10:BU323),-ROUNDDOWN($M324*BU$5/100,0)),0)</f>
        <v>0</v>
      </c>
      <c r="BV324" s="38">
        <f>IF(AND(BV$7="○",$A324&gt;=BV$8,$A324&lt;=BV$9),IF(SUM(BV$10:BV323)-ROUNDDOWN($M324*BV$5/100,0)&lt;-BV$6,-BV$6-SUM(BV$10:BV323),-ROUNDDOWN($M324*BV$5/100,0)),0)</f>
        <v>0</v>
      </c>
      <c r="BW324" s="38">
        <f>IF(AND(BW$7="○",$A324&gt;=BW$8,$A324&lt;=BW$9),IF(SUM(BW$10:BW323)-ROUNDDOWN($M324*BW$5/100,0)&lt;-BW$6,-BW$6-SUM(BW$10:BW323),-ROUNDDOWN($M324*BW$5/100,0)),0)</f>
        <v>0</v>
      </c>
      <c r="BX324" s="38">
        <f>IF(AND(T324="○",$A324&gt;=BX$8,$A324&lt;=BX$9),IF(SUM(BX$10:BX323)-ROUNDDOWN($K324*BX$5/100,0)&lt;-BX$6,-BX$6-SUM(BX$10:BX323),-ROUNDDOWN($K324*BX$5/100,0)),0)</f>
        <v>0</v>
      </c>
      <c r="BY324" s="38">
        <f>IF(AND(U324="○",$A324&gt;=BY$8,$A324&lt;=BY$9),IF(SUM(BY$10:BY323)-ROUNDDOWN($K324*BY$5/100,0)&lt;-BY$6,-BY$6-SUM(BY$10:BY323),-ROUNDDOWN($K324*BY$5/100,0)),0)</f>
        <v>0</v>
      </c>
      <c r="BZ324" s="38">
        <f>IF(AND(V324="○",$A324&gt;=BZ$8,$A324&lt;=BZ$9),IF(SUM(BZ$10:BZ323)-ROUNDDOWN($K324*BZ$5/100,0)&lt;-BZ$6,-BZ$6-SUM(BZ$10:BZ323),-ROUNDDOWN($K324*BZ$5/100,0)),0)</f>
        <v>0</v>
      </c>
      <c r="CA324" s="38">
        <f>IF(AND(W324="○",$A324&gt;=CA$8,$A324&lt;=CA$9),IF(SUM(CA$10:CA323)-ROUNDDOWN($K324*CA$5/100,0)&lt;-CA$6,-CA$6-SUM(CA$10:CA323),-ROUNDDOWN($K324*CA$5/100,0)),0)</f>
        <v>0</v>
      </c>
      <c r="CB324" s="38"/>
      <c r="CC324" s="38"/>
      <c r="CD324" s="38"/>
      <c r="CE324" s="38"/>
      <c r="CF324" s="38"/>
      <c r="CG324" s="65">
        <f t="shared" si="219"/>
        <v>0</v>
      </c>
      <c r="CH324" s="71">
        <f t="shared" si="220"/>
        <v>0</v>
      </c>
      <c r="CI324" s="1">
        <f t="shared" si="241"/>
        <v>0</v>
      </c>
      <c r="CJ324" s="1"/>
      <c r="CK324" s="72"/>
      <c r="CL324" s="72"/>
      <c r="CM324" s="2"/>
      <c r="CN324" s="2"/>
      <c r="CO324" s="73">
        <f t="shared" si="242"/>
        <v>0</v>
      </c>
      <c r="CP324" s="5">
        <f t="shared" si="243"/>
        <v>0</v>
      </c>
      <c r="CQ324" s="1"/>
      <c r="CR324" s="1">
        <f t="shared" si="244"/>
        <v>0</v>
      </c>
      <c r="CS324" s="1"/>
      <c r="CT324" s="1" t="e">
        <f>INDEX([2]マスタ!$A:$A,MATCH(D324,[2]マスタ!$C:$C,0))</f>
        <v>#N/A</v>
      </c>
      <c r="CU324" s="1" t="str">
        <f t="shared" ca="1" si="245"/>
        <v>20260620_0-0</v>
      </c>
    </row>
    <row r="325" spans="1:99" x14ac:dyDescent="0.4">
      <c r="A325" s="61"/>
      <c r="B325" s="62"/>
      <c r="C325" s="62"/>
      <c r="D325" s="62"/>
      <c r="E325" s="74"/>
      <c r="F325" s="62"/>
      <c r="G325" s="62">
        <v>1</v>
      </c>
      <c r="H325" s="64">
        <f t="shared" si="232"/>
        <v>0</v>
      </c>
      <c r="I325" s="64"/>
      <c r="J325" s="64"/>
      <c r="K325" s="65">
        <f t="shared" si="233"/>
        <v>0</v>
      </c>
      <c r="L325" s="65">
        <f t="shared" si="234"/>
        <v>0</v>
      </c>
      <c r="M325" s="65">
        <f t="shared" si="235"/>
        <v>0</v>
      </c>
      <c r="N325" s="65">
        <f t="shared" si="236"/>
        <v>0</v>
      </c>
      <c r="O325" s="66" t="str">
        <f t="shared" si="237"/>
        <v>✕</v>
      </c>
      <c r="P325" s="67" t="str">
        <f t="shared" si="238"/>
        <v>○</v>
      </c>
      <c r="Q325" s="67" t="str">
        <f t="shared" si="239"/>
        <v>✕</v>
      </c>
      <c r="R325" s="67" t="str">
        <f t="shared" si="240"/>
        <v>✕</v>
      </c>
      <c r="S325" s="68">
        <v>0</v>
      </c>
      <c r="T325" s="69" t="s">
        <v>85</v>
      </c>
      <c r="U325" s="69" t="s">
        <v>85</v>
      </c>
      <c r="V325" s="69" t="s">
        <v>85</v>
      </c>
      <c r="W325" s="69" t="s">
        <v>85</v>
      </c>
      <c r="X325" s="69" t="s">
        <v>84</v>
      </c>
      <c r="Y325" s="69" t="s">
        <v>85</v>
      </c>
      <c r="Z325" s="69" t="s">
        <v>85</v>
      </c>
      <c r="AA325" s="69" t="s">
        <v>85</v>
      </c>
      <c r="AB325" s="69" t="s">
        <v>85</v>
      </c>
      <c r="AC325" s="69" t="s">
        <v>85</v>
      </c>
      <c r="AD325" s="38" t="str">
        <f>+IF(ISERROR(VLOOKUP($B325,AD$10:AD324,1,0)),IF(AND($N325&gt;=1000,$A325&gt;=AO$8,$A325&lt;=AO$9),$B325,""),"")</f>
        <v/>
      </c>
      <c r="AE325" s="38" t="str">
        <f>+IF(ISERROR(VLOOKUP($B325,AE$10:AE324,1,0)),IF(AND($N325&gt;=1000,$A325&gt;=AP$8,$A325&lt;=AP$9),$B325,""),"")</f>
        <v/>
      </c>
      <c r="AF325" s="38" t="str">
        <f>+IF(ISERROR(VLOOKUP($B325,AF$10:AF324,1,0)),IF(AND($N325&gt;=1000,$A325&gt;=AQ$8,$A325&lt;=AQ$9),$B325,""),"")</f>
        <v/>
      </c>
      <c r="AG325" s="38" t="str">
        <f>+IF(ISERROR(VLOOKUP($B325,AG$10:AG324,1,0)),IF(AND($N325&gt;=1000,$A325&gt;=AR$8,$A325&lt;=AR$9),$B325,""),"")</f>
        <v/>
      </c>
      <c r="AH325" s="38"/>
      <c r="AI325" s="70">
        <v>0</v>
      </c>
      <c r="AJ325" s="38">
        <f>IF(AND(AJ$7="○",$A325&gt;=AJ$8,$A325&lt;=AJ$9),IF(SUM(AJ$10:AJ324)-ROUNDDOWN($K325*AJ$5/100,0)&lt;-AJ$6,-AJ$6-SUM(AJ$10:AJ324),-ROUNDDOWN($K325*AJ$5/100,0)),0)</f>
        <v>0</v>
      </c>
      <c r="AK325" s="38">
        <f>IF(AND(AK$7="○",$A325&gt;=AK$8,$A325&lt;=AK$9),IF(SUM(AK$10:AK324)-ROUNDDOWN($L325*AK$5/100,0)&lt;-AK$6,-AK$6-SUM(AK$10:AK324),-ROUNDDOWN($L325*AK$5/100,0)),0)</f>
        <v>0</v>
      </c>
      <c r="AL325" s="38">
        <f>IF(AND(AL$7="○",$A325&gt;=AL$8,$A325&lt;=AL$9),IF(SUM(AL$10:AL324)-ROUNDDOWN($N325*AL$5/100,0)&lt;-AL$6,-AL$6-SUM(AL$10:AL324),-ROUNDDOWN($N325*AL$5/100,0)),0)</f>
        <v>0</v>
      </c>
      <c r="AM325" s="38">
        <f>IF(AND(AM$7="○",$A325&gt;=AM$8,$A325&lt;=AM$9),IF(SUM(AM$10:AM324)-ROUNDDOWN($L325*AM$5/100,0)&lt;-AM$6,-AM$6-SUM(AM$10:AM324),-ROUNDDOWN($L325*AM$5/100,0)),0)</f>
        <v>0</v>
      </c>
      <c r="AN325" s="38">
        <f>IF(AND(AN$7="○",$A325&gt;=AN$8,$A325&lt;=AN$9),IF(SUM(AN$10:AN324)-ROUNDDOWN($M325*AN$5/100,0)&lt;-AN$6,-AN$6-SUM(AN$10:AN324),-ROUNDDOWN($M325*AN$5/100,0)),0)</f>
        <v>0</v>
      </c>
      <c r="AO325" s="38">
        <f>IF(AND($A325&gt;=AO$8,$A325&lt;=AO$9),IF(SUM(AO$10:AO324)-ROUNDDOWN($K325*AO$5/100,0)&lt;-AO$6,-AO$6-SUM(AO$10:AO324),-ROUNDDOWN($K325*AO$5/100,0)),0)</f>
        <v>0</v>
      </c>
      <c r="AP325" s="38">
        <f>IF(AND($A325&gt;=AP$8,$A325&lt;=AP$9),IF(SUM(AP$10:AP324)-ROUNDDOWN($K325*AP$5/100,0)&lt;-AP$6,-AP$6-SUM(AP$10:AP324),-ROUNDDOWN($K325*AP$5/100,0)),0)</f>
        <v>0</v>
      </c>
      <c r="AQ325" s="38">
        <f>IF(AND($A325&gt;=AQ$8,$A325&lt;=AQ$9),IF(SUM(AQ$10:AQ324)-ROUNDDOWN($K325*AQ$5/100,0)&lt;-AQ$6,-AQ$6-SUM(AQ$10:AQ324),-ROUNDDOWN($K325*AQ$5/100,0)),0)</f>
        <v>0</v>
      </c>
      <c r="AR325" s="38">
        <f>IF(AND($A325&gt;=AR$8,$A325&lt;=AR$9),IF(SUM(AR$10:AR324)-ROUNDDOWN($K325*AR$5/100,0)&lt;-AR$6,-AR$6-SUM(AR$10:AR324),-ROUNDDOWN($K325*AR$5/100,0)),0)</f>
        <v>0</v>
      </c>
      <c r="AS325" s="38">
        <f>IF(SUMIFS(AS$10:AS324,$A$10:$A324,$A325)-ROUNDDOWN($K325*$S325/100,0)&lt;-$S325*1000,-$S325*1000-SUMIFS(AS$10:AS324,$A$10:$A324,$A325),-ROUNDDOWN($K325*$S325/100,0))</f>
        <v>0</v>
      </c>
      <c r="AT325" s="38">
        <f>IF(AND(X325="○",$A325&gt;=AT$8,$A325&lt;=AT$9,K325&gt;=3980),IF(SUM(AT$10:AT324)-ROUNDDOWN($K325*AT$5/100,0)&lt;-AT$6,-AT$6-SUM(AT$10:AT324),-ROUNDDOWN($K325*AT$5/100,0)),0)</f>
        <v>0</v>
      </c>
      <c r="AU325" s="38">
        <f>IF(O325="○",IF(SUM(AU$10:AU324)-ROUNDDOWN($K325*AU$5/100,0)&lt;-AU$6,-AU$6-SUM(AU$10:AU324),-ROUNDDOWN($K325*AU$5/100,0)),0)</f>
        <v>0</v>
      </c>
      <c r="AV325" s="38">
        <f>IF(P325="○",IF(SUM(AV$10:AV324)-ROUNDDOWN($K325*AV$5/100,0)&lt;-AV$6,-AV$6-SUM(AV$10:AV324),-ROUNDDOWN($K325*AV$5/100,0)),0)</f>
        <v>0</v>
      </c>
      <c r="AW325" s="38">
        <f>IF(Q325="○",IF(SUM(AW$10:AW324)-ROUNDDOWN($K325*AW$5/100,0)&lt;-AW$6,-AW$6-SUM(AW$10:AW324),-ROUNDDOWN($K325*AW$5/100,0)),0)</f>
        <v>0</v>
      </c>
      <c r="AX325" s="38">
        <f>IF(R325="○",IF(SUM(AX$10:AX324)-ROUNDDOWN($K325*AX$5/100,0)&lt;-AX$6,-AX$6-SUM(AX$10:AX324),-ROUNDDOWN($K325*AX$5/100,0)),0)</f>
        <v>0</v>
      </c>
      <c r="AY325" s="70">
        <v>0</v>
      </c>
      <c r="AZ325" s="65">
        <f t="shared" si="213"/>
        <v>0</v>
      </c>
      <c r="BA325" s="65">
        <f t="shared" si="214"/>
        <v>0</v>
      </c>
      <c r="BB325" s="70"/>
      <c r="BC325" s="65">
        <f t="shared" si="215"/>
        <v>0</v>
      </c>
      <c r="BD325" s="70">
        <v>0</v>
      </c>
      <c r="BE325" s="65">
        <f t="shared" si="216"/>
        <v>0</v>
      </c>
      <c r="BF325" s="70">
        <v>0</v>
      </c>
      <c r="BG325" s="65">
        <f t="shared" si="217"/>
        <v>0</v>
      </c>
      <c r="BH325" s="70">
        <v>0</v>
      </c>
      <c r="BI325" s="65">
        <f t="shared" si="218"/>
        <v>0</v>
      </c>
      <c r="BJ325" s="38">
        <f>IF(AND(BJ$7="○",$A325&gt;=BJ$8,$A325&lt;=BJ$9),IF(SUM(BJ$10:BJ324)-ROUNDDOWN($M325*BJ$5/100,0)&lt;-BJ$6,-BJ$6-SUM(BJ$10:BJ324),-ROUNDDOWN($M325*BJ$5/100,0)),0)</f>
        <v>0</v>
      </c>
      <c r="BK325" s="38">
        <f>IF(AND(BK$7="○",$A325&gt;=BK$8,$A325&lt;=BK$9),IF(SUM(BK$10:BK324)-ROUNDDOWN($L325*BK$5/100,0)&lt;-BK$6,-BK$6-SUM(BK$10:BK324),-ROUNDDOWN($L325*BK$5/100,0)),0)</f>
        <v>0</v>
      </c>
      <c r="BL325" s="38">
        <f>IF(AND(BL$7="○",$A325&gt;=BL$8,$A325&lt;=BL$9),IF(SUM(BL$10:BL324)-ROUNDDOWN($L325*BL$5/100,0)&lt;-BL$6,-BL$6-SUM(BL$10:BL324),-ROUNDDOWN($L325*BL$5/100,0)),0)</f>
        <v>0</v>
      </c>
      <c r="BM325" s="38">
        <f>IF(AND(BM$7="○",$A325&gt;=BM$8,$A325&lt;=BM$9),IF(SUM(BM$10:BM324)-ROUNDDOWN($M325*BM$5/100,0)&lt;-BM$6,-BM$6-SUM(BM$10:BM324),-ROUNDDOWN($M325*BM$5/100,0)),0)</f>
        <v>0</v>
      </c>
      <c r="BN325" s="38">
        <f>IF(AND(BN$7="○",$A325&gt;=BN$8,$A325&lt;=BN$9),IF(SUM(BN$10:BN324)-ROUNDDOWN($M325*BN$5/100,0)&lt;-BN$6,-BN$6-SUM(BN$10:BN324),-ROUNDDOWN($M325*BN$5/100,0)),0)</f>
        <v>0</v>
      </c>
      <c r="BO325" s="38">
        <f>IF(AND(BO$7="○",$A325&gt;=BO$8,$A325&lt;=BO$9),IF(SUM(BO$10:BO324)-ROUNDDOWN($M325*BO$5/100,0)&lt;-BO$6,-BO$6-SUM(BO$10:BO324),-ROUNDDOWN($M325*BO$5/100,0)),0)</f>
        <v>0</v>
      </c>
      <c r="BP325" s="38">
        <f>IF(AND(BP$7="○",$A325&gt;=BP$8,$A325&lt;=BP$9),IF(SUM(BP$10:BP324)-ROUNDDOWN($M325*BP$5/100,0)&lt;-BP$6,-BP$6-SUM(BP$10:BP324),-ROUNDDOWN($M325*BP$5/100,0)),0)</f>
        <v>0</v>
      </c>
      <c r="BQ325" s="38">
        <f>IF(AND(BQ$7="○",$A325&gt;=BQ$8,$A325&lt;=BQ$9),IF(SUM(BQ$10:BQ324)-ROUNDDOWN($L325*BQ$5/100,0)&lt;-BQ$6,-BQ$6-SUM(BQ$10:BQ324),-ROUNDDOWN($L325*BQ$5/100,0)),0)</f>
        <v>0</v>
      </c>
      <c r="BR325" s="38">
        <f>IF(AND(BR$7="○",$A325&gt;=BR$8,$A325&lt;=BR$9),IF(SUM(BR$10:BR324)-ROUNDDOWN($M325*BR$5/100,0)&lt;-BR$6,-BR$6-SUM(BR$10:BR324),-ROUNDDOWN($M325*BR$5/100,0)),0)</f>
        <v>0</v>
      </c>
      <c r="BS325" s="38">
        <f>IF(AND(BS$7="○",$A325&gt;=BS$8,$A325&lt;=BS$9),IF(SUM(BS$10:BS324)-ROUNDDOWN($M325*BS$5/100,0)&lt;-BS$6,-BS$6-SUM(BS$10:BS324),-ROUNDDOWN($M325*BS$5/100,0)),0)</f>
        <v>0</v>
      </c>
      <c r="BT325" s="38">
        <f>IF(AND(BT$7="○",$A325&gt;=BT$8,$A325&lt;=BT$9),IF(SUM(BT$10:BT324)-ROUNDDOWN($M325*BT$5/100,0)&lt;-BT$6,-BT$6-SUM(BT$10:BT324),-ROUNDDOWN($M325*BT$5/100,0)),0)</f>
        <v>0</v>
      </c>
      <c r="BU325" s="38">
        <f>IF(AND(BU$7="○",$A325&gt;=BU$8,$A325&lt;=BU$9),IF(SUM(BU$10:BU324)-ROUNDDOWN($M325*BU$5/100,0)&lt;-BU$6,-BU$6-SUM(BU$10:BU324),-ROUNDDOWN($M325*BU$5/100,0)),0)</f>
        <v>0</v>
      </c>
      <c r="BV325" s="38">
        <f>IF(AND(BV$7="○",$A325&gt;=BV$8,$A325&lt;=BV$9),IF(SUM(BV$10:BV324)-ROUNDDOWN($M325*BV$5/100,0)&lt;-BV$6,-BV$6-SUM(BV$10:BV324),-ROUNDDOWN($M325*BV$5/100,0)),0)</f>
        <v>0</v>
      </c>
      <c r="BW325" s="38">
        <f>IF(AND(BW$7="○",$A325&gt;=BW$8,$A325&lt;=BW$9),IF(SUM(BW$10:BW324)-ROUNDDOWN($M325*BW$5/100,0)&lt;-BW$6,-BW$6-SUM(BW$10:BW324),-ROUNDDOWN($M325*BW$5/100,0)),0)</f>
        <v>0</v>
      </c>
      <c r="BX325" s="38">
        <f>IF(AND(T325="○",$A325&gt;=BX$8,$A325&lt;=BX$9),IF(SUM(BX$10:BX324)-ROUNDDOWN($K325*BX$5/100,0)&lt;-BX$6,-BX$6-SUM(BX$10:BX324),-ROUNDDOWN($K325*BX$5/100,0)),0)</f>
        <v>0</v>
      </c>
      <c r="BY325" s="38">
        <f>IF(AND(U325="○",$A325&gt;=BY$8,$A325&lt;=BY$9),IF(SUM(BY$10:BY324)-ROUNDDOWN($K325*BY$5/100,0)&lt;-BY$6,-BY$6-SUM(BY$10:BY324),-ROUNDDOWN($K325*BY$5/100,0)),0)</f>
        <v>0</v>
      </c>
      <c r="BZ325" s="38">
        <f>IF(AND(V325="○",$A325&gt;=BZ$8,$A325&lt;=BZ$9),IF(SUM(BZ$10:BZ324)-ROUNDDOWN($K325*BZ$5/100,0)&lt;-BZ$6,-BZ$6-SUM(BZ$10:BZ324),-ROUNDDOWN($K325*BZ$5/100,0)),0)</f>
        <v>0</v>
      </c>
      <c r="CA325" s="38">
        <f>IF(AND(W325="○",$A325&gt;=CA$8,$A325&lt;=CA$9),IF(SUM(CA$10:CA324)-ROUNDDOWN($K325*CA$5/100,0)&lt;-CA$6,-CA$6-SUM(CA$10:CA324),-ROUNDDOWN($K325*CA$5/100,0)),0)</f>
        <v>0</v>
      </c>
      <c r="CB325" s="38"/>
      <c r="CC325" s="38"/>
      <c r="CD325" s="38"/>
      <c r="CE325" s="38"/>
      <c r="CF325" s="38"/>
      <c r="CG325" s="65">
        <f t="shared" si="219"/>
        <v>0</v>
      </c>
      <c r="CH325" s="71">
        <f t="shared" si="220"/>
        <v>0</v>
      </c>
      <c r="CI325" s="1">
        <f t="shared" si="241"/>
        <v>0</v>
      </c>
      <c r="CJ325" s="1"/>
      <c r="CK325" s="72"/>
      <c r="CL325" s="72"/>
      <c r="CM325" s="2"/>
      <c r="CN325" s="2"/>
      <c r="CO325" s="73">
        <f t="shared" si="242"/>
        <v>0</v>
      </c>
      <c r="CP325" s="5">
        <f t="shared" si="243"/>
        <v>0</v>
      </c>
      <c r="CQ325" s="1"/>
      <c r="CR325" s="1">
        <f t="shared" si="244"/>
        <v>0</v>
      </c>
      <c r="CS325" s="1"/>
      <c r="CT325" s="1" t="e">
        <f>INDEX([2]マスタ!$A:$A,MATCH(D325,[2]マスタ!$C:$C,0))</f>
        <v>#N/A</v>
      </c>
      <c r="CU325" s="1" t="str">
        <f t="shared" ca="1" si="245"/>
        <v>20260620_0-0</v>
      </c>
    </row>
    <row r="326" spans="1:99" x14ac:dyDescent="0.4">
      <c r="A326" s="61"/>
      <c r="B326" s="62"/>
      <c r="C326" s="62"/>
      <c r="D326" s="62"/>
      <c r="E326" s="74"/>
      <c r="F326" s="62"/>
      <c r="G326" s="62">
        <v>1</v>
      </c>
      <c r="H326" s="64">
        <f t="shared" si="232"/>
        <v>0</v>
      </c>
      <c r="I326" s="64"/>
      <c r="J326" s="64"/>
      <c r="K326" s="65">
        <f t="shared" si="233"/>
        <v>0</v>
      </c>
      <c r="L326" s="65">
        <f t="shared" si="234"/>
        <v>0</v>
      </c>
      <c r="M326" s="65">
        <f t="shared" si="235"/>
        <v>0</v>
      </c>
      <c r="N326" s="65">
        <f t="shared" si="236"/>
        <v>0</v>
      </c>
      <c r="O326" s="66" t="str">
        <f t="shared" si="237"/>
        <v>✕</v>
      </c>
      <c r="P326" s="67" t="str">
        <f t="shared" si="238"/>
        <v>○</v>
      </c>
      <c r="Q326" s="67" t="str">
        <f t="shared" si="239"/>
        <v>✕</v>
      </c>
      <c r="R326" s="67" t="str">
        <f t="shared" si="240"/>
        <v>✕</v>
      </c>
      <c r="S326" s="68">
        <v>0</v>
      </c>
      <c r="T326" s="69" t="s">
        <v>85</v>
      </c>
      <c r="U326" s="69" t="s">
        <v>85</v>
      </c>
      <c r="V326" s="69" t="s">
        <v>85</v>
      </c>
      <c r="W326" s="69" t="s">
        <v>85</v>
      </c>
      <c r="X326" s="69" t="s">
        <v>84</v>
      </c>
      <c r="Y326" s="69" t="s">
        <v>85</v>
      </c>
      <c r="Z326" s="69" t="s">
        <v>85</v>
      </c>
      <c r="AA326" s="69" t="s">
        <v>85</v>
      </c>
      <c r="AB326" s="69" t="s">
        <v>85</v>
      </c>
      <c r="AC326" s="69" t="s">
        <v>85</v>
      </c>
      <c r="AD326" s="38" t="str">
        <f>+IF(ISERROR(VLOOKUP($B326,AD$10:AD325,1,0)),IF(AND($N326&gt;=1000,$A326&gt;=AO$8,$A326&lt;=AO$9),$B326,""),"")</f>
        <v/>
      </c>
      <c r="AE326" s="38" t="str">
        <f>+IF(ISERROR(VLOOKUP($B326,AE$10:AE325,1,0)),IF(AND($N326&gt;=1000,$A326&gt;=AP$8,$A326&lt;=AP$9),$B326,""),"")</f>
        <v/>
      </c>
      <c r="AF326" s="38" t="str">
        <f>+IF(ISERROR(VLOOKUP($B326,AF$10:AF325,1,0)),IF(AND($N326&gt;=1000,$A326&gt;=AQ$8,$A326&lt;=AQ$9),$B326,""),"")</f>
        <v/>
      </c>
      <c r="AG326" s="38" t="str">
        <f>+IF(ISERROR(VLOOKUP($B326,AG$10:AG325,1,0)),IF(AND($N326&gt;=1000,$A326&gt;=AR$8,$A326&lt;=AR$9),$B326,""),"")</f>
        <v/>
      </c>
      <c r="AH326" s="38"/>
      <c r="AI326" s="70">
        <v>0</v>
      </c>
      <c r="AJ326" s="38">
        <f>IF(AND(AJ$7="○",$A326&gt;=AJ$8,$A326&lt;=AJ$9),IF(SUM(AJ$10:AJ325)-ROUNDDOWN($K326*AJ$5/100,0)&lt;-AJ$6,-AJ$6-SUM(AJ$10:AJ325),-ROUNDDOWN($K326*AJ$5/100,0)),0)</f>
        <v>0</v>
      </c>
      <c r="AK326" s="38">
        <f>IF(AND(AK$7="○",$A326&gt;=AK$8,$A326&lt;=AK$9),IF(SUM(AK$10:AK325)-ROUNDDOWN($L326*AK$5/100,0)&lt;-AK$6,-AK$6-SUM(AK$10:AK325),-ROUNDDOWN($L326*AK$5/100,0)),0)</f>
        <v>0</v>
      </c>
      <c r="AL326" s="38">
        <f>IF(AND(AL$7="○",$A326&gt;=AL$8,$A326&lt;=AL$9),IF(SUM(AL$10:AL325)-ROUNDDOWN($N326*AL$5/100,0)&lt;-AL$6,-AL$6-SUM(AL$10:AL325),-ROUNDDOWN($N326*AL$5/100,0)),0)</f>
        <v>0</v>
      </c>
      <c r="AM326" s="38">
        <f>IF(AND(AM$7="○",$A326&gt;=AM$8,$A326&lt;=AM$9),IF(SUM(AM$10:AM325)-ROUNDDOWN($L326*AM$5/100,0)&lt;-AM$6,-AM$6-SUM(AM$10:AM325),-ROUNDDOWN($L326*AM$5/100,0)),0)</f>
        <v>0</v>
      </c>
      <c r="AN326" s="38">
        <f>IF(AND(AN$7="○",$A326&gt;=AN$8,$A326&lt;=AN$9),IF(SUM(AN$10:AN325)-ROUNDDOWN($M326*AN$5/100,0)&lt;-AN$6,-AN$6-SUM(AN$10:AN325),-ROUNDDOWN($M326*AN$5/100,0)),0)</f>
        <v>0</v>
      </c>
      <c r="AO326" s="38">
        <f>IF(AND($A326&gt;=AO$8,$A326&lt;=AO$9),IF(SUM(AO$10:AO325)-ROUNDDOWN($K326*AO$5/100,0)&lt;-AO$6,-AO$6-SUM(AO$10:AO325),-ROUNDDOWN($K326*AO$5/100,0)),0)</f>
        <v>0</v>
      </c>
      <c r="AP326" s="38">
        <f>IF(AND($A326&gt;=AP$8,$A326&lt;=AP$9),IF(SUM(AP$10:AP325)-ROUNDDOWN($K326*AP$5/100,0)&lt;-AP$6,-AP$6-SUM(AP$10:AP325),-ROUNDDOWN($K326*AP$5/100,0)),0)</f>
        <v>0</v>
      </c>
      <c r="AQ326" s="38">
        <f>IF(AND($A326&gt;=AQ$8,$A326&lt;=AQ$9),IF(SUM(AQ$10:AQ325)-ROUNDDOWN($K326*AQ$5/100,0)&lt;-AQ$6,-AQ$6-SUM(AQ$10:AQ325),-ROUNDDOWN($K326*AQ$5/100,0)),0)</f>
        <v>0</v>
      </c>
      <c r="AR326" s="38">
        <f>IF(AND($A326&gt;=AR$8,$A326&lt;=AR$9),IF(SUM(AR$10:AR325)-ROUNDDOWN($K326*AR$5/100,0)&lt;-AR$6,-AR$6-SUM(AR$10:AR325),-ROUNDDOWN($K326*AR$5/100,0)),0)</f>
        <v>0</v>
      </c>
      <c r="AS326" s="38">
        <f>IF(SUMIFS(AS$10:AS325,$A$10:$A325,$A326)-ROUNDDOWN($K326*$S326/100,0)&lt;-$S326*1000,-$S326*1000-SUMIFS(AS$10:AS325,$A$10:$A325,$A326),-ROUNDDOWN($K326*$S326/100,0))</f>
        <v>0</v>
      </c>
      <c r="AT326" s="38">
        <f>IF(AND(X326="○",$A326&gt;=AT$8,$A326&lt;=AT$9,K326&gt;=3980),IF(SUM(AT$10:AT325)-ROUNDDOWN($K326*AT$5/100,0)&lt;-AT$6,-AT$6-SUM(AT$10:AT325),-ROUNDDOWN($K326*AT$5/100,0)),0)</f>
        <v>0</v>
      </c>
      <c r="AU326" s="38">
        <f>IF(O326="○",IF(SUM(AU$10:AU325)-ROUNDDOWN($K326*AU$5/100,0)&lt;-AU$6,-AU$6-SUM(AU$10:AU325),-ROUNDDOWN($K326*AU$5/100,0)),0)</f>
        <v>0</v>
      </c>
      <c r="AV326" s="38">
        <f>IF(P326="○",IF(SUM(AV$10:AV325)-ROUNDDOWN($K326*AV$5/100,0)&lt;-AV$6,-AV$6-SUM(AV$10:AV325),-ROUNDDOWN($K326*AV$5/100,0)),0)</f>
        <v>0</v>
      </c>
      <c r="AW326" s="38">
        <f>IF(Q326="○",IF(SUM(AW$10:AW325)-ROUNDDOWN($K326*AW$5/100,0)&lt;-AW$6,-AW$6-SUM(AW$10:AW325),-ROUNDDOWN($K326*AW$5/100,0)),0)</f>
        <v>0</v>
      </c>
      <c r="AX326" s="38">
        <f>IF(R326="○",IF(SUM(AX$10:AX325)-ROUNDDOWN($K326*AX$5/100,0)&lt;-AX$6,-AX$6-SUM(AX$10:AX325),-ROUNDDOWN($K326*AX$5/100,0)),0)</f>
        <v>0</v>
      </c>
      <c r="AY326" s="70">
        <v>0</v>
      </c>
      <c r="AZ326" s="65">
        <f t="shared" si="213"/>
        <v>0</v>
      </c>
      <c r="BA326" s="65">
        <f t="shared" si="214"/>
        <v>0</v>
      </c>
      <c r="BB326" s="70"/>
      <c r="BC326" s="65">
        <f t="shared" si="215"/>
        <v>0</v>
      </c>
      <c r="BD326" s="70">
        <v>0</v>
      </c>
      <c r="BE326" s="65">
        <f t="shared" si="216"/>
        <v>0</v>
      </c>
      <c r="BF326" s="70">
        <v>0</v>
      </c>
      <c r="BG326" s="65">
        <f t="shared" si="217"/>
        <v>0</v>
      </c>
      <c r="BH326" s="70">
        <v>0</v>
      </c>
      <c r="BI326" s="65">
        <f t="shared" si="218"/>
        <v>0</v>
      </c>
      <c r="BJ326" s="38">
        <f>IF(AND(BJ$7="○",$A326&gt;=BJ$8,$A326&lt;=BJ$9),IF(SUM(BJ$10:BJ325)-ROUNDDOWN($M326*BJ$5/100,0)&lt;-BJ$6,-BJ$6-SUM(BJ$10:BJ325),-ROUNDDOWN($M326*BJ$5/100,0)),0)</f>
        <v>0</v>
      </c>
      <c r="BK326" s="38">
        <f>IF(AND(BK$7="○",$A326&gt;=BK$8,$A326&lt;=BK$9),IF(SUM(BK$10:BK325)-ROUNDDOWN($L326*BK$5/100,0)&lt;-BK$6,-BK$6-SUM(BK$10:BK325),-ROUNDDOWN($L326*BK$5/100,0)),0)</f>
        <v>0</v>
      </c>
      <c r="BL326" s="38">
        <f>IF(AND(BL$7="○",$A326&gt;=BL$8,$A326&lt;=BL$9),IF(SUM(BL$10:BL325)-ROUNDDOWN($L326*BL$5/100,0)&lt;-BL$6,-BL$6-SUM(BL$10:BL325),-ROUNDDOWN($L326*BL$5/100,0)),0)</f>
        <v>0</v>
      </c>
      <c r="BM326" s="38">
        <f>IF(AND(BM$7="○",$A326&gt;=BM$8,$A326&lt;=BM$9),IF(SUM(BM$10:BM325)-ROUNDDOWN($M326*BM$5/100,0)&lt;-BM$6,-BM$6-SUM(BM$10:BM325),-ROUNDDOWN($M326*BM$5/100,0)),0)</f>
        <v>0</v>
      </c>
      <c r="BN326" s="38">
        <f>IF(AND(BN$7="○",$A326&gt;=BN$8,$A326&lt;=BN$9),IF(SUM(BN$10:BN325)-ROUNDDOWN($M326*BN$5/100,0)&lt;-BN$6,-BN$6-SUM(BN$10:BN325),-ROUNDDOWN($M326*BN$5/100,0)),0)</f>
        <v>0</v>
      </c>
      <c r="BO326" s="38">
        <f>IF(AND(BO$7="○",$A326&gt;=BO$8,$A326&lt;=BO$9),IF(SUM(BO$10:BO325)-ROUNDDOWN($M326*BO$5/100,0)&lt;-BO$6,-BO$6-SUM(BO$10:BO325),-ROUNDDOWN($M326*BO$5/100,0)),0)</f>
        <v>0</v>
      </c>
      <c r="BP326" s="38">
        <f>IF(AND(BP$7="○",$A326&gt;=BP$8,$A326&lt;=BP$9),IF(SUM(BP$10:BP325)-ROUNDDOWN($M326*BP$5/100,0)&lt;-BP$6,-BP$6-SUM(BP$10:BP325),-ROUNDDOWN($M326*BP$5/100,0)),0)</f>
        <v>0</v>
      </c>
      <c r="BQ326" s="38">
        <f>IF(AND(BQ$7="○",$A326&gt;=BQ$8,$A326&lt;=BQ$9),IF(SUM(BQ$10:BQ325)-ROUNDDOWN($L326*BQ$5/100,0)&lt;-BQ$6,-BQ$6-SUM(BQ$10:BQ325),-ROUNDDOWN($L326*BQ$5/100,0)),0)</f>
        <v>0</v>
      </c>
      <c r="BR326" s="38">
        <f>IF(AND(BR$7="○",$A326&gt;=BR$8,$A326&lt;=BR$9),IF(SUM(BR$10:BR325)-ROUNDDOWN($M326*BR$5/100,0)&lt;-BR$6,-BR$6-SUM(BR$10:BR325),-ROUNDDOWN($M326*BR$5/100,0)),0)</f>
        <v>0</v>
      </c>
      <c r="BS326" s="38">
        <f>IF(AND(BS$7="○",$A326&gt;=BS$8,$A326&lt;=BS$9),IF(SUM(BS$10:BS325)-ROUNDDOWN($M326*BS$5/100,0)&lt;-BS$6,-BS$6-SUM(BS$10:BS325),-ROUNDDOWN($M326*BS$5/100,0)),0)</f>
        <v>0</v>
      </c>
      <c r="BT326" s="38">
        <f>IF(AND(BT$7="○",$A326&gt;=BT$8,$A326&lt;=BT$9),IF(SUM(BT$10:BT325)-ROUNDDOWN($M326*BT$5/100,0)&lt;-BT$6,-BT$6-SUM(BT$10:BT325),-ROUNDDOWN($M326*BT$5/100,0)),0)</f>
        <v>0</v>
      </c>
      <c r="BU326" s="38">
        <f>IF(AND(BU$7="○",$A326&gt;=BU$8,$A326&lt;=BU$9),IF(SUM(BU$10:BU325)-ROUNDDOWN($M326*BU$5/100,0)&lt;-BU$6,-BU$6-SUM(BU$10:BU325),-ROUNDDOWN($M326*BU$5/100,0)),0)</f>
        <v>0</v>
      </c>
      <c r="BV326" s="38">
        <f>IF(AND(BV$7="○",$A326&gt;=BV$8,$A326&lt;=BV$9),IF(SUM(BV$10:BV325)-ROUNDDOWN($M326*BV$5/100,0)&lt;-BV$6,-BV$6-SUM(BV$10:BV325),-ROUNDDOWN($M326*BV$5/100,0)),0)</f>
        <v>0</v>
      </c>
      <c r="BW326" s="38">
        <f>IF(AND(BW$7="○",$A326&gt;=BW$8,$A326&lt;=BW$9),IF(SUM(BW$10:BW325)-ROUNDDOWN($M326*BW$5/100,0)&lt;-BW$6,-BW$6-SUM(BW$10:BW325),-ROUNDDOWN($M326*BW$5/100,0)),0)</f>
        <v>0</v>
      </c>
      <c r="BX326" s="38">
        <f>IF(AND(T326="○",$A326&gt;=BX$8,$A326&lt;=BX$9),IF(SUM(BX$10:BX325)-ROUNDDOWN($K326*BX$5/100,0)&lt;-BX$6,-BX$6-SUM(BX$10:BX325),-ROUNDDOWN($K326*BX$5/100,0)),0)</f>
        <v>0</v>
      </c>
      <c r="BY326" s="38">
        <f>IF(AND(U326="○",$A326&gt;=BY$8,$A326&lt;=BY$9),IF(SUM(BY$10:BY325)-ROUNDDOWN($K326*BY$5/100,0)&lt;-BY$6,-BY$6-SUM(BY$10:BY325),-ROUNDDOWN($K326*BY$5/100,0)),0)</f>
        <v>0</v>
      </c>
      <c r="BZ326" s="38">
        <f>IF(AND(V326="○",$A326&gt;=BZ$8,$A326&lt;=BZ$9),IF(SUM(BZ$10:BZ325)-ROUNDDOWN($K326*BZ$5/100,0)&lt;-BZ$6,-BZ$6-SUM(BZ$10:BZ325),-ROUNDDOWN($K326*BZ$5/100,0)),0)</f>
        <v>0</v>
      </c>
      <c r="CA326" s="38">
        <f>IF(AND(W326="○",$A326&gt;=CA$8,$A326&lt;=CA$9),IF(SUM(CA$10:CA325)-ROUNDDOWN($K326*CA$5/100,0)&lt;-CA$6,-CA$6-SUM(CA$10:CA325),-ROUNDDOWN($K326*CA$5/100,0)),0)</f>
        <v>0</v>
      </c>
      <c r="CB326" s="38"/>
      <c r="CC326" s="38"/>
      <c r="CD326" s="38"/>
      <c r="CE326" s="38"/>
      <c r="CF326" s="38"/>
      <c r="CG326" s="65">
        <f t="shared" si="219"/>
        <v>0</v>
      </c>
      <c r="CH326" s="71">
        <f t="shared" si="220"/>
        <v>0</v>
      </c>
      <c r="CI326" s="1">
        <f t="shared" si="241"/>
        <v>0</v>
      </c>
      <c r="CJ326" s="1"/>
      <c r="CK326" s="72"/>
      <c r="CL326" s="72"/>
      <c r="CM326" s="2"/>
      <c r="CN326" s="2"/>
      <c r="CO326" s="73">
        <f t="shared" si="242"/>
        <v>0</v>
      </c>
      <c r="CP326" s="5">
        <f t="shared" si="243"/>
        <v>0</v>
      </c>
      <c r="CQ326" s="1"/>
      <c r="CR326" s="1">
        <f t="shared" si="244"/>
        <v>0</v>
      </c>
      <c r="CS326" s="1"/>
      <c r="CT326" s="1" t="e">
        <f>INDEX([2]マスタ!$A:$A,MATCH(D326,[2]マスタ!$C:$C,0))</f>
        <v>#N/A</v>
      </c>
      <c r="CU326" s="1" t="str">
        <f t="shared" ca="1" si="245"/>
        <v>20260620_0-0</v>
      </c>
    </row>
    <row r="327" spans="1:99" x14ac:dyDescent="0.4">
      <c r="A327" s="61"/>
      <c r="B327" s="62"/>
      <c r="C327" s="62"/>
      <c r="D327" s="62"/>
      <c r="E327" s="74"/>
      <c r="F327" s="62"/>
      <c r="G327" s="62">
        <v>1</v>
      </c>
      <c r="H327" s="64">
        <f t="shared" si="232"/>
        <v>0</v>
      </c>
      <c r="I327" s="64"/>
      <c r="J327" s="64"/>
      <c r="K327" s="65">
        <f t="shared" si="233"/>
        <v>0</v>
      </c>
      <c r="L327" s="65">
        <f t="shared" si="234"/>
        <v>0</v>
      </c>
      <c r="M327" s="65">
        <f t="shared" si="235"/>
        <v>0</v>
      </c>
      <c r="N327" s="65">
        <f t="shared" si="236"/>
        <v>0</v>
      </c>
      <c r="O327" s="66" t="str">
        <f t="shared" si="237"/>
        <v>✕</v>
      </c>
      <c r="P327" s="67" t="str">
        <f t="shared" si="238"/>
        <v>○</v>
      </c>
      <c r="Q327" s="67" t="str">
        <f t="shared" si="239"/>
        <v>✕</v>
      </c>
      <c r="R327" s="67" t="str">
        <f t="shared" si="240"/>
        <v>✕</v>
      </c>
      <c r="S327" s="68">
        <v>0</v>
      </c>
      <c r="T327" s="69" t="s">
        <v>85</v>
      </c>
      <c r="U327" s="69" t="s">
        <v>85</v>
      </c>
      <c r="V327" s="69" t="s">
        <v>85</v>
      </c>
      <c r="W327" s="69" t="s">
        <v>85</v>
      </c>
      <c r="X327" s="69" t="s">
        <v>84</v>
      </c>
      <c r="Y327" s="69" t="s">
        <v>85</v>
      </c>
      <c r="Z327" s="69" t="s">
        <v>85</v>
      </c>
      <c r="AA327" s="69" t="s">
        <v>85</v>
      </c>
      <c r="AB327" s="69" t="s">
        <v>85</v>
      </c>
      <c r="AC327" s="69" t="s">
        <v>85</v>
      </c>
      <c r="AD327" s="38" t="str">
        <f>+IF(ISERROR(VLOOKUP($B327,AD$10:AD326,1,0)),IF(AND($N327&gt;=1000,$A327&gt;=AO$8,$A327&lt;=AO$9),$B327,""),"")</f>
        <v/>
      </c>
      <c r="AE327" s="38" t="str">
        <f>+IF(ISERROR(VLOOKUP($B327,AE$10:AE326,1,0)),IF(AND($N327&gt;=1000,$A327&gt;=AP$8,$A327&lt;=AP$9),$B327,""),"")</f>
        <v/>
      </c>
      <c r="AF327" s="38" t="str">
        <f>+IF(ISERROR(VLOOKUP($B327,AF$10:AF326,1,0)),IF(AND($N327&gt;=1000,$A327&gt;=AQ$8,$A327&lt;=AQ$9),$B327,""),"")</f>
        <v/>
      </c>
      <c r="AG327" s="38" t="str">
        <f>+IF(ISERROR(VLOOKUP($B327,AG$10:AG326,1,0)),IF(AND($N327&gt;=1000,$A327&gt;=AR$8,$A327&lt;=AR$9),$B327,""),"")</f>
        <v/>
      </c>
      <c r="AH327" s="38"/>
      <c r="AI327" s="70">
        <v>0</v>
      </c>
      <c r="AJ327" s="38">
        <f>IF(AND(AJ$7="○",$A327&gt;=AJ$8,$A327&lt;=AJ$9),IF(SUM(AJ$10:AJ326)-ROUNDDOWN($K327*AJ$5/100,0)&lt;-AJ$6,-AJ$6-SUM(AJ$10:AJ326),-ROUNDDOWN($K327*AJ$5/100,0)),0)</f>
        <v>0</v>
      </c>
      <c r="AK327" s="38">
        <f>IF(AND(AK$7="○",$A327&gt;=AK$8,$A327&lt;=AK$9),IF(SUM(AK$10:AK326)-ROUNDDOWN($L327*AK$5/100,0)&lt;-AK$6,-AK$6-SUM(AK$10:AK326),-ROUNDDOWN($L327*AK$5/100,0)),0)</f>
        <v>0</v>
      </c>
      <c r="AL327" s="38">
        <f>IF(AND(AL$7="○",$A327&gt;=AL$8,$A327&lt;=AL$9),IF(SUM(AL$10:AL326)-ROUNDDOWN($N327*AL$5/100,0)&lt;-AL$6,-AL$6-SUM(AL$10:AL326),-ROUNDDOWN($N327*AL$5/100,0)),0)</f>
        <v>0</v>
      </c>
      <c r="AM327" s="38">
        <f>IF(AND(AM$7="○",$A327&gt;=AM$8,$A327&lt;=AM$9),IF(SUM(AM$10:AM326)-ROUNDDOWN($L327*AM$5/100,0)&lt;-AM$6,-AM$6-SUM(AM$10:AM326),-ROUNDDOWN($L327*AM$5/100,0)),0)</f>
        <v>0</v>
      </c>
      <c r="AN327" s="38">
        <f>IF(AND(AN$7="○",$A327&gt;=AN$8,$A327&lt;=AN$9),IF(SUM(AN$10:AN326)-ROUNDDOWN($M327*AN$5/100,0)&lt;-AN$6,-AN$6-SUM(AN$10:AN326),-ROUNDDOWN($M327*AN$5/100,0)),0)</f>
        <v>0</v>
      </c>
      <c r="AO327" s="38">
        <f>IF(AND($A327&gt;=AO$8,$A327&lt;=AO$9),IF(SUM(AO$10:AO326)-ROUNDDOWN($K327*AO$5/100,0)&lt;-AO$6,-AO$6-SUM(AO$10:AO326),-ROUNDDOWN($K327*AO$5/100,0)),0)</f>
        <v>0</v>
      </c>
      <c r="AP327" s="38">
        <f>IF(AND($A327&gt;=AP$8,$A327&lt;=AP$9),IF(SUM(AP$10:AP326)-ROUNDDOWN($K327*AP$5/100,0)&lt;-AP$6,-AP$6-SUM(AP$10:AP326),-ROUNDDOWN($K327*AP$5/100,0)),0)</f>
        <v>0</v>
      </c>
      <c r="AQ327" s="38">
        <f>IF(AND($A327&gt;=AQ$8,$A327&lt;=AQ$9),IF(SUM(AQ$10:AQ326)-ROUNDDOWN($K327*AQ$5/100,0)&lt;-AQ$6,-AQ$6-SUM(AQ$10:AQ326),-ROUNDDOWN($K327*AQ$5/100,0)),0)</f>
        <v>0</v>
      </c>
      <c r="AR327" s="38">
        <f>IF(AND($A327&gt;=AR$8,$A327&lt;=AR$9),IF(SUM(AR$10:AR326)-ROUNDDOWN($K327*AR$5/100,0)&lt;-AR$6,-AR$6-SUM(AR$10:AR326),-ROUNDDOWN($K327*AR$5/100,0)),0)</f>
        <v>0</v>
      </c>
      <c r="AS327" s="38">
        <f>IF(SUMIFS(AS$10:AS326,$A$10:$A326,$A327)-ROUNDDOWN($K327*$S327/100,0)&lt;-$S327*1000,-$S327*1000-SUMIFS(AS$10:AS326,$A$10:$A326,$A327),-ROUNDDOWN($K327*$S327/100,0))</f>
        <v>0</v>
      </c>
      <c r="AT327" s="38">
        <f>IF(AND(X327="○",$A327&gt;=AT$8,$A327&lt;=AT$9,K327&gt;=3980),IF(SUM(AT$10:AT326)-ROUNDDOWN($K327*AT$5/100,0)&lt;-AT$6,-AT$6-SUM(AT$10:AT326),-ROUNDDOWN($K327*AT$5/100,0)),0)</f>
        <v>0</v>
      </c>
      <c r="AU327" s="38">
        <f>IF(O327="○",IF(SUM(AU$10:AU326)-ROUNDDOWN($K327*AU$5/100,0)&lt;-AU$6,-AU$6-SUM(AU$10:AU326),-ROUNDDOWN($K327*AU$5/100,0)),0)</f>
        <v>0</v>
      </c>
      <c r="AV327" s="38">
        <f>IF(P327="○",IF(SUM(AV$10:AV326)-ROUNDDOWN($K327*AV$5/100,0)&lt;-AV$6,-AV$6-SUM(AV$10:AV326),-ROUNDDOWN($K327*AV$5/100,0)),0)</f>
        <v>0</v>
      </c>
      <c r="AW327" s="38">
        <f>IF(Q327="○",IF(SUM(AW$10:AW326)-ROUNDDOWN($K327*AW$5/100,0)&lt;-AW$6,-AW$6-SUM(AW$10:AW326),-ROUNDDOWN($K327*AW$5/100,0)),0)</f>
        <v>0</v>
      </c>
      <c r="AX327" s="38">
        <f>IF(R327="○",IF(SUM(AX$10:AX326)-ROUNDDOWN($K327*AX$5/100,0)&lt;-AX$6,-AX$6-SUM(AX$10:AX326),-ROUNDDOWN($K327*AX$5/100,0)),0)</f>
        <v>0</v>
      </c>
      <c r="AY327" s="70">
        <v>0</v>
      </c>
      <c r="AZ327" s="65">
        <f t="shared" si="213"/>
        <v>0</v>
      </c>
      <c r="BA327" s="65">
        <f t="shared" si="214"/>
        <v>0</v>
      </c>
      <c r="BB327" s="70"/>
      <c r="BC327" s="65">
        <f t="shared" si="215"/>
        <v>0</v>
      </c>
      <c r="BD327" s="70">
        <v>0</v>
      </c>
      <c r="BE327" s="65">
        <f t="shared" si="216"/>
        <v>0</v>
      </c>
      <c r="BF327" s="70">
        <v>0</v>
      </c>
      <c r="BG327" s="65">
        <f t="shared" si="217"/>
        <v>0</v>
      </c>
      <c r="BH327" s="70">
        <v>0</v>
      </c>
      <c r="BI327" s="65">
        <f t="shared" si="218"/>
        <v>0</v>
      </c>
      <c r="BJ327" s="38">
        <f>IF(AND(BJ$7="○",$A327&gt;=BJ$8,$A327&lt;=BJ$9),IF(SUM(BJ$10:BJ326)-ROUNDDOWN($M327*BJ$5/100,0)&lt;-BJ$6,-BJ$6-SUM(BJ$10:BJ326),-ROUNDDOWN($M327*BJ$5/100,0)),0)</f>
        <v>0</v>
      </c>
      <c r="BK327" s="38">
        <f>IF(AND(BK$7="○",$A327&gt;=BK$8,$A327&lt;=BK$9),IF(SUM(BK$10:BK326)-ROUNDDOWN($L327*BK$5/100,0)&lt;-BK$6,-BK$6-SUM(BK$10:BK326),-ROUNDDOWN($L327*BK$5/100,0)),0)</f>
        <v>0</v>
      </c>
      <c r="BL327" s="38">
        <f>IF(AND(BL$7="○",$A327&gt;=BL$8,$A327&lt;=BL$9),IF(SUM(BL$10:BL326)-ROUNDDOWN($L327*BL$5/100,0)&lt;-BL$6,-BL$6-SUM(BL$10:BL326),-ROUNDDOWN($L327*BL$5/100,0)),0)</f>
        <v>0</v>
      </c>
      <c r="BM327" s="38">
        <f>IF(AND(BM$7="○",$A327&gt;=BM$8,$A327&lt;=BM$9),IF(SUM(BM$10:BM326)-ROUNDDOWN($M327*BM$5/100,0)&lt;-BM$6,-BM$6-SUM(BM$10:BM326),-ROUNDDOWN($M327*BM$5/100,0)),0)</f>
        <v>0</v>
      </c>
      <c r="BN327" s="38">
        <f>IF(AND(BN$7="○",$A327&gt;=BN$8,$A327&lt;=BN$9),IF(SUM(BN$10:BN326)-ROUNDDOWN($M327*BN$5/100,0)&lt;-BN$6,-BN$6-SUM(BN$10:BN326),-ROUNDDOWN($M327*BN$5/100,0)),0)</f>
        <v>0</v>
      </c>
      <c r="BO327" s="38">
        <f>IF(AND(BO$7="○",$A327&gt;=BO$8,$A327&lt;=BO$9),IF(SUM(BO$10:BO326)-ROUNDDOWN($M327*BO$5/100,0)&lt;-BO$6,-BO$6-SUM(BO$10:BO326),-ROUNDDOWN($M327*BO$5/100,0)),0)</f>
        <v>0</v>
      </c>
      <c r="BP327" s="38">
        <f>IF(AND(BP$7="○",$A327&gt;=BP$8,$A327&lt;=BP$9),IF(SUM(BP$10:BP326)-ROUNDDOWN($M327*BP$5/100,0)&lt;-BP$6,-BP$6-SUM(BP$10:BP326),-ROUNDDOWN($M327*BP$5/100,0)),0)</f>
        <v>0</v>
      </c>
      <c r="BQ327" s="38">
        <f>IF(AND(BQ$7="○",$A327&gt;=BQ$8,$A327&lt;=BQ$9),IF(SUM(BQ$10:BQ326)-ROUNDDOWN($L327*BQ$5/100,0)&lt;-BQ$6,-BQ$6-SUM(BQ$10:BQ326),-ROUNDDOWN($L327*BQ$5/100,0)),0)</f>
        <v>0</v>
      </c>
      <c r="BR327" s="38">
        <f>IF(AND(BR$7="○",$A327&gt;=BR$8,$A327&lt;=BR$9),IF(SUM(BR$10:BR326)-ROUNDDOWN($M327*BR$5/100,0)&lt;-BR$6,-BR$6-SUM(BR$10:BR326),-ROUNDDOWN($M327*BR$5/100,0)),0)</f>
        <v>0</v>
      </c>
      <c r="BS327" s="38">
        <f>IF(AND(BS$7="○",$A327&gt;=BS$8,$A327&lt;=BS$9),IF(SUM(BS$10:BS326)-ROUNDDOWN($M327*BS$5/100,0)&lt;-BS$6,-BS$6-SUM(BS$10:BS326),-ROUNDDOWN($M327*BS$5/100,0)),0)</f>
        <v>0</v>
      </c>
      <c r="BT327" s="38">
        <f>IF(AND(BT$7="○",$A327&gt;=BT$8,$A327&lt;=BT$9),IF(SUM(BT$10:BT326)-ROUNDDOWN($M327*BT$5/100,0)&lt;-BT$6,-BT$6-SUM(BT$10:BT326),-ROUNDDOWN($M327*BT$5/100,0)),0)</f>
        <v>0</v>
      </c>
      <c r="BU327" s="38">
        <f>IF(AND(BU$7="○",$A327&gt;=BU$8,$A327&lt;=BU$9),IF(SUM(BU$10:BU326)-ROUNDDOWN($M327*BU$5/100,0)&lt;-BU$6,-BU$6-SUM(BU$10:BU326),-ROUNDDOWN($M327*BU$5/100,0)),0)</f>
        <v>0</v>
      </c>
      <c r="BV327" s="38">
        <f>IF(AND(BV$7="○",$A327&gt;=BV$8,$A327&lt;=BV$9),IF(SUM(BV$10:BV326)-ROUNDDOWN($M327*BV$5/100,0)&lt;-BV$6,-BV$6-SUM(BV$10:BV326),-ROUNDDOWN($M327*BV$5/100,0)),0)</f>
        <v>0</v>
      </c>
      <c r="BW327" s="38">
        <f>IF(AND(BW$7="○",$A327&gt;=BW$8,$A327&lt;=BW$9),IF(SUM(BW$10:BW326)-ROUNDDOWN($M327*BW$5/100,0)&lt;-BW$6,-BW$6-SUM(BW$10:BW326),-ROUNDDOWN($M327*BW$5/100,0)),0)</f>
        <v>0</v>
      </c>
      <c r="BX327" s="38">
        <f>IF(AND(T327="○",$A327&gt;=BX$8,$A327&lt;=BX$9),IF(SUM(BX$10:BX326)-ROUNDDOWN($K327*BX$5/100,0)&lt;-BX$6,-BX$6-SUM(BX$10:BX326),-ROUNDDOWN($K327*BX$5/100,0)),0)</f>
        <v>0</v>
      </c>
      <c r="BY327" s="38">
        <f>IF(AND(U327="○",$A327&gt;=BY$8,$A327&lt;=BY$9),IF(SUM(BY$10:BY326)-ROUNDDOWN($K327*BY$5/100,0)&lt;-BY$6,-BY$6-SUM(BY$10:BY326),-ROUNDDOWN($K327*BY$5/100,0)),0)</f>
        <v>0</v>
      </c>
      <c r="BZ327" s="38">
        <f>IF(AND(V327="○",$A327&gt;=BZ$8,$A327&lt;=BZ$9),IF(SUM(BZ$10:BZ326)-ROUNDDOWN($K327*BZ$5/100,0)&lt;-BZ$6,-BZ$6-SUM(BZ$10:BZ326),-ROUNDDOWN($K327*BZ$5/100,0)),0)</f>
        <v>0</v>
      </c>
      <c r="CA327" s="38">
        <f>IF(AND(W327="○",$A327&gt;=CA$8,$A327&lt;=CA$9),IF(SUM(CA$10:CA326)-ROUNDDOWN($K327*CA$5/100,0)&lt;-CA$6,-CA$6-SUM(CA$10:CA326),-ROUNDDOWN($K327*CA$5/100,0)),0)</f>
        <v>0</v>
      </c>
      <c r="CB327" s="38"/>
      <c r="CC327" s="38"/>
      <c r="CD327" s="38"/>
      <c r="CE327" s="38"/>
      <c r="CF327" s="38"/>
      <c r="CG327" s="65">
        <f t="shared" si="219"/>
        <v>0</v>
      </c>
      <c r="CH327" s="71">
        <f t="shared" si="220"/>
        <v>0</v>
      </c>
      <c r="CI327" s="1">
        <f t="shared" si="241"/>
        <v>0</v>
      </c>
      <c r="CJ327" s="1"/>
      <c r="CK327" s="72"/>
      <c r="CL327" s="72"/>
      <c r="CM327" s="2"/>
      <c r="CN327" s="2"/>
      <c r="CO327" s="73">
        <f t="shared" si="242"/>
        <v>0</v>
      </c>
      <c r="CP327" s="5">
        <f t="shared" si="243"/>
        <v>0</v>
      </c>
      <c r="CQ327" s="1"/>
      <c r="CR327" s="1">
        <f t="shared" si="244"/>
        <v>0</v>
      </c>
      <c r="CS327" s="1"/>
      <c r="CT327" s="1" t="e">
        <f>INDEX([2]マスタ!$A:$A,MATCH(D327,[2]マスタ!$C:$C,0))</f>
        <v>#N/A</v>
      </c>
      <c r="CU327" s="1" t="str">
        <f t="shared" ca="1" si="245"/>
        <v>20260620_0-0</v>
      </c>
    </row>
    <row r="328" spans="1:99" x14ac:dyDescent="0.4">
      <c r="A328" s="61"/>
      <c r="B328" s="62"/>
      <c r="C328" s="62"/>
      <c r="D328" s="62"/>
      <c r="E328" s="74"/>
      <c r="F328" s="62"/>
      <c r="G328" s="62">
        <v>1</v>
      </c>
      <c r="H328" s="64">
        <f t="shared" si="232"/>
        <v>0</v>
      </c>
      <c r="I328" s="64"/>
      <c r="J328" s="64"/>
      <c r="K328" s="65">
        <f t="shared" ref="K328:K331" si="246">+ROUNDDOWN((H328+I328+J328)/100,0)*100</f>
        <v>0</v>
      </c>
      <c r="L328" s="65">
        <f t="shared" si="234"/>
        <v>0</v>
      </c>
      <c r="M328" s="65">
        <f t="shared" si="235"/>
        <v>0</v>
      </c>
      <c r="N328" s="65">
        <f t="shared" si="236"/>
        <v>0</v>
      </c>
      <c r="O328" s="66" t="str">
        <f t="shared" si="237"/>
        <v>✕</v>
      </c>
      <c r="P328" s="67" t="str">
        <f t="shared" si="238"/>
        <v>○</v>
      </c>
      <c r="Q328" s="67" t="str">
        <f t="shared" ref="Q328:Q331" si="247">+IF((TEXT(A328,"DD")+0)=1,"○","✕")</f>
        <v>✕</v>
      </c>
      <c r="R328" s="67" t="str">
        <f t="shared" si="240"/>
        <v>✕</v>
      </c>
      <c r="S328" s="68">
        <v>0</v>
      </c>
      <c r="T328" s="69" t="s">
        <v>85</v>
      </c>
      <c r="U328" s="69" t="s">
        <v>85</v>
      </c>
      <c r="V328" s="69" t="s">
        <v>85</v>
      </c>
      <c r="W328" s="69" t="s">
        <v>85</v>
      </c>
      <c r="X328" s="69" t="s">
        <v>84</v>
      </c>
      <c r="Y328" s="69" t="s">
        <v>85</v>
      </c>
      <c r="Z328" s="69" t="s">
        <v>85</v>
      </c>
      <c r="AA328" s="69" t="s">
        <v>85</v>
      </c>
      <c r="AB328" s="69" t="s">
        <v>85</v>
      </c>
      <c r="AC328" s="69" t="s">
        <v>85</v>
      </c>
      <c r="AD328" s="38" t="str">
        <f>+IF(ISERROR(VLOOKUP($B328,AD$10:AD320,1,0)),IF(AND($N328&gt;=1000,$A328&gt;=AO$8,$A328&lt;=AO$9),$B328,""),"")</f>
        <v/>
      </c>
      <c r="AE328" s="38" t="str">
        <f>+IF(ISERROR(VLOOKUP($B328,AE$10:AE320,1,0)),IF(AND($N328&gt;=1000,$A328&gt;=AP$8,$A328&lt;=AP$9),$B328,""),"")</f>
        <v/>
      </c>
      <c r="AF328" s="38" t="str">
        <f>+IF(ISERROR(VLOOKUP($B328,AF$10:AF320,1,0)),IF(AND($N328&gt;=1000,$A328&gt;=AQ$8,$A328&lt;=AQ$9),$B328,""),"")</f>
        <v/>
      </c>
      <c r="AG328" s="38" t="str">
        <f>+IF(ISERROR(VLOOKUP($B328,AG$10:AG320,1,0)),IF(AND($N328&gt;=1000,$A328&gt;=AR$8,$A328&lt;=AR$9),$B328,""),"")</f>
        <v/>
      </c>
      <c r="AH328" s="38"/>
      <c r="AI328" s="70">
        <v>0</v>
      </c>
      <c r="AJ328" s="38">
        <f>IF(AND(AJ$7="○",$A328&gt;=AJ$8,$A328&lt;=AJ$9),IF(SUM(AJ$10:AJ327)-ROUNDDOWN($K328*AJ$5/100,0)&lt;-AJ$6,-AJ$6-SUM(AJ$10:AJ327),-ROUNDDOWN($K328*AJ$5/100,0)),0)</f>
        <v>0</v>
      </c>
      <c r="AK328" s="38">
        <f>IF(AND(AK$7="○",$A328&gt;=AK$8,$A328&lt;=AK$9),IF(SUM(AK$10:AK327)-ROUNDDOWN($L328*AK$5/100,0)&lt;-AK$6,-AK$6-SUM(AK$10:AK327),-ROUNDDOWN($L328*AK$5/100,0)),0)</f>
        <v>0</v>
      </c>
      <c r="AL328" s="38">
        <f>IF(AND(AL$7="○",$A328&gt;=AL$8,$A328&lt;=AL$9),IF(SUM(AL$10:AL327)-ROUNDDOWN($N328*AL$5/100,0)&lt;-AL$6,-AL$6-SUM(AL$10:AL327),-ROUNDDOWN($N328*AL$5/100,0)),0)</f>
        <v>0</v>
      </c>
      <c r="AM328" s="38">
        <f>IF(AND(AM$7="○",$A328&gt;=AM$8,$A328&lt;=AM$9),IF(SUM(AM$10:AM327)-ROUNDDOWN($L328*AM$5/100,0)&lt;-AM$6,-AM$6-SUM(AM$10:AM327),-ROUNDDOWN($L328*AM$5/100,0)),0)</f>
        <v>0</v>
      </c>
      <c r="AN328" s="38">
        <f>IF(AND(AN$7="○",$A328&gt;=AN$8,$A328&lt;=AN$9),IF(SUM(AN$10:AN327)-ROUNDDOWN($M328*AN$5/100,0)&lt;-AN$6,-AN$6-SUM(AN$10:AN327),-ROUNDDOWN($M328*AN$5/100,0)),0)</f>
        <v>0</v>
      </c>
      <c r="AO328" s="38">
        <f>IF(AND($A328&gt;=AO$8,$A328&lt;=AO$9),IF(SUM(AO$10:AO327)-ROUNDDOWN($K328*AO$5/100,0)&lt;-AO$6,-AO$6-SUM(AO$10:AO327),-ROUNDDOWN($K328*AO$5/100,0)),0)</f>
        <v>0</v>
      </c>
      <c r="AP328" s="38">
        <f>IF(AND($A328&gt;=AP$8,$A328&lt;=AP$9),IF(SUM(AP$10:AP327)-ROUNDDOWN($K328*AP$5/100,0)&lt;-AP$6,-AP$6-SUM(AP$10:AP327),-ROUNDDOWN($K328*AP$5/100,0)),0)</f>
        <v>0</v>
      </c>
      <c r="AQ328" s="38">
        <f>IF(AND($A328&gt;=AQ$8,$A328&lt;=AQ$9),IF(SUM(AQ$10:AQ327)-ROUNDDOWN($K328*AQ$5/100,0)&lt;-AQ$6,-AQ$6-SUM(AQ$10:AQ327),-ROUNDDOWN($K328*AQ$5/100,0)),0)</f>
        <v>0</v>
      </c>
      <c r="AR328" s="38">
        <f>IF(AND($A328&gt;=AR$8,$A328&lt;=AR$9),IF(SUM(AR$10:AR327)-ROUNDDOWN($K328*AR$5/100,0)&lt;-AR$6,-AR$6-SUM(AR$10:AR327),-ROUNDDOWN($K328*AR$5/100,0)),0)</f>
        <v>0</v>
      </c>
      <c r="AS328" s="38">
        <f>IF(SUMIFS(AS$10:AS327,$A$10:$A327,$A328)-ROUNDDOWN($K328*$S328/100,0)&lt;-$S328*1000,-$S328*1000-SUMIFS(AS$10:AS327,$A$10:$A327,$A328),-ROUNDDOWN($K328*$S328/100,0))</f>
        <v>0</v>
      </c>
      <c r="AT328" s="38">
        <f>IF(AND(X328="○",$A328&gt;=AT$8,$A328&lt;=AT$9,K328&gt;=3980),IF(SUM(AT$10:AT327)-ROUNDDOWN($K328*AT$5/100,0)&lt;-AT$6,-AT$6-SUM(AT$10:AT327),-ROUNDDOWN($K328*AT$5/100,0)),0)</f>
        <v>0</v>
      </c>
      <c r="AU328" s="38">
        <f>IF(O328="○",IF(SUM(AU$10:AU327)-ROUNDDOWN($K328*AU$5/100,0)&lt;-AU$6,-AU$6-SUM(AU$10:AU327),-ROUNDDOWN($K328*AU$5/100,0)),0)</f>
        <v>0</v>
      </c>
      <c r="AV328" s="38">
        <f>IF(P328="○",IF(SUM(AV$10:AV327)-ROUNDDOWN($K328*AV$5/100,0)&lt;-AV$6,-AV$6-SUM(AV$10:AV327),-ROUNDDOWN($K328*AV$5/100,0)),0)</f>
        <v>0</v>
      </c>
      <c r="AW328" s="38">
        <f>IF(Q328="○",IF(SUM(AW$10:AW327)-ROUNDDOWN($K328*AW$5/100,0)&lt;-AW$6,-AW$6-SUM(AW$10:AW327),-ROUNDDOWN($K328*AW$5/100,0)),0)</f>
        <v>0</v>
      </c>
      <c r="AX328" s="38">
        <f>IF(R328="○",IF(SUM(AX$10:AX327)-ROUNDDOWN($K328*AX$5/100,0)&lt;-AX$6,-AX$6-SUM(AX$10:AX327),-ROUNDDOWN($K328*AX$5/100,0)),0)</f>
        <v>0</v>
      </c>
      <c r="AY328" s="70">
        <v>0</v>
      </c>
      <c r="AZ328" s="65">
        <f t="shared" si="213"/>
        <v>0</v>
      </c>
      <c r="BA328" s="65">
        <f t="shared" si="214"/>
        <v>0</v>
      </c>
      <c r="BB328" s="70"/>
      <c r="BC328" s="65">
        <f t="shared" si="215"/>
        <v>0</v>
      </c>
      <c r="BD328" s="70">
        <v>0</v>
      </c>
      <c r="BE328" s="65">
        <f t="shared" si="216"/>
        <v>0</v>
      </c>
      <c r="BF328" s="70">
        <v>0</v>
      </c>
      <c r="BG328" s="65">
        <f t="shared" si="217"/>
        <v>0</v>
      </c>
      <c r="BH328" s="70">
        <v>0</v>
      </c>
      <c r="BI328" s="65">
        <f t="shared" si="218"/>
        <v>0</v>
      </c>
      <c r="BJ328" s="38">
        <f>IF(AND(BJ$7="○",$A328&gt;=BJ$8,$A328&lt;=BJ$9),IF(SUM(BJ$10:BJ327)-ROUNDDOWN($M328*BJ$5/100,0)&lt;-BJ$6,-BJ$6-SUM(BJ$10:BJ327),-ROUNDDOWN($M328*BJ$5/100,0)),0)</f>
        <v>0</v>
      </c>
      <c r="BK328" s="38">
        <f>IF(AND(BK$7="○",$A328&gt;=BK$8,$A328&lt;=BK$9),IF(SUM(BK$10:BK327)-ROUNDDOWN($L328*BK$5/100,0)&lt;-BK$6,-BK$6-SUM(BK$10:BK327),-ROUNDDOWN($L328*BK$5/100,0)),0)</f>
        <v>0</v>
      </c>
      <c r="BL328" s="38">
        <f>IF(AND(BL$7="○",$A328&gt;=BL$8,$A328&lt;=BL$9),IF(SUM(BL$10:BL327)-ROUNDDOWN($L328*BL$5/100,0)&lt;-BL$6,-BL$6-SUM(BL$10:BL327),-ROUNDDOWN($L328*BL$5/100,0)),0)</f>
        <v>0</v>
      </c>
      <c r="BM328" s="38">
        <f>IF(AND(BM$7="○",$A328&gt;=BM$8,$A328&lt;=BM$9),IF(SUM(BM$10:BM327)-ROUNDDOWN($M328*BM$5/100,0)&lt;-BM$6,-BM$6-SUM(BM$10:BM327),-ROUNDDOWN($M328*BM$5/100,0)),0)</f>
        <v>0</v>
      </c>
      <c r="BN328" s="38">
        <f>IF(AND(BN$7="○",$A328&gt;=BN$8,$A328&lt;=BN$9),IF(SUM(BN$10:BN327)-ROUNDDOWN($M328*BN$5/100,0)&lt;-BN$6,-BN$6-SUM(BN$10:BN327),-ROUNDDOWN($M328*BN$5/100,0)),0)</f>
        <v>0</v>
      </c>
      <c r="BO328" s="38">
        <f>IF(AND(BO$7="○",$A328&gt;=BO$8,$A328&lt;=BO$9),IF(SUM(BO$10:BO327)-ROUNDDOWN($M328*BO$5/100,0)&lt;-BO$6,-BO$6-SUM(BO$10:BO327),-ROUNDDOWN($M328*BO$5/100,0)),0)</f>
        <v>0</v>
      </c>
      <c r="BP328" s="38">
        <f>IF(AND(BP$7="○",$A328&gt;=BP$8,$A328&lt;=BP$9),IF(SUM(BP$10:BP327)-ROUNDDOWN($M328*BP$5/100,0)&lt;-BP$6,-BP$6-SUM(BP$10:BP327),-ROUNDDOWN($M328*BP$5/100,0)),0)</f>
        <v>0</v>
      </c>
      <c r="BQ328" s="38">
        <f>IF(AND(BQ$7="○",$A328&gt;=BQ$8,$A328&lt;=BQ$9),IF(SUM(BQ$10:BQ327)-ROUNDDOWN($L328*BQ$5/100,0)&lt;-BQ$6,-BQ$6-SUM(BQ$10:BQ327),-ROUNDDOWN($L328*BQ$5/100,0)),0)</f>
        <v>0</v>
      </c>
      <c r="BR328" s="38">
        <f>IF(AND(BR$7="○",$A328&gt;=BR$8,$A328&lt;=BR$9),IF(SUM(BR$10:BR327)-ROUNDDOWN($M328*BR$5/100,0)&lt;-BR$6,-BR$6-SUM(BR$10:BR327),-ROUNDDOWN($M328*BR$5/100,0)),0)</f>
        <v>0</v>
      </c>
      <c r="BS328" s="38">
        <f>IF(AND(BS$7="○",$A328&gt;=BS$8,$A328&lt;=BS$9),IF(SUM(BS$10:BS327)-ROUNDDOWN($M328*BS$5/100,0)&lt;-BS$6,-BS$6-SUM(BS$10:BS327),-ROUNDDOWN($M328*BS$5/100,0)),0)</f>
        <v>0</v>
      </c>
      <c r="BT328" s="38">
        <f>IF(AND(BT$7="○",$A328&gt;=BT$8,$A328&lt;=BT$9),IF(SUM(BT$10:BT327)-ROUNDDOWN($M328*BT$5/100,0)&lt;-BT$6,-BT$6-SUM(BT$10:BT327),-ROUNDDOWN($M328*BT$5/100,0)),0)</f>
        <v>0</v>
      </c>
      <c r="BU328" s="38">
        <f>IF(AND(BU$7="○",$A328&gt;=BU$8,$A328&lt;=BU$9),IF(SUM(BU$10:BU327)-ROUNDDOWN($M328*BU$5/100,0)&lt;-BU$6,-BU$6-SUM(BU$10:BU327),-ROUNDDOWN($M328*BU$5/100,0)),0)</f>
        <v>0</v>
      </c>
      <c r="BV328" s="38">
        <f>IF(AND(BV$7="○",$A328&gt;=BV$8,$A328&lt;=BV$9),IF(SUM(BV$10:BV327)-ROUNDDOWN($M328*BV$5/100,0)&lt;-BV$6,-BV$6-SUM(BV$10:BV327),-ROUNDDOWN($M328*BV$5/100,0)),0)</f>
        <v>0</v>
      </c>
      <c r="BW328" s="38">
        <f>IF(AND(BW$7="○",$A328&gt;=BW$8,$A328&lt;=BW$9),IF(SUM(BW$10:BW327)-ROUNDDOWN($M328*BW$5/100,0)&lt;-BW$6,-BW$6-SUM(BW$10:BW327),-ROUNDDOWN($M328*BW$5/100,0)),0)</f>
        <v>0</v>
      </c>
      <c r="BX328" s="38">
        <f>IF(AND(T328="○",$A328&gt;=BX$8,$A328&lt;=BX$9),IF(SUM(BX$10:BX327)-ROUNDDOWN($K328*BX$5/100,0)&lt;-BX$6,-BX$6-SUM(BX$10:BX327),-ROUNDDOWN($K328*BX$5/100,0)),0)</f>
        <v>0</v>
      </c>
      <c r="BY328" s="38">
        <f>IF(AND(U328="○",$A328&gt;=BY$8,$A328&lt;=BY$9),IF(SUM(BY$10:BY327)-ROUNDDOWN($K328*BY$5/100,0)&lt;-BY$6,-BY$6-SUM(BY$10:BY327),-ROUNDDOWN($K328*BY$5/100,0)),0)</f>
        <v>0</v>
      </c>
      <c r="BZ328" s="38">
        <f>IF(AND(V328="○",$A328&gt;=BZ$8,$A328&lt;=BZ$9),IF(SUM(BZ$10:BZ327)-ROUNDDOWN($K328*BZ$5/100,0)&lt;-BZ$6,-BZ$6-SUM(BZ$10:BZ327),-ROUNDDOWN($K328*BZ$5/100,0)),0)</f>
        <v>0</v>
      </c>
      <c r="CA328" s="38">
        <f>IF(AND(W328="○",$A328&gt;=CA$8,$A328&lt;=CA$9),IF(SUM(CA$10:CA327)-ROUNDDOWN($K328*CA$5/100,0)&lt;-CA$6,-CA$6-SUM(CA$10:CA327),-ROUNDDOWN($K328*CA$5/100,0)),0)</f>
        <v>0</v>
      </c>
      <c r="CB328" s="38"/>
      <c r="CC328" s="38"/>
      <c r="CD328" s="38"/>
      <c r="CE328" s="38"/>
      <c r="CF328" s="38"/>
      <c r="CG328" s="65">
        <f t="shared" si="219"/>
        <v>0</v>
      </c>
      <c r="CH328" s="71">
        <f t="shared" si="220"/>
        <v>0</v>
      </c>
      <c r="CI328" s="1">
        <f t="shared" si="241"/>
        <v>0</v>
      </c>
      <c r="CJ328" s="1"/>
      <c r="CK328" s="75"/>
      <c r="CL328" s="75"/>
      <c r="CM328" s="2"/>
      <c r="CN328" s="2"/>
      <c r="CO328" s="73">
        <f t="shared" si="242"/>
        <v>0</v>
      </c>
      <c r="CP328" s="5">
        <f t="shared" si="243"/>
        <v>0</v>
      </c>
      <c r="CQ328" s="1"/>
      <c r="CR328" s="1">
        <f t="shared" si="244"/>
        <v>0</v>
      </c>
      <c r="CS328" s="1"/>
      <c r="CT328" s="1" t="e">
        <f>INDEX([2]マスタ!$A:$A,MATCH(D328,[2]マスタ!$C:$C,0))</f>
        <v>#N/A</v>
      </c>
      <c r="CU328" s="1" t="str">
        <f t="shared" ca="1" si="245"/>
        <v>20260620_0-0</v>
      </c>
    </row>
    <row r="329" spans="1:99" x14ac:dyDescent="0.4">
      <c r="A329" s="61"/>
      <c r="B329" s="62"/>
      <c r="C329" s="62"/>
      <c r="D329" s="62"/>
      <c r="E329" s="74"/>
      <c r="F329" s="62"/>
      <c r="G329" s="62">
        <v>1</v>
      </c>
      <c r="H329" s="64">
        <f t="shared" si="232"/>
        <v>0</v>
      </c>
      <c r="I329" s="64"/>
      <c r="J329" s="64"/>
      <c r="K329" s="65">
        <f t="shared" si="246"/>
        <v>0</v>
      </c>
      <c r="L329" s="65">
        <f t="shared" si="234"/>
        <v>0</v>
      </c>
      <c r="M329" s="65">
        <f t="shared" si="235"/>
        <v>0</v>
      </c>
      <c r="N329" s="65">
        <f t="shared" si="236"/>
        <v>0</v>
      </c>
      <c r="O329" s="66" t="str">
        <f t="shared" si="237"/>
        <v>✕</v>
      </c>
      <c r="P329" s="67" t="str">
        <f t="shared" si="238"/>
        <v>○</v>
      </c>
      <c r="Q329" s="67" t="str">
        <f t="shared" si="247"/>
        <v>✕</v>
      </c>
      <c r="R329" s="67" t="str">
        <f t="shared" si="240"/>
        <v>✕</v>
      </c>
      <c r="S329" s="68">
        <v>0</v>
      </c>
      <c r="T329" s="69" t="s">
        <v>85</v>
      </c>
      <c r="U329" s="69" t="s">
        <v>85</v>
      </c>
      <c r="V329" s="69" t="s">
        <v>85</v>
      </c>
      <c r="W329" s="69" t="s">
        <v>85</v>
      </c>
      <c r="X329" s="69" t="s">
        <v>84</v>
      </c>
      <c r="Y329" s="69" t="s">
        <v>85</v>
      </c>
      <c r="Z329" s="69" t="s">
        <v>85</v>
      </c>
      <c r="AA329" s="69" t="s">
        <v>85</v>
      </c>
      <c r="AB329" s="69" t="s">
        <v>85</v>
      </c>
      <c r="AC329" s="69" t="s">
        <v>85</v>
      </c>
      <c r="AD329" s="38" t="str">
        <f>+IF(ISERROR(VLOOKUP($B329,AD$10:AD328,1,0)),IF(AND($N329&gt;=1000,$A329&gt;=AO$8,$A329&lt;=AO$9),$B329,""),"")</f>
        <v/>
      </c>
      <c r="AE329" s="38" t="str">
        <f>+IF(ISERROR(VLOOKUP($B329,AE$10:AE328,1,0)),IF(AND($N329&gt;=1000,$A329&gt;=AP$8,$A329&lt;=AP$9),$B329,""),"")</f>
        <v/>
      </c>
      <c r="AF329" s="38" t="str">
        <f>+IF(ISERROR(VLOOKUP($B329,AF$10:AF328,1,0)),IF(AND($N329&gt;=1000,$A329&gt;=AQ$8,$A329&lt;=AQ$9),$B329,""),"")</f>
        <v/>
      </c>
      <c r="AG329" s="38" t="str">
        <f>+IF(ISERROR(VLOOKUP($B329,AG$10:AG328,1,0)),IF(AND($N329&gt;=1000,$A329&gt;=AR$8,$A329&lt;=AR$9),$B329,""),"")</f>
        <v/>
      </c>
      <c r="AH329" s="38"/>
      <c r="AI329" s="70">
        <v>0</v>
      </c>
      <c r="AJ329" s="38">
        <f>IF(AND(AJ$7="○",$A329&gt;=AJ$8,$A329&lt;=AJ$9),IF(SUM(AJ$10:AJ328)-ROUNDDOWN($K329*AJ$5/100,0)&lt;-AJ$6,-AJ$6-SUM(AJ$10:AJ328),-ROUNDDOWN($K329*AJ$5/100,0)),0)</f>
        <v>0</v>
      </c>
      <c r="AK329" s="38">
        <f>IF(AND(AK$7="○",$A329&gt;=AK$8,$A329&lt;=AK$9),IF(SUM(AK$10:AK328)-ROUNDDOWN($L329*AK$5/100,0)&lt;-AK$6,-AK$6-SUM(AK$10:AK328),-ROUNDDOWN($L329*AK$5/100,0)),0)</f>
        <v>0</v>
      </c>
      <c r="AL329" s="38">
        <f>IF(AND(AL$7="○",$A329&gt;=AL$8,$A329&lt;=AL$9),IF(SUM(AL$10:AL328)-ROUNDDOWN($N329*AL$5/100,0)&lt;-AL$6,-AL$6-SUM(AL$10:AL328),-ROUNDDOWN($N329*AL$5/100,0)),0)</f>
        <v>0</v>
      </c>
      <c r="AM329" s="38">
        <f>IF(AND(AM$7="○",$A329&gt;=AM$8,$A329&lt;=AM$9),IF(SUM(AM$10:AM328)-ROUNDDOWN($L329*AM$5/100,0)&lt;-AM$6,-AM$6-SUM(AM$10:AM328),-ROUNDDOWN($L329*AM$5/100,0)),0)</f>
        <v>0</v>
      </c>
      <c r="AN329" s="38">
        <f>IF(AND(AN$7="○",$A329&gt;=AN$8,$A329&lt;=AN$9),IF(SUM(AN$10:AN328)-ROUNDDOWN($M329*AN$5/100,0)&lt;-AN$6,-AN$6-SUM(AN$10:AN328),-ROUNDDOWN($M329*AN$5/100,0)),0)</f>
        <v>0</v>
      </c>
      <c r="AO329" s="38">
        <f>IF(AND($A329&gt;=AO$8,$A329&lt;=AO$9),IF(SUM(AO$10:AO328)-ROUNDDOWN($K329*AO$5/100,0)&lt;-AO$6,-AO$6-SUM(AO$10:AO328),-ROUNDDOWN($K329*AO$5/100,0)),0)</f>
        <v>0</v>
      </c>
      <c r="AP329" s="38">
        <f>IF(AND($A329&gt;=AP$8,$A329&lt;=AP$9),IF(SUM(AP$10:AP328)-ROUNDDOWN($K329*AP$5/100,0)&lt;-AP$6,-AP$6-SUM(AP$10:AP328),-ROUNDDOWN($K329*AP$5/100,0)),0)</f>
        <v>0</v>
      </c>
      <c r="AQ329" s="38">
        <f>IF(AND($A329&gt;=AQ$8,$A329&lt;=AQ$9),IF(SUM(AQ$10:AQ328)-ROUNDDOWN($K329*AQ$5/100,0)&lt;-AQ$6,-AQ$6-SUM(AQ$10:AQ328),-ROUNDDOWN($K329*AQ$5/100,0)),0)</f>
        <v>0</v>
      </c>
      <c r="AR329" s="38">
        <f>IF(AND($A329&gt;=AR$8,$A329&lt;=AR$9),IF(SUM(AR$10:AR328)-ROUNDDOWN($K329*AR$5/100,0)&lt;-AR$6,-AR$6-SUM(AR$10:AR328),-ROUNDDOWN($K329*AR$5/100,0)),0)</f>
        <v>0</v>
      </c>
      <c r="AS329" s="38">
        <f>IF(SUMIFS(AS$10:AS328,$A$10:$A328,$A329)-ROUNDDOWN($K329*$S329/100,0)&lt;-$S329*1000,-$S329*1000-SUMIFS(AS$10:AS328,$A$10:$A328,$A329),-ROUNDDOWN($K329*$S329/100,0))</f>
        <v>0</v>
      </c>
      <c r="AT329" s="38">
        <f>IF(AND(X329="○",$A329&gt;=AT$8,$A329&lt;=AT$9,K329&gt;=3980),IF(SUM(AT$10:AT328)-ROUNDDOWN($K329*AT$5/100,0)&lt;-AT$6,-AT$6-SUM(AT$10:AT328),-ROUNDDOWN($K329*AT$5/100,0)),0)</f>
        <v>0</v>
      </c>
      <c r="AU329" s="38">
        <f>IF(O329="○",IF(SUM(AU$10:AU328)-ROUNDDOWN($K329*AU$5/100,0)&lt;-AU$6,-AU$6-SUM(AU$10:AU328),-ROUNDDOWN($K329*AU$5/100,0)),0)</f>
        <v>0</v>
      </c>
      <c r="AV329" s="38">
        <f>IF(P329="○",IF(SUM(AV$10:AV328)-ROUNDDOWN($K329*AV$5/100,0)&lt;-AV$6,-AV$6-SUM(AV$10:AV328),-ROUNDDOWN($K329*AV$5/100,0)),0)</f>
        <v>0</v>
      </c>
      <c r="AW329" s="38">
        <f>IF(Q329="○",IF(SUM(AW$10:AW328)-ROUNDDOWN($K329*AW$5/100,0)&lt;-AW$6,-AW$6-SUM(AW$10:AW328),-ROUNDDOWN($K329*AW$5/100,0)),0)</f>
        <v>0</v>
      </c>
      <c r="AX329" s="38">
        <f>IF(R329="○",IF(SUM(AX$10:AX328)-ROUNDDOWN($K329*AX$5/100,0)&lt;-AX$6,-AX$6-SUM(AX$10:AX328),-ROUNDDOWN($K329*AX$5/100,0)),0)</f>
        <v>0</v>
      </c>
      <c r="AY329" s="70">
        <v>0</v>
      </c>
      <c r="AZ329" s="65">
        <f t="shared" si="213"/>
        <v>0</v>
      </c>
      <c r="BA329" s="65">
        <f t="shared" si="214"/>
        <v>0</v>
      </c>
      <c r="BB329" s="70"/>
      <c r="BC329" s="65">
        <f t="shared" si="215"/>
        <v>0</v>
      </c>
      <c r="BD329" s="70">
        <v>0</v>
      </c>
      <c r="BE329" s="65">
        <f t="shared" si="216"/>
        <v>0</v>
      </c>
      <c r="BF329" s="70">
        <v>0</v>
      </c>
      <c r="BG329" s="65">
        <f t="shared" si="217"/>
        <v>0</v>
      </c>
      <c r="BH329" s="70">
        <v>0</v>
      </c>
      <c r="BI329" s="65">
        <f t="shared" si="218"/>
        <v>0</v>
      </c>
      <c r="BJ329" s="38">
        <f>IF(AND(BJ$7="○",$A329&gt;=BJ$8,$A329&lt;=BJ$9),IF(SUM(BJ$10:BJ328)-ROUNDDOWN($M329*BJ$5/100,0)&lt;-BJ$6,-BJ$6-SUM(BJ$10:BJ328),-ROUNDDOWN($M329*BJ$5/100,0)),0)</f>
        <v>0</v>
      </c>
      <c r="BK329" s="38">
        <f>IF(AND(BK$7="○",$A329&gt;=BK$8,$A329&lt;=BK$9),IF(SUM(BK$10:BK328)-ROUNDDOWN($L329*BK$5/100,0)&lt;-BK$6,-BK$6-SUM(BK$10:BK328),-ROUNDDOWN($L329*BK$5/100,0)),0)</f>
        <v>0</v>
      </c>
      <c r="BL329" s="38">
        <f>IF(AND(BL$7="○",$A329&gt;=BL$8,$A329&lt;=BL$9),IF(SUM(BL$10:BL328)-ROUNDDOWN($L329*BL$5/100,0)&lt;-BL$6,-BL$6-SUM(BL$10:BL328),-ROUNDDOWN($L329*BL$5/100,0)),0)</f>
        <v>0</v>
      </c>
      <c r="BM329" s="38">
        <f>IF(AND(BM$7="○",$A329&gt;=BM$8,$A329&lt;=BM$9),IF(SUM(BM$10:BM328)-ROUNDDOWN($M329*BM$5/100,0)&lt;-BM$6,-BM$6-SUM(BM$10:BM328),-ROUNDDOWN($M329*BM$5/100,0)),0)</f>
        <v>0</v>
      </c>
      <c r="BN329" s="38">
        <f>IF(AND(BN$7="○",$A329&gt;=BN$8,$A329&lt;=BN$9),IF(SUM(BN$10:BN328)-ROUNDDOWN($M329*BN$5/100,0)&lt;-BN$6,-BN$6-SUM(BN$10:BN328),-ROUNDDOWN($M329*BN$5/100,0)),0)</f>
        <v>0</v>
      </c>
      <c r="BO329" s="38">
        <f>IF(AND(BO$7="○",$A329&gt;=BO$8,$A329&lt;=BO$9),IF(SUM(BO$10:BO328)-ROUNDDOWN($M329*BO$5/100,0)&lt;-BO$6,-BO$6-SUM(BO$10:BO328),-ROUNDDOWN($M329*BO$5/100,0)),0)</f>
        <v>0</v>
      </c>
      <c r="BP329" s="38">
        <f>IF(AND(BP$7="○",$A329&gt;=BP$8,$A329&lt;=BP$9),IF(SUM(BP$10:BP328)-ROUNDDOWN($M329*BP$5/100,0)&lt;-BP$6,-BP$6-SUM(BP$10:BP328),-ROUNDDOWN($M329*BP$5/100,0)),0)</f>
        <v>0</v>
      </c>
      <c r="BQ329" s="38">
        <f>IF(AND(BQ$7="○",$A329&gt;=BQ$8,$A329&lt;=BQ$9),IF(SUM(BQ$10:BQ328)-ROUNDDOWN($L329*BQ$5/100,0)&lt;-BQ$6,-BQ$6-SUM(BQ$10:BQ328),-ROUNDDOWN($L329*BQ$5/100,0)),0)</f>
        <v>0</v>
      </c>
      <c r="BR329" s="38">
        <f>IF(AND(BR$7="○",$A329&gt;=BR$8,$A329&lt;=BR$9),IF(SUM(BR$10:BR328)-ROUNDDOWN($M329*BR$5/100,0)&lt;-BR$6,-BR$6-SUM(BR$10:BR328),-ROUNDDOWN($M329*BR$5/100,0)),0)</f>
        <v>0</v>
      </c>
      <c r="BS329" s="38">
        <f>IF(AND(BS$7="○",$A329&gt;=BS$8,$A329&lt;=BS$9),IF(SUM(BS$10:BS328)-ROUNDDOWN($M329*BS$5/100,0)&lt;-BS$6,-BS$6-SUM(BS$10:BS328),-ROUNDDOWN($M329*BS$5/100,0)),0)</f>
        <v>0</v>
      </c>
      <c r="BT329" s="38">
        <f>IF(AND(BT$7="○",$A329&gt;=BT$8,$A329&lt;=BT$9),IF(SUM(BT$10:BT328)-ROUNDDOWN($M329*BT$5/100,0)&lt;-BT$6,-BT$6-SUM(BT$10:BT328),-ROUNDDOWN($M329*BT$5/100,0)),0)</f>
        <v>0</v>
      </c>
      <c r="BU329" s="38">
        <f>IF(AND(BU$7="○",$A329&gt;=BU$8,$A329&lt;=BU$9),IF(SUM(BU$10:BU328)-ROUNDDOWN($M329*BU$5/100,0)&lt;-BU$6,-BU$6-SUM(BU$10:BU328),-ROUNDDOWN($M329*BU$5/100,0)),0)</f>
        <v>0</v>
      </c>
      <c r="BV329" s="38">
        <f>IF(AND(BV$7="○",$A329&gt;=BV$8,$A329&lt;=BV$9),IF(SUM(BV$10:BV328)-ROUNDDOWN($M329*BV$5/100,0)&lt;-BV$6,-BV$6-SUM(BV$10:BV328),-ROUNDDOWN($M329*BV$5/100,0)),0)</f>
        <v>0</v>
      </c>
      <c r="BW329" s="38">
        <f>IF(AND(BW$7="○",$A329&gt;=BW$8,$A329&lt;=BW$9),IF(SUM(BW$10:BW328)-ROUNDDOWN($M329*BW$5/100,0)&lt;-BW$6,-BW$6-SUM(BW$10:BW328),-ROUNDDOWN($M329*BW$5/100,0)),0)</f>
        <v>0</v>
      </c>
      <c r="BX329" s="38">
        <f>IF(AND(T329="○",$A329&gt;=BX$8,$A329&lt;=BX$9),IF(SUM(BX$10:BX328)-ROUNDDOWN($K329*BX$5/100,0)&lt;-BX$6,-BX$6-SUM(BX$10:BX328),-ROUNDDOWN($K329*BX$5/100,0)),0)</f>
        <v>0</v>
      </c>
      <c r="BY329" s="38">
        <f>IF(AND(U329="○",$A329&gt;=BY$8,$A329&lt;=BY$9),IF(SUM(BY$10:BY328)-ROUNDDOWN($K329*BY$5/100,0)&lt;-BY$6,-BY$6-SUM(BY$10:BY328),-ROUNDDOWN($K329*BY$5/100,0)),0)</f>
        <v>0</v>
      </c>
      <c r="BZ329" s="38">
        <f>IF(AND(V329="○",$A329&gt;=BZ$8,$A329&lt;=BZ$9),IF(SUM(BZ$10:BZ328)-ROUNDDOWN($K329*BZ$5/100,0)&lt;-BZ$6,-BZ$6-SUM(BZ$10:BZ328),-ROUNDDOWN($K329*BZ$5/100,0)),0)</f>
        <v>0</v>
      </c>
      <c r="CA329" s="38">
        <f>IF(AND(W329="○",$A329&gt;=CA$8,$A329&lt;=CA$9),IF(SUM(CA$10:CA328)-ROUNDDOWN($K329*CA$5/100,0)&lt;-CA$6,-CA$6-SUM(CA$10:CA328),-ROUNDDOWN($K329*CA$5/100,0)),0)</f>
        <v>0</v>
      </c>
      <c r="CB329" s="38"/>
      <c r="CC329" s="38"/>
      <c r="CD329" s="38"/>
      <c r="CE329" s="38"/>
      <c r="CF329" s="38"/>
      <c r="CG329" s="65">
        <f t="shared" si="219"/>
        <v>0</v>
      </c>
      <c r="CH329" s="71">
        <f t="shared" si="220"/>
        <v>0</v>
      </c>
      <c r="CI329" s="1">
        <f t="shared" si="241"/>
        <v>0</v>
      </c>
      <c r="CJ329" s="1"/>
      <c r="CK329" s="75"/>
      <c r="CL329" s="75"/>
      <c r="CM329" s="2"/>
      <c r="CN329" s="2"/>
      <c r="CO329" s="73">
        <f t="shared" si="242"/>
        <v>0</v>
      </c>
      <c r="CP329" s="5">
        <f t="shared" si="243"/>
        <v>0</v>
      </c>
      <c r="CQ329" s="1"/>
      <c r="CR329" s="1">
        <f t="shared" si="244"/>
        <v>0</v>
      </c>
      <c r="CS329" s="1"/>
      <c r="CT329" s="1" t="e">
        <f>INDEX([2]マスタ!$A:$A,MATCH(D329,[2]マスタ!$C:$C,0))</f>
        <v>#N/A</v>
      </c>
      <c r="CU329" s="1" t="str">
        <f t="shared" ca="1" si="245"/>
        <v>20260620_0-0</v>
      </c>
    </row>
    <row r="330" spans="1:99" x14ac:dyDescent="0.4">
      <c r="A330" s="61"/>
      <c r="B330" s="62"/>
      <c r="C330" s="62"/>
      <c r="D330" s="62"/>
      <c r="E330" s="74"/>
      <c r="F330" s="62"/>
      <c r="G330" s="62">
        <v>1</v>
      </c>
      <c r="H330" s="64">
        <f t="shared" si="232"/>
        <v>0</v>
      </c>
      <c r="I330" s="64"/>
      <c r="J330" s="64"/>
      <c r="K330" s="65">
        <f t="shared" si="246"/>
        <v>0</v>
      </c>
      <c r="L330" s="65">
        <f t="shared" si="234"/>
        <v>0</v>
      </c>
      <c r="M330" s="65">
        <f t="shared" si="235"/>
        <v>0</v>
      </c>
      <c r="N330" s="65">
        <f t="shared" si="236"/>
        <v>0</v>
      </c>
      <c r="O330" s="66" t="str">
        <f t="shared" si="237"/>
        <v>✕</v>
      </c>
      <c r="P330" s="67" t="str">
        <f t="shared" si="238"/>
        <v>○</v>
      </c>
      <c r="Q330" s="67" t="str">
        <f t="shared" si="247"/>
        <v>✕</v>
      </c>
      <c r="R330" s="67" t="str">
        <f t="shared" si="240"/>
        <v>✕</v>
      </c>
      <c r="S330" s="68">
        <v>0</v>
      </c>
      <c r="T330" s="69" t="s">
        <v>85</v>
      </c>
      <c r="U330" s="69" t="s">
        <v>85</v>
      </c>
      <c r="V330" s="69" t="s">
        <v>85</v>
      </c>
      <c r="W330" s="69" t="s">
        <v>85</v>
      </c>
      <c r="X330" s="69" t="s">
        <v>84</v>
      </c>
      <c r="Y330" s="69" t="s">
        <v>85</v>
      </c>
      <c r="Z330" s="69" t="s">
        <v>85</v>
      </c>
      <c r="AA330" s="69" t="s">
        <v>85</v>
      </c>
      <c r="AB330" s="69" t="s">
        <v>85</v>
      </c>
      <c r="AC330" s="69" t="s">
        <v>85</v>
      </c>
      <c r="AD330" s="38" t="str">
        <f>+IF(ISERROR(VLOOKUP($B330,AD$10:AD329,1,0)),IF(AND($N330&gt;=1000,$A330&gt;=AO$8,$A330&lt;=AO$9),$B330,""),"")</f>
        <v/>
      </c>
      <c r="AE330" s="38" t="str">
        <f>+IF(ISERROR(VLOOKUP($B330,AE$10:AE329,1,0)),IF(AND($N330&gt;=1000,$A330&gt;=AP$8,$A330&lt;=AP$9),$B330,""),"")</f>
        <v/>
      </c>
      <c r="AF330" s="38" t="str">
        <f>+IF(ISERROR(VLOOKUP($B330,AF$10:AF329,1,0)),IF(AND($N330&gt;=1000,$A330&gt;=AQ$8,$A330&lt;=AQ$9),$B330,""),"")</f>
        <v/>
      </c>
      <c r="AG330" s="38" t="str">
        <f>+IF(ISERROR(VLOOKUP($B330,AG$10:AG329,1,0)),IF(AND($N330&gt;=1000,$A330&gt;=AR$8,$A330&lt;=AR$9),$B330,""),"")</f>
        <v/>
      </c>
      <c r="AH330" s="38"/>
      <c r="AI330" s="70">
        <v>0</v>
      </c>
      <c r="AJ330" s="38">
        <f>IF(AND(AJ$7="○",$A330&gt;=AJ$8,$A330&lt;=AJ$9),IF(SUM(AJ$10:AJ329)-ROUNDDOWN($K330*AJ$5/100,0)&lt;-AJ$6,-AJ$6-SUM(AJ$10:AJ329),-ROUNDDOWN($K330*AJ$5/100,0)),0)</f>
        <v>0</v>
      </c>
      <c r="AK330" s="38">
        <f>IF(AND(AK$7="○",$A330&gt;=AK$8,$A330&lt;=AK$9),IF(SUM(AK$10:AK329)-ROUNDDOWN($L330*AK$5/100,0)&lt;-AK$6,-AK$6-SUM(AK$10:AK329),-ROUNDDOWN($L330*AK$5/100,0)),0)</f>
        <v>0</v>
      </c>
      <c r="AL330" s="38">
        <f>IF(AND(AL$7="○",$A330&gt;=AL$8,$A330&lt;=AL$9),IF(SUM(AL$10:AL329)-ROUNDDOWN($N330*AL$5/100,0)&lt;-AL$6,-AL$6-SUM(AL$10:AL329),-ROUNDDOWN($N330*AL$5/100,0)),0)</f>
        <v>0</v>
      </c>
      <c r="AM330" s="38">
        <f>IF(AND(AM$7="○",$A330&gt;=AM$8,$A330&lt;=AM$9),IF(SUM(AM$10:AM329)-ROUNDDOWN($L330*AM$5/100,0)&lt;-AM$6,-AM$6-SUM(AM$10:AM329),-ROUNDDOWN($L330*AM$5/100,0)),0)</f>
        <v>0</v>
      </c>
      <c r="AN330" s="38">
        <f>IF(AND(AN$7="○",$A330&gt;=AN$8,$A330&lt;=AN$9),IF(SUM(AN$10:AN329)-ROUNDDOWN($M330*AN$5/100,0)&lt;-AN$6,-AN$6-SUM(AN$10:AN329),-ROUNDDOWN($M330*AN$5/100,0)),0)</f>
        <v>0</v>
      </c>
      <c r="AO330" s="38">
        <f>IF(AND($A330&gt;=AO$8,$A330&lt;=AO$9),IF(SUM(AO$10:AO329)-ROUNDDOWN($K330*AO$5/100,0)&lt;-AO$6,-AO$6-SUM(AO$10:AO329),-ROUNDDOWN($K330*AO$5/100,0)),0)</f>
        <v>0</v>
      </c>
      <c r="AP330" s="38">
        <f>IF(AND($A330&gt;=AP$8,$A330&lt;=AP$9),IF(SUM(AP$10:AP329)-ROUNDDOWN($K330*AP$5/100,0)&lt;-AP$6,-AP$6-SUM(AP$10:AP329),-ROUNDDOWN($K330*AP$5/100,0)),0)</f>
        <v>0</v>
      </c>
      <c r="AQ330" s="38">
        <f>IF(AND($A330&gt;=AQ$8,$A330&lt;=AQ$9),IF(SUM(AQ$10:AQ329)-ROUNDDOWN($K330*AQ$5/100,0)&lt;-AQ$6,-AQ$6-SUM(AQ$10:AQ329),-ROUNDDOWN($K330*AQ$5/100,0)),0)</f>
        <v>0</v>
      </c>
      <c r="AR330" s="38">
        <f>IF(AND($A330&gt;=AR$8,$A330&lt;=AR$9),IF(SUM(AR$10:AR329)-ROUNDDOWN($K330*AR$5/100,0)&lt;-AR$6,-AR$6-SUM(AR$10:AR329),-ROUNDDOWN($K330*AR$5/100,0)),0)</f>
        <v>0</v>
      </c>
      <c r="AS330" s="38">
        <f>IF(SUMIFS(AS$10:AS329,$A$10:$A329,$A330)-ROUNDDOWN($K330*$S330/100,0)&lt;-$S330*1000,-$S330*1000-SUMIFS(AS$10:AS329,$A$10:$A329,$A330),-ROUNDDOWN($K330*$S330/100,0))</f>
        <v>0</v>
      </c>
      <c r="AT330" s="38">
        <f>IF(AND(X330="○",$A330&gt;=AT$8,$A330&lt;=AT$9,K330&gt;=3980),IF(SUM(AT$10:AT329)-ROUNDDOWN($K330*AT$5/100,0)&lt;-AT$6,-AT$6-SUM(AT$10:AT329),-ROUNDDOWN($K330*AT$5/100,0)),0)</f>
        <v>0</v>
      </c>
      <c r="AU330" s="38">
        <f>IF(O330="○",IF(SUM(AU$10:AU329)-ROUNDDOWN($K330*AU$5/100,0)&lt;-AU$6,-AU$6-SUM(AU$10:AU329),-ROUNDDOWN($K330*AU$5/100,0)),0)</f>
        <v>0</v>
      </c>
      <c r="AV330" s="38">
        <f>IF(P330="○",IF(SUM(AV$10:AV329)-ROUNDDOWN($K330*AV$5/100,0)&lt;-AV$6,-AV$6-SUM(AV$10:AV329),-ROUNDDOWN($K330*AV$5/100,0)),0)</f>
        <v>0</v>
      </c>
      <c r="AW330" s="38">
        <f>IF(Q330="○",IF(SUM(AW$10:AW329)-ROUNDDOWN($K330*AW$5/100,0)&lt;-AW$6,-AW$6-SUM(AW$10:AW329),-ROUNDDOWN($K330*AW$5/100,0)),0)</f>
        <v>0</v>
      </c>
      <c r="AX330" s="38">
        <f>IF(R330="○",IF(SUM(AX$10:AX329)-ROUNDDOWN($K330*AX$5/100,0)&lt;-AX$6,-AX$6-SUM(AX$10:AX329),-ROUNDDOWN($K330*AX$5/100,0)),0)</f>
        <v>0</v>
      </c>
      <c r="AY330" s="70">
        <v>0</v>
      </c>
      <c r="AZ330" s="65">
        <f t="shared" si="213"/>
        <v>0</v>
      </c>
      <c r="BA330" s="65">
        <f t="shared" si="214"/>
        <v>0</v>
      </c>
      <c r="BB330" s="70"/>
      <c r="BC330" s="65">
        <f t="shared" si="215"/>
        <v>0</v>
      </c>
      <c r="BD330" s="70">
        <v>0</v>
      </c>
      <c r="BE330" s="65">
        <f t="shared" si="216"/>
        <v>0</v>
      </c>
      <c r="BF330" s="70">
        <v>0</v>
      </c>
      <c r="BG330" s="65">
        <f t="shared" si="217"/>
        <v>0</v>
      </c>
      <c r="BH330" s="70">
        <v>0</v>
      </c>
      <c r="BI330" s="65">
        <f t="shared" si="218"/>
        <v>0</v>
      </c>
      <c r="BJ330" s="38">
        <f>IF(AND(BJ$7="○",$A330&gt;=BJ$8,$A330&lt;=BJ$9),IF(SUM(BJ$10:BJ329)-ROUNDDOWN($M330*BJ$5/100,0)&lt;-BJ$6,-BJ$6-SUM(BJ$10:BJ329),-ROUNDDOWN($M330*BJ$5/100,0)),0)</f>
        <v>0</v>
      </c>
      <c r="BK330" s="38">
        <f>IF(AND(BK$7="○",$A330&gt;=BK$8,$A330&lt;=BK$9),IF(SUM(BK$10:BK329)-ROUNDDOWN($L330*BK$5/100,0)&lt;-BK$6,-BK$6-SUM(BK$10:BK329),-ROUNDDOWN($L330*BK$5/100,0)),0)</f>
        <v>0</v>
      </c>
      <c r="BL330" s="38">
        <f>IF(AND(BL$7="○",$A330&gt;=BL$8,$A330&lt;=BL$9),IF(SUM(BL$10:BL329)-ROUNDDOWN($L330*BL$5/100,0)&lt;-BL$6,-BL$6-SUM(BL$10:BL329),-ROUNDDOWN($L330*BL$5/100,0)),0)</f>
        <v>0</v>
      </c>
      <c r="BM330" s="38">
        <f>IF(AND(BM$7="○",$A330&gt;=BM$8,$A330&lt;=BM$9),IF(SUM(BM$10:BM329)-ROUNDDOWN($M330*BM$5/100,0)&lt;-BM$6,-BM$6-SUM(BM$10:BM329),-ROUNDDOWN($M330*BM$5/100,0)),0)</f>
        <v>0</v>
      </c>
      <c r="BN330" s="38">
        <f>IF(AND(BN$7="○",$A330&gt;=BN$8,$A330&lt;=BN$9),IF(SUM(BN$10:BN329)-ROUNDDOWN($M330*BN$5/100,0)&lt;-BN$6,-BN$6-SUM(BN$10:BN329),-ROUNDDOWN($M330*BN$5/100,0)),0)</f>
        <v>0</v>
      </c>
      <c r="BO330" s="38">
        <f>IF(AND(BO$7="○",$A330&gt;=BO$8,$A330&lt;=BO$9),IF(SUM(BO$10:BO329)-ROUNDDOWN($M330*BO$5/100,0)&lt;-BO$6,-BO$6-SUM(BO$10:BO329),-ROUNDDOWN($M330*BO$5/100,0)),0)</f>
        <v>0</v>
      </c>
      <c r="BP330" s="38">
        <f>IF(AND(BP$7="○",$A330&gt;=BP$8,$A330&lt;=BP$9),IF(SUM(BP$10:BP329)-ROUNDDOWN($M330*BP$5/100,0)&lt;-BP$6,-BP$6-SUM(BP$10:BP329),-ROUNDDOWN($M330*BP$5/100,0)),0)</f>
        <v>0</v>
      </c>
      <c r="BQ330" s="38">
        <f>IF(AND(BQ$7="○",$A330&gt;=BQ$8,$A330&lt;=BQ$9),IF(SUM(BQ$10:BQ329)-ROUNDDOWN($L330*BQ$5/100,0)&lt;-BQ$6,-BQ$6-SUM(BQ$10:BQ329),-ROUNDDOWN($L330*BQ$5/100,0)),0)</f>
        <v>0</v>
      </c>
      <c r="BR330" s="38">
        <f>IF(AND(BR$7="○",$A330&gt;=BR$8,$A330&lt;=BR$9),IF(SUM(BR$10:BR329)-ROUNDDOWN($M330*BR$5/100,0)&lt;-BR$6,-BR$6-SUM(BR$10:BR329),-ROUNDDOWN($M330*BR$5/100,0)),0)</f>
        <v>0</v>
      </c>
      <c r="BS330" s="38">
        <f>IF(AND(BS$7="○",$A330&gt;=BS$8,$A330&lt;=BS$9),IF(SUM(BS$10:BS329)-ROUNDDOWN($M330*BS$5/100,0)&lt;-BS$6,-BS$6-SUM(BS$10:BS329),-ROUNDDOWN($M330*BS$5/100,0)),0)</f>
        <v>0</v>
      </c>
      <c r="BT330" s="38">
        <f>IF(AND(BT$7="○",$A330&gt;=BT$8,$A330&lt;=BT$9),IF(SUM(BT$10:BT329)-ROUNDDOWN($M330*BT$5/100,0)&lt;-BT$6,-BT$6-SUM(BT$10:BT329),-ROUNDDOWN($M330*BT$5/100,0)),0)</f>
        <v>0</v>
      </c>
      <c r="BU330" s="38">
        <f>IF(AND(BU$7="○",$A330&gt;=BU$8,$A330&lt;=BU$9),IF(SUM(BU$10:BU329)-ROUNDDOWN($M330*BU$5/100,0)&lt;-BU$6,-BU$6-SUM(BU$10:BU329),-ROUNDDOWN($M330*BU$5/100,0)),0)</f>
        <v>0</v>
      </c>
      <c r="BV330" s="38">
        <f>IF(AND(BV$7="○",$A330&gt;=BV$8,$A330&lt;=BV$9),IF(SUM(BV$10:BV329)-ROUNDDOWN($M330*BV$5/100,0)&lt;-BV$6,-BV$6-SUM(BV$10:BV329),-ROUNDDOWN($M330*BV$5/100,0)),0)</f>
        <v>0</v>
      </c>
      <c r="BW330" s="38">
        <f>IF(AND(BW$7="○",$A330&gt;=BW$8,$A330&lt;=BW$9),IF(SUM(BW$10:BW329)-ROUNDDOWN($M330*BW$5/100,0)&lt;-BW$6,-BW$6-SUM(BW$10:BW329),-ROUNDDOWN($M330*BW$5/100,0)),0)</f>
        <v>0</v>
      </c>
      <c r="BX330" s="38">
        <f>IF(AND(T330="○",$A330&gt;=BX$8,$A330&lt;=BX$9),IF(SUM(BX$10:BX329)-ROUNDDOWN($K330*BX$5/100,0)&lt;-BX$6,-BX$6-SUM(BX$10:BX329),-ROUNDDOWN($K330*BX$5/100,0)),0)</f>
        <v>0</v>
      </c>
      <c r="BY330" s="38">
        <f>IF(AND(U330="○",$A330&gt;=BY$8,$A330&lt;=BY$9),IF(SUM(BY$10:BY329)-ROUNDDOWN($K330*BY$5/100,0)&lt;-BY$6,-BY$6-SUM(BY$10:BY329),-ROUNDDOWN($K330*BY$5/100,0)),0)</f>
        <v>0</v>
      </c>
      <c r="BZ330" s="38">
        <f>IF(AND(V330="○",$A330&gt;=BZ$8,$A330&lt;=BZ$9),IF(SUM(BZ$10:BZ329)-ROUNDDOWN($K330*BZ$5/100,0)&lt;-BZ$6,-BZ$6-SUM(BZ$10:BZ329),-ROUNDDOWN($K330*BZ$5/100,0)),0)</f>
        <v>0</v>
      </c>
      <c r="CA330" s="38">
        <f>IF(AND(W330="○",$A330&gt;=CA$8,$A330&lt;=CA$9),IF(SUM(CA$10:CA329)-ROUNDDOWN($K330*CA$5/100,0)&lt;-CA$6,-CA$6-SUM(CA$10:CA329),-ROUNDDOWN($K330*CA$5/100,0)),0)</f>
        <v>0</v>
      </c>
      <c r="CB330" s="38"/>
      <c r="CC330" s="38"/>
      <c r="CD330" s="38"/>
      <c r="CE330" s="38"/>
      <c r="CF330" s="38"/>
      <c r="CG330" s="65">
        <f t="shared" si="219"/>
        <v>0</v>
      </c>
      <c r="CH330" s="71">
        <f t="shared" si="220"/>
        <v>0</v>
      </c>
      <c r="CI330" s="1">
        <f t="shared" si="241"/>
        <v>0</v>
      </c>
      <c r="CJ330" s="1"/>
      <c r="CK330" s="75"/>
      <c r="CL330" s="75"/>
      <c r="CM330" s="2"/>
      <c r="CN330" s="2"/>
      <c r="CO330" s="73">
        <f t="shared" si="242"/>
        <v>0</v>
      </c>
      <c r="CP330" s="5">
        <f t="shared" si="243"/>
        <v>0</v>
      </c>
      <c r="CQ330" s="1"/>
      <c r="CR330" s="1">
        <f t="shared" si="244"/>
        <v>0</v>
      </c>
      <c r="CS330" s="1"/>
      <c r="CT330" s="1" t="e">
        <f>INDEX([2]マスタ!$A:$A,MATCH(D330,[2]マスタ!$C:$C,0))</f>
        <v>#N/A</v>
      </c>
      <c r="CU330" s="1" t="str">
        <f t="shared" ca="1" si="245"/>
        <v>20260620_0-0</v>
      </c>
    </row>
    <row r="331" spans="1:99" x14ac:dyDescent="0.4">
      <c r="A331" s="61"/>
      <c r="B331" s="62"/>
      <c r="C331" s="62"/>
      <c r="D331" s="62"/>
      <c r="E331" s="74"/>
      <c r="F331" s="62"/>
      <c r="G331" s="62">
        <v>1</v>
      </c>
      <c r="H331" s="64">
        <f t="shared" si="232"/>
        <v>0</v>
      </c>
      <c r="I331" s="64"/>
      <c r="J331" s="64"/>
      <c r="K331" s="65">
        <f t="shared" si="246"/>
        <v>0</v>
      </c>
      <c r="L331" s="65">
        <f t="shared" si="234"/>
        <v>0</v>
      </c>
      <c r="M331" s="65">
        <f t="shared" si="235"/>
        <v>0</v>
      </c>
      <c r="N331" s="65">
        <f t="shared" si="236"/>
        <v>0</v>
      </c>
      <c r="O331" s="66" t="str">
        <f t="shared" si="237"/>
        <v>✕</v>
      </c>
      <c r="P331" s="67" t="str">
        <f t="shared" si="238"/>
        <v>○</v>
      </c>
      <c r="Q331" s="67" t="str">
        <f t="shared" si="247"/>
        <v>✕</v>
      </c>
      <c r="R331" s="67" t="str">
        <f t="shared" si="240"/>
        <v>✕</v>
      </c>
      <c r="S331" s="68">
        <v>0</v>
      </c>
      <c r="T331" s="69" t="s">
        <v>85</v>
      </c>
      <c r="U331" s="69" t="s">
        <v>85</v>
      </c>
      <c r="V331" s="69" t="s">
        <v>85</v>
      </c>
      <c r="W331" s="69" t="s">
        <v>85</v>
      </c>
      <c r="X331" s="69" t="s">
        <v>84</v>
      </c>
      <c r="Y331" s="69" t="s">
        <v>85</v>
      </c>
      <c r="Z331" s="69" t="s">
        <v>85</v>
      </c>
      <c r="AA331" s="69" t="s">
        <v>85</v>
      </c>
      <c r="AB331" s="69" t="s">
        <v>85</v>
      </c>
      <c r="AC331" s="69" t="s">
        <v>85</v>
      </c>
      <c r="AD331" s="38" t="str">
        <f>+IF(ISERROR(VLOOKUP($B331,AD$10:AD330,1,0)),IF(AND($N331&gt;=1000,$A331&gt;=AO$8,$A331&lt;=AO$9),$B331,""),"")</f>
        <v/>
      </c>
      <c r="AE331" s="38" t="str">
        <f>+IF(ISERROR(VLOOKUP($B331,AE$10:AE330,1,0)),IF(AND($N331&gt;=1000,$A331&gt;=AP$8,$A331&lt;=AP$9),$B331,""),"")</f>
        <v/>
      </c>
      <c r="AF331" s="38" t="str">
        <f>+IF(ISERROR(VLOOKUP($B331,AF$10:AF330,1,0)),IF(AND($N331&gt;=1000,$A331&gt;=AQ$8,$A331&lt;=AQ$9),$B331,""),"")</f>
        <v/>
      </c>
      <c r="AG331" s="38" t="str">
        <f>+IF(ISERROR(VLOOKUP($B331,AG$10:AG330,1,0)),IF(AND($N331&gt;=1000,$A331&gt;=AR$8,$A331&lt;=AR$9),$B331,""),"")</f>
        <v/>
      </c>
      <c r="AH331" s="38"/>
      <c r="AI331" s="70">
        <v>0</v>
      </c>
      <c r="AJ331" s="38">
        <f>IF(AND(AJ$7="○",$A331&gt;=AJ$8,$A331&lt;=AJ$9),IF(SUM(AJ$10:AJ330)-ROUNDDOWN($K331*AJ$5/100,0)&lt;-AJ$6,-AJ$6-SUM(AJ$10:AJ330),-ROUNDDOWN($K331*AJ$5/100,0)),0)</f>
        <v>0</v>
      </c>
      <c r="AK331" s="38">
        <f>IF(AND(AK$7="○",$A331&gt;=AK$8,$A331&lt;=AK$9),IF(SUM(AK$10:AK330)-ROUNDDOWN($L331*AK$5/100,0)&lt;-AK$6,-AK$6-SUM(AK$10:AK330),-ROUNDDOWN($L331*AK$5/100,0)),0)</f>
        <v>0</v>
      </c>
      <c r="AL331" s="38">
        <f>IF(AND(AL$7="○",$A331&gt;=AL$8,$A331&lt;=AL$9),IF(SUM(AL$10:AL330)-ROUNDDOWN($N331*AL$5/100,0)&lt;-AL$6,-AL$6-SUM(AL$10:AL330),-ROUNDDOWN($N331*AL$5/100,0)),0)</f>
        <v>0</v>
      </c>
      <c r="AM331" s="38">
        <f>IF(AND(AM$7="○",$A331&gt;=AM$8,$A331&lt;=AM$9),IF(SUM(AM$10:AM330)-ROUNDDOWN($L331*AM$5/100,0)&lt;-AM$6,-AM$6-SUM(AM$10:AM330),-ROUNDDOWN($L331*AM$5/100,0)),0)</f>
        <v>0</v>
      </c>
      <c r="AN331" s="38">
        <f>IF(AND(AN$7="○",$A331&gt;=AN$8,$A331&lt;=AN$9),IF(SUM(AN$10:AN330)-ROUNDDOWN($M331*AN$5/100,0)&lt;-AN$6,-AN$6-SUM(AN$10:AN330),-ROUNDDOWN($M331*AN$5/100,0)),0)</f>
        <v>0</v>
      </c>
      <c r="AO331" s="38">
        <f>IF(AND($A331&gt;=AO$8,$A331&lt;=AO$9),IF(SUM(AO$10:AO330)-ROUNDDOWN($K331*AO$5/100,0)&lt;-AO$6,-AO$6-SUM(AO$10:AO330),-ROUNDDOWN($K331*AO$5/100,0)),0)</f>
        <v>0</v>
      </c>
      <c r="AP331" s="38">
        <f>IF(AND($A331&gt;=AP$8,$A331&lt;=AP$9),IF(SUM(AP$10:AP330)-ROUNDDOWN($K331*AP$5/100,0)&lt;-AP$6,-AP$6-SUM(AP$10:AP330),-ROUNDDOWN($K331*AP$5/100,0)),0)</f>
        <v>0</v>
      </c>
      <c r="AQ331" s="38">
        <f>IF(AND($A331&gt;=AQ$8,$A331&lt;=AQ$9),IF(SUM(AQ$10:AQ330)-ROUNDDOWN($K331*AQ$5/100,0)&lt;-AQ$6,-AQ$6-SUM(AQ$10:AQ330),-ROUNDDOWN($K331*AQ$5/100,0)),0)</f>
        <v>0</v>
      </c>
      <c r="AR331" s="38">
        <f>IF(AND($A331&gt;=AR$8,$A331&lt;=AR$9),IF(SUM(AR$10:AR330)-ROUNDDOWN($K331*AR$5/100,0)&lt;-AR$6,-AR$6-SUM(AR$10:AR330),-ROUNDDOWN($K331*AR$5/100,0)),0)</f>
        <v>0</v>
      </c>
      <c r="AS331" s="38">
        <f>IF(SUMIFS(AS$10:AS330,$A$10:$A330,$A331)-ROUNDDOWN($K331*$S331/100,0)&lt;-$S331*1000,-$S331*1000-SUMIFS(AS$10:AS330,$A$10:$A330,$A331),-ROUNDDOWN($K331*$S331/100,0))</f>
        <v>0</v>
      </c>
      <c r="AT331" s="38">
        <f>IF(AND(X331="○",$A331&gt;=AT$8,$A331&lt;=AT$9,K331&gt;=3980),IF(SUM(AT$10:AT330)-ROUNDDOWN($K331*AT$5/100,0)&lt;-AT$6,-AT$6-SUM(AT$10:AT330),-ROUNDDOWN($K331*AT$5/100,0)),0)</f>
        <v>0</v>
      </c>
      <c r="AU331" s="38">
        <f>IF(O331="○",IF(SUM(AU$10:AU330)-ROUNDDOWN($K331*AU$5/100,0)&lt;-AU$6,-AU$6-SUM(AU$10:AU330),-ROUNDDOWN($K331*AU$5/100,0)),0)</f>
        <v>0</v>
      </c>
      <c r="AV331" s="38">
        <f>IF(P331="○",IF(SUM(AV$10:AV330)-ROUNDDOWN($K331*AV$5/100,0)&lt;-AV$6,-AV$6-SUM(AV$10:AV330),-ROUNDDOWN($K331*AV$5/100,0)),0)</f>
        <v>0</v>
      </c>
      <c r="AW331" s="38">
        <f>IF(Q331="○",IF(SUM(AW$10:AW330)-ROUNDDOWN($K331*AW$5/100,0)&lt;-AW$6,-AW$6-SUM(AW$10:AW330),-ROUNDDOWN($K331*AW$5/100,0)),0)</f>
        <v>0</v>
      </c>
      <c r="AX331" s="38">
        <f>IF(R331="○",IF(SUM(AX$10:AX330)-ROUNDDOWN($K331*AX$5/100,0)&lt;-AX$6,-AX$6-SUM(AX$10:AX330),-ROUNDDOWN($K331*AX$5/100,0)),0)</f>
        <v>0</v>
      </c>
      <c r="AY331" s="70">
        <v>0</v>
      </c>
      <c r="AZ331" s="65">
        <f t="shared" si="213"/>
        <v>0</v>
      </c>
      <c r="BA331" s="65">
        <f t="shared" si="214"/>
        <v>0</v>
      </c>
      <c r="BB331" s="70"/>
      <c r="BC331" s="65">
        <f t="shared" si="215"/>
        <v>0</v>
      </c>
      <c r="BD331" s="70">
        <v>0</v>
      </c>
      <c r="BE331" s="65">
        <f t="shared" si="216"/>
        <v>0</v>
      </c>
      <c r="BF331" s="70">
        <v>0</v>
      </c>
      <c r="BG331" s="65">
        <f t="shared" si="217"/>
        <v>0</v>
      </c>
      <c r="BH331" s="70">
        <v>0</v>
      </c>
      <c r="BI331" s="65">
        <f t="shared" si="218"/>
        <v>0</v>
      </c>
      <c r="BJ331" s="38">
        <f>IF(AND(BJ$7="○",$A331&gt;=BJ$8,$A331&lt;=BJ$9),IF(SUM(BJ$10:BJ330)-ROUNDDOWN($M331*BJ$5/100,0)&lt;-BJ$6,-BJ$6-SUM(BJ$10:BJ330),-ROUNDDOWN($M331*BJ$5/100,0)),0)</f>
        <v>0</v>
      </c>
      <c r="BK331" s="38">
        <f>IF(AND(BK$7="○",$A331&gt;=BK$8,$A331&lt;=BK$9),IF(SUM(BK$10:BK330)-ROUNDDOWN($L331*BK$5/100,0)&lt;-BK$6,-BK$6-SUM(BK$10:BK330),-ROUNDDOWN($L331*BK$5/100,0)),0)</f>
        <v>0</v>
      </c>
      <c r="BL331" s="38">
        <f>IF(AND(BL$7="○",$A331&gt;=BL$8,$A331&lt;=BL$9),IF(SUM(BL$10:BL330)-ROUNDDOWN($L331*BL$5/100,0)&lt;-BL$6,-BL$6-SUM(BL$10:BL330),-ROUNDDOWN($L331*BL$5/100,0)),0)</f>
        <v>0</v>
      </c>
      <c r="BM331" s="38">
        <f>IF(AND(BM$7="○",$A331&gt;=BM$8,$A331&lt;=BM$9),IF(SUM(BM$10:BM330)-ROUNDDOWN($M331*BM$5/100,0)&lt;-BM$6,-BM$6-SUM(BM$10:BM330),-ROUNDDOWN($M331*BM$5/100,0)),0)</f>
        <v>0</v>
      </c>
      <c r="BN331" s="38">
        <f>IF(AND(BN$7="○",$A331&gt;=BN$8,$A331&lt;=BN$9),IF(SUM(BN$10:BN330)-ROUNDDOWN($M331*BN$5/100,0)&lt;-BN$6,-BN$6-SUM(BN$10:BN330),-ROUNDDOWN($M331*BN$5/100,0)),0)</f>
        <v>0</v>
      </c>
      <c r="BO331" s="38">
        <f>IF(AND(BO$7="○",$A331&gt;=BO$8,$A331&lt;=BO$9),IF(SUM(BO$10:BO330)-ROUNDDOWN($M331*BO$5/100,0)&lt;-BO$6,-BO$6-SUM(BO$10:BO330),-ROUNDDOWN($M331*BO$5/100,0)),0)</f>
        <v>0</v>
      </c>
      <c r="BP331" s="38">
        <f>IF(AND(BP$7="○",$A331&gt;=BP$8,$A331&lt;=BP$9),IF(SUM(BP$10:BP330)-ROUNDDOWN($M331*BP$5/100,0)&lt;-BP$6,-BP$6-SUM(BP$10:BP330),-ROUNDDOWN($M331*BP$5/100,0)),0)</f>
        <v>0</v>
      </c>
      <c r="BQ331" s="38">
        <f>IF(AND(BQ$7="○",$A331&gt;=BQ$8,$A331&lt;=BQ$9),IF(SUM(BQ$10:BQ330)-ROUNDDOWN($L331*BQ$5/100,0)&lt;-BQ$6,-BQ$6-SUM(BQ$10:BQ330),-ROUNDDOWN($L331*BQ$5/100,0)),0)</f>
        <v>0</v>
      </c>
      <c r="BR331" s="38">
        <f>IF(AND(BR$7="○",$A331&gt;=BR$8,$A331&lt;=BR$9),IF(SUM(BR$10:BR330)-ROUNDDOWN($M331*BR$5/100,0)&lt;-BR$6,-BR$6-SUM(BR$10:BR330),-ROUNDDOWN($M331*BR$5/100,0)),0)</f>
        <v>0</v>
      </c>
      <c r="BS331" s="38">
        <f>IF(AND(BS$7="○",$A331&gt;=BS$8,$A331&lt;=BS$9),IF(SUM(BS$10:BS330)-ROUNDDOWN($M331*BS$5/100,0)&lt;-BS$6,-BS$6-SUM(BS$10:BS330),-ROUNDDOWN($M331*BS$5/100,0)),0)</f>
        <v>0</v>
      </c>
      <c r="BT331" s="38">
        <f>IF(AND(BT$7="○",$A331&gt;=BT$8,$A331&lt;=BT$9),IF(SUM(BT$10:BT330)-ROUNDDOWN($M331*BT$5/100,0)&lt;-BT$6,-BT$6-SUM(BT$10:BT330),-ROUNDDOWN($M331*BT$5/100,0)),0)</f>
        <v>0</v>
      </c>
      <c r="BU331" s="38">
        <f>IF(AND(BU$7="○",$A331&gt;=BU$8,$A331&lt;=BU$9),IF(SUM(BU$10:BU330)-ROUNDDOWN($M331*BU$5/100,0)&lt;-BU$6,-BU$6-SUM(BU$10:BU330),-ROUNDDOWN($M331*BU$5/100,0)),0)</f>
        <v>0</v>
      </c>
      <c r="BV331" s="38">
        <f>IF(AND(BV$7="○",$A331&gt;=BV$8,$A331&lt;=BV$9),IF(SUM(BV$10:BV330)-ROUNDDOWN($M331*BV$5/100,0)&lt;-BV$6,-BV$6-SUM(BV$10:BV330),-ROUNDDOWN($M331*BV$5/100,0)),0)</f>
        <v>0</v>
      </c>
      <c r="BW331" s="38">
        <f>IF(AND(BW$7="○",$A331&gt;=BW$8,$A331&lt;=BW$9),IF(SUM(BW$10:BW330)-ROUNDDOWN($M331*BW$5/100,0)&lt;-BW$6,-BW$6-SUM(BW$10:BW330),-ROUNDDOWN($M331*BW$5/100,0)),0)</f>
        <v>0</v>
      </c>
      <c r="BX331" s="38">
        <f>IF(AND(T331="○",$A331&gt;=BX$8,$A331&lt;=BX$9),IF(SUM(BX$10:BX330)-ROUNDDOWN($K331*BX$5/100,0)&lt;-BX$6,-BX$6-SUM(BX$10:BX330),-ROUNDDOWN($K331*BX$5/100,0)),0)</f>
        <v>0</v>
      </c>
      <c r="BY331" s="38">
        <f>IF(AND(U331="○",$A331&gt;=BY$8,$A331&lt;=BY$9),IF(SUM(BY$10:BY330)-ROUNDDOWN($K331*BY$5/100,0)&lt;-BY$6,-BY$6-SUM(BY$10:BY330),-ROUNDDOWN($K331*BY$5/100,0)),0)</f>
        <v>0</v>
      </c>
      <c r="BZ331" s="38">
        <f>IF(AND(V331="○",$A331&gt;=BZ$8,$A331&lt;=BZ$9),IF(SUM(BZ$10:BZ330)-ROUNDDOWN($K331*BZ$5/100,0)&lt;-BZ$6,-BZ$6-SUM(BZ$10:BZ330),-ROUNDDOWN($K331*BZ$5/100,0)),0)</f>
        <v>0</v>
      </c>
      <c r="CA331" s="38">
        <f>IF(AND(W331="○",$A331&gt;=CA$8,$A331&lt;=CA$9),IF(SUM(CA$10:CA330)-ROUNDDOWN($K331*CA$5/100,0)&lt;-CA$6,-CA$6-SUM(CA$10:CA330),-ROUNDDOWN($K331*CA$5/100,0)),0)</f>
        <v>0</v>
      </c>
      <c r="CB331" s="38"/>
      <c r="CC331" s="38"/>
      <c r="CD331" s="38"/>
      <c r="CE331" s="38"/>
      <c r="CF331" s="38"/>
      <c r="CG331" s="65">
        <f t="shared" si="219"/>
        <v>0</v>
      </c>
      <c r="CH331" s="71">
        <f t="shared" si="220"/>
        <v>0</v>
      </c>
      <c r="CI331" s="1">
        <f t="shared" si="241"/>
        <v>0</v>
      </c>
      <c r="CJ331" s="1"/>
      <c r="CK331" s="75"/>
      <c r="CL331" s="75"/>
      <c r="CM331" s="2"/>
      <c r="CN331" s="2"/>
      <c r="CO331" s="73">
        <f t="shared" si="242"/>
        <v>0</v>
      </c>
      <c r="CP331" s="5">
        <f t="shared" si="243"/>
        <v>0</v>
      </c>
      <c r="CQ331" s="1"/>
      <c r="CR331" s="1">
        <f t="shared" si="244"/>
        <v>0</v>
      </c>
      <c r="CS331" s="1"/>
      <c r="CT331" s="1" t="e">
        <f>INDEX([2]マスタ!$A:$A,MATCH(D331,[2]マスタ!$C:$C,0))</f>
        <v>#N/A</v>
      </c>
      <c r="CU331" s="1" t="str">
        <f t="shared" ca="1" si="245"/>
        <v>20260620_0-0</v>
      </c>
    </row>
    <row r="332" spans="1:99" x14ac:dyDescent="0.4">
      <c r="A332" s="61"/>
      <c r="B332" s="62"/>
      <c r="C332" s="62"/>
      <c r="D332" s="62"/>
      <c r="E332" s="74"/>
      <c r="F332" s="62"/>
      <c r="G332" s="62">
        <v>1</v>
      </c>
      <c r="H332" s="64">
        <f t="shared" si="232"/>
        <v>0</v>
      </c>
      <c r="I332" s="64"/>
      <c r="J332" s="64"/>
      <c r="K332" s="65">
        <f>+ROUNDDOWN((H332+I332)/100,0)*100</f>
        <v>0</v>
      </c>
      <c r="L332" s="65">
        <f t="shared" si="234"/>
        <v>0</v>
      </c>
      <c r="M332" s="65">
        <f t="shared" si="235"/>
        <v>0</v>
      </c>
      <c r="N332" s="65">
        <f t="shared" si="236"/>
        <v>0</v>
      </c>
      <c r="O332" s="66" t="str">
        <f t="shared" si="237"/>
        <v>✕</v>
      </c>
      <c r="P332" s="67" t="str">
        <f t="shared" si="238"/>
        <v>○</v>
      </c>
      <c r="Q332" s="67" t="str">
        <f>+IF((TEXT($A332,"DD")+0)=1,"○","✕")</f>
        <v>✕</v>
      </c>
      <c r="R332" s="67" t="str">
        <f t="shared" si="240"/>
        <v>✕</v>
      </c>
      <c r="S332" s="68">
        <v>0</v>
      </c>
      <c r="T332" s="69" t="s">
        <v>85</v>
      </c>
      <c r="U332" s="69" t="s">
        <v>85</v>
      </c>
      <c r="V332" s="69" t="s">
        <v>85</v>
      </c>
      <c r="W332" s="69" t="s">
        <v>85</v>
      </c>
      <c r="X332" s="69" t="s">
        <v>84</v>
      </c>
      <c r="Y332" s="69" t="s">
        <v>85</v>
      </c>
      <c r="Z332" s="69" t="s">
        <v>85</v>
      </c>
      <c r="AA332" s="69" t="s">
        <v>85</v>
      </c>
      <c r="AB332" s="69" t="s">
        <v>85</v>
      </c>
      <c r="AC332" s="69" t="s">
        <v>85</v>
      </c>
      <c r="AD332" s="38" t="str">
        <f>+IF(ISERROR(VLOOKUP($B332,AD$10:AD331,1,0)),IF(AND($N332&gt;=1000,$A332&gt;=AO$8,$A332&lt;=AO$9),$B332,""),"")</f>
        <v/>
      </c>
      <c r="AE332" s="38" t="str">
        <f>+IF(ISERROR(VLOOKUP($B332,AE$10:AE331,1,0)),IF(AND($N332&gt;=1000,$A332&gt;=AP$8,$A332&lt;=AP$9),$B332,""),"")</f>
        <v/>
      </c>
      <c r="AF332" s="38" t="str">
        <f>+IF(ISERROR(VLOOKUP($B332,AF$10:AF331,1,0)),IF(AND($N332&gt;=1000,$A332&gt;=AQ$8,$A332&lt;=AQ$9),$B332,""),"")</f>
        <v/>
      </c>
      <c r="AG332" s="38" t="str">
        <f>+IF(ISERROR(VLOOKUP($B332,AG$10:AG331,1,0)),IF(AND($N332&gt;=1000,$A332&gt;=AR$8,$A332&lt;=AR$9),$B332,""),"")</f>
        <v/>
      </c>
      <c r="AH332" s="38"/>
      <c r="AI332" s="70">
        <v>0</v>
      </c>
      <c r="AJ332" s="38">
        <f>IF(AND(AJ$7="○",$A332&gt;=AJ$8,$A332&lt;=AJ$9),IF(SUM(AJ$10:AJ331)-ROUNDDOWN($K332*AJ$5/100,0)&lt;-AJ$6,-AJ$6-SUM(AJ$10:AJ331),-ROUNDDOWN($K332*AJ$5/100,0)),0)</f>
        <v>0</v>
      </c>
      <c r="AK332" s="38">
        <f>IF(AND(AK$7="○",$A332&gt;=AK$8,$A332&lt;=AK$9),IF(SUM(AK$10:AK331)-ROUNDDOWN($L332*AK$5/100,0)&lt;-AK$6,-AK$6-SUM(AK$10:AK331),-ROUNDDOWN($L332*AK$5/100,0)),0)</f>
        <v>0</v>
      </c>
      <c r="AL332" s="38">
        <f>IF(AND(AL$7="○",$A332&gt;=AL$8,$A332&lt;=AL$9),IF(SUM(AL$10:AL331)-ROUNDDOWN($N332*AL$5/100,0)&lt;-AL$6,-AL$6-SUM(AL$10:AL331),-ROUNDDOWN($N332*AL$5/100,0)),0)</f>
        <v>0</v>
      </c>
      <c r="AM332" s="38">
        <f>IF(AND(AM$7="○",$A332&gt;=AM$8,$A332&lt;=AM$9),IF(SUM(AM$10:AM331)-ROUNDDOWN($L332*AM$5/100,0)&lt;-AM$6,-AM$6-SUM(AM$10:AM331),-ROUNDDOWN($L332*AM$5/100,0)),0)</f>
        <v>0</v>
      </c>
      <c r="AN332" s="38">
        <f>IF(AND(AN$7="○",$A332&gt;=AN$8,$A332&lt;=AN$9),IF(SUM(AN$10:AN331)-ROUNDDOWN($M332*AN$5/100,0)&lt;-AN$6,-AN$6-SUM(AN$10:AN331),-ROUNDDOWN($M332*AN$5/100,0)),0)</f>
        <v>0</v>
      </c>
      <c r="AO332" s="38">
        <f>IF(AND($A332&gt;=AO$8,$A332&lt;=AO$9),IF(SUM(AO$10:AO331)-ROUNDDOWN($K332*AO$5/100,0)&lt;-AO$6,-AO$6-SUM(AO$10:AO331),-ROUNDDOWN($K332*AO$5/100,0)),0)</f>
        <v>0</v>
      </c>
      <c r="AP332" s="38">
        <f>IF(AND($A332&gt;=AP$8,$A332&lt;=AP$9),IF(SUM(AP$10:AP331)-ROUNDDOWN($K332*AP$5/100,0)&lt;-AP$6,-AP$6-SUM(AP$10:AP331),-ROUNDDOWN($K332*AP$5/100,0)),0)</f>
        <v>0</v>
      </c>
      <c r="AQ332" s="38">
        <f>IF(AND($A332&gt;=AQ$8,$A332&lt;=AQ$9),IF(SUM(AQ$10:AQ331)-ROUNDDOWN($K332*AQ$5/100,0)&lt;-AQ$6,-AQ$6-SUM(AQ$10:AQ331),-ROUNDDOWN($K332*AQ$5/100,0)),0)</f>
        <v>0</v>
      </c>
      <c r="AR332" s="38">
        <f>IF(AND($A332&gt;=AR$8,$A332&lt;=AR$9),IF(SUM(AR$10:AR331)-ROUNDDOWN($K332*AR$5/100,0)&lt;-AR$6,-AR$6-SUM(AR$10:AR331),-ROUNDDOWN($K332*AR$5/100,0)),0)</f>
        <v>0</v>
      </c>
      <c r="AS332" s="38">
        <f>IF(SUMIFS(AS$10:AS331,$A$10:$A331,$A332)-ROUNDDOWN($K332*$S332/100,0)&lt;-$S332*1000,-$S332*1000-SUMIFS(AS$10:AS331,$A$10:$A331,$A332),-ROUNDDOWN($K332*$S332/100,0))</f>
        <v>0</v>
      </c>
      <c r="AT332" s="38">
        <f>IF(AND(X332="○",$A332&gt;=AT$8,$A332&lt;=AT$9,K332&gt;=3980),IF(SUM(AT$10:AT331)-ROUNDDOWN($K332*AT$5/100,0)&lt;-AT$6,-AT$6-SUM(AT$10:AT331),-ROUNDDOWN($K332*AT$5/100,0)),0)</f>
        <v>0</v>
      </c>
      <c r="AU332" s="38">
        <f>IF(O332="○",IF(SUM(AU$10:AU331)-ROUNDDOWN($K332*AU$5/100,0)&lt;-AU$6,-AU$6-SUM(AU$10:AU331),-ROUNDDOWN($K332*AU$5/100,0)),0)</f>
        <v>0</v>
      </c>
      <c r="AV332" s="38">
        <f>IF(P332="○",IF(SUM(AV$10:AV331)-ROUNDDOWN($K332*AV$5/100,0)&lt;-AV$6,-AV$6-SUM(AV$10:AV331),-ROUNDDOWN($K332*AV$5/100,0)),0)</f>
        <v>0</v>
      </c>
      <c r="AW332" s="38">
        <f>IF(Q332="○",IF(SUM(AW$10:AW331)-ROUNDDOWN($K332*AW$5/100,0)&lt;-AW$6,-AW$6-SUM(AW$10:AW331),-ROUNDDOWN($K332*AW$5/100,0)),0)</f>
        <v>0</v>
      </c>
      <c r="AX332" s="38">
        <f>IF(R332="○",IF(SUM(AX$10:AX331)-ROUNDDOWN($K332*AX$5/100,0)&lt;-AX$6,-AX$6-SUM(AX$10:AX331),-ROUNDDOWN($K332*AX$5/100,0)),0)</f>
        <v>0</v>
      </c>
      <c r="AY332" s="70">
        <v>0</v>
      </c>
      <c r="AZ332" s="65">
        <f t="shared" si="213"/>
        <v>0</v>
      </c>
      <c r="BA332" s="65">
        <f t="shared" si="214"/>
        <v>0</v>
      </c>
      <c r="BB332" s="70"/>
      <c r="BC332" s="65">
        <f t="shared" si="215"/>
        <v>0</v>
      </c>
      <c r="BD332" s="70">
        <v>0</v>
      </c>
      <c r="BE332" s="65">
        <f t="shared" si="216"/>
        <v>0</v>
      </c>
      <c r="BF332" s="70">
        <v>0</v>
      </c>
      <c r="BG332" s="65">
        <f t="shared" si="217"/>
        <v>0</v>
      </c>
      <c r="BH332" s="70">
        <v>0</v>
      </c>
      <c r="BI332" s="65">
        <f t="shared" si="218"/>
        <v>0</v>
      </c>
      <c r="BJ332" s="38">
        <f>IF(AND(BJ$7="○",$A332&gt;=BJ$8,$A332&lt;=BJ$9),IF(SUM(BJ$10:BJ331)-ROUNDDOWN($M332*BJ$5/100,0)&lt;-BJ$6,-BJ$6-SUM(BJ$10:BJ331),-ROUNDDOWN($M332*BJ$5/100,0)),0)</f>
        <v>0</v>
      </c>
      <c r="BK332" s="38">
        <f>IF(AND(BK$7="○",$A332&gt;=BK$8,$A332&lt;=BK$9),IF(SUM(BK$10:BK331)-ROUNDDOWN($L332*BK$5/100,0)&lt;-BK$6,-BK$6-SUM(BK$10:BK331),-ROUNDDOWN($L332*BK$5/100,0)),0)</f>
        <v>0</v>
      </c>
      <c r="BL332" s="38">
        <f>IF(AND(BL$7="○",$A332&gt;=BL$8,$A332&lt;=BL$9),IF(SUM(BL$10:BL331)-ROUNDDOWN($L332*BL$5/100,0)&lt;-BL$6,-BL$6-SUM(BL$10:BL331),-ROUNDDOWN($L332*BL$5/100,0)),0)</f>
        <v>0</v>
      </c>
      <c r="BM332" s="38">
        <f>IF(AND(BM$7="○",$A332&gt;=BM$8,$A332&lt;=BM$9),IF(SUM(BM$10:BM331)-ROUNDDOWN($M332*BM$5/100,0)&lt;-BM$6,-BM$6-SUM(BM$10:BM331),-ROUNDDOWN($M332*BM$5/100,0)),0)</f>
        <v>0</v>
      </c>
      <c r="BN332" s="38">
        <f>IF(AND(BN$7="○",$A332&gt;=BN$8,$A332&lt;=BN$9),IF(SUM(BN$10:BN331)-ROUNDDOWN($M332*BN$5/100,0)&lt;-BN$6,-BN$6-SUM(BN$10:BN331),-ROUNDDOWN($M332*BN$5/100,0)),0)</f>
        <v>0</v>
      </c>
      <c r="BO332" s="38">
        <f>IF(AND(BO$7="○",$A332&gt;=BO$8,$A332&lt;=BO$9),IF(SUM(BO$10:BO331)-ROUNDDOWN($M332*BO$5/100,0)&lt;-BO$6,-BO$6-SUM(BO$10:BO331),-ROUNDDOWN($M332*BO$5/100,0)),0)</f>
        <v>0</v>
      </c>
      <c r="BP332" s="38">
        <f>IF(AND(BP$7="○",$A332&gt;=BP$8,$A332&lt;=BP$9),IF(SUM(BP$10:BP331)-ROUNDDOWN($M332*BP$5/100,0)&lt;-BP$6,-BP$6-SUM(BP$10:BP331),-ROUNDDOWN($M332*BP$5/100,0)),0)</f>
        <v>0</v>
      </c>
      <c r="BQ332" s="38">
        <f>IF(AND(BQ$7="○",$A332&gt;=BQ$8,$A332&lt;=BQ$9),IF(SUM(BQ$10:BQ331)-ROUNDDOWN($L332*BQ$5/100,0)&lt;-BQ$6,-BQ$6-SUM(BQ$10:BQ331),-ROUNDDOWN($L332*BQ$5/100,0)),0)</f>
        <v>0</v>
      </c>
      <c r="BR332" s="38">
        <f>IF(AND(BR$7="○",$A332&gt;=BR$8,$A332&lt;=BR$9),IF(SUM(BR$10:BR331)-ROUNDDOWN($M332*BR$5/100,0)&lt;-BR$6,-BR$6-SUM(BR$10:BR331),-ROUNDDOWN($M332*BR$5/100,0)),0)</f>
        <v>0</v>
      </c>
      <c r="BS332" s="38">
        <f>IF(AND(BS$7="○",$A332&gt;=BS$8,$A332&lt;=BS$9),IF(SUM(BS$10:BS331)-ROUNDDOWN($M332*BS$5/100,0)&lt;-BS$6,-BS$6-SUM(BS$10:BS331),-ROUNDDOWN($M332*BS$5/100,0)),0)</f>
        <v>0</v>
      </c>
      <c r="BT332" s="38">
        <f>IF(AND(BT$7="○",$A332&gt;=BT$8,$A332&lt;=BT$9),IF(SUM(BT$10:BT331)-ROUNDDOWN($M332*BT$5/100,0)&lt;-BT$6,-BT$6-SUM(BT$10:BT331),-ROUNDDOWN($M332*BT$5/100,0)),0)</f>
        <v>0</v>
      </c>
      <c r="BU332" s="38">
        <f>IF(AND(BU$7="○",$A332&gt;=BU$8,$A332&lt;=BU$9),IF(SUM(BU$10:BU331)-ROUNDDOWN($M332*BU$5/100,0)&lt;-BU$6,-BU$6-SUM(BU$10:BU331),-ROUNDDOWN($M332*BU$5/100,0)),0)</f>
        <v>0</v>
      </c>
      <c r="BV332" s="38">
        <f>IF(AND(BV$7="○",$A332&gt;=BV$8,$A332&lt;=BV$9),IF(SUM(BV$10:BV331)-ROUNDDOWN($M332*BV$5/100,0)&lt;-BV$6,-BV$6-SUM(BV$10:BV331),-ROUNDDOWN($M332*BV$5/100,0)),0)</f>
        <v>0</v>
      </c>
      <c r="BW332" s="38">
        <f>IF(AND(BW$7="○",$A332&gt;=BW$8,$A332&lt;=BW$9),IF(SUM(BW$10:BW331)-ROUNDDOWN($M332*BW$5/100,0)&lt;-BW$6,-BW$6-SUM(BW$10:BW331),-ROUNDDOWN($M332*BW$5/100,0)),0)</f>
        <v>0</v>
      </c>
      <c r="BX332" s="38">
        <f>IF(AND(T332="○",$A332&gt;=BX$8,$A332&lt;=BX$9),IF(SUM(BX$10:BX331)-ROUNDDOWN($K332*BX$5/100,0)&lt;-BX$6,-BX$6-SUM(BX$10:BX331),-ROUNDDOWN($K332*BX$5/100,0)),0)</f>
        <v>0</v>
      </c>
      <c r="BY332" s="38">
        <f>IF(AND(U332="○",$A332&gt;=BY$8,$A332&lt;=BY$9),IF(SUM(BY$10:BY331)-ROUNDDOWN($K332*BY$5/100,0)&lt;-BY$6,-BY$6-SUM(BY$10:BY331),-ROUNDDOWN($K332*BY$5/100,0)),0)</f>
        <v>0</v>
      </c>
      <c r="BZ332" s="38">
        <f>IF(AND(V332="○",$A332&gt;=BZ$8,$A332&lt;=BZ$9),IF(SUM(BZ$10:BZ331)-ROUNDDOWN($K332*BZ$5/100,0)&lt;-BZ$6,-BZ$6-SUM(BZ$10:BZ331),-ROUNDDOWN($K332*BZ$5/100,0)),0)</f>
        <v>0</v>
      </c>
      <c r="CA332" s="38">
        <f>IF(AND(W332="○",$A332&gt;=CA$8,$A332&lt;=CA$9),IF(SUM(CA$10:CA331)-ROUNDDOWN($K332*CA$5/100,0)&lt;-CA$6,-CA$6-SUM(CA$10:CA331),-ROUNDDOWN($K332*CA$5/100,0)),0)</f>
        <v>0</v>
      </c>
      <c r="CB332" s="38"/>
      <c r="CC332" s="38"/>
      <c r="CD332" s="38"/>
      <c r="CE332" s="38"/>
      <c r="CF332" s="38"/>
      <c r="CG332" s="65">
        <f t="shared" si="219"/>
        <v>0</v>
      </c>
      <c r="CH332" s="71">
        <f t="shared" si="220"/>
        <v>0</v>
      </c>
      <c r="CI332" s="1">
        <f t="shared" si="241"/>
        <v>0</v>
      </c>
      <c r="CJ332" s="1"/>
      <c r="CK332" s="75"/>
      <c r="CL332" s="75"/>
      <c r="CM332" s="2"/>
      <c r="CN332" s="2"/>
      <c r="CO332" s="73">
        <f t="shared" si="242"/>
        <v>0</v>
      </c>
      <c r="CP332" s="5">
        <f t="shared" si="243"/>
        <v>0</v>
      </c>
      <c r="CQ332" s="1"/>
      <c r="CR332" s="1">
        <f t="shared" si="244"/>
        <v>0</v>
      </c>
      <c r="CS332" s="1"/>
      <c r="CT332" s="1" t="e">
        <f>INDEX([2]マスタ!$A:$A,MATCH(D332,[2]マスタ!$C:$C,0))</f>
        <v>#N/A</v>
      </c>
      <c r="CU332" s="1" t="str">
        <f t="shared" ca="1" si="245"/>
        <v>20260620_0-0</v>
      </c>
    </row>
    <row r="333" spans="1:99" x14ac:dyDescent="0.4">
      <c r="A333" s="61"/>
      <c r="B333" s="62"/>
      <c r="C333" s="62"/>
      <c r="D333" s="62"/>
      <c r="E333" s="63"/>
      <c r="F333" s="62"/>
      <c r="G333" s="62">
        <v>1</v>
      </c>
      <c r="H333" s="64">
        <f t="shared" si="232"/>
        <v>0</v>
      </c>
      <c r="I333" s="64"/>
      <c r="J333" s="64"/>
      <c r="K333" s="65">
        <f>+ROUNDDOWN((H333+I333)/100,0)*100</f>
        <v>0</v>
      </c>
      <c r="L333" s="65">
        <f t="shared" si="234"/>
        <v>0</v>
      </c>
      <c r="M333" s="65">
        <f t="shared" si="235"/>
        <v>0</v>
      </c>
      <c r="N333" s="65">
        <f t="shared" si="236"/>
        <v>0</v>
      </c>
      <c r="O333" s="66" t="str">
        <f t="shared" si="237"/>
        <v>✕</v>
      </c>
      <c r="P333" s="67" t="str">
        <f t="shared" si="238"/>
        <v>○</v>
      </c>
      <c r="Q333" s="67" t="str">
        <f>+IF((TEXT($A333,"DD")+0)=1,"○","✕")</f>
        <v>✕</v>
      </c>
      <c r="R333" s="67" t="str">
        <f t="shared" si="240"/>
        <v>✕</v>
      </c>
      <c r="S333" s="68">
        <v>0</v>
      </c>
      <c r="T333" s="69" t="s">
        <v>85</v>
      </c>
      <c r="U333" s="69" t="s">
        <v>85</v>
      </c>
      <c r="V333" s="69" t="s">
        <v>85</v>
      </c>
      <c r="W333" s="69" t="s">
        <v>85</v>
      </c>
      <c r="X333" s="69" t="s">
        <v>84</v>
      </c>
      <c r="Y333" s="69" t="s">
        <v>85</v>
      </c>
      <c r="Z333" s="69" t="s">
        <v>85</v>
      </c>
      <c r="AA333" s="69" t="s">
        <v>85</v>
      </c>
      <c r="AB333" s="69" t="s">
        <v>85</v>
      </c>
      <c r="AC333" s="69" t="s">
        <v>85</v>
      </c>
      <c r="AD333" s="38" t="str">
        <f>+IF(ISERROR(VLOOKUP($B333,AD$10:AD332,1,0)),IF(AND($N333&gt;=1000,$A333&gt;=AO$8,$A333&lt;=AO$9),$B333,""),"")</f>
        <v/>
      </c>
      <c r="AE333" s="38" t="str">
        <f>+IF(ISERROR(VLOOKUP($B333,AE$10:AE332,1,0)),IF(AND($N333&gt;=1000,$A333&gt;=AP$8,$A333&lt;=AP$9),$B333,""),"")</f>
        <v/>
      </c>
      <c r="AF333" s="38" t="str">
        <f>+IF(ISERROR(VLOOKUP($B333,AF$10:AF332,1,0)),IF(AND($N333&gt;=1000,$A333&gt;=AQ$8,$A333&lt;=AQ$9),$B333,""),"")</f>
        <v/>
      </c>
      <c r="AG333" s="38" t="str">
        <f>+IF(ISERROR(VLOOKUP($B333,AG$10:AG332,1,0)),IF(AND($N333&gt;=1000,$A333&gt;=AR$8,$A333&lt;=AR$9),$B333,""),"")</f>
        <v/>
      </c>
      <c r="AH333" s="38"/>
      <c r="AI333" s="70">
        <v>0</v>
      </c>
      <c r="AJ333" s="38">
        <f>IF(AND(AJ$7="○",$A333&gt;=AJ$8,$A333&lt;=AJ$9),IF(SUM(AJ$10:AJ332)-ROUNDDOWN($K333*AJ$5/100,0)&lt;-AJ$6,-AJ$6-SUM(AJ$10:AJ332),-ROUNDDOWN($K333*AJ$5/100,0)),0)</f>
        <v>0</v>
      </c>
      <c r="AK333" s="38">
        <f>IF(AND(AK$7="○",$A333&gt;=AK$8,$A333&lt;=AK$9),IF(SUM(AK$10:AK332)-ROUNDDOWN($L333*AK$5/100,0)&lt;-AK$6,-AK$6-SUM(AK$10:AK332),-ROUNDDOWN($L333*AK$5/100,0)),0)</f>
        <v>0</v>
      </c>
      <c r="AL333" s="38">
        <f>IF(AND(AL$7="○",$A333&gt;=AL$8,$A333&lt;=AL$9),IF(SUM(AL$10:AL332)-ROUNDDOWN($N333*AL$5/100,0)&lt;-AL$6,-AL$6-SUM(AL$10:AL332),-ROUNDDOWN($N333*AL$5/100,0)),0)</f>
        <v>0</v>
      </c>
      <c r="AM333" s="38">
        <f>IF(AND(AM$7="○",$A333&gt;=AM$8,$A333&lt;=AM$9),IF(SUM(AM$10:AM332)-ROUNDDOWN($L333*AM$5/100,0)&lt;-AM$6,-AM$6-SUM(AM$10:AM332),-ROUNDDOWN($L333*AM$5/100,0)),0)</f>
        <v>0</v>
      </c>
      <c r="AN333" s="38">
        <f>IF(AND(AN$7="○",$A333&gt;=AN$8,$A333&lt;=AN$9),IF(SUM(AN$10:AN332)-ROUNDDOWN($M333*AN$5/100,0)&lt;-AN$6,-AN$6-SUM(AN$10:AN332),-ROUNDDOWN($M333*AN$5/100,0)),0)</f>
        <v>0</v>
      </c>
      <c r="AO333" s="38">
        <f>IF(AND($A333&gt;=AO$8,$A333&lt;=AO$9),IF(SUM(AO$10:AO332)-ROUNDDOWN($K333*AO$5/100,0)&lt;-AO$6,-AO$6-SUM(AO$10:AO332),-ROUNDDOWN($K333*AO$5/100,0)),0)</f>
        <v>0</v>
      </c>
      <c r="AP333" s="38">
        <f>IF(AND($A333&gt;=AP$8,$A333&lt;=AP$9),IF(SUM(AP$10:AP332)-ROUNDDOWN($K333*AP$5/100,0)&lt;-AP$6,-AP$6-SUM(AP$10:AP332),-ROUNDDOWN($K333*AP$5/100,0)),0)</f>
        <v>0</v>
      </c>
      <c r="AQ333" s="38">
        <f>IF(AND($A333&gt;=AQ$8,$A333&lt;=AQ$9),IF(SUM(AQ$10:AQ332)-ROUNDDOWN($K333*AQ$5/100,0)&lt;-AQ$6,-AQ$6-SUM(AQ$10:AQ332),-ROUNDDOWN($K333*AQ$5/100,0)),0)</f>
        <v>0</v>
      </c>
      <c r="AR333" s="38">
        <f>IF(AND($A333&gt;=AR$8,$A333&lt;=AR$9),IF(SUM(AR$10:AR332)-ROUNDDOWN($K333*AR$5/100,0)&lt;-AR$6,-AR$6-SUM(AR$10:AR332),-ROUNDDOWN($K333*AR$5/100,0)),0)</f>
        <v>0</v>
      </c>
      <c r="AS333" s="38">
        <f>IF(SUMIFS(AS$10:AS332,$A$10:$A332,$A333)-ROUNDDOWN($K333*$S333/100,0)&lt;-$S333*1000,-$S333*1000-SUMIFS(AS$10:AS332,$A$10:$A332,$A333),-ROUNDDOWN($K333*$S333/100,0))</f>
        <v>0</v>
      </c>
      <c r="AT333" s="38">
        <f>IF(AND(X333="○",$A333&gt;=AT$8,$A333&lt;=AT$9,K333&gt;=3980),IF(SUM(AT$10:AT332)-ROUNDDOWN($K333*AT$5/100,0)&lt;-AT$6,-AT$6-SUM(AT$10:AT332),-ROUNDDOWN($K333*AT$5/100,0)),0)</f>
        <v>0</v>
      </c>
      <c r="AU333" s="38">
        <f>IF(O333="○",IF(SUM(AU$10:AU332)-ROUNDDOWN($K333*AU$5/100,0)&lt;-AU$6,-AU$6-SUM(AU$10:AU332),-ROUNDDOWN($K333*AU$5/100,0)),0)</f>
        <v>0</v>
      </c>
      <c r="AV333" s="38">
        <f>IF(P333="○",IF(SUM(AV$10:AV332)-ROUNDDOWN($K333*AV$5/100,0)&lt;-AV$6,-AV$6-SUM(AV$10:AV332),-ROUNDDOWN($K333*AV$5/100,0)),0)</f>
        <v>0</v>
      </c>
      <c r="AW333" s="38">
        <f>IF(Q333="○",IF(SUM(AW$10:AW332)-ROUNDDOWN($K333*AW$5/100,0)&lt;-AW$6,-AW$6-SUM(AW$10:AW332),-ROUNDDOWN($K333*AW$5/100,0)),0)</f>
        <v>0</v>
      </c>
      <c r="AX333" s="38">
        <f>IF(R333="○",IF(SUM(AX$10:AX332)-ROUNDDOWN($K333*AX$5/100,0)&lt;-AX$6,-AX$6-SUM(AX$10:AX332),-ROUNDDOWN($K333*AX$5/100,0)),0)</f>
        <v>0</v>
      </c>
      <c r="AY333" s="70">
        <v>0</v>
      </c>
      <c r="AZ333" s="65">
        <f t="shared" si="213"/>
        <v>0</v>
      </c>
      <c r="BA333" s="65">
        <f t="shared" si="214"/>
        <v>0</v>
      </c>
      <c r="BB333" s="70"/>
      <c r="BC333" s="65">
        <f t="shared" si="215"/>
        <v>0</v>
      </c>
      <c r="BD333" s="70">
        <v>0</v>
      </c>
      <c r="BE333" s="65">
        <f t="shared" si="216"/>
        <v>0</v>
      </c>
      <c r="BF333" s="70">
        <v>0</v>
      </c>
      <c r="BG333" s="65">
        <f t="shared" si="217"/>
        <v>0</v>
      </c>
      <c r="BH333" s="70">
        <v>0</v>
      </c>
      <c r="BI333" s="65">
        <f t="shared" si="218"/>
        <v>0</v>
      </c>
      <c r="BJ333" s="38">
        <f>IF(AND(BJ$7="○",$A333&gt;=BJ$8,$A333&lt;=BJ$9),IF(SUM(BJ$10:BJ332)-ROUNDDOWN($M333*BJ$5/100,0)&lt;-BJ$6,-BJ$6-SUM(BJ$10:BJ332),-ROUNDDOWN($M333*BJ$5/100,0)),0)</f>
        <v>0</v>
      </c>
      <c r="BK333" s="38">
        <f>IF(AND(BK$7="○",$A333&gt;=BK$8,$A333&lt;=BK$9),IF(SUM(BK$10:BK332)-ROUNDDOWN($L333*BK$5/100,0)&lt;-BK$6,-BK$6-SUM(BK$10:BK332),-ROUNDDOWN($L333*BK$5/100,0)),0)</f>
        <v>0</v>
      </c>
      <c r="BL333" s="38">
        <f>IF(AND(BL$7="○",$A333&gt;=BL$8,$A333&lt;=BL$9),IF(SUM(BL$10:BL332)-ROUNDDOWN($L333*BL$5/100,0)&lt;-BL$6,-BL$6-SUM(BL$10:BL332),-ROUNDDOWN($L333*BL$5/100,0)),0)</f>
        <v>0</v>
      </c>
      <c r="BM333" s="38">
        <f>IF(AND(BM$7="○",$A333&gt;=BM$8,$A333&lt;=BM$9),IF(SUM(BM$10:BM332)-ROUNDDOWN($M333*BM$5/100,0)&lt;-BM$6,-BM$6-SUM(BM$10:BM332),-ROUNDDOWN($M333*BM$5/100,0)),0)</f>
        <v>0</v>
      </c>
      <c r="BN333" s="38">
        <f>IF(AND(BN$7="○",$A333&gt;=BN$8,$A333&lt;=BN$9),IF(SUM(BN$10:BN332)-ROUNDDOWN($M333*BN$5/100,0)&lt;-BN$6,-BN$6-SUM(BN$10:BN332),-ROUNDDOWN($M333*BN$5/100,0)),0)</f>
        <v>0</v>
      </c>
      <c r="BO333" s="38">
        <f>IF(AND(BO$7="○",$A333&gt;=BO$8,$A333&lt;=BO$9),IF(SUM(BO$10:BO332)-ROUNDDOWN($M333*BO$5/100,0)&lt;-BO$6,-BO$6-SUM(BO$10:BO332),-ROUNDDOWN($M333*BO$5/100,0)),0)</f>
        <v>0</v>
      </c>
      <c r="BP333" s="38">
        <f>IF(AND(BP$7="○",$A333&gt;=BP$8,$A333&lt;=BP$9),IF(SUM(BP$10:BP332)-ROUNDDOWN($M333*BP$5/100,0)&lt;-BP$6,-BP$6-SUM(BP$10:BP332),-ROUNDDOWN($M333*BP$5/100,0)),0)</f>
        <v>0</v>
      </c>
      <c r="BQ333" s="38">
        <f>IF(AND(BQ$7="○",$A333&gt;=BQ$8,$A333&lt;=BQ$9),IF(SUM(BQ$10:BQ332)-ROUNDDOWN($L333*BQ$5/100,0)&lt;-BQ$6,-BQ$6-SUM(BQ$10:BQ332),-ROUNDDOWN($L333*BQ$5/100,0)),0)</f>
        <v>0</v>
      </c>
      <c r="BR333" s="38">
        <f>IF(AND(BR$7="○",$A333&gt;=BR$8,$A333&lt;=BR$9),IF(SUM(BR$10:BR332)-ROUNDDOWN($M333*BR$5/100,0)&lt;-BR$6,-BR$6-SUM(BR$10:BR332),-ROUNDDOWN($M333*BR$5/100,0)),0)</f>
        <v>0</v>
      </c>
      <c r="BS333" s="38">
        <f>IF(AND(BS$7="○",$A333&gt;=BS$8,$A333&lt;=BS$9),IF(SUM(BS$10:BS332)-ROUNDDOWN($M333*BS$5/100,0)&lt;-BS$6,-BS$6-SUM(BS$10:BS332),-ROUNDDOWN($M333*BS$5/100,0)),0)</f>
        <v>0</v>
      </c>
      <c r="BT333" s="38">
        <f>IF(AND(BT$7="○",$A333&gt;=BT$8,$A333&lt;=BT$9),IF(SUM(BT$10:BT332)-ROUNDDOWN($M333*BT$5/100,0)&lt;-BT$6,-BT$6-SUM(BT$10:BT332),-ROUNDDOWN($M333*BT$5/100,0)),0)</f>
        <v>0</v>
      </c>
      <c r="BU333" s="38">
        <f>IF(AND(BU$7="○",$A333&gt;=BU$8,$A333&lt;=BU$9),IF(SUM(BU$10:BU332)-ROUNDDOWN($M333*BU$5/100,0)&lt;-BU$6,-BU$6-SUM(BU$10:BU332),-ROUNDDOWN($M333*BU$5/100,0)),0)</f>
        <v>0</v>
      </c>
      <c r="BV333" s="38">
        <f>IF(AND(BV$7="○",$A333&gt;=BV$8,$A333&lt;=BV$9),IF(SUM(BV$10:BV332)-ROUNDDOWN($M333*BV$5/100,0)&lt;-BV$6,-BV$6-SUM(BV$10:BV332),-ROUNDDOWN($M333*BV$5/100,0)),0)</f>
        <v>0</v>
      </c>
      <c r="BW333" s="38">
        <f>IF(AND(BW$7="○",$A333&gt;=BW$8,$A333&lt;=BW$9),IF(SUM(BW$10:BW332)-ROUNDDOWN($M333*BW$5/100,0)&lt;-BW$6,-BW$6-SUM(BW$10:BW332),-ROUNDDOWN($M333*BW$5/100,0)),0)</f>
        <v>0</v>
      </c>
      <c r="BX333" s="38">
        <f>IF(AND(T333="○",$A333&gt;=BX$8,$A333&lt;=BX$9),IF(SUM(BX$10:BX332)-ROUNDDOWN($K333*BX$5/100,0)&lt;-BX$6,-BX$6-SUM(BX$10:BX332),-ROUNDDOWN($K333*BX$5/100,0)),0)</f>
        <v>0</v>
      </c>
      <c r="BY333" s="38">
        <f>IF(AND(U333="○",$A333&gt;=BY$8,$A333&lt;=BY$9),IF(SUM(BY$10:BY332)-ROUNDDOWN($K333*BY$5/100,0)&lt;-BY$6,-BY$6-SUM(BY$10:BY332),-ROUNDDOWN($K333*BY$5/100,0)),0)</f>
        <v>0</v>
      </c>
      <c r="BZ333" s="38">
        <f>IF(AND(V333="○",$A333&gt;=BZ$8,$A333&lt;=BZ$9),IF(SUM(BZ$10:BZ332)-ROUNDDOWN($K333*BZ$5/100,0)&lt;-BZ$6,-BZ$6-SUM(BZ$10:BZ332),-ROUNDDOWN($K333*BZ$5/100,0)),0)</f>
        <v>0</v>
      </c>
      <c r="CA333" s="38">
        <f>IF(AND(W333="○",$A333&gt;=CA$8,$A333&lt;=CA$9),IF(SUM(CA$10:CA332)-ROUNDDOWN($K333*CA$5/100,0)&lt;-CA$6,-CA$6-SUM(CA$10:CA332),-ROUNDDOWN($K333*CA$5/100,0)),0)</f>
        <v>0</v>
      </c>
      <c r="CB333" s="38"/>
      <c r="CC333" s="38"/>
      <c r="CD333" s="38"/>
      <c r="CE333" s="38"/>
      <c r="CF333" s="38"/>
      <c r="CG333" s="65">
        <f t="shared" si="219"/>
        <v>0</v>
      </c>
      <c r="CH333" s="71">
        <f t="shared" si="220"/>
        <v>0</v>
      </c>
      <c r="CI333" s="1">
        <f t="shared" si="241"/>
        <v>0</v>
      </c>
      <c r="CJ333" s="1"/>
      <c r="CK333" s="72"/>
      <c r="CL333" s="72"/>
      <c r="CM333" s="2"/>
      <c r="CN333" s="2"/>
      <c r="CO333" s="73">
        <f t="shared" si="242"/>
        <v>0</v>
      </c>
      <c r="CP333" s="5">
        <f t="shared" si="243"/>
        <v>0</v>
      </c>
      <c r="CQ333" s="1"/>
      <c r="CR333" s="1">
        <f t="shared" si="244"/>
        <v>0</v>
      </c>
      <c r="CS333" s="1"/>
      <c r="CT333" s="1" t="e">
        <f>INDEX([2]マスタ!$A:$A,MATCH(D333,[2]マスタ!$C:$C,0))</f>
        <v>#N/A</v>
      </c>
      <c r="CU333" s="1" t="str">
        <f t="shared" ca="1" si="245"/>
        <v>20260620_0-0</v>
      </c>
    </row>
    <row r="334" spans="1:99" x14ac:dyDescent="0.4">
      <c r="A334" s="61"/>
      <c r="B334" s="62"/>
      <c r="C334" s="62"/>
      <c r="D334" s="62"/>
      <c r="E334" s="77"/>
      <c r="F334" s="62"/>
      <c r="G334" s="62">
        <v>1</v>
      </c>
      <c r="H334" s="64">
        <f t="shared" si="232"/>
        <v>0</v>
      </c>
      <c r="I334" s="64"/>
      <c r="J334" s="64"/>
      <c r="K334" s="65">
        <f>+ROUNDDOWN((H334+I334)/100,0)*100</f>
        <v>0</v>
      </c>
      <c r="L334" s="65">
        <f t="shared" si="234"/>
        <v>0</v>
      </c>
      <c r="M334" s="65">
        <f t="shared" si="235"/>
        <v>0</v>
      </c>
      <c r="N334" s="65">
        <f t="shared" si="236"/>
        <v>0</v>
      </c>
      <c r="O334" s="66" t="str">
        <f t="shared" si="237"/>
        <v>✕</v>
      </c>
      <c r="P334" s="67" t="str">
        <f t="shared" si="238"/>
        <v>○</v>
      </c>
      <c r="Q334" s="67" t="str">
        <f>+IF((TEXT($A334,"DD")+0)=1,"○","✕")</f>
        <v>✕</v>
      </c>
      <c r="R334" s="67" t="str">
        <f t="shared" si="240"/>
        <v>✕</v>
      </c>
      <c r="S334" s="68">
        <v>0</v>
      </c>
      <c r="T334" s="69" t="s">
        <v>85</v>
      </c>
      <c r="U334" s="69" t="s">
        <v>85</v>
      </c>
      <c r="V334" s="69" t="s">
        <v>85</v>
      </c>
      <c r="W334" s="69" t="s">
        <v>85</v>
      </c>
      <c r="X334" s="69" t="s">
        <v>84</v>
      </c>
      <c r="Y334" s="69" t="s">
        <v>85</v>
      </c>
      <c r="Z334" s="69" t="s">
        <v>85</v>
      </c>
      <c r="AA334" s="69" t="s">
        <v>85</v>
      </c>
      <c r="AB334" s="69" t="s">
        <v>85</v>
      </c>
      <c r="AC334" s="69" t="s">
        <v>85</v>
      </c>
      <c r="AD334" s="38" t="str">
        <f>+IF(ISERROR(VLOOKUP($B334,AD$10:AD333,1,0)),IF(AND($N334&gt;=1000,$A334&gt;=AO$8,$A334&lt;=AO$9),$B334,""),"")</f>
        <v/>
      </c>
      <c r="AE334" s="38" t="str">
        <f>+IF(ISERROR(VLOOKUP($B334,AE$10:AE333,1,0)),IF(AND($N334&gt;=1000,$A334&gt;=AP$8,$A334&lt;=AP$9),$B334,""),"")</f>
        <v/>
      </c>
      <c r="AF334" s="38" t="str">
        <f>+IF(ISERROR(VLOOKUP($B334,AF$10:AF333,1,0)),IF(AND($N334&gt;=1000,$A334&gt;=AQ$8,$A334&lt;=AQ$9),$B334,""),"")</f>
        <v/>
      </c>
      <c r="AG334" s="38" t="str">
        <f>+IF(ISERROR(VLOOKUP($B334,AG$10:AG333,1,0)),IF(AND($N334&gt;=1000,$A334&gt;=AR$8,$A334&lt;=AR$9),$B334,""),"")</f>
        <v/>
      </c>
      <c r="AH334" s="38"/>
      <c r="AI334" s="70">
        <v>0</v>
      </c>
      <c r="AJ334" s="38">
        <f>IF(AND(AJ$7="○",$A334&gt;=AJ$8,$A334&lt;=AJ$9),IF(SUM(AJ$10:AJ333)-ROUNDDOWN($K334*AJ$5/100,0)&lt;-AJ$6,-AJ$6-SUM(AJ$10:AJ333),-ROUNDDOWN($K334*AJ$5/100,0)),0)</f>
        <v>0</v>
      </c>
      <c r="AK334" s="38">
        <f>IF(AND(AK$7="○",$A334&gt;=AK$8,$A334&lt;=AK$9),IF(SUM(AK$10:AK333)-ROUNDDOWN($L334*AK$5/100,0)&lt;-AK$6,-AK$6-SUM(AK$10:AK333),-ROUNDDOWN($L334*AK$5/100,0)),0)</f>
        <v>0</v>
      </c>
      <c r="AL334" s="38">
        <f>IF(AND(AL$7="○",$A334&gt;=AL$8,$A334&lt;=AL$9),IF(SUM(AL$10:AL333)-ROUNDDOWN($N334*AL$5/100,0)&lt;-AL$6,-AL$6-SUM(AL$10:AL333),-ROUNDDOWN($N334*AL$5/100,0)),0)</f>
        <v>0</v>
      </c>
      <c r="AM334" s="38">
        <f>IF(AND(AM$7="○",$A334&gt;=AM$8,$A334&lt;=AM$9),IF(SUM(AM$10:AM333)-ROUNDDOWN($L334*AM$5/100,0)&lt;-AM$6,-AM$6-SUM(AM$10:AM333),-ROUNDDOWN($L334*AM$5/100,0)),0)</f>
        <v>0</v>
      </c>
      <c r="AN334" s="38">
        <f>IF(AND(AN$7="○",$A334&gt;=AN$8,$A334&lt;=AN$9),IF(SUM(AN$10:AN333)-ROUNDDOWN($M334*AN$5/100,0)&lt;-AN$6,-AN$6-SUM(AN$10:AN333),-ROUNDDOWN($M334*AN$5/100,0)),0)</f>
        <v>0</v>
      </c>
      <c r="AO334" s="38">
        <f>IF(AND($A334&gt;=AO$8,$A334&lt;=AO$9),IF(SUM(AO$10:AO333)-ROUNDDOWN($K334*AO$5/100,0)&lt;-AO$6,-AO$6-SUM(AO$10:AO333),-ROUNDDOWN($K334*AO$5/100,0)),0)</f>
        <v>0</v>
      </c>
      <c r="AP334" s="38">
        <f>IF(AND($A334&gt;=AP$8,$A334&lt;=AP$9),IF(SUM(AP$10:AP333)-ROUNDDOWN($K334*AP$5/100,0)&lt;-AP$6,-AP$6-SUM(AP$10:AP333),-ROUNDDOWN($K334*AP$5/100,0)),0)</f>
        <v>0</v>
      </c>
      <c r="AQ334" s="38">
        <f>IF(AND($A334&gt;=AQ$8,$A334&lt;=AQ$9),IF(SUM(AQ$10:AQ333)-ROUNDDOWN($K334*AQ$5/100,0)&lt;-AQ$6,-AQ$6-SUM(AQ$10:AQ333),-ROUNDDOWN($K334*AQ$5/100,0)),0)</f>
        <v>0</v>
      </c>
      <c r="AR334" s="38">
        <f>IF(AND($A334&gt;=AR$8,$A334&lt;=AR$9),IF(SUM(AR$10:AR333)-ROUNDDOWN($K334*AR$5/100,0)&lt;-AR$6,-AR$6-SUM(AR$10:AR333),-ROUNDDOWN($K334*AR$5/100,0)),0)</f>
        <v>0</v>
      </c>
      <c r="AS334" s="38">
        <f>IF(SUMIFS(AS$10:AS333,$A$10:$A333,$A334)-ROUNDDOWN($K334*$S334/100,0)&lt;-$S334*1000,-$S334*1000-SUMIFS(AS$10:AS333,$A$10:$A333,$A334),-ROUNDDOWN($K334*$S334/100,0))</f>
        <v>0</v>
      </c>
      <c r="AT334" s="38">
        <f>IF(AND(X334="○",$A334&gt;=AT$8,$A334&lt;=AT$9,K334&gt;=3980),IF(SUM(AT$10:AT333)-ROUNDDOWN($K334*AT$5/100,0)&lt;-AT$6,-AT$6-SUM(AT$10:AT333),-ROUNDDOWN($K334*AT$5/100,0)),0)</f>
        <v>0</v>
      </c>
      <c r="AU334" s="38">
        <f>IF(O334="○",IF(SUM(AU$10:AU333)-ROUNDDOWN($K334*AU$5/100,0)&lt;-AU$6,-AU$6-SUM(AU$10:AU333),-ROUNDDOWN($K334*AU$5/100,0)),0)</f>
        <v>0</v>
      </c>
      <c r="AV334" s="38">
        <f>IF(P334="○",IF(SUM(AV$10:AV333)-ROUNDDOWN($K334*AV$5/100,0)&lt;-AV$6,-AV$6-SUM(AV$10:AV333),-ROUNDDOWN($K334*AV$5/100,0)),0)</f>
        <v>0</v>
      </c>
      <c r="AW334" s="38">
        <f>IF(Q334="○",IF(SUM(AW$10:AW333)-ROUNDDOWN($K334*AW$5/100,0)&lt;-AW$6,-AW$6-SUM(AW$10:AW333),-ROUNDDOWN($K334*AW$5/100,0)),0)</f>
        <v>0</v>
      </c>
      <c r="AX334" s="38">
        <f>IF(R334="○",IF(SUM(AX$10:AX333)-ROUNDDOWN($K334*AX$5/100,0)&lt;-AX$6,-AX$6-SUM(AX$10:AX333),-ROUNDDOWN($K334*AX$5/100,0)),0)</f>
        <v>0</v>
      </c>
      <c r="AY334" s="70">
        <v>0</v>
      </c>
      <c r="AZ334" s="65">
        <f t="shared" si="213"/>
        <v>0</v>
      </c>
      <c r="BA334" s="65">
        <f t="shared" si="214"/>
        <v>0</v>
      </c>
      <c r="BB334" s="70"/>
      <c r="BC334" s="65">
        <f t="shared" si="215"/>
        <v>0</v>
      </c>
      <c r="BD334" s="70">
        <v>0</v>
      </c>
      <c r="BE334" s="65">
        <f t="shared" si="216"/>
        <v>0</v>
      </c>
      <c r="BF334" s="70">
        <v>0</v>
      </c>
      <c r="BG334" s="65">
        <f t="shared" si="217"/>
        <v>0</v>
      </c>
      <c r="BH334" s="70">
        <v>0</v>
      </c>
      <c r="BI334" s="65">
        <f t="shared" si="218"/>
        <v>0</v>
      </c>
      <c r="BJ334" s="38">
        <f>IF(AND(BJ$7="○",$A334&gt;=BJ$8,$A334&lt;=BJ$9),IF(SUM(BJ$10:BJ333)-ROUNDDOWN($M334*BJ$5/100,0)&lt;-BJ$6,-BJ$6-SUM(BJ$10:BJ333),-ROUNDDOWN($M334*BJ$5/100,0)),0)</f>
        <v>0</v>
      </c>
      <c r="BK334" s="38">
        <f>IF(AND(BK$7="○",$A334&gt;=BK$8,$A334&lt;=BK$9),IF(SUM(BK$10:BK333)-ROUNDDOWN($L334*BK$5/100,0)&lt;-BK$6,-BK$6-SUM(BK$10:BK333),-ROUNDDOWN($L334*BK$5/100,0)),0)</f>
        <v>0</v>
      </c>
      <c r="BL334" s="38">
        <f>IF(AND(BL$7="○",$A334&gt;=BL$8,$A334&lt;=BL$9),IF(SUM(BL$10:BL333)-ROUNDDOWN($L334*BL$5/100,0)&lt;-BL$6,-BL$6-SUM(BL$10:BL333),-ROUNDDOWN($L334*BL$5/100,0)),0)</f>
        <v>0</v>
      </c>
      <c r="BM334" s="38">
        <f>IF(AND(BM$7="○",$A334&gt;=BM$8,$A334&lt;=BM$9),IF(SUM(BM$10:BM333)-ROUNDDOWN($M334*BM$5/100,0)&lt;-BM$6,-BM$6-SUM(BM$10:BM333),-ROUNDDOWN($M334*BM$5/100,0)),0)</f>
        <v>0</v>
      </c>
      <c r="BN334" s="38">
        <f>IF(AND(BN$7="○",$A334&gt;=BN$8,$A334&lt;=BN$9),IF(SUM(BN$10:BN333)-ROUNDDOWN($M334*BN$5/100,0)&lt;-BN$6,-BN$6-SUM(BN$10:BN333),-ROUNDDOWN($M334*BN$5/100,0)),0)</f>
        <v>0</v>
      </c>
      <c r="BO334" s="38">
        <f>IF(AND(BO$7="○",$A334&gt;=BO$8,$A334&lt;=BO$9),IF(SUM(BO$10:BO333)-ROUNDDOWN($M334*BO$5/100,0)&lt;-BO$6,-BO$6-SUM(BO$10:BO333),-ROUNDDOWN($M334*BO$5/100,0)),0)</f>
        <v>0</v>
      </c>
      <c r="BP334" s="38">
        <f>IF(AND(BP$7="○",$A334&gt;=BP$8,$A334&lt;=BP$9),IF(SUM(BP$10:BP333)-ROUNDDOWN($M334*BP$5/100,0)&lt;-BP$6,-BP$6-SUM(BP$10:BP333),-ROUNDDOWN($M334*BP$5/100,0)),0)</f>
        <v>0</v>
      </c>
      <c r="BQ334" s="38">
        <f>IF(AND(BQ$7="○",$A334&gt;=BQ$8,$A334&lt;=BQ$9),IF(SUM(BQ$10:BQ333)-ROUNDDOWN($L334*BQ$5/100,0)&lt;-BQ$6,-BQ$6-SUM(BQ$10:BQ333),-ROUNDDOWN($L334*BQ$5/100,0)),0)</f>
        <v>0</v>
      </c>
      <c r="BR334" s="38">
        <f>IF(AND(BR$7="○",$A334&gt;=BR$8,$A334&lt;=BR$9),IF(SUM(BR$10:BR333)-ROUNDDOWN($M334*BR$5/100,0)&lt;-BR$6,-BR$6-SUM(BR$10:BR333),-ROUNDDOWN($M334*BR$5/100,0)),0)</f>
        <v>0</v>
      </c>
      <c r="BS334" s="38">
        <f>IF(AND(BS$7="○",$A334&gt;=BS$8,$A334&lt;=BS$9),IF(SUM(BS$10:BS333)-ROUNDDOWN($M334*BS$5/100,0)&lt;-BS$6,-BS$6-SUM(BS$10:BS333),-ROUNDDOWN($M334*BS$5/100,0)),0)</f>
        <v>0</v>
      </c>
      <c r="BT334" s="38">
        <f>IF(AND(BT$7="○",$A334&gt;=BT$8,$A334&lt;=BT$9),IF(SUM(BT$10:BT333)-ROUNDDOWN($M334*BT$5/100,0)&lt;-BT$6,-BT$6-SUM(BT$10:BT333),-ROUNDDOWN($M334*BT$5/100,0)),0)</f>
        <v>0</v>
      </c>
      <c r="BU334" s="38">
        <f>IF(AND(BU$7="○",$A334&gt;=BU$8,$A334&lt;=BU$9),IF(SUM(BU$10:BU333)-ROUNDDOWN($M334*BU$5/100,0)&lt;-BU$6,-BU$6-SUM(BU$10:BU333),-ROUNDDOWN($M334*BU$5/100,0)),0)</f>
        <v>0</v>
      </c>
      <c r="BV334" s="38">
        <f>IF(AND(BV$7="○",$A334&gt;=BV$8,$A334&lt;=BV$9),IF(SUM(BV$10:BV333)-ROUNDDOWN($M334*BV$5/100,0)&lt;-BV$6,-BV$6-SUM(BV$10:BV333),-ROUNDDOWN($M334*BV$5/100,0)),0)</f>
        <v>0</v>
      </c>
      <c r="BW334" s="38">
        <f>IF(AND(BW$7="○",$A334&gt;=BW$8,$A334&lt;=BW$9),IF(SUM(BW$10:BW333)-ROUNDDOWN($M334*BW$5/100,0)&lt;-BW$6,-BW$6-SUM(BW$10:BW333),-ROUNDDOWN($M334*BW$5/100,0)),0)</f>
        <v>0</v>
      </c>
      <c r="BX334" s="38">
        <f>IF(AND(T334="○",$A334&gt;=BX$8,$A334&lt;=BX$9),IF(SUM(BX$10:BX333)-ROUNDDOWN($K334*BX$5/100,0)&lt;-BX$6,-BX$6-SUM(BX$10:BX333),-ROUNDDOWN($K334*BX$5/100,0)),0)</f>
        <v>0</v>
      </c>
      <c r="BY334" s="38">
        <f>IF(AND(U334="○",$A334&gt;=BY$8,$A334&lt;=BY$9),IF(SUM(BY$10:BY333)-ROUNDDOWN($K334*BY$5/100,0)&lt;-BY$6,-BY$6-SUM(BY$10:BY333),-ROUNDDOWN($K334*BY$5/100,0)),0)</f>
        <v>0</v>
      </c>
      <c r="BZ334" s="38">
        <f>IF(AND(V334="○",$A334&gt;=BZ$8,$A334&lt;=BZ$9),IF(SUM(BZ$10:BZ333)-ROUNDDOWN($K334*BZ$5/100,0)&lt;-BZ$6,-BZ$6-SUM(BZ$10:BZ333),-ROUNDDOWN($K334*BZ$5/100,0)),0)</f>
        <v>0</v>
      </c>
      <c r="CA334" s="38">
        <f>IF(AND(W334="○",$A334&gt;=CA$8,$A334&lt;=CA$9),IF(SUM(CA$10:CA333)-ROUNDDOWN($K334*CA$5/100,0)&lt;-CA$6,-CA$6-SUM(CA$10:CA333),-ROUNDDOWN($K334*CA$5/100,0)),0)</f>
        <v>0</v>
      </c>
      <c r="CB334" s="38"/>
      <c r="CC334" s="38"/>
      <c r="CD334" s="38"/>
      <c r="CE334" s="38"/>
      <c r="CF334" s="38"/>
      <c r="CG334" s="65">
        <f t="shared" si="219"/>
        <v>0</v>
      </c>
      <c r="CH334" s="71">
        <f t="shared" si="220"/>
        <v>0</v>
      </c>
      <c r="CI334" s="1">
        <f t="shared" si="241"/>
        <v>0</v>
      </c>
      <c r="CJ334" s="1"/>
      <c r="CK334" s="79"/>
      <c r="CL334" s="79"/>
      <c r="CM334" s="2"/>
      <c r="CN334" s="2"/>
      <c r="CO334" s="73">
        <f t="shared" si="242"/>
        <v>0</v>
      </c>
      <c r="CP334" s="5">
        <f t="shared" si="243"/>
        <v>0</v>
      </c>
      <c r="CQ334" s="1"/>
      <c r="CR334" s="1">
        <f t="shared" si="244"/>
        <v>0</v>
      </c>
      <c r="CS334" s="1"/>
      <c r="CT334" s="1" t="e">
        <f>INDEX([2]マスタ!$A:$A,MATCH(D334,[2]マスタ!$C:$C,0))</f>
        <v>#N/A</v>
      </c>
      <c r="CU334" s="1" t="str">
        <f t="shared" ca="1" si="245"/>
        <v>20260620_0-0</v>
      </c>
    </row>
    <row r="335" spans="1:99" x14ac:dyDescent="0.4">
      <c r="A335" s="61"/>
      <c r="B335" s="62"/>
      <c r="C335" s="62"/>
      <c r="D335" s="62"/>
      <c r="E335" s="63"/>
      <c r="F335" s="62"/>
      <c r="G335" s="62">
        <v>1</v>
      </c>
      <c r="H335" s="64">
        <f t="shared" si="232"/>
        <v>0</v>
      </c>
      <c r="I335" s="64"/>
      <c r="J335" s="64"/>
      <c r="K335" s="65">
        <f>+ROUNDDOWN((H335+I335)/100,0)*100</f>
        <v>0</v>
      </c>
      <c r="L335" s="65">
        <f t="shared" si="234"/>
        <v>0</v>
      </c>
      <c r="M335" s="65">
        <f t="shared" si="235"/>
        <v>0</v>
      </c>
      <c r="N335" s="65">
        <f t="shared" si="236"/>
        <v>0</v>
      </c>
      <c r="O335" s="66" t="str">
        <f t="shared" si="237"/>
        <v>✕</v>
      </c>
      <c r="P335" s="67" t="str">
        <f t="shared" si="238"/>
        <v>○</v>
      </c>
      <c r="Q335" s="67" t="str">
        <f>+IF((TEXT($A335,"DD")+0)=1,"○","✕")</f>
        <v>✕</v>
      </c>
      <c r="R335" s="67" t="str">
        <f t="shared" si="240"/>
        <v>✕</v>
      </c>
      <c r="S335" s="68">
        <v>0</v>
      </c>
      <c r="T335" s="69" t="s">
        <v>85</v>
      </c>
      <c r="U335" s="69" t="s">
        <v>85</v>
      </c>
      <c r="V335" s="69" t="s">
        <v>85</v>
      </c>
      <c r="W335" s="69" t="s">
        <v>85</v>
      </c>
      <c r="X335" s="69" t="s">
        <v>84</v>
      </c>
      <c r="Y335" s="69" t="s">
        <v>85</v>
      </c>
      <c r="Z335" s="69" t="s">
        <v>85</v>
      </c>
      <c r="AA335" s="69" t="s">
        <v>85</v>
      </c>
      <c r="AB335" s="69" t="s">
        <v>85</v>
      </c>
      <c r="AC335" s="69" t="s">
        <v>85</v>
      </c>
      <c r="AD335" s="38" t="str">
        <f>+IF(ISERROR(VLOOKUP($B335,AD$10:AD334,1,0)),IF(AND($N335&gt;=1000,$A335&gt;=AO$8,$A335&lt;=AO$9),$B335,""),"")</f>
        <v/>
      </c>
      <c r="AE335" s="38" t="str">
        <f>+IF(ISERROR(VLOOKUP($B335,AE$10:AE334,1,0)),IF(AND($N335&gt;=1000,$A335&gt;=AP$8,$A335&lt;=AP$9),$B335,""),"")</f>
        <v/>
      </c>
      <c r="AF335" s="38" t="str">
        <f>+IF(ISERROR(VLOOKUP($B335,AF$10:AF334,1,0)),IF(AND($N335&gt;=1000,$A335&gt;=AQ$8,$A335&lt;=AQ$9),$B335,""),"")</f>
        <v/>
      </c>
      <c r="AG335" s="38" t="str">
        <f>+IF(ISERROR(VLOOKUP($B335,AG$10:AG334,1,0)),IF(AND($N335&gt;=1000,$A335&gt;=AR$8,$A335&lt;=AR$9),$B335,""),"")</f>
        <v/>
      </c>
      <c r="AH335" s="38"/>
      <c r="AI335" s="70">
        <v>0</v>
      </c>
      <c r="AJ335" s="38">
        <f>IF(AND(AJ$7="○",$A335&gt;=AJ$8,$A335&lt;=AJ$9),IF(SUM(AJ$10:AJ334)-ROUNDDOWN($K335*AJ$5/100,0)&lt;-AJ$6,-AJ$6-SUM(AJ$10:AJ334),-ROUNDDOWN($K335*AJ$5/100,0)),0)</f>
        <v>0</v>
      </c>
      <c r="AK335" s="38">
        <f>IF(AND(AK$7="○",$A335&gt;=AK$8,$A335&lt;=AK$9),IF(SUM(AK$10:AK334)-ROUNDDOWN($L335*AK$5/100,0)&lt;-AK$6,-AK$6-SUM(AK$10:AK334),-ROUNDDOWN($L335*AK$5/100,0)),0)</f>
        <v>0</v>
      </c>
      <c r="AL335" s="38">
        <f>IF(AND(AL$7="○",$A335&gt;=AL$8,$A335&lt;=AL$9),IF(SUM(AL$10:AL334)-ROUNDDOWN($N335*AL$5/100,0)&lt;-AL$6,-AL$6-SUM(AL$10:AL334),-ROUNDDOWN($N335*AL$5/100,0)),0)</f>
        <v>0</v>
      </c>
      <c r="AM335" s="38">
        <f>IF(AND(AM$7="○",$A335&gt;=AM$8,$A335&lt;=AM$9),IF(SUM(AM$10:AM334)-ROUNDDOWN($L335*AM$5/100,0)&lt;-AM$6,-AM$6-SUM(AM$10:AM334),-ROUNDDOWN($L335*AM$5/100,0)),0)</f>
        <v>0</v>
      </c>
      <c r="AN335" s="38">
        <f>IF(AND(AN$7="○",$A335&gt;=AN$8,$A335&lt;=AN$9),IF(SUM(AN$10:AN334)-ROUNDDOWN($M335*AN$5/100,0)&lt;-AN$6,-AN$6-SUM(AN$10:AN334),-ROUNDDOWN($M335*AN$5/100,0)),0)</f>
        <v>0</v>
      </c>
      <c r="AO335" s="38">
        <f>IF(AND($A335&gt;=AO$8,$A335&lt;=AO$9),IF(SUM(AO$10:AO334)-ROUNDDOWN($K335*AO$5/100,0)&lt;-AO$6,-AO$6-SUM(AO$10:AO334),-ROUNDDOWN($K335*AO$5/100,0)),0)</f>
        <v>0</v>
      </c>
      <c r="AP335" s="38">
        <f>IF(AND($A335&gt;=AP$8,$A335&lt;=AP$9),IF(SUM(AP$10:AP334)-ROUNDDOWN($K335*AP$5/100,0)&lt;-AP$6,-AP$6-SUM(AP$10:AP334),-ROUNDDOWN($K335*AP$5/100,0)),0)</f>
        <v>0</v>
      </c>
      <c r="AQ335" s="38">
        <f>IF(AND($A335&gt;=AQ$8,$A335&lt;=AQ$9),IF(SUM(AQ$10:AQ334)-ROUNDDOWN($K335*AQ$5/100,0)&lt;-AQ$6,-AQ$6-SUM(AQ$10:AQ334),-ROUNDDOWN($K335*AQ$5/100,0)),0)</f>
        <v>0</v>
      </c>
      <c r="AR335" s="38">
        <f>IF(AND($A335&gt;=AR$8,$A335&lt;=AR$9),IF(SUM(AR$10:AR334)-ROUNDDOWN($K335*AR$5/100,0)&lt;-AR$6,-AR$6-SUM(AR$10:AR334),-ROUNDDOWN($K335*AR$5/100,0)),0)</f>
        <v>0</v>
      </c>
      <c r="AS335" s="38">
        <f>IF(SUMIFS(AS$10:AS334,$A$10:$A334,$A335)-ROUNDDOWN($K335*$S335/100,0)&lt;-$S335*1000,-$S335*1000-SUMIFS(AS$10:AS334,$A$10:$A334,$A335),-ROUNDDOWN($K335*$S335/100,0))</f>
        <v>0</v>
      </c>
      <c r="AT335" s="38">
        <f>IF(AND(X335="○",$A335&gt;=AT$8,$A335&lt;=AT$9,K335&gt;=3980),IF(SUM(AT$10:AT334)-ROUNDDOWN($K335*AT$5/100,0)&lt;-AT$6,-AT$6-SUM(AT$10:AT334),-ROUNDDOWN($K335*AT$5/100,0)),0)</f>
        <v>0</v>
      </c>
      <c r="AU335" s="38">
        <f>IF(O335="○",IF(SUM(AU$10:AU334)-ROUNDDOWN($K335*AU$5/100,0)&lt;-AU$6,-AU$6-SUM(AU$10:AU334),-ROUNDDOWN($K335*AU$5/100,0)),0)</f>
        <v>0</v>
      </c>
      <c r="AV335" s="38">
        <f>IF(P335="○",IF(SUM(AV$10:AV334)-ROUNDDOWN($K335*AV$5/100,0)&lt;-AV$6,-AV$6-SUM(AV$10:AV334),-ROUNDDOWN($K335*AV$5/100,0)),0)</f>
        <v>0</v>
      </c>
      <c r="AW335" s="38">
        <f>IF(Q335="○",IF(SUM(AW$10:AW334)-ROUNDDOWN($K335*AW$5/100,0)&lt;-AW$6,-AW$6-SUM(AW$10:AW334),-ROUNDDOWN($K335*AW$5/100,0)),0)</f>
        <v>0</v>
      </c>
      <c r="AX335" s="38">
        <f>IF(R335="○",IF(SUM(AX$10:AX334)-ROUNDDOWN($K335*AX$5/100,0)&lt;-AX$6,-AX$6-SUM(AX$10:AX334),-ROUNDDOWN($K335*AX$5/100,0)),0)</f>
        <v>0</v>
      </c>
      <c r="AY335" s="70">
        <v>0</v>
      </c>
      <c r="AZ335" s="65">
        <f t="shared" si="213"/>
        <v>0</v>
      </c>
      <c r="BA335" s="65">
        <f t="shared" si="214"/>
        <v>0</v>
      </c>
      <c r="BB335" s="70"/>
      <c r="BC335" s="65">
        <f t="shared" si="215"/>
        <v>0</v>
      </c>
      <c r="BD335" s="70">
        <v>0</v>
      </c>
      <c r="BE335" s="65">
        <f t="shared" si="216"/>
        <v>0</v>
      </c>
      <c r="BF335" s="70">
        <v>0</v>
      </c>
      <c r="BG335" s="65">
        <f t="shared" si="217"/>
        <v>0</v>
      </c>
      <c r="BH335" s="70">
        <v>0</v>
      </c>
      <c r="BI335" s="65">
        <f t="shared" si="218"/>
        <v>0</v>
      </c>
      <c r="BJ335" s="38">
        <f>IF(AND(BJ$7="○",$A335&gt;=BJ$8,$A335&lt;=BJ$9),IF(SUM(BJ$10:BJ334)-ROUNDDOWN($M335*BJ$5/100,0)&lt;-BJ$6,-BJ$6-SUM(BJ$10:BJ334),-ROUNDDOWN($M335*BJ$5/100,0)),0)</f>
        <v>0</v>
      </c>
      <c r="BK335" s="38">
        <f>IF(AND(BK$7="○",$A335&gt;=BK$8,$A335&lt;=BK$9),IF(SUM(BK$10:BK334)-ROUNDDOWN($L335*BK$5/100,0)&lt;-BK$6,-BK$6-SUM(BK$10:BK334),-ROUNDDOWN($L335*BK$5/100,0)),0)</f>
        <v>0</v>
      </c>
      <c r="BL335" s="38">
        <f>IF(AND(BL$7="○",$A335&gt;=BL$8,$A335&lt;=BL$9),IF(SUM(BL$10:BL334)-ROUNDDOWN($L335*BL$5/100,0)&lt;-BL$6,-BL$6-SUM(BL$10:BL334),-ROUNDDOWN($L335*BL$5/100,0)),0)</f>
        <v>0</v>
      </c>
      <c r="BM335" s="38">
        <f>IF(AND(BM$7="○",$A335&gt;=BM$8,$A335&lt;=BM$9),IF(SUM(BM$10:BM334)-ROUNDDOWN($M335*BM$5/100,0)&lt;-BM$6,-BM$6-SUM(BM$10:BM334),-ROUNDDOWN($M335*BM$5/100,0)),0)</f>
        <v>0</v>
      </c>
      <c r="BN335" s="38">
        <f>IF(AND(BN$7="○",$A335&gt;=BN$8,$A335&lt;=BN$9),IF(SUM(BN$10:BN334)-ROUNDDOWN($M335*BN$5/100,0)&lt;-BN$6,-BN$6-SUM(BN$10:BN334),-ROUNDDOWN($M335*BN$5/100,0)),0)</f>
        <v>0</v>
      </c>
      <c r="BO335" s="38">
        <f>IF(AND(BO$7="○",$A335&gt;=BO$8,$A335&lt;=BO$9),IF(SUM(BO$10:BO334)-ROUNDDOWN($M335*BO$5/100,0)&lt;-BO$6,-BO$6-SUM(BO$10:BO334),-ROUNDDOWN($M335*BO$5/100,0)),0)</f>
        <v>0</v>
      </c>
      <c r="BP335" s="38">
        <f>IF(AND(BP$7="○",$A335&gt;=BP$8,$A335&lt;=BP$9),IF(SUM(BP$10:BP334)-ROUNDDOWN($M335*BP$5/100,0)&lt;-BP$6,-BP$6-SUM(BP$10:BP334),-ROUNDDOWN($M335*BP$5/100,0)),0)</f>
        <v>0</v>
      </c>
      <c r="BQ335" s="38">
        <f>IF(AND(BQ$7="○",$A335&gt;=BQ$8,$A335&lt;=BQ$9),IF(SUM(BQ$10:BQ334)-ROUNDDOWN($L335*BQ$5/100,0)&lt;-BQ$6,-BQ$6-SUM(BQ$10:BQ334),-ROUNDDOWN($L335*BQ$5/100,0)),0)</f>
        <v>0</v>
      </c>
      <c r="BR335" s="38">
        <f>IF(AND(BR$7="○",$A335&gt;=BR$8,$A335&lt;=BR$9),IF(SUM(BR$10:BR334)-ROUNDDOWN($M335*BR$5/100,0)&lt;-BR$6,-BR$6-SUM(BR$10:BR334),-ROUNDDOWN($M335*BR$5/100,0)),0)</f>
        <v>0</v>
      </c>
      <c r="BS335" s="38">
        <f>IF(AND(BS$7="○",$A335&gt;=BS$8,$A335&lt;=BS$9),IF(SUM(BS$10:BS334)-ROUNDDOWN($M335*BS$5/100,0)&lt;-BS$6,-BS$6-SUM(BS$10:BS334),-ROUNDDOWN($M335*BS$5/100,0)),0)</f>
        <v>0</v>
      </c>
      <c r="BT335" s="38">
        <f>IF(AND(BT$7="○",$A335&gt;=BT$8,$A335&lt;=BT$9),IF(SUM(BT$10:BT334)-ROUNDDOWN($M335*BT$5/100,0)&lt;-BT$6,-BT$6-SUM(BT$10:BT334),-ROUNDDOWN($M335*BT$5/100,0)),0)</f>
        <v>0</v>
      </c>
      <c r="BU335" s="38">
        <f>IF(AND(BU$7="○",$A335&gt;=BU$8,$A335&lt;=BU$9),IF(SUM(BU$10:BU334)-ROUNDDOWN($M335*BU$5/100,0)&lt;-BU$6,-BU$6-SUM(BU$10:BU334),-ROUNDDOWN($M335*BU$5/100,0)),0)</f>
        <v>0</v>
      </c>
      <c r="BV335" s="38">
        <f>IF(AND(BV$7="○",$A335&gt;=BV$8,$A335&lt;=BV$9),IF(SUM(BV$10:BV334)-ROUNDDOWN($M335*BV$5/100,0)&lt;-BV$6,-BV$6-SUM(BV$10:BV334),-ROUNDDOWN($M335*BV$5/100,0)),0)</f>
        <v>0</v>
      </c>
      <c r="BW335" s="38">
        <f>IF(AND(BW$7="○",$A335&gt;=BW$8,$A335&lt;=BW$9),IF(SUM(BW$10:BW334)-ROUNDDOWN($M335*BW$5/100,0)&lt;-BW$6,-BW$6-SUM(BW$10:BW334),-ROUNDDOWN($M335*BW$5/100,0)),0)</f>
        <v>0</v>
      </c>
      <c r="BX335" s="38">
        <f>IF(AND(T335="○",$A335&gt;=BX$8,$A335&lt;=BX$9),IF(SUM(BX$10:BX334)-ROUNDDOWN($K335*BX$5/100,0)&lt;-BX$6,-BX$6-SUM(BX$10:BX334),-ROUNDDOWN($K335*BX$5/100,0)),0)</f>
        <v>0</v>
      </c>
      <c r="BY335" s="38">
        <f>IF(AND(U335="○",$A335&gt;=BY$8,$A335&lt;=BY$9),IF(SUM(BY$10:BY334)-ROUNDDOWN($K335*BY$5/100,0)&lt;-BY$6,-BY$6-SUM(BY$10:BY334),-ROUNDDOWN($K335*BY$5/100,0)),0)</f>
        <v>0</v>
      </c>
      <c r="BZ335" s="38">
        <f>IF(AND(V335="○",$A335&gt;=BZ$8,$A335&lt;=BZ$9),IF(SUM(BZ$10:BZ334)-ROUNDDOWN($K335*BZ$5/100,0)&lt;-BZ$6,-BZ$6-SUM(BZ$10:BZ334),-ROUNDDOWN($K335*BZ$5/100,0)),0)</f>
        <v>0</v>
      </c>
      <c r="CA335" s="38">
        <f>IF(AND(W335="○",$A335&gt;=CA$8,$A335&lt;=CA$9),IF(SUM(CA$10:CA334)-ROUNDDOWN($K335*CA$5/100,0)&lt;-CA$6,-CA$6-SUM(CA$10:CA334),-ROUNDDOWN($K335*CA$5/100,0)),0)</f>
        <v>0</v>
      </c>
      <c r="CB335" s="38"/>
      <c r="CC335" s="38"/>
      <c r="CD335" s="38"/>
      <c r="CE335" s="38"/>
      <c r="CF335" s="38"/>
      <c r="CG335" s="65">
        <f t="shared" si="219"/>
        <v>0</v>
      </c>
      <c r="CH335" s="71">
        <f t="shared" si="220"/>
        <v>0</v>
      </c>
      <c r="CI335" s="1">
        <f t="shared" si="241"/>
        <v>0</v>
      </c>
      <c r="CJ335" s="1"/>
      <c r="CK335" s="79"/>
      <c r="CL335" s="79"/>
      <c r="CM335" s="2"/>
      <c r="CN335" s="2"/>
      <c r="CO335" s="73">
        <f t="shared" si="242"/>
        <v>0</v>
      </c>
      <c r="CP335" s="5">
        <f t="shared" si="243"/>
        <v>0</v>
      </c>
      <c r="CQ335" s="1"/>
      <c r="CR335" s="1">
        <f t="shared" si="244"/>
        <v>0</v>
      </c>
      <c r="CS335" s="1"/>
      <c r="CT335" s="1" t="e">
        <f>INDEX([2]マスタ!$A:$A,MATCH(D335,[2]マスタ!$C:$C,0))</f>
        <v>#N/A</v>
      </c>
      <c r="CU335" s="1" t="str">
        <f t="shared" ca="1" si="245"/>
        <v>20260620_0-0</v>
      </c>
    </row>
    <row r="336" spans="1:99" x14ac:dyDescent="0.4">
      <c r="A336" s="61"/>
      <c r="B336" s="62"/>
      <c r="C336" s="62"/>
      <c r="D336" s="62"/>
      <c r="E336" s="63"/>
      <c r="F336" s="62"/>
      <c r="G336" s="62">
        <v>1</v>
      </c>
      <c r="H336" s="64">
        <f t="shared" si="232"/>
        <v>0</v>
      </c>
      <c r="I336" s="64"/>
      <c r="J336" s="64"/>
      <c r="K336" s="65">
        <f t="shared" ref="K336:K345" si="248">+ROUNDDOWN((H336+I336+J336)/100,0)*100</f>
        <v>0</v>
      </c>
      <c r="L336" s="65">
        <f t="shared" si="234"/>
        <v>0</v>
      </c>
      <c r="M336" s="65">
        <f t="shared" si="235"/>
        <v>0</v>
      </c>
      <c r="N336" s="65">
        <f t="shared" si="236"/>
        <v>0</v>
      </c>
      <c r="O336" s="66" t="str">
        <f t="shared" si="237"/>
        <v>✕</v>
      </c>
      <c r="P336" s="67" t="str">
        <f t="shared" si="238"/>
        <v>○</v>
      </c>
      <c r="Q336" s="67" t="str">
        <f t="shared" ref="Q336:Q345" si="249">+IF((TEXT(A336,"DD")+0)=1,"○","✕")</f>
        <v>✕</v>
      </c>
      <c r="R336" s="67" t="str">
        <f t="shared" si="240"/>
        <v>✕</v>
      </c>
      <c r="S336" s="68">
        <v>0</v>
      </c>
      <c r="T336" s="69" t="s">
        <v>85</v>
      </c>
      <c r="U336" s="69" t="s">
        <v>85</v>
      </c>
      <c r="V336" s="69" t="s">
        <v>85</v>
      </c>
      <c r="W336" s="69" t="s">
        <v>85</v>
      </c>
      <c r="X336" s="69" t="s">
        <v>84</v>
      </c>
      <c r="Y336" s="69" t="s">
        <v>85</v>
      </c>
      <c r="Z336" s="69" t="s">
        <v>85</v>
      </c>
      <c r="AA336" s="69" t="s">
        <v>85</v>
      </c>
      <c r="AB336" s="69" t="s">
        <v>85</v>
      </c>
      <c r="AC336" s="69" t="s">
        <v>85</v>
      </c>
      <c r="AD336" s="38" t="str">
        <f>+IF(ISERROR(VLOOKUP($B336,AD$10:AD335,1,0)),IF(AND($N336&gt;=1000,$A336&gt;=AO$8,$A336&lt;=AO$9),$B336,""),"")</f>
        <v/>
      </c>
      <c r="AE336" s="38" t="str">
        <f>+IF(ISERROR(VLOOKUP($B336,AE$10:AE335,1,0)),IF(AND($N336&gt;=1000,$A336&gt;=AP$8,$A336&lt;=AP$9),$B336,""),"")</f>
        <v/>
      </c>
      <c r="AF336" s="38" t="str">
        <f>+IF(ISERROR(VLOOKUP($B336,AF$10:AF335,1,0)),IF(AND($N336&gt;=1000,$A336&gt;=AQ$8,$A336&lt;=AQ$9),$B336,""),"")</f>
        <v/>
      </c>
      <c r="AG336" s="38" t="str">
        <f>+IF(ISERROR(VLOOKUP($B336,AG$10:AG335,1,0)),IF(AND($N336&gt;=1000,$A336&gt;=AR$8,$A336&lt;=AR$9),$B336,""),"")</f>
        <v/>
      </c>
      <c r="AH336" s="38"/>
      <c r="AI336" s="70">
        <v>0</v>
      </c>
      <c r="AJ336" s="38">
        <f>IF(AND(AJ$7="○",$A336&gt;=AJ$8,$A336&lt;=AJ$9),IF(SUM(AJ$10:AJ335)-ROUNDDOWN($K336*AJ$5/100,0)&lt;-AJ$6,-AJ$6-SUM(AJ$10:AJ335),-ROUNDDOWN($K336*AJ$5/100,0)),0)</f>
        <v>0</v>
      </c>
      <c r="AK336" s="38">
        <f>IF(AND(AK$7="○",$A336&gt;=AK$8,$A336&lt;=AK$9),IF(SUM(AK$10:AK335)-ROUNDDOWN($L336*AK$5/100,0)&lt;-AK$6,-AK$6-SUM(AK$10:AK335),-ROUNDDOWN($L336*AK$5/100,0)),0)</f>
        <v>0</v>
      </c>
      <c r="AL336" s="38">
        <f>IF(AND(AL$7="○",$A336&gt;=AL$8,$A336&lt;=AL$9),IF(SUM(AL$10:AL335)-ROUNDDOWN($N336*AL$5/100,0)&lt;-AL$6,-AL$6-SUM(AL$10:AL335),-ROUNDDOWN($N336*AL$5/100,0)),0)</f>
        <v>0</v>
      </c>
      <c r="AM336" s="38">
        <f>IF(AND(AM$7="○",$A336&gt;=AM$8,$A336&lt;=AM$9),IF(SUM(AM$10:AM335)-ROUNDDOWN($L336*AM$5/100,0)&lt;-AM$6,-AM$6-SUM(AM$10:AM335),-ROUNDDOWN($L336*AM$5/100,0)),0)</f>
        <v>0</v>
      </c>
      <c r="AN336" s="38">
        <f>IF(AND(AN$7="○",$A336&gt;=AN$8,$A336&lt;=AN$9),IF(SUM(AN$10:AN335)-ROUNDDOWN($M336*AN$5/100,0)&lt;-AN$6,-AN$6-SUM(AN$10:AN335),-ROUNDDOWN($M336*AN$5/100,0)),0)</f>
        <v>0</v>
      </c>
      <c r="AO336" s="38">
        <f>IF(AND($A336&gt;=AO$8,$A336&lt;=AO$9),IF(SUM(AO$10:AO335)-ROUNDDOWN($K336*AO$5/100,0)&lt;-AO$6,-AO$6-SUM(AO$10:AO335),-ROUNDDOWN($K336*AO$5/100,0)),0)</f>
        <v>0</v>
      </c>
      <c r="AP336" s="38">
        <f>IF(AND($A336&gt;=AP$8,$A336&lt;=AP$9),IF(SUM(AP$10:AP335)-ROUNDDOWN($K336*AP$5/100,0)&lt;-AP$6,-AP$6-SUM(AP$10:AP335),-ROUNDDOWN($K336*AP$5/100,0)),0)</f>
        <v>0</v>
      </c>
      <c r="AQ336" s="38">
        <f>IF(AND($A336&gt;=AQ$8,$A336&lt;=AQ$9),IF(SUM(AQ$10:AQ335)-ROUNDDOWN($K336*AQ$5/100,0)&lt;-AQ$6,-AQ$6-SUM(AQ$10:AQ335),-ROUNDDOWN($K336*AQ$5/100,0)),0)</f>
        <v>0</v>
      </c>
      <c r="AR336" s="38">
        <f>IF(AND($A336&gt;=AR$8,$A336&lt;=AR$9),IF(SUM(AR$10:AR335)-ROUNDDOWN($K336*AR$5/100,0)&lt;-AR$6,-AR$6-SUM(AR$10:AR335),-ROUNDDOWN($K336*AR$5/100,0)),0)</f>
        <v>0</v>
      </c>
      <c r="AS336" s="38">
        <f>IF(SUMIFS(AS$10:AS335,$A$10:$A335,$A336)-ROUNDDOWN($K336*$S336/100,0)&lt;-$S336*1000,-$S336*1000-SUMIFS(AS$10:AS335,$A$10:$A335,$A336),-ROUNDDOWN($K336*$S336/100,0))</f>
        <v>0</v>
      </c>
      <c r="AT336" s="38">
        <f>IF(AND(X336="○",$A336&gt;=AT$8,$A336&lt;=AT$9,K336&gt;=3980),IF(SUM(AT$10:AT335)-ROUNDDOWN($K336*AT$5/100,0)&lt;-AT$6,-AT$6-SUM(AT$10:AT335),-ROUNDDOWN($K336*AT$5/100,0)),0)</f>
        <v>0</v>
      </c>
      <c r="AU336" s="38">
        <f>IF(O336="○",IF(SUM(AU$10:AU335)-ROUNDDOWN($K336*AU$5/100,0)&lt;-AU$6,-AU$6-SUM(AU$10:AU335),-ROUNDDOWN($K336*AU$5/100,0)),0)</f>
        <v>0</v>
      </c>
      <c r="AV336" s="38">
        <f>IF(P336="○",IF(SUM(AV$10:AV335)-ROUNDDOWN($K336*AV$5/100,0)&lt;-AV$6,-AV$6-SUM(AV$10:AV335),-ROUNDDOWN($K336*AV$5/100,0)),0)</f>
        <v>0</v>
      </c>
      <c r="AW336" s="38">
        <f>IF(Q336="○",IF(SUM(AW$10:AW335)-ROUNDDOWN($K336*AW$5/100,0)&lt;-AW$6,-AW$6-SUM(AW$10:AW335),-ROUNDDOWN($K336*AW$5/100,0)),0)</f>
        <v>0</v>
      </c>
      <c r="AX336" s="38">
        <f>IF(R336="○",IF(SUM(AX$10:AX335)-ROUNDDOWN($K336*AX$5/100,0)&lt;-AX$6,-AX$6-SUM(AX$10:AX335),-ROUNDDOWN($K336*AX$5/100,0)),0)</f>
        <v>0</v>
      </c>
      <c r="AY336" s="70">
        <v>0</v>
      </c>
      <c r="AZ336" s="65">
        <f t="shared" si="213"/>
        <v>0</v>
      </c>
      <c r="BA336" s="65">
        <f t="shared" si="214"/>
        <v>0</v>
      </c>
      <c r="BB336" s="70"/>
      <c r="BC336" s="65">
        <f t="shared" si="215"/>
        <v>0</v>
      </c>
      <c r="BD336" s="70">
        <v>0</v>
      </c>
      <c r="BE336" s="65">
        <f t="shared" si="216"/>
        <v>0</v>
      </c>
      <c r="BF336" s="70">
        <v>0</v>
      </c>
      <c r="BG336" s="65">
        <f t="shared" si="217"/>
        <v>0</v>
      </c>
      <c r="BH336" s="70">
        <v>0</v>
      </c>
      <c r="BI336" s="65">
        <f t="shared" si="218"/>
        <v>0</v>
      </c>
      <c r="BJ336" s="38">
        <f>IF(AND(BJ$7="○",$A336&gt;=BJ$8,$A336&lt;=BJ$9),IF(SUM(BJ$10:BJ335)-ROUNDDOWN($M336*BJ$5/100,0)&lt;-BJ$6,-BJ$6-SUM(BJ$10:BJ335),-ROUNDDOWN($M336*BJ$5/100,0)),0)</f>
        <v>0</v>
      </c>
      <c r="BK336" s="38">
        <f>IF(AND(BK$7="○",$A336&gt;=BK$8,$A336&lt;=BK$9),IF(SUM(BK$10:BK335)-ROUNDDOWN($L336*BK$5/100,0)&lt;-BK$6,-BK$6-SUM(BK$10:BK335),-ROUNDDOWN($L336*BK$5/100,0)),0)</f>
        <v>0</v>
      </c>
      <c r="BL336" s="38">
        <f>IF(AND(BL$7="○",$A336&gt;=BL$8,$A336&lt;=BL$9),IF(SUM(BL$10:BL335)-ROUNDDOWN($L336*BL$5/100,0)&lt;-BL$6,-BL$6-SUM(BL$10:BL335),-ROUNDDOWN($L336*BL$5/100,0)),0)</f>
        <v>0</v>
      </c>
      <c r="BM336" s="38">
        <f>IF(AND(BM$7="○",$A336&gt;=BM$8,$A336&lt;=BM$9),IF(SUM(BM$10:BM335)-ROUNDDOWN($M336*BM$5/100,0)&lt;-BM$6,-BM$6-SUM(BM$10:BM335),-ROUNDDOWN($M336*BM$5/100,0)),0)</f>
        <v>0</v>
      </c>
      <c r="BN336" s="38">
        <f>IF(AND(BN$7="○",$A336&gt;=BN$8,$A336&lt;=BN$9),IF(SUM(BN$10:BN335)-ROUNDDOWN($M336*BN$5/100,0)&lt;-BN$6,-BN$6-SUM(BN$10:BN335),-ROUNDDOWN($M336*BN$5/100,0)),0)</f>
        <v>0</v>
      </c>
      <c r="BO336" s="38">
        <f>IF(AND(BO$7="○",$A336&gt;=BO$8,$A336&lt;=BO$9),IF(SUM(BO$10:BO335)-ROUNDDOWN($M336*BO$5/100,0)&lt;-BO$6,-BO$6-SUM(BO$10:BO335),-ROUNDDOWN($M336*BO$5/100,0)),0)</f>
        <v>0</v>
      </c>
      <c r="BP336" s="38">
        <f>IF(AND(BP$7="○",$A336&gt;=BP$8,$A336&lt;=BP$9),IF(SUM(BP$10:BP335)-ROUNDDOWN($M336*BP$5/100,0)&lt;-BP$6,-BP$6-SUM(BP$10:BP335),-ROUNDDOWN($M336*BP$5/100,0)),0)</f>
        <v>0</v>
      </c>
      <c r="BQ336" s="38">
        <f>IF(AND(BQ$7="○",$A336&gt;=BQ$8,$A336&lt;=BQ$9),IF(SUM(BQ$10:BQ335)-ROUNDDOWN($L336*BQ$5/100,0)&lt;-BQ$6,-BQ$6-SUM(BQ$10:BQ335),-ROUNDDOWN($L336*BQ$5/100,0)),0)</f>
        <v>0</v>
      </c>
      <c r="BR336" s="38">
        <f>IF(AND(BR$7="○",$A336&gt;=BR$8,$A336&lt;=BR$9),IF(SUM(BR$10:BR335)-ROUNDDOWN($M336*BR$5/100,0)&lt;-BR$6,-BR$6-SUM(BR$10:BR335),-ROUNDDOWN($M336*BR$5/100,0)),0)</f>
        <v>0</v>
      </c>
      <c r="BS336" s="38">
        <f>IF(AND(BS$7="○",$A336&gt;=BS$8,$A336&lt;=BS$9),IF(SUM(BS$10:BS335)-ROUNDDOWN($M336*BS$5/100,0)&lt;-BS$6,-BS$6-SUM(BS$10:BS335),-ROUNDDOWN($M336*BS$5/100,0)),0)</f>
        <v>0</v>
      </c>
      <c r="BT336" s="38">
        <f>IF(AND(BT$7="○",$A336&gt;=BT$8,$A336&lt;=BT$9),IF(SUM(BT$10:BT335)-ROUNDDOWN($M336*BT$5/100,0)&lt;-BT$6,-BT$6-SUM(BT$10:BT335),-ROUNDDOWN($M336*BT$5/100,0)),0)</f>
        <v>0</v>
      </c>
      <c r="BU336" s="38">
        <f>IF(AND(BU$7="○",$A336&gt;=BU$8,$A336&lt;=BU$9),IF(SUM(BU$10:BU335)-ROUNDDOWN($M336*BU$5/100,0)&lt;-BU$6,-BU$6-SUM(BU$10:BU335),-ROUNDDOWN($M336*BU$5/100,0)),0)</f>
        <v>0</v>
      </c>
      <c r="BV336" s="38">
        <f>IF(AND(BV$7="○",$A336&gt;=BV$8,$A336&lt;=BV$9),IF(SUM(BV$10:BV335)-ROUNDDOWN($M336*BV$5/100,0)&lt;-BV$6,-BV$6-SUM(BV$10:BV335),-ROUNDDOWN($M336*BV$5/100,0)),0)</f>
        <v>0</v>
      </c>
      <c r="BW336" s="38">
        <f>IF(AND(BW$7="○",$A336&gt;=BW$8,$A336&lt;=BW$9),IF(SUM(BW$10:BW335)-ROUNDDOWN($M336*BW$5/100,0)&lt;-BW$6,-BW$6-SUM(BW$10:BW335),-ROUNDDOWN($M336*BW$5/100,0)),0)</f>
        <v>0</v>
      </c>
      <c r="BX336" s="38">
        <f>IF(AND(T336="○",$A336&gt;=BX$8,$A336&lt;=BX$9),IF(SUM(BX$10:BX335)-ROUNDDOWN($K336*BX$5/100,0)&lt;-BX$6,-BX$6-SUM(BX$10:BX335),-ROUNDDOWN($K336*BX$5/100,0)),0)</f>
        <v>0</v>
      </c>
      <c r="BY336" s="38">
        <f>IF(AND(U336="○",$A336&gt;=BY$8,$A336&lt;=BY$9),IF(SUM(BY$10:BY335)-ROUNDDOWN($K336*BY$5/100,0)&lt;-BY$6,-BY$6-SUM(BY$10:BY335),-ROUNDDOWN($K336*BY$5/100,0)),0)</f>
        <v>0</v>
      </c>
      <c r="BZ336" s="38">
        <f>IF(AND(V336="○",$A336&gt;=BZ$8,$A336&lt;=BZ$9),IF(SUM(BZ$10:BZ335)-ROUNDDOWN($K336*BZ$5/100,0)&lt;-BZ$6,-BZ$6-SUM(BZ$10:BZ335),-ROUNDDOWN($K336*BZ$5/100,0)),0)</f>
        <v>0</v>
      </c>
      <c r="CA336" s="38">
        <f>IF(AND(W336="○",$A336&gt;=CA$8,$A336&lt;=CA$9),IF(SUM(CA$10:CA335)-ROUNDDOWN($K336*CA$5/100,0)&lt;-CA$6,-CA$6-SUM(CA$10:CA335),-ROUNDDOWN($K336*CA$5/100,0)),0)</f>
        <v>0</v>
      </c>
      <c r="CB336" s="38"/>
      <c r="CC336" s="38"/>
      <c r="CD336" s="38"/>
      <c r="CE336" s="38"/>
      <c r="CF336" s="38"/>
      <c r="CG336" s="65">
        <f t="shared" si="219"/>
        <v>0</v>
      </c>
      <c r="CH336" s="71">
        <f t="shared" si="220"/>
        <v>0</v>
      </c>
      <c r="CI336" s="1">
        <f t="shared" si="241"/>
        <v>0</v>
      </c>
      <c r="CJ336" s="1"/>
      <c r="CK336" s="72"/>
      <c r="CL336" s="72"/>
      <c r="CM336" s="2"/>
      <c r="CN336" s="2"/>
      <c r="CO336" s="73">
        <f t="shared" si="242"/>
        <v>0</v>
      </c>
      <c r="CP336" s="5">
        <f t="shared" si="243"/>
        <v>0</v>
      </c>
      <c r="CQ336" s="1"/>
      <c r="CR336" s="1">
        <f t="shared" si="244"/>
        <v>0</v>
      </c>
      <c r="CS336" s="1"/>
      <c r="CT336" s="1" t="e">
        <f>INDEX([2]マスタ!$A:$A,MATCH(D336,[2]マスタ!$C:$C,0))</f>
        <v>#N/A</v>
      </c>
      <c r="CU336" s="1" t="str">
        <f t="shared" ca="1" si="245"/>
        <v>20260620_0-0</v>
      </c>
    </row>
    <row r="337" spans="1:99" x14ac:dyDescent="0.4">
      <c r="A337" s="61"/>
      <c r="B337" s="62"/>
      <c r="C337" s="62"/>
      <c r="D337" s="62"/>
      <c r="E337" s="63"/>
      <c r="F337" s="62"/>
      <c r="G337" s="62">
        <v>1</v>
      </c>
      <c r="H337" s="64">
        <f t="shared" si="232"/>
        <v>0</v>
      </c>
      <c r="I337" s="64"/>
      <c r="J337" s="64"/>
      <c r="K337" s="65">
        <f t="shared" si="248"/>
        <v>0</v>
      </c>
      <c r="L337" s="65">
        <f t="shared" si="234"/>
        <v>0</v>
      </c>
      <c r="M337" s="65">
        <f t="shared" si="235"/>
        <v>0</v>
      </c>
      <c r="N337" s="65">
        <f t="shared" si="236"/>
        <v>0</v>
      </c>
      <c r="O337" s="66" t="str">
        <f t="shared" si="237"/>
        <v>✕</v>
      </c>
      <c r="P337" s="67" t="str">
        <f t="shared" si="238"/>
        <v>○</v>
      </c>
      <c r="Q337" s="67" t="str">
        <f t="shared" si="249"/>
        <v>✕</v>
      </c>
      <c r="R337" s="67" t="str">
        <f t="shared" si="240"/>
        <v>✕</v>
      </c>
      <c r="S337" s="68">
        <v>0</v>
      </c>
      <c r="T337" s="69" t="s">
        <v>85</v>
      </c>
      <c r="U337" s="69" t="s">
        <v>85</v>
      </c>
      <c r="V337" s="69" t="s">
        <v>85</v>
      </c>
      <c r="W337" s="69" t="s">
        <v>85</v>
      </c>
      <c r="X337" s="69" t="s">
        <v>84</v>
      </c>
      <c r="Y337" s="69" t="s">
        <v>85</v>
      </c>
      <c r="Z337" s="69" t="s">
        <v>85</v>
      </c>
      <c r="AA337" s="69" t="s">
        <v>85</v>
      </c>
      <c r="AB337" s="69" t="s">
        <v>85</v>
      </c>
      <c r="AC337" s="69" t="s">
        <v>85</v>
      </c>
      <c r="AD337" s="38" t="str">
        <f>+IF(ISERROR(VLOOKUP($B337,AD$10:AD336,1,0)),IF(AND($N337&gt;=1000,$A337&gt;=AO$8,$A337&lt;=AO$9),$B337,""),"")</f>
        <v/>
      </c>
      <c r="AE337" s="38" t="str">
        <f>+IF(ISERROR(VLOOKUP($B337,AE$10:AE336,1,0)),IF(AND($N337&gt;=1000,$A337&gt;=AP$8,$A337&lt;=AP$9),$B337,""),"")</f>
        <v/>
      </c>
      <c r="AF337" s="38" t="str">
        <f>+IF(ISERROR(VLOOKUP($B337,AF$10:AF336,1,0)),IF(AND($N337&gt;=1000,$A337&gt;=AQ$8,$A337&lt;=AQ$9),$B337,""),"")</f>
        <v/>
      </c>
      <c r="AG337" s="38" t="str">
        <f>+IF(ISERROR(VLOOKUP($B337,AG$10:AG336,1,0)),IF(AND($N337&gt;=1000,$A337&gt;=AR$8,$A337&lt;=AR$9),$B337,""),"")</f>
        <v/>
      </c>
      <c r="AH337" s="38"/>
      <c r="AI337" s="70">
        <v>0</v>
      </c>
      <c r="AJ337" s="38">
        <f>IF(AND(AJ$7="○",$A337&gt;=AJ$8,$A337&lt;=AJ$9),IF(SUM(AJ$10:AJ336)-ROUNDDOWN($K337*AJ$5/100,0)&lt;-AJ$6,-AJ$6-SUM(AJ$10:AJ336),-ROUNDDOWN($K337*AJ$5/100,0)),0)</f>
        <v>0</v>
      </c>
      <c r="AK337" s="38">
        <f>IF(AND(AK$7="○",$A337&gt;=AK$8,$A337&lt;=AK$9),IF(SUM(AK$10:AK336)-ROUNDDOWN($L337*AK$5/100,0)&lt;-AK$6,-AK$6-SUM(AK$10:AK336),-ROUNDDOWN($L337*AK$5/100,0)),0)</f>
        <v>0</v>
      </c>
      <c r="AL337" s="38">
        <f>IF(AND(AL$7="○",$A337&gt;=AL$8,$A337&lt;=AL$9),IF(SUM(AL$10:AL336)-ROUNDDOWN($N337*AL$5/100,0)&lt;-AL$6,-AL$6-SUM(AL$10:AL336),-ROUNDDOWN($N337*AL$5/100,0)),0)</f>
        <v>0</v>
      </c>
      <c r="AM337" s="38">
        <f>IF(AND(AM$7="○",$A337&gt;=AM$8,$A337&lt;=AM$9),IF(SUM(AM$10:AM336)-ROUNDDOWN($L337*AM$5/100,0)&lt;-AM$6,-AM$6-SUM(AM$10:AM336),-ROUNDDOWN($L337*AM$5/100,0)),0)</f>
        <v>0</v>
      </c>
      <c r="AN337" s="38">
        <f>IF(AND(AN$7="○",$A337&gt;=AN$8,$A337&lt;=AN$9),IF(SUM(AN$10:AN336)-ROUNDDOWN($M337*AN$5/100,0)&lt;-AN$6,-AN$6-SUM(AN$10:AN336),-ROUNDDOWN($M337*AN$5/100,0)),0)</f>
        <v>0</v>
      </c>
      <c r="AO337" s="38">
        <f>IF(AND($A337&gt;=AO$8,$A337&lt;=AO$9),IF(SUM(AO$10:AO336)-ROUNDDOWN($K337*AO$5/100,0)&lt;-AO$6,-AO$6-SUM(AO$10:AO336),-ROUNDDOWN($K337*AO$5/100,0)),0)</f>
        <v>0</v>
      </c>
      <c r="AP337" s="38">
        <f>IF(AND($A337&gt;=AP$8,$A337&lt;=AP$9),IF(SUM(AP$10:AP336)-ROUNDDOWN($K337*AP$5/100,0)&lt;-AP$6,-AP$6-SUM(AP$10:AP336),-ROUNDDOWN($K337*AP$5/100,0)),0)</f>
        <v>0</v>
      </c>
      <c r="AQ337" s="38">
        <f>IF(AND($A337&gt;=AQ$8,$A337&lt;=AQ$9),IF(SUM(AQ$10:AQ336)-ROUNDDOWN($K337*AQ$5/100,0)&lt;-AQ$6,-AQ$6-SUM(AQ$10:AQ336),-ROUNDDOWN($K337*AQ$5/100,0)),0)</f>
        <v>0</v>
      </c>
      <c r="AR337" s="38">
        <f>IF(AND($A337&gt;=AR$8,$A337&lt;=AR$9),IF(SUM(AR$10:AR336)-ROUNDDOWN($K337*AR$5/100,0)&lt;-AR$6,-AR$6-SUM(AR$10:AR336),-ROUNDDOWN($K337*AR$5/100,0)),0)</f>
        <v>0</v>
      </c>
      <c r="AS337" s="38">
        <f>IF(SUMIFS(AS$10:AS336,$A$10:$A336,$A337)-ROUNDDOWN($K337*$S337/100,0)&lt;-$S337*1000,-$S337*1000-SUMIFS(AS$10:AS336,$A$10:$A336,$A337),-ROUNDDOWN($K337*$S337/100,0))</f>
        <v>0</v>
      </c>
      <c r="AT337" s="38">
        <f>IF(AND(X337="○",$A337&gt;=AT$8,$A337&lt;=AT$9,K337&gt;=3980),IF(SUM(AT$10:AT336)-ROUNDDOWN($K337*AT$5/100,0)&lt;-AT$6,-AT$6-SUM(AT$10:AT336),-ROUNDDOWN($K337*AT$5/100,0)),0)</f>
        <v>0</v>
      </c>
      <c r="AU337" s="38">
        <f>IF(O337="○",IF(SUM(AU$10:AU336)-ROUNDDOWN($K337*AU$5/100,0)&lt;-AU$6,-AU$6-SUM(AU$10:AU336),-ROUNDDOWN($K337*AU$5/100,0)),0)</f>
        <v>0</v>
      </c>
      <c r="AV337" s="38">
        <f>IF(P337="○",IF(SUM(AV$10:AV336)-ROUNDDOWN($K337*AV$5/100,0)&lt;-AV$6,-AV$6-SUM(AV$10:AV336),-ROUNDDOWN($K337*AV$5/100,0)),0)</f>
        <v>0</v>
      </c>
      <c r="AW337" s="38">
        <f>IF(Q337="○",IF(SUM(AW$10:AW336)-ROUNDDOWN($K337*AW$5/100,0)&lt;-AW$6,-AW$6-SUM(AW$10:AW336),-ROUNDDOWN($K337*AW$5/100,0)),0)</f>
        <v>0</v>
      </c>
      <c r="AX337" s="38">
        <f>IF(R337="○",IF(SUM(AX$10:AX336)-ROUNDDOWN($K337*AX$5/100,0)&lt;-AX$6,-AX$6-SUM(AX$10:AX336),-ROUNDDOWN($K337*AX$5/100,0)),0)</f>
        <v>0</v>
      </c>
      <c r="AY337" s="70">
        <v>0</v>
      </c>
      <c r="AZ337" s="65">
        <f t="shared" si="213"/>
        <v>0</v>
      </c>
      <c r="BA337" s="65">
        <f t="shared" si="214"/>
        <v>0</v>
      </c>
      <c r="BB337" s="70"/>
      <c r="BC337" s="65">
        <f t="shared" si="215"/>
        <v>0</v>
      </c>
      <c r="BD337" s="70">
        <v>0</v>
      </c>
      <c r="BE337" s="65">
        <f t="shared" si="216"/>
        <v>0</v>
      </c>
      <c r="BF337" s="70">
        <v>0</v>
      </c>
      <c r="BG337" s="65">
        <f t="shared" si="217"/>
        <v>0</v>
      </c>
      <c r="BH337" s="70">
        <v>0</v>
      </c>
      <c r="BI337" s="65">
        <f t="shared" si="218"/>
        <v>0</v>
      </c>
      <c r="BJ337" s="38">
        <f>IF(AND(BJ$7="○",$A337&gt;=BJ$8,$A337&lt;=BJ$9),IF(SUM(BJ$10:BJ336)-ROUNDDOWN($M337*BJ$5/100,0)&lt;-BJ$6,-BJ$6-SUM(BJ$10:BJ336),-ROUNDDOWN($M337*BJ$5/100,0)),0)</f>
        <v>0</v>
      </c>
      <c r="BK337" s="38">
        <f>IF(AND(BK$7="○",$A337&gt;=BK$8,$A337&lt;=BK$9),IF(SUM(BK$10:BK336)-ROUNDDOWN($L337*BK$5/100,0)&lt;-BK$6,-BK$6-SUM(BK$10:BK336),-ROUNDDOWN($L337*BK$5/100,0)),0)</f>
        <v>0</v>
      </c>
      <c r="BL337" s="38">
        <f>IF(AND(BL$7="○",$A337&gt;=BL$8,$A337&lt;=BL$9),IF(SUM(BL$10:BL336)-ROUNDDOWN($L337*BL$5/100,0)&lt;-BL$6,-BL$6-SUM(BL$10:BL336),-ROUNDDOWN($L337*BL$5/100,0)),0)</f>
        <v>0</v>
      </c>
      <c r="BM337" s="38">
        <f>IF(AND(BM$7="○",$A337&gt;=BM$8,$A337&lt;=BM$9),IF(SUM(BM$10:BM336)-ROUNDDOWN($M337*BM$5/100,0)&lt;-BM$6,-BM$6-SUM(BM$10:BM336),-ROUNDDOWN($M337*BM$5/100,0)),0)</f>
        <v>0</v>
      </c>
      <c r="BN337" s="38">
        <f>IF(AND(BN$7="○",$A337&gt;=BN$8,$A337&lt;=BN$9),IF(SUM(BN$10:BN336)-ROUNDDOWN($M337*BN$5/100,0)&lt;-BN$6,-BN$6-SUM(BN$10:BN336),-ROUNDDOWN($M337*BN$5/100,0)),0)</f>
        <v>0</v>
      </c>
      <c r="BO337" s="38">
        <f>IF(AND(BO$7="○",$A337&gt;=BO$8,$A337&lt;=BO$9),IF(SUM(BO$10:BO336)-ROUNDDOWN($M337*BO$5/100,0)&lt;-BO$6,-BO$6-SUM(BO$10:BO336),-ROUNDDOWN($M337*BO$5/100,0)),0)</f>
        <v>0</v>
      </c>
      <c r="BP337" s="38">
        <f>IF(AND(BP$7="○",$A337&gt;=BP$8,$A337&lt;=BP$9),IF(SUM(BP$10:BP336)-ROUNDDOWN($M337*BP$5/100,0)&lt;-BP$6,-BP$6-SUM(BP$10:BP336),-ROUNDDOWN($M337*BP$5/100,0)),0)</f>
        <v>0</v>
      </c>
      <c r="BQ337" s="38">
        <f>IF(AND(BQ$7="○",$A337&gt;=BQ$8,$A337&lt;=BQ$9),IF(SUM(BQ$10:BQ336)-ROUNDDOWN($L337*BQ$5/100,0)&lt;-BQ$6,-BQ$6-SUM(BQ$10:BQ336),-ROUNDDOWN($L337*BQ$5/100,0)),0)</f>
        <v>0</v>
      </c>
      <c r="BR337" s="38">
        <f>IF(AND(BR$7="○",$A337&gt;=BR$8,$A337&lt;=BR$9),IF(SUM(BR$10:BR336)-ROUNDDOWN($M337*BR$5/100,0)&lt;-BR$6,-BR$6-SUM(BR$10:BR336),-ROUNDDOWN($M337*BR$5/100,0)),0)</f>
        <v>0</v>
      </c>
      <c r="BS337" s="38">
        <f>IF(AND(BS$7="○",$A337&gt;=BS$8,$A337&lt;=BS$9),IF(SUM(BS$10:BS336)-ROUNDDOWN($M337*BS$5/100,0)&lt;-BS$6,-BS$6-SUM(BS$10:BS336),-ROUNDDOWN($M337*BS$5/100,0)),0)</f>
        <v>0</v>
      </c>
      <c r="BT337" s="38">
        <f>IF(AND(BT$7="○",$A337&gt;=BT$8,$A337&lt;=BT$9),IF(SUM(BT$10:BT336)-ROUNDDOWN($M337*BT$5/100,0)&lt;-BT$6,-BT$6-SUM(BT$10:BT336),-ROUNDDOWN($M337*BT$5/100,0)),0)</f>
        <v>0</v>
      </c>
      <c r="BU337" s="38">
        <f>IF(AND(BU$7="○",$A337&gt;=BU$8,$A337&lt;=BU$9),IF(SUM(BU$10:BU336)-ROUNDDOWN($M337*BU$5/100,0)&lt;-BU$6,-BU$6-SUM(BU$10:BU336),-ROUNDDOWN($M337*BU$5/100,0)),0)</f>
        <v>0</v>
      </c>
      <c r="BV337" s="38">
        <f>IF(AND(BV$7="○",$A337&gt;=BV$8,$A337&lt;=BV$9),IF(SUM(BV$10:BV336)-ROUNDDOWN($M337*BV$5/100,0)&lt;-BV$6,-BV$6-SUM(BV$10:BV336),-ROUNDDOWN($M337*BV$5/100,0)),0)</f>
        <v>0</v>
      </c>
      <c r="BW337" s="38">
        <f>IF(AND(BW$7="○",$A337&gt;=BW$8,$A337&lt;=BW$9),IF(SUM(BW$10:BW336)-ROUNDDOWN($M337*BW$5/100,0)&lt;-BW$6,-BW$6-SUM(BW$10:BW336),-ROUNDDOWN($M337*BW$5/100,0)),0)</f>
        <v>0</v>
      </c>
      <c r="BX337" s="38">
        <f>IF(AND(T337="○",$A337&gt;=BX$8,$A337&lt;=BX$9),IF(SUM(BX$10:BX336)-ROUNDDOWN($K337*BX$5/100,0)&lt;-BX$6,-BX$6-SUM(BX$10:BX336),-ROUNDDOWN($K337*BX$5/100,0)),0)</f>
        <v>0</v>
      </c>
      <c r="BY337" s="38">
        <f>IF(AND(U337="○",$A337&gt;=BY$8,$A337&lt;=BY$9),IF(SUM(BY$10:BY336)-ROUNDDOWN($K337*BY$5/100,0)&lt;-BY$6,-BY$6-SUM(BY$10:BY336),-ROUNDDOWN($K337*BY$5/100,0)),0)</f>
        <v>0</v>
      </c>
      <c r="BZ337" s="38">
        <f>IF(AND(V337="○",$A337&gt;=BZ$8,$A337&lt;=BZ$9),IF(SUM(BZ$10:BZ336)-ROUNDDOWN($K337*BZ$5/100,0)&lt;-BZ$6,-BZ$6-SUM(BZ$10:BZ336),-ROUNDDOWN($K337*BZ$5/100,0)),0)</f>
        <v>0</v>
      </c>
      <c r="CA337" s="38">
        <f>IF(AND(W337="○",$A337&gt;=CA$8,$A337&lt;=CA$9),IF(SUM(CA$10:CA336)-ROUNDDOWN($K337*CA$5/100,0)&lt;-CA$6,-CA$6-SUM(CA$10:CA336),-ROUNDDOWN($K337*CA$5/100,0)),0)</f>
        <v>0</v>
      </c>
      <c r="CB337" s="38"/>
      <c r="CC337" s="38"/>
      <c r="CD337" s="38"/>
      <c r="CE337" s="38"/>
      <c r="CF337" s="38"/>
      <c r="CG337" s="65">
        <f t="shared" si="219"/>
        <v>0</v>
      </c>
      <c r="CH337" s="71">
        <f t="shared" si="220"/>
        <v>0</v>
      </c>
      <c r="CI337" s="1">
        <f t="shared" si="241"/>
        <v>0</v>
      </c>
      <c r="CJ337" s="1"/>
      <c r="CK337" s="72"/>
      <c r="CL337" s="72"/>
      <c r="CM337" s="2"/>
      <c r="CN337" s="2"/>
      <c r="CO337" s="73">
        <f t="shared" si="242"/>
        <v>0</v>
      </c>
      <c r="CP337" s="5">
        <f t="shared" si="243"/>
        <v>0</v>
      </c>
      <c r="CQ337" s="1"/>
      <c r="CR337" s="1">
        <f t="shared" si="244"/>
        <v>0</v>
      </c>
      <c r="CS337" s="1"/>
      <c r="CT337" s="1" t="e">
        <f>INDEX([2]マスタ!$A:$A,MATCH(D337,[2]マスタ!$C:$C,0))</f>
        <v>#N/A</v>
      </c>
      <c r="CU337" s="1" t="str">
        <f t="shared" ca="1" si="245"/>
        <v>20260620_0-0</v>
      </c>
    </row>
    <row r="338" spans="1:99" x14ac:dyDescent="0.4">
      <c r="A338" s="61"/>
      <c r="B338" s="62"/>
      <c r="C338" s="62"/>
      <c r="D338" s="63"/>
      <c r="E338" s="63"/>
      <c r="F338" s="62"/>
      <c r="G338" s="62">
        <v>1</v>
      </c>
      <c r="H338" s="64">
        <f t="shared" si="232"/>
        <v>0</v>
      </c>
      <c r="I338" s="64"/>
      <c r="J338" s="64"/>
      <c r="K338" s="65">
        <f t="shared" si="248"/>
        <v>0</v>
      </c>
      <c r="L338" s="65">
        <f t="shared" si="234"/>
        <v>0</v>
      </c>
      <c r="M338" s="65">
        <f t="shared" si="235"/>
        <v>0</v>
      </c>
      <c r="N338" s="65">
        <f t="shared" si="236"/>
        <v>0</v>
      </c>
      <c r="O338" s="66" t="str">
        <f t="shared" si="237"/>
        <v>✕</v>
      </c>
      <c r="P338" s="67" t="str">
        <f t="shared" si="238"/>
        <v>○</v>
      </c>
      <c r="Q338" s="67" t="str">
        <f t="shared" si="249"/>
        <v>✕</v>
      </c>
      <c r="R338" s="67" t="str">
        <f t="shared" si="240"/>
        <v>✕</v>
      </c>
      <c r="S338" s="68">
        <v>0</v>
      </c>
      <c r="T338" s="69" t="s">
        <v>85</v>
      </c>
      <c r="U338" s="69" t="s">
        <v>85</v>
      </c>
      <c r="V338" s="69" t="s">
        <v>85</v>
      </c>
      <c r="W338" s="69" t="s">
        <v>85</v>
      </c>
      <c r="X338" s="69" t="s">
        <v>84</v>
      </c>
      <c r="Y338" s="69" t="s">
        <v>85</v>
      </c>
      <c r="Z338" s="69" t="s">
        <v>85</v>
      </c>
      <c r="AA338" s="69" t="s">
        <v>85</v>
      </c>
      <c r="AB338" s="69" t="s">
        <v>85</v>
      </c>
      <c r="AC338" s="69" t="s">
        <v>85</v>
      </c>
      <c r="AD338" s="38" t="str">
        <f>+IF(ISERROR(VLOOKUP($B338,AD$10:AD337,1,0)),IF(AND($N338&gt;=1000,$A338&gt;=AO$8,$A338&lt;=AO$9),$B338,""),"")</f>
        <v/>
      </c>
      <c r="AE338" s="38" t="str">
        <f>+IF(ISERROR(VLOOKUP($B338,AE$10:AE337,1,0)),IF(AND($N338&gt;=1000,$A338&gt;=AP$8,$A338&lt;=AP$9),$B338,""),"")</f>
        <v/>
      </c>
      <c r="AF338" s="38" t="str">
        <f>+IF(ISERROR(VLOOKUP($B338,AF$10:AF337,1,0)),IF(AND($N338&gt;=1000,$A338&gt;=AQ$8,$A338&lt;=AQ$9),$B338,""),"")</f>
        <v/>
      </c>
      <c r="AG338" s="38" t="str">
        <f>+IF(ISERROR(VLOOKUP($B338,AG$10:AG337,1,0)),IF(AND($N338&gt;=1000,$A338&gt;=AR$8,$A338&lt;=AR$9),$B338,""),"")</f>
        <v/>
      </c>
      <c r="AH338" s="38"/>
      <c r="AI338" s="70">
        <v>0</v>
      </c>
      <c r="AJ338" s="38">
        <f>IF(AND(AJ$7="○",$A338&gt;=AJ$8,$A338&lt;=AJ$9),IF(SUM(AJ$10:AJ337)-ROUNDDOWN($K338*AJ$5/100,0)&lt;-AJ$6,-AJ$6-SUM(AJ$10:AJ337),-ROUNDDOWN($K338*AJ$5/100,0)),0)</f>
        <v>0</v>
      </c>
      <c r="AK338" s="38">
        <f>IF(AND(AK$7="○",$A338&gt;=AK$8,$A338&lt;=AK$9),IF(SUM(AK$10:AK337)-ROUNDDOWN($L338*AK$5/100,0)&lt;-AK$6,-AK$6-SUM(AK$10:AK337),-ROUNDDOWN($L338*AK$5/100,0)),0)</f>
        <v>0</v>
      </c>
      <c r="AL338" s="38">
        <f>IF(AND(AL$7="○",$A338&gt;=AL$8,$A338&lt;=AL$9),IF(SUM(AL$10:AL337)-ROUNDDOWN($N338*AL$5/100,0)&lt;-AL$6,-AL$6-SUM(AL$10:AL337),-ROUNDDOWN($N338*AL$5/100,0)),0)</f>
        <v>0</v>
      </c>
      <c r="AM338" s="38">
        <f>IF(AND(AM$7="○",$A338&gt;=AM$8,$A338&lt;=AM$9),IF(SUM(AM$10:AM337)-ROUNDDOWN($L338*AM$5/100,0)&lt;-AM$6,-AM$6-SUM(AM$10:AM337),-ROUNDDOWN($L338*AM$5/100,0)),0)</f>
        <v>0</v>
      </c>
      <c r="AN338" s="38">
        <f>IF(AND(AN$7="○",$A338&gt;=AN$8,$A338&lt;=AN$9),IF(SUM(AN$10:AN337)-ROUNDDOWN($M338*AN$5/100,0)&lt;-AN$6,-AN$6-SUM(AN$10:AN337),-ROUNDDOWN($M338*AN$5/100,0)),0)</f>
        <v>0</v>
      </c>
      <c r="AO338" s="38">
        <f>IF(AND($A338&gt;=AO$8,$A338&lt;=AO$9),IF(SUM(AO$10:AO337)-ROUNDDOWN($K338*AO$5/100,0)&lt;-AO$6,-AO$6-SUM(AO$10:AO337),-ROUNDDOWN($K338*AO$5/100,0)),0)</f>
        <v>0</v>
      </c>
      <c r="AP338" s="38">
        <f>IF(AND($A338&gt;=AP$8,$A338&lt;=AP$9),IF(SUM(AP$10:AP337)-ROUNDDOWN($K338*AP$5/100,0)&lt;-AP$6,-AP$6-SUM(AP$10:AP337),-ROUNDDOWN($K338*AP$5/100,0)),0)</f>
        <v>0</v>
      </c>
      <c r="AQ338" s="38">
        <f>IF(AND($A338&gt;=AQ$8,$A338&lt;=AQ$9),IF(SUM(AQ$10:AQ337)-ROUNDDOWN($K338*AQ$5/100,0)&lt;-AQ$6,-AQ$6-SUM(AQ$10:AQ337),-ROUNDDOWN($K338*AQ$5/100,0)),0)</f>
        <v>0</v>
      </c>
      <c r="AR338" s="38">
        <f>IF(AND($A338&gt;=AR$8,$A338&lt;=AR$9),IF(SUM(AR$10:AR337)-ROUNDDOWN($K338*AR$5/100,0)&lt;-AR$6,-AR$6-SUM(AR$10:AR337),-ROUNDDOWN($K338*AR$5/100,0)),0)</f>
        <v>0</v>
      </c>
      <c r="AS338" s="38">
        <f>IF(SUMIFS(AS$10:AS337,$A$10:$A337,$A338)-ROUNDDOWN($K338*$S338/100,0)&lt;-$S338*1000,-$S338*1000-SUMIFS(AS$10:AS337,$A$10:$A337,$A338),-ROUNDDOWN($K338*$S338/100,0))</f>
        <v>0</v>
      </c>
      <c r="AT338" s="38">
        <f>IF(AND(X338="○",$A338&gt;=AT$8,$A338&lt;=AT$9,K338&gt;=3980),IF(SUM(AT$10:AT337)-ROUNDDOWN($K338*AT$5/100,0)&lt;-AT$6,-AT$6-SUM(AT$10:AT337),-ROUNDDOWN($K338*AT$5/100,0)),0)</f>
        <v>0</v>
      </c>
      <c r="AU338" s="38">
        <f>IF(O338="○",IF(SUM(AU$10:AU337)-ROUNDDOWN($K338*AU$5/100,0)&lt;-AU$6,-AU$6-SUM(AU$10:AU337),-ROUNDDOWN($K338*AU$5/100,0)),0)</f>
        <v>0</v>
      </c>
      <c r="AV338" s="38">
        <f>IF(P338="○",IF(SUM(AV$10:AV337)-ROUNDDOWN($K338*AV$5/100,0)&lt;-AV$6,-AV$6-SUM(AV$10:AV337),-ROUNDDOWN($K338*AV$5/100,0)),0)</f>
        <v>0</v>
      </c>
      <c r="AW338" s="38">
        <f>IF(Q338="○",IF(SUM(AW$10:AW337)-ROUNDDOWN($K338*AW$5/100,0)&lt;-AW$6,-AW$6-SUM(AW$10:AW337),-ROUNDDOWN($K338*AW$5/100,0)),0)</f>
        <v>0</v>
      </c>
      <c r="AX338" s="38">
        <f>IF(R338="○",IF(SUM(AX$10:AX337)-ROUNDDOWN($K338*AX$5/100,0)&lt;-AX$6,-AX$6-SUM(AX$10:AX337),-ROUNDDOWN($K338*AX$5/100,0)),0)</f>
        <v>0</v>
      </c>
      <c r="AY338" s="70">
        <v>0</v>
      </c>
      <c r="AZ338" s="65">
        <f t="shared" si="213"/>
        <v>0</v>
      </c>
      <c r="BA338" s="65">
        <f t="shared" si="214"/>
        <v>0</v>
      </c>
      <c r="BB338" s="70"/>
      <c r="BC338" s="65">
        <f t="shared" si="215"/>
        <v>0</v>
      </c>
      <c r="BD338" s="70">
        <v>0</v>
      </c>
      <c r="BE338" s="65">
        <f t="shared" si="216"/>
        <v>0</v>
      </c>
      <c r="BF338" s="70">
        <v>0</v>
      </c>
      <c r="BG338" s="65">
        <f t="shared" si="217"/>
        <v>0</v>
      </c>
      <c r="BH338" s="70">
        <v>0</v>
      </c>
      <c r="BI338" s="65">
        <f t="shared" si="218"/>
        <v>0</v>
      </c>
      <c r="BJ338" s="38">
        <f>IF(AND(BJ$7="○",$A338&gt;=BJ$8,$A338&lt;=BJ$9),IF(SUM(BJ$10:BJ337)-ROUNDDOWN($M338*BJ$5/100,0)&lt;-BJ$6,-BJ$6-SUM(BJ$10:BJ337),-ROUNDDOWN($M338*BJ$5/100,0)),0)</f>
        <v>0</v>
      </c>
      <c r="BK338" s="38">
        <f>IF(AND(BK$7="○",$A338&gt;=BK$8,$A338&lt;=BK$9),IF(SUM(BK$10:BK337)-ROUNDDOWN($L338*BK$5/100,0)&lt;-BK$6,-BK$6-SUM(BK$10:BK337),-ROUNDDOWN($L338*BK$5/100,0)),0)</f>
        <v>0</v>
      </c>
      <c r="BL338" s="38">
        <f>IF(AND(BL$7="○",$A338&gt;=BL$8,$A338&lt;=BL$9),IF(SUM(BL$10:BL337)-ROUNDDOWN($L338*BL$5/100,0)&lt;-BL$6,-BL$6-SUM(BL$10:BL337),-ROUNDDOWN($L338*BL$5/100,0)),0)</f>
        <v>0</v>
      </c>
      <c r="BM338" s="38">
        <f>IF(AND(BM$7="○",$A338&gt;=BM$8,$A338&lt;=BM$9),IF(SUM(BM$10:BM337)-ROUNDDOWN($M338*BM$5/100,0)&lt;-BM$6,-BM$6-SUM(BM$10:BM337),-ROUNDDOWN($M338*BM$5/100,0)),0)</f>
        <v>0</v>
      </c>
      <c r="BN338" s="38">
        <f>IF(AND(BN$7="○",$A338&gt;=BN$8,$A338&lt;=BN$9),IF(SUM(BN$10:BN337)-ROUNDDOWN($M338*BN$5/100,0)&lt;-BN$6,-BN$6-SUM(BN$10:BN337),-ROUNDDOWN($M338*BN$5/100,0)),0)</f>
        <v>0</v>
      </c>
      <c r="BO338" s="38">
        <f>IF(AND(BO$7="○",$A338&gt;=BO$8,$A338&lt;=BO$9),IF(SUM(BO$10:BO337)-ROUNDDOWN($M338*BO$5/100,0)&lt;-BO$6,-BO$6-SUM(BO$10:BO337),-ROUNDDOWN($M338*BO$5/100,0)),0)</f>
        <v>0</v>
      </c>
      <c r="BP338" s="38">
        <f>IF(AND(BP$7="○",$A338&gt;=BP$8,$A338&lt;=BP$9),IF(SUM(BP$10:BP337)-ROUNDDOWN($M338*BP$5/100,0)&lt;-BP$6,-BP$6-SUM(BP$10:BP337),-ROUNDDOWN($M338*BP$5/100,0)),0)</f>
        <v>0</v>
      </c>
      <c r="BQ338" s="38">
        <f>IF(AND(BQ$7="○",$A338&gt;=BQ$8,$A338&lt;=BQ$9),IF(SUM(BQ$10:BQ337)-ROUNDDOWN($L338*BQ$5/100,0)&lt;-BQ$6,-BQ$6-SUM(BQ$10:BQ337),-ROUNDDOWN($L338*BQ$5/100,0)),0)</f>
        <v>0</v>
      </c>
      <c r="BR338" s="38">
        <f>IF(AND(BR$7="○",$A338&gt;=BR$8,$A338&lt;=BR$9),IF(SUM(BR$10:BR337)-ROUNDDOWN($M338*BR$5/100,0)&lt;-BR$6,-BR$6-SUM(BR$10:BR337),-ROUNDDOWN($M338*BR$5/100,0)),0)</f>
        <v>0</v>
      </c>
      <c r="BS338" s="38">
        <f>IF(AND(BS$7="○",$A338&gt;=BS$8,$A338&lt;=BS$9),IF(SUM(BS$10:BS337)-ROUNDDOWN($M338*BS$5/100,0)&lt;-BS$6,-BS$6-SUM(BS$10:BS337),-ROUNDDOWN($M338*BS$5/100,0)),0)</f>
        <v>0</v>
      </c>
      <c r="BT338" s="38">
        <f>IF(AND(BT$7="○",$A338&gt;=BT$8,$A338&lt;=BT$9),IF(SUM(BT$10:BT337)-ROUNDDOWN($M338*BT$5/100,0)&lt;-BT$6,-BT$6-SUM(BT$10:BT337),-ROUNDDOWN($M338*BT$5/100,0)),0)</f>
        <v>0</v>
      </c>
      <c r="BU338" s="38">
        <f>IF(AND(BU$7="○",$A338&gt;=BU$8,$A338&lt;=BU$9),IF(SUM(BU$10:BU337)-ROUNDDOWN($M338*BU$5/100,0)&lt;-BU$6,-BU$6-SUM(BU$10:BU337),-ROUNDDOWN($M338*BU$5/100,0)),0)</f>
        <v>0</v>
      </c>
      <c r="BV338" s="38">
        <f>IF(AND(BV$7="○",$A338&gt;=BV$8,$A338&lt;=BV$9),IF(SUM(BV$10:BV337)-ROUNDDOWN($M338*BV$5/100,0)&lt;-BV$6,-BV$6-SUM(BV$10:BV337),-ROUNDDOWN($M338*BV$5/100,0)),0)</f>
        <v>0</v>
      </c>
      <c r="BW338" s="38">
        <f>IF(AND(BW$7="○",$A338&gt;=BW$8,$A338&lt;=BW$9),IF(SUM(BW$10:BW337)-ROUNDDOWN($M338*BW$5/100,0)&lt;-BW$6,-BW$6-SUM(BW$10:BW337),-ROUNDDOWN($M338*BW$5/100,0)),0)</f>
        <v>0</v>
      </c>
      <c r="BX338" s="38">
        <f>IF(AND(T338="○",$A338&gt;=BX$8,$A338&lt;=BX$9),IF(SUM(BX$10:BX337)-ROUNDDOWN($K338*BX$5/100,0)&lt;-BX$6,-BX$6-SUM(BX$10:BX337),-ROUNDDOWN($K338*BX$5/100,0)),0)</f>
        <v>0</v>
      </c>
      <c r="BY338" s="38">
        <f>IF(AND(U338="○",$A338&gt;=BY$8,$A338&lt;=BY$9),IF(SUM(BY$10:BY337)-ROUNDDOWN($K338*BY$5/100,0)&lt;-BY$6,-BY$6-SUM(BY$10:BY337),-ROUNDDOWN($K338*BY$5/100,0)),0)</f>
        <v>0</v>
      </c>
      <c r="BZ338" s="38">
        <f>IF(AND(V338="○",$A338&gt;=BZ$8,$A338&lt;=BZ$9),IF(SUM(BZ$10:BZ337)-ROUNDDOWN($K338*BZ$5/100,0)&lt;-BZ$6,-BZ$6-SUM(BZ$10:BZ337),-ROUNDDOWN($K338*BZ$5/100,0)),0)</f>
        <v>0</v>
      </c>
      <c r="CA338" s="38">
        <f>IF(AND(W338="○",$A338&gt;=CA$8,$A338&lt;=CA$9),IF(SUM(CA$10:CA337)-ROUNDDOWN($K338*CA$5/100,0)&lt;-CA$6,-CA$6-SUM(CA$10:CA337),-ROUNDDOWN($K338*CA$5/100,0)),0)</f>
        <v>0</v>
      </c>
      <c r="CB338" s="38"/>
      <c r="CC338" s="38"/>
      <c r="CD338" s="38"/>
      <c r="CE338" s="38"/>
      <c r="CF338" s="38"/>
      <c r="CG338" s="65">
        <f t="shared" si="219"/>
        <v>0</v>
      </c>
      <c r="CH338" s="71">
        <f t="shared" si="220"/>
        <v>0</v>
      </c>
      <c r="CI338" s="1">
        <f t="shared" si="241"/>
        <v>0</v>
      </c>
      <c r="CJ338" s="1"/>
      <c r="CK338" s="2"/>
      <c r="CL338" s="2"/>
      <c r="CM338" s="2"/>
      <c r="CN338" s="2"/>
      <c r="CO338" s="73">
        <f t="shared" si="242"/>
        <v>0</v>
      </c>
      <c r="CP338" s="5">
        <f t="shared" si="243"/>
        <v>0</v>
      </c>
      <c r="CQ338" s="1"/>
      <c r="CR338" s="1">
        <f t="shared" si="244"/>
        <v>0</v>
      </c>
      <c r="CS338" s="1"/>
      <c r="CT338" s="1" t="e">
        <f>INDEX([2]マスタ!$A:$A,MATCH(D338,[2]マスタ!$C:$C,0))</f>
        <v>#N/A</v>
      </c>
      <c r="CU338" s="1" t="str">
        <f t="shared" ca="1" si="245"/>
        <v>20260620_0-0</v>
      </c>
    </row>
    <row r="339" spans="1:99" x14ac:dyDescent="0.4">
      <c r="A339" s="61"/>
      <c r="B339" s="62"/>
      <c r="C339" s="62"/>
      <c r="D339" s="62"/>
      <c r="E339" s="63"/>
      <c r="F339" s="62"/>
      <c r="G339" s="62">
        <v>1</v>
      </c>
      <c r="H339" s="64">
        <f t="shared" si="232"/>
        <v>0</v>
      </c>
      <c r="I339" s="64"/>
      <c r="J339" s="78"/>
      <c r="K339" s="65">
        <f t="shared" si="248"/>
        <v>0</v>
      </c>
      <c r="L339" s="65">
        <f t="shared" si="234"/>
        <v>0</v>
      </c>
      <c r="M339" s="65">
        <f t="shared" si="235"/>
        <v>0</v>
      </c>
      <c r="N339" s="65">
        <f t="shared" si="236"/>
        <v>0</v>
      </c>
      <c r="O339" s="66" t="str">
        <f t="shared" si="237"/>
        <v>✕</v>
      </c>
      <c r="P339" s="67" t="str">
        <f t="shared" si="238"/>
        <v>○</v>
      </c>
      <c r="Q339" s="67" t="str">
        <f t="shared" si="249"/>
        <v>✕</v>
      </c>
      <c r="R339" s="67" t="str">
        <f t="shared" si="240"/>
        <v>✕</v>
      </c>
      <c r="S339" s="68">
        <v>0</v>
      </c>
      <c r="T339" s="69" t="s">
        <v>85</v>
      </c>
      <c r="U339" s="69" t="s">
        <v>85</v>
      </c>
      <c r="V339" s="69" t="s">
        <v>85</v>
      </c>
      <c r="W339" s="69" t="s">
        <v>85</v>
      </c>
      <c r="X339" s="69" t="s">
        <v>84</v>
      </c>
      <c r="Y339" s="69" t="s">
        <v>85</v>
      </c>
      <c r="Z339" s="69" t="s">
        <v>85</v>
      </c>
      <c r="AA339" s="69" t="s">
        <v>85</v>
      </c>
      <c r="AB339" s="69" t="s">
        <v>85</v>
      </c>
      <c r="AC339" s="69" t="s">
        <v>85</v>
      </c>
      <c r="AD339" s="38" t="str">
        <f>+IF(ISERROR(VLOOKUP($B339,AD$10:AD338,1,0)),IF(AND($N339&gt;=1000,$A339&gt;=AO$8,$A339&lt;=AO$9),$B339,""),"")</f>
        <v/>
      </c>
      <c r="AE339" s="38" t="str">
        <f>+IF(ISERROR(VLOOKUP($B339,AE$10:AE338,1,0)),IF(AND($N339&gt;=1000,$A339&gt;=AP$8,$A339&lt;=AP$9),$B339,""),"")</f>
        <v/>
      </c>
      <c r="AF339" s="38" t="str">
        <f>+IF(ISERROR(VLOOKUP($B339,AF$10:AF338,1,0)),IF(AND($N339&gt;=1000,$A339&gt;=AQ$8,$A339&lt;=AQ$9),$B339,""),"")</f>
        <v/>
      </c>
      <c r="AG339" s="38" t="str">
        <f>+IF(ISERROR(VLOOKUP($B339,AG$10:AG338,1,0)),IF(AND($N339&gt;=1000,$A339&gt;=AR$8,$A339&lt;=AR$9),$B339,""),"")</f>
        <v/>
      </c>
      <c r="AH339" s="38"/>
      <c r="AI339" s="70">
        <v>0</v>
      </c>
      <c r="AJ339" s="38">
        <f>IF(AND(AJ$7="○",$A339&gt;=AJ$8,$A339&lt;=AJ$9),IF(SUM(AJ$10:AJ338)-ROUNDDOWN($K339*AJ$5/100,0)&lt;-AJ$6,-AJ$6-SUM(AJ$10:AJ338),-ROUNDDOWN($K339*AJ$5/100,0)),0)</f>
        <v>0</v>
      </c>
      <c r="AK339" s="38">
        <f>IF(AND(AK$7="○",$A339&gt;=AK$8,$A339&lt;=AK$9),IF(SUM(AK$10:AK338)-ROUNDDOWN($L339*AK$5/100,0)&lt;-AK$6,-AK$6-SUM(AK$10:AK338),-ROUNDDOWN($L339*AK$5/100,0)),0)</f>
        <v>0</v>
      </c>
      <c r="AL339" s="38">
        <f>IF(AND(AL$7="○",$A339&gt;=AL$8,$A339&lt;=AL$9),IF(SUM(AL$10:AL338)-ROUNDDOWN($N339*AL$5/100,0)&lt;-AL$6,-AL$6-SUM(AL$10:AL338),-ROUNDDOWN($N339*AL$5/100,0)),0)</f>
        <v>0</v>
      </c>
      <c r="AM339" s="38">
        <f>IF(AND(AM$7="○",$A339&gt;=AM$8,$A339&lt;=AM$9),IF(SUM(AM$10:AM338)-ROUNDDOWN($L339*AM$5/100,0)&lt;-AM$6,-AM$6-SUM(AM$10:AM338),-ROUNDDOWN($L339*AM$5/100,0)),0)</f>
        <v>0</v>
      </c>
      <c r="AN339" s="38">
        <f>IF(AND(AN$7="○",$A339&gt;=AN$8,$A339&lt;=AN$9),IF(SUM(AN$10:AN338)-ROUNDDOWN($M339*AN$5/100,0)&lt;-AN$6,-AN$6-SUM(AN$10:AN338),-ROUNDDOWN($M339*AN$5/100,0)),0)</f>
        <v>0</v>
      </c>
      <c r="AO339" s="38">
        <f>IF(AND($A339&gt;=AO$8,$A339&lt;=AO$9),IF(SUM(AO$10:AO338)-ROUNDDOWN($K339*AO$5/100,0)&lt;-AO$6,-AO$6-SUM(AO$10:AO338),-ROUNDDOWN($K339*AO$5/100,0)),0)</f>
        <v>0</v>
      </c>
      <c r="AP339" s="38">
        <f>IF(AND($A339&gt;=AP$8,$A339&lt;=AP$9),IF(SUM(AP$10:AP338)-ROUNDDOWN($K339*AP$5/100,0)&lt;-AP$6,-AP$6-SUM(AP$10:AP338),-ROUNDDOWN($K339*AP$5/100,0)),0)</f>
        <v>0</v>
      </c>
      <c r="AQ339" s="38">
        <f>IF(AND($A339&gt;=AQ$8,$A339&lt;=AQ$9),IF(SUM(AQ$10:AQ338)-ROUNDDOWN($K339*AQ$5/100,0)&lt;-AQ$6,-AQ$6-SUM(AQ$10:AQ338),-ROUNDDOWN($K339*AQ$5/100,0)),0)</f>
        <v>0</v>
      </c>
      <c r="AR339" s="38">
        <f>IF(AND($A339&gt;=AR$8,$A339&lt;=AR$9),IF(SUM(AR$10:AR338)-ROUNDDOWN($K339*AR$5/100,0)&lt;-AR$6,-AR$6-SUM(AR$10:AR338),-ROUNDDOWN($K339*AR$5/100,0)),0)</f>
        <v>0</v>
      </c>
      <c r="AS339" s="38">
        <f>IF(SUMIFS(AS$10:AS338,$A$10:$A338,$A339)-ROUNDDOWN($K339*$S339/100,0)&lt;-$S339*1000,-$S339*1000-SUMIFS(AS$10:AS338,$A$10:$A338,$A339),-ROUNDDOWN($K339*$S339/100,0))</f>
        <v>0</v>
      </c>
      <c r="AT339" s="38">
        <f>IF(AND(X339="○",$A339&gt;=AT$8,$A339&lt;=AT$9,K339&gt;=3980),IF(SUM(AT$10:AT338)-ROUNDDOWN($K339*AT$5/100,0)&lt;-AT$6,-AT$6-SUM(AT$10:AT338),-ROUNDDOWN($K339*AT$5/100,0)),0)</f>
        <v>0</v>
      </c>
      <c r="AU339" s="38">
        <f>IF(O339="○",IF(SUM(AU$10:AU338)-ROUNDDOWN($K339*AU$5/100,0)&lt;-AU$6,-AU$6-SUM(AU$10:AU338),-ROUNDDOWN($K339*AU$5/100,0)),0)</f>
        <v>0</v>
      </c>
      <c r="AV339" s="38">
        <f>IF(P339="○",IF(SUM(AV$10:AV338)-ROUNDDOWN($K339*AV$5/100,0)&lt;-AV$6,-AV$6-SUM(AV$10:AV338),-ROUNDDOWN($K339*AV$5/100,0)),0)</f>
        <v>0</v>
      </c>
      <c r="AW339" s="38">
        <f>IF(Q339="○",IF(SUM(AW$10:AW338)-ROUNDDOWN($K339*AW$5/100,0)&lt;-AW$6,-AW$6-SUM(AW$10:AW338),-ROUNDDOWN($K339*AW$5/100,0)),0)</f>
        <v>0</v>
      </c>
      <c r="AX339" s="38">
        <f>IF(R339="○",IF(SUM(AX$10:AX338)-ROUNDDOWN($K339*AX$5/100,0)&lt;-AX$6,-AX$6-SUM(AX$10:AX338),-ROUNDDOWN($K339*AX$5/100,0)),0)</f>
        <v>0</v>
      </c>
      <c r="AY339" s="70">
        <v>0</v>
      </c>
      <c r="AZ339" s="65">
        <f t="shared" ref="AZ339:AZ402" si="250">-ROUNDDOWN($K339*AY339/100,0)</f>
        <v>0</v>
      </c>
      <c r="BA339" s="65">
        <f t="shared" ref="BA339:BA402" si="251">-ROUNDDOWN($K339*AI339/100,0)</f>
        <v>0</v>
      </c>
      <c r="BB339" s="70"/>
      <c r="BC339" s="65">
        <f t="shared" ref="BC339:BC402" si="252">-ROUNDDOWN($K339*BB339/100,0)</f>
        <v>0</v>
      </c>
      <c r="BD339" s="70">
        <v>0</v>
      </c>
      <c r="BE339" s="65">
        <f t="shared" ref="BE339:BE402" si="253">-ROUNDDOWN($K339*BD339/100,0)</f>
        <v>0</v>
      </c>
      <c r="BF339" s="70">
        <v>0</v>
      </c>
      <c r="BG339" s="65">
        <f t="shared" ref="BG339:BG402" si="254">-ROUNDDOWN($K339*BF339/100,0)</f>
        <v>0</v>
      </c>
      <c r="BH339" s="70">
        <v>0</v>
      </c>
      <c r="BI339" s="65">
        <f t="shared" ref="BI339:BI402" si="255">-ROUNDDOWN($K339*BH339/100,0)</f>
        <v>0</v>
      </c>
      <c r="BJ339" s="38">
        <f>IF(AND(BJ$7="○",$A339&gt;=BJ$8,$A339&lt;=BJ$9),IF(SUM(BJ$10:BJ338)-ROUNDDOWN($M339*BJ$5/100,0)&lt;-BJ$6,-BJ$6-SUM(BJ$10:BJ338),-ROUNDDOWN($M339*BJ$5/100,0)),0)</f>
        <v>0</v>
      </c>
      <c r="BK339" s="38">
        <f>IF(AND(BK$7="○",$A339&gt;=BK$8,$A339&lt;=BK$9),IF(SUM(BK$10:BK338)-ROUNDDOWN($L339*BK$5/100,0)&lt;-BK$6,-BK$6-SUM(BK$10:BK338),-ROUNDDOWN($L339*BK$5/100,0)),0)</f>
        <v>0</v>
      </c>
      <c r="BL339" s="38">
        <f>IF(AND(BL$7="○",$A339&gt;=BL$8,$A339&lt;=BL$9),IF(SUM(BL$10:BL338)-ROUNDDOWN($L339*BL$5/100,0)&lt;-BL$6,-BL$6-SUM(BL$10:BL338),-ROUNDDOWN($L339*BL$5/100,0)),0)</f>
        <v>0</v>
      </c>
      <c r="BM339" s="38">
        <f>IF(AND(BM$7="○",$A339&gt;=BM$8,$A339&lt;=BM$9),IF(SUM(BM$10:BM338)-ROUNDDOWN($M339*BM$5/100,0)&lt;-BM$6,-BM$6-SUM(BM$10:BM338),-ROUNDDOWN($M339*BM$5/100,0)),0)</f>
        <v>0</v>
      </c>
      <c r="BN339" s="38">
        <f>IF(AND(BN$7="○",$A339&gt;=BN$8,$A339&lt;=BN$9),IF(SUM(BN$10:BN338)-ROUNDDOWN($M339*BN$5/100,0)&lt;-BN$6,-BN$6-SUM(BN$10:BN338),-ROUNDDOWN($M339*BN$5/100,0)),0)</f>
        <v>0</v>
      </c>
      <c r="BO339" s="38">
        <f>IF(AND(BO$7="○",$A339&gt;=BO$8,$A339&lt;=BO$9),IF(SUM(BO$10:BO338)-ROUNDDOWN($M339*BO$5/100,0)&lt;-BO$6,-BO$6-SUM(BO$10:BO338),-ROUNDDOWN($M339*BO$5/100,0)),0)</f>
        <v>0</v>
      </c>
      <c r="BP339" s="38">
        <f>IF(AND(BP$7="○",$A339&gt;=BP$8,$A339&lt;=BP$9),IF(SUM(BP$10:BP338)-ROUNDDOWN($M339*BP$5/100,0)&lt;-BP$6,-BP$6-SUM(BP$10:BP338),-ROUNDDOWN($M339*BP$5/100,0)),0)</f>
        <v>0</v>
      </c>
      <c r="BQ339" s="38">
        <f>IF(AND(BQ$7="○",$A339&gt;=BQ$8,$A339&lt;=BQ$9),IF(SUM(BQ$10:BQ338)-ROUNDDOWN($L339*BQ$5/100,0)&lt;-BQ$6,-BQ$6-SUM(BQ$10:BQ338),-ROUNDDOWN($L339*BQ$5/100,0)),0)</f>
        <v>0</v>
      </c>
      <c r="BR339" s="38">
        <f>IF(AND(BR$7="○",$A339&gt;=BR$8,$A339&lt;=BR$9),IF(SUM(BR$10:BR338)-ROUNDDOWN($M339*BR$5/100,0)&lt;-BR$6,-BR$6-SUM(BR$10:BR338),-ROUNDDOWN($M339*BR$5/100,0)),0)</f>
        <v>0</v>
      </c>
      <c r="BS339" s="38">
        <f>IF(AND(BS$7="○",$A339&gt;=BS$8,$A339&lt;=BS$9),IF(SUM(BS$10:BS338)-ROUNDDOWN($M339*BS$5/100,0)&lt;-BS$6,-BS$6-SUM(BS$10:BS338),-ROUNDDOWN($M339*BS$5/100,0)),0)</f>
        <v>0</v>
      </c>
      <c r="BT339" s="38">
        <f>IF(AND(BT$7="○",$A339&gt;=BT$8,$A339&lt;=BT$9),IF(SUM(BT$10:BT338)-ROUNDDOWN($M339*BT$5/100,0)&lt;-BT$6,-BT$6-SUM(BT$10:BT338),-ROUNDDOWN($M339*BT$5/100,0)),0)</f>
        <v>0</v>
      </c>
      <c r="BU339" s="38">
        <f>IF(AND(BU$7="○",$A339&gt;=BU$8,$A339&lt;=BU$9),IF(SUM(BU$10:BU338)-ROUNDDOWN($M339*BU$5/100,0)&lt;-BU$6,-BU$6-SUM(BU$10:BU338),-ROUNDDOWN($M339*BU$5/100,0)),0)</f>
        <v>0</v>
      </c>
      <c r="BV339" s="38">
        <f>IF(AND(BV$7="○",$A339&gt;=BV$8,$A339&lt;=BV$9),IF(SUM(BV$10:BV338)-ROUNDDOWN($M339*BV$5/100,0)&lt;-BV$6,-BV$6-SUM(BV$10:BV338),-ROUNDDOWN($M339*BV$5/100,0)),0)</f>
        <v>0</v>
      </c>
      <c r="BW339" s="38">
        <f>IF(AND(BW$7="○",$A339&gt;=BW$8,$A339&lt;=BW$9),IF(SUM(BW$10:BW338)-ROUNDDOWN($M339*BW$5/100,0)&lt;-BW$6,-BW$6-SUM(BW$10:BW338),-ROUNDDOWN($M339*BW$5/100,0)),0)</f>
        <v>0</v>
      </c>
      <c r="BX339" s="38">
        <f>IF(AND(T339="○",$A339&gt;=BX$8,$A339&lt;=BX$9),IF(SUM(BX$10:BX338)-ROUNDDOWN($K339*BX$5/100,0)&lt;-BX$6,-BX$6-SUM(BX$10:BX338),-ROUNDDOWN($K339*BX$5/100,0)),0)</f>
        <v>0</v>
      </c>
      <c r="BY339" s="38">
        <f>IF(AND(U339="○",$A339&gt;=BY$8,$A339&lt;=BY$9),IF(SUM(BY$10:BY338)-ROUNDDOWN($K339*BY$5/100,0)&lt;-BY$6,-BY$6-SUM(BY$10:BY338),-ROUNDDOWN($K339*BY$5/100,0)),0)</f>
        <v>0</v>
      </c>
      <c r="BZ339" s="38">
        <f>IF(AND(V339="○",$A339&gt;=BZ$8,$A339&lt;=BZ$9),IF(SUM(BZ$10:BZ338)-ROUNDDOWN($K339*BZ$5/100,0)&lt;-BZ$6,-BZ$6-SUM(BZ$10:BZ338),-ROUNDDOWN($K339*BZ$5/100,0)),0)</f>
        <v>0</v>
      </c>
      <c r="CA339" s="38">
        <f>IF(AND(W339="○",$A339&gt;=CA$8,$A339&lt;=CA$9),IF(SUM(CA$10:CA338)-ROUNDDOWN($K339*CA$5/100,0)&lt;-CA$6,-CA$6-SUM(CA$10:CA338),-ROUNDDOWN($K339*CA$5/100,0)),0)</f>
        <v>0</v>
      </c>
      <c r="CB339" s="38"/>
      <c r="CC339" s="38"/>
      <c r="CD339" s="38"/>
      <c r="CE339" s="38"/>
      <c r="CF339" s="38"/>
      <c r="CG339" s="65">
        <f t="shared" ref="CG339:CG402" si="256">+SUM(AJ339:CF339,BC339,BE339,AZ339,BA339,BG339,BI339)</f>
        <v>0</v>
      </c>
      <c r="CH339" s="71">
        <f t="shared" ref="CH339:CH402" si="257">+CG339+N339</f>
        <v>0</v>
      </c>
      <c r="CI339" s="1">
        <f t="shared" si="241"/>
        <v>0</v>
      </c>
      <c r="CJ339" s="1"/>
      <c r="CK339" s="79"/>
      <c r="CL339" s="79"/>
      <c r="CM339" s="2"/>
      <c r="CN339" s="2"/>
      <c r="CO339" s="73">
        <f t="shared" si="242"/>
        <v>0</v>
      </c>
      <c r="CP339" s="5">
        <f t="shared" si="243"/>
        <v>0</v>
      </c>
      <c r="CQ339" s="1"/>
      <c r="CR339" s="1">
        <f t="shared" si="244"/>
        <v>0</v>
      </c>
      <c r="CS339" s="1"/>
      <c r="CT339" s="1" t="e">
        <f>INDEX([2]マスタ!$A:$A,MATCH(D339,[2]マスタ!$C:$C,0))</f>
        <v>#N/A</v>
      </c>
      <c r="CU339" s="1" t="str">
        <f t="shared" ca="1" si="245"/>
        <v>20260620_0-0</v>
      </c>
    </row>
    <row r="340" spans="1:99" x14ac:dyDescent="0.4">
      <c r="A340" s="61"/>
      <c r="B340" s="62"/>
      <c r="C340" s="62"/>
      <c r="D340" s="62"/>
      <c r="E340" s="63"/>
      <c r="F340" s="62"/>
      <c r="G340" s="62">
        <v>1</v>
      </c>
      <c r="H340" s="64">
        <f t="shared" si="232"/>
        <v>0</v>
      </c>
      <c r="I340" s="64"/>
      <c r="J340" s="64"/>
      <c r="K340" s="65">
        <f t="shared" si="248"/>
        <v>0</v>
      </c>
      <c r="L340" s="65">
        <f t="shared" si="234"/>
        <v>0</v>
      </c>
      <c r="M340" s="65">
        <f t="shared" si="235"/>
        <v>0</v>
      </c>
      <c r="N340" s="65">
        <f t="shared" si="236"/>
        <v>0</v>
      </c>
      <c r="O340" s="66" t="str">
        <f t="shared" si="237"/>
        <v>✕</v>
      </c>
      <c r="P340" s="67" t="str">
        <f t="shared" si="238"/>
        <v>○</v>
      </c>
      <c r="Q340" s="67" t="str">
        <f t="shared" si="249"/>
        <v>✕</v>
      </c>
      <c r="R340" s="67" t="str">
        <f t="shared" si="240"/>
        <v>✕</v>
      </c>
      <c r="S340" s="68">
        <v>0</v>
      </c>
      <c r="T340" s="69" t="s">
        <v>85</v>
      </c>
      <c r="U340" s="69" t="s">
        <v>85</v>
      </c>
      <c r="V340" s="69" t="s">
        <v>85</v>
      </c>
      <c r="W340" s="69" t="s">
        <v>85</v>
      </c>
      <c r="X340" s="69" t="s">
        <v>84</v>
      </c>
      <c r="Y340" s="69" t="s">
        <v>85</v>
      </c>
      <c r="Z340" s="69" t="s">
        <v>85</v>
      </c>
      <c r="AA340" s="69" t="s">
        <v>85</v>
      </c>
      <c r="AB340" s="69" t="s">
        <v>85</v>
      </c>
      <c r="AC340" s="69" t="s">
        <v>85</v>
      </c>
      <c r="AD340" s="38" t="str">
        <f>+IF(ISERROR(VLOOKUP($B340,AD$10:AD339,1,0)),IF(AND($N340&gt;=1000,$A340&gt;=AO$8,$A340&lt;=AO$9),$B340,""),"")</f>
        <v/>
      </c>
      <c r="AE340" s="38" t="str">
        <f>+IF(ISERROR(VLOOKUP($B340,AE$10:AE339,1,0)),IF(AND($N340&gt;=1000,$A340&gt;=AP$8,$A340&lt;=AP$9),$B340,""),"")</f>
        <v/>
      </c>
      <c r="AF340" s="38" t="str">
        <f>+IF(ISERROR(VLOOKUP($B340,AF$10:AF339,1,0)),IF(AND($N340&gt;=1000,$A340&gt;=AQ$8,$A340&lt;=AQ$9),$B340,""),"")</f>
        <v/>
      </c>
      <c r="AG340" s="38" t="str">
        <f>+IF(ISERROR(VLOOKUP($B340,AG$10:AG339,1,0)),IF(AND($N340&gt;=1000,$A340&gt;=AR$8,$A340&lt;=AR$9),$B340,""),"")</f>
        <v/>
      </c>
      <c r="AH340" s="38"/>
      <c r="AI340" s="70">
        <v>0</v>
      </c>
      <c r="AJ340" s="38">
        <f>IF(AND(AJ$7="○",$A340&gt;=AJ$8,$A340&lt;=AJ$9),IF(SUM(AJ$10:AJ339)-ROUNDDOWN($K340*AJ$5/100,0)&lt;-AJ$6,-AJ$6-SUM(AJ$10:AJ339),-ROUNDDOWN($K340*AJ$5/100,0)),0)</f>
        <v>0</v>
      </c>
      <c r="AK340" s="38">
        <f>IF(AND(AK$7="○",$A340&gt;=AK$8,$A340&lt;=AK$9),IF(SUM(AK$10:AK339)-ROUNDDOWN($L340*AK$5/100,0)&lt;-AK$6,-AK$6-SUM(AK$10:AK339),-ROUNDDOWN($L340*AK$5/100,0)),0)</f>
        <v>0</v>
      </c>
      <c r="AL340" s="38">
        <f>IF(AND(AL$7="○",$A340&gt;=AL$8,$A340&lt;=AL$9),IF(SUM(AL$10:AL339)-ROUNDDOWN($N340*AL$5/100,0)&lt;-AL$6,-AL$6-SUM(AL$10:AL339),-ROUNDDOWN($N340*AL$5/100,0)),0)</f>
        <v>0</v>
      </c>
      <c r="AM340" s="38">
        <f>IF(AND(AM$7="○",$A340&gt;=AM$8,$A340&lt;=AM$9),IF(SUM(AM$10:AM339)-ROUNDDOWN($L340*AM$5/100,0)&lt;-AM$6,-AM$6-SUM(AM$10:AM339),-ROUNDDOWN($L340*AM$5/100,0)),0)</f>
        <v>0</v>
      </c>
      <c r="AN340" s="38">
        <f>IF(AND(AN$7="○",$A340&gt;=AN$8,$A340&lt;=AN$9),IF(SUM(AN$10:AN339)-ROUNDDOWN($M340*AN$5/100,0)&lt;-AN$6,-AN$6-SUM(AN$10:AN339),-ROUNDDOWN($M340*AN$5/100,0)),0)</f>
        <v>0</v>
      </c>
      <c r="AO340" s="38">
        <f>IF(AND($A340&gt;=AO$8,$A340&lt;=AO$9),IF(SUM(AO$10:AO339)-ROUNDDOWN($K340*AO$5/100,0)&lt;-AO$6,-AO$6-SUM(AO$10:AO339),-ROUNDDOWN($K340*AO$5/100,0)),0)</f>
        <v>0</v>
      </c>
      <c r="AP340" s="38">
        <f>IF(AND($A340&gt;=AP$8,$A340&lt;=AP$9),IF(SUM(AP$10:AP339)-ROUNDDOWN($K340*AP$5/100,0)&lt;-AP$6,-AP$6-SUM(AP$10:AP339),-ROUNDDOWN($K340*AP$5/100,0)),0)</f>
        <v>0</v>
      </c>
      <c r="AQ340" s="38">
        <f>IF(AND($A340&gt;=AQ$8,$A340&lt;=AQ$9),IF(SUM(AQ$10:AQ339)-ROUNDDOWN($K340*AQ$5/100,0)&lt;-AQ$6,-AQ$6-SUM(AQ$10:AQ339),-ROUNDDOWN($K340*AQ$5/100,0)),0)</f>
        <v>0</v>
      </c>
      <c r="AR340" s="38">
        <f>IF(AND($A340&gt;=AR$8,$A340&lt;=AR$9),IF(SUM(AR$10:AR339)-ROUNDDOWN($K340*AR$5/100,0)&lt;-AR$6,-AR$6-SUM(AR$10:AR339),-ROUNDDOWN($K340*AR$5/100,0)),0)</f>
        <v>0</v>
      </c>
      <c r="AS340" s="38">
        <f>IF(SUMIFS(AS$10:AS339,$A$10:$A339,$A340)-ROUNDDOWN($K340*$S340/100,0)&lt;-$S340*1000,-$S340*1000-SUMIFS(AS$10:AS339,$A$10:$A339,$A340),-ROUNDDOWN($K340*$S340/100,0))</f>
        <v>0</v>
      </c>
      <c r="AT340" s="38">
        <f>IF(AND(X340="○",$A340&gt;=AT$8,$A340&lt;=AT$9,K340&gt;=3980),IF(SUM(AT$10:AT339)-ROUNDDOWN($K340*AT$5/100,0)&lt;-AT$6,-AT$6-SUM(AT$10:AT339),-ROUNDDOWN($K340*AT$5/100,0)),0)</f>
        <v>0</v>
      </c>
      <c r="AU340" s="38">
        <f>IF(O340="○",IF(SUM(AU$10:AU339)-ROUNDDOWN($K340*AU$5/100,0)&lt;-AU$6,-AU$6-SUM(AU$10:AU339),-ROUNDDOWN($K340*AU$5/100,0)),0)</f>
        <v>0</v>
      </c>
      <c r="AV340" s="38">
        <f>IF(P340="○",IF(SUM(AV$10:AV339)-ROUNDDOWN($K340*AV$5/100,0)&lt;-AV$6,-AV$6-SUM(AV$10:AV339),-ROUNDDOWN($K340*AV$5/100,0)),0)</f>
        <v>0</v>
      </c>
      <c r="AW340" s="38">
        <f>IF(Q340="○",IF(SUM(AW$10:AW339)-ROUNDDOWN($K340*AW$5/100,0)&lt;-AW$6,-AW$6-SUM(AW$10:AW339),-ROUNDDOWN($K340*AW$5/100,0)),0)</f>
        <v>0</v>
      </c>
      <c r="AX340" s="38">
        <f>IF(R340="○",IF(SUM(AX$10:AX339)-ROUNDDOWN($K340*AX$5/100,0)&lt;-AX$6,-AX$6-SUM(AX$10:AX339),-ROUNDDOWN($K340*AX$5/100,0)),0)</f>
        <v>0</v>
      </c>
      <c r="AY340" s="70">
        <v>0</v>
      </c>
      <c r="AZ340" s="65">
        <f t="shared" si="250"/>
        <v>0</v>
      </c>
      <c r="BA340" s="65">
        <f t="shared" si="251"/>
        <v>0</v>
      </c>
      <c r="BB340" s="70"/>
      <c r="BC340" s="65">
        <f t="shared" si="252"/>
        <v>0</v>
      </c>
      <c r="BD340" s="70">
        <v>0</v>
      </c>
      <c r="BE340" s="65">
        <f t="shared" si="253"/>
        <v>0</v>
      </c>
      <c r="BF340" s="70">
        <v>0</v>
      </c>
      <c r="BG340" s="65">
        <f t="shared" si="254"/>
        <v>0</v>
      </c>
      <c r="BH340" s="70">
        <v>0</v>
      </c>
      <c r="BI340" s="65">
        <f t="shared" si="255"/>
        <v>0</v>
      </c>
      <c r="BJ340" s="38">
        <f>IF(AND(BJ$7="○",$A340&gt;=BJ$8,$A340&lt;=BJ$9),IF(SUM(BJ$10:BJ339)-ROUNDDOWN($M340*BJ$5/100,0)&lt;-BJ$6,-BJ$6-SUM(BJ$10:BJ339),-ROUNDDOWN($M340*BJ$5/100,0)),0)</f>
        <v>0</v>
      </c>
      <c r="BK340" s="38">
        <f>IF(AND(BK$7="○",$A340&gt;=BK$8,$A340&lt;=BK$9),IF(SUM(BK$10:BK339)-ROUNDDOWN($L340*BK$5/100,0)&lt;-BK$6,-BK$6-SUM(BK$10:BK339),-ROUNDDOWN($L340*BK$5/100,0)),0)</f>
        <v>0</v>
      </c>
      <c r="BL340" s="38">
        <f>IF(AND(BL$7="○",$A340&gt;=BL$8,$A340&lt;=BL$9),IF(SUM(BL$10:BL339)-ROUNDDOWN($L340*BL$5/100,0)&lt;-BL$6,-BL$6-SUM(BL$10:BL339),-ROUNDDOWN($L340*BL$5/100,0)),0)</f>
        <v>0</v>
      </c>
      <c r="BM340" s="38">
        <f>IF(AND(BM$7="○",$A340&gt;=BM$8,$A340&lt;=BM$9),IF(SUM(BM$10:BM339)-ROUNDDOWN($M340*BM$5/100,0)&lt;-BM$6,-BM$6-SUM(BM$10:BM339),-ROUNDDOWN($M340*BM$5/100,0)),0)</f>
        <v>0</v>
      </c>
      <c r="BN340" s="38">
        <f>IF(AND(BN$7="○",$A340&gt;=BN$8,$A340&lt;=BN$9),IF(SUM(BN$10:BN339)-ROUNDDOWN($M340*BN$5/100,0)&lt;-BN$6,-BN$6-SUM(BN$10:BN339),-ROUNDDOWN($M340*BN$5/100,0)),0)</f>
        <v>0</v>
      </c>
      <c r="BO340" s="38">
        <f>IF(AND(BO$7="○",$A340&gt;=BO$8,$A340&lt;=BO$9),IF(SUM(BO$10:BO339)-ROUNDDOWN($M340*BO$5/100,0)&lt;-BO$6,-BO$6-SUM(BO$10:BO339),-ROUNDDOWN($M340*BO$5/100,0)),0)</f>
        <v>0</v>
      </c>
      <c r="BP340" s="38">
        <f>IF(AND(BP$7="○",$A340&gt;=BP$8,$A340&lt;=BP$9),IF(SUM(BP$10:BP339)-ROUNDDOWN($M340*BP$5/100,0)&lt;-BP$6,-BP$6-SUM(BP$10:BP339),-ROUNDDOWN($M340*BP$5/100,0)),0)</f>
        <v>0</v>
      </c>
      <c r="BQ340" s="38">
        <f>IF(AND(BQ$7="○",$A340&gt;=BQ$8,$A340&lt;=BQ$9),IF(SUM(BQ$10:BQ339)-ROUNDDOWN($L340*BQ$5/100,0)&lt;-BQ$6,-BQ$6-SUM(BQ$10:BQ339),-ROUNDDOWN($L340*BQ$5/100,0)),0)</f>
        <v>0</v>
      </c>
      <c r="BR340" s="38">
        <f>IF(AND(BR$7="○",$A340&gt;=BR$8,$A340&lt;=BR$9),IF(SUM(BR$10:BR339)-ROUNDDOWN($M340*BR$5/100,0)&lt;-BR$6,-BR$6-SUM(BR$10:BR339),-ROUNDDOWN($M340*BR$5/100,0)),0)</f>
        <v>0</v>
      </c>
      <c r="BS340" s="38">
        <f>IF(AND(BS$7="○",$A340&gt;=BS$8,$A340&lt;=BS$9),IF(SUM(BS$10:BS339)-ROUNDDOWN($M340*BS$5/100,0)&lt;-BS$6,-BS$6-SUM(BS$10:BS339),-ROUNDDOWN($M340*BS$5/100,0)),0)</f>
        <v>0</v>
      </c>
      <c r="BT340" s="38">
        <f>IF(AND(BT$7="○",$A340&gt;=BT$8,$A340&lt;=BT$9),IF(SUM(BT$10:BT339)-ROUNDDOWN($M340*BT$5/100,0)&lt;-BT$6,-BT$6-SUM(BT$10:BT339),-ROUNDDOWN($M340*BT$5/100,0)),0)</f>
        <v>0</v>
      </c>
      <c r="BU340" s="38">
        <f>IF(AND(BU$7="○",$A340&gt;=BU$8,$A340&lt;=BU$9),IF(SUM(BU$10:BU339)-ROUNDDOWN($M340*BU$5/100,0)&lt;-BU$6,-BU$6-SUM(BU$10:BU339),-ROUNDDOWN($M340*BU$5/100,0)),0)</f>
        <v>0</v>
      </c>
      <c r="BV340" s="38">
        <f>IF(AND(BV$7="○",$A340&gt;=BV$8,$A340&lt;=BV$9),IF(SUM(BV$10:BV339)-ROUNDDOWN($M340*BV$5/100,0)&lt;-BV$6,-BV$6-SUM(BV$10:BV339),-ROUNDDOWN($M340*BV$5/100,0)),0)</f>
        <v>0</v>
      </c>
      <c r="BW340" s="38">
        <f>IF(AND(BW$7="○",$A340&gt;=BW$8,$A340&lt;=BW$9),IF(SUM(BW$10:BW339)-ROUNDDOWN($M340*BW$5/100,0)&lt;-BW$6,-BW$6-SUM(BW$10:BW339),-ROUNDDOWN($M340*BW$5/100,0)),0)</f>
        <v>0</v>
      </c>
      <c r="BX340" s="38">
        <f>IF(AND(T340="○",$A340&gt;=BX$8,$A340&lt;=BX$9),IF(SUM(BX$10:BX339)-ROUNDDOWN($K340*BX$5/100,0)&lt;-BX$6,-BX$6-SUM(BX$10:BX339),-ROUNDDOWN($K340*BX$5/100,0)),0)</f>
        <v>0</v>
      </c>
      <c r="BY340" s="38">
        <f>IF(AND(U340="○",$A340&gt;=BY$8,$A340&lt;=BY$9),IF(SUM(BY$10:BY339)-ROUNDDOWN($K340*BY$5/100,0)&lt;-BY$6,-BY$6-SUM(BY$10:BY339),-ROUNDDOWN($K340*BY$5/100,0)),0)</f>
        <v>0</v>
      </c>
      <c r="BZ340" s="38">
        <f>IF(AND(V340="○",$A340&gt;=BZ$8,$A340&lt;=BZ$9),IF(SUM(BZ$10:BZ339)-ROUNDDOWN($K340*BZ$5/100,0)&lt;-BZ$6,-BZ$6-SUM(BZ$10:BZ339),-ROUNDDOWN($K340*BZ$5/100,0)),0)</f>
        <v>0</v>
      </c>
      <c r="CA340" s="38">
        <f>IF(AND(W340="○",$A340&gt;=CA$8,$A340&lt;=CA$9),IF(SUM(CA$10:CA339)-ROUNDDOWN($K340*CA$5/100,0)&lt;-CA$6,-CA$6-SUM(CA$10:CA339),-ROUNDDOWN($K340*CA$5/100,0)),0)</f>
        <v>0</v>
      </c>
      <c r="CB340" s="38"/>
      <c r="CC340" s="38"/>
      <c r="CD340" s="38"/>
      <c r="CE340" s="38"/>
      <c r="CF340" s="38"/>
      <c r="CG340" s="65">
        <f t="shared" si="256"/>
        <v>0</v>
      </c>
      <c r="CH340" s="71">
        <f t="shared" si="257"/>
        <v>0</v>
      </c>
      <c r="CI340" s="1">
        <f t="shared" si="241"/>
        <v>0</v>
      </c>
      <c r="CJ340" s="1"/>
      <c r="CK340" s="72"/>
      <c r="CL340" s="72"/>
      <c r="CM340" s="2"/>
      <c r="CN340" s="2"/>
      <c r="CO340" s="73">
        <f t="shared" si="242"/>
        <v>0</v>
      </c>
      <c r="CP340" s="5">
        <f t="shared" si="243"/>
        <v>0</v>
      </c>
      <c r="CQ340" s="1"/>
      <c r="CR340" s="1">
        <f t="shared" si="244"/>
        <v>0</v>
      </c>
      <c r="CS340" s="1"/>
      <c r="CT340" s="1" t="e">
        <f>INDEX([2]マスタ!$A:$A,MATCH(D340,[2]マスタ!$C:$C,0))</f>
        <v>#N/A</v>
      </c>
      <c r="CU340" s="1" t="str">
        <f t="shared" ca="1" si="245"/>
        <v>20260620_0-0</v>
      </c>
    </row>
    <row r="341" spans="1:99" x14ac:dyDescent="0.4">
      <c r="A341" s="61"/>
      <c r="B341" s="62"/>
      <c r="C341" s="62"/>
      <c r="D341" s="62"/>
      <c r="E341" s="63"/>
      <c r="F341" s="62"/>
      <c r="G341" s="62">
        <v>1</v>
      </c>
      <c r="H341" s="64">
        <f t="shared" si="232"/>
        <v>0</v>
      </c>
      <c r="I341" s="64"/>
      <c r="J341" s="64"/>
      <c r="K341" s="65">
        <f t="shared" si="248"/>
        <v>0</v>
      </c>
      <c r="L341" s="65">
        <f t="shared" si="234"/>
        <v>0</v>
      </c>
      <c r="M341" s="65">
        <f t="shared" si="235"/>
        <v>0</v>
      </c>
      <c r="N341" s="65">
        <f t="shared" si="236"/>
        <v>0</v>
      </c>
      <c r="O341" s="66" t="str">
        <f t="shared" si="237"/>
        <v>✕</v>
      </c>
      <c r="P341" s="67" t="str">
        <f t="shared" si="238"/>
        <v>○</v>
      </c>
      <c r="Q341" s="67" t="str">
        <f t="shared" si="249"/>
        <v>✕</v>
      </c>
      <c r="R341" s="67" t="str">
        <f t="shared" si="240"/>
        <v>✕</v>
      </c>
      <c r="S341" s="68">
        <v>0</v>
      </c>
      <c r="T341" s="69" t="s">
        <v>85</v>
      </c>
      <c r="U341" s="69" t="s">
        <v>85</v>
      </c>
      <c r="V341" s="69" t="s">
        <v>85</v>
      </c>
      <c r="W341" s="69" t="s">
        <v>85</v>
      </c>
      <c r="X341" s="69" t="s">
        <v>84</v>
      </c>
      <c r="Y341" s="69" t="s">
        <v>85</v>
      </c>
      <c r="Z341" s="69" t="s">
        <v>85</v>
      </c>
      <c r="AA341" s="69" t="s">
        <v>85</v>
      </c>
      <c r="AB341" s="69" t="s">
        <v>85</v>
      </c>
      <c r="AC341" s="69" t="s">
        <v>85</v>
      </c>
      <c r="AD341" s="38" t="str">
        <f>+IF(ISERROR(VLOOKUP($B341,AD$10:AD340,1,0)),IF(AND($N341&gt;=1000,$A341&gt;=AO$8,$A341&lt;=AO$9),$B341,""),"")</f>
        <v/>
      </c>
      <c r="AE341" s="38" t="str">
        <f>+IF(ISERROR(VLOOKUP($B341,AE$10:AE340,1,0)),IF(AND($N341&gt;=1000,$A341&gt;=AP$8,$A341&lt;=AP$9),$B341,""),"")</f>
        <v/>
      </c>
      <c r="AF341" s="38" t="str">
        <f>+IF(ISERROR(VLOOKUP($B341,AF$10:AF340,1,0)),IF(AND($N341&gt;=1000,$A341&gt;=AQ$8,$A341&lt;=AQ$9),$B341,""),"")</f>
        <v/>
      </c>
      <c r="AG341" s="38" t="str">
        <f>+IF(ISERROR(VLOOKUP($B341,AG$10:AG340,1,0)),IF(AND($N341&gt;=1000,$A341&gt;=AR$8,$A341&lt;=AR$9),$B341,""),"")</f>
        <v/>
      </c>
      <c r="AH341" s="38"/>
      <c r="AI341" s="70">
        <v>0</v>
      </c>
      <c r="AJ341" s="38">
        <f>IF(AND(AJ$7="○",$A341&gt;=AJ$8,$A341&lt;=AJ$9),IF(SUM(AJ$10:AJ340)-ROUNDDOWN($K341*AJ$5/100,0)&lt;-AJ$6,-AJ$6-SUM(AJ$10:AJ340),-ROUNDDOWN($K341*AJ$5/100,0)),0)</f>
        <v>0</v>
      </c>
      <c r="AK341" s="38">
        <f>IF(AND(AK$7="○",$A341&gt;=AK$8,$A341&lt;=AK$9),IF(SUM(AK$10:AK340)-ROUNDDOWN($L341*AK$5/100,0)&lt;-AK$6,-AK$6-SUM(AK$10:AK340),-ROUNDDOWN($L341*AK$5/100,0)),0)</f>
        <v>0</v>
      </c>
      <c r="AL341" s="38">
        <f>IF(AND(AL$7="○",$A341&gt;=AL$8,$A341&lt;=AL$9),IF(SUM(AL$10:AL340)-ROUNDDOWN($N341*AL$5/100,0)&lt;-AL$6,-AL$6-SUM(AL$10:AL340),-ROUNDDOWN($N341*AL$5/100,0)),0)</f>
        <v>0</v>
      </c>
      <c r="AM341" s="38">
        <f>IF(AND(AM$7="○",$A341&gt;=AM$8,$A341&lt;=AM$9),IF(SUM(AM$10:AM340)-ROUNDDOWN($L341*AM$5/100,0)&lt;-AM$6,-AM$6-SUM(AM$10:AM340),-ROUNDDOWN($L341*AM$5/100,0)),0)</f>
        <v>0</v>
      </c>
      <c r="AN341" s="38">
        <f>IF(AND(AN$7="○",$A341&gt;=AN$8,$A341&lt;=AN$9),IF(SUM(AN$10:AN340)-ROUNDDOWN($M341*AN$5/100,0)&lt;-AN$6,-AN$6-SUM(AN$10:AN340),-ROUNDDOWN($M341*AN$5/100,0)),0)</f>
        <v>0</v>
      </c>
      <c r="AO341" s="38">
        <f>IF(AND($A341&gt;=AO$8,$A341&lt;=AO$9),IF(SUM(AO$10:AO340)-ROUNDDOWN($K341*AO$5/100,0)&lt;-AO$6,-AO$6-SUM(AO$10:AO340),-ROUNDDOWN($K341*AO$5/100,0)),0)</f>
        <v>0</v>
      </c>
      <c r="AP341" s="38">
        <f>IF(AND($A341&gt;=AP$8,$A341&lt;=AP$9),IF(SUM(AP$10:AP340)-ROUNDDOWN($K341*AP$5/100,0)&lt;-AP$6,-AP$6-SUM(AP$10:AP340),-ROUNDDOWN($K341*AP$5/100,0)),0)</f>
        <v>0</v>
      </c>
      <c r="AQ341" s="38">
        <f>IF(AND($A341&gt;=AQ$8,$A341&lt;=AQ$9),IF(SUM(AQ$10:AQ340)-ROUNDDOWN($K341*AQ$5/100,0)&lt;-AQ$6,-AQ$6-SUM(AQ$10:AQ340),-ROUNDDOWN($K341*AQ$5/100,0)),0)</f>
        <v>0</v>
      </c>
      <c r="AR341" s="38">
        <f>IF(AND($A341&gt;=AR$8,$A341&lt;=AR$9),IF(SUM(AR$10:AR340)-ROUNDDOWN($K341*AR$5/100,0)&lt;-AR$6,-AR$6-SUM(AR$10:AR340),-ROUNDDOWN($K341*AR$5/100,0)),0)</f>
        <v>0</v>
      </c>
      <c r="AS341" s="38">
        <f>IF(SUMIFS(AS$10:AS340,$A$10:$A340,$A341)-ROUNDDOWN($K341*$S341/100,0)&lt;-$S341*1000,-$S341*1000-SUMIFS(AS$10:AS340,$A$10:$A340,$A341),-ROUNDDOWN($K341*$S341/100,0))</f>
        <v>0</v>
      </c>
      <c r="AT341" s="38">
        <f>IF(AND(X341="○",$A341&gt;=AT$8,$A341&lt;=AT$9,K341&gt;=3980),IF(SUM(AT$10:AT340)-ROUNDDOWN($K341*AT$5/100,0)&lt;-AT$6,-AT$6-SUM(AT$10:AT340),-ROUNDDOWN($K341*AT$5/100,0)),0)</f>
        <v>0</v>
      </c>
      <c r="AU341" s="38">
        <f>IF(O341="○",IF(SUM(AU$10:AU340)-ROUNDDOWN($K341*AU$5/100,0)&lt;-AU$6,-AU$6-SUM(AU$10:AU340),-ROUNDDOWN($K341*AU$5/100,0)),0)</f>
        <v>0</v>
      </c>
      <c r="AV341" s="38">
        <f>IF(P341="○",IF(SUM(AV$10:AV340)-ROUNDDOWN($K341*AV$5/100,0)&lt;-AV$6,-AV$6-SUM(AV$10:AV340),-ROUNDDOWN($K341*AV$5/100,0)),0)</f>
        <v>0</v>
      </c>
      <c r="AW341" s="38">
        <f>IF(Q341="○",IF(SUM(AW$10:AW340)-ROUNDDOWN($K341*AW$5/100,0)&lt;-AW$6,-AW$6-SUM(AW$10:AW340),-ROUNDDOWN($K341*AW$5/100,0)),0)</f>
        <v>0</v>
      </c>
      <c r="AX341" s="38">
        <f>IF(R341="○",IF(SUM(AX$10:AX340)-ROUNDDOWN($K341*AX$5/100,0)&lt;-AX$6,-AX$6-SUM(AX$10:AX340),-ROUNDDOWN($K341*AX$5/100,0)),0)</f>
        <v>0</v>
      </c>
      <c r="AY341" s="70">
        <v>0</v>
      </c>
      <c r="AZ341" s="65">
        <f t="shared" si="250"/>
        <v>0</v>
      </c>
      <c r="BA341" s="65">
        <f t="shared" si="251"/>
        <v>0</v>
      </c>
      <c r="BB341" s="70"/>
      <c r="BC341" s="65">
        <f t="shared" si="252"/>
        <v>0</v>
      </c>
      <c r="BD341" s="70">
        <v>0</v>
      </c>
      <c r="BE341" s="65">
        <f t="shared" si="253"/>
        <v>0</v>
      </c>
      <c r="BF341" s="70">
        <v>0</v>
      </c>
      <c r="BG341" s="65">
        <f t="shared" si="254"/>
        <v>0</v>
      </c>
      <c r="BH341" s="70">
        <v>0</v>
      </c>
      <c r="BI341" s="65">
        <f t="shared" si="255"/>
        <v>0</v>
      </c>
      <c r="BJ341" s="38">
        <f>IF(AND(BJ$7="○",$A341&gt;=BJ$8,$A341&lt;=BJ$9),IF(SUM(BJ$10:BJ340)-ROUNDDOWN($M341*BJ$5/100,0)&lt;-BJ$6,-BJ$6-SUM(BJ$10:BJ340),-ROUNDDOWN($M341*BJ$5/100,0)),0)</f>
        <v>0</v>
      </c>
      <c r="BK341" s="38">
        <f>IF(AND(BK$7="○",$A341&gt;=BK$8,$A341&lt;=BK$9),IF(SUM(BK$10:BK340)-ROUNDDOWN($L341*BK$5/100,0)&lt;-BK$6,-BK$6-SUM(BK$10:BK340),-ROUNDDOWN($L341*BK$5/100,0)),0)</f>
        <v>0</v>
      </c>
      <c r="BL341" s="38">
        <f>IF(AND(BL$7="○",$A341&gt;=BL$8,$A341&lt;=BL$9),IF(SUM(BL$10:BL340)-ROUNDDOWN($L341*BL$5/100,0)&lt;-BL$6,-BL$6-SUM(BL$10:BL340),-ROUNDDOWN($L341*BL$5/100,0)),0)</f>
        <v>0</v>
      </c>
      <c r="BM341" s="38">
        <f>IF(AND(BM$7="○",$A341&gt;=BM$8,$A341&lt;=BM$9),IF(SUM(BM$10:BM340)-ROUNDDOWN($M341*BM$5/100,0)&lt;-BM$6,-BM$6-SUM(BM$10:BM340),-ROUNDDOWN($M341*BM$5/100,0)),0)</f>
        <v>0</v>
      </c>
      <c r="BN341" s="38">
        <f>IF(AND(BN$7="○",$A341&gt;=BN$8,$A341&lt;=BN$9),IF(SUM(BN$10:BN340)-ROUNDDOWN($M341*BN$5/100,0)&lt;-BN$6,-BN$6-SUM(BN$10:BN340),-ROUNDDOWN($M341*BN$5/100,0)),0)</f>
        <v>0</v>
      </c>
      <c r="BO341" s="38">
        <f>IF(AND(BO$7="○",$A341&gt;=BO$8,$A341&lt;=BO$9),IF(SUM(BO$10:BO340)-ROUNDDOWN($M341*BO$5/100,0)&lt;-BO$6,-BO$6-SUM(BO$10:BO340),-ROUNDDOWN($M341*BO$5/100,0)),0)</f>
        <v>0</v>
      </c>
      <c r="BP341" s="38">
        <f>IF(AND(BP$7="○",$A341&gt;=BP$8,$A341&lt;=BP$9),IF(SUM(BP$10:BP340)-ROUNDDOWN($M341*BP$5/100,0)&lt;-BP$6,-BP$6-SUM(BP$10:BP340),-ROUNDDOWN($M341*BP$5/100,0)),0)</f>
        <v>0</v>
      </c>
      <c r="BQ341" s="38">
        <f>IF(AND(BQ$7="○",$A341&gt;=BQ$8,$A341&lt;=BQ$9),IF(SUM(BQ$10:BQ340)-ROUNDDOWN($L341*BQ$5/100,0)&lt;-BQ$6,-BQ$6-SUM(BQ$10:BQ340),-ROUNDDOWN($L341*BQ$5/100,0)),0)</f>
        <v>0</v>
      </c>
      <c r="BR341" s="38">
        <f>IF(AND(BR$7="○",$A341&gt;=BR$8,$A341&lt;=BR$9),IF(SUM(BR$10:BR340)-ROUNDDOWN($M341*BR$5/100,0)&lt;-BR$6,-BR$6-SUM(BR$10:BR340),-ROUNDDOWN($M341*BR$5/100,0)),0)</f>
        <v>0</v>
      </c>
      <c r="BS341" s="38">
        <f>IF(AND(BS$7="○",$A341&gt;=BS$8,$A341&lt;=BS$9),IF(SUM(BS$10:BS340)-ROUNDDOWN($M341*BS$5/100,0)&lt;-BS$6,-BS$6-SUM(BS$10:BS340),-ROUNDDOWN($M341*BS$5/100,0)),0)</f>
        <v>0</v>
      </c>
      <c r="BT341" s="38">
        <f>IF(AND(BT$7="○",$A341&gt;=BT$8,$A341&lt;=BT$9),IF(SUM(BT$10:BT340)-ROUNDDOWN($M341*BT$5/100,0)&lt;-BT$6,-BT$6-SUM(BT$10:BT340),-ROUNDDOWN($M341*BT$5/100,0)),0)</f>
        <v>0</v>
      </c>
      <c r="BU341" s="38">
        <f>IF(AND(BU$7="○",$A341&gt;=BU$8,$A341&lt;=BU$9),IF(SUM(BU$10:BU340)-ROUNDDOWN($M341*BU$5/100,0)&lt;-BU$6,-BU$6-SUM(BU$10:BU340),-ROUNDDOWN($M341*BU$5/100,0)),0)</f>
        <v>0</v>
      </c>
      <c r="BV341" s="38">
        <f>IF(AND(BV$7="○",$A341&gt;=BV$8,$A341&lt;=BV$9),IF(SUM(BV$10:BV340)-ROUNDDOWN($M341*BV$5/100,0)&lt;-BV$6,-BV$6-SUM(BV$10:BV340),-ROUNDDOWN($M341*BV$5/100,0)),0)</f>
        <v>0</v>
      </c>
      <c r="BW341" s="38">
        <f>IF(AND(BW$7="○",$A341&gt;=BW$8,$A341&lt;=BW$9),IF(SUM(BW$10:BW340)-ROUNDDOWN($M341*BW$5/100,0)&lt;-BW$6,-BW$6-SUM(BW$10:BW340),-ROUNDDOWN($M341*BW$5/100,0)),0)</f>
        <v>0</v>
      </c>
      <c r="BX341" s="38">
        <f>IF(AND(T341="○",$A341&gt;=BX$8,$A341&lt;=BX$9),IF(SUM(BX$10:BX340)-ROUNDDOWN($K341*BX$5/100,0)&lt;-BX$6,-BX$6-SUM(BX$10:BX340),-ROUNDDOWN($K341*BX$5/100,0)),0)</f>
        <v>0</v>
      </c>
      <c r="BY341" s="38">
        <f>IF(AND(U341="○",$A341&gt;=BY$8,$A341&lt;=BY$9),IF(SUM(BY$10:BY340)-ROUNDDOWN($K341*BY$5/100,0)&lt;-BY$6,-BY$6-SUM(BY$10:BY340),-ROUNDDOWN($K341*BY$5/100,0)),0)</f>
        <v>0</v>
      </c>
      <c r="BZ341" s="38">
        <f>IF(AND(V341="○",$A341&gt;=BZ$8,$A341&lt;=BZ$9),IF(SUM(BZ$10:BZ340)-ROUNDDOWN($K341*BZ$5/100,0)&lt;-BZ$6,-BZ$6-SUM(BZ$10:BZ340),-ROUNDDOWN($K341*BZ$5/100,0)),0)</f>
        <v>0</v>
      </c>
      <c r="CA341" s="38">
        <f>IF(AND(W341="○",$A341&gt;=CA$8,$A341&lt;=CA$9),IF(SUM(CA$10:CA340)-ROUNDDOWN($K341*CA$5/100,0)&lt;-CA$6,-CA$6-SUM(CA$10:CA340),-ROUNDDOWN($K341*CA$5/100,0)),0)</f>
        <v>0</v>
      </c>
      <c r="CB341" s="38"/>
      <c r="CC341" s="38"/>
      <c r="CD341" s="38"/>
      <c r="CE341" s="38"/>
      <c r="CF341" s="38"/>
      <c r="CG341" s="65">
        <f t="shared" si="256"/>
        <v>0</v>
      </c>
      <c r="CH341" s="71">
        <f t="shared" si="257"/>
        <v>0</v>
      </c>
      <c r="CI341" s="1">
        <f t="shared" si="241"/>
        <v>0</v>
      </c>
      <c r="CJ341" s="1"/>
      <c r="CK341" s="2"/>
      <c r="CL341" s="2"/>
      <c r="CM341" s="2"/>
      <c r="CN341" s="2"/>
      <c r="CO341" s="73">
        <f t="shared" si="242"/>
        <v>0</v>
      </c>
      <c r="CP341" s="5">
        <f t="shared" si="243"/>
        <v>0</v>
      </c>
      <c r="CQ341" s="1"/>
      <c r="CR341" s="1">
        <f t="shared" si="244"/>
        <v>0</v>
      </c>
      <c r="CS341" s="1"/>
      <c r="CT341" s="1" t="e">
        <f>INDEX([2]マスタ!$A:$A,MATCH(D341,[2]マスタ!$C:$C,0))</f>
        <v>#N/A</v>
      </c>
      <c r="CU341" s="1" t="str">
        <f t="shared" ca="1" si="245"/>
        <v>20260620_0-0</v>
      </c>
    </row>
    <row r="342" spans="1:99" x14ac:dyDescent="0.4">
      <c r="A342" s="61"/>
      <c r="B342" s="62"/>
      <c r="C342" s="62"/>
      <c r="D342" s="62"/>
      <c r="E342" s="63"/>
      <c r="F342" s="62"/>
      <c r="G342" s="62">
        <v>1</v>
      </c>
      <c r="H342" s="64">
        <f t="shared" si="232"/>
        <v>0</v>
      </c>
      <c r="I342" s="64"/>
      <c r="J342" s="78"/>
      <c r="K342" s="65">
        <f t="shared" si="248"/>
        <v>0</v>
      </c>
      <c r="L342" s="65">
        <f t="shared" si="234"/>
        <v>0</v>
      </c>
      <c r="M342" s="65">
        <f t="shared" si="235"/>
        <v>0</v>
      </c>
      <c r="N342" s="65">
        <f t="shared" si="236"/>
        <v>0</v>
      </c>
      <c r="O342" s="66" t="str">
        <f t="shared" si="237"/>
        <v>✕</v>
      </c>
      <c r="P342" s="67" t="str">
        <f t="shared" si="238"/>
        <v>○</v>
      </c>
      <c r="Q342" s="67" t="str">
        <f t="shared" si="249"/>
        <v>✕</v>
      </c>
      <c r="R342" s="67" t="str">
        <f t="shared" si="240"/>
        <v>✕</v>
      </c>
      <c r="S342" s="68">
        <v>0</v>
      </c>
      <c r="T342" s="69" t="s">
        <v>85</v>
      </c>
      <c r="U342" s="69" t="s">
        <v>85</v>
      </c>
      <c r="V342" s="69" t="s">
        <v>85</v>
      </c>
      <c r="W342" s="69" t="s">
        <v>85</v>
      </c>
      <c r="X342" s="69" t="s">
        <v>84</v>
      </c>
      <c r="Y342" s="69" t="s">
        <v>85</v>
      </c>
      <c r="Z342" s="69" t="s">
        <v>85</v>
      </c>
      <c r="AA342" s="69" t="s">
        <v>85</v>
      </c>
      <c r="AB342" s="69" t="s">
        <v>85</v>
      </c>
      <c r="AC342" s="69" t="s">
        <v>85</v>
      </c>
      <c r="AD342" s="38" t="str">
        <f>+IF(ISERROR(VLOOKUP($B342,AD$10:AD341,1,0)),IF(AND($N342&gt;=1000,$A342&gt;=AO$8,$A342&lt;=AO$9),$B342,""),"")</f>
        <v/>
      </c>
      <c r="AE342" s="38" t="str">
        <f>+IF(ISERROR(VLOOKUP($B342,AE$10:AE341,1,0)),IF(AND($N342&gt;=1000,$A342&gt;=AP$8,$A342&lt;=AP$9),$B342,""),"")</f>
        <v/>
      </c>
      <c r="AF342" s="38" t="str">
        <f>+IF(ISERROR(VLOOKUP($B342,AF$10:AF341,1,0)),IF(AND($N342&gt;=1000,$A342&gt;=AQ$8,$A342&lt;=AQ$9),$B342,""),"")</f>
        <v/>
      </c>
      <c r="AG342" s="38" t="str">
        <f>+IF(ISERROR(VLOOKUP($B342,AG$10:AG341,1,0)),IF(AND($N342&gt;=1000,$A342&gt;=AR$8,$A342&lt;=AR$9),$B342,""),"")</f>
        <v/>
      </c>
      <c r="AH342" s="38"/>
      <c r="AI342" s="70">
        <v>0</v>
      </c>
      <c r="AJ342" s="38">
        <f>IF(AND(AJ$7="○",$A342&gt;=AJ$8,$A342&lt;=AJ$9),IF(SUM(AJ$10:AJ341)-ROUNDDOWN($K342*AJ$5/100,0)&lt;-AJ$6,-AJ$6-SUM(AJ$10:AJ341),-ROUNDDOWN($K342*AJ$5/100,0)),0)</f>
        <v>0</v>
      </c>
      <c r="AK342" s="38">
        <f>IF(AND(AK$7="○",$A342&gt;=AK$8,$A342&lt;=AK$9),IF(SUM(AK$10:AK341)-ROUNDDOWN($L342*AK$5/100,0)&lt;-AK$6,-AK$6-SUM(AK$10:AK341),-ROUNDDOWN($L342*AK$5/100,0)),0)</f>
        <v>0</v>
      </c>
      <c r="AL342" s="38">
        <f>IF(AND(AL$7="○",$A342&gt;=AL$8,$A342&lt;=AL$9),IF(SUM(AL$10:AL341)-ROUNDDOWN($N342*AL$5/100,0)&lt;-AL$6,-AL$6-SUM(AL$10:AL341),-ROUNDDOWN($N342*AL$5/100,0)),0)</f>
        <v>0</v>
      </c>
      <c r="AM342" s="38">
        <f>IF(AND(AM$7="○",$A342&gt;=AM$8,$A342&lt;=AM$9),IF(SUM(AM$10:AM341)-ROUNDDOWN($L342*AM$5/100,0)&lt;-AM$6,-AM$6-SUM(AM$10:AM341),-ROUNDDOWN($L342*AM$5/100,0)),0)</f>
        <v>0</v>
      </c>
      <c r="AN342" s="38">
        <f>IF(AND(AN$7="○",$A342&gt;=AN$8,$A342&lt;=AN$9),IF(SUM(AN$10:AN341)-ROUNDDOWN($M342*AN$5/100,0)&lt;-AN$6,-AN$6-SUM(AN$10:AN341),-ROUNDDOWN($M342*AN$5/100,0)),0)</f>
        <v>0</v>
      </c>
      <c r="AO342" s="38">
        <f>IF(AND($A342&gt;=AO$8,$A342&lt;=AO$9),IF(SUM(AO$10:AO341)-ROUNDDOWN($K342*AO$5/100,0)&lt;-AO$6,-AO$6-SUM(AO$10:AO341),-ROUNDDOWN($K342*AO$5/100,0)),0)</f>
        <v>0</v>
      </c>
      <c r="AP342" s="38">
        <f>IF(AND($A342&gt;=AP$8,$A342&lt;=AP$9),IF(SUM(AP$10:AP341)-ROUNDDOWN($K342*AP$5/100,0)&lt;-AP$6,-AP$6-SUM(AP$10:AP341),-ROUNDDOWN($K342*AP$5/100,0)),0)</f>
        <v>0</v>
      </c>
      <c r="AQ342" s="38">
        <f>IF(AND($A342&gt;=AQ$8,$A342&lt;=AQ$9),IF(SUM(AQ$10:AQ341)-ROUNDDOWN($K342*AQ$5/100,0)&lt;-AQ$6,-AQ$6-SUM(AQ$10:AQ341),-ROUNDDOWN($K342*AQ$5/100,0)),0)</f>
        <v>0</v>
      </c>
      <c r="AR342" s="38">
        <f>IF(AND($A342&gt;=AR$8,$A342&lt;=AR$9),IF(SUM(AR$10:AR341)-ROUNDDOWN($K342*AR$5/100,0)&lt;-AR$6,-AR$6-SUM(AR$10:AR341),-ROUNDDOWN($K342*AR$5/100,0)),0)</f>
        <v>0</v>
      </c>
      <c r="AS342" s="38">
        <f>IF(SUMIFS(AS$10:AS341,$A$10:$A341,$A342)-ROUNDDOWN($K342*$S342/100,0)&lt;-$S342*1000,-$S342*1000-SUMIFS(AS$10:AS341,$A$10:$A341,$A342),-ROUNDDOWN($K342*$S342/100,0))</f>
        <v>0</v>
      </c>
      <c r="AT342" s="38">
        <f>IF(AND(X342="○",$A342&gt;=AT$8,$A342&lt;=AT$9,K342&gt;=3980),IF(SUM(AT$10:AT341)-ROUNDDOWN($K342*AT$5/100,0)&lt;-AT$6,-AT$6-SUM(AT$10:AT341),-ROUNDDOWN($K342*AT$5/100,0)),0)</f>
        <v>0</v>
      </c>
      <c r="AU342" s="38">
        <f>IF(O342="○",IF(SUM(AU$10:AU341)-ROUNDDOWN($K342*AU$5/100,0)&lt;-AU$6,-AU$6-SUM(AU$10:AU341),-ROUNDDOWN($K342*AU$5/100,0)),0)</f>
        <v>0</v>
      </c>
      <c r="AV342" s="38">
        <f>IF(P342="○",IF(SUM(AV$10:AV341)-ROUNDDOWN($K342*AV$5/100,0)&lt;-AV$6,-AV$6-SUM(AV$10:AV341),-ROUNDDOWN($K342*AV$5/100,0)),0)</f>
        <v>0</v>
      </c>
      <c r="AW342" s="38">
        <f>IF(Q342="○",IF(SUM(AW$10:AW341)-ROUNDDOWN($K342*AW$5/100,0)&lt;-AW$6,-AW$6-SUM(AW$10:AW341),-ROUNDDOWN($K342*AW$5/100,0)),0)</f>
        <v>0</v>
      </c>
      <c r="AX342" s="38">
        <f>IF(R342="○",IF(SUM(AX$10:AX341)-ROUNDDOWN($K342*AX$5/100,0)&lt;-AX$6,-AX$6-SUM(AX$10:AX341),-ROUNDDOWN($K342*AX$5/100,0)),0)</f>
        <v>0</v>
      </c>
      <c r="AY342" s="70">
        <v>0</v>
      </c>
      <c r="AZ342" s="65">
        <f t="shared" si="250"/>
        <v>0</v>
      </c>
      <c r="BA342" s="65">
        <f t="shared" si="251"/>
        <v>0</v>
      </c>
      <c r="BB342" s="70"/>
      <c r="BC342" s="65">
        <f t="shared" si="252"/>
        <v>0</v>
      </c>
      <c r="BD342" s="70">
        <v>0</v>
      </c>
      <c r="BE342" s="65">
        <f t="shared" si="253"/>
        <v>0</v>
      </c>
      <c r="BF342" s="70">
        <v>0</v>
      </c>
      <c r="BG342" s="65">
        <f t="shared" si="254"/>
        <v>0</v>
      </c>
      <c r="BH342" s="70">
        <v>0</v>
      </c>
      <c r="BI342" s="65">
        <f t="shared" si="255"/>
        <v>0</v>
      </c>
      <c r="BJ342" s="38">
        <f>IF(AND(BJ$7="○",$A342&gt;=BJ$8,$A342&lt;=BJ$9),IF(SUM(BJ$10:BJ341)-ROUNDDOWN($M342*BJ$5/100,0)&lt;-BJ$6,-BJ$6-SUM(BJ$10:BJ341),-ROUNDDOWN($M342*BJ$5/100,0)),0)</f>
        <v>0</v>
      </c>
      <c r="BK342" s="38">
        <f>IF(AND(BK$7="○",$A342&gt;=BK$8,$A342&lt;=BK$9),IF(SUM(BK$10:BK341)-ROUNDDOWN($L342*BK$5/100,0)&lt;-BK$6,-BK$6-SUM(BK$10:BK341),-ROUNDDOWN($L342*BK$5/100,0)),0)</f>
        <v>0</v>
      </c>
      <c r="BL342" s="38">
        <f>IF(AND(BL$7="○",$A342&gt;=BL$8,$A342&lt;=BL$9),IF(SUM(BL$10:BL341)-ROUNDDOWN($L342*BL$5/100,0)&lt;-BL$6,-BL$6-SUM(BL$10:BL341),-ROUNDDOWN($L342*BL$5/100,0)),0)</f>
        <v>0</v>
      </c>
      <c r="BM342" s="38">
        <f>IF(AND(BM$7="○",$A342&gt;=BM$8,$A342&lt;=BM$9),IF(SUM(BM$10:BM341)-ROUNDDOWN($M342*BM$5/100,0)&lt;-BM$6,-BM$6-SUM(BM$10:BM341),-ROUNDDOWN($M342*BM$5/100,0)),0)</f>
        <v>0</v>
      </c>
      <c r="BN342" s="38">
        <f>IF(AND(BN$7="○",$A342&gt;=BN$8,$A342&lt;=BN$9),IF(SUM(BN$10:BN341)-ROUNDDOWN($M342*BN$5/100,0)&lt;-BN$6,-BN$6-SUM(BN$10:BN341),-ROUNDDOWN($M342*BN$5/100,0)),0)</f>
        <v>0</v>
      </c>
      <c r="BO342" s="38">
        <f>IF(AND(BO$7="○",$A342&gt;=BO$8,$A342&lt;=BO$9),IF(SUM(BO$10:BO341)-ROUNDDOWN($M342*BO$5/100,0)&lt;-BO$6,-BO$6-SUM(BO$10:BO341),-ROUNDDOWN($M342*BO$5/100,0)),0)</f>
        <v>0</v>
      </c>
      <c r="BP342" s="38">
        <f>IF(AND(BP$7="○",$A342&gt;=BP$8,$A342&lt;=BP$9),IF(SUM(BP$10:BP341)-ROUNDDOWN($M342*BP$5/100,0)&lt;-BP$6,-BP$6-SUM(BP$10:BP341),-ROUNDDOWN($M342*BP$5/100,0)),0)</f>
        <v>0</v>
      </c>
      <c r="BQ342" s="38">
        <f>IF(AND(BQ$7="○",$A342&gt;=BQ$8,$A342&lt;=BQ$9),IF(SUM(BQ$10:BQ341)-ROUNDDOWN($L342*BQ$5/100,0)&lt;-BQ$6,-BQ$6-SUM(BQ$10:BQ341),-ROUNDDOWN($L342*BQ$5/100,0)),0)</f>
        <v>0</v>
      </c>
      <c r="BR342" s="38">
        <f>IF(AND(BR$7="○",$A342&gt;=BR$8,$A342&lt;=BR$9),IF(SUM(BR$10:BR341)-ROUNDDOWN($M342*BR$5/100,0)&lt;-BR$6,-BR$6-SUM(BR$10:BR341),-ROUNDDOWN($M342*BR$5/100,0)),0)</f>
        <v>0</v>
      </c>
      <c r="BS342" s="38">
        <f>IF(AND(BS$7="○",$A342&gt;=BS$8,$A342&lt;=BS$9),IF(SUM(BS$10:BS341)-ROUNDDOWN($M342*BS$5/100,0)&lt;-BS$6,-BS$6-SUM(BS$10:BS341),-ROUNDDOWN($M342*BS$5/100,0)),0)</f>
        <v>0</v>
      </c>
      <c r="BT342" s="38">
        <f>IF(AND(BT$7="○",$A342&gt;=BT$8,$A342&lt;=BT$9),IF(SUM(BT$10:BT341)-ROUNDDOWN($M342*BT$5/100,0)&lt;-BT$6,-BT$6-SUM(BT$10:BT341),-ROUNDDOWN($M342*BT$5/100,0)),0)</f>
        <v>0</v>
      </c>
      <c r="BU342" s="38">
        <f>IF(AND(BU$7="○",$A342&gt;=BU$8,$A342&lt;=BU$9),IF(SUM(BU$10:BU341)-ROUNDDOWN($M342*BU$5/100,0)&lt;-BU$6,-BU$6-SUM(BU$10:BU341),-ROUNDDOWN($M342*BU$5/100,0)),0)</f>
        <v>0</v>
      </c>
      <c r="BV342" s="38">
        <f>IF(AND(BV$7="○",$A342&gt;=BV$8,$A342&lt;=BV$9),IF(SUM(BV$10:BV341)-ROUNDDOWN($M342*BV$5/100,0)&lt;-BV$6,-BV$6-SUM(BV$10:BV341),-ROUNDDOWN($M342*BV$5/100,0)),0)</f>
        <v>0</v>
      </c>
      <c r="BW342" s="38">
        <f>IF(AND(BW$7="○",$A342&gt;=BW$8,$A342&lt;=BW$9),IF(SUM(BW$10:BW341)-ROUNDDOWN($M342*BW$5/100,0)&lt;-BW$6,-BW$6-SUM(BW$10:BW341),-ROUNDDOWN($M342*BW$5/100,0)),0)</f>
        <v>0</v>
      </c>
      <c r="BX342" s="38">
        <f>IF(AND(T342="○",$A342&gt;=BX$8,$A342&lt;=BX$9),IF(SUM(BX$10:BX341)-ROUNDDOWN($K342*BX$5/100,0)&lt;-BX$6,-BX$6-SUM(BX$10:BX341),-ROUNDDOWN($K342*BX$5/100,0)),0)</f>
        <v>0</v>
      </c>
      <c r="BY342" s="38">
        <f>IF(AND(U342="○",$A342&gt;=BY$8,$A342&lt;=BY$9),IF(SUM(BY$10:BY341)-ROUNDDOWN($K342*BY$5/100,0)&lt;-BY$6,-BY$6-SUM(BY$10:BY341),-ROUNDDOWN($K342*BY$5/100,0)),0)</f>
        <v>0</v>
      </c>
      <c r="BZ342" s="38">
        <f>IF(AND(V342="○",$A342&gt;=BZ$8,$A342&lt;=BZ$9),IF(SUM(BZ$10:BZ341)-ROUNDDOWN($K342*BZ$5/100,0)&lt;-BZ$6,-BZ$6-SUM(BZ$10:BZ341),-ROUNDDOWN($K342*BZ$5/100,0)),0)</f>
        <v>0</v>
      </c>
      <c r="CA342" s="38">
        <f>IF(AND(W342="○",$A342&gt;=CA$8,$A342&lt;=CA$9),IF(SUM(CA$10:CA341)-ROUNDDOWN($K342*CA$5/100,0)&lt;-CA$6,-CA$6-SUM(CA$10:CA341),-ROUNDDOWN($K342*CA$5/100,0)),0)</f>
        <v>0</v>
      </c>
      <c r="CB342" s="38"/>
      <c r="CC342" s="38"/>
      <c r="CD342" s="38"/>
      <c r="CE342" s="38"/>
      <c r="CF342" s="38"/>
      <c r="CG342" s="65">
        <f t="shared" si="256"/>
        <v>0</v>
      </c>
      <c r="CH342" s="71">
        <f t="shared" si="257"/>
        <v>0</v>
      </c>
      <c r="CI342" s="1">
        <f t="shared" si="241"/>
        <v>0</v>
      </c>
      <c r="CJ342" s="1"/>
      <c r="CK342" s="79"/>
      <c r="CL342" s="79"/>
      <c r="CM342" s="2"/>
      <c r="CN342" s="2"/>
      <c r="CO342" s="73">
        <f t="shared" si="242"/>
        <v>0</v>
      </c>
      <c r="CP342" s="5">
        <f t="shared" si="243"/>
        <v>0</v>
      </c>
      <c r="CQ342" s="1"/>
      <c r="CR342" s="1">
        <f t="shared" si="244"/>
        <v>0</v>
      </c>
      <c r="CS342" s="1"/>
      <c r="CT342" s="1" t="e">
        <f>INDEX([2]マスタ!$A:$A,MATCH(D342,[2]マスタ!$C:$C,0))</f>
        <v>#N/A</v>
      </c>
      <c r="CU342" s="1" t="str">
        <f t="shared" ca="1" si="245"/>
        <v>20260620_0-0</v>
      </c>
    </row>
    <row r="343" spans="1:99" x14ac:dyDescent="0.4">
      <c r="A343" s="61"/>
      <c r="B343" s="62"/>
      <c r="C343" s="62"/>
      <c r="D343" s="62"/>
      <c r="E343" s="63"/>
      <c r="F343" s="62"/>
      <c r="G343" s="62">
        <v>1</v>
      </c>
      <c r="H343" s="64">
        <f t="shared" si="232"/>
        <v>0</v>
      </c>
      <c r="I343" s="64"/>
      <c r="J343" s="78"/>
      <c r="K343" s="65">
        <f t="shared" si="248"/>
        <v>0</v>
      </c>
      <c r="L343" s="65">
        <f t="shared" si="234"/>
        <v>0</v>
      </c>
      <c r="M343" s="65">
        <f t="shared" si="235"/>
        <v>0</v>
      </c>
      <c r="N343" s="65">
        <f t="shared" si="236"/>
        <v>0</v>
      </c>
      <c r="O343" s="66" t="str">
        <f t="shared" si="237"/>
        <v>✕</v>
      </c>
      <c r="P343" s="67" t="str">
        <f t="shared" si="238"/>
        <v>○</v>
      </c>
      <c r="Q343" s="67" t="str">
        <f t="shared" si="249"/>
        <v>✕</v>
      </c>
      <c r="R343" s="67" t="str">
        <f t="shared" si="240"/>
        <v>✕</v>
      </c>
      <c r="S343" s="68">
        <v>0</v>
      </c>
      <c r="T343" s="69" t="s">
        <v>85</v>
      </c>
      <c r="U343" s="69" t="s">
        <v>85</v>
      </c>
      <c r="V343" s="69" t="s">
        <v>85</v>
      </c>
      <c r="W343" s="69" t="s">
        <v>85</v>
      </c>
      <c r="X343" s="69" t="s">
        <v>84</v>
      </c>
      <c r="Y343" s="69" t="s">
        <v>85</v>
      </c>
      <c r="Z343" s="69" t="s">
        <v>85</v>
      </c>
      <c r="AA343" s="69" t="s">
        <v>85</v>
      </c>
      <c r="AB343" s="69" t="s">
        <v>85</v>
      </c>
      <c r="AC343" s="69" t="s">
        <v>85</v>
      </c>
      <c r="AD343" s="38" t="str">
        <f>+IF(ISERROR(VLOOKUP($B343,AD$10:AD342,1,0)),IF(AND($N343&gt;=1000,$A343&gt;=AO$8,$A343&lt;=AO$9),$B343,""),"")</f>
        <v/>
      </c>
      <c r="AE343" s="38" t="str">
        <f>+IF(ISERROR(VLOOKUP($B343,AE$10:AE342,1,0)),IF(AND($N343&gt;=1000,$A343&gt;=AP$8,$A343&lt;=AP$9),$B343,""),"")</f>
        <v/>
      </c>
      <c r="AF343" s="38" t="str">
        <f>+IF(ISERROR(VLOOKUP($B343,AF$10:AF342,1,0)),IF(AND($N343&gt;=1000,$A343&gt;=AQ$8,$A343&lt;=AQ$9),$B343,""),"")</f>
        <v/>
      </c>
      <c r="AG343" s="38" t="str">
        <f>+IF(ISERROR(VLOOKUP($B343,AG$10:AG342,1,0)),IF(AND($N343&gt;=1000,$A343&gt;=AR$8,$A343&lt;=AR$9),$B343,""),"")</f>
        <v/>
      </c>
      <c r="AH343" s="38"/>
      <c r="AI343" s="70">
        <v>0</v>
      </c>
      <c r="AJ343" s="38">
        <f>IF(AND(AJ$7="○",$A343&gt;=AJ$8,$A343&lt;=AJ$9),IF(SUM(AJ$10:AJ342)-ROUNDDOWN($K343*AJ$5/100,0)&lt;-AJ$6,-AJ$6-SUM(AJ$10:AJ342),-ROUNDDOWN($K343*AJ$5/100,0)),0)</f>
        <v>0</v>
      </c>
      <c r="AK343" s="38">
        <f>IF(AND(AK$7="○",$A343&gt;=AK$8,$A343&lt;=AK$9),IF(SUM(AK$10:AK342)-ROUNDDOWN($L343*AK$5/100,0)&lt;-AK$6,-AK$6-SUM(AK$10:AK342),-ROUNDDOWN($L343*AK$5/100,0)),0)</f>
        <v>0</v>
      </c>
      <c r="AL343" s="38">
        <f>IF(AND(AL$7="○",$A343&gt;=AL$8,$A343&lt;=AL$9),IF(SUM(AL$10:AL342)-ROUNDDOWN($N343*AL$5/100,0)&lt;-AL$6,-AL$6-SUM(AL$10:AL342),-ROUNDDOWN($N343*AL$5/100,0)),0)</f>
        <v>0</v>
      </c>
      <c r="AM343" s="38">
        <f>IF(AND(AM$7="○",$A343&gt;=AM$8,$A343&lt;=AM$9),IF(SUM(AM$10:AM342)-ROUNDDOWN($L343*AM$5/100,0)&lt;-AM$6,-AM$6-SUM(AM$10:AM342),-ROUNDDOWN($L343*AM$5/100,0)),0)</f>
        <v>0</v>
      </c>
      <c r="AN343" s="38">
        <f>IF(AND(AN$7="○",$A343&gt;=AN$8,$A343&lt;=AN$9),IF(SUM(AN$10:AN342)-ROUNDDOWN($M343*AN$5/100,0)&lt;-AN$6,-AN$6-SUM(AN$10:AN342),-ROUNDDOWN($M343*AN$5/100,0)),0)</f>
        <v>0</v>
      </c>
      <c r="AO343" s="38">
        <f>IF(AND($A343&gt;=AO$8,$A343&lt;=AO$9),IF(SUM(AO$10:AO342)-ROUNDDOWN($K343*AO$5/100,0)&lt;-AO$6,-AO$6-SUM(AO$10:AO342),-ROUNDDOWN($K343*AO$5/100,0)),0)</f>
        <v>0</v>
      </c>
      <c r="AP343" s="38">
        <f>IF(AND($A343&gt;=AP$8,$A343&lt;=AP$9),IF(SUM(AP$10:AP342)-ROUNDDOWN($K343*AP$5/100,0)&lt;-AP$6,-AP$6-SUM(AP$10:AP342),-ROUNDDOWN($K343*AP$5/100,0)),0)</f>
        <v>0</v>
      </c>
      <c r="AQ343" s="38">
        <f>IF(AND($A343&gt;=AQ$8,$A343&lt;=AQ$9),IF(SUM(AQ$10:AQ342)-ROUNDDOWN($K343*AQ$5/100,0)&lt;-AQ$6,-AQ$6-SUM(AQ$10:AQ342),-ROUNDDOWN($K343*AQ$5/100,0)),0)</f>
        <v>0</v>
      </c>
      <c r="AR343" s="38">
        <f>IF(AND($A343&gt;=AR$8,$A343&lt;=AR$9),IF(SUM(AR$10:AR342)-ROUNDDOWN($K343*AR$5/100,0)&lt;-AR$6,-AR$6-SUM(AR$10:AR342),-ROUNDDOWN($K343*AR$5/100,0)),0)</f>
        <v>0</v>
      </c>
      <c r="AS343" s="38">
        <f>IF(SUMIFS(AS$10:AS342,$A$10:$A342,$A343)-ROUNDDOWN($K343*$S343/100,0)&lt;-$S343*1000,-$S343*1000-SUMIFS(AS$10:AS342,$A$10:$A342,$A343),-ROUNDDOWN($K343*$S343/100,0))</f>
        <v>0</v>
      </c>
      <c r="AT343" s="38">
        <f>IF(AND(X343="○",$A343&gt;=AT$8,$A343&lt;=AT$9,K343&gt;=3980),IF(SUM(AT$10:AT342)-ROUNDDOWN($K343*AT$5/100,0)&lt;-AT$6,-AT$6-SUM(AT$10:AT342),-ROUNDDOWN($K343*AT$5/100,0)),0)</f>
        <v>0</v>
      </c>
      <c r="AU343" s="38">
        <f>IF(O343="○",IF(SUM(AU$10:AU342)-ROUNDDOWN($K343*AU$5/100,0)&lt;-AU$6,-AU$6-SUM(AU$10:AU342),-ROUNDDOWN($K343*AU$5/100,0)),0)</f>
        <v>0</v>
      </c>
      <c r="AV343" s="38">
        <f>IF(P343="○",IF(SUM(AV$10:AV342)-ROUNDDOWN($K343*AV$5/100,0)&lt;-AV$6,-AV$6-SUM(AV$10:AV342),-ROUNDDOWN($K343*AV$5/100,0)),0)</f>
        <v>0</v>
      </c>
      <c r="AW343" s="38">
        <f>IF(Q343="○",IF(SUM(AW$10:AW342)-ROUNDDOWN($K343*AW$5/100,0)&lt;-AW$6,-AW$6-SUM(AW$10:AW342),-ROUNDDOWN($K343*AW$5/100,0)),0)</f>
        <v>0</v>
      </c>
      <c r="AX343" s="38">
        <f>IF(R343="○",IF(SUM(AX$10:AX342)-ROUNDDOWN($K343*AX$5/100,0)&lt;-AX$6,-AX$6-SUM(AX$10:AX342),-ROUNDDOWN($K343*AX$5/100,0)),0)</f>
        <v>0</v>
      </c>
      <c r="AY343" s="70">
        <v>0</v>
      </c>
      <c r="AZ343" s="65">
        <f t="shared" si="250"/>
        <v>0</v>
      </c>
      <c r="BA343" s="65">
        <f t="shared" si="251"/>
        <v>0</v>
      </c>
      <c r="BB343" s="70"/>
      <c r="BC343" s="65">
        <f t="shared" si="252"/>
        <v>0</v>
      </c>
      <c r="BD343" s="70">
        <v>0</v>
      </c>
      <c r="BE343" s="65">
        <f t="shared" si="253"/>
        <v>0</v>
      </c>
      <c r="BF343" s="70">
        <v>0</v>
      </c>
      <c r="BG343" s="65">
        <f t="shared" si="254"/>
        <v>0</v>
      </c>
      <c r="BH343" s="70">
        <v>0</v>
      </c>
      <c r="BI343" s="65">
        <f t="shared" si="255"/>
        <v>0</v>
      </c>
      <c r="BJ343" s="38">
        <f>IF(AND(BJ$7="○",$A343&gt;=BJ$8,$A343&lt;=BJ$9),IF(SUM(BJ$10:BJ342)-ROUNDDOWN($M343*BJ$5/100,0)&lt;-BJ$6,-BJ$6-SUM(BJ$10:BJ342),-ROUNDDOWN($M343*BJ$5/100,0)),0)</f>
        <v>0</v>
      </c>
      <c r="BK343" s="38">
        <f>IF(AND(BK$7="○",$A343&gt;=BK$8,$A343&lt;=BK$9),IF(SUM(BK$10:BK342)-ROUNDDOWN($L343*BK$5/100,0)&lt;-BK$6,-BK$6-SUM(BK$10:BK342),-ROUNDDOWN($L343*BK$5/100,0)),0)</f>
        <v>0</v>
      </c>
      <c r="BL343" s="38">
        <f>IF(AND(BL$7="○",$A343&gt;=BL$8,$A343&lt;=BL$9),IF(SUM(BL$10:BL342)-ROUNDDOWN($L343*BL$5/100,0)&lt;-BL$6,-BL$6-SUM(BL$10:BL342),-ROUNDDOWN($L343*BL$5/100,0)),0)</f>
        <v>0</v>
      </c>
      <c r="BM343" s="38">
        <f>IF(AND(BM$7="○",$A343&gt;=BM$8,$A343&lt;=BM$9),IF(SUM(BM$10:BM342)-ROUNDDOWN($M343*BM$5/100,0)&lt;-BM$6,-BM$6-SUM(BM$10:BM342),-ROUNDDOWN($M343*BM$5/100,0)),0)</f>
        <v>0</v>
      </c>
      <c r="BN343" s="38">
        <f>IF(AND(BN$7="○",$A343&gt;=BN$8,$A343&lt;=BN$9),IF(SUM(BN$10:BN342)-ROUNDDOWN($M343*BN$5/100,0)&lt;-BN$6,-BN$6-SUM(BN$10:BN342),-ROUNDDOWN($M343*BN$5/100,0)),0)</f>
        <v>0</v>
      </c>
      <c r="BO343" s="38">
        <f>IF(AND(BO$7="○",$A343&gt;=BO$8,$A343&lt;=BO$9),IF(SUM(BO$10:BO342)-ROUNDDOWN($M343*BO$5/100,0)&lt;-BO$6,-BO$6-SUM(BO$10:BO342),-ROUNDDOWN($M343*BO$5/100,0)),0)</f>
        <v>0</v>
      </c>
      <c r="BP343" s="38">
        <f>IF(AND(BP$7="○",$A343&gt;=BP$8,$A343&lt;=BP$9),IF(SUM(BP$10:BP342)-ROUNDDOWN($M343*BP$5/100,0)&lt;-BP$6,-BP$6-SUM(BP$10:BP342),-ROUNDDOWN($M343*BP$5/100,0)),0)</f>
        <v>0</v>
      </c>
      <c r="BQ343" s="38">
        <f>IF(AND(BQ$7="○",$A343&gt;=BQ$8,$A343&lt;=BQ$9),IF(SUM(BQ$10:BQ342)-ROUNDDOWN($L343*BQ$5/100,0)&lt;-BQ$6,-BQ$6-SUM(BQ$10:BQ342),-ROUNDDOWN($L343*BQ$5/100,0)),0)</f>
        <v>0</v>
      </c>
      <c r="BR343" s="38">
        <f>IF(AND(BR$7="○",$A343&gt;=BR$8,$A343&lt;=BR$9),IF(SUM(BR$10:BR342)-ROUNDDOWN($M343*BR$5/100,0)&lt;-BR$6,-BR$6-SUM(BR$10:BR342),-ROUNDDOWN($M343*BR$5/100,0)),0)</f>
        <v>0</v>
      </c>
      <c r="BS343" s="38">
        <f>IF(AND(BS$7="○",$A343&gt;=BS$8,$A343&lt;=BS$9),IF(SUM(BS$10:BS342)-ROUNDDOWN($M343*BS$5/100,0)&lt;-BS$6,-BS$6-SUM(BS$10:BS342),-ROUNDDOWN($M343*BS$5/100,0)),0)</f>
        <v>0</v>
      </c>
      <c r="BT343" s="38">
        <f>IF(AND(BT$7="○",$A343&gt;=BT$8,$A343&lt;=BT$9),IF(SUM(BT$10:BT342)-ROUNDDOWN($M343*BT$5/100,0)&lt;-BT$6,-BT$6-SUM(BT$10:BT342),-ROUNDDOWN($M343*BT$5/100,0)),0)</f>
        <v>0</v>
      </c>
      <c r="BU343" s="38">
        <f>IF(AND(BU$7="○",$A343&gt;=BU$8,$A343&lt;=BU$9),IF(SUM(BU$10:BU342)-ROUNDDOWN($M343*BU$5/100,0)&lt;-BU$6,-BU$6-SUM(BU$10:BU342),-ROUNDDOWN($M343*BU$5/100,0)),0)</f>
        <v>0</v>
      </c>
      <c r="BV343" s="38">
        <f>IF(AND(BV$7="○",$A343&gt;=BV$8,$A343&lt;=BV$9),IF(SUM(BV$10:BV342)-ROUNDDOWN($M343*BV$5/100,0)&lt;-BV$6,-BV$6-SUM(BV$10:BV342),-ROUNDDOWN($M343*BV$5/100,0)),0)</f>
        <v>0</v>
      </c>
      <c r="BW343" s="38">
        <f>IF(AND(BW$7="○",$A343&gt;=BW$8,$A343&lt;=BW$9),IF(SUM(BW$10:BW342)-ROUNDDOWN($M343*BW$5/100,0)&lt;-BW$6,-BW$6-SUM(BW$10:BW342),-ROUNDDOWN($M343*BW$5/100,0)),0)</f>
        <v>0</v>
      </c>
      <c r="BX343" s="38">
        <f>IF(AND(T343="○",$A343&gt;=BX$8,$A343&lt;=BX$9),IF(SUM(BX$10:BX342)-ROUNDDOWN($K343*BX$5/100,0)&lt;-BX$6,-BX$6-SUM(BX$10:BX342),-ROUNDDOWN($K343*BX$5/100,0)),0)</f>
        <v>0</v>
      </c>
      <c r="BY343" s="38">
        <f>IF(AND(U343="○",$A343&gt;=BY$8,$A343&lt;=BY$9),IF(SUM(BY$10:BY342)-ROUNDDOWN($K343*BY$5/100,0)&lt;-BY$6,-BY$6-SUM(BY$10:BY342),-ROUNDDOWN($K343*BY$5/100,0)),0)</f>
        <v>0</v>
      </c>
      <c r="BZ343" s="38">
        <f>IF(AND(V343="○",$A343&gt;=BZ$8,$A343&lt;=BZ$9),IF(SUM(BZ$10:BZ342)-ROUNDDOWN($K343*BZ$5/100,0)&lt;-BZ$6,-BZ$6-SUM(BZ$10:BZ342),-ROUNDDOWN($K343*BZ$5/100,0)),0)</f>
        <v>0</v>
      </c>
      <c r="CA343" s="38">
        <f>IF(AND(W343="○",$A343&gt;=CA$8,$A343&lt;=CA$9),IF(SUM(CA$10:CA342)-ROUNDDOWN($K343*CA$5/100,0)&lt;-CA$6,-CA$6-SUM(CA$10:CA342),-ROUNDDOWN($K343*CA$5/100,0)),0)</f>
        <v>0</v>
      </c>
      <c r="CB343" s="38"/>
      <c r="CC343" s="38"/>
      <c r="CD343" s="38"/>
      <c r="CE343" s="38"/>
      <c r="CF343" s="38"/>
      <c r="CG343" s="65">
        <f t="shared" si="256"/>
        <v>0</v>
      </c>
      <c r="CH343" s="71">
        <f t="shared" si="257"/>
        <v>0</v>
      </c>
      <c r="CI343" s="1">
        <f t="shared" si="241"/>
        <v>0</v>
      </c>
      <c r="CJ343" s="1"/>
      <c r="CK343" s="79"/>
      <c r="CL343" s="79"/>
      <c r="CM343" s="2"/>
      <c r="CN343" s="2"/>
      <c r="CO343" s="73">
        <f t="shared" si="242"/>
        <v>0</v>
      </c>
      <c r="CP343" s="5">
        <f t="shared" si="243"/>
        <v>0</v>
      </c>
      <c r="CQ343" s="1"/>
      <c r="CR343" s="1">
        <f t="shared" si="244"/>
        <v>0</v>
      </c>
      <c r="CS343" s="1"/>
      <c r="CT343" s="1" t="e">
        <f>INDEX([2]マスタ!$A:$A,MATCH(D343,[2]マスタ!$C:$C,0))</f>
        <v>#N/A</v>
      </c>
      <c r="CU343" s="1" t="str">
        <f t="shared" ca="1" si="245"/>
        <v>20260620_0-0</v>
      </c>
    </row>
    <row r="344" spans="1:99" x14ac:dyDescent="0.4">
      <c r="A344" s="61"/>
      <c r="B344" s="62"/>
      <c r="C344" s="62"/>
      <c r="D344" s="62"/>
      <c r="E344" s="77"/>
      <c r="F344" s="62"/>
      <c r="G344" s="62">
        <v>1</v>
      </c>
      <c r="H344" s="64">
        <f t="shared" si="232"/>
        <v>0</v>
      </c>
      <c r="I344" s="64"/>
      <c r="J344" s="64"/>
      <c r="K344" s="65">
        <f t="shared" si="248"/>
        <v>0</v>
      </c>
      <c r="L344" s="65">
        <f t="shared" si="234"/>
        <v>0</v>
      </c>
      <c r="M344" s="65">
        <f t="shared" si="235"/>
        <v>0</v>
      </c>
      <c r="N344" s="65">
        <f t="shared" si="236"/>
        <v>0</v>
      </c>
      <c r="O344" s="66" t="str">
        <f t="shared" si="237"/>
        <v>✕</v>
      </c>
      <c r="P344" s="67" t="str">
        <f t="shared" si="238"/>
        <v>○</v>
      </c>
      <c r="Q344" s="67" t="str">
        <f t="shared" si="249"/>
        <v>✕</v>
      </c>
      <c r="R344" s="67" t="str">
        <f t="shared" si="240"/>
        <v>✕</v>
      </c>
      <c r="S344" s="68">
        <v>0</v>
      </c>
      <c r="T344" s="69" t="s">
        <v>85</v>
      </c>
      <c r="U344" s="69" t="s">
        <v>85</v>
      </c>
      <c r="V344" s="69" t="s">
        <v>85</v>
      </c>
      <c r="W344" s="69" t="s">
        <v>85</v>
      </c>
      <c r="X344" s="69" t="s">
        <v>84</v>
      </c>
      <c r="Y344" s="69" t="s">
        <v>85</v>
      </c>
      <c r="Z344" s="69" t="s">
        <v>85</v>
      </c>
      <c r="AA344" s="69" t="s">
        <v>85</v>
      </c>
      <c r="AB344" s="69" t="s">
        <v>85</v>
      </c>
      <c r="AC344" s="69" t="s">
        <v>85</v>
      </c>
      <c r="AD344" s="38" t="str">
        <f>+IF(ISERROR(VLOOKUP($B344,AD$10:AD343,1,0)),IF(AND($N344&gt;=1000,$A344&gt;=AO$8,$A344&lt;=AO$9),$B344,""),"")</f>
        <v/>
      </c>
      <c r="AE344" s="38" t="str">
        <f>+IF(ISERROR(VLOOKUP($B344,AE$10:AE343,1,0)),IF(AND($N344&gt;=1000,$A344&gt;=AP$8,$A344&lt;=AP$9),$B344,""),"")</f>
        <v/>
      </c>
      <c r="AF344" s="38" t="str">
        <f>+IF(ISERROR(VLOOKUP($B344,AF$10:AF343,1,0)),IF(AND($N344&gt;=1000,$A344&gt;=AQ$8,$A344&lt;=AQ$9),$B344,""),"")</f>
        <v/>
      </c>
      <c r="AG344" s="38" t="str">
        <f>+IF(ISERROR(VLOOKUP($B344,AG$10:AG343,1,0)),IF(AND($N344&gt;=1000,$A344&gt;=AR$8,$A344&lt;=AR$9),$B344,""),"")</f>
        <v/>
      </c>
      <c r="AH344" s="38"/>
      <c r="AI344" s="70">
        <v>0</v>
      </c>
      <c r="AJ344" s="38">
        <f>IF(AND(AJ$7="○",$A344&gt;=AJ$8,$A344&lt;=AJ$9),IF(SUM(AJ$10:AJ343)-ROUNDDOWN($K344*AJ$5/100,0)&lt;-AJ$6,-AJ$6-SUM(AJ$10:AJ343),-ROUNDDOWN($K344*AJ$5/100,0)),0)</f>
        <v>0</v>
      </c>
      <c r="AK344" s="38">
        <f>IF(AND(AK$7="○",$A344&gt;=AK$8,$A344&lt;=AK$9),IF(SUM(AK$10:AK343)-ROUNDDOWN($L344*AK$5/100,0)&lt;-AK$6,-AK$6-SUM(AK$10:AK343),-ROUNDDOWN($L344*AK$5/100,0)),0)</f>
        <v>0</v>
      </c>
      <c r="AL344" s="38">
        <f>IF(AND(AL$7="○",$A344&gt;=AL$8,$A344&lt;=AL$9),IF(SUM(AL$10:AL343)-ROUNDDOWN($N344*AL$5/100,0)&lt;-AL$6,-AL$6-SUM(AL$10:AL343),-ROUNDDOWN($N344*AL$5/100,0)),0)</f>
        <v>0</v>
      </c>
      <c r="AM344" s="38">
        <f>IF(AND(AM$7="○",$A344&gt;=AM$8,$A344&lt;=AM$9),IF(SUM(AM$10:AM343)-ROUNDDOWN($L344*AM$5/100,0)&lt;-AM$6,-AM$6-SUM(AM$10:AM343),-ROUNDDOWN($L344*AM$5/100,0)),0)</f>
        <v>0</v>
      </c>
      <c r="AN344" s="38">
        <f>IF(AND(AN$7="○",$A344&gt;=AN$8,$A344&lt;=AN$9),IF(SUM(AN$10:AN343)-ROUNDDOWN($M344*AN$5/100,0)&lt;-AN$6,-AN$6-SUM(AN$10:AN343),-ROUNDDOWN($M344*AN$5/100,0)),0)</f>
        <v>0</v>
      </c>
      <c r="AO344" s="38">
        <f>IF(AND($A344&gt;=AO$8,$A344&lt;=AO$9),IF(SUM(AO$10:AO343)-ROUNDDOWN($K344*AO$5/100,0)&lt;-AO$6,-AO$6-SUM(AO$10:AO343),-ROUNDDOWN($K344*AO$5/100,0)),0)</f>
        <v>0</v>
      </c>
      <c r="AP344" s="38">
        <f>IF(AND($A344&gt;=AP$8,$A344&lt;=AP$9),IF(SUM(AP$10:AP343)-ROUNDDOWN($K344*AP$5/100,0)&lt;-AP$6,-AP$6-SUM(AP$10:AP343),-ROUNDDOWN($K344*AP$5/100,0)),0)</f>
        <v>0</v>
      </c>
      <c r="AQ344" s="38">
        <f>IF(AND($A344&gt;=AQ$8,$A344&lt;=AQ$9),IF(SUM(AQ$10:AQ343)-ROUNDDOWN($K344*AQ$5/100,0)&lt;-AQ$6,-AQ$6-SUM(AQ$10:AQ343),-ROUNDDOWN($K344*AQ$5/100,0)),0)</f>
        <v>0</v>
      </c>
      <c r="AR344" s="38">
        <f>IF(AND($A344&gt;=AR$8,$A344&lt;=AR$9),IF(SUM(AR$10:AR343)-ROUNDDOWN($K344*AR$5/100,0)&lt;-AR$6,-AR$6-SUM(AR$10:AR343),-ROUNDDOWN($K344*AR$5/100,0)),0)</f>
        <v>0</v>
      </c>
      <c r="AS344" s="38">
        <f>IF(SUMIFS(AS$10:AS343,$A$10:$A343,$A344)-ROUNDDOWN($K344*$S344/100,0)&lt;-$S344*1000,-$S344*1000-SUMIFS(AS$10:AS343,$A$10:$A343,$A344),-ROUNDDOWN($K344*$S344/100,0))</f>
        <v>0</v>
      </c>
      <c r="AT344" s="38">
        <f>IF(AND(X344="○",$A344&gt;=AT$8,$A344&lt;=AT$9,K344&gt;=3980),IF(SUM(AT$10:AT343)-ROUNDDOWN($K344*AT$5/100,0)&lt;-AT$6,-AT$6-SUM(AT$10:AT343),-ROUNDDOWN($K344*AT$5/100,0)),0)</f>
        <v>0</v>
      </c>
      <c r="AU344" s="38">
        <f>IF(O344="○",IF(SUM(AU$10:AU343)-ROUNDDOWN($K344*AU$5/100,0)&lt;-AU$6,-AU$6-SUM(AU$10:AU343),-ROUNDDOWN($K344*AU$5/100,0)),0)</f>
        <v>0</v>
      </c>
      <c r="AV344" s="38">
        <f>IF(P344="○",IF(SUM(AV$10:AV343)-ROUNDDOWN($K344*AV$5/100,0)&lt;-AV$6,-AV$6-SUM(AV$10:AV343),-ROUNDDOWN($K344*AV$5/100,0)),0)</f>
        <v>0</v>
      </c>
      <c r="AW344" s="38">
        <f>IF(Q344="○",IF(SUM(AW$10:AW343)-ROUNDDOWN($K344*AW$5/100,0)&lt;-AW$6,-AW$6-SUM(AW$10:AW343),-ROUNDDOWN($K344*AW$5/100,0)),0)</f>
        <v>0</v>
      </c>
      <c r="AX344" s="38">
        <f>IF(R344="○",IF(SUM(AX$10:AX343)-ROUNDDOWN($K344*AX$5/100,0)&lt;-AX$6,-AX$6-SUM(AX$10:AX343),-ROUNDDOWN($K344*AX$5/100,0)),0)</f>
        <v>0</v>
      </c>
      <c r="AY344" s="70">
        <v>0</v>
      </c>
      <c r="AZ344" s="65">
        <f t="shared" si="250"/>
        <v>0</v>
      </c>
      <c r="BA344" s="65">
        <f t="shared" si="251"/>
        <v>0</v>
      </c>
      <c r="BB344" s="70"/>
      <c r="BC344" s="65">
        <f t="shared" si="252"/>
        <v>0</v>
      </c>
      <c r="BD344" s="70">
        <v>0</v>
      </c>
      <c r="BE344" s="65">
        <f t="shared" si="253"/>
        <v>0</v>
      </c>
      <c r="BF344" s="70">
        <v>0</v>
      </c>
      <c r="BG344" s="65">
        <f t="shared" si="254"/>
        <v>0</v>
      </c>
      <c r="BH344" s="70">
        <v>0</v>
      </c>
      <c r="BI344" s="65">
        <f t="shared" si="255"/>
        <v>0</v>
      </c>
      <c r="BJ344" s="38">
        <f>IF(AND(BJ$7="○",$A344&gt;=BJ$8,$A344&lt;=BJ$9),IF(SUM(BJ$10:BJ343)-ROUNDDOWN($M344*BJ$5/100,0)&lt;-BJ$6,-BJ$6-SUM(BJ$10:BJ343),-ROUNDDOWN($M344*BJ$5/100,0)),0)</f>
        <v>0</v>
      </c>
      <c r="BK344" s="38">
        <f>IF(AND(BK$7="○",$A344&gt;=BK$8,$A344&lt;=BK$9),IF(SUM(BK$10:BK343)-ROUNDDOWN($L344*BK$5/100,0)&lt;-BK$6,-BK$6-SUM(BK$10:BK343),-ROUNDDOWN($L344*BK$5/100,0)),0)</f>
        <v>0</v>
      </c>
      <c r="BL344" s="38">
        <f>IF(AND(BL$7="○",$A344&gt;=BL$8,$A344&lt;=BL$9),IF(SUM(BL$10:BL343)-ROUNDDOWN($L344*BL$5/100,0)&lt;-BL$6,-BL$6-SUM(BL$10:BL343),-ROUNDDOWN($L344*BL$5/100,0)),0)</f>
        <v>0</v>
      </c>
      <c r="BM344" s="38">
        <f>IF(AND(BM$7="○",$A344&gt;=BM$8,$A344&lt;=BM$9),IF(SUM(BM$10:BM343)-ROUNDDOWN($M344*BM$5/100,0)&lt;-BM$6,-BM$6-SUM(BM$10:BM343),-ROUNDDOWN($M344*BM$5/100,0)),0)</f>
        <v>0</v>
      </c>
      <c r="BN344" s="38">
        <f>IF(AND(BN$7="○",$A344&gt;=BN$8,$A344&lt;=BN$9),IF(SUM(BN$10:BN343)-ROUNDDOWN($M344*BN$5/100,0)&lt;-BN$6,-BN$6-SUM(BN$10:BN343),-ROUNDDOWN($M344*BN$5/100,0)),0)</f>
        <v>0</v>
      </c>
      <c r="BO344" s="38">
        <f>IF(AND(BO$7="○",$A344&gt;=BO$8,$A344&lt;=BO$9),IF(SUM(BO$10:BO343)-ROUNDDOWN($M344*BO$5/100,0)&lt;-BO$6,-BO$6-SUM(BO$10:BO343),-ROUNDDOWN($M344*BO$5/100,0)),0)</f>
        <v>0</v>
      </c>
      <c r="BP344" s="38">
        <f>IF(AND(BP$7="○",$A344&gt;=BP$8,$A344&lt;=BP$9),IF(SUM(BP$10:BP343)-ROUNDDOWN($M344*BP$5/100,0)&lt;-BP$6,-BP$6-SUM(BP$10:BP343),-ROUNDDOWN($M344*BP$5/100,0)),0)</f>
        <v>0</v>
      </c>
      <c r="BQ344" s="38">
        <f>IF(AND(BQ$7="○",$A344&gt;=BQ$8,$A344&lt;=BQ$9),IF(SUM(BQ$10:BQ343)-ROUNDDOWN($L344*BQ$5/100,0)&lt;-BQ$6,-BQ$6-SUM(BQ$10:BQ343),-ROUNDDOWN($L344*BQ$5/100,0)),0)</f>
        <v>0</v>
      </c>
      <c r="BR344" s="38">
        <f>IF(AND(BR$7="○",$A344&gt;=BR$8,$A344&lt;=BR$9),IF(SUM(BR$10:BR343)-ROUNDDOWN($M344*BR$5/100,0)&lt;-BR$6,-BR$6-SUM(BR$10:BR343),-ROUNDDOWN($M344*BR$5/100,0)),0)</f>
        <v>0</v>
      </c>
      <c r="BS344" s="38">
        <f>IF(AND(BS$7="○",$A344&gt;=BS$8,$A344&lt;=BS$9),IF(SUM(BS$10:BS343)-ROUNDDOWN($M344*BS$5/100,0)&lt;-BS$6,-BS$6-SUM(BS$10:BS343),-ROUNDDOWN($M344*BS$5/100,0)),0)</f>
        <v>0</v>
      </c>
      <c r="BT344" s="38">
        <f>IF(AND(BT$7="○",$A344&gt;=BT$8,$A344&lt;=BT$9),IF(SUM(BT$10:BT343)-ROUNDDOWN($M344*BT$5/100,0)&lt;-BT$6,-BT$6-SUM(BT$10:BT343),-ROUNDDOWN($M344*BT$5/100,0)),0)</f>
        <v>0</v>
      </c>
      <c r="BU344" s="38">
        <f>IF(AND(BU$7="○",$A344&gt;=BU$8,$A344&lt;=BU$9),IF(SUM(BU$10:BU343)-ROUNDDOWN($M344*BU$5/100,0)&lt;-BU$6,-BU$6-SUM(BU$10:BU343),-ROUNDDOWN($M344*BU$5/100,0)),0)</f>
        <v>0</v>
      </c>
      <c r="BV344" s="38">
        <f>IF(AND(BV$7="○",$A344&gt;=BV$8,$A344&lt;=BV$9),IF(SUM(BV$10:BV343)-ROUNDDOWN($M344*BV$5/100,0)&lt;-BV$6,-BV$6-SUM(BV$10:BV343),-ROUNDDOWN($M344*BV$5/100,0)),0)</f>
        <v>0</v>
      </c>
      <c r="BW344" s="38">
        <f>IF(AND(BW$7="○",$A344&gt;=BW$8,$A344&lt;=BW$9),IF(SUM(BW$10:BW343)-ROUNDDOWN($M344*BW$5/100,0)&lt;-BW$6,-BW$6-SUM(BW$10:BW343),-ROUNDDOWN($M344*BW$5/100,0)),0)</f>
        <v>0</v>
      </c>
      <c r="BX344" s="38">
        <f>IF(AND(T344="○",$A344&gt;=BX$8,$A344&lt;=BX$9),IF(SUM(BX$10:BX343)-ROUNDDOWN($K344*BX$5/100,0)&lt;-BX$6,-BX$6-SUM(BX$10:BX343),-ROUNDDOWN($K344*BX$5/100,0)),0)</f>
        <v>0</v>
      </c>
      <c r="BY344" s="38">
        <f>IF(AND(U344="○",$A344&gt;=BY$8,$A344&lt;=BY$9),IF(SUM(BY$10:BY343)-ROUNDDOWN($K344*BY$5/100,0)&lt;-BY$6,-BY$6-SUM(BY$10:BY343),-ROUNDDOWN($K344*BY$5/100,0)),0)</f>
        <v>0</v>
      </c>
      <c r="BZ344" s="38">
        <f>IF(AND(V344="○",$A344&gt;=BZ$8,$A344&lt;=BZ$9),IF(SUM(BZ$10:BZ343)-ROUNDDOWN($K344*BZ$5/100,0)&lt;-BZ$6,-BZ$6-SUM(BZ$10:BZ343),-ROUNDDOWN($K344*BZ$5/100,0)),0)</f>
        <v>0</v>
      </c>
      <c r="CA344" s="38">
        <f>IF(AND(W344="○",$A344&gt;=CA$8,$A344&lt;=CA$9),IF(SUM(CA$10:CA343)-ROUNDDOWN($K344*CA$5/100,0)&lt;-CA$6,-CA$6-SUM(CA$10:CA343),-ROUNDDOWN($K344*CA$5/100,0)),0)</f>
        <v>0</v>
      </c>
      <c r="CB344" s="38"/>
      <c r="CC344" s="38"/>
      <c r="CD344" s="38"/>
      <c r="CE344" s="38"/>
      <c r="CF344" s="38"/>
      <c r="CG344" s="65">
        <f t="shared" si="256"/>
        <v>0</v>
      </c>
      <c r="CH344" s="71">
        <f t="shared" si="257"/>
        <v>0</v>
      </c>
      <c r="CI344" s="1">
        <f t="shared" si="241"/>
        <v>0</v>
      </c>
      <c r="CJ344" s="1"/>
      <c r="CK344" s="79"/>
      <c r="CL344" s="79"/>
      <c r="CM344" s="2"/>
      <c r="CN344" s="2"/>
      <c r="CO344" s="73">
        <f t="shared" si="242"/>
        <v>0</v>
      </c>
      <c r="CP344" s="5">
        <f t="shared" si="243"/>
        <v>0</v>
      </c>
      <c r="CQ344" s="1"/>
      <c r="CR344" s="1">
        <f t="shared" si="244"/>
        <v>0</v>
      </c>
      <c r="CS344" s="1"/>
      <c r="CT344" s="1" t="e">
        <f>INDEX([2]マスタ!$A:$A,MATCH(D344,[2]マスタ!$C:$C,0))</f>
        <v>#N/A</v>
      </c>
      <c r="CU344" s="1" t="str">
        <f t="shared" ca="1" si="245"/>
        <v>20260620_0-0</v>
      </c>
    </row>
    <row r="345" spans="1:99" x14ac:dyDescent="0.4">
      <c r="A345" s="61"/>
      <c r="B345" s="62"/>
      <c r="C345" s="62"/>
      <c r="D345" s="62"/>
      <c r="E345" s="63"/>
      <c r="F345" s="62"/>
      <c r="G345" s="62">
        <v>1</v>
      </c>
      <c r="H345" s="64">
        <f t="shared" si="232"/>
        <v>0</v>
      </c>
      <c r="I345" s="64"/>
      <c r="J345" s="64"/>
      <c r="K345" s="65">
        <f t="shared" si="248"/>
        <v>0</v>
      </c>
      <c r="L345" s="65">
        <f t="shared" si="234"/>
        <v>0</v>
      </c>
      <c r="M345" s="65">
        <f t="shared" si="235"/>
        <v>0</v>
      </c>
      <c r="N345" s="65">
        <f t="shared" si="236"/>
        <v>0</v>
      </c>
      <c r="O345" s="66" t="str">
        <f t="shared" si="237"/>
        <v>✕</v>
      </c>
      <c r="P345" s="67" t="str">
        <f t="shared" si="238"/>
        <v>○</v>
      </c>
      <c r="Q345" s="67" t="str">
        <f t="shared" si="249"/>
        <v>✕</v>
      </c>
      <c r="R345" s="67" t="str">
        <f t="shared" si="240"/>
        <v>✕</v>
      </c>
      <c r="S345" s="68">
        <v>0</v>
      </c>
      <c r="T345" s="69" t="s">
        <v>85</v>
      </c>
      <c r="U345" s="69" t="s">
        <v>85</v>
      </c>
      <c r="V345" s="69" t="s">
        <v>85</v>
      </c>
      <c r="W345" s="69" t="s">
        <v>85</v>
      </c>
      <c r="X345" s="69" t="s">
        <v>84</v>
      </c>
      <c r="Y345" s="69" t="s">
        <v>85</v>
      </c>
      <c r="Z345" s="69" t="s">
        <v>85</v>
      </c>
      <c r="AA345" s="69" t="s">
        <v>85</v>
      </c>
      <c r="AB345" s="69" t="s">
        <v>85</v>
      </c>
      <c r="AC345" s="69" t="s">
        <v>85</v>
      </c>
      <c r="AD345" s="38" t="str">
        <f>+IF(ISERROR(VLOOKUP($B345,AD$10:AD344,1,0)),IF(AND($N345&gt;=1000,$A345&gt;=AO$8,$A345&lt;=AO$9),$B345,""),"")</f>
        <v/>
      </c>
      <c r="AE345" s="38" t="str">
        <f>+IF(ISERROR(VLOOKUP($B345,AE$10:AE344,1,0)),IF(AND($N345&gt;=1000,$A345&gt;=AP$8,$A345&lt;=AP$9),$B345,""),"")</f>
        <v/>
      </c>
      <c r="AF345" s="38" t="str">
        <f>+IF(ISERROR(VLOOKUP($B345,AF$10:AF344,1,0)),IF(AND($N345&gt;=1000,$A345&gt;=AQ$8,$A345&lt;=AQ$9),$B345,""),"")</f>
        <v/>
      </c>
      <c r="AG345" s="38" t="str">
        <f>+IF(ISERROR(VLOOKUP($B345,AG$10:AG344,1,0)),IF(AND($N345&gt;=1000,$A345&gt;=AR$8,$A345&lt;=AR$9),$B345,""),"")</f>
        <v/>
      </c>
      <c r="AH345" s="38"/>
      <c r="AI345" s="70">
        <v>0</v>
      </c>
      <c r="AJ345" s="38">
        <f>IF(AND(AJ$7="○",$A345&gt;=AJ$8,$A345&lt;=AJ$9),IF(SUM(AJ$10:AJ344)-ROUNDDOWN($K345*AJ$5/100,0)&lt;-AJ$6,-AJ$6-SUM(AJ$10:AJ344),-ROUNDDOWN($K345*AJ$5/100,0)),0)</f>
        <v>0</v>
      </c>
      <c r="AK345" s="38">
        <f>IF(AND(AK$7="○",$A345&gt;=AK$8,$A345&lt;=AK$9),IF(SUM(AK$10:AK344)-ROUNDDOWN($L345*AK$5/100,0)&lt;-AK$6,-AK$6-SUM(AK$10:AK344),-ROUNDDOWN($L345*AK$5/100,0)),0)</f>
        <v>0</v>
      </c>
      <c r="AL345" s="38">
        <f>IF(AND(AL$7="○",$A345&gt;=AL$8,$A345&lt;=AL$9),IF(SUM(AL$10:AL344)-ROUNDDOWN($N345*AL$5/100,0)&lt;-AL$6,-AL$6-SUM(AL$10:AL344),-ROUNDDOWN($N345*AL$5/100,0)),0)</f>
        <v>0</v>
      </c>
      <c r="AM345" s="38">
        <f>IF(AND(AM$7="○",$A345&gt;=AM$8,$A345&lt;=AM$9),IF(SUM(AM$10:AM344)-ROUNDDOWN($L345*AM$5/100,0)&lt;-AM$6,-AM$6-SUM(AM$10:AM344),-ROUNDDOWN($L345*AM$5/100,0)),0)</f>
        <v>0</v>
      </c>
      <c r="AN345" s="38">
        <f>IF(AND(AN$7="○",$A345&gt;=AN$8,$A345&lt;=AN$9),IF(SUM(AN$10:AN344)-ROUNDDOWN($M345*AN$5/100,0)&lt;-AN$6,-AN$6-SUM(AN$10:AN344),-ROUNDDOWN($M345*AN$5/100,0)),0)</f>
        <v>0</v>
      </c>
      <c r="AO345" s="38">
        <f>IF(AND($A345&gt;=AO$8,$A345&lt;=AO$9),IF(SUM(AO$10:AO344)-ROUNDDOWN($K345*AO$5/100,0)&lt;-AO$6,-AO$6-SUM(AO$10:AO344),-ROUNDDOWN($K345*AO$5/100,0)),0)</f>
        <v>0</v>
      </c>
      <c r="AP345" s="38">
        <f>IF(AND($A345&gt;=AP$8,$A345&lt;=AP$9),IF(SUM(AP$10:AP344)-ROUNDDOWN($K345*AP$5/100,0)&lt;-AP$6,-AP$6-SUM(AP$10:AP344),-ROUNDDOWN($K345*AP$5/100,0)),0)</f>
        <v>0</v>
      </c>
      <c r="AQ345" s="38">
        <f>IF(AND($A345&gt;=AQ$8,$A345&lt;=AQ$9),IF(SUM(AQ$10:AQ344)-ROUNDDOWN($K345*AQ$5/100,0)&lt;-AQ$6,-AQ$6-SUM(AQ$10:AQ344),-ROUNDDOWN($K345*AQ$5/100,0)),0)</f>
        <v>0</v>
      </c>
      <c r="AR345" s="38">
        <f>IF(AND($A345&gt;=AR$8,$A345&lt;=AR$9),IF(SUM(AR$10:AR344)-ROUNDDOWN($K345*AR$5/100,0)&lt;-AR$6,-AR$6-SUM(AR$10:AR344),-ROUNDDOWN($K345*AR$5/100,0)),0)</f>
        <v>0</v>
      </c>
      <c r="AS345" s="38">
        <f>IF(SUMIFS(AS$10:AS344,$A$10:$A344,$A345)-ROUNDDOWN($K345*$S345/100,0)&lt;-$S345*1000,-$S345*1000-SUMIFS(AS$10:AS344,$A$10:$A344,$A345),-ROUNDDOWN($K345*$S345/100,0))</f>
        <v>0</v>
      </c>
      <c r="AT345" s="38">
        <f>IF(AND(X345="○",$A345&gt;=AT$8,$A345&lt;=AT$9,K345&gt;=3980),IF(SUM(AT$10:AT344)-ROUNDDOWN($K345*AT$5/100,0)&lt;-AT$6,-AT$6-SUM(AT$10:AT344),-ROUNDDOWN($K345*AT$5/100,0)),0)</f>
        <v>0</v>
      </c>
      <c r="AU345" s="38">
        <f>IF(O345="○",IF(SUM(AU$10:AU344)-ROUNDDOWN($K345*AU$5/100,0)&lt;-AU$6,-AU$6-SUM(AU$10:AU344),-ROUNDDOWN($K345*AU$5/100,0)),0)</f>
        <v>0</v>
      </c>
      <c r="AV345" s="38">
        <f>IF(P345="○",IF(SUM(AV$10:AV344)-ROUNDDOWN($K345*AV$5/100,0)&lt;-AV$6,-AV$6-SUM(AV$10:AV344),-ROUNDDOWN($K345*AV$5/100,0)),0)</f>
        <v>0</v>
      </c>
      <c r="AW345" s="38">
        <f>IF(Q345="○",IF(SUM(AW$10:AW344)-ROUNDDOWN($K345*AW$5/100,0)&lt;-AW$6,-AW$6-SUM(AW$10:AW344),-ROUNDDOWN($K345*AW$5/100,0)),0)</f>
        <v>0</v>
      </c>
      <c r="AX345" s="38">
        <f>IF(R345="○",IF(SUM(AX$10:AX344)-ROUNDDOWN($K345*AX$5/100,0)&lt;-AX$6,-AX$6-SUM(AX$10:AX344),-ROUNDDOWN($K345*AX$5/100,0)),0)</f>
        <v>0</v>
      </c>
      <c r="AY345" s="70">
        <v>0</v>
      </c>
      <c r="AZ345" s="65">
        <f t="shared" si="250"/>
        <v>0</v>
      </c>
      <c r="BA345" s="65">
        <f t="shared" si="251"/>
        <v>0</v>
      </c>
      <c r="BB345" s="70"/>
      <c r="BC345" s="65">
        <f t="shared" si="252"/>
        <v>0</v>
      </c>
      <c r="BD345" s="70">
        <v>0</v>
      </c>
      <c r="BE345" s="65">
        <f t="shared" si="253"/>
        <v>0</v>
      </c>
      <c r="BF345" s="70">
        <v>0</v>
      </c>
      <c r="BG345" s="65">
        <f t="shared" si="254"/>
        <v>0</v>
      </c>
      <c r="BH345" s="70">
        <v>0</v>
      </c>
      <c r="BI345" s="65">
        <f t="shared" si="255"/>
        <v>0</v>
      </c>
      <c r="BJ345" s="38">
        <f>IF(AND(BJ$7="○",$A345&gt;=BJ$8,$A345&lt;=BJ$9),IF(SUM(BJ$10:BJ344)-ROUNDDOWN($M345*BJ$5/100,0)&lt;-BJ$6,-BJ$6-SUM(BJ$10:BJ344),-ROUNDDOWN($M345*BJ$5/100,0)),0)</f>
        <v>0</v>
      </c>
      <c r="BK345" s="38">
        <f>IF(AND(BK$7="○",$A345&gt;=BK$8,$A345&lt;=BK$9),IF(SUM(BK$10:BK344)-ROUNDDOWN($L345*BK$5/100,0)&lt;-BK$6,-BK$6-SUM(BK$10:BK344),-ROUNDDOWN($L345*BK$5/100,0)),0)</f>
        <v>0</v>
      </c>
      <c r="BL345" s="38">
        <f>IF(AND(BL$7="○",$A345&gt;=BL$8,$A345&lt;=BL$9),IF(SUM(BL$10:BL344)-ROUNDDOWN($L345*BL$5/100,0)&lt;-BL$6,-BL$6-SUM(BL$10:BL344),-ROUNDDOWN($L345*BL$5/100,0)),0)</f>
        <v>0</v>
      </c>
      <c r="BM345" s="38">
        <f>IF(AND(BM$7="○",$A345&gt;=BM$8,$A345&lt;=BM$9),IF(SUM(BM$10:BM344)-ROUNDDOWN($M345*BM$5/100,0)&lt;-BM$6,-BM$6-SUM(BM$10:BM344),-ROUNDDOWN($M345*BM$5/100,0)),0)</f>
        <v>0</v>
      </c>
      <c r="BN345" s="38">
        <f>IF(AND(BN$7="○",$A345&gt;=BN$8,$A345&lt;=BN$9),IF(SUM(BN$10:BN344)-ROUNDDOWN($M345*BN$5/100,0)&lt;-BN$6,-BN$6-SUM(BN$10:BN344),-ROUNDDOWN($M345*BN$5/100,0)),0)</f>
        <v>0</v>
      </c>
      <c r="BO345" s="38">
        <f>IF(AND(BO$7="○",$A345&gt;=BO$8,$A345&lt;=BO$9),IF(SUM(BO$10:BO344)-ROUNDDOWN($M345*BO$5/100,0)&lt;-BO$6,-BO$6-SUM(BO$10:BO344),-ROUNDDOWN($M345*BO$5/100,0)),0)</f>
        <v>0</v>
      </c>
      <c r="BP345" s="38">
        <f>IF(AND(BP$7="○",$A345&gt;=BP$8,$A345&lt;=BP$9),IF(SUM(BP$10:BP344)-ROUNDDOWN($M345*BP$5/100,0)&lt;-BP$6,-BP$6-SUM(BP$10:BP344),-ROUNDDOWN($M345*BP$5/100,0)),0)</f>
        <v>0</v>
      </c>
      <c r="BQ345" s="38">
        <f>IF(AND(BQ$7="○",$A345&gt;=BQ$8,$A345&lt;=BQ$9),IF(SUM(BQ$10:BQ344)-ROUNDDOWN($L345*BQ$5/100,0)&lt;-BQ$6,-BQ$6-SUM(BQ$10:BQ344),-ROUNDDOWN($L345*BQ$5/100,0)),0)</f>
        <v>0</v>
      </c>
      <c r="BR345" s="38">
        <f>IF(AND(BR$7="○",$A345&gt;=BR$8,$A345&lt;=BR$9),IF(SUM(BR$10:BR344)-ROUNDDOWN($M345*BR$5/100,0)&lt;-BR$6,-BR$6-SUM(BR$10:BR344),-ROUNDDOWN($M345*BR$5/100,0)),0)</f>
        <v>0</v>
      </c>
      <c r="BS345" s="38">
        <f>IF(AND(BS$7="○",$A345&gt;=BS$8,$A345&lt;=BS$9),IF(SUM(BS$10:BS344)-ROUNDDOWN($M345*BS$5/100,0)&lt;-BS$6,-BS$6-SUM(BS$10:BS344),-ROUNDDOWN($M345*BS$5/100,0)),0)</f>
        <v>0</v>
      </c>
      <c r="BT345" s="38">
        <f>IF(AND(BT$7="○",$A345&gt;=BT$8,$A345&lt;=BT$9),IF(SUM(BT$10:BT344)-ROUNDDOWN($M345*BT$5/100,0)&lt;-BT$6,-BT$6-SUM(BT$10:BT344),-ROUNDDOWN($M345*BT$5/100,0)),0)</f>
        <v>0</v>
      </c>
      <c r="BU345" s="38">
        <f>IF(AND(BU$7="○",$A345&gt;=BU$8,$A345&lt;=BU$9),IF(SUM(BU$10:BU344)-ROUNDDOWN($M345*BU$5/100,0)&lt;-BU$6,-BU$6-SUM(BU$10:BU344),-ROUNDDOWN($M345*BU$5/100,0)),0)</f>
        <v>0</v>
      </c>
      <c r="BV345" s="38">
        <f>IF(AND(BV$7="○",$A345&gt;=BV$8,$A345&lt;=BV$9),IF(SUM(BV$10:BV344)-ROUNDDOWN($M345*BV$5/100,0)&lt;-BV$6,-BV$6-SUM(BV$10:BV344),-ROUNDDOWN($M345*BV$5/100,0)),0)</f>
        <v>0</v>
      </c>
      <c r="BW345" s="38">
        <f>IF(AND(BW$7="○",$A345&gt;=BW$8,$A345&lt;=BW$9),IF(SUM(BW$10:BW344)-ROUNDDOWN($M345*BW$5/100,0)&lt;-BW$6,-BW$6-SUM(BW$10:BW344),-ROUNDDOWN($M345*BW$5/100,0)),0)</f>
        <v>0</v>
      </c>
      <c r="BX345" s="38">
        <f>IF(AND(T345="○",$A345&gt;=BX$8,$A345&lt;=BX$9),IF(SUM(BX$10:BX344)-ROUNDDOWN($K345*BX$5/100,0)&lt;-BX$6,-BX$6-SUM(BX$10:BX344),-ROUNDDOWN($K345*BX$5/100,0)),0)</f>
        <v>0</v>
      </c>
      <c r="BY345" s="38">
        <f>IF(AND(U345="○",$A345&gt;=BY$8,$A345&lt;=BY$9),IF(SUM(BY$10:BY344)-ROUNDDOWN($K345*BY$5/100,0)&lt;-BY$6,-BY$6-SUM(BY$10:BY344),-ROUNDDOWN($K345*BY$5/100,0)),0)</f>
        <v>0</v>
      </c>
      <c r="BZ345" s="38">
        <f>IF(AND(V345="○",$A345&gt;=BZ$8,$A345&lt;=BZ$9),IF(SUM(BZ$10:BZ344)-ROUNDDOWN($K345*BZ$5/100,0)&lt;-BZ$6,-BZ$6-SUM(BZ$10:BZ344),-ROUNDDOWN($K345*BZ$5/100,0)),0)</f>
        <v>0</v>
      </c>
      <c r="CA345" s="38">
        <f>IF(AND(W345="○",$A345&gt;=CA$8,$A345&lt;=CA$9),IF(SUM(CA$10:CA344)-ROUNDDOWN($K345*CA$5/100,0)&lt;-CA$6,-CA$6-SUM(CA$10:CA344),-ROUNDDOWN($K345*CA$5/100,0)),0)</f>
        <v>0</v>
      </c>
      <c r="CB345" s="38"/>
      <c r="CC345" s="38"/>
      <c r="CD345" s="38"/>
      <c r="CE345" s="38"/>
      <c r="CF345" s="38"/>
      <c r="CG345" s="65">
        <f t="shared" si="256"/>
        <v>0</v>
      </c>
      <c r="CH345" s="71">
        <f t="shared" si="257"/>
        <v>0</v>
      </c>
      <c r="CI345" s="1">
        <f t="shared" si="241"/>
        <v>0</v>
      </c>
      <c r="CJ345" s="1"/>
      <c r="CK345" s="2"/>
      <c r="CL345" s="2"/>
      <c r="CM345" s="2"/>
      <c r="CN345" s="2"/>
      <c r="CO345" s="73">
        <f t="shared" si="242"/>
        <v>0</v>
      </c>
      <c r="CP345" s="5">
        <f t="shared" si="243"/>
        <v>0</v>
      </c>
      <c r="CQ345" s="1"/>
      <c r="CR345" s="1">
        <f t="shared" si="244"/>
        <v>0</v>
      </c>
      <c r="CS345" s="1"/>
      <c r="CT345" s="1" t="e">
        <f>INDEX([2]マスタ!$A:$A,MATCH(D345,[2]マスタ!$C:$C,0))</f>
        <v>#N/A</v>
      </c>
      <c r="CU345" s="1" t="str">
        <f t="shared" ca="1" si="245"/>
        <v>20260620_0-0</v>
      </c>
    </row>
    <row r="346" spans="1:99" x14ac:dyDescent="0.4">
      <c r="A346" s="61"/>
      <c r="B346" s="62"/>
      <c r="C346" s="62"/>
      <c r="D346" s="62"/>
      <c r="E346" s="74"/>
      <c r="F346" s="62"/>
      <c r="G346" s="62">
        <v>1</v>
      </c>
      <c r="H346" s="64">
        <f t="shared" si="4"/>
        <v>0</v>
      </c>
      <c r="I346" s="64"/>
      <c r="J346" s="64"/>
      <c r="K346" s="65">
        <f t="shared" ref="K346:K357" si="258">+ROUNDDOWN((H346+I346)/100,0)*100</f>
        <v>0</v>
      </c>
      <c r="L346" s="65">
        <f t="shared" si="6"/>
        <v>0</v>
      </c>
      <c r="M346" s="65">
        <f t="shared" si="7"/>
        <v>0</v>
      </c>
      <c r="N346" s="65">
        <f t="shared" si="8"/>
        <v>0</v>
      </c>
      <c r="O346" s="66" t="str">
        <f t="shared" ref="O346:O375" si="259">IF(OR(WEEKDAY($A346,2)=2,WEEKDAY($A346,2)=4),"○","✕")</f>
        <v>✕</v>
      </c>
      <c r="P346" s="67" t="str">
        <f t="shared" ref="P346:P375" si="260">+IF(MOD(TEXT($A346,"DD"),5)=0,"○","✕")</f>
        <v>○</v>
      </c>
      <c r="Q346" s="67" t="str">
        <f t="shared" ref="Q346:Q357" si="261">+IF((TEXT($A346,"DD")+0)=1,"○","✕")</f>
        <v>✕</v>
      </c>
      <c r="R346" s="67" t="str">
        <f t="shared" ref="R346:R375" si="262">+IF((TEXT($A346,"DD")+0)=18,"○","✕")</f>
        <v>✕</v>
      </c>
      <c r="S346" s="68">
        <v>0</v>
      </c>
      <c r="T346" s="69" t="s">
        <v>85</v>
      </c>
      <c r="U346" s="69" t="s">
        <v>85</v>
      </c>
      <c r="V346" s="69" t="s">
        <v>85</v>
      </c>
      <c r="W346" s="69" t="s">
        <v>85</v>
      </c>
      <c r="X346" s="69" t="s">
        <v>84</v>
      </c>
      <c r="Y346" s="69" t="s">
        <v>85</v>
      </c>
      <c r="Z346" s="69" t="s">
        <v>85</v>
      </c>
      <c r="AA346" s="69" t="s">
        <v>85</v>
      </c>
      <c r="AB346" s="69" t="s">
        <v>85</v>
      </c>
      <c r="AC346" s="69" t="s">
        <v>85</v>
      </c>
      <c r="AD346" s="38" t="str">
        <f>+IF(ISERROR(VLOOKUP($B346,#REF!,1,0)),IF(AND($N346&gt;=1000,$A346&gt;=AO$8,$A346&lt;=AO$9),$B346,""),"")</f>
        <v/>
      </c>
      <c r="AE346" s="38" t="str">
        <f>+IF(ISERROR(VLOOKUP($B346,#REF!,1,0)),IF(AND($N346&gt;=1000,$A346&gt;=AP$8,$A346&lt;=AP$9),$B346,""),"")</f>
        <v/>
      </c>
      <c r="AF346" s="38" t="str">
        <f>+IF(ISERROR(VLOOKUP($B346,#REF!,1,0)),IF(AND($N346&gt;=1000,$A346&gt;=AQ$8,$A346&lt;=AQ$9),$B346,""),"")</f>
        <v/>
      </c>
      <c r="AG346" s="38" t="str">
        <f>+IF(ISERROR(VLOOKUP($B346,#REF!,1,0)),IF(AND($N346&gt;=1000,$A346&gt;=AR$8,$A346&lt;=AR$9),$B346,""),"")</f>
        <v/>
      </c>
      <c r="AH346" s="38"/>
      <c r="AI346" s="70">
        <v>0</v>
      </c>
      <c r="AJ346" s="38">
        <f>IF(AND(AJ$7="○",$A346&gt;=AJ$8,$A346&lt;=AJ$9),IF(SUM(AJ$10:AJ345)-ROUNDDOWN($K346*AJ$5/100,0)&lt;-AJ$6,-AJ$6-SUM(AJ$10:AJ345),-ROUNDDOWN($K346*AJ$5/100,0)),0)</f>
        <v>0</v>
      </c>
      <c r="AK346" s="38">
        <f>IF(AND(AK$7="○",$A346&gt;=AK$8,$A346&lt;=AK$9),IF(SUM(AK$10:AK345)-ROUNDDOWN($L346*AK$5/100,0)&lt;-AK$6,-AK$6-SUM(AK$10:AK345),-ROUNDDOWN($L346*AK$5/100,0)),0)</f>
        <v>0</v>
      </c>
      <c r="AL346" s="38">
        <f>IF(AND(AL$7="○",$A346&gt;=AL$8,$A346&lt;=AL$9),IF(SUM(AL$10:AL345)-ROUNDDOWN($N346*AL$5/100,0)&lt;-AL$6,-AL$6-SUM(AL$10:AL345),-ROUNDDOWN($N346*AL$5/100,0)),0)</f>
        <v>0</v>
      </c>
      <c r="AM346" s="38">
        <f>IF(AND(AM$7="○",$A346&gt;=AM$8,$A346&lt;=AM$9),IF(SUM(AM$10:AM345)-ROUNDDOWN($L346*AM$5/100,0)&lt;-AM$6,-AM$6-SUM(AM$10:AM345),-ROUNDDOWN($L346*AM$5/100,0)),0)</f>
        <v>0</v>
      </c>
      <c r="AN346" s="38">
        <f>IF(AND(AN$7="○",$A346&gt;=AN$8,$A346&lt;=AN$9),IF(SUM(AN$10:AN345)-ROUNDDOWN($M346*AN$5/100,0)&lt;-AN$6,-AN$6-SUM(AN$10:AN345),-ROUNDDOWN($M346*AN$5/100,0)),0)</f>
        <v>0</v>
      </c>
      <c r="AO346" s="38">
        <f>IF(AND($A346&gt;=AO$8,$A346&lt;=AO$9),IF(SUM(AO$10:AO345)-ROUNDDOWN($K346*AO$5/100,0)&lt;-AO$6,-AO$6-SUM(AO$10:AO345),-ROUNDDOWN($K346*AO$5/100,0)),0)</f>
        <v>0</v>
      </c>
      <c r="AP346" s="38">
        <f>IF(AND($A346&gt;=AP$8,$A346&lt;=AP$9),IF(SUM(AP$10:AP345)-ROUNDDOWN($K346*AP$5/100,0)&lt;-AP$6,-AP$6-SUM(AP$10:AP345),-ROUNDDOWN($K346*AP$5/100,0)),0)</f>
        <v>0</v>
      </c>
      <c r="AQ346" s="38">
        <f>IF(AND($A346&gt;=AQ$8,$A346&lt;=AQ$9),IF(SUM(AQ$10:AQ345)-ROUNDDOWN($K346*AQ$5/100,0)&lt;-AQ$6,-AQ$6-SUM(AQ$10:AQ345),-ROUNDDOWN($K346*AQ$5/100,0)),0)</f>
        <v>0</v>
      </c>
      <c r="AR346" s="38">
        <f>IF(AND($A346&gt;=AR$8,$A346&lt;=AR$9),IF(SUM(AR$10:AR345)-ROUNDDOWN($K346*AR$5/100,0)&lt;-AR$6,-AR$6-SUM(AR$10:AR345),-ROUNDDOWN($K346*AR$5/100,0)),0)</f>
        <v>0</v>
      </c>
      <c r="AS346" s="38">
        <f>IF(SUMIFS(AS$10:AS345,$A$10:$A345,$A346)-ROUNDDOWN($K346*$S346/100,0)&lt;-$S346*1000,-$S346*1000-SUMIFS(AS$10:AS345,$A$10:$A345,$A346),-ROUNDDOWN($K346*$S346/100,0))</f>
        <v>0</v>
      </c>
      <c r="AT346" s="38">
        <f>IF(AND(X346="○",$A346&gt;=AT$8,$A346&lt;=AT$9,K346&gt;=3980),IF(SUM(AT$10:AT345)-ROUNDDOWN($K346*AT$5/100,0)&lt;-AT$6,-AT$6-SUM(AT$10:AT345),-ROUNDDOWN($K346*AT$5/100,0)),0)</f>
        <v>0</v>
      </c>
      <c r="AU346" s="38">
        <f>IF(O346="○",IF(SUM(AU$10:AU345)-ROUNDDOWN($K346*AU$5/100,0)&lt;-AU$6,-AU$6-SUM(AU$10:AU345),-ROUNDDOWN($K346*AU$5/100,0)),0)</f>
        <v>0</v>
      </c>
      <c r="AV346" s="38">
        <f>IF(P346="○",IF(SUM(AV$10:AV345)-ROUNDDOWN($K346*AV$5/100,0)&lt;-AV$6,-AV$6-SUM(AV$10:AV345),-ROUNDDOWN($K346*AV$5/100,0)),0)</f>
        <v>0</v>
      </c>
      <c r="AW346" s="38">
        <f>IF(Q346="○",IF(SUM(AW$10:AW345)-ROUNDDOWN($K346*AW$5/100,0)&lt;-AW$6,-AW$6-SUM(AW$10:AW345),-ROUNDDOWN($K346*AW$5/100,0)),0)</f>
        <v>0</v>
      </c>
      <c r="AX346" s="38">
        <f>IF(R346="○",IF(SUM(AX$10:AX345)-ROUNDDOWN($K346*AX$5/100,0)&lt;-AX$6,-AX$6-SUM(AX$10:AX345),-ROUNDDOWN($K346*AX$5/100,0)),0)</f>
        <v>0</v>
      </c>
      <c r="AY346" s="70">
        <v>0</v>
      </c>
      <c r="AZ346" s="65">
        <f t="shared" si="250"/>
        <v>0</v>
      </c>
      <c r="BA346" s="65">
        <f t="shared" si="251"/>
        <v>0</v>
      </c>
      <c r="BB346" s="70"/>
      <c r="BC346" s="65">
        <f t="shared" si="252"/>
        <v>0</v>
      </c>
      <c r="BD346" s="70">
        <v>0</v>
      </c>
      <c r="BE346" s="65">
        <f t="shared" si="253"/>
        <v>0</v>
      </c>
      <c r="BF346" s="70">
        <v>0</v>
      </c>
      <c r="BG346" s="65">
        <f t="shared" si="254"/>
        <v>0</v>
      </c>
      <c r="BH346" s="70">
        <v>0</v>
      </c>
      <c r="BI346" s="65">
        <f t="shared" si="255"/>
        <v>0</v>
      </c>
      <c r="BJ346" s="38">
        <f>IF(AND(BJ$7="○",$A346&gt;=BJ$8,$A346&lt;=BJ$9),IF(SUM(BJ$10:BJ345)-ROUNDDOWN($M346*BJ$5/100,0)&lt;-BJ$6,-BJ$6-SUM(BJ$10:BJ345),-ROUNDDOWN($M346*BJ$5/100,0)),0)</f>
        <v>0</v>
      </c>
      <c r="BK346" s="38">
        <f>IF(AND(BK$7="○",$A346&gt;=BK$8,$A346&lt;=BK$9),IF(SUM(BK$10:BK345)-ROUNDDOWN($L346*BK$5/100,0)&lt;-BK$6,-BK$6-SUM(BK$10:BK345),-ROUNDDOWN($L346*BK$5/100,0)),0)</f>
        <v>0</v>
      </c>
      <c r="BL346" s="38">
        <f>IF(AND(BL$7="○",$A346&gt;=BL$8,$A346&lt;=BL$9),IF(SUM(BL$10:BL345)-ROUNDDOWN($L346*BL$5/100,0)&lt;-BL$6,-BL$6-SUM(BL$10:BL345),-ROUNDDOWN($L346*BL$5/100,0)),0)</f>
        <v>0</v>
      </c>
      <c r="BM346" s="38">
        <f>IF(AND(BM$7="○",$A346&gt;=BM$8,$A346&lt;=BM$9),IF(SUM(BM$10:BM345)-ROUNDDOWN($M346*BM$5/100,0)&lt;-BM$6,-BM$6-SUM(BM$10:BM345),-ROUNDDOWN($M346*BM$5/100,0)),0)</f>
        <v>0</v>
      </c>
      <c r="BN346" s="38">
        <f>IF(AND(BN$7="○",$A346&gt;=BN$8,$A346&lt;=BN$9),IF(SUM(BN$10:BN345)-ROUNDDOWN($M346*BN$5/100,0)&lt;-BN$6,-BN$6-SUM(BN$10:BN345),-ROUNDDOWN($M346*BN$5/100,0)),0)</f>
        <v>0</v>
      </c>
      <c r="BO346" s="38">
        <f>IF(AND(BO$7="○",$A346&gt;=BO$8,$A346&lt;=BO$9),IF(SUM(BO$10:BO345)-ROUNDDOWN($M346*BO$5/100,0)&lt;-BO$6,-BO$6-SUM(BO$10:BO345),-ROUNDDOWN($M346*BO$5/100,0)),0)</f>
        <v>0</v>
      </c>
      <c r="BP346" s="38">
        <f>IF(AND(BP$7="○",$A346&gt;=BP$8,$A346&lt;=BP$9),IF(SUM(BP$10:BP345)-ROUNDDOWN($M346*BP$5/100,0)&lt;-BP$6,-BP$6-SUM(BP$10:BP345),-ROUNDDOWN($M346*BP$5/100,0)),0)</f>
        <v>0</v>
      </c>
      <c r="BQ346" s="38">
        <f>IF(AND(BQ$7="○",$A346&gt;=BQ$8,$A346&lt;=BQ$9),IF(SUM(BQ$10:BQ345)-ROUNDDOWN($L346*BQ$5/100,0)&lt;-BQ$6,-BQ$6-SUM(BQ$10:BQ345),-ROUNDDOWN($L346*BQ$5/100,0)),0)</f>
        <v>0</v>
      </c>
      <c r="BR346" s="38">
        <f>IF(AND(BR$7="○",$A346&gt;=BR$8,$A346&lt;=BR$9),IF(SUM(BR$10:BR345)-ROUNDDOWN($M346*BR$5/100,0)&lt;-BR$6,-BR$6-SUM(BR$10:BR345),-ROUNDDOWN($M346*BR$5/100,0)),0)</f>
        <v>0</v>
      </c>
      <c r="BS346" s="38">
        <f>IF(AND(BS$7="○",$A346&gt;=BS$8,$A346&lt;=BS$9),IF(SUM(BS$10:BS345)-ROUNDDOWN($M346*BS$5/100,0)&lt;-BS$6,-BS$6-SUM(BS$10:BS345),-ROUNDDOWN($M346*BS$5/100,0)),0)</f>
        <v>0</v>
      </c>
      <c r="BT346" s="38">
        <f>IF(AND(BT$7="○",$A346&gt;=BT$8,$A346&lt;=BT$9),IF(SUM(BT$10:BT345)-ROUNDDOWN($M346*BT$5/100,0)&lt;-BT$6,-BT$6-SUM(BT$10:BT345),-ROUNDDOWN($M346*BT$5/100,0)),0)</f>
        <v>0</v>
      </c>
      <c r="BU346" s="38">
        <f>IF(AND(BU$7="○",$A346&gt;=BU$8,$A346&lt;=BU$9),IF(SUM(BU$10:BU345)-ROUNDDOWN($M346*BU$5/100,0)&lt;-BU$6,-BU$6-SUM(BU$10:BU345),-ROUNDDOWN($M346*BU$5/100,0)),0)</f>
        <v>0</v>
      </c>
      <c r="BV346" s="38">
        <f>IF(AND(BV$7="○",$A346&gt;=BV$8,$A346&lt;=BV$9),IF(SUM(BV$10:BV345)-ROUNDDOWN($M346*BV$5/100,0)&lt;-BV$6,-BV$6-SUM(BV$10:BV345),-ROUNDDOWN($M346*BV$5/100,0)),0)</f>
        <v>0</v>
      </c>
      <c r="BW346" s="38">
        <f>IF(AND(BW$7="○",$A346&gt;=BW$8,$A346&lt;=BW$9),IF(SUM(BW$10:BW345)-ROUNDDOWN($M346*BW$5/100,0)&lt;-BW$6,-BW$6-SUM(BW$10:BW345),-ROUNDDOWN($M346*BW$5/100,0)),0)</f>
        <v>0</v>
      </c>
      <c r="BX346" s="38">
        <f>IF(AND(T346="○",$A346&gt;=BX$8,$A346&lt;=BX$9),IF(SUM(BX$10:BX345)-ROUNDDOWN($K346*BX$5/100,0)&lt;-BX$6,-BX$6-SUM(BX$10:BX345),-ROUNDDOWN($K346*BX$5/100,0)),0)</f>
        <v>0</v>
      </c>
      <c r="BY346" s="38">
        <f>IF(AND(U346="○",$A346&gt;=BY$8,$A346&lt;=BY$9),IF(SUM(BY$10:BY345)-ROUNDDOWN($K346*BY$5/100,0)&lt;-BY$6,-BY$6-SUM(BY$10:BY345),-ROUNDDOWN($K346*BY$5/100,0)),0)</f>
        <v>0</v>
      </c>
      <c r="BZ346" s="38">
        <f>IF(AND(V346="○",$A346&gt;=BZ$8,$A346&lt;=BZ$9),IF(SUM(BZ$10:BZ345)-ROUNDDOWN($K346*BZ$5/100,0)&lt;-BZ$6,-BZ$6-SUM(BZ$10:BZ345),-ROUNDDOWN($K346*BZ$5/100,0)),0)</f>
        <v>0</v>
      </c>
      <c r="CA346" s="38">
        <f>IF(AND(W346="○",$A346&gt;=CA$8,$A346&lt;=CA$9),IF(SUM(CA$10:CA345)-ROUNDDOWN($K346*CA$5/100,0)&lt;-CA$6,-CA$6-SUM(CA$10:CA345),-ROUNDDOWN($K346*CA$5/100,0)),0)</f>
        <v>0</v>
      </c>
      <c r="CB346" s="38"/>
      <c r="CC346" s="38"/>
      <c r="CD346" s="38"/>
      <c r="CE346" s="38"/>
      <c r="CF346" s="38"/>
      <c r="CG346" s="65">
        <f t="shared" si="256"/>
        <v>0</v>
      </c>
      <c r="CH346" s="71">
        <f t="shared" si="257"/>
        <v>0</v>
      </c>
      <c r="CI346" s="1">
        <f t="shared" si="19"/>
        <v>0</v>
      </c>
      <c r="CJ346" s="1"/>
      <c r="CK346" s="72"/>
      <c r="CL346" s="72"/>
      <c r="CM346" s="2"/>
      <c r="CN346" s="2"/>
      <c r="CO346" s="73">
        <f t="shared" si="20"/>
        <v>0</v>
      </c>
      <c r="CP346" s="5">
        <f t="shared" si="21"/>
        <v>0</v>
      </c>
      <c r="CQ346" s="1"/>
      <c r="CR346" s="1">
        <f t="shared" si="22"/>
        <v>0</v>
      </c>
      <c r="CS346" s="1"/>
      <c r="CT346" s="1" t="e">
        <f>INDEX([2]マスタ!$A:$A,MATCH(D346,[2]マスタ!$C:$C,0))</f>
        <v>#N/A</v>
      </c>
      <c r="CU346" s="1" t="str">
        <f t="shared" ca="1" si="23"/>
        <v>20260620_0-0</v>
      </c>
    </row>
    <row r="347" spans="1:99" x14ac:dyDescent="0.4">
      <c r="A347" s="61"/>
      <c r="B347" s="62"/>
      <c r="C347" s="62"/>
      <c r="D347" s="62"/>
      <c r="E347" s="76"/>
      <c r="F347" s="62"/>
      <c r="G347" s="62">
        <v>1</v>
      </c>
      <c r="H347" s="64">
        <f t="shared" si="4"/>
        <v>0</v>
      </c>
      <c r="I347" s="64"/>
      <c r="J347" s="64"/>
      <c r="K347" s="65">
        <f t="shared" si="258"/>
        <v>0</v>
      </c>
      <c r="L347" s="65">
        <f t="shared" si="6"/>
        <v>0</v>
      </c>
      <c r="M347" s="65">
        <f t="shared" si="7"/>
        <v>0</v>
      </c>
      <c r="N347" s="65">
        <f t="shared" si="8"/>
        <v>0</v>
      </c>
      <c r="O347" s="66" t="str">
        <f t="shared" si="259"/>
        <v>✕</v>
      </c>
      <c r="P347" s="67" t="str">
        <f t="shared" si="260"/>
        <v>○</v>
      </c>
      <c r="Q347" s="67" t="str">
        <f t="shared" si="261"/>
        <v>✕</v>
      </c>
      <c r="R347" s="67" t="str">
        <f t="shared" si="262"/>
        <v>✕</v>
      </c>
      <c r="S347" s="68">
        <v>0</v>
      </c>
      <c r="T347" s="69" t="s">
        <v>85</v>
      </c>
      <c r="U347" s="69" t="s">
        <v>85</v>
      </c>
      <c r="V347" s="69" t="s">
        <v>85</v>
      </c>
      <c r="W347" s="69" t="s">
        <v>85</v>
      </c>
      <c r="X347" s="69" t="s">
        <v>84</v>
      </c>
      <c r="Y347" s="69" t="s">
        <v>85</v>
      </c>
      <c r="Z347" s="69" t="s">
        <v>85</v>
      </c>
      <c r="AA347" s="69" t="s">
        <v>85</v>
      </c>
      <c r="AB347" s="69" t="s">
        <v>85</v>
      </c>
      <c r="AC347" s="69" t="s">
        <v>85</v>
      </c>
      <c r="AD347" s="38" t="str">
        <f>+IF(ISERROR(VLOOKUP($B347,AD$10:AD346,1,0)),IF(AND($N347&gt;=1000,$A347&gt;=AO$8,$A347&lt;=AO$9),$B347,""),"")</f>
        <v/>
      </c>
      <c r="AE347" s="38" t="str">
        <f>+IF(ISERROR(VLOOKUP($B347,AE$10:AE346,1,0)),IF(AND($N347&gt;=1000,$A347&gt;=AP$8,$A347&lt;=AP$9),$B347,""),"")</f>
        <v/>
      </c>
      <c r="AF347" s="38" t="str">
        <f>+IF(ISERROR(VLOOKUP($B347,AF$10:AF346,1,0)),IF(AND($N347&gt;=1000,$A347&gt;=AQ$8,$A347&lt;=AQ$9),$B347,""),"")</f>
        <v/>
      </c>
      <c r="AG347" s="38" t="str">
        <f>+IF(ISERROR(VLOOKUP($B347,AG$10:AG346,1,0)),IF(AND($N347&gt;=1000,$A347&gt;=AR$8,$A347&lt;=AR$9),$B347,""),"")</f>
        <v/>
      </c>
      <c r="AH347" s="38"/>
      <c r="AI347" s="70">
        <v>0</v>
      </c>
      <c r="AJ347" s="38">
        <f>IF(AND(AJ$7="○",$A347&gt;=AJ$8,$A347&lt;=AJ$9),IF(SUM(AJ$10:AJ346)-ROUNDDOWN($K347*AJ$5/100,0)&lt;-AJ$6,-AJ$6-SUM(AJ$10:AJ346),-ROUNDDOWN($K347*AJ$5/100,0)),0)</f>
        <v>0</v>
      </c>
      <c r="AK347" s="38">
        <f>IF(AND(AK$7="○",$A347&gt;=AK$8,$A347&lt;=AK$9),IF(SUM(AK$10:AK346)-ROUNDDOWN($L347*AK$5/100,0)&lt;-AK$6,-AK$6-SUM(AK$10:AK346),-ROUNDDOWN($L347*AK$5/100,0)),0)</f>
        <v>0</v>
      </c>
      <c r="AL347" s="38">
        <f>IF(AND(AL$7="○",$A347&gt;=AL$8,$A347&lt;=AL$9),IF(SUM(AL$10:AL346)-ROUNDDOWN($N347*AL$5/100,0)&lt;-AL$6,-AL$6-SUM(AL$10:AL346),-ROUNDDOWN($N347*AL$5/100,0)),0)</f>
        <v>0</v>
      </c>
      <c r="AM347" s="38">
        <f>IF(AND(AM$7="○",$A347&gt;=AM$8,$A347&lt;=AM$9),IF(SUM(AM$10:AM346)-ROUNDDOWN($L347*AM$5/100,0)&lt;-AM$6,-AM$6-SUM(AM$10:AM346),-ROUNDDOWN($L347*AM$5/100,0)),0)</f>
        <v>0</v>
      </c>
      <c r="AN347" s="38">
        <f>IF(AND(AN$7="○",$A347&gt;=AN$8,$A347&lt;=AN$9),IF(SUM(AN$10:AN346)-ROUNDDOWN($M347*AN$5/100,0)&lt;-AN$6,-AN$6-SUM(AN$10:AN346),-ROUNDDOWN($M347*AN$5/100,0)),0)</f>
        <v>0</v>
      </c>
      <c r="AO347" s="38">
        <f>IF(AND($A347&gt;=AO$8,$A347&lt;=AO$9),IF(SUM(AO$10:AO346)-ROUNDDOWN($K347*AO$5/100,0)&lt;-AO$6,-AO$6-SUM(AO$10:AO346),-ROUNDDOWN($K347*AO$5/100,0)),0)</f>
        <v>0</v>
      </c>
      <c r="AP347" s="38">
        <f>IF(AND($A347&gt;=AP$8,$A347&lt;=AP$9),IF(SUM(AP$10:AP346)-ROUNDDOWN($K347*AP$5/100,0)&lt;-AP$6,-AP$6-SUM(AP$10:AP346),-ROUNDDOWN($K347*AP$5/100,0)),0)</f>
        <v>0</v>
      </c>
      <c r="AQ347" s="38">
        <f>IF(AND($A347&gt;=AQ$8,$A347&lt;=AQ$9),IF(SUM(AQ$10:AQ346)-ROUNDDOWN($K347*AQ$5/100,0)&lt;-AQ$6,-AQ$6-SUM(AQ$10:AQ346),-ROUNDDOWN($K347*AQ$5/100,0)),0)</f>
        <v>0</v>
      </c>
      <c r="AR347" s="38">
        <f>IF(AND($A347&gt;=AR$8,$A347&lt;=AR$9),IF(SUM(AR$10:AR346)-ROUNDDOWN($K347*AR$5/100,0)&lt;-AR$6,-AR$6-SUM(AR$10:AR346),-ROUNDDOWN($K347*AR$5/100,0)),0)</f>
        <v>0</v>
      </c>
      <c r="AS347" s="38">
        <f>IF(SUMIFS(AS$10:AS346,$A$10:$A346,$A347)-ROUNDDOWN($K347*$S347/100,0)&lt;-$S347*1000,-$S347*1000-SUMIFS(AS$10:AS346,$A$10:$A346,$A347),-ROUNDDOWN($K347*$S347/100,0))</f>
        <v>0</v>
      </c>
      <c r="AT347" s="38">
        <f>IF(AND(X347="○",$A347&gt;=AT$8,$A347&lt;=AT$9,K347&gt;=3980),IF(SUM(AT$10:AT346)-ROUNDDOWN($K347*AT$5/100,0)&lt;-AT$6,-AT$6-SUM(AT$10:AT346),-ROUNDDOWN($K347*AT$5/100,0)),0)</f>
        <v>0</v>
      </c>
      <c r="AU347" s="38">
        <f>IF(O347="○",IF(SUM(AU$10:AU346)-ROUNDDOWN($K347*AU$5/100,0)&lt;-AU$6,-AU$6-SUM(AU$10:AU346),-ROUNDDOWN($K347*AU$5/100,0)),0)</f>
        <v>0</v>
      </c>
      <c r="AV347" s="38">
        <f>IF(P347="○",IF(SUM(AV$10:AV346)-ROUNDDOWN($K347*AV$5/100,0)&lt;-AV$6,-AV$6-SUM(AV$10:AV346),-ROUNDDOWN($K347*AV$5/100,0)),0)</f>
        <v>0</v>
      </c>
      <c r="AW347" s="38">
        <f>IF(Q347="○",IF(SUM(AW$10:AW346)-ROUNDDOWN($K347*AW$5/100,0)&lt;-AW$6,-AW$6-SUM(AW$10:AW346),-ROUNDDOWN($K347*AW$5/100,0)),0)</f>
        <v>0</v>
      </c>
      <c r="AX347" s="38">
        <f>IF(R347="○",IF(SUM(AX$10:AX346)-ROUNDDOWN($K347*AX$5/100,0)&lt;-AX$6,-AX$6-SUM(AX$10:AX346),-ROUNDDOWN($K347*AX$5/100,0)),0)</f>
        <v>0</v>
      </c>
      <c r="AY347" s="70">
        <v>0</v>
      </c>
      <c r="AZ347" s="65">
        <f t="shared" si="250"/>
        <v>0</v>
      </c>
      <c r="BA347" s="65">
        <f t="shared" si="251"/>
        <v>0</v>
      </c>
      <c r="BB347" s="70"/>
      <c r="BC347" s="65">
        <f t="shared" si="252"/>
        <v>0</v>
      </c>
      <c r="BD347" s="70">
        <v>0</v>
      </c>
      <c r="BE347" s="65">
        <f t="shared" si="253"/>
        <v>0</v>
      </c>
      <c r="BF347" s="70">
        <v>0</v>
      </c>
      <c r="BG347" s="65">
        <f t="shared" si="254"/>
        <v>0</v>
      </c>
      <c r="BH347" s="70">
        <v>0</v>
      </c>
      <c r="BI347" s="65">
        <f t="shared" si="255"/>
        <v>0</v>
      </c>
      <c r="BJ347" s="38">
        <f>IF(AND(BJ$7="○",$A347&gt;=BJ$8,$A347&lt;=BJ$9),IF(SUM(BJ$10:BJ346)-ROUNDDOWN($M347*BJ$5/100,0)&lt;-BJ$6,-BJ$6-SUM(BJ$10:BJ346),-ROUNDDOWN($M347*BJ$5/100,0)),0)</f>
        <v>0</v>
      </c>
      <c r="BK347" s="38">
        <f>IF(AND(BK$7="○",$A347&gt;=BK$8,$A347&lt;=BK$9),IF(SUM(BK$10:BK346)-ROUNDDOWN($L347*BK$5/100,0)&lt;-BK$6,-BK$6-SUM(BK$10:BK346),-ROUNDDOWN($L347*BK$5/100,0)),0)</f>
        <v>0</v>
      </c>
      <c r="BL347" s="38">
        <f>IF(AND(BL$7="○",$A347&gt;=BL$8,$A347&lt;=BL$9),IF(SUM(BL$10:BL346)-ROUNDDOWN($L347*BL$5/100,0)&lt;-BL$6,-BL$6-SUM(BL$10:BL346),-ROUNDDOWN($L347*BL$5/100,0)),0)</f>
        <v>0</v>
      </c>
      <c r="BM347" s="38">
        <f>IF(AND(BM$7="○",$A347&gt;=BM$8,$A347&lt;=BM$9),IF(SUM(BM$10:BM346)-ROUNDDOWN($M347*BM$5/100,0)&lt;-BM$6,-BM$6-SUM(BM$10:BM346),-ROUNDDOWN($M347*BM$5/100,0)),0)</f>
        <v>0</v>
      </c>
      <c r="BN347" s="38">
        <f>IF(AND(BN$7="○",$A347&gt;=BN$8,$A347&lt;=BN$9),IF(SUM(BN$10:BN346)-ROUNDDOWN($M347*BN$5/100,0)&lt;-BN$6,-BN$6-SUM(BN$10:BN346),-ROUNDDOWN($M347*BN$5/100,0)),0)</f>
        <v>0</v>
      </c>
      <c r="BO347" s="38">
        <f>IF(AND(BO$7="○",$A347&gt;=BO$8,$A347&lt;=BO$9),IF(SUM(BO$10:BO346)-ROUNDDOWN($M347*BO$5/100,0)&lt;-BO$6,-BO$6-SUM(BO$10:BO346),-ROUNDDOWN($M347*BO$5/100,0)),0)</f>
        <v>0</v>
      </c>
      <c r="BP347" s="38">
        <f>IF(AND(BP$7="○",$A347&gt;=BP$8,$A347&lt;=BP$9),IF(SUM(BP$10:BP346)-ROUNDDOWN($M347*BP$5/100,0)&lt;-BP$6,-BP$6-SUM(BP$10:BP346),-ROUNDDOWN($M347*BP$5/100,0)),0)</f>
        <v>0</v>
      </c>
      <c r="BQ347" s="38">
        <f>IF(AND(BQ$7="○",$A347&gt;=BQ$8,$A347&lt;=BQ$9),IF(SUM(BQ$10:BQ346)-ROUNDDOWN($L347*BQ$5/100,0)&lt;-BQ$6,-BQ$6-SUM(BQ$10:BQ346),-ROUNDDOWN($L347*BQ$5/100,0)),0)</f>
        <v>0</v>
      </c>
      <c r="BR347" s="38">
        <f>IF(AND(BR$7="○",$A347&gt;=BR$8,$A347&lt;=BR$9),IF(SUM(BR$10:BR346)-ROUNDDOWN($M347*BR$5/100,0)&lt;-BR$6,-BR$6-SUM(BR$10:BR346),-ROUNDDOWN($M347*BR$5/100,0)),0)</f>
        <v>0</v>
      </c>
      <c r="BS347" s="38">
        <f>IF(AND(BS$7="○",$A347&gt;=BS$8,$A347&lt;=BS$9),IF(SUM(BS$10:BS346)-ROUNDDOWN($M347*BS$5/100,0)&lt;-BS$6,-BS$6-SUM(BS$10:BS346),-ROUNDDOWN($M347*BS$5/100,0)),0)</f>
        <v>0</v>
      </c>
      <c r="BT347" s="38">
        <f>IF(AND(BT$7="○",$A347&gt;=BT$8,$A347&lt;=BT$9),IF(SUM(BT$10:BT346)-ROUNDDOWN($M347*BT$5/100,0)&lt;-BT$6,-BT$6-SUM(BT$10:BT346),-ROUNDDOWN($M347*BT$5/100,0)),0)</f>
        <v>0</v>
      </c>
      <c r="BU347" s="38">
        <f>IF(AND(BU$7="○",$A347&gt;=BU$8,$A347&lt;=BU$9),IF(SUM(BU$10:BU346)-ROUNDDOWN($M347*BU$5/100,0)&lt;-BU$6,-BU$6-SUM(BU$10:BU346),-ROUNDDOWN($M347*BU$5/100,0)),0)</f>
        <v>0</v>
      </c>
      <c r="BV347" s="38">
        <f>IF(AND(BV$7="○",$A347&gt;=BV$8,$A347&lt;=BV$9),IF(SUM(BV$10:BV346)-ROUNDDOWN($M347*BV$5/100,0)&lt;-BV$6,-BV$6-SUM(BV$10:BV346),-ROUNDDOWN($M347*BV$5/100,0)),0)</f>
        <v>0</v>
      </c>
      <c r="BW347" s="38">
        <f>IF(AND(BW$7="○",$A347&gt;=BW$8,$A347&lt;=BW$9),IF(SUM(BW$10:BW346)-ROUNDDOWN($M347*BW$5/100,0)&lt;-BW$6,-BW$6-SUM(BW$10:BW346),-ROUNDDOWN($M347*BW$5/100,0)),0)</f>
        <v>0</v>
      </c>
      <c r="BX347" s="38">
        <f>IF(AND(T347="○",$A347&gt;=BX$8,$A347&lt;=BX$9),IF(SUM(BX$10:BX346)-ROUNDDOWN($K347*BX$5/100,0)&lt;-BX$6,-BX$6-SUM(BX$10:BX346),-ROUNDDOWN($K347*BX$5/100,0)),0)</f>
        <v>0</v>
      </c>
      <c r="BY347" s="38">
        <f>IF(AND(U347="○",$A347&gt;=BY$8,$A347&lt;=BY$9),IF(SUM(BY$10:BY346)-ROUNDDOWN($K347*BY$5/100,0)&lt;-BY$6,-BY$6-SUM(BY$10:BY346),-ROUNDDOWN($K347*BY$5/100,0)),0)</f>
        <v>0</v>
      </c>
      <c r="BZ347" s="38">
        <f>IF(AND(V347="○",$A347&gt;=BZ$8,$A347&lt;=BZ$9),IF(SUM(BZ$10:BZ346)-ROUNDDOWN($K347*BZ$5/100,0)&lt;-BZ$6,-BZ$6-SUM(BZ$10:BZ346),-ROUNDDOWN($K347*BZ$5/100,0)),0)</f>
        <v>0</v>
      </c>
      <c r="CA347" s="38">
        <f>IF(AND(W347="○",$A347&gt;=CA$8,$A347&lt;=CA$9),IF(SUM(CA$10:CA346)-ROUNDDOWN($K347*CA$5/100,0)&lt;-CA$6,-CA$6-SUM(CA$10:CA346),-ROUNDDOWN($K347*CA$5/100,0)),0)</f>
        <v>0</v>
      </c>
      <c r="CB347" s="38"/>
      <c r="CC347" s="38"/>
      <c r="CD347" s="38"/>
      <c r="CE347" s="38"/>
      <c r="CF347" s="38"/>
      <c r="CG347" s="65">
        <f t="shared" si="256"/>
        <v>0</v>
      </c>
      <c r="CH347" s="71">
        <f t="shared" si="257"/>
        <v>0</v>
      </c>
      <c r="CI347" s="1">
        <f t="shared" si="19"/>
        <v>0</v>
      </c>
      <c r="CJ347" s="1"/>
      <c r="CK347" s="72"/>
      <c r="CL347" s="72"/>
      <c r="CM347" s="2"/>
      <c r="CN347" s="2"/>
      <c r="CO347" s="73">
        <f t="shared" si="20"/>
        <v>0</v>
      </c>
      <c r="CP347" s="5">
        <f t="shared" si="21"/>
        <v>0</v>
      </c>
      <c r="CQ347" s="1"/>
      <c r="CR347" s="1">
        <f t="shared" si="22"/>
        <v>0</v>
      </c>
      <c r="CS347" s="1"/>
      <c r="CT347" s="1" t="e">
        <f>INDEX([2]マスタ!$A:$A,MATCH(D347,[2]マスタ!$C:$C,0))</f>
        <v>#N/A</v>
      </c>
      <c r="CU347" s="1" t="str">
        <f t="shared" ca="1" si="23"/>
        <v>20260620_0-0</v>
      </c>
    </row>
    <row r="348" spans="1:99" x14ac:dyDescent="0.4">
      <c r="A348" s="61"/>
      <c r="B348" s="62"/>
      <c r="C348" s="62"/>
      <c r="D348" s="62"/>
      <c r="E348" s="63"/>
      <c r="F348" s="62"/>
      <c r="G348" s="62">
        <v>1</v>
      </c>
      <c r="H348" s="64">
        <f t="shared" si="4"/>
        <v>0</v>
      </c>
      <c r="I348" s="64"/>
      <c r="J348" s="64"/>
      <c r="K348" s="65">
        <f t="shared" si="258"/>
        <v>0</v>
      </c>
      <c r="L348" s="65">
        <f t="shared" si="6"/>
        <v>0</v>
      </c>
      <c r="M348" s="65">
        <f t="shared" si="7"/>
        <v>0</v>
      </c>
      <c r="N348" s="65">
        <f t="shared" si="8"/>
        <v>0</v>
      </c>
      <c r="O348" s="66" t="str">
        <f t="shared" si="259"/>
        <v>✕</v>
      </c>
      <c r="P348" s="67" t="str">
        <f t="shared" si="260"/>
        <v>○</v>
      </c>
      <c r="Q348" s="67" t="str">
        <f t="shared" si="261"/>
        <v>✕</v>
      </c>
      <c r="R348" s="67" t="str">
        <f t="shared" si="262"/>
        <v>✕</v>
      </c>
      <c r="S348" s="68">
        <v>0</v>
      </c>
      <c r="T348" s="69" t="s">
        <v>85</v>
      </c>
      <c r="U348" s="69" t="s">
        <v>85</v>
      </c>
      <c r="V348" s="69" t="s">
        <v>85</v>
      </c>
      <c r="W348" s="69" t="s">
        <v>85</v>
      </c>
      <c r="X348" s="69" t="s">
        <v>84</v>
      </c>
      <c r="Y348" s="69" t="s">
        <v>85</v>
      </c>
      <c r="Z348" s="69" t="s">
        <v>85</v>
      </c>
      <c r="AA348" s="69" t="s">
        <v>85</v>
      </c>
      <c r="AB348" s="69" t="s">
        <v>85</v>
      </c>
      <c r="AC348" s="69" t="s">
        <v>85</v>
      </c>
      <c r="AD348" s="38" t="str">
        <f>+IF(ISERROR(VLOOKUP($B348,AD$10:AD347,1,0)),IF(AND($N348&gt;=1000,$A348&gt;=AO$8,$A348&lt;=AO$9),$B348,""),"")</f>
        <v/>
      </c>
      <c r="AE348" s="38" t="str">
        <f>+IF(ISERROR(VLOOKUP($B348,AE$10:AE347,1,0)),IF(AND($N348&gt;=1000,$A348&gt;=AP$8,$A348&lt;=AP$9),$B348,""),"")</f>
        <v/>
      </c>
      <c r="AF348" s="38" t="str">
        <f>+IF(ISERROR(VLOOKUP($B348,AF$10:AF347,1,0)),IF(AND($N348&gt;=1000,$A348&gt;=AQ$8,$A348&lt;=AQ$9),$B348,""),"")</f>
        <v/>
      </c>
      <c r="AG348" s="38" t="str">
        <f>+IF(ISERROR(VLOOKUP($B348,AG$10:AG347,1,0)),IF(AND($N348&gt;=1000,$A348&gt;=AR$8,$A348&lt;=AR$9),$B348,""),"")</f>
        <v/>
      </c>
      <c r="AH348" s="38"/>
      <c r="AI348" s="70">
        <v>0</v>
      </c>
      <c r="AJ348" s="38">
        <f>IF(AND(AJ$7="○",$A348&gt;=AJ$8,$A348&lt;=AJ$9),IF(SUM(AJ$10:AJ347)-ROUNDDOWN($K348*AJ$5/100,0)&lt;-AJ$6,-AJ$6-SUM(AJ$10:AJ347),-ROUNDDOWN($K348*AJ$5/100,0)),0)</f>
        <v>0</v>
      </c>
      <c r="AK348" s="38">
        <f>IF(AND(AK$7="○",$A348&gt;=AK$8,$A348&lt;=AK$9),IF(SUM(AK$10:AK347)-ROUNDDOWN($L348*AK$5/100,0)&lt;-AK$6,-AK$6-SUM(AK$10:AK347),-ROUNDDOWN($L348*AK$5/100,0)),0)</f>
        <v>0</v>
      </c>
      <c r="AL348" s="38">
        <f>IF(AND(AL$7="○",$A348&gt;=AL$8,$A348&lt;=AL$9),IF(SUM(AL$10:AL347)-ROUNDDOWN($N348*AL$5/100,0)&lt;-AL$6,-AL$6-SUM(AL$10:AL347),-ROUNDDOWN($N348*AL$5/100,0)),0)</f>
        <v>0</v>
      </c>
      <c r="AM348" s="38">
        <f>IF(AND(AM$7="○",$A348&gt;=AM$8,$A348&lt;=AM$9),IF(SUM(AM$10:AM347)-ROUNDDOWN($L348*AM$5/100,0)&lt;-AM$6,-AM$6-SUM(AM$10:AM347),-ROUNDDOWN($L348*AM$5/100,0)),0)</f>
        <v>0</v>
      </c>
      <c r="AN348" s="38">
        <f>IF(AND(AN$7="○",$A348&gt;=AN$8,$A348&lt;=AN$9),IF(SUM(AN$10:AN347)-ROUNDDOWN($M348*AN$5/100,0)&lt;-AN$6,-AN$6-SUM(AN$10:AN347),-ROUNDDOWN($M348*AN$5/100,0)),0)</f>
        <v>0</v>
      </c>
      <c r="AO348" s="38">
        <f>IF(AND($A348&gt;=AO$8,$A348&lt;=AO$9),IF(SUM(AO$10:AO347)-ROUNDDOWN($K348*AO$5/100,0)&lt;-AO$6,-AO$6-SUM(AO$10:AO347),-ROUNDDOWN($K348*AO$5/100,0)),0)</f>
        <v>0</v>
      </c>
      <c r="AP348" s="38">
        <f>IF(AND($A348&gt;=AP$8,$A348&lt;=AP$9),IF(SUM(AP$10:AP347)-ROUNDDOWN($K348*AP$5/100,0)&lt;-AP$6,-AP$6-SUM(AP$10:AP347),-ROUNDDOWN($K348*AP$5/100,0)),0)</f>
        <v>0</v>
      </c>
      <c r="AQ348" s="38">
        <f>IF(AND($A348&gt;=AQ$8,$A348&lt;=AQ$9),IF(SUM(AQ$10:AQ347)-ROUNDDOWN($K348*AQ$5/100,0)&lt;-AQ$6,-AQ$6-SUM(AQ$10:AQ347),-ROUNDDOWN($K348*AQ$5/100,0)),0)</f>
        <v>0</v>
      </c>
      <c r="AR348" s="38">
        <f>IF(AND($A348&gt;=AR$8,$A348&lt;=AR$9),IF(SUM(AR$10:AR347)-ROUNDDOWN($K348*AR$5/100,0)&lt;-AR$6,-AR$6-SUM(AR$10:AR347),-ROUNDDOWN($K348*AR$5/100,0)),0)</f>
        <v>0</v>
      </c>
      <c r="AS348" s="38">
        <f>IF(SUMIFS(AS$10:AS347,$A$10:$A347,$A348)-ROUNDDOWN($K348*$S348/100,0)&lt;-$S348*1000,-$S348*1000-SUMIFS(AS$10:AS347,$A$10:$A347,$A348),-ROUNDDOWN($K348*$S348/100,0))</f>
        <v>0</v>
      </c>
      <c r="AT348" s="38">
        <f>IF(AND(X348="○",$A348&gt;=AT$8,$A348&lt;=AT$9,K348&gt;=3980),IF(SUM(AT$10:AT347)-ROUNDDOWN($K348*AT$5/100,0)&lt;-AT$6,-AT$6-SUM(AT$10:AT347),-ROUNDDOWN($K348*AT$5/100,0)),0)</f>
        <v>0</v>
      </c>
      <c r="AU348" s="38">
        <f>IF(O348="○",IF(SUM(AU$10:AU347)-ROUNDDOWN($K348*AU$5/100,0)&lt;-AU$6,-AU$6-SUM(AU$10:AU347),-ROUNDDOWN($K348*AU$5/100,0)),0)</f>
        <v>0</v>
      </c>
      <c r="AV348" s="38">
        <f>IF(P348="○",IF(SUM(AV$10:AV347)-ROUNDDOWN($K348*AV$5/100,0)&lt;-AV$6,-AV$6-SUM(AV$10:AV347),-ROUNDDOWN($K348*AV$5/100,0)),0)</f>
        <v>0</v>
      </c>
      <c r="AW348" s="38">
        <f>IF(Q348="○",IF(SUM(AW$10:AW347)-ROUNDDOWN($K348*AW$5/100,0)&lt;-AW$6,-AW$6-SUM(AW$10:AW347),-ROUNDDOWN($K348*AW$5/100,0)),0)</f>
        <v>0</v>
      </c>
      <c r="AX348" s="38">
        <f>IF(R348="○",IF(SUM(AX$10:AX347)-ROUNDDOWN($K348*AX$5/100,0)&lt;-AX$6,-AX$6-SUM(AX$10:AX347),-ROUNDDOWN($K348*AX$5/100,0)),0)</f>
        <v>0</v>
      </c>
      <c r="AY348" s="70">
        <v>0</v>
      </c>
      <c r="AZ348" s="65">
        <f t="shared" si="250"/>
        <v>0</v>
      </c>
      <c r="BA348" s="65">
        <f t="shared" si="251"/>
        <v>0</v>
      </c>
      <c r="BB348" s="70"/>
      <c r="BC348" s="65">
        <f t="shared" si="252"/>
        <v>0</v>
      </c>
      <c r="BD348" s="70">
        <v>0</v>
      </c>
      <c r="BE348" s="65">
        <f t="shared" si="253"/>
        <v>0</v>
      </c>
      <c r="BF348" s="70">
        <v>0</v>
      </c>
      <c r="BG348" s="65">
        <f t="shared" si="254"/>
        <v>0</v>
      </c>
      <c r="BH348" s="70">
        <v>0</v>
      </c>
      <c r="BI348" s="65">
        <f t="shared" si="255"/>
        <v>0</v>
      </c>
      <c r="BJ348" s="38">
        <f>IF(AND(BJ$7="○",$A348&gt;=BJ$8,$A348&lt;=BJ$9),IF(SUM(BJ$10:BJ347)-ROUNDDOWN($M348*BJ$5/100,0)&lt;-BJ$6,-BJ$6-SUM(BJ$10:BJ347),-ROUNDDOWN($M348*BJ$5/100,0)),0)</f>
        <v>0</v>
      </c>
      <c r="BK348" s="38">
        <f>IF(AND(BK$7="○",$A348&gt;=BK$8,$A348&lt;=BK$9),IF(SUM(BK$10:BK347)-ROUNDDOWN($L348*BK$5/100,0)&lt;-BK$6,-BK$6-SUM(BK$10:BK347),-ROUNDDOWN($L348*BK$5/100,0)),0)</f>
        <v>0</v>
      </c>
      <c r="BL348" s="38">
        <f>IF(AND(BL$7="○",$A348&gt;=BL$8,$A348&lt;=BL$9),IF(SUM(BL$10:BL347)-ROUNDDOWN($L348*BL$5/100,0)&lt;-BL$6,-BL$6-SUM(BL$10:BL347),-ROUNDDOWN($L348*BL$5/100,0)),0)</f>
        <v>0</v>
      </c>
      <c r="BM348" s="38">
        <f>IF(AND(BM$7="○",$A348&gt;=BM$8,$A348&lt;=BM$9),IF(SUM(BM$10:BM347)-ROUNDDOWN($M348*BM$5/100,0)&lt;-BM$6,-BM$6-SUM(BM$10:BM347),-ROUNDDOWN($M348*BM$5/100,0)),0)</f>
        <v>0</v>
      </c>
      <c r="BN348" s="38">
        <f>IF(AND(BN$7="○",$A348&gt;=BN$8,$A348&lt;=BN$9),IF(SUM(BN$10:BN347)-ROUNDDOWN($M348*BN$5/100,0)&lt;-BN$6,-BN$6-SUM(BN$10:BN347),-ROUNDDOWN($M348*BN$5/100,0)),0)</f>
        <v>0</v>
      </c>
      <c r="BO348" s="38">
        <f>IF(AND(BO$7="○",$A348&gt;=BO$8,$A348&lt;=BO$9),IF(SUM(BO$10:BO347)-ROUNDDOWN($M348*BO$5/100,0)&lt;-BO$6,-BO$6-SUM(BO$10:BO347),-ROUNDDOWN($M348*BO$5/100,0)),0)</f>
        <v>0</v>
      </c>
      <c r="BP348" s="38">
        <f>IF(AND(BP$7="○",$A348&gt;=BP$8,$A348&lt;=BP$9),IF(SUM(BP$10:BP347)-ROUNDDOWN($M348*BP$5/100,0)&lt;-BP$6,-BP$6-SUM(BP$10:BP347),-ROUNDDOWN($M348*BP$5/100,0)),0)</f>
        <v>0</v>
      </c>
      <c r="BQ348" s="38">
        <f>IF(AND(BQ$7="○",$A348&gt;=BQ$8,$A348&lt;=BQ$9),IF(SUM(BQ$10:BQ347)-ROUNDDOWN($L348*BQ$5/100,0)&lt;-BQ$6,-BQ$6-SUM(BQ$10:BQ347),-ROUNDDOWN($L348*BQ$5/100,0)),0)</f>
        <v>0</v>
      </c>
      <c r="BR348" s="38">
        <f>IF(AND(BR$7="○",$A348&gt;=BR$8,$A348&lt;=BR$9),IF(SUM(BR$10:BR347)-ROUNDDOWN($M348*BR$5/100,0)&lt;-BR$6,-BR$6-SUM(BR$10:BR347),-ROUNDDOWN($M348*BR$5/100,0)),0)</f>
        <v>0</v>
      </c>
      <c r="BS348" s="38">
        <f>IF(AND(BS$7="○",$A348&gt;=BS$8,$A348&lt;=BS$9),IF(SUM(BS$10:BS347)-ROUNDDOWN($M348*BS$5/100,0)&lt;-BS$6,-BS$6-SUM(BS$10:BS347),-ROUNDDOWN($M348*BS$5/100,0)),0)</f>
        <v>0</v>
      </c>
      <c r="BT348" s="38">
        <f>IF(AND(BT$7="○",$A348&gt;=BT$8,$A348&lt;=BT$9),IF(SUM(BT$10:BT347)-ROUNDDOWN($M348*BT$5/100,0)&lt;-BT$6,-BT$6-SUM(BT$10:BT347),-ROUNDDOWN($M348*BT$5/100,0)),0)</f>
        <v>0</v>
      </c>
      <c r="BU348" s="38">
        <f>IF(AND(BU$7="○",$A348&gt;=BU$8,$A348&lt;=BU$9),IF(SUM(BU$10:BU347)-ROUNDDOWN($M348*BU$5/100,0)&lt;-BU$6,-BU$6-SUM(BU$10:BU347),-ROUNDDOWN($M348*BU$5/100,0)),0)</f>
        <v>0</v>
      </c>
      <c r="BV348" s="38">
        <f>IF(AND(BV$7="○",$A348&gt;=BV$8,$A348&lt;=BV$9),IF(SUM(BV$10:BV347)-ROUNDDOWN($M348*BV$5/100,0)&lt;-BV$6,-BV$6-SUM(BV$10:BV347),-ROUNDDOWN($M348*BV$5/100,0)),0)</f>
        <v>0</v>
      </c>
      <c r="BW348" s="38">
        <f>IF(AND(BW$7="○",$A348&gt;=BW$8,$A348&lt;=BW$9),IF(SUM(BW$10:BW347)-ROUNDDOWN($M348*BW$5/100,0)&lt;-BW$6,-BW$6-SUM(BW$10:BW347),-ROUNDDOWN($M348*BW$5/100,0)),0)</f>
        <v>0</v>
      </c>
      <c r="BX348" s="38">
        <f>IF(AND(T348="○",$A348&gt;=BX$8,$A348&lt;=BX$9),IF(SUM(BX$10:BX347)-ROUNDDOWN($K348*BX$5/100,0)&lt;-BX$6,-BX$6-SUM(BX$10:BX347),-ROUNDDOWN($K348*BX$5/100,0)),0)</f>
        <v>0</v>
      </c>
      <c r="BY348" s="38">
        <f>IF(AND(U348="○",$A348&gt;=BY$8,$A348&lt;=BY$9),IF(SUM(BY$10:BY347)-ROUNDDOWN($K348*BY$5/100,0)&lt;-BY$6,-BY$6-SUM(BY$10:BY347),-ROUNDDOWN($K348*BY$5/100,0)),0)</f>
        <v>0</v>
      </c>
      <c r="BZ348" s="38">
        <f>IF(AND(V348="○",$A348&gt;=BZ$8,$A348&lt;=BZ$9),IF(SUM(BZ$10:BZ347)-ROUNDDOWN($K348*BZ$5/100,0)&lt;-BZ$6,-BZ$6-SUM(BZ$10:BZ347),-ROUNDDOWN($K348*BZ$5/100,0)),0)</f>
        <v>0</v>
      </c>
      <c r="CA348" s="38">
        <f>IF(AND(W348="○",$A348&gt;=CA$8,$A348&lt;=CA$9),IF(SUM(CA$10:CA347)-ROUNDDOWN($K348*CA$5/100,0)&lt;-CA$6,-CA$6-SUM(CA$10:CA347),-ROUNDDOWN($K348*CA$5/100,0)),0)</f>
        <v>0</v>
      </c>
      <c r="CB348" s="38"/>
      <c r="CC348" s="38"/>
      <c r="CD348" s="38"/>
      <c r="CE348" s="38"/>
      <c r="CF348" s="38"/>
      <c r="CG348" s="65">
        <f t="shared" si="256"/>
        <v>0</v>
      </c>
      <c r="CH348" s="71">
        <f t="shared" si="257"/>
        <v>0</v>
      </c>
      <c r="CI348" s="1">
        <f t="shared" si="19"/>
        <v>0</v>
      </c>
      <c r="CJ348" s="1"/>
      <c r="CK348" s="72"/>
      <c r="CL348" s="72"/>
      <c r="CM348" s="2"/>
      <c r="CN348" s="2"/>
      <c r="CO348" s="73">
        <f t="shared" si="20"/>
        <v>0</v>
      </c>
      <c r="CP348" s="5">
        <f t="shared" si="21"/>
        <v>0</v>
      </c>
      <c r="CQ348" s="1"/>
      <c r="CR348" s="1">
        <f t="shared" si="22"/>
        <v>0</v>
      </c>
      <c r="CS348" s="1"/>
      <c r="CT348" s="1" t="e">
        <f>INDEX([2]マスタ!$A:$A,MATCH(D348,[2]マスタ!$C:$C,0))</f>
        <v>#N/A</v>
      </c>
      <c r="CU348" s="1" t="str">
        <f t="shared" ca="1" si="23"/>
        <v>20260620_0-0</v>
      </c>
    </row>
    <row r="349" spans="1:99" x14ac:dyDescent="0.4">
      <c r="A349" s="61"/>
      <c r="B349" s="62"/>
      <c r="C349" s="62"/>
      <c r="D349" s="62"/>
      <c r="E349" s="74"/>
      <c r="F349" s="62"/>
      <c r="G349" s="62">
        <v>1</v>
      </c>
      <c r="H349" s="64">
        <f t="shared" si="4"/>
        <v>0</v>
      </c>
      <c r="I349" s="64"/>
      <c r="J349" s="64"/>
      <c r="K349" s="65">
        <f t="shared" si="258"/>
        <v>0</v>
      </c>
      <c r="L349" s="65">
        <f t="shared" si="6"/>
        <v>0</v>
      </c>
      <c r="M349" s="65">
        <f t="shared" si="7"/>
        <v>0</v>
      </c>
      <c r="N349" s="65">
        <f t="shared" si="8"/>
        <v>0</v>
      </c>
      <c r="O349" s="66" t="str">
        <f t="shared" si="259"/>
        <v>✕</v>
      </c>
      <c r="P349" s="67" t="str">
        <f t="shared" si="260"/>
        <v>○</v>
      </c>
      <c r="Q349" s="67" t="str">
        <f t="shared" si="261"/>
        <v>✕</v>
      </c>
      <c r="R349" s="67" t="str">
        <f t="shared" si="262"/>
        <v>✕</v>
      </c>
      <c r="S349" s="68">
        <v>0</v>
      </c>
      <c r="T349" s="69" t="s">
        <v>85</v>
      </c>
      <c r="U349" s="69" t="s">
        <v>85</v>
      </c>
      <c r="V349" s="69" t="s">
        <v>85</v>
      </c>
      <c r="W349" s="69" t="s">
        <v>85</v>
      </c>
      <c r="X349" s="69" t="s">
        <v>84</v>
      </c>
      <c r="Y349" s="69" t="s">
        <v>85</v>
      </c>
      <c r="Z349" s="69" t="s">
        <v>85</v>
      </c>
      <c r="AA349" s="69" t="s">
        <v>85</v>
      </c>
      <c r="AB349" s="69" t="s">
        <v>85</v>
      </c>
      <c r="AC349" s="69" t="s">
        <v>85</v>
      </c>
      <c r="AD349" s="38" t="str">
        <f>+IF(ISERROR(VLOOKUP($B349,AD$10:AD348,1,0)),IF(AND($N349&gt;=1000,$A349&gt;=AO$8,$A349&lt;=AO$9),$B349,""),"")</f>
        <v/>
      </c>
      <c r="AE349" s="38" t="str">
        <f>+IF(ISERROR(VLOOKUP($B349,AE$10:AE348,1,0)),IF(AND($N349&gt;=1000,$A349&gt;=AP$8,$A349&lt;=AP$9),$B349,""),"")</f>
        <v/>
      </c>
      <c r="AF349" s="38" t="str">
        <f>+IF(ISERROR(VLOOKUP($B349,AF$10:AF348,1,0)),IF(AND($N349&gt;=1000,$A349&gt;=AQ$8,$A349&lt;=AQ$9),$B349,""),"")</f>
        <v/>
      </c>
      <c r="AG349" s="38" t="str">
        <f>+IF(ISERROR(VLOOKUP($B349,AG$10:AG348,1,0)),IF(AND($N349&gt;=1000,$A349&gt;=AR$8,$A349&lt;=AR$9),$B349,""),"")</f>
        <v/>
      </c>
      <c r="AH349" s="38"/>
      <c r="AI349" s="70">
        <v>0</v>
      </c>
      <c r="AJ349" s="38">
        <f>IF(AND(AJ$7="○",$A349&gt;=AJ$8,$A349&lt;=AJ$9),IF(SUM(AJ$10:AJ348)-ROUNDDOWN($K349*AJ$5/100,0)&lt;-AJ$6,-AJ$6-SUM(AJ$10:AJ348),-ROUNDDOWN($K349*AJ$5/100,0)),0)</f>
        <v>0</v>
      </c>
      <c r="AK349" s="38">
        <f>IF(AND(AK$7="○",$A349&gt;=AK$8,$A349&lt;=AK$9),IF(SUM(AK$10:AK348)-ROUNDDOWN($L349*AK$5/100,0)&lt;-AK$6,-AK$6-SUM(AK$10:AK348),-ROUNDDOWN($L349*AK$5/100,0)),0)</f>
        <v>0</v>
      </c>
      <c r="AL349" s="38">
        <f>IF(AND(AL$7="○",$A349&gt;=AL$8,$A349&lt;=AL$9),IF(SUM(AL$10:AL348)-ROUNDDOWN($N349*AL$5/100,0)&lt;-AL$6,-AL$6-SUM(AL$10:AL348),-ROUNDDOWN($N349*AL$5/100,0)),0)</f>
        <v>0</v>
      </c>
      <c r="AM349" s="38">
        <f>IF(AND(AM$7="○",$A349&gt;=AM$8,$A349&lt;=AM$9),IF(SUM(AM$10:AM348)-ROUNDDOWN($L349*AM$5/100,0)&lt;-AM$6,-AM$6-SUM(AM$10:AM348),-ROUNDDOWN($L349*AM$5/100,0)),0)</f>
        <v>0</v>
      </c>
      <c r="AN349" s="38">
        <f>IF(AND(AN$7="○",$A349&gt;=AN$8,$A349&lt;=AN$9),IF(SUM(AN$10:AN348)-ROUNDDOWN($M349*AN$5/100,0)&lt;-AN$6,-AN$6-SUM(AN$10:AN348),-ROUNDDOWN($M349*AN$5/100,0)),0)</f>
        <v>0</v>
      </c>
      <c r="AO349" s="38">
        <f>IF(AND($A349&gt;=AO$8,$A349&lt;=AO$9),IF(SUM(AO$10:AO348)-ROUNDDOWN($K349*AO$5/100,0)&lt;-AO$6,-AO$6-SUM(AO$10:AO348),-ROUNDDOWN($K349*AO$5/100,0)),0)</f>
        <v>0</v>
      </c>
      <c r="AP349" s="38">
        <f>IF(AND($A349&gt;=AP$8,$A349&lt;=AP$9),IF(SUM(AP$10:AP348)-ROUNDDOWN($K349*AP$5/100,0)&lt;-AP$6,-AP$6-SUM(AP$10:AP348),-ROUNDDOWN($K349*AP$5/100,0)),0)</f>
        <v>0</v>
      </c>
      <c r="AQ349" s="38">
        <f>IF(AND($A349&gt;=AQ$8,$A349&lt;=AQ$9),IF(SUM(AQ$10:AQ348)-ROUNDDOWN($K349*AQ$5/100,0)&lt;-AQ$6,-AQ$6-SUM(AQ$10:AQ348),-ROUNDDOWN($K349*AQ$5/100,0)),0)</f>
        <v>0</v>
      </c>
      <c r="AR349" s="38">
        <f>IF(AND($A349&gt;=AR$8,$A349&lt;=AR$9),IF(SUM(AR$10:AR348)-ROUNDDOWN($K349*AR$5/100,0)&lt;-AR$6,-AR$6-SUM(AR$10:AR348),-ROUNDDOWN($K349*AR$5/100,0)),0)</f>
        <v>0</v>
      </c>
      <c r="AS349" s="38">
        <f>IF(SUMIFS(AS$10:AS348,$A$10:$A348,$A349)-ROUNDDOWN($K349*$S349/100,0)&lt;-$S349*1000,-$S349*1000-SUMIFS(AS$10:AS348,$A$10:$A348,$A349),-ROUNDDOWN($K349*$S349/100,0))</f>
        <v>0</v>
      </c>
      <c r="AT349" s="38">
        <f>IF(AND(X349="○",$A349&gt;=AT$8,$A349&lt;=AT$9,K349&gt;=3980),IF(SUM(AT$10:AT348)-ROUNDDOWN($K349*AT$5/100,0)&lt;-AT$6,-AT$6-SUM(AT$10:AT348),-ROUNDDOWN($K349*AT$5/100,0)),0)</f>
        <v>0</v>
      </c>
      <c r="AU349" s="38">
        <f>IF(O349="○",IF(SUM(AU$10:AU348)-ROUNDDOWN($K349*AU$5/100,0)&lt;-AU$6,-AU$6-SUM(AU$10:AU348),-ROUNDDOWN($K349*AU$5/100,0)),0)</f>
        <v>0</v>
      </c>
      <c r="AV349" s="38">
        <f>IF(P349="○",IF(SUM(AV$10:AV348)-ROUNDDOWN($K349*AV$5/100,0)&lt;-AV$6,-AV$6-SUM(AV$10:AV348),-ROUNDDOWN($K349*AV$5/100,0)),0)</f>
        <v>0</v>
      </c>
      <c r="AW349" s="38">
        <f>IF(Q349="○",IF(SUM(AW$10:AW348)-ROUNDDOWN($K349*AW$5/100,0)&lt;-AW$6,-AW$6-SUM(AW$10:AW348),-ROUNDDOWN($K349*AW$5/100,0)),0)</f>
        <v>0</v>
      </c>
      <c r="AX349" s="38">
        <f>IF(R349="○",IF(SUM(AX$10:AX348)-ROUNDDOWN($K349*AX$5/100,0)&lt;-AX$6,-AX$6-SUM(AX$10:AX348),-ROUNDDOWN($K349*AX$5/100,0)),0)</f>
        <v>0</v>
      </c>
      <c r="AY349" s="70">
        <v>0</v>
      </c>
      <c r="AZ349" s="65">
        <f t="shared" si="250"/>
        <v>0</v>
      </c>
      <c r="BA349" s="65">
        <f t="shared" si="251"/>
        <v>0</v>
      </c>
      <c r="BB349" s="70"/>
      <c r="BC349" s="65">
        <f t="shared" si="252"/>
        <v>0</v>
      </c>
      <c r="BD349" s="70">
        <v>0</v>
      </c>
      <c r="BE349" s="65">
        <f t="shared" si="253"/>
        <v>0</v>
      </c>
      <c r="BF349" s="70">
        <v>0</v>
      </c>
      <c r="BG349" s="65">
        <f t="shared" si="254"/>
        <v>0</v>
      </c>
      <c r="BH349" s="70">
        <v>0</v>
      </c>
      <c r="BI349" s="65">
        <f t="shared" si="255"/>
        <v>0</v>
      </c>
      <c r="BJ349" s="38">
        <f>IF(AND(BJ$7="○",$A349&gt;=BJ$8,$A349&lt;=BJ$9),IF(SUM(BJ$10:BJ348)-ROUNDDOWN($M349*BJ$5/100,0)&lt;-BJ$6,-BJ$6-SUM(BJ$10:BJ348),-ROUNDDOWN($M349*BJ$5/100,0)),0)</f>
        <v>0</v>
      </c>
      <c r="BK349" s="38">
        <f>IF(AND(BK$7="○",$A349&gt;=BK$8,$A349&lt;=BK$9),IF(SUM(BK$10:BK348)-ROUNDDOWN($L349*BK$5/100,0)&lt;-BK$6,-BK$6-SUM(BK$10:BK348),-ROUNDDOWN($L349*BK$5/100,0)),0)</f>
        <v>0</v>
      </c>
      <c r="BL349" s="38">
        <f>IF(AND(BL$7="○",$A349&gt;=BL$8,$A349&lt;=BL$9),IF(SUM(BL$10:BL348)-ROUNDDOWN($L349*BL$5/100,0)&lt;-BL$6,-BL$6-SUM(BL$10:BL348),-ROUNDDOWN($L349*BL$5/100,0)),0)</f>
        <v>0</v>
      </c>
      <c r="BM349" s="38">
        <f>IF(AND(BM$7="○",$A349&gt;=BM$8,$A349&lt;=BM$9),IF(SUM(BM$10:BM348)-ROUNDDOWN($M349*BM$5/100,0)&lt;-BM$6,-BM$6-SUM(BM$10:BM348),-ROUNDDOWN($M349*BM$5/100,0)),0)</f>
        <v>0</v>
      </c>
      <c r="BN349" s="38">
        <f>IF(AND(BN$7="○",$A349&gt;=BN$8,$A349&lt;=BN$9),IF(SUM(BN$10:BN348)-ROUNDDOWN($M349*BN$5/100,0)&lt;-BN$6,-BN$6-SUM(BN$10:BN348),-ROUNDDOWN($M349*BN$5/100,0)),0)</f>
        <v>0</v>
      </c>
      <c r="BO349" s="38">
        <f>IF(AND(BO$7="○",$A349&gt;=BO$8,$A349&lt;=BO$9),IF(SUM(BO$10:BO348)-ROUNDDOWN($M349*BO$5/100,0)&lt;-BO$6,-BO$6-SUM(BO$10:BO348),-ROUNDDOWN($M349*BO$5/100,0)),0)</f>
        <v>0</v>
      </c>
      <c r="BP349" s="38">
        <f>IF(AND(BP$7="○",$A349&gt;=BP$8,$A349&lt;=BP$9),IF(SUM(BP$10:BP348)-ROUNDDOWN($M349*BP$5/100,0)&lt;-BP$6,-BP$6-SUM(BP$10:BP348),-ROUNDDOWN($M349*BP$5/100,0)),0)</f>
        <v>0</v>
      </c>
      <c r="BQ349" s="38">
        <f>IF(AND(BQ$7="○",$A349&gt;=BQ$8,$A349&lt;=BQ$9),IF(SUM(BQ$10:BQ348)-ROUNDDOWN($L349*BQ$5/100,0)&lt;-BQ$6,-BQ$6-SUM(BQ$10:BQ348),-ROUNDDOWN($L349*BQ$5/100,0)),0)</f>
        <v>0</v>
      </c>
      <c r="BR349" s="38">
        <f>IF(AND(BR$7="○",$A349&gt;=BR$8,$A349&lt;=BR$9),IF(SUM(BR$10:BR348)-ROUNDDOWN($M349*BR$5/100,0)&lt;-BR$6,-BR$6-SUM(BR$10:BR348),-ROUNDDOWN($M349*BR$5/100,0)),0)</f>
        <v>0</v>
      </c>
      <c r="BS349" s="38">
        <f>IF(AND(BS$7="○",$A349&gt;=BS$8,$A349&lt;=BS$9),IF(SUM(BS$10:BS348)-ROUNDDOWN($M349*BS$5/100,0)&lt;-BS$6,-BS$6-SUM(BS$10:BS348),-ROUNDDOWN($M349*BS$5/100,0)),0)</f>
        <v>0</v>
      </c>
      <c r="BT349" s="38">
        <f>IF(AND(BT$7="○",$A349&gt;=BT$8,$A349&lt;=BT$9),IF(SUM(BT$10:BT348)-ROUNDDOWN($M349*BT$5/100,0)&lt;-BT$6,-BT$6-SUM(BT$10:BT348),-ROUNDDOWN($M349*BT$5/100,0)),0)</f>
        <v>0</v>
      </c>
      <c r="BU349" s="38">
        <f>IF(AND(BU$7="○",$A349&gt;=BU$8,$A349&lt;=BU$9),IF(SUM(BU$10:BU348)-ROUNDDOWN($M349*BU$5/100,0)&lt;-BU$6,-BU$6-SUM(BU$10:BU348),-ROUNDDOWN($M349*BU$5/100,0)),0)</f>
        <v>0</v>
      </c>
      <c r="BV349" s="38">
        <f>IF(AND(BV$7="○",$A349&gt;=BV$8,$A349&lt;=BV$9),IF(SUM(BV$10:BV348)-ROUNDDOWN($M349*BV$5/100,0)&lt;-BV$6,-BV$6-SUM(BV$10:BV348),-ROUNDDOWN($M349*BV$5/100,0)),0)</f>
        <v>0</v>
      </c>
      <c r="BW349" s="38">
        <f>IF(AND(BW$7="○",$A349&gt;=BW$8,$A349&lt;=BW$9),IF(SUM(BW$10:BW348)-ROUNDDOWN($M349*BW$5/100,0)&lt;-BW$6,-BW$6-SUM(BW$10:BW348),-ROUNDDOWN($M349*BW$5/100,0)),0)</f>
        <v>0</v>
      </c>
      <c r="BX349" s="38">
        <f>IF(AND(T349="○",$A349&gt;=BX$8,$A349&lt;=BX$9),IF(SUM(BX$10:BX348)-ROUNDDOWN($K349*BX$5/100,0)&lt;-BX$6,-BX$6-SUM(BX$10:BX348),-ROUNDDOWN($K349*BX$5/100,0)),0)</f>
        <v>0</v>
      </c>
      <c r="BY349" s="38">
        <f>IF(AND(U349="○",$A349&gt;=BY$8,$A349&lt;=BY$9),IF(SUM(BY$10:BY348)-ROUNDDOWN($K349*BY$5/100,0)&lt;-BY$6,-BY$6-SUM(BY$10:BY348),-ROUNDDOWN($K349*BY$5/100,0)),0)</f>
        <v>0</v>
      </c>
      <c r="BZ349" s="38">
        <f>IF(AND(V349="○",$A349&gt;=BZ$8,$A349&lt;=BZ$9),IF(SUM(BZ$10:BZ348)-ROUNDDOWN($K349*BZ$5/100,0)&lt;-BZ$6,-BZ$6-SUM(BZ$10:BZ348),-ROUNDDOWN($K349*BZ$5/100,0)),0)</f>
        <v>0</v>
      </c>
      <c r="CA349" s="38">
        <f>IF(AND(W349="○",$A349&gt;=CA$8,$A349&lt;=CA$9),IF(SUM(CA$10:CA348)-ROUNDDOWN($K349*CA$5/100,0)&lt;-CA$6,-CA$6-SUM(CA$10:CA348),-ROUNDDOWN($K349*CA$5/100,0)),0)</f>
        <v>0</v>
      </c>
      <c r="CB349" s="38"/>
      <c r="CC349" s="38"/>
      <c r="CD349" s="38"/>
      <c r="CE349" s="38"/>
      <c r="CF349" s="38"/>
      <c r="CG349" s="65">
        <f t="shared" si="256"/>
        <v>0</v>
      </c>
      <c r="CH349" s="71">
        <f t="shared" si="257"/>
        <v>0</v>
      </c>
      <c r="CI349" s="1">
        <f t="shared" si="19"/>
        <v>0</v>
      </c>
      <c r="CJ349" s="1"/>
      <c r="CK349" s="72"/>
      <c r="CL349" s="72"/>
      <c r="CM349" s="2"/>
      <c r="CN349" s="2"/>
      <c r="CO349" s="73">
        <f t="shared" si="20"/>
        <v>0</v>
      </c>
      <c r="CP349" s="5">
        <f t="shared" si="21"/>
        <v>0</v>
      </c>
      <c r="CQ349" s="1"/>
      <c r="CR349" s="1">
        <f t="shared" si="22"/>
        <v>0</v>
      </c>
      <c r="CS349" s="1"/>
      <c r="CT349" s="1" t="e">
        <f>INDEX([2]マスタ!$A:$A,MATCH(D349,[2]マスタ!$C:$C,0))</f>
        <v>#N/A</v>
      </c>
      <c r="CU349" s="1" t="str">
        <f t="shared" ca="1" si="23"/>
        <v>20260620_0-0</v>
      </c>
    </row>
    <row r="350" spans="1:99" x14ac:dyDescent="0.4">
      <c r="A350" s="61"/>
      <c r="B350" s="62"/>
      <c r="C350" s="62"/>
      <c r="D350" s="62"/>
      <c r="E350" s="74"/>
      <c r="F350" s="62"/>
      <c r="G350" s="62">
        <v>1</v>
      </c>
      <c r="H350" s="64">
        <f t="shared" si="4"/>
        <v>0</v>
      </c>
      <c r="I350" s="64"/>
      <c r="J350" s="64"/>
      <c r="K350" s="65">
        <f t="shared" si="258"/>
        <v>0</v>
      </c>
      <c r="L350" s="65">
        <f t="shared" si="6"/>
        <v>0</v>
      </c>
      <c r="M350" s="65">
        <f t="shared" si="7"/>
        <v>0</v>
      </c>
      <c r="N350" s="65">
        <f t="shared" si="8"/>
        <v>0</v>
      </c>
      <c r="O350" s="66" t="str">
        <f t="shared" si="259"/>
        <v>✕</v>
      </c>
      <c r="P350" s="67" t="str">
        <f t="shared" si="260"/>
        <v>○</v>
      </c>
      <c r="Q350" s="67" t="str">
        <f t="shared" si="261"/>
        <v>✕</v>
      </c>
      <c r="R350" s="67" t="str">
        <f t="shared" si="262"/>
        <v>✕</v>
      </c>
      <c r="S350" s="68">
        <v>0</v>
      </c>
      <c r="T350" s="69" t="s">
        <v>85</v>
      </c>
      <c r="U350" s="69" t="s">
        <v>85</v>
      </c>
      <c r="V350" s="69" t="s">
        <v>85</v>
      </c>
      <c r="W350" s="69" t="s">
        <v>85</v>
      </c>
      <c r="X350" s="69" t="s">
        <v>84</v>
      </c>
      <c r="Y350" s="69" t="s">
        <v>85</v>
      </c>
      <c r="Z350" s="69" t="s">
        <v>85</v>
      </c>
      <c r="AA350" s="69" t="s">
        <v>85</v>
      </c>
      <c r="AB350" s="69" t="s">
        <v>85</v>
      </c>
      <c r="AC350" s="69" t="s">
        <v>85</v>
      </c>
      <c r="AD350" s="38" t="str">
        <f>+IF(ISERROR(VLOOKUP($B350,AD$10:AD349,1,0)),IF(AND($N350&gt;=1000,$A350&gt;=AO$8,$A350&lt;=AO$9),$B350,""),"")</f>
        <v/>
      </c>
      <c r="AE350" s="38" t="str">
        <f>+IF(ISERROR(VLOOKUP($B350,AE$10:AE349,1,0)),IF(AND($N350&gt;=1000,$A350&gt;=AP$8,$A350&lt;=AP$9),$B350,""),"")</f>
        <v/>
      </c>
      <c r="AF350" s="38" t="str">
        <f>+IF(ISERROR(VLOOKUP($B350,AF$10:AF349,1,0)),IF(AND($N350&gt;=1000,$A350&gt;=AQ$8,$A350&lt;=AQ$9),$B350,""),"")</f>
        <v/>
      </c>
      <c r="AG350" s="38" t="str">
        <f>+IF(ISERROR(VLOOKUP($B350,AG$10:AG349,1,0)),IF(AND($N350&gt;=1000,$A350&gt;=AR$8,$A350&lt;=AR$9),$B350,""),"")</f>
        <v/>
      </c>
      <c r="AH350" s="38"/>
      <c r="AI350" s="70">
        <v>0</v>
      </c>
      <c r="AJ350" s="38">
        <f>IF(AND(AJ$7="○",$A350&gt;=AJ$8,$A350&lt;=AJ$9),IF(SUM(AJ$10:AJ349)-ROUNDDOWN($K350*AJ$5/100,0)&lt;-AJ$6,-AJ$6-SUM(AJ$10:AJ349),-ROUNDDOWN($K350*AJ$5/100,0)),0)</f>
        <v>0</v>
      </c>
      <c r="AK350" s="38">
        <f>IF(AND(AK$7="○",$A350&gt;=AK$8,$A350&lt;=AK$9),IF(SUM(AK$10:AK349)-ROUNDDOWN($L350*AK$5/100,0)&lt;-AK$6,-AK$6-SUM(AK$10:AK349),-ROUNDDOWN($L350*AK$5/100,0)),0)</f>
        <v>0</v>
      </c>
      <c r="AL350" s="38">
        <f>IF(AND(AL$7="○",$A350&gt;=AL$8,$A350&lt;=AL$9),IF(SUM(AL$10:AL349)-ROUNDDOWN($N350*AL$5/100,0)&lt;-AL$6,-AL$6-SUM(AL$10:AL349),-ROUNDDOWN($N350*AL$5/100,0)),0)</f>
        <v>0</v>
      </c>
      <c r="AM350" s="38">
        <f>IF(AND(AM$7="○",$A350&gt;=AM$8,$A350&lt;=AM$9),IF(SUM(AM$10:AM349)-ROUNDDOWN($L350*AM$5/100,0)&lt;-AM$6,-AM$6-SUM(AM$10:AM349),-ROUNDDOWN($L350*AM$5/100,0)),0)</f>
        <v>0</v>
      </c>
      <c r="AN350" s="38">
        <f>IF(AND(AN$7="○",$A350&gt;=AN$8,$A350&lt;=AN$9),IF(SUM(AN$10:AN349)-ROUNDDOWN($M350*AN$5/100,0)&lt;-AN$6,-AN$6-SUM(AN$10:AN349),-ROUNDDOWN($M350*AN$5/100,0)),0)</f>
        <v>0</v>
      </c>
      <c r="AO350" s="38">
        <f>IF(AND($A350&gt;=AO$8,$A350&lt;=AO$9),IF(SUM(AO$10:AO349)-ROUNDDOWN($K350*AO$5/100,0)&lt;-AO$6,-AO$6-SUM(AO$10:AO349),-ROUNDDOWN($K350*AO$5/100,0)),0)</f>
        <v>0</v>
      </c>
      <c r="AP350" s="38">
        <f>IF(AND($A350&gt;=AP$8,$A350&lt;=AP$9),IF(SUM(AP$10:AP349)-ROUNDDOWN($K350*AP$5/100,0)&lt;-AP$6,-AP$6-SUM(AP$10:AP349),-ROUNDDOWN($K350*AP$5/100,0)),0)</f>
        <v>0</v>
      </c>
      <c r="AQ350" s="38">
        <f>IF(AND($A350&gt;=AQ$8,$A350&lt;=AQ$9),IF(SUM(AQ$10:AQ349)-ROUNDDOWN($K350*AQ$5/100,0)&lt;-AQ$6,-AQ$6-SUM(AQ$10:AQ349),-ROUNDDOWN($K350*AQ$5/100,0)),0)</f>
        <v>0</v>
      </c>
      <c r="AR350" s="38">
        <f>IF(AND($A350&gt;=AR$8,$A350&lt;=AR$9),IF(SUM(AR$10:AR349)-ROUNDDOWN($K350*AR$5/100,0)&lt;-AR$6,-AR$6-SUM(AR$10:AR349),-ROUNDDOWN($K350*AR$5/100,0)),0)</f>
        <v>0</v>
      </c>
      <c r="AS350" s="38">
        <f>IF(SUMIFS(AS$10:AS349,$A$10:$A349,$A350)-ROUNDDOWN($K350*$S350/100,0)&lt;-$S350*1000,-$S350*1000-SUMIFS(AS$10:AS349,$A$10:$A349,$A350),-ROUNDDOWN($K350*$S350/100,0))</f>
        <v>0</v>
      </c>
      <c r="AT350" s="38">
        <f>IF(AND(X350="○",$A350&gt;=AT$8,$A350&lt;=AT$9,K350&gt;=3980),IF(SUM(AT$10:AT349)-ROUNDDOWN($K350*AT$5/100,0)&lt;-AT$6,-AT$6-SUM(AT$10:AT349),-ROUNDDOWN($K350*AT$5/100,0)),0)</f>
        <v>0</v>
      </c>
      <c r="AU350" s="38">
        <f>IF(O350="○",IF(SUM(AU$10:AU349)-ROUNDDOWN($K350*AU$5/100,0)&lt;-AU$6,-AU$6-SUM(AU$10:AU349),-ROUNDDOWN($K350*AU$5/100,0)),0)</f>
        <v>0</v>
      </c>
      <c r="AV350" s="38">
        <f>IF(P350="○",IF(SUM(AV$10:AV349)-ROUNDDOWN($K350*AV$5/100,0)&lt;-AV$6,-AV$6-SUM(AV$10:AV349),-ROUNDDOWN($K350*AV$5/100,0)),0)</f>
        <v>0</v>
      </c>
      <c r="AW350" s="38">
        <f>IF(Q350="○",IF(SUM(AW$10:AW349)-ROUNDDOWN($K350*AW$5/100,0)&lt;-AW$6,-AW$6-SUM(AW$10:AW349),-ROUNDDOWN($K350*AW$5/100,0)),0)</f>
        <v>0</v>
      </c>
      <c r="AX350" s="38">
        <f>IF(R350="○",IF(SUM(AX$10:AX349)-ROUNDDOWN($K350*AX$5/100,0)&lt;-AX$6,-AX$6-SUM(AX$10:AX349),-ROUNDDOWN($K350*AX$5/100,0)),0)</f>
        <v>0</v>
      </c>
      <c r="AY350" s="70">
        <v>0</v>
      </c>
      <c r="AZ350" s="65">
        <f t="shared" si="250"/>
        <v>0</v>
      </c>
      <c r="BA350" s="65">
        <f t="shared" si="251"/>
        <v>0</v>
      </c>
      <c r="BB350" s="70"/>
      <c r="BC350" s="65">
        <f t="shared" si="252"/>
        <v>0</v>
      </c>
      <c r="BD350" s="70">
        <v>0</v>
      </c>
      <c r="BE350" s="65">
        <f t="shared" si="253"/>
        <v>0</v>
      </c>
      <c r="BF350" s="70">
        <v>0</v>
      </c>
      <c r="BG350" s="65">
        <f t="shared" si="254"/>
        <v>0</v>
      </c>
      <c r="BH350" s="70">
        <v>0</v>
      </c>
      <c r="BI350" s="65">
        <f t="shared" si="255"/>
        <v>0</v>
      </c>
      <c r="BJ350" s="38">
        <f>IF(AND(BJ$7="○",$A350&gt;=BJ$8,$A350&lt;=BJ$9),IF(SUM(BJ$10:BJ349)-ROUNDDOWN($M350*BJ$5/100,0)&lt;-BJ$6,-BJ$6-SUM(BJ$10:BJ349),-ROUNDDOWN($M350*BJ$5/100,0)),0)</f>
        <v>0</v>
      </c>
      <c r="BK350" s="38">
        <f>IF(AND(BK$7="○",$A350&gt;=BK$8,$A350&lt;=BK$9),IF(SUM(BK$10:BK349)-ROUNDDOWN($L350*BK$5/100,0)&lt;-BK$6,-BK$6-SUM(BK$10:BK349),-ROUNDDOWN($L350*BK$5/100,0)),0)</f>
        <v>0</v>
      </c>
      <c r="BL350" s="38">
        <f>IF(AND(BL$7="○",$A350&gt;=BL$8,$A350&lt;=BL$9),IF(SUM(BL$10:BL349)-ROUNDDOWN($L350*BL$5/100,0)&lt;-BL$6,-BL$6-SUM(BL$10:BL349),-ROUNDDOWN($L350*BL$5/100,0)),0)</f>
        <v>0</v>
      </c>
      <c r="BM350" s="38">
        <f>IF(AND(BM$7="○",$A350&gt;=BM$8,$A350&lt;=BM$9),IF(SUM(BM$10:BM349)-ROUNDDOWN($M350*BM$5/100,0)&lt;-BM$6,-BM$6-SUM(BM$10:BM349),-ROUNDDOWN($M350*BM$5/100,0)),0)</f>
        <v>0</v>
      </c>
      <c r="BN350" s="38">
        <f>IF(AND(BN$7="○",$A350&gt;=BN$8,$A350&lt;=BN$9),IF(SUM(BN$10:BN349)-ROUNDDOWN($M350*BN$5/100,0)&lt;-BN$6,-BN$6-SUM(BN$10:BN349),-ROUNDDOWN($M350*BN$5/100,0)),0)</f>
        <v>0</v>
      </c>
      <c r="BO350" s="38">
        <f>IF(AND(BO$7="○",$A350&gt;=BO$8,$A350&lt;=BO$9),IF(SUM(BO$10:BO349)-ROUNDDOWN($M350*BO$5/100,0)&lt;-BO$6,-BO$6-SUM(BO$10:BO349),-ROUNDDOWN($M350*BO$5/100,0)),0)</f>
        <v>0</v>
      </c>
      <c r="BP350" s="38">
        <f>IF(AND(BP$7="○",$A350&gt;=BP$8,$A350&lt;=BP$9),IF(SUM(BP$10:BP349)-ROUNDDOWN($M350*BP$5/100,0)&lt;-BP$6,-BP$6-SUM(BP$10:BP349),-ROUNDDOWN($M350*BP$5/100,0)),0)</f>
        <v>0</v>
      </c>
      <c r="BQ350" s="38">
        <f>IF(AND(BQ$7="○",$A350&gt;=BQ$8,$A350&lt;=BQ$9),IF(SUM(BQ$10:BQ349)-ROUNDDOWN($L350*BQ$5/100,0)&lt;-BQ$6,-BQ$6-SUM(BQ$10:BQ349),-ROUNDDOWN($L350*BQ$5/100,0)),0)</f>
        <v>0</v>
      </c>
      <c r="BR350" s="38">
        <f>IF(AND(BR$7="○",$A350&gt;=BR$8,$A350&lt;=BR$9),IF(SUM(BR$10:BR349)-ROUNDDOWN($M350*BR$5/100,0)&lt;-BR$6,-BR$6-SUM(BR$10:BR349),-ROUNDDOWN($M350*BR$5/100,0)),0)</f>
        <v>0</v>
      </c>
      <c r="BS350" s="38">
        <f>IF(AND(BS$7="○",$A350&gt;=BS$8,$A350&lt;=BS$9),IF(SUM(BS$10:BS349)-ROUNDDOWN($M350*BS$5/100,0)&lt;-BS$6,-BS$6-SUM(BS$10:BS349),-ROUNDDOWN($M350*BS$5/100,0)),0)</f>
        <v>0</v>
      </c>
      <c r="BT350" s="38">
        <f>IF(AND(BT$7="○",$A350&gt;=BT$8,$A350&lt;=BT$9),IF(SUM(BT$10:BT349)-ROUNDDOWN($M350*BT$5/100,0)&lt;-BT$6,-BT$6-SUM(BT$10:BT349),-ROUNDDOWN($M350*BT$5/100,0)),0)</f>
        <v>0</v>
      </c>
      <c r="BU350" s="38">
        <f>IF(AND(BU$7="○",$A350&gt;=BU$8,$A350&lt;=BU$9),IF(SUM(BU$10:BU349)-ROUNDDOWN($M350*BU$5/100,0)&lt;-BU$6,-BU$6-SUM(BU$10:BU349),-ROUNDDOWN($M350*BU$5/100,0)),0)</f>
        <v>0</v>
      </c>
      <c r="BV350" s="38">
        <f>IF(AND(BV$7="○",$A350&gt;=BV$8,$A350&lt;=BV$9),IF(SUM(BV$10:BV349)-ROUNDDOWN($M350*BV$5/100,0)&lt;-BV$6,-BV$6-SUM(BV$10:BV349),-ROUNDDOWN($M350*BV$5/100,0)),0)</f>
        <v>0</v>
      </c>
      <c r="BW350" s="38">
        <f>IF(AND(BW$7="○",$A350&gt;=BW$8,$A350&lt;=BW$9),IF(SUM(BW$10:BW349)-ROUNDDOWN($M350*BW$5/100,0)&lt;-BW$6,-BW$6-SUM(BW$10:BW349),-ROUNDDOWN($M350*BW$5/100,0)),0)</f>
        <v>0</v>
      </c>
      <c r="BX350" s="38">
        <f>IF(AND(T350="○",$A350&gt;=BX$8,$A350&lt;=BX$9),IF(SUM(BX$10:BX349)-ROUNDDOWN($K350*BX$5/100,0)&lt;-BX$6,-BX$6-SUM(BX$10:BX349),-ROUNDDOWN($K350*BX$5/100,0)),0)</f>
        <v>0</v>
      </c>
      <c r="BY350" s="38">
        <f>IF(AND(U350="○",$A350&gt;=BY$8,$A350&lt;=BY$9),IF(SUM(BY$10:BY349)-ROUNDDOWN($K350*BY$5/100,0)&lt;-BY$6,-BY$6-SUM(BY$10:BY349),-ROUNDDOWN($K350*BY$5/100,0)),0)</f>
        <v>0</v>
      </c>
      <c r="BZ350" s="38">
        <f>IF(AND(V350="○",$A350&gt;=BZ$8,$A350&lt;=BZ$9),IF(SUM(BZ$10:BZ349)-ROUNDDOWN($K350*BZ$5/100,0)&lt;-BZ$6,-BZ$6-SUM(BZ$10:BZ349),-ROUNDDOWN($K350*BZ$5/100,0)),0)</f>
        <v>0</v>
      </c>
      <c r="CA350" s="38">
        <f>IF(AND(W350="○",$A350&gt;=CA$8,$A350&lt;=CA$9),IF(SUM(CA$10:CA349)-ROUNDDOWN($K350*CA$5/100,0)&lt;-CA$6,-CA$6-SUM(CA$10:CA349),-ROUNDDOWN($K350*CA$5/100,0)),0)</f>
        <v>0</v>
      </c>
      <c r="CB350" s="38"/>
      <c r="CC350" s="38"/>
      <c r="CD350" s="38"/>
      <c r="CE350" s="38"/>
      <c r="CF350" s="38"/>
      <c r="CG350" s="65">
        <f t="shared" si="256"/>
        <v>0</v>
      </c>
      <c r="CH350" s="71">
        <f t="shared" si="257"/>
        <v>0</v>
      </c>
      <c r="CI350" s="1">
        <f t="shared" si="19"/>
        <v>0</v>
      </c>
      <c r="CJ350" s="1"/>
      <c r="CK350" s="72"/>
      <c r="CL350" s="72"/>
      <c r="CM350" s="2"/>
      <c r="CN350" s="2"/>
      <c r="CO350" s="73">
        <f t="shared" si="20"/>
        <v>0</v>
      </c>
      <c r="CP350" s="5">
        <f t="shared" si="21"/>
        <v>0</v>
      </c>
      <c r="CQ350" s="1"/>
      <c r="CR350" s="1">
        <f t="shared" si="22"/>
        <v>0</v>
      </c>
      <c r="CS350" s="1"/>
      <c r="CT350" s="1" t="e">
        <f>INDEX([2]マスタ!$A:$A,MATCH(D350,[2]マスタ!$C:$C,0))</f>
        <v>#N/A</v>
      </c>
      <c r="CU350" s="1" t="str">
        <f t="shared" ca="1" si="23"/>
        <v>20260620_0-0</v>
      </c>
    </row>
    <row r="351" spans="1:99" x14ac:dyDescent="0.4">
      <c r="A351" s="61"/>
      <c r="B351" s="62"/>
      <c r="C351" s="62"/>
      <c r="D351" s="62"/>
      <c r="E351" s="74"/>
      <c r="F351" s="62"/>
      <c r="G351" s="62">
        <v>1</v>
      </c>
      <c r="H351" s="64">
        <f t="shared" si="4"/>
        <v>0</v>
      </c>
      <c r="I351" s="64"/>
      <c r="J351" s="64"/>
      <c r="K351" s="65">
        <f t="shared" si="258"/>
        <v>0</v>
      </c>
      <c r="L351" s="65">
        <f t="shared" si="6"/>
        <v>0</v>
      </c>
      <c r="M351" s="65">
        <f t="shared" si="7"/>
        <v>0</v>
      </c>
      <c r="N351" s="65">
        <f t="shared" si="8"/>
        <v>0</v>
      </c>
      <c r="O351" s="66" t="str">
        <f t="shared" si="259"/>
        <v>✕</v>
      </c>
      <c r="P351" s="67" t="str">
        <f t="shared" si="260"/>
        <v>○</v>
      </c>
      <c r="Q351" s="67" t="str">
        <f t="shared" si="261"/>
        <v>✕</v>
      </c>
      <c r="R351" s="67" t="str">
        <f t="shared" si="262"/>
        <v>✕</v>
      </c>
      <c r="S351" s="68">
        <v>0</v>
      </c>
      <c r="T351" s="69" t="s">
        <v>85</v>
      </c>
      <c r="U351" s="69" t="s">
        <v>85</v>
      </c>
      <c r="V351" s="69" t="s">
        <v>85</v>
      </c>
      <c r="W351" s="69" t="s">
        <v>85</v>
      </c>
      <c r="X351" s="69" t="s">
        <v>84</v>
      </c>
      <c r="Y351" s="69" t="s">
        <v>85</v>
      </c>
      <c r="Z351" s="69" t="s">
        <v>85</v>
      </c>
      <c r="AA351" s="69" t="s">
        <v>85</v>
      </c>
      <c r="AB351" s="69" t="s">
        <v>85</v>
      </c>
      <c r="AC351" s="69" t="s">
        <v>85</v>
      </c>
      <c r="AD351" s="38" t="str">
        <f>+IF(ISERROR(VLOOKUP($B351,AD$10:AD350,1,0)),IF(AND($N351&gt;=1000,$A351&gt;=AO$8,$A351&lt;=AO$9),$B351,""),"")</f>
        <v/>
      </c>
      <c r="AE351" s="38" t="str">
        <f>+IF(ISERROR(VLOOKUP($B351,AE$10:AE350,1,0)),IF(AND($N351&gt;=1000,$A351&gt;=AP$8,$A351&lt;=AP$9),$B351,""),"")</f>
        <v/>
      </c>
      <c r="AF351" s="38" t="str">
        <f>+IF(ISERROR(VLOOKUP($B351,AF$10:AF350,1,0)),IF(AND($N351&gt;=1000,$A351&gt;=AQ$8,$A351&lt;=AQ$9),$B351,""),"")</f>
        <v/>
      </c>
      <c r="AG351" s="38" t="str">
        <f>+IF(ISERROR(VLOOKUP($B351,AG$10:AG350,1,0)),IF(AND($N351&gt;=1000,$A351&gt;=AR$8,$A351&lt;=AR$9),$B351,""),"")</f>
        <v/>
      </c>
      <c r="AH351" s="38"/>
      <c r="AI351" s="70">
        <v>0</v>
      </c>
      <c r="AJ351" s="38">
        <f>IF(AND(AJ$7="○",$A351&gt;=AJ$8,$A351&lt;=AJ$9),IF(SUM(AJ$10:AJ350)-ROUNDDOWN($K351*AJ$5/100,0)&lt;-AJ$6,-AJ$6-SUM(AJ$10:AJ350),-ROUNDDOWN($K351*AJ$5/100,0)),0)</f>
        <v>0</v>
      </c>
      <c r="AK351" s="38">
        <f>IF(AND(AK$7="○",$A351&gt;=AK$8,$A351&lt;=AK$9),IF(SUM(AK$10:AK350)-ROUNDDOWN($L351*AK$5/100,0)&lt;-AK$6,-AK$6-SUM(AK$10:AK350),-ROUNDDOWN($L351*AK$5/100,0)),0)</f>
        <v>0</v>
      </c>
      <c r="AL351" s="38">
        <f>IF(AND(AL$7="○",$A351&gt;=AL$8,$A351&lt;=AL$9),IF(SUM(AL$10:AL350)-ROUNDDOWN($N351*AL$5/100,0)&lt;-AL$6,-AL$6-SUM(AL$10:AL350),-ROUNDDOWN($N351*AL$5/100,0)),0)</f>
        <v>0</v>
      </c>
      <c r="AM351" s="38">
        <f>IF(AND(AM$7="○",$A351&gt;=AM$8,$A351&lt;=AM$9),IF(SUM(AM$10:AM350)-ROUNDDOWN($L351*AM$5/100,0)&lt;-AM$6,-AM$6-SUM(AM$10:AM350),-ROUNDDOWN($L351*AM$5/100,0)),0)</f>
        <v>0</v>
      </c>
      <c r="AN351" s="38">
        <f>IF(AND(AN$7="○",$A351&gt;=AN$8,$A351&lt;=AN$9),IF(SUM(AN$10:AN350)-ROUNDDOWN($M351*AN$5/100,0)&lt;-AN$6,-AN$6-SUM(AN$10:AN350),-ROUNDDOWN($M351*AN$5/100,0)),0)</f>
        <v>0</v>
      </c>
      <c r="AO351" s="38">
        <f>IF(AND($A351&gt;=AO$8,$A351&lt;=AO$9),IF(SUM(AO$10:AO350)-ROUNDDOWN($K351*AO$5/100,0)&lt;-AO$6,-AO$6-SUM(AO$10:AO350),-ROUNDDOWN($K351*AO$5/100,0)),0)</f>
        <v>0</v>
      </c>
      <c r="AP351" s="38">
        <f>IF(AND($A351&gt;=AP$8,$A351&lt;=AP$9),IF(SUM(AP$10:AP350)-ROUNDDOWN($K351*AP$5/100,0)&lt;-AP$6,-AP$6-SUM(AP$10:AP350),-ROUNDDOWN($K351*AP$5/100,0)),0)</f>
        <v>0</v>
      </c>
      <c r="AQ351" s="38">
        <f>IF(AND($A351&gt;=AQ$8,$A351&lt;=AQ$9),IF(SUM(AQ$10:AQ350)-ROUNDDOWN($K351*AQ$5/100,0)&lt;-AQ$6,-AQ$6-SUM(AQ$10:AQ350),-ROUNDDOWN($K351*AQ$5/100,0)),0)</f>
        <v>0</v>
      </c>
      <c r="AR351" s="38">
        <f>IF(AND($A351&gt;=AR$8,$A351&lt;=AR$9),IF(SUM(AR$10:AR350)-ROUNDDOWN($K351*AR$5/100,0)&lt;-AR$6,-AR$6-SUM(AR$10:AR350),-ROUNDDOWN($K351*AR$5/100,0)),0)</f>
        <v>0</v>
      </c>
      <c r="AS351" s="38">
        <f>IF(SUMIFS(AS$10:AS350,$A$10:$A350,$A351)-ROUNDDOWN($K351*$S351/100,0)&lt;-$S351*1000,-$S351*1000-SUMIFS(AS$10:AS350,$A$10:$A350,$A351),-ROUNDDOWN($K351*$S351/100,0))</f>
        <v>0</v>
      </c>
      <c r="AT351" s="38">
        <f>IF(AND(X351="○",$A351&gt;=AT$8,$A351&lt;=AT$9,K351&gt;=3980),IF(SUM(AT$10:AT350)-ROUNDDOWN($K351*AT$5/100,0)&lt;-AT$6,-AT$6-SUM(AT$10:AT350),-ROUNDDOWN($K351*AT$5/100,0)),0)</f>
        <v>0</v>
      </c>
      <c r="AU351" s="38">
        <f>IF(O351="○",IF(SUM(AU$10:AU350)-ROUNDDOWN($K351*AU$5/100,0)&lt;-AU$6,-AU$6-SUM(AU$10:AU350),-ROUNDDOWN($K351*AU$5/100,0)),0)</f>
        <v>0</v>
      </c>
      <c r="AV351" s="38">
        <f>IF(P351="○",IF(SUM(AV$10:AV350)-ROUNDDOWN($K351*AV$5/100,0)&lt;-AV$6,-AV$6-SUM(AV$10:AV350),-ROUNDDOWN($K351*AV$5/100,0)),0)</f>
        <v>0</v>
      </c>
      <c r="AW351" s="38">
        <f>IF(Q351="○",IF(SUM(AW$10:AW350)-ROUNDDOWN($K351*AW$5/100,0)&lt;-AW$6,-AW$6-SUM(AW$10:AW350),-ROUNDDOWN($K351*AW$5/100,0)),0)</f>
        <v>0</v>
      </c>
      <c r="AX351" s="38">
        <f>IF(R351="○",IF(SUM(AX$10:AX350)-ROUNDDOWN($K351*AX$5/100,0)&lt;-AX$6,-AX$6-SUM(AX$10:AX350),-ROUNDDOWN($K351*AX$5/100,0)),0)</f>
        <v>0</v>
      </c>
      <c r="AY351" s="70">
        <v>0</v>
      </c>
      <c r="AZ351" s="65">
        <f t="shared" si="250"/>
        <v>0</v>
      </c>
      <c r="BA351" s="65">
        <f t="shared" si="251"/>
        <v>0</v>
      </c>
      <c r="BB351" s="70"/>
      <c r="BC351" s="65">
        <f t="shared" si="252"/>
        <v>0</v>
      </c>
      <c r="BD351" s="70">
        <v>0</v>
      </c>
      <c r="BE351" s="65">
        <f t="shared" si="253"/>
        <v>0</v>
      </c>
      <c r="BF351" s="70">
        <v>0</v>
      </c>
      <c r="BG351" s="65">
        <f t="shared" si="254"/>
        <v>0</v>
      </c>
      <c r="BH351" s="70">
        <v>0</v>
      </c>
      <c r="BI351" s="65">
        <f t="shared" si="255"/>
        <v>0</v>
      </c>
      <c r="BJ351" s="38">
        <f>IF(AND(BJ$7="○",$A351&gt;=BJ$8,$A351&lt;=BJ$9),IF(SUM(BJ$10:BJ350)-ROUNDDOWN($M351*BJ$5/100,0)&lt;-BJ$6,-BJ$6-SUM(BJ$10:BJ350),-ROUNDDOWN($M351*BJ$5/100,0)),0)</f>
        <v>0</v>
      </c>
      <c r="BK351" s="38">
        <f>IF(AND(BK$7="○",$A351&gt;=BK$8,$A351&lt;=BK$9),IF(SUM(BK$10:BK350)-ROUNDDOWN($L351*BK$5/100,0)&lt;-BK$6,-BK$6-SUM(BK$10:BK350),-ROUNDDOWN($L351*BK$5/100,0)),0)</f>
        <v>0</v>
      </c>
      <c r="BL351" s="38">
        <f>IF(AND(BL$7="○",$A351&gt;=BL$8,$A351&lt;=BL$9),IF(SUM(BL$10:BL350)-ROUNDDOWN($L351*BL$5/100,0)&lt;-BL$6,-BL$6-SUM(BL$10:BL350),-ROUNDDOWN($L351*BL$5/100,0)),0)</f>
        <v>0</v>
      </c>
      <c r="BM351" s="38">
        <f>IF(AND(BM$7="○",$A351&gt;=BM$8,$A351&lt;=BM$9),IF(SUM(BM$10:BM350)-ROUNDDOWN($M351*BM$5/100,0)&lt;-BM$6,-BM$6-SUM(BM$10:BM350),-ROUNDDOWN($M351*BM$5/100,0)),0)</f>
        <v>0</v>
      </c>
      <c r="BN351" s="38">
        <f>IF(AND(BN$7="○",$A351&gt;=BN$8,$A351&lt;=BN$9),IF(SUM(BN$10:BN350)-ROUNDDOWN($M351*BN$5/100,0)&lt;-BN$6,-BN$6-SUM(BN$10:BN350),-ROUNDDOWN($M351*BN$5/100,0)),0)</f>
        <v>0</v>
      </c>
      <c r="BO351" s="38">
        <f>IF(AND(BO$7="○",$A351&gt;=BO$8,$A351&lt;=BO$9),IF(SUM(BO$10:BO350)-ROUNDDOWN($M351*BO$5/100,0)&lt;-BO$6,-BO$6-SUM(BO$10:BO350),-ROUNDDOWN($M351*BO$5/100,0)),0)</f>
        <v>0</v>
      </c>
      <c r="BP351" s="38">
        <f>IF(AND(BP$7="○",$A351&gt;=BP$8,$A351&lt;=BP$9),IF(SUM(BP$10:BP350)-ROUNDDOWN($M351*BP$5/100,0)&lt;-BP$6,-BP$6-SUM(BP$10:BP350),-ROUNDDOWN($M351*BP$5/100,0)),0)</f>
        <v>0</v>
      </c>
      <c r="BQ351" s="38">
        <f>IF(AND(BQ$7="○",$A351&gt;=BQ$8,$A351&lt;=BQ$9),IF(SUM(BQ$10:BQ350)-ROUNDDOWN($L351*BQ$5/100,0)&lt;-BQ$6,-BQ$6-SUM(BQ$10:BQ350),-ROUNDDOWN($L351*BQ$5/100,0)),0)</f>
        <v>0</v>
      </c>
      <c r="BR351" s="38">
        <f>IF(AND(BR$7="○",$A351&gt;=BR$8,$A351&lt;=BR$9),IF(SUM(BR$10:BR350)-ROUNDDOWN($M351*BR$5/100,0)&lt;-BR$6,-BR$6-SUM(BR$10:BR350),-ROUNDDOWN($M351*BR$5/100,0)),0)</f>
        <v>0</v>
      </c>
      <c r="BS351" s="38">
        <f>IF(AND(BS$7="○",$A351&gt;=BS$8,$A351&lt;=BS$9),IF(SUM(BS$10:BS350)-ROUNDDOWN($M351*BS$5/100,0)&lt;-BS$6,-BS$6-SUM(BS$10:BS350),-ROUNDDOWN($M351*BS$5/100,0)),0)</f>
        <v>0</v>
      </c>
      <c r="BT351" s="38">
        <f>IF(AND(BT$7="○",$A351&gt;=BT$8,$A351&lt;=BT$9),IF(SUM(BT$10:BT350)-ROUNDDOWN($M351*BT$5/100,0)&lt;-BT$6,-BT$6-SUM(BT$10:BT350),-ROUNDDOWN($M351*BT$5/100,0)),0)</f>
        <v>0</v>
      </c>
      <c r="BU351" s="38">
        <f>IF(AND(BU$7="○",$A351&gt;=BU$8,$A351&lt;=BU$9),IF(SUM(BU$10:BU350)-ROUNDDOWN($M351*BU$5/100,0)&lt;-BU$6,-BU$6-SUM(BU$10:BU350),-ROUNDDOWN($M351*BU$5/100,0)),0)</f>
        <v>0</v>
      </c>
      <c r="BV351" s="38">
        <f>IF(AND(BV$7="○",$A351&gt;=BV$8,$A351&lt;=BV$9),IF(SUM(BV$10:BV350)-ROUNDDOWN($M351*BV$5/100,0)&lt;-BV$6,-BV$6-SUM(BV$10:BV350),-ROUNDDOWN($M351*BV$5/100,0)),0)</f>
        <v>0</v>
      </c>
      <c r="BW351" s="38">
        <f>IF(AND(BW$7="○",$A351&gt;=BW$8,$A351&lt;=BW$9),IF(SUM(BW$10:BW350)-ROUNDDOWN($M351*BW$5/100,0)&lt;-BW$6,-BW$6-SUM(BW$10:BW350),-ROUNDDOWN($M351*BW$5/100,0)),0)</f>
        <v>0</v>
      </c>
      <c r="BX351" s="38">
        <f>IF(AND(T351="○",$A351&gt;=BX$8,$A351&lt;=BX$9),IF(SUM(BX$10:BX350)-ROUNDDOWN($K351*BX$5/100,0)&lt;-BX$6,-BX$6-SUM(BX$10:BX350),-ROUNDDOWN($K351*BX$5/100,0)),0)</f>
        <v>0</v>
      </c>
      <c r="BY351" s="38">
        <f>IF(AND(U351="○",$A351&gt;=BY$8,$A351&lt;=BY$9),IF(SUM(BY$10:BY350)-ROUNDDOWN($K351*BY$5/100,0)&lt;-BY$6,-BY$6-SUM(BY$10:BY350),-ROUNDDOWN($K351*BY$5/100,0)),0)</f>
        <v>0</v>
      </c>
      <c r="BZ351" s="38">
        <f>IF(AND(V351="○",$A351&gt;=BZ$8,$A351&lt;=BZ$9),IF(SUM(BZ$10:BZ350)-ROUNDDOWN($K351*BZ$5/100,0)&lt;-BZ$6,-BZ$6-SUM(BZ$10:BZ350),-ROUNDDOWN($K351*BZ$5/100,0)),0)</f>
        <v>0</v>
      </c>
      <c r="CA351" s="38">
        <f>IF(AND(W351="○",$A351&gt;=CA$8,$A351&lt;=CA$9),IF(SUM(CA$10:CA350)-ROUNDDOWN($K351*CA$5/100,0)&lt;-CA$6,-CA$6-SUM(CA$10:CA350),-ROUNDDOWN($K351*CA$5/100,0)),0)</f>
        <v>0</v>
      </c>
      <c r="CB351" s="38"/>
      <c r="CC351" s="38"/>
      <c r="CD351" s="38"/>
      <c r="CE351" s="38"/>
      <c r="CF351" s="38"/>
      <c r="CG351" s="65">
        <f t="shared" si="256"/>
        <v>0</v>
      </c>
      <c r="CH351" s="71">
        <f t="shared" si="257"/>
        <v>0</v>
      </c>
      <c r="CI351" s="1">
        <f t="shared" si="19"/>
        <v>0</v>
      </c>
      <c r="CJ351" s="1"/>
      <c r="CK351" s="72"/>
      <c r="CL351" s="72"/>
      <c r="CM351" s="2"/>
      <c r="CN351" s="2"/>
      <c r="CO351" s="73">
        <f t="shared" si="20"/>
        <v>0</v>
      </c>
      <c r="CP351" s="5">
        <f t="shared" si="21"/>
        <v>0</v>
      </c>
      <c r="CQ351" s="1"/>
      <c r="CR351" s="1">
        <f t="shared" si="22"/>
        <v>0</v>
      </c>
      <c r="CS351" s="1"/>
      <c r="CT351" s="1" t="e">
        <f>INDEX([2]マスタ!$A:$A,MATCH(D351,[2]マスタ!$C:$C,0))</f>
        <v>#N/A</v>
      </c>
      <c r="CU351" s="1" t="str">
        <f t="shared" ca="1" si="23"/>
        <v>20260620_0-0</v>
      </c>
    </row>
    <row r="352" spans="1:99" x14ac:dyDescent="0.4">
      <c r="A352" s="61"/>
      <c r="B352" s="62"/>
      <c r="C352" s="62"/>
      <c r="D352" s="62"/>
      <c r="E352" s="74"/>
      <c r="F352" s="62"/>
      <c r="G352" s="62">
        <v>1</v>
      </c>
      <c r="H352" s="64">
        <f t="shared" si="4"/>
        <v>0</v>
      </c>
      <c r="I352" s="64"/>
      <c r="J352" s="64"/>
      <c r="K352" s="65">
        <f t="shared" si="258"/>
        <v>0</v>
      </c>
      <c r="L352" s="65">
        <f t="shared" si="6"/>
        <v>0</v>
      </c>
      <c r="M352" s="65">
        <f t="shared" si="7"/>
        <v>0</v>
      </c>
      <c r="N352" s="65">
        <f t="shared" si="8"/>
        <v>0</v>
      </c>
      <c r="O352" s="66" t="str">
        <f t="shared" si="259"/>
        <v>✕</v>
      </c>
      <c r="P352" s="67" t="str">
        <f t="shared" si="260"/>
        <v>○</v>
      </c>
      <c r="Q352" s="67" t="str">
        <f t="shared" si="261"/>
        <v>✕</v>
      </c>
      <c r="R352" s="67" t="str">
        <f t="shared" si="262"/>
        <v>✕</v>
      </c>
      <c r="S352" s="68">
        <v>0</v>
      </c>
      <c r="T352" s="69" t="s">
        <v>85</v>
      </c>
      <c r="U352" s="69" t="s">
        <v>85</v>
      </c>
      <c r="V352" s="69" t="s">
        <v>85</v>
      </c>
      <c r="W352" s="69" t="s">
        <v>85</v>
      </c>
      <c r="X352" s="69" t="s">
        <v>84</v>
      </c>
      <c r="Y352" s="69" t="s">
        <v>85</v>
      </c>
      <c r="Z352" s="69" t="s">
        <v>85</v>
      </c>
      <c r="AA352" s="69" t="s">
        <v>85</v>
      </c>
      <c r="AB352" s="69" t="s">
        <v>85</v>
      </c>
      <c r="AC352" s="69" t="s">
        <v>85</v>
      </c>
      <c r="AD352" s="38" t="str">
        <f>+IF(ISERROR(VLOOKUP($B352,AD$10:AD351,1,0)),IF(AND($N352&gt;=1000,$A352&gt;=AO$8,$A352&lt;=AO$9),$B352,""),"")</f>
        <v/>
      </c>
      <c r="AE352" s="38" t="str">
        <f>+IF(ISERROR(VLOOKUP($B352,AE$10:AE351,1,0)),IF(AND($N352&gt;=1000,$A352&gt;=AP$8,$A352&lt;=AP$9),$B352,""),"")</f>
        <v/>
      </c>
      <c r="AF352" s="38" t="str">
        <f>+IF(ISERROR(VLOOKUP($B352,AF$10:AF351,1,0)),IF(AND($N352&gt;=1000,$A352&gt;=AQ$8,$A352&lt;=AQ$9),$B352,""),"")</f>
        <v/>
      </c>
      <c r="AG352" s="38" t="str">
        <f>+IF(ISERROR(VLOOKUP($B352,AG$10:AG351,1,0)),IF(AND($N352&gt;=1000,$A352&gt;=AR$8,$A352&lt;=AR$9),$B352,""),"")</f>
        <v/>
      </c>
      <c r="AH352" s="38"/>
      <c r="AI352" s="70">
        <v>0</v>
      </c>
      <c r="AJ352" s="38">
        <f>IF(AND(AJ$7="○",$A352&gt;=AJ$8,$A352&lt;=AJ$9),IF(SUM(AJ$10:AJ351)-ROUNDDOWN($K352*AJ$5/100,0)&lt;-AJ$6,-AJ$6-SUM(AJ$10:AJ351),-ROUNDDOWN($K352*AJ$5/100,0)),0)</f>
        <v>0</v>
      </c>
      <c r="AK352" s="38">
        <f>IF(AND(AK$7="○",$A352&gt;=AK$8,$A352&lt;=AK$9),IF(SUM(AK$10:AK351)-ROUNDDOWN($L352*AK$5/100,0)&lt;-AK$6,-AK$6-SUM(AK$10:AK351),-ROUNDDOWN($L352*AK$5/100,0)),0)</f>
        <v>0</v>
      </c>
      <c r="AL352" s="38">
        <f>IF(AND(AL$7="○",$A352&gt;=AL$8,$A352&lt;=AL$9),IF(SUM(AL$10:AL351)-ROUNDDOWN($N352*AL$5/100,0)&lt;-AL$6,-AL$6-SUM(AL$10:AL351),-ROUNDDOWN($N352*AL$5/100,0)),0)</f>
        <v>0</v>
      </c>
      <c r="AM352" s="38">
        <f>IF(AND(AM$7="○",$A352&gt;=AM$8,$A352&lt;=AM$9),IF(SUM(AM$10:AM351)-ROUNDDOWN($L352*AM$5/100,0)&lt;-AM$6,-AM$6-SUM(AM$10:AM351),-ROUNDDOWN($L352*AM$5/100,0)),0)</f>
        <v>0</v>
      </c>
      <c r="AN352" s="38">
        <f>IF(AND(AN$7="○",$A352&gt;=AN$8,$A352&lt;=AN$9),IF(SUM(AN$10:AN351)-ROUNDDOWN($M352*AN$5/100,0)&lt;-AN$6,-AN$6-SUM(AN$10:AN351),-ROUNDDOWN($M352*AN$5/100,0)),0)</f>
        <v>0</v>
      </c>
      <c r="AO352" s="38">
        <f>IF(AND($A352&gt;=AO$8,$A352&lt;=AO$9),IF(SUM(AO$10:AO351)-ROUNDDOWN($K352*AO$5/100,0)&lt;-AO$6,-AO$6-SUM(AO$10:AO351),-ROUNDDOWN($K352*AO$5/100,0)),0)</f>
        <v>0</v>
      </c>
      <c r="AP352" s="38">
        <f>IF(AND($A352&gt;=AP$8,$A352&lt;=AP$9),IF(SUM(AP$10:AP351)-ROUNDDOWN($K352*AP$5/100,0)&lt;-AP$6,-AP$6-SUM(AP$10:AP351),-ROUNDDOWN($K352*AP$5/100,0)),0)</f>
        <v>0</v>
      </c>
      <c r="AQ352" s="38">
        <f>IF(AND($A352&gt;=AQ$8,$A352&lt;=AQ$9),IF(SUM(AQ$10:AQ351)-ROUNDDOWN($K352*AQ$5/100,0)&lt;-AQ$6,-AQ$6-SUM(AQ$10:AQ351),-ROUNDDOWN($K352*AQ$5/100,0)),0)</f>
        <v>0</v>
      </c>
      <c r="AR352" s="38">
        <f>IF(AND($A352&gt;=AR$8,$A352&lt;=AR$9),IF(SUM(AR$10:AR351)-ROUNDDOWN($K352*AR$5/100,0)&lt;-AR$6,-AR$6-SUM(AR$10:AR351),-ROUNDDOWN($K352*AR$5/100,0)),0)</f>
        <v>0</v>
      </c>
      <c r="AS352" s="38">
        <f>IF(SUMIFS(AS$10:AS351,$A$10:$A351,$A352)-ROUNDDOWN($K352*$S352/100,0)&lt;-$S352*1000,-$S352*1000-SUMIFS(AS$10:AS351,$A$10:$A351,$A352),-ROUNDDOWN($K352*$S352/100,0))</f>
        <v>0</v>
      </c>
      <c r="AT352" s="38">
        <f>IF(AND(X352="○",$A352&gt;=AT$8,$A352&lt;=AT$9,K352&gt;=3980),IF(SUM(AT$10:AT351)-ROUNDDOWN($K352*AT$5/100,0)&lt;-AT$6,-AT$6-SUM(AT$10:AT351),-ROUNDDOWN($K352*AT$5/100,0)),0)</f>
        <v>0</v>
      </c>
      <c r="AU352" s="38">
        <f>IF(O352="○",IF(SUM(AU$10:AU351)-ROUNDDOWN($K352*AU$5/100,0)&lt;-AU$6,-AU$6-SUM(AU$10:AU351),-ROUNDDOWN($K352*AU$5/100,0)),0)</f>
        <v>0</v>
      </c>
      <c r="AV352" s="38">
        <f>IF(P352="○",IF(SUM(AV$10:AV351)-ROUNDDOWN($K352*AV$5/100,0)&lt;-AV$6,-AV$6-SUM(AV$10:AV351),-ROUNDDOWN($K352*AV$5/100,0)),0)</f>
        <v>0</v>
      </c>
      <c r="AW352" s="38">
        <f>IF(Q352="○",IF(SUM(AW$10:AW351)-ROUNDDOWN($K352*AW$5/100,0)&lt;-AW$6,-AW$6-SUM(AW$10:AW351),-ROUNDDOWN($K352*AW$5/100,0)),0)</f>
        <v>0</v>
      </c>
      <c r="AX352" s="38">
        <f>IF(R352="○",IF(SUM(AX$10:AX351)-ROUNDDOWN($K352*AX$5/100,0)&lt;-AX$6,-AX$6-SUM(AX$10:AX351),-ROUNDDOWN($K352*AX$5/100,0)),0)</f>
        <v>0</v>
      </c>
      <c r="AY352" s="70">
        <v>0</v>
      </c>
      <c r="AZ352" s="65">
        <f t="shared" si="250"/>
        <v>0</v>
      </c>
      <c r="BA352" s="65">
        <f t="shared" si="251"/>
        <v>0</v>
      </c>
      <c r="BB352" s="70"/>
      <c r="BC352" s="65">
        <f t="shared" si="252"/>
        <v>0</v>
      </c>
      <c r="BD352" s="70">
        <v>0</v>
      </c>
      <c r="BE352" s="65">
        <f t="shared" si="253"/>
        <v>0</v>
      </c>
      <c r="BF352" s="70">
        <v>0</v>
      </c>
      <c r="BG352" s="65">
        <f t="shared" si="254"/>
        <v>0</v>
      </c>
      <c r="BH352" s="70">
        <v>0</v>
      </c>
      <c r="BI352" s="65">
        <f t="shared" si="255"/>
        <v>0</v>
      </c>
      <c r="BJ352" s="38">
        <f>IF(AND(BJ$7="○",$A352&gt;=BJ$8,$A352&lt;=BJ$9),IF(SUM(BJ$10:BJ351)-ROUNDDOWN($M352*BJ$5/100,0)&lt;-BJ$6,-BJ$6-SUM(BJ$10:BJ351),-ROUNDDOWN($M352*BJ$5/100,0)),0)</f>
        <v>0</v>
      </c>
      <c r="BK352" s="38">
        <f>IF(AND(BK$7="○",$A352&gt;=BK$8,$A352&lt;=BK$9),IF(SUM(BK$10:BK351)-ROUNDDOWN($L352*BK$5/100,0)&lt;-BK$6,-BK$6-SUM(BK$10:BK351),-ROUNDDOWN($L352*BK$5/100,0)),0)</f>
        <v>0</v>
      </c>
      <c r="BL352" s="38">
        <f>IF(AND(BL$7="○",$A352&gt;=BL$8,$A352&lt;=BL$9),IF(SUM(BL$10:BL351)-ROUNDDOWN($L352*BL$5/100,0)&lt;-BL$6,-BL$6-SUM(BL$10:BL351),-ROUNDDOWN($L352*BL$5/100,0)),0)</f>
        <v>0</v>
      </c>
      <c r="BM352" s="38">
        <f>IF(AND(BM$7="○",$A352&gt;=BM$8,$A352&lt;=BM$9),IF(SUM(BM$10:BM351)-ROUNDDOWN($M352*BM$5/100,0)&lt;-BM$6,-BM$6-SUM(BM$10:BM351),-ROUNDDOWN($M352*BM$5/100,0)),0)</f>
        <v>0</v>
      </c>
      <c r="BN352" s="38">
        <f>IF(AND(BN$7="○",$A352&gt;=BN$8,$A352&lt;=BN$9),IF(SUM(BN$10:BN351)-ROUNDDOWN($M352*BN$5/100,0)&lt;-BN$6,-BN$6-SUM(BN$10:BN351),-ROUNDDOWN($M352*BN$5/100,0)),0)</f>
        <v>0</v>
      </c>
      <c r="BO352" s="38">
        <f>IF(AND(BO$7="○",$A352&gt;=BO$8,$A352&lt;=BO$9),IF(SUM(BO$10:BO351)-ROUNDDOWN($M352*BO$5/100,0)&lt;-BO$6,-BO$6-SUM(BO$10:BO351),-ROUNDDOWN($M352*BO$5/100,0)),0)</f>
        <v>0</v>
      </c>
      <c r="BP352" s="38">
        <f>IF(AND(BP$7="○",$A352&gt;=BP$8,$A352&lt;=BP$9),IF(SUM(BP$10:BP351)-ROUNDDOWN($M352*BP$5/100,0)&lt;-BP$6,-BP$6-SUM(BP$10:BP351),-ROUNDDOWN($M352*BP$5/100,0)),0)</f>
        <v>0</v>
      </c>
      <c r="BQ352" s="38">
        <f>IF(AND(BQ$7="○",$A352&gt;=BQ$8,$A352&lt;=BQ$9),IF(SUM(BQ$10:BQ351)-ROUNDDOWN($L352*BQ$5/100,0)&lt;-BQ$6,-BQ$6-SUM(BQ$10:BQ351),-ROUNDDOWN($L352*BQ$5/100,0)),0)</f>
        <v>0</v>
      </c>
      <c r="BR352" s="38">
        <f>IF(AND(BR$7="○",$A352&gt;=BR$8,$A352&lt;=BR$9),IF(SUM(BR$10:BR351)-ROUNDDOWN($M352*BR$5/100,0)&lt;-BR$6,-BR$6-SUM(BR$10:BR351),-ROUNDDOWN($M352*BR$5/100,0)),0)</f>
        <v>0</v>
      </c>
      <c r="BS352" s="38">
        <f>IF(AND(BS$7="○",$A352&gt;=BS$8,$A352&lt;=BS$9),IF(SUM(BS$10:BS351)-ROUNDDOWN($M352*BS$5/100,0)&lt;-BS$6,-BS$6-SUM(BS$10:BS351),-ROUNDDOWN($M352*BS$5/100,0)),0)</f>
        <v>0</v>
      </c>
      <c r="BT352" s="38">
        <f>IF(AND(BT$7="○",$A352&gt;=BT$8,$A352&lt;=BT$9),IF(SUM(BT$10:BT351)-ROUNDDOWN($M352*BT$5/100,0)&lt;-BT$6,-BT$6-SUM(BT$10:BT351),-ROUNDDOWN($M352*BT$5/100,0)),0)</f>
        <v>0</v>
      </c>
      <c r="BU352" s="38">
        <f>IF(AND(BU$7="○",$A352&gt;=BU$8,$A352&lt;=BU$9),IF(SUM(BU$10:BU351)-ROUNDDOWN($M352*BU$5/100,0)&lt;-BU$6,-BU$6-SUM(BU$10:BU351),-ROUNDDOWN($M352*BU$5/100,0)),0)</f>
        <v>0</v>
      </c>
      <c r="BV352" s="38">
        <f>IF(AND(BV$7="○",$A352&gt;=BV$8,$A352&lt;=BV$9),IF(SUM(BV$10:BV351)-ROUNDDOWN($M352*BV$5/100,0)&lt;-BV$6,-BV$6-SUM(BV$10:BV351),-ROUNDDOWN($M352*BV$5/100,0)),0)</f>
        <v>0</v>
      </c>
      <c r="BW352" s="38">
        <f>IF(AND(BW$7="○",$A352&gt;=BW$8,$A352&lt;=BW$9),IF(SUM(BW$10:BW351)-ROUNDDOWN($M352*BW$5/100,0)&lt;-BW$6,-BW$6-SUM(BW$10:BW351),-ROUNDDOWN($M352*BW$5/100,0)),0)</f>
        <v>0</v>
      </c>
      <c r="BX352" s="38">
        <f>IF(AND(T352="○",$A352&gt;=BX$8,$A352&lt;=BX$9),IF(SUM(BX$10:BX351)-ROUNDDOWN($K352*BX$5/100,0)&lt;-BX$6,-BX$6-SUM(BX$10:BX351),-ROUNDDOWN($K352*BX$5/100,0)),0)</f>
        <v>0</v>
      </c>
      <c r="BY352" s="38">
        <f>IF(AND(U352="○",$A352&gt;=BY$8,$A352&lt;=BY$9),IF(SUM(BY$10:BY351)-ROUNDDOWN($K352*BY$5/100,0)&lt;-BY$6,-BY$6-SUM(BY$10:BY351),-ROUNDDOWN($K352*BY$5/100,0)),0)</f>
        <v>0</v>
      </c>
      <c r="BZ352" s="38">
        <f>IF(AND(V352="○",$A352&gt;=BZ$8,$A352&lt;=BZ$9),IF(SUM(BZ$10:BZ351)-ROUNDDOWN($K352*BZ$5/100,0)&lt;-BZ$6,-BZ$6-SUM(BZ$10:BZ351),-ROUNDDOWN($K352*BZ$5/100,0)),0)</f>
        <v>0</v>
      </c>
      <c r="CA352" s="38">
        <f>IF(AND(W352="○",$A352&gt;=CA$8,$A352&lt;=CA$9),IF(SUM(CA$10:CA351)-ROUNDDOWN($K352*CA$5/100,0)&lt;-CA$6,-CA$6-SUM(CA$10:CA351),-ROUNDDOWN($K352*CA$5/100,0)),0)</f>
        <v>0</v>
      </c>
      <c r="CB352" s="38"/>
      <c r="CC352" s="38"/>
      <c r="CD352" s="38"/>
      <c r="CE352" s="38"/>
      <c r="CF352" s="38"/>
      <c r="CG352" s="65">
        <f t="shared" si="256"/>
        <v>0</v>
      </c>
      <c r="CH352" s="71">
        <f t="shared" si="257"/>
        <v>0</v>
      </c>
      <c r="CI352" s="1">
        <f t="shared" si="19"/>
        <v>0</v>
      </c>
      <c r="CJ352" s="1"/>
      <c r="CK352" s="72"/>
      <c r="CL352" s="72"/>
      <c r="CM352" s="2"/>
      <c r="CN352" s="2"/>
      <c r="CO352" s="73">
        <f t="shared" si="20"/>
        <v>0</v>
      </c>
      <c r="CP352" s="5">
        <f t="shared" si="21"/>
        <v>0</v>
      </c>
      <c r="CQ352" s="1"/>
      <c r="CR352" s="1">
        <f t="shared" si="22"/>
        <v>0</v>
      </c>
      <c r="CS352" s="1"/>
      <c r="CT352" s="1" t="e">
        <f>INDEX([2]マスタ!$A:$A,MATCH(D352,[2]マスタ!$C:$C,0))</f>
        <v>#N/A</v>
      </c>
      <c r="CU352" s="1" t="str">
        <f t="shared" ca="1" si="23"/>
        <v>20260620_0-0</v>
      </c>
    </row>
    <row r="353" spans="1:99" x14ac:dyDescent="0.4">
      <c r="A353" s="61"/>
      <c r="B353" s="62"/>
      <c r="C353" s="62"/>
      <c r="D353" s="62"/>
      <c r="E353" s="74"/>
      <c r="F353" s="62"/>
      <c r="G353" s="62">
        <v>1</v>
      </c>
      <c r="H353" s="64">
        <f t="shared" si="4"/>
        <v>0</v>
      </c>
      <c r="I353" s="64"/>
      <c r="J353" s="64"/>
      <c r="K353" s="65">
        <f t="shared" si="258"/>
        <v>0</v>
      </c>
      <c r="L353" s="65">
        <f t="shared" si="6"/>
        <v>0</v>
      </c>
      <c r="M353" s="65">
        <f t="shared" si="7"/>
        <v>0</v>
      </c>
      <c r="N353" s="65">
        <f t="shared" si="8"/>
        <v>0</v>
      </c>
      <c r="O353" s="66" t="str">
        <f t="shared" si="259"/>
        <v>✕</v>
      </c>
      <c r="P353" s="67" t="str">
        <f t="shared" si="260"/>
        <v>○</v>
      </c>
      <c r="Q353" s="67" t="str">
        <f t="shared" si="261"/>
        <v>✕</v>
      </c>
      <c r="R353" s="67" t="str">
        <f t="shared" si="262"/>
        <v>✕</v>
      </c>
      <c r="S353" s="68">
        <v>0</v>
      </c>
      <c r="T353" s="69" t="s">
        <v>85</v>
      </c>
      <c r="U353" s="69" t="s">
        <v>85</v>
      </c>
      <c r="V353" s="69" t="s">
        <v>85</v>
      </c>
      <c r="W353" s="69" t="s">
        <v>85</v>
      </c>
      <c r="X353" s="69" t="s">
        <v>84</v>
      </c>
      <c r="Y353" s="69" t="s">
        <v>85</v>
      </c>
      <c r="Z353" s="69" t="s">
        <v>85</v>
      </c>
      <c r="AA353" s="69" t="s">
        <v>85</v>
      </c>
      <c r="AB353" s="69" t="s">
        <v>85</v>
      </c>
      <c r="AC353" s="69" t="s">
        <v>85</v>
      </c>
      <c r="AD353" s="38" t="str">
        <f>+IF(ISERROR(VLOOKUP($B353,AD$10:AD352,1,0)),IF(AND($N353&gt;=1000,$A353&gt;=AO$8,$A353&lt;=AO$9),$B353,""),"")</f>
        <v/>
      </c>
      <c r="AE353" s="38" t="str">
        <f>+IF(ISERROR(VLOOKUP($B353,AE$10:AE352,1,0)),IF(AND($N353&gt;=1000,$A353&gt;=AP$8,$A353&lt;=AP$9),$B353,""),"")</f>
        <v/>
      </c>
      <c r="AF353" s="38" t="str">
        <f>+IF(ISERROR(VLOOKUP($B353,AF$10:AF352,1,0)),IF(AND($N353&gt;=1000,$A353&gt;=AQ$8,$A353&lt;=AQ$9),$B353,""),"")</f>
        <v/>
      </c>
      <c r="AG353" s="38" t="str">
        <f>+IF(ISERROR(VLOOKUP($B353,AG$10:AG352,1,0)),IF(AND($N353&gt;=1000,$A353&gt;=AR$8,$A353&lt;=AR$9),$B353,""),"")</f>
        <v/>
      </c>
      <c r="AH353" s="38"/>
      <c r="AI353" s="70">
        <v>0</v>
      </c>
      <c r="AJ353" s="38">
        <f>IF(AND(AJ$7="○",$A353&gt;=AJ$8,$A353&lt;=AJ$9),IF(SUM(AJ$10:AJ352)-ROUNDDOWN($K353*AJ$5/100,0)&lt;-AJ$6,-AJ$6-SUM(AJ$10:AJ352),-ROUNDDOWN($K353*AJ$5/100,0)),0)</f>
        <v>0</v>
      </c>
      <c r="AK353" s="38">
        <f>IF(AND(AK$7="○",$A353&gt;=AK$8,$A353&lt;=AK$9),IF(SUM(AK$10:AK352)-ROUNDDOWN($L353*AK$5/100,0)&lt;-AK$6,-AK$6-SUM(AK$10:AK352),-ROUNDDOWN($L353*AK$5/100,0)),0)</f>
        <v>0</v>
      </c>
      <c r="AL353" s="38">
        <f>IF(AND(AL$7="○",$A353&gt;=AL$8,$A353&lt;=AL$9),IF(SUM(AL$10:AL352)-ROUNDDOWN($N353*AL$5/100,0)&lt;-AL$6,-AL$6-SUM(AL$10:AL352),-ROUNDDOWN($N353*AL$5/100,0)),0)</f>
        <v>0</v>
      </c>
      <c r="AM353" s="38">
        <f>IF(AND(AM$7="○",$A353&gt;=AM$8,$A353&lt;=AM$9),IF(SUM(AM$10:AM352)-ROUNDDOWN($L353*AM$5/100,0)&lt;-AM$6,-AM$6-SUM(AM$10:AM352),-ROUNDDOWN($L353*AM$5/100,0)),0)</f>
        <v>0</v>
      </c>
      <c r="AN353" s="38">
        <f>IF(AND(AN$7="○",$A353&gt;=AN$8,$A353&lt;=AN$9),IF(SUM(AN$10:AN352)-ROUNDDOWN($M353*AN$5/100,0)&lt;-AN$6,-AN$6-SUM(AN$10:AN352),-ROUNDDOWN($M353*AN$5/100,0)),0)</f>
        <v>0</v>
      </c>
      <c r="AO353" s="38">
        <f>IF(AND($A353&gt;=AO$8,$A353&lt;=AO$9),IF(SUM(AO$10:AO352)-ROUNDDOWN($K353*AO$5/100,0)&lt;-AO$6,-AO$6-SUM(AO$10:AO352),-ROUNDDOWN($K353*AO$5/100,0)),0)</f>
        <v>0</v>
      </c>
      <c r="AP353" s="38">
        <f>IF(AND($A353&gt;=AP$8,$A353&lt;=AP$9),IF(SUM(AP$10:AP352)-ROUNDDOWN($K353*AP$5/100,0)&lt;-AP$6,-AP$6-SUM(AP$10:AP352),-ROUNDDOWN($K353*AP$5/100,0)),0)</f>
        <v>0</v>
      </c>
      <c r="AQ353" s="38">
        <f>IF(AND($A353&gt;=AQ$8,$A353&lt;=AQ$9),IF(SUM(AQ$10:AQ352)-ROUNDDOWN($K353*AQ$5/100,0)&lt;-AQ$6,-AQ$6-SUM(AQ$10:AQ352),-ROUNDDOWN($K353*AQ$5/100,0)),0)</f>
        <v>0</v>
      </c>
      <c r="AR353" s="38">
        <f>IF(AND($A353&gt;=AR$8,$A353&lt;=AR$9),IF(SUM(AR$10:AR352)-ROUNDDOWN($K353*AR$5/100,0)&lt;-AR$6,-AR$6-SUM(AR$10:AR352),-ROUNDDOWN($K353*AR$5/100,0)),0)</f>
        <v>0</v>
      </c>
      <c r="AS353" s="38">
        <f>IF(SUMIFS(AS$10:AS352,$A$10:$A352,$A353)-ROUNDDOWN($K353*$S353/100,0)&lt;-$S353*1000,-$S353*1000-SUMIFS(AS$10:AS352,$A$10:$A352,$A353),-ROUNDDOWN($K353*$S353/100,0))</f>
        <v>0</v>
      </c>
      <c r="AT353" s="38">
        <f>IF(AND(X353="○",$A353&gt;=AT$8,$A353&lt;=AT$9,K353&gt;=3980),IF(SUM(AT$10:AT352)-ROUNDDOWN($K353*AT$5/100,0)&lt;-AT$6,-AT$6-SUM(AT$10:AT352),-ROUNDDOWN($K353*AT$5/100,0)),0)</f>
        <v>0</v>
      </c>
      <c r="AU353" s="38">
        <f>IF(O353="○",IF(SUM(AU$10:AU352)-ROUNDDOWN($K353*AU$5/100,0)&lt;-AU$6,-AU$6-SUM(AU$10:AU352),-ROUNDDOWN($K353*AU$5/100,0)),0)</f>
        <v>0</v>
      </c>
      <c r="AV353" s="38">
        <f>IF(P353="○",IF(SUM(AV$10:AV352)-ROUNDDOWN($K353*AV$5/100,0)&lt;-AV$6,-AV$6-SUM(AV$10:AV352),-ROUNDDOWN($K353*AV$5/100,0)),0)</f>
        <v>0</v>
      </c>
      <c r="AW353" s="38">
        <f>IF(Q353="○",IF(SUM(AW$10:AW352)-ROUNDDOWN($K353*AW$5/100,0)&lt;-AW$6,-AW$6-SUM(AW$10:AW352),-ROUNDDOWN($K353*AW$5/100,0)),0)</f>
        <v>0</v>
      </c>
      <c r="AX353" s="38">
        <f>IF(R353="○",IF(SUM(AX$10:AX352)-ROUNDDOWN($K353*AX$5/100,0)&lt;-AX$6,-AX$6-SUM(AX$10:AX352),-ROUNDDOWN($K353*AX$5/100,0)),0)</f>
        <v>0</v>
      </c>
      <c r="AY353" s="70">
        <v>0</v>
      </c>
      <c r="AZ353" s="65">
        <f t="shared" si="250"/>
        <v>0</v>
      </c>
      <c r="BA353" s="65">
        <f t="shared" si="251"/>
        <v>0</v>
      </c>
      <c r="BB353" s="70"/>
      <c r="BC353" s="65">
        <f t="shared" si="252"/>
        <v>0</v>
      </c>
      <c r="BD353" s="70">
        <v>0</v>
      </c>
      <c r="BE353" s="65">
        <f t="shared" si="253"/>
        <v>0</v>
      </c>
      <c r="BF353" s="70">
        <v>0</v>
      </c>
      <c r="BG353" s="65">
        <f t="shared" si="254"/>
        <v>0</v>
      </c>
      <c r="BH353" s="70">
        <v>0</v>
      </c>
      <c r="BI353" s="65">
        <f t="shared" si="255"/>
        <v>0</v>
      </c>
      <c r="BJ353" s="38">
        <f>IF(AND(BJ$7="○",$A353&gt;=BJ$8,$A353&lt;=BJ$9),IF(SUM(BJ$10:BJ352)-ROUNDDOWN($M353*BJ$5/100,0)&lt;-BJ$6,-BJ$6-SUM(BJ$10:BJ352),-ROUNDDOWN($M353*BJ$5/100,0)),0)</f>
        <v>0</v>
      </c>
      <c r="BK353" s="38">
        <f>IF(AND(BK$7="○",$A353&gt;=BK$8,$A353&lt;=BK$9),IF(SUM(BK$10:BK352)-ROUNDDOWN($L353*BK$5/100,0)&lt;-BK$6,-BK$6-SUM(BK$10:BK352),-ROUNDDOWN($L353*BK$5/100,0)),0)</f>
        <v>0</v>
      </c>
      <c r="BL353" s="38">
        <f>IF(AND(BL$7="○",$A353&gt;=BL$8,$A353&lt;=BL$9),IF(SUM(BL$10:BL352)-ROUNDDOWN($L353*BL$5/100,0)&lt;-BL$6,-BL$6-SUM(BL$10:BL352),-ROUNDDOWN($L353*BL$5/100,0)),0)</f>
        <v>0</v>
      </c>
      <c r="BM353" s="38">
        <f>IF(AND(BM$7="○",$A353&gt;=BM$8,$A353&lt;=BM$9),IF(SUM(BM$10:BM352)-ROUNDDOWN($M353*BM$5/100,0)&lt;-BM$6,-BM$6-SUM(BM$10:BM352),-ROUNDDOWN($M353*BM$5/100,0)),0)</f>
        <v>0</v>
      </c>
      <c r="BN353" s="38">
        <f>IF(AND(BN$7="○",$A353&gt;=BN$8,$A353&lt;=BN$9),IF(SUM(BN$10:BN352)-ROUNDDOWN($M353*BN$5/100,0)&lt;-BN$6,-BN$6-SUM(BN$10:BN352),-ROUNDDOWN($M353*BN$5/100,0)),0)</f>
        <v>0</v>
      </c>
      <c r="BO353" s="38">
        <f>IF(AND(BO$7="○",$A353&gt;=BO$8,$A353&lt;=BO$9),IF(SUM(BO$10:BO352)-ROUNDDOWN($M353*BO$5/100,0)&lt;-BO$6,-BO$6-SUM(BO$10:BO352),-ROUNDDOWN($M353*BO$5/100,0)),0)</f>
        <v>0</v>
      </c>
      <c r="BP353" s="38">
        <f>IF(AND(BP$7="○",$A353&gt;=BP$8,$A353&lt;=BP$9),IF(SUM(BP$10:BP352)-ROUNDDOWN($M353*BP$5/100,0)&lt;-BP$6,-BP$6-SUM(BP$10:BP352),-ROUNDDOWN($M353*BP$5/100,0)),0)</f>
        <v>0</v>
      </c>
      <c r="BQ353" s="38">
        <f>IF(AND(BQ$7="○",$A353&gt;=BQ$8,$A353&lt;=BQ$9),IF(SUM(BQ$10:BQ352)-ROUNDDOWN($L353*BQ$5/100,0)&lt;-BQ$6,-BQ$6-SUM(BQ$10:BQ352),-ROUNDDOWN($L353*BQ$5/100,0)),0)</f>
        <v>0</v>
      </c>
      <c r="BR353" s="38">
        <f>IF(AND(BR$7="○",$A353&gt;=BR$8,$A353&lt;=BR$9),IF(SUM(BR$10:BR352)-ROUNDDOWN($M353*BR$5/100,0)&lt;-BR$6,-BR$6-SUM(BR$10:BR352),-ROUNDDOWN($M353*BR$5/100,0)),0)</f>
        <v>0</v>
      </c>
      <c r="BS353" s="38">
        <f>IF(AND(BS$7="○",$A353&gt;=BS$8,$A353&lt;=BS$9),IF(SUM(BS$10:BS352)-ROUNDDOWN($M353*BS$5/100,0)&lt;-BS$6,-BS$6-SUM(BS$10:BS352),-ROUNDDOWN($M353*BS$5/100,0)),0)</f>
        <v>0</v>
      </c>
      <c r="BT353" s="38">
        <f>IF(AND(BT$7="○",$A353&gt;=BT$8,$A353&lt;=BT$9),IF(SUM(BT$10:BT352)-ROUNDDOWN($M353*BT$5/100,0)&lt;-BT$6,-BT$6-SUM(BT$10:BT352),-ROUNDDOWN($M353*BT$5/100,0)),0)</f>
        <v>0</v>
      </c>
      <c r="BU353" s="38">
        <f>IF(AND(BU$7="○",$A353&gt;=BU$8,$A353&lt;=BU$9),IF(SUM(BU$10:BU352)-ROUNDDOWN($M353*BU$5/100,0)&lt;-BU$6,-BU$6-SUM(BU$10:BU352),-ROUNDDOWN($M353*BU$5/100,0)),0)</f>
        <v>0</v>
      </c>
      <c r="BV353" s="38">
        <f>IF(AND(BV$7="○",$A353&gt;=BV$8,$A353&lt;=BV$9),IF(SUM(BV$10:BV352)-ROUNDDOWN($M353*BV$5/100,0)&lt;-BV$6,-BV$6-SUM(BV$10:BV352),-ROUNDDOWN($M353*BV$5/100,0)),0)</f>
        <v>0</v>
      </c>
      <c r="BW353" s="38">
        <f>IF(AND(BW$7="○",$A353&gt;=BW$8,$A353&lt;=BW$9),IF(SUM(BW$10:BW352)-ROUNDDOWN($M353*BW$5/100,0)&lt;-BW$6,-BW$6-SUM(BW$10:BW352),-ROUNDDOWN($M353*BW$5/100,0)),0)</f>
        <v>0</v>
      </c>
      <c r="BX353" s="38">
        <f>IF(AND(T353="○",$A353&gt;=BX$8,$A353&lt;=BX$9),IF(SUM(BX$10:BX352)-ROUNDDOWN($K353*BX$5/100,0)&lt;-BX$6,-BX$6-SUM(BX$10:BX352),-ROUNDDOWN($K353*BX$5/100,0)),0)</f>
        <v>0</v>
      </c>
      <c r="BY353" s="38">
        <f>IF(AND(U353="○",$A353&gt;=BY$8,$A353&lt;=BY$9),IF(SUM(BY$10:BY352)-ROUNDDOWN($K353*BY$5/100,0)&lt;-BY$6,-BY$6-SUM(BY$10:BY352),-ROUNDDOWN($K353*BY$5/100,0)),0)</f>
        <v>0</v>
      </c>
      <c r="BZ353" s="38">
        <f>IF(AND(V353="○",$A353&gt;=BZ$8,$A353&lt;=BZ$9),IF(SUM(BZ$10:BZ352)-ROUNDDOWN($K353*BZ$5/100,0)&lt;-BZ$6,-BZ$6-SUM(BZ$10:BZ352),-ROUNDDOWN($K353*BZ$5/100,0)),0)</f>
        <v>0</v>
      </c>
      <c r="CA353" s="38">
        <f>IF(AND(W353="○",$A353&gt;=CA$8,$A353&lt;=CA$9),IF(SUM(CA$10:CA352)-ROUNDDOWN($K353*CA$5/100,0)&lt;-CA$6,-CA$6-SUM(CA$10:CA352),-ROUNDDOWN($K353*CA$5/100,0)),0)</f>
        <v>0</v>
      </c>
      <c r="CB353" s="38"/>
      <c r="CC353" s="38"/>
      <c r="CD353" s="38"/>
      <c r="CE353" s="38"/>
      <c r="CF353" s="38"/>
      <c r="CG353" s="65">
        <f t="shared" si="256"/>
        <v>0</v>
      </c>
      <c r="CH353" s="71">
        <f t="shared" si="257"/>
        <v>0</v>
      </c>
      <c r="CI353" s="1">
        <f t="shared" si="19"/>
        <v>0</v>
      </c>
      <c r="CJ353" s="1"/>
      <c r="CK353" s="72"/>
      <c r="CL353" s="72"/>
      <c r="CM353" s="2"/>
      <c r="CN353" s="2"/>
      <c r="CO353" s="73">
        <f t="shared" si="20"/>
        <v>0</v>
      </c>
      <c r="CP353" s="5">
        <f t="shared" si="21"/>
        <v>0</v>
      </c>
      <c r="CQ353" s="1"/>
      <c r="CR353" s="1">
        <f t="shared" si="22"/>
        <v>0</v>
      </c>
      <c r="CS353" s="1"/>
      <c r="CT353" s="1" t="e">
        <f>INDEX([2]マスタ!$A:$A,MATCH(D353,[2]マスタ!$C:$C,0))</f>
        <v>#N/A</v>
      </c>
      <c r="CU353" s="1" t="str">
        <f t="shared" ca="1" si="23"/>
        <v>20260620_0-0</v>
      </c>
    </row>
    <row r="354" spans="1:99" x14ac:dyDescent="0.4">
      <c r="A354" s="61"/>
      <c r="B354" s="62"/>
      <c r="C354" s="62"/>
      <c r="D354" s="62"/>
      <c r="E354" s="74"/>
      <c r="F354" s="62"/>
      <c r="G354" s="62">
        <v>1</v>
      </c>
      <c r="H354" s="64">
        <f t="shared" si="4"/>
        <v>0</v>
      </c>
      <c r="I354" s="64"/>
      <c r="J354" s="64"/>
      <c r="K354" s="65">
        <f t="shared" si="258"/>
        <v>0</v>
      </c>
      <c r="L354" s="65">
        <f t="shared" si="6"/>
        <v>0</v>
      </c>
      <c r="M354" s="65">
        <f t="shared" si="7"/>
        <v>0</v>
      </c>
      <c r="N354" s="65">
        <f t="shared" si="8"/>
        <v>0</v>
      </c>
      <c r="O354" s="66" t="str">
        <f t="shared" si="259"/>
        <v>✕</v>
      </c>
      <c r="P354" s="67" t="str">
        <f t="shared" si="260"/>
        <v>○</v>
      </c>
      <c r="Q354" s="67" t="str">
        <f t="shared" si="261"/>
        <v>✕</v>
      </c>
      <c r="R354" s="67" t="str">
        <f t="shared" si="262"/>
        <v>✕</v>
      </c>
      <c r="S354" s="68">
        <v>0</v>
      </c>
      <c r="T354" s="69" t="s">
        <v>85</v>
      </c>
      <c r="U354" s="69" t="s">
        <v>85</v>
      </c>
      <c r="V354" s="69" t="s">
        <v>85</v>
      </c>
      <c r="W354" s="69" t="s">
        <v>85</v>
      </c>
      <c r="X354" s="69" t="s">
        <v>84</v>
      </c>
      <c r="Y354" s="69" t="s">
        <v>85</v>
      </c>
      <c r="Z354" s="69" t="s">
        <v>85</v>
      </c>
      <c r="AA354" s="69" t="s">
        <v>85</v>
      </c>
      <c r="AB354" s="69" t="s">
        <v>85</v>
      </c>
      <c r="AC354" s="69" t="s">
        <v>85</v>
      </c>
      <c r="AD354" s="38" t="str">
        <f>+IF(ISERROR(VLOOKUP($B354,AD$10:AD353,1,0)),IF(AND($N354&gt;=1000,$A354&gt;=AO$8,$A354&lt;=AO$9),$B354,""),"")</f>
        <v/>
      </c>
      <c r="AE354" s="38" t="str">
        <f>+IF(ISERROR(VLOOKUP($B354,AE$10:AE353,1,0)),IF(AND($N354&gt;=1000,$A354&gt;=AP$8,$A354&lt;=AP$9),$B354,""),"")</f>
        <v/>
      </c>
      <c r="AF354" s="38" t="str">
        <f>+IF(ISERROR(VLOOKUP($B354,AF$10:AF353,1,0)),IF(AND($N354&gt;=1000,$A354&gt;=AQ$8,$A354&lt;=AQ$9),$B354,""),"")</f>
        <v/>
      </c>
      <c r="AG354" s="38" t="str">
        <f>+IF(ISERROR(VLOOKUP($B354,AG$10:AG353,1,0)),IF(AND($N354&gt;=1000,$A354&gt;=AR$8,$A354&lt;=AR$9),$B354,""),"")</f>
        <v/>
      </c>
      <c r="AH354" s="38"/>
      <c r="AI354" s="70">
        <v>0</v>
      </c>
      <c r="AJ354" s="38">
        <f>IF(AND(AJ$7="○",$A354&gt;=AJ$8,$A354&lt;=AJ$9),IF(SUM(AJ$10:AJ353)-ROUNDDOWN($K354*AJ$5/100,0)&lt;-AJ$6,-AJ$6-SUM(AJ$10:AJ353),-ROUNDDOWN($K354*AJ$5/100,0)),0)</f>
        <v>0</v>
      </c>
      <c r="AK354" s="38">
        <f>IF(AND(AK$7="○",$A354&gt;=AK$8,$A354&lt;=AK$9),IF(SUM(AK$10:AK353)-ROUNDDOWN($L354*AK$5/100,0)&lt;-AK$6,-AK$6-SUM(AK$10:AK353),-ROUNDDOWN($L354*AK$5/100,0)),0)</f>
        <v>0</v>
      </c>
      <c r="AL354" s="38">
        <f>IF(AND(AL$7="○",$A354&gt;=AL$8,$A354&lt;=AL$9),IF(SUM(AL$10:AL353)-ROUNDDOWN($N354*AL$5/100,0)&lt;-AL$6,-AL$6-SUM(AL$10:AL353),-ROUNDDOWN($N354*AL$5/100,0)),0)</f>
        <v>0</v>
      </c>
      <c r="AM354" s="38">
        <f>IF(AND(AM$7="○",$A354&gt;=AM$8,$A354&lt;=AM$9),IF(SUM(AM$10:AM353)-ROUNDDOWN($L354*AM$5/100,0)&lt;-AM$6,-AM$6-SUM(AM$10:AM353),-ROUNDDOWN($L354*AM$5/100,0)),0)</f>
        <v>0</v>
      </c>
      <c r="AN354" s="38">
        <f>IF(AND(AN$7="○",$A354&gt;=AN$8,$A354&lt;=AN$9),IF(SUM(AN$10:AN353)-ROUNDDOWN($M354*AN$5/100,0)&lt;-AN$6,-AN$6-SUM(AN$10:AN353),-ROUNDDOWN($M354*AN$5/100,0)),0)</f>
        <v>0</v>
      </c>
      <c r="AO354" s="38">
        <f>IF(AND($A354&gt;=AO$8,$A354&lt;=AO$9),IF(SUM(AO$10:AO353)-ROUNDDOWN($K354*AO$5/100,0)&lt;-AO$6,-AO$6-SUM(AO$10:AO353),-ROUNDDOWN($K354*AO$5/100,0)),0)</f>
        <v>0</v>
      </c>
      <c r="AP354" s="38">
        <f>IF(AND($A354&gt;=AP$8,$A354&lt;=AP$9),IF(SUM(AP$10:AP353)-ROUNDDOWN($K354*AP$5/100,0)&lt;-AP$6,-AP$6-SUM(AP$10:AP353),-ROUNDDOWN($K354*AP$5/100,0)),0)</f>
        <v>0</v>
      </c>
      <c r="AQ354" s="38">
        <f>IF(AND($A354&gt;=AQ$8,$A354&lt;=AQ$9),IF(SUM(AQ$10:AQ353)-ROUNDDOWN($K354*AQ$5/100,0)&lt;-AQ$6,-AQ$6-SUM(AQ$10:AQ353),-ROUNDDOWN($K354*AQ$5/100,0)),0)</f>
        <v>0</v>
      </c>
      <c r="AR354" s="38">
        <f>IF(AND($A354&gt;=AR$8,$A354&lt;=AR$9),IF(SUM(AR$10:AR353)-ROUNDDOWN($K354*AR$5/100,0)&lt;-AR$6,-AR$6-SUM(AR$10:AR353),-ROUNDDOWN($K354*AR$5/100,0)),0)</f>
        <v>0</v>
      </c>
      <c r="AS354" s="38">
        <f>IF(SUMIFS(AS$10:AS353,$A$10:$A353,$A354)-ROUNDDOWN($K354*$S354/100,0)&lt;-$S354*1000,-$S354*1000-SUMIFS(AS$10:AS353,$A$10:$A353,$A354),-ROUNDDOWN($K354*$S354/100,0))</f>
        <v>0</v>
      </c>
      <c r="AT354" s="38">
        <f>IF(AND(X354="○",$A354&gt;=AT$8,$A354&lt;=AT$9,K354&gt;=3980),IF(SUM(AT$10:AT353)-ROUNDDOWN($K354*AT$5/100,0)&lt;-AT$6,-AT$6-SUM(AT$10:AT353),-ROUNDDOWN($K354*AT$5/100,0)),0)</f>
        <v>0</v>
      </c>
      <c r="AU354" s="38">
        <f>IF(O354="○",IF(SUM(AU$10:AU353)-ROUNDDOWN($K354*AU$5/100,0)&lt;-AU$6,-AU$6-SUM(AU$10:AU353),-ROUNDDOWN($K354*AU$5/100,0)),0)</f>
        <v>0</v>
      </c>
      <c r="AV354" s="38">
        <f>IF(P354="○",IF(SUM(AV$10:AV353)-ROUNDDOWN($K354*AV$5/100,0)&lt;-AV$6,-AV$6-SUM(AV$10:AV353),-ROUNDDOWN($K354*AV$5/100,0)),0)</f>
        <v>0</v>
      </c>
      <c r="AW354" s="38">
        <f>IF(Q354="○",IF(SUM(AW$10:AW353)-ROUNDDOWN($K354*AW$5/100,0)&lt;-AW$6,-AW$6-SUM(AW$10:AW353),-ROUNDDOWN($K354*AW$5/100,0)),0)</f>
        <v>0</v>
      </c>
      <c r="AX354" s="38">
        <f>IF(R354="○",IF(SUM(AX$10:AX353)-ROUNDDOWN($K354*AX$5/100,0)&lt;-AX$6,-AX$6-SUM(AX$10:AX353),-ROUNDDOWN($K354*AX$5/100,0)),0)</f>
        <v>0</v>
      </c>
      <c r="AY354" s="70">
        <v>0</v>
      </c>
      <c r="AZ354" s="65">
        <f t="shared" si="250"/>
        <v>0</v>
      </c>
      <c r="BA354" s="65">
        <f t="shared" si="251"/>
        <v>0</v>
      </c>
      <c r="BB354" s="70"/>
      <c r="BC354" s="65">
        <f t="shared" si="252"/>
        <v>0</v>
      </c>
      <c r="BD354" s="70">
        <v>0</v>
      </c>
      <c r="BE354" s="65">
        <f t="shared" si="253"/>
        <v>0</v>
      </c>
      <c r="BF354" s="70">
        <v>0</v>
      </c>
      <c r="BG354" s="65">
        <f t="shared" si="254"/>
        <v>0</v>
      </c>
      <c r="BH354" s="70">
        <v>0</v>
      </c>
      <c r="BI354" s="65">
        <f t="shared" si="255"/>
        <v>0</v>
      </c>
      <c r="BJ354" s="38">
        <f>IF(AND(BJ$7="○",$A354&gt;=BJ$8,$A354&lt;=BJ$9),IF(SUM(BJ$10:BJ353)-ROUNDDOWN($M354*BJ$5/100,0)&lt;-BJ$6,-BJ$6-SUM(BJ$10:BJ353),-ROUNDDOWN($M354*BJ$5/100,0)),0)</f>
        <v>0</v>
      </c>
      <c r="BK354" s="38">
        <f>IF(AND(BK$7="○",$A354&gt;=BK$8,$A354&lt;=BK$9),IF(SUM(BK$10:BK353)-ROUNDDOWN($L354*BK$5/100,0)&lt;-BK$6,-BK$6-SUM(BK$10:BK353),-ROUNDDOWN($L354*BK$5/100,0)),0)</f>
        <v>0</v>
      </c>
      <c r="BL354" s="38">
        <f>IF(AND(BL$7="○",$A354&gt;=BL$8,$A354&lt;=BL$9),IF(SUM(BL$10:BL353)-ROUNDDOWN($L354*BL$5/100,0)&lt;-BL$6,-BL$6-SUM(BL$10:BL353),-ROUNDDOWN($L354*BL$5/100,0)),0)</f>
        <v>0</v>
      </c>
      <c r="BM354" s="38">
        <f>IF(AND(BM$7="○",$A354&gt;=BM$8,$A354&lt;=BM$9),IF(SUM(BM$10:BM353)-ROUNDDOWN($M354*BM$5/100,0)&lt;-BM$6,-BM$6-SUM(BM$10:BM353),-ROUNDDOWN($M354*BM$5/100,0)),0)</f>
        <v>0</v>
      </c>
      <c r="BN354" s="38">
        <f>IF(AND(BN$7="○",$A354&gt;=BN$8,$A354&lt;=BN$9),IF(SUM(BN$10:BN353)-ROUNDDOWN($M354*BN$5/100,0)&lt;-BN$6,-BN$6-SUM(BN$10:BN353),-ROUNDDOWN($M354*BN$5/100,0)),0)</f>
        <v>0</v>
      </c>
      <c r="BO354" s="38">
        <f>IF(AND(BO$7="○",$A354&gt;=BO$8,$A354&lt;=BO$9),IF(SUM(BO$10:BO353)-ROUNDDOWN($M354*BO$5/100,0)&lt;-BO$6,-BO$6-SUM(BO$10:BO353),-ROUNDDOWN($M354*BO$5/100,0)),0)</f>
        <v>0</v>
      </c>
      <c r="BP354" s="38">
        <f>IF(AND(BP$7="○",$A354&gt;=BP$8,$A354&lt;=BP$9),IF(SUM(BP$10:BP353)-ROUNDDOWN($M354*BP$5/100,0)&lt;-BP$6,-BP$6-SUM(BP$10:BP353),-ROUNDDOWN($M354*BP$5/100,0)),0)</f>
        <v>0</v>
      </c>
      <c r="BQ354" s="38">
        <f>IF(AND(BQ$7="○",$A354&gt;=BQ$8,$A354&lt;=BQ$9),IF(SUM(BQ$10:BQ353)-ROUNDDOWN($L354*BQ$5/100,0)&lt;-BQ$6,-BQ$6-SUM(BQ$10:BQ353),-ROUNDDOWN($L354*BQ$5/100,0)),0)</f>
        <v>0</v>
      </c>
      <c r="BR354" s="38">
        <f>IF(AND(BR$7="○",$A354&gt;=BR$8,$A354&lt;=BR$9),IF(SUM(BR$10:BR353)-ROUNDDOWN($M354*BR$5/100,0)&lt;-BR$6,-BR$6-SUM(BR$10:BR353),-ROUNDDOWN($M354*BR$5/100,0)),0)</f>
        <v>0</v>
      </c>
      <c r="BS354" s="38">
        <f>IF(AND(BS$7="○",$A354&gt;=BS$8,$A354&lt;=BS$9),IF(SUM(BS$10:BS353)-ROUNDDOWN($M354*BS$5/100,0)&lt;-BS$6,-BS$6-SUM(BS$10:BS353),-ROUNDDOWN($M354*BS$5/100,0)),0)</f>
        <v>0</v>
      </c>
      <c r="BT354" s="38">
        <f>IF(AND(BT$7="○",$A354&gt;=BT$8,$A354&lt;=BT$9),IF(SUM(BT$10:BT353)-ROUNDDOWN($M354*BT$5/100,0)&lt;-BT$6,-BT$6-SUM(BT$10:BT353),-ROUNDDOWN($M354*BT$5/100,0)),0)</f>
        <v>0</v>
      </c>
      <c r="BU354" s="38">
        <f>IF(AND(BU$7="○",$A354&gt;=BU$8,$A354&lt;=BU$9),IF(SUM(BU$10:BU353)-ROUNDDOWN($M354*BU$5/100,0)&lt;-BU$6,-BU$6-SUM(BU$10:BU353),-ROUNDDOWN($M354*BU$5/100,0)),0)</f>
        <v>0</v>
      </c>
      <c r="BV354" s="38">
        <f>IF(AND(BV$7="○",$A354&gt;=BV$8,$A354&lt;=BV$9),IF(SUM(BV$10:BV353)-ROUNDDOWN($M354*BV$5/100,0)&lt;-BV$6,-BV$6-SUM(BV$10:BV353),-ROUNDDOWN($M354*BV$5/100,0)),0)</f>
        <v>0</v>
      </c>
      <c r="BW354" s="38">
        <f>IF(AND(BW$7="○",$A354&gt;=BW$8,$A354&lt;=BW$9),IF(SUM(BW$10:BW353)-ROUNDDOWN($M354*BW$5/100,0)&lt;-BW$6,-BW$6-SUM(BW$10:BW353),-ROUNDDOWN($M354*BW$5/100,0)),0)</f>
        <v>0</v>
      </c>
      <c r="BX354" s="38">
        <f>IF(AND(T354="○",$A354&gt;=BX$8,$A354&lt;=BX$9),IF(SUM(BX$10:BX353)-ROUNDDOWN($K354*BX$5/100,0)&lt;-BX$6,-BX$6-SUM(BX$10:BX353),-ROUNDDOWN($K354*BX$5/100,0)),0)</f>
        <v>0</v>
      </c>
      <c r="BY354" s="38">
        <f>IF(AND(U354="○",$A354&gt;=BY$8,$A354&lt;=BY$9),IF(SUM(BY$10:BY353)-ROUNDDOWN($K354*BY$5/100,0)&lt;-BY$6,-BY$6-SUM(BY$10:BY353),-ROUNDDOWN($K354*BY$5/100,0)),0)</f>
        <v>0</v>
      </c>
      <c r="BZ354" s="38">
        <f>IF(AND(V354="○",$A354&gt;=BZ$8,$A354&lt;=BZ$9),IF(SUM(BZ$10:BZ353)-ROUNDDOWN($K354*BZ$5/100,0)&lt;-BZ$6,-BZ$6-SUM(BZ$10:BZ353),-ROUNDDOWN($K354*BZ$5/100,0)),0)</f>
        <v>0</v>
      </c>
      <c r="CA354" s="38">
        <f>IF(AND(W354="○",$A354&gt;=CA$8,$A354&lt;=CA$9),IF(SUM(CA$10:CA353)-ROUNDDOWN($K354*CA$5/100,0)&lt;-CA$6,-CA$6-SUM(CA$10:CA353),-ROUNDDOWN($K354*CA$5/100,0)),0)</f>
        <v>0</v>
      </c>
      <c r="CB354" s="38"/>
      <c r="CC354" s="38"/>
      <c r="CD354" s="38"/>
      <c r="CE354" s="38"/>
      <c r="CF354" s="38"/>
      <c r="CG354" s="65">
        <f t="shared" si="256"/>
        <v>0</v>
      </c>
      <c r="CH354" s="71">
        <f t="shared" si="257"/>
        <v>0</v>
      </c>
      <c r="CI354" s="1">
        <f t="shared" si="19"/>
        <v>0</v>
      </c>
      <c r="CJ354" s="1"/>
      <c r="CK354" s="72"/>
      <c r="CL354" s="72"/>
      <c r="CM354" s="2"/>
      <c r="CN354" s="2"/>
      <c r="CO354" s="73">
        <f t="shared" si="20"/>
        <v>0</v>
      </c>
      <c r="CP354" s="5">
        <f t="shared" si="21"/>
        <v>0</v>
      </c>
      <c r="CQ354" s="1"/>
      <c r="CR354" s="1">
        <f t="shared" si="22"/>
        <v>0</v>
      </c>
      <c r="CS354" s="1"/>
      <c r="CT354" s="1" t="e">
        <f>INDEX([2]マスタ!$A:$A,MATCH(D354,[2]マスタ!$C:$C,0))</f>
        <v>#N/A</v>
      </c>
      <c r="CU354" s="1" t="str">
        <f t="shared" ca="1" si="23"/>
        <v>20260620_0-0</v>
      </c>
    </row>
    <row r="355" spans="1:99" x14ac:dyDescent="0.4">
      <c r="A355" s="61"/>
      <c r="B355" s="62"/>
      <c r="C355" s="62"/>
      <c r="D355" s="62"/>
      <c r="E355" s="74"/>
      <c r="F355" s="62"/>
      <c r="G355" s="62">
        <v>1</v>
      </c>
      <c r="H355" s="64">
        <f t="shared" si="4"/>
        <v>0</v>
      </c>
      <c r="I355" s="64"/>
      <c r="J355" s="64"/>
      <c r="K355" s="65">
        <f t="shared" si="258"/>
        <v>0</v>
      </c>
      <c r="L355" s="65">
        <f t="shared" si="6"/>
        <v>0</v>
      </c>
      <c r="M355" s="65">
        <f t="shared" si="7"/>
        <v>0</v>
      </c>
      <c r="N355" s="65">
        <f t="shared" si="8"/>
        <v>0</v>
      </c>
      <c r="O355" s="66" t="str">
        <f t="shared" si="259"/>
        <v>✕</v>
      </c>
      <c r="P355" s="67" t="str">
        <f t="shared" si="260"/>
        <v>○</v>
      </c>
      <c r="Q355" s="67" t="str">
        <f t="shared" si="261"/>
        <v>✕</v>
      </c>
      <c r="R355" s="67" t="str">
        <f t="shared" si="262"/>
        <v>✕</v>
      </c>
      <c r="S355" s="68">
        <v>0</v>
      </c>
      <c r="T355" s="69" t="s">
        <v>85</v>
      </c>
      <c r="U355" s="69" t="s">
        <v>85</v>
      </c>
      <c r="V355" s="69" t="s">
        <v>85</v>
      </c>
      <c r="W355" s="69" t="s">
        <v>85</v>
      </c>
      <c r="X355" s="69" t="s">
        <v>84</v>
      </c>
      <c r="Y355" s="69" t="s">
        <v>85</v>
      </c>
      <c r="Z355" s="69" t="s">
        <v>85</v>
      </c>
      <c r="AA355" s="69" t="s">
        <v>85</v>
      </c>
      <c r="AB355" s="69" t="s">
        <v>85</v>
      </c>
      <c r="AC355" s="69" t="s">
        <v>85</v>
      </c>
      <c r="AD355" s="38" t="str">
        <f>+IF(ISERROR(VLOOKUP($B355,AD$10:AD354,1,0)),IF(AND($N355&gt;=1000,$A355&gt;=AO$8,$A355&lt;=AO$9),$B355,""),"")</f>
        <v/>
      </c>
      <c r="AE355" s="38" t="str">
        <f>+IF(ISERROR(VLOOKUP($B355,AE$10:AE354,1,0)),IF(AND($N355&gt;=1000,$A355&gt;=AP$8,$A355&lt;=AP$9),$B355,""),"")</f>
        <v/>
      </c>
      <c r="AF355" s="38" t="str">
        <f>+IF(ISERROR(VLOOKUP($B355,AF$10:AF354,1,0)),IF(AND($N355&gt;=1000,$A355&gt;=AQ$8,$A355&lt;=AQ$9),$B355,""),"")</f>
        <v/>
      </c>
      <c r="AG355" s="38" t="str">
        <f>+IF(ISERROR(VLOOKUP($B355,AG$10:AG354,1,0)),IF(AND($N355&gt;=1000,$A355&gt;=AR$8,$A355&lt;=AR$9),$B355,""),"")</f>
        <v/>
      </c>
      <c r="AH355" s="38"/>
      <c r="AI355" s="70">
        <v>0</v>
      </c>
      <c r="AJ355" s="38">
        <f>IF(AND(AJ$7="○",$A355&gt;=AJ$8,$A355&lt;=AJ$9),IF(SUM(AJ$10:AJ354)-ROUNDDOWN($K355*AJ$5/100,0)&lt;-AJ$6,-AJ$6-SUM(AJ$10:AJ354),-ROUNDDOWN($K355*AJ$5/100,0)),0)</f>
        <v>0</v>
      </c>
      <c r="AK355" s="38">
        <f>IF(AND(AK$7="○",$A355&gt;=AK$8,$A355&lt;=AK$9),IF(SUM(AK$10:AK354)-ROUNDDOWN($L355*AK$5/100,0)&lt;-AK$6,-AK$6-SUM(AK$10:AK354),-ROUNDDOWN($L355*AK$5/100,0)),0)</f>
        <v>0</v>
      </c>
      <c r="AL355" s="38">
        <f>IF(AND(AL$7="○",$A355&gt;=AL$8,$A355&lt;=AL$9),IF(SUM(AL$10:AL354)-ROUNDDOWN($N355*AL$5/100,0)&lt;-AL$6,-AL$6-SUM(AL$10:AL354),-ROUNDDOWN($N355*AL$5/100,0)),0)</f>
        <v>0</v>
      </c>
      <c r="AM355" s="38">
        <f>IF(AND(AM$7="○",$A355&gt;=AM$8,$A355&lt;=AM$9),IF(SUM(AM$10:AM354)-ROUNDDOWN($L355*AM$5/100,0)&lt;-AM$6,-AM$6-SUM(AM$10:AM354),-ROUNDDOWN($L355*AM$5/100,0)),0)</f>
        <v>0</v>
      </c>
      <c r="AN355" s="38">
        <f>IF(AND(AN$7="○",$A355&gt;=AN$8,$A355&lt;=AN$9),IF(SUM(AN$10:AN354)-ROUNDDOWN($M355*AN$5/100,0)&lt;-AN$6,-AN$6-SUM(AN$10:AN354),-ROUNDDOWN($M355*AN$5/100,0)),0)</f>
        <v>0</v>
      </c>
      <c r="AO355" s="38">
        <f>IF(AND($A355&gt;=AO$8,$A355&lt;=AO$9),IF(SUM(AO$10:AO354)-ROUNDDOWN($K355*AO$5/100,0)&lt;-AO$6,-AO$6-SUM(AO$10:AO354),-ROUNDDOWN($K355*AO$5/100,0)),0)</f>
        <v>0</v>
      </c>
      <c r="AP355" s="38">
        <f>IF(AND($A355&gt;=AP$8,$A355&lt;=AP$9),IF(SUM(AP$10:AP354)-ROUNDDOWN($K355*AP$5/100,0)&lt;-AP$6,-AP$6-SUM(AP$10:AP354),-ROUNDDOWN($K355*AP$5/100,0)),0)</f>
        <v>0</v>
      </c>
      <c r="AQ355" s="38">
        <f>IF(AND($A355&gt;=AQ$8,$A355&lt;=AQ$9),IF(SUM(AQ$10:AQ354)-ROUNDDOWN($K355*AQ$5/100,0)&lt;-AQ$6,-AQ$6-SUM(AQ$10:AQ354),-ROUNDDOWN($K355*AQ$5/100,0)),0)</f>
        <v>0</v>
      </c>
      <c r="AR355" s="38">
        <f>IF(AND($A355&gt;=AR$8,$A355&lt;=AR$9),IF(SUM(AR$10:AR354)-ROUNDDOWN($K355*AR$5/100,0)&lt;-AR$6,-AR$6-SUM(AR$10:AR354),-ROUNDDOWN($K355*AR$5/100,0)),0)</f>
        <v>0</v>
      </c>
      <c r="AS355" s="38">
        <f>IF(SUMIFS(AS$10:AS354,$A$10:$A354,$A355)-ROUNDDOWN($K355*$S355/100,0)&lt;-$S355*1000,-$S355*1000-SUMIFS(AS$10:AS354,$A$10:$A354,$A355),-ROUNDDOWN($K355*$S355/100,0))</f>
        <v>0</v>
      </c>
      <c r="AT355" s="38">
        <f>IF(AND(X355="○",$A355&gt;=AT$8,$A355&lt;=AT$9,K355&gt;=3980),IF(SUM(AT$10:AT354)-ROUNDDOWN($K355*AT$5/100,0)&lt;-AT$6,-AT$6-SUM(AT$10:AT354),-ROUNDDOWN($K355*AT$5/100,0)),0)</f>
        <v>0</v>
      </c>
      <c r="AU355" s="38">
        <f>IF(O355="○",IF(SUM(AU$10:AU354)-ROUNDDOWN($K355*AU$5/100,0)&lt;-AU$6,-AU$6-SUM(AU$10:AU354),-ROUNDDOWN($K355*AU$5/100,0)),0)</f>
        <v>0</v>
      </c>
      <c r="AV355" s="38">
        <f>IF(P355="○",IF(SUM(AV$10:AV354)-ROUNDDOWN($K355*AV$5/100,0)&lt;-AV$6,-AV$6-SUM(AV$10:AV354),-ROUNDDOWN($K355*AV$5/100,0)),0)</f>
        <v>0</v>
      </c>
      <c r="AW355" s="38">
        <f>IF(Q355="○",IF(SUM(AW$10:AW354)-ROUNDDOWN($K355*AW$5/100,0)&lt;-AW$6,-AW$6-SUM(AW$10:AW354),-ROUNDDOWN($K355*AW$5/100,0)),0)</f>
        <v>0</v>
      </c>
      <c r="AX355" s="38">
        <f>IF(R355="○",IF(SUM(AX$10:AX354)-ROUNDDOWN($K355*AX$5/100,0)&lt;-AX$6,-AX$6-SUM(AX$10:AX354),-ROUNDDOWN($K355*AX$5/100,0)),0)</f>
        <v>0</v>
      </c>
      <c r="AY355" s="70">
        <v>0</v>
      </c>
      <c r="AZ355" s="65">
        <f t="shared" si="250"/>
        <v>0</v>
      </c>
      <c r="BA355" s="65">
        <f t="shared" si="251"/>
        <v>0</v>
      </c>
      <c r="BB355" s="70"/>
      <c r="BC355" s="65">
        <f t="shared" si="252"/>
        <v>0</v>
      </c>
      <c r="BD355" s="70">
        <v>0</v>
      </c>
      <c r="BE355" s="65">
        <f t="shared" si="253"/>
        <v>0</v>
      </c>
      <c r="BF355" s="70">
        <v>0</v>
      </c>
      <c r="BG355" s="65">
        <f t="shared" si="254"/>
        <v>0</v>
      </c>
      <c r="BH355" s="70">
        <v>0</v>
      </c>
      <c r="BI355" s="65">
        <f t="shared" si="255"/>
        <v>0</v>
      </c>
      <c r="BJ355" s="38">
        <f>IF(AND(BJ$7="○",$A355&gt;=BJ$8,$A355&lt;=BJ$9),IF(SUM(BJ$10:BJ354)-ROUNDDOWN($M355*BJ$5/100,0)&lt;-BJ$6,-BJ$6-SUM(BJ$10:BJ354),-ROUNDDOWN($M355*BJ$5/100,0)),0)</f>
        <v>0</v>
      </c>
      <c r="BK355" s="38">
        <f>IF(AND(BK$7="○",$A355&gt;=BK$8,$A355&lt;=BK$9),IF(SUM(BK$10:BK354)-ROUNDDOWN($L355*BK$5/100,0)&lt;-BK$6,-BK$6-SUM(BK$10:BK354),-ROUNDDOWN($L355*BK$5/100,0)),0)</f>
        <v>0</v>
      </c>
      <c r="BL355" s="38">
        <f>IF(AND(BL$7="○",$A355&gt;=BL$8,$A355&lt;=BL$9),IF(SUM(BL$10:BL354)-ROUNDDOWN($L355*BL$5/100,0)&lt;-BL$6,-BL$6-SUM(BL$10:BL354),-ROUNDDOWN($L355*BL$5/100,0)),0)</f>
        <v>0</v>
      </c>
      <c r="BM355" s="38">
        <f>IF(AND(BM$7="○",$A355&gt;=BM$8,$A355&lt;=BM$9),IF(SUM(BM$10:BM354)-ROUNDDOWN($M355*BM$5/100,0)&lt;-BM$6,-BM$6-SUM(BM$10:BM354),-ROUNDDOWN($M355*BM$5/100,0)),0)</f>
        <v>0</v>
      </c>
      <c r="BN355" s="38">
        <f>IF(AND(BN$7="○",$A355&gt;=BN$8,$A355&lt;=BN$9),IF(SUM(BN$10:BN354)-ROUNDDOWN($M355*BN$5/100,0)&lt;-BN$6,-BN$6-SUM(BN$10:BN354),-ROUNDDOWN($M355*BN$5/100,0)),0)</f>
        <v>0</v>
      </c>
      <c r="BO355" s="38">
        <f>IF(AND(BO$7="○",$A355&gt;=BO$8,$A355&lt;=BO$9),IF(SUM(BO$10:BO354)-ROUNDDOWN($M355*BO$5/100,0)&lt;-BO$6,-BO$6-SUM(BO$10:BO354),-ROUNDDOWN($M355*BO$5/100,0)),0)</f>
        <v>0</v>
      </c>
      <c r="BP355" s="38">
        <f>IF(AND(BP$7="○",$A355&gt;=BP$8,$A355&lt;=BP$9),IF(SUM(BP$10:BP354)-ROUNDDOWN($M355*BP$5/100,0)&lt;-BP$6,-BP$6-SUM(BP$10:BP354),-ROUNDDOWN($M355*BP$5/100,0)),0)</f>
        <v>0</v>
      </c>
      <c r="BQ355" s="38">
        <f>IF(AND(BQ$7="○",$A355&gt;=BQ$8,$A355&lt;=BQ$9),IF(SUM(BQ$10:BQ354)-ROUNDDOWN($L355*BQ$5/100,0)&lt;-BQ$6,-BQ$6-SUM(BQ$10:BQ354),-ROUNDDOWN($L355*BQ$5/100,0)),0)</f>
        <v>0</v>
      </c>
      <c r="BR355" s="38">
        <f>IF(AND(BR$7="○",$A355&gt;=BR$8,$A355&lt;=BR$9),IF(SUM(BR$10:BR354)-ROUNDDOWN($M355*BR$5/100,0)&lt;-BR$6,-BR$6-SUM(BR$10:BR354),-ROUNDDOWN($M355*BR$5/100,0)),0)</f>
        <v>0</v>
      </c>
      <c r="BS355" s="38">
        <f>IF(AND(BS$7="○",$A355&gt;=BS$8,$A355&lt;=BS$9),IF(SUM(BS$10:BS354)-ROUNDDOWN($M355*BS$5/100,0)&lt;-BS$6,-BS$6-SUM(BS$10:BS354),-ROUNDDOWN($M355*BS$5/100,0)),0)</f>
        <v>0</v>
      </c>
      <c r="BT355" s="38">
        <f>IF(AND(BT$7="○",$A355&gt;=BT$8,$A355&lt;=BT$9),IF(SUM(BT$10:BT354)-ROUNDDOWN($M355*BT$5/100,0)&lt;-BT$6,-BT$6-SUM(BT$10:BT354),-ROUNDDOWN($M355*BT$5/100,0)),0)</f>
        <v>0</v>
      </c>
      <c r="BU355" s="38">
        <f>IF(AND(BU$7="○",$A355&gt;=BU$8,$A355&lt;=BU$9),IF(SUM(BU$10:BU354)-ROUNDDOWN($M355*BU$5/100,0)&lt;-BU$6,-BU$6-SUM(BU$10:BU354),-ROUNDDOWN($M355*BU$5/100,0)),0)</f>
        <v>0</v>
      </c>
      <c r="BV355" s="38">
        <f>IF(AND(BV$7="○",$A355&gt;=BV$8,$A355&lt;=BV$9),IF(SUM(BV$10:BV354)-ROUNDDOWN($M355*BV$5/100,0)&lt;-BV$6,-BV$6-SUM(BV$10:BV354),-ROUNDDOWN($M355*BV$5/100,0)),0)</f>
        <v>0</v>
      </c>
      <c r="BW355" s="38">
        <f>IF(AND(BW$7="○",$A355&gt;=BW$8,$A355&lt;=BW$9),IF(SUM(BW$10:BW354)-ROUNDDOWN($M355*BW$5/100,0)&lt;-BW$6,-BW$6-SUM(BW$10:BW354),-ROUNDDOWN($M355*BW$5/100,0)),0)</f>
        <v>0</v>
      </c>
      <c r="BX355" s="38">
        <f>IF(AND(T355="○",$A355&gt;=BX$8,$A355&lt;=BX$9),IF(SUM(BX$10:BX354)-ROUNDDOWN($K355*BX$5/100,0)&lt;-BX$6,-BX$6-SUM(BX$10:BX354),-ROUNDDOWN($K355*BX$5/100,0)),0)</f>
        <v>0</v>
      </c>
      <c r="BY355" s="38">
        <f>IF(AND(U355="○",$A355&gt;=BY$8,$A355&lt;=BY$9),IF(SUM(BY$10:BY354)-ROUNDDOWN($K355*BY$5/100,0)&lt;-BY$6,-BY$6-SUM(BY$10:BY354),-ROUNDDOWN($K355*BY$5/100,0)),0)</f>
        <v>0</v>
      </c>
      <c r="BZ355" s="38">
        <f>IF(AND(V355="○",$A355&gt;=BZ$8,$A355&lt;=BZ$9),IF(SUM(BZ$10:BZ354)-ROUNDDOWN($K355*BZ$5/100,0)&lt;-BZ$6,-BZ$6-SUM(BZ$10:BZ354),-ROUNDDOWN($K355*BZ$5/100,0)),0)</f>
        <v>0</v>
      </c>
      <c r="CA355" s="38">
        <f>IF(AND(W355="○",$A355&gt;=CA$8,$A355&lt;=CA$9),IF(SUM(CA$10:CA354)-ROUNDDOWN($K355*CA$5/100,0)&lt;-CA$6,-CA$6-SUM(CA$10:CA354),-ROUNDDOWN($K355*CA$5/100,0)),0)</f>
        <v>0</v>
      </c>
      <c r="CB355" s="38"/>
      <c r="CC355" s="38"/>
      <c r="CD355" s="38"/>
      <c r="CE355" s="38"/>
      <c r="CF355" s="38"/>
      <c r="CG355" s="65">
        <f t="shared" si="256"/>
        <v>0</v>
      </c>
      <c r="CH355" s="71">
        <f t="shared" si="257"/>
        <v>0</v>
      </c>
      <c r="CI355" s="1">
        <f t="shared" si="19"/>
        <v>0</v>
      </c>
      <c r="CJ355" s="1"/>
      <c r="CK355" s="72"/>
      <c r="CL355" s="72"/>
      <c r="CM355" s="2"/>
      <c r="CN355" s="2"/>
      <c r="CO355" s="73">
        <f t="shared" si="20"/>
        <v>0</v>
      </c>
      <c r="CP355" s="5">
        <f t="shared" si="21"/>
        <v>0</v>
      </c>
      <c r="CQ355" s="1"/>
      <c r="CR355" s="1">
        <f t="shared" si="22"/>
        <v>0</v>
      </c>
      <c r="CS355" s="1"/>
      <c r="CT355" s="1" t="e">
        <f>INDEX([2]マスタ!$A:$A,MATCH(D355,[2]マスタ!$C:$C,0))</f>
        <v>#N/A</v>
      </c>
      <c r="CU355" s="1" t="str">
        <f t="shared" ca="1" si="23"/>
        <v>20260620_0-0</v>
      </c>
    </row>
    <row r="356" spans="1:99" x14ac:dyDescent="0.4">
      <c r="A356" s="61"/>
      <c r="B356" s="62"/>
      <c r="C356" s="62"/>
      <c r="D356" s="62"/>
      <c r="E356" s="74"/>
      <c r="F356" s="62"/>
      <c r="G356" s="62">
        <v>1</v>
      </c>
      <c r="H356" s="64">
        <f t="shared" si="4"/>
        <v>0</v>
      </c>
      <c r="I356" s="64"/>
      <c r="J356" s="64"/>
      <c r="K356" s="65">
        <f t="shared" si="258"/>
        <v>0</v>
      </c>
      <c r="L356" s="65">
        <f t="shared" si="6"/>
        <v>0</v>
      </c>
      <c r="M356" s="65">
        <f t="shared" si="7"/>
        <v>0</v>
      </c>
      <c r="N356" s="65">
        <f t="shared" si="8"/>
        <v>0</v>
      </c>
      <c r="O356" s="66" t="str">
        <f t="shared" si="259"/>
        <v>✕</v>
      </c>
      <c r="P356" s="67" t="str">
        <f t="shared" si="260"/>
        <v>○</v>
      </c>
      <c r="Q356" s="67" t="str">
        <f t="shared" si="261"/>
        <v>✕</v>
      </c>
      <c r="R356" s="67" t="str">
        <f t="shared" si="262"/>
        <v>✕</v>
      </c>
      <c r="S356" s="68">
        <v>0</v>
      </c>
      <c r="T356" s="69" t="s">
        <v>85</v>
      </c>
      <c r="U356" s="69" t="s">
        <v>85</v>
      </c>
      <c r="V356" s="69" t="s">
        <v>85</v>
      </c>
      <c r="W356" s="69" t="s">
        <v>85</v>
      </c>
      <c r="X356" s="69" t="s">
        <v>84</v>
      </c>
      <c r="Y356" s="69" t="s">
        <v>85</v>
      </c>
      <c r="Z356" s="69" t="s">
        <v>85</v>
      </c>
      <c r="AA356" s="69" t="s">
        <v>85</v>
      </c>
      <c r="AB356" s="69" t="s">
        <v>85</v>
      </c>
      <c r="AC356" s="69" t="s">
        <v>85</v>
      </c>
      <c r="AD356" s="38" t="str">
        <f>+IF(ISERROR(VLOOKUP($B356,AD$10:AD355,1,0)),IF(AND($N356&gt;=1000,$A356&gt;=AO$8,$A356&lt;=AO$9),$B356,""),"")</f>
        <v/>
      </c>
      <c r="AE356" s="38" t="str">
        <f>+IF(ISERROR(VLOOKUP($B356,AE$10:AE355,1,0)),IF(AND($N356&gt;=1000,$A356&gt;=AP$8,$A356&lt;=AP$9),$B356,""),"")</f>
        <v/>
      </c>
      <c r="AF356" s="38" t="str">
        <f>+IF(ISERROR(VLOOKUP($B356,AF$10:AF355,1,0)),IF(AND($N356&gt;=1000,$A356&gt;=AQ$8,$A356&lt;=AQ$9),$B356,""),"")</f>
        <v/>
      </c>
      <c r="AG356" s="38" t="str">
        <f>+IF(ISERROR(VLOOKUP($B356,AG$10:AG355,1,0)),IF(AND($N356&gt;=1000,$A356&gt;=AR$8,$A356&lt;=AR$9),$B356,""),"")</f>
        <v/>
      </c>
      <c r="AH356" s="38"/>
      <c r="AI356" s="70">
        <v>0</v>
      </c>
      <c r="AJ356" s="38">
        <f>IF(AND(AJ$7="○",$A356&gt;=AJ$8,$A356&lt;=AJ$9),IF(SUM(AJ$10:AJ355)-ROUNDDOWN($K356*AJ$5/100,0)&lt;-AJ$6,-AJ$6-SUM(AJ$10:AJ355),-ROUNDDOWN($K356*AJ$5/100,0)),0)</f>
        <v>0</v>
      </c>
      <c r="AK356" s="38">
        <f>IF(AND(AK$7="○",$A356&gt;=AK$8,$A356&lt;=AK$9),IF(SUM(AK$10:AK355)-ROUNDDOWN($L356*AK$5/100,0)&lt;-AK$6,-AK$6-SUM(AK$10:AK355),-ROUNDDOWN($L356*AK$5/100,0)),0)</f>
        <v>0</v>
      </c>
      <c r="AL356" s="38">
        <f>IF(AND(AL$7="○",$A356&gt;=AL$8,$A356&lt;=AL$9),IF(SUM(AL$10:AL355)-ROUNDDOWN($N356*AL$5/100,0)&lt;-AL$6,-AL$6-SUM(AL$10:AL355),-ROUNDDOWN($N356*AL$5/100,0)),0)</f>
        <v>0</v>
      </c>
      <c r="AM356" s="38">
        <f>IF(AND(AM$7="○",$A356&gt;=AM$8,$A356&lt;=AM$9),IF(SUM(AM$10:AM355)-ROUNDDOWN($L356*AM$5/100,0)&lt;-AM$6,-AM$6-SUM(AM$10:AM355),-ROUNDDOWN($L356*AM$5/100,0)),0)</f>
        <v>0</v>
      </c>
      <c r="AN356" s="38">
        <f>IF(AND(AN$7="○",$A356&gt;=AN$8,$A356&lt;=AN$9),IF(SUM(AN$10:AN355)-ROUNDDOWN($M356*AN$5/100,0)&lt;-AN$6,-AN$6-SUM(AN$10:AN355),-ROUNDDOWN($M356*AN$5/100,0)),0)</f>
        <v>0</v>
      </c>
      <c r="AO356" s="38">
        <f>IF(AND($A356&gt;=AO$8,$A356&lt;=AO$9),IF(SUM(AO$10:AO355)-ROUNDDOWN($K356*AO$5/100,0)&lt;-AO$6,-AO$6-SUM(AO$10:AO355),-ROUNDDOWN($K356*AO$5/100,0)),0)</f>
        <v>0</v>
      </c>
      <c r="AP356" s="38">
        <f>IF(AND($A356&gt;=AP$8,$A356&lt;=AP$9),IF(SUM(AP$10:AP355)-ROUNDDOWN($K356*AP$5/100,0)&lt;-AP$6,-AP$6-SUM(AP$10:AP355),-ROUNDDOWN($K356*AP$5/100,0)),0)</f>
        <v>0</v>
      </c>
      <c r="AQ356" s="38">
        <f>IF(AND($A356&gt;=AQ$8,$A356&lt;=AQ$9),IF(SUM(AQ$10:AQ355)-ROUNDDOWN($K356*AQ$5/100,0)&lt;-AQ$6,-AQ$6-SUM(AQ$10:AQ355),-ROUNDDOWN($K356*AQ$5/100,0)),0)</f>
        <v>0</v>
      </c>
      <c r="AR356" s="38">
        <f>IF(AND($A356&gt;=AR$8,$A356&lt;=AR$9),IF(SUM(AR$10:AR355)-ROUNDDOWN($K356*AR$5/100,0)&lt;-AR$6,-AR$6-SUM(AR$10:AR355),-ROUNDDOWN($K356*AR$5/100,0)),0)</f>
        <v>0</v>
      </c>
      <c r="AS356" s="38">
        <f>IF(SUMIFS(AS$10:AS355,$A$10:$A355,$A356)-ROUNDDOWN($K356*$S356/100,0)&lt;-$S356*1000,-$S356*1000-SUMIFS(AS$10:AS355,$A$10:$A355,$A356),-ROUNDDOWN($K356*$S356/100,0))</f>
        <v>0</v>
      </c>
      <c r="AT356" s="38">
        <f>IF(AND(X356="○",$A356&gt;=AT$8,$A356&lt;=AT$9,K356&gt;=3980),IF(SUM(AT$10:AT355)-ROUNDDOWN($K356*AT$5/100,0)&lt;-AT$6,-AT$6-SUM(AT$10:AT355),-ROUNDDOWN($K356*AT$5/100,0)),0)</f>
        <v>0</v>
      </c>
      <c r="AU356" s="38">
        <f>IF(O356="○",IF(SUM(AU$10:AU355)-ROUNDDOWN($K356*AU$5/100,0)&lt;-AU$6,-AU$6-SUM(AU$10:AU355),-ROUNDDOWN($K356*AU$5/100,0)),0)</f>
        <v>0</v>
      </c>
      <c r="AV356" s="38">
        <f>IF(P356="○",IF(SUM(AV$10:AV355)-ROUNDDOWN($K356*AV$5/100,0)&lt;-AV$6,-AV$6-SUM(AV$10:AV355),-ROUNDDOWN($K356*AV$5/100,0)),0)</f>
        <v>0</v>
      </c>
      <c r="AW356" s="38">
        <f>IF(Q356="○",IF(SUM(AW$10:AW355)-ROUNDDOWN($K356*AW$5/100,0)&lt;-AW$6,-AW$6-SUM(AW$10:AW355),-ROUNDDOWN($K356*AW$5/100,0)),0)</f>
        <v>0</v>
      </c>
      <c r="AX356" s="38">
        <f>IF(R356="○",IF(SUM(AX$10:AX355)-ROUNDDOWN($K356*AX$5/100,0)&lt;-AX$6,-AX$6-SUM(AX$10:AX355),-ROUNDDOWN($K356*AX$5/100,0)),0)</f>
        <v>0</v>
      </c>
      <c r="AY356" s="70">
        <v>0</v>
      </c>
      <c r="AZ356" s="65">
        <f t="shared" si="250"/>
        <v>0</v>
      </c>
      <c r="BA356" s="65">
        <f t="shared" si="251"/>
        <v>0</v>
      </c>
      <c r="BB356" s="70"/>
      <c r="BC356" s="65">
        <f t="shared" si="252"/>
        <v>0</v>
      </c>
      <c r="BD356" s="70">
        <v>0</v>
      </c>
      <c r="BE356" s="65">
        <f t="shared" si="253"/>
        <v>0</v>
      </c>
      <c r="BF356" s="70">
        <v>0</v>
      </c>
      <c r="BG356" s="65">
        <f t="shared" si="254"/>
        <v>0</v>
      </c>
      <c r="BH356" s="70">
        <v>0</v>
      </c>
      <c r="BI356" s="65">
        <f t="shared" si="255"/>
        <v>0</v>
      </c>
      <c r="BJ356" s="38">
        <f>IF(AND(BJ$7="○",$A356&gt;=BJ$8,$A356&lt;=BJ$9),IF(SUM(BJ$10:BJ355)-ROUNDDOWN($M356*BJ$5/100,0)&lt;-BJ$6,-BJ$6-SUM(BJ$10:BJ355),-ROUNDDOWN($M356*BJ$5/100,0)),0)</f>
        <v>0</v>
      </c>
      <c r="BK356" s="38">
        <f>IF(AND(BK$7="○",$A356&gt;=BK$8,$A356&lt;=BK$9),IF(SUM(BK$10:BK355)-ROUNDDOWN($L356*BK$5/100,0)&lt;-BK$6,-BK$6-SUM(BK$10:BK355),-ROUNDDOWN($L356*BK$5/100,0)),0)</f>
        <v>0</v>
      </c>
      <c r="BL356" s="38">
        <f>IF(AND(BL$7="○",$A356&gt;=BL$8,$A356&lt;=BL$9),IF(SUM(BL$10:BL355)-ROUNDDOWN($L356*BL$5/100,0)&lt;-BL$6,-BL$6-SUM(BL$10:BL355),-ROUNDDOWN($L356*BL$5/100,0)),0)</f>
        <v>0</v>
      </c>
      <c r="BM356" s="38">
        <f>IF(AND(BM$7="○",$A356&gt;=BM$8,$A356&lt;=BM$9),IF(SUM(BM$10:BM355)-ROUNDDOWN($M356*BM$5/100,0)&lt;-BM$6,-BM$6-SUM(BM$10:BM355),-ROUNDDOWN($M356*BM$5/100,0)),0)</f>
        <v>0</v>
      </c>
      <c r="BN356" s="38">
        <f>IF(AND(BN$7="○",$A356&gt;=BN$8,$A356&lt;=BN$9),IF(SUM(BN$10:BN355)-ROUNDDOWN($M356*BN$5/100,0)&lt;-BN$6,-BN$6-SUM(BN$10:BN355),-ROUNDDOWN($M356*BN$5/100,0)),0)</f>
        <v>0</v>
      </c>
      <c r="BO356" s="38">
        <f>IF(AND(BO$7="○",$A356&gt;=BO$8,$A356&lt;=BO$9),IF(SUM(BO$10:BO355)-ROUNDDOWN($M356*BO$5/100,0)&lt;-BO$6,-BO$6-SUM(BO$10:BO355),-ROUNDDOWN($M356*BO$5/100,0)),0)</f>
        <v>0</v>
      </c>
      <c r="BP356" s="38">
        <f>IF(AND(BP$7="○",$A356&gt;=BP$8,$A356&lt;=BP$9),IF(SUM(BP$10:BP355)-ROUNDDOWN($M356*BP$5/100,0)&lt;-BP$6,-BP$6-SUM(BP$10:BP355),-ROUNDDOWN($M356*BP$5/100,0)),0)</f>
        <v>0</v>
      </c>
      <c r="BQ356" s="38">
        <f>IF(AND(BQ$7="○",$A356&gt;=BQ$8,$A356&lt;=BQ$9),IF(SUM(BQ$10:BQ355)-ROUNDDOWN($L356*BQ$5/100,0)&lt;-BQ$6,-BQ$6-SUM(BQ$10:BQ355),-ROUNDDOWN($L356*BQ$5/100,0)),0)</f>
        <v>0</v>
      </c>
      <c r="BR356" s="38">
        <f>IF(AND(BR$7="○",$A356&gt;=BR$8,$A356&lt;=BR$9),IF(SUM(BR$10:BR355)-ROUNDDOWN($M356*BR$5/100,0)&lt;-BR$6,-BR$6-SUM(BR$10:BR355),-ROUNDDOWN($M356*BR$5/100,0)),0)</f>
        <v>0</v>
      </c>
      <c r="BS356" s="38">
        <f>IF(AND(BS$7="○",$A356&gt;=BS$8,$A356&lt;=BS$9),IF(SUM(BS$10:BS355)-ROUNDDOWN($M356*BS$5/100,0)&lt;-BS$6,-BS$6-SUM(BS$10:BS355),-ROUNDDOWN($M356*BS$5/100,0)),0)</f>
        <v>0</v>
      </c>
      <c r="BT356" s="38">
        <f>IF(AND(BT$7="○",$A356&gt;=BT$8,$A356&lt;=BT$9),IF(SUM(BT$10:BT355)-ROUNDDOWN($M356*BT$5/100,0)&lt;-BT$6,-BT$6-SUM(BT$10:BT355),-ROUNDDOWN($M356*BT$5/100,0)),0)</f>
        <v>0</v>
      </c>
      <c r="BU356" s="38">
        <f>IF(AND(BU$7="○",$A356&gt;=BU$8,$A356&lt;=BU$9),IF(SUM(BU$10:BU355)-ROUNDDOWN($M356*BU$5/100,0)&lt;-BU$6,-BU$6-SUM(BU$10:BU355),-ROUNDDOWN($M356*BU$5/100,0)),0)</f>
        <v>0</v>
      </c>
      <c r="BV356" s="38">
        <f>IF(AND(BV$7="○",$A356&gt;=BV$8,$A356&lt;=BV$9),IF(SUM(BV$10:BV355)-ROUNDDOWN($M356*BV$5/100,0)&lt;-BV$6,-BV$6-SUM(BV$10:BV355),-ROUNDDOWN($M356*BV$5/100,0)),0)</f>
        <v>0</v>
      </c>
      <c r="BW356" s="38">
        <f>IF(AND(BW$7="○",$A356&gt;=BW$8,$A356&lt;=BW$9),IF(SUM(BW$10:BW355)-ROUNDDOWN($M356*BW$5/100,0)&lt;-BW$6,-BW$6-SUM(BW$10:BW355),-ROUNDDOWN($M356*BW$5/100,0)),0)</f>
        <v>0</v>
      </c>
      <c r="BX356" s="38">
        <f>IF(AND(T356="○",$A356&gt;=BX$8,$A356&lt;=BX$9),IF(SUM(BX$10:BX355)-ROUNDDOWN($K356*BX$5/100,0)&lt;-BX$6,-BX$6-SUM(BX$10:BX355),-ROUNDDOWN($K356*BX$5/100,0)),0)</f>
        <v>0</v>
      </c>
      <c r="BY356" s="38">
        <f>IF(AND(U356="○",$A356&gt;=BY$8,$A356&lt;=BY$9),IF(SUM(BY$10:BY355)-ROUNDDOWN($K356*BY$5/100,0)&lt;-BY$6,-BY$6-SUM(BY$10:BY355),-ROUNDDOWN($K356*BY$5/100,0)),0)</f>
        <v>0</v>
      </c>
      <c r="BZ356" s="38">
        <f>IF(AND(V356="○",$A356&gt;=BZ$8,$A356&lt;=BZ$9),IF(SUM(BZ$10:BZ355)-ROUNDDOWN($K356*BZ$5/100,0)&lt;-BZ$6,-BZ$6-SUM(BZ$10:BZ355),-ROUNDDOWN($K356*BZ$5/100,0)),0)</f>
        <v>0</v>
      </c>
      <c r="CA356" s="38">
        <f>IF(AND(W356="○",$A356&gt;=CA$8,$A356&lt;=CA$9),IF(SUM(CA$10:CA355)-ROUNDDOWN($K356*CA$5/100,0)&lt;-CA$6,-CA$6-SUM(CA$10:CA355),-ROUNDDOWN($K356*CA$5/100,0)),0)</f>
        <v>0</v>
      </c>
      <c r="CB356" s="38"/>
      <c r="CC356" s="38"/>
      <c r="CD356" s="38"/>
      <c r="CE356" s="38"/>
      <c r="CF356" s="38"/>
      <c r="CG356" s="65">
        <f t="shared" si="256"/>
        <v>0</v>
      </c>
      <c r="CH356" s="71">
        <f t="shared" si="257"/>
        <v>0</v>
      </c>
      <c r="CI356" s="1">
        <f t="shared" si="19"/>
        <v>0</v>
      </c>
      <c r="CJ356" s="1"/>
      <c r="CK356" s="72"/>
      <c r="CL356" s="72"/>
      <c r="CM356" s="2"/>
      <c r="CN356" s="2"/>
      <c r="CO356" s="73">
        <f t="shared" si="20"/>
        <v>0</v>
      </c>
      <c r="CP356" s="5">
        <f t="shared" si="21"/>
        <v>0</v>
      </c>
      <c r="CQ356" s="1"/>
      <c r="CR356" s="1">
        <f t="shared" si="22"/>
        <v>0</v>
      </c>
      <c r="CS356" s="1"/>
      <c r="CT356" s="1" t="e">
        <f>INDEX([2]マスタ!$A:$A,MATCH(D356,[2]マスタ!$C:$C,0))</f>
        <v>#N/A</v>
      </c>
      <c r="CU356" s="1" t="str">
        <f t="shared" ca="1" si="23"/>
        <v>20260620_0-0</v>
      </c>
    </row>
    <row r="357" spans="1:99" x14ac:dyDescent="0.4">
      <c r="A357" s="61"/>
      <c r="B357" s="62"/>
      <c r="C357" s="62"/>
      <c r="D357" s="62"/>
      <c r="E357" s="74"/>
      <c r="F357" s="62"/>
      <c r="G357" s="62">
        <v>1</v>
      </c>
      <c r="H357" s="64">
        <f t="shared" si="4"/>
        <v>0</v>
      </c>
      <c r="I357" s="64"/>
      <c r="J357" s="64"/>
      <c r="K357" s="65">
        <f t="shared" si="258"/>
        <v>0</v>
      </c>
      <c r="L357" s="65">
        <f t="shared" si="6"/>
        <v>0</v>
      </c>
      <c r="M357" s="65">
        <f t="shared" si="7"/>
        <v>0</v>
      </c>
      <c r="N357" s="65">
        <f t="shared" si="8"/>
        <v>0</v>
      </c>
      <c r="O357" s="66" t="str">
        <f t="shared" si="259"/>
        <v>✕</v>
      </c>
      <c r="P357" s="67" t="str">
        <f t="shared" si="260"/>
        <v>○</v>
      </c>
      <c r="Q357" s="67" t="str">
        <f t="shared" si="261"/>
        <v>✕</v>
      </c>
      <c r="R357" s="67" t="str">
        <f t="shared" si="262"/>
        <v>✕</v>
      </c>
      <c r="S357" s="68">
        <v>0</v>
      </c>
      <c r="T357" s="69" t="s">
        <v>85</v>
      </c>
      <c r="U357" s="69" t="s">
        <v>85</v>
      </c>
      <c r="V357" s="69" t="s">
        <v>85</v>
      </c>
      <c r="W357" s="69" t="s">
        <v>85</v>
      </c>
      <c r="X357" s="69" t="s">
        <v>84</v>
      </c>
      <c r="Y357" s="69" t="s">
        <v>85</v>
      </c>
      <c r="Z357" s="69" t="s">
        <v>85</v>
      </c>
      <c r="AA357" s="69" t="s">
        <v>85</v>
      </c>
      <c r="AB357" s="69" t="s">
        <v>85</v>
      </c>
      <c r="AC357" s="69" t="s">
        <v>85</v>
      </c>
      <c r="AD357" s="38" t="str">
        <f>+IF(ISERROR(VLOOKUP($B357,AD$10:AD356,1,0)),IF(AND($N357&gt;=1000,$A357&gt;=AO$8,$A357&lt;=AO$9),$B357,""),"")</f>
        <v/>
      </c>
      <c r="AE357" s="38" t="str">
        <f>+IF(ISERROR(VLOOKUP($B357,AE$10:AE356,1,0)),IF(AND($N357&gt;=1000,$A357&gt;=AP$8,$A357&lt;=AP$9),$B357,""),"")</f>
        <v/>
      </c>
      <c r="AF357" s="38" t="str">
        <f>+IF(ISERROR(VLOOKUP($B357,AF$10:AF356,1,0)),IF(AND($N357&gt;=1000,$A357&gt;=AQ$8,$A357&lt;=AQ$9),$B357,""),"")</f>
        <v/>
      </c>
      <c r="AG357" s="38" t="str">
        <f>+IF(ISERROR(VLOOKUP($B357,AG$10:AG356,1,0)),IF(AND($N357&gt;=1000,$A357&gt;=AR$8,$A357&lt;=AR$9),$B357,""),"")</f>
        <v/>
      </c>
      <c r="AH357" s="38"/>
      <c r="AI357" s="70">
        <v>0</v>
      </c>
      <c r="AJ357" s="38">
        <f>IF(AND(AJ$7="○",$A357&gt;=AJ$8,$A357&lt;=AJ$9),IF(SUM(AJ$10:AJ356)-ROUNDDOWN($K357*AJ$5/100,0)&lt;-AJ$6,-AJ$6-SUM(AJ$10:AJ356),-ROUNDDOWN($K357*AJ$5/100,0)),0)</f>
        <v>0</v>
      </c>
      <c r="AK357" s="38">
        <f>IF(AND(AK$7="○",$A357&gt;=AK$8,$A357&lt;=AK$9),IF(SUM(AK$10:AK356)-ROUNDDOWN($L357*AK$5/100,0)&lt;-AK$6,-AK$6-SUM(AK$10:AK356),-ROUNDDOWN($L357*AK$5/100,0)),0)</f>
        <v>0</v>
      </c>
      <c r="AL357" s="38">
        <f>IF(AND(AL$7="○",$A357&gt;=AL$8,$A357&lt;=AL$9),IF(SUM(AL$10:AL356)-ROUNDDOWN($N357*AL$5/100,0)&lt;-AL$6,-AL$6-SUM(AL$10:AL356),-ROUNDDOWN($N357*AL$5/100,0)),0)</f>
        <v>0</v>
      </c>
      <c r="AM357" s="38">
        <f>IF(AND(AM$7="○",$A357&gt;=AM$8,$A357&lt;=AM$9),IF(SUM(AM$10:AM356)-ROUNDDOWN($L357*AM$5/100,0)&lt;-AM$6,-AM$6-SUM(AM$10:AM356),-ROUNDDOWN($L357*AM$5/100,0)),0)</f>
        <v>0</v>
      </c>
      <c r="AN357" s="38">
        <f>IF(AND(AN$7="○",$A357&gt;=AN$8,$A357&lt;=AN$9),IF(SUM(AN$10:AN356)-ROUNDDOWN($M357*AN$5/100,0)&lt;-AN$6,-AN$6-SUM(AN$10:AN356),-ROUNDDOWN($M357*AN$5/100,0)),0)</f>
        <v>0</v>
      </c>
      <c r="AO357" s="38">
        <f>IF(AND($A357&gt;=AO$8,$A357&lt;=AO$9),IF(SUM(AO$10:AO356)-ROUNDDOWN($K357*AO$5/100,0)&lt;-AO$6,-AO$6-SUM(AO$10:AO356),-ROUNDDOWN($K357*AO$5/100,0)),0)</f>
        <v>0</v>
      </c>
      <c r="AP357" s="38">
        <f>IF(AND($A357&gt;=AP$8,$A357&lt;=AP$9),IF(SUM(AP$10:AP356)-ROUNDDOWN($K357*AP$5/100,0)&lt;-AP$6,-AP$6-SUM(AP$10:AP356),-ROUNDDOWN($K357*AP$5/100,0)),0)</f>
        <v>0</v>
      </c>
      <c r="AQ357" s="38">
        <f>IF(AND($A357&gt;=AQ$8,$A357&lt;=AQ$9),IF(SUM(AQ$10:AQ356)-ROUNDDOWN($K357*AQ$5/100,0)&lt;-AQ$6,-AQ$6-SUM(AQ$10:AQ356),-ROUNDDOWN($K357*AQ$5/100,0)),0)</f>
        <v>0</v>
      </c>
      <c r="AR357" s="38">
        <f>IF(AND($A357&gt;=AR$8,$A357&lt;=AR$9),IF(SUM(AR$10:AR356)-ROUNDDOWN($K357*AR$5/100,0)&lt;-AR$6,-AR$6-SUM(AR$10:AR356),-ROUNDDOWN($K357*AR$5/100,0)),0)</f>
        <v>0</v>
      </c>
      <c r="AS357" s="38">
        <f>IF(SUMIFS(AS$10:AS356,$A$10:$A356,$A357)-ROUNDDOWN($K357*$S357/100,0)&lt;-$S357*1000,-$S357*1000-SUMIFS(AS$10:AS356,$A$10:$A356,$A357),-ROUNDDOWN($K357*$S357/100,0))</f>
        <v>0</v>
      </c>
      <c r="AT357" s="38">
        <f>IF(AND(X357="○",$A357&gt;=AT$8,$A357&lt;=AT$9,K357&gt;=3980),IF(SUM(AT$10:AT356)-ROUNDDOWN($K357*AT$5/100,0)&lt;-AT$6,-AT$6-SUM(AT$10:AT356),-ROUNDDOWN($K357*AT$5/100,0)),0)</f>
        <v>0</v>
      </c>
      <c r="AU357" s="38">
        <f>IF(O357="○",IF(SUM(AU$10:AU356)-ROUNDDOWN($K357*AU$5/100,0)&lt;-AU$6,-AU$6-SUM(AU$10:AU356),-ROUNDDOWN($K357*AU$5/100,0)),0)</f>
        <v>0</v>
      </c>
      <c r="AV357" s="38">
        <f>IF(P357="○",IF(SUM(AV$10:AV356)-ROUNDDOWN($K357*AV$5/100,0)&lt;-AV$6,-AV$6-SUM(AV$10:AV356),-ROUNDDOWN($K357*AV$5/100,0)),0)</f>
        <v>0</v>
      </c>
      <c r="AW357" s="38">
        <f>IF(Q357="○",IF(SUM(AW$10:AW356)-ROUNDDOWN($K357*AW$5/100,0)&lt;-AW$6,-AW$6-SUM(AW$10:AW356),-ROUNDDOWN($K357*AW$5/100,0)),0)</f>
        <v>0</v>
      </c>
      <c r="AX357" s="38">
        <f>IF(R357="○",IF(SUM(AX$10:AX356)-ROUNDDOWN($K357*AX$5/100,0)&lt;-AX$6,-AX$6-SUM(AX$10:AX356),-ROUNDDOWN($K357*AX$5/100,0)),0)</f>
        <v>0</v>
      </c>
      <c r="AY357" s="70">
        <v>0</v>
      </c>
      <c r="AZ357" s="65">
        <f t="shared" si="250"/>
        <v>0</v>
      </c>
      <c r="BA357" s="65">
        <f t="shared" si="251"/>
        <v>0</v>
      </c>
      <c r="BB357" s="70"/>
      <c r="BC357" s="65">
        <f t="shared" si="252"/>
        <v>0</v>
      </c>
      <c r="BD357" s="70">
        <v>0</v>
      </c>
      <c r="BE357" s="65">
        <f t="shared" si="253"/>
        <v>0</v>
      </c>
      <c r="BF357" s="70">
        <v>0</v>
      </c>
      <c r="BG357" s="65">
        <f t="shared" si="254"/>
        <v>0</v>
      </c>
      <c r="BH357" s="70">
        <v>0</v>
      </c>
      <c r="BI357" s="65">
        <f t="shared" si="255"/>
        <v>0</v>
      </c>
      <c r="BJ357" s="38">
        <f>IF(AND(BJ$7="○",$A357&gt;=BJ$8,$A357&lt;=BJ$9),IF(SUM(BJ$10:BJ356)-ROUNDDOWN($M357*BJ$5/100,0)&lt;-BJ$6,-BJ$6-SUM(BJ$10:BJ356),-ROUNDDOWN($M357*BJ$5/100,0)),0)</f>
        <v>0</v>
      </c>
      <c r="BK357" s="38">
        <f>IF(AND(BK$7="○",$A357&gt;=BK$8,$A357&lt;=BK$9),IF(SUM(BK$10:BK356)-ROUNDDOWN($L357*BK$5/100,0)&lt;-BK$6,-BK$6-SUM(BK$10:BK356),-ROUNDDOWN($L357*BK$5/100,0)),0)</f>
        <v>0</v>
      </c>
      <c r="BL357" s="38">
        <f>IF(AND(BL$7="○",$A357&gt;=BL$8,$A357&lt;=BL$9),IF(SUM(BL$10:BL356)-ROUNDDOWN($L357*BL$5/100,0)&lt;-BL$6,-BL$6-SUM(BL$10:BL356),-ROUNDDOWN($L357*BL$5/100,0)),0)</f>
        <v>0</v>
      </c>
      <c r="BM357" s="38">
        <f>IF(AND(BM$7="○",$A357&gt;=BM$8,$A357&lt;=BM$9),IF(SUM(BM$10:BM356)-ROUNDDOWN($M357*BM$5/100,0)&lt;-BM$6,-BM$6-SUM(BM$10:BM356),-ROUNDDOWN($M357*BM$5/100,0)),0)</f>
        <v>0</v>
      </c>
      <c r="BN357" s="38">
        <f>IF(AND(BN$7="○",$A357&gt;=BN$8,$A357&lt;=BN$9),IF(SUM(BN$10:BN356)-ROUNDDOWN($M357*BN$5/100,0)&lt;-BN$6,-BN$6-SUM(BN$10:BN356),-ROUNDDOWN($M357*BN$5/100,0)),0)</f>
        <v>0</v>
      </c>
      <c r="BO357" s="38">
        <f>IF(AND(BO$7="○",$A357&gt;=BO$8,$A357&lt;=BO$9),IF(SUM(BO$10:BO356)-ROUNDDOWN($M357*BO$5/100,0)&lt;-BO$6,-BO$6-SUM(BO$10:BO356),-ROUNDDOWN($M357*BO$5/100,0)),0)</f>
        <v>0</v>
      </c>
      <c r="BP357" s="38">
        <f>IF(AND(BP$7="○",$A357&gt;=BP$8,$A357&lt;=BP$9),IF(SUM(BP$10:BP356)-ROUNDDOWN($M357*BP$5/100,0)&lt;-BP$6,-BP$6-SUM(BP$10:BP356),-ROUNDDOWN($M357*BP$5/100,0)),0)</f>
        <v>0</v>
      </c>
      <c r="BQ357" s="38">
        <f>IF(AND(BQ$7="○",$A357&gt;=BQ$8,$A357&lt;=BQ$9),IF(SUM(BQ$10:BQ356)-ROUNDDOWN($L357*BQ$5/100,0)&lt;-BQ$6,-BQ$6-SUM(BQ$10:BQ356),-ROUNDDOWN($L357*BQ$5/100,0)),0)</f>
        <v>0</v>
      </c>
      <c r="BR357" s="38">
        <f>IF(AND(BR$7="○",$A357&gt;=BR$8,$A357&lt;=BR$9),IF(SUM(BR$10:BR356)-ROUNDDOWN($M357*BR$5/100,0)&lt;-BR$6,-BR$6-SUM(BR$10:BR356),-ROUNDDOWN($M357*BR$5/100,0)),0)</f>
        <v>0</v>
      </c>
      <c r="BS357" s="38">
        <f>IF(AND(BS$7="○",$A357&gt;=BS$8,$A357&lt;=BS$9),IF(SUM(BS$10:BS356)-ROUNDDOWN($M357*BS$5/100,0)&lt;-BS$6,-BS$6-SUM(BS$10:BS356),-ROUNDDOWN($M357*BS$5/100,0)),0)</f>
        <v>0</v>
      </c>
      <c r="BT357" s="38">
        <f>IF(AND(BT$7="○",$A357&gt;=BT$8,$A357&lt;=BT$9),IF(SUM(BT$10:BT356)-ROUNDDOWN($M357*BT$5/100,0)&lt;-BT$6,-BT$6-SUM(BT$10:BT356),-ROUNDDOWN($M357*BT$5/100,0)),0)</f>
        <v>0</v>
      </c>
      <c r="BU357" s="38">
        <f>IF(AND(BU$7="○",$A357&gt;=BU$8,$A357&lt;=BU$9),IF(SUM(BU$10:BU356)-ROUNDDOWN($M357*BU$5/100,0)&lt;-BU$6,-BU$6-SUM(BU$10:BU356),-ROUNDDOWN($M357*BU$5/100,0)),0)</f>
        <v>0</v>
      </c>
      <c r="BV357" s="38">
        <f>IF(AND(BV$7="○",$A357&gt;=BV$8,$A357&lt;=BV$9),IF(SUM(BV$10:BV356)-ROUNDDOWN($M357*BV$5/100,0)&lt;-BV$6,-BV$6-SUM(BV$10:BV356),-ROUNDDOWN($M357*BV$5/100,0)),0)</f>
        <v>0</v>
      </c>
      <c r="BW357" s="38">
        <f>IF(AND(BW$7="○",$A357&gt;=BW$8,$A357&lt;=BW$9),IF(SUM(BW$10:BW356)-ROUNDDOWN($M357*BW$5/100,0)&lt;-BW$6,-BW$6-SUM(BW$10:BW356),-ROUNDDOWN($M357*BW$5/100,0)),0)</f>
        <v>0</v>
      </c>
      <c r="BX357" s="38">
        <f>IF(AND(T357="○",$A357&gt;=BX$8,$A357&lt;=BX$9),IF(SUM(BX$10:BX356)-ROUNDDOWN($K357*BX$5/100,0)&lt;-BX$6,-BX$6-SUM(BX$10:BX356),-ROUNDDOWN($K357*BX$5/100,0)),0)</f>
        <v>0</v>
      </c>
      <c r="BY357" s="38">
        <f>IF(AND(U357="○",$A357&gt;=BY$8,$A357&lt;=BY$9),IF(SUM(BY$10:BY356)-ROUNDDOWN($K357*BY$5/100,0)&lt;-BY$6,-BY$6-SUM(BY$10:BY356),-ROUNDDOWN($K357*BY$5/100,0)),0)</f>
        <v>0</v>
      </c>
      <c r="BZ357" s="38">
        <f>IF(AND(V357="○",$A357&gt;=BZ$8,$A357&lt;=BZ$9),IF(SUM(BZ$10:BZ356)-ROUNDDOWN($K357*BZ$5/100,0)&lt;-BZ$6,-BZ$6-SUM(BZ$10:BZ356),-ROUNDDOWN($K357*BZ$5/100,0)),0)</f>
        <v>0</v>
      </c>
      <c r="CA357" s="38">
        <f>IF(AND(W357="○",$A357&gt;=CA$8,$A357&lt;=CA$9),IF(SUM(CA$10:CA356)-ROUNDDOWN($K357*CA$5/100,0)&lt;-CA$6,-CA$6-SUM(CA$10:CA356),-ROUNDDOWN($K357*CA$5/100,0)),0)</f>
        <v>0</v>
      </c>
      <c r="CB357" s="38"/>
      <c r="CC357" s="38"/>
      <c r="CD357" s="38"/>
      <c r="CE357" s="38"/>
      <c r="CF357" s="38"/>
      <c r="CG357" s="65">
        <f t="shared" si="256"/>
        <v>0</v>
      </c>
      <c r="CH357" s="71">
        <f t="shared" si="257"/>
        <v>0</v>
      </c>
      <c r="CI357" s="1">
        <f t="shared" si="19"/>
        <v>0</v>
      </c>
      <c r="CJ357" s="1"/>
      <c r="CK357" s="72"/>
      <c r="CL357" s="72"/>
      <c r="CM357" s="2"/>
      <c r="CN357" s="2"/>
      <c r="CO357" s="73">
        <f t="shared" si="20"/>
        <v>0</v>
      </c>
      <c r="CP357" s="5">
        <f t="shared" si="21"/>
        <v>0</v>
      </c>
      <c r="CQ357" s="1"/>
      <c r="CR357" s="1">
        <f t="shared" si="22"/>
        <v>0</v>
      </c>
      <c r="CS357" s="1"/>
      <c r="CT357" s="1" t="e">
        <f>INDEX([2]マスタ!$A:$A,MATCH(D357,[2]マスタ!$C:$C,0))</f>
        <v>#N/A</v>
      </c>
      <c r="CU357" s="1" t="str">
        <f t="shared" ca="1" si="23"/>
        <v>20260620_0-0</v>
      </c>
    </row>
    <row r="358" spans="1:99" x14ac:dyDescent="0.4">
      <c r="A358" s="61"/>
      <c r="B358" s="62"/>
      <c r="C358" s="62"/>
      <c r="D358" s="62"/>
      <c r="E358" s="74"/>
      <c r="F358" s="62"/>
      <c r="G358" s="62">
        <v>1</v>
      </c>
      <c r="H358" s="64">
        <f t="shared" si="4"/>
        <v>0</v>
      </c>
      <c r="I358" s="64"/>
      <c r="J358" s="64"/>
      <c r="K358" s="65">
        <f t="shared" ref="K358:K361" si="263">+ROUNDDOWN((H358+I358+J358)/100,0)*100</f>
        <v>0</v>
      </c>
      <c r="L358" s="65">
        <f t="shared" si="6"/>
        <v>0</v>
      </c>
      <c r="M358" s="65">
        <f t="shared" si="7"/>
        <v>0</v>
      </c>
      <c r="N358" s="65">
        <f t="shared" si="8"/>
        <v>0</v>
      </c>
      <c r="O358" s="66" t="str">
        <f t="shared" si="259"/>
        <v>✕</v>
      </c>
      <c r="P358" s="67" t="str">
        <f t="shared" si="260"/>
        <v>○</v>
      </c>
      <c r="Q358" s="67" t="str">
        <f t="shared" ref="Q358:Q361" si="264">+IF((TEXT(A358,"DD")+0)=1,"○","✕")</f>
        <v>✕</v>
      </c>
      <c r="R358" s="67" t="str">
        <f t="shared" si="262"/>
        <v>✕</v>
      </c>
      <c r="S358" s="68">
        <v>0</v>
      </c>
      <c r="T358" s="69" t="s">
        <v>85</v>
      </c>
      <c r="U358" s="69" t="s">
        <v>85</v>
      </c>
      <c r="V358" s="69" t="s">
        <v>85</v>
      </c>
      <c r="W358" s="69" t="s">
        <v>85</v>
      </c>
      <c r="X358" s="69" t="s">
        <v>84</v>
      </c>
      <c r="Y358" s="69" t="s">
        <v>85</v>
      </c>
      <c r="Z358" s="69" t="s">
        <v>85</v>
      </c>
      <c r="AA358" s="69" t="s">
        <v>85</v>
      </c>
      <c r="AB358" s="69" t="s">
        <v>85</v>
      </c>
      <c r="AC358" s="69" t="s">
        <v>85</v>
      </c>
      <c r="AD358" s="38" t="str">
        <f>+IF(ISERROR(VLOOKUP($B358,AD$10:AD350,1,0)),IF(AND($N358&gt;=1000,$A358&gt;=AO$8,$A358&lt;=AO$9),$B358,""),"")</f>
        <v/>
      </c>
      <c r="AE358" s="38" t="str">
        <f>+IF(ISERROR(VLOOKUP($B358,AE$10:AE350,1,0)),IF(AND($N358&gt;=1000,$A358&gt;=AP$8,$A358&lt;=AP$9),$B358,""),"")</f>
        <v/>
      </c>
      <c r="AF358" s="38" t="str">
        <f>+IF(ISERROR(VLOOKUP($B358,AF$10:AF350,1,0)),IF(AND($N358&gt;=1000,$A358&gt;=AQ$8,$A358&lt;=AQ$9),$B358,""),"")</f>
        <v/>
      </c>
      <c r="AG358" s="38" t="str">
        <f>+IF(ISERROR(VLOOKUP($B358,AG$10:AG350,1,0)),IF(AND($N358&gt;=1000,$A358&gt;=AR$8,$A358&lt;=AR$9),$B358,""),"")</f>
        <v/>
      </c>
      <c r="AH358" s="38"/>
      <c r="AI358" s="70">
        <v>0</v>
      </c>
      <c r="AJ358" s="38">
        <f>IF(AND(AJ$7="○",$A358&gt;=AJ$8,$A358&lt;=AJ$9),IF(SUM(AJ$10:AJ357)-ROUNDDOWN($K358*AJ$5/100,0)&lt;-AJ$6,-AJ$6-SUM(AJ$10:AJ357),-ROUNDDOWN($K358*AJ$5/100,0)),0)</f>
        <v>0</v>
      </c>
      <c r="AK358" s="38">
        <f>IF(AND(AK$7="○",$A358&gt;=AK$8,$A358&lt;=AK$9),IF(SUM(AK$10:AK357)-ROUNDDOWN($L358*AK$5/100,0)&lt;-AK$6,-AK$6-SUM(AK$10:AK357),-ROUNDDOWN($L358*AK$5/100,0)),0)</f>
        <v>0</v>
      </c>
      <c r="AL358" s="38">
        <f>IF(AND(AL$7="○",$A358&gt;=AL$8,$A358&lt;=AL$9),IF(SUM(AL$10:AL357)-ROUNDDOWN($N358*AL$5/100,0)&lt;-AL$6,-AL$6-SUM(AL$10:AL357),-ROUNDDOWN($N358*AL$5/100,0)),0)</f>
        <v>0</v>
      </c>
      <c r="AM358" s="38">
        <f>IF(AND(AM$7="○",$A358&gt;=AM$8,$A358&lt;=AM$9),IF(SUM(AM$10:AM357)-ROUNDDOWN($L358*AM$5/100,0)&lt;-AM$6,-AM$6-SUM(AM$10:AM357),-ROUNDDOWN($L358*AM$5/100,0)),0)</f>
        <v>0</v>
      </c>
      <c r="AN358" s="38">
        <f>IF(AND(AN$7="○",$A358&gt;=AN$8,$A358&lt;=AN$9),IF(SUM(AN$10:AN357)-ROUNDDOWN($M358*AN$5/100,0)&lt;-AN$6,-AN$6-SUM(AN$10:AN357),-ROUNDDOWN($M358*AN$5/100,0)),0)</f>
        <v>0</v>
      </c>
      <c r="AO358" s="38">
        <f>IF(AND($A358&gt;=AO$8,$A358&lt;=AO$9),IF(SUM(AO$10:AO357)-ROUNDDOWN($K358*AO$5/100,0)&lt;-AO$6,-AO$6-SUM(AO$10:AO357),-ROUNDDOWN($K358*AO$5/100,0)),0)</f>
        <v>0</v>
      </c>
      <c r="AP358" s="38">
        <f>IF(AND($A358&gt;=AP$8,$A358&lt;=AP$9),IF(SUM(AP$10:AP357)-ROUNDDOWN($K358*AP$5/100,0)&lt;-AP$6,-AP$6-SUM(AP$10:AP357),-ROUNDDOWN($K358*AP$5/100,0)),0)</f>
        <v>0</v>
      </c>
      <c r="AQ358" s="38">
        <f>IF(AND($A358&gt;=AQ$8,$A358&lt;=AQ$9),IF(SUM(AQ$10:AQ357)-ROUNDDOWN($K358*AQ$5/100,0)&lt;-AQ$6,-AQ$6-SUM(AQ$10:AQ357),-ROUNDDOWN($K358*AQ$5/100,0)),0)</f>
        <v>0</v>
      </c>
      <c r="AR358" s="38">
        <f>IF(AND($A358&gt;=AR$8,$A358&lt;=AR$9),IF(SUM(AR$10:AR357)-ROUNDDOWN($K358*AR$5/100,0)&lt;-AR$6,-AR$6-SUM(AR$10:AR357),-ROUNDDOWN($K358*AR$5/100,0)),0)</f>
        <v>0</v>
      </c>
      <c r="AS358" s="38">
        <f>IF(SUMIFS(AS$10:AS357,$A$10:$A357,$A358)-ROUNDDOWN($K358*$S358/100,0)&lt;-$S358*1000,-$S358*1000-SUMIFS(AS$10:AS357,$A$10:$A357,$A358),-ROUNDDOWN($K358*$S358/100,0))</f>
        <v>0</v>
      </c>
      <c r="AT358" s="38">
        <f>IF(AND(X358="○",$A358&gt;=AT$8,$A358&lt;=AT$9,K358&gt;=3980),IF(SUM(AT$10:AT357)-ROUNDDOWN($K358*AT$5/100,0)&lt;-AT$6,-AT$6-SUM(AT$10:AT357),-ROUNDDOWN($K358*AT$5/100,0)),0)</f>
        <v>0</v>
      </c>
      <c r="AU358" s="38">
        <f>IF(O358="○",IF(SUM(AU$10:AU357)-ROUNDDOWN($K358*AU$5/100,0)&lt;-AU$6,-AU$6-SUM(AU$10:AU357),-ROUNDDOWN($K358*AU$5/100,0)),0)</f>
        <v>0</v>
      </c>
      <c r="AV358" s="38">
        <f>IF(P358="○",IF(SUM(AV$10:AV357)-ROUNDDOWN($K358*AV$5/100,0)&lt;-AV$6,-AV$6-SUM(AV$10:AV357),-ROUNDDOWN($K358*AV$5/100,0)),0)</f>
        <v>0</v>
      </c>
      <c r="AW358" s="38">
        <f>IF(Q358="○",IF(SUM(AW$10:AW357)-ROUNDDOWN($K358*AW$5/100,0)&lt;-AW$6,-AW$6-SUM(AW$10:AW357),-ROUNDDOWN($K358*AW$5/100,0)),0)</f>
        <v>0</v>
      </c>
      <c r="AX358" s="38">
        <f>IF(R358="○",IF(SUM(AX$10:AX357)-ROUNDDOWN($K358*AX$5/100,0)&lt;-AX$6,-AX$6-SUM(AX$10:AX357),-ROUNDDOWN($K358*AX$5/100,0)),0)</f>
        <v>0</v>
      </c>
      <c r="AY358" s="70">
        <v>0</v>
      </c>
      <c r="AZ358" s="65">
        <f t="shared" si="250"/>
        <v>0</v>
      </c>
      <c r="BA358" s="65">
        <f t="shared" si="251"/>
        <v>0</v>
      </c>
      <c r="BB358" s="70"/>
      <c r="BC358" s="65">
        <f t="shared" si="252"/>
        <v>0</v>
      </c>
      <c r="BD358" s="70">
        <v>0</v>
      </c>
      <c r="BE358" s="65">
        <f t="shared" si="253"/>
        <v>0</v>
      </c>
      <c r="BF358" s="70">
        <v>0</v>
      </c>
      <c r="BG358" s="65">
        <f t="shared" si="254"/>
        <v>0</v>
      </c>
      <c r="BH358" s="70">
        <v>0</v>
      </c>
      <c r="BI358" s="65">
        <f t="shared" si="255"/>
        <v>0</v>
      </c>
      <c r="BJ358" s="38">
        <f>IF(AND(BJ$7="○",$A358&gt;=BJ$8,$A358&lt;=BJ$9),IF(SUM(BJ$10:BJ357)-ROUNDDOWN($M358*BJ$5/100,0)&lt;-BJ$6,-BJ$6-SUM(BJ$10:BJ357),-ROUNDDOWN($M358*BJ$5/100,0)),0)</f>
        <v>0</v>
      </c>
      <c r="BK358" s="38">
        <f>IF(AND(BK$7="○",$A358&gt;=BK$8,$A358&lt;=BK$9),IF(SUM(BK$10:BK357)-ROUNDDOWN($L358*BK$5/100,0)&lt;-BK$6,-BK$6-SUM(BK$10:BK357),-ROUNDDOWN($L358*BK$5/100,0)),0)</f>
        <v>0</v>
      </c>
      <c r="BL358" s="38">
        <f>IF(AND(BL$7="○",$A358&gt;=BL$8,$A358&lt;=BL$9),IF(SUM(BL$10:BL357)-ROUNDDOWN($L358*BL$5/100,0)&lt;-BL$6,-BL$6-SUM(BL$10:BL357),-ROUNDDOWN($L358*BL$5/100,0)),0)</f>
        <v>0</v>
      </c>
      <c r="BM358" s="38">
        <f>IF(AND(BM$7="○",$A358&gt;=BM$8,$A358&lt;=BM$9),IF(SUM(BM$10:BM357)-ROUNDDOWN($M358*BM$5/100,0)&lt;-BM$6,-BM$6-SUM(BM$10:BM357),-ROUNDDOWN($M358*BM$5/100,0)),0)</f>
        <v>0</v>
      </c>
      <c r="BN358" s="38">
        <f>IF(AND(BN$7="○",$A358&gt;=BN$8,$A358&lt;=BN$9),IF(SUM(BN$10:BN357)-ROUNDDOWN($M358*BN$5/100,0)&lt;-BN$6,-BN$6-SUM(BN$10:BN357),-ROUNDDOWN($M358*BN$5/100,0)),0)</f>
        <v>0</v>
      </c>
      <c r="BO358" s="38">
        <f>IF(AND(BO$7="○",$A358&gt;=BO$8,$A358&lt;=BO$9),IF(SUM(BO$10:BO357)-ROUNDDOWN($M358*BO$5/100,0)&lt;-BO$6,-BO$6-SUM(BO$10:BO357),-ROUNDDOWN($M358*BO$5/100,0)),0)</f>
        <v>0</v>
      </c>
      <c r="BP358" s="38">
        <f>IF(AND(BP$7="○",$A358&gt;=BP$8,$A358&lt;=BP$9),IF(SUM(BP$10:BP357)-ROUNDDOWN($M358*BP$5/100,0)&lt;-BP$6,-BP$6-SUM(BP$10:BP357),-ROUNDDOWN($M358*BP$5/100,0)),0)</f>
        <v>0</v>
      </c>
      <c r="BQ358" s="38">
        <f>IF(AND(BQ$7="○",$A358&gt;=BQ$8,$A358&lt;=BQ$9),IF(SUM(BQ$10:BQ357)-ROUNDDOWN($L358*BQ$5/100,0)&lt;-BQ$6,-BQ$6-SUM(BQ$10:BQ357),-ROUNDDOWN($L358*BQ$5/100,0)),0)</f>
        <v>0</v>
      </c>
      <c r="BR358" s="38">
        <f>IF(AND(BR$7="○",$A358&gt;=BR$8,$A358&lt;=BR$9),IF(SUM(BR$10:BR357)-ROUNDDOWN($M358*BR$5/100,0)&lt;-BR$6,-BR$6-SUM(BR$10:BR357),-ROUNDDOWN($M358*BR$5/100,0)),0)</f>
        <v>0</v>
      </c>
      <c r="BS358" s="38">
        <f>IF(AND(BS$7="○",$A358&gt;=BS$8,$A358&lt;=BS$9),IF(SUM(BS$10:BS357)-ROUNDDOWN($M358*BS$5/100,0)&lt;-BS$6,-BS$6-SUM(BS$10:BS357),-ROUNDDOWN($M358*BS$5/100,0)),0)</f>
        <v>0</v>
      </c>
      <c r="BT358" s="38">
        <f>IF(AND(BT$7="○",$A358&gt;=BT$8,$A358&lt;=BT$9),IF(SUM(BT$10:BT357)-ROUNDDOWN($M358*BT$5/100,0)&lt;-BT$6,-BT$6-SUM(BT$10:BT357),-ROUNDDOWN($M358*BT$5/100,0)),0)</f>
        <v>0</v>
      </c>
      <c r="BU358" s="38">
        <f>IF(AND(BU$7="○",$A358&gt;=BU$8,$A358&lt;=BU$9),IF(SUM(BU$10:BU357)-ROUNDDOWN($M358*BU$5/100,0)&lt;-BU$6,-BU$6-SUM(BU$10:BU357),-ROUNDDOWN($M358*BU$5/100,0)),0)</f>
        <v>0</v>
      </c>
      <c r="BV358" s="38">
        <f>IF(AND(BV$7="○",$A358&gt;=BV$8,$A358&lt;=BV$9),IF(SUM(BV$10:BV357)-ROUNDDOWN($M358*BV$5/100,0)&lt;-BV$6,-BV$6-SUM(BV$10:BV357),-ROUNDDOWN($M358*BV$5/100,0)),0)</f>
        <v>0</v>
      </c>
      <c r="BW358" s="38">
        <f>IF(AND(BW$7="○",$A358&gt;=BW$8,$A358&lt;=BW$9),IF(SUM(BW$10:BW357)-ROUNDDOWN($M358*BW$5/100,0)&lt;-BW$6,-BW$6-SUM(BW$10:BW357),-ROUNDDOWN($M358*BW$5/100,0)),0)</f>
        <v>0</v>
      </c>
      <c r="BX358" s="38">
        <f>IF(AND(T358="○",$A358&gt;=BX$8,$A358&lt;=BX$9),IF(SUM(BX$10:BX357)-ROUNDDOWN($K358*BX$5/100,0)&lt;-BX$6,-BX$6-SUM(BX$10:BX357),-ROUNDDOWN($K358*BX$5/100,0)),0)</f>
        <v>0</v>
      </c>
      <c r="BY358" s="38">
        <f>IF(AND(U358="○",$A358&gt;=BY$8,$A358&lt;=BY$9),IF(SUM(BY$10:BY357)-ROUNDDOWN($K358*BY$5/100,0)&lt;-BY$6,-BY$6-SUM(BY$10:BY357),-ROUNDDOWN($K358*BY$5/100,0)),0)</f>
        <v>0</v>
      </c>
      <c r="BZ358" s="38">
        <f>IF(AND(V358="○",$A358&gt;=BZ$8,$A358&lt;=BZ$9),IF(SUM(BZ$10:BZ357)-ROUNDDOWN($K358*BZ$5/100,0)&lt;-BZ$6,-BZ$6-SUM(BZ$10:BZ357),-ROUNDDOWN($K358*BZ$5/100,0)),0)</f>
        <v>0</v>
      </c>
      <c r="CA358" s="38">
        <f>IF(AND(W358="○",$A358&gt;=CA$8,$A358&lt;=CA$9),IF(SUM(CA$10:CA357)-ROUNDDOWN($K358*CA$5/100,0)&lt;-CA$6,-CA$6-SUM(CA$10:CA357),-ROUNDDOWN($K358*CA$5/100,0)),0)</f>
        <v>0</v>
      </c>
      <c r="CB358" s="38"/>
      <c r="CC358" s="38"/>
      <c r="CD358" s="38"/>
      <c r="CE358" s="38"/>
      <c r="CF358" s="38"/>
      <c r="CG358" s="65">
        <f t="shared" si="256"/>
        <v>0</v>
      </c>
      <c r="CH358" s="71">
        <f t="shared" si="257"/>
        <v>0</v>
      </c>
      <c r="CI358" s="1">
        <f t="shared" si="19"/>
        <v>0</v>
      </c>
      <c r="CJ358" s="1"/>
      <c r="CK358" s="75"/>
      <c r="CL358" s="75"/>
      <c r="CM358" s="2"/>
      <c r="CN358" s="2"/>
      <c r="CO358" s="73">
        <f t="shared" si="20"/>
        <v>0</v>
      </c>
      <c r="CP358" s="5">
        <f t="shared" si="21"/>
        <v>0</v>
      </c>
      <c r="CQ358" s="1"/>
      <c r="CR358" s="1">
        <f t="shared" si="22"/>
        <v>0</v>
      </c>
      <c r="CS358" s="1"/>
      <c r="CT358" s="1" t="e">
        <f>INDEX([2]マスタ!$A:$A,MATCH(D358,[2]マスタ!$C:$C,0))</f>
        <v>#N/A</v>
      </c>
      <c r="CU358" s="1" t="str">
        <f t="shared" ca="1" si="23"/>
        <v>20260620_0-0</v>
      </c>
    </row>
    <row r="359" spans="1:99" x14ac:dyDescent="0.4">
      <c r="A359" s="61"/>
      <c r="B359" s="62"/>
      <c r="C359" s="62"/>
      <c r="D359" s="62"/>
      <c r="E359" s="74"/>
      <c r="F359" s="62"/>
      <c r="G359" s="62">
        <v>1</v>
      </c>
      <c r="H359" s="64">
        <f t="shared" si="4"/>
        <v>0</v>
      </c>
      <c r="I359" s="64"/>
      <c r="J359" s="64"/>
      <c r="K359" s="65">
        <f t="shared" si="263"/>
        <v>0</v>
      </c>
      <c r="L359" s="65">
        <f t="shared" si="6"/>
        <v>0</v>
      </c>
      <c r="M359" s="65">
        <f t="shared" si="7"/>
        <v>0</v>
      </c>
      <c r="N359" s="65">
        <f t="shared" si="8"/>
        <v>0</v>
      </c>
      <c r="O359" s="66" t="str">
        <f t="shared" si="259"/>
        <v>✕</v>
      </c>
      <c r="P359" s="67" t="str">
        <f t="shared" si="260"/>
        <v>○</v>
      </c>
      <c r="Q359" s="67" t="str">
        <f t="shared" si="264"/>
        <v>✕</v>
      </c>
      <c r="R359" s="67" t="str">
        <f t="shared" si="262"/>
        <v>✕</v>
      </c>
      <c r="S359" s="68">
        <v>0</v>
      </c>
      <c r="T359" s="69" t="s">
        <v>85</v>
      </c>
      <c r="U359" s="69" t="s">
        <v>85</v>
      </c>
      <c r="V359" s="69" t="s">
        <v>85</v>
      </c>
      <c r="W359" s="69" t="s">
        <v>85</v>
      </c>
      <c r="X359" s="69" t="s">
        <v>84</v>
      </c>
      <c r="Y359" s="69" t="s">
        <v>85</v>
      </c>
      <c r="Z359" s="69" t="s">
        <v>85</v>
      </c>
      <c r="AA359" s="69" t="s">
        <v>85</v>
      </c>
      <c r="AB359" s="69" t="s">
        <v>85</v>
      </c>
      <c r="AC359" s="69" t="s">
        <v>85</v>
      </c>
      <c r="AD359" s="38" t="str">
        <f>+IF(ISERROR(VLOOKUP($B359,AD$10:AD358,1,0)),IF(AND($N359&gt;=1000,$A359&gt;=AO$8,$A359&lt;=AO$9),$B359,""),"")</f>
        <v/>
      </c>
      <c r="AE359" s="38" t="str">
        <f>+IF(ISERROR(VLOOKUP($B359,AE$10:AE358,1,0)),IF(AND($N359&gt;=1000,$A359&gt;=AP$8,$A359&lt;=AP$9),$B359,""),"")</f>
        <v/>
      </c>
      <c r="AF359" s="38" t="str">
        <f>+IF(ISERROR(VLOOKUP($B359,AF$10:AF358,1,0)),IF(AND($N359&gt;=1000,$A359&gt;=AQ$8,$A359&lt;=AQ$9),$B359,""),"")</f>
        <v/>
      </c>
      <c r="AG359" s="38" t="str">
        <f>+IF(ISERROR(VLOOKUP($B359,AG$10:AG358,1,0)),IF(AND($N359&gt;=1000,$A359&gt;=AR$8,$A359&lt;=AR$9),$B359,""),"")</f>
        <v/>
      </c>
      <c r="AH359" s="38"/>
      <c r="AI359" s="70">
        <v>0</v>
      </c>
      <c r="AJ359" s="38">
        <f>IF(AND(AJ$7="○",$A359&gt;=AJ$8,$A359&lt;=AJ$9),IF(SUM(AJ$10:AJ358)-ROUNDDOWN($K359*AJ$5/100,0)&lt;-AJ$6,-AJ$6-SUM(AJ$10:AJ358),-ROUNDDOWN($K359*AJ$5/100,0)),0)</f>
        <v>0</v>
      </c>
      <c r="AK359" s="38">
        <f>IF(AND(AK$7="○",$A359&gt;=AK$8,$A359&lt;=AK$9),IF(SUM(AK$10:AK358)-ROUNDDOWN($L359*AK$5/100,0)&lt;-AK$6,-AK$6-SUM(AK$10:AK358),-ROUNDDOWN($L359*AK$5/100,0)),0)</f>
        <v>0</v>
      </c>
      <c r="AL359" s="38">
        <f>IF(AND(AL$7="○",$A359&gt;=AL$8,$A359&lt;=AL$9),IF(SUM(AL$10:AL358)-ROUNDDOWN($N359*AL$5/100,0)&lt;-AL$6,-AL$6-SUM(AL$10:AL358),-ROUNDDOWN($N359*AL$5/100,0)),0)</f>
        <v>0</v>
      </c>
      <c r="AM359" s="38">
        <f>IF(AND(AM$7="○",$A359&gt;=AM$8,$A359&lt;=AM$9),IF(SUM(AM$10:AM358)-ROUNDDOWN($L359*AM$5/100,0)&lt;-AM$6,-AM$6-SUM(AM$10:AM358),-ROUNDDOWN($L359*AM$5/100,0)),0)</f>
        <v>0</v>
      </c>
      <c r="AN359" s="38">
        <f>IF(AND(AN$7="○",$A359&gt;=AN$8,$A359&lt;=AN$9),IF(SUM(AN$10:AN358)-ROUNDDOWN($M359*AN$5/100,0)&lt;-AN$6,-AN$6-SUM(AN$10:AN358),-ROUNDDOWN($M359*AN$5/100,0)),0)</f>
        <v>0</v>
      </c>
      <c r="AO359" s="38">
        <f>IF(AND($A359&gt;=AO$8,$A359&lt;=AO$9),IF(SUM(AO$10:AO358)-ROUNDDOWN($K359*AO$5/100,0)&lt;-AO$6,-AO$6-SUM(AO$10:AO358),-ROUNDDOWN($K359*AO$5/100,0)),0)</f>
        <v>0</v>
      </c>
      <c r="AP359" s="38">
        <f>IF(AND($A359&gt;=AP$8,$A359&lt;=AP$9),IF(SUM(AP$10:AP358)-ROUNDDOWN($K359*AP$5/100,0)&lt;-AP$6,-AP$6-SUM(AP$10:AP358),-ROUNDDOWN($K359*AP$5/100,0)),0)</f>
        <v>0</v>
      </c>
      <c r="AQ359" s="38">
        <f>IF(AND($A359&gt;=AQ$8,$A359&lt;=AQ$9),IF(SUM(AQ$10:AQ358)-ROUNDDOWN($K359*AQ$5/100,0)&lt;-AQ$6,-AQ$6-SUM(AQ$10:AQ358),-ROUNDDOWN($K359*AQ$5/100,0)),0)</f>
        <v>0</v>
      </c>
      <c r="AR359" s="38">
        <f>IF(AND($A359&gt;=AR$8,$A359&lt;=AR$9),IF(SUM(AR$10:AR358)-ROUNDDOWN($K359*AR$5/100,0)&lt;-AR$6,-AR$6-SUM(AR$10:AR358),-ROUNDDOWN($K359*AR$5/100,0)),0)</f>
        <v>0</v>
      </c>
      <c r="AS359" s="38">
        <f>IF(SUMIFS(AS$10:AS358,$A$10:$A358,$A359)-ROUNDDOWN($K359*$S359/100,0)&lt;-$S359*1000,-$S359*1000-SUMIFS(AS$10:AS358,$A$10:$A358,$A359),-ROUNDDOWN($K359*$S359/100,0))</f>
        <v>0</v>
      </c>
      <c r="AT359" s="38">
        <f>IF(AND(X359="○",$A359&gt;=AT$8,$A359&lt;=AT$9,K359&gt;=3980),IF(SUM(AT$10:AT358)-ROUNDDOWN($K359*AT$5/100,0)&lt;-AT$6,-AT$6-SUM(AT$10:AT358),-ROUNDDOWN($K359*AT$5/100,0)),0)</f>
        <v>0</v>
      </c>
      <c r="AU359" s="38">
        <f>IF(O359="○",IF(SUM(AU$10:AU358)-ROUNDDOWN($K359*AU$5/100,0)&lt;-AU$6,-AU$6-SUM(AU$10:AU358),-ROUNDDOWN($K359*AU$5/100,0)),0)</f>
        <v>0</v>
      </c>
      <c r="AV359" s="38">
        <f>IF(P359="○",IF(SUM(AV$10:AV358)-ROUNDDOWN($K359*AV$5/100,0)&lt;-AV$6,-AV$6-SUM(AV$10:AV358),-ROUNDDOWN($K359*AV$5/100,0)),0)</f>
        <v>0</v>
      </c>
      <c r="AW359" s="38">
        <f>IF(Q359="○",IF(SUM(AW$10:AW358)-ROUNDDOWN($K359*AW$5/100,0)&lt;-AW$6,-AW$6-SUM(AW$10:AW358),-ROUNDDOWN($K359*AW$5/100,0)),0)</f>
        <v>0</v>
      </c>
      <c r="AX359" s="38">
        <f>IF(R359="○",IF(SUM(AX$10:AX358)-ROUNDDOWN($K359*AX$5/100,0)&lt;-AX$6,-AX$6-SUM(AX$10:AX358),-ROUNDDOWN($K359*AX$5/100,0)),0)</f>
        <v>0</v>
      </c>
      <c r="AY359" s="70">
        <v>0</v>
      </c>
      <c r="AZ359" s="65">
        <f t="shared" si="250"/>
        <v>0</v>
      </c>
      <c r="BA359" s="65">
        <f t="shared" si="251"/>
        <v>0</v>
      </c>
      <c r="BB359" s="70"/>
      <c r="BC359" s="65">
        <f t="shared" si="252"/>
        <v>0</v>
      </c>
      <c r="BD359" s="70">
        <v>0</v>
      </c>
      <c r="BE359" s="65">
        <f t="shared" si="253"/>
        <v>0</v>
      </c>
      <c r="BF359" s="70">
        <v>0</v>
      </c>
      <c r="BG359" s="65">
        <f t="shared" si="254"/>
        <v>0</v>
      </c>
      <c r="BH359" s="70">
        <v>0</v>
      </c>
      <c r="BI359" s="65">
        <f t="shared" si="255"/>
        <v>0</v>
      </c>
      <c r="BJ359" s="38">
        <f>IF(AND(BJ$7="○",$A359&gt;=BJ$8,$A359&lt;=BJ$9),IF(SUM(BJ$10:BJ358)-ROUNDDOWN($M359*BJ$5/100,0)&lt;-BJ$6,-BJ$6-SUM(BJ$10:BJ358),-ROUNDDOWN($M359*BJ$5/100,0)),0)</f>
        <v>0</v>
      </c>
      <c r="BK359" s="38">
        <f>IF(AND(BK$7="○",$A359&gt;=BK$8,$A359&lt;=BK$9),IF(SUM(BK$10:BK358)-ROUNDDOWN($L359*BK$5/100,0)&lt;-BK$6,-BK$6-SUM(BK$10:BK358),-ROUNDDOWN($L359*BK$5/100,0)),0)</f>
        <v>0</v>
      </c>
      <c r="BL359" s="38">
        <f>IF(AND(BL$7="○",$A359&gt;=BL$8,$A359&lt;=BL$9),IF(SUM(BL$10:BL358)-ROUNDDOWN($L359*BL$5/100,0)&lt;-BL$6,-BL$6-SUM(BL$10:BL358),-ROUNDDOWN($L359*BL$5/100,0)),0)</f>
        <v>0</v>
      </c>
      <c r="BM359" s="38">
        <f>IF(AND(BM$7="○",$A359&gt;=BM$8,$A359&lt;=BM$9),IF(SUM(BM$10:BM358)-ROUNDDOWN($M359*BM$5/100,0)&lt;-BM$6,-BM$6-SUM(BM$10:BM358),-ROUNDDOWN($M359*BM$5/100,0)),0)</f>
        <v>0</v>
      </c>
      <c r="BN359" s="38">
        <f>IF(AND(BN$7="○",$A359&gt;=BN$8,$A359&lt;=BN$9),IF(SUM(BN$10:BN358)-ROUNDDOWN($M359*BN$5/100,0)&lt;-BN$6,-BN$6-SUM(BN$10:BN358),-ROUNDDOWN($M359*BN$5/100,0)),0)</f>
        <v>0</v>
      </c>
      <c r="BO359" s="38">
        <f>IF(AND(BO$7="○",$A359&gt;=BO$8,$A359&lt;=BO$9),IF(SUM(BO$10:BO358)-ROUNDDOWN($M359*BO$5/100,0)&lt;-BO$6,-BO$6-SUM(BO$10:BO358),-ROUNDDOWN($M359*BO$5/100,0)),0)</f>
        <v>0</v>
      </c>
      <c r="BP359" s="38">
        <f>IF(AND(BP$7="○",$A359&gt;=BP$8,$A359&lt;=BP$9),IF(SUM(BP$10:BP358)-ROUNDDOWN($M359*BP$5/100,0)&lt;-BP$6,-BP$6-SUM(BP$10:BP358),-ROUNDDOWN($M359*BP$5/100,0)),0)</f>
        <v>0</v>
      </c>
      <c r="BQ359" s="38">
        <f>IF(AND(BQ$7="○",$A359&gt;=BQ$8,$A359&lt;=BQ$9),IF(SUM(BQ$10:BQ358)-ROUNDDOWN($L359*BQ$5/100,0)&lt;-BQ$6,-BQ$6-SUM(BQ$10:BQ358),-ROUNDDOWN($L359*BQ$5/100,0)),0)</f>
        <v>0</v>
      </c>
      <c r="BR359" s="38">
        <f>IF(AND(BR$7="○",$A359&gt;=BR$8,$A359&lt;=BR$9),IF(SUM(BR$10:BR358)-ROUNDDOWN($M359*BR$5/100,0)&lt;-BR$6,-BR$6-SUM(BR$10:BR358),-ROUNDDOWN($M359*BR$5/100,0)),0)</f>
        <v>0</v>
      </c>
      <c r="BS359" s="38">
        <f>IF(AND(BS$7="○",$A359&gt;=BS$8,$A359&lt;=BS$9),IF(SUM(BS$10:BS358)-ROUNDDOWN($M359*BS$5/100,0)&lt;-BS$6,-BS$6-SUM(BS$10:BS358),-ROUNDDOWN($M359*BS$5/100,0)),0)</f>
        <v>0</v>
      </c>
      <c r="BT359" s="38">
        <f>IF(AND(BT$7="○",$A359&gt;=BT$8,$A359&lt;=BT$9),IF(SUM(BT$10:BT358)-ROUNDDOWN($M359*BT$5/100,0)&lt;-BT$6,-BT$6-SUM(BT$10:BT358),-ROUNDDOWN($M359*BT$5/100,0)),0)</f>
        <v>0</v>
      </c>
      <c r="BU359" s="38">
        <f>IF(AND(BU$7="○",$A359&gt;=BU$8,$A359&lt;=BU$9),IF(SUM(BU$10:BU358)-ROUNDDOWN($M359*BU$5/100,0)&lt;-BU$6,-BU$6-SUM(BU$10:BU358),-ROUNDDOWN($M359*BU$5/100,0)),0)</f>
        <v>0</v>
      </c>
      <c r="BV359" s="38">
        <f>IF(AND(BV$7="○",$A359&gt;=BV$8,$A359&lt;=BV$9),IF(SUM(BV$10:BV358)-ROUNDDOWN($M359*BV$5/100,0)&lt;-BV$6,-BV$6-SUM(BV$10:BV358),-ROUNDDOWN($M359*BV$5/100,0)),0)</f>
        <v>0</v>
      </c>
      <c r="BW359" s="38">
        <f>IF(AND(BW$7="○",$A359&gt;=BW$8,$A359&lt;=BW$9),IF(SUM(BW$10:BW358)-ROUNDDOWN($M359*BW$5/100,0)&lt;-BW$6,-BW$6-SUM(BW$10:BW358),-ROUNDDOWN($M359*BW$5/100,0)),0)</f>
        <v>0</v>
      </c>
      <c r="BX359" s="38">
        <f>IF(AND(T359="○",$A359&gt;=BX$8,$A359&lt;=BX$9),IF(SUM(BX$10:BX358)-ROUNDDOWN($K359*BX$5/100,0)&lt;-BX$6,-BX$6-SUM(BX$10:BX358),-ROUNDDOWN($K359*BX$5/100,0)),0)</f>
        <v>0</v>
      </c>
      <c r="BY359" s="38">
        <f>IF(AND(U359="○",$A359&gt;=BY$8,$A359&lt;=BY$9),IF(SUM(BY$10:BY358)-ROUNDDOWN($K359*BY$5/100,0)&lt;-BY$6,-BY$6-SUM(BY$10:BY358),-ROUNDDOWN($K359*BY$5/100,0)),0)</f>
        <v>0</v>
      </c>
      <c r="BZ359" s="38">
        <f>IF(AND(V359="○",$A359&gt;=BZ$8,$A359&lt;=BZ$9),IF(SUM(BZ$10:BZ358)-ROUNDDOWN($K359*BZ$5/100,0)&lt;-BZ$6,-BZ$6-SUM(BZ$10:BZ358),-ROUNDDOWN($K359*BZ$5/100,0)),0)</f>
        <v>0</v>
      </c>
      <c r="CA359" s="38">
        <f>IF(AND(W359="○",$A359&gt;=CA$8,$A359&lt;=CA$9),IF(SUM(CA$10:CA358)-ROUNDDOWN($K359*CA$5/100,0)&lt;-CA$6,-CA$6-SUM(CA$10:CA358),-ROUNDDOWN($K359*CA$5/100,0)),0)</f>
        <v>0</v>
      </c>
      <c r="CB359" s="38"/>
      <c r="CC359" s="38"/>
      <c r="CD359" s="38"/>
      <c r="CE359" s="38"/>
      <c r="CF359" s="38"/>
      <c r="CG359" s="65">
        <f t="shared" si="256"/>
        <v>0</v>
      </c>
      <c r="CH359" s="71">
        <f t="shared" si="257"/>
        <v>0</v>
      </c>
      <c r="CI359" s="1">
        <f t="shared" si="19"/>
        <v>0</v>
      </c>
      <c r="CJ359" s="1"/>
      <c r="CK359" s="75"/>
      <c r="CL359" s="75"/>
      <c r="CM359" s="2"/>
      <c r="CN359" s="2"/>
      <c r="CO359" s="73">
        <f t="shared" si="20"/>
        <v>0</v>
      </c>
      <c r="CP359" s="5">
        <f t="shared" si="21"/>
        <v>0</v>
      </c>
      <c r="CQ359" s="1"/>
      <c r="CR359" s="1">
        <f t="shared" si="22"/>
        <v>0</v>
      </c>
      <c r="CS359" s="1"/>
      <c r="CT359" s="1" t="e">
        <f>INDEX([2]マスタ!$A:$A,MATCH(D359,[2]マスタ!$C:$C,0))</f>
        <v>#N/A</v>
      </c>
      <c r="CU359" s="1" t="str">
        <f t="shared" ca="1" si="23"/>
        <v>20260620_0-0</v>
      </c>
    </row>
    <row r="360" spans="1:99" x14ac:dyDescent="0.4">
      <c r="A360" s="61"/>
      <c r="B360" s="62"/>
      <c r="C360" s="62"/>
      <c r="D360" s="62"/>
      <c r="E360" s="74"/>
      <c r="F360" s="62"/>
      <c r="G360" s="62">
        <v>1</v>
      </c>
      <c r="H360" s="64">
        <f t="shared" si="4"/>
        <v>0</v>
      </c>
      <c r="I360" s="64"/>
      <c r="J360" s="64"/>
      <c r="K360" s="65">
        <f t="shared" si="263"/>
        <v>0</v>
      </c>
      <c r="L360" s="65">
        <f t="shared" si="6"/>
        <v>0</v>
      </c>
      <c r="M360" s="65">
        <f t="shared" si="7"/>
        <v>0</v>
      </c>
      <c r="N360" s="65">
        <f t="shared" si="8"/>
        <v>0</v>
      </c>
      <c r="O360" s="66" t="str">
        <f t="shared" si="259"/>
        <v>✕</v>
      </c>
      <c r="P360" s="67" t="str">
        <f t="shared" si="260"/>
        <v>○</v>
      </c>
      <c r="Q360" s="67" t="str">
        <f t="shared" si="264"/>
        <v>✕</v>
      </c>
      <c r="R360" s="67" t="str">
        <f t="shared" si="262"/>
        <v>✕</v>
      </c>
      <c r="S360" s="68">
        <v>0</v>
      </c>
      <c r="T360" s="69" t="s">
        <v>85</v>
      </c>
      <c r="U360" s="69" t="s">
        <v>85</v>
      </c>
      <c r="V360" s="69" t="s">
        <v>85</v>
      </c>
      <c r="W360" s="69" t="s">
        <v>85</v>
      </c>
      <c r="X360" s="69" t="s">
        <v>84</v>
      </c>
      <c r="Y360" s="69" t="s">
        <v>85</v>
      </c>
      <c r="Z360" s="69" t="s">
        <v>85</v>
      </c>
      <c r="AA360" s="69" t="s">
        <v>85</v>
      </c>
      <c r="AB360" s="69" t="s">
        <v>85</v>
      </c>
      <c r="AC360" s="69" t="s">
        <v>85</v>
      </c>
      <c r="AD360" s="38" t="str">
        <f>+IF(ISERROR(VLOOKUP($B360,AD$10:AD359,1,0)),IF(AND($N360&gt;=1000,$A360&gt;=AO$8,$A360&lt;=AO$9),$B360,""),"")</f>
        <v/>
      </c>
      <c r="AE360" s="38" t="str">
        <f>+IF(ISERROR(VLOOKUP($B360,AE$10:AE359,1,0)),IF(AND($N360&gt;=1000,$A360&gt;=AP$8,$A360&lt;=AP$9),$B360,""),"")</f>
        <v/>
      </c>
      <c r="AF360" s="38" t="str">
        <f>+IF(ISERROR(VLOOKUP($B360,AF$10:AF359,1,0)),IF(AND($N360&gt;=1000,$A360&gt;=AQ$8,$A360&lt;=AQ$9),$B360,""),"")</f>
        <v/>
      </c>
      <c r="AG360" s="38" t="str">
        <f>+IF(ISERROR(VLOOKUP($B360,AG$10:AG359,1,0)),IF(AND($N360&gt;=1000,$A360&gt;=AR$8,$A360&lt;=AR$9),$B360,""),"")</f>
        <v/>
      </c>
      <c r="AH360" s="38"/>
      <c r="AI360" s="70">
        <v>0</v>
      </c>
      <c r="AJ360" s="38">
        <f>IF(AND(AJ$7="○",$A360&gt;=AJ$8,$A360&lt;=AJ$9),IF(SUM(AJ$10:AJ359)-ROUNDDOWN($K360*AJ$5/100,0)&lt;-AJ$6,-AJ$6-SUM(AJ$10:AJ359),-ROUNDDOWN($K360*AJ$5/100,0)),0)</f>
        <v>0</v>
      </c>
      <c r="AK360" s="38">
        <f>IF(AND(AK$7="○",$A360&gt;=AK$8,$A360&lt;=AK$9),IF(SUM(AK$10:AK359)-ROUNDDOWN($L360*AK$5/100,0)&lt;-AK$6,-AK$6-SUM(AK$10:AK359),-ROUNDDOWN($L360*AK$5/100,0)),0)</f>
        <v>0</v>
      </c>
      <c r="AL360" s="38">
        <f>IF(AND(AL$7="○",$A360&gt;=AL$8,$A360&lt;=AL$9),IF(SUM(AL$10:AL359)-ROUNDDOWN($N360*AL$5/100,0)&lt;-AL$6,-AL$6-SUM(AL$10:AL359),-ROUNDDOWN($N360*AL$5/100,0)),0)</f>
        <v>0</v>
      </c>
      <c r="AM360" s="38">
        <f>IF(AND(AM$7="○",$A360&gt;=AM$8,$A360&lt;=AM$9),IF(SUM(AM$10:AM359)-ROUNDDOWN($L360*AM$5/100,0)&lt;-AM$6,-AM$6-SUM(AM$10:AM359),-ROUNDDOWN($L360*AM$5/100,0)),0)</f>
        <v>0</v>
      </c>
      <c r="AN360" s="38">
        <f>IF(AND(AN$7="○",$A360&gt;=AN$8,$A360&lt;=AN$9),IF(SUM(AN$10:AN359)-ROUNDDOWN($M360*AN$5/100,0)&lt;-AN$6,-AN$6-SUM(AN$10:AN359),-ROUNDDOWN($M360*AN$5/100,0)),0)</f>
        <v>0</v>
      </c>
      <c r="AO360" s="38">
        <f>IF(AND($A360&gt;=AO$8,$A360&lt;=AO$9),IF(SUM(AO$10:AO359)-ROUNDDOWN($K360*AO$5/100,0)&lt;-AO$6,-AO$6-SUM(AO$10:AO359),-ROUNDDOWN($K360*AO$5/100,0)),0)</f>
        <v>0</v>
      </c>
      <c r="AP360" s="38">
        <f>IF(AND($A360&gt;=AP$8,$A360&lt;=AP$9),IF(SUM(AP$10:AP359)-ROUNDDOWN($K360*AP$5/100,0)&lt;-AP$6,-AP$6-SUM(AP$10:AP359),-ROUNDDOWN($K360*AP$5/100,0)),0)</f>
        <v>0</v>
      </c>
      <c r="AQ360" s="38">
        <f>IF(AND($A360&gt;=AQ$8,$A360&lt;=AQ$9),IF(SUM(AQ$10:AQ359)-ROUNDDOWN($K360*AQ$5/100,0)&lt;-AQ$6,-AQ$6-SUM(AQ$10:AQ359),-ROUNDDOWN($K360*AQ$5/100,0)),0)</f>
        <v>0</v>
      </c>
      <c r="AR360" s="38">
        <f>IF(AND($A360&gt;=AR$8,$A360&lt;=AR$9),IF(SUM(AR$10:AR359)-ROUNDDOWN($K360*AR$5/100,0)&lt;-AR$6,-AR$6-SUM(AR$10:AR359),-ROUNDDOWN($K360*AR$5/100,0)),0)</f>
        <v>0</v>
      </c>
      <c r="AS360" s="38">
        <f>IF(SUMIFS(AS$10:AS359,$A$10:$A359,$A360)-ROUNDDOWN($K360*$S360/100,0)&lt;-$S360*1000,-$S360*1000-SUMIFS(AS$10:AS359,$A$10:$A359,$A360),-ROUNDDOWN($K360*$S360/100,0))</f>
        <v>0</v>
      </c>
      <c r="AT360" s="38">
        <f>IF(AND(X360="○",$A360&gt;=AT$8,$A360&lt;=AT$9,K360&gt;=3980),IF(SUM(AT$10:AT359)-ROUNDDOWN($K360*AT$5/100,0)&lt;-AT$6,-AT$6-SUM(AT$10:AT359),-ROUNDDOWN($K360*AT$5/100,0)),0)</f>
        <v>0</v>
      </c>
      <c r="AU360" s="38">
        <f>IF(O360="○",IF(SUM(AU$10:AU359)-ROUNDDOWN($K360*AU$5/100,0)&lt;-AU$6,-AU$6-SUM(AU$10:AU359),-ROUNDDOWN($K360*AU$5/100,0)),0)</f>
        <v>0</v>
      </c>
      <c r="AV360" s="38">
        <f>IF(P360="○",IF(SUM(AV$10:AV359)-ROUNDDOWN($K360*AV$5/100,0)&lt;-AV$6,-AV$6-SUM(AV$10:AV359),-ROUNDDOWN($K360*AV$5/100,0)),0)</f>
        <v>0</v>
      </c>
      <c r="AW360" s="38">
        <f>IF(Q360="○",IF(SUM(AW$10:AW359)-ROUNDDOWN($K360*AW$5/100,0)&lt;-AW$6,-AW$6-SUM(AW$10:AW359),-ROUNDDOWN($K360*AW$5/100,0)),0)</f>
        <v>0</v>
      </c>
      <c r="AX360" s="38">
        <f>IF(R360="○",IF(SUM(AX$10:AX359)-ROUNDDOWN($K360*AX$5/100,0)&lt;-AX$6,-AX$6-SUM(AX$10:AX359),-ROUNDDOWN($K360*AX$5/100,0)),0)</f>
        <v>0</v>
      </c>
      <c r="AY360" s="70">
        <v>0</v>
      </c>
      <c r="AZ360" s="65">
        <f t="shared" si="250"/>
        <v>0</v>
      </c>
      <c r="BA360" s="65">
        <f t="shared" si="251"/>
        <v>0</v>
      </c>
      <c r="BB360" s="70"/>
      <c r="BC360" s="65">
        <f t="shared" si="252"/>
        <v>0</v>
      </c>
      <c r="BD360" s="70">
        <v>0</v>
      </c>
      <c r="BE360" s="65">
        <f t="shared" si="253"/>
        <v>0</v>
      </c>
      <c r="BF360" s="70">
        <v>0</v>
      </c>
      <c r="BG360" s="65">
        <f t="shared" si="254"/>
        <v>0</v>
      </c>
      <c r="BH360" s="70">
        <v>0</v>
      </c>
      <c r="BI360" s="65">
        <f t="shared" si="255"/>
        <v>0</v>
      </c>
      <c r="BJ360" s="38">
        <f>IF(AND(BJ$7="○",$A360&gt;=BJ$8,$A360&lt;=BJ$9),IF(SUM(BJ$10:BJ359)-ROUNDDOWN($M360*BJ$5/100,0)&lt;-BJ$6,-BJ$6-SUM(BJ$10:BJ359),-ROUNDDOWN($M360*BJ$5/100,0)),0)</f>
        <v>0</v>
      </c>
      <c r="BK360" s="38">
        <f>IF(AND(BK$7="○",$A360&gt;=BK$8,$A360&lt;=BK$9),IF(SUM(BK$10:BK359)-ROUNDDOWN($L360*BK$5/100,0)&lt;-BK$6,-BK$6-SUM(BK$10:BK359),-ROUNDDOWN($L360*BK$5/100,0)),0)</f>
        <v>0</v>
      </c>
      <c r="BL360" s="38">
        <f>IF(AND(BL$7="○",$A360&gt;=BL$8,$A360&lt;=BL$9),IF(SUM(BL$10:BL359)-ROUNDDOWN($L360*BL$5/100,0)&lt;-BL$6,-BL$6-SUM(BL$10:BL359),-ROUNDDOWN($L360*BL$5/100,0)),0)</f>
        <v>0</v>
      </c>
      <c r="BM360" s="38">
        <f>IF(AND(BM$7="○",$A360&gt;=BM$8,$A360&lt;=BM$9),IF(SUM(BM$10:BM359)-ROUNDDOWN($M360*BM$5/100,0)&lt;-BM$6,-BM$6-SUM(BM$10:BM359),-ROUNDDOWN($M360*BM$5/100,0)),0)</f>
        <v>0</v>
      </c>
      <c r="BN360" s="38">
        <f>IF(AND(BN$7="○",$A360&gt;=BN$8,$A360&lt;=BN$9),IF(SUM(BN$10:BN359)-ROUNDDOWN($M360*BN$5/100,0)&lt;-BN$6,-BN$6-SUM(BN$10:BN359),-ROUNDDOWN($M360*BN$5/100,0)),0)</f>
        <v>0</v>
      </c>
      <c r="BO360" s="38">
        <f>IF(AND(BO$7="○",$A360&gt;=BO$8,$A360&lt;=BO$9),IF(SUM(BO$10:BO359)-ROUNDDOWN($M360*BO$5/100,0)&lt;-BO$6,-BO$6-SUM(BO$10:BO359),-ROUNDDOWN($M360*BO$5/100,0)),0)</f>
        <v>0</v>
      </c>
      <c r="BP360" s="38">
        <f>IF(AND(BP$7="○",$A360&gt;=BP$8,$A360&lt;=BP$9),IF(SUM(BP$10:BP359)-ROUNDDOWN($M360*BP$5/100,0)&lt;-BP$6,-BP$6-SUM(BP$10:BP359),-ROUNDDOWN($M360*BP$5/100,0)),0)</f>
        <v>0</v>
      </c>
      <c r="BQ360" s="38">
        <f>IF(AND(BQ$7="○",$A360&gt;=BQ$8,$A360&lt;=BQ$9),IF(SUM(BQ$10:BQ359)-ROUNDDOWN($L360*BQ$5/100,0)&lt;-BQ$6,-BQ$6-SUM(BQ$10:BQ359),-ROUNDDOWN($L360*BQ$5/100,0)),0)</f>
        <v>0</v>
      </c>
      <c r="BR360" s="38">
        <f>IF(AND(BR$7="○",$A360&gt;=BR$8,$A360&lt;=BR$9),IF(SUM(BR$10:BR359)-ROUNDDOWN($M360*BR$5/100,0)&lt;-BR$6,-BR$6-SUM(BR$10:BR359),-ROUNDDOWN($M360*BR$5/100,0)),0)</f>
        <v>0</v>
      </c>
      <c r="BS360" s="38">
        <f>IF(AND(BS$7="○",$A360&gt;=BS$8,$A360&lt;=BS$9),IF(SUM(BS$10:BS359)-ROUNDDOWN($M360*BS$5/100,0)&lt;-BS$6,-BS$6-SUM(BS$10:BS359),-ROUNDDOWN($M360*BS$5/100,0)),0)</f>
        <v>0</v>
      </c>
      <c r="BT360" s="38">
        <f>IF(AND(BT$7="○",$A360&gt;=BT$8,$A360&lt;=BT$9),IF(SUM(BT$10:BT359)-ROUNDDOWN($M360*BT$5/100,0)&lt;-BT$6,-BT$6-SUM(BT$10:BT359),-ROUNDDOWN($M360*BT$5/100,0)),0)</f>
        <v>0</v>
      </c>
      <c r="BU360" s="38">
        <f>IF(AND(BU$7="○",$A360&gt;=BU$8,$A360&lt;=BU$9),IF(SUM(BU$10:BU359)-ROUNDDOWN($M360*BU$5/100,0)&lt;-BU$6,-BU$6-SUM(BU$10:BU359),-ROUNDDOWN($M360*BU$5/100,0)),0)</f>
        <v>0</v>
      </c>
      <c r="BV360" s="38">
        <f>IF(AND(BV$7="○",$A360&gt;=BV$8,$A360&lt;=BV$9),IF(SUM(BV$10:BV359)-ROUNDDOWN($M360*BV$5/100,0)&lt;-BV$6,-BV$6-SUM(BV$10:BV359),-ROUNDDOWN($M360*BV$5/100,0)),0)</f>
        <v>0</v>
      </c>
      <c r="BW360" s="38">
        <f>IF(AND(BW$7="○",$A360&gt;=BW$8,$A360&lt;=BW$9),IF(SUM(BW$10:BW359)-ROUNDDOWN($M360*BW$5/100,0)&lt;-BW$6,-BW$6-SUM(BW$10:BW359),-ROUNDDOWN($M360*BW$5/100,0)),0)</f>
        <v>0</v>
      </c>
      <c r="BX360" s="38">
        <f>IF(AND(T360="○",$A360&gt;=BX$8,$A360&lt;=BX$9),IF(SUM(BX$10:BX359)-ROUNDDOWN($K360*BX$5/100,0)&lt;-BX$6,-BX$6-SUM(BX$10:BX359),-ROUNDDOWN($K360*BX$5/100,0)),0)</f>
        <v>0</v>
      </c>
      <c r="BY360" s="38">
        <f>IF(AND(U360="○",$A360&gt;=BY$8,$A360&lt;=BY$9),IF(SUM(BY$10:BY359)-ROUNDDOWN($K360*BY$5/100,0)&lt;-BY$6,-BY$6-SUM(BY$10:BY359),-ROUNDDOWN($K360*BY$5/100,0)),0)</f>
        <v>0</v>
      </c>
      <c r="BZ360" s="38">
        <f>IF(AND(V360="○",$A360&gt;=BZ$8,$A360&lt;=BZ$9),IF(SUM(BZ$10:BZ359)-ROUNDDOWN($K360*BZ$5/100,0)&lt;-BZ$6,-BZ$6-SUM(BZ$10:BZ359),-ROUNDDOWN($K360*BZ$5/100,0)),0)</f>
        <v>0</v>
      </c>
      <c r="CA360" s="38">
        <f>IF(AND(W360="○",$A360&gt;=CA$8,$A360&lt;=CA$9),IF(SUM(CA$10:CA359)-ROUNDDOWN($K360*CA$5/100,0)&lt;-CA$6,-CA$6-SUM(CA$10:CA359),-ROUNDDOWN($K360*CA$5/100,0)),0)</f>
        <v>0</v>
      </c>
      <c r="CB360" s="38"/>
      <c r="CC360" s="38"/>
      <c r="CD360" s="38"/>
      <c r="CE360" s="38"/>
      <c r="CF360" s="38"/>
      <c r="CG360" s="65">
        <f t="shared" si="256"/>
        <v>0</v>
      </c>
      <c r="CH360" s="71">
        <f t="shared" si="257"/>
        <v>0</v>
      </c>
      <c r="CI360" s="1">
        <f t="shared" si="19"/>
        <v>0</v>
      </c>
      <c r="CJ360" s="1"/>
      <c r="CK360" s="75"/>
      <c r="CL360" s="75"/>
      <c r="CM360" s="2"/>
      <c r="CN360" s="2"/>
      <c r="CO360" s="73">
        <f t="shared" si="20"/>
        <v>0</v>
      </c>
      <c r="CP360" s="5">
        <f t="shared" si="21"/>
        <v>0</v>
      </c>
      <c r="CQ360" s="1"/>
      <c r="CR360" s="1">
        <f t="shared" si="22"/>
        <v>0</v>
      </c>
      <c r="CS360" s="1"/>
      <c r="CT360" s="1" t="e">
        <f>INDEX([2]マスタ!$A:$A,MATCH(D360,[2]マスタ!$C:$C,0))</f>
        <v>#N/A</v>
      </c>
      <c r="CU360" s="1" t="str">
        <f t="shared" ca="1" si="23"/>
        <v>20260620_0-0</v>
      </c>
    </row>
    <row r="361" spans="1:99" x14ac:dyDescent="0.4">
      <c r="A361" s="61"/>
      <c r="B361" s="62"/>
      <c r="C361" s="62"/>
      <c r="D361" s="62"/>
      <c r="E361" s="74"/>
      <c r="F361" s="62"/>
      <c r="G361" s="62">
        <v>1</v>
      </c>
      <c r="H361" s="64">
        <f t="shared" si="4"/>
        <v>0</v>
      </c>
      <c r="I361" s="64"/>
      <c r="J361" s="64"/>
      <c r="K361" s="65">
        <f t="shared" si="263"/>
        <v>0</v>
      </c>
      <c r="L361" s="65">
        <f t="shared" si="6"/>
        <v>0</v>
      </c>
      <c r="M361" s="65">
        <f t="shared" si="7"/>
        <v>0</v>
      </c>
      <c r="N361" s="65">
        <f t="shared" si="8"/>
        <v>0</v>
      </c>
      <c r="O361" s="66" t="str">
        <f t="shared" si="259"/>
        <v>✕</v>
      </c>
      <c r="P361" s="67" t="str">
        <f t="shared" si="260"/>
        <v>○</v>
      </c>
      <c r="Q361" s="67" t="str">
        <f t="shared" si="264"/>
        <v>✕</v>
      </c>
      <c r="R361" s="67" t="str">
        <f t="shared" si="262"/>
        <v>✕</v>
      </c>
      <c r="S361" s="68">
        <v>0</v>
      </c>
      <c r="T361" s="69" t="s">
        <v>85</v>
      </c>
      <c r="U361" s="69" t="s">
        <v>85</v>
      </c>
      <c r="V361" s="69" t="s">
        <v>85</v>
      </c>
      <c r="W361" s="69" t="s">
        <v>85</v>
      </c>
      <c r="X361" s="69" t="s">
        <v>84</v>
      </c>
      <c r="Y361" s="69" t="s">
        <v>85</v>
      </c>
      <c r="Z361" s="69" t="s">
        <v>85</v>
      </c>
      <c r="AA361" s="69" t="s">
        <v>85</v>
      </c>
      <c r="AB361" s="69" t="s">
        <v>85</v>
      </c>
      <c r="AC361" s="69" t="s">
        <v>85</v>
      </c>
      <c r="AD361" s="38" t="str">
        <f>+IF(ISERROR(VLOOKUP($B361,AD$10:AD360,1,0)),IF(AND($N361&gt;=1000,$A361&gt;=AO$8,$A361&lt;=AO$9),$B361,""),"")</f>
        <v/>
      </c>
      <c r="AE361" s="38" t="str">
        <f>+IF(ISERROR(VLOOKUP($B361,AE$10:AE360,1,0)),IF(AND($N361&gt;=1000,$A361&gt;=AP$8,$A361&lt;=AP$9),$B361,""),"")</f>
        <v/>
      </c>
      <c r="AF361" s="38" t="str">
        <f>+IF(ISERROR(VLOOKUP($B361,AF$10:AF360,1,0)),IF(AND($N361&gt;=1000,$A361&gt;=AQ$8,$A361&lt;=AQ$9),$B361,""),"")</f>
        <v/>
      </c>
      <c r="AG361" s="38" t="str">
        <f>+IF(ISERROR(VLOOKUP($B361,AG$10:AG360,1,0)),IF(AND($N361&gt;=1000,$A361&gt;=AR$8,$A361&lt;=AR$9),$B361,""),"")</f>
        <v/>
      </c>
      <c r="AH361" s="38"/>
      <c r="AI361" s="70">
        <v>0</v>
      </c>
      <c r="AJ361" s="38">
        <f>IF(AND(AJ$7="○",$A361&gt;=AJ$8,$A361&lt;=AJ$9),IF(SUM(AJ$10:AJ360)-ROUNDDOWN($K361*AJ$5/100,0)&lt;-AJ$6,-AJ$6-SUM(AJ$10:AJ360),-ROUNDDOWN($K361*AJ$5/100,0)),0)</f>
        <v>0</v>
      </c>
      <c r="AK361" s="38">
        <f>IF(AND(AK$7="○",$A361&gt;=AK$8,$A361&lt;=AK$9),IF(SUM(AK$10:AK360)-ROUNDDOWN($L361*AK$5/100,0)&lt;-AK$6,-AK$6-SUM(AK$10:AK360),-ROUNDDOWN($L361*AK$5/100,0)),0)</f>
        <v>0</v>
      </c>
      <c r="AL361" s="38">
        <f>IF(AND(AL$7="○",$A361&gt;=AL$8,$A361&lt;=AL$9),IF(SUM(AL$10:AL360)-ROUNDDOWN($N361*AL$5/100,0)&lt;-AL$6,-AL$6-SUM(AL$10:AL360),-ROUNDDOWN($N361*AL$5/100,0)),0)</f>
        <v>0</v>
      </c>
      <c r="AM361" s="38">
        <f>IF(AND(AM$7="○",$A361&gt;=AM$8,$A361&lt;=AM$9),IF(SUM(AM$10:AM360)-ROUNDDOWN($L361*AM$5/100,0)&lt;-AM$6,-AM$6-SUM(AM$10:AM360),-ROUNDDOWN($L361*AM$5/100,0)),0)</f>
        <v>0</v>
      </c>
      <c r="AN361" s="38">
        <f>IF(AND(AN$7="○",$A361&gt;=AN$8,$A361&lt;=AN$9),IF(SUM(AN$10:AN360)-ROUNDDOWN($M361*AN$5/100,0)&lt;-AN$6,-AN$6-SUM(AN$10:AN360),-ROUNDDOWN($M361*AN$5/100,0)),0)</f>
        <v>0</v>
      </c>
      <c r="AO361" s="38">
        <f>IF(AND($A361&gt;=AO$8,$A361&lt;=AO$9),IF(SUM(AO$10:AO360)-ROUNDDOWN($K361*AO$5/100,0)&lt;-AO$6,-AO$6-SUM(AO$10:AO360),-ROUNDDOWN($K361*AO$5/100,0)),0)</f>
        <v>0</v>
      </c>
      <c r="AP361" s="38">
        <f>IF(AND($A361&gt;=AP$8,$A361&lt;=AP$9),IF(SUM(AP$10:AP360)-ROUNDDOWN($K361*AP$5/100,0)&lt;-AP$6,-AP$6-SUM(AP$10:AP360),-ROUNDDOWN($K361*AP$5/100,0)),0)</f>
        <v>0</v>
      </c>
      <c r="AQ361" s="38">
        <f>IF(AND($A361&gt;=AQ$8,$A361&lt;=AQ$9),IF(SUM(AQ$10:AQ360)-ROUNDDOWN($K361*AQ$5/100,0)&lt;-AQ$6,-AQ$6-SUM(AQ$10:AQ360),-ROUNDDOWN($K361*AQ$5/100,0)),0)</f>
        <v>0</v>
      </c>
      <c r="AR361" s="38">
        <f>IF(AND($A361&gt;=AR$8,$A361&lt;=AR$9),IF(SUM(AR$10:AR360)-ROUNDDOWN($K361*AR$5/100,0)&lt;-AR$6,-AR$6-SUM(AR$10:AR360),-ROUNDDOWN($K361*AR$5/100,0)),0)</f>
        <v>0</v>
      </c>
      <c r="AS361" s="38">
        <f>IF(SUMIFS(AS$10:AS360,$A$10:$A360,$A361)-ROUNDDOWN($K361*$S361/100,0)&lt;-$S361*1000,-$S361*1000-SUMIFS(AS$10:AS360,$A$10:$A360,$A361),-ROUNDDOWN($K361*$S361/100,0))</f>
        <v>0</v>
      </c>
      <c r="AT361" s="38">
        <f>IF(AND(X361="○",$A361&gt;=AT$8,$A361&lt;=AT$9,K361&gt;=3980),IF(SUM(AT$10:AT360)-ROUNDDOWN($K361*AT$5/100,0)&lt;-AT$6,-AT$6-SUM(AT$10:AT360),-ROUNDDOWN($K361*AT$5/100,0)),0)</f>
        <v>0</v>
      </c>
      <c r="AU361" s="38">
        <f>IF(O361="○",IF(SUM(AU$10:AU360)-ROUNDDOWN($K361*AU$5/100,0)&lt;-AU$6,-AU$6-SUM(AU$10:AU360),-ROUNDDOWN($K361*AU$5/100,0)),0)</f>
        <v>0</v>
      </c>
      <c r="AV361" s="38">
        <f>IF(P361="○",IF(SUM(AV$10:AV360)-ROUNDDOWN($K361*AV$5/100,0)&lt;-AV$6,-AV$6-SUM(AV$10:AV360),-ROUNDDOWN($K361*AV$5/100,0)),0)</f>
        <v>0</v>
      </c>
      <c r="AW361" s="38">
        <f>IF(Q361="○",IF(SUM(AW$10:AW360)-ROUNDDOWN($K361*AW$5/100,0)&lt;-AW$6,-AW$6-SUM(AW$10:AW360),-ROUNDDOWN($K361*AW$5/100,0)),0)</f>
        <v>0</v>
      </c>
      <c r="AX361" s="38">
        <f>IF(R361="○",IF(SUM(AX$10:AX360)-ROUNDDOWN($K361*AX$5/100,0)&lt;-AX$6,-AX$6-SUM(AX$10:AX360),-ROUNDDOWN($K361*AX$5/100,0)),0)</f>
        <v>0</v>
      </c>
      <c r="AY361" s="70">
        <v>0</v>
      </c>
      <c r="AZ361" s="65">
        <f t="shared" si="250"/>
        <v>0</v>
      </c>
      <c r="BA361" s="65">
        <f t="shared" si="251"/>
        <v>0</v>
      </c>
      <c r="BB361" s="70"/>
      <c r="BC361" s="65">
        <f t="shared" si="252"/>
        <v>0</v>
      </c>
      <c r="BD361" s="70">
        <v>0</v>
      </c>
      <c r="BE361" s="65">
        <f t="shared" si="253"/>
        <v>0</v>
      </c>
      <c r="BF361" s="70">
        <v>0</v>
      </c>
      <c r="BG361" s="65">
        <f t="shared" si="254"/>
        <v>0</v>
      </c>
      <c r="BH361" s="70">
        <v>0</v>
      </c>
      <c r="BI361" s="65">
        <f t="shared" si="255"/>
        <v>0</v>
      </c>
      <c r="BJ361" s="38">
        <f>IF(AND(BJ$7="○",$A361&gt;=BJ$8,$A361&lt;=BJ$9),IF(SUM(BJ$10:BJ360)-ROUNDDOWN($M361*BJ$5/100,0)&lt;-BJ$6,-BJ$6-SUM(BJ$10:BJ360),-ROUNDDOWN($M361*BJ$5/100,0)),0)</f>
        <v>0</v>
      </c>
      <c r="BK361" s="38">
        <f>IF(AND(BK$7="○",$A361&gt;=BK$8,$A361&lt;=BK$9),IF(SUM(BK$10:BK360)-ROUNDDOWN($L361*BK$5/100,0)&lt;-BK$6,-BK$6-SUM(BK$10:BK360),-ROUNDDOWN($L361*BK$5/100,0)),0)</f>
        <v>0</v>
      </c>
      <c r="BL361" s="38">
        <f>IF(AND(BL$7="○",$A361&gt;=BL$8,$A361&lt;=BL$9),IF(SUM(BL$10:BL360)-ROUNDDOWN($L361*BL$5/100,0)&lt;-BL$6,-BL$6-SUM(BL$10:BL360),-ROUNDDOWN($L361*BL$5/100,0)),0)</f>
        <v>0</v>
      </c>
      <c r="BM361" s="38">
        <f>IF(AND(BM$7="○",$A361&gt;=BM$8,$A361&lt;=BM$9),IF(SUM(BM$10:BM360)-ROUNDDOWN($M361*BM$5/100,0)&lt;-BM$6,-BM$6-SUM(BM$10:BM360),-ROUNDDOWN($M361*BM$5/100,0)),0)</f>
        <v>0</v>
      </c>
      <c r="BN361" s="38">
        <f>IF(AND(BN$7="○",$A361&gt;=BN$8,$A361&lt;=BN$9),IF(SUM(BN$10:BN360)-ROUNDDOWN($M361*BN$5/100,0)&lt;-BN$6,-BN$6-SUM(BN$10:BN360),-ROUNDDOWN($M361*BN$5/100,0)),0)</f>
        <v>0</v>
      </c>
      <c r="BO361" s="38">
        <f>IF(AND(BO$7="○",$A361&gt;=BO$8,$A361&lt;=BO$9),IF(SUM(BO$10:BO360)-ROUNDDOWN($M361*BO$5/100,0)&lt;-BO$6,-BO$6-SUM(BO$10:BO360),-ROUNDDOWN($M361*BO$5/100,0)),0)</f>
        <v>0</v>
      </c>
      <c r="BP361" s="38">
        <f>IF(AND(BP$7="○",$A361&gt;=BP$8,$A361&lt;=BP$9),IF(SUM(BP$10:BP360)-ROUNDDOWN($M361*BP$5/100,0)&lt;-BP$6,-BP$6-SUM(BP$10:BP360),-ROUNDDOWN($M361*BP$5/100,0)),0)</f>
        <v>0</v>
      </c>
      <c r="BQ361" s="38">
        <f>IF(AND(BQ$7="○",$A361&gt;=BQ$8,$A361&lt;=BQ$9),IF(SUM(BQ$10:BQ360)-ROUNDDOWN($L361*BQ$5/100,0)&lt;-BQ$6,-BQ$6-SUM(BQ$10:BQ360),-ROUNDDOWN($L361*BQ$5/100,0)),0)</f>
        <v>0</v>
      </c>
      <c r="BR361" s="38">
        <f>IF(AND(BR$7="○",$A361&gt;=BR$8,$A361&lt;=BR$9),IF(SUM(BR$10:BR360)-ROUNDDOWN($M361*BR$5/100,0)&lt;-BR$6,-BR$6-SUM(BR$10:BR360),-ROUNDDOWN($M361*BR$5/100,0)),0)</f>
        <v>0</v>
      </c>
      <c r="BS361" s="38">
        <f>IF(AND(BS$7="○",$A361&gt;=BS$8,$A361&lt;=BS$9),IF(SUM(BS$10:BS360)-ROUNDDOWN($M361*BS$5/100,0)&lt;-BS$6,-BS$6-SUM(BS$10:BS360),-ROUNDDOWN($M361*BS$5/100,0)),0)</f>
        <v>0</v>
      </c>
      <c r="BT361" s="38">
        <f>IF(AND(BT$7="○",$A361&gt;=BT$8,$A361&lt;=BT$9),IF(SUM(BT$10:BT360)-ROUNDDOWN($M361*BT$5/100,0)&lt;-BT$6,-BT$6-SUM(BT$10:BT360),-ROUNDDOWN($M361*BT$5/100,0)),0)</f>
        <v>0</v>
      </c>
      <c r="BU361" s="38">
        <f>IF(AND(BU$7="○",$A361&gt;=BU$8,$A361&lt;=BU$9),IF(SUM(BU$10:BU360)-ROUNDDOWN($M361*BU$5/100,0)&lt;-BU$6,-BU$6-SUM(BU$10:BU360),-ROUNDDOWN($M361*BU$5/100,0)),0)</f>
        <v>0</v>
      </c>
      <c r="BV361" s="38">
        <f>IF(AND(BV$7="○",$A361&gt;=BV$8,$A361&lt;=BV$9),IF(SUM(BV$10:BV360)-ROUNDDOWN($M361*BV$5/100,0)&lt;-BV$6,-BV$6-SUM(BV$10:BV360),-ROUNDDOWN($M361*BV$5/100,0)),0)</f>
        <v>0</v>
      </c>
      <c r="BW361" s="38">
        <f>IF(AND(BW$7="○",$A361&gt;=BW$8,$A361&lt;=BW$9),IF(SUM(BW$10:BW360)-ROUNDDOWN($M361*BW$5/100,0)&lt;-BW$6,-BW$6-SUM(BW$10:BW360),-ROUNDDOWN($M361*BW$5/100,0)),0)</f>
        <v>0</v>
      </c>
      <c r="BX361" s="38">
        <f>IF(AND(T361="○",$A361&gt;=BX$8,$A361&lt;=BX$9),IF(SUM(BX$10:BX360)-ROUNDDOWN($K361*BX$5/100,0)&lt;-BX$6,-BX$6-SUM(BX$10:BX360),-ROUNDDOWN($K361*BX$5/100,0)),0)</f>
        <v>0</v>
      </c>
      <c r="BY361" s="38">
        <f>IF(AND(U361="○",$A361&gt;=BY$8,$A361&lt;=BY$9),IF(SUM(BY$10:BY360)-ROUNDDOWN($K361*BY$5/100,0)&lt;-BY$6,-BY$6-SUM(BY$10:BY360),-ROUNDDOWN($K361*BY$5/100,0)),0)</f>
        <v>0</v>
      </c>
      <c r="BZ361" s="38">
        <f>IF(AND(V361="○",$A361&gt;=BZ$8,$A361&lt;=BZ$9),IF(SUM(BZ$10:BZ360)-ROUNDDOWN($K361*BZ$5/100,0)&lt;-BZ$6,-BZ$6-SUM(BZ$10:BZ360),-ROUNDDOWN($K361*BZ$5/100,0)),0)</f>
        <v>0</v>
      </c>
      <c r="CA361" s="38">
        <f>IF(AND(W361="○",$A361&gt;=CA$8,$A361&lt;=CA$9),IF(SUM(CA$10:CA360)-ROUNDDOWN($K361*CA$5/100,0)&lt;-CA$6,-CA$6-SUM(CA$10:CA360),-ROUNDDOWN($K361*CA$5/100,0)),0)</f>
        <v>0</v>
      </c>
      <c r="CB361" s="38"/>
      <c r="CC361" s="38"/>
      <c r="CD361" s="38"/>
      <c r="CE361" s="38"/>
      <c r="CF361" s="38"/>
      <c r="CG361" s="65">
        <f t="shared" si="256"/>
        <v>0</v>
      </c>
      <c r="CH361" s="71">
        <f t="shared" si="257"/>
        <v>0</v>
      </c>
      <c r="CI361" s="1">
        <f t="shared" si="19"/>
        <v>0</v>
      </c>
      <c r="CJ361" s="1"/>
      <c r="CK361" s="75"/>
      <c r="CL361" s="75"/>
      <c r="CM361" s="2"/>
      <c r="CN361" s="2"/>
      <c r="CO361" s="73">
        <f t="shared" si="20"/>
        <v>0</v>
      </c>
      <c r="CP361" s="5">
        <f t="shared" si="21"/>
        <v>0</v>
      </c>
      <c r="CQ361" s="1"/>
      <c r="CR361" s="1">
        <f t="shared" si="22"/>
        <v>0</v>
      </c>
      <c r="CS361" s="1"/>
      <c r="CT361" s="1" t="e">
        <f>INDEX([2]マスタ!$A:$A,MATCH(D361,[2]マスタ!$C:$C,0))</f>
        <v>#N/A</v>
      </c>
      <c r="CU361" s="1" t="str">
        <f t="shared" ca="1" si="23"/>
        <v>20260620_0-0</v>
      </c>
    </row>
    <row r="362" spans="1:99" x14ac:dyDescent="0.4">
      <c r="A362" s="61"/>
      <c r="B362" s="62"/>
      <c r="C362" s="62"/>
      <c r="D362" s="62"/>
      <c r="E362" s="74"/>
      <c r="F362" s="62"/>
      <c r="G362" s="62">
        <v>1</v>
      </c>
      <c r="H362" s="64">
        <f t="shared" si="4"/>
        <v>0</v>
      </c>
      <c r="I362" s="64"/>
      <c r="J362" s="64"/>
      <c r="K362" s="65">
        <f>+ROUNDDOWN((H362+I362)/100,0)*100</f>
        <v>0</v>
      </c>
      <c r="L362" s="65">
        <f t="shared" si="6"/>
        <v>0</v>
      </c>
      <c r="M362" s="65">
        <f t="shared" si="7"/>
        <v>0</v>
      </c>
      <c r="N362" s="65">
        <f t="shared" si="8"/>
        <v>0</v>
      </c>
      <c r="O362" s="66" t="str">
        <f t="shared" si="259"/>
        <v>✕</v>
      </c>
      <c r="P362" s="67" t="str">
        <f t="shared" si="260"/>
        <v>○</v>
      </c>
      <c r="Q362" s="67" t="str">
        <f>+IF((TEXT($A362,"DD")+0)=1,"○","✕")</f>
        <v>✕</v>
      </c>
      <c r="R362" s="67" t="str">
        <f t="shared" si="262"/>
        <v>✕</v>
      </c>
      <c r="S362" s="68">
        <v>0</v>
      </c>
      <c r="T362" s="69" t="s">
        <v>85</v>
      </c>
      <c r="U362" s="69" t="s">
        <v>85</v>
      </c>
      <c r="V362" s="69" t="s">
        <v>85</v>
      </c>
      <c r="W362" s="69" t="s">
        <v>85</v>
      </c>
      <c r="X362" s="69" t="s">
        <v>84</v>
      </c>
      <c r="Y362" s="69" t="s">
        <v>85</v>
      </c>
      <c r="Z362" s="69" t="s">
        <v>85</v>
      </c>
      <c r="AA362" s="69" t="s">
        <v>85</v>
      </c>
      <c r="AB362" s="69" t="s">
        <v>85</v>
      </c>
      <c r="AC362" s="69" t="s">
        <v>85</v>
      </c>
      <c r="AD362" s="38" t="str">
        <f>+IF(ISERROR(VLOOKUP($B362,AD$10:AD361,1,0)),IF(AND($N362&gt;=1000,$A362&gt;=AO$8,$A362&lt;=AO$9),$B362,""),"")</f>
        <v/>
      </c>
      <c r="AE362" s="38" t="str">
        <f>+IF(ISERROR(VLOOKUP($B362,AE$10:AE361,1,0)),IF(AND($N362&gt;=1000,$A362&gt;=AP$8,$A362&lt;=AP$9),$B362,""),"")</f>
        <v/>
      </c>
      <c r="AF362" s="38" t="str">
        <f>+IF(ISERROR(VLOOKUP($B362,AF$10:AF361,1,0)),IF(AND($N362&gt;=1000,$A362&gt;=AQ$8,$A362&lt;=AQ$9),$B362,""),"")</f>
        <v/>
      </c>
      <c r="AG362" s="38" t="str">
        <f>+IF(ISERROR(VLOOKUP($B362,AG$10:AG361,1,0)),IF(AND($N362&gt;=1000,$A362&gt;=AR$8,$A362&lt;=AR$9),$B362,""),"")</f>
        <v/>
      </c>
      <c r="AH362" s="38"/>
      <c r="AI362" s="70">
        <v>0</v>
      </c>
      <c r="AJ362" s="38">
        <f>IF(AND(AJ$7="○",$A362&gt;=AJ$8,$A362&lt;=AJ$9),IF(SUM(AJ$10:AJ361)-ROUNDDOWN($K362*AJ$5/100,0)&lt;-AJ$6,-AJ$6-SUM(AJ$10:AJ361),-ROUNDDOWN($K362*AJ$5/100,0)),0)</f>
        <v>0</v>
      </c>
      <c r="AK362" s="38">
        <f>IF(AND(AK$7="○",$A362&gt;=AK$8,$A362&lt;=AK$9),IF(SUM(AK$10:AK361)-ROUNDDOWN($L362*AK$5/100,0)&lt;-AK$6,-AK$6-SUM(AK$10:AK361),-ROUNDDOWN($L362*AK$5/100,0)),0)</f>
        <v>0</v>
      </c>
      <c r="AL362" s="38">
        <f>IF(AND(AL$7="○",$A362&gt;=AL$8,$A362&lt;=AL$9),IF(SUM(AL$10:AL361)-ROUNDDOWN($N362*AL$5/100,0)&lt;-AL$6,-AL$6-SUM(AL$10:AL361),-ROUNDDOWN($N362*AL$5/100,0)),0)</f>
        <v>0</v>
      </c>
      <c r="AM362" s="38">
        <f>IF(AND(AM$7="○",$A362&gt;=AM$8,$A362&lt;=AM$9),IF(SUM(AM$10:AM361)-ROUNDDOWN($L362*AM$5/100,0)&lt;-AM$6,-AM$6-SUM(AM$10:AM361),-ROUNDDOWN($L362*AM$5/100,0)),0)</f>
        <v>0</v>
      </c>
      <c r="AN362" s="38">
        <f>IF(AND(AN$7="○",$A362&gt;=AN$8,$A362&lt;=AN$9),IF(SUM(AN$10:AN361)-ROUNDDOWN($M362*AN$5/100,0)&lt;-AN$6,-AN$6-SUM(AN$10:AN361),-ROUNDDOWN($M362*AN$5/100,0)),0)</f>
        <v>0</v>
      </c>
      <c r="AO362" s="38">
        <f>IF(AND($A362&gt;=AO$8,$A362&lt;=AO$9),IF(SUM(AO$10:AO361)-ROUNDDOWN($K362*AO$5/100,0)&lt;-AO$6,-AO$6-SUM(AO$10:AO361),-ROUNDDOWN($K362*AO$5/100,0)),0)</f>
        <v>0</v>
      </c>
      <c r="AP362" s="38">
        <f>IF(AND($A362&gt;=AP$8,$A362&lt;=AP$9),IF(SUM(AP$10:AP361)-ROUNDDOWN($K362*AP$5/100,0)&lt;-AP$6,-AP$6-SUM(AP$10:AP361),-ROUNDDOWN($K362*AP$5/100,0)),0)</f>
        <v>0</v>
      </c>
      <c r="AQ362" s="38">
        <f>IF(AND($A362&gt;=AQ$8,$A362&lt;=AQ$9),IF(SUM(AQ$10:AQ361)-ROUNDDOWN($K362*AQ$5/100,0)&lt;-AQ$6,-AQ$6-SUM(AQ$10:AQ361),-ROUNDDOWN($K362*AQ$5/100,0)),0)</f>
        <v>0</v>
      </c>
      <c r="AR362" s="38">
        <f>IF(AND($A362&gt;=AR$8,$A362&lt;=AR$9),IF(SUM(AR$10:AR361)-ROUNDDOWN($K362*AR$5/100,0)&lt;-AR$6,-AR$6-SUM(AR$10:AR361),-ROUNDDOWN($K362*AR$5/100,0)),0)</f>
        <v>0</v>
      </c>
      <c r="AS362" s="38">
        <f>IF(SUMIFS(AS$10:AS361,$A$10:$A361,$A362)-ROUNDDOWN($K362*$S362/100,0)&lt;-$S362*1000,-$S362*1000-SUMIFS(AS$10:AS361,$A$10:$A361,$A362),-ROUNDDOWN($K362*$S362/100,0))</f>
        <v>0</v>
      </c>
      <c r="AT362" s="38">
        <f>IF(AND(X362="○",$A362&gt;=AT$8,$A362&lt;=AT$9,K362&gt;=3980),IF(SUM(AT$10:AT361)-ROUNDDOWN($K362*AT$5/100,0)&lt;-AT$6,-AT$6-SUM(AT$10:AT361),-ROUNDDOWN($K362*AT$5/100,0)),0)</f>
        <v>0</v>
      </c>
      <c r="AU362" s="38">
        <f>IF(O362="○",IF(SUM(AU$10:AU361)-ROUNDDOWN($K362*AU$5/100,0)&lt;-AU$6,-AU$6-SUM(AU$10:AU361),-ROUNDDOWN($K362*AU$5/100,0)),0)</f>
        <v>0</v>
      </c>
      <c r="AV362" s="38">
        <f>IF(P362="○",IF(SUM(AV$10:AV361)-ROUNDDOWN($K362*AV$5/100,0)&lt;-AV$6,-AV$6-SUM(AV$10:AV361),-ROUNDDOWN($K362*AV$5/100,0)),0)</f>
        <v>0</v>
      </c>
      <c r="AW362" s="38">
        <f>IF(Q362="○",IF(SUM(AW$10:AW361)-ROUNDDOWN($K362*AW$5/100,0)&lt;-AW$6,-AW$6-SUM(AW$10:AW361),-ROUNDDOWN($K362*AW$5/100,0)),0)</f>
        <v>0</v>
      </c>
      <c r="AX362" s="38">
        <f>IF(R362="○",IF(SUM(AX$10:AX361)-ROUNDDOWN($K362*AX$5/100,0)&lt;-AX$6,-AX$6-SUM(AX$10:AX361),-ROUNDDOWN($K362*AX$5/100,0)),0)</f>
        <v>0</v>
      </c>
      <c r="AY362" s="70">
        <v>0</v>
      </c>
      <c r="AZ362" s="65">
        <f t="shared" si="250"/>
        <v>0</v>
      </c>
      <c r="BA362" s="65">
        <f t="shared" si="251"/>
        <v>0</v>
      </c>
      <c r="BB362" s="70"/>
      <c r="BC362" s="65">
        <f t="shared" si="252"/>
        <v>0</v>
      </c>
      <c r="BD362" s="70">
        <v>0</v>
      </c>
      <c r="BE362" s="65">
        <f t="shared" si="253"/>
        <v>0</v>
      </c>
      <c r="BF362" s="70">
        <v>0</v>
      </c>
      <c r="BG362" s="65">
        <f t="shared" si="254"/>
        <v>0</v>
      </c>
      <c r="BH362" s="70">
        <v>0</v>
      </c>
      <c r="BI362" s="65">
        <f t="shared" si="255"/>
        <v>0</v>
      </c>
      <c r="BJ362" s="38">
        <f>IF(AND(BJ$7="○",$A362&gt;=BJ$8,$A362&lt;=BJ$9),IF(SUM(BJ$10:BJ361)-ROUNDDOWN($M362*BJ$5/100,0)&lt;-BJ$6,-BJ$6-SUM(BJ$10:BJ361),-ROUNDDOWN($M362*BJ$5/100,0)),0)</f>
        <v>0</v>
      </c>
      <c r="BK362" s="38">
        <f>IF(AND(BK$7="○",$A362&gt;=BK$8,$A362&lt;=BK$9),IF(SUM(BK$10:BK361)-ROUNDDOWN($L362*BK$5/100,0)&lt;-BK$6,-BK$6-SUM(BK$10:BK361),-ROUNDDOWN($L362*BK$5/100,0)),0)</f>
        <v>0</v>
      </c>
      <c r="BL362" s="38">
        <f>IF(AND(BL$7="○",$A362&gt;=BL$8,$A362&lt;=BL$9),IF(SUM(BL$10:BL361)-ROUNDDOWN($L362*BL$5/100,0)&lt;-BL$6,-BL$6-SUM(BL$10:BL361),-ROUNDDOWN($L362*BL$5/100,0)),0)</f>
        <v>0</v>
      </c>
      <c r="BM362" s="38">
        <f>IF(AND(BM$7="○",$A362&gt;=BM$8,$A362&lt;=BM$9),IF(SUM(BM$10:BM361)-ROUNDDOWN($M362*BM$5/100,0)&lt;-BM$6,-BM$6-SUM(BM$10:BM361),-ROUNDDOWN($M362*BM$5/100,0)),0)</f>
        <v>0</v>
      </c>
      <c r="BN362" s="38">
        <f>IF(AND(BN$7="○",$A362&gt;=BN$8,$A362&lt;=BN$9),IF(SUM(BN$10:BN361)-ROUNDDOWN($M362*BN$5/100,0)&lt;-BN$6,-BN$6-SUM(BN$10:BN361),-ROUNDDOWN($M362*BN$5/100,0)),0)</f>
        <v>0</v>
      </c>
      <c r="BO362" s="38">
        <f>IF(AND(BO$7="○",$A362&gt;=BO$8,$A362&lt;=BO$9),IF(SUM(BO$10:BO361)-ROUNDDOWN($M362*BO$5/100,0)&lt;-BO$6,-BO$6-SUM(BO$10:BO361),-ROUNDDOWN($M362*BO$5/100,0)),0)</f>
        <v>0</v>
      </c>
      <c r="BP362" s="38">
        <f>IF(AND(BP$7="○",$A362&gt;=BP$8,$A362&lt;=BP$9),IF(SUM(BP$10:BP361)-ROUNDDOWN($M362*BP$5/100,0)&lt;-BP$6,-BP$6-SUM(BP$10:BP361),-ROUNDDOWN($M362*BP$5/100,0)),0)</f>
        <v>0</v>
      </c>
      <c r="BQ362" s="38">
        <f>IF(AND(BQ$7="○",$A362&gt;=BQ$8,$A362&lt;=BQ$9),IF(SUM(BQ$10:BQ361)-ROUNDDOWN($L362*BQ$5/100,0)&lt;-BQ$6,-BQ$6-SUM(BQ$10:BQ361),-ROUNDDOWN($L362*BQ$5/100,0)),0)</f>
        <v>0</v>
      </c>
      <c r="BR362" s="38">
        <f>IF(AND(BR$7="○",$A362&gt;=BR$8,$A362&lt;=BR$9),IF(SUM(BR$10:BR361)-ROUNDDOWN($M362*BR$5/100,0)&lt;-BR$6,-BR$6-SUM(BR$10:BR361),-ROUNDDOWN($M362*BR$5/100,0)),0)</f>
        <v>0</v>
      </c>
      <c r="BS362" s="38">
        <f>IF(AND(BS$7="○",$A362&gt;=BS$8,$A362&lt;=BS$9),IF(SUM(BS$10:BS361)-ROUNDDOWN($M362*BS$5/100,0)&lt;-BS$6,-BS$6-SUM(BS$10:BS361),-ROUNDDOWN($M362*BS$5/100,0)),0)</f>
        <v>0</v>
      </c>
      <c r="BT362" s="38">
        <f>IF(AND(BT$7="○",$A362&gt;=BT$8,$A362&lt;=BT$9),IF(SUM(BT$10:BT361)-ROUNDDOWN($M362*BT$5/100,0)&lt;-BT$6,-BT$6-SUM(BT$10:BT361),-ROUNDDOWN($M362*BT$5/100,0)),0)</f>
        <v>0</v>
      </c>
      <c r="BU362" s="38">
        <f>IF(AND(BU$7="○",$A362&gt;=BU$8,$A362&lt;=BU$9),IF(SUM(BU$10:BU361)-ROUNDDOWN($M362*BU$5/100,0)&lt;-BU$6,-BU$6-SUM(BU$10:BU361),-ROUNDDOWN($M362*BU$5/100,0)),0)</f>
        <v>0</v>
      </c>
      <c r="BV362" s="38">
        <f>IF(AND(BV$7="○",$A362&gt;=BV$8,$A362&lt;=BV$9),IF(SUM(BV$10:BV361)-ROUNDDOWN($M362*BV$5/100,0)&lt;-BV$6,-BV$6-SUM(BV$10:BV361),-ROUNDDOWN($M362*BV$5/100,0)),0)</f>
        <v>0</v>
      </c>
      <c r="BW362" s="38">
        <f>IF(AND(BW$7="○",$A362&gt;=BW$8,$A362&lt;=BW$9),IF(SUM(BW$10:BW361)-ROUNDDOWN($M362*BW$5/100,0)&lt;-BW$6,-BW$6-SUM(BW$10:BW361),-ROUNDDOWN($M362*BW$5/100,0)),0)</f>
        <v>0</v>
      </c>
      <c r="BX362" s="38">
        <f>IF(AND(T362="○",$A362&gt;=BX$8,$A362&lt;=BX$9),IF(SUM(BX$10:BX361)-ROUNDDOWN($K362*BX$5/100,0)&lt;-BX$6,-BX$6-SUM(BX$10:BX361),-ROUNDDOWN($K362*BX$5/100,0)),0)</f>
        <v>0</v>
      </c>
      <c r="BY362" s="38">
        <f>IF(AND(U362="○",$A362&gt;=BY$8,$A362&lt;=BY$9),IF(SUM(BY$10:BY361)-ROUNDDOWN($K362*BY$5/100,0)&lt;-BY$6,-BY$6-SUM(BY$10:BY361),-ROUNDDOWN($K362*BY$5/100,0)),0)</f>
        <v>0</v>
      </c>
      <c r="BZ362" s="38">
        <f>IF(AND(V362="○",$A362&gt;=BZ$8,$A362&lt;=BZ$9),IF(SUM(BZ$10:BZ361)-ROUNDDOWN($K362*BZ$5/100,0)&lt;-BZ$6,-BZ$6-SUM(BZ$10:BZ361),-ROUNDDOWN($K362*BZ$5/100,0)),0)</f>
        <v>0</v>
      </c>
      <c r="CA362" s="38">
        <f>IF(AND(W362="○",$A362&gt;=CA$8,$A362&lt;=CA$9),IF(SUM(CA$10:CA361)-ROUNDDOWN($K362*CA$5/100,0)&lt;-CA$6,-CA$6-SUM(CA$10:CA361),-ROUNDDOWN($K362*CA$5/100,0)),0)</f>
        <v>0</v>
      </c>
      <c r="CB362" s="38"/>
      <c r="CC362" s="38"/>
      <c r="CD362" s="38"/>
      <c r="CE362" s="38"/>
      <c r="CF362" s="38"/>
      <c r="CG362" s="65">
        <f t="shared" si="256"/>
        <v>0</v>
      </c>
      <c r="CH362" s="71">
        <f t="shared" si="257"/>
        <v>0</v>
      </c>
      <c r="CI362" s="1">
        <f t="shared" si="19"/>
        <v>0</v>
      </c>
      <c r="CJ362" s="1"/>
      <c r="CK362" s="75"/>
      <c r="CL362" s="75"/>
      <c r="CM362" s="2"/>
      <c r="CN362" s="2"/>
      <c r="CO362" s="73">
        <f t="shared" si="20"/>
        <v>0</v>
      </c>
      <c r="CP362" s="5">
        <f t="shared" si="21"/>
        <v>0</v>
      </c>
      <c r="CQ362" s="1"/>
      <c r="CR362" s="1">
        <f t="shared" si="22"/>
        <v>0</v>
      </c>
      <c r="CS362" s="1"/>
      <c r="CT362" s="1" t="e">
        <f>INDEX([2]マスタ!$A:$A,MATCH(D362,[2]マスタ!$C:$C,0))</f>
        <v>#N/A</v>
      </c>
      <c r="CU362" s="1" t="str">
        <f t="shared" ca="1" si="23"/>
        <v>20260620_0-0</v>
      </c>
    </row>
    <row r="363" spans="1:99" x14ac:dyDescent="0.4">
      <c r="A363" s="61"/>
      <c r="B363" s="62"/>
      <c r="C363" s="62"/>
      <c r="D363" s="62"/>
      <c r="E363" s="63"/>
      <c r="F363" s="62"/>
      <c r="G363" s="62">
        <v>1</v>
      </c>
      <c r="H363" s="64">
        <f t="shared" si="4"/>
        <v>0</v>
      </c>
      <c r="I363" s="64"/>
      <c r="J363" s="64"/>
      <c r="K363" s="65">
        <f>+ROUNDDOWN((H363+I363)/100,0)*100</f>
        <v>0</v>
      </c>
      <c r="L363" s="65">
        <f t="shared" si="6"/>
        <v>0</v>
      </c>
      <c r="M363" s="65">
        <f t="shared" si="7"/>
        <v>0</v>
      </c>
      <c r="N363" s="65">
        <f t="shared" si="8"/>
        <v>0</v>
      </c>
      <c r="O363" s="66" t="str">
        <f t="shared" si="259"/>
        <v>✕</v>
      </c>
      <c r="P363" s="67" t="str">
        <f t="shared" si="260"/>
        <v>○</v>
      </c>
      <c r="Q363" s="67" t="str">
        <f>+IF((TEXT($A363,"DD")+0)=1,"○","✕")</f>
        <v>✕</v>
      </c>
      <c r="R363" s="67" t="str">
        <f t="shared" si="262"/>
        <v>✕</v>
      </c>
      <c r="S363" s="68">
        <v>0</v>
      </c>
      <c r="T363" s="69" t="s">
        <v>85</v>
      </c>
      <c r="U363" s="69" t="s">
        <v>85</v>
      </c>
      <c r="V363" s="69" t="s">
        <v>85</v>
      </c>
      <c r="W363" s="69" t="s">
        <v>85</v>
      </c>
      <c r="X363" s="69" t="s">
        <v>84</v>
      </c>
      <c r="Y363" s="69" t="s">
        <v>85</v>
      </c>
      <c r="Z363" s="69" t="s">
        <v>85</v>
      </c>
      <c r="AA363" s="69" t="s">
        <v>85</v>
      </c>
      <c r="AB363" s="69" t="s">
        <v>85</v>
      </c>
      <c r="AC363" s="69" t="s">
        <v>85</v>
      </c>
      <c r="AD363" s="38" t="str">
        <f>+IF(ISERROR(VLOOKUP($B363,AD$10:AD362,1,0)),IF(AND($N363&gt;=1000,$A363&gt;=AO$8,$A363&lt;=AO$9),$B363,""),"")</f>
        <v/>
      </c>
      <c r="AE363" s="38" t="str">
        <f>+IF(ISERROR(VLOOKUP($B363,AE$10:AE362,1,0)),IF(AND($N363&gt;=1000,$A363&gt;=AP$8,$A363&lt;=AP$9),$B363,""),"")</f>
        <v/>
      </c>
      <c r="AF363" s="38" t="str">
        <f>+IF(ISERROR(VLOOKUP($B363,AF$10:AF362,1,0)),IF(AND($N363&gt;=1000,$A363&gt;=AQ$8,$A363&lt;=AQ$9),$B363,""),"")</f>
        <v/>
      </c>
      <c r="AG363" s="38" t="str">
        <f>+IF(ISERROR(VLOOKUP($B363,AG$10:AG362,1,0)),IF(AND($N363&gt;=1000,$A363&gt;=AR$8,$A363&lt;=AR$9),$B363,""),"")</f>
        <v/>
      </c>
      <c r="AH363" s="38"/>
      <c r="AI363" s="70">
        <v>0</v>
      </c>
      <c r="AJ363" s="38">
        <f>IF(AND(AJ$7="○",$A363&gt;=AJ$8,$A363&lt;=AJ$9),IF(SUM(AJ$10:AJ362)-ROUNDDOWN($K363*AJ$5/100,0)&lt;-AJ$6,-AJ$6-SUM(AJ$10:AJ362),-ROUNDDOWN($K363*AJ$5/100,0)),0)</f>
        <v>0</v>
      </c>
      <c r="AK363" s="38">
        <f>IF(AND(AK$7="○",$A363&gt;=AK$8,$A363&lt;=AK$9),IF(SUM(AK$10:AK362)-ROUNDDOWN($L363*AK$5/100,0)&lt;-AK$6,-AK$6-SUM(AK$10:AK362),-ROUNDDOWN($L363*AK$5/100,0)),0)</f>
        <v>0</v>
      </c>
      <c r="AL363" s="38">
        <f>IF(AND(AL$7="○",$A363&gt;=AL$8,$A363&lt;=AL$9),IF(SUM(AL$10:AL362)-ROUNDDOWN($N363*AL$5/100,0)&lt;-AL$6,-AL$6-SUM(AL$10:AL362),-ROUNDDOWN($N363*AL$5/100,0)),0)</f>
        <v>0</v>
      </c>
      <c r="AM363" s="38">
        <f>IF(AND(AM$7="○",$A363&gt;=AM$8,$A363&lt;=AM$9),IF(SUM(AM$10:AM362)-ROUNDDOWN($L363*AM$5/100,0)&lt;-AM$6,-AM$6-SUM(AM$10:AM362),-ROUNDDOWN($L363*AM$5/100,0)),0)</f>
        <v>0</v>
      </c>
      <c r="AN363" s="38">
        <f>IF(AND(AN$7="○",$A363&gt;=AN$8,$A363&lt;=AN$9),IF(SUM(AN$10:AN362)-ROUNDDOWN($M363*AN$5/100,0)&lt;-AN$6,-AN$6-SUM(AN$10:AN362),-ROUNDDOWN($M363*AN$5/100,0)),0)</f>
        <v>0</v>
      </c>
      <c r="AO363" s="38">
        <f>IF(AND($A363&gt;=AO$8,$A363&lt;=AO$9),IF(SUM(AO$10:AO362)-ROUNDDOWN($K363*AO$5/100,0)&lt;-AO$6,-AO$6-SUM(AO$10:AO362),-ROUNDDOWN($K363*AO$5/100,0)),0)</f>
        <v>0</v>
      </c>
      <c r="AP363" s="38">
        <f>IF(AND($A363&gt;=AP$8,$A363&lt;=AP$9),IF(SUM(AP$10:AP362)-ROUNDDOWN($K363*AP$5/100,0)&lt;-AP$6,-AP$6-SUM(AP$10:AP362),-ROUNDDOWN($K363*AP$5/100,0)),0)</f>
        <v>0</v>
      </c>
      <c r="AQ363" s="38">
        <f>IF(AND($A363&gt;=AQ$8,$A363&lt;=AQ$9),IF(SUM(AQ$10:AQ362)-ROUNDDOWN($K363*AQ$5/100,0)&lt;-AQ$6,-AQ$6-SUM(AQ$10:AQ362),-ROUNDDOWN($K363*AQ$5/100,0)),0)</f>
        <v>0</v>
      </c>
      <c r="AR363" s="38">
        <f>IF(AND($A363&gt;=AR$8,$A363&lt;=AR$9),IF(SUM(AR$10:AR362)-ROUNDDOWN($K363*AR$5/100,0)&lt;-AR$6,-AR$6-SUM(AR$10:AR362),-ROUNDDOWN($K363*AR$5/100,0)),0)</f>
        <v>0</v>
      </c>
      <c r="AS363" s="38">
        <f>IF(SUMIFS(AS$10:AS362,$A$10:$A362,$A363)-ROUNDDOWN($K363*$S363/100,0)&lt;-$S363*1000,-$S363*1000-SUMIFS(AS$10:AS362,$A$10:$A362,$A363),-ROUNDDOWN($K363*$S363/100,0))</f>
        <v>0</v>
      </c>
      <c r="AT363" s="38">
        <f>IF(AND(X363="○",$A363&gt;=AT$8,$A363&lt;=AT$9,K363&gt;=3980),IF(SUM(AT$10:AT362)-ROUNDDOWN($K363*AT$5/100,0)&lt;-AT$6,-AT$6-SUM(AT$10:AT362),-ROUNDDOWN($K363*AT$5/100,0)),0)</f>
        <v>0</v>
      </c>
      <c r="AU363" s="38">
        <f>IF(O363="○",IF(SUM(AU$10:AU362)-ROUNDDOWN($K363*AU$5/100,0)&lt;-AU$6,-AU$6-SUM(AU$10:AU362),-ROUNDDOWN($K363*AU$5/100,0)),0)</f>
        <v>0</v>
      </c>
      <c r="AV363" s="38">
        <f>IF(P363="○",IF(SUM(AV$10:AV362)-ROUNDDOWN($K363*AV$5/100,0)&lt;-AV$6,-AV$6-SUM(AV$10:AV362),-ROUNDDOWN($K363*AV$5/100,0)),0)</f>
        <v>0</v>
      </c>
      <c r="AW363" s="38">
        <f>IF(Q363="○",IF(SUM(AW$10:AW362)-ROUNDDOWN($K363*AW$5/100,0)&lt;-AW$6,-AW$6-SUM(AW$10:AW362),-ROUNDDOWN($K363*AW$5/100,0)),0)</f>
        <v>0</v>
      </c>
      <c r="AX363" s="38">
        <f>IF(R363="○",IF(SUM(AX$10:AX362)-ROUNDDOWN($K363*AX$5/100,0)&lt;-AX$6,-AX$6-SUM(AX$10:AX362),-ROUNDDOWN($K363*AX$5/100,0)),0)</f>
        <v>0</v>
      </c>
      <c r="AY363" s="70">
        <v>0</v>
      </c>
      <c r="AZ363" s="65">
        <f t="shared" si="250"/>
        <v>0</v>
      </c>
      <c r="BA363" s="65">
        <f t="shared" si="251"/>
        <v>0</v>
      </c>
      <c r="BB363" s="70"/>
      <c r="BC363" s="65">
        <f t="shared" si="252"/>
        <v>0</v>
      </c>
      <c r="BD363" s="70">
        <v>0</v>
      </c>
      <c r="BE363" s="65">
        <f t="shared" si="253"/>
        <v>0</v>
      </c>
      <c r="BF363" s="70">
        <v>0</v>
      </c>
      <c r="BG363" s="65">
        <f t="shared" si="254"/>
        <v>0</v>
      </c>
      <c r="BH363" s="70">
        <v>0</v>
      </c>
      <c r="BI363" s="65">
        <f t="shared" si="255"/>
        <v>0</v>
      </c>
      <c r="BJ363" s="38">
        <f>IF(AND(BJ$7="○",$A363&gt;=BJ$8,$A363&lt;=BJ$9),IF(SUM(BJ$10:BJ362)-ROUNDDOWN($M363*BJ$5/100,0)&lt;-BJ$6,-BJ$6-SUM(BJ$10:BJ362),-ROUNDDOWN($M363*BJ$5/100,0)),0)</f>
        <v>0</v>
      </c>
      <c r="BK363" s="38">
        <f>IF(AND(BK$7="○",$A363&gt;=BK$8,$A363&lt;=BK$9),IF(SUM(BK$10:BK362)-ROUNDDOWN($L363*BK$5/100,0)&lt;-BK$6,-BK$6-SUM(BK$10:BK362),-ROUNDDOWN($L363*BK$5/100,0)),0)</f>
        <v>0</v>
      </c>
      <c r="BL363" s="38">
        <f>IF(AND(BL$7="○",$A363&gt;=BL$8,$A363&lt;=BL$9),IF(SUM(BL$10:BL362)-ROUNDDOWN($L363*BL$5/100,0)&lt;-BL$6,-BL$6-SUM(BL$10:BL362),-ROUNDDOWN($L363*BL$5/100,0)),0)</f>
        <v>0</v>
      </c>
      <c r="BM363" s="38">
        <f>IF(AND(BM$7="○",$A363&gt;=BM$8,$A363&lt;=BM$9),IF(SUM(BM$10:BM362)-ROUNDDOWN($M363*BM$5/100,0)&lt;-BM$6,-BM$6-SUM(BM$10:BM362),-ROUNDDOWN($M363*BM$5/100,0)),0)</f>
        <v>0</v>
      </c>
      <c r="BN363" s="38">
        <f>IF(AND(BN$7="○",$A363&gt;=BN$8,$A363&lt;=BN$9),IF(SUM(BN$10:BN362)-ROUNDDOWN($M363*BN$5/100,0)&lt;-BN$6,-BN$6-SUM(BN$10:BN362),-ROUNDDOWN($M363*BN$5/100,0)),0)</f>
        <v>0</v>
      </c>
      <c r="BO363" s="38">
        <f>IF(AND(BO$7="○",$A363&gt;=BO$8,$A363&lt;=BO$9),IF(SUM(BO$10:BO362)-ROUNDDOWN($M363*BO$5/100,0)&lt;-BO$6,-BO$6-SUM(BO$10:BO362),-ROUNDDOWN($M363*BO$5/100,0)),0)</f>
        <v>0</v>
      </c>
      <c r="BP363" s="38">
        <f>IF(AND(BP$7="○",$A363&gt;=BP$8,$A363&lt;=BP$9),IF(SUM(BP$10:BP362)-ROUNDDOWN($M363*BP$5/100,0)&lt;-BP$6,-BP$6-SUM(BP$10:BP362),-ROUNDDOWN($M363*BP$5/100,0)),0)</f>
        <v>0</v>
      </c>
      <c r="BQ363" s="38">
        <f>IF(AND(BQ$7="○",$A363&gt;=BQ$8,$A363&lt;=BQ$9),IF(SUM(BQ$10:BQ362)-ROUNDDOWN($L363*BQ$5/100,0)&lt;-BQ$6,-BQ$6-SUM(BQ$10:BQ362),-ROUNDDOWN($L363*BQ$5/100,0)),0)</f>
        <v>0</v>
      </c>
      <c r="BR363" s="38">
        <f>IF(AND(BR$7="○",$A363&gt;=BR$8,$A363&lt;=BR$9),IF(SUM(BR$10:BR362)-ROUNDDOWN($M363*BR$5/100,0)&lt;-BR$6,-BR$6-SUM(BR$10:BR362),-ROUNDDOWN($M363*BR$5/100,0)),0)</f>
        <v>0</v>
      </c>
      <c r="BS363" s="38">
        <f>IF(AND(BS$7="○",$A363&gt;=BS$8,$A363&lt;=BS$9),IF(SUM(BS$10:BS362)-ROUNDDOWN($M363*BS$5/100,0)&lt;-BS$6,-BS$6-SUM(BS$10:BS362),-ROUNDDOWN($M363*BS$5/100,0)),0)</f>
        <v>0</v>
      </c>
      <c r="BT363" s="38">
        <f>IF(AND(BT$7="○",$A363&gt;=BT$8,$A363&lt;=BT$9),IF(SUM(BT$10:BT362)-ROUNDDOWN($M363*BT$5/100,0)&lt;-BT$6,-BT$6-SUM(BT$10:BT362),-ROUNDDOWN($M363*BT$5/100,0)),0)</f>
        <v>0</v>
      </c>
      <c r="BU363" s="38">
        <f>IF(AND(BU$7="○",$A363&gt;=BU$8,$A363&lt;=BU$9),IF(SUM(BU$10:BU362)-ROUNDDOWN($M363*BU$5/100,0)&lt;-BU$6,-BU$6-SUM(BU$10:BU362),-ROUNDDOWN($M363*BU$5/100,0)),0)</f>
        <v>0</v>
      </c>
      <c r="BV363" s="38">
        <f>IF(AND(BV$7="○",$A363&gt;=BV$8,$A363&lt;=BV$9),IF(SUM(BV$10:BV362)-ROUNDDOWN($M363*BV$5/100,0)&lt;-BV$6,-BV$6-SUM(BV$10:BV362),-ROUNDDOWN($M363*BV$5/100,0)),0)</f>
        <v>0</v>
      </c>
      <c r="BW363" s="38">
        <f>IF(AND(BW$7="○",$A363&gt;=BW$8,$A363&lt;=BW$9),IF(SUM(BW$10:BW362)-ROUNDDOWN($M363*BW$5/100,0)&lt;-BW$6,-BW$6-SUM(BW$10:BW362),-ROUNDDOWN($M363*BW$5/100,0)),0)</f>
        <v>0</v>
      </c>
      <c r="BX363" s="38">
        <f>IF(AND(T363="○",$A363&gt;=BX$8,$A363&lt;=BX$9),IF(SUM(BX$10:BX362)-ROUNDDOWN($K363*BX$5/100,0)&lt;-BX$6,-BX$6-SUM(BX$10:BX362),-ROUNDDOWN($K363*BX$5/100,0)),0)</f>
        <v>0</v>
      </c>
      <c r="BY363" s="38">
        <f>IF(AND(U363="○",$A363&gt;=BY$8,$A363&lt;=BY$9),IF(SUM(BY$10:BY362)-ROUNDDOWN($K363*BY$5/100,0)&lt;-BY$6,-BY$6-SUM(BY$10:BY362),-ROUNDDOWN($K363*BY$5/100,0)),0)</f>
        <v>0</v>
      </c>
      <c r="BZ363" s="38">
        <f>IF(AND(V363="○",$A363&gt;=BZ$8,$A363&lt;=BZ$9),IF(SUM(BZ$10:BZ362)-ROUNDDOWN($K363*BZ$5/100,0)&lt;-BZ$6,-BZ$6-SUM(BZ$10:BZ362),-ROUNDDOWN($K363*BZ$5/100,0)),0)</f>
        <v>0</v>
      </c>
      <c r="CA363" s="38">
        <f>IF(AND(W363="○",$A363&gt;=CA$8,$A363&lt;=CA$9),IF(SUM(CA$10:CA362)-ROUNDDOWN($K363*CA$5/100,0)&lt;-CA$6,-CA$6-SUM(CA$10:CA362),-ROUNDDOWN($K363*CA$5/100,0)),0)</f>
        <v>0</v>
      </c>
      <c r="CB363" s="38"/>
      <c r="CC363" s="38"/>
      <c r="CD363" s="38"/>
      <c r="CE363" s="38"/>
      <c r="CF363" s="38"/>
      <c r="CG363" s="65">
        <f t="shared" si="256"/>
        <v>0</v>
      </c>
      <c r="CH363" s="71">
        <f t="shared" si="257"/>
        <v>0</v>
      </c>
      <c r="CI363" s="1">
        <f t="shared" si="19"/>
        <v>0</v>
      </c>
      <c r="CJ363" s="1"/>
      <c r="CK363" s="72"/>
      <c r="CL363" s="72"/>
      <c r="CM363" s="2"/>
      <c r="CN363" s="2"/>
      <c r="CO363" s="73">
        <f t="shared" si="20"/>
        <v>0</v>
      </c>
      <c r="CP363" s="5">
        <f t="shared" si="21"/>
        <v>0</v>
      </c>
      <c r="CQ363" s="1"/>
      <c r="CR363" s="1">
        <f t="shared" si="22"/>
        <v>0</v>
      </c>
      <c r="CS363" s="1"/>
      <c r="CT363" s="1" t="e">
        <f>INDEX([2]マスタ!$A:$A,MATCH(D363,[2]マスタ!$C:$C,0))</f>
        <v>#N/A</v>
      </c>
      <c r="CU363" s="1" t="str">
        <f t="shared" ca="1" si="23"/>
        <v>20260620_0-0</v>
      </c>
    </row>
    <row r="364" spans="1:99" x14ac:dyDescent="0.4">
      <c r="A364" s="61"/>
      <c r="B364" s="62"/>
      <c r="C364" s="62"/>
      <c r="D364" s="62"/>
      <c r="E364" s="77"/>
      <c r="F364" s="62"/>
      <c r="G364" s="62">
        <v>1</v>
      </c>
      <c r="H364" s="64">
        <f t="shared" si="4"/>
        <v>0</v>
      </c>
      <c r="I364" s="64"/>
      <c r="J364" s="64"/>
      <c r="K364" s="65">
        <f>+ROUNDDOWN((H364+I364)/100,0)*100</f>
        <v>0</v>
      </c>
      <c r="L364" s="65">
        <f t="shared" si="6"/>
        <v>0</v>
      </c>
      <c r="M364" s="65">
        <f t="shared" si="7"/>
        <v>0</v>
      </c>
      <c r="N364" s="65">
        <f t="shared" si="8"/>
        <v>0</v>
      </c>
      <c r="O364" s="66" t="str">
        <f t="shared" si="259"/>
        <v>✕</v>
      </c>
      <c r="P364" s="67" t="str">
        <f t="shared" si="260"/>
        <v>○</v>
      </c>
      <c r="Q364" s="67" t="str">
        <f>+IF((TEXT($A364,"DD")+0)=1,"○","✕")</f>
        <v>✕</v>
      </c>
      <c r="R364" s="67" t="str">
        <f t="shared" si="262"/>
        <v>✕</v>
      </c>
      <c r="S364" s="68">
        <v>0</v>
      </c>
      <c r="T364" s="69" t="s">
        <v>85</v>
      </c>
      <c r="U364" s="69" t="s">
        <v>85</v>
      </c>
      <c r="V364" s="69" t="s">
        <v>85</v>
      </c>
      <c r="W364" s="69" t="s">
        <v>85</v>
      </c>
      <c r="X364" s="69" t="s">
        <v>84</v>
      </c>
      <c r="Y364" s="69" t="s">
        <v>85</v>
      </c>
      <c r="Z364" s="69" t="s">
        <v>85</v>
      </c>
      <c r="AA364" s="69" t="s">
        <v>85</v>
      </c>
      <c r="AB364" s="69" t="s">
        <v>85</v>
      </c>
      <c r="AC364" s="69" t="s">
        <v>85</v>
      </c>
      <c r="AD364" s="38" t="str">
        <f>+IF(ISERROR(VLOOKUP($B364,AD$10:AD363,1,0)),IF(AND($N364&gt;=1000,$A364&gt;=AO$8,$A364&lt;=AO$9),$B364,""),"")</f>
        <v/>
      </c>
      <c r="AE364" s="38" t="str">
        <f>+IF(ISERROR(VLOOKUP($B364,AE$10:AE363,1,0)),IF(AND($N364&gt;=1000,$A364&gt;=AP$8,$A364&lt;=AP$9),$B364,""),"")</f>
        <v/>
      </c>
      <c r="AF364" s="38" t="str">
        <f>+IF(ISERROR(VLOOKUP($B364,AF$10:AF363,1,0)),IF(AND($N364&gt;=1000,$A364&gt;=AQ$8,$A364&lt;=AQ$9),$B364,""),"")</f>
        <v/>
      </c>
      <c r="AG364" s="38" t="str">
        <f>+IF(ISERROR(VLOOKUP($B364,AG$10:AG363,1,0)),IF(AND($N364&gt;=1000,$A364&gt;=AR$8,$A364&lt;=AR$9),$B364,""),"")</f>
        <v/>
      </c>
      <c r="AH364" s="38"/>
      <c r="AI364" s="70">
        <v>0</v>
      </c>
      <c r="AJ364" s="38">
        <f>IF(AND(AJ$7="○",$A364&gt;=AJ$8,$A364&lt;=AJ$9),IF(SUM(AJ$10:AJ363)-ROUNDDOWN($K364*AJ$5/100,0)&lt;-AJ$6,-AJ$6-SUM(AJ$10:AJ363),-ROUNDDOWN($K364*AJ$5/100,0)),0)</f>
        <v>0</v>
      </c>
      <c r="AK364" s="38">
        <f>IF(AND(AK$7="○",$A364&gt;=AK$8,$A364&lt;=AK$9),IF(SUM(AK$10:AK363)-ROUNDDOWN($L364*AK$5/100,0)&lt;-AK$6,-AK$6-SUM(AK$10:AK363),-ROUNDDOWN($L364*AK$5/100,0)),0)</f>
        <v>0</v>
      </c>
      <c r="AL364" s="38">
        <f>IF(AND(AL$7="○",$A364&gt;=AL$8,$A364&lt;=AL$9),IF(SUM(AL$10:AL363)-ROUNDDOWN($N364*AL$5/100,0)&lt;-AL$6,-AL$6-SUM(AL$10:AL363),-ROUNDDOWN($N364*AL$5/100,0)),0)</f>
        <v>0</v>
      </c>
      <c r="AM364" s="38">
        <f>IF(AND(AM$7="○",$A364&gt;=AM$8,$A364&lt;=AM$9),IF(SUM(AM$10:AM363)-ROUNDDOWN($L364*AM$5/100,0)&lt;-AM$6,-AM$6-SUM(AM$10:AM363),-ROUNDDOWN($L364*AM$5/100,0)),0)</f>
        <v>0</v>
      </c>
      <c r="AN364" s="38">
        <f>IF(AND(AN$7="○",$A364&gt;=AN$8,$A364&lt;=AN$9),IF(SUM(AN$10:AN363)-ROUNDDOWN($M364*AN$5/100,0)&lt;-AN$6,-AN$6-SUM(AN$10:AN363),-ROUNDDOWN($M364*AN$5/100,0)),0)</f>
        <v>0</v>
      </c>
      <c r="AO364" s="38">
        <f>IF(AND($A364&gt;=AO$8,$A364&lt;=AO$9),IF(SUM(AO$10:AO363)-ROUNDDOWN($K364*AO$5/100,0)&lt;-AO$6,-AO$6-SUM(AO$10:AO363),-ROUNDDOWN($K364*AO$5/100,0)),0)</f>
        <v>0</v>
      </c>
      <c r="AP364" s="38">
        <f>IF(AND($A364&gt;=AP$8,$A364&lt;=AP$9),IF(SUM(AP$10:AP363)-ROUNDDOWN($K364*AP$5/100,0)&lt;-AP$6,-AP$6-SUM(AP$10:AP363),-ROUNDDOWN($K364*AP$5/100,0)),0)</f>
        <v>0</v>
      </c>
      <c r="AQ364" s="38">
        <f>IF(AND($A364&gt;=AQ$8,$A364&lt;=AQ$9),IF(SUM(AQ$10:AQ363)-ROUNDDOWN($K364*AQ$5/100,0)&lt;-AQ$6,-AQ$6-SUM(AQ$10:AQ363),-ROUNDDOWN($K364*AQ$5/100,0)),0)</f>
        <v>0</v>
      </c>
      <c r="AR364" s="38">
        <f>IF(AND($A364&gt;=AR$8,$A364&lt;=AR$9),IF(SUM(AR$10:AR363)-ROUNDDOWN($K364*AR$5/100,0)&lt;-AR$6,-AR$6-SUM(AR$10:AR363),-ROUNDDOWN($K364*AR$5/100,0)),0)</f>
        <v>0</v>
      </c>
      <c r="AS364" s="38">
        <f>IF(SUMIFS(AS$10:AS363,$A$10:$A363,$A364)-ROUNDDOWN($K364*$S364/100,0)&lt;-$S364*1000,-$S364*1000-SUMIFS(AS$10:AS363,$A$10:$A363,$A364),-ROUNDDOWN($K364*$S364/100,0))</f>
        <v>0</v>
      </c>
      <c r="AT364" s="38">
        <f>IF(AND(X364="○",$A364&gt;=AT$8,$A364&lt;=AT$9,K364&gt;=3980),IF(SUM(AT$10:AT363)-ROUNDDOWN($K364*AT$5/100,0)&lt;-AT$6,-AT$6-SUM(AT$10:AT363),-ROUNDDOWN($K364*AT$5/100,0)),0)</f>
        <v>0</v>
      </c>
      <c r="AU364" s="38">
        <f>IF(O364="○",IF(SUM(AU$10:AU363)-ROUNDDOWN($K364*AU$5/100,0)&lt;-AU$6,-AU$6-SUM(AU$10:AU363),-ROUNDDOWN($K364*AU$5/100,0)),0)</f>
        <v>0</v>
      </c>
      <c r="AV364" s="38">
        <f>IF(P364="○",IF(SUM(AV$10:AV363)-ROUNDDOWN($K364*AV$5/100,0)&lt;-AV$6,-AV$6-SUM(AV$10:AV363),-ROUNDDOWN($K364*AV$5/100,0)),0)</f>
        <v>0</v>
      </c>
      <c r="AW364" s="38">
        <f>IF(Q364="○",IF(SUM(AW$10:AW363)-ROUNDDOWN($K364*AW$5/100,0)&lt;-AW$6,-AW$6-SUM(AW$10:AW363),-ROUNDDOWN($K364*AW$5/100,0)),0)</f>
        <v>0</v>
      </c>
      <c r="AX364" s="38">
        <f>IF(R364="○",IF(SUM(AX$10:AX363)-ROUNDDOWN($K364*AX$5/100,0)&lt;-AX$6,-AX$6-SUM(AX$10:AX363),-ROUNDDOWN($K364*AX$5/100,0)),0)</f>
        <v>0</v>
      </c>
      <c r="AY364" s="70">
        <v>0</v>
      </c>
      <c r="AZ364" s="65">
        <f t="shared" si="250"/>
        <v>0</v>
      </c>
      <c r="BA364" s="65">
        <f t="shared" si="251"/>
        <v>0</v>
      </c>
      <c r="BB364" s="70"/>
      <c r="BC364" s="65">
        <f t="shared" si="252"/>
        <v>0</v>
      </c>
      <c r="BD364" s="70">
        <v>0</v>
      </c>
      <c r="BE364" s="65">
        <f t="shared" si="253"/>
        <v>0</v>
      </c>
      <c r="BF364" s="70">
        <v>0</v>
      </c>
      <c r="BG364" s="65">
        <f t="shared" si="254"/>
        <v>0</v>
      </c>
      <c r="BH364" s="70">
        <v>0</v>
      </c>
      <c r="BI364" s="65">
        <f t="shared" si="255"/>
        <v>0</v>
      </c>
      <c r="BJ364" s="38">
        <f>IF(AND(BJ$7="○",$A364&gt;=BJ$8,$A364&lt;=BJ$9),IF(SUM(BJ$10:BJ363)-ROUNDDOWN($M364*BJ$5/100,0)&lt;-BJ$6,-BJ$6-SUM(BJ$10:BJ363),-ROUNDDOWN($M364*BJ$5/100,0)),0)</f>
        <v>0</v>
      </c>
      <c r="BK364" s="38">
        <f>IF(AND(BK$7="○",$A364&gt;=BK$8,$A364&lt;=BK$9),IF(SUM(BK$10:BK363)-ROUNDDOWN($L364*BK$5/100,0)&lt;-BK$6,-BK$6-SUM(BK$10:BK363),-ROUNDDOWN($L364*BK$5/100,0)),0)</f>
        <v>0</v>
      </c>
      <c r="BL364" s="38">
        <f>IF(AND(BL$7="○",$A364&gt;=BL$8,$A364&lt;=BL$9),IF(SUM(BL$10:BL363)-ROUNDDOWN($L364*BL$5/100,0)&lt;-BL$6,-BL$6-SUM(BL$10:BL363),-ROUNDDOWN($L364*BL$5/100,0)),0)</f>
        <v>0</v>
      </c>
      <c r="BM364" s="38">
        <f>IF(AND(BM$7="○",$A364&gt;=BM$8,$A364&lt;=BM$9),IF(SUM(BM$10:BM363)-ROUNDDOWN($M364*BM$5/100,0)&lt;-BM$6,-BM$6-SUM(BM$10:BM363),-ROUNDDOWN($M364*BM$5/100,0)),0)</f>
        <v>0</v>
      </c>
      <c r="BN364" s="38">
        <f>IF(AND(BN$7="○",$A364&gt;=BN$8,$A364&lt;=BN$9),IF(SUM(BN$10:BN363)-ROUNDDOWN($M364*BN$5/100,0)&lt;-BN$6,-BN$6-SUM(BN$10:BN363),-ROUNDDOWN($M364*BN$5/100,0)),0)</f>
        <v>0</v>
      </c>
      <c r="BO364" s="38">
        <f>IF(AND(BO$7="○",$A364&gt;=BO$8,$A364&lt;=BO$9),IF(SUM(BO$10:BO363)-ROUNDDOWN($M364*BO$5/100,0)&lt;-BO$6,-BO$6-SUM(BO$10:BO363),-ROUNDDOWN($M364*BO$5/100,0)),0)</f>
        <v>0</v>
      </c>
      <c r="BP364" s="38">
        <f>IF(AND(BP$7="○",$A364&gt;=BP$8,$A364&lt;=BP$9),IF(SUM(BP$10:BP363)-ROUNDDOWN($M364*BP$5/100,0)&lt;-BP$6,-BP$6-SUM(BP$10:BP363),-ROUNDDOWN($M364*BP$5/100,0)),0)</f>
        <v>0</v>
      </c>
      <c r="BQ364" s="38">
        <f>IF(AND(BQ$7="○",$A364&gt;=BQ$8,$A364&lt;=BQ$9),IF(SUM(BQ$10:BQ363)-ROUNDDOWN($L364*BQ$5/100,0)&lt;-BQ$6,-BQ$6-SUM(BQ$10:BQ363),-ROUNDDOWN($L364*BQ$5/100,0)),0)</f>
        <v>0</v>
      </c>
      <c r="BR364" s="38">
        <f>IF(AND(BR$7="○",$A364&gt;=BR$8,$A364&lt;=BR$9),IF(SUM(BR$10:BR363)-ROUNDDOWN($M364*BR$5/100,0)&lt;-BR$6,-BR$6-SUM(BR$10:BR363),-ROUNDDOWN($M364*BR$5/100,0)),0)</f>
        <v>0</v>
      </c>
      <c r="BS364" s="38">
        <f>IF(AND(BS$7="○",$A364&gt;=BS$8,$A364&lt;=BS$9),IF(SUM(BS$10:BS363)-ROUNDDOWN($M364*BS$5/100,0)&lt;-BS$6,-BS$6-SUM(BS$10:BS363),-ROUNDDOWN($M364*BS$5/100,0)),0)</f>
        <v>0</v>
      </c>
      <c r="BT364" s="38">
        <f>IF(AND(BT$7="○",$A364&gt;=BT$8,$A364&lt;=BT$9),IF(SUM(BT$10:BT363)-ROUNDDOWN($M364*BT$5/100,0)&lt;-BT$6,-BT$6-SUM(BT$10:BT363),-ROUNDDOWN($M364*BT$5/100,0)),0)</f>
        <v>0</v>
      </c>
      <c r="BU364" s="38">
        <f>IF(AND(BU$7="○",$A364&gt;=BU$8,$A364&lt;=BU$9),IF(SUM(BU$10:BU363)-ROUNDDOWN($M364*BU$5/100,0)&lt;-BU$6,-BU$6-SUM(BU$10:BU363),-ROUNDDOWN($M364*BU$5/100,0)),0)</f>
        <v>0</v>
      </c>
      <c r="BV364" s="38">
        <f>IF(AND(BV$7="○",$A364&gt;=BV$8,$A364&lt;=BV$9),IF(SUM(BV$10:BV363)-ROUNDDOWN($M364*BV$5/100,0)&lt;-BV$6,-BV$6-SUM(BV$10:BV363),-ROUNDDOWN($M364*BV$5/100,0)),0)</f>
        <v>0</v>
      </c>
      <c r="BW364" s="38">
        <f>IF(AND(BW$7="○",$A364&gt;=BW$8,$A364&lt;=BW$9),IF(SUM(BW$10:BW363)-ROUNDDOWN($M364*BW$5/100,0)&lt;-BW$6,-BW$6-SUM(BW$10:BW363),-ROUNDDOWN($M364*BW$5/100,0)),0)</f>
        <v>0</v>
      </c>
      <c r="BX364" s="38">
        <f>IF(AND(T364="○",$A364&gt;=BX$8,$A364&lt;=BX$9),IF(SUM(BX$10:BX363)-ROUNDDOWN($K364*BX$5/100,0)&lt;-BX$6,-BX$6-SUM(BX$10:BX363),-ROUNDDOWN($K364*BX$5/100,0)),0)</f>
        <v>0</v>
      </c>
      <c r="BY364" s="38">
        <f>IF(AND(U364="○",$A364&gt;=BY$8,$A364&lt;=BY$9),IF(SUM(BY$10:BY363)-ROUNDDOWN($K364*BY$5/100,0)&lt;-BY$6,-BY$6-SUM(BY$10:BY363),-ROUNDDOWN($K364*BY$5/100,0)),0)</f>
        <v>0</v>
      </c>
      <c r="BZ364" s="38">
        <f>IF(AND(V364="○",$A364&gt;=BZ$8,$A364&lt;=BZ$9),IF(SUM(BZ$10:BZ363)-ROUNDDOWN($K364*BZ$5/100,0)&lt;-BZ$6,-BZ$6-SUM(BZ$10:BZ363),-ROUNDDOWN($K364*BZ$5/100,0)),0)</f>
        <v>0</v>
      </c>
      <c r="CA364" s="38">
        <f>IF(AND(W364="○",$A364&gt;=CA$8,$A364&lt;=CA$9),IF(SUM(CA$10:CA363)-ROUNDDOWN($K364*CA$5/100,0)&lt;-CA$6,-CA$6-SUM(CA$10:CA363),-ROUNDDOWN($K364*CA$5/100,0)),0)</f>
        <v>0</v>
      </c>
      <c r="CB364" s="38"/>
      <c r="CC364" s="38"/>
      <c r="CD364" s="38"/>
      <c r="CE364" s="38"/>
      <c r="CF364" s="38"/>
      <c r="CG364" s="65">
        <f t="shared" si="256"/>
        <v>0</v>
      </c>
      <c r="CH364" s="71">
        <f t="shared" si="257"/>
        <v>0</v>
      </c>
      <c r="CI364" s="1">
        <f t="shared" si="19"/>
        <v>0</v>
      </c>
      <c r="CJ364" s="1"/>
      <c r="CK364" s="79"/>
      <c r="CL364" s="79"/>
      <c r="CM364" s="2"/>
      <c r="CN364" s="2"/>
      <c r="CO364" s="73">
        <f t="shared" si="20"/>
        <v>0</v>
      </c>
      <c r="CP364" s="5">
        <f t="shared" si="21"/>
        <v>0</v>
      </c>
      <c r="CQ364" s="1"/>
      <c r="CR364" s="1">
        <f t="shared" si="22"/>
        <v>0</v>
      </c>
      <c r="CS364" s="1"/>
      <c r="CT364" s="1" t="e">
        <f>INDEX([2]マスタ!$A:$A,MATCH(D364,[2]マスタ!$C:$C,0))</f>
        <v>#N/A</v>
      </c>
      <c r="CU364" s="1" t="str">
        <f t="shared" ca="1" si="23"/>
        <v>20260620_0-0</v>
      </c>
    </row>
    <row r="365" spans="1:99" x14ac:dyDescent="0.4">
      <c r="A365" s="61"/>
      <c r="B365" s="62"/>
      <c r="C365" s="62"/>
      <c r="D365" s="62"/>
      <c r="E365" s="63"/>
      <c r="F365" s="62"/>
      <c r="G365" s="62">
        <v>1</v>
      </c>
      <c r="H365" s="64">
        <f t="shared" si="4"/>
        <v>0</v>
      </c>
      <c r="I365" s="64"/>
      <c r="J365" s="64"/>
      <c r="K365" s="65">
        <f>+ROUNDDOWN((H365+I365)/100,0)*100</f>
        <v>0</v>
      </c>
      <c r="L365" s="65">
        <f t="shared" si="6"/>
        <v>0</v>
      </c>
      <c r="M365" s="65">
        <f t="shared" si="7"/>
        <v>0</v>
      </c>
      <c r="N365" s="65">
        <f t="shared" si="8"/>
        <v>0</v>
      </c>
      <c r="O365" s="66" t="str">
        <f t="shared" si="259"/>
        <v>✕</v>
      </c>
      <c r="P365" s="67" t="str">
        <f t="shared" si="260"/>
        <v>○</v>
      </c>
      <c r="Q365" s="67" t="str">
        <f>+IF((TEXT($A365,"DD")+0)=1,"○","✕")</f>
        <v>✕</v>
      </c>
      <c r="R365" s="67" t="str">
        <f t="shared" si="262"/>
        <v>✕</v>
      </c>
      <c r="S365" s="68">
        <v>0</v>
      </c>
      <c r="T365" s="69" t="s">
        <v>85</v>
      </c>
      <c r="U365" s="69" t="s">
        <v>85</v>
      </c>
      <c r="V365" s="69" t="s">
        <v>85</v>
      </c>
      <c r="W365" s="69" t="s">
        <v>85</v>
      </c>
      <c r="X365" s="69" t="s">
        <v>84</v>
      </c>
      <c r="Y365" s="69" t="s">
        <v>85</v>
      </c>
      <c r="Z365" s="69" t="s">
        <v>85</v>
      </c>
      <c r="AA365" s="69" t="s">
        <v>85</v>
      </c>
      <c r="AB365" s="69" t="s">
        <v>85</v>
      </c>
      <c r="AC365" s="69" t="s">
        <v>85</v>
      </c>
      <c r="AD365" s="38" t="str">
        <f>+IF(ISERROR(VLOOKUP($B365,AD$10:AD364,1,0)),IF(AND($N365&gt;=1000,$A365&gt;=AO$8,$A365&lt;=AO$9),$B365,""),"")</f>
        <v/>
      </c>
      <c r="AE365" s="38" t="str">
        <f>+IF(ISERROR(VLOOKUP($B365,AE$10:AE364,1,0)),IF(AND($N365&gt;=1000,$A365&gt;=AP$8,$A365&lt;=AP$9),$B365,""),"")</f>
        <v/>
      </c>
      <c r="AF365" s="38" t="str">
        <f>+IF(ISERROR(VLOOKUP($B365,AF$10:AF364,1,0)),IF(AND($N365&gt;=1000,$A365&gt;=AQ$8,$A365&lt;=AQ$9),$B365,""),"")</f>
        <v/>
      </c>
      <c r="AG365" s="38" t="str">
        <f>+IF(ISERROR(VLOOKUP($B365,AG$10:AG364,1,0)),IF(AND($N365&gt;=1000,$A365&gt;=AR$8,$A365&lt;=AR$9),$B365,""),"")</f>
        <v/>
      </c>
      <c r="AH365" s="38"/>
      <c r="AI365" s="70">
        <v>0</v>
      </c>
      <c r="AJ365" s="38">
        <f>IF(AND(AJ$7="○",$A365&gt;=AJ$8,$A365&lt;=AJ$9),IF(SUM(AJ$10:AJ364)-ROUNDDOWN($K365*AJ$5/100,0)&lt;-AJ$6,-AJ$6-SUM(AJ$10:AJ364),-ROUNDDOWN($K365*AJ$5/100,0)),0)</f>
        <v>0</v>
      </c>
      <c r="AK365" s="38">
        <f>IF(AND(AK$7="○",$A365&gt;=AK$8,$A365&lt;=AK$9),IF(SUM(AK$10:AK364)-ROUNDDOWN($L365*AK$5/100,0)&lt;-AK$6,-AK$6-SUM(AK$10:AK364),-ROUNDDOWN($L365*AK$5/100,0)),0)</f>
        <v>0</v>
      </c>
      <c r="AL365" s="38">
        <f>IF(AND(AL$7="○",$A365&gt;=AL$8,$A365&lt;=AL$9),IF(SUM(AL$10:AL364)-ROUNDDOWN($N365*AL$5/100,0)&lt;-AL$6,-AL$6-SUM(AL$10:AL364),-ROUNDDOWN($N365*AL$5/100,0)),0)</f>
        <v>0</v>
      </c>
      <c r="AM365" s="38">
        <f>IF(AND(AM$7="○",$A365&gt;=AM$8,$A365&lt;=AM$9),IF(SUM(AM$10:AM364)-ROUNDDOWN($L365*AM$5/100,0)&lt;-AM$6,-AM$6-SUM(AM$10:AM364),-ROUNDDOWN($L365*AM$5/100,0)),0)</f>
        <v>0</v>
      </c>
      <c r="AN365" s="38">
        <f>IF(AND(AN$7="○",$A365&gt;=AN$8,$A365&lt;=AN$9),IF(SUM(AN$10:AN364)-ROUNDDOWN($M365*AN$5/100,0)&lt;-AN$6,-AN$6-SUM(AN$10:AN364),-ROUNDDOWN($M365*AN$5/100,0)),0)</f>
        <v>0</v>
      </c>
      <c r="AO365" s="38">
        <f>IF(AND($A365&gt;=AO$8,$A365&lt;=AO$9),IF(SUM(AO$10:AO364)-ROUNDDOWN($K365*AO$5/100,0)&lt;-AO$6,-AO$6-SUM(AO$10:AO364),-ROUNDDOWN($K365*AO$5/100,0)),0)</f>
        <v>0</v>
      </c>
      <c r="AP365" s="38">
        <f>IF(AND($A365&gt;=AP$8,$A365&lt;=AP$9),IF(SUM(AP$10:AP364)-ROUNDDOWN($K365*AP$5/100,0)&lt;-AP$6,-AP$6-SUM(AP$10:AP364),-ROUNDDOWN($K365*AP$5/100,0)),0)</f>
        <v>0</v>
      </c>
      <c r="AQ365" s="38">
        <f>IF(AND($A365&gt;=AQ$8,$A365&lt;=AQ$9),IF(SUM(AQ$10:AQ364)-ROUNDDOWN($K365*AQ$5/100,0)&lt;-AQ$6,-AQ$6-SUM(AQ$10:AQ364),-ROUNDDOWN($K365*AQ$5/100,0)),0)</f>
        <v>0</v>
      </c>
      <c r="AR365" s="38">
        <f>IF(AND($A365&gt;=AR$8,$A365&lt;=AR$9),IF(SUM(AR$10:AR364)-ROUNDDOWN($K365*AR$5/100,0)&lt;-AR$6,-AR$6-SUM(AR$10:AR364),-ROUNDDOWN($K365*AR$5/100,0)),0)</f>
        <v>0</v>
      </c>
      <c r="AS365" s="38">
        <f>IF(SUMIFS(AS$10:AS364,$A$10:$A364,$A365)-ROUNDDOWN($K365*$S365/100,0)&lt;-$S365*1000,-$S365*1000-SUMIFS(AS$10:AS364,$A$10:$A364,$A365),-ROUNDDOWN($K365*$S365/100,0))</f>
        <v>0</v>
      </c>
      <c r="AT365" s="38">
        <f>IF(AND(X365="○",$A365&gt;=AT$8,$A365&lt;=AT$9,K365&gt;=3980),IF(SUM(AT$10:AT364)-ROUNDDOWN($K365*AT$5/100,0)&lt;-AT$6,-AT$6-SUM(AT$10:AT364),-ROUNDDOWN($K365*AT$5/100,0)),0)</f>
        <v>0</v>
      </c>
      <c r="AU365" s="38">
        <f>IF(O365="○",IF(SUM(AU$10:AU364)-ROUNDDOWN($K365*AU$5/100,0)&lt;-AU$6,-AU$6-SUM(AU$10:AU364),-ROUNDDOWN($K365*AU$5/100,0)),0)</f>
        <v>0</v>
      </c>
      <c r="AV365" s="38">
        <f>IF(P365="○",IF(SUM(AV$10:AV364)-ROUNDDOWN($K365*AV$5/100,0)&lt;-AV$6,-AV$6-SUM(AV$10:AV364),-ROUNDDOWN($K365*AV$5/100,0)),0)</f>
        <v>0</v>
      </c>
      <c r="AW365" s="38">
        <f>IF(Q365="○",IF(SUM(AW$10:AW364)-ROUNDDOWN($K365*AW$5/100,0)&lt;-AW$6,-AW$6-SUM(AW$10:AW364),-ROUNDDOWN($K365*AW$5/100,0)),0)</f>
        <v>0</v>
      </c>
      <c r="AX365" s="38">
        <f>IF(R365="○",IF(SUM(AX$10:AX364)-ROUNDDOWN($K365*AX$5/100,0)&lt;-AX$6,-AX$6-SUM(AX$10:AX364),-ROUNDDOWN($K365*AX$5/100,0)),0)</f>
        <v>0</v>
      </c>
      <c r="AY365" s="70">
        <v>0</v>
      </c>
      <c r="AZ365" s="65">
        <f t="shared" si="250"/>
        <v>0</v>
      </c>
      <c r="BA365" s="65">
        <f t="shared" si="251"/>
        <v>0</v>
      </c>
      <c r="BB365" s="70"/>
      <c r="BC365" s="65">
        <f t="shared" si="252"/>
        <v>0</v>
      </c>
      <c r="BD365" s="70">
        <v>0</v>
      </c>
      <c r="BE365" s="65">
        <f t="shared" si="253"/>
        <v>0</v>
      </c>
      <c r="BF365" s="70">
        <v>0</v>
      </c>
      <c r="BG365" s="65">
        <f t="shared" si="254"/>
        <v>0</v>
      </c>
      <c r="BH365" s="70">
        <v>0</v>
      </c>
      <c r="BI365" s="65">
        <f t="shared" si="255"/>
        <v>0</v>
      </c>
      <c r="BJ365" s="38">
        <f>IF(AND(BJ$7="○",$A365&gt;=BJ$8,$A365&lt;=BJ$9),IF(SUM(BJ$10:BJ364)-ROUNDDOWN($M365*BJ$5/100,0)&lt;-BJ$6,-BJ$6-SUM(BJ$10:BJ364),-ROUNDDOWN($M365*BJ$5/100,0)),0)</f>
        <v>0</v>
      </c>
      <c r="BK365" s="38">
        <f>IF(AND(BK$7="○",$A365&gt;=BK$8,$A365&lt;=BK$9),IF(SUM(BK$10:BK364)-ROUNDDOWN($L365*BK$5/100,0)&lt;-BK$6,-BK$6-SUM(BK$10:BK364),-ROUNDDOWN($L365*BK$5/100,0)),0)</f>
        <v>0</v>
      </c>
      <c r="BL365" s="38">
        <f>IF(AND(BL$7="○",$A365&gt;=BL$8,$A365&lt;=BL$9),IF(SUM(BL$10:BL364)-ROUNDDOWN($L365*BL$5/100,0)&lt;-BL$6,-BL$6-SUM(BL$10:BL364),-ROUNDDOWN($L365*BL$5/100,0)),0)</f>
        <v>0</v>
      </c>
      <c r="BM365" s="38">
        <f>IF(AND(BM$7="○",$A365&gt;=BM$8,$A365&lt;=BM$9),IF(SUM(BM$10:BM364)-ROUNDDOWN($M365*BM$5/100,0)&lt;-BM$6,-BM$6-SUM(BM$10:BM364),-ROUNDDOWN($M365*BM$5/100,0)),0)</f>
        <v>0</v>
      </c>
      <c r="BN365" s="38">
        <f>IF(AND(BN$7="○",$A365&gt;=BN$8,$A365&lt;=BN$9),IF(SUM(BN$10:BN364)-ROUNDDOWN($M365*BN$5/100,0)&lt;-BN$6,-BN$6-SUM(BN$10:BN364),-ROUNDDOWN($M365*BN$5/100,0)),0)</f>
        <v>0</v>
      </c>
      <c r="BO365" s="38">
        <f>IF(AND(BO$7="○",$A365&gt;=BO$8,$A365&lt;=BO$9),IF(SUM(BO$10:BO364)-ROUNDDOWN($M365*BO$5/100,0)&lt;-BO$6,-BO$6-SUM(BO$10:BO364),-ROUNDDOWN($M365*BO$5/100,0)),0)</f>
        <v>0</v>
      </c>
      <c r="BP365" s="38">
        <f>IF(AND(BP$7="○",$A365&gt;=BP$8,$A365&lt;=BP$9),IF(SUM(BP$10:BP364)-ROUNDDOWN($M365*BP$5/100,0)&lt;-BP$6,-BP$6-SUM(BP$10:BP364),-ROUNDDOWN($M365*BP$5/100,0)),0)</f>
        <v>0</v>
      </c>
      <c r="BQ365" s="38">
        <f>IF(AND(BQ$7="○",$A365&gt;=BQ$8,$A365&lt;=BQ$9),IF(SUM(BQ$10:BQ364)-ROUNDDOWN($L365*BQ$5/100,0)&lt;-BQ$6,-BQ$6-SUM(BQ$10:BQ364),-ROUNDDOWN($L365*BQ$5/100,0)),0)</f>
        <v>0</v>
      </c>
      <c r="BR365" s="38">
        <f>IF(AND(BR$7="○",$A365&gt;=BR$8,$A365&lt;=BR$9),IF(SUM(BR$10:BR364)-ROUNDDOWN($M365*BR$5/100,0)&lt;-BR$6,-BR$6-SUM(BR$10:BR364),-ROUNDDOWN($M365*BR$5/100,0)),0)</f>
        <v>0</v>
      </c>
      <c r="BS365" s="38">
        <f>IF(AND(BS$7="○",$A365&gt;=BS$8,$A365&lt;=BS$9),IF(SUM(BS$10:BS364)-ROUNDDOWN($M365*BS$5/100,0)&lt;-BS$6,-BS$6-SUM(BS$10:BS364),-ROUNDDOWN($M365*BS$5/100,0)),0)</f>
        <v>0</v>
      </c>
      <c r="BT365" s="38">
        <f>IF(AND(BT$7="○",$A365&gt;=BT$8,$A365&lt;=BT$9),IF(SUM(BT$10:BT364)-ROUNDDOWN($M365*BT$5/100,0)&lt;-BT$6,-BT$6-SUM(BT$10:BT364),-ROUNDDOWN($M365*BT$5/100,0)),0)</f>
        <v>0</v>
      </c>
      <c r="BU365" s="38">
        <f>IF(AND(BU$7="○",$A365&gt;=BU$8,$A365&lt;=BU$9),IF(SUM(BU$10:BU364)-ROUNDDOWN($M365*BU$5/100,0)&lt;-BU$6,-BU$6-SUM(BU$10:BU364),-ROUNDDOWN($M365*BU$5/100,0)),0)</f>
        <v>0</v>
      </c>
      <c r="BV365" s="38">
        <f>IF(AND(BV$7="○",$A365&gt;=BV$8,$A365&lt;=BV$9),IF(SUM(BV$10:BV364)-ROUNDDOWN($M365*BV$5/100,0)&lt;-BV$6,-BV$6-SUM(BV$10:BV364),-ROUNDDOWN($M365*BV$5/100,0)),0)</f>
        <v>0</v>
      </c>
      <c r="BW365" s="38">
        <f>IF(AND(BW$7="○",$A365&gt;=BW$8,$A365&lt;=BW$9),IF(SUM(BW$10:BW364)-ROUNDDOWN($M365*BW$5/100,0)&lt;-BW$6,-BW$6-SUM(BW$10:BW364),-ROUNDDOWN($M365*BW$5/100,0)),0)</f>
        <v>0</v>
      </c>
      <c r="BX365" s="38">
        <f>IF(AND(T365="○",$A365&gt;=BX$8,$A365&lt;=BX$9),IF(SUM(BX$10:BX364)-ROUNDDOWN($K365*BX$5/100,0)&lt;-BX$6,-BX$6-SUM(BX$10:BX364),-ROUNDDOWN($K365*BX$5/100,0)),0)</f>
        <v>0</v>
      </c>
      <c r="BY365" s="38">
        <f>IF(AND(U365="○",$A365&gt;=BY$8,$A365&lt;=BY$9),IF(SUM(BY$10:BY364)-ROUNDDOWN($K365*BY$5/100,0)&lt;-BY$6,-BY$6-SUM(BY$10:BY364),-ROUNDDOWN($K365*BY$5/100,0)),0)</f>
        <v>0</v>
      </c>
      <c r="BZ365" s="38">
        <f>IF(AND(V365="○",$A365&gt;=BZ$8,$A365&lt;=BZ$9),IF(SUM(BZ$10:BZ364)-ROUNDDOWN($K365*BZ$5/100,0)&lt;-BZ$6,-BZ$6-SUM(BZ$10:BZ364),-ROUNDDOWN($K365*BZ$5/100,0)),0)</f>
        <v>0</v>
      </c>
      <c r="CA365" s="38">
        <f>IF(AND(W365="○",$A365&gt;=CA$8,$A365&lt;=CA$9),IF(SUM(CA$10:CA364)-ROUNDDOWN($K365*CA$5/100,0)&lt;-CA$6,-CA$6-SUM(CA$10:CA364),-ROUNDDOWN($K365*CA$5/100,0)),0)</f>
        <v>0</v>
      </c>
      <c r="CB365" s="38"/>
      <c r="CC365" s="38"/>
      <c r="CD365" s="38"/>
      <c r="CE365" s="38"/>
      <c r="CF365" s="38"/>
      <c r="CG365" s="65">
        <f t="shared" si="256"/>
        <v>0</v>
      </c>
      <c r="CH365" s="71">
        <f t="shared" si="257"/>
        <v>0</v>
      </c>
      <c r="CI365" s="1">
        <f t="shared" si="19"/>
        <v>0</v>
      </c>
      <c r="CJ365" s="1"/>
      <c r="CK365" s="79"/>
      <c r="CL365" s="79"/>
      <c r="CM365" s="2"/>
      <c r="CN365" s="2"/>
      <c r="CO365" s="73">
        <f t="shared" si="20"/>
        <v>0</v>
      </c>
      <c r="CP365" s="5">
        <f t="shared" si="21"/>
        <v>0</v>
      </c>
      <c r="CQ365" s="1"/>
      <c r="CR365" s="1">
        <f t="shared" si="22"/>
        <v>0</v>
      </c>
      <c r="CS365" s="1"/>
      <c r="CT365" s="1" t="e">
        <f>INDEX([2]マスタ!$A:$A,MATCH(D365,[2]マスタ!$C:$C,0))</f>
        <v>#N/A</v>
      </c>
      <c r="CU365" s="1" t="str">
        <f t="shared" ca="1" si="23"/>
        <v>20260620_0-0</v>
      </c>
    </row>
    <row r="366" spans="1:99" x14ac:dyDescent="0.4">
      <c r="A366" s="61"/>
      <c r="B366" s="62"/>
      <c r="C366" s="62"/>
      <c r="D366" s="62"/>
      <c r="E366" s="63"/>
      <c r="F366" s="62"/>
      <c r="G366" s="62">
        <v>1</v>
      </c>
      <c r="H366" s="64">
        <f t="shared" si="4"/>
        <v>0</v>
      </c>
      <c r="I366" s="64"/>
      <c r="J366" s="64"/>
      <c r="K366" s="65">
        <f t="shared" ref="K366:K375" si="265">+ROUNDDOWN((H366+I366+J366)/100,0)*100</f>
        <v>0</v>
      </c>
      <c r="L366" s="65">
        <f t="shared" si="6"/>
        <v>0</v>
      </c>
      <c r="M366" s="65">
        <f t="shared" si="7"/>
        <v>0</v>
      </c>
      <c r="N366" s="65">
        <f t="shared" si="8"/>
        <v>0</v>
      </c>
      <c r="O366" s="66" t="str">
        <f t="shared" si="259"/>
        <v>✕</v>
      </c>
      <c r="P366" s="67" t="str">
        <f t="shared" si="260"/>
        <v>○</v>
      </c>
      <c r="Q366" s="67" t="str">
        <f t="shared" ref="Q366:Q375" si="266">+IF((TEXT(A366,"DD")+0)=1,"○","✕")</f>
        <v>✕</v>
      </c>
      <c r="R366" s="67" t="str">
        <f t="shared" si="262"/>
        <v>✕</v>
      </c>
      <c r="S366" s="68">
        <v>0</v>
      </c>
      <c r="T366" s="69" t="s">
        <v>85</v>
      </c>
      <c r="U366" s="69" t="s">
        <v>85</v>
      </c>
      <c r="V366" s="69" t="s">
        <v>85</v>
      </c>
      <c r="W366" s="69" t="s">
        <v>85</v>
      </c>
      <c r="X366" s="69" t="s">
        <v>84</v>
      </c>
      <c r="Y366" s="69" t="s">
        <v>85</v>
      </c>
      <c r="Z366" s="69" t="s">
        <v>85</v>
      </c>
      <c r="AA366" s="69" t="s">
        <v>85</v>
      </c>
      <c r="AB366" s="69" t="s">
        <v>85</v>
      </c>
      <c r="AC366" s="69" t="s">
        <v>85</v>
      </c>
      <c r="AD366" s="38" t="str">
        <f>+IF(ISERROR(VLOOKUP($B366,AD$10:AD365,1,0)),IF(AND($N366&gt;=1000,$A366&gt;=AO$8,$A366&lt;=AO$9),$B366,""),"")</f>
        <v/>
      </c>
      <c r="AE366" s="38" t="str">
        <f>+IF(ISERROR(VLOOKUP($B366,AE$10:AE365,1,0)),IF(AND($N366&gt;=1000,$A366&gt;=AP$8,$A366&lt;=AP$9),$B366,""),"")</f>
        <v/>
      </c>
      <c r="AF366" s="38" t="str">
        <f>+IF(ISERROR(VLOOKUP($B366,AF$10:AF365,1,0)),IF(AND($N366&gt;=1000,$A366&gt;=AQ$8,$A366&lt;=AQ$9),$B366,""),"")</f>
        <v/>
      </c>
      <c r="AG366" s="38" t="str">
        <f>+IF(ISERROR(VLOOKUP($B366,AG$10:AG365,1,0)),IF(AND($N366&gt;=1000,$A366&gt;=AR$8,$A366&lt;=AR$9),$B366,""),"")</f>
        <v/>
      </c>
      <c r="AH366" s="38"/>
      <c r="AI366" s="70">
        <v>0</v>
      </c>
      <c r="AJ366" s="38">
        <f>IF(AND(AJ$7="○",$A366&gt;=AJ$8,$A366&lt;=AJ$9),IF(SUM(AJ$10:AJ365)-ROUNDDOWN($K366*AJ$5/100,0)&lt;-AJ$6,-AJ$6-SUM(AJ$10:AJ365),-ROUNDDOWN($K366*AJ$5/100,0)),0)</f>
        <v>0</v>
      </c>
      <c r="AK366" s="38">
        <f>IF(AND(AK$7="○",$A366&gt;=AK$8,$A366&lt;=AK$9),IF(SUM(AK$10:AK365)-ROUNDDOWN($L366*AK$5/100,0)&lt;-AK$6,-AK$6-SUM(AK$10:AK365),-ROUNDDOWN($L366*AK$5/100,0)),0)</f>
        <v>0</v>
      </c>
      <c r="AL366" s="38">
        <f>IF(AND(AL$7="○",$A366&gt;=AL$8,$A366&lt;=AL$9),IF(SUM(AL$10:AL365)-ROUNDDOWN($N366*AL$5/100,0)&lt;-AL$6,-AL$6-SUM(AL$10:AL365),-ROUNDDOWN($N366*AL$5/100,0)),0)</f>
        <v>0</v>
      </c>
      <c r="AM366" s="38">
        <f>IF(AND(AM$7="○",$A366&gt;=AM$8,$A366&lt;=AM$9),IF(SUM(AM$10:AM365)-ROUNDDOWN($L366*AM$5/100,0)&lt;-AM$6,-AM$6-SUM(AM$10:AM365),-ROUNDDOWN($L366*AM$5/100,0)),0)</f>
        <v>0</v>
      </c>
      <c r="AN366" s="38">
        <f>IF(AND(AN$7="○",$A366&gt;=AN$8,$A366&lt;=AN$9),IF(SUM(AN$10:AN365)-ROUNDDOWN($M366*AN$5/100,0)&lt;-AN$6,-AN$6-SUM(AN$10:AN365),-ROUNDDOWN($M366*AN$5/100,0)),0)</f>
        <v>0</v>
      </c>
      <c r="AO366" s="38">
        <f>IF(AND($A366&gt;=AO$8,$A366&lt;=AO$9),IF(SUM(AO$10:AO365)-ROUNDDOWN($K366*AO$5/100,0)&lt;-AO$6,-AO$6-SUM(AO$10:AO365),-ROUNDDOWN($K366*AO$5/100,0)),0)</f>
        <v>0</v>
      </c>
      <c r="AP366" s="38">
        <f>IF(AND($A366&gt;=AP$8,$A366&lt;=AP$9),IF(SUM(AP$10:AP365)-ROUNDDOWN($K366*AP$5/100,0)&lt;-AP$6,-AP$6-SUM(AP$10:AP365),-ROUNDDOWN($K366*AP$5/100,0)),0)</f>
        <v>0</v>
      </c>
      <c r="AQ366" s="38">
        <f>IF(AND($A366&gt;=AQ$8,$A366&lt;=AQ$9),IF(SUM(AQ$10:AQ365)-ROUNDDOWN($K366*AQ$5/100,0)&lt;-AQ$6,-AQ$6-SUM(AQ$10:AQ365),-ROUNDDOWN($K366*AQ$5/100,0)),0)</f>
        <v>0</v>
      </c>
      <c r="AR366" s="38">
        <f>IF(AND($A366&gt;=AR$8,$A366&lt;=AR$9),IF(SUM(AR$10:AR365)-ROUNDDOWN($K366*AR$5/100,0)&lt;-AR$6,-AR$6-SUM(AR$10:AR365),-ROUNDDOWN($K366*AR$5/100,0)),0)</f>
        <v>0</v>
      </c>
      <c r="AS366" s="38">
        <f>IF(SUMIFS(AS$10:AS365,$A$10:$A365,$A366)-ROUNDDOWN($K366*$S366/100,0)&lt;-$S366*1000,-$S366*1000-SUMIFS(AS$10:AS365,$A$10:$A365,$A366),-ROUNDDOWN($K366*$S366/100,0))</f>
        <v>0</v>
      </c>
      <c r="AT366" s="38">
        <f>IF(AND(X366="○",$A366&gt;=AT$8,$A366&lt;=AT$9,K366&gt;=3980),IF(SUM(AT$10:AT365)-ROUNDDOWN($K366*AT$5/100,0)&lt;-AT$6,-AT$6-SUM(AT$10:AT365),-ROUNDDOWN($K366*AT$5/100,0)),0)</f>
        <v>0</v>
      </c>
      <c r="AU366" s="38">
        <f>IF(O366="○",IF(SUM(AU$10:AU365)-ROUNDDOWN($K366*AU$5/100,0)&lt;-AU$6,-AU$6-SUM(AU$10:AU365),-ROUNDDOWN($K366*AU$5/100,0)),0)</f>
        <v>0</v>
      </c>
      <c r="AV366" s="38">
        <f>IF(P366="○",IF(SUM(AV$10:AV365)-ROUNDDOWN($K366*AV$5/100,0)&lt;-AV$6,-AV$6-SUM(AV$10:AV365),-ROUNDDOWN($K366*AV$5/100,0)),0)</f>
        <v>0</v>
      </c>
      <c r="AW366" s="38">
        <f>IF(Q366="○",IF(SUM(AW$10:AW365)-ROUNDDOWN($K366*AW$5/100,0)&lt;-AW$6,-AW$6-SUM(AW$10:AW365),-ROUNDDOWN($K366*AW$5/100,0)),0)</f>
        <v>0</v>
      </c>
      <c r="AX366" s="38">
        <f>IF(R366="○",IF(SUM(AX$10:AX365)-ROUNDDOWN($K366*AX$5/100,0)&lt;-AX$6,-AX$6-SUM(AX$10:AX365),-ROUNDDOWN($K366*AX$5/100,0)),0)</f>
        <v>0</v>
      </c>
      <c r="AY366" s="70">
        <v>0</v>
      </c>
      <c r="AZ366" s="65">
        <f t="shared" si="250"/>
        <v>0</v>
      </c>
      <c r="BA366" s="65">
        <f t="shared" si="251"/>
        <v>0</v>
      </c>
      <c r="BB366" s="70"/>
      <c r="BC366" s="65">
        <f t="shared" si="252"/>
        <v>0</v>
      </c>
      <c r="BD366" s="70">
        <v>0</v>
      </c>
      <c r="BE366" s="65">
        <f t="shared" si="253"/>
        <v>0</v>
      </c>
      <c r="BF366" s="70">
        <v>0</v>
      </c>
      <c r="BG366" s="65">
        <f t="shared" si="254"/>
        <v>0</v>
      </c>
      <c r="BH366" s="70">
        <v>0</v>
      </c>
      <c r="BI366" s="65">
        <f t="shared" si="255"/>
        <v>0</v>
      </c>
      <c r="BJ366" s="38">
        <f>IF(AND(BJ$7="○",$A366&gt;=BJ$8,$A366&lt;=BJ$9),IF(SUM(BJ$10:BJ365)-ROUNDDOWN($M366*BJ$5/100,0)&lt;-BJ$6,-BJ$6-SUM(BJ$10:BJ365),-ROUNDDOWN($M366*BJ$5/100,0)),0)</f>
        <v>0</v>
      </c>
      <c r="BK366" s="38">
        <f>IF(AND(BK$7="○",$A366&gt;=BK$8,$A366&lt;=BK$9),IF(SUM(BK$10:BK365)-ROUNDDOWN($L366*BK$5/100,0)&lt;-BK$6,-BK$6-SUM(BK$10:BK365),-ROUNDDOWN($L366*BK$5/100,0)),0)</f>
        <v>0</v>
      </c>
      <c r="BL366" s="38">
        <f>IF(AND(BL$7="○",$A366&gt;=BL$8,$A366&lt;=BL$9),IF(SUM(BL$10:BL365)-ROUNDDOWN($L366*BL$5/100,0)&lt;-BL$6,-BL$6-SUM(BL$10:BL365),-ROUNDDOWN($L366*BL$5/100,0)),0)</f>
        <v>0</v>
      </c>
      <c r="BM366" s="38">
        <f>IF(AND(BM$7="○",$A366&gt;=BM$8,$A366&lt;=BM$9),IF(SUM(BM$10:BM365)-ROUNDDOWN($M366*BM$5/100,0)&lt;-BM$6,-BM$6-SUM(BM$10:BM365),-ROUNDDOWN($M366*BM$5/100,0)),0)</f>
        <v>0</v>
      </c>
      <c r="BN366" s="38">
        <f>IF(AND(BN$7="○",$A366&gt;=BN$8,$A366&lt;=BN$9),IF(SUM(BN$10:BN365)-ROUNDDOWN($M366*BN$5/100,0)&lt;-BN$6,-BN$6-SUM(BN$10:BN365),-ROUNDDOWN($M366*BN$5/100,0)),0)</f>
        <v>0</v>
      </c>
      <c r="BO366" s="38">
        <f>IF(AND(BO$7="○",$A366&gt;=BO$8,$A366&lt;=BO$9),IF(SUM(BO$10:BO365)-ROUNDDOWN($M366*BO$5/100,0)&lt;-BO$6,-BO$6-SUM(BO$10:BO365),-ROUNDDOWN($M366*BO$5/100,0)),0)</f>
        <v>0</v>
      </c>
      <c r="BP366" s="38">
        <f>IF(AND(BP$7="○",$A366&gt;=BP$8,$A366&lt;=BP$9),IF(SUM(BP$10:BP365)-ROUNDDOWN($M366*BP$5/100,0)&lt;-BP$6,-BP$6-SUM(BP$10:BP365),-ROUNDDOWN($M366*BP$5/100,0)),0)</f>
        <v>0</v>
      </c>
      <c r="BQ366" s="38">
        <f>IF(AND(BQ$7="○",$A366&gt;=BQ$8,$A366&lt;=BQ$9),IF(SUM(BQ$10:BQ365)-ROUNDDOWN($L366*BQ$5/100,0)&lt;-BQ$6,-BQ$6-SUM(BQ$10:BQ365),-ROUNDDOWN($L366*BQ$5/100,0)),0)</f>
        <v>0</v>
      </c>
      <c r="BR366" s="38">
        <f>IF(AND(BR$7="○",$A366&gt;=BR$8,$A366&lt;=BR$9),IF(SUM(BR$10:BR365)-ROUNDDOWN($M366*BR$5/100,0)&lt;-BR$6,-BR$6-SUM(BR$10:BR365),-ROUNDDOWN($M366*BR$5/100,0)),0)</f>
        <v>0</v>
      </c>
      <c r="BS366" s="38">
        <f>IF(AND(BS$7="○",$A366&gt;=BS$8,$A366&lt;=BS$9),IF(SUM(BS$10:BS365)-ROUNDDOWN($M366*BS$5/100,0)&lt;-BS$6,-BS$6-SUM(BS$10:BS365),-ROUNDDOWN($M366*BS$5/100,0)),0)</f>
        <v>0</v>
      </c>
      <c r="BT366" s="38">
        <f>IF(AND(BT$7="○",$A366&gt;=BT$8,$A366&lt;=BT$9),IF(SUM(BT$10:BT365)-ROUNDDOWN($M366*BT$5/100,0)&lt;-BT$6,-BT$6-SUM(BT$10:BT365),-ROUNDDOWN($M366*BT$5/100,0)),0)</f>
        <v>0</v>
      </c>
      <c r="BU366" s="38">
        <f>IF(AND(BU$7="○",$A366&gt;=BU$8,$A366&lt;=BU$9),IF(SUM(BU$10:BU365)-ROUNDDOWN($M366*BU$5/100,0)&lt;-BU$6,-BU$6-SUM(BU$10:BU365),-ROUNDDOWN($M366*BU$5/100,0)),0)</f>
        <v>0</v>
      </c>
      <c r="BV366" s="38">
        <f>IF(AND(BV$7="○",$A366&gt;=BV$8,$A366&lt;=BV$9),IF(SUM(BV$10:BV365)-ROUNDDOWN($M366*BV$5/100,0)&lt;-BV$6,-BV$6-SUM(BV$10:BV365),-ROUNDDOWN($M366*BV$5/100,0)),0)</f>
        <v>0</v>
      </c>
      <c r="BW366" s="38">
        <f>IF(AND(BW$7="○",$A366&gt;=BW$8,$A366&lt;=BW$9),IF(SUM(BW$10:BW365)-ROUNDDOWN($M366*BW$5/100,0)&lt;-BW$6,-BW$6-SUM(BW$10:BW365),-ROUNDDOWN($M366*BW$5/100,0)),0)</f>
        <v>0</v>
      </c>
      <c r="BX366" s="38">
        <f>IF(AND(T366="○",$A366&gt;=BX$8,$A366&lt;=BX$9),IF(SUM(BX$10:BX365)-ROUNDDOWN($K366*BX$5/100,0)&lt;-BX$6,-BX$6-SUM(BX$10:BX365),-ROUNDDOWN($K366*BX$5/100,0)),0)</f>
        <v>0</v>
      </c>
      <c r="BY366" s="38">
        <f>IF(AND(U366="○",$A366&gt;=BY$8,$A366&lt;=BY$9),IF(SUM(BY$10:BY365)-ROUNDDOWN($K366*BY$5/100,0)&lt;-BY$6,-BY$6-SUM(BY$10:BY365),-ROUNDDOWN($K366*BY$5/100,0)),0)</f>
        <v>0</v>
      </c>
      <c r="BZ366" s="38">
        <f>IF(AND(V366="○",$A366&gt;=BZ$8,$A366&lt;=BZ$9),IF(SUM(BZ$10:BZ365)-ROUNDDOWN($K366*BZ$5/100,0)&lt;-BZ$6,-BZ$6-SUM(BZ$10:BZ365),-ROUNDDOWN($K366*BZ$5/100,0)),0)</f>
        <v>0</v>
      </c>
      <c r="CA366" s="38">
        <f>IF(AND(W366="○",$A366&gt;=CA$8,$A366&lt;=CA$9),IF(SUM(CA$10:CA365)-ROUNDDOWN($K366*CA$5/100,0)&lt;-CA$6,-CA$6-SUM(CA$10:CA365),-ROUNDDOWN($K366*CA$5/100,0)),0)</f>
        <v>0</v>
      </c>
      <c r="CB366" s="38"/>
      <c r="CC366" s="38"/>
      <c r="CD366" s="38"/>
      <c r="CE366" s="38"/>
      <c r="CF366" s="38"/>
      <c r="CG366" s="65">
        <f t="shared" si="256"/>
        <v>0</v>
      </c>
      <c r="CH366" s="71">
        <f t="shared" si="257"/>
        <v>0</v>
      </c>
      <c r="CI366" s="1">
        <f t="shared" si="19"/>
        <v>0</v>
      </c>
      <c r="CJ366" s="1"/>
      <c r="CK366" s="72"/>
      <c r="CL366" s="72"/>
      <c r="CM366" s="2"/>
      <c r="CN366" s="2"/>
      <c r="CO366" s="73">
        <f t="shared" si="20"/>
        <v>0</v>
      </c>
      <c r="CP366" s="5">
        <f t="shared" si="21"/>
        <v>0</v>
      </c>
      <c r="CQ366" s="1"/>
      <c r="CR366" s="1">
        <f t="shared" si="22"/>
        <v>0</v>
      </c>
      <c r="CS366" s="1"/>
      <c r="CT366" s="1" t="e">
        <f>INDEX([2]マスタ!$A:$A,MATCH(D366,[2]マスタ!$C:$C,0))</f>
        <v>#N/A</v>
      </c>
      <c r="CU366" s="1" t="str">
        <f t="shared" ca="1" si="23"/>
        <v>20260620_0-0</v>
      </c>
    </row>
    <row r="367" spans="1:99" x14ac:dyDescent="0.4">
      <c r="A367" s="61"/>
      <c r="B367" s="62"/>
      <c r="C367" s="62"/>
      <c r="D367" s="62"/>
      <c r="E367" s="63"/>
      <c r="F367" s="62"/>
      <c r="G367" s="62">
        <v>1</v>
      </c>
      <c r="H367" s="64">
        <f t="shared" si="4"/>
        <v>0</v>
      </c>
      <c r="I367" s="64"/>
      <c r="J367" s="64"/>
      <c r="K367" s="65">
        <f t="shared" si="265"/>
        <v>0</v>
      </c>
      <c r="L367" s="65">
        <f t="shared" si="6"/>
        <v>0</v>
      </c>
      <c r="M367" s="65">
        <f t="shared" si="7"/>
        <v>0</v>
      </c>
      <c r="N367" s="65">
        <f t="shared" si="8"/>
        <v>0</v>
      </c>
      <c r="O367" s="66" t="str">
        <f t="shared" si="259"/>
        <v>✕</v>
      </c>
      <c r="P367" s="67" t="str">
        <f t="shared" si="260"/>
        <v>○</v>
      </c>
      <c r="Q367" s="67" t="str">
        <f t="shared" si="266"/>
        <v>✕</v>
      </c>
      <c r="R367" s="67" t="str">
        <f t="shared" si="262"/>
        <v>✕</v>
      </c>
      <c r="S367" s="68">
        <v>0</v>
      </c>
      <c r="T367" s="69" t="s">
        <v>85</v>
      </c>
      <c r="U367" s="69" t="s">
        <v>85</v>
      </c>
      <c r="V367" s="69" t="s">
        <v>85</v>
      </c>
      <c r="W367" s="69" t="s">
        <v>85</v>
      </c>
      <c r="X367" s="69" t="s">
        <v>84</v>
      </c>
      <c r="Y367" s="69" t="s">
        <v>85</v>
      </c>
      <c r="Z367" s="69" t="s">
        <v>85</v>
      </c>
      <c r="AA367" s="69" t="s">
        <v>85</v>
      </c>
      <c r="AB367" s="69" t="s">
        <v>85</v>
      </c>
      <c r="AC367" s="69" t="s">
        <v>85</v>
      </c>
      <c r="AD367" s="38" t="str">
        <f>+IF(ISERROR(VLOOKUP($B367,AD$10:AD366,1,0)),IF(AND($N367&gt;=1000,$A367&gt;=AO$8,$A367&lt;=AO$9),$B367,""),"")</f>
        <v/>
      </c>
      <c r="AE367" s="38" t="str">
        <f>+IF(ISERROR(VLOOKUP($B367,AE$10:AE366,1,0)),IF(AND($N367&gt;=1000,$A367&gt;=AP$8,$A367&lt;=AP$9),$B367,""),"")</f>
        <v/>
      </c>
      <c r="AF367" s="38" t="str">
        <f>+IF(ISERROR(VLOOKUP($B367,AF$10:AF366,1,0)),IF(AND($N367&gt;=1000,$A367&gt;=AQ$8,$A367&lt;=AQ$9),$B367,""),"")</f>
        <v/>
      </c>
      <c r="AG367" s="38" t="str">
        <f>+IF(ISERROR(VLOOKUP($B367,AG$10:AG366,1,0)),IF(AND($N367&gt;=1000,$A367&gt;=AR$8,$A367&lt;=AR$9),$B367,""),"")</f>
        <v/>
      </c>
      <c r="AH367" s="38"/>
      <c r="AI367" s="70">
        <v>0</v>
      </c>
      <c r="AJ367" s="38">
        <f>IF(AND(AJ$7="○",$A367&gt;=AJ$8,$A367&lt;=AJ$9),IF(SUM(AJ$10:AJ366)-ROUNDDOWN($K367*AJ$5/100,0)&lt;-AJ$6,-AJ$6-SUM(AJ$10:AJ366),-ROUNDDOWN($K367*AJ$5/100,0)),0)</f>
        <v>0</v>
      </c>
      <c r="AK367" s="38">
        <f>IF(AND(AK$7="○",$A367&gt;=AK$8,$A367&lt;=AK$9),IF(SUM(AK$10:AK366)-ROUNDDOWN($L367*AK$5/100,0)&lt;-AK$6,-AK$6-SUM(AK$10:AK366),-ROUNDDOWN($L367*AK$5/100,0)),0)</f>
        <v>0</v>
      </c>
      <c r="AL367" s="38">
        <f>IF(AND(AL$7="○",$A367&gt;=AL$8,$A367&lt;=AL$9),IF(SUM(AL$10:AL366)-ROUNDDOWN($N367*AL$5/100,0)&lt;-AL$6,-AL$6-SUM(AL$10:AL366),-ROUNDDOWN($N367*AL$5/100,0)),0)</f>
        <v>0</v>
      </c>
      <c r="AM367" s="38">
        <f>IF(AND(AM$7="○",$A367&gt;=AM$8,$A367&lt;=AM$9),IF(SUM(AM$10:AM366)-ROUNDDOWN($L367*AM$5/100,0)&lt;-AM$6,-AM$6-SUM(AM$10:AM366),-ROUNDDOWN($L367*AM$5/100,0)),0)</f>
        <v>0</v>
      </c>
      <c r="AN367" s="38">
        <f>IF(AND(AN$7="○",$A367&gt;=AN$8,$A367&lt;=AN$9),IF(SUM(AN$10:AN366)-ROUNDDOWN($M367*AN$5/100,0)&lt;-AN$6,-AN$6-SUM(AN$10:AN366),-ROUNDDOWN($M367*AN$5/100,0)),0)</f>
        <v>0</v>
      </c>
      <c r="AO367" s="38">
        <f>IF(AND($A367&gt;=AO$8,$A367&lt;=AO$9),IF(SUM(AO$10:AO366)-ROUNDDOWN($K367*AO$5/100,0)&lt;-AO$6,-AO$6-SUM(AO$10:AO366),-ROUNDDOWN($K367*AO$5/100,0)),0)</f>
        <v>0</v>
      </c>
      <c r="AP367" s="38">
        <f>IF(AND($A367&gt;=AP$8,$A367&lt;=AP$9),IF(SUM(AP$10:AP366)-ROUNDDOWN($K367*AP$5/100,0)&lt;-AP$6,-AP$6-SUM(AP$10:AP366),-ROUNDDOWN($K367*AP$5/100,0)),0)</f>
        <v>0</v>
      </c>
      <c r="AQ367" s="38">
        <f>IF(AND($A367&gt;=AQ$8,$A367&lt;=AQ$9),IF(SUM(AQ$10:AQ366)-ROUNDDOWN($K367*AQ$5/100,0)&lt;-AQ$6,-AQ$6-SUM(AQ$10:AQ366),-ROUNDDOWN($K367*AQ$5/100,0)),0)</f>
        <v>0</v>
      </c>
      <c r="AR367" s="38">
        <f>IF(AND($A367&gt;=AR$8,$A367&lt;=AR$9),IF(SUM(AR$10:AR366)-ROUNDDOWN($K367*AR$5/100,0)&lt;-AR$6,-AR$6-SUM(AR$10:AR366),-ROUNDDOWN($K367*AR$5/100,0)),0)</f>
        <v>0</v>
      </c>
      <c r="AS367" s="38">
        <f>IF(SUMIFS(AS$10:AS366,$A$10:$A366,$A367)-ROUNDDOWN($K367*$S367/100,0)&lt;-$S367*1000,-$S367*1000-SUMIFS(AS$10:AS366,$A$10:$A366,$A367),-ROUNDDOWN($K367*$S367/100,0))</f>
        <v>0</v>
      </c>
      <c r="AT367" s="38">
        <f>IF(AND(X367="○",$A367&gt;=AT$8,$A367&lt;=AT$9,K367&gt;=3980),IF(SUM(AT$10:AT366)-ROUNDDOWN($K367*AT$5/100,0)&lt;-AT$6,-AT$6-SUM(AT$10:AT366),-ROUNDDOWN($K367*AT$5/100,0)),0)</f>
        <v>0</v>
      </c>
      <c r="AU367" s="38">
        <f>IF(O367="○",IF(SUM(AU$10:AU366)-ROUNDDOWN($K367*AU$5/100,0)&lt;-AU$6,-AU$6-SUM(AU$10:AU366),-ROUNDDOWN($K367*AU$5/100,0)),0)</f>
        <v>0</v>
      </c>
      <c r="AV367" s="38">
        <f>IF(P367="○",IF(SUM(AV$10:AV366)-ROUNDDOWN($K367*AV$5/100,0)&lt;-AV$6,-AV$6-SUM(AV$10:AV366),-ROUNDDOWN($K367*AV$5/100,0)),0)</f>
        <v>0</v>
      </c>
      <c r="AW367" s="38">
        <f>IF(Q367="○",IF(SUM(AW$10:AW366)-ROUNDDOWN($K367*AW$5/100,0)&lt;-AW$6,-AW$6-SUM(AW$10:AW366),-ROUNDDOWN($K367*AW$5/100,0)),0)</f>
        <v>0</v>
      </c>
      <c r="AX367" s="38">
        <f>IF(R367="○",IF(SUM(AX$10:AX366)-ROUNDDOWN($K367*AX$5/100,0)&lt;-AX$6,-AX$6-SUM(AX$10:AX366),-ROUNDDOWN($K367*AX$5/100,0)),0)</f>
        <v>0</v>
      </c>
      <c r="AY367" s="70">
        <v>0</v>
      </c>
      <c r="AZ367" s="65">
        <f t="shared" si="250"/>
        <v>0</v>
      </c>
      <c r="BA367" s="65">
        <f t="shared" si="251"/>
        <v>0</v>
      </c>
      <c r="BB367" s="70"/>
      <c r="BC367" s="65">
        <f t="shared" si="252"/>
        <v>0</v>
      </c>
      <c r="BD367" s="70">
        <v>0</v>
      </c>
      <c r="BE367" s="65">
        <f t="shared" si="253"/>
        <v>0</v>
      </c>
      <c r="BF367" s="70">
        <v>0</v>
      </c>
      <c r="BG367" s="65">
        <f t="shared" si="254"/>
        <v>0</v>
      </c>
      <c r="BH367" s="70">
        <v>0</v>
      </c>
      <c r="BI367" s="65">
        <f t="shared" si="255"/>
        <v>0</v>
      </c>
      <c r="BJ367" s="38">
        <f>IF(AND(BJ$7="○",$A367&gt;=BJ$8,$A367&lt;=BJ$9),IF(SUM(BJ$10:BJ366)-ROUNDDOWN($M367*BJ$5/100,0)&lt;-BJ$6,-BJ$6-SUM(BJ$10:BJ366),-ROUNDDOWN($M367*BJ$5/100,0)),0)</f>
        <v>0</v>
      </c>
      <c r="BK367" s="38">
        <f>IF(AND(BK$7="○",$A367&gt;=BK$8,$A367&lt;=BK$9),IF(SUM(BK$10:BK366)-ROUNDDOWN($L367*BK$5/100,0)&lt;-BK$6,-BK$6-SUM(BK$10:BK366),-ROUNDDOWN($L367*BK$5/100,0)),0)</f>
        <v>0</v>
      </c>
      <c r="BL367" s="38">
        <f>IF(AND(BL$7="○",$A367&gt;=BL$8,$A367&lt;=BL$9),IF(SUM(BL$10:BL366)-ROUNDDOWN($L367*BL$5/100,0)&lt;-BL$6,-BL$6-SUM(BL$10:BL366),-ROUNDDOWN($L367*BL$5/100,0)),0)</f>
        <v>0</v>
      </c>
      <c r="BM367" s="38">
        <f>IF(AND(BM$7="○",$A367&gt;=BM$8,$A367&lt;=BM$9),IF(SUM(BM$10:BM366)-ROUNDDOWN($M367*BM$5/100,0)&lt;-BM$6,-BM$6-SUM(BM$10:BM366),-ROUNDDOWN($M367*BM$5/100,0)),0)</f>
        <v>0</v>
      </c>
      <c r="BN367" s="38">
        <f>IF(AND(BN$7="○",$A367&gt;=BN$8,$A367&lt;=BN$9),IF(SUM(BN$10:BN366)-ROUNDDOWN($M367*BN$5/100,0)&lt;-BN$6,-BN$6-SUM(BN$10:BN366),-ROUNDDOWN($M367*BN$5/100,0)),0)</f>
        <v>0</v>
      </c>
      <c r="BO367" s="38">
        <f>IF(AND(BO$7="○",$A367&gt;=BO$8,$A367&lt;=BO$9),IF(SUM(BO$10:BO366)-ROUNDDOWN($M367*BO$5/100,0)&lt;-BO$6,-BO$6-SUM(BO$10:BO366),-ROUNDDOWN($M367*BO$5/100,0)),0)</f>
        <v>0</v>
      </c>
      <c r="BP367" s="38">
        <f>IF(AND(BP$7="○",$A367&gt;=BP$8,$A367&lt;=BP$9),IF(SUM(BP$10:BP366)-ROUNDDOWN($M367*BP$5/100,0)&lt;-BP$6,-BP$6-SUM(BP$10:BP366),-ROUNDDOWN($M367*BP$5/100,0)),0)</f>
        <v>0</v>
      </c>
      <c r="BQ367" s="38">
        <f>IF(AND(BQ$7="○",$A367&gt;=BQ$8,$A367&lt;=BQ$9),IF(SUM(BQ$10:BQ366)-ROUNDDOWN($L367*BQ$5/100,0)&lt;-BQ$6,-BQ$6-SUM(BQ$10:BQ366),-ROUNDDOWN($L367*BQ$5/100,0)),0)</f>
        <v>0</v>
      </c>
      <c r="BR367" s="38">
        <f>IF(AND(BR$7="○",$A367&gt;=BR$8,$A367&lt;=BR$9),IF(SUM(BR$10:BR366)-ROUNDDOWN($M367*BR$5/100,0)&lt;-BR$6,-BR$6-SUM(BR$10:BR366),-ROUNDDOWN($M367*BR$5/100,0)),0)</f>
        <v>0</v>
      </c>
      <c r="BS367" s="38">
        <f>IF(AND(BS$7="○",$A367&gt;=BS$8,$A367&lt;=BS$9),IF(SUM(BS$10:BS366)-ROUNDDOWN($M367*BS$5/100,0)&lt;-BS$6,-BS$6-SUM(BS$10:BS366),-ROUNDDOWN($M367*BS$5/100,0)),0)</f>
        <v>0</v>
      </c>
      <c r="BT367" s="38">
        <f>IF(AND(BT$7="○",$A367&gt;=BT$8,$A367&lt;=BT$9),IF(SUM(BT$10:BT366)-ROUNDDOWN($M367*BT$5/100,0)&lt;-BT$6,-BT$6-SUM(BT$10:BT366),-ROUNDDOWN($M367*BT$5/100,0)),0)</f>
        <v>0</v>
      </c>
      <c r="BU367" s="38">
        <f>IF(AND(BU$7="○",$A367&gt;=BU$8,$A367&lt;=BU$9),IF(SUM(BU$10:BU366)-ROUNDDOWN($M367*BU$5/100,0)&lt;-BU$6,-BU$6-SUM(BU$10:BU366),-ROUNDDOWN($M367*BU$5/100,0)),0)</f>
        <v>0</v>
      </c>
      <c r="BV367" s="38">
        <f>IF(AND(BV$7="○",$A367&gt;=BV$8,$A367&lt;=BV$9),IF(SUM(BV$10:BV366)-ROUNDDOWN($M367*BV$5/100,0)&lt;-BV$6,-BV$6-SUM(BV$10:BV366),-ROUNDDOWN($M367*BV$5/100,0)),0)</f>
        <v>0</v>
      </c>
      <c r="BW367" s="38">
        <f>IF(AND(BW$7="○",$A367&gt;=BW$8,$A367&lt;=BW$9),IF(SUM(BW$10:BW366)-ROUNDDOWN($M367*BW$5/100,0)&lt;-BW$6,-BW$6-SUM(BW$10:BW366),-ROUNDDOWN($M367*BW$5/100,0)),0)</f>
        <v>0</v>
      </c>
      <c r="BX367" s="38">
        <f>IF(AND(T367="○",$A367&gt;=BX$8,$A367&lt;=BX$9),IF(SUM(BX$10:BX366)-ROUNDDOWN($K367*BX$5/100,0)&lt;-BX$6,-BX$6-SUM(BX$10:BX366),-ROUNDDOWN($K367*BX$5/100,0)),0)</f>
        <v>0</v>
      </c>
      <c r="BY367" s="38">
        <f>IF(AND(U367="○",$A367&gt;=BY$8,$A367&lt;=BY$9),IF(SUM(BY$10:BY366)-ROUNDDOWN($K367*BY$5/100,0)&lt;-BY$6,-BY$6-SUM(BY$10:BY366),-ROUNDDOWN($K367*BY$5/100,0)),0)</f>
        <v>0</v>
      </c>
      <c r="BZ367" s="38">
        <f>IF(AND(V367="○",$A367&gt;=BZ$8,$A367&lt;=BZ$9),IF(SUM(BZ$10:BZ366)-ROUNDDOWN($K367*BZ$5/100,0)&lt;-BZ$6,-BZ$6-SUM(BZ$10:BZ366),-ROUNDDOWN($K367*BZ$5/100,0)),0)</f>
        <v>0</v>
      </c>
      <c r="CA367" s="38">
        <f>IF(AND(W367="○",$A367&gt;=CA$8,$A367&lt;=CA$9),IF(SUM(CA$10:CA366)-ROUNDDOWN($K367*CA$5/100,0)&lt;-CA$6,-CA$6-SUM(CA$10:CA366),-ROUNDDOWN($K367*CA$5/100,0)),0)</f>
        <v>0</v>
      </c>
      <c r="CB367" s="38"/>
      <c r="CC367" s="38"/>
      <c r="CD367" s="38"/>
      <c r="CE367" s="38"/>
      <c r="CF367" s="38"/>
      <c r="CG367" s="65">
        <f t="shared" si="256"/>
        <v>0</v>
      </c>
      <c r="CH367" s="71">
        <f t="shared" si="257"/>
        <v>0</v>
      </c>
      <c r="CI367" s="1">
        <f t="shared" si="19"/>
        <v>0</v>
      </c>
      <c r="CJ367" s="1"/>
      <c r="CK367" s="72"/>
      <c r="CL367" s="72"/>
      <c r="CM367" s="2"/>
      <c r="CN367" s="2"/>
      <c r="CO367" s="73">
        <f t="shared" si="20"/>
        <v>0</v>
      </c>
      <c r="CP367" s="5">
        <f t="shared" si="21"/>
        <v>0</v>
      </c>
      <c r="CQ367" s="1"/>
      <c r="CR367" s="1">
        <f t="shared" si="22"/>
        <v>0</v>
      </c>
      <c r="CS367" s="1"/>
      <c r="CT367" s="1" t="e">
        <f>INDEX([2]マスタ!$A:$A,MATCH(D367,[2]マスタ!$C:$C,0))</f>
        <v>#N/A</v>
      </c>
      <c r="CU367" s="1" t="str">
        <f t="shared" ca="1" si="23"/>
        <v>20260620_0-0</v>
      </c>
    </row>
    <row r="368" spans="1:99" x14ac:dyDescent="0.4">
      <c r="A368" s="61"/>
      <c r="B368" s="62"/>
      <c r="C368" s="62"/>
      <c r="D368" s="63"/>
      <c r="E368" s="63"/>
      <c r="F368" s="62"/>
      <c r="G368" s="62">
        <v>1</v>
      </c>
      <c r="H368" s="64">
        <f t="shared" si="4"/>
        <v>0</v>
      </c>
      <c r="I368" s="64"/>
      <c r="J368" s="64"/>
      <c r="K368" s="65">
        <f t="shared" si="265"/>
        <v>0</v>
      </c>
      <c r="L368" s="65">
        <f t="shared" si="6"/>
        <v>0</v>
      </c>
      <c r="M368" s="65">
        <f t="shared" si="7"/>
        <v>0</v>
      </c>
      <c r="N368" s="65">
        <f t="shared" si="8"/>
        <v>0</v>
      </c>
      <c r="O368" s="66" t="str">
        <f t="shared" si="259"/>
        <v>✕</v>
      </c>
      <c r="P368" s="67" t="str">
        <f t="shared" si="260"/>
        <v>○</v>
      </c>
      <c r="Q368" s="67" t="str">
        <f t="shared" si="266"/>
        <v>✕</v>
      </c>
      <c r="R368" s="67" t="str">
        <f t="shared" si="262"/>
        <v>✕</v>
      </c>
      <c r="S368" s="68">
        <v>0</v>
      </c>
      <c r="T368" s="69" t="s">
        <v>85</v>
      </c>
      <c r="U368" s="69" t="s">
        <v>85</v>
      </c>
      <c r="V368" s="69" t="s">
        <v>85</v>
      </c>
      <c r="W368" s="69" t="s">
        <v>85</v>
      </c>
      <c r="X368" s="69" t="s">
        <v>84</v>
      </c>
      <c r="Y368" s="69" t="s">
        <v>85</v>
      </c>
      <c r="Z368" s="69" t="s">
        <v>85</v>
      </c>
      <c r="AA368" s="69" t="s">
        <v>85</v>
      </c>
      <c r="AB368" s="69" t="s">
        <v>85</v>
      </c>
      <c r="AC368" s="69" t="s">
        <v>85</v>
      </c>
      <c r="AD368" s="38" t="str">
        <f>+IF(ISERROR(VLOOKUP($B368,AD$10:AD367,1,0)),IF(AND($N368&gt;=1000,$A368&gt;=AO$8,$A368&lt;=AO$9),$B368,""),"")</f>
        <v/>
      </c>
      <c r="AE368" s="38" t="str">
        <f>+IF(ISERROR(VLOOKUP($B368,AE$10:AE367,1,0)),IF(AND($N368&gt;=1000,$A368&gt;=AP$8,$A368&lt;=AP$9),$B368,""),"")</f>
        <v/>
      </c>
      <c r="AF368" s="38" t="str">
        <f>+IF(ISERROR(VLOOKUP($B368,AF$10:AF367,1,0)),IF(AND($N368&gt;=1000,$A368&gt;=AQ$8,$A368&lt;=AQ$9),$B368,""),"")</f>
        <v/>
      </c>
      <c r="AG368" s="38" t="str">
        <f>+IF(ISERROR(VLOOKUP($B368,AG$10:AG367,1,0)),IF(AND($N368&gt;=1000,$A368&gt;=AR$8,$A368&lt;=AR$9),$B368,""),"")</f>
        <v/>
      </c>
      <c r="AH368" s="38"/>
      <c r="AI368" s="70">
        <v>0</v>
      </c>
      <c r="AJ368" s="38">
        <f>IF(AND(AJ$7="○",$A368&gt;=AJ$8,$A368&lt;=AJ$9),IF(SUM(AJ$10:AJ367)-ROUNDDOWN($K368*AJ$5/100,0)&lt;-AJ$6,-AJ$6-SUM(AJ$10:AJ367),-ROUNDDOWN($K368*AJ$5/100,0)),0)</f>
        <v>0</v>
      </c>
      <c r="AK368" s="38">
        <f>IF(AND(AK$7="○",$A368&gt;=AK$8,$A368&lt;=AK$9),IF(SUM(AK$10:AK367)-ROUNDDOWN($L368*AK$5/100,0)&lt;-AK$6,-AK$6-SUM(AK$10:AK367),-ROUNDDOWN($L368*AK$5/100,0)),0)</f>
        <v>0</v>
      </c>
      <c r="AL368" s="38">
        <f>IF(AND(AL$7="○",$A368&gt;=AL$8,$A368&lt;=AL$9),IF(SUM(AL$10:AL367)-ROUNDDOWN($N368*AL$5/100,0)&lt;-AL$6,-AL$6-SUM(AL$10:AL367),-ROUNDDOWN($N368*AL$5/100,0)),0)</f>
        <v>0</v>
      </c>
      <c r="AM368" s="38">
        <f>IF(AND(AM$7="○",$A368&gt;=AM$8,$A368&lt;=AM$9),IF(SUM(AM$10:AM367)-ROUNDDOWN($L368*AM$5/100,0)&lt;-AM$6,-AM$6-SUM(AM$10:AM367),-ROUNDDOWN($L368*AM$5/100,0)),0)</f>
        <v>0</v>
      </c>
      <c r="AN368" s="38">
        <f>IF(AND(AN$7="○",$A368&gt;=AN$8,$A368&lt;=AN$9),IF(SUM(AN$10:AN367)-ROUNDDOWN($M368*AN$5/100,0)&lt;-AN$6,-AN$6-SUM(AN$10:AN367),-ROUNDDOWN($M368*AN$5/100,0)),0)</f>
        <v>0</v>
      </c>
      <c r="AO368" s="38">
        <f>IF(AND($A368&gt;=AO$8,$A368&lt;=AO$9),IF(SUM(AO$10:AO367)-ROUNDDOWN($K368*AO$5/100,0)&lt;-AO$6,-AO$6-SUM(AO$10:AO367),-ROUNDDOWN($K368*AO$5/100,0)),0)</f>
        <v>0</v>
      </c>
      <c r="AP368" s="38">
        <f>IF(AND($A368&gt;=AP$8,$A368&lt;=AP$9),IF(SUM(AP$10:AP367)-ROUNDDOWN($K368*AP$5/100,0)&lt;-AP$6,-AP$6-SUM(AP$10:AP367),-ROUNDDOWN($K368*AP$5/100,0)),0)</f>
        <v>0</v>
      </c>
      <c r="AQ368" s="38">
        <f>IF(AND($A368&gt;=AQ$8,$A368&lt;=AQ$9),IF(SUM(AQ$10:AQ367)-ROUNDDOWN($K368*AQ$5/100,0)&lt;-AQ$6,-AQ$6-SUM(AQ$10:AQ367),-ROUNDDOWN($K368*AQ$5/100,0)),0)</f>
        <v>0</v>
      </c>
      <c r="AR368" s="38">
        <f>IF(AND($A368&gt;=AR$8,$A368&lt;=AR$9),IF(SUM(AR$10:AR367)-ROUNDDOWN($K368*AR$5/100,0)&lt;-AR$6,-AR$6-SUM(AR$10:AR367),-ROUNDDOWN($K368*AR$5/100,0)),0)</f>
        <v>0</v>
      </c>
      <c r="AS368" s="38">
        <f>IF(SUMIFS(AS$10:AS367,$A$10:$A367,$A368)-ROUNDDOWN($K368*$S368/100,0)&lt;-$S368*1000,-$S368*1000-SUMIFS(AS$10:AS367,$A$10:$A367,$A368),-ROUNDDOWN($K368*$S368/100,0))</f>
        <v>0</v>
      </c>
      <c r="AT368" s="38">
        <f>IF(AND(X368="○",$A368&gt;=AT$8,$A368&lt;=AT$9,K368&gt;=3980),IF(SUM(AT$10:AT367)-ROUNDDOWN($K368*AT$5/100,0)&lt;-AT$6,-AT$6-SUM(AT$10:AT367),-ROUNDDOWN($K368*AT$5/100,0)),0)</f>
        <v>0</v>
      </c>
      <c r="AU368" s="38">
        <f>IF(O368="○",IF(SUM(AU$10:AU367)-ROUNDDOWN($K368*AU$5/100,0)&lt;-AU$6,-AU$6-SUM(AU$10:AU367),-ROUNDDOWN($K368*AU$5/100,0)),0)</f>
        <v>0</v>
      </c>
      <c r="AV368" s="38">
        <f>IF(P368="○",IF(SUM(AV$10:AV367)-ROUNDDOWN($K368*AV$5/100,0)&lt;-AV$6,-AV$6-SUM(AV$10:AV367),-ROUNDDOWN($K368*AV$5/100,0)),0)</f>
        <v>0</v>
      </c>
      <c r="AW368" s="38">
        <f>IF(Q368="○",IF(SUM(AW$10:AW367)-ROUNDDOWN($K368*AW$5/100,0)&lt;-AW$6,-AW$6-SUM(AW$10:AW367),-ROUNDDOWN($K368*AW$5/100,0)),0)</f>
        <v>0</v>
      </c>
      <c r="AX368" s="38">
        <f>IF(R368="○",IF(SUM(AX$10:AX367)-ROUNDDOWN($K368*AX$5/100,0)&lt;-AX$6,-AX$6-SUM(AX$10:AX367),-ROUNDDOWN($K368*AX$5/100,0)),0)</f>
        <v>0</v>
      </c>
      <c r="AY368" s="70">
        <v>0</v>
      </c>
      <c r="AZ368" s="65">
        <f t="shared" si="250"/>
        <v>0</v>
      </c>
      <c r="BA368" s="65">
        <f t="shared" si="251"/>
        <v>0</v>
      </c>
      <c r="BB368" s="70"/>
      <c r="BC368" s="65">
        <f t="shared" si="252"/>
        <v>0</v>
      </c>
      <c r="BD368" s="70">
        <v>0</v>
      </c>
      <c r="BE368" s="65">
        <f t="shared" si="253"/>
        <v>0</v>
      </c>
      <c r="BF368" s="70">
        <v>0</v>
      </c>
      <c r="BG368" s="65">
        <f t="shared" si="254"/>
        <v>0</v>
      </c>
      <c r="BH368" s="70">
        <v>0</v>
      </c>
      <c r="BI368" s="65">
        <f t="shared" si="255"/>
        <v>0</v>
      </c>
      <c r="BJ368" s="38">
        <f>IF(AND(BJ$7="○",$A368&gt;=BJ$8,$A368&lt;=BJ$9),IF(SUM(BJ$10:BJ367)-ROUNDDOWN($M368*BJ$5/100,0)&lt;-BJ$6,-BJ$6-SUM(BJ$10:BJ367),-ROUNDDOWN($M368*BJ$5/100,0)),0)</f>
        <v>0</v>
      </c>
      <c r="BK368" s="38">
        <f>IF(AND(BK$7="○",$A368&gt;=BK$8,$A368&lt;=BK$9),IF(SUM(BK$10:BK367)-ROUNDDOWN($L368*BK$5/100,0)&lt;-BK$6,-BK$6-SUM(BK$10:BK367),-ROUNDDOWN($L368*BK$5/100,0)),0)</f>
        <v>0</v>
      </c>
      <c r="BL368" s="38">
        <f>IF(AND(BL$7="○",$A368&gt;=BL$8,$A368&lt;=BL$9),IF(SUM(BL$10:BL367)-ROUNDDOWN($L368*BL$5/100,0)&lt;-BL$6,-BL$6-SUM(BL$10:BL367),-ROUNDDOWN($L368*BL$5/100,0)),0)</f>
        <v>0</v>
      </c>
      <c r="BM368" s="38">
        <f>IF(AND(BM$7="○",$A368&gt;=BM$8,$A368&lt;=BM$9),IF(SUM(BM$10:BM367)-ROUNDDOWN($M368*BM$5/100,0)&lt;-BM$6,-BM$6-SUM(BM$10:BM367),-ROUNDDOWN($M368*BM$5/100,0)),0)</f>
        <v>0</v>
      </c>
      <c r="BN368" s="38">
        <f>IF(AND(BN$7="○",$A368&gt;=BN$8,$A368&lt;=BN$9),IF(SUM(BN$10:BN367)-ROUNDDOWN($M368*BN$5/100,0)&lt;-BN$6,-BN$6-SUM(BN$10:BN367),-ROUNDDOWN($M368*BN$5/100,0)),0)</f>
        <v>0</v>
      </c>
      <c r="BO368" s="38">
        <f>IF(AND(BO$7="○",$A368&gt;=BO$8,$A368&lt;=BO$9),IF(SUM(BO$10:BO367)-ROUNDDOWN($M368*BO$5/100,0)&lt;-BO$6,-BO$6-SUM(BO$10:BO367),-ROUNDDOWN($M368*BO$5/100,0)),0)</f>
        <v>0</v>
      </c>
      <c r="BP368" s="38">
        <f>IF(AND(BP$7="○",$A368&gt;=BP$8,$A368&lt;=BP$9),IF(SUM(BP$10:BP367)-ROUNDDOWN($M368*BP$5/100,0)&lt;-BP$6,-BP$6-SUM(BP$10:BP367),-ROUNDDOWN($M368*BP$5/100,0)),0)</f>
        <v>0</v>
      </c>
      <c r="BQ368" s="38">
        <f>IF(AND(BQ$7="○",$A368&gt;=BQ$8,$A368&lt;=BQ$9),IF(SUM(BQ$10:BQ367)-ROUNDDOWN($L368*BQ$5/100,0)&lt;-BQ$6,-BQ$6-SUM(BQ$10:BQ367),-ROUNDDOWN($L368*BQ$5/100,0)),0)</f>
        <v>0</v>
      </c>
      <c r="BR368" s="38">
        <f>IF(AND(BR$7="○",$A368&gt;=BR$8,$A368&lt;=BR$9),IF(SUM(BR$10:BR367)-ROUNDDOWN($M368*BR$5/100,0)&lt;-BR$6,-BR$6-SUM(BR$10:BR367),-ROUNDDOWN($M368*BR$5/100,0)),0)</f>
        <v>0</v>
      </c>
      <c r="BS368" s="38">
        <f>IF(AND(BS$7="○",$A368&gt;=BS$8,$A368&lt;=BS$9),IF(SUM(BS$10:BS367)-ROUNDDOWN($M368*BS$5/100,0)&lt;-BS$6,-BS$6-SUM(BS$10:BS367),-ROUNDDOWN($M368*BS$5/100,0)),0)</f>
        <v>0</v>
      </c>
      <c r="BT368" s="38">
        <f>IF(AND(BT$7="○",$A368&gt;=BT$8,$A368&lt;=BT$9),IF(SUM(BT$10:BT367)-ROUNDDOWN($M368*BT$5/100,0)&lt;-BT$6,-BT$6-SUM(BT$10:BT367),-ROUNDDOWN($M368*BT$5/100,0)),0)</f>
        <v>0</v>
      </c>
      <c r="BU368" s="38">
        <f>IF(AND(BU$7="○",$A368&gt;=BU$8,$A368&lt;=BU$9),IF(SUM(BU$10:BU367)-ROUNDDOWN($M368*BU$5/100,0)&lt;-BU$6,-BU$6-SUM(BU$10:BU367),-ROUNDDOWN($M368*BU$5/100,0)),0)</f>
        <v>0</v>
      </c>
      <c r="BV368" s="38">
        <f>IF(AND(BV$7="○",$A368&gt;=BV$8,$A368&lt;=BV$9),IF(SUM(BV$10:BV367)-ROUNDDOWN($M368*BV$5/100,0)&lt;-BV$6,-BV$6-SUM(BV$10:BV367),-ROUNDDOWN($M368*BV$5/100,0)),0)</f>
        <v>0</v>
      </c>
      <c r="BW368" s="38">
        <f>IF(AND(BW$7="○",$A368&gt;=BW$8,$A368&lt;=BW$9),IF(SUM(BW$10:BW367)-ROUNDDOWN($M368*BW$5/100,0)&lt;-BW$6,-BW$6-SUM(BW$10:BW367),-ROUNDDOWN($M368*BW$5/100,0)),0)</f>
        <v>0</v>
      </c>
      <c r="BX368" s="38">
        <f>IF(AND(T368="○",$A368&gt;=BX$8,$A368&lt;=BX$9),IF(SUM(BX$10:BX367)-ROUNDDOWN($K368*BX$5/100,0)&lt;-BX$6,-BX$6-SUM(BX$10:BX367),-ROUNDDOWN($K368*BX$5/100,0)),0)</f>
        <v>0</v>
      </c>
      <c r="BY368" s="38">
        <f>IF(AND(U368="○",$A368&gt;=BY$8,$A368&lt;=BY$9),IF(SUM(BY$10:BY367)-ROUNDDOWN($K368*BY$5/100,0)&lt;-BY$6,-BY$6-SUM(BY$10:BY367),-ROUNDDOWN($K368*BY$5/100,0)),0)</f>
        <v>0</v>
      </c>
      <c r="BZ368" s="38">
        <f>IF(AND(V368="○",$A368&gt;=BZ$8,$A368&lt;=BZ$9),IF(SUM(BZ$10:BZ367)-ROUNDDOWN($K368*BZ$5/100,0)&lt;-BZ$6,-BZ$6-SUM(BZ$10:BZ367),-ROUNDDOWN($K368*BZ$5/100,0)),0)</f>
        <v>0</v>
      </c>
      <c r="CA368" s="38">
        <f>IF(AND(W368="○",$A368&gt;=CA$8,$A368&lt;=CA$9),IF(SUM(CA$10:CA367)-ROUNDDOWN($K368*CA$5/100,0)&lt;-CA$6,-CA$6-SUM(CA$10:CA367),-ROUNDDOWN($K368*CA$5/100,0)),0)</f>
        <v>0</v>
      </c>
      <c r="CB368" s="38"/>
      <c r="CC368" s="38"/>
      <c r="CD368" s="38"/>
      <c r="CE368" s="38"/>
      <c r="CF368" s="38"/>
      <c r="CG368" s="65">
        <f t="shared" si="256"/>
        <v>0</v>
      </c>
      <c r="CH368" s="71">
        <f t="shared" si="257"/>
        <v>0</v>
      </c>
      <c r="CI368" s="1">
        <f t="shared" si="19"/>
        <v>0</v>
      </c>
      <c r="CJ368" s="1"/>
      <c r="CK368" s="2"/>
      <c r="CL368" s="2"/>
      <c r="CM368" s="2"/>
      <c r="CN368" s="2"/>
      <c r="CO368" s="73">
        <f t="shared" si="20"/>
        <v>0</v>
      </c>
      <c r="CP368" s="5">
        <f t="shared" si="21"/>
        <v>0</v>
      </c>
      <c r="CQ368" s="1"/>
      <c r="CR368" s="1">
        <f t="shared" si="22"/>
        <v>0</v>
      </c>
      <c r="CS368" s="1"/>
      <c r="CT368" s="1" t="e">
        <f>INDEX([2]マスタ!$A:$A,MATCH(D368,[2]マスタ!$C:$C,0))</f>
        <v>#N/A</v>
      </c>
      <c r="CU368" s="1" t="str">
        <f t="shared" ca="1" si="23"/>
        <v>20260620_0-0</v>
      </c>
    </row>
    <row r="369" spans="1:99" x14ac:dyDescent="0.4">
      <c r="A369" s="61"/>
      <c r="B369" s="62"/>
      <c r="C369" s="62"/>
      <c r="D369" s="62"/>
      <c r="E369" s="63"/>
      <c r="F369" s="62"/>
      <c r="G369" s="62">
        <v>1</v>
      </c>
      <c r="H369" s="64">
        <f t="shared" si="4"/>
        <v>0</v>
      </c>
      <c r="I369" s="64"/>
      <c r="J369" s="78"/>
      <c r="K369" s="65">
        <f t="shared" si="265"/>
        <v>0</v>
      </c>
      <c r="L369" s="65">
        <f t="shared" si="6"/>
        <v>0</v>
      </c>
      <c r="M369" s="65">
        <f t="shared" si="7"/>
        <v>0</v>
      </c>
      <c r="N369" s="65">
        <f t="shared" si="8"/>
        <v>0</v>
      </c>
      <c r="O369" s="66" t="str">
        <f t="shared" si="259"/>
        <v>✕</v>
      </c>
      <c r="P369" s="67" t="str">
        <f t="shared" si="260"/>
        <v>○</v>
      </c>
      <c r="Q369" s="67" t="str">
        <f t="shared" si="266"/>
        <v>✕</v>
      </c>
      <c r="R369" s="67" t="str">
        <f t="shared" si="262"/>
        <v>✕</v>
      </c>
      <c r="S369" s="68">
        <v>0</v>
      </c>
      <c r="T369" s="69" t="s">
        <v>85</v>
      </c>
      <c r="U369" s="69" t="s">
        <v>85</v>
      </c>
      <c r="V369" s="69" t="s">
        <v>85</v>
      </c>
      <c r="W369" s="69" t="s">
        <v>85</v>
      </c>
      <c r="X369" s="69" t="s">
        <v>84</v>
      </c>
      <c r="Y369" s="69" t="s">
        <v>85</v>
      </c>
      <c r="Z369" s="69" t="s">
        <v>85</v>
      </c>
      <c r="AA369" s="69" t="s">
        <v>85</v>
      </c>
      <c r="AB369" s="69" t="s">
        <v>85</v>
      </c>
      <c r="AC369" s="69" t="s">
        <v>85</v>
      </c>
      <c r="AD369" s="38" t="str">
        <f>+IF(ISERROR(VLOOKUP($B369,AD$10:AD368,1,0)),IF(AND($N369&gt;=1000,$A369&gt;=AO$8,$A369&lt;=AO$9),$B369,""),"")</f>
        <v/>
      </c>
      <c r="AE369" s="38" t="str">
        <f>+IF(ISERROR(VLOOKUP($B369,AE$10:AE368,1,0)),IF(AND($N369&gt;=1000,$A369&gt;=AP$8,$A369&lt;=AP$9),$B369,""),"")</f>
        <v/>
      </c>
      <c r="AF369" s="38" t="str">
        <f>+IF(ISERROR(VLOOKUP($B369,AF$10:AF368,1,0)),IF(AND($N369&gt;=1000,$A369&gt;=AQ$8,$A369&lt;=AQ$9),$B369,""),"")</f>
        <v/>
      </c>
      <c r="AG369" s="38" t="str">
        <f>+IF(ISERROR(VLOOKUP($B369,AG$10:AG368,1,0)),IF(AND($N369&gt;=1000,$A369&gt;=AR$8,$A369&lt;=AR$9),$B369,""),"")</f>
        <v/>
      </c>
      <c r="AH369" s="38"/>
      <c r="AI369" s="70">
        <v>0</v>
      </c>
      <c r="AJ369" s="38">
        <f>IF(AND(AJ$7="○",$A369&gt;=AJ$8,$A369&lt;=AJ$9),IF(SUM(AJ$10:AJ368)-ROUNDDOWN($K369*AJ$5/100,0)&lt;-AJ$6,-AJ$6-SUM(AJ$10:AJ368),-ROUNDDOWN($K369*AJ$5/100,0)),0)</f>
        <v>0</v>
      </c>
      <c r="AK369" s="38">
        <f>IF(AND(AK$7="○",$A369&gt;=AK$8,$A369&lt;=AK$9),IF(SUM(AK$10:AK368)-ROUNDDOWN($L369*AK$5/100,0)&lt;-AK$6,-AK$6-SUM(AK$10:AK368),-ROUNDDOWN($L369*AK$5/100,0)),0)</f>
        <v>0</v>
      </c>
      <c r="AL369" s="38">
        <f>IF(AND(AL$7="○",$A369&gt;=AL$8,$A369&lt;=AL$9),IF(SUM(AL$10:AL368)-ROUNDDOWN($N369*AL$5/100,0)&lt;-AL$6,-AL$6-SUM(AL$10:AL368),-ROUNDDOWN($N369*AL$5/100,0)),0)</f>
        <v>0</v>
      </c>
      <c r="AM369" s="38">
        <f>IF(AND(AM$7="○",$A369&gt;=AM$8,$A369&lt;=AM$9),IF(SUM(AM$10:AM368)-ROUNDDOWN($L369*AM$5/100,0)&lt;-AM$6,-AM$6-SUM(AM$10:AM368),-ROUNDDOWN($L369*AM$5/100,0)),0)</f>
        <v>0</v>
      </c>
      <c r="AN369" s="38">
        <f>IF(AND(AN$7="○",$A369&gt;=AN$8,$A369&lt;=AN$9),IF(SUM(AN$10:AN368)-ROUNDDOWN($M369*AN$5/100,0)&lt;-AN$6,-AN$6-SUM(AN$10:AN368),-ROUNDDOWN($M369*AN$5/100,0)),0)</f>
        <v>0</v>
      </c>
      <c r="AO369" s="38">
        <f>IF(AND($A369&gt;=AO$8,$A369&lt;=AO$9),IF(SUM(AO$10:AO368)-ROUNDDOWN($K369*AO$5/100,0)&lt;-AO$6,-AO$6-SUM(AO$10:AO368),-ROUNDDOWN($K369*AO$5/100,0)),0)</f>
        <v>0</v>
      </c>
      <c r="AP369" s="38">
        <f>IF(AND($A369&gt;=AP$8,$A369&lt;=AP$9),IF(SUM(AP$10:AP368)-ROUNDDOWN($K369*AP$5/100,0)&lt;-AP$6,-AP$6-SUM(AP$10:AP368),-ROUNDDOWN($K369*AP$5/100,0)),0)</f>
        <v>0</v>
      </c>
      <c r="AQ369" s="38">
        <f>IF(AND($A369&gt;=AQ$8,$A369&lt;=AQ$9),IF(SUM(AQ$10:AQ368)-ROUNDDOWN($K369*AQ$5/100,0)&lt;-AQ$6,-AQ$6-SUM(AQ$10:AQ368),-ROUNDDOWN($K369*AQ$5/100,0)),0)</f>
        <v>0</v>
      </c>
      <c r="AR369" s="38">
        <f>IF(AND($A369&gt;=AR$8,$A369&lt;=AR$9),IF(SUM(AR$10:AR368)-ROUNDDOWN($K369*AR$5/100,0)&lt;-AR$6,-AR$6-SUM(AR$10:AR368),-ROUNDDOWN($K369*AR$5/100,0)),0)</f>
        <v>0</v>
      </c>
      <c r="AS369" s="38">
        <f>IF(SUMIFS(AS$10:AS368,$A$10:$A368,$A369)-ROUNDDOWN($K369*$S369/100,0)&lt;-$S369*1000,-$S369*1000-SUMIFS(AS$10:AS368,$A$10:$A368,$A369),-ROUNDDOWN($K369*$S369/100,0))</f>
        <v>0</v>
      </c>
      <c r="AT369" s="38">
        <f>IF(AND(X369="○",$A369&gt;=AT$8,$A369&lt;=AT$9,K369&gt;=3980),IF(SUM(AT$10:AT368)-ROUNDDOWN($K369*AT$5/100,0)&lt;-AT$6,-AT$6-SUM(AT$10:AT368),-ROUNDDOWN($K369*AT$5/100,0)),0)</f>
        <v>0</v>
      </c>
      <c r="AU369" s="38">
        <f>IF(O369="○",IF(SUM(AU$10:AU368)-ROUNDDOWN($K369*AU$5/100,0)&lt;-AU$6,-AU$6-SUM(AU$10:AU368),-ROUNDDOWN($K369*AU$5/100,0)),0)</f>
        <v>0</v>
      </c>
      <c r="AV369" s="38">
        <f>IF(P369="○",IF(SUM(AV$10:AV368)-ROUNDDOWN($K369*AV$5/100,0)&lt;-AV$6,-AV$6-SUM(AV$10:AV368),-ROUNDDOWN($K369*AV$5/100,0)),0)</f>
        <v>0</v>
      </c>
      <c r="AW369" s="38">
        <f>IF(Q369="○",IF(SUM(AW$10:AW368)-ROUNDDOWN($K369*AW$5/100,0)&lt;-AW$6,-AW$6-SUM(AW$10:AW368),-ROUNDDOWN($K369*AW$5/100,0)),0)</f>
        <v>0</v>
      </c>
      <c r="AX369" s="38">
        <f>IF(R369="○",IF(SUM(AX$10:AX368)-ROUNDDOWN($K369*AX$5/100,0)&lt;-AX$6,-AX$6-SUM(AX$10:AX368),-ROUNDDOWN($K369*AX$5/100,0)),0)</f>
        <v>0</v>
      </c>
      <c r="AY369" s="70">
        <v>0</v>
      </c>
      <c r="AZ369" s="65">
        <f t="shared" si="250"/>
        <v>0</v>
      </c>
      <c r="BA369" s="65">
        <f t="shared" si="251"/>
        <v>0</v>
      </c>
      <c r="BB369" s="70"/>
      <c r="BC369" s="65">
        <f t="shared" si="252"/>
        <v>0</v>
      </c>
      <c r="BD369" s="70">
        <v>0</v>
      </c>
      <c r="BE369" s="65">
        <f t="shared" si="253"/>
        <v>0</v>
      </c>
      <c r="BF369" s="70">
        <v>0</v>
      </c>
      <c r="BG369" s="65">
        <f t="shared" si="254"/>
        <v>0</v>
      </c>
      <c r="BH369" s="70">
        <v>0</v>
      </c>
      <c r="BI369" s="65">
        <f t="shared" si="255"/>
        <v>0</v>
      </c>
      <c r="BJ369" s="38">
        <f>IF(AND(BJ$7="○",$A369&gt;=BJ$8,$A369&lt;=BJ$9),IF(SUM(BJ$10:BJ368)-ROUNDDOWN($M369*BJ$5/100,0)&lt;-BJ$6,-BJ$6-SUM(BJ$10:BJ368),-ROUNDDOWN($M369*BJ$5/100,0)),0)</f>
        <v>0</v>
      </c>
      <c r="BK369" s="38">
        <f>IF(AND(BK$7="○",$A369&gt;=BK$8,$A369&lt;=BK$9),IF(SUM(BK$10:BK368)-ROUNDDOWN($L369*BK$5/100,0)&lt;-BK$6,-BK$6-SUM(BK$10:BK368),-ROUNDDOWN($L369*BK$5/100,0)),0)</f>
        <v>0</v>
      </c>
      <c r="BL369" s="38">
        <f>IF(AND(BL$7="○",$A369&gt;=BL$8,$A369&lt;=BL$9),IF(SUM(BL$10:BL368)-ROUNDDOWN($L369*BL$5/100,0)&lt;-BL$6,-BL$6-SUM(BL$10:BL368),-ROUNDDOWN($L369*BL$5/100,0)),0)</f>
        <v>0</v>
      </c>
      <c r="BM369" s="38">
        <f>IF(AND(BM$7="○",$A369&gt;=BM$8,$A369&lt;=BM$9),IF(SUM(BM$10:BM368)-ROUNDDOWN($M369*BM$5/100,0)&lt;-BM$6,-BM$6-SUM(BM$10:BM368),-ROUNDDOWN($M369*BM$5/100,0)),0)</f>
        <v>0</v>
      </c>
      <c r="BN369" s="38">
        <f>IF(AND(BN$7="○",$A369&gt;=BN$8,$A369&lt;=BN$9),IF(SUM(BN$10:BN368)-ROUNDDOWN($M369*BN$5/100,0)&lt;-BN$6,-BN$6-SUM(BN$10:BN368),-ROUNDDOWN($M369*BN$5/100,0)),0)</f>
        <v>0</v>
      </c>
      <c r="BO369" s="38">
        <f>IF(AND(BO$7="○",$A369&gt;=BO$8,$A369&lt;=BO$9),IF(SUM(BO$10:BO368)-ROUNDDOWN($M369*BO$5/100,0)&lt;-BO$6,-BO$6-SUM(BO$10:BO368),-ROUNDDOWN($M369*BO$5/100,0)),0)</f>
        <v>0</v>
      </c>
      <c r="BP369" s="38">
        <f>IF(AND(BP$7="○",$A369&gt;=BP$8,$A369&lt;=BP$9),IF(SUM(BP$10:BP368)-ROUNDDOWN($M369*BP$5/100,0)&lt;-BP$6,-BP$6-SUM(BP$10:BP368),-ROUNDDOWN($M369*BP$5/100,0)),0)</f>
        <v>0</v>
      </c>
      <c r="BQ369" s="38">
        <f>IF(AND(BQ$7="○",$A369&gt;=BQ$8,$A369&lt;=BQ$9),IF(SUM(BQ$10:BQ368)-ROUNDDOWN($L369*BQ$5/100,0)&lt;-BQ$6,-BQ$6-SUM(BQ$10:BQ368),-ROUNDDOWN($L369*BQ$5/100,0)),0)</f>
        <v>0</v>
      </c>
      <c r="BR369" s="38">
        <f>IF(AND(BR$7="○",$A369&gt;=BR$8,$A369&lt;=BR$9),IF(SUM(BR$10:BR368)-ROUNDDOWN($M369*BR$5/100,0)&lt;-BR$6,-BR$6-SUM(BR$10:BR368),-ROUNDDOWN($M369*BR$5/100,0)),0)</f>
        <v>0</v>
      </c>
      <c r="BS369" s="38">
        <f>IF(AND(BS$7="○",$A369&gt;=BS$8,$A369&lt;=BS$9),IF(SUM(BS$10:BS368)-ROUNDDOWN($M369*BS$5/100,0)&lt;-BS$6,-BS$6-SUM(BS$10:BS368),-ROUNDDOWN($M369*BS$5/100,0)),0)</f>
        <v>0</v>
      </c>
      <c r="BT369" s="38">
        <f>IF(AND(BT$7="○",$A369&gt;=BT$8,$A369&lt;=BT$9),IF(SUM(BT$10:BT368)-ROUNDDOWN($M369*BT$5/100,0)&lt;-BT$6,-BT$6-SUM(BT$10:BT368),-ROUNDDOWN($M369*BT$5/100,0)),0)</f>
        <v>0</v>
      </c>
      <c r="BU369" s="38">
        <f>IF(AND(BU$7="○",$A369&gt;=BU$8,$A369&lt;=BU$9),IF(SUM(BU$10:BU368)-ROUNDDOWN($M369*BU$5/100,0)&lt;-BU$6,-BU$6-SUM(BU$10:BU368),-ROUNDDOWN($M369*BU$5/100,0)),0)</f>
        <v>0</v>
      </c>
      <c r="BV369" s="38">
        <f>IF(AND(BV$7="○",$A369&gt;=BV$8,$A369&lt;=BV$9),IF(SUM(BV$10:BV368)-ROUNDDOWN($M369*BV$5/100,0)&lt;-BV$6,-BV$6-SUM(BV$10:BV368),-ROUNDDOWN($M369*BV$5/100,0)),0)</f>
        <v>0</v>
      </c>
      <c r="BW369" s="38">
        <f>IF(AND(BW$7="○",$A369&gt;=BW$8,$A369&lt;=BW$9),IF(SUM(BW$10:BW368)-ROUNDDOWN($M369*BW$5/100,0)&lt;-BW$6,-BW$6-SUM(BW$10:BW368),-ROUNDDOWN($M369*BW$5/100,0)),0)</f>
        <v>0</v>
      </c>
      <c r="BX369" s="38">
        <f>IF(AND(T369="○",$A369&gt;=BX$8,$A369&lt;=BX$9),IF(SUM(BX$10:BX368)-ROUNDDOWN($K369*BX$5/100,0)&lt;-BX$6,-BX$6-SUM(BX$10:BX368),-ROUNDDOWN($K369*BX$5/100,0)),0)</f>
        <v>0</v>
      </c>
      <c r="BY369" s="38">
        <f>IF(AND(U369="○",$A369&gt;=BY$8,$A369&lt;=BY$9),IF(SUM(BY$10:BY368)-ROUNDDOWN($K369*BY$5/100,0)&lt;-BY$6,-BY$6-SUM(BY$10:BY368),-ROUNDDOWN($K369*BY$5/100,0)),0)</f>
        <v>0</v>
      </c>
      <c r="BZ369" s="38">
        <f>IF(AND(V369="○",$A369&gt;=BZ$8,$A369&lt;=BZ$9),IF(SUM(BZ$10:BZ368)-ROUNDDOWN($K369*BZ$5/100,0)&lt;-BZ$6,-BZ$6-SUM(BZ$10:BZ368),-ROUNDDOWN($K369*BZ$5/100,0)),0)</f>
        <v>0</v>
      </c>
      <c r="CA369" s="38">
        <f>IF(AND(W369="○",$A369&gt;=CA$8,$A369&lt;=CA$9),IF(SUM(CA$10:CA368)-ROUNDDOWN($K369*CA$5/100,0)&lt;-CA$6,-CA$6-SUM(CA$10:CA368),-ROUNDDOWN($K369*CA$5/100,0)),0)</f>
        <v>0</v>
      </c>
      <c r="CB369" s="38"/>
      <c r="CC369" s="38"/>
      <c r="CD369" s="38"/>
      <c r="CE369" s="38"/>
      <c r="CF369" s="38"/>
      <c r="CG369" s="65">
        <f t="shared" si="256"/>
        <v>0</v>
      </c>
      <c r="CH369" s="71">
        <f t="shared" si="257"/>
        <v>0</v>
      </c>
      <c r="CI369" s="1">
        <f t="shared" si="19"/>
        <v>0</v>
      </c>
      <c r="CJ369" s="1"/>
      <c r="CK369" s="79"/>
      <c r="CL369" s="79"/>
      <c r="CM369" s="2"/>
      <c r="CN369" s="2"/>
      <c r="CO369" s="73">
        <f t="shared" si="20"/>
        <v>0</v>
      </c>
      <c r="CP369" s="5">
        <f t="shared" si="21"/>
        <v>0</v>
      </c>
      <c r="CQ369" s="1"/>
      <c r="CR369" s="1">
        <f t="shared" si="22"/>
        <v>0</v>
      </c>
      <c r="CS369" s="1"/>
      <c r="CT369" s="1" t="e">
        <f>INDEX([2]マスタ!$A:$A,MATCH(D369,[2]マスタ!$C:$C,0))</f>
        <v>#N/A</v>
      </c>
      <c r="CU369" s="1" t="str">
        <f t="shared" ca="1" si="23"/>
        <v>20260620_0-0</v>
      </c>
    </row>
    <row r="370" spans="1:99" x14ac:dyDescent="0.4">
      <c r="A370" s="61"/>
      <c r="B370" s="62"/>
      <c r="C370" s="62"/>
      <c r="D370" s="62"/>
      <c r="E370" s="63"/>
      <c r="F370" s="62"/>
      <c r="G370" s="62">
        <v>1</v>
      </c>
      <c r="H370" s="64">
        <f t="shared" si="4"/>
        <v>0</v>
      </c>
      <c r="I370" s="64"/>
      <c r="J370" s="64"/>
      <c r="K370" s="65">
        <f t="shared" si="265"/>
        <v>0</v>
      </c>
      <c r="L370" s="65">
        <f t="shared" si="6"/>
        <v>0</v>
      </c>
      <c r="M370" s="65">
        <f t="shared" si="7"/>
        <v>0</v>
      </c>
      <c r="N370" s="65">
        <f t="shared" si="8"/>
        <v>0</v>
      </c>
      <c r="O370" s="66" t="str">
        <f t="shared" si="259"/>
        <v>✕</v>
      </c>
      <c r="P370" s="67" t="str">
        <f t="shared" si="260"/>
        <v>○</v>
      </c>
      <c r="Q370" s="67" t="str">
        <f t="shared" si="266"/>
        <v>✕</v>
      </c>
      <c r="R370" s="67" t="str">
        <f t="shared" si="262"/>
        <v>✕</v>
      </c>
      <c r="S370" s="68">
        <v>0</v>
      </c>
      <c r="T370" s="69" t="s">
        <v>85</v>
      </c>
      <c r="U370" s="69" t="s">
        <v>85</v>
      </c>
      <c r="V370" s="69" t="s">
        <v>85</v>
      </c>
      <c r="W370" s="69" t="s">
        <v>85</v>
      </c>
      <c r="X370" s="69" t="s">
        <v>84</v>
      </c>
      <c r="Y370" s="69" t="s">
        <v>85</v>
      </c>
      <c r="Z370" s="69" t="s">
        <v>85</v>
      </c>
      <c r="AA370" s="69" t="s">
        <v>85</v>
      </c>
      <c r="AB370" s="69" t="s">
        <v>85</v>
      </c>
      <c r="AC370" s="69" t="s">
        <v>85</v>
      </c>
      <c r="AD370" s="38" t="str">
        <f>+IF(ISERROR(VLOOKUP($B370,AD$10:AD369,1,0)),IF(AND($N370&gt;=1000,$A370&gt;=AO$8,$A370&lt;=AO$9),$B370,""),"")</f>
        <v/>
      </c>
      <c r="AE370" s="38" t="str">
        <f>+IF(ISERROR(VLOOKUP($B370,AE$10:AE369,1,0)),IF(AND($N370&gt;=1000,$A370&gt;=AP$8,$A370&lt;=AP$9),$B370,""),"")</f>
        <v/>
      </c>
      <c r="AF370" s="38" t="str">
        <f>+IF(ISERROR(VLOOKUP($B370,AF$10:AF369,1,0)),IF(AND($N370&gt;=1000,$A370&gt;=AQ$8,$A370&lt;=AQ$9),$B370,""),"")</f>
        <v/>
      </c>
      <c r="AG370" s="38" t="str">
        <f>+IF(ISERROR(VLOOKUP($B370,AG$10:AG369,1,0)),IF(AND($N370&gt;=1000,$A370&gt;=AR$8,$A370&lt;=AR$9),$B370,""),"")</f>
        <v/>
      </c>
      <c r="AH370" s="38"/>
      <c r="AI370" s="70">
        <v>0</v>
      </c>
      <c r="AJ370" s="38">
        <f>IF(AND(AJ$7="○",$A370&gt;=AJ$8,$A370&lt;=AJ$9),IF(SUM(AJ$10:AJ369)-ROUNDDOWN($K370*AJ$5/100,0)&lt;-AJ$6,-AJ$6-SUM(AJ$10:AJ369),-ROUNDDOWN($K370*AJ$5/100,0)),0)</f>
        <v>0</v>
      </c>
      <c r="AK370" s="38">
        <f>IF(AND(AK$7="○",$A370&gt;=AK$8,$A370&lt;=AK$9),IF(SUM(AK$10:AK369)-ROUNDDOWN($L370*AK$5/100,0)&lt;-AK$6,-AK$6-SUM(AK$10:AK369),-ROUNDDOWN($L370*AK$5/100,0)),0)</f>
        <v>0</v>
      </c>
      <c r="AL370" s="38">
        <f>IF(AND(AL$7="○",$A370&gt;=AL$8,$A370&lt;=AL$9),IF(SUM(AL$10:AL369)-ROUNDDOWN($N370*AL$5/100,0)&lt;-AL$6,-AL$6-SUM(AL$10:AL369),-ROUNDDOWN($N370*AL$5/100,0)),0)</f>
        <v>0</v>
      </c>
      <c r="AM370" s="38">
        <f>IF(AND(AM$7="○",$A370&gt;=AM$8,$A370&lt;=AM$9),IF(SUM(AM$10:AM369)-ROUNDDOWN($L370*AM$5/100,0)&lt;-AM$6,-AM$6-SUM(AM$10:AM369),-ROUNDDOWN($L370*AM$5/100,0)),0)</f>
        <v>0</v>
      </c>
      <c r="AN370" s="38">
        <f>IF(AND(AN$7="○",$A370&gt;=AN$8,$A370&lt;=AN$9),IF(SUM(AN$10:AN369)-ROUNDDOWN($M370*AN$5/100,0)&lt;-AN$6,-AN$6-SUM(AN$10:AN369),-ROUNDDOWN($M370*AN$5/100,0)),0)</f>
        <v>0</v>
      </c>
      <c r="AO370" s="38">
        <f>IF(AND($A370&gt;=AO$8,$A370&lt;=AO$9),IF(SUM(AO$10:AO369)-ROUNDDOWN($K370*AO$5/100,0)&lt;-AO$6,-AO$6-SUM(AO$10:AO369),-ROUNDDOWN($K370*AO$5/100,0)),0)</f>
        <v>0</v>
      </c>
      <c r="AP370" s="38">
        <f>IF(AND($A370&gt;=AP$8,$A370&lt;=AP$9),IF(SUM(AP$10:AP369)-ROUNDDOWN($K370*AP$5/100,0)&lt;-AP$6,-AP$6-SUM(AP$10:AP369),-ROUNDDOWN($K370*AP$5/100,0)),0)</f>
        <v>0</v>
      </c>
      <c r="AQ370" s="38">
        <f>IF(AND($A370&gt;=AQ$8,$A370&lt;=AQ$9),IF(SUM(AQ$10:AQ369)-ROUNDDOWN($K370*AQ$5/100,0)&lt;-AQ$6,-AQ$6-SUM(AQ$10:AQ369),-ROUNDDOWN($K370*AQ$5/100,0)),0)</f>
        <v>0</v>
      </c>
      <c r="AR370" s="38">
        <f>IF(AND($A370&gt;=AR$8,$A370&lt;=AR$9),IF(SUM(AR$10:AR369)-ROUNDDOWN($K370*AR$5/100,0)&lt;-AR$6,-AR$6-SUM(AR$10:AR369),-ROUNDDOWN($K370*AR$5/100,0)),0)</f>
        <v>0</v>
      </c>
      <c r="AS370" s="38">
        <f>IF(SUMIFS(AS$10:AS369,$A$10:$A369,$A370)-ROUNDDOWN($K370*$S370/100,0)&lt;-$S370*1000,-$S370*1000-SUMIFS(AS$10:AS369,$A$10:$A369,$A370),-ROUNDDOWN($K370*$S370/100,0))</f>
        <v>0</v>
      </c>
      <c r="AT370" s="38">
        <f>IF(AND(X370="○",$A370&gt;=AT$8,$A370&lt;=AT$9,K370&gt;=3980),IF(SUM(AT$10:AT369)-ROUNDDOWN($K370*AT$5/100,0)&lt;-AT$6,-AT$6-SUM(AT$10:AT369),-ROUNDDOWN($K370*AT$5/100,0)),0)</f>
        <v>0</v>
      </c>
      <c r="AU370" s="38">
        <f>IF(O370="○",IF(SUM(AU$10:AU369)-ROUNDDOWN($K370*AU$5/100,0)&lt;-AU$6,-AU$6-SUM(AU$10:AU369),-ROUNDDOWN($K370*AU$5/100,0)),0)</f>
        <v>0</v>
      </c>
      <c r="AV370" s="38">
        <f>IF(P370="○",IF(SUM(AV$10:AV369)-ROUNDDOWN($K370*AV$5/100,0)&lt;-AV$6,-AV$6-SUM(AV$10:AV369),-ROUNDDOWN($K370*AV$5/100,0)),0)</f>
        <v>0</v>
      </c>
      <c r="AW370" s="38">
        <f>IF(Q370="○",IF(SUM(AW$10:AW369)-ROUNDDOWN($K370*AW$5/100,0)&lt;-AW$6,-AW$6-SUM(AW$10:AW369),-ROUNDDOWN($K370*AW$5/100,0)),0)</f>
        <v>0</v>
      </c>
      <c r="AX370" s="38">
        <f>IF(R370="○",IF(SUM(AX$10:AX369)-ROUNDDOWN($K370*AX$5/100,0)&lt;-AX$6,-AX$6-SUM(AX$10:AX369),-ROUNDDOWN($K370*AX$5/100,0)),0)</f>
        <v>0</v>
      </c>
      <c r="AY370" s="70">
        <v>0</v>
      </c>
      <c r="AZ370" s="65">
        <f t="shared" si="250"/>
        <v>0</v>
      </c>
      <c r="BA370" s="65">
        <f t="shared" si="251"/>
        <v>0</v>
      </c>
      <c r="BB370" s="70"/>
      <c r="BC370" s="65">
        <f t="shared" si="252"/>
        <v>0</v>
      </c>
      <c r="BD370" s="70">
        <v>0</v>
      </c>
      <c r="BE370" s="65">
        <f t="shared" si="253"/>
        <v>0</v>
      </c>
      <c r="BF370" s="70">
        <v>0</v>
      </c>
      <c r="BG370" s="65">
        <f t="shared" si="254"/>
        <v>0</v>
      </c>
      <c r="BH370" s="70">
        <v>0</v>
      </c>
      <c r="BI370" s="65">
        <f t="shared" si="255"/>
        <v>0</v>
      </c>
      <c r="BJ370" s="38">
        <f>IF(AND(BJ$7="○",$A370&gt;=BJ$8,$A370&lt;=BJ$9),IF(SUM(BJ$10:BJ369)-ROUNDDOWN($M370*BJ$5/100,0)&lt;-BJ$6,-BJ$6-SUM(BJ$10:BJ369),-ROUNDDOWN($M370*BJ$5/100,0)),0)</f>
        <v>0</v>
      </c>
      <c r="BK370" s="38">
        <f>IF(AND(BK$7="○",$A370&gt;=BK$8,$A370&lt;=BK$9),IF(SUM(BK$10:BK369)-ROUNDDOWN($L370*BK$5/100,0)&lt;-BK$6,-BK$6-SUM(BK$10:BK369),-ROUNDDOWN($L370*BK$5/100,0)),0)</f>
        <v>0</v>
      </c>
      <c r="BL370" s="38">
        <f>IF(AND(BL$7="○",$A370&gt;=BL$8,$A370&lt;=BL$9),IF(SUM(BL$10:BL369)-ROUNDDOWN($L370*BL$5/100,0)&lt;-BL$6,-BL$6-SUM(BL$10:BL369),-ROUNDDOWN($L370*BL$5/100,0)),0)</f>
        <v>0</v>
      </c>
      <c r="BM370" s="38">
        <f>IF(AND(BM$7="○",$A370&gt;=BM$8,$A370&lt;=BM$9),IF(SUM(BM$10:BM369)-ROUNDDOWN($M370*BM$5/100,0)&lt;-BM$6,-BM$6-SUM(BM$10:BM369),-ROUNDDOWN($M370*BM$5/100,0)),0)</f>
        <v>0</v>
      </c>
      <c r="BN370" s="38">
        <f>IF(AND(BN$7="○",$A370&gt;=BN$8,$A370&lt;=BN$9),IF(SUM(BN$10:BN369)-ROUNDDOWN($M370*BN$5/100,0)&lt;-BN$6,-BN$6-SUM(BN$10:BN369),-ROUNDDOWN($M370*BN$5/100,0)),0)</f>
        <v>0</v>
      </c>
      <c r="BO370" s="38">
        <f>IF(AND(BO$7="○",$A370&gt;=BO$8,$A370&lt;=BO$9),IF(SUM(BO$10:BO369)-ROUNDDOWN($M370*BO$5/100,0)&lt;-BO$6,-BO$6-SUM(BO$10:BO369),-ROUNDDOWN($M370*BO$5/100,0)),0)</f>
        <v>0</v>
      </c>
      <c r="BP370" s="38">
        <f>IF(AND(BP$7="○",$A370&gt;=BP$8,$A370&lt;=BP$9),IF(SUM(BP$10:BP369)-ROUNDDOWN($M370*BP$5/100,0)&lt;-BP$6,-BP$6-SUM(BP$10:BP369),-ROUNDDOWN($M370*BP$5/100,0)),0)</f>
        <v>0</v>
      </c>
      <c r="BQ370" s="38">
        <f>IF(AND(BQ$7="○",$A370&gt;=BQ$8,$A370&lt;=BQ$9),IF(SUM(BQ$10:BQ369)-ROUNDDOWN($L370*BQ$5/100,0)&lt;-BQ$6,-BQ$6-SUM(BQ$10:BQ369),-ROUNDDOWN($L370*BQ$5/100,0)),0)</f>
        <v>0</v>
      </c>
      <c r="BR370" s="38">
        <f>IF(AND(BR$7="○",$A370&gt;=BR$8,$A370&lt;=BR$9),IF(SUM(BR$10:BR369)-ROUNDDOWN($M370*BR$5/100,0)&lt;-BR$6,-BR$6-SUM(BR$10:BR369),-ROUNDDOWN($M370*BR$5/100,0)),0)</f>
        <v>0</v>
      </c>
      <c r="BS370" s="38">
        <f>IF(AND(BS$7="○",$A370&gt;=BS$8,$A370&lt;=BS$9),IF(SUM(BS$10:BS369)-ROUNDDOWN($M370*BS$5/100,0)&lt;-BS$6,-BS$6-SUM(BS$10:BS369),-ROUNDDOWN($M370*BS$5/100,0)),0)</f>
        <v>0</v>
      </c>
      <c r="BT370" s="38">
        <f>IF(AND(BT$7="○",$A370&gt;=BT$8,$A370&lt;=BT$9),IF(SUM(BT$10:BT369)-ROUNDDOWN($M370*BT$5/100,0)&lt;-BT$6,-BT$6-SUM(BT$10:BT369),-ROUNDDOWN($M370*BT$5/100,0)),0)</f>
        <v>0</v>
      </c>
      <c r="BU370" s="38">
        <f>IF(AND(BU$7="○",$A370&gt;=BU$8,$A370&lt;=BU$9),IF(SUM(BU$10:BU369)-ROUNDDOWN($M370*BU$5/100,0)&lt;-BU$6,-BU$6-SUM(BU$10:BU369),-ROUNDDOWN($M370*BU$5/100,0)),0)</f>
        <v>0</v>
      </c>
      <c r="BV370" s="38">
        <f>IF(AND(BV$7="○",$A370&gt;=BV$8,$A370&lt;=BV$9),IF(SUM(BV$10:BV369)-ROUNDDOWN($M370*BV$5/100,0)&lt;-BV$6,-BV$6-SUM(BV$10:BV369),-ROUNDDOWN($M370*BV$5/100,0)),0)</f>
        <v>0</v>
      </c>
      <c r="BW370" s="38">
        <f>IF(AND(BW$7="○",$A370&gt;=BW$8,$A370&lt;=BW$9),IF(SUM(BW$10:BW369)-ROUNDDOWN($M370*BW$5/100,0)&lt;-BW$6,-BW$6-SUM(BW$10:BW369),-ROUNDDOWN($M370*BW$5/100,0)),0)</f>
        <v>0</v>
      </c>
      <c r="BX370" s="38">
        <f>IF(AND(T370="○",$A370&gt;=BX$8,$A370&lt;=BX$9),IF(SUM(BX$10:BX369)-ROUNDDOWN($K370*BX$5/100,0)&lt;-BX$6,-BX$6-SUM(BX$10:BX369),-ROUNDDOWN($K370*BX$5/100,0)),0)</f>
        <v>0</v>
      </c>
      <c r="BY370" s="38">
        <f>IF(AND(U370="○",$A370&gt;=BY$8,$A370&lt;=BY$9),IF(SUM(BY$10:BY369)-ROUNDDOWN($K370*BY$5/100,0)&lt;-BY$6,-BY$6-SUM(BY$10:BY369),-ROUNDDOWN($K370*BY$5/100,0)),0)</f>
        <v>0</v>
      </c>
      <c r="BZ370" s="38">
        <f>IF(AND(V370="○",$A370&gt;=BZ$8,$A370&lt;=BZ$9),IF(SUM(BZ$10:BZ369)-ROUNDDOWN($K370*BZ$5/100,0)&lt;-BZ$6,-BZ$6-SUM(BZ$10:BZ369),-ROUNDDOWN($K370*BZ$5/100,0)),0)</f>
        <v>0</v>
      </c>
      <c r="CA370" s="38">
        <f>IF(AND(W370="○",$A370&gt;=CA$8,$A370&lt;=CA$9),IF(SUM(CA$10:CA369)-ROUNDDOWN($K370*CA$5/100,0)&lt;-CA$6,-CA$6-SUM(CA$10:CA369),-ROUNDDOWN($K370*CA$5/100,0)),0)</f>
        <v>0</v>
      </c>
      <c r="CB370" s="38"/>
      <c r="CC370" s="38"/>
      <c r="CD370" s="38"/>
      <c r="CE370" s="38"/>
      <c r="CF370" s="38"/>
      <c r="CG370" s="65">
        <f t="shared" si="256"/>
        <v>0</v>
      </c>
      <c r="CH370" s="71">
        <f t="shared" si="257"/>
        <v>0</v>
      </c>
      <c r="CI370" s="1">
        <f t="shared" si="19"/>
        <v>0</v>
      </c>
      <c r="CJ370" s="1"/>
      <c r="CK370" s="72"/>
      <c r="CL370" s="72"/>
      <c r="CM370" s="2"/>
      <c r="CN370" s="2"/>
      <c r="CO370" s="73">
        <f t="shared" si="20"/>
        <v>0</v>
      </c>
      <c r="CP370" s="5">
        <f t="shared" si="21"/>
        <v>0</v>
      </c>
      <c r="CQ370" s="1"/>
      <c r="CR370" s="1">
        <f t="shared" si="22"/>
        <v>0</v>
      </c>
      <c r="CS370" s="1"/>
      <c r="CT370" s="1" t="e">
        <f>INDEX([2]マスタ!$A:$A,MATCH(D370,[2]マスタ!$C:$C,0))</f>
        <v>#N/A</v>
      </c>
      <c r="CU370" s="1" t="str">
        <f t="shared" ca="1" si="23"/>
        <v>20260620_0-0</v>
      </c>
    </row>
    <row r="371" spans="1:99" x14ac:dyDescent="0.4">
      <c r="A371" s="61"/>
      <c r="B371" s="62"/>
      <c r="C371" s="62"/>
      <c r="D371" s="62"/>
      <c r="E371" s="63"/>
      <c r="F371" s="62"/>
      <c r="G371" s="62">
        <v>1</v>
      </c>
      <c r="H371" s="64">
        <f t="shared" si="4"/>
        <v>0</v>
      </c>
      <c r="I371" s="64"/>
      <c r="J371" s="64"/>
      <c r="K371" s="65">
        <f t="shared" si="265"/>
        <v>0</v>
      </c>
      <c r="L371" s="65">
        <f t="shared" si="6"/>
        <v>0</v>
      </c>
      <c r="M371" s="65">
        <f t="shared" si="7"/>
        <v>0</v>
      </c>
      <c r="N371" s="65">
        <f t="shared" si="8"/>
        <v>0</v>
      </c>
      <c r="O371" s="66" t="str">
        <f t="shared" si="259"/>
        <v>✕</v>
      </c>
      <c r="P371" s="67" t="str">
        <f t="shared" si="260"/>
        <v>○</v>
      </c>
      <c r="Q371" s="67" t="str">
        <f t="shared" si="266"/>
        <v>✕</v>
      </c>
      <c r="R371" s="67" t="str">
        <f t="shared" si="262"/>
        <v>✕</v>
      </c>
      <c r="S371" s="68">
        <v>0</v>
      </c>
      <c r="T371" s="69" t="s">
        <v>85</v>
      </c>
      <c r="U371" s="69" t="s">
        <v>85</v>
      </c>
      <c r="V371" s="69" t="s">
        <v>85</v>
      </c>
      <c r="W371" s="69" t="s">
        <v>85</v>
      </c>
      <c r="X371" s="69" t="s">
        <v>84</v>
      </c>
      <c r="Y371" s="69" t="s">
        <v>85</v>
      </c>
      <c r="Z371" s="69" t="s">
        <v>85</v>
      </c>
      <c r="AA371" s="69" t="s">
        <v>85</v>
      </c>
      <c r="AB371" s="69" t="s">
        <v>85</v>
      </c>
      <c r="AC371" s="69" t="s">
        <v>85</v>
      </c>
      <c r="AD371" s="38" t="str">
        <f>+IF(ISERROR(VLOOKUP($B371,AD$10:AD370,1,0)),IF(AND($N371&gt;=1000,$A371&gt;=AO$8,$A371&lt;=AO$9),$B371,""),"")</f>
        <v/>
      </c>
      <c r="AE371" s="38" t="str">
        <f>+IF(ISERROR(VLOOKUP($B371,AE$10:AE370,1,0)),IF(AND($N371&gt;=1000,$A371&gt;=AP$8,$A371&lt;=AP$9),$B371,""),"")</f>
        <v/>
      </c>
      <c r="AF371" s="38" t="str">
        <f>+IF(ISERROR(VLOOKUP($B371,AF$10:AF370,1,0)),IF(AND($N371&gt;=1000,$A371&gt;=AQ$8,$A371&lt;=AQ$9),$B371,""),"")</f>
        <v/>
      </c>
      <c r="AG371" s="38" t="str">
        <f>+IF(ISERROR(VLOOKUP($B371,AG$10:AG370,1,0)),IF(AND($N371&gt;=1000,$A371&gt;=AR$8,$A371&lt;=AR$9),$B371,""),"")</f>
        <v/>
      </c>
      <c r="AH371" s="38"/>
      <c r="AI371" s="70">
        <v>0</v>
      </c>
      <c r="AJ371" s="38">
        <f>IF(AND(AJ$7="○",$A371&gt;=AJ$8,$A371&lt;=AJ$9),IF(SUM(AJ$10:AJ370)-ROUNDDOWN($K371*AJ$5/100,0)&lt;-AJ$6,-AJ$6-SUM(AJ$10:AJ370),-ROUNDDOWN($K371*AJ$5/100,0)),0)</f>
        <v>0</v>
      </c>
      <c r="AK371" s="38">
        <f>IF(AND(AK$7="○",$A371&gt;=AK$8,$A371&lt;=AK$9),IF(SUM(AK$10:AK370)-ROUNDDOWN($L371*AK$5/100,0)&lt;-AK$6,-AK$6-SUM(AK$10:AK370),-ROUNDDOWN($L371*AK$5/100,0)),0)</f>
        <v>0</v>
      </c>
      <c r="AL371" s="38">
        <f>IF(AND(AL$7="○",$A371&gt;=AL$8,$A371&lt;=AL$9),IF(SUM(AL$10:AL370)-ROUNDDOWN($N371*AL$5/100,0)&lt;-AL$6,-AL$6-SUM(AL$10:AL370),-ROUNDDOWN($N371*AL$5/100,0)),0)</f>
        <v>0</v>
      </c>
      <c r="AM371" s="38">
        <f>IF(AND(AM$7="○",$A371&gt;=AM$8,$A371&lt;=AM$9),IF(SUM(AM$10:AM370)-ROUNDDOWN($L371*AM$5/100,0)&lt;-AM$6,-AM$6-SUM(AM$10:AM370),-ROUNDDOWN($L371*AM$5/100,0)),0)</f>
        <v>0</v>
      </c>
      <c r="AN371" s="38">
        <f>IF(AND(AN$7="○",$A371&gt;=AN$8,$A371&lt;=AN$9),IF(SUM(AN$10:AN370)-ROUNDDOWN($M371*AN$5/100,0)&lt;-AN$6,-AN$6-SUM(AN$10:AN370),-ROUNDDOWN($M371*AN$5/100,0)),0)</f>
        <v>0</v>
      </c>
      <c r="AO371" s="38">
        <f>IF(AND($A371&gt;=AO$8,$A371&lt;=AO$9),IF(SUM(AO$10:AO370)-ROUNDDOWN($K371*AO$5/100,0)&lt;-AO$6,-AO$6-SUM(AO$10:AO370),-ROUNDDOWN($K371*AO$5/100,0)),0)</f>
        <v>0</v>
      </c>
      <c r="AP371" s="38">
        <f>IF(AND($A371&gt;=AP$8,$A371&lt;=AP$9),IF(SUM(AP$10:AP370)-ROUNDDOWN($K371*AP$5/100,0)&lt;-AP$6,-AP$6-SUM(AP$10:AP370),-ROUNDDOWN($K371*AP$5/100,0)),0)</f>
        <v>0</v>
      </c>
      <c r="AQ371" s="38">
        <f>IF(AND($A371&gt;=AQ$8,$A371&lt;=AQ$9),IF(SUM(AQ$10:AQ370)-ROUNDDOWN($K371*AQ$5/100,0)&lt;-AQ$6,-AQ$6-SUM(AQ$10:AQ370),-ROUNDDOWN($K371*AQ$5/100,0)),0)</f>
        <v>0</v>
      </c>
      <c r="AR371" s="38">
        <f>IF(AND($A371&gt;=AR$8,$A371&lt;=AR$9),IF(SUM(AR$10:AR370)-ROUNDDOWN($K371*AR$5/100,0)&lt;-AR$6,-AR$6-SUM(AR$10:AR370),-ROUNDDOWN($K371*AR$5/100,0)),0)</f>
        <v>0</v>
      </c>
      <c r="AS371" s="38">
        <f>IF(SUMIFS(AS$10:AS370,$A$10:$A370,$A371)-ROUNDDOWN($K371*$S371/100,0)&lt;-$S371*1000,-$S371*1000-SUMIFS(AS$10:AS370,$A$10:$A370,$A371),-ROUNDDOWN($K371*$S371/100,0))</f>
        <v>0</v>
      </c>
      <c r="AT371" s="38">
        <f>IF(AND(X371="○",$A371&gt;=AT$8,$A371&lt;=AT$9,K371&gt;=3980),IF(SUM(AT$10:AT370)-ROUNDDOWN($K371*AT$5/100,0)&lt;-AT$6,-AT$6-SUM(AT$10:AT370),-ROUNDDOWN($K371*AT$5/100,0)),0)</f>
        <v>0</v>
      </c>
      <c r="AU371" s="38">
        <f>IF(O371="○",IF(SUM(AU$10:AU370)-ROUNDDOWN($K371*AU$5/100,0)&lt;-AU$6,-AU$6-SUM(AU$10:AU370),-ROUNDDOWN($K371*AU$5/100,0)),0)</f>
        <v>0</v>
      </c>
      <c r="AV371" s="38">
        <f>IF(P371="○",IF(SUM(AV$10:AV370)-ROUNDDOWN($K371*AV$5/100,0)&lt;-AV$6,-AV$6-SUM(AV$10:AV370),-ROUNDDOWN($K371*AV$5/100,0)),0)</f>
        <v>0</v>
      </c>
      <c r="AW371" s="38">
        <f>IF(Q371="○",IF(SUM(AW$10:AW370)-ROUNDDOWN($K371*AW$5/100,0)&lt;-AW$6,-AW$6-SUM(AW$10:AW370),-ROUNDDOWN($K371*AW$5/100,0)),0)</f>
        <v>0</v>
      </c>
      <c r="AX371" s="38">
        <f>IF(R371="○",IF(SUM(AX$10:AX370)-ROUNDDOWN($K371*AX$5/100,0)&lt;-AX$6,-AX$6-SUM(AX$10:AX370),-ROUNDDOWN($K371*AX$5/100,0)),0)</f>
        <v>0</v>
      </c>
      <c r="AY371" s="70">
        <v>0</v>
      </c>
      <c r="AZ371" s="65">
        <f t="shared" si="250"/>
        <v>0</v>
      </c>
      <c r="BA371" s="65">
        <f t="shared" si="251"/>
        <v>0</v>
      </c>
      <c r="BB371" s="70"/>
      <c r="BC371" s="65">
        <f t="shared" si="252"/>
        <v>0</v>
      </c>
      <c r="BD371" s="70">
        <v>0</v>
      </c>
      <c r="BE371" s="65">
        <f t="shared" si="253"/>
        <v>0</v>
      </c>
      <c r="BF371" s="70">
        <v>0</v>
      </c>
      <c r="BG371" s="65">
        <f t="shared" si="254"/>
        <v>0</v>
      </c>
      <c r="BH371" s="70">
        <v>0</v>
      </c>
      <c r="BI371" s="65">
        <f t="shared" si="255"/>
        <v>0</v>
      </c>
      <c r="BJ371" s="38">
        <f>IF(AND(BJ$7="○",$A371&gt;=BJ$8,$A371&lt;=BJ$9),IF(SUM(BJ$10:BJ370)-ROUNDDOWN($M371*BJ$5/100,0)&lt;-BJ$6,-BJ$6-SUM(BJ$10:BJ370),-ROUNDDOWN($M371*BJ$5/100,0)),0)</f>
        <v>0</v>
      </c>
      <c r="BK371" s="38">
        <f>IF(AND(BK$7="○",$A371&gt;=BK$8,$A371&lt;=BK$9),IF(SUM(BK$10:BK370)-ROUNDDOWN($L371*BK$5/100,0)&lt;-BK$6,-BK$6-SUM(BK$10:BK370),-ROUNDDOWN($L371*BK$5/100,0)),0)</f>
        <v>0</v>
      </c>
      <c r="BL371" s="38">
        <f>IF(AND(BL$7="○",$A371&gt;=BL$8,$A371&lt;=BL$9),IF(SUM(BL$10:BL370)-ROUNDDOWN($L371*BL$5/100,0)&lt;-BL$6,-BL$6-SUM(BL$10:BL370),-ROUNDDOWN($L371*BL$5/100,0)),0)</f>
        <v>0</v>
      </c>
      <c r="BM371" s="38">
        <f>IF(AND(BM$7="○",$A371&gt;=BM$8,$A371&lt;=BM$9),IF(SUM(BM$10:BM370)-ROUNDDOWN($M371*BM$5/100,0)&lt;-BM$6,-BM$6-SUM(BM$10:BM370),-ROUNDDOWN($M371*BM$5/100,0)),0)</f>
        <v>0</v>
      </c>
      <c r="BN371" s="38">
        <f>IF(AND(BN$7="○",$A371&gt;=BN$8,$A371&lt;=BN$9),IF(SUM(BN$10:BN370)-ROUNDDOWN($M371*BN$5/100,0)&lt;-BN$6,-BN$6-SUM(BN$10:BN370),-ROUNDDOWN($M371*BN$5/100,0)),0)</f>
        <v>0</v>
      </c>
      <c r="BO371" s="38">
        <f>IF(AND(BO$7="○",$A371&gt;=BO$8,$A371&lt;=BO$9),IF(SUM(BO$10:BO370)-ROUNDDOWN($M371*BO$5/100,0)&lt;-BO$6,-BO$6-SUM(BO$10:BO370),-ROUNDDOWN($M371*BO$5/100,0)),0)</f>
        <v>0</v>
      </c>
      <c r="BP371" s="38">
        <f>IF(AND(BP$7="○",$A371&gt;=BP$8,$A371&lt;=BP$9),IF(SUM(BP$10:BP370)-ROUNDDOWN($M371*BP$5/100,0)&lt;-BP$6,-BP$6-SUM(BP$10:BP370),-ROUNDDOWN($M371*BP$5/100,0)),0)</f>
        <v>0</v>
      </c>
      <c r="BQ371" s="38">
        <f>IF(AND(BQ$7="○",$A371&gt;=BQ$8,$A371&lt;=BQ$9),IF(SUM(BQ$10:BQ370)-ROUNDDOWN($L371*BQ$5/100,0)&lt;-BQ$6,-BQ$6-SUM(BQ$10:BQ370),-ROUNDDOWN($L371*BQ$5/100,0)),0)</f>
        <v>0</v>
      </c>
      <c r="BR371" s="38">
        <f>IF(AND(BR$7="○",$A371&gt;=BR$8,$A371&lt;=BR$9),IF(SUM(BR$10:BR370)-ROUNDDOWN($M371*BR$5/100,0)&lt;-BR$6,-BR$6-SUM(BR$10:BR370),-ROUNDDOWN($M371*BR$5/100,0)),0)</f>
        <v>0</v>
      </c>
      <c r="BS371" s="38">
        <f>IF(AND(BS$7="○",$A371&gt;=BS$8,$A371&lt;=BS$9),IF(SUM(BS$10:BS370)-ROUNDDOWN($M371*BS$5/100,0)&lt;-BS$6,-BS$6-SUM(BS$10:BS370),-ROUNDDOWN($M371*BS$5/100,0)),0)</f>
        <v>0</v>
      </c>
      <c r="BT371" s="38">
        <f>IF(AND(BT$7="○",$A371&gt;=BT$8,$A371&lt;=BT$9),IF(SUM(BT$10:BT370)-ROUNDDOWN($M371*BT$5/100,0)&lt;-BT$6,-BT$6-SUM(BT$10:BT370),-ROUNDDOWN($M371*BT$5/100,0)),0)</f>
        <v>0</v>
      </c>
      <c r="BU371" s="38">
        <f>IF(AND(BU$7="○",$A371&gt;=BU$8,$A371&lt;=BU$9),IF(SUM(BU$10:BU370)-ROUNDDOWN($M371*BU$5/100,0)&lt;-BU$6,-BU$6-SUM(BU$10:BU370),-ROUNDDOWN($M371*BU$5/100,0)),0)</f>
        <v>0</v>
      </c>
      <c r="BV371" s="38">
        <f>IF(AND(BV$7="○",$A371&gt;=BV$8,$A371&lt;=BV$9),IF(SUM(BV$10:BV370)-ROUNDDOWN($M371*BV$5/100,0)&lt;-BV$6,-BV$6-SUM(BV$10:BV370),-ROUNDDOWN($M371*BV$5/100,0)),0)</f>
        <v>0</v>
      </c>
      <c r="BW371" s="38">
        <f>IF(AND(BW$7="○",$A371&gt;=BW$8,$A371&lt;=BW$9),IF(SUM(BW$10:BW370)-ROUNDDOWN($M371*BW$5/100,0)&lt;-BW$6,-BW$6-SUM(BW$10:BW370),-ROUNDDOWN($M371*BW$5/100,0)),0)</f>
        <v>0</v>
      </c>
      <c r="BX371" s="38">
        <f>IF(AND(T371="○",$A371&gt;=BX$8,$A371&lt;=BX$9),IF(SUM(BX$10:BX370)-ROUNDDOWN($K371*BX$5/100,0)&lt;-BX$6,-BX$6-SUM(BX$10:BX370),-ROUNDDOWN($K371*BX$5/100,0)),0)</f>
        <v>0</v>
      </c>
      <c r="BY371" s="38">
        <f>IF(AND(U371="○",$A371&gt;=BY$8,$A371&lt;=BY$9),IF(SUM(BY$10:BY370)-ROUNDDOWN($K371*BY$5/100,0)&lt;-BY$6,-BY$6-SUM(BY$10:BY370),-ROUNDDOWN($K371*BY$5/100,0)),0)</f>
        <v>0</v>
      </c>
      <c r="BZ371" s="38">
        <f>IF(AND(V371="○",$A371&gt;=BZ$8,$A371&lt;=BZ$9),IF(SUM(BZ$10:BZ370)-ROUNDDOWN($K371*BZ$5/100,0)&lt;-BZ$6,-BZ$6-SUM(BZ$10:BZ370),-ROUNDDOWN($K371*BZ$5/100,0)),0)</f>
        <v>0</v>
      </c>
      <c r="CA371" s="38">
        <f>IF(AND(W371="○",$A371&gt;=CA$8,$A371&lt;=CA$9),IF(SUM(CA$10:CA370)-ROUNDDOWN($K371*CA$5/100,0)&lt;-CA$6,-CA$6-SUM(CA$10:CA370),-ROUNDDOWN($K371*CA$5/100,0)),0)</f>
        <v>0</v>
      </c>
      <c r="CB371" s="38"/>
      <c r="CC371" s="38"/>
      <c r="CD371" s="38"/>
      <c r="CE371" s="38"/>
      <c r="CF371" s="38"/>
      <c r="CG371" s="65">
        <f t="shared" si="256"/>
        <v>0</v>
      </c>
      <c r="CH371" s="71">
        <f t="shared" si="257"/>
        <v>0</v>
      </c>
      <c r="CI371" s="1">
        <f t="shared" si="19"/>
        <v>0</v>
      </c>
      <c r="CJ371" s="1"/>
      <c r="CK371" s="2"/>
      <c r="CL371" s="2"/>
      <c r="CM371" s="2"/>
      <c r="CN371" s="2"/>
      <c r="CO371" s="73">
        <f t="shared" si="20"/>
        <v>0</v>
      </c>
      <c r="CP371" s="5">
        <f t="shared" si="21"/>
        <v>0</v>
      </c>
      <c r="CQ371" s="1"/>
      <c r="CR371" s="1">
        <f t="shared" si="22"/>
        <v>0</v>
      </c>
      <c r="CS371" s="1"/>
      <c r="CT371" s="1" t="e">
        <f>INDEX([2]マスタ!$A:$A,MATCH(D371,[2]マスタ!$C:$C,0))</f>
        <v>#N/A</v>
      </c>
      <c r="CU371" s="1" t="str">
        <f t="shared" ca="1" si="23"/>
        <v>20260620_0-0</v>
      </c>
    </row>
    <row r="372" spans="1:99" x14ac:dyDescent="0.4">
      <c r="A372" s="61"/>
      <c r="B372" s="62"/>
      <c r="C372" s="62"/>
      <c r="D372" s="62"/>
      <c r="E372" s="63"/>
      <c r="F372" s="62"/>
      <c r="G372" s="62">
        <v>1</v>
      </c>
      <c r="H372" s="64">
        <f t="shared" si="4"/>
        <v>0</v>
      </c>
      <c r="I372" s="64"/>
      <c r="J372" s="78"/>
      <c r="K372" s="65">
        <f t="shared" si="265"/>
        <v>0</v>
      </c>
      <c r="L372" s="65">
        <f t="shared" si="6"/>
        <v>0</v>
      </c>
      <c r="M372" s="65">
        <f t="shared" si="7"/>
        <v>0</v>
      </c>
      <c r="N372" s="65">
        <f t="shared" si="8"/>
        <v>0</v>
      </c>
      <c r="O372" s="66" t="str">
        <f t="shared" si="259"/>
        <v>✕</v>
      </c>
      <c r="P372" s="67" t="str">
        <f t="shared" si="260"/>
        <v>○</v>
      </c>
      <c r="Q372" s="67" t="str">
        <f t="shared" si="266"/>
        <v>✕</v>
      </c>
      <c r="R372" s="67" t="str">
        <f t="shared" si="262"/>
        <v>✕</v>
      </c>
      <c r="S372" s="68">
        <v>0</v>
      </c>
      <c r="T372" s="69" t="s">
        <v>85</v>
      </c>
      <c r="U372" s="69" t="s">
        <v>85</v>
      </c>
      <c r="V372" s="69" t="s">
        <v>85</v>
      </c>
      <c r="W372" s="69" t="s">
        <v>85</v>
      </c>
      <c r="X372" s="69" t="s">
        <v>84</v>
      </c>
      <c r="Y372" s="69" t="s">
        <v>85</v>
      </c>
      <c r="Z372" s="69" t="s">
        <v>85</v>
      </c>
      <c r="AA372" s="69" t="s">
        <v>85</v>
      </c>
      <c r="AB372" s="69" t="s">
        <v>85</v>
      </c>
      <c r="AC372" s="69" t="s">
        <v>85</v>
      </c>
      <c r="AD372" s="38" t="str">
        <f>+IF(ISERROR(VLOOKUP($B372,AD$10:AD371,1,0)),IF(AND($N372&gt;=1000,$A372&gt;=AO$8,$A372&lt;=AO$9),$B372,""),"")</f>
        <v/>
      </c>
      <c r="AE372" s="38" t="str">
        <f>+IF(ISERROR(VLOOKUP($B372,AE$10:AE371,1,0)),IF(AND($N372&gt;=1000,$A372&gt;=AP$8,$A372&lt;=AP$9),$B372,""),"")</f>
        <v/>
      </c>
      <c r="AF372" s="38" t="str">
        <f>+IF(ISERROR(VLOOKUP($B372,AF$10:AF371,1,0)),IF(AND($N372&gt;=1000,$A372&gt;=AQ$8,$A372&lt;=AQ$9),$B372,""),"")</f>
        <v/>
      </c>
      <c r="AG372" s="38" t="str">
        <f>+IF(ISERROR(VLOOKUP($B372,AG$10:AG371,1,0)),IF(AND($N372&gt;=1000,$A372&gt;=AR$8,$A372&lt;=AR$9),$B372,""),"")</f>
        <v/>
      </c>
      <c r="AH372" s="38"/>
      <c r="AI372" s="70">
        <v>0</v>
      </c>
      <c r="AJ372" s="38">
        <f>IF(AND(AJ$7="○",$A372&gt;=AJ$8,$A372&lt;=AJ$9),IF(SUM(AJ$10:AJ371)-ROUNDDOWN($K372*AJ$5/100,0)&lt;-AJ$6,-AJ$6-SUM(AJ$10:AJ371),-ROUNDDOWN($K372*AJ$5/100,0)),0)</f>
        <v>0</v>
      </c>
      <c r="AK372" s="38">
        <f>IF(AND(AK$7="○",$A372&gt;=AK$8,$A372&lt;=AK$9),IF(SUM(AK$10:AK371)-ROUNDDOWN($L372*AK$5/100,0)&lt;-AK$6,-AK$6-SUM(AK$10:AK371),-ROUNDDOWN($L372*AK$5/100,0)),0)</f>
        <v>0</v>
      </c>
      <c r="AL372" s="38">
        <f>IF(AND(AL$7="○",$A372&gt;=AL$8,$A372&lt;=AL$9),IF(SUM(AL$10:AL371)-ROUNDDOWN($N372*AL$5/100,0)&lt;-AL$6,-AL$6-SUM(AL$10:AL371),-ROUNDDOWN($N372*AL$5/100,0)),0)</f>
        <v>0</v>
      </c>
      <c r="AM372" s="38">
        <f>IF(AND(AM$7="○",$A372&gt;=AM$8,$A372&lt;=AM$9),IF(SUM(AM$10:AM371)-ROUNDDOWN($L372*AM$5/100,0)&lt;-AM$6,-AM$6-SUM(AM$10:AM371),-ROUNDDOWN($L372*AM$5/100,0)),0)</f>
        <v>0</v>
      </c>
      <c r="AN372" s="38">
        <f>IF(AND(AN$7="○",$A372&gt;=AN$8,$A372&lt;=AN$9),IF(SUM(AN$10:AN371)-ROUNDDOWN($M372*AN$5/100,0)&lt;-AN$6,-AN$6-SUM(AN$10:AN371),-ROUNDDOWN($M372*AN$5/100,0)),0)</f>
        <v>0</v>
      </c>
      <c r="AO372" s="38">
        <f>IF(AND($A372&gt;=AO$8,$A372&lt;=AO$9),IF(SUM(AO$10:AO371)-ROUNDDOWN($K372*AO$5/100,0)&lt;-AO$6,-AO$6-SUM(AO$10:AO371),-ROUNDDOWN($K372*AO$5/100,0)),0)</f>
        <v>0</v>
      </c>
      <c r="AP372" s="38">
        <f>IF(AND($A372&gt;=AP$8,$A372&lt;=AP$9),IF(SUM(AP$10:AP371)-ROUNDDOWN($K372*AP$5/100,0)&lt;-AP$6,-AP$6-SUM(AP$10:AP371),-ROUNDDOWN($K372*AP$5/100,0)),0)</f>
        <v>0</v>
      </c>
      <c r="AQ372" s="38">
        <f>IF(AND($A372&gt;=AQ$8,$A372&lt;=AQ$9),IF(SUM(AQ$10:AQ371)-ROUNDDOWN($K372*AQ$5/100,0)&lt;-AQ$6,-AQ$6-SUM(AQ$10:AQ371),-ROUNDDOWN($K372*AQ$5/100,0)),0)</f>
        <v>0</v>
      </c>
      <c r="AR372" s="38">
        <f>IF(AND($A372&gt;=AR$8,$A372&lt;=AR$9),IF(SUM(AR$10:AR371)-ROUNDDOWN($K372*AR$5/100,0)&lt;-AR$6,-AR$6-SUM(AR$10:AR371),-ROUNDDOWN($K372*AR$5/100,0)),0)</f>
        <v>0</v>
      </c>
      <c r="AS372" s="38">
        <f>IF(SUMIFS(AS$10:AS371,$A$10:$A371,$A372)-ROUNDDOWN($K372*$S372/100,0)&lt;-$S372*1000,-$S372*1000-SUMIFS(AS$10:AS371,$A$10:$A371,$A372),-ROUNDDOWN($K372*$S372/100,0))</f>
        <v>0</v>
      </c>
      <c r="AT372" s="38">
        <f>IF(AND(X372="○",$A372&gt;=AT$8,$A372&lt;=AT$9,K372&gt;=3980),IF(SUM(AT$10:AT371)-ROUNDDOWN($K372*AT$5/100,0)&lt;-AT$6,-AT$6-SUM(AT$10:AT371),-ROUNDDOWN($K372*AT$5/100,0)),0)</f>
        <v>0</v>
      </c>
      <c r="AU372" s="38">
        <f>IF(O372="○",IF(SUM(AU$10:AU371)-ROUNDDOWN($K372*AU$5/100,0)&lt;-AU$6,-AU$6-SUM(AU$10:AU371),-ROUNDDOWN($K372*AU$5/100,0)),0)</f>
        <v>0</v>
      </c>
      <c r="AV372" s="38">
        <f>IF(P372="○",IF(SUM(AV$10:AV371)-ROUNDDOWN($K372*AV$5/100,0)&lt;-AV$6,-AV$6-SUM(AV$10:AV371),-ROUNDDOWN($K372*AV$5/100,0)),0)</f>
        <v>0</v>
      </c>
      <c r="AW372" s="38">
        <f>IF(Q372="○",IF(SUM(AW$10:AW371)-ROUNDDOWN($K372*AW$5/100,0)&lt;-AW$6,-AW$6-SUM(AW$10:AW371),-ROUNDDOWN($K372*AW$5/100,0)),0)</f>
        <v>0</v>
      </c>
      <c r="AX372" s="38">
        <f>IF(R372="○",IF(SUM(AX$10:AX371)-ROUNDDOWN($K372*AX$5/100,0)&lt;-AX$6,-AX$6-SUM(AX$10:AX371),-ROUNDDOWN($K372*AX$5/100,0)),0)</f>
        <v>0</v>
      </c>
      <c r="AY372" s="70">
        <v>0</v>
      </c>
      <c r="AZ372" s="65">
        <f t="shared" si="250"/>
        <v>0</v>
      </c>
      <c r="BA372" s="65">
        <f t="shared" si="251"/>
        <v>0</v>
      </c>
      <c r="BB372" s="70"/>
      <c r="BC372" s="65">
        <f t="shared" si="252"/>
        <v>0</v>
      </c>
      <c r="BD372" s="70">
        <v>0</v>
      </c>
      <c r="BE372" s="65">
        <f t="shared" si="253"/>
        <v>0</v>
      </c>
      <c r="BF372" s="70">
        <v>0</v>
      </c>
      <c r="BG372" s="65">
        <f t="shared" si="254"/>
        <v>0</v>
      </c>
      <c r="BH372" s="70">
        <v>0</v>
      </c>
      <c r="BI372" s="65">
        <f t="shared" si="255"/>
        <v>0</v>
      </c>
      <c r="BJ372" s="38">
        <f>IF(AND(BJ$7="○",$A372&gt;=BJ$8,$A372&lt;=BJ$9),IF(SUM(BJ$10:BJ371)-ROUNDDOWN($M372*BJ$5/100,0)&lt;-BJ$6,-BJ$6-SUM(BJ$10:BJ371),-ROUNDDOWN($M372*BJ$5/100,0)),0)</f>
        <v>0</v>
      </c>
      <c r="BK372" s="38">
        <f>IF(AND(BK$7="○",$A372&gt;=BK$8,$A372&lt;=BK$9),IF(SUM(BK$10:BK371)-ROUNDDOWN($L372*BK$5/100,0)&lt;-BK$6,-BK$6-SUM(BK$10:BK371),-ROUNDDOWN($L372*BK$5/100,0)),0)</f>
        <v>0</v>
      </c>
      <c r="BL372" s="38">
        <f>IF(AND(BL$7="○",$A372&gt;=BL$8,$A372&lt;=BL$9),IF(SUM(BL$10:BL371)-ROUNDDOWN($L372*BL$5/100,0)&lt;-BL$6,-BL$6-SUM(BL$10:BL371),-ROUNDDOWN($L372*BL$5/100,0)),0)</f>
        <v>0</v>
      </c>
      <c r="BM372" s="38">
        <f>IF(AND(BM$7="○",$A372&gt;=BM$8,$A372&lt;=BM$9),IF(SUM(BM$10:BM371)-ROUNDDOWN($M372*BM$5/100,0)&lt;-BM$6,-BM$6-SUM(BM$10:BM371),-ROUNDDOWN($M372*BM$5/100,0)),0)</f>
        <v>0</v>
      </c>
      <c r="BN372" s="38">
        <f>IF(AND(BN$7="○",$A372&gt;=BN$8,$A372&lt;=BN$9),IF(SUM(BN$10:BN371)-ROUNDDOWN($M372*BN$5/100,0)&lt;-BN$6,-BN$6-SUM(BN$10:BN371),-ROUNDDOWN($M372*BN$5/100,0)),0)</f>
        <v>0</v>
      </c>
      <c r="BO372" s="38">
        <f>IF(AND(BO$7="○",$A372&gt;=BO$8,$A372&lt;=BO$9),IF(SUM(BO$10:BO371)-ROUNDDOWN($M372*BO$5/100,0)&lt;-BO$6,-BO$6-SUM(BO$10:BO371),-ROUNDDOWN($M372*BO$5/100,0)),0)</f>
        <v>0</v>
      </c>
      <c r="BP372" s="38">
        <f>IF(AND(BP$7="○",$A372&gt;=BP$8,$A372&lt;=BP$9),IF(SUM(BP$10:BP371)-ROUNDDOWN($M372*BP$5/100,0)&lt;-BP$6,-BP$6-SUM(BP$10:BP371),-ROUNDDOWN($M372*BP$5/100,0)),0)</f>
        <v>0</v>
      </c>
      <c r="BQ372" s="38">
        <f>IF(AND(BQ$7="○",$A372&gt;=BQ$8,$A372&lt;=BQ$9),IF(SUM(BQ$10:BQ371)-ROUNDDOWN($L372*BQ$5/100,0)&lt;-BQ$6,-BQ$6-SUM(BQ$10:BQ371),-ROUNDDOWN($L372*BQ$5/100,0)),0)</f>
        <v>0</v>
      </c>
      <c r="BR372" s="38">
        <f>IF(AND(BR$7="○",$A372&gt;=BR$8,$A372&lt;=BR$9),IF(SUM(BR$10:BR371)-ROUNDDOWN($M372*BR$5/100,0)&lt;-BR$6,-BR$6-SUM(BR$10:BR371),-ROUNDDOWN($M372*BR$5/100,0)),0)</f>
        <v>0</v>
      </c>
      <c r="BS372" s="38">
        <f>IF(AND(BS$7="○",$A372&gt;=BS$8,$A372&lt;=BS$9),IF(SUM(BS$10:BS371)-ROUNDDOWN($M372*BS$5/100,0)&lt;-BS$6,-BS$6-SUM(BS$10:BS371),-ROUNDDOWN($M372*BS$5/100,0)),0)</f>
        <v>0</v>
      </c>
      <c r="BT372" s="38">
        <f>IF(AND(BT$7="○",$A372&gt;=BT$8,$A372&lt;=BT$9),IF(SUM(BT$10:BT371)-ROUNDDOWN($M372*BT$5/100,0)&lt;-BT$6,-BT$6-SUM(BT$10:BT371),-ROUNDDOWN($M372*BT$5/100,0)),0)</f>
        <v>0</v>
      </c>
      <c r="BU372" s="38">
        <f>IF(AND(BU$7="○",$A372&gt;=BU$8,$A372&lt;=BU$9),IF(SUM(BU$10:BU371)-ROUNDDOWN($M372*BU$5/100,0)&lt;-BU$6,-BU$6-SUM(BU$10:BU371),-ROUNDDOWN($M372*BU$5/100,0)),0)</f>
        <v>0</v>
      </c>
      <c r="BV372" s="38">
        <f>IF(AND(BV$7="○",$A372&gt;=BV$8,$A372&lt;=BV$9),IF(SUM(BV$10:BV371)-ROUNDDOWN($M372*BV$5/100,0)&lt;-BV$6,-BV$6-SUM(BV$10:BV371),-ROUNDDOWN($M372*BV$5/100,0)),0)</f>
        <v>0</v>
      </c>
      <c r="BW372" s="38">
        <f>IF(AND(BW$7="○",$A372&gt;=BW$8,$A372&lt;=BW$9),IF(SUM(BW$10:BW371)-ROUNDDOWN($M372*BW$5/100,0)&lt;-BW$6,-BW$6-SUM(BW$10:BW371),-ROUNDDOWN($M372*BW$5/100,0)),0)</f>
        <v>0</v>
      </c>
      <c r="BX372" s="38">
        <f>IF(AND(T372="○",$A372&gt;=BX$8,$A372&lt;=BX$9),IF(SUM(BX$10:BX371)-ROUNDDOWN($K372*BX$5/100,0)&lt;-BX$6,-BX$6-SUM(BX$10:BX371),-ROUNDDOWN($K372*BX$5/100,0)),0)</f>
        <v>0</v>
      </c>
      <c r="BY372" s="38">
        <f>IF(AND(U372="○",$A372&gt;=BY$8,$A372&lt;=BY$9),IF(SUM(BY$10:BY371)-ROUNDDOWN($K372*BY$5/100,0)&lt;-BY$6,-BY$6-SUM(BY$10:BY371),-ROUNDDOWN($K372*BY$5/100,0)),0)</f>
        <v>0</v>
      </c>
      <c r="BZ372" s="38">
        <f>IF(AND(V372="○",$A372&gt;=BZ$8,$A372&lt;=BZ$9),IF(SUM(BZ$10:BZ371)-ROUNDDOWN($K372*BZ$5/100,0)&lt;-BZ$6,-BZ$6-SUM(BZ$10:BZ371),-ROUNDDOWN($K372*BZ$5/100,0)),0)</f>
        <v>0</v>
      </c>
      <c r="CA372" s="38">
        <f>IF(AND(W372="○",$A372&gt;=CA$8,$A372&lt;=CA$9),IF(SUM(CA$10:CA371)-ROUNDDOWN($K372*CA$5/100,0)&lt;-CA$6,-CA$6-SUM(CA$10:CA371),-ROUNDDOWN($K372*CA$5/100,0)),0)</f>
        <v>0</v>
      </c>
      <c r="CB372" s="38"/>
      <c r="CC372" s="38"/>
      <c r="CD372" s="38"/>
      <c r="CE372" s="38"/>
      <c r="CF372" s="38"/>
      <c r="CG372" s="65">
        <f t="shared" si="256"/>
        <v>0</v>
      </c>
      <c r="CH372" s="71">
        <f t="shared" si="257"/>
        <v>0</v>
      </c>
      <c r="CI372" s="1">
        <f t="shared" si="19"/>
        <v>0</v>
      </c>
      <c r="CJ372" s="1"/>
      <c r="CK372" s="79"/>
      <c r="CL372" s="79"/>
      <c r="CM372" s="2"/>
      <c r="CN372" s="2"/>
      <c r="CO372" s="73">
        <f t="shared" si="20"/>
        <v>0</v>
      </c>
      <c r="CP372" s="5">
        <f t="shared" si="21"/>
        <v>0</v>
      </c>
      <c r="CQ372" s="1"/>
      <c r="CR372" s="1">
        <f t="shared" si="22"/>
        <v>0</v>
      </c>
      <c r="CS372" s="1"/>
      <c r="CT372" s="1" t="e">
        <f>INDEX([2]マスタ!$A:$A,MATCH(D372,[2]マスタ!$C:$C,0))</f>
        <v>#N/A</v>
      </c>
      <c r="CU372" s="1" t="str">
        <f t="shared" ca="1" si="23"/>
        <v>20260620_0-0</v>
      </c>
    </row>
    <row r="373" spans="1:99" x14ac:dyDescent="0.4">
      <c r="A373" s="61"/>
      <c r="B373" s="62"/>
      <c r="C373" s="62"/>
      <c r="D373" s="62"/>
      <c r="E373" s="63"/>
      <c r="F373" s="62"/>
      <c r="G373" s="62">
        <v>1</v>
      </c>
      <c r="H373" s="64">
        <f t="shared" si="4"/>
        <v>0</v>
      </c>
      <c r="I373" s="64"/>
      <c r="J373" s="78"/>
      <c r="K373" s="65">
        <f t="shared" si="265"/>
        <v>0</v>
      </c>
      <c r="L373" s="65">
        <f t="shared" si="6"/>
        <v>0</v>
      </c>
      <c r="M373" s="65">
        <f t="shared" si="7"/>
        <v>0</v>
      </c>
      <c r="N373" s="65">
        <f t="shared" si="8"/>
        <v>0</v>
      </c>
      <c r="O373" s="66" t="str">
        <f t="shared" si="259"/>
        <v>✕</v>
      </c>
      <c r="P373" s="67" t="str">
        <f t="shared" si="260"/>
        <v>○</v>
      </c>
      <c r="Q373" s="67" t="str">
        <f t="shared" si="266"/>
        <v>✕</v>
      </c>
      <c r="R373" s="67" t="str">
        <f t="shared" si="262"/>
        <v>✕</v>
      </c>
      <c r="S373" s="68">
        <v>0</v>
      </c>
      <c r="T373" s="69" t="s">
        <v>85</v>
      </c>
      <c r="U373" s="69" t="s">
        <v>85</v>
      </c>
      <c r="V373" s="69" t="s">
        <v>85</v>
      </c>
      <c r="W373" s="69" t="s">
        <v>85</v>
      </c>
      <c r="X373" s="69" t="s">
        <v>84</v>
      </c>
      <c r="Y373" s="69" t="s">
        <v>85</v>
      </c>
      <c r="Z373" s="69" t="s">
        <v>85</v>
      </c>
      <c r="AA373" s="69" t="s">
        <v>85</v>
      </c>
      <c r="AB373" s="69" t="s">
        <v>85</v>
      </c>
      <c r="AC373" s="69" t="s">
        <v>85</v>
      </c>
      <c r="AD373" s="38" t="str">
        <f>+IF(ISERROR(VLOOKUP($B373,AD$10:AD372,1,0)),IF(AND($N373&gt;=1000,$A373&gt;=AO$8,$A373&lt;=AO$9),$B373,""),"")</f>
        <v/>
      </c>
      <c r="AE373" s="38" t="str">
        <f>+IF(ISERROR(VLOOKUP($B373,AE$10:AE372,1,0)),IF(AND($N373&gt;=1000,$A373&gt;=AP$8,$A373&lt;=AP$9),$B373,""),"")</f>
        <v/>
      </c>
      <c r="AF373" s="38" t="str">
        <f>+IF(ISERROR(VLOOKUP($B373,AF$10:AF372,1,0)),IF(AND($N373&gt;=1000,$A373&gt;=AQ$8,$A373&lt;=AQ$9),$B373,""),"")</f>
        <v/>
      </c>
      <c r="AG373" s="38" t="str">
        <f>+IF(ISERROR(VLOOKUP($B373,AG$10:AG372,1,0)),IF(AND($N373&gt;=1000,$A373&gt;=AR$8,$A373&lt;=AR$9),$B373,""),"")</f>
        <v/>
      </c>
      <c r="AH373" s="38"/>
      <c r="AI373" s="70">
        <v>0</v>
      </c>
      <c r="AJ373" s="38">
        <f>IF(AND(AJ$7="○",$A373&gt;=AJ$8,$A373&lt;=AJ$9),IF(SUM(AJ$10:AJ372)-ROUNDDOWN($K373*AJ$5/100,0)&lt;-AJ$6,-AJ$6-SUM(AJ$10:AJ372),-ROUNDDOWN($K373*AJ$5/100,0)),0)</f>
        <v>0</v>
      </c>
      <c r="AK373" s="38">
        <f>IF(AND(AK$7="○",$A373&gt;=AK$8,$A373&lt;=AK$9),IF(SUM(AK$10:AK372)-ROUNDDOWN($L373*AK$5/100,0)&lt;-AK$6,-AK$6-SUM(AK$10:AK372),-ROUNDDOWN($L373*AK$5/100,0)),0)</f>
        <v>0</v>
      </c>
      <c r="AL373" s="38">
        <f>IF(AND(AL$7="○",$A373&gt;=AL$8,$A373&lt;=AL$9),IF(SUM(AL$10:AL372)-ROUNDDOWN($N373*AL$5/100,0)&lt;-AL$6,-AL$6-SUM(AL$10:AL372),-ROUNDDOWN($N373*AL$5/100,0)),0)</f>
        <v>0</v>
      </c>
      <c r="AM373" s="38">
        <f>IF(AND(AM$7="○",$A373&gt;=AM$8,$A373&lt;=AM$9),IF(SUM(AM$10:AM372)-ROUNDDOWN($L373*AM$5/100,0)&lt;-AM$6,-AM$6-SUM(AM$10:AM372),-ROUNDDOWN($L373*AM$5/100,0)),0)</f>
        <v>0</v>
      </c>
      <c r="AN373" s="38">
        <f>IF(AND(AN$7="○",$A373&gt;=AN$8,$A373&lt;=AN$9),IF(SUM(AN$10:AN372)-ROUNDDOWN($M373*AN$5/100,0)&lt;-AN$6,-AN$6-SUM(AN$10:AN372),-ROUNDDOWN($M373*AN$5/100,0)),0)</f>
        <v>0</v>
      </c>
      <c r="AO373" s="38">
        <f>IF(AND($A373&gt;=AO$8,$A373&lt;=AO$9),IF(SUM(AO$10:AO372)-ROUNDDOWN($K373*AO$5/100,0)&lt;-AO$6,-AO$6-SUM(AO$10:AO372),-ROUNDDOWN($K373*AO$5/100,0)),0)</f>
        <v>0</v>
      </c>
      <c r="AP373" s="38">
        <f>IF(AND($A373&gt;=AP$8,$A373&lt;=AP$9),IF(SUM(AP$10:AP372)-ROUNDDOWN($K373*AP$5/100,0)&lt;-AP$6,-AP$6-SUM(AP$10:AP372),-ROUNDDOWN($K373*AP$5/100,0)),0)</f>
        <v>0</v>
      </c>
      <c r="AQ373" s="38">
        <f>IF(AND($A373&gt;=AQ$8,$A373&lt;=AQ$9),IF(SUM(AQ$10:AQ372)-ROUNDDOWN($K373*AQ$5/100,0)&lt;-AQ$6,-AQ$6-SUM(AQ$10:AQ372),-ROUNDDOWN($K373*AQ$5/100,0)),0)</f>
        <v>0</v>
      </c>
      <c r="AR373" s="38">
        <f>IF(AND($A373&gt;=AR$8,$A373&lt;=AR$9),IF(SUM(AR$10:AR372)-ROUNDDOWN($K373*AR$5/100,0)&lt;-AR$6,-AR$6-SUM(AR$10:AR372),-ROUNDDOWN($K373*AR$5/100,0)),0)</f>
        <v>0</v>
      </c>
      <c r="AS373" s="38">
        <f>IF(SUMIFS(AS$10:AS372,$A$10:$A372,$A373)-ROUNDDOWN($K373*$S373/100,0)&lt;-$S373*1000,-$S373*1000-SUMIFS(AS$10:AS372,$A$10:$A372,$A373),-ROUNDDOWN($K373*$S373/100,0))</f>
        <v>0</v>
      </c>
      <c r="AT373" s="38">
        <f>IF(AND(X373="○",$A373&gt;=AT$8,$A373&lt;=AT$9,K373&gt;=3980),IF(SUM(AT$10:AT372)-ROUNDDOWN($K373*AT$5/100,0)&lt;-AT$6,-AT$6-SUM(AT$10:AT372),-ROUNDDOWN($K373*AT$5/100,0)),0)</f>
        <v>0</v>
      </c>
      <c r="AU373" s="38">
        <f>IF(O373="○",IF(SUM(AU$10:AU372)-ROUNDDOWN($K373*AU$5/100,0)&lt;-AU$6,-AU$6-SUM(AU$10:AU372),-ROUNDDOWN($K373*AU$5/100,0)),0)</f>
        <v>0</v>
      </c>
      <c r="AV373" s="38">
        <f>IF(P373="○",IF(SUM(AV$10:AV372)-ROUNDDOWN($K373*AV$5/100,0)&lt;-AV$6,-AV$6-SUM(AV$10:AV372),-ROUNDDOWN($K373*AV$5/100,0)),0)</f>
        <v>0</v>
      </c>
      <c r="AW373" s="38">
        <f>IF(Q373="○",IF(SUM(AW$10:AW372)-ROUNDDOWN($K373*AW$5/100,0)&lt;-AW$6,-AW$6-SUM(AW$10:AW372),-ROUNDDOWN($K373*AW$5/100,0)),0)</f>
        <v>0</v>
      </c>
      <c r="AX373" s="38">
        <f>IF(R373="○",IF(SUM(AX$10:AX372)-ROUNDDOWN($K373*AX$5/100,0)&lt;-AX$6,-AX$6-SUM(AX$10:AX372),-ROUNDDOWN($K373*AX$5/100,0)),0)</f>
        <v>0</v>
      </c>
      <c r="AY373" s="70">
        <v>0</v>
      </c>
      <c r="AZ373" s="65">
        <f t="shared" si="250"/>
        <v>0</v>
      </c>
      <c r="BA373" s="65">
        <f t="shared" si="251"/>
        <v>0</v>
      </c>
      <c r="BB373" s="70"/>
      <c r="BC373" s="65">
        <f t="shared" si="252"/>
        <v>0</v>
      </c>
      <c r="BD373" s="70">
        <v>0</v>
      </c>
      <c r="BE373" s="65">
        <f t="shared" si="253"/>
        <v>0</v>
      </c>
      <c r="BF373" s="70">
        <v>0</v>
      </c>
      <c r="BG373" s="65">
        <f t="shared" si="254"/>
        <v>0</v>
      </c>
      <c r="BH373" s="70">
        <v>0</v>
      </c>
      <c r="BI373" s="65">
        <f t="shared" si="255"/>
        <v>0</v>
      </c>
      <c r="BJ373" s="38">
        <f>IF(AND(BJ$7="○",$A373&gt;=BJ$8,$A373&lt;=BJ$9),IF(SUM(BJ$10:BJ372)-ROUNDDOWN($M373*BJ$5/100,0)&lt;-BJ$6,-BJ$6-SUM(BJ$10:BJ372),-ROUNDDOWN($M373*BJ$5/100,0)),0)</f>
        <v>0</v>
      </c>
      <c r="BK373" s="38">
        <f>IF(AND(BK$7="○",$A373&gt;=BK$8,$A373&lt;=BK$9),IF(SUM(BK$10:BK372)-ROUNDDOWN($L373*BK$5/100,0)&lt;-BK$6,-BK$6-SUM(BK$10:BK372),-ROUNDDOWN($L373*BK$5/100,0)),0)</f>
        <v>0</v>
      </c>
      <c r="BL373" s="38">
        <f>IF(AND(BL$7="○",$A373&gt;=BL$8,$A373&lt;=BL$9),IF(SUM(BL$10:BL372)-ROUNDDOWN($L373*BL$5/100,0)&lt;-BL$6,-BL$6-SUM(BL$10:BL372),-ROUNDDOWN($L373*BL$5/100,0)),0)</f>
        <v>0</v>
      </c>
      <c r="BM373" s="38">
        <f>IF(AND(BM$7="○",$A373&gt;=BM$8,$A373&lt;=BM$9),IF(SUM(BM$10:BM372)-ROUNDDOWN($M373*BM$5/100,0)&lt;-BM$6,-BM$6-SUM(BM$10:BM372),-ROUNDDOWN($M373*BM$5/100,0)),0)</f>
        <v>0</v>
      </c>
      <c r="BN373" s="38">
        <f>IF(AND(BN$7="○",$A373&gt;=BN$8,$A373&lt;=BN$9),IF(SUM(BN$10:BN372)-ROUNDDOWN($M373*BN$5/100,0)&lt;-BN$6,-BN$6-SUM(BN$10:BN372),-ROUNDDOWN($M373*BN$5/100,0)),0)</f>
        <v>0</v>
      </c>
      <c r="BO373" s="38">
        <f>IF(AND(BO$7="○",$A373&gt;=BO$8,$A373&lt;=BO$9),IF(SUM(BO$10:BO372)-ROUNDDOWN($M373*BO$5/100,0)&lt;-BO$6,-BO$6-SUM(BO$10:BO372),-ROUNDDOWN($M373*BO$5/100,0)),0)</f>
        <v>0</v>
      </c>
      <c r="BP373" s="38">
        <f>IF(AND(BP$7="○",$A373&gt;=BP$8,$A373&lt;=BP$9),IF(SUM(BP$10:BP372)-ROUNDDOWN($M373*BP$5/100,0)&lt;-BP$6,-BP$6-SUM(BP$10:BP372),-ROUNDDOWN($M373*BP$5/100,0)),0)</f>
        <v>0</v>
      </c>
      <c r="BQ373" s="38">
        <f>IF(AND(BQ$7="○",$A373&gt;=BQ$8,$A373&lt;=BQ$9),IF(SUM(BQ$10:BQ372)-ROUNDDOWN($L373*BQ$5/100,0)&lt;-BQ$6,-BQ$6-SUM(BQ$10:BQ372),-ROUNDDOWN($L373*BQ$5/100,0)),0)</f>
        <v>0</v>
      </c>
      <c r="BR373" s="38">
        <f>IF(AND(BR$7="○",$A373&gt;=BR$8,$A373&lt;=BR$9),IF(SUM(BR$10:BR372)-ROUNDDOWN($M373*BR$5/100,0)&lt;-BR$6,-BR$6-SUM(BR$10:BR372),-ROUNDDOWN($M373*BR$5/100,0)),0)</f>
        <v>0</v>
      </c>
      <c r="BS373" s="38">
        <f>IF(AND(BS$7="○",$A373&gt;=BS$8,$A373&lt;=BS$9),IF(SUM(BS$10:BS372)-ROUNDDOWN($M373*BS$5/100,0)&lt;-BS$6,-BS$6-SUM(BS$10:BS372),-ROUNDDOWN($M373*BS$5/100,0)),0)</f>
        <v>0</v>
      </c>
      <c r="BT373" s="38">
        <f>IF(AND(BT$7="○",$A373&gt;=BT$8,$A373&lt;=BT$9),IF(SUM(BT$10:BT372)-ROUNDDOWN($M373*BT$5/100,0)&lt;-BT$6,-BT$6-SUM(BT$10:BT372),-ROUNDDOWN($M373*BT$5/100,0)),0)</f>
        <v>0</v>
      </c>
      <c r="BU373" s="38">
        <f>IF(AND(BU$7="○",$A373&gt;=BU$8,$A373&lt;=BU$9),IF(SUM(BU$10:BU372)-ROUNDDOWN($M373*BU$5/100,0)&lt;-BU$6,-BU$6-SUM(BU$10:BU372),-ROUNDDOWN($M373*BU$5/100,0)),0)</f>
        <v>0</v>
      </c>
      <c r="BV373" s="38">
        <f>IF(AND(BV$7="○",$A373&gt;=BV$8,$A373&lt;=BV$9),IF(SUM(BV$10:BV372)-ROUNDDOWN($M373*BV$5/100,0)&lt;-BV$6,-BV$6-SUM(BV$10:BV372),-ROUNDDOWN($M373*BV$5/100,0)),0)</f>
        <v>0</v>
      </c>
      <c r="BW373" s="38">
        <f>IF(AND(BW$7="○",$A373&gt;=BW$8,$A373&lt;=BW$9),IF(SUM(BW$10:BW372)-ROUNDDOWN($M373*BW$5/100,0)&lt;-BW$6,-BW$6-SUM(BW$10:BW372),-ROUNDDOWN($M373*BW$5/100,0)),0)</f>
        <v>0</v>
      </c>
      <c r="BX373" s="38">
        <f>IF(AND(T373="○",$A373&gt;=BX$8,$A373&lt;=BX$9),IF(SUM(BX$10:BX372)-ROUNDDOWN($K373*BX$5/100,0)&lt;-BX$6,-BX$6-SUM(BX$10:BX372),-ROUNDDOWN($K373*BX$5/100,0)),0)</f>
        <v>0</v>
      </c>
      <c r="BY373" s="38">
        <f>IF(AND(U373="○",$A373&gt;=BY$8,$A373&lt;=BY$9),IF(SUM(BY$10:BY372)-ROUNDDOWN($K373*BY$5/100,0)&lt;-BY$6,-BY$6-SUM(BY$10:BY372),-ROUNDDOWN($K373*BY$5/100,0)),0)</f>
        <v>0</v>
      </c>
      <c r="BZ373" s="38">
        <f>IF(AND(V373="○",$A373&gt;=BZ$8,$A373&lt;=BZ$9),IF(SUM(BZ$10:BZ372)-ROUNDDOWN($K373*BZ$5/100,0)&lt;-BZ$6,-BZ$6-SUM(BZ$10:BZ372),-ROUNDDOWN($K373*BZ$5/100,0)),0)</f>
        <v>0</v>
      </c>
      <c r="CA373" s="38">
        <f>IF(AND(W373="○",$A373&gt;=CA$8,$A373&lt;=CA$9),IF(SUM(CA$10:CA372)-ROUNDDOWN($K373*CA$5/100,0)&lt;-CA$6,-CA$6-SUM(CA$10:CA372),-ROUNDDOWN($K373*CA$5/100,0)),0)</f>
        <v>0</v>
      </c>
      <c r="CB373" s="38"/>
      <c r="CC373" s="38"/>
      <c r="CD373" s="38"/>
      <c r="CE373" s="38"/>
      <c r="CF373" s="38"/>
      <c r="CG373" s="65">
        <f t="shared" si="256"/>
        <v>0</v>
      </c>
      <c r="CH373" s="71">
        <f t="shared" si="257"/>
        <v>0</v>
      </c>
      <c r="CI373" s="1">
        <f t="shared" si="19"/>
        <v>0</v>
      </c>
      <c r="CJ373" s="1"/>
      <c r="CK373" s="79"/>
      <c r="CL373" s="79"/>
      <c r="CM373" s="2"/>
      <c r="CN373" s="2"/>
      <c r="CO373" s="73">
        <f t="shared" si="20"/>
        <v>0</v>
      </c>
      <c r="CP373" s="5">
        <f t="shared" si="21"/>
        <v>0</v>
      </c>
      <c r="CQ373" s="1"/>
      <c r="CR373" s="1">
        <f t="shared" si="22"/>
        <v>0</v>
      </c>
      <c r="CS373" s="1"/>
      <c r="CT373" s="1" t="e">
        <f>INDEX([2]マスタ!$A:$A,MATCH(D373,[2]マスタ!$C:$C,0))</f>
        <v>#N/A</v>
      </c>
      <c r="CU373" s="1" t="str">
        <f t="shared" ca="1" si="23"/>
        <v>20260620_0-0</v>
      </c>
    </row>
    <row r="374" spans="1:99" x14ac:dyDescent="0.4">
      <c r="A374" s="61"/>
      <c r="B374" s="62"/>
      <c r="C374" s="62"/>
      <c r="D374" s="62"/>
      <c r="E374" s="77"/>
      <c r="F374" s="62"/>
      <c r="G374" s="62">
        <v>1</v>
      </c>
      <c r="H374" s="64">
        <f t="shared" si="4"/>
        <v>0</v>
      </c>
      <c r="I374" s="64"/>
      <c r="J374" s="64"/>
      <c r="K374" s="65">
        <f t="shared" si="265"/>
        <v>0</v>
      </c>
      <c r="L374" s="65">
        <f t="shared" si="6"/>
        <v>0</v>
      </c>
      <c r="M374" s="65">
        <f t="shared" si="7"/>
        <v>0</v>
      </c>
      <c r="N374" s="65">
        <f t="shared" si="8"/>
        <v>0</v>
      </c>
      <c r="O374" s="66" t="str">
        <f t="shared" si="259"/>
        <v>✕</v>
      </c>
      <c r="P374" s="67" t="str">
        <f t="shared" si="260"/>
        <v>○</v>
      </c>
      <c r="Q374" s="67" t="str">
        <f t="shared" si="266"/>
        <v>✕</v>
      </c>
      <c r="R374" s="67" t="str">
        <f t="shared" si="262"/>
        <v>✕</v>
      </c>
      <c r="S374" s="68">
        <v>0</v>
      </c>
      <c r="T374" s="69" t="s">
        <v>85</v>
      </c>
      <c r="U374" s="69" t="s">
        <v>85</v>
      </c>
      <c r="V374" s="69" t="s">
        <v>85</v>
      </c>
      <c r="W374" s="69" t="s">
        <v>85</v>
      </c>
      <c r="X374" s="69" t="s">
        <v>84</v>
      </c>
      <c r="Y374" s="69" t="s">
        <v>85</v>
      </c>
      <c r="Z374" s="69" t="s">
        <v>85</v>
      </c>
      <c r="AA374" s="69" t="s">
        <v>85</v>
      </c>
      <c r="AB374" s="69" t="s">
        <v>85</v>
      </c>
      <c r="AC374" s="69" t="s">
        <v>85</v>
      </c>
      <c r="AD374" s="38" t="str">
        <f>+IF(ISERROR(VLOOKUP($B374,AD$10:AD373,1,0)),IF(AND($N374&gt;=1000,$A374&gt;=AO$8,$A374&lt;=AO$9),$B374,""),"")</f>
        <v/>
      </c>
      <c r="AE374" s="38" t="str">
        <f>+IF(ISERROR(VLOOKUP($B374,AE$10:AE373,1,0)),IF(AND($N374&gt;=1000,$A374&gt;=AP$8,$A374&lt;=AP$9),$B374,""),"")</f>
        <v/>
      </c>
      <c r="AF374" s="38" t="str">
        <f>+IF(ISERROR(VLOOKUP($B374,AF$10:AF373,1,0)),IF(AND($N374&gt;=1000,$A374&gt;=AQ$8,$A374&lt;=AQ$9),$B374,""),"")</f>
        <v/>
      </c>
      <c r="AG374" s="38" t="str">
        <f>+IF(ISERROR(VLOOKUP($B374,AG$10:AG373,1,0)),IF(AND($N374&gt;=1000,$A374&gt;=AR$8,$A374&lt;=AR$9),$B374,""),"")</f>
        <v/>
      </c>
      <c r="AH374" s="38"/>
      <c r="AI374" s="70">
        <v>0</v>
      </c>
      <c r="AJ374" s="38">
        <f>IF(AND(AJ$7="○",$A374&gt;=AJ$8,$A374&lt;=AJ$9),IF(SUM(AJ$10:AJ373)-ROUNDDOWN($K374*AJ$5/100,0)&lt;-AJ$6,-AJ$6-SUM(AJ$10:AJ373),-ROUNDDOWN($K374*AJ$5/100,0)),0)</f>
        <v>0</v>
      </c>
      <c r="AK374" s="38">
        <f>IF(AND(AK$7="○",$A374&gt;=AK$8,$A374&lt;=AK$9),IF(SUM(AK$10:AK373)-ROUNDDOWN($L374*AK$5/100,0)&lt;-AK$6,-AK$6-SUM(AK$10:AK373),-ROUNDDOWN($L374*AK$5/100,0)),0)</f>
        <v>0</v>
      </c>
      <c r="AL374" s="38">
        <f>IF(AND(AL$7="○",$A374&gt;=AL$8,$A374&lt;=AL$9),IF(SUM(AL$10:AL373)-ROUNDDOWN($N374*AL$5/100,0)&lt;-AL$6,-AL$6-SUM(AL$10:AL373),-ROUNDDOWN($N374*AL$5/100,0)),0)</f>
        <v>0</v>
      </c>
      <c r="AM374" s="38">
        <f>IF(AND(AM$7="○",$A374&gt;=AM$8,$A374&lt;=AM$9),IF(SUM(AM$10:AM373)-ROUNDDOWN($L374*AM$5/100,0)&lt;-AM$6,-AM$6-SUM(AM$10:AM373),-ROUNDDOWN($L374*AM$5/100,0)),0)</f>
        <v>0</v>
      </c>
      <c r="AN374" s="38">
        <f>IF(AND(AN$7="○",$A374&gt;=AN$8,$A374&lt;=AN$9),IF(SUM(AN$10:AN373)-ROUNDDOWN($M374*AN$5/100,0)&lt;-AN$6,-AN$6-SUM(AN$10:AN373),-ROUNDDOWN($M374*AN$5/100,0)),0)</f>
        <v>0</v>
      </c>
      <c r="AO374" s="38">
        <f>IF(AND($A374&gt;=AO$8,$A374&lt;=AO$9),IF(SUM(AO$10:AO373)-ROUNDDOWN($K374*AO$5/100,0)&lt;-AO$6,-AO$6-SUM(AO$10:AO373),-ROUNDDOWN($K374*AO$5/100,0)),0)</f>
        <v>0</v>
      </c>
      <c r="AP374" s="38">
        <f>IF(AND($A374&gt;=AP$8,$A374&lt;=AP$9),IF(SUM(AP$10:AP373)-ROUNDDOWN($K374*AP$5/100,0)&lt;-AP$6,-AP$6-SUM(AP$10:AP373),-ROUNDDOWN($K374*AP$5/100,0)),0)</f>
        <v>0</v>
      </c>
      <c r="AQ374" s="38">
        <f>IF(AND($A374&gt;=AQ$8,$A374&lt;=AQ$9),IF(SUM(AQ$10:AQ373)-ROUNDDOWN($K374*AQ$5/100,0)&lt;-AQ$6,-AQ$6-SUM(AQ$10:AQ373),-ROUNDDOWN($K374*AQ$5/100,0)),0)</f>
        <v>0</v>
      </c>
      <c r="AR374" s="38">
        <f>IF(AND($A374&gt;=AR$8,$A374&lt;=AR$9),IF(SUM(AR$10:AR373)-ROUNDDOWN($K374*AR$5/100,0)&lt;-AR$6,-AR$6-SUM(AR$10:AR373),-ROUNDDOWN($K374*AR$5/100,0)),0)</f>
        <v>0</v>
      </c>
      <c r="AS374" s="38">
        <f>IF(SUMIFS(AS$10:AS373,$A$10:$A373,$A374)-ROUNDDOWN($K374*$S374/100,0)&lt;-$S374*1000,-$S374*1000-SUMIFS(AS$10:AS373,$A$10:$A373,$A374),-ROUNDDOWN($K374*$S374/100,0))</f>
        <v>0</v>
      </c>
      <c r="AT374" s="38">
        <f>IF(AND(X374="○",$A374&gt;=AT$8,$A374&lt;=AT$9,K374&gt;=3980),IF(SUM(AT$10:AT373)-ROUNDDOWN($K374*AT$5/100,0)&lt;-AT$6,-AT$6-SUM(AT$10:AT373),-ROUNDDOWN($K374*AT$5/100,0)),0)</f>
        <v>0</v>
      </c>
      <c r="AU374" s="38">
        <f>IF(O374="○",IF(SUM(AU$10:AU373)-ROUNDDOWN($K374*AU$5/100,0)&lt;-AU$6,-AU$6-SUM(AU$10:AU373),-ROUNDDOWN($K374*AU$5/100,0)),0)</f>
        <v>0</v>
      </c>
      <c r="AV374" s="38">
        <f>IF(P374="○",IF(SUM(AV$10:AV373)-ROUNDDOWN($K374*AV$5/100,0)&lt;-AV$6,-AV$6-SUM(AV$10:AV373),-ROUNDDOWN($K374*AV$5/100,0)),0)</f>
        <v>0</v>
      </c>
      <c r="AW374" s="38">
        <f>IF(Q374="○",IF(SUM(AW$10:AW373)-ROUNDDOWN($K374*AW$5/100,0)&lt;-AW$6,-AW$6-SUM(AW$10:AW373),-ROUNDDOWN($K374*AW$5/100,0)),0)</f>
        <v>0</v>
      </c>
      <c r="AX374" s="38">
        <f>IF(R374="○",IF(SUM(AX$10:AX373)-ROUNDDOWN($K374*AX$5/100,0)&lt;-AX$6,-AX$6-SUM(AX$10:AX373),-ROUNDDOWN($K374*AX$5/100,0)),0)</f>
        <v>0</v>
      </c>
      <c r="AY374" s="70">
        <v>0</v>
      </c>
      <c r="AZ374" s="65">
        <f t="shared" si="250"/>
        <v>0</v>
      </c>
      <c r="BA374" s="65">
        <f t="shared" si="251"/>
        <v>0</v>
      </c>
      <c r="BB374" s="70"/>
      <c r="BC374" s="65">
        <f t="shared" si="252"/>
        <v>0</v>
      </c>
      <c r="BD374" s="70">
        <v>0</v>
      </c>
      <c r="BE374" s="65">
        <f t="shared" si="253"/>
        <v>0</v>
      </c>
      <c r="BF374" s="70">
        <v>0</v>
      </c>
      <c r="BG374" s="65">
        <f t="shared" si="254"/>
        <v>0</v>
      </c>
      <c r="BH374" s="70">
        <v>0</v>
      </c>
      <c r="BI374" s="65">
        <f t="shared" si="255"/>
        <v>0</v>
      </c>
      <c r="BJ374" s="38">
        <f>IF(AND(BJ$7="○",$A374&gt;=BJ$8,$A374&lt;=BJ$9),IF(SUM(BJ$10:BJ373)-ROUNDDOWN($M374*BJ$5/100,0)&lt;-BJ$6,-BJ$6-SUM(BJ$10:BJ373),-ROUNDDOWN($M374*BJ$5/100,0)),0)</f>
        <v>0</v>
      </c>
      <c r="BK374" s="38">
        <f>IF(AND(BK$7="○",$A374&gt;=BK$8,$A374&lt;=BK$9),IF(SUM(BK$10:BK373)-ROUNDDOWN($L374*BK$5/100,0)&lt;-BK$6,-BK$6-SUM(BK$10:BK373),-ROUNDDOWN($L374*BK$5/100,0)),0)</f>
        <v>0</v>
      </c>
      <c r="BL374" s="38">
        <f>IF(AND(BL$7="○",$A374&gt;=BL$8,$A374&lt;=BL$9),IF(SUM(BL$10:BL373)-ROUNDDOWN($L374*BL$5/100,0)&lt;-BL$6,-BL$6-SUM(BL$10:BL373),-ROUNDDOWN($L374*BL$5/100,0)),0)</f>
        <v>0</v>
      </c>
      <c r="BM374" s="38">
        <f>IF(AND(BM$7="○",$A374&gt;=BM$8,$A374&lt;=BM$9),IF(SUM(BM$10:BM373)-ROUNDDOWN($M374*BM$5/100,0)&lt;-BM$6,-BM$6-SUM(BM$10:BM373),-ROUNDDOWN($M374*BM$5/100,0)),0)</f>
        <v>0</v>
      </c>
      <c r="BN374" s="38">
        <f>IF(AND(BN$7="○",$A374&gt;=BN$8,$A374&lt;=BN$9),IF(SUM(BN$10:BN373)-ROUNDDOWN($M374*BN$5/100,0)&lt;-BN$6,-BN$6-SUM(BN$10:BN373),-ROUNDDOWN($M374*BN$5/100,0)),0)</f>
        <v>0</v>
      </c>
      <c r="BO374" s="38">
        <f>IF(AND(BO$7="○",$A374&gt;=BO$8,$A374&lt;=BO$9),IF(SUM(BO$10:BO373)-ROUNDDOWN($M374*BO$5/100,0)&lt;-BO$6,-BO$6-SUM(BO$10:BO373),-ROUNDDOWN($M374*BO$5/100,0)),0)</f>
        <v>0</v>
      </c>
      <c r="BP374" s="38">
        <f>IF(AND(BP$7="○",$A374&gt;=BP$8,$A374&lt;=BP$9),IF(SUM(BP$10:BP373)-ROUNDDOWN($M374*BP$5/100,0)&lt;-BP$6,-BP$6-SUM(BP$10:BP373),-ROUNDDOWN($M374*BP$5/100,0)),0)</f>
        <v>0</v>
      </c>
      <c r="BQ374" s="38">
        <f>IF(AND(BQ$7="○",$A374&gt;=BQ$8,$A374&lt;=BQ$9),IF(SUM(BQ$10:BQ373)-ROUNDDOWN($L374*BQ$5/100,0)&lt;-BQ$6,-BQ$6-SUM(BQ$10:BQ373),-ROUNDDOWN($L374*BQ$5/100,0)),0)</f>
        <v>0</v>
      </c>
      <c r="BR374" s="38">
        <f>IF(AND(BR$7="○",$A374&gt;=BR$8,$A374&lt;=BR$9),IF(SUM(BR$10:BR373)-ROUNDDOWN($M374*BR$5/100,0)&lt;-BR$6,-BR$6-SUM(BR$10:BR373),-ROUNDDOWN($M374*BR$5/100,0)),0)</f>
        <v>0</v>
      </c>
      <c r="BS374" s="38">
        <f>IF(AND(BS$7="○",$A374&gt;=BS$8,$A374&lt;=BS$9),IF(SUM(BS$10:BS373)-ROUNDDOWN($M374*BS$5/100,0)&lt;-BS$6,-BS$6-SUM(BS$10:BS373),-ROUNDDOWN($M374*BS$5/100,0)),0)</f>
        <v>0</v>
      </c>
      <c r="BT374" s="38">
        <f>IF(AND(BT$7="○",$A374&gt;=BT$8,$A374&lt;=BT$9),IF(SUM(BT$10:BT373)-ROUNDDOWN($M374*BT$5/100,0)&lt;-BT$6,-BT$6-SUM(BT$10:BT373),-ROUNDDOWN($M374*BT$5/100,0)),0)</f>
        <v>0</v>
      </c>
      <c r="BU374" s="38">
        <f>IF(AND(BU$7="○",$A374&gt;=BU$8,$A374&lt;=BU$9),IF(SUM(BU$10:BU373)-ROUNDDOWN($M374*BU$5/100,0)&lt;-BU$6,-BU$6-SUM(BU$10:BU373),-ROUNDDOWN($M374*BU$5/100,0)),0)</f>
        <v>0</v>
      </c>
      <c r="BV374" s="38">
        <f>IF(AND(BV$7="○",$A374&gt;=BV$8,$A374&lt;=BV$9),IF(SUM(BV$10:BV373)-ROUNDDOWN($M374*BV$5/100,0)&lt;-BV$6,-BV$6-SUM(BV$10:BV373),-ROUNDDOWN($M374*BV$5/100,0)),0)</f>
        <v>0</v>
      </c>
      <c r="BW374" s="38">
        <f>IF(AND(BW$7="○",$A374&gt;=BW$8,$A374&lt;=BW$9),IF(SUM(BW$10:BW373)-ROUNDDOWN($M374*BW$5/100,0)&lt;-BW$6,-BW$6-SUM(BW$10:BW373),-ROUNDDOWN($M374*BW$5/100,0)),0)</f>
        <v>0</v>
      </c>
      <c r="BX374" s="38">
        <f>IF(AND(T374="○",$A374&gt;=BX$8,$A374&lt;=BX$9),IF(SUM(BX$10:BX373)-ROUNDDOWN($K374*BX$5/100,0)&lt;-BX$6,-BX$6-SUM(BX$10:BX373),-ROUNDDOWN($K374*BX$5/100,0)),0)</f>
        <v>0</v>
      </c>
      <c r="BY374" s="38">
        <f>IF(AND(U374="○",$A374&gt;=BY$8,$A374&lt;=BY$9),IF(SUM(BY$10:BY373)-ROUNDDOWN($K374*BY$5/100,0)&lt;-BY$6,-BY$6-SUM(BY$10:BY373),-ROUNDDOWN($K374*BY$5/100,0)),0)</f>
        <v>0</v>
      </c>
      <c r="BZ374" s="38">
        <f>IF(AND(V374="○",$A374&gt;=BZ$8,$A374&lt;=BZ$9),IF(SUM(BZ$10:BZ373)-ROUNDDOWN($K374*BZ$5/100,0)&lt;-BZ$6,-BZ$6-SUM(BZ$10:BZ373),-ROUNDDOWN($K374*BZ$5/100,0)),0)</f>
        <v>0</v>
      </c>
      <c r="CA374" s="38">
        <f>IF(AND(W374="○",$A374&gt;=CA$8,$A374&lt;=CA$9),IF(SUM(CA$10:CA373)-ROUNDDOWN($K374*CA$5/100,0)&lt;-CA$6,-CA$6-SUM(CA$10:CA373),-ROUNDDOWN($K374*CA$5/100,0)),0)</f>
        <v>0</v>
      </c>
      <c r="CB374" s="38"/>
      <c r="CC374" s="38"/>
      <c r="CD374" s="38"/>
      <c r="CE374" s="38"/>
      <c r="CF374" s="38"/>
      <c r="CG374" s="65">
        <f t="shared" si="256"/>
        <v>0</v>
      </c>
      <c r="CH374" s="71">
        <f t="shared" si="257"/>
        <v>0</v>
      </c>
      <c r="CI374" s="1">
        <f t="shared" si="19"/>
        <v>0</v>
      </c>
      <c r="CJ374" s="1"/>
      <c r="CK374" s="79"/>
      <c r="CL374" s="79"/>
      <c r="CM374" s="2"/>
      <c r="CN374" s="2"/>
      <c r="CO374" s="73">
        <f t="shared" si="20"/>
        <v>0</v>
      </c>
      <c r="CP374" s="5">
        <f t="shared" si="21"/>
        <v>0</v>
      </c>
      <c r="CQ374" s="1"/>
      <c r="CR374" s="1">
        <f t="shared" si="22"/>
        <v>0</v>
      </c>
      <c r="CS374" s="1"/>
      <c r="CT374" s="1" t="e">
        <f>INDEX([2]マスタ!$A:$A,MATCH(D374,[2]マスタ!$C:$C,0))</f>
        <v>#N/A</v>
      </c>
      <c r="CU374" s="1" t="str">
        <f t="shared" ca="1" si="23"/>
        <v>20260620_0-0</v>
      </c>
    </row>
    <row r="375" spans="1:99" x14ac:dyDescent="0.4">
      <c r="A375" s="61"/>
      <c r="B375" s="62"/>
      <c r="C375" s="62"/>
      <c r="D375" s="62"/>
      <c r="E375" s="63"/>
      <c r="F375" s="62"/>
      <c r="G375" s="62">
        <v>1</v>
      </c>
      <c r="H375" s="64">
        <f t="shared" si="4"/>
        <v>0</v>
      </c>
      <c r="I375" s="64"/>
      <c r="J375" s="64"/>
      <c r="K375" s="65">
        <f t="shared" si="265"/>
        <v>0</v>
      </c>
      <c r="L375" s="65">
        <f t="shared" si="6"/>
        <v>0</v>
      </c>
      <c r="M375" s="65">
        <f t="shared" si="7"/>
        <v>0</v>
      </c>
      <c r="N375" s="65">
        <f t="shared" si="8"/>
        <v>0</v>
      </c>
      <c r="O375" s="66" t="str">
        <f t="shared" si="259"/>
        <v>✕</v>
      </c>
      <c r="P375" s="67" t="str">
        <f t="shared" si="260"/>
        <v>○</v>
      </c>
      <c r="Q375" s="67" t="str">
        <f t="shared" si="266"/>
        <v>✕</v>
      </c>
      <c r="R375" s="67" t="str">
        <f t="shared" si="262"/>
        <v>✕</v>
      </c>
      <c r="S375" s="68">
        <v>0</v>
      </c>
      <c r="T375" s="69" t="s">
        <v>85</v>
      </c>
      <c r="U375" s="69" t="s">
        <v>85</v>
      </c>
      <c r="V375" s="69" t="s">
        <v>85</v>
      </c>
      <c r="W375" s="69" t="s">
        <v>85</v>
      </c>
      <c r="X375" s="69" t="s">
        <v>84</v>
      </c>
      <c r="Y375" s="69" t="s">
        <v>85</v>
      </c>
      <c r="Z375" s="69" t="s">
        <v>85</v>
      </c>
      <c r="AA375" s="69" t="s">
        <v>85</v>
      </c>
      <c r="AB375" s="69" t="s">
        <v>85</v>
      </c>
      <c r="AC375" s="69" t="s">
        <v>85</v>
      </c>
      <c r="AD375" s="38" t="str">
        <f>+IF(ISERROR(VLOOKUP($B375,AD$10:AD374,1,0)),IF(AND($N375&gt;=1000,$A375&gt;=AO$8,$A375&lt;=AO$9),$B375,""),"")</f>
        <v/>
      </c>
      <c r="AE375" s="38" t="str">
        <f>+IF(ISERROR(VLOOKUP($B375,AE$10:AE374,1,0)),IF(AND($N375&gt;=1000,$A375&gt;=AP$8,$A375&lt;=AP$9),$B375,""),"")</f>
        <v/>
      </c>
      <c r="AF375" s="38" t="str">
        <f>+IF(ISERROR(VLOOKUP($B375,AF$10:AF374,1,0)),IF(AND($N375&gt;=1000,$A375&gt;=AQ$8,$A375&lt;=AQ$9),$B375,""),"")</f>
        <v/>
      </c>
      <c r="AG375" s="38" t="str">
        <f>+IF(ISERROR(VLOOKUP($B375,AG$10:AG374,1,0)),IF(AND($N375&gt;=1000,$A375&gt;=AR$8,$A375&lt;=AR$9),$B375,""),"")</f>
        <v/>
      </c>
      <c r="AH375" s="38"/>
      <c r="AI375" s="70">
        <v>0</v>
      </c>
      <c r="AJ375" s="38">
        <f>IF(AND(AJ$7="○",$A375&gt;=AJ$8,$A375&lt;=AJ$9),IF(SUM(AJ$10:AJ374)-ROUNDDOWN($K375*AJ$5/100,0)&lt;-AJ$6,-AJ$6-SUM(AJ$10:AJ374),-ROUNDDOWN($K375*AJ$5/100,0)),0)</f>
        <v>0</v>
      </c>
      <c r="AK375" s="38">
        <f>IF(AND(AK$7="○",$A375&gt;=AK$8,$A375&lt;=AK$9),IF(SUM(AK$10:AK374)-ROUNDDOWN($L375*AK$5/100,0)&lt;-AK$6,-AK$6-SUM(AK$10:AK374),-ROUNDDOWN($L375*AK$5/100,0)),0)</f>
        <v>0</v>
      </c>
      <c r="AL375" s="38">
        <f>IF(AND(AL$7="○",$A375&gt;=AL$8,$A375&lt;=AL$9),IF(SUM(AL$10:AL374)-ROUNDDOWN($N375*AL$5/100,0)&lt;-AL$6,-AL$6-SUM(AL$10:AL374),-ROUNDDOWN($N375*AL$5/100,0)),0)</f>
        <v>0</v>
      </c>
      <c r="AM375" s="38">
        <f>IF(AND(AM$7="○",$A375&gt;=AM$8,$A375&lt;=AM$9),IF(SUM(AM$10:AM374)-ROUNDDOWN($L375*AM$5/100,0)&lt;-AM$6,-AM$6-SUM(AM$10:AM374),-ROUNDDOWN($L375*AM$5/100,0)),0)</f>
        <v>0</v>
      </c>
      <c r="AN375" s="38">
        <f>IF(AND(AN$7="○",$A375&gt;=AN$8,$A375&lt;=AN$9),IF(SUM(AN$10:AN374)-ROUNDDOWN($M375*AN$5/100,0)&lt;-AN$6,-AN$6-SUM(AN$10:AN374),-ROUNDDOWN($M375*AN$5/100,0)),0)</f>
        <v>0</v>
      </c>
      <c r="AO375" s="38">
        <f>IF(AND($A375&gt;=AO$8,$A375&lt;=AO$9),IF(SUM(AO$10:AO374)-ROUNDDOWN($K375*AO$5/100,0)&lt;-AO$6,-AO$6-SUM(AO$10:AO374),-ROUNDDOWN($K375*AO$5/100,0)),0)</f>
        <v>0</v>
      </c>
      <c r="AP375" s="38">
        <f>IF(AND($A375&gt;=AP$8,$A375&lt;=AP$9),IF(SUM(AP$10:AP374)-ROUNDDOWN($K375*AP$5/100,0)&lt;-AP$6,-AP$6-SUM(AP$10:AP374),-ROUNDDOWN($K375*AP$5/100,0)),0)</f>
        <v>0</v>
      </c>
      <c r="AQ375" s="38">
        <f>IF(AND($A375&gt;=AQ$8,$A375&lt;=AQ$9),IF(SUM(AQ$10:AQ374)-ROUNDDOWN($K375*AQ$5/100,0)&lt;-AQ$6,-AQ$6-SUM(AQ$10:AQ374),-ROUNDDOWN($K375*AQ$5/100,0)),0)</f>
        <v>0</v>
      </c>
      <c r="AR375" s="38">
        <f>IF(AND($A375&gt;=AR$8,$A375&lt;=AR$9),IF(SUM(AR$10:AR374)-ROUNDDOWN($K375*AR$5/100,0)&lt;-AR$6,-AR$6-SUM(AR$10:AR374),-ROUNDDOWN($K375*AR$5/100,0)),0)</f>
        <v>0</v>
      </c>
      <c r="AS375" s="38">
        <f>IF(SUMIFS(AS$10:AS374,$A$10:$A374,$A375)-ROUNDDOWN($K375*$S375/100,0)&lt;-$S375*1000,-$S375*1000-SUMIFS(AS$10:AS374,$A$10:$A374,$A375),-ROUNDDOWN($K375*$S375/100,0))</f>
        <v>0</v>
      </c>
      <c r="AT375" s="38">
        <f>IF(AND(X375="○",$A375&gt;=AT$8,$A375&lt;=AT$9,K375&gt;=3980),IF(SUM(AT$10:AT374)-ROUNDDOWN($K375*AT$5/100,0)&lt;-AT$6,-AT$6-SUM(AT$10:AT374),-ROUNDDOWN($K375*AT$5/100,0)),0)</f>
        <v>0</v>
      </c>
      <c r="AU375" s="38">
        <f>IF(O375="○",IF(SUM(AU$10:AU374)-ROUNDDOWN($K375*AU$5/100,0)&lt;-AU$6,-AU$6-SUM(AU$10:AU374),-ROUNDDOWN($K375*AU$5/100,0)),0)</f>
        <v>0</v>
      </c>
      <c r="AV375" s="38">
        <f>IF(P375="○",IF(SUM(AV$10:AV374)-ROUNDDOWN($K375*AV$5/100,0)&lt;-AV$6,-AV$6-SUM(AV$10:AV374),-ROUNDDOWN($K375*AV$5/100,0)),0)</f>
        <v>0</v>
      </c>
      <c r="AW375" s="38">
        <f>IF(Q375="○",IF(SUM(AW$10:AW374)-ROUNDDOWN($K375*AW$5/100,0)&lt;-AW$6,-AW$6-SUM(AW$10:AW374),-ROUNDDOWN($K375*AW$5/100,0)),0)</f>
        <v>0</v>
      </c>
      <c r="AX375" s="38">
        <f>IF(R375="○",IF(SUM(AX$10:AX374)-ROUNDDOWN($K375*AX$5/100,0)&lt;-AX$6,-AX$6-SUM(AX$10:AX374),-ROUNDDOWN($K375*AX$5/100,0)),0)</f>
        <v>0</v>
      </c>
      <c r="AY375" s="70">
        <v>0</v>
      </c>
      <c r="AZ375" s="65">
        <f t="shared" si="250"/>
        <v>0</v>
      </c>
      <c r="BA375" s="65">
        <f t="shared" si="251"/>
        <v>0</v>
      </c>
      <c r="BB375" s="70"/>
      <c r="BC375" s="65">
        <f t="shared" si="252"/>
        <v>0</v>
      </c>
      <c r="BD375" s="70">
        <v>0</v>
      </c>
      <c r="BE375" s="65">
        <f t="shared" si="253"/>
        <v>0</v>
      </c>
      <c r="BF375" s="70">
        <v>0</v>
      </c>
      <c r="BG375" s="65">
        <f t="shared" si="254"/>
        <v>0</v>
      </c>
      <c r="BH375" s="70">
        <v>0</v>
      </c>
      <c r="BI375" s="65">
        <f t="shared" si="255"/>
        <v>0</v>
      </c>
      <c r="BJ375" s="38">
        <f>IF(AND(BJ$7="○",$A375&gt;=BJ$8,$A375&lt;=BJ$9),IF(SUM(BJ$10:BJ374)-ROUNDDOWN($M375*BJ$5/100,0)&lt;-BJ$6,-BJ$6-SUM(BJ$10:BJ374),-ROUNDDOWN($M375*BJ$5/100,0)),0)</f>
        <v>0</v>
      </c>
      <c r="BK375" s="38">
        <f>IF(AND(BK$7="○",$A375&gt;=BK$8,$A375&lt;=BK$9),IF(SUM(BK$10:BK374)-ROUNDDOWN($L375*BK$5/100,0)&lt;-BK$6,-BK$6-SUM(BK$10:BK374),-ROUNDDOWN($L375*BK$5/100,0)),0)</f>
        <v>0</v>
      </c>
      <c r="BL375" s="38">
        <f>IF(AND(BL$7="○",$A375&gt;=BL$8,$A375&lt;=BL$9),IF(SUM(BL$10:BL374)-ROUNDDOWN($L375*BL$5/100,0)&lt;-BL$6,-BL$6-SUM(BL$10:BL374),-ROUNDDOWN($L375*BL$5/100,0)),0)</f>
        <v>0</v>
      </c>
      <c r="BM375" s="38">
        <f>IF(AND(BM$7="○",$A375&gt;=BM$8,$A375&lt;=BM$9),IF(SUM(BM$10:BM374)-ROUNDDOWN($M375*BM$5/100,0)&lt;-BM$6,-BM$6-SUM(BM$10:BM374),-ROUNDDOWN($M375*BM$5/100,0)),0)</f>
        <v>0</v>
      </c>
      <c r="BN375" s="38">
        <f>IF(AND(BN$7="○",$A375&gt;=BN$8,$A375&lt;=BN$9),IF(SUM(BN$10:BN374)-ROUNDDOWN($M375*BN$5/100,0)&lt;-BN$6,-BN$6-SUM(BN$10:BN374),-ROUNDDOWN($M375*BN$5/100,0)),0)</f>
        <v>0</v>
      </c>
      <c r="BO375" s="38">
        <f>IF(AND(BO$7="○",$A375&gt;=BO$8,$A375&lt;=BO$9),IF(SUM(BO$10:BO374)-ROUNDDOWN($M375*BO$5/100,0)&lt;-BO$6,-BO$6-SUM(BO$10:BO374),-ROUNDDOWN($M375*BO$5/100,0)),0)</f>
        <v>0</v>
      </c>
      <c r="BP375" s="38">
        <f>IF(AND(BP$7="○",$A375&gt;=BP$8,$A375&lt;=BP$9),IF(SUM(BP$10:BP374)-ROUNDDOWN($M375*BP$5/100,0)&lt;-BP$6,-BP$6-SUM(BP$10:BP374),-ROUNDDOWN($M375*BP$5/100,0)),0)</f>
        <v>0</v>
      </c>
      <c r="BQ375" s="38">
        <f>IF(AND(BQ$7="○",$A375&gt;=BQ$8,$A375&lt;=BQ$9),IF(SUM(BQ$10:BQ374)-ROUNDDOWN($L375*BQ$5/100,0)&lt;-BQ$6,-BQ$6-SUM(BQ$10:BQ374),-ROUNDDOWN($L375*BQ$5/100,0)),0)</f>
        <v>0</v>
      </c>
      <c r="BR375" s="38">
        <f>IF(AND(BR$7="○",$A375&gt;=BR$8,$A375&lt;=BR$9),IF(SUM(BR$10:BR374)-ROUNDDOWN($M375*BR$5/100,0)&lt;-BR$6,-BR$6-SUM(BR$10:BR374),-ROUNDDOWN($M375*BR$5/100,0)),0)</f>
        <v>0</v>
      </c>
      <c r="BS375" s="38">
        <f>IF(AND(BS$7="○",$A375&gt;=BS$8,$A375&lt;=BS$9),IF(SUM(BS$10:BS374)-ROUNDDOWN($M375*BS$5/100,0)&lt;-BS$6,-BS$6-SUM(BS$10:BS374),-ROUNDDOWN($M375*BS$5/100,0)),0)</f>
        <v>0</v>
      </c>
      <c r="BT375" s="38">
        <f>IF(AND(BT$7="○",$A375&gt;=BT$8,$A375&lt;=BT$9),IF(SUM(BT$10:BT374)-ROUNDDOWN($M375*BT$5/100,0)&lt;-BT$6,-BT$6-SUM(BT$10:BT374),-ROUNDDOWN($M375*BT$5/100,0)),0)</f>
        <v>0</v>
      </c>
      <c r="BU375" s="38">
        <f>IF(AND(BU$7="○",$A375&gt;=BU$8,$A375&lt;=BU$9),IF(SUM(BU$10:BU374)-ROUNDDOWN($M375*BU$5/100,0)&lt;-BU$6,-BU$6-SUM(BU$10:BU374),-ROUNDDOWN($M375*BU$5/100,0)),0)</f>
        <v>0</v>
      </c>
      <c r="BV375" s="38">
        <f>IF(AND(BV$7="○",$A375&gt;=BV$8,$A375&lt;=BV$9),IF(SUM(BV$10:BV374)-ROUNDDOWN($M375*BV$5/100,0)&lt;-BV$6,-BV$6-SUM(BV$10:BV374),-ROUNDDOWN($M375*BV$5/100,0)),0)</f>
        <v>0</v>
      </c>
      <c r="BW375" s="38">
        <f>IF(AND(BW$7="○",$A375&gt;=BW$8,$A375&lt;=BW$9),IF(SUM(BW$10:BW374)-ROUNDDOWN($M375*BW$5/100,0)&lt;-BW$6,-BW$6-SUM(BW$10:BW374),-ROUNDDOWN($M375*BW$5/100,0)),0)</f>
        <v>0</v>
      </c>
      <c r="BX375" s="38">
        <f>IF(AND(T375="○",$A375&gt;=BX$8,$A375&lt;=BX$9),IF(SUM(BX$10:BX374)-ROUNDDOWN($K375*BX$5/100,0)&lt;-BX$6,-BX$6-SUM(BX$10:BX374),-ROUNDDOWN($K375*BX$5/100,0)),0)</f>
        <v>0</v>
      </c>
      <c r="BY375" s="38">
        <f>IF(AND(U375="○",$A375&gt;=BY$8,$A375&lt;=BY$9),IF(SUM(BY$10:BY374)-ROUNDDOWN($K375*BY$5/100,0)&lt;-BY$6,-BY$6-SUM(BY$10:BY374),-ROUNDDOWN($K375*BY$5/100,0)),0)</f>
        <v>0</v>
      </c>
      <c r="BZ375" s="38">
        <f>IF(AND(V375="○",$A375&gt;=BZ$8,$A375&lt;=BZ$9),IF(SUM(BZ$10:BZ374)-ROUNDDOWN($K375*BZ$5/100,0)&lt;-BZ$6,-BZ$6-SUM(BZ$10:BZ374),-ROUNDDOWN($K375*BZ$5/100,0)),0)</f>
        <v>0</v>
      </c>
      <c r="CA375" s="38">
        <f>IF(AND(W375="○",$A375&gt;=CA$8,$A375&lt;=CA$9),IF(SUM(CA$10:CA374)-ROUNDDOWN($K375*CA$5/100,0)&lt;-CA$6,-CA$6-SUM(CA$10:CA374),-ROUNDDOWN($K375*CA$5/100,0)),0)</f>
        <v>0</v>
      </c>
      <c r="CB375" s="38"/>
      <c r="CC375" s="38"/>
      <c r="CD375" s="38"/>
      <c r="CE375" s="38"/>
      <c r="CF375" s="38"/>
      <c r="CG375" s="65">
        <f t="shared" si="256"/>
        <v>0</v>
      </c>
      <c r="CH375" s="71">
        <f t="shared" si="257"/>
        <v>0</v>
      </c>
      <c r="CI375" s="1">
        <f t="shared" si="19"/>
        <v>0</v>
      </c>
      <c r="CJ375" s="1"/>
      <c r="CK375" s="2"/>
      <c r="CL375" s="2"/>
      <c r="CM375" s="2"/>
      <c r="CN375" s="2"/>
      <c r="CO375" s="73">
        <f t="shared" si="20"/>
        <v>0</v>
      </c>
      <c r="CP375" s="5">
        <f t="shared" si="21"/>
        <v>0</v>
      </c>
      <c r="CQ375" s="1"/>
      <c r="CR375" s="1">
        <f t="shared" si="22"/>
        <v>0</v>
      </c>
      <c r="CS375" s="1"/>
      <c r="CT375" s="1" t="e">
        <f>INDEX([2]マスタ!$A:$A,MATCH(D375,[2]マスタ!$C:$C,0))</f>
        <v>#N/A</v>
      </c>
      <c r="CU375" s="1" t="str">
        <f t="shared" ca="1" si="23"/>
        <v>20260620_0-0</v>
      </c>
    </row>
    <row r="376" spans="1:99" x14ac:dyDescent="0.4">
      <c r="A376" s="61"/>
      <c r="B376" s="62"/>
      <c r="C376" s="62"/>
      <c r="D376" s="62"/>
      <c r="E376" s="74"/>
      <c r="F376" s="62"/>
      <c r="G376" s="62">
        <v>1</v>
      </c>
      <c r="H376" s="64">
        <f t="shared" ref="H376:H405" si="267">+F376*G376</f>
        <v>0</v>
      </c>
      <c r="I376" s="64"/>
      <c r="J376" s="64"/>
      <c r="K376" s="65">
        <f t="shared" ref="K376:K387" si="268">+ROUNDDOWN((H376+I376)/100,0)*100</f>
        <v>0</v>
      </c>
      <c r="L376" s="65">
        <f t="shared" ref="L376:L405" si="269">+ROUNDDOWN((H376+I376)/1.1/100,0)*100</f>
        <v>0</v>
      </c>
      <c r="M376" s="65">
        <f t="shared" ref="M376:M405" si="270">+ROUNDDOWN((H376+I376)/1.1/200,0)*200</f>
        <v>0</v>
      </c>
      <c r="N376" s="65">
        <f t="shared" ref="N376:N405" si="271">+H376+I376+J376</f>
        <v>0</v>
      </c>
      <c r="O376" s="66" t="str">
        <f t="shared" ref="O376:O405" si="272">IF(OR(WEEKDAY($A376,2)=2,WEEKDAY($A376,2)=4),"○","✕")</f>
        <v>✕</v>
      </c>
      <c r="P376" s="67" t="str">
        <f t="shared" ref="P376:P405" si="273">+IF(MOD(TEXT($A376,"DD"),5)=0,"○","✕")</f>
        <v>○</v>
      </c>
      <c r="Q376" s="67" t="str">
        <f t="shared" ref="Q376:Q387" si="274">+IF((TEXT($A376,"DD")+0)=1,"○","✕")</f>
        <v>✕</v>
      </c>
      <c r="R376" s="67" t="str">
        <f t="shared" ref="R376:R405" si="275">+IF((TEXT($A376,"DD")+0)=18,"○","✕")</f>
        <v>✕</v>
      </c>
      <c r="S376" s="68">
        <v>0</v>
      </c>
      <c r="T376" s="69" t="s">
        <v>85</v>
      </c>
      <c r="U376" s="69" t="s">
        <v>85</v>
      </c>
      <c r="V376" s="69" t="s">
        <v>85</v>
      </c>
      <c r="W376" s="69" t="s">
        <v>85</v>
      </c>
      <c r="X376" s="69" t="s">
        <v>84</v>
      </c>
      <c r="Y376" s="69" t="s">
        <v>85</v>
      </c>
      <c r="Z376" s="69" t="s">
        <v>85</v>
      </c>
      <c r="AA376" s="69" t="s">
        <v>85</v>
      </c>
      <c r="AB376" s="69" t="s">
        <v>85</v>
      </c>
      <c r="AC376" s="69" t="s">
        <v>85</v>
      </c>
      <c r="AD376" s="38" t="str">
        <f>+IF(ISERROR(VLOOKUP($B376,#REF!,1,0)),IF(AND($N376&gt;=1000,$A376&gt;=AO$8,$A376&lt;=AO$9),$B376,""),"")</f>
        <v/>
      </c>
      <c r="AE376" s="38" t="str">
        <f>+IF(ISERROR(VLOOKUP($B376,#REF!,1,0)),IF(AND($N376&gt;=1000,$A376&gt;=AP$8,$A376&lt;=AP$9),$B376,""),"")</f>
        <v/>
      </c>
      <c r="AF376" s="38" t="str">
        <f>+IF(ISERROR(VLOOKUP($B376,#REF!,1,0)),IF(AND($N376&gt;=1000,$A376&gt;=AQ$8,$A376&lt;=AQ$9),$B376,""),"")</f>
        <v/>
      </c>
      <c r="AG376" s="38" t="str">
        <f>+IF(ISERROR(VLOOKUP($B376,#REF!,1,0)),IF(AND($N376&gt;=1000,$A376&gt;=AR$8,$A376&lt;=AR$9),$B376,""),"")</f>
        <v/>
      </c>
      <c r="AH376" s="38"/>
      <c r="AI376" s="70">
        <v>0</v>
      </c>
      <c r="AJ376" s="38">
        <f>IF(AND(AJ$7="○",$A376&gt;=AJ$8,$A376&lt;=AJ$9),IF(SUM(AJ$10:AJ375)-ROUNDDOWN($K376*AJ$5/100,0)&lt;-AJ$6,-AJ$6-SUM(AJ$10:AJ375),-ROUNDDOWN($K376*AJ$5/100,0)),0)</f>
        <v>0</v>
      </c>
      <c r="AK376" s="38">
        <f>IF(AND(AK$7="○",$A376&gt;=AK$8,$A376&lt;=AK$9),IF(SUM(AK$10:AK375)-ROUNDDOWN($L376*AK$5/100,0)&lt;-AK$6,-AK$6-SUM(AK$10:AK375),-ROUNDDOWN($L376*AK$5/100,0)),0)</f>
        <v>0</v>
      </c>
      <c r="AL376" s="38">
        <f>IF(AND(AL$7="○",$A376&gt;=AL$8,$A376&lt;=AL$9),IF(SUM(AL$10:AL375)-ROUNDDOWN($N376*AL$5/100,0)&lt;-AL$6,-AL$6-SUM(AL$10:AL375),-ROUNDDOWN($N376*AL$5/100,0)),0)</f>
        <v>0</v>
      </c>
      <c r="AM376" s="38">
        <f>IF(AND(AM$7="○",$A376&gt;=AM$8,$A376&lt;=AM$9),IF(SUM(AM$10:AM375)-ROUNDDOWN($L376*AM$5/100,0)&lt;-AM$6,-AM$6-SUM(AM$10:AM375),-ROUNDDOWN($L376*AM$5/100,0)),0)</f>
        <v>0</v>
      </c>
      <c r="AN376" s="38">
        <f>IF(AND(AN$7="○",$A376&gt;=AN$8,$A376&lt;=AN$9),IF(SUM(AN$10:AN375)-ROUNDDOWN($M376*AN$5/100,0)&lt;-AN$6,-AN$6-SUM(AN$10:AN375),-ROUNDDOWN($M376*AN$5/100,0)),0)</f>
        <v>0</v>
      </c>
      <c r="AO376" s="38">
        <f>IF(AND($A376&gt;=AO$8,$A376&lt;=AO$9),IF(SUM(AO$10:AO375)-ROUNDDOWN($K376*AO$5/100,0)&lt;-AO$6,-AO$6-SUM(AO$10:AO375),-ROUNDDOWN($K376*AO$5/100,0)),0)</f>
        <v>0</v>
      </c>
      <c r="AP376" s="38">
        <f>IF(AND($A376&gt;=AP$8,$A376&lt;=AP$9),IF(SUM(AP$10:AP375)-ROUNDDOWN($K376*AP$5/100,0)&lt;-AP$6,-AP$6-SUM(AP$10:AP375),-ROUNDDOWN($K376*AP$5/100,0)),0)</f>
        <v>0</v>
      </c>
      <c r="AQ376" s="38">
        <f>IF(AND($A376&gt;=AQ$8,$A376&lt;=AQ$9),IF(SUM(AQ$10:AQ375)-ROUNDDOWN($K376*AQ$5/100,0)&lt;-AQ$6,-AQ$6-SUM(AQ$10:AQ375),-ROUNDDOWN($K376*AQ$5/100,0)),0)</f>
        <v>0</v>
      </c>
      <c r="AR376" s="38">
        <f>IF(AND($A376&gt;=AR$8,$A376&lt;=AR$9),IF(SUM(AR$10:AR375)-ROUNDDOWN($K376*AR$5/100,0)&lt;-AR$6,-AR$6-SUM(AR$10:AR375),-ROUNDDOWN($K376*AR$5/100,0)),0)</f>
        <v>0</v>
      </c>
      <c r="AS376" s="38">
        <f>IF(SUMIFS(AS$10:AS375,$A$10:$A375,$A376)-ROUNDDOWN($K376*$S376/100,0)&lt;-$S376*1000,-$S376*1000-SUMIFS(AS$10:AS375,$A$10:$A375,$A376),-ROUNDDOWN($K376*$S376/100,0))</f>
        <v>0</v>
      </c>
      <c r="AT376" s="38">
        <f>IF(AND(X376="○",$A376&gt;=AT$8,$A376&lt;=AT$9,K376&gt;=3980),IF(SUM(AT$10:AT375)-ROUNDDOWN($K376*AT$5/100,0)&lt;-AT$6,-AT$6-SUM(AT$10:AT375),-ROUNDDOWN($K376*AT$5/100,0)),0)</f>
        <v>0</v>
      </c>
      <c r="AU376" s="38">
        <f>IF(O376="○",IF(SUM(AU$10:AU375)-ROUNDDOWN($K376*AU$5/100,0)&lt;-AU$6,-AU$6-SUM(AU$10:AU375),-ROUNDDOWN($K376*AU$5/100,0)),0)</f>
        <v>0</v>
      </c>
      <c r="AV376" s="38">
        <f>IF(P376="○",IF(SUM(AV$10:AV375)-ROUNDDOWN($K376*AV$5/100,0)&lt;-AV$6,-AV$6-SUM(AV$10:AV375),-ROUNDDOWN($K376*AV$5/100,0)),0)</f>
        <v>0</v>
      </c>
      <c r="AW376" s="38">
        <f>IF(Q376="○",IF(SUM(AW$10:AW375)-ROUNDDOWN($K376*AW$5/100,0)&lt;-AW$6,-AW$6-SUM(AW$10:AW375),-ROUNDDOWN($K376*AW$5/100,0)),0)</f>
        <v>0</v>
      </c>
      <c r="AX376" s="38">
        <f>IF(R376="○",IF(SUM(AX$10:AX375)-ROUNDDOWN($K376*AX$5/100,0)&lt;-AX$6,-AX$6-SUM(AX$10:AX375),-ROUNDDOWN($K376*AX$5/100,0)),0)</f>
        <v>0</v>
      </c>
      <c r="AY376" s="70">
        <v>0</v>
      </c>
      <c r="AZ376" s="65">
        <f t="shared" si="250"/>
        <v>0</v>
      </c>
      <c r="BA376" s="65">
        <f t="shared" si="251"/>
        <v>0</v>
      </c>
      <c r="BB376" s="70"/>
      <c r="BC376" s="65">
        <f t="shared" si="252"/>
        <v>0</v>
      </c>
      <c r="BD376" s="70">
        <v>0</v>
      </c>
      <c r="BE376" s="65">
        <f t="shared" si="253"/>
        <v>0</v>
      </c>
      <c r="BF376" s="70">
        <v>0</v>
      </c>
      <c r="BG376" s="65">
        <f t="shared" si="254"/>
        <v>0</v>
      </c>
      <c r="BH376" s="70">
        <v>0</v>
      </c>
      <c r="BI376" s="65">
        <f t="shared" si="255"/>
        <v>0</v>
      </c>
      <c r="BJ376" s="38">
        <f>IF(AND(BJ$7="○",$A376&gt;=BJ$8,$A376&lt;=BJ$9),IF(SUM(BJ$10:BJ375)-ROUNDDOWN($M376*BJ$5/100,0)&lt;-BJ$6,-BJ$6-SUM(BJ$10:BJ375),-ROUNDDOWN($M376*BJ$5/100,0)),0)</f>
        <v>0</v>
      </c>
      <c r="BK376" s="38">
        <f>IF(AND(BK$7="○",$A376&gt;=BK$8,$A376&lt;=BK$9),IF(SUM(BK$10:BK375)-ROUNDDOWN($L376*BK$5/100,0)&lt;-BK$6,-BK$6-SUM(BK$10:BK375),-ROUNDDOWN($L376*BK$5/100,0)),0)</f>
        <v>0</v>
      </c>
      <c r="BL376" s="38">
        <f>IF(AND(BL$7="○",$A376&gt;=BL$8,$A376&lt;=BL$9),IF(SUM(BL$10:BL375)-ROUNDDOWN($L376*BL$5/100,0)&lt;-BL$6,-BL$6-SUM(BL$10:BL375),-ROUNDDOWN($L376*BL$5/100,0)),0)</f>
        <v>0</v>
      </c>
      <c r="BM376" s="38">
        <f>IF(AND(BM$7="○",$A376&gt;=BM$8,$A376&lt;=BM$9),IF(SUM(BM$10:BM375)-ROUNDDOWN($M376*BM$5/100,0)&lt;-BM$6,-BM$6-SUM(BM$10:BM375),-ROUNDDOWN($M376*BM$5/100,0)),0)</f>
        <v>0</v>
      </c>
      <c r="BN376" s="38">
        <f>IF(AND(BN$7="○",$A376&gt;=BN$8,$A376&lt;=BN$9),IF(SUM(BN$10:BN375)-ROUNDDOWN($M376*BN$5/100,0)&lt;-BN$6,-BN$6-SUM(BN$10:BN375),-ROUNDDOWN($M376*BN$5/100,0)),0)</f>
        <v>0</v>
      </c>
      <c r="BO376" s="38">
        <f>IF(AND(BO$7="○",$A376&gt;=BO$8,$A376&lt;=BO$9),IF(SUM(BO$10:BO375)-ROUNDDOWN($M376*BO$5/100,0)&lt;-BO$6,-BO$6-SUM(BO$10:BO375),-ROUNDDOWN($M376*BO$5/100,0)),0)</f>
        <v>0</v>
      </c>
      <c r="BP376" s="38">
        <f>IF(AND(BP$7="○",$A376&gt;=BP$8,$A376&lt;=BP$9),IF(SUM(BP$10:BP375)-ROUNDDOWN($M376*BP$5/100,0)&lt;-BP$6,-BP$6-SUM(BP$10:BP375),-ROUNDDOWN($M376*BP$5/100,0)),0)</f>
        <v>0</v>
      </c>
      <c r="BQ376" s="38">
        <f>IF(AND(BQ$7="○",$A376&gt;=BQ$8,$A376&lt;=BQ$9),IF(SUM(BQ$10:BQ375)-ROUNDDOWN($L376*BQ$5/100,0)&lt;-BQ$6,-BQ$6-SUM(BQ$10:BQ375),-ROUNDDOWN($L376*BQ$5/100,0)),0)</f>
        <v>0</v>
      </c>
      <c r="BR376" s="38">
        <f>IF(AND(BR$7="○",$A376&gt;=BR$8,$A376&lt;=BR$9),IF(SUM(BR$10:BR375)-ROUNDDOWN($M376*BR$5/100,0)&lt;-BR$6,-BR$6-SUM(BR$10:BR375),-ROUNDDOWN($M376*BR$5/100,0)),0)</f>
        <v>0</v>
      </c>
      <c r="BS376" s="38">
        <f>IF(AND(BS$7="○",$A376&gt;=BS$8,$A376&lt;=BS$9),IF(SUM(BS$10:BS375)-ROUNDDOWN($M376*BS$5/100,0)&lt;-BS$6,-BS$6-SUM(BS$10:BS375),-ROUNDDOWN($M376*BS$5/100,0)),0)</f>
        <v>0</v>
      </c>
      <c r="BT376" s="38">
        <f>IF(AND(BT$7="○",$A376&gt;=BT$8,$A376&lt;=BT$9),IF(SUM(BT$10:BT375)-ROUNDDOWN($M376*BT$5/100,0)&lt;-BT$6,-BT$6-SUM(BT$10:BT375),-ROUNDDOWN($M376*BT$5/100,0)),0)</f>
        <v>0</v>
      </c>
      <c r="BU376" s="38">
        <f>IF(AND(BU$7="○",$A376&gt;=BU$8,$A376&lt;=BU$9),IF(SUM(BU$10:BU375)-ROUNDDOWN($M376*BU$5/100,0)&lt;-BU$6,-BU$6-SUM(BU$10:BU375),-ROUNDDOWN($M376*BU$5/100,0)),0)</f>
        <v>0</v>
      </c>
      <c r="BV376" s="38">
        <f>IF(AND(BV$7="○",$A376&gt;=BV$8,$A376&lt;=BV$9),IF(SUM(BV$10:BV375)-ROUNDDOWN($M376*BV$5/100,0)&lt;-BV$6,-BV$6-SUM(BV$10:BV375),-ROUNDDOWN($M376*BV$5/100,0)),0)</f>
        <v>0</v>
      </c>
      <c r="BW376" s="38">
        <f>IF(AND(BW$7="○",$A376&gt;=BW$8,$A376&lt;=BW$9),IF(SUM(BW$10:BW375)-ROUNDDOWN($M376*BW$5/100,0)&lt;-BW$6,-BW$6-SUM(BW$10:BW375),-ROUNDDOWN($M376*BW$5/100,0)),0)</f>
        <v>0</v>
      </c>
      <c r="BX376" s="38">
        <f>IF(AND(T376="○",$A376&gt;=BX$8,$A376&lt;=BX$9),IF(SUM(BX$10:BX375)-ROUNDDOWN($K376*BX$5/100,0)&lt;-BX$6,-BX$6-SUM(BX$10:BX375),-ROUNDDOWN($K376*BX$5/100,0)),0)</f>
        <v>0</v>
      </c>
      <c r="BY376" s="38">
        <f>IF(AND(U376="○",$A376&gt;=BY$8,$A376&lt;=BY$9),IF(SUM(BY$10:BY375)-ROUNDDOWN($K376*BY$5/100,0)&lt;-BY$6,-BY$6-SUM(BY$10:BY375),-ROUNDDOWN($K376*BY$5/100,0)),0)</f>
        <v>0</v>
      </c>
      <c r="BZ376" s="38">
        <f>IF(AND(V376="○",$A376&gt;=BZ$8,$A376&lt;=BZ$9),IF(SUM(BZ$10:BZ375)-ROUNDDOWN($K376*BZ$5/100,0)&lt;-BZ$6,-BZ$6-SUM(BZ$10:BZ375),-ROUNDDOWN($K376*BZ$5/100,0)),0)</f>
        <v>0</v>
      </c>
      <c r="CA376" s="38">
        <f>IF(AND(W376="○",$A376&gt;=CA$8,$A376&lt;=CA$9),IF(SUM(CA$10:CA375)-ROUNDDOWN($K376*CA$5/100,0)&lt;-CA$6,-CA$6-SUM(CA$10:CA375),-ROUNDDOWN($K376*CA$5/100,0)),0)</f>
        <v>0</v>
      </c>
      <c r="CB376" s="38"/>
      <c r="CC376" s="38"/>
      <c r="CD376" s="38"/>
      <c r="CE376" s="38"/>
      <c r="CF376" s="38"/>
      <c r="CG376" s="65">
        <f t="shared" si="256"/>
        <v>0</v>
      </c>
      <c r="CH376" s="71">
        <f t="shared" si="257"/>
        <v>0</v>
      </c>
      <c r="CI376" s="1">
        <f t="shared" ref="CI376:CI405" si="276">IFERROR(ROUNDDOWN((CH376/G376),0),0)</f>
        <v>0</v>
      </c>
      <c r="CJ376" s="1"/>
      <c r="CK376" s="72"/>
      <c r="CL376" s="72"/>
      <c r="CM376" s="2"/>
      <c r="CN376" s="2"/>
      <c r="CO376" s="73">
        <f t="shared" ref="CO376:CO405" si="277">IFERROR(CN376-CI376,0)</f>
        <v>0</v>
      </c>
      <c r="CP376" s="5">
        <f t="shared" ref="CP376:CP405" si="278">IFERROR(CN376/CI376,0)</f>
        <v>0</v>
      </c>
      <c r="CQ376" s="1"/>
      <c r="CR376" s="1">
        <f t="shared" ref="CR376:CR405" si="279">+CO376*G376</f>
        <v>0</v>
      </c>
      <c r="CS376" s="1"/>
      <c r="CT376" s="1" t="e">
        <f>INDEX([2]マスタ!$A:$A,MATCH(D376,[2]マスタ!$C:$C,0))</f>
        <v>#N/A</v>
      </c>
      <c r="CU376" s="1" t="str">
        <f t="shared" ref="CU376:CU405" ca="1" si="280">IFERROR(TEXT(TODAY(),"yyyymmdd")&amp;"_"&amp;ROUNDDOWN(H376+I376,0)&amp;"-"&amp;ROUNDDOWN(CI376,0),"")</f>
        <v>20260620_0-0</v>
      </c>
    </row>
    <row r="377" spans="1:99" x14ac:dyDescent="0.4">
      <c r="A377" s="61"/>
      <c r="B377" s="62"/>
      <c r="C377" s="62"/>
      <c r="D377" s="62"/>
      <c r="E377" s="76"/>
      <c r="F377" s="62"/>
      <c r="G377" s="62">
        <v>1</v>
      </c>
      <c r="H377" s="64">
        <f t="shared" si="267"/>
        <v>0</v>
      </c>
      <c r="I377" s="64"/>
      <c r="J377" s="64"/>
      <c r="K377" s="65">
        <f t="shared" si="268"/>
        <v>0</v>
      </c>
      <c r="L377" s="65">
        <f t="shared" si="269"/>
        <v>0</v>
      </c>
      <c r="M377" s="65">
        <f t="shared" si="270"/>
        <v>0</v>
      </c>
      <c r="N377" s="65">
        <f t="shared" si="271"/>
        <v>0</v>
      </c>
      <c r="O377" s="66" t="str">
        <f t="shared" si="272"/>
        <v>✕</v>
      </c>
      <c r="P377" s="67" t="str">
        <f t="shared" si="273"/>
        <v>○</v>
      </c>
      <c r="Q377" s="67" t="str">
        <f t="shared" si="274"/>
        <v>✕</v>
      </c>
      <c r="R377" s="67" t="str">
        <f t="shared" si="275"/>
        <v>✕</v>
      </c>
      <c r="S377" s="68">
        <v>0</v>
      </c>
      <c r="T377" s="69" t="s">
        <v>85</v>
      </c>
      <c r="U377" s="69" t="s">
        <v>85</v>
      </c>
      <c r="V377" s="69" t="s">
        <v>85</v>
      </c>
      <c r="W377" s="69" t="s">
        <v>85</v>
      </c>
      <c r="X377" s="69" t="s">
        <v>84</v>
      </c>
      <c r="Y377" s="69" t="s">
        <v>85</v>
      </c>
      <c r="Z377" s="69" t="s">
        <v>85</v>
      </c>
      <c r="AA377" s="69" t="s">
        <v>85</v>
      </c>
      <c r="AB377" s="69" t="s">
        <v>85</v>
      </c>
      <c r="AC377" s="69" t="s">
        <v>85</v>
      </c>
      <c r="AD377" s="38" t="str">
        <f>+IF(ISERROR(VLOOKUP($B377,AD$10:AD376,1,0)),IF(AND($N377&gt;=1000,$A377&gt;=AO$8,$A377&lt;=AO$9),$B377,""),"")</f>
        <v/>
      </c>
      <c r="AE377" s="38" t="str">
        <f>+IF(ISERROR(VLOOKUP($B377,AE$10:AE376,1,0)),IF(AND($N377&gt;=1000,$A377&gt;=AP$8,$A377&lt;=AP$9),$B377,""),"")</f>
        <v/>
      </c>
      <c r="AF377" s="38" t="str">
        <f>+IF(ISERROR(VLOOKUP($B377,AF$10:AF376,1,0)),IF(AND($N377&gt;=1000,$A377&gt;=AQ$8,$A377&lt;=AQ$9),$B377,""),"")</f>
        <v/>
      </c>
      <c r="AG377" s="38" t="str">
        <f>+IF(ISERROR(VLOOKUP($B377,AG$10:AG376,1,0)),IF(AND($N377&gt;=1000,$A377&gt;=AR$8,$A377&lt;=AR$9),$B377,""),"")</f>
        <v/>
      </c>
      <c r="AH377" s="38"/>
      <c r="AI377" s="70">
        <v>0</v>
      </c>
      <c r="AJ377" s="38">
        <f>IF(AND(AJ$7="○",$A377&gt;=AJ$8,$A377&lt;=AJ$9),IF(SUM(AJ$10:AJ376)-ROUNDDOWN($K377*AJ$5/100,0)&lt;-AJ$6,-AJ$6-SUM(AJ$10:AJ376),-ROUNDDOWN($K377*AJ$5/100,0)),0)</f>
        <v>0</v>
      </c>
      <c r="AK377" s="38">
        <f>IF(AND(AK$7="○",$A377&gt;=AK$8,$A377&lt;=AK$9),IF(SUM(AK$10:AK376)-ROUNDDOWN($L377*AK$5/100,0)&lt;-AK$6,-AK$6-SUM(AK$10:AK376),-ROUNDDOWN($L377*AK$5/100,0)),0)</f>
        <v>0</v>
      </c>
      <c r="AL377" s="38">
        <f>IF(AND(AL$7="○",$A377&gt;=AL$8,$A377&lt;=AL$9),IF(SUM(AL$10:AL376)-ROUNDDOWN($N377*AL$5/100,0)&lt;-AL$6,-AL$6-SUM(AL$10:AL376),-ROUNDDOWN($N377*AL$5/100,0)),0)</f>
        <v>0</v>
      </c>
      <c r="AM377" s="38">
        <f>IF(AND(AM$7="○",$A377&gt;=AM$8,$A377&lt;=AM$9),IF(SUM(AM$10:AM376)-ROUNDDOWN($L377*AM$5/100,0)&lt;-AM$6,-AM$6-SUM(AM$10:AM376),-ROUNDDOWN($L377*AM$5/100,0)),0)</f>
        <v>0</v>
      </c>
      <c r="AN377" s="38">
        <f>IF(AND(AN$7="○",$A377&gt;=AN$8,$A377&lt;=AN$9),IF(SUM(AN$10:AN376)-ROUNDDOWN($M377*AN$5/100,0)&lt;-AN$6,-AN$6-SUM(AN$10:AN376),-ROUNDDOWN($M377*AN$5/100,0)),0)</f>
        <v>0</v>
      </c>
      <c r="AO377" s="38">
        <f>IF(AND($A377&gt;=AO$8,$A377&lt;=AO$9),IF(SUM(AO$10:AO376)-ROUNDDOWN($K377*AO$5/100,0)&lt;-AO$6,-AO$6-SUM(AO$10:AO376),-ROUNDDOWN($K377*AO$5/100,0)),0)</f>
        <v>0</v>
      </c>
      <c r="AP377" s="38">
        <f>IF(AND($A377&gt;=AP$8,$A377&lt;=AP$9),IF(SUM(AP$10:AP376)-ROUNDDOWN($K377*AP$5/100,0)&lt;-AP$6,-AP$6-SUM(AP$10:AP376),-ROUNDDOWN($K377*AP$5/100,0)),0)</f>
        <v>0</v>
      </c>
      <c r="AQ377" s="38">
        <f>IF(AND($A377&gt;=AQ$8,$A377&lt;=AQ$9),IF(SUM(AQ$10:AQ376)-ROUNDDOWN($K377*AQ$5/100,0)&lt;-AQ$6,-AQ$6-SUM(AQ$10:AQ376),-ROUNDDOWN($K377*AQ$5/100,0)),0)</f>
        <v>0</v>
      </c>
      <c r="AR377" s="38">
        <f>IF(AND($A377&gt;=AR$8,$A377&lt;=AR$9),IF(SUM(AR$10:AR376)-ROUNDDOWN($K377*AR$5/100,0)&lt;-AR$6,-AR$6-SUM(AR$10:AR376),-ROUNDDOWN($K377*AR$5/100,0)),0)</f>
        <v>0</v>
      </c>
      <c r="AS377" s="38">
        <f>IF(SUMIFS(AS$10:AS376,$A$10:$A376,$A377)-ROUNDDOWN($K377*$S377/100,0)&lt;-$S377*1000,-$S377*1000-SUMIFS(AS$10:AS376,$A$10:$A376,$A377),-ROUNDDOWN($K377*$S377/100,0))</f>
        <v>0</v>
      </c>
      <c r="AT377" s="38">
        <f>IF(AND(X377="○",$A377&gt;=AT$8,$A377&lt;=AT$9,K377&gt;=3980),IF(SUM(AT$10:AT376)-ROUNDDOWN($K377*AT$5/100,0)&lt;-AT$6,-AT$6-SUM(AT$10:AT376),-ROUNDDOWN($K377*AT$5/100,0)),0)</f>
        <v>0</v>
      </c>
      <c r="AU377" s="38">
        <f>IF(O377="○",IF(SUM(AU$10:AU376)-ROUNDDOWN($K377*AU$5/100,0)&lt;-AU$6,-AU$6-SUM(AU$10:AU376),-ROUNDDOWN($K377*AU$5/100,0)),0)</f>
        <v>0</v>
      </c>
      <c r="AV377" s="38">
        <f>IF(P377="○",IF(SUM(AV$10:AV376)-ROUNDDOWN($K377*AV$5/100,0)&lt;-AV$6,-AV$6-SUM(AV$10:AV376),-ROUNDDOWN($K377*AV$5/100,0)),0)</f>
        <v>0</v>
      </c>
      <c r="AW377" s="38">
        <f>IF(Q377="○",IF(SUM(AW$10:AW376)-ROUNDDOWN($K377*AW$5/100,0)&lt;-AW$6,-AW$6-SUM(AW$10:AW376),-ROUNDDOWN($K377*AW$5/100,0)),0)</f>
        <v>0</v>
      </c>
      <c r="AX377" s="38">
        <f>IF(R377="○",IF(SUM(AX$10:AX376)-ROUNDDOWN($K377*AX$5/100,0)&lt;-AX$6,-AX$6-SUM(AX$10:AX376),-ROUNDDOWN($K377*AX$5/100,0)),0)</f>
        <v>0</v>
      </c>
      <c r="AY377" s="70">
        <v>0</v>
      </c>
      <c r="AZ377" s="65">
        <f t="shared" si="250"/>
        <v>0</v>
      </c>
      <c r="BA377" s="65">
        <f t="shared" si="251"/>
        <v>0</v>
      </c>
      <c r="BB377" s="70"/>
      <c r="BC377" s="65">
        <f t="shared" si="252"/>
        <v>0</v>
      </c>
      <c r="BD377" s="70">
        <v>0</v>
      </c>
      <c r="BE377" s="65">
        <f t="shared" si="253"/>
        <v>0</v>
      </c>
      <c r="BF377" s="70">
        <v>0</v>
      </c>
      <c r="BG377" s="65">
        <f t="shared" si="254"/>
        <v>0</v>
      </c>
      <c r="BH377" s="70">
        <v>0</v>
      </c>
      <c r="BI377" s="65">
        <f t="shared" si="255"/>
        <v>0</v>
      </c>
      <c r="BJ377" s="38">
        <f>IF(AND(BJ$7="○",$A377&gt;=BJ$8,$A377&lt;=BJ$9),IF(SUM(BJ$10:BJ376)-ROUNDDOWN($M377*BJ$5/100,0)&lt;-BJ$6,-BJ$6-SUM(BJ$10:BJ376),-ROUNDDOWN($M377*BJ$5/100,0)),0)</f>
        <v>0</v>
      </c>
      <c r="BK377" s="38">
        <f>IF(AND(BK$7="○",$A377&gt;=BK$8,$A377&lt;=BK$9),IF(SUM(BK$10:BK376)-ROUNDDOWN($L377*BK$5/100,0)&lt;-BK$6,-BK$6-SUM(BK$10:BK376),-ROUNDDOWN($L377*BK$5/100,0)),0)</f>
        <v>0</v>
      </c>
      <c r="BL377" s="38">
        <f>IF(AND(BL$7="○",$A377&gt;=BL$8,$A377&lt;=BL$9),IF(SUM(BL$10:BL376)-ROUNDDOWN($L377*BL$5/100,0)&lt;-BL$6,-BL$6-SUM(BL$10:BL376),-ROUNDDOWN($L377*BL$5/100,0)),0)</f>
        <v>0</v>
      </c>
      <c r="BM377" s="38">
        <f>IF(AND(BM$7="○",$A377&gt;=BM$8,$A377&lt;=BM$9),IF(SUM(BM$10:BM376)-ROUNDDOWN($M377*BM$5/100,0)&lt;-BM$6,-BM$6-SUM(BM$10:BM376),-ROUNDDOWN($M377*BM$5/100,0)),0)</f>
        <v>0</v>
      </c>
      <c r="BN377" s="38">
        <f>IF(AND(BN$7="○",$A377&gt;=BN$8,$A377&lt;=BN$9),IF(SUM(BN$10:BN376)-ROUNDDOWN($M377*BN$5/100,0)&lt;-BN$6,-BN$6-SUM(BN$10:BN376),-ROUNDDOWN($M377*BN$5/100,0)),0)</f>
        <v>0</v>
      </c>
      <c r="BO377" s="38">
        <f>IF(AND(BO$7="○",$A377&gt;=BO$8,$A377&lt;=BO$9),IF(SUM(BO$10:BO376)-ROUNDDOWN($M377*BO$5/100,0)&lt;-BO$6,-BO$6-SUM(BO$10:BO376),-ROUNDDOWN($M377*BO$5/100,0)),0)</f>
        <v>0</v>
      </c>
      <c r="BP377" s="38">
        <f>IF(AND(BP$7="○",$A377&gt;=BP$8,$A377&lt;=BP$9),IF(SUM(BP$10:BP376)-ROUNDDOWN($M377*BP$5/100,0)&lt;-BP$6,-BP$6-SUM(BP$10:BP376),-ROUNDDOWN($M377*BP$5/100,0)),0)</f>
        <v>0</v>
      </c>
      <c r="BQ377" s="38">
        <f>IF(AND(BQ$7="○",$A377&gt;=BQ$8,$A377&lt;=BQ$9),IF(SUM(BQ$10:BQ376)-ROUNDDOWN($L377*BQ$5/100,0)&lt;-BQ$6,-BQ$6-SUM(BQ$10:BQ376),-ROUNDDOWN($L377*BQ$5/100,0)),0)</f>
        <v>0</v>
      </c>
      <c r="BR377" s="38">
        <f>IF(AND(BR$7="○",$A377&gt;=BR$8,$A377&lt;=BR$9),IF(SUM(BR$10:BR376)-ROUNDDOWN($M377*BR$5/100,0)&lt;-BR$6,-BR$6-SUM(BR$10:BR376),-ROUNDDOWN($M377*BR$5/100,0)),0)</f>
        <v>0</v>
      </c>
      <c r="BS377" s="38">
        <f>IF(AND(BS$7="○",$A377&gt;=BS$8,$A377&lt;=BS$9),IF(SUM(BS$10:BS376)-ROUNDDOWN($M377*BS$5/100,0)&lt;-BS$6,-BS$6-SUM(BS$10:BS376),-ROUNDDOWN($M377*BS$5/100,0)),0)</f>
        <v>0</v>
      </c>
      <c r="BT377" s="38">
        <f>IF(AND(BT$7="○",$A377&gt;=BT$8,$A377&lt;=BT$9),IF(SUM(BT$10:BT376)-ROUNDDOWN($M377*BT$5/100,0)&lt;-BT$6,-BT$6-SUM(BT$10:BT376),-ROUNDDOWN($M377*BT$5/100,0)),0)</f>
        <v>0</v>
      </c>
      <c r="BU377" s="38">
        <f>IF(AND(BU$7="○",$A377&gt;=BU$8,$A377&lt;=BU$9),IF(SUM(BU$10:BU376)-ROUNDDOWN($M377*BU$5/100,0)&lt;-BU$6,-BU$6-SUM(BU$10:BU376),-ROUNDDOWN($M377*BU$5/100,0)),0)</f>
        <v>0</v>
      </c>
      <c r="BV377" s="38">
        <f>IF(AND(BV$7="○",$A377&gt;=BV$8,$A377&lt;=BV$9),IF(SUM(BV$10:BV376)-ROUNDDOWN($M377*BV$5/100,0)&lt;-BV$6,-BV$6-SUM(BV$10:BV376),-ROUNDDOWN($M377*BV$5/100,0)),0)</f>
        <v>0</v>
      </c>
      <c r="BW377" s="38">
        <f>IF(AND(BW$7="○",$A377&gt;=BW$8,$A377&lt;=BW$9),IF(SUM(BW$10:BW376)-ROUNDDOWN($M377*BW$5/100,0)&lt;-BW$6,-BW$6-SUM(BW$10:BW376),-ROUNDDOWN($M377*BW$5/100,0)),0)</f>
        <v>0</v>
      </c>
      <c r="BX377" s="38">
        <f>IF(AND(T377="○",$A377&gt;=BX$8,$A377&lt;=BX$9),IF(SUM(BX$10:BX376)-ROUNDDOWN($K377*BX$5/100,0)&lt;-BX$6,-BX$6-SUM(BX$10:BX376),-ROUNDDOWN($K377*BX$5/100,0)),0)</f>
        <v>0</v>
      </c>
      <c r="BY377" s="38">
        <f>IF(AND(U377="○",$A377&gt;=BY$8,$A377&lt;=BY$9),IF(SUM(BY$10:BY376)-ROUNDDOWN($K377*BY$5/100,0)&lt;-BY$6,-BY$6-SUM(BY$10:BY376),-ROUNDDOWN($K377*BY$5/100,0)),0)</f>
        <v>0</v>
      </c>
      <c r="BZ377" s="38">
        <f>IF(AND(V377="○",$A377&gt;=BZ$8,$A377&lt;=BZ$9),IF(SUM(BZ$10:BZ376)-ROUNDDOWN($K377*BZ$5/100,0)&lt;-BZ$6,-BZ$6-SUM(BZ$10:BZ376),-ROUNDDOWN($K377*BZ$5/100,0)),0)</f>
        <v>0</v>
      </c>
      <c r="CA377" s="38">
        <f>IF(AND(W377="○",$A377&gt;=CA$8,$A377&lt;=CA$9),IF(SUM(CA$10:CA376)-ROUNDDOWN($K377*CA$5/100,0)&lt;-CA$6,-CA$6-SUM(CA$10:CA376),-ROUNDDOWN($K377*CA$5/100,0)),0)</f>
        <v>0</v>
      </c>
      <c r="CB377" s="38"/>
      <c r="CC377" s="38"/>
      <c r="CD377" s="38"/>
      <c r="CE377" s="38"/>
      <c r="CF377" s="38"/>
      <c r="CG377" s="65">
        <f t="shared" si="256"/>
        <v>0</v>
      </c>
      <c r="CH377" s="71">
        <f t="shared" si="257"/>
        <v>0</v>
      </c>
      <c r="CI377" s="1">
        <f t="shared" si="276"/>
        <v>0</v>
      </c>
      <c r="CJ377" s="1"/>
      <c r="CK377" s="72"/>
      <c r="CL377" s="72"/>
      <c r="CM377" s="2"/>
      <c r="CN377" s="2"/>
      <c r="CO377" s="73">
        <f t="shared" si="277"/>
        <v>0</v>
      </c>
      <c r="CP377" s="5">
        <f t="shared" si="278"/>
        <v>0</v>
      </c>
      <c r="CQ377" s="1"/>
      <c r="CR377" s="1">
        <f t="shared" si="279"/>
        <v>0</v>
      </c>
      <c r="CS377" s="1"/>
      <c r="CT377" s="1" t="e">
        <f>INDEX([2]マスタ!$A:$A,MATCH(D377,[2]マスタ!$C:$C,0))</f>
        <v>#N/A</v>
      </c>
      <c r="CU377" s="1" t="str">
        <f t="shared" ca="1" si="280"/>
        <v>20260620_0-0</v>
      </c>
    </row>
    <row r="378" spans="1:99" x14ac:dyDescent="0.4">
      <c r="A378" s="61"/>
      <c r="B378" s="62"/>
      <c r="C378" s="62"/>
      <c r="D378" s="62"/>
      <c r="E378" s="63"/>
      <c r="F378" s="62"/>
      <c r="G378" s="62">
        <v>1</v>
      </c>
      <c r="H378" s="64">
        <f t="shared" si="267"/>
        <v>0</v>
      </c>
      <c r="I378" s="64"/>
      <c r="J378" s="64"/>
      <c r="K378" s="65">
        <f t="shared" si="268"/>
        <v>0</v>
      </c>
      <c r="L378" s="65">
        <f t="shared" si="269"/>
        <v>0</v>
      </c>
      <c r="M378" s="65">
        <f t="shared" si="270"/>
        <v>0</v>
      </c>
      <c r="N378" s="65">
        <f t="shared" si="271"/>
        <v>0</v>
      </c>
      <c r="O378" s="66" t="str">
        <f t="shared" si="272"/>
        <v>✕</v>
      </c>
      <c r="P378" s="67" t="str">
        <f t="shared" si="273"/>
        <v>○</v>
      </c>
      <c r="Q378" s="67" t="str">
        <f t="shared" si="274"/>
        <v>✕</v>
      </c>
      <c r="R378" s="67" t="str">
        <f t="shared" si="275"/>
        <v>✕</v>
      </c>
      <c r="S378" s="68">
        <v>0</v>
      </c>
      <c r="T378" s="69" t="s">
        <v>85</v>
      </c>
      <c r="U378" s="69" t="s">
        <v>85</v>
      </c>
      <c r="V378" s="69" t="s">
        <v>85</v>
      </c>
      <c r="W378" s="69" t="s">
        <v>85</v>
      </c>
      <c r="X378" s="69" t="s">
        <v>84</v>
      </c>
      <c r="Y378" s="69" t="s">
        <v>85</v>
      </c>
      <c r="Z378" s="69" t="s">
        <v>85</v>
      </c>
      <c r="AA378" s="69" t="s">
        <v>85</v>
      </c>
      <c r="AB378" s="69" t="s">
        <v>85</v>
      </c>
      <c r="AC378" s="69" t="s">
        <v>85</v>
      </c>
      <c r="AD378" s="38" t="str">
        <f>+IF(ISERROR(VLOOKUP($B378,AD$10:AD377,1,0)),IF(AND($N378&gt;=1000,$A378&gt;=AO$8,$A378&lt;=AO$9),$B378,""),"")</f>
        <v/>
      </c>
      <c r="AE378" s="38" t="str">
        <f>+IF(ISERROR(VLOOKUP($B378,AE$10:AE377,1,0)),IF(AND($N378&gt;=1000,$A378&gt;=AP$8,$A378&lt;=AP$9),$B378,""),"")</f>
        <v/>
      </c>
      <c r="AF378" s="38" t="str">
        <f>+IF(ISERROR(VLOOKUP($B378,AF$10:AF377,1,0)),IF(AND($N378&gt;=1000,$A378&gt;=AQ$8,$A378&lt;=AQ$9),$B378,""),"")</f>
        <v/>
      </c>
      <c r="AG378" s="38" t="str">
        <f>+IF(ISERROR(VLOOKUP($B378,AG$10:AG377,1,0)),IF(AND($N378&gt;=1000,$A378&gt;=AR$8,$A378&lt;=AR$9),$B378,""),"")</f>
        <v/>
      </c>
      <c r="AH378" s="38"/>
      <c r="AI378" s="70">
        <v>0</v>
      </c>
      <c r="AJ378" s="38">
        <f>IF(AND(AJ$7="○",$A378&gt;=AJ$8,$A378&lt;=AJ$9),IF(SUM(AJ$10:AJ377)-ROUNDDOWN($K378*AJ$5/100,0)&lt;-AJ$6,-AJ$6-SUM(AJ$10:AJ377),-ROUNDDOWN($K378*AJ$5/100,0)),0)</f>
        <v>0</v>
      </c>
      <c r="AK378" s="38">
        <f>IF(AND(AK$7="○",$A378&gt;=AK$8,$A378&lt;=AK$9),IF(SUM(AK$10:AK377)-ROUNDDOWN($L378*AK$5/100,0)&lt;-AK$6,-AK$6-SUM(AK$10:AK377),-ROUNDDOWN($L378*AK$5/100,0)),0)</f>
        <v>0</v>
      </c>
      <c r="AL378" s="38">
        <f>IF(AND(AL$7="○",$A378&gt;=AL$8,$A378&lt;=AL$9),IF(SUM(AL$10:AL377)-ROUNDDOWN($N378*AL$5/100,0)&lt;-AL$6,-AL$6-SUM(AL$10:AL377),-ROUNDDOWN($N378*AL$5/100,0)),0)</f>
        <v>0</v>
      </c>
      <c r="AM378" s="38">
        <f>IF(AND(AM$7="○",$A378&gt;=AM$8,$A378&lt;=AM$9),IF(SUM(AM$10:AM377)-ROUNDDOWN($L378*AM$5/100,0)&lt;-AM$6,-AM$6-SUM(AM$10:AM377),-ROUNDDOWN($L378*AM$5/100,0)),0)</f>
        <v>0</v>
      </c>
      <c r="AN378" s="38">
        <f>IF(AND(AN$7="○",$A378&gt;=AN$8,$A378&lt;=AN$9),IF(SUM(AN$10:AN377)-ROUNDDOWN($M378*AN$5/100,0)&lt;-AN$6,-AN$6-SUM(AN$10:AN377),-ROUNDDOWN($M378*AN$5/100,0)),0)</f>
        <v>0</v>
      </c>
      <c r="AO378" s="38">
        <f>IF(AND($A378&gt;=AO$8,$A378&lt;=AO$9),IF(SUM(AO$10:AO377)-ROUNDDOWN($K378*AO$5/100,0)&lt;-AO$6,-AO$6-SUM(AO$10:AO377),-ROUNDDOWN($K378*AO$5/100,0)),0)</f>
        <v>0</v>
      </c>
      <c r="AP378" s="38">
        <f>IF(AND($A378&gt;=AP$8,$A378&lt;=AP$9),IF(SUM(AP$10:AP377)-ROUNDDOWN($K378*AP$5/100,0)&lt;-AP$6,-AP$6-SUM(AP$10:AP377),-ROUNDDOWN($K378*AP$5/100,0)),0)</f>
        <v>0</v>
      </c>
      <c r="AQ378" s="38">
        <f>IF(AND($A378&gt;=AQ$8,$A378&lt;=AQ$9),IF(SUM(AQ$10:AQ377)-ROUNDDOWN($K378*AQ$5/100,0)&lt;-AQ$6,-AQ$6-SUM(AQ$10:AQ377),-ROUNDDOWN($K378*AQ$5/100,0)),0)</f>
        <v>0</v>
      </c>
      <c r="AR378" s="38">
        <f>IF(AND($A378&gt;=AR$8,$A378&lt;=AR$9),IF(SUM(AR$10:AR377)-ROUNDDOWN($K378*AR$5/100,0)&lt;-AR$6,-AR$6-SUM(AR$10:AR377),-ROUNDDOWN($K378*AR$5/100,0)),0)</f>
        <v>0</v>
      </c>
      <c r="AS378" s="38">
        <f>IF(SUMIFS(AS$10:AS377,$A$10:$A377,$A378)-ROUNDDOWN($K378*$S378/100,0)&lt;-$S378*1000,-$S378*1000-SUMIFS(AS$10:AS377,$A$10:$A377,$A378),-ROUNDDOWN($K378*$S378/100,0))</f>
        <v>0</v>
      </c>
      <c r="AT378" s="38">
        <f>IF(AND(X378="○",$A378&gt;=AT$8,$A378&lt;=AT$9,K378&gt;=3980),IF(SUM(AT$10:AT377)-ROUNDDOWN($K378*AT$5/100,0)&lt;-AT$6,-AT$6-SUM(AT$10:AT377),-ROUNDDOWN($K378*AT$5/100,0)),0)</f>
        <v>0</v>
      </c>
      <c r="AU378" s="38">
        <f>IF(O378="○",IF(SUM(AU$10:AU377)-ROUNDDOWN($K378*AU$5/100,0)&lt;-AU$6,-AU$6-SUM(AU$10:AU377),-ROUNDDOWN($K378*AU$5/100,0)),0)</f>
        <v>0</v>
      </c>
      <c r="AV378" s="38">
        <f>IF(P378="○",IF(SUM(AV$10:AV377)-ROUNDDOWN($K378*AV$5/100,0)&lt;-AV$6,-AV$6-SUM(AV$10:AV377),-ROUNDDOWN($K378*AV$5/100,0)),0)</f>
        <v>0</v>
      </c>
      <c r="AW378" s="38">
        <f>IF(Q378="○",IF(SUM(AW$10:AW377)-ROUNDDOWN($K378*AW$5/100,0)&lt;-AW$6,-AW$6-SUM(AW$10:AW377),-ROUNDDOWN($K378*AW$5/100,0)),0)</f>
        <v>0</v>
      </c>
      <c r="AX378" s="38">
        <f>IF(R378="○",IF(SUM(AX$10:AX377)-ROUNDDOWN($K378*AX$5/100,0)&lt;-AX$6,-AX$6-SUM(AX$10:AX377),-ROUNDDOWN($K378*AX$5/100,0)),0)</f>
        <v>0</v>
      </c>
      <c r="AY378" s="70">
        <v>0</v>
      </c>
      <c r="AZ378" s="65">
        <f t="shared" si="250"/>
        <v>0</v>
      </c>
      <c r="BA378" s="65">
        <f t="shared" si="251"/>
        <v>0</v>
      </c>
      <c r="BB378" s="70"/>
      <c r="BC378" s="65">
        <f t="shared" si="252"/>
        <v>0</v>
      </c>
      <c r="BD378" s="70">
        <v>0</v>
      </c>
      <c r="BE378" s="65">
        <f t="shared" si="253"/>
        <v>0</v>
      </c>
      <c r="BF378" s="70">
        <v>0</v>
      </c>
      <c r="BG378" s="65">
        <f t="shared" si="254"/>
        <v>0</v>
      </c>
      <c r="BH378" s="70">
        <v>0</v>
      </c>
      <c r="BI378" s="65">
        <f t="shared" si="255"/>
        <v>0</v>
      </c>
      <c r="BJ378" s="38">
        <f>IF(AND(BJ$7="○",$A378&gt;=BJ$8,$A378&lt;=BJ$9),IF(SUM(BJ$10:BJ377)-ROUNDDOWN($M378*BJ$5/100,0)&lt;-BJ$6,-BJ$6-SUM(BJ$10:BJ377),-ROUNDDOWN($M378*BJ$5/100,0)),0)</f>
        <v>0</v>
      </c>
      <c r="BK378" s="38">
        <f>IF(AND(BK$7="○",$A378&gt;=BK$8,$A378&lt;=BK$9),IF(SUM(BK$10:BK377)-ROUNDDOWN($L378*BK$5/100,0)&lt;-BK$6,-BK$6-SUM(BK$10:BK377),-ROUNDDOWN($L378*BK$5/100,0)),0)</f>
        <v>0</v>
      </c>
      <c r="BL378" s="38">
        <f>IF(AND(BL$7="○",$A378&gt;=BL$8,$A378&lt;=BL$9),IF(SUM(BL$10:BL377)-ROUNDDOWN($L378*BL$5/100,0)&lt;-BL$6,-BL$6-SUM(BL$10:BL377),-ROUNDDOWN($L378*BL$5/100,0)),0)</f>
        <v>0</v>
      </c>
      <c r="BM378" s="38">
        <f>IF(AND(BM$7="○",$A378&gt;=BM$8,$A378&lt;=BM$9),IF(SUM(BM$10:BM377)-ROUNDDOWN($M378*BM$5/100,0)&lt;-BM$6,-BM$6-SUM(BM$10:BM377),-ROUNDDOWN($M378*BM$5/100,0)),0)</f>
        <v>0</v>
      </c>
      <c r="BN378" s="38">
        <f>IF(AND(BN$7="○",$A378&gt;=BN$8,$A378&lt;=BN$9),IF(SUM(BN$10:BN377)-ROUNDDOWN($M378*BN$5/100,0)&lt;-BN$6,-BN$6-SUM(BN$10:BN377),-ROUNDDOWN($M378*BN$5/100,0)),0)</f>
        <v>0</v>
      </c>
      <c r="BO378" s="38">
        <f>IF(AND(BO$7="○",$A378&gt;=BO$8,$A378&lt;=BO$9),IF(SUM(BO$10:BO377)-ROUNDDOWN($M378*BO$5/100,0)&lt;-BO$6,-BO$6-SUM(BO$10:BO377),-ROUNDDOWN($M378*BO$5/100,0)),0)</f>
        <v>0</v>
      </c>
      <c r="BP378" s="38">
        <f>IF(AND(BP$7="○",$A378&gt;=BP$8,$A378&lt;=BP$9),IF(SUM(BP$10:BP377)-ROUNDDOWN($M378*BP$5/100,0)&lt;-BP$6,-BP$6-SUM(BP$10:BP377),-ROUNDDOWN($M378*BP$5/100,0)),0)</f>
        <v>0</v>
      </c>
      <c r="BQ378" s="38">
        <f>IF(AND(BQ$7="○",$A378&gt;=BQ$8,$A378&lt;=BQ$9),IF(SUM(BQ$10:BQ377)-ROUNDDOWN($L378*BQ$5/100,0)&lt;-BQ$6,-BQ$6-SUM(BQ$10:BQ377),-ROUNDDOWN($L378*BQ$5/100,0)),0)</f>
        <v>0</v>
      </c>
      <c r="BR378" s="38">
        <f>IF(AND(BR$7="○",$A378&gt;=BR$8,$A378&lt;=BR$9),IF(SUM(BR$10:BR377)-ROUNDDOWN($M378*BR$5/100,0)&lt;-BR$6,-BR$6-SUM(BR$10:BR377),-ROUNDDOWN($M378*BR$5/100,0)),0)</f>
        <v>0</v>
      </c>
      <c r="BS378" s="38">
        <f>IF(AND(BS$7="○",$A378&gt;=BS$8,$A378&lt;=BS$9),IF(SUM(BS$10:BS377)-ROUNDDOWN($M378*BS$5/100,0)&lt;-BS$6,-BS$6-SUM(BS$10:BS377),-ROUNDDOWN($M378*BS$5/100,0)),0)</f>
        <v>0</v>
      </c>
      <c r="BT378" s="38">
        <f>IF(AND(BT$7="○",$A378&gt;=BT$8,$A378&lt;=BT$9),IF(SUM(BT$10:BT377)-ROUNDDOWN($M378*BT$5/100,0)&lt;-BT$6,-BT$6-SUM(BT$10:BT377),-ROUNDDOWN($M378*BT$5/100,0)),0)</f>
        <v>0</v>
      </c>
      <c r="BU378" s="38">
        <f>IF(AND(BU$7="○",$A378&gt;=BU$8,$A378&lt;=BU$9),IF(SUM(BU$10:BU377)-ROUNDDOWN($M378*BU$5/100,0)&lt;-BU$6,-BU$6-SUM(BU$10:BU377),-ROUNDDOWN($M378*BU$5/100,0)),0)</f>
        <v>0</v>
      </c>
      <c r="BV378" s="38">
        <f>IF(AND(BV$7="○",$A378&gt;=BV$8,$A378&lt;=BV$9),IF(SUM(BV$10:BV377)-ROUNDDOWN($M378*BV$5/100,0)&lt;-BV$6,-BV$6-SUM(BV$10:BV377),-ROUNDDOWN($M378*BV$5/100,0)),0)</f>
        <v>0</v>
      </c>
      <c r="BW378" s="38">
        <f>IF(AND(BW$7="○",$A378&gt;=BW$8,$A378&lt;=BW$9),IF(SUM(BW$10:BW377)-ROUNDDOWN($M378*BW$5/100,0)&lt;-BW$6,-BW$6-SUM(BW$10:BW377),-ROUNDDOWN($M378*BW$5/100,0)),0)</f>
        <v>0</v>
      </c>
      <c r="BX378" s="38">
        <f>IF(AND(T378="○",$A378&gt;=BX$8,$A378&lt;=BX$9),IF(SUM(BX$10:BX377)-ROUNDDOWN($K378*BX$5/100,0)&lt;-BX$6,-BX$6-SUM(BX$10:BX377),-ROUNDDOWN($K378*BX$5/100,0)),0)</f>
        <v>0</v>
      </c>
      <c r="BY378" s="38">
        <f>IF(AND(U378="○",$A378&gt;=BY$8,$A378&lt;=BY$9),IF(SUM(BY$10:BY377)-ROUNDDOWN($K378*BY$5/100,0)&lt;-BY$6,-BY$6-SUM(BY$10:BY377),-ROUNDDOWN($K378*BY$5/100,0)),0)</f>
        <v>0</v>
      </c>
      <c r="BZ378" s="38">
        <f>IF(AND(V378="○",$A378&gt;=BZ$8,$A378&lt;=BZ$9),IF(SUM(BZ$10:BZ377)-ROUNDDOWN($K378*BZ$5/100,0)&lt;-BZ$6,-BZ$6-SUM(BZ$10:BZ377),-ROUNDDOWN($K378*BZ$5/100,0)),0)</f>
        <v>0</v>
      </c>
      <c r="CA378" s="38">
        <f>IF(AND(W378="○",$A378&gt;=CA$8,$A378&lt;=CA$9),IF(SUM(CA$10:CA377)-ROUNDDOWN($K378*CA$5/100,0)&lt;-CA$6,-CA$6-SUM(CA$10:CA377),-ROUNDDOWN($K378*CA$5/100,0)),0)</f>
        <v>0</v>
      </c>
      <c r="CB378" s="38"/>
      <c r="CC378" s="38"/>
      <c r="CD378" s="38"/>
      <c r="CE378" s="38"/>
      <c r="CF378" s="38"/>
      <c r="CG378" s="65">
        <f t="shared" si="256"/>
        <v>0</v>
      </c>
      <c r="CH378" s="71">
        <f t="shared" si="257"/>
        <v>0</v>
      </c>
      <c r="CI378" s="1">
        <f t="shared" si="276"/>
        <v>0</v>
      </c>
      <c r="CJ378" s="1"/>
      <c r="CK378" s="72"/>
      <c r="CL378" s="72"/>
      <c r="CM378" s="2"/>
      <c r="CN378" s="2"/>
      <c r="CO378" s="73">
        <f t="shared" si="277"/>
        <v>0</v>
      </c>
      <c r="CP378" s="5">
        <f t="shared" si="278"/>
        <v>0</v>
      </c>
      <c r="CQ378" s="1"/>
      <c r="CR378" s="1">
        <f t="shared" si="279"/>
        <v>0</v>
      </c>
      <c r="CS378" s="1"/>
      <c r="CT378" s="1" t="e">
        <f>INDEX([2]マスタ!$A:$A,MATCH(D378,[2]マスタ!$C:$C,0))</f>
        <v>#N/A</v>
      </c>
      <c r="CU378" s="1" t="str">
        <f t="shared" ca="1" si="280"/>
        <v>20260620_0-0</v>
      </c>
    </row>
    <row r="379" spans="1:99" x14ac:dyDescent="0.4">
      <c r="A379" s="61"/>
      <c r="B379" s="62"/>
      <c r="C379" s="62"/>
      <c r="D379" s="62"/>
      <c r="E379" s="74"/>
      <c r="F379" s="62"/>
      <c r="G379" s="62">
        <v>1</v>
      </c>
      <c r="H379" s="64">
        <f t="shared" si="267"/>
        <v>0</v>
      </c>
      <c r="I379" s="64"/>
      <c r="J379" s="64"/>
      <c r="K379" s="65">
        <f t="shared" si="268"/>
        <v>0</v>
      </c>
      <c r="L379" s="65">
        <f t="shared" si="269"/>
        <v>0</v>
      </c>
      <c r="M379" s="65">
        <f t="shared" si="270"/>
        <v>0</v>
      </c>
      <c r="N379" s="65">
        <f t="shared" si="271"/>
        <v>0</v>
      </c>
      <c r="O379" s="66" t="str">
        <f t="shared" si="272"/>
        <v>✕</v>
      </c>
      <c r="P379" s="67" t="str">
        <f t="shared" si="273"/>
        <v>○</v>
      </c>
      <c r="Q379" s="67" t="str">
        <f t="shared" si="274"/>
        <v>✕</v>
      </c>
      <c r="R379" s="67" t="str">
        <f t="shared" si="275"/>
        <v>✕</v>
      </c>
      <c r="S379" s="68">
        <v>0</v>
      </c>
      <c r="T379" s="69" t="s">
        <v>85</v>
      </c>
      <c r="U379" s="69" t="s">
        <v>85</v>
      </c>
      <c r="V379" s="69" t="s">
        <v>85</v>
      </c>
      <c r="W379" s="69" t="s">
        <v>85</v>
      </c>
      <c r="X379" s="69" t="s">
        <v>84</v>
      </c>
      <c r="Y379" s="69" t="s">
        <v>85</v>
      </c>
      <c r="Z379" s="69" t="s">
        <v>85</v>
      </c>
      <c r="AA379" s="69" t="s">
        <v>85</v>
      </c>
      <c r="AB379" s="69" t="s">
        <v>85</v>
      </c>
      <c r="AC379" s="69" t="s">
        <v>85</v>
      </c>
      <c r="AD379" s="38" t="str">
        <f>+IF(ISERROR(VLOOKUP($B379,AD$10:AD378,1,0)),IF(AND($N379&gt;=1000,$A379&gt;=AO$8,$A379&lt;=AO$9),$B379,""),"")</f>
        <v/>
      </c>
      <c r="AE379" s="38" t="str">
        <f>+IF(ISERROR(VLOOKUP($B379,AE$10:AE378,1,0)),IF(AND($N379&gt;=1000,$A379&gt;=AP$8,$A379&lt;=AP$9),$B379,""),"")</f>
        <v/>
      </c>
      <c r="AF379" s="38" t="str">
        <f>+IF(ISERROR(VLOOKUP($B379,AF$10:AF378,1,0)),IF(AND($N379&gt;=1000,$A379&gt;=AQ$8,$A379&lt;=AQ$9),$B379,""),"")</f>
        <v/>
      </c>
      <c r="AG379" s="38" t="str">
        <f>+IF(ISERROR(VLOOKUP($B379,AG$10:AG378,1,0)),IF(AND($N379&gt;=1000,$A379&gt;=AR$8,$A379&lt;=AR$9),$B379,""),"")</f>
        <v/>
      </c>
      <c r="AH379" s="38"/>
      <c r="AI379" s="70">
        <v>0</v>
      </c>
      <c r="AJ379" s="38">
        <f>IF(AND(AJ$7="○",$A379&gt;=AJ$8,$A379&lt;=AJ$9),IF(SUM(AJ$10:AJ378)-ROUNDDOWN($K379*AJ$5/100,0)&lt;-AJ$6,-AJ$6-SUM(AJ$10:AJ378),-ROUNDDOWN($K379*AJ$5/100,0)),0)</f>
        <v>0</v>
      </c>
      <c r="AK379" s="38">
        <f>IF(AND(AK$7="○",$A379&gt;=AK$8,$A379&lt;=AK$9),IF(SUM(AK$10:AK378)-ROUNDDOWN($L379*AK$5/100,0)&lt;-AK$6,-AK$6-SUM(AK$10:AK378),-ROUNDDOWN($L379*AK$5/100,0)),0)</f>
        <v>0</v>
      </c>
      <c r="AL379" s="38">
        <f>IF(AND(AL$7="○",$A379&gt;=AL$8,$A379&lt;=AL$9),IF(SUM(AL$10:AL378)-ROUNDDOWN($N379*AL$5/100,0)&lt;-AL$6,-AL$6-SUM(AL$10:AL378),-ROUNDDOWN($N379*AL$5/100,0)),0)</f>
        <v>0</v>
      </c>
      <c r="AM379" s="38">
        <f>IF(AND(AM$7="○",$A379&gt;=AM$8,$A379&lt;=AM$9),IF(SUM(AM$10:AM378)-ROUNDDOWN($L379*AM$5/100,0)&lt;-AM$6,-AM$6-SUM(AM$10:AM378),-ROUNDDOWN($L379*AM$5/100,0)),0)</f>
        <v>0</v>
      </c>
      <c r="AN379" s="38">
        <f>IF(AND(AN$7="○",$A379&gt;=AN$8,$A379&lt;=AN$9),IF(SUM(AN$10:AN378)-ROUNDDOWN($M379*AN$5/100,0)&lt;-AN$6,-AN$6-SUM(AN$10:AN378),-ROUNDDOWN($M379*AN$5/100,0)),0)</f>
        <v>0</v>
      </c>
      <c r="AO379" s="38">
        <f>IF(AND($A379&gt;=AO$8,$A379&lt;=AO$9),IF(SUM(AO$10:AO378)-ROUNDDOWN($K379*AO$5/100,0)&lt;-AO$6,-AO$6-SUM(AO$10:AO378),-ROUNDDOWN($K379*AO$5/100,0)),0)</f>
        <v>0</v>
      </c>
      <c r="AP379" s="38">
        <f>IF(AND($A379&gt;=AP$8,$A379&lt;=AP$9),IF(SUM(AP$10:AP378)-ROUNDDOWN($K379*AP$5/100,0)&lt;-AP$6,-AP$6-SUM(AP$10:AP378),-ROUNDDOWN($K379*AP$5/100,0)),0)</f>
        <v>0</v>
      </c>
      <c r="AQ379" s="38">
        <f>IF(AND($A379&gt;=AQ$8,$A379&lt;=AQ$9),IF(SUM(AQ$10:AQ378)-ROUNDDOWN($K379*AQ$5/100,0)&lt;-AQ$6,-AQ$6-SUM(AQ$10:AQ378),-ROUNDDOWN($K379*AQ$5/100,0)),0)</f>
        <v>0</v>
      </c>
      <c r="AR379" s="38">
        <f>IF(AND($A379&gt;=AR$8,$A379&lt;=AR$9),IF(SUM(AR$10:AR378)-ROUNDDOWN($K379*AR$5/100,0)&lt;-AR$6,-AR$6-SUM(AR$10:AR378),-ROUNDDOWN($K379*AR$5/100,0)),0)</f>
        <v>0</v>
      </c>
      <c r="AS379" s="38">
        <f>IF(SUMIFS(AS$10:AS378,$A$10:$A378,$A379)-ROUNDDOWN($K379*$S379/100,0)&lt;-$S379*1000,-$S379*1000-SUMIFS(AS$10:AS378,$A$10:$A378,$A379),-ROUNDDOWN($K379*$S379/100,0))</f>
        <v>0</v>
      </c>
      <c r="AT379" s="38">
        <f>IF(AND(X379="○",$A379&gt;=AT$8,$A379&lt;=AT$9,K379&gt;=3980),IF(SUM(AT$10:AT378)-ROUNDDOWN($K379*AT$5/100,0)&lt;-AT$6,-AT$6-SUM(AT$10:AT378),-ROUNDDOWN($K379*AT$5/100,0)),0)</f>
        <v>0</v>
      </c>
      <c r="AU379" s="38">
        <f>IF(O379="○",IF(SUM(AU$10:AU378)-ROUNDDOWN($K379*AU$5/100,0)&lt;-AU$6,-AU$6-SUM(AU$10:AU378),-ROUNDDOWN($K379*AU$5/100,0)),0)</f>
        <v>0</v>
      </c>
      <c r="AV379" s="38">
        <f>IF(P379="○",IF(SUM(AV$10:AV378)-ROUNDDOWN($K379*AV$5/100,0)&lt;-AV$6,-AV$6-SUM(AV$10:AV378),-ROUNDDOWN($K379*AV$5/100,0)),0)</f>
        <v>0</v>
      </c>
      <c r="AW379" s="38">
        <f>IF(Q379="○",IF(SUM(AW$10:AW378)-ROUNDDOWN($K379*AW$5/100,0)&lt;-AW$6,-AW$6-SUM(AW$10:AW378),-ROUNDDOWN($K379*AW$5/100,0)),0)</f>
        <v>0</v>
      </c>
      <c r="AX379" s="38">
        <f>IF(R379="○",IF(SUM(AX$10:AX378)-ROUNDDOWN($K379*AX$5/100,0)&lt;-AX$6,-AX$6-SUM(AX$10:AX378),-ROUNDDOWN($K379*AX$5/100,0)),0)</f>
        <v>0</v>
      </c>
      <c r="AY379" s="70">
        <v>0</v>
      </c>
      <c r="AZ379" s="65">
        <f t="shared" si="250"/>
        <v>0</v>
      </c>
      <c r="BA379" s="65">
        <f t="shared" si="251"/>
        <v>0</v>
      </c>
      <c r="BB379" s="70"/>
      <c r="BC379" s="65">
        <f t="shared" si="252"/>
        <v>0</v>
      </c>
      <c r="BD379" s="70">
        <v>0</v>
      </c>
      <c r="BE379" s="65">
        <f t="shared" si="253"/>
        <v>0</v>
      </c>
      <c r="BF379" s="70">
        <v>0</v>
      </c>
      <c r="BG379" s="65">
        <f t="shared" si="254"/>
        <v>0</v>
      </c>
      <c r="BH379" s="70">
        <v>0</v>
      </c>
      <c r="BI379" s="65">
        <f t="shared" si="255"/>
        <v>0</v>
      </c>
      <c r="BJ379" s="38">
        <f>IF(AND(BJ$7="○",$A379&gt;=BJ$8,$A379&lt;=BJ$9),IF(SUM(BJ$10:BJ378)-ROUNDDOWN($M379*BJ$5/100,0)&lt;-BJ$6,-BJ$6-SUM(BJ$10:BJ378),-ROUNDDOWN($M379*BJ$5/100,0)),0)</f>
        <v>0</v>
      </c>
      <c r="BK379" s="38">
        <f>IF(AND(BK$7="○",$A379&gt;=BK$8,$A379&lt;=BK$9),IF(SUM(BK$10:BK378)-ROUNDDOWN($L379*BK$5/100,0)&lt;-BK$6,-BK$6-SUM(BK$10:BK378),-ROUNDDOWN($L379*BK$5/100,0)),0)</f>
        <v>0</v>
      </c>
      <c r="BL379" s="38">
        <f>IF(AND(BL$7="○",$A379&gt;=BL$8,$A379&lt;=BL$9),IF(SUM(BL$10:BL378)-ROUNDDOWN($L379*BL$5/100,0)&lt;-BL$6,-BL$6-SUM(BL$10:BL378),-ROUNDDOWN($L379*BL$5/100,0)),0)</f>
        <v>0</v>
      </c>
      <c r="BM379" s="38">
        <f>IF(AND(BM$7="○",$A379&gt;=BM$8,$A379&lt;=BM$9),IF(SUM(BM$10:BM378)-ROUNDDOWN($M379*BM$5/100,0)&lt;-BM$6,-BM$6-SUM(BM$10:BM378),-ROUNDDOWN($M379*BM$5/100,0)),0)</f>
        <v>0</v>
      </c>
      <c r="BN379" s="38">
        <f>IF(AND(BN$7="○",$A379&gt;=BN$8,$A379&lt;=BN$9),IF(SUM(BN$10:BN378)-ROUNDDOWN($M379*BN$5/100,0)&lt;-BN$6,-BN$6-SUM(BN$10:BN378),-ROUNDDOWN($M379*BN$5/100,0)),0)</f>
        <v>0</v>
      </c>
      <c r="BO379" s="38">
        <f>IF(AND(BO$7="○",$A379&gt;=BO$8,$A379&lt;=BO$9),IF(SUM(BO$10:BO378)-ROUNDDOWN($M379*BO$5/100,0)&lt;-BO$6,-BO$6-SUM(BO$10:BO378),-ROUNDDOWN($M379*BO$5/100,0)),0)</f>
        <v>0</v>
      </c>
      <c r="BP379" s="38">
        <f>IF(AND(BP$7="○",$A379&gt;=BP$8,$A379&lt;=BP$9),IF(SUM(BP$10:BP378)-ROUNDDOWN($M379*BP$5/100,0)&lt;-BP$6,-BP$6-SUM(BP$10:BP378),-ROUNDDOWN($M379*BP$5/100,0)),0)</f>
        <v>0</v>
      </c>
      <c r="BQ379" s="38">
        <f>IF(AND(BQ$7="○",$A379&gt;=BQ$8,$A379&lt;=BQ$9),IF(SUM(BQ$10:BQ378)-ROUNDDOWN($L379*BQ$5/100,0)&lt;-BQ$6,-BQ$6-SUM(BQ$10:BQ378),-ROUNDDOWN($L379*BQ$5/100,0)),0)</f>
        <v>0</v>
      </c>
      <c r="BR379" s="38">
        <f>IF(AND(BR$7="○",$A379&gt;=BR$8,$A379&lt;=BR$9),IF(SUM(BR$10:BR378)-ROUNDDOWN($M379*BR$5/100,0)&lt;-BR$6,-BR$6-SUM(BR$10:BR378),-ROUNDDOWN($M379*BR$5/100,0)),0)</f>
        <v>0</v>
      </c>
      <c r="BS379" s="38">
        <f>IF(AND(BS$7="○",$A379&gt;=BS$8,$A379&lt;=BS$9),IF(SUM(BS$10:BS378)-ROUNDDOWN($M379*BS$5/100,0)&lt;-BS$6,-BS$6-SUM(BS$10:BS378),-ROUNDDOWN($M379*BS$5/100,0)),0)</f>
        <v>0</v>
      </c>
      <c r="BT379" s="38">
        <f>IF(AND(BT$7="○",$A379&gt;=BT$8,$A379&lt;=BT$9),IF(SUM(BT$10:BT378)-ROUNDDOWN($M379*BT$5/100,0)&lt;-BT$6,-BT$6-SUM(BT$10:BT378),-ROUNDDOWN($M379*BT$5/100,0)),0)</f>
        <v>0</v>
      </c>
      <c r="BU379" s="38">
        <f>IF(AND(BU$7="○",$A379&gt;=BU$8,$A379&lt;=BU$9),IF(SUM(BU$10:BU378)-ROUNDDOWN($M379*BU$5/100,0)&lt;-BU$6,-BU$6-SUM(BU$10:BU378),-ROUNDDOWN($M379*BU$5/100,0)),0)</f>
        <v>0</v>
      </c>
      <c r="BV379" s="38">
        <f>IF(AND(BV$7="○",$A379&gt;=BV$8,$A379&lt;=BV$9),IF(SUM(BV$10:BV378)-ROUNDDOWN($M379*BV$5/100,0)&lt;-BV$6,-BV$6-SUM(BV$10:BV378),-ROUNDDOWN($M379*BV$5/100,0)),0)</f>
        <v>0</v>
      </c>
      <c r="BW379" s="38">
        <f>IF(AND(BW$7="○",$A379&gt;=BW$8,$A379&lt;=BW$9),IF(SUM(BW$10:BW378)-ROUNDDOWN($M379*BW$5/100,0)&lt;-BW$6,-BW$6-SUM(BW$10:BW378),-ROUNDDOWN($M379*BW$5/100,0)),0)</f>
        <v>0</v>
      </c>
      <c r="BX379" s="38">
        <f>IF(AND(T379="○",$A379&gt;=BX$8,$A379&lt;=BX$9),IF(SUM(BX$10:BX378)-ROUNDDOWN($K379*BX$5/100,0)&lt;-BX$6,-BX$6-SUM(BX$10:BX378),-ROUNDDOWN($K379*BX$5/100,0)),0)</f>
        <v>0</v>
      </c>
      <c r="BY379" s="38">
        <f>IF(AND(U379="○",$A379&gt;=BY$8,$A379&lt;=BY$9),IF(SUM(BY$10:BY378)-ROUNDDOWN($K379*BY$5/100,0)&lt;-BY$6,-BY$6-SUM(BY$10:BY378),-ROUNDDOWN($K379*BY$5/100,0)),0)</f>
        <v>0</v>
      </c>
      <c r="BZ379" s="38">
        <f>IF(AND(V379="○",$A379&gt;=BZ$8,$A379&lt;=BZ$9),IF(SUM(BZ$10:BZ378)-ROUNDDOWN($K379*BZ$5/100,0)&lt;-BZ$6,-BZ$6-SUM(BZ$10:BZ378),-ROUNDDOWN($K379*BZ$5/100,0)),0)</f>
        <v>0</v>
      </c>
      <c r="CA379" s="38">
        <f>IF(AND(W379="○",$A379&gt;=CA$8,$A379&lt;=CA$9),IF(SUM(CA$10:CA378)-ROUNDDOWN($K379*CA$5/100,0)&lt;-CA$6,-CA$6-SUM(CA$10:CA378),-ROUNDDOWN($K379*CA$5/100,0)),0)</f>
        <v>0</v>
      </c>
      <c r="CB379" s="38"/>
      <c r="CC379" s="38"/>
      <c r="CD379" s="38"/>
      <c r="CE379" s="38"/>
      <c r="CF379" s="38"/>
      <c r="CG379" s="65">
        <f t="shared" si="256"/>
        <v>0</v>
      </c>
      <c r="CH379" s="71">
        <f t="shared" si="257"/>
        <v>0</v>
      </c>
      <c r="CI379" s="1">
        <f t="shared" si="276"/>
        <v>0</v>
      </c>
      <c r="CJ379" s="1"/>
      <c r="CK379" s="72"/>
      <c r="CL379" s="72"/>
      <c r="CM379" s="2"/>
      <c r="CN379" s="2"/>
      <c r="CO379" s="73">
        <f t="shared" si="277"/>
        <v>0</v>
      </c>
      <c r="CP379" s="5">
        <f t="shared" si="278"/>
        <v>0</v>
      </c>
      <c r="CQ379" s="1"/>
      <c r="CR379" s="1">
        <f t="shared" si="279"/>
        <v>0</v>
      </c>
      <c r="CS379" s="1"/>
      <c r="CT379" s="1" t="e">
        <f>INDEX([2]マスタ!$A:$A,MATCH(D379,[2]マスタ!$C:$C,0))</f>
        <v>#N/A</v>
      </c>
      <c r="CU379" s="1" t="str">
        <f t="shared" ca="1" si="280"/>
        <v>20260620_0-0</v>
      </c>
    </row>
    <row r="380" spans="1:99" x14ac:dyDescent="0.4">
      <c r="A380" s="61"/>
      <c r="B380" s="62"/>
      <c r="C380" s="62"/>
      <c r="D380" s="62"/>
      <c r="E380" s="74"/>
      <c r="F380" s="62"/>
      <c r="G380" s="62">
        <v>1</v>
      </c>
      <c r="H380" s="64">
        <f t="shared" si="267"/>
        <v>0</v>
      </c>
      <c r="I380" s="64"/>
      <c r="J380" s="64"/>
      <c r="K380" s="65">
        <f t="shared" si="268"/>
        <v>0</v>
      </c>
      <c r="L380" s="65">
        <f t="shared" si="269"/>
        <v>0</v>
      </c>
      <c r="M380" s="65">
        <f t="shared" si="270"/>
        <v>0</v>
      </c>
      <c r="N380" s="65">
        <f t="shared" si="271"/>
        <v>0</v>
      </c>
      <c r="O380" s="66" t="str">
        <f t="shared" si="272"/>
        <v>✕</v>
      </c>
      <c r="P380" s="67" t="str">
        <f t="shared" si="273"/>
        <v>○</v>
      </c>
      <c r="Q380" s="67" t="str">
        <f t="shared" si="274"/>
        <v>✕</v>
      </c>
      <c r="R380" s="67" t="str">
        <f t="shared" si="275"/>
        <v>✕</v>
      </c>
      <c r="S380" s="68">
        <v>0</v>
      </c>
      <c r="T380" s="69" t="s">
        <v>85</v>
      </c>
      <c r="U380" s="69" t="s">
        <v>85</v>
      </c>
      <c r="V380" s="69" t="s">
        <v>85</v>
      </c>
      <c r="W380" s="69" t="s">
        <v>85</v>
      </c>
      <c r="X380" s="69" t="s">
        <v>84</v>
      </c>
      <c r="Y380" s="69" t="s">
        <v>85</v>
      </c>
      <c r="Z380" s="69" t="s">
        <v>85</v>
      </c>
      <c r="AA380" s="69" t="s">
        <v>85</v>
      </c>
      <c r="AB380" s="69" t="s">
        <v>85</v>
      </c>
      <c r="AC380" s="69" t="s">
        <v>85</v>
      </c>
      <c r="AD380" s="38" t="str">
        <f>+IF(ISERROR(VLOOKUP($B380,AD$10:AD379,1,0)),IF(AND($N380&gt;=1000,$A380&gt;=AO$8,$A380&lt;=AO$9),$B380,""),"")</f>
        <v/>
      </c>
      <c r="AE380" s="38" t="str">
        <f>+IF(ISERROR(VLOOKUP($B380,AE$10:AE379,1,0)),IF(AND($N380&gt;=1000,$A380&gt;=AP$8,$A380&lt;=AP$9),$B380,""),"")</f>
        <v/>
      </c>
      <c r="AF380" s="38" t="str">
        <f>+IF(ISERROR(VLOOKUP($B380,AF$10:AF379,1,0)),IF(AND($N380&gt;=1000,$A380&gt;=AQ$8,$A380&lt;=AQ$9),$B380,""),"")</f>
        <v/>
      </c>
      <c r="AG380" s="38" t="str">
        <f>+IF(ISERROR(VLOOKUP($B380,AG$10:AG379,1,0)),IF(AND($N380&gt;=1000,$A380&gt;=AR$8,$A380&lt;=AR$9),$B380,""),"")</f>
        <v/>
      </c>
      <c r="AH380" s="38"/>
      <c r="AI380" s="70">
        <v>0</v>
      </c>
      <c r="AJ380" s="38">
        <f>IF(AND(AJ$7="○",$A380&gt;=AJ$8,$A380&lt;=AJ$9),IF(SUM(AJ$10:AJ379)-ROUNDDOWN($K380*AJ$5/100,0)&lt;-AJ$6,-AJ$6-SUM(AJ$10:AJ379),-ROUNDDOWN($K380*AJ$5/100,0)),0)</f>
        <v>0</v>
      </c>
      <c r="AK380" s="38">
        <f>IF(AND(AK$7="○",$A380&gt;=AK$8,$A380&lt;=AK$9),IF(SUM(AK$10:AK379)-ROUNDDOWN($L380*AK$5/100,0)&lt;-AK$6,-AK$6-SUM(AK$10:AK379),-ROUNDDOWN($L380*AK$5/100,0)),0)</f>
        <v>0</v>
      </c>
      <c r="AL380" s="38">
        <f>IF(AND(AL$7="○",$A380&gt;=AL$8,$A380&lt;=AL$9),IF(SUM(AL$10:AL379)-ROUNDDOWN($N380*AL$5/100,0)&lt;-AL$6,-AL$6-SUM(AL$10:AL379),-ROUNDDOWN($N380*AL$5/100,0)),0)</f>
        <v>0</v>
      </c>
      <c r="AM380" s="38">
        <f>IF(AND(AM$7="○",$A380&gt;=AM$8,$A380&lt;=AM$9),IF(SUM(AM$10:AM379)-ROUNDDOWN($L380*AM$5/100,0)&lt;-AM$6,-AM$6-SUM(AM$10:AM379),-ROUNDDOWN($L380*AM$5/100,0)),0)</f>
        <v>0</v>
      </c>
      <c r="AN380" s="38">
        <f>IF(AND(AN$7="○",$A380&gt;=AN$8,$A380&lt;=AN$9),IF(SUM(AN$10:AN379)-ROUNDDOWN($M380*AN$5/100,0)&lt;-AN$6,-AN$6-SUM(AN$10:AN379),-ROUNDDOWN($M380*AN$5/100,0)),0)</f>
        <v>0</v>
      </c>
      <c r="AO380" s="38">
        <f>IF(AND($A380&gt;=AO$8,$A380&lt;=AO$9),IF(SUM(AO$10:AO379)-ROUNDDOWN($K380*AO$5/100,0)&lt;-AO$6,-AO$6-SUM(AO$10:AO379),-ROUNDDOWN($K380*AO$5/100,0)),0)</f>
        <v>0</v>
      </c>
      <c r="AP380" s="38">
        <f>IF(AND($A380&gt;=AP$8,$A380&lt;=AP$9),IF(SUM(AP$10:AP379)-ROUNDDOWN($K380*AP$5/100,0)&lt;-AP$6,-AP$6-SUM(AP$10:AP379),-ROUNDDOWN($K380*AP$5/100,0)),0)</f>
        <v>0</v>
      </c>
      <c r="AQ380" s="38">
        <f>IF(AND($A380&gt;=AQ$8,$A380&lt;=AQ$9),IF(SUM(AQ$10:AQ379)-ROUNDDOWN($K380*AQ$5/100,0)&lt;-AQ$6,-AQ$6-SUM(AQ$10:AQ379),-ROUNDDOWN($K380*AQ$5/100,0)),0)</f>
        <v>0</v>
      </c>
      <c r="AR380" s="38">
        <f>IF(AND($A380&gt;=AR$8,$A380&lt;=AR$9),IF(SUM(AR$10:AR379)-ROUNDDOWN($K380*AR$5/100,0)&lt;-AR$6,-AR$6-SUM(AR$10:AR379),-ROUNDDOWN($K380*AR$5/100,0)),0)</f>
        <v>0</v>
      </c>
      <c r="AS380" s="38">
        <f>IF(SUMIFS(AS$10:AS379,$A$10:$A379,$A380)-ROUNDDOWN($K380*$S380/100,0)&lt;-$S380*1000,-$S380*1000-SUMIFS(AS$10:AS379,$A$10:$A379,$A380),-ROUNDDOWN($K380*$S380/100,0))</f>
        <v>0</v>
      </c>
      <c r="AT380" s="38">
        <f>IF(AND(X380="○",$A380&gt;=AT$8,$A380&lt;=AT$9,K380&gt;=3980),IF(SUM(AT$10:AT379)-ROUNDDOWN($K380*AT$5/100,0)&lt;-AT$6,-AT$6-SUM(AT$10:AT379),-ROUNDDOWN($K380*AT$5/100,0)),0)</f>
        <v>0</v>
      </c>
      <c r="AU380" s="38">
        <f>IF(O380="○",IF(SUM(AU$10:AU379)-ROUNDDOWN($K380*AU$5/100,0)&lt;-AU$6,-AU$6-SUM(AU$10:AU379),-ROUNDDOWN($K380*AU$5/100,0)),0)</f>
        <v>0</v>
      </c>
      <c r="AV380" s="38">
        <f>IF(P380="○",IF(SUM(AV$10:AV379)-ROUNDDOWN($K380*AV$5/100,0)&lt;-AV$6,-AV$6-SUM(AV$10:AV379),-ROUNDDOWN($K380*AV$5/100,0)),0)</f>
        <v>0</v>
      </c>
      <c r="AW380" s="38">
        <f>IF(Q380="○",IF(SUM(AW$10:AW379)-ROUNDDOWN($K380*AW$5/100,0)&lt;-AW$6,-AW$6-SUM(AW$10:AW379),-ROUNDDOWN($K380*AW$5/100,0)),0)</f>
        <v>0</v>
      </c>
      <c r="AX380" s="38">
        <f>IF(R380="○",IF(SUM(AX$10:AX379)-ROUNDDOWN($K380*AX$5/100,0)&lt;-AX$6,-AX$6-SUM(AX$10:AX379),-ROUNDDOWN($K380*AX$5/100,0)),0)</f>
        <v>0</v>
      </c>
      <c r="AY380" s="70">
        <v>0</v>
      </c>
      <c r="AZ380" s="65">
        <f t="shared" si="250"/>
        <v>0</v>
      </c>
      <c r="BA380" s="65">
        <f t="shared" si="251"/>
        <v>0</v>
      </c>
      <c r="BB380" s="70"/>
      <c r="BC380" s="65">
        <f t="shared" si="252"/>
        <v>0</v>
      </c>
      <c r="BD380" s="70">
        <v>0</v>
      </c>
      <c r="BE380" s="65">
        <f t="shared" si="253"/>
        <v>0</v>
      </c>
      <c r="BF380" s="70">
        <v>0</v>
      </c>
      <c r="BG380" s="65">
        <f t="shared" si="254"/>
        <v>0</v>
      </c>
      <c r="BH380" s="70">
        <v>0</v>
      </c>
      <c r="BI380" s="65">
        <f t="shared" si="255"/>
        <v>0</v>
      </c>
      <c r="BJ380" s="38">
        <f>IF(AND(BJ$7="○",$A380&gt;=BJ$8,$A380&lt;=BJ$9),IF(SUM(BJ$10:BJ379)-ROUNDDOWN($M380*BJ$5/100,0)&lt;-BJ$6,-BJ$6-SUM(BJ$10:BJ379),-ROUNDDOWN($M380*BJ$5/100,0)),0)</f>
        <v>0</v>
      </c>
      <c r="BK380" s="38">
        <f>IF(AND(BK$7="○",$A380&gt;=BK$8,$A380&lt;=BK$9),IF(SUM(BK$10:BK379)-ROUNDDOWN($L380*BK$5/100,0)&lt;-BK$6,-BK$6-SUM(BK$10:BK379),-ROUNDDOWN($L380*BK$5/100,0)),0)</f>
        <v>0</v>
      </c>
      <c r="BL380" s="38">
        <f>IF(AND(BL$7="○",$A380&gt;=BL$8,$A380&lt;=BL$9),IF(SUM(BL$10:BL379)-ROUNDDOWN($L380*BL$5/100,0)&lt;-BL$6,-BL$6-SUM(BL$10:BL379),-ROUNDDOWN($L380*BL$5/100,0)),0)</f>
        <v>0</v>
      </c>
      <c r="BM380" s="38">
        <f>IF(AND(BM$7="○",$A380&gt;=BM$8,$A380&lt;=BM$9),IF(SUM(BM$10:BM379)-ROUNDDOWN($M380*BM$5/100,0)&lt;-BM$6,-BM$6-SUM(BM$10:BM379),-ROUNDDOWN($M380*BM$5/100,0)),0)</f>
        <v>0</v>
      </c>
      <c r="BN380" s="38">
        <f>IF(AND(BN$7="○",$A380&gt;=BN$8,$A380&lt;=BN$9),IF(SUM(BN$10:BN379)-ROUNDDOWN($M380*BN$5/100,0)&lt;-BN$6,-BN$6-SUM(BN$10:BN379),-ROUNDDOWN($M380*BN$5/100,0)),0)</f>
        <v>0</v>
      </c>
      <c r="BO380" s="38">
        <f>IF(AND(BO$7="○",$A380&gt;=BO$8,$A380&lt;=BO$9),IF(SUM(BO$10:BO379)-ROUNDDOWN($M380*BO$5/100,0)&lt;-BO$6,-BO$6-SUM(BO$10:BO379),-ROUNDDOWN($M380*BO$5/100,0)),0)</f>
        <v>0</v>
      </c>
      <c r="BP380" s="38">
        <f>IF(AND(BP$7="○",$A380&gt;=BP$8,$A380&lt;=BP$9),IF(SUM(BP$10:BP379)-ROUNDDOWN($M380*BP$5/100,0)&lt;-BP$6,-BP$6-SUM(BP$10:BP379),-ROUNDDOWN($M380*BP$5/100,0)),0)</f>
        <v>0</v>
      </c>
      <c r="BQ380" s="38">
        <f>IF(AND(BQ$7="○",$A380&gt;=BQ$8,$A380&lt;=BQ$9),IF(SUM(BQ$10:BQ379)-ROUNDDOWN($L380*BQ$5/100,0)&lt;-BQ$6,-BQ$6-SUM(BQ$10:BQ379),-ROUNDDOWN($L380*BQ$5/100,0)),0)</f>
        <v>0</v>
      </c>
      <c r="BR380" s="38">
        <f>IF(AND(BR$7="○",$A380&gt;=BR$8,$A380&lt;=BR$9),IF(SUM(BR$10:BR379)-ROUNDDOWN($M380*BR$5/100,0)&lt;-BR$6,-BR$6-SUM(BR$10:BR379),-ROUNDDOWN($M380*BR$5/100,0)),0)</f>
        <v>0</v>
      </c>
      <c r="BS380" s="38">
        <f>IF(AND(BS$7="○",$A380&gt;=BS$8,$A380&lt;=BS$9),IF(SUM(BS$10:BS379)-ROUNDDOWN($M380*BS$5/100,0)&lt;-BS$6,-BS$6-SUM(BS$10:BS379),-ROUNDDOWN($M380*BS$5/100,0)),0)</f>
        <v>0</v>
      </c>
      <c r="BT380" s="38">
        <f>IF(AND(BT$7="○",$A380&gt;=BT$8,$A380&lt;=BT$9),IF(SUM(BT$10:BT379)-ROUNDDOWN($M380*BT$5/100,0)&lt;-BT$6,-BT$6-SUM(BT$10:BT379),-ROUNDDOWN($M380*BT$5/100,0)),0)</f>
        <v>0</v>
      </c>
      <c r="BU380" s="38">
        <f>IF(AND(BU$7="○",$A380&gt;=BU$8,$A380&lt;=BU$9),IF(SUM(BU$10:BU379)-ROUNDDOWN($M380*BU$5/100,0)&lt;-BU$6,-BU$6-SUM(BU$10:BU379),-ROUNDDOWN($M380*BU$5/100,0)),0)</f>
        <v>0</v>
      </c>
      <c r="BV380" s="38">
        <f>IF(AND(BV$7="○",$A380&gt;=BV$8,$A380&lt;=BV$9),IF(SUM(BV$10:BV379)-ROUNDDOWN($M380*BV$5/100,0)&lt;-BV$6,-BV$6-SUM(BV$10:BV379),-ROUNDDOWN($M380*BV$5/100,0)),0)</f>
        <v>0</v>
      </c>
      <c r="BW380" s="38">
        <f>IF(AND(BW$7="○",$A380&gt;=BW$8,$A380&lt;=BW$9),IF(SUM(BW$10:BW379)-ROUNDDOWN($M380*BW$5/100,0)&lt;-BW$6,-BW$6-SUM(BW$10:BW379),-ROUNDDOWN($M380*BW$5/100,0)),0)</f>
        <v>0</v>
      </c>
      <c r="BX380" s="38">
        <f>IF(AND(T380="○",$A380&gt;=BX$8,$A380&lt;=BX$9),IF(SUM(BX$10:BX379)-ROUNDDOWN($K380*BX$5/100,0)&lt;-BX$6,-BX$6-SUM(BX$10:BX379),-ROUNDDOWN($K380*BX$5/100,0)),0)</f>
        <v>0</v>
      </c>
      <c r="BY380" s="38">
        <f>IF(AND(U380="○",$A380&gt;=BY$8,$A380&lt;=BY$9),IF(SUM(BY$10:BY379)-ROUNDDOWN($K380*BY$5/100,0)&lt;-BY$6,-BY$6-SUM(BY$10:BY379),-ROUNDDOWN($K380*BY$5/100,0)),0)</f>
        <v>0</v>
      </c>
      <c r="BZ380" s="38">
        <f>IF(AND(V380="○",$A380&gt;=BZ$8,$A380&lt;=BZ$9),IF(SUM(BZ$10:BZ379)-ROUNDDOWN($K380*BZ$5/100,0)&lt;-BZ$6,-BZ$6-SUM(BZ$10:BZ379),-ROUNDDOWN($K380*BZ$5/100,0)),0)</f>
        <v>0</v>
      </c>
      <c r="CA380" s="38">
        <f>IF(AND(W380="○",$A380&gt;=CA$8,$A380&lt;=CA$9),IF(SUM(CA$10:CA379)-ROUNDDOWN($K380*CA$5/100,0)&lt;-CA$6,-CA$6-SUM(CA$10:CA379),-ROUNDDOWN($K380*CA$5/100,0)),0)</f>
        <v>0</v>
      </c>
      <c r="CB380" s="38"/>
      <c r="CC380" s="38"/>
      <c r="CD380" s="38"/>
      <c r="CE380" s="38"/>
      <c r="CF380" s="38"/>
      <c r="CG380" s="65">
        <f t="shared" si="256"/>
        <v>0</v>
      </c>
      <c r="CH380" s="71">
        <f t="shared" si="257"/>
        <v>0</v>
      </c>
      <c r="CI380" s="1">
        <f t="shared" si="276"/>
        <v>0</v>
      </c>
      <c r="CJ380" s="1"/>
      <c r="CK380" s="72"/>
      <c r="CL380" s="72"/>
      <c r="CM380" s="2"/>
      <c r="CN380" s="2"/>
      <c r="CO380" s="73">
        <f t="shared" si="277"/>
        <v>0</v>
      </c>
      <c r="CP380" s="5">
        <f t="shared" si="278"/>
        <v>0</v>
      </c>
      <c r="CQ380" s="1"/>
      <c r="CR380" s="1">
        <f t="shared" si="279"/>
        <v>0</v>
      </c>
      <c r="CS380" s="1"/>
      <c r="CT380" s="1" t="e">
        <f>INDEX([2]マスタ!$A:$A,MATCH(D380,[2]マスタ!$C:$C,0))</f>
        <v>#N/A</v>
      </c>
      <c r="CU380" s="1" t="str">
        <f t="shared" ca="1" si="280"/>
        <v>20260620_0-0</v>
      </c>
    </row>
    <row r="381" spans="1:99" x14ac:dyDescent="0.4">
      <c r="A381" s="61"/>
      <c r="B381" s="62"/>
      <c r="C381" s="62"/>
      <c r="D381" s="62"/>
      <c r="E381" s="74"/>
      <c r="F381" s="62"/>
      <c r="G381" s="62">
        <v>1</v>
      </c>
      <c r="H381" s="64">
        <f t="shared" si="267"/>
        <v>0</v>
      </c>
      <c r="I381" s="64"/>
      <c r="J381" s="64"/>
      <c r="K381" s="65">
        <f t="shared" si="268"/>
        <v>0</v>
      </c>
      <c r="L381" s="65">
        <f t="shared" si="269"/>
        <v>0</v>
      </c>
      <c r="M381" s="65">
        <f t="shared" si="270"/>
        <v>0</v>
      </c>
      <c r="N381" s="65">
        <f t="shared" si="271"/>
        <v>0</v>
      </c>
      <c r="O381" s="66" t="str">
        <f t="shared" si="272"/>
        <v>✕</v>
      </c>
      <c r="P381" s="67" t="str">
        <f t="shared" si="273"/>
        <v>○</v>
      </c>
      <c r="Q381" s="67" t="str">
        <f t="shared" si="274"/>
        <v>✕</v>
      </c>
      <c r="R381" s="67" t="str">
        <f t="shared" si="275"/>
        <v>✕</v>
      </c>
      <c r="S381" s="68">
        <v>0</v>
      </c>
      <c r="T381" s="69" t="s">
        <v>85</v>
      </c>
      <c r="U381" s="69" t="s">
        <v>85</v>
      </c>
      <c r="V381" s="69" t="s">
        <v>85</v>
      </c>
      <c r="W381" s="69" t="s">
        <v>85</v>
      </c>
      <c r="X381" s="69" t="s">
        <v>84</v>
      </c>
      <c r="Y381" s="69" t="s">
        <v>85</v>
      </c>
      <c r="Z381" s="69" t="s">
        <v>85</v>
      </c>
      <c r="AA381" s="69" t="s">
        <v>85</v>
      </c>
      <c r="AB381" s="69" t="s">
        <v>85</v>
      </c>
      <c r="AC381" s="69" t="s">
        <v>85</v>
      </c>
      <c r="AD381" s="38" t="str">
        <f>+IF(ISERROR(VLOOKUP($B381,AD$10:AD380,1,0)),IF(AND($N381&gt;=1000,$A381&gt;=AO$8,$A381&lt;=AO$9),$B381,""),"")</f>
        <v/>
      </c>
      <c r="AE381" s="38" t="str">
        <f>+IF(ISERROR(VLOOKUP($B381,AE$10:AE380,1,0)),IF(AND($N381&gt;=1000,$A381&gt;=AP$8,$A381&lt;=AP$9),$B381,""),"")</f>
        <v/>
      </c>
      <c r="AF381" s="38" t="str">
        <f>+IF(ISERROR(VLOOKUP($B381,AF$10:AF380,1,0)),IF(AND($N381&gt;=1000,$A381&gt;=AQ$8,$A381&lt;=AQ$9),$B381,""),"")</f>
        <v/>
      </c>
      <c r="AG381" s="38" t="str">
        <f>+IF(ISERROR(VLOOKUP($B381,AG$10:AG380,1,0)),IF(AND($N381&gt;=1000,$A381&gt;=AR$8,$A381&lt;=AR$9),$B381,""),"")</f>
        <v/>
      </c>
      <c r="AH381" s="38"/>
      <c r="AI381" s="70">
        <v>0</v>
      </c>
      <c r="AJ381" s="38">
        <f>IF(AND(AJ$7="○",$A381&gt;=AJ$8,$A381&lt;=AJ$9),IF(SUM(AJ$10:AJ380)-ROUNDDOWN($K381*AJ$5/100,0)&lt;-AJ$6,-AJ$6-SUM(AJ$10:AJ380),-ROUNDDOWN($K381*AJ$5/100,0)),0)</f>
        <v>0</v>
      </c>
      <c r="AK381" s="38">
        <f>IF(AND(AK$7="○",$A381&gt;=AK$8,$A381&lt;=AK$9),IF(SUM(AK$10:AK380)-ROUNDDOWN($L381*AK$5/100,0)&lt;-AK$6,-AK$6-SUM(AK$10:AK380),-ROUNDDOWN($L381*AK$5/100,0)),0)</f>
        <v>0</v>
      </c>
      <c r="AL381" s="38">
        <f>IF(AND(AL$7="○",$A381&gt;=AL$8,$A381&lt;=AL$9),IF(SUM(AL$10:AL380)-ROUNDDOWN($N381*AL$5/100,0)&lt;-AL$6,-AL$6-SUM(AL$10:AL380),-ROUNDDOWN($N381*AL$5/100,0)),0)</f>
        <v>0</v>
      </c>
      <c r="AM381" s="38">
        <f>IF(AND(AM$7="○",$A381&gt;=AM$8,$A381&lt;=AM$9),IF(SUM(AM$10:AM380)-ROUNDDOWN($L381*AM$5/100,0)&lt;-AM$6,-AM$6-SUM(AM$10:AM380),-ROUNDDOWN($L381*AM$5/100,0)),0)</f>
        <v>0</v>
      </c>
      <c r="AN381" s="38">
        <f>IF(AND(AN$7="○",$A381&gt;=AN$8,$A381&lt;=AN$9),IF(SUM(AN$10:AN380)-ROUNDDOWN($M381*AN$5/100,0)&lt;-AN$6,-AN$6-SUM(AN$10:AN380),-ROUNDDOWN($M381*AN$5/100,0)),0)</f>
        <v>0</v>
      </c>
      <c r="AO381" s="38">
        <f>IF(AND($A381&gt;=AO$8,$A381&lt;=AO$9),IF(SUM(AO$10:AO380)-ROUNDDOWN($K381*AO$5/100,0)&lt;-AO$6,-AO$6-SUM(AO$10:AO380),-ROUNDDOWN($K381*AO$5/100,0)),0)</f>
        <v>0</v>
      </c>
      <c r="AP381" s="38">
        <f>IF(AND($A381&gt;=AP$8,$A381&lt;=AP$9),IF(SUM(AP$10:AP380)-ROUNDDOWN($K381*AP$5/100,0)&lt;-AP$6,-AP$6-SUM(AP$10:AP380),-ROUNDDOWN($K381*AP$5/100,0)),0)</f>
        <v>0</v>
      </c>
      <c r="AQ381" s="38">
        <f>IF(AND($A381&gt;=AQ$8,$A381&lt;=AQ$9),IF(SUM(AQ$10:AQ380)-ROUNDDOWN($K381*AQ$5/100,0)&lt;-AQ$6,-AQ$6-SUM(AQ$10:AQ380),-ROUNDDOWN($K381*AQ$5/100,0)),0)</f>
        <v>0</v>
      </c>
      <c r="AR381" s="38">
        <f>IF(AND($A381&gt;=AR$8,$A381&lt;=AR$9),IF(SUM(AR$10:AR380)-ROUNDDOWN($K381*AR$5/100,0)&lt;-AR$6,-AR$6-SUM(AR$10:AR380),-ROUNDDOWN($K381*AR$5/100,0)),0)</f>
        <v>0</v>
      </c>
      <c r="AS381" s="38">
        <f>IF(SUMIFS(AS$10:AS380,$A$10:$A380,$A381)-ROUNDDOWN($K381*$S381/100,0)&lt;-$S381*1000,-$S381*1000-SUMIFS(AS$10:AS380,$A$10:$A380,$A381),-ROUNDDOWN($K381*$S381/100,0))</f>
        <v>0</v>
      </c>
      <c r="AT381" s="38">
        <f>IF(AND(X381="○",$A381&gt;=AT$8,$A381&lt;=AT$9,K381&gt;=3980),IF(SUM(AT$10:AT380)-ROUNDDOWN($K381*AT$5/100,0)&lt;-AT$6,-AT$6-SUM(AT$10:AT380),-ROUNDDOWN($K381*AT$5/100,0)),0)</f>
        <v>0</v>
      </c>
      <c r="AU381" s="38">
        <f>IF(O381="○",IF(SUM(AU$10:AU380)-ROUNDDOWN($K381*AU$5/100,0)&lt;-AU$6,-AU$6-SUM(AU$10:AU380),-ROUNDDOWN($K381*AU$5/100,0)),0)</f>
        <v>0</v>
      </c>
      <c r="AV381" s="38">
        <f>IF(P381="○",IF(SUM(AV$10:AV380)-ROUNDDOWN($K381*AV$5/100,0)&lt;-AV$6,-AV$6-SUM(AV$10:AV380),-ROUNDDOWN($K381*AV$5/100,0)),0)</f>
        <v>0</v>
      </c>
      <c r="AW381" s="38">
        <f>IF(Q381="○",IF(SUM(AW$10:AW380)-ROUNDDOWN($K381*AW$5/100,0)&lt;-AW$6,-AW$6-SUM(AW$10:AW380),-ROUNDDOWN($K381*AW$5/100,0)),0)</f>
        <v>0</v>
      </c>
      <c r="AX381" s="38">
        <f>IF(R381="○",IF(SUM(AX$10:AX380)-ROUNDDOWN($K381*AX$5/100,0)&lt;-AX$6,-AX$6-SUM(AX$10:AX380),-ROUNDDOWN($K381*AX$5/100,0)),0)</f>
        <v>0</v>
      </c>
      <c r="AY381" s="70">
        <v>0</v>
      </c>
      <c r="AZ381" s="65">
        <f t="shared" si="250"/>
        <v>0</v>
      </c>
      <c r="BA381" s="65">
        <f t="shared" si="251"/>
        <v>0</v>
      </c>
      <c r="BB381" s="70"/>
      <c r="BC381" s="65">
        <f t="shared" si="252"/>
        <v>0</v>
      </c>
      <c r="BD381" s="70">
        <v>0</v>
      </c>
      <c r="BE381" s="65">
        <f t="shared" si="253"/>
        <v>0</v>
      </c>
      <c r="BF381" s="70">
        <v>0</v>
      </c>
      <c r="BG381" s="65">
        <f t="shared" si="254"/>
        <v>0</v>
      </c>
      <c r="BH381" s="70">
        <v>0</v>
      </c>
      <c r="BI381" s="65">
        <f t="shared" si="255"/>
        <v>0</v>
      </c>
      <c r="BJ381" s="38">
        <f>IF(AND(BJ$7="○",$A381&gt;=BJ$8,$A381&lt;=BJ$9),IF(SUM(BJ$10:BJ380)-ROUNDDOWN($M381*BJ$5/100,0)&lt;-BJ$6,-BJ$6-SUM(BJ$10:BJ380),-ROUNDDOWN($M381*BJ$5/100,0)),0)</f>
        <v>0</v>
      </c>
      <c r="BK381" s="38">
        <f>IF(AND(BK$7="○",$A381&gt;=BK$8,$A381&lt;=BK$9),IF(SUM(BK$10:BK380)-ROUNDDOWN($L381*BK$5/100,0)&lt;-BK$6,-BK$6-SUM(BK$10:BK380),-ROUNDDOWN($L381*BK$5/100,0)),0)</f>
        <v>0</v>
      </c>
      <c r="BL381" s="38">
        <f>IF(AND(BL$7="○",$A381&gt;=BL$8,$A381&lt;=BL$9),IF(SUM(BL$10:BL380)-ROUNDDOWN($L381*BL$5/100,0)&lt;-BL$6,-BL$6-SUM(BL$10:BL380),-ROUNDDOWN($L381*BL$5/100,0)),0)</f>
        <v>0</v>
      </c>
      <c r="BM381" s="38">
        <f>IF(AND(BM$7="○",$A381&gt;=BM$8,$A381&lt;=BM$9),IF(SUM(BM$10:BM380)-ROUNDDOWN($M381*BM$5/100,0)&lt;-BM$6,-BM$6-SUM(BM$10:BM380),-ROUNDDOWN($M381*BM$5/100,0)),0)</f>
        <v>0</v>
      </c>
      <c r="BN381" s="38">
        <f>IF(AND(BN$7="○",$A381&gt;=BN$8,$A381&lt;=BN$9),IF(SUM(BN$10:BN380)-ROUNDDOWN($M381*BN$5/100,0)&lt;-BN$6,-BN$6-SUM(BN$10:BN380),-ROUNDDOWN($M381*BN$5/100,0)),0)</f>
        <v>0</v>
      </c>
      <c r="BO381" s="38">
        <f>IF(AND(BO$7="○",$A381&gt;=BO$8,$A381&lt;=BO$9),IF(SUM(BO$10:BO380)-ROUNDDOWN($M381*BO$5/100,0)&lt;-BO$6,-BO$6-SUM(BO$10:BO380),-ROUNDDOWN($M381*BO$5/100,0)),0)</f>
        <v>0</v>
      </c>
      <c r="BP381" s="38">
        <f>IF(AND(BP$7="○",$A381&gt;=BP$8,$A381&lt;=BP$9),IF(SUM(BP$10:BP380)-ROUNDDOWN($M381*BP$5/100,0)&lt;-BP$6,-BP$6-SUM(BP$10:BP380),-ROUNDDOWN($M381*BP$5/100,0)),0)</f>
        <v>0</v>
      </c>
      <c r="BQ381" s="38">
        <f>IF(AND(BQ$7="○",$A381&gt;=BQ$8,$A381&lt;=BQ$9),IF(SUM(BQ$10:BQ380)-ROUNDDOWN($L381*BQ$5/100,0)&lt;-BQ$6,-BQ$6-SUM(BQ$10:BQ380),-ROUNDDOWN($L381*BQ$5/100,0)),0)</f>
        <v>0</v>
      </c>
      <c r="BR381" s="38">
        <f>IF(AND(BR$7="○",$A381&gt;=BR$8,$A381&lt;=BR$9),IF(SUM(BR$10:BR380)-ROUNDDOWN($M381*BR$5/100,0)&lt;-BR$6,-BR$6-SUM(BR$10:BR380),-ROUNDDOWN($M381*BR$5/100,0)),0)</f>
        <v>0</v>
      </c>
      <c r="BS381" s="38">
        <f>IF(AND(BS$7="○",$A381&gt;=BS$8,$A381&lt;=BS$9),IF(SUM(BS$10:BS380)-ROUNDDOWN($M381*BS$5/100,0)&lt;-BS$6,-BS$6-SUM(BS$10:BS380),-ROUNDDOWN($M381*BS$5/100,0)),0)</f>
        <v>0</v>
      </c>
      <c r="BT381" s="38">
        <f>IF(AND(BT$7="○",$A381&gt;=BT$8,$A381&lt;=BT$9),IF(SUM(BT$10:BT380)-ROUNDDOWN($M381*BT$5/100,0)&lt;-BT$6,-BT$6-SUM(BT$10:BT380),-ROUNDDOWN($M381*BT$5/100,0)),0)</f>
        <v>0</v>
      </c>
      <c r="BU381" s="38">
        <f>IF(AND(BU$7="○",$A381&gt;=BU$8,$A381&lt;=BU$9),IF(SUM(BU$10:BU380)-ROUNDDOWN($M381*BU$5/100,0)&lt;-BU$6,-BU$6-SUM(BU$10:BU380),-ROUNDDOWN($M381*BU$5/100,0)),0)</f>
        <v>0</v>
      </c>
      <c r="BV381" s="38">
        <f>IF(AND(BV$7="○",$A381&gt;=BV$8,$A381&lt;=BV$9),IF(SUM(BV$10:BV380)-ROUNDDOWN($M381*BV$5/100,0)&lt;-BV$6,-BV$6-SUM(BV$10:BV380),-ROUNDDOWN($M381*BV$5/100,0)),0)</f>
        <v>0</v>
      </c>
      <c r="BW381" s="38">
        <f>IF(AND(BW$7="○",$A381&gt;=BW$8,$A381&lt;=BW$9),IF(SUM(BW$10:BW380)-ROUNDDOWN($M381*BW$5/100,0)&lt;-BW$6,-BW$6-SUM(BW$10:BW380),-ROUNDDOWN($M381*BW$5/100,0)),0)</f>
        <v>0</v>
      </c>
      <c r="BX381" s="38">
        <f>IF(AND(T381="○",$A381&gt;=BX$8,$A381&lt;=BX$9),IF(SUM(BX$10:BX380)-ROUNDDOWN($K381*BX$5/100,0)&lt;-BX$6,-BX$6-SUM(BX$10:BX380),-ROUNDDOWN($K381*BX$5/100,0)),0)</f>
        <v>0</v>
      </c>
      <c r="BY381" s="38">
        <f>IF(AND(U381="○",$A381&gt;=BY$8,$A381&lt;=BY$9),IF(SUM(BY$10:BY380)-ROUNDDOWN($K381*BY$5/100,0)&lt;-BY$6,-BY$6-SUM(BY$10:BY380),-ROUNDDOWN($K381*BY$5/100,0)),0)</f>
        <v>0</v>
      </c>
      <c r="BZ381" s="38">
        <f>IF(AND(V381="○",$A381&gt;=BZ$8,$A381&lt;=BZ$9),IF(SUM(BZ$10:BZ380)-ROUNDDOWN($K381*BZ$5/100,0)&lt;-BZ$6,-BZ$6-SUM(BZ$10:BZ380),-ROUNDDOWN($K381*BZ$5/100,0)),0)</f>
        <v>0</v>
      </c>
      <c r="CA381" s="38">
        <f>IF(AND(W381="○",$A381&gt;=CA$8,$A381&lt;=CA$9),IF(SUM(CA$10:CA380)-ROUNDDOWN($K381*CA$5/100,0)&lt;-CA$6,-CA$6-SUM(CA$10:CA380),-ROUNDDOWN($K381*CA$5/100,0)),0)</f>
        <v>0</v>
      </c>
      <c r="CB381" s="38"/>
      <c r="CC381" s="38"/>
      <c r="CD381" s="38"/>
      <c r="CE381" s="38"/>
      <c r="CF381" s="38"/>
      <c r="CG381" s="65">
        <f t="shared" si="256"/>
        <v>0</v>
      </c>
      <c r="CH381" s="71">
        <f t="shared" si="257"/>
        <v>0</v>
      </c>
      <c r="CI381" s="1">
        <f t="shared" si="276"/>
        <v>0</v>
      </c>
      <c r="CJ381" s="1"/>
      <c r="CK381" s="72"/>
      <c r="CL381" s="72"/>
      <c r="CM381" s="2"/>
      <c r="CN381" s="2"/>
      <c r="CO381" s="73">
        <f t="shared" si="277"/>
        <v>0</v>
      </c>
      <c r="CP381" s="5">
        <f t="shared" si="278"/>
        <v>0</v>
      </c>
      <c r="CQ381" s="1"/>
      <c r="CR381" s="1">
        <f t="shared" si="279"/>
        <v>0</v>
      </c>
      <c r="CS381" s="1"/>
      <c r="CT381" s="1" t="e">
        <f>INDEX([2]マスタ!$A:$A,MATCH(D381,[2]マスタ!$C:$C,0))</f>
        <v>#N/A</v>
      </c>
      <c r="CU381" s="1" t="str">
        <f t="shared" ca="1" si="280"/>
        <v>20260620_0-0</v>
      </c>
    </row>
    <row r="382" spans="1:99" x14ac:dyDescent="0.4">
      <c r="A382" s="61"/>
      <c r="B382" s="62"/>
      <c r="C382" s="62"/>
      <c r="D382" s="62"/>
      <c r="E382" s="74"/>
      <c r="F382" s="62"/>
      <c r="G382" s="62">
        <v>1</v>
      </c>
      <c r="H382" s="64">
        <f t="shared" si="267"/>
        <v>0</v>
      </c>
      <c r="I382" s="64"/>
      <c r="J382" s="64"/>
      <c r="K382" s="65">
        <f t="shared" si="268"/>
        <v>0</v>
      </c>
      <c r="L382" s="65">
        <f t="shared" si="269"/>
        <v>0</v>
      </c>
      <c r="M382" s="65">
        <f t="shared" si="270"/>
        <v>0</v>
      </c>
      <c r="N382" s="65">
        <f t="shared" si="271"/>
        <v>0</v>
      </c>
      <c r="O382" s="66" t="str">
        <f t="shared" si="272"/>
        <v>✕</v>
      </c>
      <c r="P382" s="67" t="str">
        <f t="shared" si="273"/>
        <v>○</v>
      </c>
      <c r="Q382" s="67" t="str">
        <f t="shared" si="274"/>
        <v>✕</v>
      </c>
      <c r="R382" s="67" t="str">
        <f t="shared" si="275"/>
        <v>✕</v>
      </c>
      <c r="S382" s="68">
        <v>0</v>
      </c>
      <c r="T382" s="69" t="s">
        <v>85</v>
      </c>
      <c r="U382" s="69" t="s">
        <v>85</v>
      </c>
      <c r="V382" s="69" t="s">
        <v>85</v>
      </c>
      <c r="W382" s="69" t="s">
        <v>85</v>
      </c>
      <c r="X382" s="69" t="s">
        <v>84</v>
      </c>
      <c r="Y382" s="69" t="s">
        <v>85</v>
      </c>
      <c r="Z382" s="69" t="s">
        <v>85</v>
      </c>
      <c r="AA382" s="69" t="s">
        <v>85</v>
      </c>
      <c r="AB382" s="69" t="s">
        <v>85</v>
      </c>
      <c r="AC382" s="69" t="s">
        <v>85</v>
      </c>
      <c r="AD382" s="38" t="str">
        <f>+IF(ISERROR(VLOOKUP($B382,AD$10:AD381,1,0)),IF(AND($N382&gt;=1000,$A382&gt;=AO$8,$A382&lt;=AO$9),$B382,""),"")</f>
        <v/>
      </c>
      <c r="AE382" s="38" t="str">
        <f>+IF(ISERROR(VLOOKUP($B382,AE$10:AE381,1,0)),IF(AND($N382&gt;=1000,$A382&gt;=AP$8,$A382&lt;=AP$9),$B382,""),"")</f>
        <v/>
      </c>
      <c r="AF382" s="38" t="str">
        <f>+IF(ISERROR(VLOOKUP($B382,AF$10:AF381,1,0)),IF(AND($N382&gt;=1000,$A382&gt;=AQ$8,$A382&lt;=AQ$9),$B382,""),"")</f>
        <v/>
      </c>
      <c r="AG382" s="38" t="str">
        <f>+IF(ISERROR(VLOOKUP($B382,AG$10:AG381,1,0)),IF(AND($N382&gt;=1000,$A382&gt;=AR$8,$A382&lt;=AR$9),$B382,""),"")</f>
        <v/>
      </c>
      <c r="AH382" s="38"/>
      <c r="AI382" s="70">
        <v>0</v>
      </c>
      <c r="AJ382" s="38">
        <f>IF(AND(AJ$7="○",$A382&gt;=AJ$8,$A382&lt;=AJ$9),IF(SUM(AJ$10:AJ381)-ROUNDDOWN($K382*AJ$5/100,0)&lt;-AJ$6,-AJ$6-SUM(AJ$10:AJ381),-ROUNDDOWN($K382*AJ$5/100,0)),0)</f>
        <v>0</v>
      </c>
      <c r="AK382" s="38">
        <f>IF(AND(AK$7="○",$A382&gt;=AK$8,$A382&lt;=AK$9),IF(SUM(AK$10:AK381)-ROUNDDOWN($L382*AK$5/100,0)&lt;-AK$6,-AK$6-SUM(AK$10:AK381),-ROUNDDOWN($L382*AK$5/100,0)),0)</f>
        <v>0</v>
      </c>
      <c r="AL382" s="38">
        <f>IF(AND(AL$7="○",$A382&gt;=AL$8,$A382&lt;=AL$9),IF(SUM(AL$10:AL381)-ROUNDDOWN($N382*AL$5/100,0)&lt;-AL$6,-AL$6-SUM(AL$10:AL381),-ROUNDDOWN($N382*AL$5/100,0)),0)</f>
        <v>0</v>
      </c>
      <c r="AM382" s="38">
        <f>IF(AND(AM$7="○",$A382&gt;=AM$8,$A382&lt;=AM$9),IF(SUM(AM$10:AM381)-ROUNDDOWN($L382*AM$5/100,0)&lt;-AM$6,-AM$6-SUM(AM$10:AM381),-ROUNDDOWN($L382*AM$5/100,0)),0)</f>
        <v>0</v>
      </c>
      <c r="AN382" s="38">
        <f>IF(AND(AN$7="○",$A382&gt;=AN$8,$A382&lt;=AN$9),IF(SUM(AN$10:AN381)-ROUNDDOWN($M382*AN$5/100,0)&lt;-AN$6,-AN$6-SUM(AN$10:AN381),-ROUNDDOWN($M382*AN$5/100,0)),0)</f>
        <v>0</v>
      </c>
      <c r="AO382" s="38">
        <f>IF(AND($A382&gt;=AO$8,$A382&lt;=AO$9),IF(SUM(AO$10:AO381)-ROUNDDOWN($K382*AO$5/100,0)&lt;-AO$6,-AO$6-SUM(AO$10:AO381),-ROUNDDOWN($K382*AO$5/100,0)),0)</f>
        <v>0</v>
      </c>
      <c r="AP382" s="38">
        <f>IF(AND($A382&gt;=AP$8,$A382&lt;=AP$9),IF(SUM(AP$10:AP381)-ROUNDDOWN($K382*AP$5/100,0)&lt;-AP$6,-AP$6-SUM(AP$10:AP381),-ROUNDDOWN($K382*AP$5/100,0)),0)</f>
        <v>0</v>
      </c>
      <c r="AQ382" s="38">
        <f>IF(AND($A382&gt;=AQ$8,$A382&lt;=AQ$9),IF(SUM(AQ$10:AQ381)-ROUNDDOWN($K382*AQ$5/100,0)&lt;-AQ$6,-AQ$6-SUM(AQ$10:AQ381),-ROUNDDOWN($K382*AQ$5/100,0)),0)</f>
        <v>0</v>
      </c>
      <c r="AR382" s="38">
        <f>IF(AND($A382&gt;=AR$8,$A382&lt;=AR$9),IF(SUM(AR$10:AR381)-ROUNDDOWN($K382*AR$5/100,0)&lt;-AR$6,-AR$6-SUM(AR$10:AR381),-ROUNDDOWN($K382*AR$5/100,0)),0)</f>
        <v>0</v>
      </c>
      <c r="AS382" s="38">
        <f>IF(SUMIFS(AS$10:AS381,$A$10:$A381,$A382)-ROUNDDOWN($K382*$S382/100,0)&lt;-$S382*1000,-$S382*1000-SUMIFS(AS$10:AS381,$A$10:$A381,$A382),-ROUNDDOWN($K382*$S382/100,0))</f>
        <v>0</v>
      </c>
      <c r="AT382" s="38">
        <f>IF(AND(X382="○",$A382&gt;=AT$8,$A382&lt;=AT$9,K382&gt;=3980),IF(SUM(AT$10:AT381)-ROUNDDOWN($K382*AT$5/100,0)&lt;-AT$6,-AT$6-SUM(AT$10:AT381),-ROUNDDOWN($K382*AT$5/100,0)),0)</f>
        <v>0</v>
      </c>
      <c r="AU382" s="38">
        <f>IF(O382="○",IF(SUM(AU$10:AU381)-ROUNDDOWN($K382*AU$5/100,0)&lt;-AU$6,-AU$6-SUM(AU$10:AU381),-ROUNDDOWN($K382*AU$5/100,0)),0)</f>
        <v>0</v>
      </c>
      <c r="AV382" s="38">
        <f>IF(P382="○",IF(SUM(AV$10:AV381)-ROUNDDOWN($K382*AV$5/100,0)&lt;-AV$6,-AV$6-SUM(AV$10:AV381),-ROUNDDOWN($K382*AV$5/100,0)),0)</f>
        <v>0</v>
      </c>
      <c r="AW382" s="38">
        <f>IF(Q382="○",IF(SUM(AW$10:AW381)-ROUNDDOWN($K382*AW$5/100,0)&lt;-AW$6,-AW$6-SUM(AW$10:AW381),-ROUNDDOWN($K382*AW$5/100,0)),0)</f>
        <v>0</v>
      </c>
      <c r="AX382" s="38">
        <f>IF(R382="○",IF(SUM(AX$10:AX381)-ROUNDDOWN($K382*AX$5/100,0)&lt;-AX$6,-AX$6-SUM(AX$10:AX381),-ROUNDDOWN($K382*AX$5/100,0)),0)</f>
        <v>0</v>
      </c>
      <c r="AY382" s="70">
        <v>0</v>
      </c>
      <c r="AZ382" s="65">
        <f t="shared" si="250"/>
        <v>0</v>
      </c>
      <c r="BA382" s="65">
        <f t="shared" si="251"/>
        <v>0</v>
      </c>
      <c r="BB382" s="70"/>
      <c r="BC382" s="65">
        <f t="shared" si="252"/>
        <v>0</v>
      </c>
      <c r="BD382" s="70">
        <v>0</v>
      </c>
      <c r="BE382" s="65">
        <f t="shared" si="253"/>
        <v>0</v>
      </c>
      <c r="BF382" s="70">
        <v>0</v>
      </c>
      <c r="BG382" s="65">
        <f t="shared" si="254"/>
        <v>0</v>
      </c>
      <c r="BH382" s="70">
        <v>0</v>
      </c>
      <c r="BI382" s="65">
        <f t="shared" si="255"/>
        <v>0</v>
      </c>
      <c r="BJ382" s="38">
        <f>IF(AND(BJ$7="○",$A382&gt;=BJ$8,$A382&lt;=BJ$9),IF(SUM(BJ$10:BJ381)-ROUNDDOWN($M382*BJ$5/100,0)&lt;-BJ$6,-BJ$6-SUM(BJ$10:BJ381),-ROUNDDOWN($M382*BJ$5/100,0)),0)</f>
        <v>0</v>
      </c>
      <c r="BK382" s="38">
        <f>IF(AND(BK$7="○",$A382&gt;=BK$8,$A382&lt;=BK$9),IF(SUM(BK$10:BK381)-ROUNDDOWN($L382*BK$5/100,0)&lt;-BK$6,-BK$6-SUM(BK$10:BK381),-ROUNDDOWN($L382*BK$5/100,0)),0)</f>
        <v>0</v>
      </c>
      <c r="BL382" s="38">
        <f>IF(AND(BL$7="○",$A382&gt;=BL$8,$A382&lt;=BL$9),IF(SUM(BL$10:BL381)-ROUNDDOWN($L382*BL$5/100,0)&lt;-BL$6,-BL$6-SUM(BL$10:BL381),-ROUNDDOWN($L382*BL$5/100,0)),0)</f>
        <v>0</v>
      </c>
      <c r="BM382" s="38">
        <f>IF(AND(BM$7="○",$A382&gt;=BM$8,$A382&lt;=BM$9),IF(SUM(BM$10:BM381)-ROUNDDOWN($M382*BM$5/100,0)&lt;-BM$6,-BM$6-SUM(BM$10:BM381),-ROUNDDOWN($M382*BM$5/100,0)),0)</f>
        <v>0</v>
      </c>
      <c r="BN382" s="38">
        <f>IF(AND(BN$7="○",$A382&gt;=BN$8,$A382&lt;=BN$9),IF(SUM(BN$10:BN381)-ROUNDDOWN($M382*BN$5/100,0)&lt;-BN$6,-BN$6-SUM(BN$10:BN381),-ROUNDDOWN($M382*BN$5/100,0)),0)</f>
        <v>0</v>
      </c>
      <c r="BO382" s="38">
        <f>IF(AND(BO$7="○",$A382&gt;=BO$8,$A382&lt;=BO$9),IF(SUM(BO$10:BO381)-ROUNDDOWN($M382*BO$5/100,0)&lt;-BO$6,-BO$6-SUM(BO$10:BO381),-ROUNDDOWN($M382*BO$5/100,0)),0)</f>
        <v>0</v>
      </c>
      <c r="BP382" s="38">
        <f>IF(AND(BP$7="○",$A382&gt;=BP$8,$A382&lt;=BP$9),IF(SUM(BP$10:BP381)-ROUNDDOWN($M382*BP$5/100,0)&lt;-BP$6,-BP$6-SUM(BP$10:BP381),-ROUNDDOWN($M382*BP$5/100,0)),0)</f>
        <v>0</v>
      </c>
      <c r="BQ382" s="38">
        <f>IF(AND(BQ$7="○",$A382&gt;=BQ$8,$A382&lt;=BQ$9),IF(SUM(BQ$10:BQ381)-ROUNDDOWN($L382*BQ$5/100,0)&lt;-BQ$6,-BQ$6-SUM(BQ$10:BQ381),-ROUNDDOWN($L382*BQ$5/100,0)),0)</f>
        <v>0</v>
      </c>
      <c r="BR382" s="38">
        <f>IF(AND(BR$7="○",$A382&gt;=BR$8,$A382&lt;=BR$9),IF(SUM(BR$10:BR381)-ROUNDDOWN($M382*BR$5/100,0)&lt;-BR$6,-BR$6-SUM(BR$10:BR381),-ROUNDDOWN($M382*BR$5/100,0)),0)</f>
        <v>0</v>
      </c>
      <c r="BS382" s="38">
        <f>IF(AND(BS$7="○",$A382&gt;=BS$8,$A382&lt;=BS$9),IF(SUM(BS$10:BS381)-ROUNDDOWN($M382*BS$5/100,0)&lt;-BS$6,-BS$6-SUM(BS$10:BS381),-ROUNDDOWN($M382*BS$5/100,0)),0)</f>
        <v>0</v>
      </c>
      <c r="BT382" s="38">
        <f>IF(AND(BT$7="○",$A382&gt;=BT$8,$A382&lt;=BT$9),IF(SUM(BT$10:BT381)-ROUNDDOWN($M382*BT$5/100,0)&lt;-BT$6,-BT$6-SUM(BT$10:BT381),-ROUNDDOWN($M382*BT$5/100,0)),0)</f>
        <v>0</v>
      </c>
      <c r="BU382" s="38">
        <f>IF(AND(BU$7="○",$A382&gt;=BU$8,$A382&lt;=BU$9),IF(SUM(BU$10:BU381)-ROUNDDOWN($M382*BU$5/100,0)&lt;-BU$6,-BU$6-SUM(BU$10:BU381),-ROUNDDOWN($M382*BU$5/100,0)),0)</f>
        <v>0</v>
      </c>
      <c r="BV382" s="38">
        <f>IF(AND(BV$7="○",$A382&gt;=BV$8,$A382&lt;=BV$9),IF(SUM(BV$10:BV381)-ROUNDDOWN($M382*BV$5/100,0)&lt;-BV$6,-BV$6-SUM(BV$10:BV381),-ROUNDDOWN($M382*BV$5/100,0)),0)</f>
        <v>0</v>
      </c>
      <c r="BW382" s="38">
        <f>IF(AND(BW$7="○",$A382&gt;=BW$8,$A382&lt;=BW$9),IF(SUM(BW$10:BW381)-ROUNDDOWN($M382*BW$5/100,0)&lt;-BW$6,-BW$6-SUM(BW$10:BW381),-ROUNDDOWN($M382*BW$5/100,0)),0)</f>
        <v>0</v>
      </c>
      <c r="BX382" s="38">
        <f>IF(AND(T382="○",$A382&gt;=BX$8,$A382&lt;=BX$9),IF(SUM(BX$10:BX381)-ROUNDDOWN($K382*BX$5/100,0)&lt;-BX$6,-BX$6-SUM(BX$10:BX381),-ROUNDDOWN($K382*BX$5/100,0)),0)</f>
        <v>0</v>
      </c>
      <c r="BY382" s="38">
        <f>IF(AND(U382="○",$A382&gt;=BY$8,$A382&lt;=BY$9),IF(SUM(BY$10:BY381)-ROUNDDOWN($K382*BY$5/100,0)&lt;-BY$6,-BY$6-SUM(BY$10:BY381),-ROUNDDOWN($K382*BY$5/100,0)),0)</f>
        <v>0</v>
      </c>
      <c r="BZ382" s="38">
        <f>IF(AND(V382="○",$A382&gt;=BZ$8,$A382&lt;=BZ$9),IF(SUM(BZ$10:BZ381)-ROUNDDOWN($K382*BZ$5/100,0)&lt;-BZ$6,-BZ$6-SUM(BZ$10:BZ381),-ROUNDDOWN($K382*BZ$5/100,0)),0)</f>
        <v>0</v>
      </c>
      <c r="CA382" s="38">
        <f>IF(AND(W382="○",$A382&gt;=CA$8,$A382&lt;=CA$9),IF(SUM(CA$10:CA381)-ROUNDDOWN($K382*CA$5/100,0)&lt;-CA$6,-CA$6-SUM(CA$10:CA381),-ROUNDDOWN($K382*CA$5/100,0)),0)</f>
        <v>0</v>
      </c>
      <c r="CB382" s="38"/>
      <c r="CC382" s="38"/>
      <c r="CD382" s="38"/>
      <c r="CE382" s="38"/>
      <c r="CF382" s="38"/>
      <c r="CG382" s="65">
        <f t="shared" si="256"/>
        <v>0</v>
      </c>
      <c r="CH382" s="71">
        <f t="shared" si="257"/>
        <v>0</v>
      </c>
      <c r="CI382" s="1">
        <f t="shared" si="276"/>
        <v>0</v>
      </c>
      <c r="CJ382" s="1"/>
      <c r="CK382" s="72"/>
      <c r="CL382" s="72"/>
      <c r="CM382" s="2"/>
      <c r="CN382" s="2"/>
      <c r="CO382" s="73">
        <f t="shared" si="277"/>
        <v>0</v>
      </c>
      <c r="CP382" s="5">
        <f t="shared" si="278"/>
        <v>0</v>
      </c>
      <c r="CQ382" s="1"/>
      <c r="CR382" s="1">
        <f t="shared" si="279"/>
        <v>0</v>
      </c>
      <c r="CS382" s="1"/>
      <c r="CT382" s="1" t="e">
        <f>INDEX([2]マスタ!$A:$A,MATCH(D382,[2]マスタ!$C:$C,0))</f>
        <v>#N/A</v>
      </c>
      <c r="CU382" s="1" t="str">
        <f t="shared" ca="1" si="280"/>
        <v>20260620_0-0</v>
      </c>
    </row>
    <row r="383" spans="1:99" x14ac:dyDescent="0.4">
      <c r="A383" s="61"/>
      <c r="B383" s="62"/>
      <c r="C383" s="62"/>
      <c r="D383" s="62"/>
      <c r="E383" s="74"/>
      <c r="F383" s="62"/>
      <c r="G383" s="62">
        <v>1</v>
      </c>
      <c r="H383" s="64">
        <f t="shared" si="267"/>
        <v>0</v>
      </c>
      <c r="I383" s="64"/>
      <c r="J383" s="64"/>
      <c r="K383" s="65">
        <f t="shared" si="268"/>
        <v>0</v>
      </c>
      <c r="L383" s="65">
        <f t="shared" si="269"/>
        <v>0</v>
      </c>
      <c r="M383" s="65">
        <f t="shared" si="270"/>
        <v>0</v>
      </c>
      <c r="N383" s="65">
        <f t="shared" si="271"/>
        <v>0</v>
      </c>
      <c r="O383" s="66" t="str">
        <f t="shared" si="272"/>
        <v>✕</v>
      </c>
      <c r="P383" s="67" t="str">
        <f t="shared" si="273"/>
        <v>○</v>
      </c>
      <c r="Q383" s="67" t="str">
        <f t="shared" si="274"/>
        <v>✕</v>
      </c>
      <c r="R383" s="67" t="str">
        <f t="shared" si="275"/>
        <v>✕</v>
      </c>
      <c r="S383" s="68">
        <v>0</v>
      </c>
      <c r="T383" s="69" t="s">
        <v>85</v>
      </c>
      <c r="U383" s="69" t="s">
        <v>85</v>
      </c>
      <c r="V383" s="69" t="s">
        <v>85</v>
      </c>
      <c r="W383" s="69" t="s">
        <v>85</v>
      </c>
      <c r="X383" s="69" t="s">
        <v>84</v>
      </c>
      <c r="Y383" s="69" t="s">
        <v>85</v>
      </c>
      <c r="Z383" s="69" t="s">
        <v>85</v>
      </c>
      <c r="AA383" s="69" t="s">
        <v>85</v>
      </c>
      <c r="AB383" s="69" t="s">
        <v>85</v>
      </c>
      <c r="AC383" s="69" t="s">
        <v>85</v>
      </c>
      <c r="AD383" s="38" t="str">
        <f>+IF(ISERROR(VLOOKUP($B383,AD$10:AD382,1,0)),IF(AND($N383&gt;=1000,$A383&gt;=AO$8,$A383&lt;=AO$9),$B383,""),"")</f>
        <v/>
      </c>
      <c r="AE383" s="38" t="str">
        <f>+IF(ISERROR(VLOOKUP($B383,AE$10:AE382,1,0)),IF(AND($N383&gt;=1000,$A383&gt;=AP$8,$A383&lt;=AP$9),$B383,""),"")</f>
        <v/>
      </c>
      <c r="AF383" s="38" t="str">
        <f>+IF(ISERROR(VLOOKUP($B383,AF$10:AF382,1,0)),IF(AND($N383&gt;=1000,$A383&gt;=AQ$8,$A383&lt;=AQ$9),$B383,""),"")</f>
        <v/>
      </c>
      <c r="AG383" s="38" t="str">
        <f>+IF(ISERROR(VLOOKUP($B383,AG$10:AG382,1,0)),IF(AND($N383&gt;=1000,$A383&gt;=AR$8,$A383&lt;=AR$9),$B383,""),"")</f>
        <v/>
      </c>
      <c r="AH383" s="38"/>
      <c r="AI383" s="70">
        <v>0</v>
      </c>
      <c r="AJ383" s="38">
        <f>IF(AND(AJ$7="○",$A383&gt;=AJ$8,$A383&lt;=AJ$9),IF(SUM(AJ$10:AJ382)-ROUNDDOWN($K383*AJ$5/100,0)&lt;-AJ$6,-AJ$6-SUM(AJ$10:AJ382),-ROUNDDOWN($K383*AJ$5/100,0)),0)</f>
        <v>0</v>
      </c>
      <c r="AK383" s="38">
        <f>IF(AND(AK$7="○",$A383&gt;=AK$8,$A383&lt;=AK$9),IF(SUM(AK$10:AK382)-ROUNDDOWN($L383*AK$5/100,0)&lt;-AK$6,-AK$6-SUM(AK$10:AK382),-ROUNDDOWN($L383*AK$5/100,0)),0)</f>
        <v>0</v>
      </c>
      <c r="AL383" s="38">
        <f>IF(AND(AL$7="○",$A383&gt;=AL$8,$A383&lt;=AL$9),IF(SUM(AL$10:AL382)-ROUNDDOWN($N383*AL$5/100,0)&lt;-AL$6,-AL$6-SUM(AL$10:AL382),-ROUNDDOWN($N383*AL$5/100,0)),0)</f>
        <v>0</v>
      </c>
      <c r="AM383" s="38">
        <f>IF(AND(AM$7="○",$A383&gt;=AM$8,$A383&lt;=AM$9),IF(SUM(AM$10:AM382)-ROUNDDOWN($L383*AM$5/100,0)&lt;-AM$6,-AM$6-SUM(AM$10:AM382),-ROUNDDOWN($L383*AM$5/100,0)),0)</f>
        <v>0</v>
      </c>
      <c r="AN383" s="38">
        <f>IF(AND(AN$7="○",$A383&gt;=AN$8,$A383&lt;=AN$9),IF(SUM(AN$10:AN382)-ROUNDDOWN($M383*AN$5/100,0)&lt;-AN$6,-AN$6-SUM(AN$10:AN382),-ROUNDDOWN($M383*AN$5/100,0)),0)</f>
        <v>0</v>
      </c>
      <c r="AO383" s="38">
        <f>IF(AND($A383&gt;=AO$8,$A383&lt;=AO$9),IF(SUM(AO$10:AO382)-ROUNDDOWN($K383*AO$5/100,0)&lt;-AO$6,-AO$6-SUM(AO$10:AO382),-ROUNDDOWN($K383*AO$5/100,0)),0)</f>
        <v>0</v>
      </c>
      <c r="AP383" s="38">
        <f>IF(AND($A383&gt;=AP$8,$A383&lt;=AP$9),IF(SUM(AP$10:AP382)-ROUNDDOWN($K383*AP$5/100,0)&lt;-AP$6,-AP$6-SUM(AP$10:AP382),-ROUNDDOWN($K383*AP$5/100,0)),0)</f>
        <v>0</v>
      </c>
      <c r="AQ383" s="38">
        <f>IF(AND($A383&gt;=AQ$8,$A383&lt;=AQ$9),IF(SUM(AQ$10:AQ382)-ROUNDDOWN($K383*AQ$5/100,0)&lt;-AQ$6,-AQ$6-SUM(AQ$10:AQ382),-ROUNDDOWN($K383*AQ$5/100,0)),0)</f>
        <v>0</v>
      </c>
      <c r="AR383" s="38">
        <f>IF(AND($A383&gt;=AR$8,$A383&lt;=AR$9),IF(SUM(AR$10:AR382)-ROUNDDOWN($K383*AR$5/100,0)&lt;-AR$6,-AR$6-SUM(AR$10:AR382),-ROUNDDOWN($K383*AR$5/100,0)),0)</f>
        <v>0</v>
      </c>
      <c r="AS383" s="38">
        <f>IF(SUMIFS(AS$10:AS382,$A$10:$A382,$A383)-ROUNDDOWN($K383*$S383/100,0)&lt;-$S383*1000,-$S383*1000-SUMIFS(AS$10:AS382,$A$10:$A382,$A383),-ROUNDDOWN($K383*$S383/100,0))</f>
        <v>0</v>
      </c>
      <c r="AT383" s="38">
        <f>IF(AND(X383="○",$A383&gt;=AT$8,$A383&lt;=AT$9,K383&gt;=3980),IF(SUM(AT$10:AT382)-ROUNDDOWN($K383*AT$5/100,0)&lt;-AT$6,-AT$6-SUM(AT$10:AT382),-ROUNDDOWN($K383*AT$5/100,0)),0)</f>
        <v>0</v>
      </c>
      <c r="AU383" s="38">
        <f>IF(O383="○",IF(SUM(AU$10:AU382)-ROUNDDOWN($K383*AU$5/100,0)&lt;-AU$6,-AU$6-SUM(AU$10:AU382),-ROUNDDOWN($K383*AU$5/100,0)),0)</f>
        <v>0</v>
      </c>
      <c r="AV383" s="38">
        <f>IF(P383="○",IF(SUM(AV$10:AV382)-ROUNDDOWN($K383*AV$5/100,0)&lt;-AV$6,-AV$6-SUM(AV$10:AV382),-ROUNDDOWN($K383*AV$5/100,0)),0)</f>
        <v>0</v>
      </c>
      <c r="AW383" s="38">
        <f>IF(Q383="○",IF(SUM(AW$10:AW382)-ROUNDDOWN($K383*AW$5/100,0)&lt;-AW$6,-AW$6-SUM(AW$10:AW382),-ROUNDDOWN($K383*AW$5/100,0)),0)</f>
        <v>0</v>
      </c>
      <c r="AX383" s="38">
        <f>IF(R383="○",IF(SUM(AX$10:AX382)-ROUNDDOWN($K383*AX$5/100,0)&lt;-AX$6,-AX$6-SUM(AX$10:AX382),-ROUNDDOWN($K383*AX$5/100,0)),0)</f>
        <v>0</v>
      </c>
      <c r="AY383" s="70">
        <v>0</v>
      </c>
      <c r="AZ383" s="65">
        <f t="shared" si="250"/>
        <v>0</v>
      </c>
      <c r="BA383" s="65">
        <f t="shared" si="251"/>
        <v>0</v>
      </c>
      <c r="BB383" s="70"/>
      <c r="BC383" s="65">
        <f t="shared" si="252"/>
        <v>0</v>
      </c>
      <c r="BD383" s="70">
        <v>0</v>
      </c>
      <c r="BE383" s="65">
        <f t="shared" si="253"/>
        <v>0</v>
      </c>
      <c r="BF383" s="70">
        <v>0</v>
      </c>
      <c r="BG383" s="65">
        <f t="shared" si="254"/>
        <v>0</v>
      </c>
      <c r="BH383" s="70">
        <v>0</v>
      </c>
      <c r="BI383" s="65">
        <f t="shared" si="255"/>
        <v>0</v>
      </c>
      <c r="BJ383" s="38">
        <f>IF(AND(BJ$7="○",$A383&gt;=BJ$8,$A383&lt;=BJ$9),IF(SUM(BJ$10:BJ382)-ROUNDDOWN($M383*BJ$5/100,0)&lt;-BJ$6,-BJ$6-SUM(BJ$10:BJ382),-ROUNDDOWN($M383*BJ$5/100,0)),0)</f>
        <v>0</v>
      </c>
      <c r="BK383" s="38">
        <f>IF(AND(BK$7="○",$A383&gt;=BK$8,$A383&lt;=BK$9),IF(SUM(BK$10:BK382)-ROUNDDOWN($L383*BK$5/100,0)&lt;-BK$6,-BK$6-SUM(BK$10:BK382),-ROUNDDOWN($L383*BK$5/100,0)),0)</f>
        <v>0</v>
      </c>
      <c r="BL383" s="38">
        <f>IF(AND(BL$7="○",$A383&gt;=BL$8,$A383&lt;=BL$9),IF(SUM(BL$10:BL382)-ROUNDDOWN($L383*BL$5/100,0)&lt;-BL$6,-BL$6-SUM(BL$10:BL382),-ROUNDDOWN($L383*BL$5/100,0)),0)</f>
        <v>0</v>
      </c>
      <c r="BM383" s="38">
        <f>IF(AND(BM$7="○",$A383&gt;=BM$8,$A383&lt;=BM$9),IF(SUM(BM$10:BM382)-ROUNDDOWN($M383*BM$5/100,0)&lt;-BM$6,-BM$6-SUM(BM$10:BM382),-ROUNDDOWN($M383*BM$5/100,0)),0)</f>
        <v>0</v>
      </c>
      <c r="BN383" s="38">
        <f>IF(AND(BN$7="○",$A383&gt;=BN$8,$A383&lt;=BN$9),IF(SUM(BN$10:BN382)-ROUNDDOWN($M383*BN$5/100,0)&lt;-BN$6,-BN$6-SUM(BN$10:BN382),-ROUNDDOWN($M383*BN$5/100,0)),0)</f>
        <v>0</v>
      </c>
      <c r="BO383" s="38">
        <f>IF(AND(BO$7="○",$A383&gt;=BO$8,$A383&lt;=BO$9),IF(SUM(BO$10:BO382)-ROUNDDOWN($M383*BO$5/100,0)&lt;-BO$6,-BO$6-SUM(BO$10:BO382),-ROUNDDOWN($M383*BO$5/100,0)),0)</f>
        <v>0</v>
      </c>
      <c r="BP383" s="38">
        <f>IF(AND(BP$7="○",$A383&gt;=BP$8,$A383&lt;=BP$9),IF(SUM(BP$10:BP382)-ROUNDDOWN($M383*BP$5/100,0)&lt;-BP$6,-BP$6-SUM(BP$10:BP382),-ROUNDDOWN($M383*BP$5/100,0)),0)</f>
        <v>0</v>
      </c>
      <c r="BQ383" s="38">
        <f>IF(AND(BQ$7="○",$A383&gt;=BQ$8,$A383&lt;=BQ$9),IF(SUM(BQ$10:BQ382)-ROUNDDOWN($L383*BQ$5/100,0)&lt;-BQ$6,-BQ$6-SUM(BQ$10:BQ382),-ROUNDDOWN($L383*BQ$5/100,0)),0)</f>
        <v>0</v>
      </c>
      <c r="BR383" s="38">
        <f>IF(AND(BR$7="○",$A383&gt;=BR$8,$A383&lt;=BR$9),IF(SUM(BR$10:BR382)-ROUNDDOWN($M383*BR$5/100,0)&lt;-BR$6,-BR$6-SUM(BR$10:BR382),-ROUNDDOWN($M383*BR$5/100,0)),0)</f>
        <v>0</v>
      </c>
      <c r="BS383" s="38">
        <f>IF(AND(BS$7="○",$A383&gt;=BS$8,$A383&lt;=BS$9),IF(SUM(BS$10:BS382)-ROUNDDOWN($M383*BS$5/100,0)&lt;-BS$6,-BS$6-SUM(BS$10:BS382),-ROUNDDOWN($M383*BS$5/100,0)),0)</f>
        <v>0</v>
      </c>
      <c r="BT383" s="38">
        <f>IF(AND(BT$7="○",$A383&gt;=BT$8,$A383&lt;=BT$9),IF(SUM(BT$10:BT382)-ROUNDDOWN($M383*BT$5/100,0)&lt;-BT$6,-BT$6-SUM(BT$10:BT382),-ROUNDDOWN($M383*BT$5/100,0)),0)</f>
        <v>0</v>
      </c>
      <c r="BU383" s="38">
        <f>IF(AND(BU$7="○",$A383&gt;=BU$8,$A383&lt;=BU$9),IF(SUM(BU$10:BU382)-ROUNDDOWN($M383*BU$5/100,0)&lt;-BU$6,-BU$6-SUM(BU$10:BU382),-ROUNDDOWN($M383*BU$5/100,0)),0)</f>
        <v>0</v>
      </c>
      <c r="BV383" s="38">
        <f>IF(AND(BV$7="○",$A383&gt;=BV$8,$A383&lt;=BV$9),IF(SUM(BV$10:BV382)-ROUNDDOWN($M383*BV$5/100,0)&lt;-BV$6,-BV$6-SUM(BV$10:BV382),-ROUNDDOWN($M383*BV$5/100,0)),0)</f>
        <v>0</v>
      </c>
      <c r="BW383" s="38">
        <f>IF(AND(BW$7="○",$A383&gt;=BW$8,$A383&lt;=BW$9),IF(SUM(BW$10:BW382)-ROUNDDOWN($M383*BW$5/100,0)&lt;-BW$6,-BW$6-SUM(BW$10:BW382),-ROUNDDOWN($M383*BW$5/100,0)),0)</f>
        <v>0</v>
      </c>
      <c r="BX383" s="38">
        <f>IF(AND(T383="○",$A383&gt;=BX$8,$A383&lt;=BX$9),IF(SUM(BX$10:BX382)-ROUNDDOWN($K383*BX$5/100,0)&lt;-BX$6,-BX$6-SUM(BX$10:BX382),-ROUNDDOWN($K383*BX$5/100,0)),0)</f>
        <v>0</v>
      </c>
      <c r="BY383" s="38">
        <f>IF(AND(U383="○",$A383&gt;=BY$8,$A383&lt;=BY$9),IF(SUM(BY$10:BY382)-ROUNDDOWN($K383*BY$5/100,0)&lt;-BY$6,-BY$6-SUM(BY$10:BY382),-ROUNDDOWN($K383*BY$5/100,0)),0)</f>
        <v>0</v>
      </c>
      <c r="BZ383" s="38">
        <f>IF(AND(V383="○",$A383&gt;=BZ$8,$A383&lt;=BZ$9),IF(SUM(BZ$10:BZ382)-ROUNDDOWN($K383*BZ$5/100,0)&lt;-BZ$6,-BZ$6-SUM(BZ$10:BZ382),-ROUNDDOWN($K383*BZ$5/100,0)),0)</f>
        <v>0</v>
      </c>
      <c r="CA383" s="38">
        <f>IF(AND(W383="○",$A383&gt;=CA$8,$A383&lt;=CA$9),IF(SUM(CA$10:CA382)-ROUNDDOWN($K383*CA$5/100,0)&lt;-CA$6,-CA$6-SUM(CA$10:CA382),-ROUNDDOWN($K383*CA$5/100,0)),0)</f>
        <v>0</v>
      </c>
      <c r="CB383" s="38"/>
      <c r="CC383" s="38"/>
      <c r="CD383" s="38"/>
      <c r="CE383" s="38"/>
      <c r="CF383" s="38"/>
      <c r="CG383" s="65">
        <f t="shared" si="256"/>
        <v>0</v>
      </c>
      <c r="CH383" s="71">
        <f t="shared" si="257"/>
        <v>0</v>
      </c>
      <c r="CI383" s="1">
        <f t="shared" si="276"/>
        <v>0</v>
      </c>
      <c r="CJ383" s="1"/>
      <c r="CK383" s="72"/>
      <c r="CL383" s="72"/>
      <c r="CM383" s="2"/>
      <c r="CN383" s="2"/>
      <c r="CO383" s="73">
        <f t="shared" si="277"/>
        <v>0</v>
      </c>
      <c r="CP383" s="5">
        <f t="shared" si="278"/>
        <v>0</v>
      </c>
      <c r="CQ383" s="1"/>
      <c r="CR383" s="1">
        <f t="shared" si="279"/>
        <v>0</v>
      </c>
      <c r="CS383" s="1"/>
      <c r="CT383" s="1" t="e">
        <f>INDEX([2]マスタ!$A:$A,MATCH(D383,[2]マスタ!$C:$C,0))</f>
        <v>#N/A</v>
      </c>
      <c r="CU383" s="1" t="str">
        <f t="shared" ca="1" si="280"/>
        <v>20260620_0-0</v>
      </c>
    </row>
    <row r="384" spans="1:99" x14ac:dyDescent="0.4">
      <c r="A384" s="61"/>
      <c r="B384" s="62"/>
      <c r="C384" s="62"/>
      <c r="D384" s="62"/>
      <c r="E384" s="74"/>
      <c r="F384" s="62"/>
      <c r="G384" s="62">
        <v>1</v>
      </c>
      <c r="H384" s="64">
        <f t="shared" si="267"/>
        <v>0</v>
      </c>
      <c r="I384" s="64"/>
      <c r="J384" s="64"/>
      <c r="K384" s="65">
        <f t="shared" si="268"/>
        <v>0</v>
      </c>
      <c r="L384" s="65">
        <f t="shared" si="269"/>
        <v>0</v>
      </c>
      <c r="M384" s="65">
        <f t="shared" si="270"/>
        <v>0</v>
      </c>
      <c r="N384" s="65">
        <f t="shared" si="271"/>
        <v>0</v>
      </c>
      <c r="O384" s="66" t="str">
        <f t="shared" si="272"/>
        <v>✕</v>
      </c>
      <c r="P384" s="67" t="str">
        <f t="shared" si="273"/>
        <v>○</v>
      </c>
      <c r="Q384" s="67" t="str">
        <f t="shared" si="274"/>
        <v>✕</v>
      </c>
      <c r="R384" s="67" t="str">
        <f t="shared" si="275"/>
        <v>✕</v>
      </c>
      <c r="S384" s="68">
        <v>0</v>
      </c>
      <c r="T384" s="69" t="s">
        <v>85</v>
      </c>
      <c r="U384" s="69" t="s">
        <v>85</v>
      </c>
      <c r="V384" s="69" t="s">
        <v>85</v>
      </c>
      <c r="W384" s="69" t="s">
        <v>85</v>
      </c>
      <c r="X384" s="69" t="s">
        <v>84</v>
      </c>
      <c r="Y384" s="69" t="s">
        <v>85</v>
      </c>
      <c r="Z384" s="69" t="s">
        <v>85</v>
      </c>
      <c r="AA384" s="69" t="s">
        <v>85</v>
      </c>
      <c r="AB384" s="69" t="s">
        <v>85</v>
      </c>
      <c r="AC384" s="69" t="s">
        <v>85</v>
      </c>
      <c r="AD384" s="38" t="str">
        <f>+IF(ISERROR(VLOOKUP($B384,AD$10:AD383,1,0)),IF(AND($N384&gt;=1000,$A384&gt;=AO$8,$A384&lt;=AO$9),$B384,""),"")</f>
        <v/>
      </c>
      <c r="AE384" s="38" t="str">
        <f>+IF(ISERROR(VLOOKUP($B384,AE$10:AE383,1,0)),IF(AND($N384&gt;=1000,$A384&gt;=AP$8,$A384&lt;=AP$9),$B384,""),"")</f>
        <v/>
      </c>
      <c r="AF384" s="38" t="str">
        <f>+IF(ISERROR(VLOOKUP($B384,AF$10:AF383,1,0)),IF(AND($N384&gt;=1000,$A384&gt;=AQ$8,$A384&lt;=AQ$9),$B384,""),"")</f>
        <v/>
      </c>
      <c r="AG384" s="38" t="str">
        <f>+IF(ISERROR(VLOOKUP($B384,AG$10:AG383,1,0)),IF(AND($N384&gt;=1000,$A384&gt;=AR$8,$A384&lt;=AR$9),$B384,""),"")</f>
        <v/>
      </c>
      <c r="AH384" s="38"/>
      <c r="AI384" s="70">
        <v>0</v>
      </c>
      <c r="AJ384" s="38">
        <f>IF(AND(AJ$7="○",$A384&gt;=AJ$8,$A384&lt;=AJ$9),IF(SUM(AJ$10:AJ383)-ROUNDDOWN($K384*AJ$5/100,0)&lt;-AJ$6,-AJ$6-SUM(AJ$10:AJ383),-ROUNDDOWN($K384*AJ$5/100,0)),0)</f>
        <v>0</v>
      </c>
      <c r="AK384" s="38">
        <f>IF(AND(AK$7="○",$A384&gt;=AK$8,$A384&lt;=AK$9),IF(SUM(AK$10:AK383)-ROUNDDOWN($L384*AK$5/100,0)&lt;-AK$6,-AK$6-SUM(AK$10:AK383),-ROUNDDOWN($L384*AK$5/100,0)),0)</f>
        <v>0</v>
      </c>
      <c r="AL384" s="38">
        <f>IF(AND(AL$7="○",$A384&gt;=AL$8,$A384&lt;=AL$9),IF(SUM(AL$10:AL383)-ROUNDDOWN($N384*AL$5/100,0)&lt;-AL$6,-AL$6-SUM(AL$10:AL383),-ROUNDDOWN($N384*AL$5/100,0)),0)</f>
        <v>0</v>
      </c>
      <c r="AM384" s="38">
        <f>IF(AND(AM$7="○",$A384&gt;=AM$8,$A384&lt;=AM$9),IF(SUM(AM$10:AM383)-ROUNDDOWN($L384*AM$5/100,0)&lt;-AM$6,-AM$6-SUM(AM$10:AM383),-ROUNDDOWN($L384*AM$5/100,0)),0)</f>
        <v>0</v>
      </c>
      <c r="AN384" s="38">
        <f>IF(AND(AN$7="○",$A384&gt;=AN$8,$A384&lt;=AN$9),IF(SUM(AN$10:AN383)-ROUNDDOWN($M384*AN$5/100,0)&lt;-AN$6,-AN$6-SUM(AN$10:AN383),-ROUNDDOWN($M384*AN$5/100,0)),0)</f>
        <v>0</v>
      </c>
      <c r="AO384" s="38">
        <f>IF(AND($A384&gt;=AO$8,$A384&lt;=AO$9),IF(SUM(AO$10:AO383)-ROUNDDOWN($K384*AO$5/100,0)&lt;-AO$6,-AO$6-SUM(AO$10:AO383),-ROUNDDOWN($K384*AO$5/100,0)),0)</f>
        <v>0</v>
      </c>
      <c r="AP384" s="38">
        <f>IF(AND($A384&gt;=AP$8,$A384&lt;=AP$9),IF(SUM(AP$10:AP383)-ROUNDDOWN($K384*AP$5/100,0)&lt;-AP$6,-AP$6-SUM(AP$10:AP383),-ROUNDDOWN($K384*AP$5/100,0)),0)</f>
        <v>0</v>
      </c>
      <c r="AQ384" s="38">
        <f>IF(AND($A384&gt;=AQ$8,$A384&lt;=AQ$9),IF(SUM(AQ$10:AQ383)-ROUNDDOWN($K384*AQ$5/100,0)&lt;-AQ$6,-AQ$6-SUM(AQ$10:AQ383),-ROUNDDOWN($K384*AQ$5/100,0)),0)</f>
        <v>0</v>
      </c>
      <c r="AR384" s="38">
        <f>IF(AND($A384&gt;=AR$8,$A384&lt;=AR$9),IF(SUM(AR$10:AR383)-ROUNDDOWN($K384*AR$5/100,0)&lt;-AR$6,-AR$6-SUM(AR$10:AR383),-ROUNDDOWN($K384*AR$5/100,0)),0)</f>
        <v>0</v>
      </c>
      <c r="AS384" s="38">
        <f>IF(SUMIFS(AS$10:AS383,$A$10:$A383,$A384)-ROUNDDOWN($K384*$S384/100,0)&lt;-$S384*1000,-$S384*1000-SUMIFS(AS$10:AS383,$A$10:$A383,$A384),-ROUNDDOWN($K384*$S384/100,0))</f>
        <v>0</v>
      </c>
      <c r="AT384" s="38">
        <f>IF(AND(X384="○",$A384&gt;=AT$8,$A384&lt;=AT$9,K384&gt;=3980),IF(SUM(AT$10:AT383)-ROUNDDOWN($K384*AT$5/100,0)&lt;-AT$6,-AT$6-SUM(AT$10:AT383),-ROUNDDOWN($K384*AT$5/100,0)),0)</f>
        <v>0</v>
      </c>
      <c r="AU384" s="38">
        <f>IF(O384="○",IF(SUM(AU$10:AU383)-ROUNDDOWN($K384*AU$5/100,0)&lt;-AU$6,-AU$6-SUM(AU$10:AU383),-ROUNDDOWN($K384*AU$5/100,0)),0)</f>
        <v>0</v>
      </c>
      <c r="AV384" s="38">
        <f>IF(P384="○",IF(SUM(AV$10:AV383)-ROUNDDOWN($K384*AV$5/100,0)&lt;-AV$6,-AV$6-SUM(AV$10:AV383),-ROUNDDOWN($K384*AV$5/100,0)),0)</f>
        <v>0</v>
      </c>
      <c r="AW384" s="38">
        <f>IF(Q384="○",IF(SUM(AW$10:AW383)-ROUNDDOWN($K384*AW$5/100,0)&lt;-AW$6,-AW$6-SUM(AW$10:AW383),-ROUNDDOWN($K384*AW$5/100,0)),0)</f>
        <v>0</v>
      </c>
      <c r="AX384" s="38">
        <f>IF(R384="○",IF(SUM(AX$10:AX383)-ROUNDDOWN($K384*AX$5/100,0)&lt;-AX$6,-AX$6-SUM(AX$10:AX383),-ROUNDDOWN($K384*AX$5/100,0)),0)</f>
        <v>0</v>
      </c>
      <c r="AY384" s="70">
        <v>0</v>
      </c>
      <c r="AZ384" s="65">
        <f t="shared" si="250"/>
        <v>0</v>
      </c>
      <c r="BA384" s="65">
        <f t="shared" si="251"/>
        <v>0</v>
      </c>
      <c r="BB384" s="70"/>
      <c r="BC384" s="65">
        <f t="shared" si="252"/>
        <v>0</v>
      </c>
      <c r="BD384" s="70">
        <v>0</v>
      </c>
      <c r="BE384" s="65">
        <f t="shared" si="253"/>
        <v>0</v>
      </c>
      <c r="BF384" s="70">
        <v>0</v>
      </c>
      <c r="BG384" s="65">
        <f t="shared" si="254"/>
        <v>0</v>
      </c>
      <c r="BH384" s="70">
        <v>0</v>
      </c>
      <c r="BI384" s="65">
        <f t="shared" si="255"/>
        <v>0</v>
      </c>
      <c r="BJ384" s="38">
        <f>IF(AND(BJ$7="○",$A384&gt;=BJ$8,$A384&lt;=BJ$9),IF(SUM(BJ$10:BJ383)-ROUNDDOWN($M384*BJ$5/100,0)&lt;-BJ$6,-BJ$6-SUM(BJ$10:BJ383),-ROUNDDOWN($M384*BJ$5/100,0)),0)</f>
        <v>0</v>
      </c>
      <c r="BK384" s="38">
        <f>IF(AND(BK$7="○",$A384&gt;=BK$8,$A384&lt;=BK$9),IF(SUM(BK$10:BK383)-ROUNDDOWN($L384*BK$5/100,0)&lt;-BK$6,-BK$6-SUM(BK$10:BK383),-ROUNDDOWN($L384*BK$5/100,0)),0)</f>
        <v>0</v>
      </c>
      <c r="BL384" s="38">
        <f>IF(AND(BL$7="○",$A384&gt;=BL$8,$A384&lt;=BL$9),IF(SUM(BL$10:BL383)-ROUNDDOWN($L384*BL$5/100,0)&lt;-BL$6,-BL$6-SUM(BL$10:BL383),-ROUNDDOWN($L384*BL$5/100,0)),0)</f>
        <v>0</v>
      </c>
      <c r="BM384" s="38">
        <f>IF(AND(BM$7="○",$A384&gt;=BM$8,$A384&lt;=BM$9),IF(SUM(BM$10:BM383)-ROUNDDOWN($M384*BM$5/100,0)&lt;-BM$6,-BM$6-SUM(BM$10:BM383),-ROUNDDOWN($M384*BM$5/100,0)),0)</f>
        <v>0</v>
      </c>
      <c r="BN384" s="38">
        <f>IF(AND(BN$7="○",$A384&gt;=BN$8,$A384&lt;=BN$9),IF(SUM(BN$10:BN383)-ROUNDDOWN($M384*BN$5/100,0)&lt;-BN$6,-BN$6-SUM(BN$10:BN383),-ROUNDDOWN($M384*BN$5/100,0)),0)</f>
        <v>0</v>
      </c>
      <c r="BO384" s="38">
        <f>IF(AND(BO$7="○",$A384&gt;=BO$8,$A384&lt;=BO$9),IF(SUM(BO$10:BO383)-ROUNDDOWN($M384*BO$5/100,0)&lt;-BO$6,-BO$6-SUM(BO$10:BO383),-ROUNDDOWN($M384*BO$5/100,0)),0)</f>
        <v>0</v>
      </c>
      <c r="BP384" s="38">
        <f>IF(AND(BP$7="○",$A384&gt;=BP$8,$A384&lt;=BP$9),IF(SUM(BP$10:BP383)-ROUNDDOWN($M384*BP$5/100,0)&lt;-BP$6,-BP$6-SUM(BP$10:BP383),-ROUNDDOWN($M384*BP$5/100,0)),0)</f>
        <v>0</v>
      </c>
      <c r="BQ384" s="38">
        <f>IF(AND(BQ$7="○",$A384&gt;=BQ$8,$A384&lt;=BQ$9),IF(SUM(BQ$10:BQ383)-ROUNDDOWN($L384*BQ$5/100,0)&lt;-BQ$6,-BQ$6-SUM(BQ$10:BQ383),-ROUNDDOWN($L384*BQ$5/100,0)),0)</f>
        <v>0</v>
      </c>
      <c r="BR384" s="38">
        <f>IF(AND(BR$7="○",$A384&gt;=BR$8,$A384&lt;=BR$9),IF(SUM(BR$10:BR383)-ROUNDDOWN($M384*BR$5/100,0)&lt;-BR$6,-BR$6-SUM(BR$10:BR383),-ROUNDDOWN($M384*BR$5/100,0)),0)</f>
        <v>0</v>
      </c>
      <c r="BS384" s="38">
        <f>IF(AND(BS$7="○",$A384&gt;=BS$8,$A384&lt;=BS$9),IF(SUM(BS$10:BS383)-ROUNDDOWN($M384*BS$5/100,0)&lt;-BS$6,-BS$6-SUM(BS$10:BS383),-ROUNDDOWN($M384*BS$5/100,0)),0)</f>
        <v>0</v>
      </c>
      <c r="BT384" s="38">
        <f>IF(AND(BT$7="○",$A384&gt;=BT$8,$A384&lt;=BT$9),IF(SUM(BT$10:BT383)-ROUNDDOWN($M384*BT$5/100,0)&lt;-BT$6,-BT$6-SUM(BT$10:BT383),-ROUNDDOWN($M384*BT$5/100,0)),0)</f>
        <v>0</v>
      </c>
      <c r="BU384" s="38">
        <f>IF(AND(BU$7="○",$A384&gt;=BU$8,$A384&lt;=BU$9),IF(SUM(BU$10:BU383)-ROUNDDOWN($M384*BU$5/100,0)&lt;-BU$6,-BU$6-SUM(BU$10:BU383),-ROUNDDOWN($M384*BU$5/100,0)),0)</f>
        <v>0</v>
      </c>
      <c r="BV384" s="38">
        <f>IF(AND(BV$7="○",$A384&gt;=BV$8,$A384&lt;=BV$9),IF(SUM(BV$10:BV383)-ROUNDDOWN($M384*BV$5/100,0)&lt;-BV$6,-BV$6-SUM(BV$10:BV383),-ROUNDDOWN($M384*BV$5/100,0)),0)</f>
        <v>0</v>
      </c>
      <c r="BW384" s="38">
        <f>IF(AND(BW$7="○",$A384&gt;=BW$8,$A384&lt;=BW$9),IF(SUM(BW$10:BW383)-ROUNDDOWN($M384*BW$5/100,0)&lt;-BW$6,-BW$6-SUM(BW$10:BW383),-ROUNDDOWN($M384*BW$5/100,0)),0)</f>
        <v>0</v>
      </c>
      <c r="BX384" s="38">
        <f>IF(AND(T384="○",$A384&gt;=BX$8,$A384&lt;=BX$9),IF(SUM(BX$10:BX383)-ROUNDDOWN($K384*BX$5/100,0)&lt;-BX$6,-BX$6-SUM(BX$10:BX383),-ROUNDDOWN($K384*BX$5/100,0)),0)</f>
        <v>0</v>
      </c>
      <c r="BY384" s="38">
        <f>IF(AND(U384="○",$A384&gt;=BY$8,$A384&lt;=BY$9),IF(SUM(BY$10:BY383)-ROUNDDOWN($K384*BY$5/100,0)&lt;-BY$6,-BY$6-SUM(BY$10:BY383),-ROUNDDOWN($K384*BY$5/100,0)),0)</f>
        <v>0</v>
      </c>
      <c r="BZ384" s="38">
        <f>IF(AND(V384="○",$A384&gt;=BZ$8,$A384&lt;=BZ$9),IF(SUM(BZ$10:BZ383)-ROUNDDOWN($K384*BZ$5/100,0)&lt;-BZ$6,-BZ$6-SUM(BZ$10:BZ383),-ROUNDDOWN($K384*BZ$5/100,0)),0)</f>
        <v>0</v>
      </c>
      <c r="CA384" s="38">
        <f>IF(AND(W384="○",$A384&gt;=CA$8,$A384&lt;=CA$9),IF(SUM(CA$10:CA383)-ROUNDDOWN($K384*CA$5/100,0)&lt;-CA$6,-CA$6-SUM(CA$10:CA383),-ROUNDDOWN($K384*CA$5/100,0)),0)</f>
        <v>0</v>
      </c>
      <c r="CB384" s="38"/>
      <c r="CC384" s="38"/>
      <c r="CD384" s="38"/>
      <c r="CE384" s="38"/>
      <c r="CF384" s="38"/>
      <c r="CG384" s="65">
        <f t="shared" si="256"/>
        <v>0</v>
      </c>
      <c r="CH384" s="71">
        <f t="shared" si="257"/>
        <v>0</v>
      </c>
      <c r="CI384" s="1">
        <f t="shared" si="276"/>
        <v>0</v>
      </c>
      <c r="CJ384" s="1"/>
      <c r="CK384" s="72"/>
      <c r="CL384" s="72"/>
      <c r="CM384" s="2"/>
      <c r="CN384" s="2"/>
      <c r="CO384" s="73">
        <f t="shared" si="277"/>
        <v>0</v>
      </c>
      <c r="CP384" s="5">
        <f t="shared" si="278"/>
        <v>0</v>
      </c>
      <c r="CQ384" s="1"/>
      <c r="CR384" s="1">
        <f t="shared" si="279"/>
        <v>0</v>
      </c>
      <c r="CS384" s="1"/>
      <c r="CT384" s="1" t="e">
        <f>INDEX([2]マスタ!$A:$A,MATCH(D384,[2]マスタ!$C:$C,0))</f>
        <v>#N/A</v>
      </c>
      <c r="CU384" s="1" t="str">
        <f t="shared" ca="1" si="280"/>
        <v>20260620_0-0</v>
      </c>
    </row>
    <row r="385" spans="1:99" x14ac:dyDescent="0.4">
      <c r="A385" s="61"/>
      <c r="B385" s="62"/>
      <c r="C385" s="62"/>
      <c r="D385" s="62"/>
      <c r="E385" s="74"/>
      <c r="F385" s="62"/>
      <c r="G385" s="62">
        <v>1</v>
      </c>
      <c r="H385" s="64">
        <f t="shared" si="267"/>
        <v>0</v>
      </c>
      <c r="I385" s="64"/>
      <c r="J385" s="64"/>
      <c r="K385" s="65">
        <f t="shared" si="268"/>
        <v>0</v>
      </c>
      <c r="L385" s="65">
        <f t="shared" si="269"/>
        <v>0</v>
      </c>
      <c r="M385" s="65">
        <f t="shared" si="270"/>
        <v>0</v>
      </c>
      <c r="N385" s="65">
        <f t="shared" si="271"/>
        <v>0</v>
      </c>
      <c r="O385" s="66" t="str">
        <f t="shared" si="272"/>
        <v>✕</v>
      </c>
      <c r="P385" s="67" t="str">
        <f t="shared" si="273"/>
        <v>○</v>
      </c>
      <c r="Q385" s="67" t="str">
        <f t="shared" si="274"/>
        <v>✕</v>
      </c>
      <c r="R385" s="67" t="str">
        <f t="shared" si="275"/>
        <v>✕</v>
      </c>
      <c r="S385" s="68">
        <v>0</v>
      </c>
      <c r="T385" s="69" t="s">
        <v>85</v>
      </c>
      <c r="U385" s="69" t="s">
        <v>85</v>
      </c>
      <c r="V385" s="69" t="s">
        <v>85</v>
      </c>
      <c r="W385" s="69" t="s">
        <v>85</v>
      </c>
      <c r="X385" s="69" t="s">
        <v>84</v>
      </c>
      <c r="Y385" s="69" t="s">
        <v>85</v>
      </c>
      <c r="Z385" s="69" t="s">
        <v>85</v>
      </c>
      <c r="AA385" s="69" t="s">
        <v>85</v>
      </c>
      <c r="AB385" s="69" t="s">
        <v>85</v>
      </c>
      <c r="AC385" s="69" t="s">
        <v>85</v>
      </c>
      <c r="AD385" s="38" t="str">
        <f>+IF(ISERROR(VLOOKUP($B385,AD$10:AD384,1,0)),IF(AND($N385&gt;=1000,$A385&gt;=AO$8,$A385&lt;=AO$9),$B385,""),"")</f>
        <v/>
      </c>
      <c r="AE385" s="38" t="str">
        <f>+IF(ISERROR(VLOOKUP($B385,AE$10:AE384,1,0)),IF(AND($N385&gt;=1000,$A385&gt;=AP$8,$A385&lt;=AP$9),$B385,""),"")</f>
        <v/>
      </c>
      <c r="AF385" s="38" t="str">
        <f>+IF(ISERROR(VLOOKUP($B385,AF$10:AF384,1,0)),IF(AND($N385&gt;=1000,$A385&gt;=AQ$8,$A385&lt;=AQ$9),$B385,""),"")</f>
        <v/>
      </c>
      <c r="AG385" s="38" t="str">
        <f>+IF(ISERROR(VLOOKUP($B385,AG$10:AG384,1,0)),IF(AND($N385&gt;=1000,$A385&gt;=AR$8,$A385&lt;=AR$9),$B385,""),"")</f>
        <v/>
      </c>
      <c r="AH385" s="38"/>
      <c r="AI385" s="70">
        <v>0</v>
      </c>
      <c r="AJ385" s="38">
        <f>IF(AND(AJ$7="○",$A385&gt;=AJ$8,$A385&lt;=AJ$9),IF(SUM(AJ$10:AJ384)-ROUNDDOWN($K385*AJ$5/100,0)&lt;-AJ$6,-AJ$6-SUM(AJ$10:AJ384),-ROUNDDOWN($K385*AJ$5/100,0)),0)</f>
        <v>0</v>
      </c>
      <c r="AK385" s="38">
        <f>IF(AND(AK$7="○",$A385&gt;=AK$8,$A385&lt;=AK$9),IF(SUM(AK$10:AK384)-ROUNDDOWN($L385*AK$5/100,0)&lt;-AK$6,-AK$6-SUM(AK$10:AK384),-ROUNDDOWN($L385*AK$5/100,0)),0)</f>
        <v>0</v>
      </c>
      <c r="AL385" s="38">
        <f>IF(AND(AL$7="○",$A385&gt;=AL$8,$A385&lt;=AL$9),IF(SUM(AL$10:AL384)-ROUNDDOWN($N385*AL$5/100,0)&lt;-AL$6,-AL$6-SUM(AL$10:AL384),-ROUNDDOWN($N385*AL$5/100,0)),0)</f>
        <v>0</v>
      </c>
      <c r="AM385" s="38">
        <f>IF(AND(AM$7="○",$A385&gt;=AM$8,$A385&lt;=AM$9),IF(SUM(AM$10:AM384)-ROUNDDOWN($L385*AM$5/100,0)&lt;-AM$6,-AM$6-SUM(AM$10:AM384),-ROUNDDOWN($L385*AM$5/100,0)),0)</f>
        <v>0</v>
      </c>
      <c r="AN385" s="38">
        <f>IF(AND(AN$7="○",$A385&gt;=AN$8,$A385&lt;=AN$9),IF(SUM(AN$10:AN384)-ROUNDDOWN($M385*AN$5/100,0)&lt;-AN$6,-AN$6-SUM(AN$10:AN384),-ROUNDDOWN($M385*AN$5/100,0)),0)</f>
        <v>0</v>
      </c>
      <c r="AO385" s="38">
        <f>IF(AND($A385&gt;=AO$8,$A385&lt;=AO$9),IF(SUM(AO$10:AO384)-ROUNDDOWN($K385*AO$5/100,0)&lt;-AO$6,-AO$6-SUM(AO$10:AO384),-ROUNDDOWN($K385*AO$5/100,0)),0)</f>
        <v>0</v>
      </c>
      <c r="AP385" s="38">
        <f>IF(AND($A385&gt;=AP$8,$A385&lt;=AP$9),IF(SUM(AP$10:AP384)-ROUNDDOWN($K385*AP$5/100,0)&lt;-AP$6,-AP$6-SUM(AP$10:AP384),-ROUNDDOWN($K385*AP$5/100,0)),0)</f>
        <v>0</v>
      </c>
      <c r="AQ385" s="38">
        <f>IF(AND($A385&gt;=AQ$8,$A385&lt;=AQ$9),IF(SUM(AQ$10:AQ384)-ROUNDDOWN($K385*AQ$5/100,0)&lt;-AQ$6,-AQ$6-SUM(AQ$10:AQ384),-ROUNDDOWN($K385*AQ$5/100,0)),0)</f>
        <v>0</v>
      </c>
      <c r="AR385" s="38">
        <f>IF(AND($A385&gt;=AR$8,$A385&lt;=AR$9),IF(SUM(AR$10:AR384)-ROUNDDOWN($K385*AR$5/100,0)&lt;-AR$6,-AR$6-SUM(AR$10:AR384),-ROUNDDOWN($K385*AR$5/100,0)),0)</f>
        <v>0</v>
      </c>
      <c r="AS385" s="38">
        <f>IF(SUMIFS(AS$10:AS384,$A$10:$A384,$A385)-ROUNDDOWN($K385*$S385/100,0)&lt;-$S385*1000,-$S385*1000-SUMIFS(AS$10:AS384,$A$10:$A384,$A385),-ROUNDDOWN($K385*$S385/100,0))</f>
        <v>0</v>
      </c>
      <c r="AT385" s="38">
        <f>IF(AND(X385="○",$A385&gt;=AT$8,$A385&lt;=AT$9,K385&gt;=3980),IF(SUM(AT$10:AT384)-ROUNDDOWN($K385*AT$5/100,0)&lt;-AT$6,-AT$6-SUM(AT$10:AT384),-ROUNDDOWN($K385*AT$5/100,0)),0)</f>
        <v>0</v>
      </c>
      <c r="AU385" s="38">
        <f>IF(O385="○",IF(SUM(AU$10:AU384)-ROUNDDOWN($K385*AU$5/100,0)&lt;-AU$6,-AU$6-SUM(AU$10:AU384),-ROUNDDOWN($K385*AU$5/100,0)),0)</f>
        <v>0</v>
      </c>
      <c r="AV385" s="38">
        <f>IF(P385="○",IF(SUM(AV$10:AV384)-ROUNDDOWN($K385*AV$5/100,0)&lt;-AV$6,-AV$6-SUM(AV$10:AV384),-ROUNDDOWN($K385*AV$5/100,0)),0)</f>
        <v>0</v>
      </c>
      <c r="AW385" s="38">
        <f>IF(Q385="○",IF(SUM(AW$10:AW384)-ROUNDDOWN($K385*AW$5/100,0)&lt;-AW$6,-AW$6-SUM(AW$10:AW384),-ROUNDDOWN($K385*AW$5/100,0)),0)</f>
        <v>0</v>
      </c>
      <c r="AX385" s="38">
        <f>IF(R385="○",IF(SUM(AX$10:AX384)-ROUNDDOWN($K385*AX$5/100,0)&lt;-AX$6,-AX$6-SUM(AX$10:AX384),-ROUNDDOWN($K385*AX$5/100,0)),0)</f>
        <v>0</v>
      </c>
      <c r="AY385" s="70">
        <v>0</v>
      </c>
      <c r="AZ385" s="65">
        <f t="shared" si="250"/>
        <v>0</v>
      </c>
      <c r="BA385" s="65">
        <f t="shared" si="251"/>
        <v>0</v>
      </c>
      <c r="BB385" s="70"/>
      <c r="BC385" s="65">
        <f t="shared" si="252"/>
        <v>0</v>
      </c>
      <c r="BD385" s="70">
        <v>0</v>
      </c>
      <c r="BE385" s="65">
        <f t="shared" si="253"/>
        <v>0</v>
      </c>
      <c r="BF385" s="70">
        <v>0</v>
      </c>
      <c r="BG385" s="65">
        <f t="shared" si="254"/>
        <v>0</v>
      </c>
      <c r="BH385" s="70">
        <v>0</v>
      </c>
      <c r="BI385" s="65">
        <f t="shared" si="255"/>
        <v>0</v>
      </c>
      <c r="BJ385" s="38">
        <f>IF(AND(BJ$7="○",$A385&gt;=BJ$8,$A385&lt;=BJ$9),IF(SUM(BJ$10:BJ384)-ROUNDDOWN($M385*BJ$5/100,0)&lt;-BJ$6,-BJ$6-SUM(BJ$10:BJ384),-ROUNDDOWN($M385*BJ$5/100,0)),0)</f>
        <v>0</v>
      </c>
      <c r="BK385" s="38">
        <f>IF(AND(BK$7="○",$A385&gt;=BK$8,$A385&lt;=BK$9),IF(SUM(BK$10:BK384)-ROUNDDOWN($L385*BK$5/100,0)&lt;-BK$6,-BK$6-SUM(BK$10:BK384),-ROUNDDOWN($L385*BK$5/100,0)),0)</f>
        <v>0</v>
      </c>
      <c r="BL385" s="38">
        <f>IF(AND(BL$7="○",$A385&gt;=BL$8,$A385&lt;=BL$9),IF(SUM(BL$10:BL384)-ROUNDDOWN($L385*BL$5/100,0)&lt;-BL$6,-BL$6-SUM(BL$10:BL384),-ROUNDDOWN($L385*BL$5/100,0)),0)</f>
        <v>0</v>
      </c>
      <c r="BM385" s="38">
        <f>IF(AND(BM$7="○",$A385&gt;=BM$8,$A385&lt;=BM$9),IF(SUM(BM$10:BM384)-ROUNDDOWN($M385*BM$5/100,0)&lt;-BM$6,-BM$6-SUM(BM$10:BM384),-ROUNDDOWN($M385*BM$5/100,0)),0)</f>
        <v>0</v>
      </c>
      <c r="BN385" s="38">
        <f>IF(AND(BN$7="○",$A385&gt;=BN$8,$A385&lt;=BN$9),IF(SUM(BN$10:BN384)-ROUNDDOWN($M385*BN$5/100,0)&lt;-BN$6,-BN$6-SUM(BN$10:BN384),-ROUNDDOWN($M385*BN$5/100,0)),0)</f>
        <v>0</v>
      </c>
      <c r="BO385" s="38">
        <f>IF(AND(BO$7="○",$A385&gt;=BO$8,$A385&lt;=BO$9),IF(SUM(BO$10:BO384)-ROUNDDOWN($M385*BO$5/100,0)&lt;-BO$6,-BO$6-SUM(BO$10:BO384),-ROUNDDOWN($M385*BO$5/100,0)),0)</f>
        <v>0</v>
      </c>
      <c r="BP385" s="38">
        <f>IF(AND(BP$7="○",$A385&gt;=BP$8,$A385&lt;=BP$9),IF(SUM(BP$10:BP384)-ROUNDDOWN($M385*BP$5/100,0)&lt;-BP$6,-BP$6-SUM(BP$10:BP384),-ROUNDDOWN($M385*BP$5/100,0)),0)</f>
        <v>0</v>
      </c>
      <c r="BQ385" s="38">
        <f>IF(AND(BQ$7="○",$A385&gt;=BQ$8,$A385&lt;=BQ$9),IF(SUM(BQ$10:BQ384)-ROUNDDOWN($L385*BQ$5/100,0)&lt;-BQ$6,-BQ$6-SUM(BQ$10:BQ384),-ROUNDDOWN($L385*BQ$5/100,0)),0)</f>
        <v>0</v>
      </c>
      <c r="BR385" s="38">
        <f>IF(AND(BR$7="○",$A385&gt;=BR$8,$A385&lt;=BR$9),IF(SUM(BR$10:BR384)-ROUNDDOWN($M385*BR$5/100,0)&lt;-BR$6,-BR$6-SUM(BR$10:BR384),-ROUNDDOWN($M385*BR$5/100,0)),0)</f>
        <v>0</v>
      </c>
      <c r="BS385" s="38">
        <f>IF(AND(BS$7="○",$A385&gt;=BS$8,$A385&lt;=BS$9),IF(SUM(BS$10:BS384)-ROUNDDOWN($M385*BS$5/100,0)&lt;-BS$6,-BS$6-SUM(BS$10:BS384),-ROUNDDOWN($M385*BS$5/100,0)),0)</f>
        <v>0</v>
      </c>
      <c r="BT385" s="38">
        <f>IF(AND(BT$7="○",$A385&gt;=BT$8,$A385&lt;=BT$9),IF(SUM(BT$10:BT384)-ROUNDDOWN($M385*BT$5/100,0)&lt;-BT$6,-BT$6-SUM(BT$10:BT384),-ROUNDDOWN($M385*BT$5/100,0)),0)</f>
        <v>0</v>
      </c>
      <c r="BU385" s="38">
        <f>IF(AND(BU$7="○",$A385&gt;=BU$8,$A385&lt;=BU$9),IF(SUM(BU$10:BU384)-ROUNDDOWN($M385*BU$5/100,0)&lt;-BU$6,-BU$6-SUM(BU$10:BU384),-ROUNDDOWN($M385*BU$5/100,0)),0)</f>
        <v>0</v>
      </c>
      <c r="BV385" s="38">
        <f>IF(AND(BV$7="○",$A385&gt;=BV$8,$A385&lt;=BV$9),IF(SUM(BV$10:BV384)-ROUNDDOWN($M385*BV$5/100,0)&lt;-BV$6,-BV$6-SUM(BV$10:BV384),-ROUNDDOWN($M385*BV$5/100,0)),0)</f>
        <v>0</v>
      </c>
      <c r="BW385" s="38">
        <f>IF(AND(BW$7="○",$A385&gt;=BW$8,$A385&lt;=BW$9),IF(SUM(BW$10:BW384)-ROUNDDOWN($M385*BW$5/100,0)&lt;-BW$6,-BW$6-SUM(BW$10:BW384),-ROUNDDOWN($M385*BW$5/100,0)),0)</f>
        <v>0</v>
      </c>
      <c r="BX385" s="38">
        <f>IF(AND(T385="○",$A385&gt;=BX$8,$A385&lt;=BX$9),IF(SUM(BX$10:BX384)-ROUNDDOWN($K385*BX$5/100,0)&lt;-BX$6,-BX$6-SUM(BX$10:BX384),-ROUNDDOWN($K385*BX$5/100,0)),0)</f>
        <v>0</v>
      </c>
      <c r="BY385" s="38">
        <f>IF(AND(U385="○",$A385&gt;=BY$8,$A385&lt;=BY$9),IF(SUM(BY$10:BY384)-ROUNDDOWN($K385*BY$5/100,0)&lt;-BY$6,-BY$6-SUM(BY$10:BY384),-ROUNDDOWN($K385*BY$5/100,0)),0)</f>
        <v>0</v>
      </c>
      <c r="BZ385" s="38">
        <f>IF(AND(V385="○",$A385&gt;=BZ$8,$A385&lt;=BZ$9),IF(SUM(BZ$10:BZ384)-ROUNDDOWN($K385*BZ$5/100,0)&lt;-BZ$6,-BZ$6-SUM(BZ$10:BZ384),-ROUNDDOWN($K385*BZ$5/100,0)),0)</f>
        <v>0</v>
      </c>
      <c r="CA385" s="38">
        <f>IF(AND(W385="○",$A385&gt;=CA$8,$A385&lt;=CA$9),IF(SUM(CA$10:CA384)-ROUNDDOWN($K385*CA$5/100,0)&lt;-CA$6,-CA$6-SUM(CA$10:CA384),-ROUNDDOWN($K385*CA$5/100,0)),0)</f>
        <v>0</v>
      </c>
      <c r="CB385" s="38"/>
      <c r="CC385" s="38"/>
      <c r="CD385" s="38"/>
      <c r="CE385" s="38"/>
      <c r="CF385" s="38"/>
      <c r="CG385" s="65">
        <f t="shared" si="256"/>
        <v>0</v>
      </c>
      <c r="CH385" s="71">
        <f t="shared" si="257"/>
        <v>0</v>
      </c>
      <c r="CI385" s="1">
        <f t="shared" si="276"/>
        <v>0</v>
      </c>
      <c r="CJ385" s="1"/>
      <c r="CK385" s="72"/>
      <c r="CL385" s="72"/>
      <c r="CM385" s="2"/>
      <c r="CN385" s="2"/>
      <c r="CO385" s="73">
        <f t="shared" si="277"/>
        <v>0</v>
      </c>
      <c r="CP385" s="5">
        <f t="shared" si="278"/>
        <v>0</v>
      </c>
      <c r="CQ385" s="1"/>
      <c r="CR385" s="1">
        <f t="shared" si="279"/>
        <v>0</v>
      </c>
      <c r="CS385" s="1"/>
      <c r="CT385" s="1" t="e">
        <f>INDEX([2]マスタ!$A:$A,MATCH(D385,[2]マスタ!$C:$C,0))</f>
        <v>#N/A</v>
      </c>
      <c r="CU385" s="1" t="str">
        <f t="shared" ca="1" si="280"/>
        <v>20260620_0-0</v>
      </c>
    </row>
    <row r="386" spans="1:99" x14ac:dyDescent="0.4">
      <c r="A386" s="61"/>
      <c r="B386" s="62"/>
      <c r="C386" s="62"/>
      <c r="D386" s="62"/>
      <c r="E386" s="74"/>
      <c r="F386" s="62"/>
      <c r="G386" s="62">
        <v>1</v>
      </c>
      <c r="H386" s="64">
        <f t="shared" si="267"/>
        <v>0</v>
      </c>
      <c r="I386" s="64"/>
      <c r="J386" s="64"/>
      <c r="K386" s="65">
        <f t="shared" si="268"/>
        <v>0</v>
      </c>
      <c r="L386" s="65">
        <f t="shared" si="269"/>
        <v>0</v>
      </c>
      <c r="M386" s="65">
        <f t="shared" si="270"/>
        <v>0</v>
      </c>
      <c r="N386" s="65">
        <f t="shared" si="271"/>
        <v>0</v>
      </c>
      <c r="O386" s="66" t="str">
        <f t="shared" si="272"/>
        <v>✕</v>
      </c>
      <c r="P386" s="67" t="str">
        <f t="shared" si="273"/>
        <v>○</v>
      </c>
      <c r="Q386" s="67" t="str">
        <f t="shared" si="274"/>
        <v>✕</v>
      </c>
      <c r="R386" s="67" t="str">
        <f t="shared" si="275"/>
        <v>✕</v>
      </c>
      <c r="S386" s="68">
        <v>0</v>
      </c>
      <c r="T386" s="69" t="s">
        <v>85</v>
      </c>
      <c r="U386" s="69" t="s">
        <v>85</v>
      </c>
      <c r="V386" s="69" t="s">
        <v>85</v>
      </c>
      <c r="W386" s="69" t="s">
        <v>85</v>
      </c>
      <c r="X386" s="69" t="s">
        <v>84</v>
      </c>
      <c r="Y386" s="69" t="s">
        <v>85</v>
      </c>
      <c r="Z386" s="69" t="s">
        <v>85</v>
      </c>
      <c r="AA386" s="69" t="s">
        <v>85</v>
      </c>
      <c r="AB386" s="69" t="s">
        <v>85</v>
      </c>
      <c r="AC386" s="69" t="s">
        <v>85</v>
      </c>
      <c r="AD386" s="38" t="str">
        <f>+IF(ISERROR(VLOOKUP($B386,AD$10:AD385,1,0)),IF(AND($N386&gt;=1000,$A386&gt;=AO$8,$A386&lt;=AO$9),$B386,""),"")</f>
        <v/>
      </c>
      <c r="AE386" s="38" t="str">
        <f>+IF(ISERROR(VLOOKUP($B386,AE$10:AE385,1,0)),IF(AND($N386&gt;=1000,$A386&gt;=AP$8,$A386&lt;=AP$9),$B386,""),"")</f>
        <v/>
      </c>
      <c r="AF386" s="38" t="str">
        <f>+IF(ISERROR(VLOOKUP($B386,AF$10:AF385,1,0)),IF(AND($N386&gt;=1000,$A386&gt;=AQ$8,$A386&lt;=AQ$9),$B386,""),"")</f>
        <v/>
      </c>
      <c r="AG386" s="38" t="str">
        <f>+IF(ISERROR(VLOOKUP($B386,AG$10:AG385,1,0)),IF(AND($N386&gt;=1000,$A386&gt;=AR$8,$A386&lt;=AR$9),$B386,""),"")</f>
        <v/>
      </c>
      <c r="AH386" s="38"/>
      <c r="AI386" s="70">
        <v>0</v>
      </c>
      <c r="AJ386" s="38">
        <f>IF(AND(AJ$7="○",$A386&gt;=AJ$8,$A386&lt;=AJ$9),IF(SUM(AJ$10:AJ385)-ROUNDDOWN($K386*AJ$5/100,0)&lt;-AJ$6,-AJ$6-SUM(AJ$10:AJ385),-ROUNDDOWN($K386*AJ$5/100,0)),0)</f>
        <v>0</v>
      </c>
      <c r="AK386" s="38">
        <f>IF(AND(AK$7="○",$A386&gt;=AK$8,$A386&lt;=AK$9),IF(SUM(AK$10:AK385)-ROUNDDOWN($L386*AK$5/100,0)&lt;-AK$6,-AK$6-SUM(AK$10:AK385),-ROUNDDOWN($L386*AK$5/100,0)),0)</f>
        <v>0</v>
      </c>
      <c r="AL386" s="38">
        <f>IF(AND(AL$7="○",$A386&gt;=AL$8,$A386&lt;=AL$9),IF(SUM(AL$10:AL385)-ROUNDDOWN($N386*AL$5/100,0)&lt;-AL$6,-AL$6-SUM(AL$10:AL385),-ROUNDDOWN($N386*AL$5/100,0)),0)</f>
        <v>0</v>
      </c>
      <c r="AM386" s="38">
        <f>IF(AND(AM$7="○",$A386&gt;=AM$8,$A386&lt;=AM$9),IF(SUM(AM$10:AM385)-ROUNDDOWN($L386*AM$5/100,0)&lt;-AM$6,-AM$6-SUM(AM$10:AM385),-ROUNDDOWN($L386*AM$5/100,0)),0)</f>
        <v>0</v>
      </c>
      <c r="AN386" s="38">
        <f>IF(AND(AN$7="○",$A386&gt;=AN$8,$A386&lt;=AN$9),IF(SUM(AN$10:AN385)-ROUNDDOWN($M386*AN$5/100,0)&lt;-AN$6,-AN$6-SUM(AN$10:AN385),-ROUNDDOWN($M386*AN$5/100,0)),0)</f>
        <v>0</v>
      </c>
      <c r="AO386" s="38">
        <f>IF(AND($A386&gt;=AO$8,$A386&lt;=AO$9),IF(SUM(AO$10:AO385)-ROUNDDOWN($K386*AO$5/100,0)&lt;-AO$6,-AO$6-SUM(AO$10:AO385),-ROUNDDOWN($K386*AO$5/100,0)),0)</f>
        <v>0</v>
      </c>
      <c r="AP386" s="38">
        <f>IF(AND($A386&gt;=AP$8,$A386&lt;=AP$9),IF(SUM(AP$10:AP385)-ROUNDDOWN($K386*AP$5/100,0)&lt;-AP$6,-AP$6-SUM(AP$10:AP385),-ROUNDDOWN($K386*AP$5/100,0)),0)</f>
        <v>0</v>
      </c>
      <c r="AQ386" s="38">
        <f>IF(AND($A386&gt;=AQ$8,$A386&lt;=AQ$9),IF(SUM(AQ$10:AQ385)-ROUNDDOWN($K386*AQ$5/100,0)&lt;-AQ$6,-AQ$6-SUM(AQ$10:AQ385),-ROUNDDOWN($K386*AQ$5/100,0)),0)</f>
        <v>0</v>
      </c>
      <c r="AR386" s="38">
        <f>IF(AND($A386&gt;=AR$8,$A386&lt;=AR$9),IF(SUM(AR$10:AR385)-ROUNDDOWN($K386*AR$5/100,0)&lt;-AR$6,-AR$6-SUM(AR$10:AR385),-ROUNDDOWN($K386*AR$5/100,0)),0)</f>
        <v>0</v>
      </c>
      <c r="AS386" s="38">
        <f>IF(SUMIFS(AS$10:AS385,$A$10:$A385,$A386)-ROUNDDOWN($K386*$S386/100,0)&lt;-$S386*1000,-$S386*1000-SUMIFS(AS$10:AS385,$A$10:$A385,$A386),-ROUNDDOWN($K386*$S386/100,0))</f>
        <v>0</v>
      </c>
      <c r="AT386" s="38">
        <f>IF(AND(X386="○",$A386&gt;=AT$8,$A386&lt;=AT$9,K386&gt;=3980),IF(SUM(AT$10:AT385)-ROUNDDOWN($K386*AT$5/100,0)&lt;-AT$6,-AT$6-SUM(AT$10:AT385),-ROUNDDOWN($K386*AT$5/100,0)),0)</f>
        <v>0</v>
      </c>
      <c r="AU386" s="38">
        <f>IF(O386="○",IF(SUM(AU$10:AU385)-ROUNDDOWN($K386*AU$5/100,0)&lt;-AU$6,-AU$6-SUM(AU$10:AU385),-ROUNDDOWN($K386*AU$5/100,0)),0)</f>
        <v>0</v>
      </c>
      <c r="AV386" s="38">
        <f>IF(P386="○",IF(SUM(AV$10:AV385)-ROUNDDOWN($K386*AV$5/100,0)&lt;-AV$6,-AV$6-SUM(AV$10:AV385),-ROUNDDOWN($K386*AV$5/100,0)),0)</f>
        <v>0</v>
      </c>
      <c r="AW386" s="38">
        <f>IF(Q386="○",IF(SUM(AW$10:AW385)-ROUNDDOWN($K386*AW$5/100,0)&lt;-AW$6,-AW$6-SUM(AW$10:AW385),-ROUNDDOWN($K386*AW$5/100,0)),0)</f>
        <v>0</v>
      </c>
      <c r="AX386" s="38">
        <f>IF(R386="○",IF(SUM(AX$10:AX385)-ROUNDDOWN($K386*AX$5/100,0)&lt;-AX$6,-AX$6-SUM(AX$10:AX385),-ROUNDDOWN($K386*AX$5/100,0)),0)</f>
        <v>0</v>
      </c>
      <c r="AY386" s="70">
        <v>0</v>
      </c>
      <c r="AZ386" s="65">
        <f t="shared" si="250"/>
        <v>0</v>
      </c>
      <c r="BA386" s="65">
        <f t="shared" si="251"/>
        <v>0</v>
      </c>
      <c r="BB386" s="70"/>
      <c r="BC386" s="65">
        <f t="shared" si="252"/>
        <v>0</v>
      </c>
      <c r="BD386" s="70">
        <v>0</v>
      </c>
      <c r="BE386" s="65">
        <f t="shared" si="253"/>
        <v>0</v>
      </c>
      <c r="BF386" s="70">
        <v>0</v>
      </c>
      <c r="BG386" s="65">
        <f t="shared" si="254"/>
        <v>0</v>
      </c>
      <c r="BH386" s="70">
        <v>0</v>
      </c>
      <c r="BI386" s="65">
        <f t="shared" si="255"/>
        <v>0</v>
      </c>
      <c r="BJ386" s="38">
        <f>IF(AND(BJ$7="○",$A386&gt;=BJ$8,$A386&lt;=BJ$9),IF(SUM(BJ$10:BJ385)-ROUNDDOWN($M386*BJ$5/100,0)&lt;-BJ$6,-BJ$6-SUM(BJ$10:BJ385),-ROUNDDOWN($M386*BJ$5/100,0)),0)</f>
        <v>0</v>
      </c>
      <c r="BK386" s="38">
        <f>IF(AND(BK$7="○",$A386&gt;=BK$8,$A386&lt;=BK$9),IF(SUM(BK$10:BK385)-ROUNDDOWN($L386*BK$5/100,0)&lt;-BK$6,-BK$6-SUM(BK$10:BK385),-ROUNDDOWN($L386*BK$5/100,0)),0)</f>
        <v>0</v>
      </c>
      <c r="BL386" s="38">
        <f>IF(AND(BL$7="○",$A386&gt;=BL$8,$A386&lt;=BL$9),IF(SUM(BL$10:BL385)-ROUNDDOWN($L386*BL$5/100,0)&lt;-BL$6,-BL$6-SUM(BL$10:BL385),-ROUNDDOWN($L386*BL$5/100,0)),0)</f>
        <v>0</v>
      </c>
      <c r="BM386" s="38">
        <f>IF(AND(BM$7="○",$A386&gt;=BM$8,$A386&lt;=BM$9),IF(SUM(BM$10:BM385)-ROUNDDOWN($M386*BM$5/100,0)&lt;-BM$6,-BM$6-SUM(BM$10:BM385),-ROUNDDOWN($M386*BM$5/100,0)),0)</f>
        <v>0</v>
      </c>
      <c r="BN386" s="38">
        <f>IF(AND(BN$7="○",$A386&gt;=BN$8,$A386&lt;=BN$9),IF(SUM(BN$10:BN385)-ROUNDDOWN($M386*BN$5/100,0)&lt;-BN$6,-BN$6-SUM(BN$10:BN385),-ROUNDDOWN($M386*BN$5/100,0)),0)</f>
        <v>0</v>
      </c>
      <c r="BO386" s="38">
        <f>IF(AND(BO$7="○",$A386&gt;=BO$8,$A386&lt;=BO$9),IF(SUM(BO$10:BO385)-ROUNDDOWN($M386*BO$5/100,0)&lt;-BO$6,-BO$6-SUM(BO$10:BO385),-ROUNDDOWN($M386*BO$5/100,0)),0)</f>
        <v>0</v>
      </c>
      <c r="BP386" s="38">
        <f>IF(AND(BP$7="○",$A386&gt;=BP$8,$A386&lt;=BP$9),IF(SUM(BP$10:BP385)-ROUNDDOWN($M386*BP$5/100,0)&lt;-BP$6,-BP$6-SUM(BP$10:BP385),-ROUNDDOWN($M386*BP$5/100,0)),0)</f>
        <v>0</v>
      </c>
      <c r="BQ386" s="38">
        <f>IF(AND(BQ$7="○",$A386&gt;=BQ$8,$A386&lt;=BQ$9),IF(SUM(BQ$10:BQ385)-ROUNDDOWN($L386*BQ$5/100,0)&lt;-BQ$6,-BQ$6-SUM(BQ$10:BQ385),-ROUNDDOWN($L386*BQ$5/100,0)),0)</f>
        <v>0</v>
      </c>
      <c r="BR386" s="38">
        <f>IF(AND(BR$7="○",$A386&gt;=BR$8,$A386&lt;=BR$9),IF(SUM(BR$10:BR385)-ROUNDDOWN($M386*BR$5/100,0)&lt;-BR$6,-BR$6-SUM(BR$10:BR385),-ROUNDDOWN($M386*BR$5/100,0)),0)</f>
        <v>0</v>
      </c>
      <c r="BS386" s="38">
        <f>IF(AND(BS$7="○",$A386&gt;=BS$8,$A386&lt;=BS$9),IF(SUM(BS$10:BS385)-ROUNDDOWN($M386*BS$5/100,0)&lt;-BS$6,-BS$6-SUM(BS$10:BS385),-ROUNDDOWN($M386*BS$5/100,0)),0)</f>
        <v>0</v>
      </c>
      <c r="BT386" s="38">
        <f>IF(AND(BT$7="○",$A386&gt;=BT$8,$A386&lt;=BT$9),IF(SUM(BT$10:BT385)-ROUNDDOWN($M386*BT$5/100,0)&lt;-BT$6,-BT$6-SUM(BT$10:BT385),-ROUNDDOWN($M386*BT$5/100,0)),0)</f>
        <v>0</v>
      </c>
      <c r="BU386" s="38">
        <f>IF(AND(BU$7="○",$A386&gt;=BU$8,$A386&lt;=BU$9),IF(SUM(BU$10:BU385)-ROUNDDOWN($M386*BU$5/100,0)&lt;-BU$6,-BU$6-SUM(BU$10:BU385),-ROUNDDOWN($M386*BU$5/100,0)),0)</f>
        <v>0</v>
      </c>
      <c r="BV386" s="38">
        <f>IF(AND(BV$7="○",$A386&gt;=BV$8,$A386&lt;=BV$9),IF(SUM(BV$10:BV385)-ROUNDDOWN($M386*BV$5/100,0)&lt;-BV$6,-BV$6-SUM(BV$10:BV385),-ROUNDDOWN($M386*BV$5/100,0)),0)</f>
        <v>0</v>
      </c>
      <c r="BW386" s="38">
        <f>IF(AND(BW$7="○",$A386&gt;=BW$8,$A386&lt;=BW$9),IF(SUM(BW$10:BW385)-ROUNDDOWN($M386*BW$5/100,0)&lt;-BW$6,-BW$6-SUM(BW$10:BW385),-ROUNDDOWN($M386*BW$5/100,0)),0)</f>
        <v>0</v>
      </c>
      <c r="BX386" s="38">
        <f>IF(AND(T386="○",$A386&gt;=BX$8,$A386&lt;=BX$9),IF(SUM(BX$10:BX385)-ROUNDDOWN($K386*BX$5/100,0)&lt;-BX$6,-BX$6-SUM(BX$10:BX385),-ROUNDDOWN($K386*BX$5/100,0)),0)</f>
        <v>0</v>
      </c>
      <c r="BY386" s="38">
        <f>IF(AND(U386="○",$A386&gt;=BY$8,$A386&lt;=BY$9),IF(SUM(BY$10:BY385)-ROUNDDOWN($K386*BY$5/100,0)&lt;-BY$6,-BY$6-SUM(BY$10:BY385),-ROUNDDOWN($K386*BY$5/100,0)),0)</f>
        <v>0</v>
      </c>
      <c r="BZ386" s="38">
        <f>IF(AND(V386="○",$A386&gt;=BZ$8,$A386&lt;=BZ$9),IF(SUM(BZ$10:BZ385)-ROUNDDOWN($K386*BZ$5/100,0)&lt;-BZ$6,-BZ$6-SUM(BZ$10:BZ385),-ROUNDDOWN($K386*BZ$5/100,0)),0)</f>
        <v>0</v>
      </c>
      <c r="CA386" s="38">
        <f>IF(AND(W386="○",$A386&gt;=CA$8,$A386&lt;=CA$9),IF(SUM(CA$10:CA385)-ROUNDDOWN($K386*CA$5/100,0)&lt;-CA$6,-CA$6-SUM(CA$10:CA385),-ROUNDDOWN($K386*CA$5/100,0)),0)</f>
        <v>0</v>
      </c>
      <c r="CB386" s="38"/>
      <c r="CC386" s="38"/>
      <c r="CD386" s="38"/>
      <c r="CE386" s="38"/>
      <c r="CF386" s="38"/>
      <c r="CG386" s="65">
        <f t="shared" si="256"/>
        <v>0</v>
      </c>
      <c r="CH386" s="71">
        <f t="shared" si="257"/>
        <v>0</v>
      </c>
      <c r="CI386" s="1">
        <f t="shared" si="276"/>
        <v>0</v>
      </c>
      <c r="CJ386" s="1"/>
      <c r="CK386" s="72"/>
      <c r="CL386" s="72"/>
      <c r="CM386" s="2"/>
      <c r="CN386" s="2"/>
      <c r="CO386" s="73">
        <f t="shared" si="277"/>
        <v>0</v>
      </c>
      <c r="CP386" s="5">
        <f t="shared" si="278"/>
        <v>0</v>
      </c>
      <c r="CQ386" s="1"/>
      <c r="CR386" s="1">
        <f t="shared" si="279"/>
        <v>0</v>
      </c>
      <c r="CS386" s="1"/>
      <c r="CT386" s="1" t="e">
        <f>INDEX([2]マスタ!$A:$A,MATCH(D386,[2]マスタ!$C:$C,0))</f>
        <v>#N/A</v>
      </c>
      <c r="CU386" s="1" t="str">
        <f t="shared" ca="1" si="280"/>
        <v>20260620_0-0</v>
      </c>
    </row>
    <row r="387" spans="1:99" x14ac:dyDescent="0.4">
      <c r="A387" s="61"/>
      <c r="B387" s="62"/>
      <c r="C387" s="62"/>
      <c r="D387" s="62"/>
      <c r="E387" s="74"/>
      <c r="F387" s="62"/>
      <c r="G387" s="62">
        <v>1</v>
      </c>
      <c r="H387" s="64">
        <f t="shared" si="267"/>
        <v>0</v>
      </c>
      <c r="I387" s="64"/>
      <c r="J387" s="64"/>
      <c r="K387" s="65">
        <f t="shared" si="268"/>
        <v>0</v>
      </c>
      <c r="L387" s="65">
        <f t="shared" si="269"/>
        <v>0</v>
      </c>
      <c r="M387" s="65">
        <f t="shared" si="270"/>
        <v>0</v>
      </c>
      <c r="N387" s="65">
        <f t="shared" si="271"/>
        <v>0</v>
      </c>
      <c r="O387" s="66" t="str">
        <f t="shared" si="272"/>
        <v>✕</v>
      </c>
      <c r="P387" s="67" t="str">
        <f t="shared" si="273"/>
        <v>○</v>
      </c>
      <c r="Q387" s="67" t="str">
        <f t="shared" si="274"/>
        <v>✕</v>
      </c>
      <c r="R387" s="67" t="str">
        <f t="shared" si="275"/>
        <v>✕</v>
      </c>
      <c r="S387" s="68">
        <v>0</v>
      </c>
      <c r="T387" s="69" t="s">
        <v>85</v>
      </c>
      <c r="U387" s="69" t="s">
        <v>85</v>
      </c>
      <c r="V387" s="69" t="s">
        <v>85</v>
      </c>
      <c r="W387" s="69" t="s">
        <v>85</v>
      </c>
      <c r="X387" s="69" t="s">
        <v>84</v>
      </c>
      <c r="Y387" s="69" t="s">
        <v>85</v>
      </c>
      <c r="Z387" s="69" t="s">
        <v>85</v>
      </c>
      <c r="AA387" s="69" t="s">
        <v>85</v>
      </c>
      <c r="AB387" s="69" t="s">
        <v>85</v>
      </c>
      <c r="AC387" s="69" t="s">
        <v>85</v>
      </c>
      <c r="AD387" s="38" t="str">
        <f>+IF(ISERROR(VLOOKUP($B387,AD$10:AD386,1,0)),IF(AND($N387&gt;=1000,$A387&gt;=AO$8,$A387&lt;=AO$9),$B387,""),"")</f>
        <v/>
      </c>
      <c r="AE387" s="38" t="str">
        <f>+IF(ISERROR(VLOOKUP($B387,AE$10:AE386,1,0)),IF(AND($N387&gt;=1000,$A387&gt;=AP$8,$A387&lt;=AP$9),$B387,""),"")</f>
        <v/>
      </c>
      <c r="AF387" s="38" t="str">
        <f>+IF(ISERROR(VLOOKUP($B387,AF$10:AF386,1,0)),IF(AND($N387&gt;=1000,$A387&gt;=AQ$8,$A387&lt;=AQ$9),$B387,""),"")</f>
        <v/>
      </c>
      <c r="AG387" s="38" t="str">
        <f>+IF(ISERROR(VLOOKUP($B387,AG$10:AG386,1,0)),IF(AND($N387&gt;=1000,$A387&gt;=AR$8,$A387&lt;=AR$9),$B387,""),"")</f>
        <v/>
      </c>
      <c r="AH387" s="38"/>
      <c r="AI387" s="70">
        <v>0</v>
      </c>
      <c r="AJ387" s="38">
        <f>IF(AND(AJ$7="○",$A387&gt;=AJ$8,$A387&lt;=AJ$9),IF(SUM(AJ$10:AJ386)-ROUNDDOWN($K387*AJ$5/100,0)&lt;-AJ$6,-AJ$6-SUM(AJ$10:AJ386),-ROUNDDOWN($K387*AJ$5/100,0)),0)</f>
        <v>0</v>
      </c>
      <c r="AK387" s="38">
        <f>IF(AND(AK$7="○",$A387&gt;=AK$8,$A387&lt;=AK$9),IF(SUM(AK$10:AK386)-ROUNDDOWN($L387*AK$5/100,0)&lt;-AK$6,-AK$6-SUM(AK$10:AK386),-ROUNDDOWN($L387*AK$5/100,0)),0)</f>
        <v>0</v>
      </c>
      <c r="AL387" s="38">
        <f>IF(AND(AL$7="○",$A387&gt;=AL$8,$A387&lt;=AL$9),IF(SUM(AL$10:AL386)-ROUNDDOWN($N387*AL$5/100,0)&lt;-AL$6,-AL$6-SUM(AL$10:AL386),-ROUNDDOWN($N387*AL$5/100,0)),0)</f>
        <v>0</v>
      </c>
      <c r="AM387" s="38">
        <f>IF(AND(AM$7="○",$A387&gt;=AM$8,$A387&lt;=AM$9),IF(SUM(AM$10:AM386)-ROUNDDOWN($L387*AM$5/100,0)&lt;-AM$6,-AM$6-SUM(AM$10:AM386),-ROUNDDOWN($L387*AM$5/100,0)),0)</f>
        <v>0</v>
      </c>
      <c r="AN387" s="38">
        <f>IF(AND(AN$7="○",$A387&gt;=AN$8,$A387&lt;=AN$9),IF(SUM(AN$10:AN386)-ROUNDDOWN($M387*AN$5/100,0)&lt;-AN$6,-AN$6-SUM(AN$10:AN386),-ROUNDDOWN($M387*AN$5/100,0)),0)</f>
        <v>0</v>
      </c>
      <c r="AO387" s="38">
        <f>IF(AND($A387&gt;=AO$8,$A387&lt;=AO$9),IF(SUM(AO$10:AO386)-ROUNDDOWN($K387*AO$5/100,0)&lt;-AO$6,-AO$6-SUM(AO$10:AO386),-ROUNDDOWN($K387*AO$5/100,0)),0)</f>
        <v>0</v>
      </c>
      <c r="AP387" s="38">
        <f>IF(AND($A387&gt;=AP$8,$A387&lt;=AP$9),IF(SUM(AP$10:AP386)-ROUNDDOWN($K387*AP$5/100,0)&lt;-AP$6,-AP$6-SUM(AP$10:AP386),-ROUNDDOWN($K387*AP$5/100,0)),0)</f>
        <v>0</v>
      </c>
      <c r="AQ387" s="38">
        <f>IF(AND($A387&gt;=AQ$8,$A387&lt;=AQ$9),IF(SUM(AQ$10:AQ386)-ROUNDDOWN($K387*AQ$5/100,0)&lt;-AQ$6,-AQ$6-SUM(AQ$10:AQ386),-ROUNDDOWN($K387*AQ$5/100,0)),0)</f>
        <v>0</v>
      </c>
      <c r="AR387" s="38">
        <f>IF(AND($A387&gt;=AR$8,$A387&lt;=AR$9),IF(SUM(AR$10:AR386)-ROUNDDOWN($K387*AR$5/100,0)&lt;-AR$6,-AR$6-SUM(AR$10:AR386),-ROUNDDOWN($K387*AR$5/100,0)),0)</f>
        <v>0</v>
      </c>
      <c r="AS387" s="38">
        <f>IF(SUMIFS(AS$10:AS386,$A$10:$A386,$A387)-ROUNDDOWN($K387*$S387/100,0)&lt;-$S387*1000,-$S387*1000-SUMIFS(AS$10:AS386,$A$10:$A386,$A387),-ROUNDDOWN($K387*$S387/100,0))</f>
        <v>0</v>
      </c>
      <c r="AT387" s="38">
        <f>IF(AND(X387="○",$A387&gt;=AT$8,$A387&lt;=AT$9,K387&gt;=3980),IF(SUM(AT$10:AT386)-ROUNDDOWN($K387*AT$5/100,0)&lt;-AT$6,-AT$6-SUM(AT$10:AT386),-ROUNDDOWN($K387*AT$5/100,0)),0)</f>
        <v>0</v>
      </c>
      <c r="AU387" s="38">
        <f>IF(O387="○",IF(SUM(AU$10:AU386)-ROUNDDOWN($K387*AU$5/100,0)&lt;-AU$6,-AU$6-SUM(AU$10:AU386),-ROUNDDOWN($K387*AU$5/100,0)),0)</f>
        <v>0</v>
      </c>
      <c r="AV387" s="38">
        <f>IF(P387="○",IF(SUM(AV$10:AV386)-ROUNDDOWN($K387*AV$5/100,0)&lt;-AV$6,-AV$6-SUM(AV$10:AV386),-ROUNDDOWN($K387*AV$5/100,0)),0)</f>
        <v>0</v>
      </c>
      <c r="AW387" s="38">
        <f>IF(Q387="○",IF(SUM(AW$10:AW386)-ROUNDDOWN($K387*AW$5/100,0)&lt;-AW$6,-AW$6-SUM(AW$10:AW386),-ROUNDDOWN($K387*AW$5/100,0)),0)</f>
        <v>0</v>
      </c>
      <c r="AX387" s="38">
        <f>IF(R387="○",IF(SUM(AX$10:AX386)-ROUNDDOWN($K387*AX$5/100,0)&lt;-AX$6,-AX$6-SUM(AX$10:AX386),-ROUNDDOWN($K387*AX$5/100,0)),0)</f>
        <v>0</v>
      </c>
      <c r="AY387" s="70">
        <v>0</v>
      </c>
      <c r="AZ387" s="65">
        <f t="shared" si="250"/>
        <v>0</v>
      </c>
      <c r="BA387" s="65">
        <f t="shared" si="251"/>
        <v>0</v>
      </c>
      <c r="BB387" s="70"/>
      <c r="BC387" s="65">
        <f t="shared" si="252"/>
        <v>0</v>
      </c>
      <c r="BD387" s="70">
        <v>0</v>
      </c>
      <c r="BE387" s="65">
        <f t="shared" si="253"/>
        <v>0</v>
      </c>
      <c r="BF387" s="70">
        <v>0</v>
      </c>
      <c r="BG387" s="65">
        <f t="shared" si="254"/>
        <v>0</v>
      </c>
      <c r="BH387" s="70">
        <v>0</v>
      </c>
      <c r="BI387" s="65">
        <f t="shared" si="255"/>
        <v>0</v>
      </c>
      <c r="BJ387" s="38">
        <f>IF(AND(BJ$7="○",$A387&gt;=BJ$8,$A387&lt;=BJ$9),IF(SUM(BJ$10:BJ386)-ROUNDDOWN($M387*BJ$5/100,0)&lt;-BJ$6,-BJ$6-SUM(BJ$10:BJ386),-ROUNDDOWN($M387*BJ$5/100,0)),0)</f>
        <v>0</v>
      </c>
      <c r="BK387" s="38">
        <f>IF(AND(BK$7="○",$A387&gt;=BK$8,$A387&lt;=BK$9),IF(SUM(BK$10:BK386)-ROUNDDOWN($L387*BK$5/100,0)&lt;-BK$6,-BK$6-SUM(BK$10:BK386),-ROUNDDOWN($L387*BK$5/100,0)),0)</f>
        <v>0</v>
      </c>
      <c r="BL387" s="38">
        <f>IF(AND(BL$7="○",$A387&gt;=BL$8,$A387&lt;=BL$9),IF(SUM(BL$10:BL386)-ROUNDDOWN($L387*BL$5/100,0)&lt;-BL$6,-BL$6-SUM(BL$10:BL386),-ROUNDDOWN($L387*BL$5/100,0)),0)</f>
        <v>0</v>
      </c>
      <c r="BM387" s="38">
        <f>IF(AND(BM$7="○",$A387&gt;=BM$8,$A387&lt;=BM$9),IF(SUM(BM$10:BM386)-ROUNDDOWN($M387*BM$5/100,0)&lt;-BM$6,-BM$6-SUM(BM$10:BM386),-ROUNDDOWN($M387*BM$5/100,0)),0)</f>
        <v>0</v>
      </c>
      <c r="BN387" s="38">
        <f>IF(AND(BN$7="○",$A387&gt;=BN$8,$A387&lt;=BN$9),IF(SUM(BN$10:BN386)-ROUNDDOWN($M387*BN$5/100,0)&lt;-BN$6,-BN$6-SUM(BN$10:BN386),-ROUNDDOWN($M387*BN$5/100,0)),0)</f>
        <v>0</v>
      </c>
      <c r="BO387" s="38">
        <f>IF(AND(BO$7="○",$A387&gt;=BO$8,$A387&lt;=BO$9),IF(SUM(BO$10:BO386)-ROUNDDOWN($M387*BO$5/100,0)&lt;-BO$6,-BO$6-SUM(BO$10:BO386),-ROUNDDOWN($M387*BO$5/100,0)),0)</f>
        <v>0</v>
      </c>
      <c r="BP387" s="38">
        <f>IF(AND(BP$7="○",$A387&gt;=BP$8,$A387&lt;=BP$9),IF(SUM(BP$10:BP386)-ROUNDDOWN($M387*BP$5/100,0)&lt;-BP$6,-BP$6-SUM(BP$10:BP386),-ROUNDDOWN($M387*BP$5/100,0)),0)</f>
        <v>0</v>
      </c>
      <c r="BQ387" s="38">
        <f>IF(AND(BQ$7="○",$A387&gt;=BQ$8,$A387&lt;=BQ$9),IF(SUM(BQ$10:BQ386)-ROUNDDOWN($L387*BQ$5/100,0)&lt;-BQ$6,-BQ$6-SUM(BQ$10:BQ386),-ROUNDDOWN($L387*BQ$5/100,0)),0)</f>
        <v>0</v>
      </c>
      <c r="BR387" s="38">
        <f>IF(AND(BR$7="○",$A387&gt;=BR$8,$A387&lt;=BR$9),IF(SUM(BR$10:BR386)-ROUNDDOWN($M387*BR$5/100,0)&lt;-BR$6,-BR$6-SUM(BR$10:BR386),-ROUNDDOWN($M387*BR$5/100,0)),0)</f>
        <v>0</v>
      </c>
      <c r="BS387" s="38">
        <f>IF(AND(BS$7="○",$A387&gt;=BS$8,$A387&lt;=BS$9),IF(SUM(BS$10:BS386)-ROUNDDOWN($M387*BS$5/100,0)&lt;-BS$6,-BS$6-SUM(BS$10:BS386),-ROUNDDOWN($M387*BS$5/100,0)),0)</f>
        <v>0</v>
      </c>
      <c r="BT387" s="38">
        <f>IF(AND(BT$7="○",$A387&gt;=BT$8,$A387&lt;=BT$9),IF(SUM(BT$10:BT386)-ROUNDDOWN($M387*BT$5/100,0)&lt;-BT$6,-BT$6-SUM(BT$10:BT386),-ROUNDDOWN($M387*BT$5/100,0)),0)</f>
        <v>0</v>
      </c>
      <c r="BU387" s="38">
        <f>IF(AND(BU$7="○",$A387&gt;=BU$8,$A387&lt;=BU$9),IF(SUM(BU$10:BU386)-ROUNDDOWN($M387*BU$5/100,0)&lt;-BU$6,-BU$6-SUM(BU$10:BU386),-ROUNDDOWN($M387*BU$5/100,0)),0)</f>
        <v>0</v>
      </c>
      <c r="BV387" s="38">
        <f>IF(AND(BV$7="○",$A387&gt;=BV$8,$A387&lt;=BV$9),IF(SUM(BV$10:BV386)-ROUNDDOWN($M387*BV$5/100,0)&lt;-BV$6,-BV$6-SUM(BV$10:BV386),-ROUNDDOWN($M387*BV$5/100,0)),0)</f>
        <v>0</v>
      </c>
      <c r="BW387" s="38">
        <f>IF(AND(BW$7="○",$A387&gt;=BW$8,$A387&lt;=BW$9),IF(SUM(BW$10:BW386)-ROUNDDOWN($M387*BW$5/100,0)&lt;-BW$6,-BW$6-SUM(BW$10:BW386),-ROUNDDOWN($M387*BW$5/100,0)),0)</f>
        <v>0</v>
      </c>
      <c r="BX387" s="38">
        <f>IF(AND(T387="○",$A387&gt;=BX$8,$A387&lt;=BX$9),IF(SUM(BX$10:BX386)-ROUNDDOWN($K387*BX$5/100,0)&lt;-BX$6,-BX$6-SUM(BX$10:BX386),-ROUNDDOWN($K387*BX$5/100,0)),0)</f>
        <v>0</v>
      </c>
      <c r="BY387" s="38">
        <f>IF(AND(U387="○",$A387&gt;=BY$8,$A387&lt;=BY$9),IF(SUM(BY$10:BY386)-ROUNDDOWN($K387*BY$5/100,0)&lt;-BY$6,-BY$6-SUM(BY$10:BY386),-ROUNDDOWN($K387*BY$5/100,0)),0)</f>
        <v>0</v>
      </c>
      <c r="BZ387" s="38">
        <f>IF(AND(V387="○",$A387&gt;=BZ$8,$A387&lt;=BZ$9),IF(SUM(BZ$10:BZ386)-ROUNDDOWN($K387*BZ$5/100,0)&lt;-BZ$6,-BZ$6-SUM(BZ$10:BZ386),-ROUNDDOWN($K387*BZ$5/100,0)),0)</f>
        <v>0</v>
      </c>
      <c r="CA387" s="38">
        <f>IF(AND(W387="○",$A387&gt;=CA$8,$A387&lt;=CA$9),IF(SUM(CA$10:CA386)-ROUNDDOWN($K387*CA$5/100,0)&lt;-CA$6,-CA$6-SUM(CA$10:CA386),-ROUNDDOWN($K387*CA$5/100,0)),0)</f>
        <v>0</v>
      </c>
      <c r="CB387" s="38"/>
      <c r="CC387" s="38"/>
      <c r="CD387" s="38"/>
      <c r="CE387" s="38"/>
      <c r="CF387" s="38"/>
      <c r="CG387" s="65">
        <f t="shared" si="256"/>
        <v>0</v>
      </c>
      <c r="CH387" s="71">
        <f t="shared" si="257"/>
        <v>0</v>
      </c>
      <c r="CI387" s="1">
        <f t="shared" si="276"/>
        <v>0</v>
      </c>
      <c r="CJ387" s="1"/>
      <c r="CK387" s="72"/>
      <c r="CL387" s="72"/>
      <c r="CM387" s="2"/>
      <c r="CN387" s="2"/>
      <c r="CO387" s="73">
        <f t="shared" si="277"/>
        <v>0</v>
      </c>
      <c r="CP387" s="5">
        <f t="shared" si="278"/>
        <v>0</v>
      </c>
      <c r="CQ387" s="1"/>
      <c r="CR387" s="1">
        <f t="shared" si="279"/>
        <v>0</v>
      </c>
      <c r="CS387" s="1"/>
      <c r="CT387" s="1" t="e">
        <f>INDEX([2]マスタ!$A:$A,MATCH(D387,[2]マスタ!$C:$C,0))</f>
        <v>#N/A</v>
      </c>
      <c r="CU387" s="1" t="str">
        <f t="shared" ca="1" si="280"/>
        <v>20260620_0-0</v>
      </c>
    </row>
    <row r="388" spans="1:99" x14ac:dyDescent="0.4">
      <c r="A388" s="61"/>
      <c r="B388" s="62"/>
      <c r="C388" s="62"/>
      <c r="D388" s="62"/>
      <c r="E388" s="74"/>
      <c r="F388" s="62"/>
      <c r="G388" s="62">
        <v>1</v>
      </c>
      <c r="H388" s="64">
        <f t="shared" si="267"/>
        <v>0</v>
      </c>
      <c r="I388" s="64"/>
      <c r="J388" s="64"/>
      <c r="K388" s="65">
        <f t="shared" ref="K388:K391" si="281">+ROUNDDOWN((H388+I388+J388)/100,0)*100</f>
        <v>0</v>
      </c>
      <c r="L388" s="65">
        <f t="shared" si="269"/>
        <v>0</v>
      </c>
      <c r="M388" s="65">
        <f t="shared" si="270"/>
        <v>0</v>
      </c>
      <c r="N388" s="65">
        <f t="shared" si="271"/>
        <v>0</v>
      </c>
      <c r="O388" s="66" t="str">
        <f t="shared" si="272"/>
        <v>✕</v>
      </c>
      <c r="P388" s="67" t="str">
        <f t="shared" si="273"/>
        <v>○</v>
      </c>
      <c r="Q388" s="67" t="str">
        <f t="shared" ref="Q388:Q391" si="282">+IF((TEXT(A388,"DD")+0)=1,"○","✕")</f>
        <v>✕</v>
      </c>
      <c r="R388" s="67" t="str">
        <f t="shared" si="275"/>
        <v>✕</v>
      </c>
      <c r="S388" s="68">
        <v>0</v>
      </c>
      <c r="T388" s="69" t="s">
        <v>85</v>
      </c>
      <c r="U388" s="69" t="s">
        <v>85</v>
      </c>
      <c r="V388" s="69" t="s">
        <v>85</v>
      </c>
      <c r="W388" s="69" t="s">
        <v>85</v>
      </c>
      <c r="X388" s="69" t="s">
        <v>84</v>
      </c>
      <c r="Y388" s="69" t="s">
        <v>85</v>
      </c>
      <c r="Z388" s="69" t="s">
        <v>85</v>
      </c>
      <c r="AA388" s="69" t="s">
        <v>85</v>
      </c>
      <c r="AB388" s="69" t="s">
        <v>85</v>
      </c>
      <c r="AC388" s="69" t="s">
        <v>85</v>
      </c>
      <c r="AD388" s="38" t="str">
        <f>+IF(ISERROR(VLOOKUP($B388,AD$10:AD380,1,0)),IF(AND($N388&gt;=1000,$A388&gt;=AO$8,$A388&lt;=AO$9),$B388,""),"")</f>
        <v/>
      </c>
      <c r="AE388" s="38" t="str">
        <f>+IF(ISERROR(VLOOKUP($B388,AE$10:AE380,1,0)),IF(AND($N388&gt;=1000,$A388&gt;=AP$8,$A388&lt;=AP$9),$B388,""),"")</f>
        <v/>
      </c>
      <c r="AF388" s="38" t="str">
        <f>+IF(ISERROR(VLOOKUP($B388,AF$10:AF380,1,0)),IF(AND($N388&gt;=1000,$A388&gt;=AQ$8,$A388&lt;=AQ$9),$B388,""),"")</f>
        <v/>
      </c>
      <c r="AG388" s="38" t="str">
        <f>+IF(ISERROR(VLOOKUP($B388,AG$10:AG380,1,0)),IF(AND($N388&gt;=1000,$A388&gt;=AR$8,$A388&lt;=AR$9),$B388,""),"")</f>
        <v/>
      </c>
      <c r="AH388" s="38"/>
      <c r="AI388" s="70">
        <v>0</v>
      </c>
      <c r="AJ388" s="38">
        <f>IF(AND(AJ$7="○",$A388&gt;=AJ$8,$A388&lt;=AJ$9),IF(SUM(AJ$10:AJ387)-ROUNDDOWN($K388*AJ$5/100,0)&lt;-AJ$6,-AJ$6-SUM(AJ$10:AJ387),-ROUNDDOWN($K388*AJ$5/100,0)),0)</f>
        <v>0</v>
      </c>
      <c r="AK388" s="38">
        <f>IF(AND(AK$7="○",$A388&gt;=AK$8,$A388&lt;=AK$9),IF(SUM(AK$10:AK387)-ROUNDDOWN($L388*AK$5/100,0)&lt;-AK$6,-AK$6-SUM(AK$10:AK387),-ROUNDDOWN($L388*AK$5/100,0)),0)</f>
        <v>0</v>
      </c>
      <c r="AL388" s="38">
        <f>IF(AND(AL$7="○",$A388&gt;=AL$8,$A388&lt;=AL$9),IF(SUM(AL$10:AL387)-ROUNDDOWN($N388*AL$5/100,0)&lt;-AL$6,-AL$6-SUM(AL$10:AL387),-ROUNDDOWN($N388*AL$5/100,0)),0)</f>
        <v>0</v>
      </c>
      <c r="AM388" s="38">
        <f>IF(AND(AM$7="○",$A388&gt;=AM$8,$A388&lt;=AM$9),IF(SUM(AM$10:AM387)-ROUNDDOWN($L388*AM$5/100,0)&lt;-AM$6,-AM$6-SUM(AM$10:AM387),-ROUNDDOWN($L388*AM$5/100,0)),0)</f>
        <v>0</v>
      </c>
      <c r="AN388" s="38">
        <f>IF(AND(AN$7="○",$A388&gt;=AN$8,$A388&lt;=AN$9),IF(SUM(AN$10:AN387)-ROUNDDOWN($M388*AN$5/100,0)&lt;-AN$6,-AN$6-SUM(AN$10:AN387),-ROUNDDOWN($M388*AN$5/100,0)),0)</f>
        <v>0</v>
      </c>
      <c r="AO388" s="38">
        <f>IF(AND($A388&gt;=AO$8,$A388&lt;=AO$9),IF(SUM(AO$10:AO387)-ROUNDDOWN($K388*AO$5/100,0)&lt;-AO$6,-AO$6-SUM(AO$10:AO387),-ROUNDDOWN($K388*AO$5/100,0)),0)</f>
        <v>0</v>
      </c>
      <c r="AP388" s="38">
        <f>IF(AND($A388&gt;=AP$8,$A388&lt;=AP$9),IF(SUM(AP$10:AP387)-ROUNDDOWN($K388*AP$5/100,0)&lt;-AP$6,-AP$6-SUM(AP$10:AP387),-ROUNDDOWN($K388*AP$5/100,0)),0)</f>
        <v>0</v>
      </c>
      <c r="AQ388" s="38">
        <f>IF(AND($A388&gt;=AQ$8,$A388&lt;=AQ$9),IF(SUM(AQ$10:AQ387)-ROUNDDOWN($K388*AQ$5/100,0)&lt;-AQ$6,-AQ$6-SUM(AQ$10:AQ387),-ROUNDDOWN($K388*AQ$5/100,0)),0)</f>
        <v>0</v>
      </c>
      <c r="AR388" s="38">
        <f>IF(AND($A388&gt;=AR$8,$A388&lt;=AR$9),IF(SUM(AR$10:AR387)-ROUNDDOWN($K388*AR$5/100,0)&lt;-AR$6,-AR$6-SUM(AR$10:AR387),-ROUNDDOWN($K388*AR$5/100,0)),0)</f>
        <v>0</v>
      </c>
      <c r="AS388" s="38">
        <f>IF(SUMIFS(AS$10:AS387,$A$10:$A387,$A388)-ROUNDDOWN($K388*$S388/100,0)&lt;-$S388*1000,-$S388*1000-SUMIFS(AS$10:AS387,$A$10:$A387,$A388),-ROUNDDOWN($K388*$S388/100,0))</f>
        <v>0</v>
      </c>
      <c r="AT388" s="38">
        <f>IF(AND(X388="○",$A388&gt;=AT$8,$A388&lt;=AT$9,K388&gt;=3980),IF(SUM(AT$10:AT387)-ROUNDDOWN($K388*AT$5/100,0)&lt;-AT$6,-AT$6-SUM(AT$10:AT387),-ROUNDDOWN($K388*AT$5/100,0)),0)</f>
        <v>0</v>
      </c>
      <c r="AU388" s="38">
        <f>IF(O388="○",IF(SUM(AU$10:AU387)-ROUNDDOWN($K388*AU$5/100,0)&lt;-AU$6,-AU$6-SUM(AU$10:AU387),-ROUNDDOWN($K388*AU$5/100,0)),0)</f>
        <v>0</v>
      </c>
      <c r="AV388" s="38">
        <f>IF(P388="○",IF(SUM(AV$10:AV387)-ROUNDDOWN($K388*AV$5/100,0)&lt;-AV$6,-AV$6-SUM(AV$10:AV387),-ROUNDDOWN($K388*AV$5/100,0)),0)</f>
        <v>0</v>
      </c>
      <c r="AW388" s="38">
        <f>IF(Q388="○",IF(SUM(AW$10:AW387)-ROUNDDOWN($K388*AW$5/100,0)&lt;-AW$6,-AW$6-SUM(AW$10:AW387),-ROUNDDOWN($K388*AW$5/100,0)),0)</f>
        <v>0</v>
      </c>
      <c r="AX388" s="38">
        <f>IF(R388="○",IF(SUM(AX$10:AX387)-ROUNDDOWN($K388*AX$5/100,0)&lt;-AX$6,-AX$6-SUM(AX$10:AX387),-ROUNDDOWN($K388*AX$5/100,0)),0)</f>
        <v>0</v>
      </c>
      <c r="AY388" s="70">
        <v>0</v>
      </c>
      <c r="AZ388" s="65">
        <f t="shared" si="250"/>
        <v>0</v>
      </c>
      <c r="BA388" s="65">
        <f t="shared" si="251"/>
        <v>0</v>
      </c>
      <c r="BB388" s="70"/>
      <c r="BC388" s="65">
        <f t="shared" si="252"/>
        <v>0</v>
      </c>
      <c r="BD388" s="70">
        <v>0</v>
      </c>
      <c r="BE388" s="65">
        <f t="shared" si="253"/>
        <v>0</v>
      </c>
      <c r="BF388" s="70">
        <v>0</v>
      </c>
      <c r="BG388" s="65">
        <f t="shared" si="254"/>
        <v>0</v>
      </c>
      <c r="BH388" s="70">
        <v>0</v>
      </c>
      <c r="BI388" s="65">
        <f t="shared" si="255"/>
        <v>0</v>
      </c>
      <c r="BJ388" s="38">
        <f>IF(AND(BJ$7="○",$A388&gt;=BJ$8,$A388&lt;=BJ$9),IF(SUM(BJ$10:BJ387)-ROUNDDOWN($M388*BJ$5/100,0)&lt;-BJ$6,-BJ$6-SUM(BJ$10:BJ387),-ROUNDDOWN($M388*BJ$5/100,0)),0)</f>
        <v>0</v>
      </c>
      <c r="BK388" s="38">
        <f>IF(AND(BK$7="○",$A388&gt;=BK$8,$A388&lt;=BK$9),IF(SUM(BK$10:BK387)-ROUNDDOWN($L388*BK$5/100,0)&lt;-BK$6,-BK$6-SUM(BK$10:BK387),-ROUNDDOWN($L388*BK$5/100,0)),0)</f>
        <v>0</v>
      </c>
      <c r="BL388" s="38">
        <f>IF(AND(BL$7="○",$A388&gt;=BL$8,$A388&lt;=BL$9),IF(SUM(BL$10:BL387)-ROUNDDOWN($L388*BL$5/100,0)&lt;-BL$6,-BL$6-SUM(BL$10:BL387),-ROUNDDOWN($L388*BL$5/100,0)),0)</f>
        <v>0</v>
      </c>
      <c r="BM388" s="38">
        <f>IF(AND(BM$7="○",$A388&gt;=BM$8,$A388&lt;=BM$9),IF(SUM(BM$10:BM387)-ROUNDDOWN($M388*BM$5/100,0)&lt;-BM$6,-BM$6-SUM(BM$10:BM387),-ROUNDDOWN($M388*BM$5/100,0)),0)</f>
        <v>0</v>
      </c>
      <c r="BN388" s="38">
        <f>IF(AND(BN$7="○",$A388&gt;=BN$8,$A388&lt;=BN$9),IF(SUM(BN$10:BN387)-ROUNDDOWN($M388*BN$5/100,0)&lt;-BN$6,-BN$6-SUM(BN$10:BN387),-ROUNDDOWN($M388*BN$5/100,0)),0)</f>
        <v>0</v>
      </c>
      <c r="BO388" s="38">
        <f>IF(AND(BO$7="○",$A388&gt;=BO$8,$A388&lt;=BO$9),IF(SUM(BO$10:BO387)-ROUNDDOWN($M388*BO$5/100,0)&lt;-BO$6,-BO$6-SUM(BO$10:BO387),-ROUNDDOWN($M388*BO$5/100,0)),0)</f>
        <v>0</v>
      </c>
      <c r="BP388" s="38">
        <f>IF(AND(BP$7="○",$A388&gt;=BP$8,$A388&lt;=BP$9),IF(SUM(BP$10:BP387)-ROUNDDOWN($M388*BP$5/100,0)&lt;-BP$6,-BP$6-SUM(BP$10:BP387),-ROUNDDOWN($M388*BP$5/100,0)),0)</f>
        <v>0</v>
      </c>
      <c r="BQ388" s="38">
        <f>IF(AND(BQ$7="○",$A388&gt;=BQ$8,$A388&lt;=BQ$9),IF(SUM(BQ$10:BQ387)-ROUNDDOWN($L388*BQ$5/100,0)&lt;-BQ$6,-BQ$6-SUM(BQ$10:BQ387),-ROUNDDOWN($L388*BQ$5/100,0)),0)</f>
        <v>0</v>
      </c>
      <c r="BR388" s="38">
        <f>IF(AND(BR$7="○",$A388&gt;=BR$8,$A388&lt;=BR$9),IF(SUM(BR$10:BR387)-ROUNDDOWN($M388*BR$5/100,0)&lt;-BR$6,-BR$6-SUM(BR$10:BR387),-ROUNDDOWN($M388*BR$5/100,0)),0)</f>
        <v>0</v>
      </c>
      <c r="BS388" s="38">
        <f>IF(AND(BS$7="○",$A388&gt;=BS$8,$A388&lt;=BS$9),IF(SUM(BS$10:BS387)-ROUNDDOWN($M388*BS$5/100,0)&lt;-BS$6,-BS$6-SUM(BS$10:BS387),-ROUNDDOWN($M388*BS$5/100,0)),0)</f>
        <v>0</v>
      </c>
      <c r="BT388" s="38">
        <f>IF(AND(BT$7="○",$A388&gt;=BT$8,$A388&lt;=BT$9),IF(SUM(BT$10:BT387)-ROUNDDOWN($M388*BT$5/100,0)&lt;-BT$6,-BT$6-SUM(BT$10:BT387),-ROUNDDOWN($M388*BT$5/100,0)),0)</f>
        <v>0</v>
      </c>
      <c r="BU388" s="38">
        <f>IF(AND(BU$7="○",$A388&gt;=BU$8,$A388&lt;=BU$9),IF(SUM(BU$10:BU387)-ROUNDDOWN($M388*BU$5/100,0)&lt;-BU$6,-BU$6-SUM(BU$10:BU387),-ROUNDDOWN($M388*BU$5/100,0)),0)</f>
        <v>0</v>
      </c>
      <c r="BV388" s="38">
        <f>IF(AND(BV$7="○",$A388&gt;=BV$8,$A388&lt;=BV$9),IF(SUM(BV$10:BV387)-ROUNDDOWN($M388*BV$5/100,0)&lt;-BV$6,-BV$6-SUM(BV$10:BV387),-ROUNDDOWN($M388*BV$5/100,0)),0)</f>
        <v>0</v>
      </c>
      <c r="BW388" s="38">
        <f>IF(AND(BW$7="○",$A388&gt;=BW$8,$A388&lt;=BW$9),IF(SUM(BW$10:BW387)-ROUNDDOWN($M388*BW$5/100,0)&lt;-BW$6,-BW$6-SUM(BW$10:BW387),-ROUNDDOWN($M388*BW$5/100,0)),0)</f>
        <v>0</v>
      </c>
      <c r="BX388" s="38">
        <f>IF(AND(T388="○",$A388&gt;=BX$8,$A388&lt;=BX$9),IF(SUM(BX$10:BX387)-ROUNDDOWN($K388*BX$5/100,0)&lt;-BX$6,-BX$6-SUM(BX$10:BX387),-ROUNDDOWN($K388*BX$5/100,0)),0)</f>
        <v>0</v>
      </c>
      <c r="BY388" s="38">
        <f>IF(AND(U388="○",$A388&gt;=BY$8,$A388&lt;=BY$9),IF(SUM(BY$10:BY387)-ROUNDDOWN($K388*BY$5/100,0)&lt;-BY$6,-BY$6-SUM(BY$10:BY387),-ROUNDDOWN($K388*BY$5/100,0)),0)</f>
        <v>0</v>
      </c>
      <c r="BZ388" s="38">
        <f>IF(AND(V388="○",$A388&gt;=BZ$8,$A388&lt;=BZ$9),IF(SUM(BZ$10:BZ387)-ROUNDDOWN($K388*BZ$5/100,0)&lt;-BZ$6,-BZ$6-SUM(BZ$10:BZ387),-ROUNDDOWN($K388*BZ$5/100,0)),0)</f>
        <v>0</v>
      </c>
      <c r="CA388" s="38">
        <f>IF(AND(W388="○",$A388&gt;=CA$8,$A388&lt;=CA$9),IF(SUM(CA$10:CA387)-ROUNDDOWN($K388*CA$5/100,0)&lt;-CA$6,-CA$6-SUM(CA$10:CA387),-ROUNDDOWN($K388*CA$5/100,0)),0)</f>
        <v>0</v>
      </c>
      <c r="CB388" s="38"/>
      <c r="CC388" s="38"/>
      <c r="CD388" s="38"/>
      <c r="CE388" s="38"/>
      <c r="CF388" s="38"/>
      <c r="CG388" s="65">
        <f t="shared" si="256"/>
        <v>0</v>
      </c>
      <c r="CH388" s="71">
        <f t="shared" si="257"/>
        <v>0</v>
      </c>
      <c r="CI388" s="1">
        <f t="shared" si="276"/>
        <v>0</v>
      </c>
      <c r="CJ388" s="1"/>
      <c r="CK388" s="75"/>
      <c r="CL388" s="75"/>
      <c r="CM388" s="2"/>
      <c r="CN388" s="2"/>
      <c r="CO388" s="73">
        <f t="shared" si="277"/>
        <v>0</v>
      </c>
      <c r="CP388" s="5">
        <f t="shared" si="278"/>
        <v>0</v>
      </c>
      <c r="CQ388" s="1"/>
      <c r="CR388" s="1">
        <f t="shared" si="279"/>
        <v>0</v>
      </c>
      <c r="CS388" s="1"/>
      <c r="CT388" s="1" t="e">
        <f>INDEX([2]マスタ!$A:$A,MATCH(D388,[2]マスタ!$C:$C,0))</f>
        <v>#N/A</v>
      </c>
      <c r="CU388" s="1" t="str">
        <f t="shared" ca="1" si="280"/>
        <v>20260620_0-0</v>
      </c>
    </row>
    <row r="389" spans="1:99" x14ac:dyDescent="0.4">
      <c r="A389" s="61"/>
      <c r="B389" s="62"/>
      <c r="C389" s="62"/>
      <c r="D389" s="62"/>
      <c r="E389" s="74"/>
      <c r="F389" s="62"/>
      <c r="G389" s="62">
        <v>1</v>
      </c>
      <c r="H389" s="64">
        <f t="shared" si="267"/>
        <v>0</v>
      </c>
      <c r="I389" s="64"/>
      <c r="J389" s="64"/>
      <c r="K389" s="65">
        <f t="shared" si="281"/>
        <v>0</v>
      </c>
      <c r="L389" s="65">
        <f t="shared" si="269"/>
        <v>0</v>
      </c>
      <c r="M389" s="65">
        <f t="shared" si="270"/>
        <v>0</v>
      </c>
      <c r="N389" s="65">
        <f t="shared" si="271"/>
        <v>0</v>
      </c>
      <c r="O389" s="66" t="str">
        <f t="shared" si="272"/>
        <v>✕</v>
      </c>
      <c r="P389" s="67" t="str">
        <f t="shared" si="273"/>
        <v>○</v>
      </c>
      <c r="Q389" s="67" t="str">
        <f t="shared" si="282"/>
        <v>✕</v>
      </c>
      <c r="R389" s="67" t="str">
        <f t="shared" si="275"/>
        <v>✕</v>
      </c>
      <c r="S389" s="68">
        <v>0</v>
      </c>
      <c r="T389" s="69" t="s">
        <v>85</v>
      </c>
      <c r="U389" s="69" t="s">
        <v>85</v>
      </c>
      <c r="V389" s="69" t="s">
        <v>85</v>
      </c>
      <c r="W389" s="69" t="s">
        <v>85</v>
      </c>
      <c r="X389" s="69" t="s">
        <v>84</v>
      </c>
      <c r="Y389" s="69" t="s">
        <v>85</v>
      </c>
      <c r="Z389" s="69" t="s">
        <v>85</v>
      </c>
      <c r="AA389" s="69" t="s">
        <v>85</v>
      </c>
      <c r="AB389" s="69" t="s">
        <v>85</v>
      </c>
      <c r="AC389" s="69" t="s">
        <v>85</v>
      </c>
      <c r="AD389" s="38" t="str">
        <f>+IF(ISERROR(VLOOKUP($B389,AD$10:AD388,1,0)),IF(AND($N389&gt;=1000,$A389&gt;=AO$8,$A389&lt;=AO$9),$B389,""),"")</f>
        <v/>
      </c>
      <c r="AE389" s="38" t="str">
        <f>+IF(ISERROR(VLOOKUP($B389,AE$10:AE388,1,0)),IF(AND($N389&gt;=1000,$A389&gt;=AP$8,$A389&lt;=AP$9),$B389,""),"")</f>
        <v/>
      </c>
      <c r="AF389" s="38" t="str">
        <f>+IF(ISERROR(VLOOKUP($B389,AF$10:AF388,1,0)),IF(AND($N389&gt;=1000,$A389&gt;=AQ$8,$A389&lt;=AQ$9),$B389,""),"")</f>
        <v/>
      </c>
      <c r="AG389" s="38" t="str">
        <f>+IF(ISERROR(VLOOKUP($B389,AG$10:AG388,1,0)),IF(AND($N389&gt;=1000,$A389&gt;=AR$8,$A389&lt;=AR$9),$B389,""),"")</f>
        <v/>
      </c>
      <c r="AH389" s="38"/>
      <c r="AI389" s="70">
        <v>0</v>
      </c>
      <c r="AJ389" s="38">
        <f>IF(AND(AJ$7="○",$A389&gt;=AJ$8,$A389&lt;=AJ$9),IF(SUM(AJ$10:AJ388)-ROUNDDOWN($K389*AJ$5/100,0)&lt;-AJ$6,-AJ$6-SUM(AJ$10:AJ388),-ROUNDDOWN($K389*AJ$5/100,0)),0)</f>
        <v>0</v>
      </c>
      <c r="AK389" s="38">
        <f>IF(AND(AK$7="○",$A389&gt;=AK$8,$A389&lt;=AK$9),IF(SUM(AK$10:AK388)-ROUNDDOWN($L389*AK$5/100,0)&lt;-AK$6,-AK$6-SUM(AK$10:AK388),-ROUNDDOWN($L389*AK$5/100,0)),0)</f>
        <v>0</v>
      </c>
      <c r="AL389" s="38">
        <f>IF(AND(AL$7="○",$A389&gt;=AL$8,$A389&lt;=AL$9),IF(SUM(AL$10:AL388)-ROUNDDOWN($N389*AL$5/100,0)&lt;-AL$6,-AL$6-SUM(AL$10:AL388),-ROUNDDOWN($N389*AL$5/100,0)),0)</f>
        <v>0</v>
      </c>
      <c r="AM389" s="38">
        <f>IF(AND(AM$7="○",$A389&gt;=AM$8,$A389&lt;=AM$9),IF(SUM(AM$10:AM388)-ROUNDDOWN($L389*AM$5/100,0)&lt;-AM$6,-AM$6-SUM(AM$10:AM388),-ROUNDDOWN($L389*AM$5/100,0)),0)</f>
        <v>0</v>
      </c>
      <c r="AN389" s="38">
        <f>IF(AND(AN$7="○",$A389&gt;=AN$8,$A389&lt;=AN$9),IF(SUM(AN$10:AN388)-ROUNDDOWN($M389*AN$5/100,0)&lt;-AN$6,-AN$6-SUM(AN$10:AN388),-ROUNDDOWN($M389*AN$5/100,0)),0)</f>
        <v>0</v>
      </c>
      <c r="AO389" s="38">
        <f>IF(AND($A389&gt;=AO$8,$A389&lt;=AO$9),IF(SUM(AO$10:AO388)-ROUNDDOWN($K389*AO$5/100,0)&lt;-AO$6,-AO$6-SUM(AO$10:AO388),-ROUNDDOWN($K389*AO$5/100,0)),0)</f>
        <v>0</v>
      </c>
      <c r="AP389" s="38">
        <f>IF(AND($A389&gt;=AP$8,$A389&lt;=AP$9),IF(SUM(AP$10:AP388)-ROUNDDOWN($K389*AP$5/100,0)&lt;-AP$6,-AP$6-SUM(AP$10:AP388),-ROUNDDOWN($K389*AP$5/100,0)),0)</f>
        <v>0</v>
      </c>
      <c r="AQ389" s="38">
        <f>IF(AND($A389&gt;=AQ$8,$A389&lt;=AQ$9),IF(SUM(AQ$10:AQ388)-ROUNDDOWN($K389*AQ$5/100,0)&lt;-AQ$6,-AQ$6-SUM(AQ$10:AQ388),-ROUNDDOWN($K389*AQ$5/100,0)),0)</f>
        <v>0</v>
      </c>
      <c r="AR389" s="38">
        <f>IF(AND($A389&gt;=AR$8,$A389&lt;=AR$9),IF(SUM(AR$10:AR388)-ROUNDDOWN($K389*AR$5/100,0)&lt;-AR$6,-AR$6-SUM(AR$10:AR388),-ROUNDDOWN($K389*AR$5/100,0)),0)</f>
        <v>0</v>
      </c>
      <c r="AS389" s="38">
        <f>IF(SUMIFS(AS$10:AS388,$A$10:$A388,$A389)-ROUNDDOWN($K389*$S389/100,0)&lt;-$S389*1000,-$S389*1000-SUMIFS(AS$10:AS388,$A$10:$A388,$A389),-ROUNDDOWN($K389*$S389/100,0))</f>
        <v>0</v>
      </c>
      <c r="AT389" s="38">
        <f>IF(AND(X389="○",$A389&gt;=AT$8,$A389&lt;=AT$9,K389&gt;=3980),IF(SUM(AT$10:AT388)-ROUNDDOWN($K389*AT$5/100,0)&lt;-AT$6,-AT$6-SUM(AT$10:AT388),-ROUNDDOWN($K389*AT$5/100,0)),0)</f>
        <v>0</v>
      </c>
      <c r="AU389" s="38">
        <f>IF(O389="○",IF(SUM(AU$10:AU388)-ROUNDDOWN($K389*AU$5/100,0)&lt;-AU$6,-AU$6-SUM(AU$10:AU388),-ROUNDDOWN($K389*AU$5/100,0)),0)</f>
        <v>0</v>
      </c>
      <c r="AV389" s="38">
        <f>IF(P389="○",IF(SUM(AV$10:AV388)-ROUNDDOWN($K389*AV$5/100,0)&lt;-AV$6,-AV$6-SUM(AV$10:AV388),-ROUNDDOWN($K389*AV$5/100,0)),0)</f>
        <v>0</v>
      </c>
      <c r="AW389" s="38">
        <f>IF(Q389="○",IF(SUM(AW$10:AW388)-ROUNDDOWN($K389*AW$5/100,0)&lt;-AW$6,-AW$6-SUM(AW$10:AW388),-ROUNDDOWN($K389*AW$5/100,0)),0)</f>
        <v>0</v>
      </c>
      <c r="AX389" s="38">
        <f>IF(R389="○",IF(SUM(AX$10:AX388)-ROUNDDOWN($K389*AX$5/100,0)&lt;-AX$6,-AX$6-SUM(AX$10:AX388),-ROUNDDOWN($K389*AX$5/100,0)),0)</f>
        <v>0</v>
      </c>
      <c r="AY389" s="70">
        <v>0</v>
      </c>
      <c r="AZ389" s="65">
        <f t="shared" si="250"/>
        <v>0</v>
      </c>
      <c r="BA389" s="65">
        <f t="shared" si="251"/>
        <v>0</v>
      </c>
      <c r="BB389" s="70"/>
      <c r="BC389" s="65">
        <f t="shared" si="252"/>
        <v>0</v>
      </c>
      <c r="BD389" s="70">
        <v>0</v>
      </c>
      <c r="BE389" s="65">
        <f t="shared" si="253"/>
        <v>0</v>
      </c>
      <c r="BF389" s="70">
        <v>0</v>
      </c>
      <c r="BG389" s="65">
        <f t="shared" si="254"/>
        <v>0</v>
      </c>
      <c r="BH389" s="70">
        <v>0</v>
      </c>
      <c r="BI389" s="65">
        <f t="shared" si="255"/>
        <v>0</v>
      </c>
      <c r="BJ389" s="38">
        <f>IF(AND(BJ$7="○",$A389&gt;=BJ$8,$A389&lt;=BJ$9),IF(SUM(BJ$10:BJ388)-ROUNDDOWN($M389*BJ$5/100,0)&lt;-BJ$6,-BJ$6-SUM(BJ$10:BJ388),-ROUNDDOWN($M389*BJ$5/100,0)),0)</f>
        <v>0</v>
      </c>
      <c r="BK389" s="38">
        <f>IF(AND(BK$7="○",$A389&gt;=BK$8,$A389&lt;=BK$9),IF(SUM(BK$10:BK388)-ROUNDDOWN($L389*BK$5/100,0)&lt;-BK$6,-BK$6-SUM(BK$10:BK388),-ROUNDDOWN($L389*BK$5/100,0)),0)</f>
        <v>0</v>
      </c>
      <c r="BL389" s="38">
        <f>IF(AND(BL$7="○",$A389&gt;=BL$8,$A389&lt;=BL$9),IF(SUM(BL$10:BL388)-ROUNDDOWN($L389*BL$5/100,0)&lt;-BL$6,-BL$6-SUM(BL$10:BL388),-ROUNDDOWN($L389*BL$5/100,0)),0)</f>
        <v>0</v>
      </c>
      <c r="BM389" s="38">
        <f>IF(AND(BM$7="○",$A389&gt;=BM$8,$A389&lt;=BM$9),IF(SUM(BM$10:BM388)-ROUNDDOWN($M389*BM$5/100,0)&lt;-BM$6,-BM$6-SUM(BM$10:BM388),-ROUNDDOWN($M389*BM$5/100,0)),0)</f>
        <v>0</v>
      </c>
      <c r="BN389" s="38">
        <f>IF(AND(BN$7="○",$A389&gt;=BN$8,$A389&lt;=BN$9),IF(SUM(BN$10:BN388)-ROUNDDOWN($M389*BN$5/100,0)&lt;-BN$6,-BN$6-SUM(BN$10:BN388),-ROUNDDOWN($M389*BN$5/100,0)),0)</f>
        <v>0</v>
      </c>
      <c r="BO389" s="38">
        <f>IF(AND(BO$7="○",$A389&gt;=BO$8,$A389&lt;=BO$9),IF(SUM(BO$10:BO388)-ROUNDDOWN($M389*BO$5/100,0)&lt;-BO$6,-BO$6-SUM(BO$10:BO388),-ROUNDDOWN($M389*BO$5/100,0)),0)</f>
        <v>0</v>
      </c>
      <c r="BP389" s="38">
        <f>IF(AND(BP$7="○",$A389&gt;=BP$8,$A389&lt;=BP$9),IF(SUM(BP$10:BP388)-ROUNDDOWN($M389*BP$5/100,0)&lt;-BP$6,-BP$6-SUM(BP$10:BP388),-ROUNDDOWN($M389*BP$5/100,0)),0)</f>
        <v>0</v>
      </c>
      <c r="BQ389" s="38">
        <f>IF(AND(BQ$7="○",$A389&gt;=BQ$8,$A389&lt;=BQ$9),IF(SUM(BQ$10:BQ388)-ROUNDDOWN($L389*BQ$5/100,0)&lt;-BQ$6,-BQ$6-SUM(BQ$10:BQ388),-ROUNDDOWN($L389*BQ$5/100,0)),0)</f>
        <v>0</v>
      </c>
      <c r="BR389" s="38">
        <f>IF(AND(BR$7="○",$A389&gt;=BR$8,$A389&lt;=BR$9),IF(SUM(BR$10:BR388)-ROUNDDOWN($M389*BR$5/100,0)&lt;-BR$6,-BR$6-SUM(BR$10:BR388),-ROUNDDOWN($M389*BR$5/100,0)),0)</f>
        <v>0</v>
      </c>
      <c r="BS389" s="38">
        <f>IF(AND(BS$7="○",$A389&gt;=BS$8,$A389&lt;=BS$9),IF(SUM(BS$10:BS388)-ROUNDDOWN($M389*BS$5/100,0)&lt;-BS$6,-BS$6-SUM(BS$10:BS388),-ROUNDDOWN($M389*BS$5/100,0)),0)</f>
        <v>0</v>
      </c>
      <c r="BT389" s="38">
        <f>IF(AND(BT$7="○",$A389&gt;=BT$8,$A389&lt;=BT$9),IF(SUM(BT$10:BT388)-ROUNDDOWN($M389*BT$5/100,0)&lt;-BT$6,-BT$6-SUM(BT$10:BT388),-ROUNDDOWN($M389*BT$5/100,0)),0)</f>
        <v>0</v>
      </c>
      <c r="BU389" s="38">
        <f>IF(AND(BU$7="○",$A389&gt;=BU$8,$A389&lt;=BU$9),IF(SUM(BU$10:BU388)-ROUNDDOWN($M389*BU$5/100,0)&lt;-BU$6,-BU$6-SUM(BU$10:BU388),-ROUNDDOWN($M389*BU$5/100,0)),0)</f>
        <v>0</v>
      </c>
      <c r="BV389" s="38">
        <f>IF(AND(BV$7="○",$A389&gt;=BV$8,$A389&lt;=BV$9),IF(SUM(BV$10:BV388)-ROUNDDOWN($M389*BV$5/100,0)&lt;-BV$6,-BV$6-SUM(BV$10:BV388),-ROUNDDOWN($M389*BV$5/100,0)),0)</f>
        <v>0</v>
      </c>
      <c r="BW389" s="38">
        <f>IF(AND(BW$7="○",$A389&gt;=BW$8,$A389&lt;=BW$9),IF(SUM(BW$10:BW388)-ROUNDDOWN($M389*BW$5/100,0)&lt;-BW$6,-BW$6-SUM(BW$10:BW388),-ROUNDDOWN($M389*BW$5/100,0)),0)</f>
        <v>0</v>
      </c>
      <c r="BX389" s="38">
        <f>IF(AND(T389="○",$A389&gt;=BX$8,$A389&lt;=BX$9),IF(SUM(BX$10:BX388)-ROUNDDOWN($K389*BX$5/100,0)&lt;-BX$6,-BX$6-SUM(BX$10:BX388),-ROUNDDOWN($K389*BX$5/100,0)),0)</f>
        <v>0</v>
      </c>
      <c r="BY389" s="38">
        <f>IF(AND(U389="○",$A389&gt;=BY$8,$A389&lt;=BY$9),IF(SUM(BY$10:BY388)-ROUNDDOWN($K389*BY$5/100,0)&lt;-BY$6,-BY$6-SUM(BY$10:BY388),-ROUNDDOWN($K389*BY$5/100,0)),0)</f>
        <v>0</v>
      </c>
      <c r="BZ389" s="38">
        <f>IF(AND(V389="○",$A389&gt;=BZ$8,$A389&lt;=BZ$9),IF(SUM(BZ$10:BZ388)-ROUNDDOWN($K389*BZ$5/100,0)&lt;-BZ$6,-BZ$6-SUM(BZ$10:BZ388),-ROUNDDOWN($K389*BZ$5/100,0)),0)</f>
        <v>0</v>
      </c>
      <c r="CA389" s="38">
        <f>IF(AND(W389="○",$A389&gt;=CA$8,$A389&lt;=CA$9),IF(SUM(CA$10:CA388)-ROUNDDOWN($K389*CA$5/100,0)&lt;-CA$6,-CA$6-SUM(CA$10:CA388),-ROUNDDOWN($K389*CA$5/100,0)),0)</f>
        <v>0</v>
      </c>
      <c r="CB389" s="38"/>
      <c r="CC389" s="38"/>
      <c r="CD389" s="38"/>
      <c r="CE389" s="38"/>
      <c r="CF389" s="38"/>
      <c r="CG389" s="65">
        <f t="shared" si="256"/>
        <v>0</v>
      </c>
      <c r="CH389" s="71">
        <f t="shared" si="257"/>
        <v>0</v>
      </c>
      <c r="CI389" s="1">
        <f t="shared" si="276"/>
        <v>0</v>
      </c>
      <c r="CJ389" s="1"/>
      <c r="CK389" s="75"/>
      <c r="CL389" s="75"/>
      <c r="CM389" s="2"/>
      <c r="CN389" s="2"/>
      <c r="CO389" s="73">
        <f t="shared" si="277"/>
        <v>0</v>
      </c>
      <c r="CP389" s="5">
        <f t="shared" si="278"/>
        <v>0</v>
      </c>
      <c r="CQ389" s="1"/>
      <c r="CR389" s="1">
        <f t="shared" si="279"/>
        <v>0</v>
      </c>
      <c r="CS389" s="1"/>
      <c r="CT389" s="1" t="e">
        <f>INDEX([2]マスタ!$A:$A,MATCH(D389,[2]マスタ!$C:$C,0))</f>
        <v>#N/A</v>
      </c>
      <c r="CU389" s="1" t="str">
        <f t="shared" ca="1" si="280"/>
        <v>20260620_0-0</v>
      </c>
    </row>
    <row r="390" spans="1:99" x14ac:dyDescent="0.4">
      <c r="A390" s="61"/>
      <c r="B390" s="62"/>
      <c r="C390" s="62"/>
      <c r="D390" s="62"/>
      <c r="E390" s="74"/>
      <c r="F390" s="62"/>
      <c r="G390" s="62">
        <v>1</v>
      </c>
      <c r="H390" s="64">
        <f t="shared" si="267"/>
        <v>0</v>
      </c>
      <c r="I390" s="64"/>
      <c r="J390" s="64"/>
      <c r="K390" s="65">
        <f t="shared" si="281"/>
        <v>0</v>
      </c>
      <c r="L390" s="65">
        <f t="shared" si="269"/>
        <v>0</v>
      </c>
      <c r="M390" s="65">
        <f t="shared" si="270"/>
        <v>0</v>
      </c>
      <c r="N390" s="65">
        <f t="shared" si="271"/>
        <v>0</v>
      </c>
      <c r="O390" s="66" t="str">
        <f t="shared" si="272"/>
        <v>✕</v>
      </c>
      <c r="P390" s="67" t="str">
        <f t="shared" si="273"/>
        <v>○</v>
      </c>
      <c r="Q390" s="67" t="str">
        <f t="shared" si="282"/>
        <v>✕</v>
      </c>
      <c r="R390" s="67" t="str">
        <f t="shared" si="275"/>
        <v>✕</v>
      </c>
      <c r="S390" s="68">
        <v>0</v>
      </c>
      <c r="T390" s="69" t="s">
        <v>85</v>
      </c>
      <c r="U390" s="69" t="s">
        <v>85</v>
      </c>
      <c r="V390" s="69" t="s">
        <v>85</v>
      </c>
      <c r="W390" s="69" t="s">
        <v>85</v>
      </c>
      <c r="X390" s="69" t="s">
        <v>84</v>
      </c>
      <c r="Y390" s="69" t="s">
        <v>85</v>
      </c>
      <c r="Z390" s="69" t="s">
        <v>85</v>
      </c>
      <c r="AA390" s="69" t="s">
        <v>85</v>
      </c>
      <c r="AB390" s="69" t="s">
        <v>85</v>
      </c>
      <c r="AC390" s="69" t="s">
        <v>85</v>
      </c>
      <c r="AD390" s="38" t="str">
        <f>+IF(ISERROR(VLOOKUP($B390,AD$10:AD389,1,0)),IF(AND($N390&gt;=1000,$A390&gt;=AO$8,$A390&lt;=AO$9),$B390,""),"")</f>
        <v/>
      </c>
      <c r="AE390" s="38" t="str">
        <f>+IF(ISERROR(VLOOKUP($B390,AE$10:AE389,1,0)),IF(AND($N390&gt;=1000,$A390&gt;=AP$8,$A390&lt;=AP$9),$B390,""),"")</f>
        <v/>
      </c>
      <c r="AF390" s="38" t="str">
        <f>+IF(ISERROR(VLOOKUP($B390,AF$10:AF389,1,0)),IF(AND($N390&gt;=1000,$A390&gt;=AQ$8,$A390&lt;=AQ$9),$B390,""),"")</f>
        <v/>
      </c>
      <c r="AG390" s="38" t="str">
        <f>+IF(ISERROR(VLOOKUP($B390,AG$10:AG389,1,0)),IF(AND($N390&gt;=1000,$A390&gt;=AR$8,$A390&lt;=AR$9),$B390,""),"")</f>
        <v/>
      </c>
      <c r="AH390" s="38"/>
      <c r="AI390" s="70">
        <v>0</v>
      </c>
      <c r="AJ390" s="38">
        <f>IF(AND(AJ$7="○",$A390&gt;=AJ$8,$A390&lt;=AJ$9),IF(SUM(AJ$10:AJ389)-ROUNDDOWN($K390*AJ$5/100,0)&lt;-AJ$6,-AJ$6-SUM(AJ$10:AJ389),-ROUNDDOWN($K390*AJ$5/100,0)),0)</f>
        <v>0</v>
      </c>
      <c r="AK390" s="38">
        <f>IF(AND(AK$7="○",$A390&gt;=AK$8,$A390&lt;=AK$9),IF(SUM(AK$10:AK389)-ROUNDDOWN($L390*AK$5/100,0)&lt;-AK$6,-AK$6-SUM(AK$10:AK389),-ROUNDDOWN($L390*AK$5/100,0)),0)</f>
        <v>0</v>
      </c>
      <c r="AL390" s="38">
        <f>IF(AND(AL$7="○",$A390&gt;=AL$8,$A390&lt;=AL$9),IF(SUM(AL$10:AL389)-ROUNDDOWN($N390*AL$5/100,0)&lt;-AL$6,-AL$6-SUM(AL$10:AL389),-ROUNDDOWN($N390*AL$5/100,0)),0)</f>
        <v>0</v>
      </c>
      <c r="AM390" s="38">
        <f>IF(AND(AM$7="○",$A390&gt;=AM$8,$A390&lt;=AM$9),IF(SUM(AM$10:AM389)-ROUNDDOWN($L390*AM$5/100,0)&lt;-AM$6,-AM$6-SUM(AM$10:AM389),-ROUNDDOWN($L390*AM$5/100,0)),0)</f>
        <v>0</v>
      </c>
      <c r="AN390" s="38">
        <f>IF(AND(AN$7="○",$A390&gt;=AN$8,$A390&lt;=AN$9),IF(SUM(AN$10:AN389)-ROUNDDOWN($M390*AN$5/100,0)&lt;-AN$6,-AN$6-SUM(AN$10:AN389),-ROUNDDOWN($M390*AN$5/100,0)),0)</f>
        <v>0</v>
      </c>
      <c r="AO390" s="38">
        <f>IF(AND($A390&gt;=AO$8,$A390&lt;=AO$9),IF(SUM(AO$10:AO389)-ROUNDDOWN($K390*AO$5/100,0)&lt;-AO$6,-AO$6-SUM(AO$10:AO389),-ROUNDDOWN($K390*AO$5/100,0)),0)</f>
        <v>0</v>
      </c>
      <c r="AP390" s="38">
        <f>IF(AND($A390&gt;=AP$8,$A390&lt;=AP$9),IF(SUM(AP$10:AP389)-ROUNDDOWN($K390*AP$5/100,0)&lt;-AP$6,-AP$6-SUM(AP$10:AP389),-ROUNDDOWN($K390*AP$5/100,0)),0)</f>
        <v>0</v>
      </c>
      <c r="AQ390" s="38">
        <f>IF(AND($A390&gt;=AQ$8,$A390&lt;=AQ$9),IF(SUM(AQ$10:AQ389)-ROUNDDOWN($K390*AQ$5/100,0)&lt;-AQ$6,-AQ$6-SUM(AQ$10:AQ389),-ROUNDDOWN($K390*AQ$5/100,0)),0)</f>
        <v>0</v>
      </c>
      <c r="AR390" s="38">
        <f>IF(AND($A390&gt;=AR$8,$A390&lt;=AR$9),IF(SUM(AR$10:AR389)-ROUNDDOWN($K390*AR$5/100,0)&lt;-AR$6,-AR$6-SUM(AR$10:AR389),-ROUNDDOWN($K390*AR$5/100,0)),0)</f>
        <v>0</v>
      </c>
      <c r="AS390" s="38">
        <f>IF(SUMIFS(AS$10:AS389,$A$10:$A389,$A390)-ROUNDDOWN($K390*$S390/100,0)&lt;-$S390*1000,-$S390*1000-SUMIFS(AS$10:AS389,$A$10:$A389,$A390),-ROUNDDOWN($K390*$S390/100,0))</f>
        <v>0</v>
      </c>
      <c r="AT390" s="38">
        <f>IF(AND(X390="○",$A390&gt;=AT$8,$A390&lt;=AT$9,K390&gt;=3980),IF(SUM(AT$10:AT389)-ROUNDDOWN($K390*AT$5/100,0)&lt;-AT$6,-AT$6-SUM(AT$10:AT389),-ROUNDDOWN($K390*AT$5/100,0)),0)</f>
        <v>0</v>
      </c>
      <c r="AU390" s="38">
        <f>IF(O390="○",IF(SUM(AU$10:AU389)-ROUNDDOWN($K390*AU$5/100,0)&lt;-AU$6,-AU$6-SUM(AU$10:AU389),-ROUNDDOWN($K390*AU$5/100,0)),0)</f>
        <v>0</v>
      </c>
      <c r="AV390" s="38">
        <f>IF(P390="○",IF(SUM(AV$10:AV389)-ROUNDDOWN($K390*AV$5/100,0)&lt;-AV$6,-AV$6-SUM(AV$10:AV389),-ROUNDDOWN($K390*AV$5/100,0)),0)</f>
        <v>0</v>
      </c>
      <c r="AW390" s="38">
        <f>IF(Q390="○",IF(SUM(AW$10:AW389)-ROUNDDOWN($K390*AW$5/100,0)&lt;-AW$6,-AW$6-SUM(AW$10:AW389),-ROUNDDOWN($K390*AW$5/100,0)),0)</f>
        <v>0</v>
      </c>
      <c r="AX390" s="38">
        <f>IF(R390="○",IF(SUM(AX$10:AX389)-ROUNDDOWN($K390*AX$5/100,0)&lt;-AX$6,-AX$6-SUM(AX$10:AX389),-ROUNDDOWN($K390*AX$5/100,0)),0)</f>
        <v>0</v>
      </c>
      <c r="AY390" s="70">
        <v>0</v>
      </c>
      <c r="AZ390" s="65">
        <f t="shared" si="250"/>
        <v>0</v>
      </c>
      <c r="BA390" s="65">
        <f t="shared" si="251"/>
        <v>0</v>
      </c>
      <c r="BB390" s="70"/>
      <c r="BC390" s="65">
        <f t="shared" si="252"/>
        <v>0</v>
      </c>
      <c r="BD390" s="70">
        <v>0</v>
      </c>
      <c r="BE390" s="65">
        <f t="shared" si="253"/>
        <v>0</v>
      </c>
      <c r="BF390" s="70">
        <v>0</v>
      </c>
      <c r="BG390" s="65">
        <f t="shared" si="254"/>
        <v>0</v>
      </c>
      <c r="BH390" s="70">
        <v>0</v>
      </c>
      <c r="BI390" s="65">
        <f t="shared" si="255"/>
        <v>0</v>
      </c>
      <c r="BJ390" s="38">
        <f>IF(AND(BJ$7="○",$A390&gt;=BJ$8,$A390&lt;=BJ$9),IF(SUM(BJ$10:BJ389)-ROUNDDOWN($M390*BJ$5/100,0)&lt;-BJ$6,-BJ$6-SUM(BJ$10:BJ389),-ROUNDDOWN($M390*BJ$5/100,0)),0)</f>
        <v>0</v>
      </c>
      <c r="BK390" s="38">
        <f>IF(AND(BK$7="○",$A390&gt;=BK$8,$A390&lt;=BK$9),IF(SUM(BK$10:BK389)-ROUNDDOWN($L390*BK$5/100,0)&lt;-BK$6,-BK$6-SUM(BK$10:BK389),-ROUNDDOWN($L390*BK$5/100,0)),0)</f>
        <v>0</v>
      </c>
      <c r="BL390" s="38">
        <f>IF(AND(BL$7="○",$A390&gt;=BL$8,$A390&lt;=BL$9),IF(SUM(BL$10:BL389)-ROUNDDOWN($L390*BL$5/100,0)&lt;-BL$6,-BL$6-SUM(BL$10:BL389),-ROUNDDOWN($L390*BL$5/100,0)),0)</f>
        <v>0</v>
      </c>
      <c r="BM390" s="38">
        <f>IF(AND(BM$7="○",$A390&gt;=BM$8,$A390&lt;=BM$9),IF(SUM(BM$10:BM389)-ROUNDDOWN($M390*BM$5/100,0)&lt;-BM$6,-BM$6-SUM(BM$10:BM389),-ROUNDDOWN($M390*BM$5/100,0)),0)</f>
        <v>0</v>
      </c>
      <c r="BN390" s="38">
        <f>IF(AND(BN$7="○",$A390&gt;=BN$8,$A390&lt;=BN$9),IF(SUM(BN$10:BN389)-ROUNDDOWN($M390*BN$5/100,0)&lt;-BN$6,-BN$6-SUM(BN$10:BN389),-ROUNDDOWN($M390*BN$5/100,0)),0)</f>
        <v>0</v>
      </c>
      <c r="BO390" s="38">
        <f>IF(AND(BO$7="○",$A390&gt;=BO$8,$A390&lt;=BO$9),IF(SUM(BO$10:BO389)-ROUNDDOWN($M390*BO$5/100,0)&lt;-BO$6,-BO$6-SUM(BO$10:BO389),-ROUNDDOWN($M390*BO$5/100,0)),0)</f>
        <v>0</v>
      </c>
      <c r="BP390" s="38">
        <f>IF(AND(BP$7="○",$A390&gt;=BP$8,$A390&lt;=BP$9),IF(SUM(BP$10:BP389)-ROUNDDOWN($M390*BP$5/100,0)&lt;-BP$6,-BP$6-SUM(BP$10:BP389),-ROUNDDOWN($M390*BP$5/100,0)),0)</f>
        <v>0</v>
      </c>
      <c r="BQ390" s="38">
        <f>IF(AND(BQ$7="○",$A390&gt;=BQ$8,$A390&lt;=BQ$9),IF(SUM(BQ$10:BQ389)-ROUNDDOWN($L390*BQ$5/100,0)&lt;-BQ$6,-BQ$6-SUM(BQ$10:BQ389),-ROUNDDOWN($L390*BQ$5/100,0)),0)</f>
        <v>0</v>
      </c>
      <c r="BR390" s="38">
        <f>IF(AND(BR$7="○",$A390&gt;=BR$8,$A390&lt;=BR$9),IF(SUM(BR$10:BR389)-ROUNDDOWN($M390*BR$5/100,0)&lt;-BR$6,-BR$6-SUM(BR$10:BR389),-ROUNDDOWN($M390*BR$5/100,0)),0)</f>
        <v>0</v>
      </c>
      <c r="BS390" s="38">
        <f>IF(AND(BS$7="○",$A390&gt;=BS$8,$A390&lt;=BS$9),IF(SUM(BS$10:BS389)-ROUNDDOWN($M390*BS$5/100,0)&lt;-BS$6,-BS$6-SUM(BS$10:BS389),-ROUNDDOWN($M390*BS$5/100,0)),0)</f>
        <v>0</v>
      </c>
      <c r="BT390" s="38">
        <f>IF(AND(BT$7="○",$A390&gt;=BT$8,$A390&lt;=BT$9),IF(SUM(BT$10:BT389)-ROUNDDOWN($M390*BT$5/100,0)&lt;-BT$6,-BT$6-SUM(BT$10:BT389),-ROUNDDOWN($M390*BT$5/100,0)),0)</f>
        <v>0</v>
      </c>
      <c r="BU390" s="38">
        <f>IF(AND(BU$7="○",$A390&gt;=BU$8,$A390&lt;=BU$9),IF(SUM(BU$10:BU389)-ROUNDDOWN($M390*BU$5/100,0)&lt;-BU$6,-BU$6-SUM(BU$10:BU389),-ROUNDDOWN($M390*BU$5/100,0)),0)</f>
        <v>0</v>
      </c>
      <c r="BV390" s="38">
        <f>IF(AND(BV$7="○",$A390&gt;=BV$8,$A390&lt;=BV$9),IF(SUM(BV$10:BV389)-ROUNDDOWN($M390*BV$5/100,0)&lt;-BV$6,-BV$6-SUM(BV$10:BV389),-ROUNDDOWN($M390*BV$5/100,0)),0)</f>
        <v>0</v>
      </c>
      <c r="BW390" s="38">
        <f>IF(AND(BW$7="○",$A390&gt;=BW$8,$A390&lt;=BW$9),IF(SUM(BW$10:BW389)-ROUNDDOWN($M390*BW$5/100,0)&lt;-BW$6,-BW$6-SUM(BW$10:BW389),-ROUNDDOWN($M390*BW$5/100,0)),0)</f>
        <v>0</v>
      </c>
      <c r="BX390" s="38">
        <f>IF(AND(T390="○",$A390&gt;=BX$8,$A390&lt;=BX$9),IF(SUM(BX$10:BX389)-ROUNDDOWN($K390*BX$5/100,0)&lt;-BX$6,-BX$6-SUM(BX$10:BX389),-ROUNDDOWN($K390*BX$5/100,0)),0)</f>
        <v>0</v>
      </c>
      <c r="BY390" s="38">
        <f>IF(AND(U390="○",$A390&gt;=BY$8,$A390&lt;=BY$9),IF(SUM(BY$10:BY389)-ROUNDDOWN($K390*BY$5/100,0)&lt;-BY$6,-BY$6-SUM(BY$10:BY389),-ROUNDDOWN($K390*BY$5/100,0)),0)</f>
        <v>0</v>
      </c>
      <c r="BZ390" s="38">
        <f>IF(AND(V390="○",$A390&gt;=BZ$8,$A390&lt;=BZ$9),IF(SUM(BZ$10:BZ389)-ROUNDDOWN($K390*BZ$5/100,0)&lt;-BZ$6,-BZ$6-SUM(BZ$10:BZ389),-ROUNDDOWN($K390*BZ$5/100,0)),0)</f>
        <v>0</v>
      </c>
      <c r="CA390" s="38">
        <f>IF(AND(W390="○",$A390&gt;=CA$8,$A390&lt;=CA$9),IF(SUM(CA$10:CA389)-ROUNDDOWN($K390*CA$5/100,0)&lt;-CA$6,-CA$6-SUM(CA$10:CA389),-ROUNDDOWN($K390*CA$5/100,0)),0)</f>
        <v>0</v>
      </c>
      <c r="CB390" s="38"/>
      <c r="CC390" s="38"/>
      <c r="CD390" s="38"/>
      <c r="CE390" s="38"/>
      <c r="CF390" s="38"/>
      <c r="CG390" s="65">
        <f t="shared" si="256"/>
        <v>0</v>
      </c>
      <c r="CH390" s="71">
        <f t="shared" si="257"/>
        <v>0</v>
      </c>
      <c r="CI390" s="1">
        <f t="shared" si="276"/>
        <v>0</v>
      </c>
      <c r="CJ390" s="1"/>
      <c r="CK390" s="75"/>
      <c r="CL390" s="75"/>
      <c r="CM390" s="2"/>
      <c r="CN390" s="2"/>
      <c r="CO390" s="73">
        <f t="shared" si="277"/>
        <v>0</v>
      </c>
      <c r="CP390" s="5">
        <f t="shared" si="278"/>
        <v>0</v>
      </c>
      <c r="CQ390" s="1"/>
      <c r="CR390" s="1">
        <f t="shared" si="279"/>
        <v>0</v>
      </c>
      <c r="CS390" s="1"/>
      <c r="CT390" s="1" t="e">
        <f>INDEX([2]マスタ!$A:$A,MATCH(D390,[2]マスタ!$C:$C,0))</f>
        <v>#N/A</v>
      </c>
      <c r="CU390" s="1" t="str">
        <f t="shared" ca="1" si="280"/>
        <v>20260620_0-0</v>
      </c>
    </row>
    <row r="391" spans="1:99" x14ac:dyDescent="0.4">
      <c r="A391" s="61"/>
      <c r="B391" s="62"/>
      <c r="C391" s="62"/>
      <c r="D391" s="62"/>
      <c r="E391" s="74"/>
      <c r="F391" s="62"/>
      <c r="G391" s="62">
        <v>1</v>
      </c>
      <c r="H391" s="64">
        <f t="shared" si="267"/>
        <v>0</v>
      </c>
      <c r="I391" s="64"/>
      <c r="J391" s="64"/>
      <c r="K391" s="65">
        <f t="shared" si="281"/>
        <v>0</v>
      </c>
      <c r="L391" s="65">
        <f t="shared" si="269"/>
        <v>0</v>
      </c>
      <c r="M391" s="65">
        <f t="shared" si="270"/>
        <v>0</v>
      </c>
      <c r="N391" s="65">
        <f t="shared" si="271"/>
        <v>0</v>
      </c>
      <c r="O391" s="66" t="str">
        <f t="shared" si="272"/>
        <v>✕</v>
      </c>
      <c r="P391" s="67" t="str">
        <f t="shared" si="273"/>
        <v>○</v>
      </c>
      <c r="Q391" s="67" t="str">
        <f t="shared" si="282"/>
        <v>✕</v>
      </c>
      <c r="R391" s="67" t="str">
        <f t="shared" si="275"/>
        <v>✕</v>
      </c>
      <c r="S391" s="68">
        <v>0</v>
      </c>
      <c r="T391" s="69" t="s">
        <v>85</v>
      </c>
      <c r="U391" s="69" t="s">
        <v>85</v>
      </c>
      <c r="V391" s="69" t="s">
        <v>85</v>
      </c>
      <c r="W391" s="69" t="s">
        <v>85</v>
      </c>
      <c r="X391" s="69" t="s">
        <v>84</v>
      </c>
      <c r="Y391" s="69" t="s">
        <v>85</v>
      </c>
      <c r="Z391" s="69" t="s">
        <v>85</v>
      </c>
      <c r="AA391" s="69" t="s">
        <v>85</v>
      </c>
      <c r="AB391" s="69" t="s">
        <v>85</v>
      </c>
      <c r="AC391" s="69" t="s">
        <v>85</v>
      </c>
      <c r="AD391" s="38" t="str">
        <f>+IF(ISERROR(VLOOKUP($B391,AD$10:AD390,1,0)),IF(AND($N391&gt;=1000,$A391&gt;=AO$8,$A391&lt;=AO$9),$B391,""),"")</f>
        <v/>
      </c>
      <c r="AE391" s="38" t="str">
        <f>+IF(ISERROR(VLOOKUP($B391,AE$10:AE390,1,0)),IF(AND($N391&gt;=1000,$A391&gt;=AP$8,$A391&lt;=AP$9),$B391,""),"")</f>
        <v/>
      </c>
      <c r="AF391" s="38" t="str">
        <f>+IF(ISERROR(VLOOKUP($B391,AF$10:AF390,1,0)),IF(AND($N391&gt;=1000,$A391&gt;=AQ$8,$A391&lt;=AQ$9),$B391,""),"")</f>
        <v/>
      </c>
      <c r="AG391" s="38" t="str">
        <f>+IF(ISERROR(VLOOKUP($B391,AG$10:AG390,1,0)),IF(AND($N391&gt;=1000,$A391&gt;=AR$8,$A391&lt;=AR$9),$B391,""),"")</f>
        <v/>
      </c>
      <c r="AH391" s="38"/>
      <c r="AI391" s="70">
        <v>0</v>
      </c>
      <c r="AJ391" s="38">
        <f>IF(AND(AJ$7="○",$A391&gt;=AJ$8,$A391&lt;=AJ$9),IF(SUM(AJ$10:AJ390)-ROUNDDOWN($K391*AJ$5/100,0)&lt;-AJ$6,-AJ$6-SUM(AJ$10:AJ390),-ROUNDDOWN($K391*AJ$5/100,0)),0)</f>
        <v>0</v>
      </c>
      <c r="AK391" s="38">
        <f>IF(AND(AK$7="○",$A391&gt;=AK$8,$A391&lt;=AK$9),IF(SUM(AK$10:AK390)-ROUNDDOWN($L391*AK$5/100,0)&lt;-AK$6,-AK$6-SUM(AK$10:AK390),-ROUNDDOWN($L391*AK$5/100,0)),0)</f>
        <v>0</v>
      </c>
      <c r="AL391" s="38">
        <f>IF(AND(AL$7="○",$A391&gt;=AL$8,$A391&lt;=AL$9),IF(SUM(AL$10:AL390)-ROUNDDOWN($N391*AL$5/100,0)&lt;-AL$6,-AL$6-SUM(AL$10:AL390),-ROUNDDOWN($N391*AL$5/100,0)),0)</f>
        <v>0</v>
      </c>
      <c r="AM391" s="38">
        <f>IF(AND(AM$7="○",$A391&gt;=AM$8,$A391&lt;=AM$9),IF(SUM(AM$10:AM390)-ROUNDDOWN($L391*AM$5/100,0)&lt;-AM$6,-AM$6-SUM(AM$10:AM390),-ROUNDDOWN($L391*AM$5/100,0)),0)</f>
        <v>0</v>
      </c>
      <c r="AN391" s="38">
        <f>IF(AND(AN$7="○",$A391&gt;=AN$8,$A391&lt;=AN$9),IF(SUM(AN$10:AN390)-ROUNDDOWN($M391*AN$5/100,0)&lt;-AN$6,-AN$6-SUM(AN$10:AN390),-ROUNDDOWN($M391*AN$5/100,0)),0)</f>
        <v>0</v>
      </c>
      <c r="AO391" s="38">
        <f>IF(AND($A391&gt;=AO$8,$A391&lt;=AO$9),IF(SUM(AO$10:AO390)-ROUNDDOWN($K391*AO$5/100,0)&lt;-AO$6,-AO$6-SUM(AO$10:AO390),-ROUNDDOWN($K391*AO$5/100,0)),0)</f>
        <v>0</v>
      </c>
      <c r="AP391" s="38">
        <f>IF(AND($A391&gt;=AP$8,$A391&lt;=AP$9),IF(SUM(AP$10:AP390)-ROUNDDOWN($K391*AP$5/100,0)&lt;-AP$6,-AP$6-SUM(AP$10:AP390),-ROUNDDOWN($K391*AP$5/100,0)),0)</f>
        <v>0</v>
      </c>
      <c r="AQ391" s="38">
        <f>IF(AND($A391&gt;=AQ$8,$A391&lt;=AQ$9),IF(SUM(AQ$10:AQ390)-ROUNDDOWN($K391*AQ$5/100,0)&lt;-AQ$6,-AQ$6-SUM(AQ$10:AQ390),-ROUNDDOWN($K391*AQ$5/100,0)),0)</f>
        <v>0</v>
      </c>
      <c r="AR391" s="38">
        <f>IF(AND($A391&gt;=AR$8,$A391&lt;=AR$9),IF(SUM(AR$10:AR390)-ROUNDDOWN($K391*AR$5/100,0)&lt;-AR$6,-AR$6-SUM(AR$10:AR390),-ROUNDDOWN($K391*AR$5/100,0)),0)</f>
        <v>0</v>
      </c>
      <c r="AS391" s="38">
        <f>IF(SUMIFS(AS$10:AS390,$A$10:$A390,$A391)-ROUNDDOWN($K391*$S391/100,0)&lt;-$S391*1000,-$S391*1000-SUMIFS(AS$10:AS390,$A$10:$A390,$A391),-ROUNDDOWN($K391*$S391/100,0))</f>
        <v>0</v>
      </c>
      <c r="AT391" s="38">
        <f>IF(AND(X391="○",$A391&gt;=AT$8,$A391&lt;=AT$9,K391&gt;=3980),IF(SUM(AT$10:AT390)-ROUNDDOWN($K391*AT$5/100,0)&lt;-AT$6,-AT$6-SUM(AT$10:AT390),-ROUNDDOWN($K391*AT$5/100,0)),0)</f>
        <v>0</v>
      </c>
      <c r="AU391" s="38">
        <f>IF(O391="○",IF(SUM(AU$10:AU390)-ROUNDDOWN($K391*AU$5/100,0)&lt;-AU$6,-AU$6-SUM(AU$10:AU390),-ROUNDDOWN($K391*AU$5/100,0)),0)</f>
        <v>0</v>
      </c>
      <c r="AV391" s="38">
        <f>IF(P391="○",IF(SUM(AV$10:AV390)-ROUNDDOWN($K391*AV$5/100,0)&lt;-AV$6,-AV$6-SUM(AV$10:AV390),-ROUNDDOWN($K391*AV$5/100,0)),0)</f>
        <v>0</v>
      </c>
      <c r="AW391" s="38">
        <f>IF(Q391="○",IF(SUM(AW$10:AW390)-ROUNDDOWN($K391*AW$5/100,0)&lt;-AW$6,-AW$6-SUM(AW$10:AW390),-ROUNDDOWN($K391*AW$5/100,0)),0)</f>
        <v>0</v>
      </c>
      <c r="AX391" s="38">
        <f>IF(R391="○",IF(SUM(AX$10:AX390)-ROUNDDOWN($K391*AX$5/100,0)&lt;-AX$6,-AX$6-SUM(AX$10:AX390),-ROUNDDOWN($K391*AX$5/100,0)),0)</f>
        <v>0</v>
      </c>
      <c r="AY391" s="70">
        <v>0</v>
      </c>
      <c r="AZ391" s="65">
        <f t="shared" si="250"/>
        <v>0</v>
      </c>
      <c r="BA391" s="65">
        <f t="shared" si="251"/>
        <v>0</v>
      </c>
      <c r="BB391" s="70"/>
      <c r="BC391" s="65">
        <f t="shared" si="252"/>
        <v>0</v>
      </c>
      <c r="BD391" s="70">
        <v>0</v>
      </c>
      <c r="BE391" s="65">
        <f t="shared" si="253"/>
        <v>0</v>
      </c>
      <c r="BF391" s="70">
        <v>0</v>
      </c>
      <c r="BG391" s="65">
        <f t="shared" si="254"/>
        <v>0</v>
      </c>
      <c r="BH391" s="70">
        <v>0</v>
      </c>
      <c r="BI391" s="65">
        <f t="shared" si="255"/>
        <v>0</v>
      </c>
      <c r="BJ391" s="38">
        <f>IF(AND(BJ$7="○",$A391&gt;=BJ$8,$A391&lt;=BJ$9),IF(SUM(BJ$10:BJ390)-ROUNDDOWN($M391*BJ$5/100,0)&lt;-BJ$6,-BJ$6-SUM(BJ$10:BJ390),-ROUNDDOWN($M391*BJ$5/100,0)),0)</f>
        <v>0</v>
      </c>
      <c r="BK391" s="38">
        <f>IF(AND(BK$7="○",$A391&gt;=BK$8,$A391&lt;=BK$9),IF(SUM(BK$10:BK390)-ROUNDDOWN($L391*BK$5/100,0)&lt;-BK$6,-BK$6-SUM(BK$10:BK390),-ROUNDDOWN($L391*BK$5/100,0)),0)</f>
        <v>0</v>
      </c>
      <c r="BL391" s="38">
        <f>IF(AND(BL$7="○",$A391&gt;=BL$8,$A391&lt;=BL$9),IF(SUM(BL$10:BL390)-ROUNDDOWN($L391*BL$5/100,0)&lt;-BL$6,-BL$6-SUM(BL$10:BL390),-ROUNDDOWN($L391*BL$5/100,0)),0)</f>
        <v>0</v>
      </c>
      <c r="BM391" s="38">
        <f>IF(AND(BM$7="○",$A391&gt;=BM$8,$A391&lt;=BM$9),IF(SUM(BM$10:BM390)-ROUNDDOWN($M391*BM$5/100,0)&lt;-BM$6,-BM$6-SUM(BM$10:BM390),-ROUNDDOWN($M391*BM$5/100,0)),0)</f>
        <v>0</v>
      </c>
      <c r="BN391" s="38">
        <f>IF(AND(BN$7="○",$A391&gt;=BN$8,$A391&lt;=BN$9),IF(SUM(BN$10:BN390)-ROUNDDOWN($M391*BN$5/100,0)&lt;-BN$6,-BN$6-SUM(BN$10:BN390),-ROUNDDOWN($M391*BN$5/100,0)),0)</f>
        <v>0</v>
      </c>
      <c r="BO391" s="38">
        <f>IF(AND(BO$7="○",$A391&gt;=BO$8,$A391&lt;=BO$9),IF(SUM(BO$10:BO390)-ROUNDDOWN($M391*BO$5/100,0)&lt;-BO$6,-BO$6-SUM(BO$10:BO390),-ROUNDDOWN($M391*BO$5/100,0)),0)</f>
        <v>0</v>
      </c>
      <c r="BP391" s="38">
        <f>IF(AND(BP$7="○",$A391&gt;=BP$8,$A391&lt;=BP$9),IF(SUM(BP$10:BP390)-ROUNDDOWN($M391*BP$5/100,0)&lt;-BP$6,-BP$6-SUM(BP$10:BP390),-ROUNDDOWN($M391*BP$5/100,0)),0)</f>
        <v>0</v>
      </c>
      <c r="BQ391" s="38">
        <f>IF(AND(BQ$7="○",$A391&gt;=BQ$8,$A391&lt;=BQ$9),IF(SUM(BQ$10:BQ390)-ROUNDDOWN($L391*BQ$5/100,0)&lt;-BQ$6,-BQ$6-SUM(BQ$10:BQ390),-ROUNDDOWN($L391*BQ$5/100,0)),0)</f>
        <v>0</v>
      </c>
      <c r="BR391" s="38">
        <f>IF(AND(BR$7="○",$A391&gt;=BR$8,$A391&lt;=BR$9),IF(SUM(BR$10:BR390)-ROUNDDOWN($M391*BR$5/100,0)&lt;-BR$6,-BR$6-SUM(BR$10:BR390),-ROUNDDOWN($M391*BR$5/100,0)),0)</f>
        <v>0</v>
      </c>
      <c r="BS391" s="38">
        <f>IF(AND(BS$7="○",$A391&gt;=BS$8,$A391&lt;=BS$9),IF(SUM(BS$10:BS390)-ROUNDDOWN($M391*BS$5/100,0)&lt;-BS$6,-BS$6-SUM(BS$10:BS390),-ROUNDDOWN($M391*BS$5/100,0)),0)</f>
        <v>0</v>
      </c>
      <c r="BT391" s="38">
        <f>IF(AND(BT$7="○",$A391&gt;=BT$8,$A391&lt;=BT$9),IF(SUM(BT$10:BT390)-ROUNDDOWN($M391*BT$5/100,0)&lt;-BT$6,-BT$6-SUM(BT$10:BT390),-ROUNDDOWN($M391*BT$5/100,0)),0)</f>
        <v>0</v>
      </c>
      <c r="BU391" s="38">
        <f>IF(AND(BU$7="○",$A391&gt;=BU$8,$A391&lt;=BU$9),IF(SUM(BU$10:BU390)-ROUNDDOWN($M391*BU$5/100,0)&lt;-BU$6,-BU$6-SUM(BU$10:BU390),-ROUNDDOWN($M391*BU$5/100,0)),0)</f>
        <v>0</v>
      </c>
      <c r="BV391" s="38">
        <f>IF(AND(BV$7="○",$A391&gt;=BV$8,$A391&lt;=BV$9),IF(SUM(BV$10:BV390)-ROUNDDOWN($M391*BV$5/100,0)&lt;-BV$6,-BV$6-SUM(BV$10:BV390),-ROUNDDOWN($M391*BV$5/100,0)),0)</f>
        <v>0</v>
      </c>
      <c r="BW391" s="38">
        <f>IF(AND(BW$7="○",$A391&gt;=BW$8,$A391&lt;=BW$9),IF(SUM(BW$10:BW390)-ROUNDDOWN($M391*BW$5/100,0)&lt;-BW$6,-BW$6-SUM(BW$10:BW390),-ROUNDDOWN($M391*BW$5/100,0)),0)</f>
        <v>0</v>
      </c>
      <c r="BX391" s="38">
        <f>IF(AND(T391="○",$A391&gt;=BX$8,$A391&lt;=BX$9),IF(SUM(BX$10:BX390)-ROUNDDOWN($K391*BX$5/100,0)&lt;-BX$6,-BX$6-SUM(BX$10:BX390),-ROUNDDOWN($K391*BX$5/100,0)),0)</f>
        <v>0</v>
      </c>
      <c r="BY391" s="38">
        <f>IF(AND(U391="○",$A391&gt;=BY$8,$A391&lt;=BY$9),IF(SUM(BY$10:BY390)-ROUNDDOWN($K391*BY$5/100,0)&lt;-BY$6,-BY$6-SUM(BY$10:BY390),-ROUNDDOWN($K391*BY$5/100,0)),0)</f>
        <v>0</v>
      </c>
      <c r="BZ391" s="38">
        <f>IF(AND(V391="○",$A391&gt;=BZ$8,$A391&lt;=BZ$9),IF(SUM(BZ$10:BZ390)-ROUNDDOWN($K391*BZ$5/100,0)&lt;-BZ$6,-BZ$6-SUM(BZ$10:BZ390),-ROUNDDOWN($K391*BZ$5/100,0)),0)</f>
        <v>0</v>
      </c>
      <c r="CA391" s="38">
        <f>IF(AND(W391="○",$A391&gt;=CA$8,$A391&lt;=CA$9),IF(SUM(CA$10:CA390)-ROUNDDOWN($K391*CA$5/100,0)&lt;-CA$6,-CA$6-SUM(CA$10:CA390),-ROUNDDOWN($K391*CA$5/100,0)),0)</f>
        <v>0</v>
      </c>
      <c r="CB391" s="38"/>
      <c r="CC391" s="38"/>
      <c r="CD391" s="38"/>
      <c r="CE391" s="38"/>
      <c r="CF391" s="38"/>
      <c r="CG391" s="65">
        <f t="shared" si="256"/>
        <v>0</v>
      </c>
      <c r="CH391" s="71">
        <f t="shared" si="257"/>
        <v>0</v>
      </c>
      <c r="CI391" s="1">
        <f t="shared" si="276"/>
        <v>0</v>
      </c>
      <c r="CJ391" s="1"/>
      <c r="CK391" s="75"/>
      <c r="CL391" s="75"/>
      <c r="CM391" s="2"/>
      <c r="CN391" s="2"/>
      <c r="CO391" s="73">
        <f t="shared" si="277"/>
        <v>0</v>
      </c>
      <c r="CP391" s="5">
        <f t="shared" si="278"/>
        <v>0</v>
      </c>
      <c r="CQ391" s="1"/>
      <c r="CR391" s="1">
        <f t="shared" si="279"/>
        <v>0</v>
      </c>
      <c r="CS391" s="1"/>
      <c r="CT391" s="1" t="e">
        <f>INDEX([2]マスタ!$A:$A,MATCH(D391,[2]マスタ!$C:$C,0))</f>
        <v>#N/A</v>
      </c>
      <c r="CU391" s="1" t="str">
        <f t="shared" ca="1" si="280"/>
        <v>20260620_0-0</v>
      </c>
    </row>
    <row r="392" spans="1:99" x14ac:dyDescent="0.4">
      <c r="A392" s="61"/>
      <c r="B392" s="62"/>
      <c r="C392" s="62"/>
      <c r="D392" s="62"/>
      <c r="E392" s="74"/>
      <c r="F392" s="62"/>
      <c r="G392" s="62">
        <v>1</v>
      </c>
      <c r="H392" s="64">
        <f t="shared" si="267"/>
        <v>0</v>
      </c>
      <c r="I392" s="64"/>
      <c r="J392" s="64"/>
      <c r="K392" s="65">
        <f>+ROUNDDOWN((H392+I392)/100,0)*100</f>
        <v>0</v>
      </c>
      <c r="L392" s="65">
        <f t="shared" si="269"/>
        <v>0</v>
      </c>
      <c r="M392" s="65">
        <f t="shared" si="270"/>
        <v>0</v>
      </c>
      <c r="N392" s="65">
        <f t="shared" si="271"/>
        <v>0</v>
      </c>
      <c r="O392" s="66" t="str">
        <f t="shared" si="272"/>
        <v>✕</v>
      </c>
      <c r="P392" s="67" t="str">
        <f t="shared" si="273"/>
        <v>○</v>
      </c>
      <c r="Q392" s="67" t="str">
        <f>+IF((TEXT($A392,"DD")+0)=1,"○","✕")</f>
        <v>✕</v>
      </c>
      <c r="R392" s="67" t="str">
        <f t="shared" si="275"/>
        <v>✕</v>
      </c>
      <c r="S392" s="68">
        <v>0</v>
      </c>
      <c r="T392" s="69" t="s">
        <v>85</v>
      </c>
      <c r="U392" s="69" t="s">
        <v>85</v>
      </c>
      <c r="V392" s="69" t="s">
        <v>85</v>
      </c>
      <c r="W392" s="69" t="s">
        <v>85</v>
      </c>
      <c r="X392" s="69" t="s">
        <v>84</v>
      </c>
      <c r="Y392" s="69" t="s">
        <v>85</v>
      </c>
      <c r="Z392" s="69" t="s">
        <v>85</v>
      </c>
      <c r="AA392" s="69" t="s">
        <v>85</v>
      </c>
      <c r="AB392" s="69" t="s">
        <v>85</v>
      </c>
      <c r="AC392" s="69" t="s">
        <v>85</v>
      </c>
      <c r="AD392" s="38" t="str">
        <f>+IF(ISERROR(VLOOKUP($B392,AD$10:AD391,1,0)),IF(AND($N392&gt;=1000,$A392&gt;=AO$8,$A392&lt;=AO$9),$B392,""),"")</f>
        <v/>
      </c>
      <c r="AE392" s="38" t="str">
        <f>+IF(ISERROR(VLOOKUP($B392,AE$10:AE391,1,0)),IF(AND($N392&gt;=1000,$A392&gt;=AP$8,$A392&lt;=AP$9),$B392,""),"")</f>
        <v/>
      </c>
      <c r="AF392" s="38" t="str">
        <f>+IF(ISERROR(VLOOKUP($B392,AF$10:AF391,1,0)),IF(AND($N392&gt;=1000,$A392&gt;=AQ$8,$A392&lt;=AQ$9),$B392,""),"")</f>
        <v/>
      </c>
      <c r="AG392" s="38" t="str">
        <f>+IF(ISERROR(VLOOKUP($B392,AG$10:AG391,1,0)),IF(AND($N392&gt;=1000,$A392&gt;=AR$8,$A392&lt;=AR$9),$B392,""),"")</f>
        <v/>
      </c>
      <c r="AH392" s="38"/>
      <c r="AI392" s="70">
        <v>0</v>
      </c>
      <c r="AJ392" s="38">
        <f>IF(AND(AJ$7="○",$A392&gt;=AJ$8,$A392&lt;=AJ$9),IF(SUM(AJ$10:AJ391)-ROUNDDOWN($K392*AJ$5/100,0)&lt;-AJ$6,-AJ$6-SUM(AJ$10:AJ391),-ROUNDDOWN($K392*AJ$5/100,0)),0)</f>
        <v>0</v>
      </c>
      <c r="AK392" s="38">
        <f>IF(AND(AK$7="○",$A392&gt;=AK$8,$A392&lt;=AK$9),IF(SUM(AK$10:AK391)-ROUNDDOWN($L392*AK$5/100,0)&lt;-AK$6,-AK$6-SUM(AK$10:AK391),-ROUNDDOWN($L392*AK$5/100,0)),0)</f>
        <v>0</v>
      </c>
      <c r="AL392" s="38">
        <f>IF(AND(AL$7="○",$A392&gt;=AL$8,$A392&lt;=AL$9),IF(SUM(AL$10:AL391)-ROUNDDOWN($N392*AL$5/100,0)&lt;-AL$6,-AL$6-SUM(AL$10:AL391),-ROUNDDOWN($N392*AL$5/100,0)),0)</f>
        <v>0</v>
      </c>
      <c r="AM392" s="38">
        <f>IF(AND(AM$7="○",$A392&gt;=AM$8,$A392&lt;=AM$9),IF(SUM(AM$10:AM391)-ROUNDDOWN($L392*AM$5/100,0)&lt;-AM$6,-AM$6-SUM(AM$10:AM391),-ROUNDDOWN($L392*AM$5/100,0)),0)</f>
        <v>0</v>
      </c>
      <c r="AN392" s="38">
        <f>IF(AND(AN$7="○",$A392&gt;=AN$8,$A392&lt;=AN$9),IF(SUM(AN$10:AN391)-ROUNDDOWN($M392*AN$5/100,0)&lt;-AN$6,-AN$6-SUM(AN$10:AN391),-ROUNDDOWN($M392*AN$5/100,0)),0)</f>
        <v>0</v>
      </c>
      <c r="AO392" s="38">
        <f>IF(AND($A392&gt;=AO$8,$A392&lt;=AO$9),IF(SUM(AO$10:AO391)-ROUNDDOWN($K392*AO$5/100,0)&lt;-AO$6,-AO$6-SUM(AO$10:AO391),-ROUNDDOWN($K392*AO$5/100,0)),0)</f>
        <v>0</v>
      </c>
      <c r="AP392" s="38">
        <f>IF(AND($A392&gt;=AP$8,$A392&lt;=AP$9),IF(SUM(AP$10:AP391)-ROUNDDOWN($K392*AP$5/100,0)&lt;-AP$6,-AP$6-SUM(AP$10:AP391),-ROUNDDOWN($K392*AP$5/100,0)),0)</f>
        <v>0</v>
      </c>
      <c r="AQ392" s="38">
        <f>IF(AND($A392&gt;=AQ$8,$A392&lt;=AQ$9),IF(SUM(AQ$10:AQ391)-ROUNDDOWN($K392*AQ$5/100,0)&lt;-AQ$6,-AQ$6-SUM(AQ$10:AQ391),-ROUNDDOWN($K392*AQ$5/100,0)),0)</f>
        <v>0</v>
      </c>
      <c r="AR392" s="38">
        <f>IF(AND($A392&gt;=AR$8,$A392&lt;=AR$9),IF(SUM(AR$10:AR391)-ROUNDDOWN($K392*AR$5/100,0)&lt;-AR$6,-AR$6-SUM(AR$10:AR391),-ROUNDDOWN($K392*AR$5/100,0)),0)</f>
        <v>0</v>
      </c>
      <c r="AS392" s="38">
        <f>IF(SUMIFS(AS$10:AS391,$A$10:$A391,$A392)-ROUNDDOWN($K392*$S392/100,0)&lt;-$S392*1000,-$S392*1000-SUMIFS(AS$10:AS391,$A$10:$A391,$A392),-ROUNDDOWN($K392*$S392/100,0))</f>
        <v>0</v>
      </c>
      <c r="AT392" s="38">
        <f>IF(AND(X392="○",$A392&gt;=AT$8,$A392&lt;=AT$9,K392&gt;=3980),IF(SUM(AT$10:AT391)-ROUNDDOWN($K392*AT$5/100,0)&lt;-AT$6,-AT$6-SUM(AT$10:AT391),-ROUNDDOWN($K392*AT$5/100,0)),0)</f>
        <v>0</v>
      </c>
      <c r="AU392" s="38">
        <f>IF(O392="○",IF(SUM(AU$10:AU391)-ROUNDDOWN($K392*AU$5/100,0)&lt;-AU$6,-AU$6-SUM(AU$10:AU391),-ROUNDDOWN($K392*AU$5/100,0)),0)</f>
        <v>0</v>
      </c>
      <c r="AV392" s="38">
        <f>IF(P392="○",IF(SUM(AV$10:AV391)-ROUNDDOWN($K392*AV$5/100,0)&lt;-AV$6,-AV$6-SUM(AV$10:AV391),-ROUNDDOWN($K392*AV$5/100,0)),0)</f>
        <v>0</v>
      </c>
      <c r="AW392" s="38">
        <f>IF(Q392="○",IF(SUM(AW$10:AW391)-ROUNDDOWN($K392*AW$5/100,0)&lt;-AW$6,-AW$6-SUM(AW$10:AW391),-ROUNDDOWN($K392*AW$5/100,0)),0)</f>
        <v>0</v>
      </c>
      <c r="AX392" s="38">
        <f>IF(R392="○",IF(SUM(AX$10:AX391)-ROUNDDOWN($K392*AX$5/100,0)&lt;-AX$6,-AX$6-SUM(AX$10:AX391),-ROUNDDOWN($K392*AX$5/100,0)),0)</f>
        <v>0</v>
      </c>
      <c r="AY392" s="70">
        <v>0</v>
      </c>
      <c r="AZ392" s="65">
        <f t="shared" si="250"/>
        <v>0</v>
      </c>
      <c r="BA392" s="65">
        <f t="shared" si="251"/>
        <v>0</v>
      </c>
      <c r="BB392" s="70"/>
      <c r="BC392" s="65">
        <f t="shared" si="252"/>
        <v>0</v>
      </c>
      <c r="BD392" s="70">
        <v>0</v>
      </c>
      <c r="BE392" s="65">
        <f t="shared" si="253"/>
        <v>0</v>
      </c>
      <c r="BF392" s="70">
        <v>0</v>
      </c>
      <c r="BG392" s="65">
        <f t="shared" si="254"/>
        <v>0</v>
      </c>
      <c r="BH392" s="70">
        <v>0</v>
      </c>
      <c r="BI392" s="65">
        <f t="shared" si="255"/>
        <v>0</v>
      </c>
      <c r="BJ392" s="38">
        <f>IF(AND(BJ$7="○",$A392&gt;=BJ$8,$A392&lt;=BJ$9),IF(SUM(BJ$10:BJ391)-ROUNDDOWN($M392*BJ$5/100,0)&lt;-BJ$6,-BJ$6-SUM(BJ$10:BJ391),-ROUNDDOWN($M392*BJ$5/100,0)),0)</f>
        <v>0</v>
      </c>
      <c r="BK392" s="38">
        <f>IF(AND(BK$7="○",$A392&gt;=BK$8,$A392&lt;=BK$9),IF(SUM(BK$10:BK391)-ROUNDDOWN($L392*BK$5/100,0)&lt;-BK$6,-BK$6-SUM(BK$10:BK391),-ROUNDDOWN($L392*BK$5/100,0)),0)</f>
        <v>0</v>
      </c>
      <c r="BL392" s="38">
        <f>IF(AND(BL$7="○",$A392&gt;=BL$8,$A392&lt;=BL$9),IF(SUM(BL$10:BL391)-ROUNDDOWN($L392*BL$5/100,0)&lt;-BL$6,-BL$6-SUM(BL$10:BL391),-ROUNDDOWN($L392*BL$5/100,0)),0)</f>
        <v>0</v>
      </c>
      <c r="BM392" s="38">
        <f>IF(AND(BM$7="○",$A392&gt;=BM$8,$A392&lt;=BM$9),IF(SUM(BM$10:BM391)-ROUNDDOWN($M392*BM$5/100,0)&lt;-BM$6,-BM$6-SUM(BM$10:BM391),-ROUNDDOWN($M392*BM$5/100,0)),0)</f>
        <v>0</v>
      </c>
      <c r="BN392" s="38">
        <f>IF(AND(BN$7="○",$A392&gt;=BN$8,$A392&lt;=BN$9),IF(SUM(BN$10:BN391)-ROUNDDOWN($M392*BN$5/100,0)&lt;-BN$6,-BN$6-SUM(BN$10:BN391),-ROUNDDOWN($M392*BN$5/100,0)),0)</f>
        <v>0</v>
      </c>
      <c r="BO392" s="38">
        <f>IF(AND(BO$7="○",$A392&gt;=BO$8,$A392&lt;=BO$9),IF(SUM(BO$10:BO391)-ROUNDDOWN($M392*BO$5/100,0)&lt;-BO$6,-BO$6-SUM(BO$10:BO391),-ROUNDDOWN($M392*BO$5/100,0)),0)</f>
        <v>0</v>
      </c>
      <c r="BP392" s="38">
        <f>IF(AND(BP$7="○",$A392&gt;=BP$8,$A392&lt;=BP$9),IF(SUM(BP$10:BP391)-ROUNDDOWN($M392*BP$5/100,0)&lt;-BP$6,-BP$6-SUM(BP$10:BP391),-ROUNDDOWN($M392*BP$5/100,0)),0)</f>
        <v>0</v>
      </c>
      <c r="BQ392" s="38">
        <f>IF(AND(BQ$7="○",$A392&gt;=BQ$8,$A392&lt;=BQ$9),IF(SUM(BQ$10:BQ391)-ROUNDDOWN($L392*BQ$5/100,0)&lt;-BQ$6,-BQ$6-SUM(BQ$10:BQ391),-ROUNDDOWN($L392*BQ$5/100,0)),0)</f>
        <v>0</v>
      </c>
      <c r="BR392" s="38">
        <f>IF(AND(BR$7="○",$A392&gt;=BR$8,$A392&lt;=BR$9),IF(SUM(BR$10:BR391)-ROUNDDOWN($M392*BR$5/100,0)&lt;-BR$6,-BR$6-SUM(BR$10:BR391),-ROUNDDOWN($M392*BR$5/100,0)),0)</f>
        <v>0</v>
      </c>
      <c r="BS392" s="38">
        <f>IF(AND(BS$7="○",$A392&gt;=BS$8,$A392&lt;=BS$9),IF(SUM(BS$10:BS391)-ROUNDDOWN($M392*BS$5/100,0)&lt;-BS$6,-BS$6-SUM(BS$10:BS391),-ROUNDDOWN($M392*BS$5/100,0)),0)</f>
        <v>0</v>
      </c>
      <c r="BT392" s="38">
        <f>IF(AND(BT$7="○",$A392&gt;=BT$8,$A392&lt;=BT$9),IF(SUM(BT$10:BT391)-ROUNDDOWN($M392*BT$5/100,0)&lt;-BT$6,-BT$6-SUM(BT$10:BT391),-ROUNDDOWN($M392*BT$5/100,0)),0)</f>
        <v>0</v>
      </c>
      <c r="BU392" s="38">
        <f>IF(AND(BU$7="○",$A392&gt;=BU$8,$A392&lt;=BU$9),IF(SUM(BU$10:BU391)-ROUNDDOWN($M392*BU$5/100,0)&lt;-BU$6,-BU$6-SUM(BU$10:BU391),-ROUNDDOWN($M392*BU$5/100,0)),0)</f>
        <v>0</v>
      </c>
      <c r="BV392" s="38">
        <f>IF(AND(BV$7="○",$A392&gt;=BV$8,$A392&lt;=BV$9),IF(SUM(BV$10:BV391)-ROUNDDOWN($M392*BV$5/100,0)&lt;-BV$6,-BV$6-SUM(BV$10:BV391),-ROUNDDOWN($M392*BV$5/100,0)),0)</f>
        <v>0</v>
      </c>
      <c r="BW392" s="38">
        <f>IF(AND(BW$7="○",$A392&gt;=BW$8,$A392&lt;=BW$9),IF(SUM(BW$10:BW391)-ROUNDDOWN($M392*BW$5/100,0)&lt;-BW$6,-BW$6-SUM(BW$10:BW391),-ROUNDDOWN($M392*BW$5/100,0)),0)</f>
        <v>0</v>
      </c>
      <c r="BX392" s="38">
        <f>IF(AND(T392="○",$A392&gt;=BX$8,$A392&lt;=BX$9),IF(SUM(BX$10:BX391)-ROUNDDOWN($K392*BX$5/100,0)&lt;-BX$6,-BX$6-SUM(BX$10:BX391),-ROUNDDOWN($K392*BX$5/100,0)),0)</f>
        <v>0</v>
      </c>
      <c r="BY392" s="38">
        <f>IF(AND(U392="○",$A392&gt;=BY$8,$A392&lt;=BY$9),IF(SUM(BY$10:BY391)-ROUNDDOWN($K392*BY$5/100,0)&lt;-BY$6,-BY$6-SUM(BY$10:BY391),-ROUNDDOWN($K392*BY$5/100,0)),0)</f>
        <v>0</v>
      </c>
      <c r="BZ392" s="38">
        <f>IF(AND(V392="○",$A392&gt;=BZ$8,$A392&lt;=BZ$9),IF(SUM(BZ$10:BZ391)-ROUNDDOWN($K392*BZ$5/100,0)&lt;-BZ$6,-BZ$6-SUM(BZ$10:BZ391),-ROUNDDOWN($K392*BZ$5/100,0)),0)</f>
        <v>0</v>
      </c>
      <c r="CA392" s="38">
        <f>IF(AND(W392="○",$A392&gt;=CA$8,$A392&lt;=CA$9),IF(SUM(CA$10:CA391)-ROUNDDOWN($K392*CA$5/100,0)&lt;-CA$6,-CA$6-SUM(CA$10:CA391),-ROUNDDOWN($K392*CA$5/100,0)),0)</f>
        <v>0</v>
      </c>
      <c r="CB392" s="38"/>
      <c r="CC392" s="38"/>
      <c r="CD392" s="38"/>
      <c r="CE392" s="38"/>
      <c r="CF392" s="38"/>
      <c r="CG392" s="65">
        <f t="shared" si="256"/>
        <v>0</v>
      </c>
      <c r="CH392" s="71">
        <f t="shared" si="257"/>
        <v>0</v>
      </c>
      <c r="CI392" s="1">
        <f t="shared" si="276"/>
        <v>0</v>
      </c>
      <c r="CJ392" s="1"/>
      <c r="CK392" s="75"/>
      <c r="CL392" s="75"/>
      <c r="CM392" s="2"/>
      <c r="CN392" s="2"/>
      <c r="CO392" s="73">
        <f t="shared" si="277"/>
        <v>0</v>
      </c>
      <c r="CP392" s="5">
        <f t="shared" si="278"/>
        <v>0</v>
      </c>
      <c r="CQ392" s="1"/>
      <c r="CR392" s="1">
        <f t="shared" si="279"/>
        <v>0</v>
      </c>
      <c r="CS392" s="1"/>
      <c r="CT392" s="1" t="e">
        <f>INDEX([2]マスタ!$A:$A,MATCH(D392,[2]マスタ!$C:$C,0))</f>
        <v>#N/A</v>
      </c>
      <c r="CU392" s="1" t="str">
        <f t="shared" ca="1" si="280"/>
        <v>20260620_0-0</v>
      </c>
    </row>
    <row r="393" spans="1:99" x14ac:dyDescent="0.4">
      <c r="A393" s="61"/>
      <c r="B393" s="62"/>
      <c r="C393" s="62"/>
      <c r="D393" s="62"/>
      <c r="E393" s="63"/>
      <c r="F393" s="62"/>
      <c r="G393" s="62">
        <v>1</v>
      </c>
      <c r="H393" s="64">
        <f t="shared" si="267"/>
        <v>0</v>
      </c>
      <c r="I393" s="64"/>
      <c r="J393" s="64"/>
      <c r="K393" s="65">
        <f>+ROUNDDOWN((H393+I393)/100,0)*100</f>
        <v>0</v>
      </c>
      <c r="L393" s="65">
        <f t="shared" si="269"/>
        <v>0</v>
      </c>
      <c r="M393" s="65">
        <f t="shared" si="270"/>
        <v>0</v>
      </c>
      <c r="N393" s="65">
        <f t="shared" si="271"/>
        <v>0</v>
      </c>
      <c r="O393" s="66" t="str">
        <f t="shared" si="272"/>
        <v>✕</v>
      </c>
      <c r="P393" s="67" t="str">
        <f t="shared" si="273"/>
        <v>○</v>
      </c>
      <c r="Q393" s="67" t="str">
        <f>+IF((TEXT($A393,"DD")+0)=1,"○","✕")</f>
        <v>✕</v>
      </c>
      <c r="R393" s="67" t="str">
        <f t="shared" si="275"/>
        <v>✕</v>
      </c>
      <c r="S393" s="68">
        <v>0</v>
      </c>
      <c r="T393" s="69" t="s">
        <v>85</v>
      </c>
      <c r="U393" s="69" t="s">
        <v>85</v>
      </c>
      <c r="V393" s="69" t="s">
        <v>85</v>
      </c>
      <c r="W393" s="69" t="s">
        <v>85</v>
      </c>
      <c r="X393" s="69" t="s">
        <v>84</v>
      </c>
      <c r="Y393" s="69" t="s">
        <v>85</v>
      </c>
      <c r="Z393" s="69" t="s">
        <v>85</v>
      </c>
      <c r="AA393" s="69" t="s">
        <v>85</v>
      </c>
      <c r="AB393" s="69" t="s">
        <v>85</v>
      </c>
      <c r="AC393" s="69" t="s">
        <v>85</v>
      </c>
      <c r="AD393" s="38" t="str">
        <f>+IF(ISERROR(VLOOKUP($B393,AD$10:AD392,1,0)),IF(AND($N393&gt;=1000,$A393&gt;=AO$8,$A393&lt;=AO$9),$B393,""),"")</f>
        <v/>
      </c>
      <c r="AE393" s="38" t="str">
        <f>+IF(ISERROR(VLOOKUP($B393,AE$10:AE392,1,0)),IF(AND($N393&gt;=1000,$A393&gt;=AP$8,$A393&lt;=AP$9),$B393,""),"")</f>
        <v/>
      </c>
      <c r="AF393" s="38" t="str">
        <f>+IF(ISERROR(VLOOKUP($B393,AF$10:AF392,1,0)),IF(AND($N393&gt;=1000,$A393&gt;=AQ$8,$A393&lt;=AQ$9),$B393,""),"")</f>
        <v/>
      </c>
      <c r="AG393" s="38" t="str">
        <f>+IF(ISERROR(VLOOKUP($B393,AG$10:AG392,1,0)),IF(AND($N393&gt;=1000,$A393&gt;=AR$8,$A393&lt;=AR$9),$B393,""),"")</f>
        <v/>
      </c>
      <c r="AH393" s="38"/>
      <c r="AI393" s="70">
        <v>0</v>
      </c>
      <c r="AJ393" s="38">
        <f>IF(AND(AJ$7="○",$A393&gt;=AJ$8,$A393&lt;=AJ$9),IF(SUM(AJ$10:AJ392)-ROUNDDOWN($K393*AJ$5/100,0)&lt;-AJ$6,-AJ$6-SUM(AJ$10:AJ392),-ROUNDDOWN($K393*AJ$5/100,0)),0)</f>
        <v>0</v>
      </c>
      <c r="AK393" s="38">
        <f>IF(AND(AK$7="○",$A393&gt;=AK$8,$A393&lt;=AK$9),IF(SUM(AK$10:AK392)-ROUNDDOWN($L393*AK$5/100,0)&lt;-AK$6,-AK$6-SUM(AK$10:AK392),-ROUNDDOWN($L393*AK$5/100,0)),0)</f>
        <v>0</v>
      </c>
      <c r="AL393" s="38">
        <f>IF(AND(AL$7="○",$A393&gt;=AL$8,$A393&lt;=AL$9),IF(SUM(AL$10:AL392)-ROUNDDOWN($N393*AL$5/100,0)&lt;-AL$6,-AL$6-SUM(AL$10:AL392),-ROUNDDOWN($N393*AL$5/100,0)),0)</f>
        <v>0</v>
      </c>
      <c r="AM393" s="38">
        <f>IF(AND(AM$7="○",$A393&gt;=AM$8,$A393&lt;=AM$9),IF(SUM(AM$10:AM392)-ROUNDDOWN($L393*AM$5/100,0)&lt;-AM$6,-AM$6-SUM(AM$10:AM392),-ROUNDDOWN($L393*AM$5/100,0)),0)</f>
        <v>0</v>
      </c>
      <c r="AN393" s="38">
        <f>IF(AND(AN$7="○",$A393&gt;=AN$8,$A393&lt;=AN$9),IF(SUM(AN$10:AN392)-ROUNDDOWN($M393*AN$5/100,0)&lt;-AN$6,-AN$6-SUM(AN$10:AN392),-ROUNDDOWN($M393*AN$5/100,0)),0)</f>
        <v>0</v>
      </c>
      <c r="AO393" s="38">
        <f>IF(AND($A393&gt;=AO$8,$A393&lt;=AO$9),IF(SUM(AO$10:AO392)-ROUNDDOWN($K393*AO$5/100,0)&lt;-AO$6,-AO$6-SUM(AO$10:AO392),-ROUNDDOWN($K393*AO$5/100,0)),0)</f>
        <v>0</v>
      </c>
      <c r="AP393" s="38">
        <f>IF(AND($A393&gt;=AP$8,$A393&lt;=AP$9),IF(SUM(AP$10:AP392)-ROUNDDOWN($K393*AP$5/100,0)&lt;-AP$6,-AP$6-SUM(AP$10:AP392),-ROUNDDOWN($K393*AP$5/100,0)),0)</f>
        <v>0</v>
      </c>
      <c r="AQ393" s="38">
        <f>IF(AND($A393&gt;=AQ$8,$A393&lt;=AQ$9),IF(SUM(AQ$10:AQ392)-ROUNDDOWN($K393*AQ$5/100,0)&lt;-AQ$6,-AQ$6-SUM(AQ$10:AQ392),-ROUNDDOWN($K393*AQ$5/100,0)),0)</f>
        <v>0</v>
      </c>
      <c r="AR393" s="38">
        <f>IF(AND($A393&gt;=AR$8,$A393&lt;=AR$9),IF(SUM(AR$10:AR392)-ROUNDDOWN($K393*AR$5/100,0)&lt;-AR$6,-AR$6-SUM(AR$10:AR392),-ROUNDDOWN($K393*AR$5/100,0)),0)</f>
        <v>0</v>
      </c>
      <c r="AS393" s="38">
        <f>IF(SUMIFS(AS$10:AS392,$A$10:$A392,$A393)-ROUNDDOWN($K393*$S393/100,0)&lt;-$S393*1000,-$S393*1000-SUMIFS(AS$10:AS392,$A$10:$A392,$A393),-ROUNDDOWN($K393*$S393/100,0))</f>
        <v>0</v>
      </c>
      <c r="AT393" s="38">
        <f>IF(AND(X393="○",$A393&gt;=AT$8,$A393&lt;=AT$9,K393&gt;=3980),IF(SUM(AT$10:AT392)-ROUNDDOWN($K393*AT$5/100,0)&lt;-AT$6,-AT$6-SUM(AT$10:AT392),-ROUNDDOWN($K393*AT$5/100,0)),0)</f>
        <v>0</v>
      </c>
      <c r="AU393" s="38">
        <f>IF(O393="○",IF(SUM(AU$10:AU392)-ROUNDDOWN($K393*AU$5/100,0)&lt;-AU$6,-AU$6-SUM(AU$10:AU392),-ROUNDDOWN($K393*AU$5/100,0)),0)</f>
        <v>0</v>
      </c>
      <c r="AV393" s="38">
        <f>IF(P393="○",IF(SUM(AV$10:AV392)-ROUNDDOWN($K393*AV$5/100,0)&lt;-AV$6,-AV$6-SUM(AV$10:AV392),-ROUNDDOWN($K393*AV$5/100,0)),0)</f>
        <v>0</v>
      </c>
      <c r="AW393" s="38">
        <f>IF(Q393="○",IF(SUM(AW$10:AW392)-ROUNDDOWN($K393*AW$5/100,0)&lt;-AW$6,-AW$6-SUM(AW$10:AW392),-ROUNDDOWN($K393*AW$5/100,0)),0)</f>
        <v>0</v>
      </c>
      <c r="AX393" s="38">
        <f>IF(R393="○",IF(SUM(AX$10:AX392)-ROUNDDOWN($K393*AX$5/100,0)&lt;-AX$6,-AX$6-SUM(AX$10:AX392),-ROUNDDOWN($K393*AX$5/100,0)),0)</f>
        <v>0</v>
      </c>
      <c r="AY393" s="70">
        <v>0</v>
      </c>
      <c r="AZ393" s="65">
        <f t="shared" si="250"/>
        <v>0</v>
      </c>
      <c r="BA393" s="65">
        <f t="shared" si="251"/>
        <v>0</v>
      </c>
      <c r="BB393" s="70"/>
      <c r="BC393" s="65">
        <f t="shared" si="252"/>
        <v>0</v>
      </c>
      <c r="BD393" s="70">
        <v>0</v>
      </c>
      <c r="BE393" s="65">
        <f t="shared" si="253"/>
        <v>0</v>
      </c>
      <c r="BF393" s="70">
        <v>0</v>
      </c>
      <c r="BG393" s="65">
        <f t="shared" si="254"/>
        <v>0</v>
      </c>
      <c r="BH393" s="70">
        <v>0</v>
      </c>
      <c r="BI393" s="65">
        <f t="shared" si="255"/>
        <v>0</v>
      </c>
      <c r="BJ393" s="38">
        <f>IF(AND(BJ$7="○",$A393&gt;=BJ$8,$A393&lt;=BJ$9),IF(SUM(BJ$10:BJ392)-ROUNDDOWN($M393*BJ$5/100,0)&lt;-BJ$6,-BJ$6-SUM(BJ$10:BJ392),-ROUNDDOWN($M393*BJ$5/100,0)),0)</f>
        <v>0</v>
      </c>
      <c r="BK393" s="38">
        <f>IF(AND(BK$7="○",$A393&gt;=BK$8,$A393&lt;=BK$9),IF(SUM(BK$10:BK392)-ROUNDDOWN($L393*BK$5/100,0)&lt;-BK$6,-BK$6-SUM(BK$10:BK392),-ROUNDDOWN($L393*BK$5/100,0)),0)</f>
        <v>0</v>
      </c>
      <c r="BL393" s="38">
        <f>IF(AND(BL$7="○",$A393&gt;=BL$8,$A393&lt;=BL$9),IF(SUM(BL$10:BL392)-ROUNDDOWN($L393*BL$5/100,0)&lt;-BL$6,-BL$6-SUM(BL$10:BL392),-ROUNDDOWN($L393*BL$5/100,0)),0)</f>
        <v>0</v>
      </c>
      <c r="BM393" s="38">
        <f>IF(AND(BM$7="○",$A393&gt;=BM$8,$A393&lt;=BM$9),IF(SUM(BM$10:BM392)-ROUNDDOWN($M393*BM$5/100,0)&lt;-BM$6,-BM$6-SUM(BM$10:BM392),-ROUNDDOWN($M393*BM$5/100,0)),0)</f>
        <v>0</v>
      </c>
      <c r="BN393" s="38">
        <f>IF(AND(BN$7="○",$A393&gt;=BN$8,$A393&lt;=BN$9),IF(SUM(BN$10:BN392)-ROUNDDOWN($M393*BN$5/100,0)&lt;-BN$6,-BN$6-SUM(BN$10:BN392),-ROUNDDOWN($M393*BN$5/100,0)),0)</f>
        <v>0</v>
      </c>
      <c r="BO393" s="38">
        <f>IF(AND(BO$7="○",$A393&gt;=BO$8,$A393&lt;=BO$9),IF(SUM(BO$10:BO392)-ROUNDDOWN($M393*BO$5/100,0)&lt;-BO$6,-BO$6-SUM(BO$10:BO392),-ROUNDDOWN($M393*BO$5/100,0)),0)</f>
        <v>0</v>
      </c>
      <c r="BP393" s="38">
        <f>IF(AND(BP$7="○",$A393&gt;=BP$8,$A393&lt;=BP$9),IF(SUM(BP$10:BP392)-ROUNDDOWN($M393*BP$5/100,0)&lt;-BP$6,-BP$6-SUM(BP$10:BP392),-ROUNDDOWN($M393*BP$5/100,0)),0)</f>
        <v>0</v>
      </c>
      <c r="BQ393" s="38">
        <f>IF(AND(BQ$7="○",$A393&gt;=BQ$8,$A393&lt;=BQ$9),IF(SUM(BQ$10:BQ392)-ROUNDDOWN($L393*BQ$5/100,0)&lt;-BQ$6,-BQ$6-SUM(BQ$10:BQ392),-ROUNDDOWN($L393*BQ$5/100,0)),0)</f>
        <v>0</v>
      </c>
      <c r="BR393" s="38">
        <f>IF(AND(BR$7="○",$A393&gt;=BR$8,$A393&lt;=BR$9),IF(SUM(BR$10:BR392)-ROUNDDOWN($M393*BR$5/100,0)&lt;-BR$6,-BR$6-SUM(BR$10:BR392),-ROUNDDOWN($M393*BR$5/100,0)),0)</f>
        <v>0</v>
      </c>
      <c r="BS393" s="38">
        <f>IF(AND(BS$7="○",$A393&gt;=BS$8,$A393&lt;=BS$9),IF(SUM(BS$10:BS392)-ROUNDDOWN($M393*BS$5/100,0)&lt;-BS$6,-BS$6-SUM(BS$10:BS392),-ROUNDDOWN($M393*BS$5/100,0)),0)</f>
        <v>0</v>
      </c>
      <c r="BT393" s="38">
        <f>IF(AND(BT$7="○",$A393&gt;=BT$8,$A393&lt;=BT$9),IF(SUM(BT$10:BT392)-ROUNDDOWN($M393*BT$5/100,0)&lt;-BT$6,-BT$6-SUM(BT$10:BT392),-ROUNDDOWN($M393*BT$5/100,0)),0)</f>
        <v>0</v>
      </c>
      <c r="BU393" s="38">
        <f>IF(AND(BU$7="○",$A393&gt;=BU$8,$A393&lt;=BU$9),IF(SUM(BU$10:BU392)-ROUNDDOWN($M393*BU$5/100,0)&lt;-BU$6,-BU$6-SUM(BU$10:BU392),-ROUNDDOWN($M393*BU$5/100,0)),0)</f>
        <v>0</v>
      </c>
      <c r="BV393" s="38">
        <f>IF(AND(BV$7="○",$A393&gt;=BV$8,$A393&lt;=BV$9),IF(SUM(BV$10:BV392)-ROUNDDOWN($M393*BV$5/100,0)&lt;-BV$6,-BV$6-SUM(BV$10:BV392),-ROUNDDOWN($M393*BV$5/100,0)),0)</f>
        <v>0</v>
      </c>
      <c r="BW393" s="38">
        <f>IF(AND(BW$7="○",$A393&gt;=BW$8,$A393&lt;=BW$9),IF(SUM(BW$10:BW392)-ROUNDDOWN($M393*BW$5/100,0)&lt;-BW$6,-BW$6-SUM(BW$10:BW392),-ROUNDDOWN($M393*BW$5/100,0)),0)</f>
        <v>0</v>
      </c>
      <c r="BX393" s="38">
        <f>IF(AND(T393="○",$A393&gt;=BX$8,$A393&lt;=BX$9),IF(SUM(BX$10:BX392)-ROUNDDOWN($K393*BX$5/100,0)&lt;-BX$6,-BX$6-SUM(BX$10:BX392),-ROUNDDOWN($K393*BX$5/100,0)),0)</f>
        <v>0</v>
      </c>
      <c r="BY393" s="38">
        <f>IF(AND(U393="○",$A393&gt;=BY$8,$A393&lt;=BY$9),IF(SUM(BY$10:BY392)-ROUNDDOWN($K393*BY$5/100,0)&lt;-BY$6,-BY$6-SUM(BY$10:BY392),-ROUNDDOWN($K393*BY$5/100,0)),0)</f>
        <v>0</v>
      </c>
      <c r="BZ393" s="38">
        <f>IF(AND(V393="○",$A393&gt;=BZ$8,$A393&lt;=BZ$9),IF(SUM(BZ$10:BZ392)-ROUNDDOWN($K393*BZ$5/100,0)&lt;-BZ$6,-BZ$6-SUM(BZ$10:BZ392),-ROUNDDOWN($K393*BZ$5/100,0)),0)</f>
        <v>0</v>
      </c>
      <c r="CA393" s="38">
        <f>IF(AND(W393="○",$A393&gt;=CA$8,$A393&lt;=CA$9),IF(SUM(CA$10:CA392)-ROUNDDOWN($K393*CA$5/100,0)&lt;-CA$6,-CA$6-SUM(CA$10:CA392),-ROUNDDOWN($K393*CA$5/100,0)),0)</f>
        <v>0</v>
      </c>
      <c r="CB393" s="38"/>
      <c r="CC393" s="38"/>
      <c r="CD393" s="38"/>
      <c r="CE393" s="38"/>
      <c r="CF393" s="38"/>
      <c r="CG393" s="65">
        <f t="shared" si="256"/>
        <v>0</v>
      </c>
      <c r="CH393" s="71">
        <f t="shared" si="257"/>
        <v>0</v>
      </c>
      <c r="CI393" s="1">
        <f t="shared" si="276"/>
        <v>0</v>
      </c>
      <c r="CJ393" s="1"/>
      <c r="CK393" s="72"/>
      <c r="CL393" s="72"/>
      <c r="CM393" s="2"/>
      <c r="CN393" s="2"/>
      <c r="CO393" s="73">
        <f t="shared" si="277"/>
        <v>0</v>
      </c>
      <c r="CP393" s="5">
        <f t="shared" si="278"/>
        <v>0</v>
      </c>
      <c r="CQ393" s="1"/>
      <c r="CR393" s="1">
        <f t="shared" si="279"/>
        <v>0</v>
      </c>
      <c r="CS393" s="1"/>
      <c r="CT393" s="1" t="e">
        <f>INDEX([2]マスタ!$A:$A,MATCH(D393,[2]マスタ!$C:$C,0))</f>
        <v>#N/A</v>
      </c>
      <c r="CU393" s="1" t="str">
        <f t="shared" ca="1" si="280"/>
        <v>20260620_0-0</v>
      </c>
    </row>
    <row r="394" spans="1:99" x14ac:dyDescent="0.4">
      <c r="A394" s="61"/>
      <c r="B394" s="62"/>
      <c r="C394" s="62"/>
      <c r="D394" s="62"/>
      <c r="E394" s="77"/>
      <c r="F394" s="62"/>
      <c r="G394" s="62">
        <v>1</v>
      </c>
      <c r="H394" s="64">
        <f t="shared" si="267"/>
        <v>0</v>
      </c>
      <c r="I394" s="64"/>
      <c r="J394" s="64"/>
      <c r="K394" s="65">
        <f>+ROUNDDOWN((H394+I394)/100,0)*100</f>
        <v>0</v>
      </c>
      <c r="L394" s="65">
        <f t="shared" si="269"/>
        <v>0</v>
      </c>
      <c r="M394" s="65">
        <f t="shared" si="270"/>
        <v>0</v>
      </c>
      <c r="N394" s="65">
        <f t="shared" si="271"/>
        <v>0</v>
      </c>
      <c r="O394" s="66" t="str">
        <f t="shared" si="272"/>
        <v>✕</v>
      </c>
      <c r="P394" s="67" t="str">
        <f t="shared" si="273"/>
        <v>○</v>
      </c>
      <c r="Q394" s="67" t="str">
        <f>+IF((TEXT($A394,"DD")+0)=1,"○","✕")</f>
        <v>✕</v>
      </c>
      <c r="R394" s="67" t="str">
        <f t="shared" si="275"/>
        <v>✕</v>
      </c>
      <c r="S394" s="68">
        <v>0</v>
      </c>
      <c r="T394" s="69" t="s">
        <v>85</v>
      </c>
      <c r="U394" s="69" t="s">
        <v>85</v>
      </c>
      <c r="V394" s="69" t="s">
        <v>85</v>
      </c>
      <c r="W394" s="69" t="s">
        <v>85</v>
      </c>
      <c r="X394" s="69" t="s">
        <v>84</v>
      </c>
      <c r="Y394" s="69" t="s">
        <v>85</v>
      </c>
      <c r="Z394" s="69" t="s">
        <v>85</v>
      </c>
      <c r="AA394" s="69" t="s">
        <v>85</v>
      </c>
      <c r="AB394" s="69" t="s">
        <v>85</v>
      </c>
      <c r="AC394" s="69" t="s">
        <v>85</v>
      </c>
      <c r="AD394" s="38" t="str">
        <f>+IF(ISERROR(VLOOKUP($B394,AD$10:AD393,1,0)),IF(AND($N394&gt;=1000,$A394&gt;=AO$8,$A394&lt;=AO$9),$B394,""),"")</f>
        <v/>
      </c>
      <c r="AE394" s="38" t="str">
        <f>+IF(ISERROR(VLOOKUP($B394,AE$10:AE393,1,0)),IF(AND($N394&gt;=1000,$A394&gt;=AP$8,$A394&lt;=AP$9),$B394,""),"")</f>
        <v/>
      </c>
      <c r="AF394" s="38" t="str">
        <f>+IF(ISERROR(VLOOKUP($B394,AF$10:AF393,1,0)),IF(AND($N394&gt;=1000,$A394&gt;=AQ$8,$A394&lt;=AQ$9),$B394,""),"")</f>
        <v/>
      </c>
      <c r="AG394" s="38" t="str">
        <f>+IF(ISERROR(VLOOKUP($B394,AG$10:AG393,1,0)),IF(AND($N394&gt;=1000,$A394&gt;=AR$8,$A394&lt;=AR$9),$B394,""),"")</f>
        <v/>
      </c>
      <c r="AH394" s="38"/>
      <c r="AI394" s="70">
        <v>0</v>
      </c>
      <c r="AJ394" s="38">
        <f>IF(AND(AJ$7="○",$A394&gt;=AJ$8,$A394&lt;=AJ$9),IF(SUM(AJ$10:AJ393)-ROUNDDOWN($K394*AJ$5/100,0)&lt;-AJ$6,-AJ$6-SUM(AJ$10:AJ393),-ROUNDDOWN($K394*AJ$5/100,0)),0)</f>
        <v>0</v>
      </c>
      <c r="AK394" s="38">
        <f>IF(AND(AK$7="○",$A394&gt;=AK$8,$A394&lt;=AK$9),IF(SUM(AK$10:AK393)-ROUNDDOWN($L394*AK$5/100,0)&lt;-AK$6,-AK$6-SUM(AK$10:AK393),-ROUNDDOWN($L394*AK$5/100,0)),0)</f>
        <v>0</v>
      </c>
      <c r="AL394" s="38">
        <f>IF(AND(AL$7="○",$A394&gt;=AL$8,$A394&lt;=AL$9),IF(SUM(AL$10:AL393)-ROUNDDOWN($N394*AL$5/100,0)&lt;-AL$6,-AL$6-SUM(AL$10:AL393),-ROUNDDOWN($N394*AL$5/100,0)),0)</f>
        <v>0</v>
      </c>
      <c r="AM394" s="38">
        <f>IF(AND(AM$7="○",$A394&gt;=AM$8,$A394&lt;=AM$9),IF(SUM(AM$10:AM393)-ROUNDDOWN($L394*AM$5/100,0)&lt;-AM$6,-AM$6-SUM(AM$10:AM393),-ROUNDDOWN($L394*AM$5/100,0)),0)</f>
        <v>0</v>
      </c>
      <c r="AN394" s="38">
        <f>IF(AND(AN$7="○",$A394&gt;=AN$8,$A394&lt;=AN$9),IF(SUM(AN$10:AN393)-ROUNDDOWN($M394*AN$5/100,0)&lt;-AN$6,-AN$6-SUM(AN$10:AN393),-ROUNDDOWN($M394*AN$5/100,0)),0)</f>
        <v>0</v>
      </c>
      <c r="AO394" s="38">
        <f>IF(AND($A394&gt;=AO$8,$A394&lt;=AO$9),IF(SUM(AO$10:AO393)-ROUNDDOWN($K394*AO$5/100,0)&lt;-AO$6,-AO$6-SUM(AO$10:AO393),-ROUNDDOWN($K394*AO$5/100,0)),0)</f>
        <v>0</v>
      </c>
      <c r="AP394" s="38">
        <f>IF(AND($A394&gt;=AP$8,$A394&lt;=AP$9),IF(SUM(AP$10:AP393)-ROUNDDOWN($K394*AP$5/100,0)&lt;-AP$6,-AP$6-SUM(AP$10:AP393),-ROUNDDOWN($K394*AP$5/100,0)),0)</f>
        <v>0</v>
      </c>
      <c r="AQ394" s="38">
        <f>IF(AND($A394&gt;=AQ$8,$A394&lt;=AQ$9),IF(SUM(AQ$10:AQ393)-ROUNDDOWN($K394*AQ$5/100,0)&lt;-AQ$6,-AQ$6-SUM(AQ$10:AQ393),-ROUNDDOWN($K394*AQ$5/100,0)),0)</f>
        <v>0</v>
      </c>
      <c r="AR394" s="38">
        <f>IF(AND($A394&gt;=AR$8,$A394&lt;=AR$9),IF(SUM(AR$10:AR393)-ROUNDDOWN($K394*AR$5/100,0)&lt;-AR$6,-AR$6-SUM(AR$10:AR393),-ROUNDDOWN($K394*AR$5/100,0)),0)</f>
        <v>0</v>
      </c>
      <c r="AS394" s="38">
        <f>IF(SUMIFS(AS$10:AS393,$A$10:$A393,$A394)-ROUNDDOWN($K394*$S394/100,0)&lt;-$S394*1000,-$S394*1000-SUMIFS(AS$10:AS393,$A$10:$A393,$A394),-ROUNDDOWN($K394*$S394/100,0))</f>
        <v>0</v>
      </c>
      <c r="AT394" s="38">
        <f>IF(AND(X394="○",$A394&gt;=AT$8,$A394&lt;=AT$9,K394&gt;=3980),IF(SUM(AT$10:AT393)-ROUNDDOWN($K394*AT$5/100,0)&lt;-AT$6,-AT$6-SUM(AT$10:AT393),-ROUNDDOWN($K394*AT$5/100,0)),0)</f>
        <v>0</v>
      </c>
      <c r="AU394" s="38">
        <f>IF(O394="○",IF(SUM(AU$10:AU393)-ROUNDDOWN($K394*AU$5/100,0)&lt;-AU$6,-AU$6-SUM(AU$10:AU393),-ROUNDDOWN($K394*AU$5/100,0)),0)</f>
        <v>0</v>
      </c>
      <c r="AV394" s="38">
        <f>IF(P394="○",IF(SUM(AV$10:AV393)-ROUNDDOWN($K394*AV$5/100,0)&lt;-AV$6,-AV$6-SUM(AV$10:AV393),-ROUNDDOWN($K394*AV$5/100,0)),0)</f>
        <v>0</v>
      </c>
      <c r="AW394" s="38">
        <f>IF(Q394="○",IF(SUM(AW$10:AW393)-ROUNDDOWN($K394*AW$5/100,0)&lt;-AW$6,-AW$6-SUM(AW$10:AW393),-ROUNDDOWN($K394*AW$5/100,0)),0)</f>
        <v>0</v>
      </c>
      <c r="AX394" s="38">
        <f>IF(R394="○",IF(SUM(AX$10:AX393)-ROUNDDOWN($K394*AX$5/100,0)&lt;-AX$6,-AX$6-SUM(AX$10:AX393),-ROUNDDOWN($K394*AX$5/100,0)),0)</f>
        <v>0</v>
      </c>
      <c r="AY394" s="70">
        <v>0</v>
      </c>
      <c r="AZ394" s="65">
        <f t="shared" si="250"/>
        <v>0</v>
      </c>
      <c r="BA394" s="65">
        <f t="shared" si="251"/>
        <v>0</v>
      </c>
      <c r="BB394" s="70"/>
      <c r="BC394" s="65">
        <f t="shared" si="252"/>
        <v>0</v>
      </c>
      <c r="BD394" s="70">
        <v>0</v>
      </c>
      <c r="BE394" s="65">
        <f t="shared" si="253"/>
        <v>0</v>
      </c>
      <c r="BF394" s="70">
        <v>0</v>
      </c>
      <c r="BG394" s="65">
        <f t="shared" si="254"/>
        <v>0</v>
      </c>
      <c r="BH394" s="70">
        <v>0</v>
      </c>
      <c r="BI394" s="65">
        <f t="shared" si="255"/>
        <v>0</v>
      </c>
      <c r="BJ394" s="38">
        <f>IF(AND(BJ$7="○",$A394&gt;=BJ$8,$A394&lt;=BJ$9),IF(SUM(BJ$10:BJ393)-ROUNDDOWN($M394*BJ$5/100,0)&lt;-BJ$6,-BJ$6-SUM(BJ$10:BJ393),-ROUNDDOWN($M394*BJ$5/100,0)),0)</f>
        <v>0</v>
      </c>
      <c r="BK394" s="38">
        <f>IF(AND(BK$7="○",$A394&gt;=BK$8,$A394&lt;=BK$9),IF(SUM(BK$10:BK393)-ROUNDDOWN($L394*BK$5/100,0)&lt;-BK$6,-BK$6-SUM(BK$10:BK393),-ROUNDDOWN($L394*BK$5/100,0)),0)</f>
        <v>0</v>
      </c>
      <c r="BL394" s="38">
        <f>IF(AND(BL$7="○",$A394&gt;=BL$8,$A394&lt;=BL$9),IF(SUM(BL$10:BL393)-ROUNDDOWN($L394*BL$5/100,0)&lt;-BL$6,-BL$6-SUM(BL$10:BL393),-ROUNDDOWN($L394*BL$5/100,0)),0)</f>
        <v>0</v>
      </c>
      <c r="BM394" s="38">
        <f>IF(AND(BM$7="○",$A394&gt;=BM$8,$A394&lt;=BM$9),IF(SUM(BM$10:BM393)-ROUNDDOWN($M394*BM$5/100,0)&lt;-BM$6,-BM$6-SUM(BM$10:BM393),-ROUNDDOWN($M394*BM$5/100,0)),0)</f>
        <v>0</v>
      </c>
      <c r="BN394" s="38">
        <f>IF(AND(BN$7="○",$A394&gt;=BN$8,$A394&lt;=BN$9),IF(SUM(BN$10:BN393)-ROUNDDOWN($M394*BN$5/100,0)&lt;-BN$6,-BN$6-SUM(BN$10:BN393),-ROUNDDOWN($M394*BN$5/100,0)),0)</f>
        <v>0</v>
      </c>
      <c r="BO394" s="38">
        <f>IF(AND(BO$7="○",$A394&gt;=BO$8,$A394&lt;=BO$9),IF(SUM(BO$10:BO393)-ROUNDDOWN($M394*BO$5/100,0)&lt;-BO$6,-BO$6-SUM(BO$10:BO393),-ROUNDDOWN($M394*BO$5/100,0)),0)</f>
        <v>0</v>
      </c>
      <c r="BP394" s="38">
        <f>IF(AND(BP$7="○",$A394&gt;=BP$8,$A394&lt;=BP$9),IF(SUM(BP$10:BP393)-ROUNDDOWN($M394*BP$5/100,0)&lt;-BP$6,-BP$6-SUM(BP$10:BP393),-ROUNDDOWN($M394*BP$5/100,0)),0)</f>
        <v>0</v>
      </c>
      <c r="BQ394" s="38">
        <f>IF(AND(BQ$7="○",$A394&gt;=BQ$8,$A394&lt;=BQ$9),IF(SUM(BQ$10:BQ393)-ROUNDDOWN($L394*BQ$5/100,0)&lt;-BQ$6,-BQ$6-SUM(BQ$10:BQ393),-ROUNDDOWN($L394*BQ$5/100,0)),0)</f>
        <v>0</v>
      </c>
      <c r="BR394" s="38">
        <f>IF(AND(BR$7="○",$A394&gt;=BR$8,$A394&lt;=BR$9),IF(SUM(BR$10:BR393)-ROUNDDOWN($M394*BR$5/100,0)&lt;-BR$6,-BR$6-SUM(BR$10:BR393),-ROUNDDOWN($M394*BR$5/100,0)),0)</f>
        <v>0</v>
      </c>
      <c r="BS394" s="38">
        <f>IF(AND(BS$7="○",$A394&gt;=BS$8,$A394&lt;=BS$9),IF(SUM(BS$10:BS393)-ROUNDDOWN($M394*BS$5/100,0)&lt;-BS$6,-BS$6-SUM(BS$10:BS393),-ROUNDDOWN($M394*BS$5/100,0)),0)</f>
        <v>0</v>
      </c>
      <c r="BT394" s="38">
        <f>IF(AND(BT$7="○",$A394&gt;=BT$8,$A394&lt;=BT$9),IF(SUM(BT$10:BT393)-ROUNDDOWN($M394*BT$5/100,0)&lt;-BT$6,-BT$6-SUM(BT$10:BT393),-ROUNDDOWN($M394*BT$5/100,0)),0)</f>
        <v>0</v>
      </c>
      <c r="BU394" s="38">
        <f>IF(AND(BU$7="○",$A394&gt;=BU$8,$A394&lt;=BU$9),IF(SUM(BU$10:BU393)-ROUNDDOWN($M394*BU$5/100,0)&lt;-BU$6,-BU$6-SUM(BU$10:BU393),-ROUNDDOWN($M394*BU$5/100,0)),0)</f>
        <v>0</v>
      </c>
      <c r="BV394" s="38">
        <f>IF(AND(BV$7="○",$A394&gt;=BV$8,$A394&lt;=BV$9),IF(SUM(BV$10:BV393)-ROUNDDOWN($M394*BV$5/100,0)&lt;-BV$6,-BV$6-SUM(BV$10:BV393),-ROUNDDOWN($M394*BV$5/100,0)),0)</f>
        <v>0</v>
      </c>
      <c r="BW394" s="38">
        <f>IF(AND(BW$7="○",$A394&gt;=BW$8,$A394&lt;=BW$9),IF(SUM(BW$10:BW393)-ROUNDDOWN($M394*BW$5/100,0)&lt;-BW$6,-BW$6-SUM(BW$10:BW393),-ROUNDDOWN($M394*BW$5/100,0)),0)</f>
        <v>0</v>
      </c>
      <c r="BX394" s="38">
        <f>IF(AND(T394="○",$A394&gt;=BX$8,$A394&lt;=BX$9),IF(SUM(BX$10:BX393)-ROUNDDOWN($K394*BX$5/100,0)&lt;-BX$6,-BX$6-SUM(BX$10:BX393),-ROUNDDOWN($K394*BX$5/100,0)),0)</f>
        <v>0</v>
      </c>
      <c r="BY394" s="38">
        <f>IF(AND(U394="○",$A394&gt;=BY$8,$A394&lt;=BY$9),IF(SUM(BY$10:BY393)-ROUNDDOWN($K394*BY$5/100,0)&lt;-BY$6,-BY$6-SUM(BY$10:BY393),-ROUNDDOWN($K394*BY$5/100,0)),0)</f>
        <v>0</v>
      </c>
      <c r="BZ394" s="38">
        <f>IF(AND(V394="○",$A394&gt;=BZ$8,$A394&lt;=BZ$9),IF(SUM(BZ$10:BZ393)-ROUNDDOWN($K394*BZ$5/100,0)&lt;-BZ$6,-BZ$6-SUM(BZ$10:BZ393),-ROUNDDOWN($K394*BZ$5/100,0)),0)</f>
        <v>0</v>
      </c>
      <c r="CA394" s="38">
        <f>IF(AND(W394="○",$A394&gt;=CA$8,$A394&lt;=CA$9),IF(SUM(CA$10:CA393)-ROUNDDOWN($K394*CA$5/100,0)&lt;-CA$6,-CA$6-SUM(CA$10:CA393),-ROUNDDOWN($K394*CA$5/100,0)),0)</f>
        <v>0</v>
      </c>
      <c r="CB394" s="38"/>
      <c r="CC394" s="38"/>
      <c r="CD394" s="38"/>
      <c r="CE394" s="38"/>
      <c r="CF394" s="38"/>
      <c r="CG394" s="65">
        <f t="shared" si="256"/>
        <v>0</v>
      </c>
      <c r="CH394" s="71">
        <f t="shared" si="257"/>
        <v>0</v>
      </c>
      <c r="CI394" s="1">
        <f t="shared" si="276"/>
        <v>0</v>
      </c>
      <c r="CJ394" s="1"/>
      <c r="CK394" s="79"/>
      <c r="CL394" s="79"/>
      <c r="CM394" s="2"/>
      <c r="CN394" s="2"/>
      <c r="CO394" s="73">
        <f t="shared" si="277"/>
        <v>0</v>
      </c>
      <c r="CP394" s="5">
        <f t="shared" si="278"/>
        <v>0</v>
      </c>
      <c r="CQ394" s="1"/>
      <c r="CR394" s="1">
        <f t="shared" si="279"/>
        <v>0</v>
      </c>
      <c r="CS394" s="1"/>
      <c r="CT394" s="1" t="e">
        <f>INDEX([2]マスタ!$A:$A,MATCH(D394,[2]マスタ!$C:$C,0))</f>
        <v>#N/A</v>
      </c>
      <c r="CU394" s="1" t="str">
        <f t="shared" ca="1" si="280"/>
        <v>20260620_0-0</v>
      </c>
    </row>
    <row r="395" spans="1:99" x14ac:dyDescent="0.4">
      <c r="A395" s="61"/>
      <c r="B395" s="62"/>
      <c r="C395" s="62"/>
      <c r="D395" s="62"/>
      <c r="E395" s="63"/>
      <c r="F395" s="62"/>
      <c r="G395" s="62">
        <v>1</v>
      </c>
      <c r="H395" s="64">
        <f t="shared" si="267"/>
        <v>0</v>
      </c>
      <c r="I395" s="64"/>
      <c r="J395" s="64"/>
      <c r="K395" s="65">
        <f>+ROUNDDOWN((H395+I395)/100,0)*100</f>
        <v>0</v>
      </c>
      <c r="L395" s="65">
        <f t="shared" si="269"/>
        <v>0</v>
      </c>
      <c r="M395" s="65">
        <f t="shared" si="270"/>
        <v>0</v>
      </c>
      <c r="N395" s="65">
        <f t="shared" si="271"/>
        <v>0</v>
      </c>
      <c r="O395" s="66" t="str">
        <f t="shared" si="272"/>
        <v>✕</v>
      </c>
      <c r="P395" s="67" t="str">
        <f t="shared" si="273"/>
        <v>○</v>
      </c>
      <c r="Q395" s="67" t="str">
        <f>+IF((TEXT($A395,"DD")+0)=1,"○","✕")</f>
        <v>✕</v>
      </c>
      <c r="R395" s="67" t="str">
        <f t="shared" si="275"/>
        <v>✕</v>
      </c>
      <c r="S395" s="68">
        <v>0</v>
      </c>
      <c r="T395" s="69" t="s">
        <v>85</v>
      </c>
      <c r="U395" s="69" t="s">
        <v>85</v>
      </c>
      <c r="V395" s="69" t="s">
        <v>85</v>
      </c>
      <c r="W395" s="69" t="s">
        <v>85</v>
      </c>
      <c r="X395" s="69" t="s">
        <v>84</v>
      </c>
      <c r="Y395" s="69" t="s">
        <v>85</v>
      </c>
      <c r="Z395" s="69" t="s">
        <v>85</v>
      </c>
      <c r="AA395" s="69" t="s">
        <v>85</v>
      </c>
      <c r="AB395" s="69" t="s">
        <v>85</v>
      </c>
      <c r="AC395" s="69" t="s">
        <v>85</v>
      </c>
      <c r="AD395" s="38" t="str">
        <f>+IF(ISERROR(VLOOKUP($B395,AD$10:AD394,1,0)),IF(AND($N395&gt;=1000,$A395&gt;=AO$8,$A395&lt;=AO$9),$B395,""),"")</f>
        <v/>
      </c>
      <c r="AE395" s="38" t="str">
        <f>+IF(ISERROR(VLOOKUP($B395,AE$10:AE394,1,0)),IF(AND($N395&gt;=1000,$A395&gt;=AP$8,$A395&lt;=AP$9),$B395,""),"")</f>
        <v/>
      </c>
      <c r="AF395" s="38" t="str">
        <f>+IF(ISERROR(VLOOKUP($B395,AF$10:AF394,1,0)),IF(AND($N395&gt;=1000,$A395&gt;=AQ$8,$A395&lt;=AQ$9),$B395,""),"")</f>
        <v/>
      </c>
      <c r="AG395" s="38" t="str">
        <f>+IF(ISERROR(VLOOKUP($B395,AG$10:AG394,1,0)),IF(AND($N395&gt;=1000,$A395&gt;=AR$8,$A395&lt;=AR$9),$B395,""),"")</f>
        <v/>
      </c>
      <c r="AH395" s="38"/>
      <c r="AI395" s="70">
        <v>0</v>
      </c>
      <c r="AJ395" s="38">
        <f>IF(AND(AJ$7="○",$A395&gt;=AJ$8,$A395&lt;=AJ$9),IF(SUM(AJ$10:AJ394)-ROUNDDOWN($K395*AJ$5/100,0)&lt;-AJ$6,-AJ$6-SUM(AJ$10:AJ394),-ROUNDDOWN($K395*AJ$5/100,0)),0)</f>
        <v>0</v>
      </c>
      <c r="AK395" s="38">
        <f>IF(AND(AK$7="○",$A395&gt;=AK$8,$A395&lt;=AK$9),IF(SUM(AK$10:AK394)-ROUNDDOWN($L395*AK$5/100,0)&lt;-AK$6,-AK$6-SUM(AK$10:AK394),-ROUNDDOWN($L395*AK$5/100,0)),0)</f>
        <v>0</v>
      </c>
      <c r="AL395" s="38">
        <f>IF(AND(AL$7="○",$A395&gt;=AL$8,$A395&lt;=AL$9),IF(SUM(AL$10:AL394)-ROUNDDOWN($N395*AL$5/100,0)&lt;-AL$6,-AL$6-SUM(AL$10:AL394),-ROUNDDOWN($N395*AL$5/100,0)),0)</f>
        <v>0</v>
      </c>
      <c r="AM395" s="38">
        <f>IF(AND(AM$7="○",$A395&gt;=AM$8,$A395&lt;=AM$9),IF(SUM(AM$10:AM394)-ROUNDDOWN($L395*AM$5/100,0)&lt;-AM$6,-AM$6-SUM(AM$10:AM394),-ROUNDDOWN($L395*AM$5/100,0)),0)</f>
        <v>0</v>
      </c>
      <c r="AN395" s="38">
        <f>IF(AND(AN$7="○",$A395&gt;=AN$8,$A395&lt;=AN$9),IF(SUM(AN$10:AN394)-ROUNDDOWN($M395*AN$5/100,0)&lt;-AN$6,-AN$6-SUM(AN$10:AN394),-ROUNDDOWN($M395*AN$5/100,0)),0)</f>
        <v>0</v>
      </c>
      <c r="AO395" s="38">
        <f>IF(AND($A395&gt;=AO$8,$A395&lt;=AO$9),IF(SUM(AO$10:AO394)-ROUNDDOWN($K395*AO$5/100,0)&lt;-AO$6,-AO$6-SUM(AO$10:AO394),-ROUNDDOWN($K395*AO$5/100,0)),0)</f>
        <v>0</v>
      </c>
      <c r="AP395" s="38">
        <f>IF(AND($A395&gt;=AP$8,$A395&lt;=AP$9),IF(SUM(AP$10:AP394)-ROUNDDOWN($K395*AP$5/100,0)&lt;-AP$6,-AP$6-SUM(AP$10:AP394),-ROUNDDOWN($K395*AP$5/100,0)),0)</f>
        <v>0</v>
      </c>
      <c r="AQ395" s="38">
        <f>IF(AND($A395&gt;=AQ$8,$A395&lt;=AQ$9),IF(SUM(AQ$10:AQ394)-ROUNDDOWN($K395*AQ$5/100,0)&lt;-AQ$6,-AQ$6-SUM(AQ$10:AQ394),-ROUNDDOWN($K395*AQ$5/100,0)),0)</f>
        <v>0</v>
      </c>
      <c r="AR395" s="38">
        <f>IF(AND($A395&gt;=AR$8,$A395&lt;=AR$9),IF(SUM(AR$10:AR394)-ROUNDDOWN($K395*AR$5/100,0)&lt;-AR$6,-AR$6-SUM(AR$10:AR394),-ROUNDDOWN($K395*AR$5/100,0)),0)</f>
        <v>0</v>
      </c>
      <c r="AS395" s="38">
        <f>IF(SUMIFS(AS$10:AS394,$A$10:$A394,$A395)-ROUNDDOWN($K395*$S395/100,0)&lt;-$S395*1000,-$S395*1000-SUMIFS(AS$10:AS394,$A$10:$A394,$A395),-ROUNDDOWN($K395*$S395/100,0))</f>
        <v>0</v>
      </c>
      <c r="AT395" s="38">
        <f>IF(AND(X395="○",$A395&gt;=AT$8,$A395&lt;=AT$9,K395&gt;=3980),IF(SUM(AT$10:AT394)-ROUNDDOWN($K395*AT$5/100,0)&lt;-AT$6,-AT$6-SUM(AT$10:AT394),-ROUNDDOWN($K395*AT$5/100,0)),0)</f>
        <v>0</v>
      </c>
      <c r="AU395" s="38">
        <f>IF(O395="○",IF(SUM(AU$10:AU394)-ROUNDDOWN($K395*AU$5/100,0)&lt;-AU$6,-AU$6-SUM(AU$10:AU394),-ROUNDDOWN($K395*AU$5/100,0)),0)</f>
        <v>0</v>
      </c>
      <c r="AV395" s="38">
        <f>IF(P395="○",IF(SUM(AV$10:AV394)-ROUNDDOWN($K395*AV$5/100,0)&lt;-AV$6,-AV$6-SUM(AV$10:AV394),-ROUNDDOWN($K395*AV$5/100,0)),0)</f>
        <v>0</v>
      </c>
      <c r="AW395" s="38">
        <f>IF(Q395="○",IF(SUM(AW$10:AW394)-ROUNDDOWN($K395*AW$5/100,0)&lt;-AW$6,-AW$6-SUM(AW$10:AW394),-ROUNDDOWN($K395*AW$5/100,0)),0)</f>
        <v>0</v>
      </c>
      <c r="AX395" s="38">
        <f>IF(R395="○",IF(SUM(AX$10:AX394)-ROUNDDOWN($K395*AX$5/100,0)&lt;-AX$6,-AX$6-SUM(AX$10:AX394),-ROUNDDOWN($K395*AX$5/100,0)),0)</f>
        <v>0</v>
      </c>
      <c r="AY395" s="70">
        <v>0</v>
      </c>
      <c r="AZ395" s="65">
        <f t="shared" si="250"/>
        <v>0</v>
      </c>
      <c r="BA395" s="65">
        <f t="shared" si="251"/>
        <v>0</v>
      </c>
      <c r="BB395" s="70"/>
      <c r="BC395" s="65">
        <f t="shared" si="252"/>
        <v>0</v>
      </c>
      <c r="BD395" s="70">
        <v>0</v>
      </c>
      <c r="BE395" s="65">
        <f t="shared" si="253"/>
        <v>0</v>
      </c>
      <c r="BF395" s="70">
        <v>0</v>
      </c>
      <c r="BG395" s="65">
        <f t="shared" si="254"/>
        <v>0</v>
      </c>
      <c r="BH395" s="70">
        <v>0</v>
      </c>
      <c r="BI395" s="65">
        <f t="shared" si="255"/>
        <v>0</v>
      </c>
      <c r="BJ395" s="38">
        <f>IF(AND(BJ$7="○",$A395&gt;=BJ$8,$A395&lt;=BJ$9),IF(SUM(BJ$10:BJ394)-ROUNDDOWN($M395*BJ$5/100,0)&lt;-BJ$6,-BJ$6-SUM(BJ$10:BJ394),-ROUNDDOWN($M395*BJ$5/100,0)),0)</f>
        <v>0</v>
      </c>
      <c r="BK395" s="38">
        <f>IF(AND(BK$7="○",$A395&gt;=BK$8,$A395&lt;=BK$9),IF(SUM(BK$10:BK394)-ROUNDDOWN($L395*BK$5/100,0)&lt;-BK$6,-BK$6-SUM(BK$10:BK394),-ROUNDDOWN($L395*BK$5/100,0)),0)</f>
        <v>0</v>
      </c>
      <c r="BL395" s="38">
        <f>IF(AND(BL$7="○",$A395&gt;=BL$8,$A395&lt;=BL$9),IF(SUM(BL$10:BL394)-ROUNDDOWN($L395*BL$5/100,0)&lt;-BL$6,-BL$6-SUM(BL$10:BL394),-ROUNDDOWN($L395*BL$5/100,0)),0)</f>
        <v>0</v>
      </c>
      <c r="BM395" s="38">
        <f>IF(AND(BM$7="○",$A395&gt;=BM$8,$A395&lt;=BM$9),IF(SUM(BM$10:BM394)-ROUNDDOWN($M395*BM$5/100,0)&lt;-BM$6,-BM$6-SUM(BM$10:BM394),-ROUNDDOWN($M395*BM$5/100,0)),0)</f>
        <v>0</v>
      </c>
      <c r="BN395" s="38">
        <f>IF(AND(BN$7="○",$A395&gt;=BN$8,$A395&lt;=BN$9),IF(SUM(BN$10:BN394)-ROUNDDOWN($M395*BN$5/100,0)&lt;-BN$6,-BN$6-SUM(BN$10:BN394),-ROUNDDOWN($M395*BN$5/100,0)),0)</f>
        <v>0</v>
      </c>
      <c r="BO395" s="38">
        <f>IF(AND(BO$7="○",$A395&gt;=BO$8,$A395&lt;=BO$9),IF(SUM(BO$10:BO394)-ROUNDDOWN($M395*BO$5/100,0)&lt;-BO$6,-BO$6-SUM(BO$10:BO394),-ROUNDDOWN($M395*BO$5/100,0)),0)</f>
        <v>0</v>
      </c>
      <c r="BP395" s="38">
        <f>IF(AND(BP$7="○",$A395&gt;=BP$8,$A395&lt;=BP$9),IF(SUM(BP$10:BP394)-ROUNDDOWN($M395*BP$5/100,0)&lt;-BP$6,-BP$6-SUM(BP$10:BP394),-ROUNDDOWN($M395*BP$5/100,0)),0)</f>
        <v>0</v>
      </c>
      <c r="BQ395" s="38">
        <f>IF(AND(BQ$7="○",$A395&gt;=BQ$8,$A395&lt;=BQ$9),IF(SUM(BQ$10:BQ394)-ROUNDDOWN($L395*BQ$5/100,0)&lt;-BQ$6,-BQ$6-SUM(BQ$10:BQ394),-ROUNDDOWN($L395*BQ$5/100,0)),0)</f>
        <v>0</v>
      </c>
      <c r="BR395" s="38">
        <f>IF(AND(BR$7="○",$A395&gt;=BR$8,$A395&lt;=BR$9),IF(SUM(BR$10:BR394)-ROUNDDOWN($M395*BR$5/100,0)&lt;-BR$6,-BR$6-SUM(BR$10:BR394),-ROUNDDOWN($M395*BR$5/100,0)),0)</f>
        <v>0</v>
      </c>
      <c r="BS395" s="38">
        <f>IF(AND(BS$7="○",$A395&gt;=BS$8,$A395&lt;=BS$9),IF(SUM(BS$10:BS394)-ROUNDDOWN($M395*BS$5/100,0)&lt;-BS$6,-BS$6-SUM(BS$10:BS394),-ROUNDDOWN($M395*BS$5/100,0)),0)</f>
        <v>0</v>
      </c>
      <c r="BT395" s="38">
        <f>IF(AND(BT$7="○",$A395&gt;=BT$8,$A395&lt;=BT$9),IF(SUM(BT$10:BT394)-ROUNDDOWN($M395*BT$5/100,0)&lt;-BT$6,-BT$6-SUM(BT$10:BT394),-ROUNDDOWN($M395*BT$5/100,0)),0)</f>
        <v>0</v>
      </c>
      <c r="BU395" s="38">
        <f>IF(AND(BU$7="○",$A395&gt;=BU$8,$A395&lt;=BU$9),IF(SUM(BU$10:BU394)-ROUNDDOWN($M395*BU$5/100,0)&lt;-BU$6,-BU$6-SUM(BU$10:BU394),-ROUNDDOWN($M395*BU$5/100,0)),0)</f>
        <v>0</v>
      </c>
      <c r="BV395" s="38">
        <f>IF(AND(BV$7="○",$A395&gt;=BV$8,$A395&lt;=BV$9),IF(SUM(BV$10:BV394)-ROUNDDOWN($M395*BV$5/100,0)&lt;-BV$6,-BV$6-SUM(BV$10:BV394),-ROUNDDOWN($M395*BV$5/100,0)),0)</f>
        <v>0</v>
      </c>
      <c r="BW395" s="38">
        <f>IF(AND(BW$7="○",$A395&gt;=BW$8,$A395&lt;=BW$9),IF(SUM(BW$10:BW394)-ROUNDDOWN($M395*BW$5/100,0)&lt;-BW$6,-BW$6-SUM(BW$10:BW394),-ROUNDDOWN($M395*BW$5/100,0)),0)</f>
        <v>0</v>
      </c>
      <c r="BX395" s="38">
        <f>IF(AND(T395="○",$A395&gt;=BX$8,$A395&lt;=BX$9),IF(SUM(BX$10:BX394)-ROUNDDOWN($K395*BX$5/100,0)&lt;-BX$6,-BX$6-SUM(BX$10:BX394),-ROUNDDOWN($K395*BX$5/100,0)),0)</f>
        <v>0</v>
      </c>
      <c r="BY395" s="38">
        <f>IF(AND(U395="○",$A395&gt;=BY$8,$A395&lt;=BY$9),IF(SUM(BY$10:BY394)-ROUNDDOWN($K395*BY$5/100,0)&lt;-BY$6,-BY$6-SUM(BY$10:BY394),-ROUNDDOWN($K395*BY$5/100,0)),0)</f>
        <v>0</v>
      </c>
      <c r="BZ395" s="38">
        <f>IF(AND(V395="○",$A395&gt;=BZ$8,$A395&lt;=BZ$9),IF(SUM(BZ$10:BZ394)-ROUNDDOWN($K395*BZ$5/100,0)&lt;-BZ$6,-BZ$6-SUM(BZ$10:BZ394),-ROUNDDOWN($K395*BZ$5/100,0)),0)</f>
        <v>0</v>
      </c>
      <c r="CA395" s="38">
        <f>IF(AND(W395="○",$A395&gt;=CA$8,$A395&lt;=CA$9),IF(SUM(CA$10:CA394)-ROUNDDOWN($K395*CA$5/100,0)&lt;-CA$6,-CA$6-SUM(CA$10:CA394),-ROUNDDOWN($K395*CA$5/100,0)),0)</f>
        <v>0</v>
      </c>
      <c r="CB395" s="38"/>
      <c r="CC395" s="38"/>
      <c r="CD395" s="38"/>
      <c r="CE395" s="38"/>
      <c r="CF395" s="38"/>
      <c r="CG395" s="65">
        <f t="shared" si="256"/>
        <v>0</v>
      </c>
      <c r="CH395" s="71">
        <f t="shared" si="257"/>
        <v>0</v>
      </c>
      <c r="CI395" s="1">
        <f t="shared" si="276"/>
        <v>0</v>
      </c>
      <c r="CJ395" s="1"/>
      <c r="CK395" s="79"/>
      <c r="CL395" s="79"/>
      <c r="CM395" s="2"/>
      <c r="CN395" s="2"/>
      <c r="CO395" s="73">
        <f t="shared" si="277"/>
        <v>0</v>
      </c>
      <c r="CP395" s="5">
        <f t="shared" si="278"/>
        <v>0</v>
      </c>
      <c r="CQ395" s="1"/>
      <c r="CR395" s="1">
        <f t="shared" si="279"/>
        <v>0</v>
      </c>
      <c r="CS395" s="1"/>
      <c r="CT395" s="1" t="e">
        <f>INDEX([2]マスタ!$A:$A,MATCH(D395,[2]マスタ!$C:$C,0))</f>
        <v>#N/A</v>
      </c>
      <c r="CU395" s="1" t="str">
        <f t="shared" ca="1" si="280"/>
        <v>20260620_0-0</v>
      </c>
    </row>
    <row r="396" spans="1:99" x14ac:dyDescent="0.4">
      <c r="A396" s="61"/>
      <c r="B396" s="62"/>
      <c r="C396" s="62"/>
      <c r="D396" s="62"/>
      <c r="E396" s="63"/>
      <c r="F396" s="62"/>
      <c r="G396" s="62">
        <v>1</v>
      </c>
      <c r="H396" s="64">
        <f t="shared" si="267"/>
        <v>0</v>
      </c>
      <c r="I396" s="64"/>
      <c r="J396" s="64"/>
      <c r="K396" s="65">
        <f t="shared" ref="K396:K405" si="283">+ROUNDDOWN((H396+I396+J396)/100,0)*100</f>
        <v>0</v>
      </c>
      <c r="L396" s="65">
        <f t="shared" si="269"/>
        <v>0</v>
      </c>
      <c r="M396" s="65">
        <f t="shared" si="270"/>
        <v>0</v>
      </c>
      <c r="N396" s="65">
        <f t="shared" si="271"/>
        <v>0</v>
      </c>
      <c r="O396" s="66" t="str">
        <f t="shared" si="272"/>
        <v>✕</v>
      </c>
      <c r="P396" s="67" t="str">
        <f t="shared" si="273"/>
        <v>○</v>
      </c>
      <c r="Q396" s="67" t="str">
        <f t="shared" ref="Q396:Q405" si="284">+IF((TEXT(A396,"DD")+0)=1,"○","✕")</f>
        <v>✕</v>
      </c>
      <c r="R396" s="67" t="str">
        <f t="shared" si="275"/>
        <v>✕</v>
      </c>
      <c r="S396" s="68">
        <v>0</v>
      </c>
      <c r="T396" s="69" t="s">
        <v>85</v>
      </c>
      <c r="U396" s="69" t="s">
        <v>85</v>
      </c>
      <c r="V396" s="69" t="s">
        <v>85</v>
      </c>
      <c r="W396" s="69" t="s">
        <v>85</v>
      </c>
      <c r="X396" s="69" t="s">
        <v>84</v>
      </c>
      <c r="Y396" s="69" t="s">
        <v>85</v>
      </c>
      <c r="Z396" s="69" t="s">
        <v>85</v>
      </c>
      <c r="AA396" s="69" t="s">
        <v>85</v>
      </c>
      <c r="AB396" s="69" t="s">
        <v>85</v>
      </c>
      <c r="AC396" s="69" t="s">
        <v>85</v>
      </c>
      <c r="AD396" s="38" t="str">
        <f>+IF(ISERROR(VLOOKUP($B396,AD$10:AD395,1,0)),IF(AND($N396&gt;=1000,$A396&gt;=AO$8,$A396&lt;=AO$9),$B396,""),"")</f>
        <v/>
      </c>
      <c r="AE396" s="38" t="str">
        <f>+IF(ISERROR(VLOOKUP($B396,AE$10:AE395,1,0)),IF(AND($N396&gt;=1000,$A396&gt;=AP$8,$A396&lt;=AP$9),$B396,""),"")</f>
        <v/>
      </c>
      <c r="AF396" s="38" t="str">
        <f>+IF(ISERROR(VLOOKUP($B396,AF$10:AF395,1,0)),IF(AND($N396&gt;=1000,$A396&gt;=AQ$8,$A396&lt;=AQ$9),$B396,""),"")</f>
        <v/>
      </c>
      <c r="AG396" s="38" t="str">
        <f>+IF(ISERROR(VLOOKUP($B396,AG$10:AG395,1,0)),IF(AND($N396&gt;=1000,$A396&gt;=AR$8,$A396&lt;=AR$9),$B396,""),"")</f>
        <v/>
      </c>
      <c r="AH396" s="38"/>
      <c r="AI396" s="70">
        <v>0</v>
      </c>
      <c r="AJ396" s="38">
        <f>IF(AND(AJ$7="○",$A396&gt;=AJ$8,$A396&lt;=AJ$9),IF(SUM(AJ$10:AJ395)-ROUNDDOWN($K396*AJ$5/100,0)&lt;-AJ$6,-AJ$6-SUM(AJ$10:AJ395),-ROUNDDOWN($K396*AJ$5/100,0)),0)</f>
        <v>0</v>
      </c>
      <c r="AK396" s="38">
        <f>IF(AND(AK$7="○",$A396&gt;=AK$8,$A396&lt;=AK$9),IF(SUM(AK$10:AK395)-ROUNDDOWN($L396*AK$5/100,0)&lt;-AK$6,-AK$6-SUM(AK$10:AK395),-ROUNDDOWN($L396*AK$5/100,0)),0)</f>
        <v>0</v>
      </c>
      <c r="AL396" s="38">
        <f>IF(AND(AL$7="○",$A396&gt;=AL$8,$A396&lt;=AL$9),IF(SUM(AL$10:AL395)-ROUNDDOWN($N396*AL$5/100,0)&lt;-AL$6,-AL$6-SUM(AL$10:AL395),-ROUNDDOWN($N396*AL$5/100,0)),0)</f>
        <v>0</v>
      </c>
      <c r="AM396" s="38">
        <f>IF(AND(AM$7="○",$A396&gt;=AM$8,$A396&lt;=AM$9),IF(SUM(AM$10:AM395)-ROUNDDOWN($L396*AM$5/100,0)&lt;-AM$6,-AM$6-SUM(AM$10:AM395),-ROUNDDOWN($L396*AM$5/100,0)),0)</f>
        <v>0</v>
      </c>
      <c r="AN396" s="38">
        <f>IF(AND(AN$7="○",$A396&gt;=AN$8,$A396&lt;=AN$9),IF(SUM(AN$10:AN395)-ROUNDDOWN($M396*AN$5/100,0)&lt;-AN$6,-AN$6-SUM(AN$10:AN395),-ROUNDDOWN($M396*AN$5/100,0)),0)</f>
        <v>0</v>
      </c>
      <c r="AO396" s="38">
        <f>IF(AND($A396&gt;=AO$8,$A396&lt;=AO$9),IF(SUM(AO$10:AO395)-ROUNDDOWN($K396*AO$5/100,0)&lt;-AO$6,-AO$6-SUM(AO$10:AO395),-ROUNDDOWN($K396*AO$5/100,0)),0)</f>
        <v>0</v>
      </c>
      <c r="AP396" s="38">
        <f>IF(AND($A396&gt;=AP$8,$A396&lt;=AP$9),IF(SUM(AP$10:AP395)-ROUNDDOWN($K396*AP$5/100,0)&lt;-AP$6,-AP$6-SUM(AP$10:AP395),-ROUNDDOWN($K396*AP$5/100,0)),0)</f>
        <v>0</v>
      </c>
      <c r="AQ396" s="38">
        <f>IF(AND($A396&gt;=AQ$8,$A396&lt;=AQ$9),IF(SUM(AQ$10:AQ395)-ROUNDDOWN($K396*AQ$5/100,0)&lt;-AQ$6,-AQ$6-SUM(AQ$10:AQ395),-ROUNDDOWN($K396*AQ$5/100,0)),0)</f>
        <v>0</v>
      </c>
      <c r="AR396" s="38">
        <f>IF(AND($A396&gt;=AR$8,$A396&lt;=AR$9),IF(SUM(AR$10:AR395)-ROUNDDOWN($K396*AR$5/100,0)&lt;-AR$6,-AR$6-SUM(AR$10:AR395),-ROUNDDOWN($K396*AR$5/100,0)),0)</f>
        <v>0</v>
      </c>
      <c r="AS396" s="38">
        <f>IF(SUMIFS(AS$10:AS395,$A$10:$A395,$A396)-ROUNDDOWN($K396*$S396/100,0)&lt;-$S396*1000,-$S396*1000-SUMIFS(AS$10:AS395,$A$10:$A395,$A396),-ROUNDDOWN($K396*$S396/100,0))</f>
        <v>0</v>
      </c>
      <c r="AT396" s="38">
        <f>IF(AND(X396="○",$A396&gt;=AT$8,$A396&lt;=AT$9,K396&gt;=3980),IF(SUM(AT$10:AT395)-ROUNDDOWN($K396*AT$5/100,0)&lt;-AT$6,-AT$6-SUM(AT$10:AT395),-ROUNDDOWN($K396*AT$5/100,0)),0)</f>
        <v>0</v>
      </c>
      <c r="AU396" s="38">
        <f>IF(O396="○",IF(SUM(AU$10:AU395)-ROUNDDOWN($K396*AU$5/100,0)&lt;-AU$6,-AU$6-SUM(AU$10:AU395),-ROUNDDOWN($K396*AU$5/100,0)),0)</f>
        <v>0</v>
      </c>
      <c r="AV396" s="38">
        <f>IF(P396="○",IF(SUM(AV$10:AV395)-ROUNDDOWN($K396*AV$5/100,0)&lt;-AV$6,-AV$6-SUM(AV$10:AV395),-ROUNDDOWN($K396*AV$5/100,0)),0)</f>
        <v>0</v>
      </c>
      <c r="AW396" s="38">
        <f>IF(Q396="○",IF(SUM(AW$10:AW395)-ROUNDDOWN($K396*AW$5/100,0)&lt;-AW$6,-AW$6-SUM(AW$10:AW395),-ROUNDDOWN($K396*AW$5/100,0)),0)</f>
        <v>0</v>
      </c>
      <c r="AX396" s="38">
        <f>IF(R396="○",IF(SUM(AX$10:AX395)-ROUNDDOWN($K396*AX$5/100,0)&lt;-AX$6,-AX$6-SUM(AX$10:AX395),-ROUNDDOWN($K396*AX$5/100,0)),0)</f>
        <v>0</v>
      </c>
      <c r="AY396" s="70">
        <v>0</v>
      </c>
      <c r="AZ396" s="65">
        <f t="shared" si="250"/>
        <v>0</v>
      </c>
      <c r="BA396" s="65">
        <f t="shared" si="251"/>
        <v>0</v>
      </c>
      <c r="BB396" s="70"/>
      <c r="BC396" s="65">
        <f t="shared" si="252"/>
        <v>0</v>
      </c>
      <c r="BD396" s="70">
        <v>0</v>
      </c>
      <c r="BE396" s="65">
        <f t="shared" si="253"/>
        <v>0</v>
      </c>
      <c r="BF396" s="70">
        <v>0</v>
      </c>
      <c r="BG396" s="65">
        <f t="shared" si="254"/>
        <v>0</v>
      </c>
      <c r="BH396" s="70">
        <v>0</v>
      </c>
      <c r="BI396" s="65">
        <f t="shared" si="255"/>
        <v>0</v>
      </c>
      <c r="BJ396" s="38">
        <f>IF(AND(BJ$7="○",$A396&gt;=BJ$8,$A396&lt;=BJ$9),IF(SUM(BJ$10:BJ395)-ROUNDDOWN($M396*BJ$5/100,0)&lt;-BJ$6,-BJ$6-SUM(BJ$10:BJ395),-ROUNDDOWN($M396*BJ$5/100,0)),0)</f>
        <v>0</v>
      </c>
      <c r="BK396" s="38">
        <f>IF(AND(BK$7="○",$A396&gt;=BK$8,$A396&lt;=BK$9),IF(SUM(BK$10:BK395)-ROUNDDOWN($L396*BK$5/100,0)&lt;-BK$6,-BK$6-SUM(BK$10:BK395),-ROUNDDOWN($L396*BK$5/100,0)),0)</f>
        <v>0</v>
      </c>
      <c r="BL396" s="38">
        <f>IF(AND(BL$7="○",$A396&gt;=BL$8,$A396&lt;=BL$9),IF(SUM(BL$10:BL395)-ROUNDDOWN($L396*BL$5/100,0)&lt;-BL$6,-BL$6-SUM(BL$10:BL395),-ROUNDDOWN($L396*BL$5/100,0)),0)</f>
        <v>0</v>
      </c>
      <c r="BM396" s="38">
        <f>IF(AND(BM$7="○",$A396&gt;=BM$8,$A396&lt;=BM$9),IF(SUM(BM$10:BM395)-ROUNDDOWN($M396*BM$5/100,0)&lt;-BM$6,-BM$6-SUM(BM$10:BM395),-ROUNDDOWN($M396*BM$5/100,0)),0)</f>
        <v>0</v>
      </c>
      <c r="BN396" s="38">
        <f>IF(AND(BN$7="○",$A396&gt;=BN$8,$A396&lt;=BN$9),IF(SUM(BN$10:BN395)-ROUNDDOWN($M396*BN$5/100,0)&lt;-BN$6,-BN$6-SUM(BN$10:BN395),-ROUNDDOWN($M396*BN$5/100,0)),0)</f>
        <v>0</v>
      </c>
      <c r="BO396" s="38">
        <f>IF(AND(BO$7="○",$A396&gt;=BO$8,$A396&lt;=BO$9),IF(SUM(BO$10:BO395)-ROUNDDOWN($M396*BO$5/100,0)&lt;-BO$6,-BO$6-SUM(BO$10:BO395),-ROUNDDOWN($M396*BO$5/100,0)),0)</f>
        <v>0</v>
      </c>
      <c r="BP396" s="38">
        <f>IF(AND(BP$7="○",$A396&gt;=BP$8,$A396&lt;=BP$9),IF(SUM(BP$10:BP395)-ROUNDDOWN($M396*BP$5/100,0)&lt;-BP$6,-BP$6-SUM(BP$10:BP395),-ROUNDDOWN($M396*BP$5/100,0)),0)</f>
        <v>0</v>
      </c>
      <c r="BQ396" s="38">
        <f>IF(AND(BQ$7="○",$A396&gt;=BQ$8,$A396&lt;=BQ$9),IF(SUM(BQ$10:BQ395)-ROUNDDOWN($L396*BQ$5/100,0)&lt;-BQ$6,-BQ$6-SUM(BQ$10:BQ395),-ROUNDDOWN($L396*BQ$5/100,0)),0)</f>
        <v>0</v>
      </c>
      <c r="BR396" s="38">
        <f>IF(AND(BR$7="○",$A396&gt;=BR$8,$A396&lt;=BR$9),IF(SUM(BR$10:BR395)-ROUNDDOWN($M396*BR$5/100,0)&lt;-BR$6,-BR$6-SUM(BR$10:BR395),-ROUNDDOWN($M396*BR$5/100,0)),0)</f>
        <v>0</v>
      </c>
      <c r="BS396" s="38">
        <f>IF(AND(BS$7="○",$A396&gt;=BS$8,$A396&lt;=BS$9),IF(SUM(BS$10:BS395)-ROUNDDOWN($M396*BS$5/100,0)&lt;-BS$6,-BS$6-SUM(BS$10:BS395),-ROUNDDOWN($M396*BS$5/100,0)),0)</f>
        <v>0</v>
      </c>
      <c r="BT396" s="38">
        <f>IF(AND(BT$7="○",$A396&gt;=BT$8,$A396&lt;=BT$9),IF(SUM(BT$10:BT395)-ROUNDDOWN($M396*BT$5/100,0)&lt;-BT$6,-BT$6-SUM(BT$10:BT395),-ROUNDDOWN($M396*BT$5/100,0)),0)</f>
        <v>0</v>
      </c>
      <c r="BU396" s="38">
        <f>IF(AND(BU$7="○",$A396&gt;=BU$8,$A396&lt;=BU$9),IF(SUM(BU$10:BU395)-ROUNDDOWN($M396*BU$5/100,0)&lt;-BU$6,-BU$6-SUM(BU$10:BU395),-ROUNDDOWN($M396*BU$5/100,0)),0)</f>
        <v>0</v>
      </c>
      <c r="BV396" s="38">
        <f>IF(AND(BV$7="○",$A396&gt;=BV$8,$A396&lt;=BV$9),IF(SUM(BV$10:BV395)-ROUNDDOWN($M396*BV$5/100,0)&lt;-BV$6,-BV$6-SUM(BV$10:BV395),-ROUNDDOWN($M396*BV$5/100,0)),0)</f>
        <v>0</v>
      </c>
      <c r="BW396" s="38">
        <f>IF(AND(BW$7="○",$A396&gt;=BW$8,$A396&lt;=BW$9),IF(SUM(BW$10:BW395)-ROUNDDOWN($M396*BW$5/100,0)&lt;-BW$6,-BW$6-SUM(BW$10:BW395),-ROUNDDOWN($M396*BW$5/100,0)),0)</f>
        <v>0</v>
      </c>
      <c r="BX396" s="38">
        <f>IF(AND(T396="○",$A396&gt;=BX$8,$A396&lt;=BX$9),IF(SUM(BX$10:BX395)-ROUNDDOWN($K396*BX$5/100,0)&lt;-BX$6,-BX$6-SUM(BX$10:BX395),-ROUNDDOWN($K396*BX$5/100,0)),0)</f>
        <v>0</v>
      </c>
      <c r="BY396" s="38">
        <f>IF(AND(U396="○",$A396&gt;=BY$8,$A396&lt;=BY$9),IF(SUM(BY$10:BY395)-ROUNDDOWN($K396*BY$5/100,0)&lt;-BY$6,-BY$6-SUM(BY$10:BY395),-ROUNDDOWN($K396*BY$5/100,0)),0)</f>
        <v>0</v>
      </c>
      <c r="BZ396" s="38">
        <f>IF(AND(V396="○",$A396&gt;=BZ$8,$A396&lt;=BZ$9),IF(SUM(BZ$10:BZ395)-ROUNDDOWN($K396*BZ$5/100,0)&lt;-BZ$6,-BZ$6-SUM(BZ$10:BZ395),-ROUNDDOWN($K396*BZ$5/100,0)),0)</f>
        <v>0</v>
      </c>
      <c r="CA396" s="38">
        <f>IF(AND(W396="○",$A396&gt;=CA$8,$A396&lt;=CA$9),IF(SUM(CA$10:CA395)-ROUNDDOWN($K396*CA$5/100,0)&lt;-CA$6,-CA$6-SUM(CA$10:CA395),-ROUNDDOWN($K396*CA$5/100,0)),0)</f>
        <v>0</v>
      </c>
      <c r="CB396" s="38"/>
      <c r="CC396" s="38"/>
      <c r="CD396" s="38"/>
      <c r="CE396" s="38"/>
      <c r="CF396" s="38"/>
      <c r="CG396" s="65">
        <f t="shared" si="256"/>
        <v>0</v>
      </c>
      <c r="CH396" s="71">
        <f t="shared" si="257"/>
        <v>0</v>
      </c>
      <c r="CI396" s="1">
        <f t="shared" si="276"/>
        <v>0</v>
      </c>
      <c r="CJ396" s="1"/>
      <c r="CK396" s="72"/>
      <c r="CL396" s="72"/>
      <c r="CM396" s="2"/>
      <c r="CN396" s="2"/>
      <c r="CO396" s="73">
        <f t="shared" si="277"/>
        <v>0</v>
      </c>
      <c r="CP396" s="5">
        <f t="shared" si="278"/>
        <v>0</v>
      </c>
      <c r="CQ396" s="1"/>
      <c r="CR396" s="1">
        <f t="shared" si="279"/>
        <v>0</v>
      </c>
      <c r="CS396" s="1"/>
      <c r="CT396" s="1" t="e">
        <f>INDEX([2]マスタ!$A:$A,MATCH(D396,[2]マスタ!$C:$C,0))</f>
        <v>#N/A</v>
      </c>
      <c r="CU396" s="1" t="str">
        <f t="shared" ca="1" si="280"/>
        <v>20260620_0-0</v>
      </c>
    </row>
    <row r="397" spans="1:99" x14ac:dyDescent="0.4">
      <c r="A397" s="61"/>
      <c r="B397" s="62"/>
      <c r="C397" s="62"/>
      <c r="D397" s="62"/>
      <c r="E397" s="63"/>
      <c r="F397" s="62"/>
      <c r="G397" s="62">
        <v>1</v>
      </c>
      <c r="H397" s="64">
        <f t="shared" si="267"/>
        <v>0</v>
      </c>
      <c r="I397" s="64"/>
      <c r="J397" s="64"/>
      <c r="K397" s="65">
        <f t="shared" si="283"/>
        <v>0</v>
      </c>
      <c r="L397" s="65">
        <f t="shared" si="269"/>
        <v>0</v>
      </c>
      <c r="M397" s="65">
        <f t="shared" si="270"/>
        <v>0</v>
      </c>
      <c r="N397" s="65">
        <f t="shared" si="271"/>
        <v>0</v>
      </c>
      <c r="O397" s="66" t="str">
        <f t="shared" si="272"/>
        <v>✕</v>
      </c>
      <c r="P397" s="67" t="str">
        <f t="shared" si="273"/>
        <v>○</v>
      </c>
      <c r="Q397" s="67" t="str">
        <f t="shared" si="284"/>
        <v>✕</v>
      </c>
      <c r="R397" s="67" t="str">
        <f t="shared" si="275"/>
        <v>✕</v>
      </c>
      <c r="S397" s="68">
        <v>0</v>
      </c>
      <c r="T397" s="69" t="s">
        <v>85</v>
      </c>
      <c r="U397" s="69" t="s">
        <v>85</v>
      </c>
      <c r="V397" s="69" t="s">
        <v>85</v>
      </c>
      <c r="W397" s="69" t="s">
        <v>85</v>
      </c>
      <c r="X397" s="69" t="s">
        <v>84</v>
      </c>
      <c r="Y397" s="69" t="s">
        <v>85</v>
      </c>
      <c r="Z397" s="69" t="s">
        <v>85</v>
      </c>
      <c r="AA397" s="69" t="s">
        <v>85</v>
      </c>
      <c r="AB397" s="69" t="s">
        <v>85</v>
      </c>
      <c r="AC397" s="69" t="s">
        <v>85</v>
      </c>
      <c r="AD397" s="38" t="str">
        <f>+IF(ISERROR(VLOOKUP($B397,AD$10:AD396,1,0)),IF(AND($N397&gt;=1000,$A397&gt;=AO$8,$A397&lt;=AO$9),$B397,""),"")</f>
        <v/>
      </c>
      <c r="AE397" s="38" t="str">
        <f>+IF(ISERROR(VLOOKUP($B397,AE$10:AE396,1,0)),IF(AND($N397&gt;=1000,$A397&gt;=AP$8,$A397&lt;=AP$9),$B397,""),"")</f>
        <v/>
      </c>
      <c r="AF397" s="38" t="str">
        <f>+IF(ISERROR(VLOOKUP($B397,AF$10:AF396,1,0)),IF(AND($N397&gt;=1000,$A397&gt;=AQ$8,$A397&lt;=AQ$9),$B397,""),"")</f>
        <v/>
      </c>
      <c r="AG397" s="38" t="str">
        <f>+IF(ISERROR(VLOOKUP($B397,AG$10:AG396,1,0)),IF(AND($N397&gt;=1000,$A397&gt;=AR$8,$A397&lt;=AR$9),$B397,""),"")</f>
        <v/>
      </c>
      <c r="AH397" s="38"/>
      <c r="AI397" s="70">
        <v>0</v>
      </c>
      <c r="AJ397" s="38">
        <f>IF(AND(AJ$7="○",$A397&gt;=AJ$8,$A397&lt;=AJ$9),IF(SUM(AJ$10:AJ396)-ROUNDDOWN($K397*AJ$5/100,0)&lt;-AJ$6,-AJ$6-SUM(AJ$10:AJ396),-ROUNDDOWN($K397*AJ$5/100,0)),0)</f>
        <v>0</v>
      </c>
      <c r="AK397" s="38">
        <f>IF(AND(AK$7="○",$A397&gt;=AK$8,$A397&lt;=AK$9),IF(SUM(AK$10:AK396)-ROUNDDOWN($L397*AK$5/100,0)&lt;-AK$6,-AK$6-SUM(AK$10:AK396),-ROUNDDOWN($L397*AK$5/100,0)),0)</f>
        <v>0</v>
      </c>
      <c r="AL397" s="38">
        <f>IF(AND(AL$7="○",$A397&gt;=AL$8,$A397&lt;=AL$9),IF(SUM(AL$10:AL396)-ROUNDDOWN($N397*AL$5/100,0)&lt;-AL$6,-AL$6-SUM(AL$10:AL396),-ROUNDDOWN($N397*AL$5/100,0)),0)</f>
        <v>0</v>
      </c>
      <c r="AM397" s="38">
        <f>IF(AND(AM$7="○",$A397&gt;=AM$8,$A397&lt;=AM$9),IF(SUM(AM$10:AM396)-ROUNDDOWN($L397*AM$5/100,0)&lt;-AM$6,-AM$6-SUM(AM$10:AM396),-ROUNDDOWN($L397*AM$5/100,0)),0)</f>
        <v>0</v>
      </c>
      <c r="AN397" s="38">
        <f>IF(AND(AN$7="○",$A397&gt;=AN$8,$A397&lt;=AN$9),IF(SUM(AN$10:AN396)-ROUNDDOWN($M397*AN$5/100,0)&lt;-AN$6,-AN$6-SUM(AN$10:AN396),-ROUNDDOWN($M397*AN$5/100,0)),0)</f>
        <v>0</v>
      </c>
      <c r="AO397" s="38">
        <f>IF(AND($A397&gt;=AO$8,$A397&lt;=AO$9),IF(SUM(AO$10:AO396)-ROUNDDOWN($K397*AO$5/100,0)&lt;-AO$6,-AO$6-SUM(AO$10:AO396),-ROUNDDOWN($K397*AO$5/100,0)),0)</f>
        <v>0</v>
      </c>
      <c r="AP397" s="38">
        <f>IF(AND($A397&gt;=AP$8,$A397&lt;=AP$9),IF(SUM(AP$10:AP396)-ROUNDDOWN($K397*AP$5/100,0)&lt;-AP$6,-AP$6-SUM(AP$10:AP396),-ROUNDDOWN($K397*AP$5/100,0)),0)</f>
        <v>0</v>
      </c>
      <c r="AQ397" s="38">
        <f>IF(AND($A397&gt;=AQ$8,$A397&lt;=AQ$9),IF(SUM(AQ$10:AQ396)-ROUNDDOWN($K397*AQ$5/100,0)&lt;-AQ$6,-AQ$6-SUM(AQ$10:AQ396),-ROUNDDOWN($K397*AQ$5/100,0)),0)</f>
        <v>0</v>
      </c>
      <c r="AR397" s="38">
        <f>IF(AND($A397&gt;=AR$8,$A397&lt;=AR$9),IF(SUM(AR$10:AR396)-ROUNDDOWN($K397*AR$5/100,0)&lt;-AR$6,-AR$6-SUM(AR$10:AR396),-ROUNDDOWN($K397*AR$5/100,0)),0)</f>
        <v>0</v>
      </c>
      <c r="AS397" s="38">
        <f>IF(SUMIFS(AS$10:AS396,$A$10:$A396,$A397)-ROUNDDOWN($K397*$S397/100,0)&lt;-$S397*1000,-$S397*1000-SUMIFS(AS$10:AS396,$A$10:$A396,$A397),-ROUNDDOWN($K397*$S397/100,0))</f>
        <v>0</v>
      </c>
      <c r="AT397" s="38">
        <f>IF(AND(X397="○",$A397&gt;=AT$8,$A397&lt;=AT$9,K397&gt;=3980),IF(SUM(AT$10:AT396)-ROUNDDOWN($K397*AT$5/100,0)&lt;-AT$6,-AT$6-SUM(AT$10:AT396),-ROUNDDOWN($K397*AT$5/100,0)),0)</f>
        <v>0</v>
      </c>
      <c r="AU397" s="38">
        <f>IF(O397="○",IF(SUM(AU$10:AU396)-ROUNDDOWN($K397*AU$5/100,0)&lt;-AU$6,-AU$6-SUM(AU$10:AU396),-ROUNDDOWN($K397*AU$5/100,0)),0)</f>
        <v>0</v>
      </c>
      <c r="AV397" s="38">
        <f>IF(P397="○",IF(SUM(AV$10:AV396)-ROUNDDOWN($K397*AV$5/100,0)&lt;-AV$6,-AV$6-SUM(AV$10:AV396),-ROUNDDOWN($K397*AV$5/100,0)),0)</f>
        <v>0</v>
      </c>
      <c r="AW397" s="38">
        <f>IF(Q397="○",IF(SUM(AW$10:AW396)-ROUNDDOWN($K397*AW$5/100,0)&lt;-AW$6,-AW$6-SUM(AW$10:AW396),-ROUNDDOWN($K397*AW$5/100,0)),0)</f>
        <v>0</v>
      </c>
      <c r="AX397" s="38">
        <f>IF(R397="○",IF(SUM(AX$10:AX396)-ROUNDDOWN($K397*AX$5/100,0)&lt;-AX$6,-AX$6-SUM(AX$10:AX396),-ROUNDDOWN($K397*AX$5/100,0)),0)</f>
        <v>0</v>
      </c>
      <c r="AY397" s="70">
        <v>0</v>
      </c>
      <c r="AZ397" s="65">
        <f t="shared" si="250"/>
        <v>0</v>
      </c>
      <c r="BA397" s="65">
        <f t="shared" si="251"/>
        <v>0</v>
      </c>
      <c r="BB397" s="70"/>
      <c r="BC397" s="65">
        <f t="shared" si="252"/>
        <v>0</v>
      </c>
      <c r="BD397" s="70">
        <v>0</v>
      </c>
      <c r="BE397" s="65">
        <f t="shared" si="253"/>
        <v>0</v>
      </c>
      <c r="BF397" s="70">
        <v>0</v>
      </c>
      <c r="BG397" s="65">
        <f t="shared" si="254"/>
        <v>0</v>
      </c>
      <c r="BH397" s="70">
        <v>0</v>
      </c>
      <c r="BI397" s="65">
        <f t="shared" si="255"/>
        <v>0</v>
      </c>
      <c r="BJ397" s="38">
        <f>IF(AND(BJ$7="○",$A397&gt;=BJ$8,$A397&lt;=BJ$9),IF(SUM(BJ$10:BJ396)-ROUNDDOWN($M397*BJ$5/100,0)&lt;-BJ$6,-BJ$6-SUM(BJ$10:BJ396),-ROUNDDOWN($M397*BJ$5/100,0)),0)</f>
        <v>0</v>
      </c>
      <c r="BK397" s="38">
        <f>IF(AND(BK$7="○",$A397&gt;=BK$8,$A397&lt;=BK$9),IF(SUM(BK$10:BK396)-ROUNDDOWN($L397*BK$5/100,0)&lt;-BK$6,-BK$6-SUM(BK$10:BK396),-ROUNDDOWN($L397*BK$5/100,0)),0)</f>
        <v>0</v>
      </c>
      <c r="BL397" s="38">
        <f>IF(AND(BL$7="○",$A397&gt;=BL$8,$A397&lt;=BL$9),IF(SUM(BL$10:BL396)-ROUNDDOWN($L397*BL$5/100,0)&lt;-BL$6,-BL$6-SUM(BL$10:BL396),-ROUNDDOWN($L397*BL$5/100,0)),0)</f>
        <v>0</v>
      </c>
      <c r="BM397" s="38">
        <f>IF(AND(BM$7="○",$A397&gt;=BM$8,$A397&lt;=BM$9),IF(SUM(BM$10:BM396)-ROUNDDOWN($M397*BM$5/100,0)&lt;-BM$6,-BM$6-SUM(BM$10:BM396),-ROUNDDOWN($M397*BM$5/100,0)),0)</f>
        <v>0</v>
      </c>
      <c r="BN397" s="38">
        <f>IF(AND(BN$7="○",$A397&gt;=BN$8,$A397&lt;=BN$9),IF(SUM(BN$10:BN396)-ROUNDDOWN($M397*BN$5/100,0)&lt;-BN$6,-BN$6-SUM(BN$10:BN396),-ROUNDDOWN($M397*BN$5/100,0)),0)</f>
        <v>0</v>
      </c>
      <c r="BO397" s="38">
        <f>IF(AND(BO$7="○",$A397&gt;=BO$8,$A397&lt;=BO$9),IF(SUM(BO$10:BO396)-ROUNDDOWN($M397*BO$5/100,0)&lt;-BO$6,-BO$6-SUM(BO$10:BO396),-ROUNDDOWN($M397*BO$5/100,0)),0)</f>
        <v>0</v>
      </c>
      <c r="BP397" s="38">
        <f>IF(AND(BP$7="○",$A397&gt;=BP$8,$A397&lt;=BP$9),IF(SUM(BP$10:BP396)-ROUNDDOWN($M397*BP$5/100,0)&lt;-BP$6,-BP$6-SUM(BP$10:BP396),-ROUNDDOWN($M397*BP$5/100,0)),0)</f>
        <v>0</v>
      </c>
      <c r="BQ397" s="38">
        <f>IF(AND(BQ$7="○",$A397&gt;=BQ$8,$A397&lt;=BQ$9),IF(SUM(BQ$10:BQ396)-ROUNDDOWN($L397*BQ$5/100,0)&lt;-BQ$6,-BQ$6-SUM(BQ$10:BQ396),-ROUNDDOWN($L397*BQ$5/100,0)),0)</f>
        <v>0</v>
      </c>
      <c r="BR397" s="38">
        <f>IF(AND(BR$7="○",$A397&gt;=BR$8,$A397&lt;=BR$9),IF(SUM(BR$10:BR396)-ROUNDDOWN($M397*BR$5/100,0)&lt;-BR$6,-BR$6-SUM(BR$10:BR396),-ROUNDDOWN($M397*BR$5/100,0)),0)</f>
        <v>0</v>
      </c>
      <c r="BS397" s="38">
        <f>IF(AND(BS$7="○",$A397&gt;=BS$8,$A397&lt;=BS$9),IF(SUM(BS$10:BS396)-ROUNDDOWN($M397*BS$5/100,0)&lt;-BS$6,-BS$6-SUM(BS$10:BS396),-ROUNDDOWN($M397*BS$5/100,0)),0)</f>
        <v>0</v>
      </c>
      <c r="BT397" s="38">
        <f>IF(AND(BT$7="○",$A397&gt;=BT$8,$A397&lt;=BT$9),IF(SUM(BT$10:BT396)-ROUNDDOWN($M397*BT$5/100,0)&lt;-BT$6,-BT$6-SUM(BT$10:BT396),-ROUNDDOWN($M397*BT$5/100,0)),0)</f>
        <v>0</v>
      </c>
      <c r="BU397" s="38">
        <f>IF(AND(BU$7="○",$A397&gt;=BU$8,$A397&lt;=BU$9),IF(SUM(BU$10:BU396)-ROUNDDOWN($M397*BU$5/100,0)&lt;-BU$6,-BU$6-SUM(BU$10:BU396),-ROUNDDOWN($M397*BU$5/100,0)),0)</f>
        <v>0</v>
      </c>
      <c r="BV397" s="38">
        <f>IF(AND(BV$7="○",$A397&gt;=BV$8,$A397&lt;=BV$9),IF(SUM(BV$10:BV396)-ROUNDDOWN($M397*BV$5/100,0)&lt;-BV$6,-BV$6-SUM(BV$10:BV396),-ROUNDDOWN($M397*BV$5/100,0)),0)</f>
        <v>0</v>
      </c>
      <c r="BW397" s="38">
        <f>IF(AND(BW$7="○",$A397&gt;=BW$8,$A397&lt;=BW$9),IF(SUM(BW$10:BW396)-ROUNDDOWN($M397*BW$5/100,0)&lt;-BW$6,-BW$6-SUM(BW$10:BW396),-ROUNDDOWN($M397*BW$5/100,0)),0)</f>
        <v>0</v>
      </c>
      <c r="BX397" s="38">
        <f>IF(AND(T397="○",$A397&gt;=BX$8,$A397&lt;=BX$9),IF(SUM(BX$10:BX396)-ROUNDDOWN($K397*BX$5/100,0)&lt;-BX$6,-BX$6-SUM(BX$10:BX396),-ROUNDDOWN($K397*BX$5/100,0)),0)</f>
        <v>0</v>
      </c>
      <c r="BY397" s="38">
        <f>IF(AND(U397="○",$A397&gt;=BY$8,$A397&lt;=BY$9),IF(SUM(BY$10:BY396)-ROUNDDOWN($K397*BY$5/100,0)&lt;-BY$6,-BY$6-SUM(BY$10:BY396),-ROUNDDOWN($K397*BY$5/100,0)),0)</f>
        <v>0</v>
      </c>
      <c r="BZ397" s="38">
        <f>IF(AND(V397="○",$A397&gt;=BZ$8,$A397&lt;=BZ$9),IF(SUM(BZ$10:BZ396)-ROUNDDOWN($K397*BZ$5/100,0)&lt;-BZ$6,-BZ$6-SUM(BZ$10:BZ396),-ROUNDDOWN($K397*BZ$5/100,0)),0)</f>
        <v>0</v>
      </c>
      <c r="CA397" s="38">
        <f>IF(AND(W397="○",$A397&gt;=CA$8,$A397&lt;=CA$9),IF(SUM(CA$10:CA396)-ROUNDDOWN($K397*CA$5/100,0)&lt;-CA$6,-CA$6-SUM(CA$10:CA396),-ROUNDDOWN($K397*CA$5/100,0)),0)</f>
        <v>0</v>
      </c>
      <c r="CB397" s="38"/>
      <c r="CC397" s="38"/>
      <c r="CD397" s="38"/>
      <c r="CE397" s="38"/>
      <c r="CF397" s="38"/>
      <c r="CG397" s="65">
        <f t="shared" si="256"/>
        <v>0</v>
      </c>
      <c r="CH397" s="71">
        <f t="shared" si="257"/>
        <v>0</v>
      </c>
      <c r="CI397" s="1">
        <f t="shared" si="276"/>
        <v>0</v>
      </c>
      <c r="CJ397" s="1"/>
      <c r="CK397" s="72"/>
      <c r="CL397" s="72"/>
      <c r="CM397" s="2"/>
      <c r="CN397" s="2"/>
      <c r="CO397" s="73">
        <f t="shared" si="277"/>
        <v>0</v>
      </c>
      <c r="CP397" s="5">
        <f t="shared" si="278"/>
        <v>0</v>
      </c>
      <c r="CQ397" s="1"/>
      <c r="CR397" s="1">
        <f t="shared" si="279"/>
        <v>0</v>
      </c>
      <c r="CS397" s="1"/>
      <c r="CT397" s="1" t="e">
        <f>INDEX([2]マスタ!$A:$A,MATCH(D397,[2]マスタ!$C:$C,0))</f>
        <v>#N/A</v>
      </c>
      <c r="CU397" s="1" t="str">
        <f t="shared" ca="1" si="280"/>
        <v>20260620_0-0</v>
      </c>
    </row>
    <row r="398" spans="1:99" x14ac:dyDescent="0.4">
      <c r="A398" s="61"/>
      <c r="B398" s="62"/>
      <c r="C398" s="62"/>
      <c r="D398" s="63"/>
      <c r="E398" s="63"/>
      <c r="F398" s="62"/>
      <c r="G398" s="62">
        <v>1</v>
      </c>
      <c r="H398" s="64">
        <f t="shared" si="267"/>
        <v>0</v>
      </c>
      <c r="I398" s="64"/>
      <c r="J398" s="64"/>
      <c r="K398" s="65">
        <f t="shared" si="283"/>
        <v>0</v>
      </c>
      <c r="L398" s="65">
        <f t="shared" si="269"/>
        <v>0</v>
      </c>
      <c r="M398" s="65">
        <f t="shared" si="270"/>
        <v>0</v>
      </c>
      <c r="N398" s="65">
        <f t="shared" si="271"/>
        <v>0</v>
      </c>
      <c r="O398" s="66" t="str">
        <f t="shared" si="272"/>
        <v>✕</v>
      </c>
      <c r="P398" s="67" t="str">
        <f t="shared" si="273"/>
        <v>○</v>
      </c>
      <c r="Q398" s="67" t="str">
        <f t="shared" si="284"/>
        <v>✕</v>
      </c>
      <c r="R398" s="67" t="str">
        <f t="shared" si="275"/>
        <v>✕</v>
      </c>
      <c r="S398" s="68">
        <v>0</v>
      </c>
      <c r="T398" s="69" t="s">
        <v>85</v>
      </c>
      <c r="U398" s="69" t="s">
        <v>85</v>
      </c>
      <c r="V398" s="69" t="s">
        <v>85</v>
      </c>
      <c r="W398" s="69" t="s">
        <v>85</v>
      </c>
      <c r="X398" s="69" t="s">
        <v>84</v>
      </c>
      <c r="Y398" s="69" t="s">
        <v>85</v>
      </c>
      <c r="Z398" s="69" t="s">
        <v>85</v>
      </c>
      <c r="AA398" s="69" t="s">
        <v>85</v>
      </c>
      <c r="AB398" s="69" t="s">
        <v>85</v>
      </c>
      <c r="AC398" s="69" t="s">
        <v>85</v>
      </c>
      <c r="AD398" s="38" t="str">
        <f>+IF(ISERROR(VLOOKUP($B398,AD$10:AD397,1,0)),IF(AND($N398&gt;=1000,$A398&gt;=AO$8,$A398&lt;=AO$9),$B398,""),"")</f>
        <v/>
      </c>
      <c r="AE398" s="38" t="str">
        <f>+IF(ISERROR(VLOOKUP($B398,AE$10:AE397,1,0)),IF(AND($N398&gt;=1000,$A398&gt;=AP$8,$A398&lt;=AP$9),$B398,""),"")</f>
        <v/>
      </c>
      <c r="AF398" s="38" t="str">
        <f>+IF(ISERROR(VLOOKUP($B398,AF$10:AF397,1,0)),IF(AND($N398&gt;=1000,$A398&gt;=AQ$8,$A398&lt;=AQ$9),$B398,""),"")</f>
        <v/>
      </c>
      <c r="AG398" s="38" t="str">
        <f>+IF(ISERROR(VLOOKUP($B398,AG$10:AG397,1,0)),IF(AND($N398&gt;=1000,$A398&gt;=AR$8,$A398&lt;=AR$9),$B398,""),"")</f>
        <v/>
      </c>
      <c r="AH398" s="38"/>
      <c r="AI398" s="70">
        <v>0</v>
      </c>
      <c r="AJ398" s="38">
        <f>IF(AND(AJ$7="○",$A398&gt;=AJ$8,$A398&lt;=AJ$9),IF(SUM(AJ$10:AJ397)-ROUNDDOWN($K398*AJ$5/100,0)&lt;-AJ$6,-AJ$6-SUM(AJ$10:AJ397),-ROUNDDOWN($K398*AJ$5/100,0)),0)</f>
        <v>0</v>
      </c>
      <c r="AK398" s="38">
        <f>IF(AND(AK$7="○",$A398&gt;=AK$8,$A398&lt;=AK$9),IF(SUM(AK$10:AK397)-ROUNDDOWN($L398*AK$5/100,0)&lt;-AK$6,-AK$6-SUM(AK$10:AK397),-ROUNDDOWN($L398*AK$5/100,0)),0)</f>
        <v>0</v>
      </c>
      <c r="AL398" s="38">
        <f>IF(AND(AL$7="○",$A398&gt;=AL$8,$A398&lt;=AL$9),IF(SUM(AL$10:AL397)-ROUNDDOWN($N398*AL$5/100,0)&lt;-AL$6,-AL$6-SUM(AL$10:AL397),-ROUNDDOWN($N398*AL$5/100,0)),0)</f>
        <v>0</v>
      </c>
      <c r="AM398" s="38">
        <f>IF(AND(AM$7="○",$A398&gt;=AM$8,$A398&lt;=AM$9),IF(SUM(AM$10:AM397)-ROUNDDOWN($L398*AM$5/100,0)&lt;-AM$6,-AM$6-SUM(AM$10:AM397),-ROUNDDOWN($L398*AM$5/100,0)),0)</f>
        <v>0</v>
      </c>
      <c r="AN398" s="38">
        <f>IF(AND(AN$7="○",$A398&gt;=AN$8,$A398&lt;=AN$9),IF(SUM(AN$10:AN397)-ROUNDDOWN($M398*AN$5/100,0)&lt;-AN$6,-AN$6-SUM(AN$10:AN397),-ROUNDDOWN($M398*AN$5/100,0)),0)</f>
        <v>0</v>
      </c>
      <c r="AO398" s="38">
        <f>IF(AND($A398&gt;=AO$8,$A398&lt;=AO$9),IF(SUM(AO$10:AO397)-ROUNDDOWN($K398*AO$5/100,0)&lt;-AO$6,-AO$6-SUM(AO$10:AO397),-ROUNDDOWN($K398*AO$5/100,0)),0)</f>
        <v>0</v>
      </c>
      <c r="AP398" s="38">
        <f>IF(AND($A398&gt;=AP$8,$A398&lt;=AP$9),IF(SUM(AP$10:AP397)-ROUNDDOWN($K398*AP$5/100,0)&lt;-AP$6,-AP$6-SUM(AP$10:AP397),-ROUNDDOWN($K398*AP$5/100,0)),0)</f>
        <v>0</v>
      </c>
      <c r="AQ398" s="38">
        <f>IF(AND($A398&gt;=AQ$8,$A398&lt;=AQ$9),IF(SUM(AQ$10:AQ397)-ROUNDDOWN($K398*AQ$5/100,0)&lt;-AQ$6,-AQ$6-SUM(AQ$10:AQ397),-ROUNDDOWN($K398*AQ$5/100,0)),0)</f>
        <v>0</v>
      </c>
      <c r="AR398" s="38">
        <f>IF(AND($A398&gt;=AR$8,$A398&lt;=AR$9),IF(SUM(AR$10:AR397)-ROUNDDOWN($K398*AR$5/100,0)&lt;-AR$6,-AR$6-SUM(AR$10:AR397),-ROUNDDOWN($K398*AR$5/100,0)),0)</f>
        <v>0</v>
      </c>
      <c r="AS398" s="38">
        <f>IF(SUMIFS(AS$10:AS397,$A$10:$A397,$A398)-ROUNDDOWN($K398*$S398/100,0)&lt;-$S398*1000,-$S398*1000-SUMIFS(AS$10:AS397,$A$10:$A397,$A398),-ROUNDDOWN($K398*$S398/100,0))</f>
        <v>0</v>
      </c>
      <c r="AT398" s="38">
        <f>IF(AND(X398="○",$A398&gt;=AT$8,$A398&lt;=AT$9,K398&gt;=3980),IF(SUM(AT$10:AT397)-ROUNDDOWN($K398*AT$5/100,0)&lt;-AT$6,-AT$6-SUM(AT$10:AT397),-ROUNDDOWN($K398*AT$5/100,0)),0)</f>
        <v>0</v>
      </c>
      <c r="AU398" s="38">
        <f>IF(O398="○",IF(SUM(AU$10:AU397)-ROUNDDOWN($K398*AU$5/100,0)&lt;-AU$6,-AU$6-SUM(AU$10:AU397),-ROUNDDOWN($K398*AU$5/100,0)),0)</f>
        <v>0</v>
      </c>
      <c r="AV398" s="38">
        <f>IF(P398="○",IF(SUM(AV$10:AV397)-ROUNDDOWN($K398*AV$5/100,0)&lt;-AV$6,-AV$6-SUM(AV$10:AV397),-ROUNDDOWN($K398*AV$5/100,0)),0)</f>
        <v>0</v>
      </c>
      <c r="AW398" s="38">
        <f>IF(Q398="○",IF(SUM(AW$10:AW397)-ROUNDDOWN($K398*AW$5/100,0)&lt;-AW$6,-AW$6-SUM(AW$10:AW397),-ROUNDDOWN($K398*AW$5/100,0)),0)</f>
        <v>0</v>
      </c>
      <c r="AX398" s="38">
        <f>IF(R398="○",IF(SUM(AX$10:AX397)-ROUNDDOWN($K398*AX$5/100,0)&lt;-AX$6,-AX$6-SUM(AX$10:AX397),-ROUNDDOWN($K398*AX$5/100,0)),0)</f>
        <v>0</v>
      </c>
      <c r="AY398" s="70">
        <v>0</v>
      </c>
      <c r="AZ398" s="65">
        <f t="shared" si="250"/>
        <v>0</v>
      </c>
      <c r="BA398" s="65">
        <f t="shared" si="251"/>
        <v>0</v>
      </c>
      <c r="BB398" s="70"/>
      <c r="BC398" s="65">
        <f t="shared" si="252"/>
        <v>0</v>
      </c>
      <c r="BD398" s="70">
        <v>0</v>
      </c>
      <c r="BE398" s="65">
        <f t="shared" si="253"/>
        <v>0</v>
      </c>
      <c r="BF398" s="70">
        <v>0</v>
      </c>
      <c r="BG398" s="65">
        <f t="shared" si="254"/>
        <v>0</v>
      </c>
      <c r="BH398" s="70">
        <v>0</v>
      </c>
      <c r="BI398" s="65">
        <f t="shared" si="255"/>
        <v>0</v>
      </c>
      <c r="BJ398" s="38">
        <f>IF(AND(BJ$7="○",$A398&gt;=BJ$8,$A398&lt;=BJ$9),IF(SUM(BJ$10:BJ397)-ROUNDDOWN($M398*BJ$5/100,0)&lt;-BJ$6,-BJ$6-SUM(BJ$10:BJ397),-ROUNDDOWN($M398*BJ$5/100,0)),0)</f>
        <v>0</v>
      </c>
      <c r="BK398" s="38">
        <f>IF(AND(BK$7="○",$A398&gt;=BK$8,$A398&lt;=BK$9),IF(SUM(BK$10:BK397)-ROUNDDOWN($L398*BK$5/100,0)&lt;-BK$6,-BK$6-SUM(BK$10:BK397),-ROUNDDOWN($L398*BK$5/100,0)),0)</f>
        <v>0</v>
      </c>
      <c r="BL398" s="38">
        <f>IF(AND(BL$7="○",$A398&gt;=BL$8,$A398&lt;=BL$9),IF(SUM(BL$10:BL397)-ROUNDDOWN($L398*BL$5/100,0)&lt;-BL$6,-BL$6-SUM(BL$10:BL397),-ROUNDDOWN($L398*BL$5/100,0)),0)</f>
        <v>0</v>
      </c>
      <c r="BM398" s="38">
        <f>IF(AND(BM$7="○",$A398&gt;=BM$8,$A398&lt;=BM$9),IF(SUM(BM$10:BM397)-ROUNDDOWN($M398*BM$5/100,0)&lt;-BM$6,-BM$6-SUM(BM$10:BM397),-ROUNDDOWN($M398*BM$5/100,0)),0)</f>
        <v>0</v>
      </c>
      <c r="BN398" s="38">
        <f>IF(AND(BN$7="○",$A398&gt;=BN$8,$A398&lt;=BN$9),IF(SUM(BN$10:BN397)-ROUNDDOWN($M398*BN$5/100,0)&lt;-BN$6,-BN$6-SUM(BN$10:BN397),-ROUNDDOWN($M398*BN$5/100,0)),0)</f>
        <v>0</v>
      </c>
      <c r="BO398" s="38">
        <f>IF(AND(BO$7="○",$A398&gt;=BO$8,$A398&lt;=BO$9),IF(SUM(BO$10:BO397)-ROUNDDOWN($M398*BO$5/100,0)&lt;-BO$6,-BO$6-SUM(BO$10:BO397),-ROUNDDOWN($M398*BO$5/100,0)),0)</f>
        <v>0</v>
      </c>
      <c r="BP398" s="38">
        <f>IF(AND(BP$7="○",$A398&gt;=BP$8,$A398&lt;=BP$9),IF(SUM(BP$10:BP397)-ROUNDDOWN($M398*BP$5/100,0)&lt;-BP$6,-BP$6-SUM(BP$10:BP397),-ROUNDDOWN($M398*BP$5/100,0)),0)</f>
        <v>0</v>
      </c>
      <c r="BQ398" s="38">
        <f>IF(AND(BQ$7="○",$A398&gt;=BQ$8,$A398&lt;=BQ$9),IF(SUM(BQ$10:BQ397)-ROUNDDOWN($L398*BQ$5/100,0)&lt;-BQ$6,-BQ$6-SUM(BQ$10:BQ397),-ROUNDDOWN($L398*BQ$5/100,0)),0)</f>
        <v>0</v>
      </c>
      <c r="BR398" s="38">
        <f>IF(AND(BR$7="○",$A398&gt;=BR$8,$A398&lt;=BR$9),IF(SUM(BR$10:BR397)-ROUNDDOWN($M398*BR$5/100,0)&lt;-BR$6,-BR$6-SUM(BR$10:BR397),-ROUNDDOWN($M398*BR$5/100,0)),0)</f>
        <v>0</v>
      </c>
      <c r="BS398" s="38">
        <f>IF(AND(BS$7="○",$A398&gt;=BS$8,$A398&lt;=BS$9),IF(SUM(BS$10:BS397)-ROUNDDOWN($M398*BS$5/100,0)&lt;-BS$6,-BS$6-SUM(BS$10:BS397),-ROUNDDOWN($M398*BS$5/100,0)),0)</f>
        <v>0</v>
      </c>
      <c r="BT398" s="38">
        <f>IF(AND(BT$7="○",$A398&gt;=BT$8,$A398&lt;=BT$9),IF(SUM(BT$10:BT397)-ROUNDDOWN($M398*BT$5/100,0)&lt;-BT$6,-BT$6-SUM(BT$10:BT397),-ROUNDDOWN($M398*BT$5/100,0)),0)</f>
        <v>0</v>
      </c>
      <c r="BU398" s="38">
        <f>IF(AND(BU$7="○",$A398&gt;=BU$8,$A398&lt;=BU$9),IF(SUM(BU$10:BU397)-ROUNDDOWN($M398*BU$5/100,0)&lt;-BU$6,-BU$6-SUM(BU$10:BU397),-ROUNDDOWN($M398*BU$5/100,0)),0)</f>
        <v>0</v>
      </c>
      <c r="BV398" s="38">
        <f>IF(AND(BV$7="○",$A398&gt;=BV$8,$A398&lt;=BV$9),IF(SUM(BV$10:BV397)-ROUNDDOWN($M398*BV$5/100,0)&lt;-BV$6,-BV$6-SUM(BV$10:BV397),-ROUNDDOWN($M398*BV$5/100,0)),0)</f>
        <v>0</v>
      </c>
      <c r="BW398" s="38">
        <f>IF(AND(BW$7="○",$A398&gt;=BW$8,$A398&lt;=BW$9),IF(SUM(BW$10:BW397)-ROUNDDOWN($M398*BW$5/100,0)&lt;-BW$6,-BW$6-SUM(BW$10:BW397),-ROUNDDOWN($M398*BW$5/100,0)),0)</f>
        <v>0</v>
      </c>
      <c r="BX398" s="38">
        <f>IF(AND(T398="○",$A398&gt;=BX$8,$A398&lt;=BX$9),IF(SUM(BX$10:BX397)-ROUNDDOWN($K398*BX$5/100,0)&lt;-BX$6,-BX$6-SUM(BX$10:BX397),-ROUNDDOWN($K398*BX$5/100,0)),0)</f>
        <v>0</v>
      </c>
      <c r="BY398" s="38">
        <f>IF(AND(U398="○",$A398&gt;=BY$8,$A398&lt;=BY$9),IF(SUM(BY$10:BY397)-ROUNDDOWN($K398*BY$5/100,0)&lt;-BY$6,-BY$6-SUM(BY$10:BY397),-ROUNDDOWN($K398*BY$5/100,0)),0)</f>
        <v>0</v>
      </c>
      <c r="BZ398" s="38">
        <f>IF(AND(V398="○",$A398&gt;=BZ$8,$A398&lt;=BZ$9),IF(SUM(BZ$10:BZ397)-ROUNDDOWN($K398*BZ$5/100,0)&lt;-BZ$6,-BZ$6-SUM(BZ$10:BZ397),-ROUNDDOWN($K398*BZ$5/100,0)),0)</f>
        <v>0</v>
      </c>
      <c r="CA398" s="38">
        <f>IF(AND(W398="○",$A398&gt;=CA$8,$A398&lt;=CA$9),IF(SUM(CA$10:CA397)-ROUNDDOWN($K398*CA$5/100,0)&lt;-CA$6,-CA$6-SUM(CA$10:CA397),-ROUNDDOWN($K398*CA$5/100,0)),0)</f>
        <v>0</v>
      </c>
      <c r="CB398" s="38"/>
      <c r="CC398" s="38"/>
      <c r="CD398" s="38"/>
      <c r="CE398" s="38"/>
      <c r="CF398" s="38"/>
      <c r="CG398" s="65">
        <f t="shared" si="256"/>
        <v>0</v>
      </c>
      <c r="CH398" s="71">
        <f t="shared" si="257"/>
        <v>0</v>
      </c>
      <c r="CI398" s="1">
        <f t="shared" si="276"/>
        <v>0</v>
      </c>
      <c r="CJ398" s="1"/>
      <c r="CK398" s="2"/>
      <c r="CL398" s="2"/>
      <c r="CM398" s="2"/>
      <c r="CN398" s="2"/>
      <c r="CO398" s="73">
        <f t="shared" si="277"/>
        <v>0</v>
      </c>
      <c r="CP398" s="5">
        <f t="shared" si="278"/>
        <v>0</v>
      </c>
      <c r="CQ398" s="1"/>
      <c r="CR398" s="1">
        <f t="shared" si="279"/>
        <v>0</v>
      </c>
      <c r="CS398" s="1"/>
      <c r="CT398" s="1" t="e">
        <f>INDEX([2]マスタ!$A:$A,MATCH(D398,[2]マスタ!$C:$C,0))</f>
        <v>#N/A</v>
      </c>
      <c r="CU398" s="1" t="str">
        <f t="shared" ca="1" si="280"/>
        <v>20260620_0-0</v>
      </c>
    </row>
    <row r="399" spans="1:99" x14ac:dyDescent="0.4">
      <c r="A399" s="61"/>
      <c r="B399" s="62"/>
      <c r="C399" s="62"/>
      <c r="D399" s="62"/>
      <c r="E399" s="63"/>
      <c r="F399" s="62"/>
      <c r="G399" s="62">
        <v>1</v>
      </c>
      <c r="H399" s="64">
        <f t="shared" si="267"/>
        <v>0</v>
      </c>
      <c r="I399" s="64"/>
      <c r="J399" s="78"/>
      <c r="K399" s="65">
        <f t="shared" si="283"/>
        <v>0</v>
      </c>
      <c r="L399" s="65">
        <f t="shared" si="269"/>
        <v>0</v>
      </c>
      <c r="M399" s="65">
        <f t="shared" si="270"/>
        <v>0</v>
      </c>
      <c r="N399" s="65">
        <f t="shared" si="271"/>
        <v>0</v>
      </c>
      <c r="O399" s="66" t="str">
        <f t="shared" si="272"/>
        <v>✕</v>
      </c>
      <c r="P399" s="67" t="str">
        <f t="shared" si="273"/>
        <v>○</v>
      </c>
      <c r="Q399" s="67" t="str">
        <f t="shared" si="284"/>
        <v>✕</v>
      </c>
      <c r="R399" s="67" t="str">
        <f t="shared" si="275"/>
        <v>✕</v>
      </c>
      <c r="S399" s="68">
        <v>0</v>
      </c>
      <c r="T399" s="69" t="s">
        <v>85</v>
      </c>
      <c r="U399" s="69" t="s">
        <v>85</v>
      </c>
      <c r="V399" s="69" t="s">
        <v>85</v>
      </c>
      <c r="W399" s="69" t="s">
        <v>85</v>
      </c>
      <c r="X399" s="69" t="s">
        <v>84</v>
      </c>
      <c r="Y399" s="69" t="s">
        <v>85</v>
      </c>
      <c r="Z399" s="69" t="s">
        <v>85</v>
      </c>
      <c r="AA399" s="69" t="s">
        <v>85</v>
      </c>
      <c r="AB399" s="69" t="s">
        <v>85</v>
      </c>
      <c r="AC399" s="69" t="s">
        <v>85</v>
      </c>
      <c r="AD399" s="38" t="str">
        <f>+IF(ISERROR(VLOOKUP($B399,AD$10:AD398,1,0)),IF(AND($N399&gt;=1000,$A399&gt;=AO$8,$A399&lt;=AO$9),$B399,""),"")</f>
        <v/>
      </c>
      <c r="AE399" s="38" t="str">
        <f>+IF(ISERROR(VLOOKUP($B399,AE$10:AE398,1,0)),IF(AND($N399&gt;=1000,$A399&gt;=AP$8,$A399&lt;=AP$9),$B399,""),"")</f>
        <v/>
      </c>
      <c r="AF399" s="38" t="str">
        <f>+IF(ISERROR(VLOOKUP($B399,AF$10:AF398,1,0)),IF(AND($N399&gt;=1000,$A399&gt;=AQ$8,$A399&lt;=AQ$9),$B399,""),"")</f>
        <v/>
      </c>
      <c r="AG399" s="38" t="str">
        <f>+IF(ISERROR(VLOOKUP($B399,AG$10:AG398,1,0)),IF(AND($N399&gt;=1000,$A399&gt;=AR$8,$A399&lt;=AR$9),$B399,""),"")</f>
        <v/>
      </c>
      <c r="AH399" s="38"/>
      <c r="AI399" s="70">
        <v>0</v>
      </c>
      <c r="AJ399" s="38">
        <f>IF(AND(AJ$7="○",$A399&gt;=AJ$8,$A399&lt;=AJ$9),IF(SUM(AJ$10:AJ398)-ROUNDDOWN($K399*AJ$5/100,0)&lt;-AJ$6,-AJ$6-SUM(AJ$10:AJ398),-ROUNDDOWN($K399*AJ$5/100,0)),0)</f>
        <v>0</v>
      </c>
      <c r="AK399" s="38">
        <f>IF(AND(AK$7="○",$A399&gt;=AK$8,$A399&lt;=AK$9),IF(SUM(AK$10:AK398)-ROUNDDOWN($L399*AK$5/100,0)&lt;-AK$6,-AK$6-SUM(AK$10:AK398),-ROUNDDOWN($L399*AK$5/100,0)),0)</f>
        <v>0</v>
      </c>
      <c r="AL399" s="38">
        <f>IF(AND(AL$7="○",$A399&gt;=AL$8,$A399&lt;=AL$9),IF(SUM(AL$10:AL398)-ROUNDDOWN($N399*AL$5/100,0)&lt;-AL$6,-AL$6-SUM(AL$10:AL398),-ROUNDDOWN($N399*AL$5/100,0)),0)</f>
        <v>0</v>
      </c>
      <c r="AM399" s="38">
        <f>IF(AND(AM$7="○",$A399&gt;=AM$8,$A399&lt;=AM$9),IF(SUM(AM$10:AM398)-ROUNDDOWN($L399*AM$5/100,0)&lt;-AM$6,-AM$6-SUM(AM$10:AM398),-ROUNDDOWN($L399*AM$5/100,0)),0)</f>
        <v>0</v>
      </c>
      <c r="AN399" s="38">
        <f>IF(AND(AN$7="○",$A399&gt;=AN$8,$A399&lt;=AN$9),IF(SUM(AN$10:AN398)-ROUNDDOWN($M399*AN$5/100,0)&lt;-AN$6,-AN$6-SUM(AN$10:AN398),-ROUNDDOWN($M399*AN$5/100,0)),0)</f>
        <v>0</v>
      </c>
      <c r="AO399" s="38">
        <f>IF(AND($A399&gt;=AO$8,$A399&lt;=AO$9),IF(SUM(AO$10:AO398)-ROUNDDOWN($K399*AO$5/100,0)&lt;-AO$6,-AO$6-SUM(AO$10:AO398),-ROUNDDOWN($K399*AO$5/100,0)),0)</f>
        <v>0</v>
      </c>
      <c r="AP399" s="38">
        <f>IF(AND($A399&gt;=AP$8,$A399&lt;=AP$9),IF(SUM(AP$10:AP398)-ROUNDDOWN($K399*AP$5/100,0)&lt;-AP$6,-AP$6-SUM(AP$10:AP398),-ROUNDDOWN($K399*AP$5/100,0)),0)</f>
        <v>0</v>
      </c>
      <c r="AQ399" s="38">
        <f>IF(AND($A399&gt;=AQ$8,$A399&lt;=AQ$9),IF(SUM(AQ$10:AQ398)-ROUNDDOWN($K399*AQ$5/100,0)&lt;-AQ$6,-AQ$6-SUM(AQ$10:AQ398),-ROUNDDOWN($K399*AQ$5/100,0)),0)</f>
        <v>0</v>
      </c>
      <c r="AR399" s="38">
        <f>IF(AND($A399&gt;=AR$8,$A399&lt;=AR$9),IF(SUM(AR$10:AR398)-ROUNDDOWN($K399*AR$5/100,0)&lt;-AR$6,-AR$6-SUM(AR$10:AR398),-ROUNDDOWN($K399*AR$5/100,0)),0)</f>
        <v>0</v>
      </c>
      <c r="AS399" s="38">
        <f>IF(SUMIFS(AS$10:AS398,$A$10:$A398,$A399)-ROUNDDOWN($K399*$S399/100,0)&lt;-$S399*1000,-$S399*1000-SUMIFS(AS$10:AS398,$A$10:$A398,$A399),-ROUNDDOWN($K399*$S399/100,0))</f>
        <v>0</v>
      </c>
      <c r="AT399" s="38">
        <f>IF(AND(X399="○",$A399&gt;=AT$8,$A399&lt;=AT$9,K399&gt;=3980),IF(SUM(AT$10:AT398)-ROUNDDOWN($K399*AT$5/100,0)&lt;-AT$6,-AT$6-SUM(AT$10:AT398),-ROUNDDOWN($K399*AT$5/100,0)),0)</f>
        <v>0</v>
      </c>
      <c r="AU399" s="38">
        <f>IF(O399="○",IF(SUM(AU$10:AU398)-ROUNDDOWN($K399*AU$5/100,0)&lt;-AU$6,-AU$6-SUM(AU$10:AU398),-ROUNDDOWN($K399*AU$5/100,0)),0)</f>
        <v>0</v>
      </c>
      <c r="AV399" s="38">
        <f>IF(P399="○",IF(SUM(AV$10:AV398)-ROUNDDOWN($K399*AV$5/100,0)&lt;-AV$6,-AV$6-SUM(AV$10:AV398),-ROUNDDOWN($K399*AV$5/100,0)),0)</f>
        <v>0</v>
      </c>
      <c r="AW399" s="38">
        <f>IF(Q399="○",IF(SUM(AW$10:AW398)-ROUNDDOWN($K399*AW$5/100,0)&lt;-AW$6,-AW$6-SUM(AW$10:AW398),-ROUNDDOWN($K399*AW$5/100,0)),0)</f>
        <v>0</v>
      </c>
      <c r="AX399" s="38">
        <f>IF(R399="○",IF(SUM(AX$10:AX398)-ROUNDDOWN($K399*AX$5/100,0)&lt;-AX$6,-AX$6-SUM(AX$10:AX398),-ROUNDDOWN($K399*AX$5/100,0)),0)</f>
        <v>0</v>
      </c>
      <c r="AY399" s="70">
        <v>0</v>
      </c>
      <c r="AZ399" s="65">
        <f t="shared" si="250"/>
        <v>0</v>
      </c>
      <c r="BA399" s="65">
        <f t="shared" si="251"/>
        <v>0</v>
      </c>
      <c r="BB399" s="70"/>
      <c r="BC399" s="65">
        <f t="shared" si="252"/>
        <v>0</v>
      </c>
      <c r="BD399" s="70">
        <v>0</v>
      </c>
      <c r="BE399" s="65">
        <f t="shared" si="253"/>
        <v>0</v>
      </c>
      <c r="BF399" s="70">
        <v>0</v>
      </c>
      <c r="BG399" s="65">
        <f t="shared" si="254"/>
        <v>0</v>
      </c>
      <c r="BH399" s="70">
        <v>0</v>
      </c>
      <c r="BI399" s="65">
        <f t="shared" si="255"/>
        <v>0</v>
      </c>
      <c r="BJ399" s="38">
        <f>IF(AND(BJ$7="○",$A399&gt;=BJ$8,$A399&lt;=BJ$9),IF(SUM(BJ$10:BJ398)-ROUNDDOWN($M399*BJ$5/100,0)&lt;-BJ$6,-BJ$6-SUM(BJ$10:BJ398),-ROUNDDOWN($M399*BJ$5/100,0)),0)</f>
        <v>0</v>
      </c>
      <c r="BK399" s="38">
        <f>IF(AND(BK$7="○",$A399&gt;=BK$8,$A399&lt;=BK$9),IF(SUM(BK$10:BK398)-ROUNDDOWN($L399*BK$5/100,0)&lt;-BK$6,-BK$6-SUM(BK$10:BK398),-ROUNDDOWN($L399*BK$5/100,0)),0)</f>
        <v>0</v>
      </c>
      <c r="BL399" s="38">
        <f>IF(AND(BL$7="○",$A399&gt;=BL$8,$A399&lt;=BL$9),IF(SUM(BL$10:BL398)-ROUNDDOWN($L399*BL$5/100,0)&lt;-BL$6,-BL$6-SUM(BL$10:BL398),-ROUNDDOWN($L399*BL$5/100,0)),0)</f>
        <v>0</v>
      </c>
      <c r="BM399" s="38">
        <f>IF(AND(BM$7="○",$A399&gt;=BM$8,$A399&lt;=BM$9),IF(SUM(BM$10:BM398)-ROUNDDOWN($M399*BM$5/100,0)&lt;-BM$6,-BM$6-SUM(BM$10:BM398),-ROUNDDOWN($M399*BM$5/100,0)),0)</f>
        <v>0</v>
      </c>
      <c r="BN399" s="38">
        <f>IF(AND(BN$7="○",$A399&gt;=BN$8,$A399&lt;=BN$9),IF(SUM(BN$10:BN398)-ROUNDDOWN($M399*BN$5/100,0)&lt;-BN$6,-BN$6-SUM(BN$10:BN398),-ROUNDDOWN($M399*BN$5/100,0)),0)</f>
        <v>0</v>
      </c>
      <c r="BO399" s="38">
        <f>IF(AND(BO$7="○",$A399&gt;=BO$8,$A399&lt;=BO$9),IF(SUM(BO$10:BO398)-ROUNDDOWN($M399*BO$5/100,0)&lt;-BO$6,-BO$6-SUM(BO$10:BO398),-ROUNDDOWN($M399*BO$5/100,0)),0)</f>
        <v>0</v>
      </c>
      <c r="BP399" s="38">
        <f>IF(AND(BP$7="○",$A399&gt;=BP$8,$A399&lt;=BP$9),IF(SUM(BP$10:BP398)-ROUNDDOWN($M399*BP$5/100,0)&lt;-BP$6,-BP$6-SUM(BP$10:BP398),-ROUNDDOWN($M399*BP$5/100,0)),0)</f>
        <v>0</v>
      </c>
      <c r="BQ399" s="38">
        <f>IF(AND(BQ$7="○",$A399&gt;=BQ$8,$A399&lt;=BQ$9),IF(SUM(BQ$10:BQ398)-ROUNDDOWN($L399*BQ$5/100,0)&lt;-BQ$6,-BQ$6-SUM(BQ$10:BQ398),-ROUNDDOWN($L399*BQ$5/100,0)),0)</f>
        <v>0</v>
      </c>
      <c r="BR399" s="38">
        <f>IF(AND(BR$7="○",$A399&gt;=BR$8,$A399&lt;=BR$9),IF(SUM(BR$10:BR398)-ROUNDDOWN($M399*BR$5/100,0)&lt;-BR$6,-BR$6-SUM(BR$10:BR398),-ROUNDDOWN($M399*BR$5/100,0)),0)</f>
        <v>0</v>
      </c>
      <c r="BS399" s="38">
        <f>IF(AND(BS$7="○",$A399&gt;=BS$8,$A399&lt;=BS$9),IF(SUM(BS$10:BS398)-ROUNDDOWN($M399*BS$5/100,0)&lt;-BS$6,-BS$6-SUM(BS$10:BS398),-ROUNDDOWN($M399*BS$5/100,0)),0)</f>
        <v>0</v>
      </c>
      <c r="BT399" s="38">
        <f>IF(AND(BT$7="○",$A399&gt;=BT$8,$A399&lt;=BT$9),IF(SUM(BT$10:BT398)-ROUNDDOWN($M399*BT$5/100,0)&lt;-BT$6,-BT$6-SUM(BT$10:BT398),-ROUNDDOWN($M399*BT$5/100,0)),0)</f>
        <v>0</v>
      </c>
      <c r="BU399" s="38">
        <f>IF(AND(BU$7="○",$A399&gt;=BU$8,$A399&lt;=BU$9),IF(SUM(BU$10:BU398)-ROUNDDOWN($M399*BU$5/100,0)&lt;-BU$6,-BU$6-SUM(BU$10:BU398),-ROUNDDOWN($M399*BU$5/100,0)),0)</f>
        <v>0</v>
      </c>
      <c r="BV399" s="38">
        <f>IF(AND(BV$7="○",$A399&gt;=BV$8,$A399&lt;=BV$9),IF(SUM(BV$10:BV398)-ROUNDDOWN($M399*BV$5/100,0)&lt;-BV$6,-BV$6-SUM(BV$10:BV398),-ROUNDDOWN($M399*BV$5/100,0)),0)</f>
        <v>0</v>
      </c>
      <c r="BW399" s="38">
        <f>IF(AND(BW$7="○",$A399&gt;=BW$8,$A399&lt;=BW$9),IF(SUM(BW$10:BW398)-ROUNDDOWN($M399*BW$5/100,0)&lt;-BW$6,-BW$6-SUM(BW$10:BW398),-ROUNDDOWN($M399*BW$5/100,0)),0)</f>
        <v>0</v>
      </c>
      <c r="BX399" s="38">
        <f>IF(AND(T399="○",$A399&gt;=BX$8,$A399&lt;=BX$9),IF(SUM(BX$10:BX398)-ROUNDDOWN($K399*BX$5/100,0)&lt;-BX$6,-BX$6-SUM(BX$10:BX398),-ROUNDDOWN($K399*BX$5/100,0)),0)</f>
        <v>0</v>
      </c>
      <c r="BY399" s="38">
        <f>IF(AND(U399="○",$A399&gt;=BY$8,$A399&lt;=BY$9),IF(SUM(BY$10:BY398)-ROUNDDOWN($K399*BY$5/100,0)&lt;-BY$6,-BY$6-SUM(BY$10:BY398),-ROUNDDOWN($K399*BY$5/100,0)),0)</f>
        <v>0</v>
      </c>
      <c r="BZ399" s="38">
        <f>IF(AND(V399="○",$A399&gt;=BZ$8,$A399&lt;=BZ$9),IF(SUM(BZ$10:BZ398)-ROUNDDOWN($K399*BZ$5/100,0)&lt;-BZ$6,-BZ$6-SUM(BZ$10:BZ398),-ROUNDDOWN($K399*BZ$5/100,0)),0)</f>
        <v>0</v>
      </c>
      <c r="CA399" s="38">
        <f>IF(AND(W399="○",$A399&gt;=CA$8,$A399&lt;=CA$9),IF(SUM(CA$10:CA398)-ROUNDDOWN($K399*CA$5/100,0)&lt;-CA$6,-CA$6-SUM(CA$10:CA398),-ROUNDDOWN($K399*CA$5/100,0)),0)</f>
        <v>0</v>
      </c>
      <c r="CB399" s="38"/>
      <c r="CC399" s="38"/>
      <c r="CD399" s="38"/>
      <c r="CE399" s="38"/>
      <c r="CF399" s="38"/>
      <c r="CG399" s="65">
        <f t="shared" si="256"/>
        <v>0</v>
      </c>
      <c r="CH399" s="71">
        <f t="shared" si="257"/>
        <v>0</v>
      </c>
      <c r="CI399" s="1">
        <f t="shared" si="276"/>
        <v>0</v>
      </c>
      <c r="CJ399" s="1"/>
      <c r="CK399" s="79"/>
      <c r="CL399" s="79"/>
      <c r="CM399" s="2"/>
      <c r="CN399" s="2"/>
      <c r="CO399" s="73">
        <f t="shared" si="277"/>
        <v>0</v>
      </c>
      <c r="CP399" s="5">
        <f t="shared" si="278"/>
        <v>0</v>
      </c>
      <c r="CQ399" s="1"/>
      <c r="CR399" s="1">
        <f t="shared" si="279"/>
        <v>0</v>
      </c>
      <c r="CS399" s="1"/>
      <c r="CT399" s="1" t="e">
        <f>INDEX([2]マスタ!$A:$A,MATCH(D399,[2]マスタ!$C:$C,0))</f>
        <v>#N/A</v>
      </c>
      <c r="CU399" s="1" t="str">
        <f t="shared" ca="1" si="280"/>
        <v>20260620_0-0</v>
      </c>
    </row>
    <row r="400" spans="1:99" x14ac:dyDescent="0.4">
      <c r="A400" s="61"/>
      <c r="B400" s="62"/>
      <c r="C400" s="62"/>
      <c r="D400" s="62"/>
      <c r="E400" s="63"/>
      <c r="F400" s="62"/>
      <c r="G400" s="62">
        <v>1</v>
      </c>
      <c r="H400" s="64">
        <f t="shared" si="267"/>
        <v>0</v>
      </c>
      <c r="I400" s="64"/>
      <c r="J400" s="64"/>
      <c r="K400" s="65">
        <f t="shared" si="283"/>
        <v>0</v>
      </c>
      <c r="L400" s="65">
        <f t="shared" si="269"/>
        <v>0</v>
      </c>
      <c r="M400" s="65">
        <f t="shared" si="270"/>
        <v>0</v>
      </c>
      <c r="N400" s="65">
        <f t="shared" si="271"/>
        <v>0</v>
      </c>
      <c r="O400" s="66" t="str">
        <f t="shared" si="272"/>
        <v>✕</v>
      </c>
      <c r="P400" s="67" t="str">
        <f t="shared" si="273"/>
        <v>○</v>
      </c>
      <c r="Q400" s="67" t="str">
        <f t="shared" si="284"/>
        <v>✕</v>
      </c>
      <c r="R400" s="67" t="str">
        <f t="shared" si="275"/>
        <v>✕</v>
      </c>
      <c r="S400" s="68">
        <v>0</v>
      </c>
      <c r="T400" s="69" t="s">
        <v>85</v>
      </c>
      <c r="U400" s="69" t="s">
        <v>85</v>
      </c>
      <c r="V400" s="69" t="s">
        <v>85</v>
      </c>
      <c r="W400" s="69" t="s">
        <v>85</v>
      </c>
      <c r="X400" s="69" t="s">
        <v>84</v>
      </c>
      <c r="Y400" s="69" t="s">
        <v>85</v>
      </c>
      <c r="Z400" s="69" t="s">
        <v>85</v>
      </c>
      <c r="AA400" s="69" t="s">
        <v>85</v>
      </c>
      <c r="AB400" s="69" t="s">
        <v>85</v>
      </c>
      <c r="AC400" s="69" t="s">
        <v>85</v>
      </c>
      <c r="AD400" s="38" t="str">
        <f>+IF(ISERROR(VLOOKUP($B400,AD$10:AD399,1,0)),IF(AND($N400&gt;=1000,$A400&gt;=AO$8,$A400&lt;=AO$9),$B400,""),"")</f>
        <v/>
      </c>
      <c r="AE400" s="38" t="str">
        <f>+IF(ISERROR(VLOOKUP($B400,AE$10:AE399,1,0)),IF(AND($N400&gt;=1000,$A400&gt;=AP$8,$A400&lt;=AP$9),$B400,""),"")</f>
        <v/>
      </c>
      <c r="AF400" s="38" t="str">
        <f>+IF(ISERROR(VLOOKUP($B400,AF$10:AF399,1,0)),IF(AND($N400&gt;=1000,$A400&gt;=AQ$8,$A400&lt;=AQ$9),$B400,""),"")</f>
        <v/>
      </c>
      <c r="AG400" s="38" t="str">
        <f>+IF(ISERROR(VLOOKUP($B400,AG$10:AG399,1,0)),IF(AND($N400&gt;=1000,$A400&gt;=AR$8,$A400&lt;=AR$9),$B400,""),"")</f>
        <v/>
      </c>
      <c r="AH400" s="38"/>
      <c r="AI400" s="70">
        <v>0</v>
      </c>
      <c r="AJ400" s="38">
        <f>IF(AND(AJ$7="○",$A400&gt;=AJ$8,$A400&lt;=AJ$9),IF(SUM(AJ$10:AJ399)-ROUNDDOWN($K400*AJ$5/100,0)&lt;-AJ$6,-AJ$6-SUM(AJ$10:AJ399),-ROUNDDOWN($K400*AJ$5/100,0)),0)</f>
        <v>0</v>
      </c>
      <c r="AK400" s="38">
        <f>IF(AND(AK$7="○",$A400&gt;=AK$8,$A400&lt;=AK$9),IF(SUM(AK$10:AK399)-ROUNDDOWN($L400*AK$5/100,0)&lt;-AK$6,-AK$6-SUM(AK$10:AK399),-ROUNDDOWN($L400*AK$5/100,0)),0)</f>
        <v>0</v>
      </c>
      <c r="AL400" s="38">
        <f>IF(AND(AL$7="○",$A400&gt;=AL$8,$A400&lt;=AL$9),IF(SUM(AL$10:AL399)-ROUNDDOWN($N400*AL$5/100,0)&lt;-AL$6,-AL$6-SUM(AL$10:AL399),-ROUNDDOWN($N400*AL$5/100,0)),0)</f>
        <v>0</v>
      </c>
      <c r="AM400" s="38">
        <f>IF(AND(AM$7="○",$A400&gt;=AM$8,$A400&lt;=AM$9),IF(SUM(AM$10:AM399)-ROUNDDOWN($L400*AM$5/100,0)&lt;-AM$6,-AM$6-SUM(AM$10:AM399),-ROUNDDOWN($L400*AM$5/100,0)),0)</f>
        <v>0</v>
      </c>
      <c r="AN400" s="38">
        <f>IF(AND(AN$7="○",$A400&gt;=AN$8,$A400&lt;=AN$9),IF(SUM(AN$10:AN399)-ROUNDDOWN($M400*AN$5/100,0)&lt;-AN$6,-AN$6-SUM(AN$10:AN399),-ROUNDDOWN($M400*AN$5/100,0)),0)</f>
        <v>0</v>
      </c>
      <c r="AO400" s="38">
        <f>IF(AND($A400&gt;=AO$8,$A400&lt;=AO$9),IF(SUM(AO$10:AO399)-ROUNDDOWN($K400*AO$5/100,0)&lt;-AO$6,-AO$6-SUM(AO$10:AO399),-ROUNDDOWN($K400*AO$5/100,0)),0)</f>
        <v>0</v>
      </c>
      <c r="AP400" s="38">
        <f>IF(AND($A400&gt;=AP$8,$A400&lt;=AP$9),IF(SUM(AP$10:AP399)-ROUNDDOWN($K400*AP$5/100,0)&lt;-AP$6,-AP$6-SUM(AP$10:AP399),-ROUNDDOWN($K400*AP$5/100,0)),0)</f>
        <v>0</v>
      </c>
      <c r="AQ400" s="38">
        <f>IF(AND($A400&gt;=AQ$8,$A400&lt;=AQ$9),IF(SUM(AQ$10:AQ399)-ROUNDDOWN($K400*AQ$5/100,0)&lt;-AQ$6,-AQ$6-SUM(AQ$10:AQ399),-ROUNDDOWN($K400*AQ$5/100,0)),0)</f>
        <v>0</v>
      </c>
      <c r="AR400" s="38">
        <f>IF(AND($A400&gt;=AR$8,$A400&lt;=AR$9),IF(SUM(AR$10:AR399)-ROUNDDOWN($K400*AR$5/100,0)&lt;-AR$6,-AR$6-SUM(AR$10:AR399),-ROUNDDOWN($K400*AR$5/100,0)),0)</f>
        <v>0</v>
      </c>
      <c r="AS400" s="38">
        <f>IF(SUMIFS(AS$10:AS399,$A$10:$A399,$A400)-ROUNDDOWN($K400*$S400/100,0)&lt;-$S400*1000,-$S400*1000-SUMIFS(AS$10:AS399,$A$10:$A399,$A400),-ROUNDDOWN($K400*$S400/100,0))</f>
        <v>0</v>
      </c>
      <c r="AT400" s="38">
        <f>IF(AND(X400="○",$A400&gt;=AT$8,$A400&lt;=AT$9,K400&gt;=3980),IF(SUM(AT$10:AT399)-ROUNDDOWN($K400*AT$5/100,0)&lt;-AT$6,-AT$6-SUM(AT$10:AT399),-ROUNDDOWN($K400*AT$5/100,0)),0)</f>
        <v>0</v>
      </c>
      <c r="AU400" s="38">
        <f>IF(O400="○",IF(SUM(AU$10:AU399)-ROUNDDOWN($K400*AU$5/100,0)&lt;-AU$6,-AU$6-SUM(AU$10:AU399),-ROUNDDOWN($K400*AU$5/100,0)),0)</f>
        <v>0</v>
      </c>
      <c r="AV400" s="38">
        <f>IF(P400="○",IF(SUM(AV$10:AV399)-ROUNDDOWN($K400*AV$5/100,0)&lt;-AV$6,-AV$6-SUM(AV$10:AV399),-ROUNDDOWN($K400*AV$5/100,0)),0)</f>
        <v>0</v>
      </c>
      <c r="AW400" s="38">
        <f>IF(Q400="○",IF(SUM(AW$10:AW399)-ROUNDDOWN($K400*AW$5/100,0)&lt;-AW$6,-AW$6-SUM(AW$10:AW399),-ROUNDDOWN($K400*AW$5/100,0)),0)</f>
        <v>0</v>
      </c>
      <c r="AX400" s="38">
        <f>IF(R400="○",IF(SUM(AX$10:AX399)-ROUNDDOWN($K400*AX$5/100,0)&lt;-AX$6,-AX$6-SUM(AX$10:AX399),-ROUNDDOWN($K400*AX$5/100,0)),0)</f>
        <v>0</v>
      </c>
      <c r="AY400" s="70">
        <v>0</v>
      </c>
      <c r="AZ400" s="65">
        <f t="shared" si="250"/>
        <v>0</v>
      </c>
      <c r="BA400" s="65">
        <f t="shared" si="251"/>
        <v>0</v>
      </c>
      <c r="BB400" s="70"/>
      <c r="BC400" s="65">
        <f t="shared" si="252"/>
        <v>0</v>
      </c>
      <c r="BD400" s="70">
        <v>0</v>
      </c>
      <c r="BE400" s="65">
        <f t="shared" si="253"/>
        <v>0</v>
      </c>
      <c r="BF400" s="70">
        <v>0</v>
      </c>
      <c r="BG400" s="65">
        <f t="shared" si="254"/>
        <v>0</v>
      </c>
      <c r="BH400" s="70">
        <v>0</v>
      </c>
      <c r="BI400" s="65">
        <f t="shared" si="255"/>
        <v>0</v>
      </c>
      <c r="BJ400" s="38">
        <f>IF(AND(BJ$7="○",$A400&gt;=BJ$8,$A400&lt;=BJ$9),IF(SUM(BJ$10:BJ399)-ROUNDDOWN($M400*BJ$5/100,0)&lt;-BJ$6,-BJ$6-SUM(BJ$10:BJ399),-ROUNDDOWN($M400*BJ$5/100,0)),0)</f>
        <v>0</v>
      </c>
      <c r="BK400" s="38">
        <f>IF(AND(BK$7="○",$A400&gt;=BK$8,$A400&lt;=BK$9),IF(SUM(BK$10:BK399)-ROUNDDOWN($L400*BK$5/100,0)&lt;-BK$6,-BK$6-SUM(BK$10:BK399),-ROUNDDOWN($L400*BK$5/100,0)),0)</f>
        <v>0</v>
      </c>
      <c r="BL400" s="38">
        <f>IF(AND(BL$7="○",$A400&gt;=BL$8,$A400&lt;=BL$9),IF(SUM(BL$10:BL399)-ROUNDDOWN($L400*BL$5/100,0)&lt;-BL$6,-BL$6-SUM(BL$10:BL399),-ROUNDDOWN($L400*BL$5/100,0)),0)</f>
        <v>0</v>
      </c>
      <c r="BM400" s="38">
        <f>IF(AND(BM$7="○",$A400&gt;=BM$8,$A400&lt;=BM$9),IF(SUM(BM$10:BM399)-ROUNDDOWN($M400*BM$5/100,0)&lt;-BM$6,-BM$6-SUM(BM$10:BM399),-ROUNDDOWN($M400*BM$5/100,0)),0)</f>
        <v>0</v>
      </c>
      <c r="BN400" s="38">
        <f>IF(AND(BN$7="○",$A400&gt;=BN$8,$A400&lt;=BN$9),IF(SUM(BN$10:BN399)-ROUNDDOWN($M400*BN$5/100,0)&lt;-BN$6,-BN$6-SUM(BN$10:BN399),-ROUNDDOWN($M400*BN$5/100,0)),0)</f>
        <v>0</v>
      </c>
      <c r="BO400" s="38">
        <f>IF(AND(BO$7="○",$A400&gt;=BO$8,$A400&lt;=BO$9),IF(SUM(BO$10:BO399)-ROUNDDOWN($M400*BO$5/100,0)&lt;-BO$6,-BO$6-SUM(BO$10:BO399),-ROUNDDOWN($M400*BO$5/100,0)),0)</f>
        <v>0</v>
      </c>
      <c r="BP400" s="38">
        <f>IF(AND(BP$7="○",$A400&gt;=BP$8,$A400&lt;=BP$9),IF(SUM(BP$10:BP399)-ROUNDDOWN($M400*BP$5/100,0)&lt;-BP$6,-BP$6-SUM(BP$10:BP399),-ROUNDDOWN($M400*BP$5/100,0)),0)</f>
        <v>0</v>
      </c>
      <c r="BQ400" s="38">
        <f>IF(AND(BQ$7="○",$A400&gt;=BQ$8,$A400&lt;=BQ$9),IF(SUM(BQ$10:BQ399)-ROUNDDOWN($L400*BQ$5/100,0)&lt;-BQ$6,-BQ$6-SUM(BQ$10:BQ399),-ROUNDDOWN($L400*BQ$5/100,0)),0)</f>
        <v>0</v>
      </c>
      <c r="BR400" s="38">
        <f>IF(AND(BR$7="○",$A400&gt;=BR$8,$A400&lt;=BR$9),IF(SUM(BR$10:BR399)-ROUNDDOWN($M400*BR$5/100,0)&lt;-BR$6,-BR$6-SUM(BR$10:BR399),-ROUNDDOWN($M400*BR$5/100,0)),0)</f>
        <v>0</v>
      </c>
      <c r="BS400" s="38">
        <f>IF(AND(BS$7="○",$A400&gt;=BS$8,$A400&lt;=BS$9),IF(SUM(BS$10:BS399)-ROUNDDOWN($M400*BS$5/100,0)&lt;-BS$6,-BS$6-SUM(BS$10:BS399),-ROUNDDOWN($M400*BS$5/100,0)),0)</f>
        <v>0</v>
      </c>
      <c r="BT400" s="38">
        <f>IF(AND(BT$7="○",$A400&gt;=BT$8,$A400&lt;=BT$9),IF(SUM(BT$10:BT399)-ROUNDDOWN($M400*BT$5/100,0)&lt;-BT$6,-BT$6-SUM(BT$10:BT399),-ROUNDDOWN($M400*BT$5/100,0)),0)</f>
        <v>0</v>
      </c>
      <c r="BU400" s="38">
        <f>IF(AND(BU$7="○",$A400&gt;=BU$8,$A400&lt;=BU$9),IF(SUM(BU$10:BU399)-ROUNDDOWN($M400*BU$5/100,0)&lt;-BU$6,-BU$6-SUM(BU$10:BU399),-ROUNDDOWN($M400*BU$5/100,0)),0)</f>
        <v>0</v>
      </c>
      <c r="BV400" s="38">
        <f>IF(AND(BV$7="○",$A400&gt;=BV$8,$A400&lt;=BV$9),IF(SUM(BV$10:BV399)-ROUNDDOWN($M400*BV$5/100,0)&lt;-BV$6,-BV$6-SUM(BV$10:BV399),-ROUNDDOWN($M400*BV$5/100,0)),0)</f>
        <v>0</v>
      </c>
      <c r="BW400" s="38">
        <f>IF(AND(BW$7="○",$A400&gt;=BW$8,$A400&lt;=BW$9),IF(SUM(BW$10:BW399)-ROUNDDOWN($M400*BW$5/100,0)&lt;-BW$6,-BW$6-SUM(BW$10:BW399),-ROUNDDOWN($M400*BW$5/100,0)),0)</f>
        <v>0</v>
      </c>
      <c r="BX400" s="38">
        <f>IF(AND(T400="○",$A400&gt;=BX$8,$A400&lt;=BX$9),IF(SUM(BX$10:BX399)-ROUNDDOWN($K400*BX$5/100,0)&lt;-BX$6,-BX$6-SUM(BX$10:BX399),-ROUNDDOWN($K400*BX$5/100,0)),0)</f>
        <v>0</v>
      </c>
      <c r="BY400" s="38">
        <f>IF(AND(U400="○",$A400&gt;=BY$8,$A400&lt;=BY$9),IF(SUM(BY$10:BY399)-ROUNDDOWN($K400*BY$5/100,0)&lt;-BY$6,-BY$6-SUM(BY$10:BY399),-ROUNDDOWN($K400*BY$5/100,0)),0)</f>
        <v>0</v>
      </c>
      <c r="BZ400" s="38">
        <f>IF(AND(V400="○",$A400&gt;=BZ$8,$A400&lt;=BZ$9),IF(SUM(BZ$10:BZ399)-ROUNDDOWN($K400*BZ$5/100,0)&lt;-BZ$6,-BZ$6-SUM(BZ$10:BZ399),-ROUNDDOWN($K400*BZ$5/100,0)),0)</f>
        <v>0</v>
      </c>
      <c r="CA400" s="38">
        <f>IF(AND(W400="○",$A400&gt;=CA$8,$A400&lt;=CA$9),IF(SUM(CA$10:CA399)-ROUNDDOWN($K400*CA$5/100,0)&lt;-CA$6,-CA$6-SUM(CA$10:CA399),-ROUNDDOWN($K400*CA$5/100,0)),0)</f>
        <v>0</v>
      </c>
      <c r="CB400" s="38"/>
      <c r="CC400" s="38"/>
      <c r="CD400" s="38"/>
      <c r="CE400" s="38"/>
      <c r="CF400" s="38"/>
      <c r="CG400" s="65">
        <f t="shared" si="256"/>
        <v>0</v>
      </c>
      <c r="CH400" s="71">
        <f t="shared" si="257"/>
        <v>0</v>
      </c>
      <c r="CI400" s="1">
        <f t="shared" si="276"/>
        <v>0</v>
      </c>
      <c r="CJ400" s="1"/>
      <c r="CK400" s="72"/>
      <c r="CL400" s="72"/>
      <c r="CM400" s="2"/>
      <c r="CN400" s="2"/>
      <c r="CO400" s="73">
        <f t="shared" si="277"/>
        <v>0</v>
      </c>
      <c r="CP400" s="5">
        <f t="shared" si="278"/>
        <v>0</v>
      </c>
      <c r="CQ400" s="1"/>
      <c r="CR400" s="1">
        <f t="shared" si="279"/>
        <v>0</v>
      </c>
      <c r="CS400" s="1"/>
      <c r="CT400" s="1" t="e">
        <f>INDEX([2]マスタ!$A:$A,MATCH(D400,[2]マスタ!$C:$C,0))</f>
        <v>#N/A</v>
      </c>
      <c r="CU400" s="1" t="str">
        <f t="shared" ca="1" si="280"/>
        <v>20260620_0-0</v>
      </c>
    </row>
    <row r="401" spans="1:99" x14ac:dyDescent="0.4">
      <c r="A401" s="61"/>
      <c r="B401" s="62"/>
      <c r="C401" s="62"/>
      <c r="D401" s="62"/>
      <c r="E401" s="63"/>
      <c r="F401" s="62"/>
      <c r="G401" s="62">
        <v>1</v>
      </c>
      <c r="H401" s="64">
        <f t="shared" si="267"/>
        <v>0</v>
      </c>
      <c r="I401" s="64"/>
      <c r="J401" s="64"/>
      <c r="K401" s="65">
        <f t="shared" si="283"/>
        <v>0</v>
      </c>
      <c r="L401" s="65">
        <f t="shared" si="269"/>
        <v>0</v>
      </c>
      <c r="M401" s="65">
        <f t="shared" si="270"/>
        <v>0</v>
      </c>
      <c r="N401" s="65">
        <f t="shared" si="271"/>
        <v>0</v>
      </c>
      <c r="O401" s="66" t="str">
        <f t="shared" si="272"/>
        <v>✕</v>
      </c>
      <c r="P401" s="67" t="str">
        <f t="shared" si="273"/>
        <v>○</v>
      </c>
      <c r="Q401" s="67" t="str">
        <f t="shared" si="284"/>
        <v>✕</v>
      </c>
      <c r="R401" s="67" t="str">
        <f t="shared" si="275"/>
        <v>✕</v>
      </c>
      <c r="S401" s="68">
        <v>0</v>
      </c>
      <c r="T401" s="69" t="s">
        <v>85</v>
      </c>
      <c r="U401" s="69" t="s">
        <v>85</v>
      </c>
      <c r="V401" s="69" t="s">
        <v>85</v>
      </c>
      <c r="W401" s="69" t="s">
        <v>85</v>
      </c>
      <c r="X401" s="69" t="s">
        <v>84</v>
      </c>
      <c r="Y401" s="69" t="s">
        <v>85</v>
      </c>
      <c r="Z401" s="69" t="s">
        <v>85</v>
      </c>
      <c r="AA401" s="69" t="s">
        <v>85</v>
      </c>
      <c r="AB401" s="69" t="s">
        <v>85</v>
      </c>
      <c r="AC401" s="69" t="s">
        <v>85</v>
      </c>
      <c r="AD401" s="38" t="str">
        <f>+IF(ISERROR(VLOOKUP($B401,AD$10:AD400,1,0)),IF(AND($N401&gt;=1000,$A401&gt;=AO$8,$A401&lt;=AO$9),$B401,""),"")</f>
        <v/>
      </c>
      <c r="AE401" s="38" t="str">
        <f>+IF(ISERROR(VLOOKUP($B401,AE$10:AE400,1,0)),IF(AND($N401&gt;=1000,$A401&gt;=AP$8,$A401&lt;=AP$9),$B401,""),"")</f>
        <v/>
      </c>
      <c r="AF401" s="38" t="str">
        <f>+IF(ISERROR(VLOOKUP($B401,AF$10:AF400,1,0)),IF(AND($N401&gt;=1000,$A401&gt;=AQ$8,$A401&lt;=AQ$9),$B401,""),"")</f>
        <v/>
      </c>
      <c r="AG401" s="38" t="str">
        <f>+IF(ISERROR(VLOOKUP($B401,AG$10:AG400,1,0)),IF(AND($N401&gt;=1000,$A401&gt;=AR$8,$A401&lt;=AR$9),$B401,""),"")</f>
        <v/>
      </c>
      <c r="AH401" s="38"/>
      <c r="AI401" s="70">
        <v>0</v>
      </c>
      <c r="AJ401" s="38">
        <f>IF(AND(AJ$7="○",$A401&gt;=AJ$8,$A401&lt;=AJ$9),IF(SUM(AJ$10:AJ400)-ROUNDDOWN($K401*AJ$5/100,0)&lt;-AJ$6,-AJ$6-SUM(AJ$10:AJ400),-ROUNDDOWN($K401*AJ$5/100,0)),0)</f>
        <v>0</v>
      </c>
      <c r="AK401" s="38">
        <f>IF(AND(AK$7="○",$A401&gt;=AK$8,$A401&lt;=AK$9),IF(SUM(AK$10:AK400)-ROUNDDOWN($L401*AK$5/100,0)&lt;-AK$6,-AK$6-SUM(AK$10:AK400),-ROUNDDOWN($L401*AK$5/100,0)),0)</f>
        <v>0</v>
      </c>
      <c r="AL401" s="38">
        <f>IF(AND(AL$7="○",$A401&gt;=AL$8,$A401&lt;=AL$9),IF(SUM(AL$10:AL400)-ROUNDDOWN($N401*AL$5/100,0)&lt;-AL$6,-AL$6-SUM(AL$10:AL400),-ROUNDDOWN($N401*AL$5/100,0)),0)</f>
        <v>0</v>
      </c>
      <c r="AM401" s="38">
        <f>IF(AND(AM$7="○",$A401&gt;=AM$8,$A401&lt;=AM$9),IF(SUM(AM$10:AM400)-ROUNDDOWN($L401*AM$5/100,0)&lt;-AM$6,-AM$6-SUM(AM$10:AM400),-ROUNDDOWN($L401*AM$5/100,0)),0)</f>
        <v>0</v>
      </c>
      <c r="AN401" s="38">
        <f>IF(AND(AN$7="○",$A401&gt;=AN$8,$A401&lt;=AN$9),IF(SUM(AN$10:AN400)-ROUNDDOWN($M401*AN$5/100,0)&lt;-AN$6,-AN$6-SUM(AN$10:AN400),-ROUNDDOWN($M401*AN$5/100,0)),0)</f>
        <v>0</v>
      </c>
      <c r="AO401" s="38">
        <f>IF(AND($A401&gt;=AO$8,$A401&lt;=AO$9),IF(SUM(AO$10:AO400)-ROUNDDOWN($K401*AO$5/100,0)&lt;-AO$6,-AO$6-SUM(AO$10:AO400),-ROUNDDOWN($K401*AO$5/100,0)),0)</f>
        <v>0</v>
      </c>
      <c r="AP401" s="38">
        <f>IF(AND($A401&gt;=AP$8,$A401&lt;=AP$9),IF(SUM(AP$10:AP400)-ROUNDDOWN($K401*AP$5/100,0)&lt;-AP$6,-AP$6-SUM(AP$10:AP400),-ROUNDDOWN($K401*AP$5/100,0)),0)</f>
        <v>0</v>
      </c>
      <c r="AQ401" s="38">
        <f>IF(AND($A401&gt;=AQ$8,$A401&lt;=AQ$9),IF(SUM(AQ$10:AQ400)-ROUNDDOWN($K401*AQ$5/100,0)&lt;-AQ$6,-AQ$6-SUM(AQ$10:AQ400),-ROUNDDOWN($K401*AQ$5/100,0)),0)</f>
        <v>0</v>
      </c>
      <c r="AR401" s="38">
        <f>IF(AND($A401&gt;=AR$8,$A401&lt;=AR$9),IF(SUM(AR$10:AR400)-ROUNDDOWN($K401*AR$5/100,0)&lt;-AR$6,-AR$6-SUM(AR$10:AR400),-ROUNDDOWN($K401*AR$5/100,0)),0)</f>
        <v>0</v>
      </c>
      <c r="AS401" s="38">
        <f>IF(SUMIFS(AS$10:AS400,$A$10:$A400,$A401)-ROUNDDOWN($K401*$S401/100,0)&lt;-$S401*1000,-$S401*1000-SUMIFS(AS$10:AS400,$A$10:$A400,$A401),-ROUNDDOWN($K401*$S401/100,0))</f>
        <v>0</v>
      </c>
      <c r="AT401" s="38">
        <f>IF(AND(X401="○",$A401&gt;=AT$8,$A401&lt;=AT$9,K401&gt;=3980),IF(SUM(AT$10:AT400)-ROUNDDOWN($K401*AT$5/100,0)&lt;-AT$6,-AT$6-SUM(AT$10:AT400),-ROUNDDOWN($K401*AT$5/100,0)),0)</f>
        <v>0</v>
      </c>
      <c r="AU401" s="38">
        <f>IF(O401="○",IF(SUM(AU$10:AU400)-ROUNDDOWN($K401*AU$5/100,0)&lt;-AU$6,-AU$6-SUM(AU$10:AU400),-ROUNDDOWN($K401*AU$5/100,0)),0)</f>
        <v>0</v>
      </c>
      <c r="AV401" s="38">
        <f>IF(P401="○",IF(SUM(AV$10:AV400)-ROUNDDOWN($K401*AV$5/100,0)&lt;-AV$6,-AV$6-SUM(AV$10:AV400),-ROUNDDOWN($K401*AV$5/100,0)),0)</f>
        <v>0</v>
      </c>
      <c r="AW401" s="38">
        <f>IF(Q401="○",IF(SUM(AW$10:AW400)-ROUNDDOWN($K401*AW$5/100,0)&lt;-AW$6,-AW$6-SUM(AW$10:AW400),-ROUNDDOWN($K401*AW$5/100,0)),0)</f>
        <v>0</v>
      </c>
      <c r="AX401" s="38">
        <f>IF(R401="○",IF(SUM(AX$10:AX400)-ROUNDDOWN($K401*AX$5/100,0)&lt;-AX$6,-AX$6-SUM(AX$10:AX400),-ROUNDDOWN($K401*AX$5/100,0)),0)</f>
        <v>0</v>
      </c>
      <c r="AY401" s="70">
        <v>0</v>
      </c>
      <c r="AZ401" s="65">
        <f t="shared" si="250"/>
        <v>0</v>
      </c>
      <c r="BA401" s="65">
        <f t="shared" si="251"/>
        <v>0</v>
      </c>
      <c r="BB401" s="70"/>
      <c r="BC401" s="65">
        <f t="shared" si="252"/>
        <v>0</v>
      </c>
      <c r="BD401" s="70">
        <v>0</v>
      </c>
      <c r="BE401" s="65">
        <f t="shared" si="253"/>
        <v>0</v>
      </c>
      <c r="BF401" s="70">
        <v>0</v>
      </c>
      <c r="BG401" s="65">
        <f t="shared" si="254"/>
        <v>0</v>
      </c>
      <c r="BH401" s="70">
        <v>0</v>
      </c>
      <c r="BI401" s="65">
        <f t="shared" si="255"/>
        <v>0</v>
      </c>
      <c r="BJ401" s="38">
        <f>IF(AND(BJ$7="○",$A401&gt;=BJ$8,$A401&lt;=BJ$9),IF(SUM(BJ$10:BJ400)-ROUNDDOWN($M401*BJ$5/100,0)&lt;-BJ$6,-BJ$6-SUM(BJ$10:BJ400),-ROUNDDOWN($M401*BJ$5/100,0)),0)</f>
        <v>0</v>
      </c>
      <c r="BK401" s="38">
        <f>IF(AND(BK$7="○",$A401&gt;=BK$8,$A401&lt;=BK$9),IF(SUM(BK$10:BK400)-ROUNDDOWN($L401*BK$5/100,0)&lt;-BK$6,-BK$6-SUM(BK$10:BK400),-ROUNDDOWN($L401*BK$5/100,0)),0)</f>
        <v>0</v>
      </c>
      <c r="BL401" s="38">
        <f>IF(AND(BL$7="○",$A401&gt;=BL$8,$A401&lt;=BL$9),IF(SUM(BL$10:BL400)-ROUNDDOWN($L401*BL$5/100,0)&lt;-BL$6,-BL$6-SUM(BL$10:BL400),-ROUNDDOWN($L401*BL$5/100,0)),0)</f>
        <v>0</v>
      </c>
      <c r="BM401" s="38">
        <f>IF(AND(BM$7="○",$A401&gt;=BM$8,$A401&lt;=BM$9),IF(SUM(BM$10:BM400)-ROUNDDOWN($M401*BM$5/100,0)&lt;-BM$6,-BM$6-SUM(BM$10:BM400),-ROUNDDOWN($M401*BM$5/100,0)),0)</f>
        <v>0</v>
      </c>
      <c r="BN401" s="38">
        <f>IF(AND(BN$7="○",$A401&gt;=BN$8,$A401&lt;=BN$9),IF(SUM(BN$10:BN400)-ROUNDDOWN($M401*BN$5/100,0)&lt;-BN$6,-BN$6-SUM(BN$10:BN400),-ROUNDDOWN($M401*BN$5/100,0)),0)</f>
        <v>0</v>
      </c>
      <c r="BO401" s="38">
        <f>IF(AND(BO$7="○",$A401&gt;=BO$8,$A401&lt;=BO$9),IF(SUM(BO$10:BO400)-ROUNDDOWN($M401*BO$5/100,0)&lt;-BO$6,-BO$6-SUM(BO$10:BO400),-ROUNDDOWN($M401*BO$5/100,0)),0)</f>
        <v>0</v>
      </c>
      <c r="BP401" s="38">
        <f>IF(AND(BP$7="○",$A401&gt;=BP$8,$A401&lt;=BP$9),IF(SUM(BP$10:BP400)-ROUNDDOWN($M401*BP$5/100,0)&lt;-BP$6,-BP$6-SUM(BP$10:BP400),-ROUNDDOWN($M401*BP$5/100,0)),0)</f>
        <v>0</v>
      </c>
      <c r="BQ401" s="38">
        <f>IF(AND(BQ$7="○",$A401&gt;=BQ$8,$A401&lt;=BQ$9),IF(SUM(BQ$10:BQ400)-ROUNDDOWN($L401*BQ$5/100,0)&lt;-BQ$6,-BQ$6-SUM(BQ$10:BQ400),-ROUNDDOWN($L401*BQ$5/100,0)),0)</f>
        <v>0</v>
      </c>
      <c r="BR401" s="38">
        <f>IF(AND(BR$7="○",$A401&gt;=BR$8,$A401&lt;=BR$9),IF(SUM(BR$10:BR400)-ROUNDDOWN($M401*BR$5/100,0)&lt;-BR$6,-BR$6-SUM(BR$10:BR400),-ROUNDDOWN($M401*BR$5/100,0)),0)</f>
        <v>0</v>
      </c>
      <c r="BS401" s="38">
        <f>IF(AND(BS$7="○",$A401&gt;=BS$8,$A401&lt;=BS$9),IF(SUM(BS$10:BS400)-ROUNDDOWN($M401*BS$5/100,0)&lt;-BS$6,-BS$6-SUM(BS$10:BS400),-ROUNDDOWN($M401*BS$5/100,0)),0)</f>
        <v>0</v>
      </c>
      <c r="BT401" s="38">
        <f>IF(AND(BT$7="○",$A401&gt;=BT$8,$A401&lt;=BT$9),IF(SUM(BT$10:BT400)-ROUNDDOWN($M401*BT$5/100,0)&lt;-BT$6,-BT$6-SUM(BT$10:BT400),-ROUNDDOWN($M401*BT$5/100,0)),0)</f>
        <v>0</v>
      </c>
      <c r="BU401" s="38">
        <f>IF(AND(BU$7="○",$A401&gt;=BU$8,$A401&lt;=BU$9),IF(SUM(BU$10:BU400)-ROUNDDOWN($M401*BU$5/100,0)&lt;-BU$6,-BU$6-SUM(BU$10:BU400),-ROUNDDOWN($M401*BU$5/100,0)),0)</f>
        <v>0</v>
      </c>
      <c r="BV401" s="38">
        <f>IF(AND(BV$7="○",$A401&gt;=BV$8,$A401&lt;=BV$9),IF(SUM(BV$10:BV400)-ROUNDDOWN($M401*BV$5/100,0)&lt;-BV$6,-BV$6-SUM(BV$10:BV400),-ROUNDDOWN($M401*BV$5/100,0)),0)</f>
        <v>0</v>
      </c>
      <c r="BW401" s="38">
        <f>IF(AND(BW$7="○",$A401&gt;=BW$8,$A401&lt;=BW$9),IF(SUM(BW$10:BW400)-ROUNDDOWN($M401*BW$5/100,0)&lt;-BW$6,-BW$6-SUM(BW$10:BW400),-ROUNDDOWN($M401*BW$5/100,0)),0)</f>
        <v>0</v>
      </c>
      <c r="BX401" s="38">
        <f>IF(AND(T401="○",$A401&gt;=BX$8,$A401&lt;=BX$9),IF(SUM(BX$10:BX400)-ROUNDDOWN($K401*BX$5/100,0)&lt;-BX$6,-BX$6-SUM(BX$10:BX400),-ROUNDDOWN($K401*BX$5/100,0)),0)</f>
        <v>0</v>
      </c>
      <c r="BY401" s="38">
        <f>IF(AND(U401="○",$A401&gt;=BY$8,$A401&lt;=BY$9),IF(SUM(BY$10:BY400)-ROUNDDOWN($K401*BY$5/100,0)&lt;-BY$6,-BY$6-SUM(BY$10:BY400),-ROUNDDOWN($K401*BY$5/100,0)),0)</f>
        <v>0</v>
      </c>
      <c r="BZ401" s="38">
        <f>IF(AND(V401="○",$A401&gt;=BZ$8,$A401&lt;=BZ$9),IF(SUM(BZ$10:BZ400)-ROUNDDOWN($K401*BZ$5/100,0)&lt;-BZ$6,-BZ$6-SUM(BZ$10:BZ400),-ROUNDDOWN($K401*BZ$5/100,0)),0)</f>
        <v>0</v>
      </c>
      <c r="CA401" s="38">
        <f>IF(AND(W401="○",$A401&gt;=CA$8,$A401&lt;=CA$9),IF(SUM(CA$10:CA400)-ROUNDDOWN($K401*CA$5/100,0)&lt;-CA$6,-CA$6-SUM(CA$10:CA400),-ROUNDDOWN($K401*CA$5/100,0)),0)</f>
        <v>0</v>
      </c>
      <c r="CB401" s="38"/>
      <c r="CC401" s="38"/>
      <c r="CD401" s="38"/>
      <c r="CE401" s="38"/>
      <c r="CF401" s="38"/>
      <c r="CG401" s="65">
        <f t="shared" si="256"/>
        <v>0</v>
      </c>
      <c r="CH401" s="71">
        <f t="shared" si="257"/>
        <v>0</v>
      </c>
      <c r="CI401" s="1">
        <f t="shared" si="276"/>
        <v>0</v>
      </c>
      <c r="CJ401" s="1"/>
      <c r="CK401" s="2"/>
      <c r="CL401" s="2"/>
      <c r="CM401" s="2"/>
      <c r="CN401" s="2"/>
      <c r="CO401" s="73">
        <f t="shared" si="277"/>
        <v>0</v>
      </c>
      <c r="CP401" s="5">
        <f t="shared" si="278"/>
        <v>0</v>
      </c>
      <c r="CQ401" s="1"/>
      <c r="CR401" s="1">
        <f t="shared" si="279"/>
        <v>0</v>
      </c>
      <c r="CS401" s="1"/>
      <c r="CT401" s="1" t="e">
        <f>INDEX([2]マスタ!$A:$A,MATCH(D401,[2]マスタ!$C:$C,0))</f>
        <v>#N/A</v>
      </c>
      <c r="CU401" s="1" t="str">
        <f t="shared" ca="1" si="280"/>
        <v>20260620_0-0</v>
      </c>
    </row>
    <row r="402" spans="1:99" x14ac:dyDescent="0.4">
      <c r="A402" s="61"/>
      <c r="B402" s="62"/>
      <c r="C402" s="62"/>
      <c r="D402" s="62"/>
      <c r="E402" s="63"/>
      <c r="F402" s="62"/>
      <c r="G402" s="62">
        <v>1</v>
      </c>
      <c r="H402" s="64">
        <f t="shared" si="267"/>
        <v>0</v>
      </c>
      <c r="I402" s="64"/>
      <c r="J402" s="78"/>
      <c r="K402" s="65">
        <f t="shared" si="283"/>
        <v>0</v>
      </c>
      <c r="L402" s="65">
        <f t="shared" si="269"/>
        <v>0</v>
      </c>
      <c r="M402" s="65">
        <f t="shared" si="270"/>
        <v>0</v>
      </c>
      <c r="N402" s="65">
        <f t="shared" si="271"/>
        <v>0</v>
      </c>
      <c r="O402" s="66" t="str">
        <f t="shared" si="272"/>
        <v>✕</v>
      </c>
      <c r="P402" s="67" t="str">
        <f t="shared" si="273"/>
        <v>○</v>
      </c>
      <c r="Q402" s="67" t="str">
        <f t="shared" si="284"/>
        <v>✕</v>
      </c>
      <c r="R402" s="67" t="str">
        <f t="shared" si="275"/>
        <v>✕</v>
      </c>
      <c r="S402" s="68">
        <v>0</v>
      </c>
      <c r="T402" s="69" t="s">
        <v>85</v>
      </c>
      <c r="U402" s="69" t="s">
        <v>85</v>
      </c>
      <c r="V402" s="69" t="s">
        <v>85</v>
      </c>
      <c r="W402" s="69" t="s">
        <v>85</v>
      </c>
      <c r="X402" s="69" t="s">
        <v>84</v>
      </c>
      <c r="Y402" s="69" t="s">
        <v>85</v>
      </c>
      <c r="Z402" s="69" t="s">
        <v>85</v>
      </c>
      <c r="AA402" s="69" t="s">
        <v>85</v>
      </c>
      <c r="AB402" s="69" t="s">
        <v>85</v>
      </c>
      <c r="AC402" s="69" t="s">
        <v>85</v>
      </c>
      <c r="AD402" s="38" t="str">
        <f>+IF(ISERROR(VLOOKUP($B402,AD$10:AD401,1,0)),IF(AND($N402&gt;=1000,$A402&gt;=AO$8,$A402&lt;=AO$9),$B402,""),"")</f>
        <v/>
      </c>
      <c r="AE402" s="38" t="str">
        <f>+IF(ISERROR(VLOOKUP($B402,AE$10:AE401,1,0)),IF(AND($N402&gt;=1000,$A402&gt;=AP$8,$A402&lt;=AP$9),$B402,""),"")</f>
        <v/>
      </c>
      <c r="AF402" s="38" t="str">
        <f>+IF(ISERROR(VLOOKUP($B402,AF$10:AF401,1,0)),IF(AND($N402&gt;=1000,$A402&gt;=AQ$8,$A402&lt;=AQ$9),$B402,""),"")</f>
        <v/>
      </c>
      <c r="AG402" s="38" t="str">
        <f>+IF(ISERROR(VLOOKUP($B402,AG$10:AG401,1,0)),IF(AND($N402&gt;=1000,$A402&gt;=AR$8,$A402&lt;=AR$9),$B402,""),"")</f>
        <v/>
      </c>
      <c r="AH402" s="38"/>
      <c r="AI402" s="70">
        <v>0</v>
      </c>
      <c r="AJ402" s="38">
        <f>IF(AND(AJ$7="○",$A402&gt;=AJ$8,$A402&lt;=AJ$9),IF(SUM(AJ$10:AJ401)-ROUNDDOWN($K402*AJ$5/100,0)&lt;-AJ$6,-AJ$6-SUM(AJ$10:AJ401),-ROUNDDOWN($K402*AJ$5/100,0)),0)</f>
        <v>0</v>
      </c>
      <c r="AK402" s="38">
        <f>IF(AND(AK$7="○",$A402&gt;=AK$8,$A402&lt;=AK$9),IF(SUM(AK$10:AK401)-ROUNDDOWN($L402*AK$5/100,0)&lt;-AK$6,-AK$6-SUM(AK$10:AK401),-ROUNDDOWN($L402*AK$5/100,0)),0)</f>
        <v>0</v>
      </c>
      <c r="AL402" s="38">
        <f>IF(AND(AL$7="○",$A402&gt;=AL$8,$A402&lt;=AL$9),IF(SUM(AL$10:AL401)-ROUNDDOWN($N402*AL$5/100,0)&lt;-AL$6,-AL$6-SUM(AL$10:AL401),-ROUNDDOWN($N402*AL$5/100,0)),0)</f>
        <v>0</v>
      </c>
      <c r="AM402" s="38">
        <f>IF(AND(AM$7="○",$A402&gt;=AM$8,$A402&lt;=AM$9),IF(SUM(AM$10:AM401)-ROUNDDOWN($L402*AM$5/100,0)&lt;-AM$6,-AM$6-SUM(AM$10:AM401),-ROUNDDOWN($L402*AM$5/100,0)),0)</f>
        <v>0</v>
      </c>
      <c r="AN402" s="38">
        <f>IF(AND(AN$7="○",$A402&gt;=AN$8,$A402&lt;=AN$9),IF(SUM(AN$10:AN401)-ROUNDDOWN($M402*AN$5/100,0)&lt;-AN$6,-AN$6-SUM(AN$10:AN401),-ROUNDDOWN($M402*AN$5/100,0)),0)</f>
        <v>0</v>
      </c>
      <c r="AO402" s="38">
        <f>IF(AND($A402&gt;=AO$8,$A402&lt;=AO$9),IF(SUM(AO$10:AO401)-ROUNDDOWN($K402*AO$5/100,0)&lt;-AO$6,-AO$6-SUM(AO$10:AO401),-ROUNDDOWN($K402*AO$5/100,0)),0)</f>
        <v>0</v>
      </c>
      <c r="AP402" s="38">
        <f>IF(AND($A402&gt;=AP$8,$A402&lt;=AP$9),IF(SUM(AP$10:AP401)-ROUNDDOWN($K402*AP$5/100,0)&lt;-AP$6,-AP$6-SUM(AP$10:AP401),-ROUNDDOWN($K402*AP$5/100,0)),0)</f>
        <v>0</v>
      </c>
      <c r="AQ402" s="38">
        <f>IF(AND($A402&gt;=AQ$8,$A402&lt;=AQ$9),IF(SUM(AQ$10:AQ401)-ROUNDDOWN($K402*AQ$5/100,0)&lt;-AQ$6,-AQ$6-SUM(AQ$10:AQ401),-ROUNDDOWN($K402*AQ$5/100,0)),0)</f>
        <v>0</v>
      </c>
      <c r="AR402" s="38">
        <f>IF(AND($A402&gt;=AR$8,$A402&lt;=AR$9),IF(SUM(AR$10:AR401)-ROUNDDOWN($K402*AR$5/100,0)&lt;-AR$6,-AR$6-SUM(AR$10:AR401),-ROUNDDOWN($K402*AR$5/100,0)),0)</f>
        <v>0</v>
      </c>
      <c r="AS402" s="38">
        <f>IF(SUMIFS(AS$10:AS401,$A$10:$A401,$A402)-ROUNDDOWN($K402*$S402/100,0)&lt;-$S402*1000,-$S402*1000-SUMIFS(AS$10:AS401,$A$10:$A401,$A402),-ROUNDDOWN($K402*$S402/100,0))</f>
        <v>0</v>
      </c>
      <c r="AT402" s="38">
        <f>IF(AND(X402="○",$A402&gt;=AT$8,$A402&lt;=AT$9,K402&gt;=3980),IF(SUM(AT$10:AT401)-ROUNDDOWN($K402*AT$5/100,0)&lt;-AT$6,-AT$6-SUM(AT$10:AT401),-ROUNDDOWN($K402*AT$5/100,0)),0)</f>
        <v>0</v>
      </c>
      <c r="AU402" s="38">
        <f>IF(O402="○",IF(SUM(AU$10:AU401)-ROUNDDOWN($K402*AU$5/100,0)&lt;-AU$6,-AU$6-SUM(AU$10:AU401),-ROUNDDOWN($K402*AU$5/100,0)),0)</f>
        <v>0</v>
      </c>
      <c r="AV402" s="38">
        <f>IF(P402="○",IF(SUM(AV$10:AV401)-ROUNDDOWN($K402*AV$5/100,0)&lt;-AV$6,-AV$6-SUM(AV$10:AV401),-ROUNDDOWN($K402*AV$5/100,0)),0)</f>
        <v>0</v>
      </c>
      <c r="AW402" s="38">
        <f>IF(Q402="○",IF(SUM(AW$10:AW401)-ROUNDDOWN($K402*AW$5/100,0)&lt;-AW$6,-AW$6-SUM(AW$10:AW401),-ROUNDDOWN($K402*AW$5/100,0)),0)</f>
        <v>0</v>
      </c>
      <c r="AX402" s="38">
        <f>IF(R402="○",IF(SUM(AX$10:AX401)-ROUNDDOWN($K402*AX$5/100,0)&lt;-AX$6,-AX$6-SUM(AX$10:AX401),-ROUNDDOWN($K402*AX$5/100,0)),0)</f>
        <v>0</v>
      </c>
      <c r="AY402" s="70">
        <v>0</v>
      </c>
      <c r="AZ402" s="65">
        <f t="shared" si="250"/>
        <v>0</v>
      </c>
      <c r="BA402" s="65">
        <f t="shared" si="251"/>
        <v>0</v>
      </c>
      <c r="BB402" s="70"/>
      <c r="BC402" s="65">
        <f t="shared" si="252"/>
        <v>0</v>
      </c>
      <c r="BD402" s="70">
        <v>0</v>
      </c>
      <c r="BE402" s="65">
        <f t="shared" si="253"/>
        <v>0</v>
      </c>
      <c r="BF402" s="70">
        <v>0</v>
      </c>
      <c r="BG402" s="65">
        <f t="shared" si="254"/>
        <v>0</v>
      </c>
      <c r="BH402" s="70">
        <v>0</v>
      </c>
      <c r="BI402" s="65">
        <f t="shared" si="255"/>
        <v>0</v>
      </c>
      <c r="BJ402" s="38">
        <f>IF(AND(BJ$7="○",$A402&gt;=BJ$8,$A402&lt;=BJ$9),IF(SUM(BJ$10:BJ401)-ROUNDDOWN($M402*BJ$5/100,0)&lt;-BJ$6,-BJ$6-SUM(BJ$10:BJ401),-ROUNDDOWN($M402*BJ$5/100,0)),0)</f>
        <v>0</v>
      </c>
      <c r="BK402" s="38">
        <f>IF(AND(BK$7="○",$A402&gt;=BK$8,$A402&lt;=BK$9),IF(SUM(BK$10:BK401)-ROUNDDOWN($L402*BK$5/100,0)&lt;-BK$6,-BK$6-SUM(BK$10:BK401),-ROUNDDOWN($L402*BK$5/100,0)),0)</f>
        <v>0</v>
      </c>
      <c r="BL402" s="38">
        <f>IF(AND(BL$7="○",$A402&gt;=BL$8,$A402&lt;=BL$9),IF(SUM(BL$10:BL401)-ROUNDDOWN($L402*BL$5/100,0)&lt;-BL$6,-BL$6-SUM(BL$10:BL401),-ROUNDDOWN($L402*BL$5/100,0)),0)</f>
        <v>0</v>
      </c>
      <c r="BM402" s="38">
        <f>IF(AND(BM$7="○",$A402&gt;=BM$8,$A402&lt;=BM$9),IF(SUM(BM$10:BM401)-ROUNDDOWN($M402*BM$5/100,0)&lt;-BM$6,-BM$6-SUM(BM$10:BM401),-ROUNDDOWN($M402*BM$5/100,0)),0)</f>
        <v>0</v>
      </c>
      <c r="BN402" s="38">
        <f>IF(AND(BN$7="○",$A402&gt;=BN$8,$A402&lt;=BN$9),IF(SUM(BN$10:BN401)-ROUNDDOWN($M402*BN$5/100,0)&lt;-BN$6,-BN$6-SUM(BN$10:BN401),-ROUNDDOWN($M402*BN$5/100,0)),0)</f>
        <v>0</v>
      </c>
      <c r="BO402" s="38">
        <f>IF(AND(BO$7="○",$A402&gt;=BO$8,$A402&lt;=BO$9),IF(SUM(BO$10:BO401)-ROUNDDOWN($M402*BO$5/100,0)&lt;-BO$6,-BO$6-SUM(BO$10:BO401),-ROUNDDOWN($M402*BO$5/100,0)),0)</f>
        <v>0</v>
      </c>
      <c r="BP402" s="38">
        <f>IF(AND(BP$7="○",$A402&gt;=BP$8,$A402&lt;=BP$9),IF(SUM(BP$10:BP401)-ROUNDDOWN($M402*BP$5/100,0)&lt;-BP$6,-BP$6-SUM(BP$10:BP401),-ROUNDDOWN($M402*BP$5/100,0)),0)</f>
        <v>0</v>
      </c>
      <c r="BQ402" s="38">
        <f>IF(AND(BQ$7="○",$A402&gt;=BQ$8,$A402&lt;=BQ$9),IF(SUM(BQ$10:BQ401)-ROUNDDOWN($L402*BQ$5/100,0)&lt;-BQ$6,-BQ$6-SUM(BQ$10:BQ401),-ROUNDDOWN($L402*BQ$5/100,0)),0)</f>
        <v>0</v>
      </c>
      <c r="BR402" s="38">
        <f>IF(AND(BR$7="○",$A402&gt;=BR$8,$A402&lt;=BR$9),IF(SUM(BR$10:BR401)-ROUNDDOWN($M402*BR$5/100,0)&lt;-BR$6,-BR$6-SUM(BR$10:BR401),-ROUNDDOWN($M402*BR$5/100,0)),0)</f>
        <v>0</v>
      </c>
      <c r="BS402" s="38">
        <f>IF(AND(BS$7="○",$A402&gt;=BS$8,$A402&lt;=BS$9),IF(SUM(BS$10:BS401)-ROUNDDOWN($M402*BS$5/100,0)&lt;-BS$6,-BS$6-SUM(BS$10:BS401),-ROUNDDOWN($M402*BS$5/100,0)),0)</f>
        <v>0</v>
      </c>
      <c r="BT402" s="38">
        <f>IF(AND(BT$7="○",$A402&gt;=BT$8,$A402&lt;=BT$9),IF(SUM(BT$10:BT401)-ROUNDDOWN($M402*BT$5/100,0)&lt;-BT$6,-BT$6-SUM(BT$10:BT401),-ROUNDDOWN($M402*BT$5/100,0)),0)</f>
        <v>0</v>
      </c>
      <c r="BU402" s="38">
        <f>IF(AND(BU$7="○",$A402&gt;=BU$8,$A402&lt;=BU$9),IF(SUM(BU$10:BU401)-ROUNDDOWN($M402*BU$5/100,0)&lt;-BU$6,-BU$6-SUM(BU$10:BU401),-ROUNDDOWN($M402*BU$5/100,0)),0)</f>
        <v>0</v>
      </c>
      <c r="BV402" s="38">
        <f>IF(AND(BV$7="○",$A402&gt;=BV$8,$A402&lt;=BV$9),IF(SUM(BV$10:BV401)-ROUNDDOWN($M402*BV$5/100,0)&lt;-BV$6,-BV$6-SUM(BV$10:BV401),-ROUNDDOWN($M402*BV$5/100,0)),0)</f>
        <v>0</v>
      </c>
      <c r="BW402" s="38">
        <f>IF(AND(BW$7="○",$A402&gt;=BW$8,$A402&lt;=BW$9),IF(SUM(BW$10:BW401)-ROUNDDOWN($M402*BW$5/100,0)&lt;-BW$6,-BW$6-SUM(BW$10:BW401),-ROUNDDOWN($M402*BW$5/100,0)),0)</f>
        <v>0</v>
      </c>
      <c r="BX402" s="38">
        <f>IF(AND(T402="○",$A402&gt;=BX$8,$A402&lt;=BX$9),IF(SUM(BX$10:BX401)-ROUNDDOWN($K402*BX$5/100,0)&lt;-BX$6,-BX$6-SUM(BX$10:BX401),-ROUNDDOWN($K402*BX$5/100,0)),0)</f>
        <v>0</v>
      </c>
      <c r="BY402" s="38">
        <f>IF(AND(U402="○",$A402&gt;=BY$8,$A402&lt;=BY$9),IF(SUM(BY$10:BY401)-ROUNDDOWN($K402*BY$5/100,0)&lt;-BY$6,-BY$6-SUM(BY$10:BY401),-ROUNDDOWN($K402*BY$5/100,0)),0)</f>
        <v>0</v>
      </c>
      <c r="BZ402" s="38">
        <f>IF(AND(V402="○",$A402&gt;=BZ$8,$A402&lt;=BZ$9),IF(SUM(BZ$10:BZ401)-ROUNDDOWN($K402*BZ$5/100,0)&lt;-BZ$6,-BZ$6-SUM(BZ$10:BZ401),-ROUNDDOWN($K402*BZ$5/100,0)),0)</f>
        <v>0</v>
      </c>
      <c r="CA402" s="38">
        <f>IF(AND(W402="○",$A402&gt;=CA$8,$A402&lt;=CA$9),IF(SUM(CA$10:CA401)-ROUNDDOWN($K402*CA$5/100,0)&lt;-CA$6,-CA$6-SUM(CA$10:CA401),-ROUNDDOWN($K402*CA$5/100,0)),0)</f>
        <v>0</v>
      </c>
      <c r="CB402" s="38"/>
      <c r="CC402" s="38"/>
      <c r="CD402" s="38"/>
      <c r="CE402" s="38"/>
      <c r="CF402" s="38"/>
      <c r="CG402" s="65">
        <f t="shared" si="256"/>
        <v>0</v>
      </c>
      <c r="CH402" s="71">
        <f t="shared" si="257"/>
        <v>0</v>
      </c>
      <c r="CI402" s="1">
        <f t="shared" si="276"/>
        <v>0</v>
      </c>
      <c r="CJ402" s="1"/>
      <c r="CK402" s="79"/>
      <c r="CL402" s="79"/>
      <c r="CM402" s="2"/>
      <c r="CN402" s="2"/>
      <c r="CO402" s="73">
        <f t="shared" si="277"/>
        <v>0</v>
      </c>
      <c r="CP402" s="5">
        <f t="shared" si="278"/>
        <v>0</v>
      </c>
      <c r="CQ402" s="1"/>
      <c r="CR402" s="1">
        <f t="shared" si="279"/>
        <v>0</v>
      </c>
      <c r="CS402" s="1"/>
      <c r="CT402" s="1" t="e">
        <f>INDEX([2]マスタ!$A:$A,MATCH(D402,[2]マスタ!$C:$C,0))</f>
        <v>#N/A</v>
      </c>
      <c r="CU402" s="1" t="str">
        <f t="shared" ca="1" si="280"/>
        <v>20260620_0-0</v>
      </c>
    </row>
    <row r="403" spans="1:99" x14ac:dyDescent="0.4">
      <c r="A403" s="61"/>
      <c r="B403" s="62"/>
      <c r="C403" s="62"/>
      <c r="D403" s="62"/>
      <c r="E403" s="63"/>
      <c r="F403" s="62"/>
      <c r="G403" s="62">
        <v>1</v>
      </c>
      <c r="H403" s="64">
        <f t="shared" si="267"/>
        <v>0</v>
      </c>
      <c r="I403" s="64"/>
      <c r="J403" s="78"/>
      <c r="K403" s="65">
        <f t="shared" si="283"/>
        <v>0</v>
      </c>
      <c r="L403" s="65">
        <f t="shared" si="269"/>
        <v>0</v>
      </c>
      <c r="M403" s="65">
        <f t="shared" si="270"/>
        <v>0</v>
      </c>
      <c r="N403" s="65">
        <f t="shared" si="271"/>
        <v>0</v>
      </c>
      <c r="O403" s="66" t="str">
        <f t="shared" si="272"/>
        <v>✕</v>
      </c>
      <c r="P403" s="67" t="str">
        <f t="shared" si="273"/>
        <v>○</v>
      </c>
      <c r="Q403" s="67" t="str">
        <f t="shared" si="284"/>
        <v>✕</v>
      </c>
      <c r="R403" s="67" t="str">
        <f t="shared" si="275"/>
        <v>✕</v>
      </c>
      <c r="S403" s="68">
        <v>0</v>
      </c>
      <c r="T403" s="69" t="s">
        <v>85</v>
      </c>
      <c r="U403" s="69" t="s">
        <v>85</v>
      </c>
      <c r="V403" s="69" t="s">
        <v>85</v>
      </c>
      <c r="W403" s="69" t="s">
        <v>85</v>
      </c>
      <c r="X403" s="69" t="s">
        <v>84</v>
      </c>
      <c r="Y403" s="69" t="s">
        <v>85</v>
      </c>
      <c r="Z403" s="69" t="s">
        <v>85</v>
      </c>
      <c r="AA403" s="69" t="s">
        <v>85</v>
      </c>
      <c r="AB403" s="69" t="s">
        <v>85</v>
      </c>
      <c r="AC403" s="69" t="s">
        <v>85</v>
      </c>
      <c r="AD403" s="38" t="str">
        <f>+IF(ISERROR(VLOOKUP($B403,AD$10:AD402,1,0)),IF(AND($N403&gt;=1000,$A403&gt;=AO$8,$A403&lt;=AO$9),$B403,""),"")</f>
        <v/>
      </c>
      <c r="AE403" s="38" t="str">
        <f>+IF(ISERROR(VLOOKUP($B403,AE$10:AE402,1,0)),IF(AND($N403&gt;=1000,$A403&gt;=AP$8,$A403&lt;=AP$9),$B403,""),"")</f>
        <v/>
      </c>
      <c r="AF403" s="38" t="str">
        <f>+IF(ISERROR(VLOOKUP($B403,AF$10:AF402,1,0)),IF(AND($N403&gt;=1000,$A403&gt;=AQ$8,$A403&lt;=AQ$9),$B403,""),"")</f>
        <v/>
      </c>
      <c r="AG403" s="38" t="str">
        <f>+IF(ISERROR(VLOOKUP($B403,AG$10:AG402,1,0)),IF(AND($N403&gt;=1000,$A403&gt;=AR$8,$A403&lt;=AR$9),$B403,""),"")</f>
        <v/>
      </c>
      <c r="AH403" s="38"/>
      <c r="AI403" s="70">
        <v>0</v>
      </c>
      <c r="AJ403" s="38">
        <f>IF(AND(AJ$7="○",$A403&gt;=AJ$8,$A403&lt;=AJ$9),IF(SUM(AJ$10:AJ402)-ROUNDDOWN($K403*AJ$5/100,0)&lt;-AJ$6,-AJ$6-SUM(AJ$10:AJ402),-ROUNDDOWN($K403*AJ$5/100,0)),0)</f>
        <v>0</v>
      </c>
      <c r="AK403" s="38">
        <f>IF(AND(AK$7="○",$A403&gt;=AK$8,$A403&lt;=AK$9),IF(SUM(AK$10:AK402)-ROUNDDOWN($L403*AK$5/100,0)&lt;-AK$6,-AK$6-SUM(AK$10:AK402),-ROUNDDOWN($L403*AK$5/100,0)),0)</f>
        <v>0</v>
      </c>
      <c r="AL403" s="38">
        <f>IF(AND(AL$7="○",$A403&gt;=AL$8,$A403&lt;=AL$9),IF(SUM(AL$10:AL402)-ROUNDDOWN($N403*AL$5/100,0)&lt;-AL$6,-AL$6-SUM(AL$10:AL402),-ROUNDDOWN($N403*AL$5/100,0)),0)</f>
        <v>0</v>
      </c>
      <c r="AM403" s="38">
        <f>IF(AND(AM$7="○",$A403&gt;=AM$8,$A403&lt;=AM$9),IF(SUM(AM$10:AM402)-ROUNDDOWN($L403*AM$5/100,0)&lt;-AM$6,-AM$6-SUM(AM$10:AM402),-ROUNDDOWN($L403*AM$5/100,0)),0)</f>
        <v>0</v>
      </c>
      <c r="AN403" s="38">
        <f>IF(AND(AN$7="○",$A403&gt;=AN$8,$A403&lt;=AN$9),IF(SUM(AN$10:AN402)-ROUNDDOWN($M403*AN$5/100,0)&lt;-AN$6,-AN$6-SUM(AN$10:AN402),-ROUNDDOWN($M403*AN$5/100,0)),0)</f>
        <v>0</v>
      </c>
      <c r="AO403" s="38">
        <f>IF(AND($A403&gt;=AO$8,$A403&lt;=AO$9),IF(SUM(AO$10:AO402)-ROUNDDOWN($K403*AO$5/100,0)&lt;-AO$6,-AO$6-SUM(AO$10:AO402),-ROUNDDOWN($K403*AO$5/100,0)),0)</f>
        <v>0</v>
      </c>
      <c r="AP403" s="38">
        <f>IF(AND($A403&gt;=AP$8,$A403&lt;=AP$9),IF(SUM(AP$10:AP402)-ROUNDDOWN($K403*AP$5/100,0)&lt;-AP$6,-AP$6-SUM(AP$10:AP402),-ROUNDDOWN($K403*AP$5/100,0)),0)</f>
        <v>0</v>
      </c>
      <c r="AQ403" s="38">
        <f>IF(AND($A403&gt;=AQ$8,$A403&lt;=AQ$9),IF(SUM(AQ$10:AQ402)-ROUNDDOWN($K403*AQ$5/100,0)&lt;-AQ$6,-AQ$6-SUM(AQ$10:AQ402),-ROUNDDOWN($K403*AQ$5/100,0)),0)</f>
        <v>0</v>
      </c>
      <c r="AR403" s="38">
        <f>IF(AND($A403&gt;=AR$8,$A403&lt;=AR$9),IF(SUM(AR$10:AR402)-ROUNDDOWN($K403*AR$5/100,0)&lt;-AR$6,-AR$6-SUM(AR$10:AR402),-ROUNDDOWN($K403*AR$5/100,0)),0)</f>
        <v>0</v>
      </c>
      <c r="AS403" s="38">
        <f>IF(SUMIFS(AS$10:AS402,$A$10:$A402,$A403)-ROUNDDOWN($K403*$S403/100,0)&lt;-$S403*1000,-$S403*1000-SUMIFS(AS$10:AS402,$A$10:$A402,$A403),-ROUNDDOWN($K403*$S403/100,0))</f>
        <v>0</v>
      </c>
      <c r="AT403" s="38">
        <f>IF(AND(X403="○",$A403&gt;=AT$8,$A403&lt;=AT$9,K403&gt;=3980),IF(SUM(AT$10:AT402)-ROUNDDOWN($K403*AT$5/100,0)&lt;-AT$6,-AT$6-SUM(AT$10:AT402),-ROUNDDOWN($K403*AT$5/100,0)),0)</f>
        <v>0</v>
      </c>
      <c r="AU403" s="38">
        <f>IF(O403="○",IF(SUM(AU$10:AU402)-ROUNDDOWN($K403*AU$5/100,0)&lt;-AU$6,-AU$6-SUM(AU$10:AU402),-ROUNDDOWN($K403*AU$5/100,0)),0)</f>
        <v>0</v>
      </c>
      <c r="AV403" s="38">
        <f>IF(P403="○",IF(SUM(AV$10:AV402)-ROUNDDOWN($K403*AV$5/100,0)&lt;-AV$6,-AV$6-SUM(AV$10:AV402),-ROUNDDOWN($K403*AV$5/100,0)),0)</f>
        <v>0</v>
      </c>
      <c r="AW403" s="38">
        <f>IF(Q403="○",IF(SUM(AW$10:AW402)-ROUNDDOWN($K403*AW$5/100,0)&lt;-AW$6,-AW$6-SUM(AW$10:AW402),-ROUNDDOWN($K403*AW$5/100,0)),0)</f>
        <v>0</v>
      </c>
      <c r="AX403" s="38">
        <f>IF(R403="○",IF(SUM(AX$10:AX402)-ROUNDDOWN($K403*AX$5/100,0)&lt;-AX$6,-AX$6-SUM(AX$10:AX402),-ROUNDDOWN($K403*AX$5/100,0)),0)</f>
        <v>0</v>
      </c>
      <c r="AY403" s="70">
        <v>0</v>
      </c>
      <c r="AZ403" s="65">
        <f t="shared" ref="AZ403:AZ466" si="285">-ROUNDDOWN($K403*AY403/100,0)</f>
        <v>0</v>
      </c>
      <c r="BA403" s="65">
        <f t="shared" ref="BA403:BA466" si="286">-ROUNDDOWN($K403*AI403/100,0)</f>
        <v>0</v>
      </c>
      <c r="BB403" s="70"/>
      <c r="BC403" s="65">
        <f t="shared" ref="BC403:BC466" si="287">-ROUNDDOWN($K403*BB403/100,0)</f>
        <v>0</v>
      </c>
      <c r="BD403" s="70">
        <v>0</v>
      </c>
      <c r="BE403" s="65">
        <f t="shared" ref="BE403:BE466" si="288">-ROUNDDOWN($K403*BD403/100,0)</f>
        <v>0</v>
      </c>
      <c r="BF403" s="70">
        <v>0</v>
      </c>
      <c r="BG403" s="65">
        <f t="shared" ref="BG403:BG466" si="289">-ROUNDDOWN($K403*BF403/100,0)</f>
        <v>0</v>
      </c>
      <c r="BH403" s="70">
        <v>0</v>
      </c>
      <c r="BI403" s="65">
        <f t="shared" ref="BI403:BI466" si="290">-ROUNDDOWN($K403*BH403/100,0)</f>
        <v>0</v>
      </c>
      <c r="BJ403" s="38">
        <f>IF(AND(BJ$7="○",$A403&gt;=BJ$8,$A403&lt;=BJ$9),IF(SUM(BJ$10:BJ402)-ROUNDDOWN($M403*BJ$5/100,0)&lt;-BJ$6,-BJ$6-SUM(BJ$10:BJ402),-ROUNDDOWN($M403*BJ$5/100,0)),0)</f>
        <v>0</v>
      </c>
      <c r="BK403" s="38">
        <f>IF(AND(BK$7="○",$A403&gt;=BK$8,$A403&lt;=BK$9),IF(SUM(BK$10:BK402)-ROUNDDOWN($L403*BK$5/100,0)&lt;-BK$6,-BK$6-SUM(BK$10:BK402),-ROUNDDOWN($L403*BK$5/100,0)),0)</f>
        <v>0</v>
      </c>
      <c r="BL403" s="38">
        <f>IF(AND(BL$7="○",$A403&gt;=BL$8,$A403&lt;=BL$9),IF(SUM(BL$10:BL402)-ROUNDDOWN($L403*BL$5/100,0)&lt;-BL$6,-BL$6-SUM(BL$10:BL402),-ROUNDDOWN($L403*BL$5/100,0)),0)</f>
        <v>0</v>
      </c>
      <c r="BM403" s="38">
        <f>IF(AND(BM$7="○",$A403&gt;=BM$8,$A403&lt;=BM$9),IF(SUM(BM$10:BM402)-ROUNDDOWN($M403*BM$5/100,0)&lt;-BM$6,-BM$6-SUM(BM$10:BM402),-ROUNDDOWN($M403*BM$5/100,0)),0)</f>
        <v>0</v>
      </c>
      <c r="BN403" s="38">
        <f>IF(AND(BN$7="○",$A403&gt;=BN$8,$A403&lt;=BN$9),IF(SUM(BN$10:BN402)-ROUNDDOWN($M403*BN$5/100,0)&lt;-BN$6,-BN$6-SUM(BN$10:BN402),-ROUNDDOWN($M403*BN$5/100,0)),0)</f>
        <v>0</v>
      </c>
      <c r="BO403" s="38">
        <f>IF(AND(BO$7="○",$A403&gt;=BO$8,$A403&lt;=BO$9),IF(SUM(BO$10:BO402)-ROUNDDOWN($M403*BO$5/100,0)&lt;-BO$6,-BO$6-SUM(BO$10:BO402),-ROUNDDOWN($M403*BO$5/100,0)),0)</f>
        <v>0</v>
      </c>
      <c r="BP403" s="38">
        <f>IF(AND(BP$7="○",$A403&gt;=BP$8,$A403&lt;=BP$9),IF(SUM(BP$10:BP402)-ROUNDDOWN($M403*BP$5/100,0)&lt;-BP$6,-BP$6-SUM(BP$10:BP402),-ROUNDDOWN($M403*BP$5/100,0)),0)</f>
        <v>0</v>
      </c>
      <c r="BQ403" s="38">
        <f>IF(AND(BQ$7="○",$A403&gt;=BQ$8,$A403&lt;=BQ$9),IF(SUM(BQ$10:BQ402)-ROUNDDOWN($L403*BQ$5/100,0)&lt;-BQ$6,-BQ$6-SUM(BQ$10:BQ402),-ROUNDDOWN($L403*BQ$5/100,0)),0)</f>
        <v>0</v>
      </c>
      <c r="BR403" s="38">
        <f>IF(AND(BR$7="○",$A403&gt;=BR$8,$A403&lt;=BR$9),IF(SUM(BR$10:BR402)-ROUNDDOWN($M403*BR$5/100,0)&lt;-BR$6,-BR$6-SUM(BR$10:BR402),-ROUNDDOWN($M403*BR$5/100,0)),0)</f>
        <v>0</v>
      </c>
      <c r="BS403" s="38">
        <f>IF(AND(BS$7="○",$A403&gt;=BS$8,$A403&lt;=BS$9),IF(SUM(BS$10:BS402)-ROUNDDOWN($M403*BS$5/100,0)&lt;-BS$6,-BS$6-SUM(BS$10:BS402),-ROUNDDOWN($M403*BS$5/100,0)),0)</f>
        <v>0</v>
      </c>
      <c r="BT403" s="38">
        <f>IF(AND(BT$7="○",$A403&gt;=BT$8,$A403&lt;=BT$9),IF(SUM(BT$10:BT402)-ROUNDDOWN($M403*BT$5/100,0)&lt;-BT$6,-BT$6-SUM(BT$10:BT402),-ROUNDDOWN($M403*BT$5/100,0)),0)</f>
        <v>0</v>
      </c>
      <c r="BU403" s="38">
        <f>IF(AND(BU$7="○",$A403&gt;=BU$8,$A403&lt;=BU$9),IF(SUM(BU$10:BU402)-ROUNDDOWN($M403*BU$5/100,0)&lt;-BU$6,-BU$6-SUM(BU$10:BU402),-ROUNDDOWN($M403*BU$5/100,0)),0)</f>
        <v>0</v>
      </c>
      <c r="BV403" s="38">
        <f>IF(AND(BV$7="○",$A403&gt;=BV$8,$A403&lt;=BV$9),IF(SUM(BV$10:BV402)-ROUNDDOWN($M403*BV$5/100,0)&lt;-BV$6,-BV$6-SUM(BV$10:BV402),-ROUNDDOWN($M403*BV$5/100,0)),0)</f>
        <v>0</v>
      </c>
      <c r="BW403" s="38">
        <f>IF(AND(BW$7="○",$A403&gt;=BW$8,$A403&lt;=BW$9),IF(SUM(BW$10:BW402)-ROUNDDOWN($M403*BW$5/100,0)&lt;-BW$6,-BW$6-SUM(BW$10:BW402),-ROUNDDOWN($M403*BW$5/100,0)),0)</f>
        <v>0</v>
      </c>
      <c r="BX403" s="38">
        <f>IF(AND(T403="○",$A403&gt;=BX$8,$A403&lt;=BX$9),IF(SUM(BX$10:BX402)-ROUNDDOWN($K403*BX$5/100,0)&lt;-BX$6,-BX$6-SUM(BX$10:BX402),-ROUNDDOWN($K403*BX$5/100,0)),0)</f>
        <v>0</v>
      </c>
      <c r="BY403" s="38">
        <f>IF(AND(U403="○",$A403&gt;=BY$8,$A403&lt;=BY$9),IF(SUM(BY$10:BY402)-ROUNDDOWN($K403*BY$5/100,0)&lt;-BY$6,-BY$6-SUM(BY$10:BY402),-ROUNDDOWN($K403*BY$5/100,0)),0)</f>
        <v>0</v>
      </c>
      <c r="BZ403" s="38">
        <f>IF(AND(V403="○",$A403&gt;=BZ$8,$A403&lt;=BZ$9),IF(SUM(BZ$10:BZ402)-ROUNDDOWN($K403*BZ$5/100,0)&lt;-BZ$6,-BZ$6-SUM(BZ$10:BZ402),-ROUNDDOWN($K403*BZ$5/100,0)),0)</f>
        <v>0</v>
      </c>
      <c r="CA403" s="38">
        <f>IF(AND(W403="○",$A403&gt;=CA$8,$A403&lt;=CA$9),IF(SUM(CA$10:CA402)-ROUNDDOWN($K403*CA$5/100,0)&lt;-CA$6,-CA$6-SUM(CA$10:CA402),-ROUNDDOWN($K403*CA$5/100,0)),0)</f>
        <v>0</v>
      </c>
      <c r="CB403" s="38"/>
      <c r="CC403" s="38"/>
      <c r="CD403" s="38"/>
      <c r="CE403" s="38"/>
      <c r="CF403" s="38"/>
      <c r="CG403" s="65">
        <f t="shared" ref="CG403:CG466" si="291">+SUM(AJ403:CF403,BC403,BE403,AZ403,BA403,BG403,BI403)</f>
        <v>0</v>
      </c>
      <c r="CH403" s="71">
        <f t="shared" ref="CH403:CH466" si="292">+CG403+N403</f>
        <v>0</v>
      </c>
      <c r="CI403" s="1">
        <f t="shared" si="276"/>
        <v>0</v>
      </c>
      <c r="CJ403" s="1"/>
      <c r="CK403" s="79"/>
      <c r="CL403" s="79"/>
      <c r="CM403" s="2"/>
      <c r="CN403" s="2"/>
      <c r="CO403" s="73">
        <f t="shared" si="277"/>
        <v>0</v>
      </c>
      <c r="CP403" s="5">
        <f t="shared" si="278"/>
        <v>0</v>
      </c>
      <c r="CQ403" s="1"/>
      <c r="CR403" s="1">
        <f t="shared" si="279"/>
        <v>0</v>
      </c>
      <c r="CS403" s="1"/>
      <c r="CT403" s="1" t="e">
        <f>INDEX([2]マスタ!$A:$A,MATCH(D403,[2]マスタ!$C:$C,0))</f>
        <v>#N/A</v>
      </c>
      <c r="CU403" s="1" t="str">
        <f t="shared" ca="1" si="280"/>
        <v>20260620_0-0</v>
      </c>
    </row>
    <row r="404" spans="1:99" x14ac:dyDescent="0.4">
      <c r="A404" s="61"/>
      <c r="B404" s="62"/>
      <c r="C404" s="62"/>
      <c r="D404" s="62"/>
      <c r="E404" s="77"/>
      <c r="F404" s="62"/>
      <c r="G404" s="62">
        <v>1</v>
      </c>
      <c r="H404" s="64">
        <f t="shared" si="267"/>
        <v>0</v>
      </c>
      <c r="I404" s="64"/>
      <c r="J404" s="64"/>
      <c r="K404" s="65">
        <f t="shared" si="283"/>
        <v>0</v>
      </c>
      <c r="L404" s="65">
        <f t="shared" si="269"/>
        <v>0</v>
      </c>
      <c r="M404" s="65">
        <f t="shared" si="270"/>
        <v>0</v>
      </c>
      <c r="N404" s="65">
        <f t="shared" si="271"/>
        <v>0</v>
      </c>
      <c r="O404" s="66" t="str">
        <f t="shared" si="272"/>
        <v>✕</v>
      </c>
      <c r="P404" s="67" t="str">
        <f t="shared" si="273"/>
        <v>○</v>
      </c>
      <c r="Q404" s="67" t="str">
        <f t="shared" si="284"/>
        <v>✕</v>
      </c>
      <c r="R404" s="67" t="str">
        <f t="shared" si="275"/>
        <v>✕</v>
      </c>
      <c r="S404" s="68">
        <v>0</v>
      </c>
      <c r="T404" s="69" t="s">
        <v>85</v>
      </c>
      <c r="U404" s="69" t="s">
        <v>85</v>
      </c>
      <c r="V404" s="69" t="s">
        <v>85</v>
      </c>
      <c r="W404" s="69" t="s">
        <v>85</v>
      </c>
      <c r="X404" s="69" t="s">
        <v>84</v>
      </c>
      <c r="Y404" s="69" t="s">
        <v>85</v>
      </c>
      <c r="Z404" s="69" t="s">
        <v>85</v>
      </c>
      <c r="AA404" s="69" t="s">
        <v>85</v>
      </c>
      <c r="AB404" s="69" t="s">
        <v>85</v>
      </c>
      <c r="AC404" s="69" t="s">
        <v>85</v>
      </c>
      <c r="AD404" s="38" t="str">
        <f>+IF(ISERROR(VLOOKUP($B404,AD$10:AD403,1,0)),IF(AND($N404&gt;=1000,$A404&gt;=AO$8,$A404&lt;=AO$9),$B404,""),"")</f>
        <v/>
      </c>
      <c r="AE404" s="38" t="str">
        <f>+IF(ISERROR(VLOOKUP($B404,AE$10:AE403,1,0)),IF(AND($N404&gt;=1000,$A404&gt;=AP$8,$A404&lt;=AP$9),$B404,""),"")</f>
        <v/>
      </c>
      <c r="AF404" s="38" t="str">
        <f>+IF(ISERROR(VLOOKUP($B404,AF$10:AF403,1,0)),IF(AND($N404&gt;=1000,$A404&gt;=AQ$8,$A404&lt;=AQ$9),$B404,""),"")</f>
        <v/>
      </c>
      <c r="AG404" s="38" t="str">
        <f>+IF(ISERROR(VLOOKUP($B404,AG$10:AG403,1,0)),IF(AND($N404&gt;=1000,$A404&gt;=AR$8,$A404&lt;=AR$9),$B404,""),"")</f>
        <v/>
      </c>
      <c r="AH404" s="38"/>
      <c r="AI404" s="70">
        <v>0</v>
      </c>
      <c r="AJ404" s="38">
        <f>IF(AND(AJ$7="○",$A404&gt;=AJ$8,$A404&lt;=AJ$9),IF(SUM(AJ$10:AJ403)-ROUNDDOWN($K404*AJ$5/100,0)&lt;-AJ$6,-AJ$6-SUM(AJ$10:AJ403),-ROUNDDOWN($K404*AJ$5/100,0)),0)</f>
        <v>0</v>
      </c>
      <c r="AK404" s="38">
        <f>IF(AND(AK$7="○",$A404&gt;=AK$8,$A404&lt;=AK$9),IF(SUM(AK$10:AK403)-ROUNDDOWN($L404*AK$5/100,0)&lt;-AK$6,-AK$6-SUM(AK$10:AK403),-ROUNDDOWN($L404*AK$5/100,0)),0)</f>
        <v>0</v>
      </c>
      <c r="AL404" s="38">
        <f>IF(AND(AL$7="○",$A404&gt;=AL$8,$A404&lt;=AL$9),IF(SUM(AL$10:AL403)-ROUNDDOWN($N404*AL$5/100,0)&lt;-AL$6,-AL$6-SUM(AL$10:AL403),-ROUNDDOWN($N404*AL$5/100,0)),0)</f>
        <v>0</v>
      </c>
      <c r="AM404" s="38">
        <f>IF(AND(AM$7="○",$A404&gt;=AM$8,$A404&lt;=AM$9),IF(SUM(AM$10:AM403)-ROUNDDOWN($L404*AM$5/100,0)&lt;-AM$6,-AM$6-SUM(AM$10:AM403),-ROUNDDOWN($L404*AM$5/100,0)),0)</f>
        <v>0</v>
      </c>
      <c r="AN404" s="38">
        <f>IF(AND(AN$7="○",$A404&gt;=AN$8,$A404&lt;=AN$9),IF(SUM(AN$10:AN403)-ROUNDDOWN($M404*AN$5/100,0)&lt;-AN$6,-AN$6-SUM(AN$10:AN403),-ROUNDDOWN($M404*AN$5/100,0)),0)</f>
        <v>0</v>
      </c>
      <c r="AO404" s="38">
        <f>IF(AND($A404&gt;=AO$8,$A404&lt;=AO$9),IF(SUM(AO$10:AO403)-ROUNDDOWN($K404*AO$5/100,0)&lt;-AO$6,-AO$6-SUM(AO$10:AO403),-ROUNDDOWN($K404*AO$5/100,0)),0)</f>
        <v>0</v>
      </c>
      <c r="AP404" s="38">
        <f>IF(AND($A404&gt;=AP$8,$A404&lt;=AP$9),IF(SUM(AP$10:AP403)-ROUNDDOWN($K404*AP$5/100,0)&lt;-AP$6,-AP$6-SUM(AP$10:AP403),-ROUNDDOWN($K404*AP$5/100,0)),0)</f>
        <v>0</v>
      </c>
      <c r="AQ404" s="38">
        <f>IF(AND($A404&gt;=AQ$8,$A404&lt;=AQ$9),IF(SUM(AQ$10:AQ403)-ROUNDDOWN($K404*AQ$5/100,0)&lt;-AQ$6,-AQ$6-SUM(AQ$10:AQ403),-ROUNDDOWN($K404*AQ$5/100,0)),0)</f>
        <v>0</v>
      </c>
      <c r="AR404" s="38">
        <f>IF(AND($A404&gt;=AR$8,$A404&lt;=AR$9),IF(SUM(AR$10:AR403)-ROUNDDOWN($K404*AR$5/100,0)&lt;-AR$6,-AR$6-SUM(AR$10:AR403),-ROUNDDOWN($K404*AR$5/100,0)),0)</f>
        <v>0</v>
      </c>
      <c r="AS404" s="38">
        <f>IF(SUMIFS(AS$10:AS403,$A$10:$A403,$A404)-ROUNDDOWN($K404*$S404/100,0)&lt;-$S404*1000,-$S404*1000-SUMIFS(AS$10:AS403,$A$10:$A403,$A404),-ROUNDDOWN($K404*$S404/100,0))</f>
        <v>0</v>
      </c>
      <c r="AT404" s="38">
        <f>IF(AND(X404="○",$A404&gt;=AT$8,$A404&lt;=AT$9,K404&gt;=3980),IF(SUM(AT$10:AT403)-ROUNDDOWN($K404*AT$5/100,0)&lt;-AT$6,-AT$6-SUM(AT$10:AT403),-ROUNDDOWN($K404*AT$5/100,0)),0)</f>
        <v>0</v>
      </c>
      <c r="AU404" s="38">
        <f>IF(O404="○",IF(SUM(AU$10:AU403)-ROUNDDOWN($K404*AU$5/100,0)&lt;-AU$6,-AU$6-SUM(AU$10:AU403),-ROUNDDOWN($K404*AU$5/100,0)),0)</f>
        <v>0</v>
      </c>
      <c r="AV404" s="38">
        <f>IF(P404="○",IF(SUM(AV$10:AV403)-ROUNDDOWN($K404*AV$5/100,0)&lt;-AV$6,-AV$6-SUM(AV$10:AV403),-ROUNDDOWN($K404*AV$5/100,0)),0)</f>
        <v>0</v>
      </c>
      <c r="AW404" s="38">
        <f>IF(Q404="○",IF(SUM(AW$10:AW403)-ROUNDDOWN($K404*AW$5/100,0)&lt;-AW$6,-AW$6-SUM(AW$10:AW403),-ROUNDDOWN($K404*AW$5/100,0)),0)</f>
        <v>0</v>
      </c>
      <c r="AX404" s="38">
        <f>IF(R404="○",IF(SUM(AX$10:AX403)-ROUNDDOWN($K404*AX$5/100,0)&lt;-AX$6,-AX$6-SUM(AX$10:AX403),-ROUNDDOWN($K404*AX$5/100,0)),0)</f>
        <v>0</v>
      </c>
      <c r="AY404" s="70">
        <v>0</v>
      </c>
      <c r="AZ404" s="65">
        <f t="shared" si="285"/>
        <v>0</v>
      </c>
      <c r="BA404" s="65">
        <f t="shared" si="286"/>
        <v>0</v>
      </c>
      <c r="BB404" s="70"/>
      <c r="BC404" s="65">
        <f t="shared" si="287"/>
        <v>0</v>
      </c>
      <c r="BD404" s="70">
        <v>0</v>
      </c>
      <c r="BE404" s="65">
        <f t="shared" si="288"/>
        <v>0</v>
      </c>
      <c r="BF404" s="70">
        <v>0</v>
      </c>
      <c r="BG404" s="65">
        <f t="shared" si="289"/>
        <v>0</v>
      </c>
      <c r="BH404" s="70">
        <v>0</v>
      </c>
      <c r="BI404" s="65">
        <f t="shared" si="290"/>
        <v>0</v>
      </c>
      <c r="BJ404" s="38">
        <f>IF(AND(BJ$7="○",$A404&gt;=BJ$8,$A404&lt;=BJ$9),IF(SUM(BJ$10:BJ403)-ROUNDDOWN($M404*BJ$5/100,0)&lt;-BJ$6,-BJ$6-SUM(BJ$10:BJ403),-ROUNDDOWN($M404*BJ$5/100,0)),0)</f>
        <v>0</v>
      </c>
      <c r="BK404" s="38">
        <f>IF(AND(BK$7="○",$A404&gt;=BK$8,$A404&lt;=BK$9),IF(SUM(BK$10:BK403)-ROUNDDOWN($L404*BK$5/100,0)&lt;-BK$6,-BK$6-SUM(BK$10:BK403),-ROUNDDOWN($L404*BK$5/100,0)),0)</f>
        <v>0</v>
      </c>
      <c r="BL404" s="38">
        <f>IF(AND(BL$7="○",$A404&gt;=BL$8,$A404&lt;=BL$9),IF(SUM(BL$10:BL403)-ROUNDDOWN($L404*BL$5/100,0)&lt;-BL$6,-BL$6-SUM(BL$10:BL403),-ROUNDDOWN($L404*BL$5/100,0)),0)</f>
        <v>0</v>
      </c>
      <c r="BM404" s="38">
        <f>IF(AND(BM$7="○",$A404&gt;=BM$8,$A404&lt;=BM$9),IF(SUM(BM$10:BM403)-ROUNDDOWN($M404*BM$5/100,0)&lt;-BM$6,-BM$6-SUM(BM$10:BM403),-ROUNDDOWN($M404*BM$5/100,0)),0)</f>
        <v>0</v>
      </c>
      <c r="BN404" s="38">
        <f>IF(AND(BN$7="○",$A404&gt;=BN$8,$A404&lt;=BN$9),IF(SUM(BN$10:BN403)-ROUNDDOWN($M404*BN$5/100,0)&lt;-BN$6,-BN$6-SUM(BN$10:BN403),-ROUNDDOWN($M404*BN$5/100,0)),0)</f>
        <v>0</v>
      </c>
      <c r="BO404" s="38">
        <f>IF(AND(BO$7="○",$A404&gt;=BO$8,$A404&lt;=BO$9),IF(SUM(BO$10:BO403)-ROUNDDOWN($M404*BO$5/100,0)&lt;-BO$6,-BO$6-SUM(BO$10:BO403),-ROUNDDOWN($M404*BO$5/100,0)),0)</f>
        <v>0</v>
      </c>
      <c r="BP404" s="38">
        <f>IF(AND(BP$7="○",$A404&gt;=BP$8,$A404&lt;=BP$9),IF(SUM(BP$10:BP403)-ROUNDDOWN($M404*BP$5/100,0)&lt;-BP$6,-BP$6-SUM(BP$10:BP403),-ROUNDDOWN($M404*BP$5/100,0)),0)</f>
        <v>0</v>
      </c>
      <c r="BQ404" s="38">
        <f>IF(AND(BQ$7="○",$A404&gt;=BQ$8,$A404&lt;=BQ$9),IF(SUM(BQ$10:BQ403)-ROUNDDOWN($L404*BQ$5/100,0)&lt;-BQ$6,-BQ$6-SUM(BQ$10:BQ403),-ROUNDDOWN($L404*BQ$5/100,0)),0)</f>
        <v>0</v>
      </c>
      <c r="BR404" s="38">
        <f>IF(AND(BR$7="○",$A404&gt;=BR$8,$A404&lt;=BR$9),IF(SUM(BR$10:BR403)-ROUNDDOWN($M404*BR$5/100,0)&lt;-BR$6,-BR$6-SUM(BR$10:BR403),-ROUNDDOWN($M404*BR$5/100,0)),0)</f>
        <v>0</v>
      </c>
      <c r="BS404" s="38">
        <f>IF(AND(BS$7="○",$A404&gt;=BS$8,$A404&lt;=BS$9),IF(SUM(BS$10:BS403)-ROUNDDOWN($M404*BS$5/100,0)&lt;-BS$6,-BS$6-SUM(BS$10:BS403),-ROUNDDOWN($M404*BS$5/100,0)),0)</f>
        <v>0</v>
      </c>
      <c r="BT404" s="38">
        <f>IF(AND(BT$7="○",$A404&gt;=BT$8,$A404&lt;=BT$9),IF(SUM(BT$10:BT403)-ROUNDDOWN($M404*BT$5/100,0)&lt;-BT$6,-BT$6-SUM(BT$10:BT403),-ROUNDDOWN($M404*BT$5/100,0)),0)</f>
        <v>0</v>
      </c>
      <c r="BU404" s="38">
        <f>IF(AND(BU$7="○",$A404&gt;=BU$8,$A404&lt;=BU$9),IF(SUM(BU$10:BU403)-ROUNDDOWN($M404*BU$5/100,0)&lt;-BU$6,-BU$6-SUM(BU$10:BU403),-ROUNDDOWN($M404*BU$5/100,0)),0)</f>
        <v>0</v>
      </c>
      <c r="BV404" s="38">
        <f>IF(AND(BV$7="○",$A404&gt;=BV$8,$A404&lt;=BV$9),IF(SUM(BV$10:BV403)-ROUNDDOWN($M404*BV$5/100,0)&lt;-BV$6,-BV$6-SUM(BV$10:BV403),-ROUNDDOWN($M404*BV$5/100,0)),0)</f>
        <v>0</v>
      </c>
      <c r="BW404" s="38">
        <f>IF(AND(BW$7="○",$A404&gt;=BW$8,$A404&lt;=BW$9),IF(SUM(BW$10:BW403)-ROUNDDOWN($M404*BW$5/100,0)&lt;-BW$6,-BW$6-SUM(BW$10:BW403),-ROUNDDOWN($M404*BW$5/100,0)),0)</f>
        <v>0</v>
      </c>
      <c r="BX404" s="38">
        <f>IF(AND(T404="○",$A404&gt;=BX$8,$A404&lt;=BX$9),IF(SUM(BX$10:BX403)-ROUNDDOWN($K404*BX$5/100,0)&lt;-BX$6,-BX$6-SUM(BX$10:BX403),-ROUNDDOWN($K404*BX$5/100,0)),0)</f>
        <v>0</v>
      </c>
      <c r="BY404" s="38">
        <f>IF(AND(U404="○",$A404&gt;=BY$8,$A404&lt;=BY$9),IF(SUM(BY$10:BY403)-ROUNDDOWN($K404*BY$5/100,0)&lt;-BY$6,-BY$6-SUM(BY$10:BY403),-ROUNDDOWN($K404*BY$5/100,0)),0)</f>
        <v>0</v>
      </c>
      <c r="BZ404" s="38">
        <f>IF(AND(V404="○",$A404&gt;=BZ$8,$A404&lt;=BZ$9),IF(SUM(BZ$10:BZ403)-ROUNDDOWN($K404*BZ$5/100,0)&lt;-BZ$6,-BZ$6-SUM(BZ$10:BZ403),-ROUNDDOWN($K404*BZ$5/100,0)),0)</f>
        <v>0</v>
      </c>
      <c r="CA404" s="38">
        <f>IF(AND(W404="○",$A404&gt;=CA$8,$A404&lt;=CA$9),IF(SUM(CA$10:CA403)-ROUNDDOWN($K404*CA$5/100,0)&lt;-CA$6,-CA$6-SUM(CA$10:CA403),-ROUNDDOWN($K404*CA$5/100,0)),0)</f>
        <v>0</v>
      </c>
      <c r="CB404" s="38"/>
      <c r="CC404" s="38"/>
      <c r="CD404" s="38"/>
      <c r="CE404" s="38"/>
      <c r="CF404" s="38"/>
      <c r="CG404" s="65">
        <f t="shared" si="291"/>
        <v>0</v>
      </c>
      <c r="CH404" s="71">
        <f t="shared" si="292"/>
        <v>0</v>
      </c>
      <c r="CI404" s="1">
        <f t="shared" si="276"/>
        <v>0</v>
      </c>
      <c r="CJ404" s="1"/>
      <c r="CK404" s="79"/>
      <c r="CL404" s="79"/>
      <c r="CM404" s="2"/>
      <c r="CN404" s="2"/>
      <c r="CO404" s="73">
        <f t="shared" si="277"/>
        <v>0</v>
      </c>
      <c r="CP404" s="5">
        <f t="shared" si="278"/>
        <v>0</v>
      </c>
      <c r="CQ404" s="1"/>
      <c r="CR404" s="1">
        <f t="shared" si="279"/>
        <v>0</v>
      </c>
      <c r="CS404" s="1"/>
      <c r="CT404" s="1" t="e">
        <f>INDEX([2]マスタ!$A:$A,MATCH(D404,[2]マスタ!$C:$C,0))</f>
        <v>#N/A</v>
      </c>
      <c r="CU404" s="1" t="str">
        <f t="shared" ca="1" si="280"/>
        <v>20260620_0-0</v>
      </c>
    </row>
    <row r="405" spans="1:99" x14ac:dyDescent="0.4">
      <c r="A405" s="61"/>
      <c r="B405" s="62"/>
      <c r="C405" s="62"/>
      <c r="D405" s="62"/>
      <c r="E405" s="63"/>
      <c r="F405" s="62"/>
      <c r="G405" s="62">
        <v>1</v>
      </c>
      <c r="H405" s="64">
        <f t="shared" si="267"/>
        <v>0</v>
      </c>
      <c r="I405" s="64"/>
      <c r="J405" s="64"/>
      <c r="K405" s="65">
        <f t="shared" si="283"/>
        <v>0</v>
      </c>
      <c r="L405" s="65">
        <f t="shared" si="269"/>
        <v>0</v>
      </c>
      <c r="M405" s="65">
        <f t="shared" si="270"/>
        <v>0</v>
      </c>
      <c r="N405" s="65">
        <f t="shared" si="271"/>
        <v>0</v>
      </c>
      <c r="O405" s="66" t="str">
        <f t="shared" si="272"/>
        <v>✕</v>
      </c>
      <c r="P405" s="67" t="str">
        <f t="shared" si="273"/>
        <v>○</v>
      </c>
      <c r="Q405" s="67" t="str">
        <f t="shared" si="284"/>
        <v>✕</v>
      </c>
      <c r="R405" s="67" t="str">
        <f t="shared" si="275"/>
        <v>✕</v>
      </c>
      <c r="S405" s="68">
        <v>0</v>
      </c>
      <c r="T405" s="69" t="s">
        <v>85</v>
      </c>
      <c r="U405" s="69" t="s">
        <v>85</v>
      </c>
      <c r="V405" s="69" t="s">
        <v>85</v>
      </c>
      <c r="W405" s="69" t="s">
        <v>85</v>
      </c>
      <c r="X405" s="69" t="s">
        <v>84</v>
      </c>
      <c r="Y405" s="69" t="s">
        <v>85</v>
      </c>
      <c r="Z405" s="69" t="s">
        <v>85</v>
      </c>
      <c r="AA405" s="69" t="s">
        <v>85</v>
      </c>
      <c r="AB405" s="69" t="s">
        <v>85</v>
      </c>
      <c r="AC405" s="69" t="s">
        <v>85</v>
      </c>
      <c r="AD405" s="38" t="str">
        <f>+IF(ISERROR(VLOOKUP($B405,AD$10:AD404,1,0)),IF(AND($N405&gt;=1000,$A405&gt;=AO$8,$A405&lt;=AO$9),$B405,""),"")</f>
        <v/>
      </c>
      <c r="AE405" s="38" t="str">
        <f>+IF(ISERROR(VLOOKUP($B405,AE$10:AE404,1,0)),IF(AND($N405&gt;=1000,$A405&gt;=AP$8,$A405&lt;=AP$9),$B405,""),"")</f>
        <v/>
      </c>
      <c r="AF405" s="38" t="str">
        <f>+IF(ISERROR(VLOOKUP($B405,AF$10:AF404,1,0)),IF(AND($N405&gt;=1000,$A405&gt;=AQ$8,$A405&lt;=AQ$9),$B405,""),"")</f>
        <v/>
      </c>
      <c r="AG405" s="38" t="str">
        <f>+IF(ISERROR(VLOOKUP($B405,AG$10:AG404,1,0)),IF(AND($N405&gt;=1000,$A405&gt;=AR$8,$A405&lt;=AR$9),$B405,""),"")</f>
        <v/>
      </c>
      <c r="AH405" s="38"/>
      <c r="AI405" s="70">
        <v>0</v>
      </c>
      <c r="AJ405" s="38">
        <f>IF(AND(AJ$7="○",$A405&gt;=AJ$8,$A405&lt;=AJ$9),IF(SUM(AJ$10:AJ404)-ROUNDDOWN($K405*AJ$5/100,0)&lt;-AJ$6,-AJ$6-SUM(AJ$10:AJ404),-ROUNDDOWN($K405*AJ$5/100,0)),0)</f>
        <v>0</v>
      </c>
      <c r="AK405" s="38">
        <f>IF(AND(AK$7="○",$A405&gt;=AK$8,$A405&lt;=AK$9),IF(SUM(AK$10:AK404)-ROUNDDOWN($L405*AK$5/100,0)&lt;-AK$6,-AK$6-SUM(AK$10:AK404),-ROUNDDOWN($L405*AK$5/100,0)),0)</f>
        <v>0</v>
      </c>
      <c r="AL405" s="38">
        <f>IF(AND(AL$7="○",$A405&gt;=AL$8,$A405&lt;=AL$9),IF(SUM(AL$10:AL404)-ROUNDDOWN($N405*AL$5/100,0)&lt;-AL$6,-AL$6-SUM(AL$10:AL404),-ROUNDDOWN($N405*AL$5/100,0)),0)</f>
        <v>0</v>
      </c>
      <c r="AM405" s="38">
        <f>IF(AND(AM$7="○",$A405&gt;=AM$8,$A405&lt;=AM$9),IF(SUM(AM$10:AM404)-ROUNDDOWN($L405*AM$5/100,0)&lt;-AM$6,-AM$6-SUM(AM$10:AM404),-ROUNDDOWN($L405*AM$5/100,0)),0)</f>
        <v>0</v>
      </c>
      <c r="AN405" s="38">
        <f>IF(AND(AN$7="○",$A405&gt;=AN$8,$A405&lt;=AN$9),IF(SUM(AN$10:AN404)-ROUNDDOWN($M405*AN$5/100,0)&lt;-AN$6,-AN$6-SUM(AN$10:AN404),-ROUNDDOWN($M405*AN$5/100,0)),0)</f>
        <v>0</v>
      </c>
      <c r="AO405" s="38">
        <f>IF(AND($A405&gt;=AO$8,$A405&lt;=AO$9),IF(SUM(AO$10:AO404)-ROUNDDOWN($K405*AO$5/100,0)&lt;-AO$6,-AO$6-SUM(AO$10:AO404),-ROUNDDOWN($K405*AO$5/100,0)),0)</f>
        <v>0</v>
      </c>
      <c r="AP405" s="38">
        <f>IF(AND($A405&gt;=AP$8,$A405&lt;=AP$9),IF(SUM(AP$10:AP404)-ROUNDDOWN($K405*AP$5/100,0)&lt;-AP$6,-AP$6-SUM(AP$10:AP404),-ROUNDDOWN($K405*AP$5/100,0)),0)</f>
        <v>0</v>
      </c>
      <c r="AQ405" s="38">
        <f>IF(AND($A405&gt;=AQ$8,$A405&lt;=AQ$9),IF(SUM(AQ$10:AQ404)-ROUNDDOWN($K405*AQ$5/100,0)&lt;-AQ$6,-AQ$6-SUM(AQ$10:AQ404),-ROUNDDOWN($K405*AQ$5/100,0)),0)</f>
        <v>0</v>
      </c>
      <c r="AR405" s="38">
        <f>IF(AND($A405&gt;=AR$8,$A405&lt;=AR$9),IF(SUM(AR$10:AR404)-ROUNDDOWN($K405*AR$5/100,0)&lt;-AR$6,-AR$6-SUM(AR$10:AR404),-ROUNDDOWN($K405*AR$5/100,0)),0)</f>
        <v>0</v>
      </c>
      <c r="AS405" s="38">
        <f>IF(SUMIFS(AS$10:AS404,$A$10:$A404,$A405)-ROUNDDOWN($K405*$S405/100,0)&lt;-$S405*1000,-$S405*1000-SUMIFS(AS$10:AS404,$A$10:$A404,$A405),-ROUNDDOWN($K405*$S405/100,0))</f>
        <v>0</v>
      </c>
      <c r="AT405" s="38">
        <f>IF(AND(X405="○",$A405&gt;=AT$8,$A405&lt;=AT$9,K405&gt;=3980),IF(SUM(AT$10:AT404)-ROUNDDOWN($K405*AT$5/100,0)&lt;-AT$6,-AT$6-SUM(AT$10:AT404),-ROUNDDOWN($K405*AT$5/100,0)),0)</f>
        <v>0</v>
      </c>
      <c r="AU405" s="38">
        <f>IF(O405="○",IF(SUM(AU$10:AU404)-ROUNDDOWN($K405*AU$5/100,0)&lt;-AU$6,-AU$6-SUM(AU$10:AU404),-ROUNDDOWN($K405*AU$5/100,0)),0)</f>
        <v>0</v>
      </c>
      <c r="AV405" s="38">
        <f>IF(P405="○",IF(SUM(AV$10:AV404)-ROUNDDOWN($K405*AV$5/100,0)&lt;-AV$6,-AV$6-SUM(AV$10:AV404),-ROUNDDOWN($K405*AV$5/100,0)),0)</f>
        <v>0</v>
      </c>
      <c r="AW405" s="38">
        <f>IF(Q405="○",IF(SUM(AW$10:AW404)-ROUNDDOWN($K405*AW$5/100,0)&lt;-AW$6,-AW$6-SUM(AW$10:AW404),-ROUNDDOWN($K405*AW$5/100,0)),0)</f>
        <v>0</v>
      </c>
      <c r="AX405" s="38">
        <f>IF(R405="○",IF(SUM(AX$10:AX404)-ROUNDDOWN($K405*AX$5/100,0)&lt;-AX$6,-AX$6-SUM(AX$10:AX404),-ROUNDDOWN($K405*AX$5/100,0)),0)</f>
        <v>0</v>
      </c>
      <c r="AY405" s="70">
        <v>0</v>
      </c>
      <c r="AZ405" s="65">
        <f t="shared" si="285"/>
        <v>0</v>
      </c>
      <c r="BA405" s="65">
        <f t="shared" si="286"/>
        <v>0</v>
      </c>
      <c r="BB405" s="70"/>
      <c r="BC405" s="65">
        <f t="shared" si="287"/>
        <v>0</v>
      </c>
      <c r="BD405" s="70">
        <v>0</v>
      </c>
      <c r="BE405" s="65">
        <f t="shared" si="288"/>
        <v>0</v>
      </c>
      <c r="BF405" s="70">
        <v>0</v>
      </c>
      <c r="BG405" s="65">
        <f t="shared" si="289"/>
        <v>0</v>
      </c>
      <c r="BH405" s="70">
        <v>0</v>
      </c>
      <c r="BI405" s="65">
        <f t="shared" si="290"/>
        <v>0</v>
      </c>
      <c r="BJ405" s="38">
        <f>IF(AND(BJ$7="○",$A405&gt;=BJ$8,$A405&lt;=BJ$9),IF(SUM(BJ$10:BJ404)-ROUNDDOWN($M405*BJ$5/100,0)&lt;-BJ$6,-BJ$6-SUM(BJ$10:BJ404),-ROUNDDOWN($M405*BJ$5/100,0)),0)</f>
        <v>0</v>
      </c>
      <c r="BK405" s="38">
        <f>IF(AND(BK$7="○",$A405&gt;=BK$8,$A405&lt;=BK$9),IF(SUM(BK$10:BK404)-ROUNDDOWN($L405*BK$5/100,0)&lt;-BK$6,-BK$6-SUM(BK$10:BK404),-ROUNDDOWN($L405*BK$5/100,0)),0)</f>
        <v>0</v>
      </c>
      <c r="BL405" s="38">
        <f>IF(AND(BL$7="○",$A405&gt;=BL$8,$A405&lt;=BL$9),IF(SUM(BL$10:BL404)-ROUNDDOWN($L405*BL$5/100,0)&lt;-BL$6,-BL$6-SUM(BL$10:BL404),-ROUNDDOWN($L405*BL$5/100,0)),0)</f>
        <v>0</v>
      </c>
      <c r="BM405" s="38">
        <f>IF(AND(BM$7="○",$A405&gt;=BM$8,$A405&lt;=BM$9),IF(SUM(BM$10:BM404)-ROUNDDOWN($M405*BM$5/100,0)&lt;-BM$6,-BM$6-SUM(BM$10:BM404),-ROUNDDOWN($M405*BM$5/100,0)),0)</f>
        <v>0</v>
      </c>
      <c r="BN405" s="38">
        <f>IF(AND(BN$7="○",$A405&gt;=BN$8,$A405&lt;=BN$9),IF(SUM(BN$10:BN404)-ROUNDDOWN($M405*BN$5/100,0)&lt;-BN$6,-BN$6-SUM(BN$10:BN404),-ROUNDDOWN($M405*BN$5/100,0)),0)</f>
        <v>0</v>
      </c>
      <c r="BO405" s="38">
        <f>IF(AND(BO$7="○",$A405&gt;=BO$8,$A405&lt;=BO$9),IF(SUM(BO$10:BO404)-ROUNDDOWN($M405*BO$5/100,0)&lt;-BO$6,-BO$6-SUM(BO$10:BO404),-ROUNDDOWN($M405*BO$5/100,0)),0)</f>
        <v>0</v>
      </c>
      <c r="BP405" s="38">
        <f>IF(AND(BP$7="○",$A405&gt;=BP$8,$A405&lt;=BP$9),IF(SUM(BP$10:BP404)-ROUNDDOWN($M405*BP$5/100,0)&lt;-BP$6,-BP$6-SUM(BP$10:BP404),-ROUNDDOWN($M405*BP$5/100,0)),0)</f>
        <v>0</v>
      </c>
      <c r="BQ405" s="38">
        <f>IF(AND(BQ$7="○",$A405&gt;=BQ$8,$A405&lt;=BQ$9),IF(SUM(BQ$10:BQ404)-ROUNDDOWN($L405*BQ$5/100,0)&lt;-BQ$6,-BQ$6-SUM(BQ$10:BQ404),-ROUNDDOWN($L405*BQ$5/100,0)),0)</f>
        <v>0</v>
      </c>
      <c r="BR405" s="38">
        <f>IF(AND(BR$7="○",$A405&gt;=BR$8,$A405&lt;=BR$9),IF(SUM(BR$10:BR404)-ROUNDDOWN($M405*BR$5/100,0)&lt;-BR$6,-BR$6-SUM(BR$10:BR404),-ROUNDDOWN($M405*BR$5/100,0)),0)</f>
        <v>0</v>
      </c>
      <c r="BS405" s="38">
        <f>IF(AND(BS$7="○",$A405&gt;=BS$8,$A405&lt;=BS$9),IF(SUM(BS$10:BS404)-ROUNDDOWN($M405*BS$5/100,0)&lt;-BS$6,-BS$6-SUM(BS$10:BS404),-ROUNDDOWN($M405*BS$5/100,0)),0)</f>
        <v>0</v>
      </c>
      <c r="BT405" s="38">
        <f>IF(AND(BT$7="○",$A405&gt;=BT$8,$A405&lt;=BT$9),IF(SUM(BT$10:BT404)-ROUNDDOWN($M405*BT$5/100,0)&lt;-BT$6,-BT$6-SUM(BT$10:BT404),-ROUNDDOWN($M405*BT$5/100,0)),0)</f>
        <v>0</v>
      </c>
      <c r="BU405" s="38">
        <f>IF(AND(BU$7="○",$A405&gt;=BU$8,$A405&lt;=BU$9),IF(SUM(BU$10:BU404)-ROUNDDOWN($M405*BU$5/100,0)&lt;-BU$6,-BU$6-SUM(BU$10:BU404),-ROUNDDOWN($M405*BU$5/100,0)),0)</f>
        <v>0</v>
      </c>
      <c r="BV405" s="38">
        <f>IF(AND(BV$7="○",$A405&gt;=BV$8,$A405&lt;=BV$9),IF(SUM(BV$10:BV404)-ROUNDDOWN($M405*BV$5/100,0)&lt;-BV$6,-BV$6-SUM(BV$10:BV404),-ROUNDDOWN($M405*BV$5/100,0)),0)</f>
        <v>0</v>
      </c>
      <c r="BW405" s="38">
        <f>IF(AND(BW$7="○",$A405&gt;=BW$8,$A405&lt;=BW$9),IF(SUM(BW$10:BW404)-ROUNDDOWN($M405*BW$5/100,0)&lt;-BW$6,-BW$6-SUM(BW$10:BW404),-ROUNDDOWN($M405*BW$5/100,0)),0)</f>
        <v>0</v>
      </c>
      <c r="BX405" s="38">
        <f>IF(AND(T405="○",$A405&gt;=BX$8,$A405&lt;=BX$9),IF(SUM(BX$10:BX404)-ROUNDDOWN($K405*BX$5/100,0)&lt;-BX$6,-BX$6-SUM(BX$10:BX404),-ROUNDDOWN($K405*BX$5/100,0)),0)</f>
        <v>0</v>
      </c>
      <c r="BY405" s="38">
        <f>IF(AND(U405="○",$A405&gt;=BY$8,$A405&lt;=BY$9),IF(SUM(BY$10:BY404)-ROUNDDOWN($K405*BY$5/100,0)&lt;-BY$6,-BY$6-SUM(BY$10:BY404),-ROUNDDOWN($K405*BY$5/100,0)),0)</f>
        <v>0</v>
      </c>
      <c r="BZ405" s="38">
        <f>IF(AND(V405="○",$A405&gt;=BZ$8,$A405&lt;=BZ$9),IF(SUM(BZ$10:BZ404)-ROUNDDOWN($K405*BZ$5/100,0)&lt;-BZ$6,-BZ$6-SUM(BZ$10:BZ404),-ROUNDDOWN($K405*BZ$5/100,0)),0)</f>
        <v>0</v>
      </c>
      <c r="CA405" s="38">
        <f>IF(AND(W405="○",$A405&gt;=CA$8,$A405&lt;=CA$9),IF(SUM(CA$10:CA404)-ROUNDDOWN($K405*CA$5/100,0)&lt;-CA$6,-CA$6-SUM(CA$10:CA404),-ROUNDDOWN($K405*CA$5/100,0)),0)</f>
        <v>0</v>
      </c>
      <c r="CB405" s="38"/>
      <c r="CC405" s="38"/>
      <c r="CD405" s="38"/>
      <c r="CE405" s="38"/>
      <c r="CF405" s="38"/>
      <c r="CG405" s="65">
        <f t="shared" si="291"/>
        <v>0</v>
      </c>
      <c r="CH405" s="71">
        <f t="shared" si="292"/>
        <v>0</v>
      </c>
      <c r="CI405" s="1">
        <f t="shared" si="276"/>
        <v>0</v>
      </c>
      <c r="CJ405" s="1"/>
      <c r="CK405" s="2"/>
      <c r="CL405" s="2"/>
      <c r="CM405" s="2"/>
      <c r="CN405" s="2"/>
      <c r="CO405" s="73">
        <f t="shared" si="277"/>
        <v>0</v>
      </c>
      <c r="CP405" s="5">
        <f t="shared" si="278"/>
        <v>0</v>
      </c>
      <c r="CQ405" s="1"/>
      <c r="CR405" s="1">
        <f t="shared" si="279"/>
        <v>0</v>
      </c>
      <c r="CS405" s="1"/>
      <c r="CT405" s="1" t="e">
        <f>INDEX([2]マスタ!$A:$A,MATCH(D405,[2]マスタ!$C:$C,0))</f>
        <v>#N/A</v>
      </c>
      <c r="CU405" s="1" t="str">
        <f t="shared" ca="1" si="280"/>
        <v>20260620_0-0</v>
      </c>
    </row>
    <row r="406" spans="1:99" x14ac:dyDescent="0.4">
      <c r="A406" s="61"/>
      <c r="B406" s="62"/>
      <c r="C406" s="62"/>
      <c r="D406" s="62"/>
      <c r="E406" s="74"/>
      <c r="F406" s="62"/>
      <c r="G406" s="62">
        <v>1</v>
      </c>
      <c r="H406" s="64">
        <f t="shared" si="4"/>
        <v>0</v>
      </c>
      <c r="I406" s="64"/>
      <c r="J406" s="64"/>
      <c r="K406" s="65">
        <f t="shared" ref="K406:K417" si="293">+ROUNDDOWN((H406+I406)/100,0)*100</f>
        <v>0</v>
      </c>
      <c r="L406" s="65">
        <f t="shared" si="6"/>
        <v>0</v>
      </c>
      <c r="M406" s="65">
        <f t="shared" si="7"/>
        <v>0</v>
      </c>
      <c r="N406" s="65">
        <f t="shared" si="8"/>
        <v>0</v>
      </c>
      <c r="O406" s="66" t="str">
        <f t="shared" si="9"/>
        <v>✕</v>
      </c>
      <c r="P406" s="67" t="str">
        <f t="shared" si="10"/>
        <v>○</v>
      </c>
      <c r="Q406" s="67" t="str">
        <f t="shared" ref="Q406:Q417" si="294">+IF((TEXT($A406,"DD")+0)=1,"○","✕")</f>
        <v>✕</v>
      </c>
      <c r="R406" s="67" t="str">
        <f t="shared" si="12"/>
        <v>✕</v>
      </c>
      <c r="S406" s="68">
        <v>0</v>
      </c>
      <c r="T406" s="69" t="s">
        <v>85</v>
      </c>
      <c r="U406" s="69" t="s">
        <v>85</v>
      </c>
      <c r="V406" s="69" t="s">
        <v>85</v>
      </c>
      <c r="W406" s="69" t="s">
        <v>85</v>
      </c>
      <c r="X406" s="69" t="s">
        <v>84</v>
      </c>
      <c r="Y406" s="69" t="s">
        <v>85</v>
      </c>
      <c r="Z406" s="69" t="s">
        <v>85</v>
      </c>
      <c r="AA406" s="69" t="s">
        <v>85</v>
      </c>
      <c r="AB406" s="69" t="s">
        <v>85</v>
      </c>
      <c r="AC406" s="69" t="s">
        <v>85</v>
      </c>
      <c r="AD406" s="38" t="str">
        <f>+IF(ISERROR(VLOOKUP($B406,#REF!,1,0)),IF(AND($N406&gt;=1000,$A406&gt;=AO$8,$A406&lt;=AO$9),$B406,""),"")</f>
        <v/>
      </c>
      <c r="AE406" s="38" t="str">
        <f>+IF(ISERROR(VLOOKUP($B406,#REF!,1,0)),IF(AND($N406&gt;=1000,$A406&gt;=AP$8,$A406&lt;=AP$9),$B406,""),"")</f>
        <v/>
      </c>
      <c r="AF406" s="38" t="str">
        <f>+IF(ISERROR(VLOOKUP($B406,#REF!,1,0)),IF(AND($N406&gt;=1000,$A406&gt;=AQ$8,$A406&lt;=AQ$9),$B406,""),"")</f>
        <v/>
      </c>
      <c r="AG406" s="38" t="str">
        <f>+IF(ISERROR(VLOOKUP($B406,#REF!,1,0)),IF(AND($N406&gt;=1000,$A406&gt;=AR$8,$A406&lt;=AR$9),$B406,""),"")</f>
        <v/>
      </c>
      <c r="AH406" s="38"/>
      <c r="AI406" s="70">
        <v>0</v>
      </c>
      <c r="AJ406" s="38">
        <f>IF(AND(AJ$7="○",$A406&gt;=AJ$8,$A406&lt;=AJ$9),IF(SUM(AJ$10:AJ405)-ROUNDDOWN($K406*AJ$5/100,0)&lt;-AJ$6,-AJ$6-SUM(AJ$10:AJ405),-ROUNDDOWN($K406*AJ$5/100,0)),0)</f>
        <v>0</v>
      </c>
      <c r="AK406" s="38">
        <f>IF(AND(AK$7="○",$A406&gt;=AK$8,$A406&lt;=AK$9),IF(SUM(AK$10:AK405)-ROUNDDOWN($L406*AK$5/100,0)&lt;-AK$6,-AK$6-SUM(AK$10:AK405),-ROUNDDOWN($L406*AK$5/100,0)),0)</f>
        <v>0</v>
      </c>
      <c r="AL406" s="38">
        <f>IF(AND(AL$7="○",$A406&gt;=AL$8,$A406&lt;=AL$9),IF(SUM(AL$10:AL405)-ROUNDDOWN($N406*AL$5/100,0)&lt;-AL$6,-AL$6-SUM(AL$10:AL405),-ROUNDDOWN($N406*AL$5/100,0)),0)</f>
        <v>0</v>
      </c>
      <c r="AM406" s="38">
        <f>IF(AND(AM$7="○",$A406&gt;=AM$8,$A406&lt;=AM$9),IF(SUM(AM$10:AM405)-ROUNDDOWN($L406*AM$5/100,0)&lt;-AM$6,-AM$6-SUM(AM$10:AM405),-ROUNDDOWN($L406*AM$5/100,0)),0)</f>
        <v>0</v>
      </c>
      <c r="AN406" s="38">
        <f>IF(AND(AN$7="○",$A406&gt;=AN$8,$A406&lt;=AN$9),IF(SUM(AN$10:AN405)-ROUNDDOWN($M406*AN$5/100,0)&lt;-AN$6,-AN$6-SUM(AN$10:AN405),-ROUNDDOWN($M406*AN$5/100,0)),0)</f>
        <v>0</v>
      </c>
      <c r="AO406" s="38">
        <f>IF(AND($A406&gt;=AO$8,$A406&lt;=AO$9),IF(SUM(AO$10:AO405)-ROUNDDOWN($K406*AO$5/100,0)&lt;-AO$6,-AO$6-SUM(AO$10:AO405),-ROUNDDOWN($K406*AO$5/100,0)),0)</f>
        <v>0</v>
      </c>
      <c r="AP406" s="38">
        <f>IF(AND($A406&gt;=AP$8,$A406&lt;=AP$9),IF(SUM(AP$10:AP405)-ROUNDDOWN($K406*AP$5/100,0)&lt;-AP$6,-AP$6-SUM(AP$10:AP405),-ROUNDDOWN($K406*AP$5/100,0)),0)</f>
        <v>0</v>
      </c>
      <c r="AQ406" s="38">
        <f>IF(AND($A406&gt;=AQ$8,$A406&lt;=AQ$9),IF(SUM(AQ$10:AQ405)-ROUNDDOWN($K406*AQ$5/100,0)&lt;-AQ$6,-AQ$6-SUM(AQ$10:AQ405),-ROUNDDOWN($K406*AQ$5/100,0)),0)</f>
        <v>0</v>
      </c>
      <c r="AR406" s="38">
        <f>IF(AND($A406&gt;=AR$8,$A406&lt;=AR$9),IF(SUM(AR$10:AR405)-ROUNDDOWN($K406*AR$5/100,0)&lt;-AR$6,-AR$6-SUM(AR$10:AR405),-ROUNDDOWN($K406*AR$5/100,0)),0)</f>
        <v>0</v>
      </c>
      <c r="AS406" s="38">
        <f>IF(SUMIFS(AS$10:AS405,$A$10:$A405,$A406)-ROUNDDOWN($K406*$S406/100,0)&lt;-$S406*1000,-$S406*1000-SUMIFS(AS$10:AS405,$A$10:$A405,$A406),-ROUNDDOWN($K406*$S406/100,0))</f>
        <v>0</v>
      </c>
      <c r="AT406" s="38">
        <f>IF(AND(X406="○",$A406&gt;=AT$8,$A406&lt;=AT$9,K406&gt;=3980),IF(SUM(AT$10:AT405)-ROUNDDOWN($K406*AT$5/100,0)&lt;-AT$6,-AT$6-SUM(AT$10:AT405),-ROUNDDOWN($K406*AT$5/100,0)),0)</f>
        <v>0</v>
      </c>
      <c r="AU406" s="38">
        <f>IF(O406="○",IF(SUM(AU$10:AU405)-ROUNDDOWN($K406*AU$5/100,0)&lt;-AU$6,-AU$6-SUM(AU$10:AU405),-ROUNDDOWN($K406*AU$5/100,0)),0)</f>
        <v>0</v>
      </c>
      <c r="AV406" s="38">
        <f>IF(P406="○",IF(SUM(AV$10:AV405)-ROUNDDOWN($K406*AV$5/100,0)&lt;-AV$6,-AV$6-SUM(AV$10:AV405),-ROUNDDOWN($K406*AV$5/100,0)),0)</f>
        <v>0</v>
      </c>
      <c r="AW406" s="38">
        <f>IF(Q406="○",IF(SUM(AW$10:AW405)-ROUNDDOWN($K406*AW$5/100,0)&lt;-AW$6,-AW$6-SUM(AW$10:AW405),-ROUNDDOWN($K406*AW$5/100,0)),0)</f>
        <v>0</v>
      </c>
      <c r="AX406" s="38">
        <f>IF(R406="○",IF(SUM(AX$10:AX405)-ROUNDDOWN($K406*AX$5/100,0)&lt;-AX$6,-AX$6-SUM(AX$10:AX405),-ROUNDDOWN($K406*AX$5/100,0)),0)</f>
        <v>0</v>
      </c>
      <c r="AY406" s="70">
        <v>0</v>
      </c>
      <c r="AZ406" s="65">
        <f t="shared" si="285"/>
        <v>0</v>
      </c>
      <c r="BA406" s="65">
        <f t="shared" si="286"/>
        <v>0</v>
      </c>
      <c r="BB406" s="70"/>
      <c r="BC406" s="65">
        <f t="shared" si="287"/>
        <v>0</v>
      </c>
      <c r="BD406" s="70">
        <v>0</v>
      </c>
      <c r="BE406" s="65">
        <f t="shared" si="288"/>
        <v>0</v>
      </c>
      <c r="BF406" s="70">
        <v>0</v>
      </c>
      <c r="BG406" s="65">
        <f t="shared" si="289"/>
        <v>0</v>
      </c>
      <c r="BH406" s="70">
        <v>0</v>
      </c>
      <c r="BI406" s="65">
        <f t="shared" si="290"/>
        <v>0</v>
      </c>
      <c r="BJ406" s="38">
        <f>IF(AND(BJ$7="○",$A406&gt;=BJ$8,$A406&lt;=BJ$9),IF(SUM(BJ$10:BJ405)-ROUNDDOWN($M406*BJ$5/100,0)&lt;-BJ$6,-BJ$6-SUM(BJ$10:BJ405),-ROUNDDOWN($M406*BJ$5/100,0)),0)</f>
        <v>0</v>
      </c>
      <c r="BK406" s="38">
        <f>IF(AND(BK$7="○",$A406&gt;=BK$8,$A406&lt;=BK$9),IF(SUM(BK$10:BK405)-ROUNDDOWN($L406*BK$5/100,0)&lt;-BK$6,-BK$6-SUM(BK$10:BK405),-ROUNDDOWN($L406*BK$5/100,0)),0)</f>
        <v>0</v>
      </c>
      <c r="BL406" s="38">
        <f>IF(AND(BL$7="○",$A406&gt;=BL$8,$A406&lt;=BL$9),IF(SUM(BL$10:BL405)-ROUNDDOWN($L406*BL$5/100,0)&lt;-BL$6,-BL$6-SUM(BL$10:BL405),-ROUNDDOWN($L406*BL$5/100,0)),0)</f>
        <v>0</v>
      </c>
      <c r="BM406" s="38">
        <f>IF(AND(BM$7="○",$A406&gt;=BM$8,$A406&lt;=BM$9),IF(SUM(BM$10:BM405)-ROUNDDOWN($M406*BM$5/100,0)&lt;-BM$6,-BM$6-SUM(BM$10:BM405),-ROUNDDOWN($M406*BM$5/100,0)),0)</f>
        <v>0</v>
      </c>
      <c r="BN406" s="38">
        <f>IF(AND(BN$7="○",$A406&gt;=BN$8,$A406&lt;=BN$9),IF(SUM(BN$10:BN405)-ROUNDDOWN($M406*BN$5/100,0)&lt;-BN$6,-BN$6-SUM(BN$10:BN405),-ROUNDDOWN($M406*BN$5/100,0)),0)</f>
        <v>0</v>
      </c>
      <c r="BO406" s="38">
        <f>IF(AND(BO$7="○",$A406&gt;=BO$8,$A406&lt;=BO$9),IF(SUM(BO$10:BO405)-ROUNDDOWN($M406*BO$5/100,0)&lt;-BO$6,-BO$6-SUM(BO$10:BO405),-ROUNDDOWN($M406*BO$5/100,0)),0)</f>
        <v>0</v>
      </c>
      <c r="BP406" s="38">
        <f>IF(AND(BP$7="○",$A406&gt;=BP$8,$A406&lt;=BP$9),IF(SUM(BP$10:BP405)-ROUNDDOWN($M406*BP$5/100,0)&lt;-BP$6,-BP$6-SUM(BP$10:BP405),-ROUNDDOWN($M406*BP$5/100,0)),0)</f>
        <v>0</v>
      </c>
      <c r="BQ406" s="38">
        <f>IF(AND(BQ$7="○",$A406&gt;=BQ$8,$A406&lt;=BQ$9),IF(SUM(BQ$10:BQ405)-ROUNDDOWN($L406*BQ$5/100,0)&lt;-BQ$6,-BQ$6-SUM(BQ$10:BQ405),-ROUNDDOWN($L406*BQ$5/100,0)),0)</f>
        <v>0</v>
      </c>
      <c r="BR406" s="38">
        <f>IF(AND(BR$7="○",$A406&gt;=BR$8,$A406&lt;=BR$9),IF(SUM(BR$10:BR405)-ROUNDDOWN($M406*BR$5/100,0)&lt;-BR$6,-BR$6-SUM(BR$10:BR405),-ROUNDDOWN($M406*BR$5/100,0)),0)</f>
        <v>0</v>
      </c>
      <c r="BS406" s="38">
        <f>IF(AND(BS$7="○",$A406&gt;=BS$8,$A406&lt;=BS$9),IF(SUM(BS$10:BS405)-ROUNDDOWN($M406*BS$5/100,0)&lt;-BS$6,-BS$6-SUM(BS$10:BS405),-ROUNDDOWN($M406*BS$5/100,0)),0)</f>
        <v>0</v>
      </c>
      <c r="BT406" s="38">
        <f>IF(AND(BT$7="○",$A406&gt;=BT$8,$A406&lt;=BT$9),IF(SUM(BT$10:BT405)-ROUNDDOWN($M406*BT$5/100,0)&lt;-BT$6,-BT$6-SUM(BT$10:BT405),-ROUNDDOWN($M406*BT$5/100,0)),0)</f>
        <v>0</v>
      </c>
      <c r="BU406" s="38">
        <f>IF(AND(BU$7="○",$A406&gt;=BU$8,$A406&lt;=BU$9),IF(SUM(BU$10:BU405)-ROUNDDOWN($M406*BU$5/100,0)&lt;-BU$6,-BU$6-SUM(BU$10:BU405),-ROUNDDOWN($M406*BU$5/100,0)),0)</f>
        <v>0</v>
      </c>
      <c r="BV406" s="38">
        <f>IF(AND(BV$7="○",$A406&gt;=BV$8,$A406&lt;=BV$9),IF(SUM(BV$10:BV405)-ROUNDDOWN($M406*BV$5/100,0)&lt;-BV$6,-BV$6-SUM(BV$10:BV405),-ROUNDDOWN($M406*BV$5/100,0)),0)</f>
        <v>0</v>
      </c>
      <c r="BW406" s="38">
        <f>IF(AND(BW$7="○",$A406&gt;=BW$8,$A406&lt;=BW$9),IF(SUM(BW$10:BW405)-ROUNDDOWN($M406*BW$5/100,0)&lt;-BW$6,-BW$6-SUM(BW$10:BW405),-ROUNDDOWN($M406*BW$5/100,0)),0)</f>
        <v>0</v>
      </c>
      <c r="BX406" s="38">
        <f>IF(AND(T406="○",$A406&gt;=BX$8,$A406&lt;=BX$9),IF(SUM(BX$10:BX405)-ROUNDDOWN($K406*BX$5/100,0)&lt;-BX$6,-BX$6-SUM(BX$10:BX405),-ROUNDDOWN($K406*BX$5/100,0)),0)</f>
        <v>0</v>
      </c>
      <c r="BY406" s="38">
        <f>IF(AND(U406="○",$A406&gt;=BY$8,$A406&lt;=BY$9),IF(SUM(BY$10:BY405)-ROUNDDOWN($K406*BY$5/100,0)&lt;-BY$6,-BY$6-SUM(BY$10:BY405),-ROUNDDOWN($K406*BY$5/100,0)),0)</f>
        <v>0</v>
      </c>
      <c r="BZ406" s="38">
        <f>IF(AND(V406="○",$A406&gt;=BZ$8,$A406&lt;=BZ$9),IF(SUM(BZ$10:BZ405)-ROUNDDOWN($K406*BZ$5/100,0)&lt;-BZ$6,-BZ$6-SUM(BZ$10:BZ405),-ROUNDDOWN($K406*BZ$5/100,0)),0)</f>
        <v>0</v>
      </c>
      <c r="CA406" s="38">
        <f>IF(AND(W406="○",$A406&gt;=CA$8,$A406&lt;=CA$9),IF(SUM(CA$10:CA405)-ROUNDDOWN($K406*CA$5/100,0)&lt;-CA$6,-CA$6-SUM(CA$10:CA405),-ROUNDDOWN($K406*CA$5/100,0)),0)</f>
        <v>0</v>
      </c>
      <c r="CB406" s="38"/>
      <c r="CC406" s="38"/>
      <c r="CD406" s="38"/>
      <c r="CE406" s="38"/>
      <c r="CF406" s="38"/>
      <c r="CG406" s="65">
        <f t="shared" si="291"/>
        <v>0</v>
      </c>
      <c r="CH406" s="71">
        <f t="shared" si="292"/>
        <v>0</v>
      </c>
      <c r="CI406" s="1">
        <f t="shared" si="19"/>
        <v>0</v>
      </c>
      <c r="CJ406" s="1"/>
      <c r="CK406" s="72"/>
      <c r="CL406" s="72"/>
      <c r="CM406" s="2"/>
      <c r="CN406" s="2"/>
      <c r="CO406" s="73">
        <f t="shared" si="20"/>
        <v>0</v>
      </c>
      <c r="CP406" s="5">
        <f t="shared" si="21"/>
        <v>0</v>
      </c>
      <c r="CQ406" s="1"/>
      <c r="CR406" s="1">
        <f t="shared" si="22"/>
        <v>0</v>
      </c>
      <c r="CS406" s="1"/>
      <c r="CT406" s="1" t="e">
        <f>INDEX([2]マスタ!$A:$A,MATCH(D406,[2]マスタ!$C:$C,0))</f>
        <v>#N/A</v>
      </c>
      <c r="CU406" s="1" t="str">
        <f t="shared" ca="1" si="23"/>
        <v>20260620_0-0</v>
      </c>
    </row>
    <row r="407" spans="1:99" x14ac:dyDescent="0.4">
      <c r="A407" s="61"/>
      <c r="B407" s="62"/>
      <c r="C407" s="62"/>
      <c r="D407" s="62"/>
      <c r="E407" s="76"/>
      <c r="F407" s="62"/>
      <c r="G407" s="62">
        <v>1</v>
      </c>
      <c r="H407" s="64">
        <f t="shared" si="4"/>
        <v>0</v>
      </c>
      <c r="I407" s="64"/>
      <c r="J407" s="64"/>
      <c r="K407" s="65">
        <f t="shared" si="293"/>
        <v>0</v>
      </c>
      <c r="L407" s="65">
        <f t="shared" si="6"/>
        <v>0</v>
      </c>
      <c r="M407" s="65">
        <f t="shared" si="7"/>
        <v>0</v>
      </c>
      <c r="N407" s="65">
        <f t="shared" si="8"/>
        <v>0</v>
      </c>
      <c r="O407" s="66" t="str">
        <f t="shared" si="9"/>
        <v>✕</v>
      </c>
      <c r="P407" s="67" t="str">
        <f t="shared" si="10"/>
        <v>○</v>
      </c>
      <c r="Q407" s="67" t="str">
        <f t="shared" si="294"/>
        <v>✕</v>
      </c>
      <c r="R407" s="67" t="str">
        <f t="shared" si="12"/>
        <v>✕</v>
      </c>
      <c r="S407" s="68">
        <v>0</v>
      </c>
      <c r="T407" s="69" t="s">
        <v>85</v>
      </c>
      <c r="U407" s="69" t="s">
        <v>85</v>
      </c>
      <c r="V407" s="69" t="s">
        <v>85</v>
      </c>
      <c r="W407" s="69" t="s">
        <v>85</v>
      </c>
      <c r="X407" s="69" t="s">
        <v>84</v>
      </c>
      <c r="Y407" s="69" t="s">
        <v>85</v>
      </c>
      <c r="Z407" s="69" t="s">
        <v>85</v>
      </c>
      <c r="AA407" s="69" t="s">
        <v>85</v>
      </c>
      <c r="AB407" s="69" t="s">
        <v>85</v>
      </c>
      <c r="AC407" s="69" t="s">
        <v>85</v>
      </c>
      <c r="AD407" s="38" t="str">
        <f>+IF(ISERROR(VLOOKUP($B407,AD$10:AD406,1,0)),IF(AND($N407&gt;=1000,$A407&gt;=AO$8,$A407&lt;=AO$9),$B407,""),"")</f>
        <v/>
      </c>
      <c r="AE407" s="38" t="str">
        <f>+IF(ISERROR(VLOOKUP($B407,AE$10:AE406,1,0)),IF(AND($N407&gt;=1000,$A407&gt;=AP$8,$A407&lt;=AP$9),$B407,""),"")</f>
        <v/>
      </c>
      <c r="AF407" s="38" t="str">
        <f>+IF(ISERROR(VLOOKUP($B407,AF$10:AF406,1,0)),IF(AND($N407&gt;=1000,$A407&gt;=AQ$8,$A407&lt;=AQ$9),$B407,""),"")</f>
        <v/>
      </c>
      <c r="AG407" s="38" t="str">
        <f>+IF(ISERROR(VLOOKUP($B407,AG$10:AG406,1,0)),IF(AND($N407&gt;=1000,$A407&gt;=AR$8,$A407&lt;=AR$9),$B407,""),"")</f>
        <v/>
      </c>
      <c r="AH407" s="38"/>
      <c r="AI407" s="70">
        <v>0</v>
      </c>
      <c r="AJ407" s="38">
        <f>IF(AND(AJ$7="○",$A407&gt;=AJ$8,$A407&lt;=AJ$9),IF(SUM(AJ$10:AJ406)-ROUNDDOWN($K407*AJ$5/100,0)&lt;-AJ$6,-AJ$6-SUM(AJ$10:AJ406),-ROUNDDOWN($K407*AJ$5/100,0)),0)</f>
        <v>0</v>
      </c>
      <c r="AK407" s="38">
        <f>IF(AND(AK$7="○",$A407&gt;=AK$8,$A407&lt;=AK$9),IF(SUM(AK$10:AK406)-ROUNDDOWN($L407*AK$5/100,0)&lt;-AK$6,-AK$6-SUM(AK$10:AK406),-ROUNDDOWN($L407*AK$5/100,0)),0)</f>
        <v>0</v>
      </c>
      <c r="AL407" s="38">
        <f>IF(AND(AL$7="○",$A407&gt;=AL$8,$A407&lt;=AL$9),IF(SUM(AL$10:AL406)-ROUNDDOWN($N407*AL$5/100,0)&lt;-AL$6,-AL$6-SUM(AL$10:AL406),-ROUNDDOWN($N407*AL$5/100,0)),0)</f>
        <v>0</v>
      </c>
      <c r="AM407" s="38">
        <f>IF(AND(AM$7="○",$A407&gt;=AM$8,$A407&lt;=AM$9),IF(SUM(AM$10:AM406)-ROUNDDOWN($L407*AM$5/100,0)&lt;-AM$6,-AM$6-SUM(AM$10:AM406),-ROUNDDOWN($L407*AM$5/100,0)),0)</f>
        <v>0</v>
      </c>
      <c r="AN407" s="38">
        <f>IF(AND(AN$7="○",$A407&gt;=AN$8,$A407&lt;=AN$9),IF(SUM(AN$10:AN406)-ROUNDDOWN($M407*AN$5/100,0)&lt;-AN$6,-AN$6-SUM(AN$10:AN406),-ROUNDDOWN($M407*AN$5/100,0)),0)</f>
        <v>0</v>
      </c>
      <c r="AO407" s="38">
        <f>IF(AND($A407&gt;=AO$8,$A407&lt;=AO$9),IF(SUM(AO$10:AO406)-ROUNDDOWN($K407*AO$5/100,0)&lt;-AO$6,-AO$6-SUM(AO$10:AO406),-ROUNDDOWN($K407*AO$5/100,0)),0)</f>
        <v>0</v>
      </c>
      <c r="AP407" s="38">
        <f>IF(AND($A407&gt;=AP$8,$A407&lt;=AP$9),IF(SUM(AP$10:AP406)-ROUNDDOWN($K407*AP$5/100,0)&lt;-AP$6,-AP$6-SUM(AP$10:AP406),-ROUNDDOWN($K407*AP$5/100,0)),0)</f>
        <v>0</v>
      </c>
      <c r="AQ407" s="38">
        <f>IF(AND($A407&gt;=AQ$8,$A407&lt;=AQ$9),IF(SUM(AQ$10:AQ406)-ROUNDDOWN($K407*AQ$5/100,0)&lt;-AQ$6,-AQ$6-SUM(AQ$10:AQ406),-ROUNDDOWN($K407*AQ$5/100,0)),0)</f>
        <v>0</v>
      </c>
      <c r="AR407" s="38">
        <f>IF(AND($A407&gt;=AR$8,$A407&lt;=AR$9),IF(SUM(AR$10:AR406)-ROUNDDOWN($K407*AR$5/100,0)&lt;-AR$6,-AR$6-SUM(AR$10:AR406),-ROUNDDOWN($K407*AR$5/100,0)),0)</f>
        <v>0</v>
      </c>
      <c r="AS407" s="38">
        <f>IF(SUMIFS(AS$10:AS406,$A$10:$A406,$A407)-ROUNDDOWN($K407*$S407/100,0)&lt;-$S407*1000,-$S407*1000-SUMIFS(AS$10:AS406,$A$10:$A406,$A407),-ROUNDDOWN($K407*$S407/100,0))</f>
        <v>0</v>
      </c>
      <c r="AT407" s="38">
        <f>IF(AND(X407="○",$A407&gt;=AT$8,$A407&lt;=AT$9,K407&gt;=3980),IF(SUM(AT$10:AT406)-ROUNDDOWN($K407*AT$5/100,0)&lt;-AT$6,-AT$6-SUM(AT$10:AT406),-ROUNDDOWN($K407*AT$5/100,0)),0)</f>
        <v>0</v>
      </c>
      <c r="AU407" s="38">
        <f>IF(O407="○",IF(SUM(AU$10:AU406)-ROUNDDOWN($K407*AU$5/100,0)&lt;-AU$6,-AU$6-SUM(AU$10:AU406),-ROUNDDOWN($K407*AU$5/100,0)),0)</f>
        <v>0</v>
      </c>
      <c r="AV407" s="38">
        <f>IF(P407="○",IF(SUM(AV$10:AV406)-ROUNDDOWN($K407*AV$5/100,0)&lt;-AV$6,-AV$6-SUM(AV$10:AV406),-ROUNDDOWN($K407*AV$5/100,0)),0)</f>
        <v>0</v>
      </c>
      <c r="AW407" s="38">
        <f>IF(Q407="○",IF(SUM(AW$10:AW406)-ROUNDDOWN($K407*AW$5/100,0)&lt;-AW$6,-AW$6-SUM(AW$10:AW406),-ROUNDDOWN($K407*AW$5/100,0)),0)</f>
        <v>0</v>
      </c>
      <c r="AX407" s="38">
        <f>IF(R407="○",IF(SUM(AX$10:AX406)-ROUNDDOWN($K407*AX$5/100,0)&lt;-AX$6,-AX$6-SUM(AX$10:AX406),-ROUNDDOWN($K407*AX$5/100,0)),0)</f>
        <v>0</v>
      </c>
      <c r="AY407" s="70">
        <v>0</v>
      </c>
      <c r="AZ407" s="65">
        <f t="shared" si="285"/>
        <v>0</v>
      </c>
      <c r="BA407" s="65">
        <f t="shared" si="286"/>
        <v>0</v>
      </c>
      <c r="BB407" s="70"/>
      <c r="BC407" s="65">
        <f t="shared" si="287"/>
        <v>0</v>
      </c>
      <c r="BD407" s="70">
        <v>0</v>
      </c>
      <c r="BE407" s="65">
        <f t="shared" si="288"/>
        <v>0</v>
      </c>
      <c r="BF407" s="70">
        <v>0</v>
      </c>
      <c r="BG407" s="65">
        <f t="shared" si="289"/>
        <v>0</v>
      </c>
      <c r="BH407" s="70">
        <v>0</v>
      </c>
      <c r="BI407" s="65">
        <f t="shared" si="290"/>
        <v>0</v>
      </c>
      <c r="BJ407" s="38">
        <f>IF(AND(BJ$7="○",$A407&gt;=BJ$8,$A407&lt;=BJ$9),IF(SUM(BJ$10:BJ406)-ROUNDDOWN($M407*BJ$5/100,0)&lt;-BJ$6,-BJ$6-SUM(BJ$10:BJ406),-ROUNDDOWN($M407*BJ$5/100,0)),0)</f>
        <v>0</v>
      </c>
      <c r="BK407" s="38">
        <f>IF(AND(BK$7="○",$A407&gt;=BK$8,$A407&lt;=BK$9),IF(SUM(BK$10:BK406)-ROUNDDOWN($L407*BK$5/100,0)&lt;-BK$6,-BK$6-SUM(BK$10:BK406),-ROUNDDOWN($L407*BK$5/100,0)),0)</f>
        <v>0</v>
      </c>
      <c r="BL407" s="38">
        <f>IF(AND(BL$7="○",$A407&gt;=BL$8,$A407&lt;=BL$9),IF(SUM(BL$10:BL406)-ROUNDDOWN($L407*BL$5/100,0)&lt;-BL$6,-BL$6-SUM(BL$10:BL406),-ROUNDDOWN($L407*BL$5/100,0)),0)</f>
        <v>0</v>
      </c>
      <c r="BM407" s="38">
        <f>IF(AND(BM$7="○",$A407&gt;=BM$8,$A407&lt;=BM$9),IF(SUM(BM$10:BM406)-ROUNDDOWN($M407*BM$5/100,0)&lt;-BM$6,-BM$6-SUM(BM$10:BM406),-ROUNDDOWN($M407*BM$5/100,0)),0)</f>
        <v>0</v>
      </c>
      <c r="BN407" s="38">
        <f>IF(AND(BN$7="○",$A407&gt;=BN$8,$A407&lt;=BN$9),IF(SUM(BN$10:BN406)-ROUNDDOWN($M407*BN$5/100,0)&lt;-BN$6,-BN$6-SUM(BN$10:BN406),-ROUNDDOWN($M407*BN$5/100,0)),0)</f>
        <v>0</v>
      </c>
      <c r="BO407" s="38">
        <f>IF(AND(BO$7="○",$A407&gt;=BO$8,$A407&lt;=BO$9),IF(SUM(BO$10:BO406)-ROUNDDOWN($M407*BO$5/100,0)&lt;-BO$6,-BO$6-SUM(BO$10:BO406),-ROUNDDOWN($M407*BO$5/100,0)),0)</f>
        <v>0</v>
      </c>
      <c r="BP407" s="38">
        <f>IF(AND(BP$7="○",$A407&gt;=BP$8,$A407&lt;=BP$9),IF(SUM(BP$10:BP406)-ROUNDDOWN($M407*BP$5/100,0)&lt;-BP$6,-BP$6-SUM(BP$10:BP406),-ROUNDDOWN($M407*BP$5/100,0)),0)</f>
        <v>0</v>
      </c>
      <c r="BQ407" s="38">
        <f>IF(AND(BQ$7="○",$A407&gt;=BQ$8,$A407&lt;=BQ$9),IF(SUM(BQ$10:BQ406)-ROUNDDOWN($L407*BQ$5/100,0)&lt;-BQ$6,-BQ$6-SUM(BQ$10:BQ406),-ROUNDDOWN($L407*BQ$5/100,0)),0)</f>
        <v>0</v>
      </c>
      <c r="BR407" s="38">
        <f>IF(AND(BR$7="○",$A407&gt;=BR$8,$A407&lt;=BR$9),IF(SUM(BR$10:BR406)-ROUNDDOWN($M407*BR$5/100,0)&lt;-BR$6,-BR$6-SUM(BR$10:BR406),-ROUNDDOWN($M407*BR$5/100,0)),0)</f>
        <v>0</v>
      </c>
      <c r="BS407" s="38">
        <f>IF(AND(BS$7="○",$A407&gt;=BS$8,$A407&lt;=BS$9),IF(SUM(BS$10:BS406)-ROUNDDOWN($M407*BS$5/100,0)&lt;-BS$6,-BS$6-SUM(BS$10:BS406),-ROUNDDOWN($M407*BS$5/100,0)),0)</f>
        <v>0</v>
      </c>
      <c r="BT407" s="38">
        <f>IF(AND(BT$7="○",$A407&gt;=BT$8,$A407&lt;=BT$9),IF(SUM(BT$10:BT406)-ROUNDDOWN($M407*BT$5/100,0)&lt;-BT$6,-BT$6-SUM(BT$10:BT406),-ROUNDDOWN($M407*BT$5/100,0)),0)</f>
        <v>0</v>
      </c>
      <c r="BU407" s="38">
        <f>IF(AND(BU$7="○",$A407&gt;=BU$8,$A407&lt;=BU$9),IF(SUM(BU$10:BU406)-ROUNDDOWN($M407*BU$5/100,0)&lt;-BU$6,-BU$6-SUM(BU$10:BU406),-ROUNDDOWN($M407*BU$5/100,0)),0)</f>
        <v>0</v>
      </c>
      <c r="BV407" s="38">
        <f>IF(AND(BV$7="○",$A407&gt;=BV$8,$A407&lt;=BV$9),IF(SUM(BV$10:BV406)-ROUNDDOWN($M407*BV$5/100,0)&lt;-BV$6,-BV$6-SUM(BV$10:BV406),-ROUNDDOWN($M407*BV$5/100,0)),0)</f>
        <v>0</v>
      </c>
      <c r="BW407" s="38">
        <f>IF(AND(BW$7="○",$A407&gt;=BW$8,$A407&lt;=BW$9),IF(SUM(BW$10:BW406)-ROUNDDOWN($M407*BW$5/100,0)&lt;-BW$6,-BW$6-SUM(BW$10:BW406),-ROUNDDOWN($M407*BW$5/100,0)),0)</f>
        <v>0</v>
      </c>
      <c r="BX407" s="38">
        <f>IF(AND(T407="○",$A407&gt;=BX$8,$A407&lt;=BX$9),IF(SUM(BX$10:BX406)-ROUNDDOWN($K407*BX$5/100,0)&lt;-BX$6,-BX$6-SUM(BX$10:BX406),-ROUNDDOWN($K407*BX$5/100,0)),0)</f>
        <v>0</v>
      </c>
      <c r="BY407" s="38">
        <f>IF(AND(U407="○",$A407&gt;=BY$8,$A407&lt;=BY$9),IF(SUM(BY$10:BY406)-ROUNDDOWN($K407*BY$5/100,0)&lt;-BY$6,-BY$6-SUM(BY$10:BY406),-ROUNDDOWN($K407*BY$5/100,0)),0)</f>
        <v>0</v>
      </c>
      <c r="BZ407" s="38">
        <f>IF(AND(V407="○",$A407&gt;=BZ$8,$A407&lt;=BZ$9),IF(SUM(BZ$10:BZ406)-ROUNDDOWN($K407*BZ$5/100,0)&lt;-BZ$6,-BZ$6-SUM(BZ$10:BZ406),-ROUNDDOWN($K407*BZ$5/100,0)),0)</f>
        <v>0</v>
      </c>
      <c r="CA407" s="38">
        <f>IF(AND(W407="○",$A407&gt;=CA$8,$A407&lt;=CA$9),IF(SUM(CA$10:CA406)-ROUNDDOWN($K407*CA$5/100,0)&lt;-CA$6,-CA$6-SUM(CA$10:CA406),-ROUNDDOWN($K407*CA$5/100,0)),0)</f>
        <v>0</v>
      </c>
      <c r="CB407" s="38"/>
      <c r="CC407" s="38"/>
      <c r="CD407" s="38"/>
      <c r="CE407" s="38"/>
      <c r="CF407" s="38"/>
      <c r="CG407" s="65">
        <f t="shared" si="291"/>
        <v>0</v>
      </c>
      <c r="CH407" s="71">
        <f t="shared" si="292"/>
        <v>0</v>
      </c>
      <c r="CI407" s="1">
        <f t="shared" si="19"/>
        <v>0</v>
      </c>
      <c r="CJ407" s="1"/>
      <c r="CK407" s="72"/>
      <c r="CL407" s="72"/>
      <c r="CM407" s="2"/>
      <c r="CN407" s="2"/>
      <c r="CO407" s="73">
        <f t="shared" si="20"/>
        <v>0</v>
      </c>
      <c r="CP407" s="5">
        <f t="shared" si="21"/>
        <v>0</v>
      </c>
      <c r="CQ407" s="1"/>
      <c r="CR407" s="1">
        <f t="shared" si="22"/>
        <v>0</v>
      </c>
      <c r="CS407" s="1"/>
      <c r="CT407" s="1" t="e">
        <f>INDEX([2]マスタ!$A:$A,MATCH(D407,[2]マスタ!$C:$C,0))</f>
        <v>#N/A</v>
      </c>
      <c r="CU407" s="1" t="str">
        <f t="shared" ca="1" si="23"/>
        <v>20260620_0-0</v>
      </c>
    </row>
    <row r="408" spans="1:99" x14ac:dyDescent="0.4">
      <c r="A408" s="61"/>
      <c r="B408" s="62"/>
      <c r="C408" s="62"/>
      <c r="D408" s="62"/>
      <c r="E408" s="63"/>
      <c r="F408" s="62"/>
      <c r="G408" s="62">
        <v>1</v>
      </c>
      <c r="H408" s="64">
        <f t="shared" si="4"/>
        <v>0</v>
      </c>
      <c r="I408" s="64"/>
      <c r="J408" s="64"/>
      <c r="K408" s="65">
        <f t="shared" si="293"/>
        <v>0</v>
      </c>
      <c r="L408" s="65">
        <f t="shared" si="6"/>
        <v>0</v>
      </c>
      <c r="M408" s="65">
        <f t="shared" si="7"/>
        <v>0</v>
      </c>
      <c r="N408" s="65">
        <f t="shared" si="8"/>
        <v>0</v>
      </c>
      <c r="O408" s="66" t="str">
        <f t="shared" si="9"/>
        <v>✕</v>
      </c>
      <c r="P408" s="67" t="str">
        <f t="shared" si="10"/>
        <v>○</v>
      </c>
      <c r="Q408" s="67" t="str">
        <f t="shared" si="294"/>
        <v>✕</v>
      </c>
      <c r="R408" s="67" t="str">
        <f t="shared" si="12"/>
        <v>✕</v>
      </c>
      <c r="S408" s="68">
        <v>0</v>
      </c>
      <c r="T408" s="69" t="s">
        <v>85</v>
      </c>
      <c r="U408" s="69" t="s">
        <v>85</v>
      </c>
      <c r="V408" s="69" t="s">
        <v>85</v>
      </c>
      <c r="W408" s="69" t="s">
        <v>85</v>
      </c>
      <c r="X408" s="69" t="s">
        <v>84</v>
      </c>
      <c r="Y408" s="69" t="s">
        <v>85</v>
      </c>
      <c r="Z408" s="69" t="s">
        <v>85</v>
      </c>
      <c r="AA408" s="69" t="s">
        <v>85</v>
      </c>
      <c r="AB408" s="69" t="s">
        <v>85</v>
      </c>
      <c r="AC408" s="69" t="s">
        <v>85</v>
      </c>
      <c r="AD408" s="38" t="str">
        <f>+IF(ISERROR(VLOOKUP($B408,AD$10:AD407,1,0)),IF(AND($N408&gt;=1000,$A408&gt;=AO$8,$A408&lt;=AO$9),$B408,""),"")</f>
        <v/>
      </c>
      <c r="AE408" s="38" t="str">
        <f>+IF(ISERROR(VLOOKUP($B408,AE$10:AE407,1,0)),IF(AND($N408&gt;=1000,$A408&gt;=AP$8,$A408&lt;=AP$9),$B408,""),"")</f>
        <v/>
      </c>
      <c r="AF408" s="38" t="str">
        <f>+IF(ISERROR(VLOOKUP($B408,AF$10:AF407,1,0)),IF(AND($N408&gt;=1000,$A408&gt;=AQ$8,$A408&lt;=AQ$9),$B408,""),"")</f>
        <v/>
      </c>
      <c r="AG408" s="38" t="str">
        <f>+IF(ISERROR(VLOOKUP($B408,AG$10:AG407,1,0)),IF(AND($N408&gt;=1000,$A408&gt;=AR$8,$A408&lt;=AR$9),$B408,""),"")</f>
        <v/>
      </c>
      <c r="AH408" s="38"/>
      <c r="AI408" s="70">
        <v>0</v>
      </c>
      <c r="AJ408" s="38">
        <f>IF(AND(AJ$7="○",$A408&gt;=AJ$8,$A408&lt;=AJ$9),IF(SUM(AJ$10:AJ407)-ROUNDDOWN($K408*AJ$5/100,0)&lt;-AJ$6,-AJ$6-SUM(AJ$10:AJ407),-ROUNDDOWN($K408*AJ$5/100,0)),0)</f>
        <v>0</v>
      </c>
      <c r="AK408" s="38">
        <f>IF(AND(AK$7="○",$A408&gt;=AK$8,$A408&lt;=AK$9),IF(SUM(AK$10:AK407)-ROUNDDOWN($L408*AK$5/100,0)&lt;-AK$6,-AK$6-SUM(AK$10:AK407),-ROUNDDOWN($L408*AK$5/100,0)),0)</f>
        <v>0</v>
      </c>
      <c r="AL408" s="38">
        <f>IF(AND(AL$7="○",$A408&gt;=AL$8,$A408&lt;=AL$9),IF(SUM(AL$10:AL407)-ROUNDDOWN($N408*AL$5/100,0)&lt;-AL$6,-AL$6-SUM(AL$10:AL407),-ROUNDDOWN($N408*AL$5/100,0)),0)</f>
        <v>0</v>
      </c>
      <c r="AM408" s="38">
        <f>IF(AND(AM$7="○",$A408&gt;=AM$8,$A408&lt;=AM$9),IF(SUM(AM$10:AM407)-ROUNDDOWN($L408*AM$5/100,0)&lt;-AM$6,-AM$6-SUM(AM$10:AM407),-ROUNDDOWN($L408*AM$5/100,0)),0)</f>
        <v>0</v>
      </c>
      <c r="AN408" s="38">
        <f>IF(AND(AN$7="○",$A408&gt;=AN$8,$A408&lt;=AN$9),IF(SUM(AN$10:AN407)-ROUNDDOWN($M408*AN$5/100,0)&lt;-AN$6,-AN$6-SUM(AN$10:AN407),-ROUNDDOWN($M408*AN$5/100,0)),0)</f>
        <v>0</v>
      </c>
      <c r="AO408" s="38">
        <f>IF(AND($A408&gt;=AO$8,$A408&lt;=AO$9),IF(SUM(AO$10:AO407)-ROUNDDOWN($K408*AO$5/100,0)&lt;-AO$6,-AO$6-SUM(AO$10:AO407),-ROUNDDOWN($K408*AO$5/100,0)),0)</f>
        <v>0</v>
      </c>
      <c r="AP408" s="38">
        <f>IF(AND($A408&gt;=AP$8,$A408&lt;=AP$9),IF(SUM(AP$10:AP407)-ROUNDDOWN($K408*AP$5/100,0)&lt;-AP$6,-AP$6-SUM(AP$10:AP407),-ROUNDDOWN($K408*AP$5/100,0)),0)</f>
        <v>0</v>
      </c>
      <c r="AQ408" s="38">
        <f>IF(AND($A408&gt;=AQ$8,$A408&lt;=AQ$9),IF(SUM(AQ$10:AQ407)-ROUNDDOWN($K408*AQ$5/100,0)&lt;-AQ$6,-AQ$6-SUM(AQ$10:AQ407),-ROUNDDOWN($K408*AQ$5/100,0)),0)</f>
        <v>0</v>
      </c>
      <c r="AR408" s="38">
        <f>IF(AND($A408&gt;=AR$8,$A408&lt;=AR$9),IF(SUM(AR$10:AR407)-ROUNDDOWN($K408*AR$5/100,0)&lt;-AR$6,-AR$6-SUM(AR$10:AR407),-ROUNDDOWN($K408*AR$5/100,0)),0)</f>
        <v>0</v>
      </c>
      <c r="AS408" s="38">
        <f>IF(SUMIFS(AS$10:AS407,$A$10:$A407,$A408)-ROUNDDOWN($K408*$S408/100,0)&lt;-$S408*1000,-$S408*1000-SUMIFS(AS$10:AS407,$A$10:$A407,$A408),-ROUNDDOWN($K408*$S408/100,0))</f>
        <v>0</v>
      </c>
      <c r="AT408" s="38">
        <f>IF(AND(X408="○",$A408&gt;=AT$8,$A408&lt;=AT$9,K408&gt;=3980),IF(SUM(AT$10:AT407)-ROUNDDOWN($K408*AT$5/100,0)&lt;-AT$6,-AT$6-SUM(AT$10:AT407),-ROUNDDOWN($K408*AT$5/100,0)),0)</f>
        <v>0</v>
      </c>
      <c r="AU408" s="38">
        <f>IF(O408="○",IF(SUM(AU$10:AU407)-ROUNDDOWN($K408*AU$5/100,0)&lt;-AU$6,-AU$6-SUM(AU$10:AU407),-ROUNDDOWN($K408*AU$5/100,0)),0)</f>
        <v>0</v>
      </c>
      <c r="AV408" s="38">
        <f>IF(P408="○",IF(SUM(AV$10:AV407)-ROUNDDOWN($K408*AV$5/100,0)&lt;-AV$6,-AV$6-SUM(AV$10:AV407),-ROUNDDOWN($K408*AV$5/100,0)),0)</f>
        <v>0</v>
      </c>
      <c r="AW408" s="38">
        <f>IF(Q408="○",IF(SUM(AW$10:AW407)-ROUNDDOWN($K408*AW$5/100,0)&lt;-AW$6,-AW$6-SUM(AW$10:AW407),-ROUNDDOWN($K408*AW$5/100,0)),0)</f>
        <v>0</v>
      </c>
      <c r="AX408" s="38">
        <f>IF(R408="○",IF(SUM(AX$10:AX407)-ROUNDDOWN($K408*AX$5/100,0)&lt;-AX$6,-AX$6-SUM(AX$10:AX407),-ROUNDDOWN($K408*AX$5/100,0)),0)</f>
        <v>0</v>
      </c>
      <c r="AY408" s="70">
        <v>0</v>
      </c>
      <c r="AZ408" s="65">
        <f t="shared" si="285"/>
        <v>0</v>
      </c>
      <c r="BA408" s="65">
        <f t="shared" si="286"/>
        <v>0</v>
      </c>
      <c r="BB408" s="70"/>
      <c r="BC408" s="65">
        <f t="shared" si="287"/>
        <v>0</v>
      </c>
      <c r="BD408" s="70">
        <v>0</v>
      </c>
      <c r="BE408" s="65">
        <f t="shared" si="288"/>
        <v>0</v>
      </c>
      <c r="BF408" s="70">
        <v>0</v>
      </c>
      <c r="BG408" s="65">
        <f t="shared" si="289"/>
        <v>0</v>
      </c>
      <c r="BH408" s="70">
        <v>0</v>
      </c>
      <c r="BI408" s="65">
        <f t="shared" si="290"/>
        <v>0</v>
      </c>
      <c r="BJ408" s="38">
        <f>IF(AND(BJ$7="○",$A408&gt;=BJ$8,$A408&lt;=BJ$9),IF(SUM(BJ$10:BJ407)-ROUNDDOWN($M408*BJ$5/100,0)&lt;-BJ$6,-BJ$6-SUM(BJ$10:BJ407),-ROUNDDOWN($M408*BJ$5/100,0)),0)</f>
        <v>0</v>
      </c>
      <c r="BK408" s="38">
        <f>IF(AND(BK$7="○",$A408&gt;=BK$8,$A408&lt;=BK$9),IF(SUM(BK$10:BK407)-ROUNDDOWN($L408*BK$5/100,0)&lt;-BK$6,-BK$6-SUM(BK$10:BK407),-ROUNDDOWN($L408*BK$5/100,0)),0)</f>
        <v>0</v>
      </c>
      <c r="BL408" s="38">
        <f>IF(AND(BL$7="○",$A408&gt;=BL$8,$A408&lt;=BL$9),IF(SUM(BL$10:BL407)-ROUNDDOWN($L408*BL$5/100,0)&lt;-BL$6,-BL$6-SUM(BL$10:BL407),-ROUNDDOWN($L408*BL$5/100,0)),0)</f>
        <v>0</v>
      </c>
      <c r="BM408" s="38">
        <f>IF(AND(BM$7="○",$A408&gt;=BM$8,$A408&lt;=BM$9),IF(SUM(BM$10:BM407)-ROUNDDOWN($M408*BM$5/100,0)&lt;-BM$6,-BM$6-SUM(BM$10:BM407),-ROUNDDOWN($M408*BM$5/100,0)),0)</f>
        <v>0</v>
      </c>
      <c r="BN408" s="38">
        <f>IF(AND(BN$7="○",$A408&gt;=BN$8,$A408&lt;=BN$9),IF(SUM(BN$10:BN407)-ROUNDDOWN($M408*BN$5/100,0)&lt;-BN$6,-BN$6-SUM(BN$10:BN407),-ROUNDDOWN($M408*BN$5/100,0)),0)</f>
        <v>0</v>
      </c>
      <c r="BO408" s="38">
        <f>IF(AND(BO$7="○",$A408&gt;=BO$8,$A408&lt;=BO$9),IF(SUM(BO$10:BO407)-ROUNDDOWN($M408*BO$5/100,0)&lt;-BO$6,-BO$6-SUM(BO$10:BO407),-ROUNDDOWN($M408*BO$5/100,0)),0)</f>
        <v>0</v>
      </c>
      <c r="BP408" s="38">
        <f>IF(AND(BP$7="○",$A408&gt;=BP$8,$A408&lt;=BP$9),IF(SUM(BP$10:BP407)-ROUNDDOWN($M408*BP$5/100,0)&lt;-BP$6,-BP$6-SUM(BP$10:BP407),-ROUNDDOWN($M408*BP$5/100,0)),0)</f>
        <v>0</v>
      </c>
      <c r="BQ408" s="38">
        <f>IF(AND(BQ$7="○",$A408&gt;=BQ$8,$A408&lt;=BQ$9),IF(SUM(BQ$10:BQ407)-ROUNDDOWN($L408*BQ$5/100,0)&lt;-BQ$6,-BQ$6-SUM(BQ$10:BQ407),-ROUNDDOWN($L408*BQ$5/100,0)),0)</f>
        <v>0</v>
      </c>
      <c r="BR408" s="38">
        <f>IF(AND(BR$7="○",$A408&gt;=BR$8,$A408&lt;=BR$9),IF(SUM(BR$10:BR407)-ROUNDDOWN($M408*BR$5/100,0)&lt;-BR$6,-BR$6-SUM(BR$10:BR407),-ROUNDDOWN($M408*BR$5/100,0)),0)</f>
        <v>0</v>
      </c>
      <c r="BS408" s="38">
        <f>IF(AND(BS$7="○",$A408&gt;=BS$8,$A408&lt;=BS$9),IF(SUM(BS$10:BS407)-ROUNDDOWN($M408*BS$5/100,0)&lt;-BS$6,-BS$6-SUM(BS$10:BS407),-ROUNDDOWN($M408*BS$5/100,0)),0)</f>
        <v>0</v>
      </c>
      <c r="BT408" s="38">
        <f>IF(AND(BT$7="○",$A408&gt;=BT$8,$A408&lt;=BT$9),IF(SUM(BT$10:BT407)-ROUNDDOWN($M408*BT$5/100,0)&lt;-BT$6,-BT$6-SUM(BT$10:BT407),-ROUNDDOWN($M408*BT$5/100,0)),0)</f>
        <v>0</v>
      </c>
      <c r="BU408" s="38">
        <f>IF(AND(BU$7="○",$A408&gt;=BU$8,$A408&lt;=BU$9),IF(SUM(BU$10:BU407)-ROUNDDOWN($M408*BU$5/100,0)&lt;-BU$6,-BU$6-SUM(BU$10:BU407),-ROUNDDOWN($M408*BU$5/100,0)),0)</f>
        <v>0</v>
      </c>
      <c r="BV408" s="38">
        <f>IF(AND(BV$7="○",$A408&gt;=BV$8,$A408&lt;=BV$9),IF(SUM(BV$10:BV407)-ROUNDDOWN($M408*BV$5/100,0)&lt;-BV$6,-BV$6-SUM(BV$10:BV407),-ROUNDDOWN($M408*BV$5/100,0)),0)</f>
        <v>0</v>
      </c>
      <c r="BW408" s="38">
        <f>IF(AND(BW$7="○",$A408&gt;=BW$8,$A408&lt;=BW$9),IF(SUM(BW$10:BW407)-ROUNDDOWN($M408*BW$5/100,0)&lt;-BW$6,-BW$6-SUM(BW$10:BW407),-ROUNDDOWN($M408*BW$5/100,0)),0)</f>
        <v>0</v>
      </c>
      <c r="BX408" s="38">
        <f>IF(AND(T408="○",$A408&gt;=BX$8,$A408&lt;=BX$9),IF(SUM(BX$10:BX407)-ROUNDDOWN($K408*BX$5/100,0)&lt;-BX$6,-BX$6-SUM(BX$10:BX407),-ROUNDDOWN($K408*BX$5/100,0)),0)</f>
        <v>0</v>
      </c>
      <c r="BY408" s="38">
        <f>IF(AND(U408="○",$A408&gt;=BY$8,$A408&lt;=BY$9),IF(SUM(BY$10:BY407)-ROUNDDOWN($K408*BY$5/100,0)&lt;-BY$6,-BY$6-SUM(BY$10:BY407),-ROUNDDOWN($K408*BY$5/100,0)),0)</f>
        <v>0</v>
      </c>
      <c r="BZ408" s="38">
        <f>IF(AND(V408="○",$A408&gt;=BZ$8,$A408&lt;=BZ$9),IF(SUM(BZ$10:BZ407)-ROUNDDOWN($K408*BZ$5/100,0)&lt;-BZ$6,-BZ$6-SUM(BZ$10:BZ407),-ROUNDDOWN($K408*BZ$5/100,0)),0)</f>
        <v>0</v>
      </c>
      <c r="CA408" s="38">
        <f>IF(AND(W408="○",$A408&gt;=CA$8,$A408&lt;=CA$9),IF(SUM(CA$10:CA407)-ROUNDDOWN($K408*CA$5/100,0)&lt;-CA$6,-CA$6-SUM(CA$10:CA407),-ROUNDDOWN($K408*CA$5/100,0)),0)</f>
        <v>0</v>
      </c>
      <c r="CB408" s="38"/>
      <c r="CC408" s="38"/>
      <c r="CD408" s="38"/>
      <c r="CE408" s="38"/>
      <c r="CF408" s="38"/>
      <c r="CG408" s="65">
        <f t="shared" si="291"/>
        <v>0</v>
      </c>
      <c r="CH408" s="71">
        <f t="shared" si="292"/>
        <v>0</v>
      </c>
      <c r="CI408" s="1">
        <f t="shared" si="19"/>
        <v>0</v>
      </c>
      <c r="CJ408" s="1"/>
      <c r="CK408" s="72"/>
      <c r="CL408" s="72"/>
      <c r="CM408" s="2"/>
      <c r="CN408" s="2"/>
      <c r="CO408" s="73">
        <f t="shared" si="20"/>
        <v>0</v>
      </c>
      <c r="CP408" s="5">
        <f t="shared" si="21"/>
        <v>0</v>
      </c>
      <c r="CQ408" s="1"/>
      <c r="CR408" s="1">
        <f t="shared" si="22"/>
        <v>0</v>
      </c>
      <c r="CS408" s="1"/>
      <c r="CT408" s="1" t="e">
        <f>INDEX([2]マスタ!$A:$A,MATCH(D408,[2]マスタ!$C:$C,0))</f>
        <v>#N/A</v>
      </c>
      <c r="CU408" s="1" t="str">
        <f t="shared" ca="1" si="23"/>
        <v>20260620_0-0</v>
      </c>
    </row>
    <row r="409" spans="1:99" x14ac:dyDescent="0.4">
      <c r="A409" s="61"/>
      <c r="B409" s="62"/>
      <c r="C409" s="62"/>
      <c r="D409" s="62"/>
      <c r="E409" s="74"/>
      <c r="F409" s="62"/>
      <c r="G409" s="62">
        <v>1</v>
      </c>
      <c r="H409" s="64">
        <f t="shared" si="4"/>
        <v>0</v>
      </c>
      <c r="I409" s="64"/>
      <c r="J409" s="64"/>
      <c r="K409" s="65">
        <f t="shared" si="293"/>
        <v>0</v>
      </c>
      <c r="L409" s="65">
        <f t="shared" si="6"/>
        <v>0</v>
      </c>
      <c r="M409" s="65">
        <f t="shared" si="7"/>
        <v>0</v>
      </c>
      <c r="N409" s="65">
        <f t="shared" si="8"/>
        <v>0</v>
      </c>
      <c r="O409" s="66" t="str">
        <f t="shared" si="9"/>
        <v>✕</v>
      </c>
      <c r="P409" s="67" t="str">
        <f t="shared" si="10"/>
        <v>○</v>
      </c>
      <c r="Q409" s="67" t="str">
        <f t="shared" si="294"/>
        <v>✕</v>
      </c>
      <c r="R409" s="67" t="str">
        <f t="shared" si="12"/>
        <v>✕</v>
      </c>
      <c r="S409" s="68">
        <v>0</v>
      </c>
      <c r="T409" s="69" t="s">
        <v>85</v>
      </c>
      <c r="U409" s="69" t="s">
        <v>85</v>
      </c>
      <c r="V409" s="69" t="s">
        <v>85</v>
      </c>
      <c r="W409" s="69" t="s">
        <v>85</v>
      </c>
      <c r="X409" s="69" t="s">
        <v>84</v>
      </c>
      <c r="Y409" s="69" t="s">
        <v>85</v>
      </c>
      <c r="Z409" s="69" t="s">
        <v>85</v>
      </c>
      <c r="AA409" s="69" t="s">
        <v>85</v>
      </c>
      <c r="AB409" s="69" t="s">
        <v>85</v>
      </c>
      <c r="AC409" s="69" t="s">
        <v>85</v>
      </c>
      <c r="AD409" s="38" t="str">
        <f>+IF(ISERROR(VLOOKUP($B409,AD$10:AD408,1,0)),IF(AND($N409&gt;=1000,$A409&gt;=AO$8,$A409&lt;=AO$9),$B409,""),"")</f>
        <v/>
      </c>
      <c r="AE409" s="38" t="str">
        <f>+IF(ISERROR(VLOOKUP($B409,AE$10:AE408,1,0)),IF(AND($N409&gt;=1000,$A409&gt;=AP$8,$A409&lt;=AP$9),$B409,""),"")</f>
        <v/>
      </c>
      <c r="AF409" s="38" t="str">
        <f>+IF(ISERROR(VLOOKUP($B409,AF$10:AF408,1,0)),IF(AND($N409&gt;=1000,$A409&gt;=AQ$8,$A409&lt;=AQ$9),$B409,""),"")</f>
        <v/>
      </c>
      <c r="AG409" s="38" t="str">
        <f>+IF(ISERROR(VLOOKUP($B409,AG$10:AG408,1,0)),IF(AND($N409&gt;=1000,$A409&gt;=AR$8,$A409&lt;=AR$9),$B409,""),"")</f>
        <v/>
      </c>
      <c r="AH409" s="38"/>
      <c r="AI409" s="70">
        <v>0</v>
      </c>
      <c r="AJ409" s="38">
        <f>IF(AND(AJ$7="○",$A409&gt;=AJ$8,$A409&lt;=AJ$9),IF(SUM(AJ$10:AJ408)-ROUNDDOWN($K409*AJ$5/100,0)&lt;-AJ$6,-AJ$6-SUM(AJ$10:AJ408),-ROUNDDOWN($K409*AJ$5/100,0)),0)</f>
        <v>0</v>
      </c>
      <c r="AK409" s="38">
        <f>IF(AND(AK$7="○",$A409&gt;=AK$8,$A409&lt;=AK$9),IF(SUM(AK$10:AK408)-ROUNDDOWN($L409*AK$5/100,0)&lt;-AK$6,-AK$6-SUM(AK$10:AK408),-ROUNDDOWN($L409*AK$5/100,0)),0)</f>
        <v>0</v>
      </c>
      <c r="AL409" s="38">
        <f>IF(AND(AL$7="○",$A409&gt;=AL$8,$A409&lt;=AL$9),IF(SUM(AL$10:AL408)-ROUNDDOWN($N409*AL$5/100,0)&lt;-AL$6,-AL$6-SUM(AL$10:AL408),-ROUNDDOWN($N409*AL$5/100,0)),0)</f>
        <v>0</v>
      </c>
      <c r="AM409" s="38">
        <f>IF(AND(AM$7="○",$A409&gt;=AM$8,$A409&lt;=AM$9),IF(SUM(AM$10:AM408)-ROUNDDOWN($L409*AM$5/100,0)&lt;-AM$6,-AM$6-SUM(AM$10:AM408),-ROUNDDOWN($L409*AM$5/100,0)),0)</f>
        <v>0</v>
      </c>
      <c r="AN409" s="38">
        <f>IF(AND(AN$7="○",$A409&gt;=AN$8,$A409&lt;=AN$9),IF(SUM(AN$10:AN408)-ROUNDDOWN($M409*AN$5/100,0)&lt;-AN$6,-AN$6-SUM(AN$10:AN408),-ROUNDDOWN($M409*AN$5/100,0)),0)</f>
        <v>0</v>
      </c>
      <c r="AO409" s="38">
        <f>IF(AND($A409&gt;=AO$8,$A409&lt;=AO$9),IF(SUM(AO$10:AO408)-ROUNDDOWN($K409*AO$5/100,0)&lt;-AO$6,-AO$6-SUM(AO$10:AO408),-ROUNDDOWN($K409*AO$5/100,0)),0)</f>
        <v>0</v>
      </c>
      <c r="AP409" s="38">
        <f>IF(AND($A409&gt;=AP$8,$A409&lt;=AP$9),IF(SUM(AP$10:AP408)-ROUNDDOWN($K409*AP$5/100,0)&lt;-AP$6,-AP$6-SUM(AP$10:AP408),-ROUNDDOWN($K409*AP$5/100,0)),0)</f>
        <v>0</v>
      </c>
      <c r="AQ409" s="38">
        <f>IF(AND($A409&gt;=AQ$8,$A409&lt;=AQ$9),IF(SUM(AQ$10:AQ408)-ROUNDDOWN($K409*AQ$5/100,0)&lt;-AQ$6,-AQ$6-SUM(AQ$10:AQ408),-ROUNDDOWN($K409*AQ$5/100,0)),0)</f>
        <v>0</v>
      </c>
      <c r="AR409" s="38">
        <f>IF(AND($A409&gt;=AR$8,$A409&lt;=AR$9),IF(SUM(AR$10:AR408)-ROUNDDOWN($K409*AR$5/100,0)&lt;-AR$6,-AR$6-SUM(AR$10:AR408),-ROUNDDOWN($K409*AR$5/100,0)),0)</f>
        <v>0</v>
      </c>
      <c r="AS409" s="38">
        <f>IF(SUMIFS(AS$10:AS408,$A$10:$A408,$A409)-ROUNDDOWN($K409*$S409/100,0)&lt;-$S409*1000,-$S409*1000-SUMIFS(AS$10:AS408,$A$10:$A408,$A409),-ROUNDDOWN($K409*$S409/100,0))</f>
        <v>0</v>
      </c>
      <c r="AT409" s="38">
        <f>IF(AND(X409="○",$A409&gt;=AT$8,$A409&lt;=AT$9,K409&gt;=3980),IF(SUM(AT$10:AT408)-ROUNDDOWN($K409*AT$5/100,0)&lt;-AT$6,-AT$6-SUM(AT$10:AT408),-ROUNDDOWN($K409*AT$5/100,0)),0)</f>
        <v>0</v>
      </c>
      <c r="AU409" s="38">
        <f>IF(O409="○",IF(SUM(AU$10:AU408)-ROUNDDOWN($K409*AU$5/100,0)&lt;-AU$6,-AU$6-SUM(AU$10:AU408),-ROUNDDOWN($K409*AU$5/100,0)),0)</f>
        <v>0</v>
      </c>
      <c r="AV409" s="38">
        <f>IF(P409="○",IF(SUM(AV$10:AV408)-ROUNDDOWN($K409*AV$5/100,0)&lt;-AV$6,-AV$6-SUM(AV$10:AV408),-ROUNDDOWN($K409*AV$5/100,0)),0)</f>
        <v>0</v>
      </c>
      <c r="AW409" s="38">
        <f>IF(Q409="○",IF(SUM(AW$10:AW408)-ROUNDDOWN($K409*AW$5/100,0)&lt;-AW$6,-AW$6-SUM(AW$10:AW408),-ROUNDDOWN($K409*AW$5/100,0)),0)</f>
        <v>0</v>
      </c>
      <c r="AX409" s="38">
        <f>IF(R409="○",IF(SUM(AX$10:AX408)-ROUNDDOWN($K409*AX$5/100,0)&lt;-AX$6,-AX$6-SUM(AX$10:AX408),-ROUNDDOWN($K409*AX$5/100,0)),0)</f>
        <v>0</v>
      </c>
      <c r="AY409" s="70">
        <v>0</v>
      </c>
      <c r="AZ409" s="65">
        <f t="shared" si="285"/>
        <v>0</v>
      </c>
      <c r="BA409" s="65">
        <f t="shared" si="286"/>
        <v>0</v>
      </c>
      <c r="BB409" s="70"/>
      <c r="BC409" s="65">
        <f t="shared" si="287"/>
        <v>0</v>
      </c>
      <c r="BD409" s="70">
        <v>0</v>
      </c>
      <c r="BE409" s="65">
        <f t="shared" si="288"/>
        <v>0</v>
      </c>
      <c r="BF409" s="70">
        <v>0</v>
      </c>
      <c r="BG409" s="65">
        <f t="shared" si="289"/>
        <v>0</v>
      </c>
      <c r="BH409" s="70">
        <v>0</v>
      </c>
      <c r="BI409" s="65">
        <f t="shared" si="290"/>
        <v>0</v>
      </c>
      <c r="BJ409" s="38">
        <f>IF(AND(BJ$7="○",$A409&gt;=BJ$8,$A409&lt;=BJ$9),IF(SUM(BJ$10:BJ408)-ROUNDDOWN($M409*BJ$5/100,0)&lt;-BJ$6,-BJ$6-SUM(BJ$10:BJ408),-ROUNDDOWN($M409*BJ$5/100,0)),0)</f>
        <v>0</v>
      </c>
      <c r="BK409" s="38">
        <f>IF(AND(BK$7="○",$A409&gt;=BK$8,$A409&lt;=BK$9),IF(SUM(BK$10:BK408)-ROUNDDOWN($L409*BK$5/100,0)&lt;-BK$6,-BK$6-SUM(BK$10:BK408),-ROUNDDOWN($L409*BK$5/100,0)),0)</f>
        <v>0</v>
      </c>
      <c r="BL409" s="38">
        <f>IF(AND(BL$7="○",$A409&gt;=BL$8,$A409&lt;=BL$9),IF(SUM(BL$10:BL408)-ROUNDDOWN($L409*BL$5/100,0)&lt;-BL$6,-BL$6-SUM(BL$10:BL408),-ROUNDDOWN($L409*BL$5/100,0)),0)</f>
        <v>0</v>
      </c>
      <c r="BM409" s="38">
        <f>IF(AND(BM$7="○",$A409&gt;=BM$8,$A409&lt;=BM$9),IF(SUM(BM$10:BM408)-ROUNDDOWN($M409*BM$5/100,0)&lt;-BM$6,-BM$6-SUM(BM$10:BM408),-ROUNDDOWN($M409*BM$5/100,0)),0)</f>
        <v>0</v>
      </c>
      <c r="BN409" s="38">
        <f>IF(AND(BN$7="○",$A409&gt;=BN$8,$A409&lt;=BN$9),IF(SUM(BN$10:BN408)-ROUNDDOWN($M409*BN$5/100,0)&lt;-BN$6,-BN$6-SUM(BN$10:BN408),-ROUNDDOWN($M409*BN$5/100,0)),0)</f>
        <v>0</v>
      </c>
      <c r="BO409" s="38">
        <f>IF(AND(BO$7="○",$A409&gt;=BO$8,$A409&lt;=BO$9),IF(SUM(BO$10:BO408)-ROUNDDOWN($M409*BO$5/100,0)&lt;-BO$6,-BO$6-SUM(BO$10:BO408),-ROUNDDOWN($M409*BO$5/100,0)),0)</f>
        <v>0</v>
      </c>
      <c r="BP409" s="38">
        <f>IF(AND(BP$7="○",$A409&gt;=BP$8,$A409&lt;=BP$9),IF(SUM(BP$10:BP408)-ROUNDDOWN($M409*BP$5/100,0)&lt;-BP$6,-BP$6-SUM(BP$10:BP408),-ROUNDDOWN($M409*BP$5/100,0)),0)</f>
        <v>0</v>
      </c>
      <c r="BQ409" s="38">
        <f>IF(AND(BQ$7="○",$A409&gt;=BQ$8,$A409&lt;=BQ$9),IF(SUM(BQ$10:BQ408)-ROUNDDOWN($L409*BQ$5/100,0)&lt;-BQ$6,-BQ$6-SUM(BQ$10:BQ408),-ROUNDDOWN($L409*BQ$5/100,0)),0)</f>
        <v>0</v>
      </c>
      <c r="BR409" s="38">
        <f>IF(AND(BR$7="○",$A409&gt;=BR$8,$A409&lt;=BR$9),IF(SUM(BR$10:BR408)-ROUNDDOWN($M409*BR$5/100,0)&lt;-BR$6,-BR$6-SUM(BR$10:BR408),-ROUNDDOWN($M409*BR$5/100,0)),0)</f>
        <v>0</v>
      </c>
      <c r="BS409" s="38">
        <f>IF(AND(BS$7="○",$A409&gt;=BS$8,$A409&lt;=BS$9),IF(SUM(BS$10:BS408)-ROUNDDOWN($M409*BS$5/100,0)&lt;-BS$6,-BS$6-SUM(BS$10:BS408),-ROUNDDOWN($M409*BS$5/100,0)),0)</f>
        <v>0</v>
      </c>
      <c r="BT409" s="38">
        <f>IF(AND(BT$7="○",$A409&gt;=BT$8,$A409&lt;=BT$9),IF(SUM(BT$10:BT408)-ROUNDDOWN($M409*BT$5/100,0)&lt;-BT$6,-BT$6-SUM(BT$10:BT408),-ROUNDDOWN($M409*BT$5/100,0)),0)</f>
        <v>0</v>
      </c>
      <c r="BU409" s="38">
        <f>IF(AND(BU$7="○",$A409&gt;=BU$8,$A409&lt;=BU$9),IF(SUM(BU$10:BU408)-ROUNDDOWN($M409*BU$5/100,0)&lt;-BU$6,-BU$6-SUM(BU$10:BU408),-ROUNDDOWN($M409*BU$5/100,0)),0)</f>
        <v>0</v>
      </c>
      <c r="BV409" s="38">
        <f>IF(AND(BV$7="○",$A409&gt;=BV$8,$A409&lt;=BV$9),IF(SUM(BV$10:BV408)-ROUNDDOWN($M409*BV$5/100,0)&lt;-BV$6,-BV$6-SUM(BV$10:BV408),-ROUNDDOWN($M409*BV$5/100,0)),0)</f>
        <v>0</v>
      </c>
      <c r="BW409" s="38">
        <f>IF(AND(BW$7="○",$A409&gt;=BW$8,$A409&lt;=BW$9),IF(SUM(BW$10:BW408)-ROUNDDOWN($M409*BW$5/100,0)&lt;-BW$6,-BW$6-SUM(BW$10:BW408),-ROUNDDOWN($M409*BW$5/100,0)),0)</f>
        <v>0</v>
      </c>
      <c r="BX409" s="38">
        <f>IF(AND(T409="○",$A409&gt;=BX$8,$A409&lt;=BX$9),IF(SUM(BX$10:BX408)-ROUNDDOWN($K409*BX$5/100,0)&lt;-BX$6,-BX$6-SUM(BX$10:BX408),-ROUNDDOWN($K409*BX$5/100,0)),0)</f>
        <v>0</v>
      </c>
      <c r="BY409" s="38">
        <f>IF(AND(U409="○",$A409&gt;=BY$8,$A409&lt;=BY$9),IF(SUM(BY$10:BY408)-ROUNDDOWN($K409*BY$5/100,0)&lt;-BY$6,-BY$6-SUM(BY$10:BY408),-ROUNDDOWN($K409*BY$5/100,0)),0)</f>
        <v>0</v>
      </c>
      <c r="BZ409" s="38">
        <f>IF(AND(V409="○",$A409&gt;=BZ$8,$A409&lt;=BZ$9),IF(SUM(BZ$10:BZ408)-ROUNDDOWN($K409*BZ$5/100,0)&lt;-BZ$6,-BZ$6-SUM(BZ$10:BZ408),-ROUNDDOWN($K409*BZ$5/100,0)),0)</f>
        <v>0</v>
      </c>
      <c r="CA409" s="38">
        <f>IF(AND(W409="○",$A409&gt;=CA$8,$A409&lt;=CA$9),IF(SUM(CA$10:CA408)-ROUNDDOWN($K409*CA$5/100,0)&lt;-CA$6,-CA$6-SUM(CA$10:CA408),-ROUNDDOWN($K409*CA$5/100,0)),0)</f>
        <v>0</v>
      </c>
      <c r="CB409" s="38"/>
      <c r="CC409" s="38"/>
      <c r="CD409" s="38"/>
      <c r="CE409" s="38"/>
      <c r="CF409" s="38"/>
      <c r="CG409" s="65">
        <f t="shared" si="291"/>
        <v>0</v>
      </c>
      <c r="CH409" s="71">
        <f t="shared" si="292"/>
        <v>0</v>
      </c>
      <c r="CI409" s="1">
        <f t="shared" si="19"/>
        <v>0</v>
      </c>
      <c r="CJ409" s="1"/>
      <c r="CK409" s="72"/>
      <c r="CL409" s="72"/>
      <c r="CM409" s="2"/>
      <c r="CN409" s="2"/>
      <c r="CO409" s="73">
        <f t="shared" si="20"/>
        <v>0</v>
      </c>
      <c r="CP409" s="5">
        <f t="shared" si="21"/>
        <v>0</v>
      </c>
      <c r="CQ409" s="1"/>
      <c r="CR409" s="1">
        <f t="shared" si="22"/>
        <v>0</v>
      </c>
      <c r="CS409" s="1"/>
      <c r="CT409" s="1" t="e">
        <f>INDEX([2]マスタ!$A:$A,MATCH(D409,[2]マスタ!$C:$C,0))</f>
        <v>#N/A</v>
      </c>
      <c r="CU409" s="1" t="str">
        <f t="shared" ca="1" si="23"/>
        <v>20260620_0-0</v>
      </c>
    </row>
    <row r="410" spans="1:99" x14ac:dyDescent="0.4">
      <c r="A410" s="61"/>
      <c r="B410" s="62"/>
      <c r="C410" s="62"/>
      <c r="D410" s="62"/>
      <c r="E410" s="74"/>
      <c r="F410" s="62"/>
      <c r="G410" s="62">
        <v>1</v>
      </c>
      <c r="H410" s="64">
        <f t="shared" si="4"/>
        <v>0</v>
      </c>
      <c r="I410" s="64"/>
      <c r="J410" s="64"/>
      <c r="K410" s="65">
        <f t="shared" si="293"/>
        <v>0</v>
      </c>
      <c r="L410" s="65">
        <f t="shared" si="6"/>
        <v>0</v>
      </c>
      <c r="M410" s="65">
        <f t="shared" si="7"/>
        <v>0</v>
      </c>
      <c r="N410" s="65">
        <f t="shared" si="8"/>
        <v>0</v>
      </c>
      <c r="O410" s="66" t="str">
        <f t="shared" si="9"/>
        <v>✕</v>
      </c>
      <c r="P410" s="67" t="str">
        <f t="shared" si="10"/>
        <v>○</v>
      </c>
      <c r="Q410" s="67" t="str">
        <f t="shared" si="294"/>
        <v>✕</v>
      </c>
      <c r="R410" s="67" t="str">
        <f t="shared" si="12"/>
        <v>✕</v>
      </c>
      <c r="S410" s="68">
        <v>0</v>
      </c>
      <c r="T410" s="69" t="s">
        <v>85</v>
      </c>
      <c r="U410" s="69" t="s">
        <v>85</v>
      </c>
      <c r="V410" s="69" t="s">
        <v>85</v>
      </c>
      <c r="W410" s="69" t="s">
        <v>85</v>
      </c>
      <c r="X410" s="69" t="s">
        <v>84</v>
      </c>
      <c r="Y410" s="69" t="s">
        <v>85</v>
      </c>
      <c r="Z410" s="69" t="s">
        <v>85</v>
      </c>
      <c r="AA410" s="69" t="s">
        <v>85</v>
      </c>
      <c r="AB410" s="69" t="s">
        <v>85</v>
      </c>
      <c r="AC410" s="69" t="s">
        <v>85</v>
      </c>
      <c r="AD410" s="38" t="str">
        <f>+IF(ISERROR(VLOOKUP($B410,AD$10:AD409,1,0)),IF(AND($N410&gt;=1000,$A410&gt;=AO$8,$A410&lt;=AO$9),$B410,""),"")</f>
        <v/>
      </c>
      <c r="AE410" s="38" t="str">
        <f>+IF(ISERROR(VLOOKUP($B410,AE$10:AE409,1,0)),IF(AND($N410&gt;=1000,$A410&gt;=AP$8,$A410&lt;=AP$9),$B410,""),"")</f>
        <v/>
      </c>
      <c r="AF410" s="38" t="str">
        <f>+IF(ISERROR(VLOOKUP($B410,AF$10:AF409,1,0)),IF(AND($N410&gt;=1000,$A410&gt;=AQ$8,$A410&lt;=AQ$9),$B410,""),"")</f>
        <v/>
      </c>
      <c r="AG410" s="38" t="str">
        <f>+IF(ISERROR(VLOOKUP($B410,AG$10:AG409,1,0)),IF(AND($N410&gt;=1000,$A410&gt;=AR$8,$A410&lt;=AR$9),$B410,""),"")</f>
        <v/>
      </c>
      <c r="AH410" s="38"/>
      <c r="AI410" s="70">
        <v>0</v>
      </c>
      <c r="AJ410" s="38">
        <f>IF(AND(AJ$7="○",$A410&gt;=AJ$8,$A410&lt;=AJ$9),IF(SUM(AJ$10:AJ409)-ROUNDDOWN($K410*AJ$5/100,0)&lt;-AJ$6,-AJ$6-SUM(AJ$10:AJ409),-ROUNDDOWN($K410*AJ$5/100,0)),0)</f>
        <v>0</v>
      </c>
      <c r="AK410" s="38">
        <f>IF(AND(AK$7="○",$A410&gt;=AK$8,$A410&lt;=AK$9),IF(SUM(AK$10:AK409)-ROUNDDOWN($L410*AK$5/100,0)&lt;-AK$6,-AK$6-SUM(AK$10:AK409),-ROUNDDOWN($L410*AK$5/100,0)),0)</f>
        <v>0</v>
      </c>
      <c r="AL410" s="38">
        <f>IF(AND(AL$7="○",$A410&gt;=AL$8,$A410&lt;=AL$9),IF(SUM(AL$10:AL409)-ROUNDDOWN($N410*AL$5/100,0)&lt;-AL$6,-AL$6-SUM(AL$10:AL409),-ROUNDDOWN($N410*AL$5/100,0)),0)</f>
        <v>0</v>
      </c>
      <c r="AM410" s="38">
        <f>IF(AND(AM$7="○",$A410&gt;=AM$8,$A410&lt;=AM$9),IF(SUM(AM$10:AM409)-ROUNDDOWN($L410*AM$5/100,0)&lt;-AM$6,-AM$6-SUM(AM$10:AM409),-ROUNDDOWN($L410*AM$5/100,0)),0)</f>
        <v>0</v>
      </c>
      <c r="AN410" s="38">
        <f>IF(AND(AN$7="○",$A410&gt;=AN$8,$A410&lt;=AN$9),IF(SUM(AN$10:AN409)-ROUNDDOWN($M410*AN$5/100,0)&lt;-AN$6,-AN$6-SUM(AN$10:AN409),-ROUNDDOWN($M410*AN$5/100,0)),0)</f>
        <v>0</v>
      </c>
      <c r="AO410" s="38">
        <f>IF(AND($A410&gt;=AO$8,$A410&lt;=AO$9),IF(SUM(AO$10:AO409)-ROUNDDOWN($K410*AO$5/100,0)&lt;-AO$6,-AO$6-SUM(AO$10:AO409),-ROUNDDOWN($K410*AO$5/100,0)),0)</f>
        <v>0</v>
      </c>
      <c r="AP410" s="38">
        <f>IF(AND($A410&gt;=AP$8,$A410&lt;=AP$9),IF(SUM(AP$10:AP409)-ROUNDDOWN($K410*AP$5/100,0)&lt;-AP$6,-AP$6-SUM(AP$10:AP409),-ROUNDDOWN($K410*AP$5/100,0)),0)</f>
        <v>0</v>
      </c>
      <c r="AQ410" s="38">
        <f>IF(AND($A410&gt;=AQ$8,$A410&lt;=AQ$9),IF(SUM(AQ$10:AQ409)-ROUNDDOWN($K410*AQ$5/100,0)&lt;-AQ$6,-AQ$6-SUM(AQ$10:AQ409),-ROUNDDOWN($K410*AQ$5/100,0)),0)</f>
        <v>0</v>
      </c>
      <c r="AR410" s="38">
        <f>IF(AND($A410&gt;=AR$8,$A410&lt;=AR$9),IF(SUM(AR$10:AR409)-ROUNDDOWN($K410*AR$5/100,0)&lt;-AR$6,-AR$6-SUM(AR$10:AR409),-ROUNDDOWN($K410*AR$5/100,0)),0)</f>
        <v>0</v>
      </c>
      <c r="AS410" s="38">
        <f>IF(SUMIFS(AS$10:AS409,$A$10:$A409,$A410)-ROUNDDOWN($K410*$S410/100,0)&lt;-$S410*1000,-$S410*1000-SUMIFS(AS$10:AS409,$A$10:$A409,$A410),-ROUNDDOWN($K410*$S410/100,0))</f>
        <v>0</v>
      </c>
      <c r="AT410" s="38">
        <f>IF(AND(X410="○",$A410&gt;=AT$8,$A410&lt;=AT$9,K410&gt;=3980),IF(SUM(AT$10:AT409)-ROUNDDOWN($K410*AT$5/100,0)&lt;-AT$6,-AT$6-SUM(AT$10:AT409),-ROUNDDOWN($K410*AT$5/100,0)),0)</f>
        <v>0</v>
      </c>
      <c r="AU410" s="38">
        <f>IF(O410="○",IF(SUM(AU$10:AU409)-ROUNDDOWN($K410*AU$5/100,0)&lt;-AU$6,-AU$6-SUM(AU$10:AU409),-ROUNDDOWN($K410*AU$5/100,0)),0)</f>
        <v>0</v>
      </c>
      <c r="AV410" s="38">
        <f>IF(P410="○",IF(SUM(AV$10:AV409)-ROUNDDOWN($K410*AV$5/100,0)&lt;-AV$6,-AV$6-SUM(AV$10:AV409),-ROUNDDOWN($K410*AV$5/100,0)),0)</f>
        <v>0</v>
      </c>
      <c r="AW410" s="38">
        <f>IF(Q410="○",IF(SUM(AW$10:AW409)-ROUNDDOWN($K410*AW$5/100,0)&lt;-AW$6,-AW$6-SUM(AW$10:AW409),-ROUNDDOWN($K410*AW$5/100,0)),0)</f>
        <v>0</v>
      </c>
      <c r="AX410" s="38">
        <f>IF(R410="○",IF(SUM(AX$10:AX409)-ROUNDDOWN($K410*AX$5/100,0)&lt;-AX$6,-AX$6-SUM(AX$10:AX409),-ROUNDDOWN($K410*AX$5/100,0)),0)</f>
        <v>0</v>
      </c>
      <c r="AY410" s="70">
        <v>0</v>
      </c>
      <c r="AZ410" s="65">
        <f t="shared" si="285"/>
        <v>0</v>
      </c>
      <c r="BA410" s="65">
        <f t="shared" si="286"/>
        <v>0</v>
      </c>
      <c r="BB410" s="70"/>
      <c r="BC410" s="65">
        <f t="shared" si="287"/>
        <v>0</v>
      </c>
      <c r="BD410" s="70">
        <v>0</v>
      </c>
      <c r="BE410" s="65">
        <f t="shared" si="288"/>
        <v>0</v>
      </c>
      <c r="BF410" s="70">
        <v>0</v>
      </c>
      <c r="BG410" s="65">
        <f t="shared" si="289"/>
        <v>0</v>
      </c>
      <c r="BH410" s="70">
        <v>0</v>
      </c>
      <c r="BI410" s="65">
        <f t="shared" si="290"/>
        <v>0</v>
      </c>
      <c r="BJ410" s="38">
        <f>IF(AND(BJ$7="○",$A410&gt;=BJ$8,$A410&lt;=BJ$9),IF(SUM(BJ$10:BJ409)-ROUNDDOWN($M410*BJ$5/100,0)&lt;-BJ$6,-BJ$6-SUM(BJ$10:BJ409),-ROUNDDOWN($M410*BJ$5/100,0)),0)</f>
        <v>0</v>
      </c>
      <c r="BK410" s="38">
        <f>IF(AND(BK$7="○",$A410&gt;=BK$8,$A410&lt;=BK$9),IF(SUM(BK$10:BK409)-ROUNDDOWN($L410*BK$5/100,0)&lt;-BK$6,-BK$6-SUM(BK$10:BK409),-ROUNDDOWN($L410*BK$5/100,0)),0)</f>
        <v>0</v>
      </c>
      <c r="BL410" s="38">
        <f>IF(AND(BL$7="○",$A410&gt;=BL$8,$A410&lt;=BL$9),IF(SUM(BL$10:BL409)-ROUNDDOWN($L410*BL$5/100,0)&lt;-BL$6,-BL$6-SUM(BL$10:BL409),-ROUNDDOWN($L410*BL$5/100,0)),0)</f>
        <v>0</v>
      </c>
      <c r="BM410" s="38">
        <f>IF(AND(BM$7="○",$A410&gt;=BM$8,$A410&lt;=BM$9),IF(SUM(BM$10:BM409)-ROUNDDOWN($M410*BM$5/100,0)&lt;-BM$6,-BM$6-SUM(BM$10:BM409),-ROUNDDOWN($M410*BM$5/100,0)),0)</f>
        <v>0</v>
      </c>
      <c r="BN410" s="38">
        <f>IF(AND(BN$7="○",$A410&gt;=BN$8,$A410&lt;=BN$9),IF(SUM(BN$10:BN409)-ROUNDDOWN($M410*BN$5/100,0)&lt;-BN$6,-BN$6-SUM(BN$10:BN409),-ROUNDDOWN($M410*BN$5/100,0)),0)</f>
        <v>0</v>
      </c>
      <c r="BO410" s="38">
        <f>IF(AND(BO$7="○",$A410&gt;=BO$8,$A410&lt;=BO$9),IF(SUM(BO$10:BO409)-ROUNDDOWN($M410*BO$5/100,0)&lt;-BO$6,-BO$6-SUM(BO$10:BO409),-ROUNDDOWN($M410*BO$5/100,0)),0)</f>
        <v>0</v>
      </c>
      <c r="BP410" s="38">
        <f>IF(AND(BP$7="○",$A410&gt;=BP$8,$A410&lt;=BP$9),IF(SUM(BP$10:BP409)-ROUNDDOWN($M410*BP$5/100,0)&lt;-BP$6,-BP$6-SUM(BP$10:BP409),-ROUNDDOWN($M410*BP$5/100,0)),0)</f>
        <v>0</v>
      </c>
      <c r="BQ410" s="38">
        <f>IF(AND(BQ$7="○",$A410&gt;=BQ$8,$A410&lt;=BQ$9),IF(SUM(BQ$10:BQ409)-ROUNDDOWN($L410*BQ$5/100,0)&lt;-BQ$6,-BQ$6-SUM(BQ$10:BQ409),-ROUNDDOWN($L410*BQ$5/100,0)),0)</f>
        <v>0</v>
      </c>
      <c r="BR410" s="38">
        <f>IF(AND(BR$7="○",$A410&gt;=BR$8,$A410&lt;=BR$9),IF(SUM(BR$10:BR409)-ROUNDDOWN($M410*BR$5/100,0)&lt;-BR$6,-BR$6-SUM(BR$10:BR409),-ROUNDDOWN($M410*BR$5/100,0)),0)</f>
        <v>0</v>
      </c>
      <c r="BS410" s="38">
        <f>IF(AND(BS$7="○",$A410&gt;=BS$8,$A410&lt;=BS$9),IF(SUM(BS$10:BS409)-ROUNDDOWN($M410*BS$5/100,0)&lt;-BS$6,-BS$6-SUM(BS$10:BS409),-ROUNDDOWN($M410*BS$5/100,0)),0)</f>
        <v>0</v>
      </c>
      <c r="BT410" s="38">
        <f>IF(AND(BT$7="○",$A410&gt;=BT$8,$A410&lt;=BT$9),IF(SUM(BT$10:BT409)-ROUNDDOWN($M410*BT$5/100,0)&lt;-BT$6,-BT$6-SUM(BT$10:BT409),-ROUNDDOWN($M410*BT$5/100,0)),0)</f>
        <v>0</v>
      </c>
      <c r="BU410" s="38">
        <f>IF(AND(BU$7="○",$A410&gt;=BU$8,$A410&lt;=BU$9),IF(SUM(BU$10:BU409)-ROUNDDOWN($M410*BU$5/100,0)&lt;-BU$6,-BU$6-SUM(BU$10:BU409),-ROUNDDOWN($M410*BU$5/100,0)),0)</f>
        <v>0</v>
      </c>
      <c r="BV410" s="38">
        <f>IF(AND(BV$7="○",$A410&gt;=BV$8,$A410&lt;=BV$9),IF(SUM(BV$10:BV409)-ROUNDDOWN($M410*BV$5/100,0)&lt;-BV$6,-BV$6-SUM(BV$10:BV409),-ROUNDDOWN($M410*BV$5/100,0)),0)</f>
        <v>0</v>
      </c>
      <c r="BW410" s="38">
        <f>IF(AND(BW$7="○",$A410&gt;=BW$8,$A410&lt;=BW$9),IF(SUM(BW$10:BW409)-ROUNDDOWN($M410*BW$5/100,0)&lt;-BW$6,-BW$6-SUM(BW$10:BW409),-ROUNDDOWN($M410*BW$5/100,0)),0)</f>
        <v>0</v>
      </c>
      <c r="BX410" s="38">
        <f>IF(AND(T410="○",$A410&gt;=BX$8,$A410&lt;=BX$9),IF(SUM(BX$10:BX409)-ROUNDDOWN($K410*BX$5/100,0)&lt;-BX$6,-BX$6-SUM(BX$10:BX409),-ROUNDDOWN($K410*BX$5/100,0)),0)</f>
        <v>0</v>
      </c>
      <c r="BY410" s="38">
        <f>IF(AND(U410="○",$A410&gt;=BY$8,$A410&lt;=BY$9),IF(SUM(BY$10:BY409)-ROUNDDOWN($K410*BY$5/100,0)&lt;-BY$6,-BY$6-SUM(BY$10:BY409),-ROUNDDOWN($K410*BY$5/100,0)),0)</f>
        <v>0</v>
      </c>
      <c r="BZ410" s="38">
        <f>IF(AND(V410="○",$A410&gt;=BZ$8,$A410&lt;=BZ$9),IF(SUM(BZ$10:BZ409)-ROUNDDOWN($K410*BZ$5/100,0)&lt;-BZ$6,-BZ$6-SUM(BZ$10:BZ409),-ROUNDDOWN($K410*BZ$5/100,0)),0)</f>
        <v>0</v>
      </c>
      <c r="CA410" s="38">
        <f>IF(AND(W410="○",$A410&gt;=CA$8,$A410&lt;=CA$9),IF(SUM(CA$10:CA409)-ROUNDDOWN($K410*CA$5/100,0)&lt;-CA$6,-CA$6-SUM(CA$10:CA409),-ROUNDDOWN($K410*CA$5/100,0)),0)</f>
        <v>0</v>
      </c>
      <c r="CB410" s="38"/>
      <c r="CC410" s="38"/>
      <c r="CD410" s="38"/>
      <c r="CE410" s="38"/>
      <c r="CF410" s="38"/>
      <c r="CG410" s="65">
        <f t="shared" si="291"/>
        <v>0</v>
      </c>
      <c r="CH410" s="71">
        <f t="shared" si="292"/>
        <v>0</v>
      </c>
      <c r="CI410" s="1">
        <f t="shared" si="19"/>
        <v>0</v>
      </c>
      <c r="CJ410" s="1"/>
      <c r="CK410" s="72"/>
      <c r="CL410" s="72"/>
      <c r="CM410" s="2"/>
      <c r="CN410" s="2"/>
      <c r="CO410" s="73">
        <f t="shared" si="20"/>
        <v>0</v>
      </c>
      <c r="CP410" s="5">
        <f t="shared" si="21"/>
        <v>0</v>
      </c>
      <c r="CQ410" s="1"/>
      <c r="CR410" s="1">
        <f t="shared" si="22"/>
        <v>0</v>
      </c>
      <c r="CS410" s="1"/>
      <c r="CT410" s="1" t="e">
        <f>INDEX([2]マスタ!$A:$A,MATCH(D410,[2]マスタ!$C:$C,0))</f>
        <v>#N/A</v>
      </c>
      <c r="CU410" s="1" t="str">
        <f t="shared" ca="1" si="23"/>
        <v>20260620_0-0</v>
      </c>
    </row>
    <row r="411" spans="1:99" x14ac:dyDescent="0.4">
      <c r="A411" s="61"/>
      <c r="B411" s="62"/>
      <c r="C411" s="62"/>
      <c r="D411" s="62"/>
      <c r="E411" s="74"/>
      <c r="F411" s="62"/>
      <c r="G411" s="62">
        <v>1</v>
      </c>
      <c r="H411" s="64">
        <f t="shared" si="4"/>
        <v>0</v>
      </c>
      <c r="I411" s="64"/>
      <c r="J411" s="64"/>
      <c r="K411" s="65">
        <f t="shared" si="293"/>
        <v>0</v>
      </c>
      <c r="L411" s="65">
        <f t="shared" si="6"/>
        <v>0</v>
      </c>
      <c r="M411" s="65">
        <f t="shared" si="7"/>
        <v>0</v>
      </c>
      <c r="N411" s="65">
        <f t="shared" si="8"/>
        <v>0</v>
      </c>
      <c r="O411" s="66" t="str">
        <f t="shared" si="9"/>
        <v>✕</v>
      </c>
      <c r="P411" s="67" t="str">
        <f t="shared" si="10"/>
        <v>○</v>
      </c>
      <c r="Q411" s="67" t="str">
        <f t="shared" si="294"/>
        <v>✕</v>
      </c>
      <c r="R411" s="67" t="str">
        <f t="shared" si="12"/>
        <v>✕</v>
      </c>
      <c r="S411" s="68">
        <v>0</v>
      </c>
      <c r="T411" s="69" t="s">
        <v>85</v>
      </c>
      <c r="U411" s="69" t="s">
        <v>85</v>
      </c>
      <c r="V411" s="69" t="s">
        <v>85</v>
      </c>
      <c r="W411" s="69" t="s">
        <v>85</v>
      </c>
      <c r="X411" s="69" t="s">
        <v>84</v>
      </c>
      <c r="Y411" s="69" t="s">
        <v>85</v>
      </c>
      <c r="Z411" s="69" t="s">
        <v>85</v>
      </c>
      <c r="AA411" s="69" t="s">
        <v>85</v>
      </c>
      <c r="AB411" s="69" t="s">
        <v>85</v>
      </c>
      <c r="AC411" s="69" t="s">
        <v>85</v>
      </c>
      <c r="AD411" s="38" t="str">
        <f>+IF(ISERROR(VLOOKUP($B411,AD$10:AD410,1,0)),IF(AND($N411&gt;=1000,$A411&gt;=AO$8,$A411&lt;=AO$9),$B411,""),"")</f>
        <v/>
      </c>
      <c r="AE411" s="38" t="str">
        <f>+IF(ISERROR(VLOOKUP($B411,AE$10:AE410,1,0)),IF(AND($N411&gt;=1000,$A411&gt;=AP$8,$A411&lt;=AP$9),$B411,""),"")</f>
        <v/>
      </c>
      <c r="AF411" s="38" t="str">
        <f>+IF(ISERROR(VLOOKUP($B411,AF$10:AF410,1,0)),IF(AND($N411&gt;=1000,$A411&gt;=AQ$8,$A411&lt;=AQ$9),$B411,""),"")</f>
        <v/>
      </c>
      <c r="AG411" s="38" t="str">
        <f>+IF(ISERROR(VLOOKUP($B411,AG$10:AG410,1,0)),IF(AND($N411&gt;=1000,$A411&gt;=AR$8,$A411&lt;=AR$9),$B411,""),"")</f>
        <v/>
      </c>
      <c r="AH411" s="38"/>
      <c r="AI411" s="70">
        <v>0</v>
      </c>
      <c r="AJ411" s="38">
        <f>IF(AND(AJ$7="○",$A411&gt;=AJ$8,$A411&lt;=AJ$9),IF(SUM(AJ$10:AJ410)-ROUNDDOWN($K411*AJ$5/100,0)&lt;-AJ$6,-AJ$6-SUM(AJ$10:AJ410),-ROUNDDOWN($K411*AJ$5/100,0)),0)</f>
        <v>0</v>
      </c>
      <c r="AK411" s="38">
        <f>IF(AND(AK$7="○",$A411&gt;=AK$8,$A411&lt;=AK$9),IF(SUM(AK$10:AK410)-ROUNDDOWN($L411*AK$5/100,0)&lt;-AK$6,-AK$6-SUM(AK$10:AK410),-ROUNDDOWN($L411*AK$5/100,0)),0)</f>
        <v>0</v>
      </c>
      <c r="AL411" s="38">
        <f>IF(AND(AL$7="○",$A411&gt;=AL$8,$A411&lt;=AL$9),IF(SUM(AL$10:AL410)-ROUNDDOWN($N411*AL$5/100,0)&lt;-AL$6,-AL$6-SUM(AL$10:AL410),-ROUNDDOWN($N411*AL$5/100,0)),0)</f>
        <v>0</v>
      </c>
      <c r="AM411" s="38">
        <f>IF(AND(AM$7="○",$A411&gt;=AM$8,$A411&lt;=AM$9),IF(SUM(AM$10:AM410)-ROUNDDOWN($L411*AM$5/100,0)&lt;-AM$6,-AM$6-SUM(AM$10:AM410),-ROUNDDOWN($L411*AM$5/100,0)),0)</f>
        <v>0</v>
      </c>
      <c r="AN411" s="38">
        <f>IF(AND(AN$7="○",$A411&gt;=AN$8,$A411&lt;=AN$9),IF(SUM(AN$10:AN410)-ROUNDDOWN($M411*AN$5/100,0)&lt;-AN$6,-AN$6-SUM(AN$10:AN410),-ROUNDDOWN($M411*AN$5/100,0)),0)</f>
        <v>0</v>
      </c>
      <c r="AO411" s="38">
        <f>IF(AND($A411&gt;=AO$8,$A411&lt;=AO$9),IF(SUM(AO$10:AO410)-ROUNDDOWN($K411*AO$5/100,0)&lt;-AO$6,-AO$6-SUM(AO$10:AO410),-ROUNDDOWN($K411*AO$5/100,0)),0)</f>
        <v>0</v>
      </c>
      <c r="AP411" s="38">
        <f>IF(AND($A411&gt;=AP$8,$A411&lt;=AP$9),IF(SUM(AP$10:AP410)-ROUNDDOWN($K411*AP$5/100,0)&lt;-AP$6,-AP$6-SUM(AP$10:AP410),-ROUNDDOWN($K411*AP$5/100,0)),0)</f>
        <v>0</v>
      </c>
      <c r="AQ411" s="38">
        <f>IF(AND($A411&gt;=AQ$8,$A411&lt;=AQ$9),IF(SUM(AQ$10:AQ410)-ROUNDDOWN($K411*AQ$5/100,0)&lt;-AQ$6,-AQ$6-SUM(AQ$10:AQ410),-ROUNDDOWN($K411*AQ$5/100,0)),0)</f>
        <v>0</v>
      </c>
      <c r="AR411" s="38">
        <f>IF(AND($A411&gt;=AR$8,$A411&lt;=AR$9),IF(SUM(AR$10:AR410)-ROUNDDOWN($K411*AR$5/100,0)&lt;-AR$6,-AR$6-SUM(AR$10:AR410),-ROUNDDOWN($K411*AR$5/100,0)),0)</f>
        <v>0</v>
      </c>
      <c r="AS411" s="38">
        <f>IF(SUMIFS(AS$10:AS410,$A$10:$A410,$A411)-ROUNDDOWN($K411*$S411/100,0)&lt;-$S411*1000,-$S411*1000-SUMIFS(AS$10:AS410,$A$10:$A410,$A411),-ROUNDDOWN($K411*$S411/100,0))</f>
        <v>0</v>
      </c>
      <c r="AT411" s="38">
        <f>IF(AND(X411="○",$A411&gt;=AT$8,$A411&lt;=AT$9,K411&gt;=3980),IF(SUM(AT$10:AT410)-ROUNDDOWN($K411*AT$5/100,0)&lt;-AT$6,-AT$6-SUM(AT$10:AT410),-ROUNDDOWN($K411*AT$5/100,0)),0)</f>
        <v>0</v>
      </c>
      <c r="AU411" s="38">
        <f>IF(O411="○",IF(SUM(AU$10:AU410)-ROUNDDOWN($K411*AU$5/100,0)&lt;-AU$6,-AU$6-SUM(AU$10:AU410),-ROUNDDOWN($K411*AU$5/100,0)),0)</f>
        <v>0</v>
      </c>
      <c r="AV411" s="38">
        <f>IF(P411="○",IF(SUM(AV$10:AV410)-ROUNDDOWN($K411*AV$5/100,0)&lt;-AV$6,-AV$6-SUM(AV$10:AV410),-ROUNDDOWN($K411*AV$5/100,0)),0)</f>
        <v>0</v>
      </c>
      <c r="AW411" s="38">
        <f>IF(Q411="○",IF(SUM(AW$10:AW410)-ROUNDDOWN($K411*AW$5/100,0)&lt;-AW$6,-AW$6-SUM(AW$10:AW410),-ROUNDDOWN($K411*AW$5/100,0)),0)</f>
        <v>0</v>
      </c>
      <c r="AX411" s="38">
        <f>IF(R411="○",IF(SUM(AX$10:AX410)-ROUNDDOWN($K411*AX$5/100,0)&lt;-AX$6,-AX$6-SUM(AX$10:AX410),-ROUNDDOWN($K411*AX$5/100,0)),0)</f>
        <v>0</v>
      </c>
      <c r="AY411" s="70">
        <v>0</v>
      </c>
      <c r="AZ411" s="65">
        <f t="shared" si="285"/>
        <v>0</v>
      </c>
      <c r="BA411" s="65">
        <f t="shared" si="286"/>
        <v>0</v>
      </c>
      <c r="BB411" s="70"/>
      <c r="BC411" s="65">
        <f t="shared" si="287"/>
        <v>0</v>
      </c>
      <c r="BD411" s="70">
        <v>0</v>
      </c>
      <c r="BE411" s="65">
        <f t="shared" si="288"/>
        <v>0</v>
      </c>
      <c r="BF411" s="70">
        <v>0</v>
      </c>
      <c r="BG411" s="65">
        <f t="shared" si="289"/>
        <v>0</v>
      </c>
      <c r="BH411" s="70">
        <v>0</v>
      </c>
      <c r="BI411" s="65">
        <f t="shared" si="290"/>
        <v>0</v>
      </c>
      <c r="BJ411" s="38">
        <f>IF(AND(BJ$7="○",$A411&gt;=BJ$8,$A411&lt;=BJ$9),IF(SUM(BJ$10:BJ410)-ROUNDDOWN($M411*BJ$5/100,0)&lt;-BJ$6,-BJ$6-SUM(BJ$10:BJ410),-ROUNDDOWN($M411*BJ$5/100,0)),0)</f>
        <v>0</v>
      </c>
      <c r="BK411" s="38">
        <f>IF(AND(BK$7="○",$A411&gt;=BK$8,$A411&lt;=BK$9),IF(SUM(BK$10:BK410)-ROUNDDOWN($L411*BK$5/100,0)&lt;-BK$6,-BK$6-SUM(BK$10:BK410),-ROUNDDOWN($L411*BK$5/100,0)),0)</f>
        <v>0</v>
      </c>
      <c r="BL411" s="38">
        <f>IF(AND(BL$7="○",$A411&gt;=BL$8,$A411&lt;=BL$9),IF(SUM(BL$10:BL410)-ROUNDDOWN($L411*BL$5/100,0)&lt;-BL$6,-BL$6-SUM(BL$10:BL410),-ROUNDDOWN($L411*BL$5/100,0)),0)</f>
        <v>0</v>
      </c>
      <c r="BM411" s="38">
        <f>IF(AND(BM$7="○",$A411&gt;=BM$8,$A411&lt;=BM$9),IF(SUM(BM$10:BM410)-ROUNDDOWN($M411*BM$5/100,0)&lt;-BM$6,-BM$6-SUM(BM$10:BM410),-ROUNDDOWN($M411*BM$5/100,0)),0)</f>
        <v>0</v>
      </c>
      <c r="BN411" s="38">
        <f>IF(AND(BN$7="○",$A411&gt;=BN$8,$A411&lt;=BN$9),IF(SUM(BN$10:BN410)-ROUNDDOWN($M411*BN$5/100,0)&lt;-BN$6,-BN$6-SUM(BN$10:BN410),-ROUNDDOWN($M411*BN$5/100,0)),0)</f>
        <v>0</v>
      </c>
      <c r="BO411" s="38">
        <f>IF(AND(BO$7="○",$A411&gt;=BO$8,$A411&lt;=BO$9),IF(SUM(BO$10:BO410)-ROUNDDOWN($M411*BO$5/100,0)&lt;-BO$6,-BO$6-SUM(BO$10:BO410),-ROUNDDOWN($M411*BO$5/100,0)),0)</f>
        <v>0</v>
      </c>
      <c r="BP411" s="38">
        <f>IF(AND(BP$7="○",$A411&gt;=BP$8,$A411&lt;=BP$9),IF(SUM(BP$10:BP410)-ROUNDDOWN($M411*BP$5/100,0)&lt;-BP$6,-BP$6-SUM(BP$10:BP410),-ROUNDDOWN($M411*BP$5/100,0)),0)</f>
        <v>0</v>
      </c>
      <c r="BQ411" s="38">
        <f>IF(AND(BQ$7="○",$A411&gt;=BQ$8,$A411&lt;=BQ$9),IF(SUM(BQ$10:BQ410)-ROUNDDOWN($L411*BQ$5/100,0)&lt;-BQ$6,-BQ$6-SUM(BQ$10:BQ410),-ROUNDDOWN($L411*BQ$5/100,0)),0)</f>
        <v>0</v>
      </c>
      <c r="BR411" s="38">
        <f>IF(AND(BR$7="○",$A411&gt;=BR$8,$A411&lt;=BR$9),IF(SUM(BR$10:BR410)-ROUNDDOWN($M411*BR$5/100,0)&lt;-BR$6,-BR$6-SUM(BR$10:BR410),-ROUNDDOWN($M411*BR$5/100,0)),0)</f>
        <v>0</v>
      </c>
      <c r="BS411" s="38">
        <f>IF(AND(BS$7="○",$A411&gt;=BS$8,$A411&lt;=BS$9),IF(SUM(BS$10:BS410)-ROUNDDOWN($M411*BS$5/100,0)&lt;-BS$6,-BS$6-SUM(BS$10:BS410),-ROUNDDOWN($M411*BS$5/100,0)),0)</f>
        <v>0</v>
      </c>
      <c r="BT411" s="38">
        <f>IF(AND(BT$7="○",$A411&gt;=BT$8,$A411&lt;=BT$9),IF(SUM(BT$10:BT410)-ROUNDDOWN($M411*BT$5/100,0)&lt;-BT$6,-BT$6-SUM(BT$10:BT410),-ROUNDDOWN($M411*BT$5/100,0)),0)</f>
        <v>0</v>
      </c>
      <c r="BU411" s="38">
        <f>IF(AND(BU$7="○",$A411&gt;=BU$8,$A411&lt;=BU$9),IF(SUM(BU$10:BU410)-ROUNDDOWN($M411*BU$5/100,0)&lt;-BU$6,-BU$6-SUM(BU$10:BU410),-ROUNDDOWN($M411*BU$5/100,0)),0)</f>
        <v>0</v>
      </c>
      <c r="BV411" s="38">
        <f>IF(AND(BV$7="○",$A411&gt;=BV$8,$A411&lt;=BV$9),IF(SUM(BV$10:BV410)-ROUNDDOWN($M411*BV$5/100,0)&lt;-BV$6,-BV$6-SUM(BV$10:BV410),-ROUNDDOWN($M411*BV$5/100,0)),0)</f>
        <v>0</v>
      </c>
      <c r="BW411" s="38">
        <f>IF(AND(BW$7="○",$A411&gt;=BW$8,$A411&lt;=BW$9),IF(SUM(BW$10:BW410)-ROUNDDOWN($M411*BW$5/100,0)&lt;-BW$6,-BW$6-SUM(BW$10:BW410),-ROUNDDOWN($M411*BW$5/100,0)),0)</f>
        <v>0</v>
      </c>
      <c r="BX411" s="38">
        <f>IF(AND(T411="○",$A411&gt;=BX$8,$A411&lt;=BX$9),IF(SUM(BX$10:BX410)-ROUNDDOWN($K411*BX$5/100,0)&lt;-BX$6,-BX$6-SUM(BX$10:BX410),-ROUNDDOWN($K411*BX$5/100,0)),0)</f>
        <v>0</v>
      </c>
      <c r="BY411" s="38">
        <f>IF(AND(U411="○",$A411&gt;=BY$8,$A411&lt;=BY$9),IF(SUM(BY$10:BY410)-ROUNDDOWN($K411*BY$5/100,0)&lt;-BY$6,-BY$6-SUM(BY$10:BY410),-ROUNDDOWN($K411*BY$5/100,0)),0)</f>
        <v>0</v>
      </c>
      <c r="BZ411" s="38">
        <f>IF(AND(V411="○",$A411&gt;=BZ$8,$A411&lt;=BZ$9),IF(SUM(BZ$10:BZ410)-ROUNDDOWN($K411*BZ$5/100,0)&lt;-BZ$6,-BZ$6-SUM(BZ$10:BZ410),-ROUNDDOWN($K411*BZ$5/100,0)),0)</f>
        <v>0</v>
      </c>
      <c r="CA411" s="38">
        <f>IF(AND(W411="○",$A411&gt;=CA$8,$A411&lt;=CA$9),IF(SUM(CA$10:CA410)-ROUNDDOWN($K411*CA$5/100,0)&lt;-CA$6,-CA$6-SUM(CA$10:CA410),-ROUNDDOWN($K411*CA$5/100,0)),0)</f>
        <v>0</v>
      </c>
      <c r="CB411" s="38"/>
      <c r="CC411" s="38"/>
      <c r="CD411" s="38"/>
      <c r="CE411" s="38"/>
      <c r="CF411" s="38"/>
      <c r="CG411" s="65">
        <f t="shared" si="291"/>
        <v>0</v>
      </c>
      <c r="CH411" s="71">
        <f t="shared" si="292"/>
        <v>0</v>
      </c>
      <c r="CI411" s="1">
        <f t="shared" si="19"/>
        <v>0</v>
      </c>
      <c r="CJ411" s="1"/>
      <c r="CK411" s="72"/>
      <c r="CL411" s="72"/>
      <c r="CM411" s="2"/>
      <c r="CN411" s="2"/>
      <c r="CO411" s="73">
        <f t="shared" si="20"/>
        <v>0</v>
      </c>
      <c r="CP411" s="5">
        <f t="shared" si="21"/>
        <v>0</v>
      </c>
      <c r="CQ411" s="1"/>
      <c r="CR411" s="1">
        <f t="shared" si="22"/>
        <v>0</v>
      </c>
      <c r="CS411" s="1"/>
      <c r="CT411" s="1" t="e">
        <f>INDEX([2]マスタ!$A:$A,MATCH(D411,[2]マスタ!$C:$C,0))</f>
        <v>#N/A</v>
      </c>
      <c r="CU411" s="1" t="str">
        <f t="shared" ca="1" si="23"/>
        <v>20260620_0-0</v>
      </c>
    </row>
    <row r="412" spans="1:99" x14ac:dyDescent="0.4">
      <c r="A412" s="61"/>
      <c r="B412" s="62"/>
      <c r="C412" s="62"/>
      <c r="D412" s="62"/>
      <c r="E412" s="74"/>
      <c r="F412" s="62"/>
      <c r="G412" s="62">
        <v>1</v>
      </c>
      <c r="H412" s="64">
        <f t="shared" si="4"/>
        <v>0</v>
      </c>
      <c r="I412" s="64"/>
      <c r="J412" s="64"/>
      <c r="K412" s="65">
        <f t="shared" si="293"/>
        <v>0</v>
      </c>
      <c r="L412" s="65">
        <f t="shared" si="6"/>
        <v>0</v>
      </c>
      <c r="M412" s="65">
        <f t="shared" si="7"/>
        <v>0</v>
      </c>
      <c r="N412" s="65">
        <f t="shared" si="8"/>
        <v>0</v>
      </c>
      <c r="O412" s="66" t="str">
        <f t="shared" si="9"/>
        <v>✕</v>
      </c>
      <c r="P412" s="67" t="str">
        <f t="shared" si="10"/>
        <v>○</v>
      </c>
      <c r="Q412" s="67" t="str">
        <f t="shared" si="294"/>
        <v>✕</v>
      </c>
      <c r="R412" s="67" t="str">
        <f t="shared" si="12"/>
        <v>✕</v>
      </c>
      <c r="S412" s="68">
        <v>0</v>
      </c>
      <c r="T412" s="69" t="s">
        <v>85</v>
      </c>
      <c r="U412" s="69" t="s">
        <v>85</v>
      </c>
      <c r="V412" s="69" t="s">
        <v>85</v>
      </c>
      <c r="W412" s="69" t="s">
        <v>85</v>
      </c>
      <c r="X412" s="69" t="s">
        <v>84</v>
      </c>
      <c r="Y412" s="69" t="s">
        <v>85</v>
      </c>
      <c r="Z412" s="69" t="s">
        <v>85</v>
      </c>
      <c r="AA412" s="69" t="s">
        <v>85</v>
      </c>
      <c r="AB412" s="69" t="s">
        <v>85</v>
      </c>
      <c r="AC412" s="69" t="s">
        <v>85</v>
      </c>
      <c r="AD412" s="38" t="str">
        <f>+IF(ISERROR(VLOOKUP($B412,AD$10:AD411,1,0)),IF(AND($N412&gt;=1000,$A412&gt;=AO$8,$A412&lt;=AO$9),$B412,""),"")</f>
        <v/>
      </c>
      <c r="AE412" s="38" t="str">
        <f>+IF(ISERROR(VLOOKUP($B412,AE$10:AE411,1,0)),IF(AND($N412&gt;=1000,$A412&gt;=AP$8,$A412&lt;=AP$9),$B412,""),"")</f>
        <v/>
      </c>
      <c r="AF412" s="38" t="str">
        <f>+IF(ISERROR(VLOOKUP($B412,AF$10:AF411,1,0)),IF(AND($N412&gt;=1000,$A412&gt;=AQ$8,$A412&lt;=AQ$9),$B412,""),"")</f>
        <v/>
      </c>
      <c r="AG412" s="38" t="str">
        <f>+IF(ISERROR(VLOOKUP($B412,AG$10:AG411,1,0)),IF(AND($N412&gt;=1000,$A412&gt;=AR$8,$A412&lt;=AR$9),$B412,""),"")</f>
        <v/>
      </c>
      <c r="AH412" s="38"/>
      <c r="AI412" s="70">
        <v>0</v>
      </c>
      <c r="AJ412" s="38">
        <f>IF(AND(AJ$7="○",$A412&gt;=AJ$8,$A412&lt;=AJ$9),IF(SUM(AJ$10:AJ411)-ROUNDDOWN($K412*AJ$5/100,0)&lt;-AJ$6,-AJ$6-SUM(AJ$10:AJ411),-ROUNDDOWN($K412*AJ$5/100,0)),0)</f>
        <v>0</v>
      </c>
      <c r="AK412" s="38">
        <f>IF(AND(AK$7="○",$A412&gt;=AK$8,$A412&lt;=AK$9),IF(SUM(AK$10:AK411)-ROUNDDOWN($L412*AK$5/100,0)&lt;-AK$6,-AK$6-SUM(AK$10:AK411),-ROUNDDOWN($L412*AK$5/100,0)),0)</f>
        <v>0</v>
      </c>
      <c r="AL412" s="38">
        <f>IF(AND(AL$7="○",$A412&gt;=AL$8,$A412&lt;=AL$9),IF(SUM(AL$10:AL411)-ROUNDDOWN($N412*AL$5/100,0)&lt;-AL$6,-AL$6-SUM(AL$10:AL411),-ROUNDDOWN($N412*AL$5/100,0)),0)</f>
        <v>0</v>
      </c>
      <c r="AM412" s="38">
        <f>IF(AND(AM$7="○",$A412&gt;=AM$8,$A412&lt;=AM$9),IF(SUM(AM$10:AM411)-ROUNDDOWN($L412*AM$5/100,0)&lt;-AM$6,-AM$6-SUM(AM$10:AM411),-ROUNDDOWN($L412*AM$5/100,0)),0)</f>
        <v>0</v>
      </c>
      <c r="AN412" s="38">
        <f>IF(AND(AN$7="○",$A412&gt;=AN$8,$A412&lt;=AN$9),IF(SUM(AN$10:AN411)-ROUNDDOWN($M412*AN$5/100,0)&lt;-AN$6,-AN$6-SUM(AN$10:AN411),-ROUNDDOWN($M412*AN$5/100,0)),0)</f>
        <v>0</v>
      </c>
      <c r="AO412" s="38">
        <f>IF(AND($A412&gt;=AO$8,$A412&lt;=AO$9),IF(SUM(AO$10:AO411)-ROUNDDOWN($K412*AO$5/100,0)&lt;-AO$6,-AO$6-SUM(AO$10:AO411),-ROUNDDOWN($K412*AO$5/100,0)),0)</f>
        <v>0</v>
      </c>
      <c r="AP412" s="38">
        <f>IF(AND($A412&gt;=AP$8,$A412&lt;=AP$9),IF(SUM(AP$10:AP411)-ROUNDDOWN($K412*AP$5/100,0)&lt;-AP$6,-AP$6-SUM(AP$10:AP411),-ROUNDDOWN($K412*AP$5/100,0)),0)</f>
        <v>0</v>
      </c>
      <c r="AQ412" s="38">
        <f>IF(AND($A412&gt;=AQ$8,$A412&lt;=AQ$9),IF(SUM(AQ$10:AQ411)-ROUNDDOWN($K412*AQ$5/100,0)&lt;-AQ$6,-AQ$6-SUM(AQ$10:AQ411),-ROUNDDOWN($K412*AQ$5/100,0)),0)</f>
        <v>0</v>
      </c>
      <c r="AR412" s="38">
        <f>IF(AND($A412&gt;=AR$8,$A412&lt;=AR$9),IF(SUM(AR$10:AR411)-ROUNDDOWN($K412*AR$5/100,0)&lt;-AR$6,-AR$6-SUM(AR$10:AR411),-ROUNDDOWN($K412*AR$5/100,0)),0)</f>
        <v>0</v>
      </c>
      <c r="AS412" s="38">
        <f>IF(SUMIFS(AS$10:AS411,$A$10:$A411,$A412)-ROUNDDOWN($K412*$S412/100,0)&lt;-$S412*1000,-$S412*1000-SUMIFS(AS$10:AS411,$A$10:$A411,$A412),-ROUNDDOWN($K412*$S412/100,0))</f>
        <v>0</v>
      </c>
      <c r="AT412" s="38">
        <f>IF(AND(X412="○",$A412&gt;=AT$8,$A412&lt;=AT$9,K412&gt;=3980),IF(SUM(AT$10:AT411)-ROUNDDOWN($K412*AT$5/100,0)&lt;-AT$6,-AT$6-SUM(AT$10:AT411),-ROUNDDOWN($K412*AT$5/100,0)),0)</f>
        <v>0</v>
      </c>
      <c r="AU412" s="38">
        <f>IF(O412="○",IF(SUM(AU$10:AU411)-ROUNDDOWN($K412*AU$5/100,0)&lt;-AU$6,-AU$6-SUM(AU$10:AU411),-ROUNDDOWN($K412*AU$5/100,0)),0)</f>
        <v>0</v>
      </c>
      <c r="AV412" s="38">
        <f>IF(P412="○",IF(SUM(AV$10:AV411)-ROUNDDOWN($K412*AV$5/100,0)&lt;-AV$6,-AV$6-SUM(AV$10:AV411),-ROUNDDOWN($K412*AV$5/100,0)),0)</f>
        <v>0</v>
      </c>
      <c r="AW412" s="38">
        <f>IF(Q412="○",IF(SUM(AW$10:AW411)-ROUNDDOWN($K412*AW$5/100,0)&lt;-AW$6,-AW$6-SUM(AW$10:AW411),-ROUNDDOWN($K412*AW$5/100,0)),0)</f>
        <v>0</v>
      </c>
      <c r="AX412" s="38">
        <f>IF(R412="○",IF(SUM(AX$10:AX411)-ROUNDDOWN($K412*AX$5/100,0)&lt;-AX$6,-AX$6-SUM(AX$10:AX411),-ROUNDDOWN($K412*AX$5/100,0)),0)</f>
        <v>0</v>
      </c>
      <c r="AY412" s="70">
        <v>0</v>
      </c>
      <c r="AZ412" s="65">
        <f t="shared" si="285"/>
        <v>0</v>
      </c>
      <c r="BA412" s="65">
        <f t="shared" si="286"/>
        <v>0</v>
      </c>
      <c r="BB412" s="70"/>
      <c r="BC412" s="65">
        <f t="shared" si="287"/>
        <v>0</v>
      </c>
      <c r="BD412" s="70">
        <v>0</v>
      </c>
      <c r="BE412" s="65">
        <f t="shared" si="288"/>
        <v>0</v>
      </c>
      <c r="BF412" s="70">
        <v>0</v>
      </c>
      <c r="BG412" s="65">
        <f t="shared" si="289"/>
        <v>0</v>
      </c>
      <c r="BH412" s="70">
        <v>0</v>
      </c>
      <c r="BI412" s="65">
        <f t="shared" si="290"/>
        <v>0</v>
      </c>
      <c r="BJ412" s="38">
        <f>IF(AND(BJ$7="○",$A412&gt;=BJ$8,$A412&lt;=BJ$9),IF(SUM(BJ$10:BJ411)-ROUNDDOWN($M412*BJ$5/100,0)&lt;-BJ$6,-BJ$6-SUM(BJ$10:BJ411),-ROUNDDOWN($M412*BJ$5/100,0)),0)</f>
        <v>0</v>
      </c>
      <c r="BK412" s="38">
        <f>IF(AND(BK$7="○",$A412&gt;=BK$8,$A412&lt;=BK$9),IF(SUM(BK$10:BK411)-ROUNDDOWN($L412*BK$5/100,0)&lt;-BK$6,-BK$6-SUM(BK$10:BK411),-ROUNDDOWN($L412*BK$5/100,0)),0)</f>
        <v>0</v>
      </c>
      <c r="BL412" s="38">
        <f>IF(AND(BL$7="○",$A412&gt;=BL$8,$A412&lt;=BL$9),IF(SUM(BL$10:BL411)-ROUNDDOWN($L412*BL$5/100,0)&lt;-BL$6,-BL$6-SUM(BL$10:BL411),-ROUNDDOWN($L412*BL$5/100,0)),0)</f>
        <v>0</v>
      </c>
      <c r="BM412" s="38">
        <f>IF(AND(BM$7="○",$A412&gt;=BM$8,$A412&lt;=BM$9),IF(SUM(BM$10:BM411)-ROUNDDOWN($M412*BM$5/100,0)&lt;-BM$6,-BM$6-SUM(BM$10:BM411),-ROUNDDOWN($M412*BM$5/100,0)),0)</f>
        <v>0</v>
      </c>
      <c r="BN412" s="38">
        <f>IF(AND(BN$7="○",$A412&gt;=BN$8,$A412&lt;=BN$9),IF(SUM(BN$10:BN411)-ROUNDDOWN($M412*BN$5/100,0)&lt;-BN$6,-BN$6-SUM(BN$10:BN411),-ROUNDDOWN($M412*BN$5/100,0)),0)</f>
        <v>0</v>
      </c>
      <c r="BO412" s="38">
        <f>IF(AND(BO$7="○",$A412&gt;=BO$8,$A412&lt;=BO$9),IF(SUM(BO$10:BO411)-ROUNDDOWN($M412*BO$5/100,0)&lt;-BO$6,-BO$6-SUM(BO$10:BO411),-ROUNDDOWN($M412*BO$5/100,0)),0)</f>
        <v>0</v>
      </c>
      <c r="BP412" s="38">
        <f>IF(AND(BP$7="○",$A412&gt;=BP$8,$A412&lt;=BP$9),IF(SUM(BP$10:BP411)-ROUNDDOWN($M412*BP$5/100,0)&lt;-BP$6,-BP$6-SUM(BP$10:BP411),-ROUNDDOWN($M412*BP$5/100,0)),0)</f>
        <v>0</v>
      </c>
      <c r="BQ412" s="38">
        <f>IF(AND(BQ$7="○",$A412&gt;=BQ$8,$A412&lt;=BQ$9),IF(SUM(BQ$10:BQ411)-ROUNDDOWN($L412*BQ$5/100,0)&lt;-BQ$6,-BQ$6-SUM(BQ$10:BQ411),-ROUNDDOWN($L412*BQ$5/100,0)),0)</f>
        <v>0</v>
      </c>
      <c r="BR412" s="38">
        <f>IF(AND(BR$7="○",$A412&gt;=BR$8,$A412&lt;=BR$9),IF(SUM(BR$10:BR411)-ROUNDDOWN($M412*BR$5/100,0)&lt;-BR$6,-BR$6-SUM(BR$10:BR411),-ROUNDDOWN($M412*BR$5/100,0)),0)</f>
        <v>0</v>
      </c>
      <c r="BS412" s="38">
        <f>IF(AND(BS$7="○",$A412&gt;=BS$8,$A412&lt;=BS$9),IF(SUM(BS$10:BS411)-ROUNDDOWN($M412*BS$5/100,0)&lt;-BS$6,-BS$6-SUM(BS$10:BS411),-ROUNDDOWN($M412*BS$5/100,0)),0)</f>
        <v>0</v>
      </c>
      <c r="BT412" s="38">
        <f>IF(AND(BT$7="○",$A412&gt;=BT$8,$A412&lt;=BT$9),IF(SUM(BT$10:BT411)-ROUNDDOWN($M412*BT$5/100,0)&lt;-BT$6,-BT$6-SUM(BT$10:BT411),-ROUNDDOWN($M412*BT$5/100,0)),0)</f>
        <v>0</v>
      </c>
      <c r="BU412" s="38">
        <f>IF(AND(BU$7="○",$A412&gt;=BU$8,$A412&lt;=BU$9),IF(SUM(BU$10:BU411)-ROUNDDOWN($M412*BU$5/100,0)&lt;-BU$6,-BU$6-SUM(BU$10:BU411),-ROUNDDOWN($M412*BU$5/100,0)),0)</f>
        <v>0</v>
      </c>
      <c r="BV412" s="38">
        <f>IF(AND(BV$7="○",$A412&gt;=BV$8,$A412&lt;=BV$9),IF(SUM(BV$10:BV411)-ROUNDDOWN($M412*BV$5/100,0)&lt;-BV$6,-BV$6-SUM(BV$10:BV411),-ROUNDDOWN($M412*BV$5/100,0)),0)</f>
        <v>0</v>
      </c>
      <c r="BW412" s="38">
        <f>IF(AND(BW$7="○",$A412&gt;=BW$8,$A412&lt;=BW$9),IF(SUM(BW$10:BW411)-ROUNDDOWN($M412*BW$5/100,0)&lt;-BW$6,-BW$6-SUM(BW$10:BW411),-ROUNDDOWN($M412*BW$5/100,0)),0)</f>
        <v>0</v>
      </c>
      <c r="BX412" s="38">
        <f>IF(AND(T412="○",$A412&gt;=BX$8,$A412&lt;=BX$9),IF(SUM(BX$10:BX411)-ROUNDDOWN($K412*BX$5/100,0)&lt;-BX$6,-BX$6-SUM(BX$10:BX411),-ROUNDDOWN($K412*BX$5/100,0)),0)</f>
        <v>0</v>
      </c>
      <c r="BY412" s="38">
        <f>IF(AND(U412="○",$A412&gt;=BY$8,$A412&lt;=BY$9),IF(SUM(BY$10:BY411)-ROUNDDOWN($K412*BY$5/100,0)&lt;-BY$6,-BY$6-SUM(BY$10:BY411),-ROUNDDOWN($K412*BY$5/100,0)),0)</f>
        <v>0</v>
      </c>
      <c r="BZ412" s="38">
        <f>IF(AND(V412="○",$A412&gt;=BZ$8,$A412&lt;=BZ$9),IF(SUM(BZ$10:BZ411)-ROUNDDOWN($K412*BZ$5/100,0)&lt;-BZ$6,-BZ$6-SUM(BZ$10:BZ411),-ROUNDDOWN($K412*BZ$5/100,0)),0)</f>
        <v>0</v>
      </c>
      <c r="CA412" s="38">
        <f>IF(AND(W412="○",$A412&gt;=CA$8,$A412&lt;=CA$9),IF(SUM(CA$10:CA411)-ROUNDDOWN($K412*CA$5/100,0)&lt;-CA$6,-CA$6-SUM(CA$10:CA411),-ROUNDDOWN($K412*CA$5/100,0)),0)</f>
        <v>0</v>
      </c>
      <c r="CB412" s="38"/>
      <c r="CC412" s="38"/>
      <c r="CD412" s="38"/>
      <c r="CE412" s="38"/>
      <c r="CF412" s="38"/>
      <c r="CG412" s="65">
        <f t="shared" si="291"/>
        <v>0</v>
      </c>
      <c r="CH412" s="71">
        <f t="shared" si="292"/>
        <v>0</v>
      </c>
      <c r="CI412" s="1">
        <f t="shared" si="19"/>
        <v>0</v>
      </c>
      <c r="CJ412" s="1"/>
      <c r="CK412" s="72"/>
      <c r="CL412" s="72"/>
      <c r="CM412" s="2"/>
      <c r="CN412" s="2"/>
      <c r="CO412" s="73">
        <f t="shared" si="20"/>
        <v>0</v>
      </c>
      <c r="CP412" s="5">
        <f t="shared" si="21"/>
        <v>0</v>
      </c>
      <c r="CQ412" s="1"/>
      <c r="CR412" s="1">
        <f t="shared" si="22"/>
        <v>0</v>
      </c>
      <c r="CS412" s="1"/>
      <c r="CT412" s="1" t="e">
        <f>INDEX([2]マスタ!$A:$A,MATCH(D412,[2]マスタ!$C:$C,0))</f>
        <v>#N/A</v>
      </c>
      <c r="CU412" s="1" t="str">
        <f t="shared" ca="1" si="23"/>
        <v>20260620_0-0</v>
      </c>
    </row>
    <row r="413" spans="1:99" x14ac:dyDescent="0.4">
      <c r="A413" s="61"/>
      <c r="B413" s="62"/>
      <c r="C413" s="62"/>
      <c r="D413" s="62"/>
      <c r="E413" s="74"/>
      <c r="F413" s="62"/>
      <c r="G413" s="62">
        <v>1</v>
      </c>
      <c r="H413" s="64">
        <f t="shared" si="4"/>
        <v>0</v>
      </c>
      <c r="I413" s="64"/>
      <c r="J413" s="64"/>
      <c r="K413" s="65">
        <f t="shared" si="293"/>
        <v>0</v>
      </c>
      <c r="L413" s="65">
        <f t="shared" si="6"/>
        <v>0</v>
      </c>
      <c r="M413" s="65">
        <f t="shared" si="7"/>
        <v>0</v>
      </c>
      <c r="N413" s="65">
        <f t="shared" si="8"/>
        <v>0</v>
      </c>
      <c r="O413" s="66" t="str">
        <f t="shared" si="9"/>
        <v>✕</v>
      </c>
      <c r="P413" s="67" t="str">
        <f t="shared" si="10"/>
        <v>○</v>
      </c>
      <c r="Q413" s="67" t="str">
        <f t="shared" si="294"/>
        <v>✕</v>
      </c>
      <c r="R413" s="67" t="str">
        <f t="shared" si="12"/>
        <v>✕</v>
      </c>
      <c r="S413" s="68">
        <v>0</v>
      </c>
      <c r="T413" s="69" t="s">
        <v>85</v>
      </c>
      <c r="U413" s="69" t="s">
        <v>85</v>
      </c>
      <c r="V413" s="69" t="s">
        <v>85</v>
      </c>
      <c r="W413" s="69" t="s">
        <v>85</v>
      </c>
      <c r="X413" s="69" t="s">
        <v>84</v>
      </c>
      <c r="Y413" s="69" t="s">
        <v>85</v>
      </c>
      <c r="Z413" s="69" t="s">
        <v>85</v>
      </c>
      <c r="AA413" s="69" t="s">
        <v>85</v>
      </c>
      <c r="AB413" s="69" t="s">
        <v>85</v>
      </c>
      <c r="AC413" s="69" t="s">
        <v>85</v>
      </c>
      <c r="AD413" s="38" t="str">
        <f>+IF(ISERROR(VLOOKUP($B413,AD$10:AD412,1,0)),IF(AND($N413&gt;=1000,$A413&gt;=AO$8,$A413&lt;=AO$9),$B413,""),"")</f>
        <v/>
      </c>
      <c r="AE413" s="38" t="str">
        <f>+IF(ISERROR(VLOOKUP($B413,AE$10:AE412,1,0)),IF(AND($N413&gt;=1000,$A413&gt;=AP$8,$A413&lt;=AP$9),$B413,""),"")</f>
        <v/>
      </c>
      <c r="AF413" s="38" t="str">
        <f>+IF(ISERROR(VLOOKUP($B413,AF$10:AF412,1,0)),IF(AND($N413&gt;=1000,$A413&gt;=AQ$8,$A413&lt;=AQ$9),$B413,""),"")</f>
        <v/>
      </c>
      <c r="AG413" s="38" t="str">
        <f>+IF(ISERROR(VLOOKUP($B413,AG$10:AG412,1,0)),IF(AND($N413&gt;=1000,$A413&gt;=AR$8,$A413&lt;=AR$9),$B413,""),"")</f>
        <v/>
      </c>
      <c r="AH413" s="38"/>
      <c r="AI413" s="70">
        <v>0</v>
      </c>
      <c r="AJ413" s="38">
        <f>IF(AND(AJ$7="○",$A413&gt;=AJ$8,$A413&lt;=AJ$9),IF(SUM(AJ$10:AJ412)-ROUNDDOWN($K413*AJ$5/100,0)&lt;-AJ$6,-AJ$6-SUM(AJ$10:AJ412),-ROUNDDOWN($K413*AJ$5/100,0)),0)</f>
        <v>0</v>
      </c>
      <c r="AK413" s="38">
        <f>IF(AND(AK$7="○",$A413&gt;=AK$8,$A413&lt;=AK$9),IF(SUM(AK$10:AK412)-ROUNDDOWN($L413*AK$5/100,0)&lt;-AK$6,-AK$6-SUM(AK$10:AK412),-ROUNDDOWN($L413*AK$5/100,0)),0)</f>
        <v>0</v>
      </c>
      <c r="AL413" s="38">
        <f>IF(AND(AL$7="○",$A413&gt;=AL$8,$A413&lt;=AL$9),IF(SUM(AL$10:AL412)-ROUNDDOWN($N413*AL$5/100,0)&lt;-AL$6,-AL$6-SUM(AL$10:AL412),-ROUNDDOWN($N413*AL$5/100,0)),0)</f>
        <v>0</v>
      </c>
      <c r="AM413" s="38">
        <f>IF(AND(AM$7="○",$A413&gt;=AM$8,$A413&lt;=AM$9),IF(SUM(AM$10:AM412)-ROUNDDOWN($L413*AM$5/100,0)&lt;-AM$6,-AM$6-SUM(AM$10:AM412),-ROUNDDOWN($L413*AM$5/100,0)),0)</f>
        <v>0</v>
      </c>
      <c r="AN413" s="38">
        <f>IF(AND(AN$7="○",$A413&gt;=AN$8,$A413&lt;=AN$9),IF(SUM(AN$10:AN412)-ROUNDDOWN($M413*AN$5/100,0)&lt;-AN$6,-AN$6-SUM(AN$10:AN412),-ROUNDDOWN($M413*AN$5/100,0)),0)</f>
        <v>0</v>
      </c>
      <c r="AO413" s="38">
        <f>IF(AND($A413&gt;=AO$8,$A413&lt;=AO$9),IF(SUM(AO$10:AO412)-ROUNDDOWN($K413*AO$5/100,0)&lt;-AO$6,-AO$6-SUM(AO$10:AO412),-ROUNDDOWN($K413*AO$5/100,0)),0)</f>
        <v>0</v>
      </c>
      <c r="AP413" s="38">
        <f>IF(AND($A413&gt;=AP$8,$A413&lt;=AP$9),IF(SUM(AP$10:AP412)-ROUNDDOWN($K413*AP$5/100,0)&lt;-AP$6,-AP$6-SUM(AP$10:AP412),-ROUNDDOWN($K413*AP$5/100,0)),0)</f>
        <v>0</v>
      </c>
      <c r="AQ413" s="38">
        <f>IF(AND($A413&gt;=AQ$8,$A413&lt;=AQ$9),IF(SUM(AQ$10:AQ412)-ROUNDDOWN($K413*AQ$5/100,0)&lt;-AQ$6,-AQ$6-SUM(AQ$10:AQ412),-ROUNDDOWN($K413*AQ$5/100,0)),0)</f>
        <v>0</v>
      </c>
      <c r="AR413" s="38">
        <f>IF(AND($A413&gt;=AR$8,$A413&lt;=AR$9),IF(SUM(AR$10:AR412)-ROUNDDOWN($K413*AR$5/100,0)&lt;-AR$6,-AR$6-SUM(AR$10:AR412),-ROUNDDOWN($K413*AR$5/100,0)),0)</f>
        <v>0</v>
      </c>
      <c r="AS413" s="38">
        <f>IF(SUMIFS(AS$10:AS412,$A$10:$A412,$A413)-ROUNDDOWN($K413*$S413/100,0)&lt;-$S413*1000,-$S413*1000-SUMIFS(AS$10:AS412,$A$10:$A412,$A413),-ROUNDDOWN($K413*$S413/100,0))</f>
        <v>0</v>
      </c>
      <c r="AT413" s="38">
        <f>IF(AND(X413="○",$A413&gt;=AT$8,$A413&lt;=AT$9,K413&gt;=3980),IF(SUM(AT$10:AT412)-ROUNDDOWN($K413*AT$5/100,0)&lt;-AT$6,-AT$6-SUM(AT$10:AT412),-ROUNDDOWN($K413*AT$5/100,0)),0)</f>
        <v>0</v>
      </c>
      <c r="AU413" s="38">
        <f>IF(O413="○",IF(SUM(AU$10:AU412)-ROUNDDOWN($K413*AU$5/100,0)&lt;-AU$6,-AU$6-SUM(AU$10:AU412),-ROUNDDOWN($K413*AU$5/100,0)),0)</f>
        <v>0</v>
      </c>
      <c r="AV413" s="38">
        <f>IF(P413="○",IF(SUM(AV$10:AV412)-ROUNDDOWN($K413*AV$5/100,0)&lt;-AV$6,-AV$6-SUM(AV$10:AV412),-ROUNDDOWN($K413*AV$5/100,0)),0)</f>
        <v>0</v>
      </c>
      <c r="AW413" s="38">
        <f>IF(Q413="○",IF(SUM(AW$10:AW412)-ROUNDDOWN($K413*AW$5/100,0)&lt;-AW$6,-AW$6-SUM(AW$10:AW412),-ROUNDDOWN($K413*AW$5/100,0)),0)</f>
        <v>0</v>
      </c>
      <c r="AX413" s="38">
        <f>IF(R413="○",IF(SUM(AX$10:AX412)-ROUNDDOWN($K413*AX$5/100,0)&lt;-AX$6,-AX$6-SUM(AX$10:AX412),-ROUNDDOWN($K413*AX$5/100,0)),0)</f>
        <v>0</v>
      </c>
      <c r="AY413" s="70">
        <v>0</v>
      </c>
      <c r="AZ413" s="65">
        <f t="shared" si="285"/>
        <v>0</v>
      </c>
      <c r="BA413" s="65">
        <f t="shared" si="286"/>
        <v>0</v>
      </c>
      <c r="BB413" s="70"/>
      <c r="BC413" s="65">
        <f t="shared" si="287"/>
        <v>0</v>
      </c>
      <c r="BD413" s="70">
        <v>0</v>
      </c>
      <c r="BE413" s="65">
        <f t="shared" si="288"/>
        <v>0</v>
      </c>
      <c r="BF413" s="70">
        <v>0</v>
      </c>
      <c r="BG413" s="65">
        <f t="shared" si="289"/>
        <v>0</v>
      </c>
      <c r="BH413" s="70">
        <v>0</v>
      </c>
      <c r="BI413" s="65">
        <f t="shared" si="290"/>
        <v>0</v>
      </c>
      <c r="BJ413" s="38">
        <f>IF(AND(BJ$7="○",$A413&gt;=BJ$8,$A413&lt;=BJ$9),IF(SUM(BJ$10:BJ412)-ROUNDDOWN($M413*BJ$5/100,0)&lt;-BJ$6,-BJ$6-SUM(BJ$10:BJ412),-ROUNDDOWN($M413*BJ$5/100,0)),0)</f>
        <v>0</v>
      </c>
      <c r="BK413" s="38">
        <f>IF(AND(BK$7="○",$A413&gt;=BK$8,$A413&lt;=BK$9),IF(SUM(BK$10:BK412)-ROUNDDOWN($L413*BK$5/100,0)&lt;-BK$6,-BK$6-SUM(BK$10:BK412),-ROUNDDOWN($L413*BK$5/100,0)),0)</f>
        <v>0</v>
      </c>
      <c r="BL413" s="38">
        <f>IF(AND(BL$7="○",$A413&gt;=BL$8,$A413&lt;=BL$9),IF(SUM(BL$10:BL412)-ROUNDDOWN($L413*BL$5/100,0)&lt;-BL$6,-BL$6-SUM(BL$10:BL412),-ROUNDDOWN($L413*BL$5/100,0)),0)</f>
        <v>0</v>
      </c>
      <c r="BM413" s="38">
        <f>IF(AND(BM$7="○",$A413&gt;=BM$8,$A413&lt;=BM$9),IF(SUM(BM$10:BM412)-ROUNDDOWN($M413*BM$5/100,0)&lt;-BM$6,-BM$6-SUM(BM$10:BM412),-ROUNDDOWN($M413*BM$5/100,0)),0)</f>
        <v>0</v>
      </c>
      <c r="BN413" s="38">
        <f>IF(AND(BN$7="○",$A413&gt;=BN$8,$A413&lt;=BN$9),IF(SUM(BN$10:BN412)-ROUNDDOWN($M413*BN$5/100,0)&lt;-BN$6,-BN$6-SUM(BN$10:BN412),-ROUNDDOWN($M413*BN$5/100,0)),0)</f>
        <v>0</v>
      </c>
      <c r="BO413" s="38">
        <f>IF(AND(BO$7="○",$A413&gt;=BO$8,$A413&lt;=BO$9),IF(SUM(BO$10:BO412)-ROUNDDOWN($M413*BO$5/100,0)&lt;-BO$6,-BO$6-SUM(BO$10:BO412),-ROUNDDOWN($M413*BO$5/100,0)),0)</f>
        <v>0</v>
      </c>
      <c r="BP413" s="38">
        <f>IF(AND(BP$7="○",$A413&gt;=BP$8,$A413&lt;=BP$9),IF(SUM(BP$10:BP412)-ROUNDDOWN($M413*BP$5/100,0)&lt;-BP$6,-BP$6-SUM(BP$10:BP412),-ROUNDDOWN($M413*BP$5/100,0)),0)</f>
        <v>0</v>
      </c>
      <c r="BQ413" s="38">
        <f>IF(AND(BQ$7="○",$A413&gt;=BQ$8,$A413&lt;=BQ$9),IF(SUM(BQ$10:BQ412)-ROUNDDOWN($L413*BQ$5/100,0)&lt;-BQ$6,-BQ$6-SUM(BQ$10:BQ412),-ROUNDDOWN($L413*BQ$5/100,0)),0)</f>
        <v>0</v>
      </c>
      <c r="BR413" s="38">
        <f>IF(AND(BR$7="○",$A413&gt;=BR$8,$A413&lt;=BR$9),IF(SUM(BR$10:BR412)-ROUNDDOWN($M413*BR$5/100,0)&lt;-BR$6,-BR$6-SUM(BR$10:BR412),-ROUNDDOWN($M413*BR$5/100,0)),0)</f>
        <v>0</v>
      </c>
      <c r="BS413" s="38">
        <f>IF(AND(BS$7="○",$A413&gt;=BS$8,$A413&lt;=BS$9),IF(SUM(BS$10:BS412)-ROUNDDOWN($M413*BS$5/100,0)&lt;-BS$6,-BS$6-SUM(BS$10:BS412),-ROUNDDOWN($M413*BS$5/100,0)),0)</f>
        <v>0</v>
      </c>
      <c r="BT413" s="38">
        <f>IF(AND(BT$7="○",$A413&gt;=BT$8,$A413&lt;=BT$9),IF(SUM(BT$10:BT412)-ROUNDDOWN($M413*BT$5/100,0)&lt;-BT$6,-BT$6-SUM(BT$10:BT412),-ROUNDDOWN($M413*BT$5/100,0)),0)</f>
        <v>0</v>
      </c>
      <c r="BU413" s="38">
        <f>IF(AND(BU$7="○",$A413&gt;=BU$8,$A413&lt;=BU$9),IF(SUM(BU$10:BU412)-ROUNDDOWN($M413*BU$5/100,0)&lt;-BU$6,-BU$6-SUM(BU$10:BU412),-ROUNDDOWN($M413*BU$5/100,0)),0)</f>
        <v>0</v>
      </c>
      <c r="BV413" s="38">
        <f>IF(AND(BV$7="○",$A413&gt;=BV$8,$A413&lt;=BV$9),IF(SUM(BV$10:BV412)-ROUNDDOWN($M413*BV$5/100,0)&lt;-BV$6,-BV$6-SUM(BV$10:BV412),-ROUNDDOWN($M413*BV$5/100,0)),0)</f>
        <v>0</v>
      </c>
      <c r="BW413" s="38">
        <f>IF(AND(BW$7="○",$A413&gt;=BW$8,$A413&lt;=BW$9),IF(SUM(BW$10:BW412)-ROUNDDOWN($M413*BW$5/100,0)&lt;-BW$6,-BW$6-SUM(BW$10:BW412),-ROUNDDOWN($M413*BW$5/100,0)),0)</f>
        <v>0</v>
      </c>
      <c r="BX413" s="38">
        <f>IF(AND(T413="○",$A413&gt;=BX$8,$A413&lt;=BX$9),IF(SUM(BX$10:BX412)-ROUNDDOWN($K413*BX$5/100,0)&lt;-BX$6,-BX$6-SUM(BX$10:BX412),-ROUNDDOWN($K413*BX$5/100,0)),0)</f>
        <v>0</v>
      </c>
      <c r="BY413" s="38">
        <f>IF(AND(U413="○",$A413&gt;=BY$8,$A413&lt;=BY$9),IF(SUM(BY$10:BY412)-ROUNDDOWN($K413*BY$5/100,0)&lt;-BY$6,-BY$6-SUM(BY$10:BY412),-ROUNDDOWN($K413*BY$5/100,0)),0)</f>
        <v>0</v>
      </c>
      <c r="BZ413" s="38">
        <f>IF(AND(V413="○",$A413&gt;=BZ$8,$A413&lt;=BZ$9),IF(SUM(BZ$10:BZ412)-ROUNDDOWN($K413*BZ$5/100,0)&lt;-BZ$6,-BZ$6-SUM(BZ$10:BZ412),-ROUNDDOWN($K413*BZ$5/100,0)),0)</f>
        <v>0</v>
      </c>
      <c r="CA413" s="38">
        <f>IF(AND(W413="○",$A413&gt;=CA$8,$A413&lt;=CA$9),IF(SUM(CA$10:CA412)-ROUNDDOWN($K413*CA$5/100,0)&lt;-CA$6,-CA$6-SUM(CA$10:CA412),-ROUNDDOWN($K413*CA$5/100,0)),0)</f>
        <v>0</v>
      </c>
      <c r="CB413" s="38"/>
      <c r="CC413" s="38"/>
      <c r="CD413" s="38"/>
      <c r="CE413" s="38"/>
      <c r="CF413" s="38"/>
      <c r="CG413" s="65">
        <f t="shared" si="291"/>
        <v>0</v>
      </c>
      <c r="CH413" s="71">
        <f t="shared" si="292"/>
        <v>0</v>
      </c>
      <c r="CI413" s="1">
        <f t="shared" si="19"/>
        <v>0</v>
      </c>
      <c r="CJ413" s="1"/>
      <c r="CK413" s="72"/>
      <c r="CL413" s="72"/>
      <c r="CM413" s="2"/>
      <c r="CN413" s="2"/>
      <c r="CO413" s="73">
        <f t="shared" si="20"/>
        <v>0</v>
      </c>
      <c r="CP413" s="5">
        <f t="shared" si="21"/>
        <v>0</v>
      </c>
      <c r="CQ413" s="1"/>
      <c r="CR413" s="1">
        <f t="shared" si="22"/>
        <v>0</v>
      </c>
      <c r="CS413" s="1"/>
      <c r="CT413" s="1" t="e">
        <f>INDEX([2]マスタ!$A:$A,MATCH(D413,[2]マスタ!$C:$C,0))</f>
        <v>#N/A</v>
      </c>
      <c r="CU413" s="1" t="str">
        <f t="shared" ca="1" si="23"/>
        <v>20260620_0-0</v>
      </c>
    </row>
    <row r="414" spans="1:99" x14ac:dyDescent="0.4">
      <c r="A414" s="61"/>
      <c r="B414" s="62"/>
      <c r="C414" s="62"/>
      <c r="D414" s="62"/>
      <c r="E414" s="74"/>
      <c r="F414" s="62"/>
      <c r="G414" s="62">
        <v>1</v>
      </c>
      <c r="H414" s="64">
        <f t="shared" si="4"/>
        <v>0</v>
      </c>
      <c r="I414" s="64"/>
      <c r="J414" s="64"/>
      <c r="K414" s="65">
        <f t="shared" si="293"/>
        <v>0</v>
      </c>
      <c r="L414" s="65">
        <f t="shared" si="6"/>
        <v>0</v>
      </c>
      <c r="M414" s="65">
        <f t="shared" si="7"/>
        <v>0</v>
      </c>
      <c r="N414" s="65">
        <f t="shared" si="8"/>
        <v>0</v>
      </c>
      <c r="O414" s="66" t="str">
        <f t="shared" si="9"/>
        <v>✕</v>
      </c>
      <c r="P414" s="67" t="str">
        <f t="shared" si="10"/>
        <v>○</v>
      </c>
      <c r="Q414" s="67" t="str">
        <f t="shared" si="294"/>
        <v>✕</v>
      </c>
      <c r="R414" s="67" t="str">
        <f t="shared" si="12"/>
        <v>✕</v>
      </c>
      <c r="S414" s="68">
        <v>0</v>
      </c>
      <c r="T414" s="69" t="s">
        <v>85</v>
      </c>
      <c r="U414" s="69" t="s">
        <v>85</v>
      </c>
      <c r="V414" s="69" t="s">
        <v>85</v>
      </c>
      <c r="W414" s="69" t="s">
        <v>85</v>
      </c>
      <c r="X414" s="69" t="s">
        <v>84</v>
      </c>
      <c r="Y414" s="69" t="s">
        <v>85</v>
      </c>
      <c r="Z414" s="69" t="s">
        <v>85</v>
      </c>
      <c r="AA414" s="69" t="s">
        <v>85</v>
      </c>
      <c r="AB414" s="69" t="s">
        <v>85</v>
      </c>
      <c r="AC414" s="69" t="s">
        <v>85</v>
      </c>
      <c r="AD414" s="38" t="str">
        <f>+IF(ISERROR(VLOOKUP($B414,AD$10:AD413,1,0)),IF(AND($N414&gt;=1000,$A414&gt;=AO$8,$A414&lt;=AO$9),$B414,""),"")</f>
        <v/>
      </c>
      <c r="AE414" s="38" t="str">
        <f>+IF(ISERROR(VLOOKUP($B414,AE$10:AE413,1,0)),IF(AND($N414&gt;=1000,$A414&gt;=AP$8,$A414&lt;=AP$9),$B414,""),"")</f>
        <v/>
      </c>
      <c r="AF414" s="38" t="str">
        <f>+IF(ISERROR(VLOOKUP($B414,AF$10:AF413,1,0)),IF(AND($N414&gt;=1000,$A414&gt;=AQ$8,$A414&lt;=AQ$9),$B414,""),"")</f>
        <v/>
      </c>
      <c r="AG414" s="38" t="str">
        <f>+IF(ISERROR(VLOOKUP($B414,AG$10:AG413,1,0)),IF(AND($N414&gt;=1000,$A414&gt;=AR$8,$A414&lt;=AR$9),$B414,""),"")</f>
        <v/>
      </c>
      <c r="AH414" s="38"/>
      <c r="AI414" s="70">
        <v>0</v>
      </c>
      <c r="AJ414" s="38">
        <f>IF(AND(AJ$7="○",$A414&gt;=AJ$8,$A414&lt;=AJ$9),IF(SUM(AJ$10:AJ413)-ROUNDDOWN($K414*AJ$5/100,0)&lt;-AJ$6,-AJ$6-SUM(AJ$10:AJ413),-ROUNDDOWN($K414*AJ$5/100,0)),0)</f>
        <v>0</v>
      </c>
      <c r="AK414" s="38">
        <f>IF(AND(AK$7="○",$A414&gt;=AK$8,$A414&lt;=AK$9),IF(SUM(AK$10:AK413)-ROUNDDOWN($L414*AK$5/100,0)&lt;-AK$6,-AK$6-SUM(AK$10:AK413),-ROUNDDOWN($L414*AK$5/100,0)),0)</f>
        <v>0</v>
      </c>
      <c r="AL414" s="38">
        <f>IF(AND(AL$7="○",$A414&gt;=AL$8,$A414&lt;=AL$9),IF(SUM(AL$10:AL413)-ROUNDDOWN($N414*AL$5/100,0)&lt;-AL$6,-AL$6-SUM(AL$10:AL413),-ROUNDDOWN($N414*AL$5/100,0)),0)</f>
        <v>0</v>
      </c>
      <c r="AM414" s="38">
        <f>IF(AND(AM$7="○",$A414&gt;=AM$8,$A414&lt;=AM$9),IF(SUM(AM$10:AM413)-ROUNDDOWN($L414*AM$5/100,0)&lt;-AM$6,-AM$6-SUM(AM$10:AM413),-ROUNDDOWN($L414*AM$5/100,0)),0)</f>
        <v>0</v>
      </c>
      <c r="AN414" s="38">
        <f>IF(AND(AN$7="○",$A414&gt;=AN$8,$A414&lt;=AN$9),IF(SUM(AN$10:AN413)-ROUNDDOWN($M414*AN$5/100,0)&lt;-AN$6,-AN$6-SUM(AN$10:AN413),-ROUNDDOWN($M414*AN$5/100,0)),0)</f>
        <v>0</v>
      </c>
      <c r="AO414" s="38">
        <f>IF(AND($A414&gt;=AO$8,$A414&lt;=AO$9),IF(SUM(AO$10:AO413)-ROUNDDOWN($K414*AO$5/100,0)&lt;-AO$6,-AO$6-SUM(AO$10:AO413),-ROUNDDOWN($K414*AO$5/100,0)),0)</f>
        <v>0</v>
      </c>
      <c r="AP414" s="38">
        <f>IF(AND($A414&gt;=AP$8,$A414&lt;=AP$9),IF(SUM(AP$10:AP413)-ROUNDDOWN($K414*AP$5/100,0)&lt;-AP$6,-AP$6-SUM(AP$10:AP413),-ROUNDDOWN($K414*AP$5/100,0)),0)</f>
        <v>0</v>
      </c>
      <c r="AQ414" s="38">
        <f>IF(AND($A414&gt;=AQ$8,$A414&lt;=AQ$9),IF(SUM(AQ$10:AQ413)-ROUNDDOWN($K414*AQ$5/100,0)&lt;-AQ$6,-AQ$6-SUM(AQ$10:AQ413),-ROUNDDOWN($K414*AQ$5/100,0)),0)</f>
        <v>0</v>
      </c>
      <c r="AR414" s="38">
        <f>IF(AND($A414&gt;=AR$8,$A414&lt;=AR$9),IF(SUM(AR$10:AR413)-ROUNDDOWN($K414*AR$5/100,0)&lt;-AR$6,-AR$6-SUM(AR$10:AR413),-ROUNDDOWN($K414*AR$5/100,0)),0)</f>
        <v>0</v>
      </c>
      <c r="AS414" s="38">
        <f>IF(SUMIFS(AS$10:AS413,$A$10:$A413,$A414)-ROUNDDOWN($K414*$S414/100,0)&lt;-$S414*1000,-$S414*1000-SUMIFS(AS$10:AS413,$A$10:$A413,$A414),-ROUNDDOWN($K414*$S414/100,0))</f>
        <v>0</v>
      </c>
      <c r="AT414" s="38">
        <f>IF(AND(X414="○",$A414&gt;=AT$8,$A414&lt;=AT$9,K414&gt;=3980),IF(SUM(AT$10:AT413)-ROUNDDOWN($K414*AT$5/100,0)&lt;-AT$6,-AT$6-SUM(AT$10:AT413),-ROUNDDOWN($K414*AT$5/100,0)),0)</f>
        <v>0</v>
      </c>
      <c r="AU414" s="38">
        <f>IF(O414="○",IF(SUM(AU$10:AU413)-ROUNDDOWN($K414*AU$5/100,0)&lt;-AU$6,-AU$6-SUM(AU$10:AU413),-ROUNDDOWN($K414*AU$5/100,0)),0)</f>
        <v>0</v>
      </c>
      <c r="AV414" s="38">
        <f>IF(P414="○",IF(SUM(AV$10:AV413)-ROUNDDOWN($K414*AV$5/100,0)&lt;-AV$6,-AV$6-SUM(AV$10:AV413),-ROUNDDOWN($K414*AV$5/100,0)),0)</f>
        <v>0</v>
      </c>
      <c r="AW414" s="38">
        <f>IF(Q414="○",IF(SUM(AW$10:AW413)-ROUNDDOWN($K414*AW$5/100,0)&lt;-AW$6,-AW$6-SUM(AW$10:AW413),-ROUNDDOWN($K414*AW$5/100,0)),0)</f>
        <v>0</v>
      </c>
      <c r="AX414" s="38">
        <f>IF(R414="○",IF(SUM(AX$10:AX413)-ROUNDDOWN($K414*AX$5/100,0)&lt;-AX$6,-AX$6-SUM(AX$10:AX413),-ROUNDDOWN($K414*AX$5/100,0)),0)</f>
        <v>0</v>
      </c>
      <c r="AY414" s="70">
        <v>0</v>
      </c>
      <c r="AZ414" s="65">
        <f t="shared" si="285"/>
        <v>0</v>
      </c>
      <c r="BA414" s="65">
        <f t="shared" si="286"/>
        <v>0</v>
      </c>
      <c r="BB414" s="70"/>
      <c r="BC414" s="65">
        <f t="shared" si="287"/>
        <v>0</v>
      </c>
      <c r="BD414" s="70">
        <v>0</v>
      </c>
      <c r="BE414" s="65">
        <f t="shared" si="288"/>
        <v>0</v>
      </c>
      <c r="BF414" s="70">
        <v>0</v>
      </c>
      <c r="BG414" s="65">
        <f t="shared" si="289"/>
        <v>0</v>
      </c>
      <c r="BH414" s="70">
        <v>0</v>
      </c>
      <c r="BI414" s="65">
        <f t="shared" si="290"/>
        <v>0</v>
      </c>
      <c r="BJ414" s="38">
        <f>IF(AND(BJ$7="○",$A414&gt;=BJ$8,$A414&lt;=BJ$9),IF(SUM(BJ$10:BJ413)-ROUNDDOWN($M414*BJ$5/100,0)&lt;-BJ$6,-BJ$6-SUM(BJ$10:BJ413),-ROUNDDOWN($M414*BJ$5/100,0)),0)</f>
        <v>0</v>
      </c>
      <c r="BK414" s="38">
        <f>IF(AND(BK$7="○",$A414&gt;=BK$8,$A414&lt;=BK$9),IF(SUM(BK$10:BK413)-ROUNDDOWN($L414*BK$5/100,0)&lt;-BK$6,-BK$6-SUM(BK$10:BK413),-ROUNDDOWN($L414*BK$5/100,0)),0)</f>
        <v>0</v>
      </c>
      <c r="BL414" s="38">
        <f>IF(AND(BL$7="○",$A414&gt;=BL$8,$A414&lt;=BL$9),IF(SUM(BL$10:BL413)-ROUNDDOWN($L414*BL$5/100,0)&lt;-BL$6,-BL$6-SUM(BL$10:BL413),-ROUNDDOWN($L414*BL$5/100,0)),0)</f>
        <v>0</v>
      </c>
      <c r="BM414" s="38">
        <f>IF(AND(BM$7="○",$A414&gt;=BM$8,$A414&lt;=BM$9),IF(SUM(BM$10:BM413)-ROUNDDOWN($M414*BM$5/100,0)&lt;-BM$6,-BM$6-SUM(BM$10:BM413),-ROUNDDOWN($M414*BM$5/100,0)),0)</f>
        <v>0</v>
      </c>
      <c r="BN414" s="38">
        <f>IF(AND(BN$7="○",$A414&gt;=BN$8,$A414&lt;=BN$9),IF(SUM(BN$10:BN413)-ROUNDDOWN($M414*BN$5/100,0)&lt;-BN$6,-BN$6-SUM(BN$10:BN413),-ROUNDDOWN($M414*BN$5/100,0)),0)</f>
        <v>0</v>
      </c>
      <c r="BO414" s="38">
        <f>IF(AND(BO$7="○",$A414&gt;=BO$8,$A414&lt;=BO$9),IF(SUM(BO$10:BO413)-ROUNDDOWN($M414*BO$5/100,0)&lt;-BO$6,-BO$6-SUM(BO$10:BO413),-ROUNDDOWN($M414*BO$5/100,0)),0)</f>
        <v>0</v>
      </c>
      <c r="BP414" s="38">
        <f>IF(AND(BP$7="○",$A414&gt;=BP$8,$A414&lt;=BP$9),IF(SUM(BP$10:BP413)-ROUNDDOWN($M414*BP$5/100,0)&lt;-BP$6,-BP$6-SUM(BP$10:BP413),-ROUNDDOWN($M414*BP$5/100,0)),0)</f>
        <v>0</v>
      </c>
      <c r="BQ414" s="38">
        <f>IF(AND(BQ$7="○",$A414&gt;=BQ$8,$A414&lt;=BQ$9),IF(SUM(BQ$10:BQ413)-ROUNDDOWN($L414*BQ$5/100,0)&lt;-BQ$6,-BQ$6-SUM(BQ$10:BQ413),-ROUNDDOWN($L414*BQ$5/100,0)),0)</f>
        <v>0</v>
      </c>
      <c r="BR414" s="38">
        <f>IF(AND(BR$7="○",$A414&gt;=BR$8,$A414&lt;=BR$9),IF(SUM(BR$10:BR413)-ROUNDDOWN($M414*BR$5/100,0)&lt;-BR$6,-BR$6-SUM(BR$10:BR413),-ROUNDDOWN($M414*BR$5/100,0)),0)</f>
        <v>0</v>
      </c>
      <c r="BS414" s="38">
        <f>IF(AND(BS$7="○",$A414&gt;=BS$8,$A414&lt;=BS$9),IF(SUM(BS$10:BS413)-ROUNDDOWN($M414*BS$5/100,0)&lt;-BS$6,-BS$6-SUM(BS$10:BS413),-ROUNDDOWN($M414*BS$5/100,0)),0)</f>
        <v>0</v>
      </c>
      <c r="BT414" s="38">
        <f>IF(AND(BT$7="○",$A414&gt;=BT$8,$A414&lt;=BT$9),IF(SUM(BT$10:BT413)-ROUNDDOWN($M414*BT$5/100,0)&lt;-BT$6,-BT$6-SUM(BT$10:BT413),-ROUNDDOWN($M414*BT$5/100,0)),0)</f>
        <v>0</v>
      </c>
      <c r="BU414" s="38">
        <f>IF(AND(BU$7="○",$A414&gt;=BU$8,$A414&lt;=BU$9),IF(SUM(BU$10:BU413)-ROUNDDOWN($M414*BU$5/100,0)&lt;-BU$6,-BU$6-SUM(BU$10:BU413),-ROUNDDOWN($M414*BU$5/100,0)),0)</f>
        <v>0</v>
      </c>
      <c r="BV414" s="38">
        <f>IF(AND(BV$7="○",$A414&gt;=BV$8,$A414&lt;=BV$9),IF(SUM(BV$10:BV413)-ROUNDDOWN($M414*BV$5/100,0)&lt;-BV$6,-BV$6-SUM(BV$10:BV413),-ROUNDDOWN($M414*BV$5/100,0)),0)</f>
        <v>0</v>
      </c>
      <c r="BW414" s="38">
        <f>IF(AND(BW$7="○",$A414&gt;=BW$8,$A414&lt;=BW$9),IF(SUM(BW$10:BW413)-ROUNDDOWN($M414*BW$5/100,0)&lt;-BW$6,-BW$6-SUM(BW$10:BW413),-ROUNDDOWN($M414*BW$5/100,0)),0)</f>
        <v>0</v>
      </c>
      <c r="BX414" s="38">
        <f>IF(AND(T414="○",$A414&gt;=BX$8,$A414&lt;=BX$9),IF(SUM(BX$10:BX413)-ROUNDDOWN($K414*BX$5/100,0)&lt;-BX$6,-BX$6-SUM(BX$10:BX413),-ROUNDDOWN($K414*BX$5/100,0)),0)</f>
        <v>0</v>
      </c>
      <c r="BY414" s="38">
        <f>IF(AND(U414="○",$A414&gt;=BY$8,$A414&lt;=BY$9),IF(SUM(BY$10:BY413)-ROUNDDOWN($K414*BY$5/100,0)&lt;-BY$6,-BY$6-SUM(BY$10:BY413),-ROUNDDOWN($K414*BY$5/100,0)),0)</f>
        <v>0</v>
      </c>
      <c r="BZ414" s="38">
        <f>IF(AND(V414="○",$A414&gt;=BZ$8,$A414&lt;=BZ$9),IF(SUM(BZ$10:BZ413)-ROUNDDOWN($K414*BZ$5/100,0)&lt;-BZ$6,-BZ$6-SUM(BZ$10:BZ413),-ROUNDDOWN($K414*BZ$5/100,0)),0)</f>
        <v>0</v>
      </c>
      <c r="CA414" s="38">
        <f>IF(AND(W414="○",$A414&gt;=CA$8,$A414&lt;=CA$9),IF(SUM(CA$10:CA413)-ROUNDDOWN($K414*CA$5/100,0)&lt;-CA$6,-CA$6-SUM(CA$10:CA413),-ROUNDDOWN($K414*CA$5/100,0)),0)</f>
        <v>0</v>
      </c>
      <c r="CB414" s="38"/>
      <c r="CC414" s="38"/>
      <c r="CD414" s="38"/>
      <c r="CE414" s="38"/>
      <c r="CF414" s="38"/>
      <c r="CG414" s="65">
        <f t="shared" si="291"/>
        <v>0</v>
      </c>
      <c r="CH414" s="71">
        <f t="shared" si="292"/>
        <v>0</v>
      </c>
      <c r="CI414" s="1">
        <f t="shared" si="19"/>
        <v>0</v>
      </c>
      <c r="CJ414" s="1"/>
      <c r="CK414" s="72"/>
      <c r="CL414" s="72"/>
      <c r="CM414" s="2"/>
      <c r="CN414" s="2"/>
      <c r="CO414" s="73">
        <f t="shared" si="20"/>
        <v>0</v>
      </c>
      <c r="CP414" s="5">
        <f t="shared" si="21"/>
        <v>0</v>
      </c>
      <c r="CQ414" s="1"/>
      <c r="CR414" s="1">
        <f t="shared" si="22"/>
        <v>0</v>
      </c>
      <c r="CS414" s="1"/>
      <c r="CT414" s="1" t="e">
        <f>INDEX([2]マスタ!$A:$A,MATCH(D414,[2]マスタ!$C:$C,0))</f>
        <v>#N/A</v>
      </c>
      <c r="CU414" s="1" t="str">
        <f t="shared" ca="1" si="23"/>
        <v>20260620_0-0</v>
      </c>
    </row>
    <row r="415" spans="1:99" x14ac:dyDescent="0.4">
      <c r="A415" s="61"/>
      <c r="B415" s="62"/>
      <c r="C415" s="62"/>
      <c r="D415" s="62"/>
      <c r="E415" s="74"/>
      <c r="F415" s="62"/>
      <c r="G415" s="62">
        <v>1</v>
      </c>
      <c r="H415" s="64">
        <f t="shared" si="4"/>
        <v>0</v>
      </c>
      <c r="I415" s="64"/>
      <c r="J415" s="64"/>
      <c r="K415" s="65">
        <f t="shared" si="293"/>
        <v>0</v>
      </c>
      <c r="L415" s="65">
        <f t="shared" si="6"/>
        <v>0</v>
      </c>
      <c r="M415" s="65">
        <f t="shared" si="7"/>
        <v>0</v>
      </c>
      <c r="N415" s="65">
        <f t="shared" si="8"/>
        <v>0</v>
      </c>
      <c r="O415" s="66" t="str">
        <f t="shared" si="9"/>
        <v>✕</v>
      </c>
      <c r="P415" s="67" t="str">
        <f t="shared" si="10"/>
        <v>○</v>
      </c>
      <c r="Q415" s="67" t="str">
        <f t="shared" si="294"/>
        <v>✕</v>
      </c>
      <c r="R415" s="67" t="str">
        <f t="shared" si="12"/>
        <v>✕</v>
      </c>
      <c r="S415" s="68">
        <v>0</v>
      </c>
      <c r="T415" s="69" t="s">
        <v>85</v>
      </c>
      <c r="U415" s="69" t="s">
        <v>85</v>
      </c>
      <c r="V415" s="69" t="s">
        <v>85</v>
      </c>
      <c r="W415" s="69" t="s">
        <v>85</v>
      </c>
      <c r="X415" s="69" t="s">
        <v>84</v>
      </c>
      <c r="Y415" s="69" t="s">
        <v>85</v>
      </c>
      <c r="Z415" s="69" t="s">
        <v>85</v>
      </c>
      <c r="AA415" s="69" t="s">
        <v>85</v>
      </c>
      <c r="AB415" s="69" t="s">
        <v>85</v>
      </c>
      <c r="AC415" s="69" t="s">
        <v>85</v>
      </c>
      <c r="AD415" s="38" t="str">
        <f>+IF(ISERROR(VLOOKUP($B415,AD$10:AD414,1,0)),IF(AND($N415&gt;=1000,$A415&gt;=AO$8,$A415&lt;=AO$9),$B415,""),"")</f>
        <v/>
      </c>
      <c r="AE415" s="38" t="str">
        <f>+IF(ISERROR(VLOOKUP($B415,AE$10:AE414,1,0)),IF(AND($N415&gt;=1000,$A415&gt;=AP$8,$A415&lt;=AP$9),$B415,""),"")</f>
        <v/>
      </c>
      <c r="AF415" s="38" t="str">
        <f>+IF(ISERROR(VLOOKUP($B415,AF$10:AF414,1,0)),IF(AND($N415&gt;=1000,$A415&gt;=AQ$8,$A415&lt;=AQ$9),$B415,""),"")</f>
        <v/>
      </c>
      <c r="AG415" s="38" t="str">
        <f>+IF(ISERROR(VLOOKUP($B415,AG$10:AG414,1,0)),IF(AND($N415&gt;=1000,$A415&gt;=AR$8,$A415&lt;=AR$9),$B415,""),"")</f>
        <v/>
      </c>
      <c r="AH415" s="38"/>
      <c r="AI415" s="70">
        <v>0</v>
      </c>
      <c r="AJ415" s="38">
        <f>IF(AND(AJ$7="○",$A415&gt;=AJ$8,$A415&lt;=AJ$9),IF(SUM(AJ$10:AJ414)-ROUNDDOWN($K415*AJ$5/100,0)&lt;-AJ$6,-AJ$6-SUM(AJ$10:AJ414),-ROUNDDOWN($K415*AJ$5/100,0)),0)</f>
        <v>0</v>
      </c>
      <c r="AK415" s="38">
        <f>IF(AND(AK$7="○",$A415&gt;=AK$8,$A415&lt;=AK$9),IF(SUM(AK$10:AK414)-ROUNDDOWN($L415*AK$5/100,0)&lt;-AK$6,-AK$6-SUM(AK$10:AK414),-ROUNDDOWN($L415*AK$5/100,0)),0)</f>
        <v>0</v>
      </c>
      <c r="AL415" s="38">
        <f>IF(AND(AL$7="○",$A415&gt;=AL$8,$A415&lt;=AL$9),IF(SUM(AL$10:AL414)-ROUNDDOWN($N415*AL$5/100,0)&lt;-AL$6,-AL$6-SUM(AL$10:AL414),-ROUNDDOWN($N415*AL$5/100,0)),0)</f>
        <v>0</v>
      </c>
      <c r="AM415" s="38">
        <f>IF(AND(AM$7="○",$A415&gt;=AM$8,$A415&lt;=AM$9),IF(SUM(AM$10:AM414)-ROUNDDOWN($L415*AM$5/100,0)&lt;-AM$6,-AM$6-SUM(AM$10:AM414),-ROUNDDOWN($L415*AM$5/100,0)),0)</f>
        <v>0</v>
      </c>
      <c r="AN415" s="38">
        <f>IF(AND(AN$7="○",$A415&gt;=AN$8,$A415&lt;=AN$9),IF(SUM(AN$10:AN414)-ROUNDDOWN($M415*AN$5/100,0)&lt;-AN$6,-AN$6-SUM(AN$10:AN414),-ROUNDDOWN($M415*AN$5/100,0)),0)</f>
        <v>0</v>
      </c>
      <c r="AO415" s="38">
        <f>IF(AND($A415&gt;=AO$8,$A415&lt;=AO$9),IF(SUM(AO$10:AO414)-ROUNDDOWN($K415*AO$5/100,0)&lt;-AO$6,-AO$6-SUM(AO$10:AO414),-ROUNDDOWN($K415*AO$5/100,0)),0)</f>
        <v>0</v>
      </c>
      <c r="AP415" s="38">
        <f>IF(AND($A415&gt;=AP$8,$A415&lt;=AP$9),IF(SUM(AP$10:AP414)-ROUNDDOWN($K415*AP$5/100,0)&lt;-AP$6,-AP$6-SUM(AP$10:AP414),-ROUNDDOWN($K415*AP$5/100,0)),0)</f>
        <v>0</v>
      </c>
      <c r="AQ415" s="38">
        <f>IF(AND($A415&gt;=AQ$8,$A415&lt;=AQ$9),IF(SUM(AQ$10:AQ414)-ROUNDDOWN($K415*AQ$5/100,0)&lt;-AQ$6,-AQ$6-SUM(AQ$10:AQ414),-ROUNDDOWN($K415*AQ$5/100,0)),0)</f>
        <v>0</v>
      </c>
      <c r="AR415" s="38">
        <f>IF(AND($A415&gt;=AR$8,$A415&lt;=AR$9),IF(SUM(AR$10:AR414)-ROUNDDOWN($K415*AR$5/100,0)&lt;-AR$6,-AR$6-SUM(AR$10:AR414),-ROUNDDOWN($K415*AR$5/100,0)),0)</f>
        <v>0</v>
      </c>
      <c r="AS415" s="38">
        <f>IF(SUMIFS(AS$10:AS414,$A$10:$A414,$A415)-ROUNDDOWN($K415*$S415/100,0)&lt;-$S415*1000,-$S415*1000-SUMIFS(AS$10:AS414,$A$10:$A414,$A415),-ROUNDDOWN($K415*$S415/100,0))</f>
        <v>0</v>
      </c>
      <c r="AT415" s="38">
        <f>IF(AND(X415="○",$A415&gt;=AT$8,$A415&lt;=AT$9,K415&gt;=3980),IF(SUM(AT$10:AT414)-ROUNDDOWN($K415*AT$5/100,0)&lt;-AT$6,-AT$6-SUM(AT$10:AT414),-ROUNDDOWN($K415*AT$5/100,0)),0)</f>
        <v>0</v>
      </c>
      <c r="AU415" s="38">
        <f>IF(O415="○",IF(SUM(AU$10:AU414)-ROUNDDOWN($K415*AU$5/100,0)&lt;-AU$6,-AU$6-SUM(AU$10:AU414),-ROUNDDOWN($K415*AU$5/100,0)),0)</f>
        <v>0</v>
      </c>
      <c r="AV415" s="38">
        <f>IF(P415="○",IF(SUM(AV$10:AV414)-ROUNDDOWN($K415*AV$5/100,0)&lt;-AV$6,-AV$6-SUM(AV$10:AV414),-ROUNDDOWN($K415*AV$5/100,0)),0)</f>
        <v>0</v>
      </c>
      <c r="AW415" s="38">
        <f>IF(Q415="○",IF(SUM(AW$10:AW414)-ROUNDDOWN($K415*AW$5/100,0)&lt;-AW$6,-AW$6-SUM(AW$10:AW414),-ROUNDDOWN($K415*AW$5/100,0)),0)</f>
        <v>0</v>
      </c>
      <c r="AX415" s="38">
        <f>IF(R415="○",IF(SUM(AX$10:AX414)-ROUNDDOWN($K415*AX$5/100,0)&lt;-AX$6,-AX$6-SUM(AX$10:AX414),-ROUNDDOWN($K415*AX$5/100,0)),0)</f>
        <v>0</v>
      </c>
      <c r="AY415" s="70">
        <v>0</v>
      </c>
      <c r="AZ415" s="65">
        <f t="shared" si="285"/>
        <v>0</v>
      </c>
      <c r="BA415" s="65">
        <f t="shared" si="286"/>
        <v>0</v>
      </c>
      <c r="BB415" s="70"/>
      <c r="BC415" s="65">
        <f t="shared" si="287"/>
        <v>0</v>
      </c>
      <c r="BD415" s="70">
        <v>0</v>
      </c>
      <c r="BE415" s="65">
        <f t="shared" si="288"/>
        <v>0</v>
      </c>
      <c r="BF415" s="70">
        <v>0</v>
      </c>
      <c r="BG415" s="65">
        <f t="shared" si="289"/>
        <v>0</v>
      </c>
      <c r="BH415" s="70">
        <v>0</v>
      </c>
      <c r="BI415" s="65">
        <f t="shared" si="290"/>
        <v>0</v>
      </c>
      <c r="BJ415" s="38">
        <f>IF(AND(BJ$7="○",$A415&gt;=BJ$8,$A415&lt;=BJ$9),IF(SUM(BJ$10:BJ414)-ROUNDDOWN($M415*BJ$5/100,0)&lt;-BJ$6,-BJ$6-SUM(BJ$10:BJ414),-ROUNDDOWN($M415*BJ$5/100,0)),0)</f>
        <v>0</v>
      </c>
      <c r="BK415" s="38">
        <f>IF(AND(BK$7="○",$A415&gt;=BK$8,$A415&lt;=BK$9),IF(SUM(BK$10:BK414)-ROUNDDOWN($L415*BK$5/100,0)&lt;-BK$6,-BK$6-SUM(BK$10:BK414),-ROUNDDOWN($L415*BK$5/100,0)),0)</f>
        <v>0</v>
      </c>
      <c r="BL415" s="38">
        <f>IF(AND(BL$7="○",$A415&gt;=BL$8,$A415&lt;=BL$9),IF(SUM(BL$10:BL414)-ROUNDDOWN($L415*BL$5/100,0)&lt;-BL$6,-BL$6-SUM(BL$10:BL414),-ROUNDDOWN($L415*BL$5/100,0)),0)</f>
        <v>0</v>
      </c>
      <c r="BM415" s="38">
        <f>IF(AND(BM$7="○",$A415&gt;=BM$8,$A415&lt;=BM$9),IF(SUM(BM$10:BM414)-ROUNDDOWN($M415*BM$5/100,0)&lt;-BM$6,-BM$6-SUM(BM$10:BM414),-ROUNDDOWN($M415*BM$5/100,0)),0)</f>
        <v>0</v>
      </c>
      <c r="BN415" s="38">
        <f>IF(AND(BN$7="○",$A415&gt;=BN$8,$A415&lt;=BN$9),IF(SUM(BN$10:BN414)-ROUNDDOWN($M415*BN$5/100,0)&lt;-BN$6,-BN$6-SUM(BN$10:BN414),-ROUNDDOWN($M415*BN$5/100,0)),0)</f>
        <v>0</v>
      </c>
      <c r="BO415" s="38">
        <f>IF(AND(BO$7="○",$A415&gt;=BO$8,$A415&lt;=BO$9),IF(SUM(BO$10:BO414)-ROUNDDOWN($M415*BO$5/100,0)&lt;-BO$6,-BO$6-SUM(BO$10:BO414),-ROUNDDOWN($M415*BO$5/100,0)),0)</f>
        <v>0</v>
      </c>
      <c r="BP415" s="38">
        <f>IF(AND(BP$7="○",$A415&gt;=BP$8,$A415&lt;=BP$9),IF(SUM(BP$10:BP414)-ROUNDDOWN($M415*BP$5/100,0)&lt;-BP$6,-BP$6-SUM(BP$10:BP414),-ROUNDDOWN($M415*BP$5/100,0)),0)</f>
        <v>0</v>
      </c>
      <c r="BQ415" s="38">
        <f>IF(AND(BQ$7="○",$A415&gt;=BQ$8,$A415&lt;=BQ$9),IF(SUM(BQ$10:BQ414)-ROUNDDOWN($L415*BQ$5/100,0)&lt;-BQ$6,-BQ$6-SUM(BQ$10:BQ414),-ROUNDDOWN($L415*BQ$5/100,0)),0)</f>
        <v>0</v>
      </c>
      <c r="BR415" s="38">
        <f>IF(AND(BR$7="○",$A415&gt;=BR$8,$A415&lt;=BR$9),IF(SUM(BR$10:BR414)-ROUNDDOWN($M415*BR$5/100,0)&lt;-BR$6,-BR$6-SUM(BR$10:BR414),-ROUNDDOWN($M415*BR$5/100,0)),0)</f>
        <v>0</v>
      </c>
      <c r="BS415" s="38">
        <f>IF(AND(BS$7="○",$A415&gt;=BS$8,$A415&lt;=BS$9),IF(SUM(BS$10:BS414)-ROUNDDOWN($M415*BS$5/100,0)&lt;-BS$6,-BS$6-SUM(BS$10:BS414),-ROUNDDOWN($M415*BS$5/100,0)),0)</f>
        <v>0</v>
      </c>
      <c r="BT415" s="38">
        <f>IF(AND(BT$7="○",$A415&gt;=BT$8,$A415&lt;=BT$9),IF(SUM(BT$10:BT414)-ROUNDDOWN($M415*BT$5/100,0)&lt;-BT$6,-BT$6-SUM(BT$10:BT414),-ROUNDDOWN($M415*BT$5/100,0)),0)</f>
        <v>0</v>
      </c>
      <c r="BU415" s="38">
        <f>IF(AND(BU$7="○",$A415&gt;=BU$8,$A415&lt;=BU$9),IF(SUM(BU$10:BU414)-ROUNDDOWN($M415*BU$5/100,0)&lt;-BU$6,-BU$6-SUM(BU$10:BU414),-ROUNDDOWN($M415*BU$5/100,0)),0)</f>
        <v>0</v>
      </c>
      <c r="BV415" s="38">
        <f>IF(AND(BV$7="○",$A415&gt;=BV$8,$A415&lt;=BV$9),IF(SUM(BV$10:BV414)-ROUNDDOWN($M415*BV$5/100,0)&lt;-BV$6,-BV$6-SUM(BV$10:BV414),-ROUNDDOWN($M415*BV$5/100,0)),0)</f>
        <v>0</v>
      </c>
      <c r="BW415" s="38">
        <f>IF(AND(BW$7="○",$A415&gt;=BW$8,$A415&lt;=BW$9),IF(SUM(BW$10:BW414)-ROUNDDOWN($M415*BW$5/100,0)&lt;-BW$6,-BW$6-SUM(BW$10:BW414),-ROUNDDOWN($M415*BW$5/100,0)),0)</f>
        <v>0</v>
      </c>
      <c r="BX415" s="38">
        <f>IF(AND(T415="○",$A415&gt;=BX$8,$A415&lt;=BX$9),IF(SUM(BX$10:BX414)-ROUNDDOWN($K415*BX$5/100,0)&lt;-BX$6,-BX$6-SUM(BX$10:BX414),-ROUNDDOWN($K415*BX$5/100,0)),0)</f>
        <v>0</v>
      </c>
      <c r="BY415" s="38">
        <f>IF(AND(U415="○",$A415&gt;=BY$8,$A415&lt;=BY$9),IF(SUM(BY$10:BY414)-ROUNDDOWN($K415*BY$5/100,0)&lt;-BY$6,-BY$6-SUM(BY$10:BY414),-ROUNDDOWN($K415*BY$5/100,0)),0)</f>
        <v>0</v>
      </c>
      <c r="BZ415" s="38">
        <f>IF(AND(V415="○",$A415&gt;=BZ$8,$A415&lt;=BZ$9),IF(SUM(BZ$10:BZ414)-ROUNDDOWN($K415*BZ$5/100,0)&lt;-BZ$6,-BZ$6-SUM(BZ$10:BZ414),-ROUNDDOWN($K415*BZ$5/100,0)),0)</f>
        <v>0</v>
      </c>
      <c r="CA415" s="38">
        <f>IF(AND(W415="○",$A415&gt;=CA$8,$A415&lt;=CA$9),IF(SUM(CA$10:CA414)-ROUNDDOWN($K415*CA$5/100,0)&lt;-CA$6,-CA$6-SUM(CA$10:CA414),-ROUNDDOWN($K415*CA$5/100,0)),0)</f>
        <v>0</v>
      </c>
      <c r="CB415" s="38"/>
      <c r="CC415" s="38"/>
      <c r="CD415" s="38"/>
      <c r="CE415" s="38"/>
      <c r="CF415" s="38"/>
      <c r="CG415" s="65">
        <f t="shared" si="291"/>
        <v>0</v>
      </c>
      <c r="CH415" s="71">
        <f t="shared" si="292"/>
        <v>0</v>
      </c>
      <c r="CI415" s="1">
        <f t="shared" si="19"/>
        <v>0</v>
      </c>
      <c r="CJ415" s="1"/>
      <c r="CK415" s="72"/>
      <c r="CL415" s="72"/>
      <c r="CM415" s="2"/>
      <c r="CN415" s="2"/>
      <c r="CO415" s="73">
        <f t="shared" si="20"/>
        <v>0</v>
      </c>
      <c r="CP415" s="5">
        <f t="shared" si="21"/>
        <v>0</v>
      </c>
      <c r="CQ415" s="1"/>
      <c r="CR415" s="1">
        <f t="shared" si="22"/>
        <v>0</v>
      </c>
      <c r="CS415" s="1"/>
      <c r="CT415" s="1" t="e">
        <f>INDEX([2]マスタ!$A:$A,MATCH(D415,[2]マスタ!$C:$C,0))</f>
        <v>#N/A</v>
      </c>
      <c r="CU415" s="1" t="str">
        <f t="shared" ca="1" si="23"/>
        <v>20260620_0-0</v>
      </c>
    </row>
    <row r="416" spans="1:99" x14ac:dyDescent="0.4">
      <c r="A416" s="61"/>
      <c r="B416" s="62"/>
      <c r="C416" s="62"/>
      <c r="D416" s="62"/>
      <c r="E416" s="74"/>
      <c r="F416" s="62"/>
      <c r="G416" s="62">
        <v>1</v>
      </c>
      <c r="H416" s="64">
        <f t="shared" si="4"/>
        <v>0</v>
      </c>
      <c r="I416" s="64"/>
      <c r="J416" s="64"/>
      <c r="K416" s="65">
        <f t="shared" si="293"/>
        <v>0</v>
      </c>
      <c r="L416" s="65">
        <f t="shared" si="6"/>
        <v>0</v>
      </c>
      <c r="M416" s="65">
        <f t="shared" si="7"/>
        <v>0</v>
      </c>
      <c r="N416" s="65">
        <f t="shared" si="8"/>
        <v>0</v>
      </c>
      <c r="O416" s="66" t="str">
        <f t="shared" si="9"/>
        <v>✕</v>
      </c>
      <c r="P416" s="67" t="str">
        <f t="shared" si="10"/>
        <v>○</v>
      </c>
      <c r="Q416" s="67" t="str">
        <f t="shared" si="294"/>
        <v>✕</v>
      </c>
      <c r="R416" s="67" t="str">
        <f t="shared" si="12"/>
        <v>✕</v>
      </c>
      <c r="S416" s="68">
        <v>0</v>
      </c>
      <c r="T416" s="69" t="s">
        <v>85</v>
      </c>
      <c r="U416" s="69" t="s">
        <v>85</v>
      </c>
      <c r="V416" s="69" t="s">
        <v>85</v>
      </c>
      <c r="W416" s="69" t="s">
        <v>85</v>
      </c>
      <c r="X416" s="69" t="s">
        <v>84</v>
      </c>
      <c r="Y416" s="69" t="s">
        <v>85</v>
      </c>
      <c r="Z416" s="69" t="s">
        <v>85</v>
      </c>
      <c r="AA416" s="69" t="s">
        <v>85</v>
      </c>
      <c r="AB416" s="69" t="s">
        <v>85</v>
      </c>
      <c r="AC416" s="69" t="s">
        <v>85</v>
      </c>
      <c r="AD416" s="38" t="str">
        <f>+IF(ISERROR(VLOOKUP($B416,AD$10:AD415,1,0)),IF(AND($N416&gt;=1000,$A416&gt;=AO$8,$A416&lt;=AO$9),$B416,""),"")</f>
        <v/>
      </c>
      <c r="AE416" s="38" t="str">
        <f>+IF(ISERROR(VLOOKUP($B416,AE$10:AE415,1,0)),IF(AND($N416&gt;=1000,$A416&gt;=AP$8,$A416&lt;=AP$9),$B416,""),"")</f>
        <v/>
      </c>
      <c r="AF416" s="38" t="str">
        <f>+IF(ISERROR(VLOOKUP($B416,AF$10:AF415,1,0)),IF(AND($N416&gt;=1000,$A416&gt;=AQ$8,$A416&lt;=AQ$9),$B416,""),"")</f>
        <v/>
      </c>
      <c r="AG416" s="38" t="str">
        <f>+IF(ISERROR(VLOOKUP($B416,AG$10:AG415,1,0)),IF(AND($N416&gt;=1000,$A416&gt;=AR$8,$A416&lt;=AR$9),$B416,""),"")</f>
        <v/>
      </c>
      <c r="AH416" s="38"/>
      <c r="AI416" s="70">
        <v>0</v>
      </c>
      <c r="AJ416" s="38">
        <f>IF(AND(AJ$7="○",$A416&gt;=AJ$8,$A416&lt;=AJ$9),IF(SUM(AJ$10:AJ415)-ROUNDDOWN($K416*AJ$5/100,0)&lt;-AJ$6,-AJ$6-SUM(AJ$10:AJ415),-ROUNDDOWN($K416*AJ$5/100,0)),0)</f>
        <v>0</v>
      </c>
      <c r="AK416" s="38">
        <f>IF(AND(AK$7="○",$A416&gt;=AK$8,$A416&lt;=AK$9),IF(SUM(AK$10:AK415)-ROUNDDOWN($L416*AK$5/100,0)&lt;-AK$6,-AK$6-SUM(AK$10:AK415),-ROUNDDOWN($L416*AK$5/100,0)),0)</f>
        <v>0</v>
      </c>
      <c r="AL416" s="38">
        <f>IF(AND(AL$7="○",$A416&gt;=AL$8,$A416&lt;=AL$9),IF(SUM(AL$10:AL415)-ROUNDDOWN($N416*AL$5/100,0)&lt;-AL$6,-AL$6-SUM(AL$10:AL415),-ROUNDDOWN($N416*AL$5/100,0)),0)</f>
        <v>0</v>
      </c>
      <c r="AM416" s="38">
        <f>IF(AND(AM$7="○",$A416&gt;=AM$8,$A416&lt;=AM$9),IF(SUM(AM$10:AM415)-ROUNDDOWN($L416*AM$5/100,0)&lt;-AM$6,-AM$6-SUM(AM$10:AM415),-ROUNDDOWN($L416*AM$5/100,0)),0)</f>
        <v>0</v>
      </c>
      <c r="AN416" s="38">
        <f>IF(AND(AN$7="○",$A416&gt;=AN$8,$A416&lt;=AN$9),IF(SUM(AN$10:AN415)-ROUNDDOWN($M416*AN$5/100,0)&lt;-AN$6,-AN$6-SUM(AN$10:AN415),-ROUNDDOWN($M416*AN$5/100,0)),0)</f>
        <v>0</v>
      </c>
      <c r="AO416" s="38">
        <f>IF(AND($A416&gt;=AO$8,$A416&lt;=AO$9),IF(SUM(AO$10:AO415)-ROUNDDOWN($K416*AO$5/100,0)&lt;-AO$6,-AO$6-SUM(AO$10:AO415),-ROUNDDOWN($K416*AO$5/100,0)),0)</f>
        <v>0</v>
      </c>
      <c r="AP416" s="38">
        <f>IF(AND($A416&gt;=AP$8,$A416&lt;=AP$9),IF(SUM(AP$10:AP415)-ROUNDDOWN($K416*AP$5/100,0)&lt;-AP$6,-AP$6-SUM(AP$10:AP415),-ROUNDDOWN($K416*AP$5/100,0)),0)</f>
        <v>0</v>
      </c>
      <c r="AQ416" s="38">
        <f>IF(AND($A416&gt;=AQ$8,$A416&lt;=AQ$9),IF(SUM(AQ$10:AQ415)-ROUNDDOWN($K416*AQ$5/100,0)&lt;-AQ$6,-AQ$6-SUM(AQ$10:AQ415),-ROUNDDOWN($K416*AQ$5/100,0)),0)</f>
        <v>0</v>
      </c>
      <c r="AR416" s="38">
        <f>IF(AND($A416&gt;=AR$8,$A416&lt;=AR$9),IF(SUM(AR$10:AR415)-ROUNDDOWN($K416*AR$5/100,0)&lt;-AR$6,-AR$6-SUM(AR$10:AR415),-ROUNDDOWN($K416*AR$5/100,0)),0)</f>
        <v>0</v>
      </c>
      <c r="AS416" s="38">
        <f>IF(SUMIFS(AS$10:AS415,$A$10:$A415,$A416)-ROUNDDOWN($K416*$S416/100,0)&lt;-$S416*1000,-$S416*1000-SUMIFS(AS$10:AS415,$A$10:$A415,$A416),-ROUNDDOWN($K416*$S416/100,0))</f>
        <v>0</v>
      </c>
      <c r="AT416" s="38">
        <f>IF(AND(X416="○",$A416&gt;=AT$8,$A416&lt;=AT$9,K416&gt;=3980),IF(SUM(AT$10:AT415)-ROUNDDOWN($K416*AT$5/100,0)&lt;-AT$6,-AT$6-SUM(AT$10:AT415),-ROUNDDOWN($K416*AT$5/100,0)),0)</f>
        <v>0</v>
      </c>
      <c r="AU416" s="38">
        <f>IF(O416="○",IF(SUM(AU$10:AU415)-ROUNDDOWN($K416*AU$5/100,0)&lt;-AU$6,-AU$6-SUM(AU$10:AU415),-ROUNDDOWN($K416*AU$5/100,0)),0)</f>
        <v>0</v>
      </c>
      <c r="AV416" s="38">
        <f>IF(P416="○",IF(SUM(AV$10:AV415)-ROUNDDOWN($K416*AV$5/100,0)&lt;-AV$6,-AV$6-SUM(AV$10:AV415),-ROUNDDOWN($K416*AV$5/100,0)),0)</f>
        <v>0</v>
      </c>
      <c r="AW416" s="38">
        <f>IF(Q416="○",IF(SUM(AW$10:AW415)-ROUNDDOWN($K416*AW$5/100,0)&lt;-AW$6,-AW$6-SUM(AW$10:AW415),-ROUNDDOWN($K416*AW$5/100,0)),0)</f>
        <v>0</v>
      </c>
      <c r="AX416" s="38">
        <f>IF(R416="○",IF(SUM(AX$10:AX415)-ROUNDDOWN($K416*AX$5/100,0)&lt;-AX$6,-AX$6-SUM(AX$10:AX415),-ROUNDDOWN($K416*AX$5/100,0)),0)</f>
        <v>0</v>
      </c>
      <c r="AY416" s="70">
        <v>0</v>
      </c>
      <c r="AZ416" s="65">
        <f t="shared" si="285"/>
        <v>0</v>
      </c>
      <c r="BA416" s="65">
        <f t="shared" si="286"/>
        <v>0</v>
      </c>
      <c r="BB416" s="70"/>
      <c r="BC416" s="65">
        <f t="shared" si="287"/>
        <v>0</v>
      </c>
      <c r="BD416" s="70">
        <v>0</v>
      </c>
      <c r="BE416" s="65">
        <f t="shared" si="288"/>
        <v>0</v>
      </c>
      <c r="BF416" s="70">
        <v>0</v>
      </c>
      <c r="BG416" s="65">
        <f t="shared" si="289"/>
        <v>0</v>
      </c>
      <c r="BH416" s="70">
        <v>0</v>
      </c>
      <c r="BI416" s="65">
        <f t="shared" si="290"/>
        <v>0</v>
      </c>
      <c r="BJ416" s="38">
        <f>IF(AND(BJ$7="○",$A416&gt;=BJ$8,$A416&lt;=BJ$9),IF(SUM(BJ$10:BJ415)-ROUNDDOWN($M416*BJ$5/100,0)&lt;-BJ$6,-BJ$6-SUM(BJ$10:BJ415),-ROUNDDOWN($M416*BJ$5/100,0)),0)</f>
        <v>0</v>
      </c>
      <c r="BK416" s="38">
        <f>IF(AND(BK$7="○",$A416&gt;=BK$8,$A416&lt;=BK$9),IF(SUM(BK$10:BK415)-ROUNDDOWN($L416*BK$5/100,0)&lt;-BK$6,-BK$6-SUM(BK$10:BK415),-ROUNDDOWN($L416*BK$5/100,0)),0)</f>
        <v>0</v>
      </c>
      <c r="BL416" s="38">
        <f>IF(AND(BL$7="○",$A416&gt;=BL$8,$A416&lt;=BL$9),IF(SUM(BL$10:BL415)-ROUNDDOWN($L416*BL$5/100,0)&lt;-BL$6,-BL$6-SUM(BL$10:BL415),-ROUNDDOWN($L416*BL$5/100,0)),0)</f>
        <v>0</v>
      </c>
      <c r="BM416" s="38">
        <f>IF(AND(BM$7="○",$A416&gt;=BM$8,$A416&lt;=BM$9),IF(SUM(BM$10:BM415)-ROUNDDOWN($M416*BM$5/100,0)&lt;-BM$6,-BM$6-SUM(BM$10:BM415),-ROUNDDOWN($M416*BM$5/100,0)),0)</f>
        <v>0</v>
      </c>
      <c r="BN416" s="38">
        <f>IF(AND(BN$7="○",$A416&gt;=BN$8,$A416&lt;=BN$9),IF(SUM(BN$10:BN415)-ROUNDDOWN($M416*BN$5/100,0)&lt;-BN$6,-BN$6-SUM(BN$10:BN415),-ROUNDDOWN($M416*BN$5/100,0)),0)</f>
        <v>0</v>
      </c>
      <c r="BO416" s="38">
        <f>IF(AND(BO$7="○",$A416&gt;=BO$8,$A416&lt;=BO$9),IF(SUM(BO$10:BO415)-ROUNDDOWN($M416*BO$5/100,0)&lt;-BO$6,-BO$6-SUM(BO$10:BO415),-ROUNDDOWN($M416*BO$5/100,0)),0)</f>
        <v>0</v>
      </c>
      <c r="BP416" s="38">
        <f>IF(AND(BP$7="○",$A416&gt;=BP$8,$A416&lt;=BP$9),IF(SUM(BP$10:BP415)-ROUNDDOWN($M416*BP$5/100,0)&lt;-BP$6,-BP$6-SUM(BP$10:BP415),-ROUNDDOWN($M416*BP$5/100,0)),0)</f>
        <v>0</v>
      </c>
      <c r="BQ416" s="38">
        <f>IF(AND(BQ$7="○",$A416&gt;=BQ$8,$A416&lt;=BQ$9),IF(SUM(BQ$10:BQ415)-ROUNDDOWN($L416*BQ$5/100,0)&lt;-BQ$6,-BQ$6-SUM(BQ$10:BQ415),-ROUNDDOWN($L416*BQ$5/100,0)),0)</f>
        <v>0</v>
      </c>
      <c r="BR416" s="38">
        <f>IF(AND(BR$7="○",$A416&gt;=BR$8,$A416&lt;=BR$9),IF(SUM(BR$10:BR415)-ROUNDDOWN($M416*BR$5/100,0)&lt;-BR$6,-BR$6-SUM(BR$10:BR415),-ROUNDDOWN($M416*BR$5/100,0)),0)</f>
        <v>0</v>
      </c>
      <c r="BS416" s="38">
        <f>IF(AND(BS$7="○",$A416&gt;=BS$8,$A416&lt;=BS$9),IF(SUM(BS$10:BS415)-ROUNDDOWN($M416*BS$5/100,0)&lt;-BS$6,-BS$6-SUM(BS$10:BS415),-ROUNDDOWN($M416*BS$5/100,0)),0)</f>
        <v>0</v>
      </c>
      <c r="BT416" s="38">
        <f>IF(AND(BT$7="○",$A416&gt;=BT$8,$A416&lt;=BT$9),IF(SUM(BT$10:BT415)-ROUNDDOWN($M416*BT$5/100,0)&lt;-BT$6,-BT$6-SUM(BT$10:BT415),-ROUNDDOWN($M416*BT$5/100,0)),0)</f>
        <v>0</v>
      </c>
      <c r="BU416" s="38">
        <f>IF(AND(BU$7="○",$A416&gt;=BU$8,$A416&lt;=BU$9),IF(SUM(BU$10:BU415)-ROUNDDOWN($M416*BU$5/100,0)&lt;-BU$6,-BU$6-SUM(BU$10:BU415),-ROUNDDOWN($M416*BU$5/100,0)),0)</f>
        <v>0</v>
      </c>
      <c r="BV416" s="38">
        <f>IF(AND(BV$7="○",$A416&gt;=BV$8,$A416&lt;=BV$9),IF(SUM(BV$10:BV415)-ROUNDDOWN($M416*BV$5/100,0)&lt;-BV$6,-BV$6-SUM(BV$10:BV415),-ROUNDDOWN($M416*BV$5/100,0)),0)</f>
        <v>0</v>
      </c>
      <c r="BW416" s="38">
        <f>IF(AND(BW$7="○",$A416&gt;=BW$8,$A416&lt;=BW$9),IF(SUM(BW$10:BW415)-ROUNDDOWN($M416*BW$5/100,0)&lt;-BW$6,-BW$6-SUM(BW$10:BW415),-ROUNDDOWN($M416*BW$5/100,0)),0)</f>
        <v>0</v>
      </c>
      <c r="BX416" s="38">
        <f>IF(AND(T416="○",$A416&gt;=BX$8,$A416&lt;=BX$9),IF(SUM(BX$10:BX415)-ROUNDDOWN($K416*BX$5/100,0)&lt;-BX$6,-BX$6-SUM(BX$10:BX415),-ROUNDDOWN($K416*BX$5/100,0)),0)</f>
        <v>0</v>
      </c>
      <c r="BY416" s="38">
        <f>IF(AND(U416="○",$A416&gt;=BY$8,$A416&lt;=BY$9),IF(SUM(BY$10:BY415)-ROUNDDOWN($K416*BY$5/100,0)&lt;-BY$6,-BY$6-SUM(BY$10:BY415),-ROUNDDOWN($K416*BY$5/100,0)),0)</f>
        <v>0</v>
      </c>
      <c r="BZ416" s="38">
        <f>IF(AND(V416="○",$A416&gt;=BZ$8,$A416&lt;=BZ$9),IF(SUM(BZ$10:BZ415)-ROUNDDOWN($K416*BZ$5/100,0)&lt;-BZ$6,-BZ$6-SUM(BZ$10:BZ415),-ROUNDDOWN($K416*BZ$5/100,0)),0)</f>
        <v>0</v>
      </c>
      <c r="CA416" s="38">
        <f>IF(AND(W416="○",$A416&gt;=CA$8,$A416&lt;=CA$9),IF(SUM(CA$10:CA415)-ROUNDDOWN($K416*CA$5/100,0)&lt;-CA$6,-CA$6-SUM(CA$10:CA415),-ROUNDDOWN($K416*CA$5/100,0)),0)</f>
        <v>0</v>
      </c>
      <c r="CB416" s="38"/>
      <c r="CC416" s="38"/>
      <c r="CD416" s="38"/>
      <c r="CE416" s="38"/>
      <c r="CF416" s="38"/>
      <c r="CG416" s="65">
        <f t="shared" si="291"/>
        <v>0</v>
      </c>
      <c r="CH416" s="71">
        <f t="shared" si="292"/>
        <v>0</v>
      </c>
      <c r="CI416" s="1">
        <f t="shared" si="19"/>
        <v>0</v>
      </c>
      <c r="CJ416" s="1"/>
      <c r="CK416" s="72"/>
      <c r="CL416" s="72"/>
      <c r="CM416" s="2"/>
      <c r="CN416" s="2"/>
      <c r="CO416" s="73">
        <f t="shared" si="20"/>
        <v>0</v>
      </c>
      <c r="CP416" s="5">
        <f t="shared" si="21"/>
        <v>0</v>
      </c>
      <c r="CQ416" s="1"/>
      <c r="CR416" s="1">
        <f t="shared" si="22"/>
        <v>0</v>
      </c>
      <c r="CS416" s="1"/>
      <c r="CT416" s="1" t="e">
        <f>INDEX([2]マスタ!$A:$A,MATCH(D416,[2]マスタ!$C:$C,0))</f>
        <v>#N/A</v>
      </c>
      <c r="CU416" s="1" t="str">
        <f t="shared" ca="1" si="23"/>
        <v>20260620_0-0</v>
      </c>
    </row>
    <row r="417" spans="1:99" x14ac:dyDescent="0.4">
      <c r="A417" s="61"/>
      <c r="B417" s="62"/>
      <c r="C417" s="62"/>
      <c r="D417" s="62"/>
      <c r="E417" s="74"/>
      <c r="F417" s="62"/>
      <c r="G417" s="62">
        <v>1</v>
      </c>
      <c r="H417" s="64">
        <f t="shared" si="4"/>
        <v>0</v>
      </c>
      <c r="I417" s="64"/>
      <c r="J417" s="64"/>
      <c r="K417" s="65">
        <f t="shared" si="293"/>
        <v>0</v>
      </c>
      <c r="L417" s="65">
        <f t="shared" si="6"/>
        <v>0</v>
      </c>
      <c r="M417" s="65">
        <f t="shared" si="7"/>
        <v>0</v>
      </c>
      <c r="N417" s="65">
        <f t="shared" si="8"/>
        <v>0</v>
      </c>
      <c r="O417" s="66" t="str">
        <f t="shared" ref="O417:O435" si="295">IF(OR(WEEKDAY($A417,2)=2,WEEKDAY($A417,2)=4),"○","✕")</f>
        <v>✕</v>
      </c>
      <c r="P417" s="67" t="str">
        <f t="shared" ref="P417:P435" si="296">+IF(MOD(TEXT($A417,"DD"),5)=0,"○","✕")</f>
        <v>○</v>
      </c>
      <c r="Q417" s="67" t="str">
        <f t="shared" si="294"/>
        <v>✕</v>
      </c>
      <c r="R417" s="67" t="str">
        <f t="shared" ref="R417:R435" si="297">+IF((TEXT($A417,"DD")+0)=18,"○","✕")</f>
        <v>✕</v>
      </c>
      <c r="S417" s="68">
        <v>0</v>
      </c>
      <c r="T417" s="69" t="s">
        <v>85</v>
      </c>
      <c r="U417" s="69" t="s">
        <v>85</v>
      </c>
      <c r="V417" s="69" t="s">
        <v>85</v>
      </c>
      <c r="W417" s="69" t="s">
        <v>85</v>
      </c>
      <c r="X417" s="69" t="s">
        <v>84</v>
      </c>
      <c r="Y417" s="69" t="s">
        <v>85</v>
      </c>
      <c r="Z417" s="69" t="s">
        <v>85</v>
      </c>
      <c r="AA417" s="69" t="s">
        <v>85</v>
      </c>
      <c r="AB417" s="69" t="s">
        <v>85</v>
      </c>
      <c r="AC417" s="69" t="s">
        <v>85</v>
      </c>
      <c r="AD417" s="38" t="str">
        <f>+IF(ISERROR(VLOOKUP($B417,AD$10:AD416,1,0)),IF(AND($N417&gt;=1000,$A417&gt;=AO$8,$A417&lt;=AO$9),$B417,""),"")</f>
        <v/>
      </c>
      <c r="AE417" s="38" t="str">
        <f>+IF(ISERROR(VLOOKUP($B417,AE$10:AE416,1,0)),IF(AND($N417&gt;=1000,$A417&gt;=AP$8,$A417&lt;=AP$9),$B417,""),"")</f>
        <v/>
      </c>
      <c r="AF417" s="38" t="str">
        <f>+IF(ISERROR(VLOOKUP($B417,AF$10:AF416,1,0)),IF(AND($N417&gt;=1000,$A417&gt;=AQ$8,$A417&lt;=AQ$9),$B417,""),"")</f>
        <v/>
      </c>
      <c r="AG417" s="38" t="str">
        <f>+IF(ISERROR(VLOOKUP($B417,AG$10:AG416,1,0)),IF(AND($N417&gt;=1000,$A417&gt;=AR$8,$A417&lt;=AR$9),$B417,""),"")</f>
        <v/>
      </c>
      <c r="AH417" s="38"/>
      <c r="AI417" s="70">
        <v>0</v>
      </c>
      <c r="AJ417" s="38">
        <f>IF(AND(AJ$7="○",$A417&gt;=AJ$8,$A417&lt;=AJ$9),IF(SUM(AJ$10:AJ416)-ROUNDDOWN($K417*AJ$5/100,0)&lt;-AJ$6,-AJ$6-SUM(AJ$10:AJ416),-ROUNDDOWN($K417*AJ$5/100,0)),0)</f>
        <v>0</v>
      </c>
      <c r="AK417" s="38">
        <f>IF(AND(AK$7="○",$A417&gt;=AK$8,$A417&lt;=AK$9),IF(SUM(AK$10:AK416)-ROUNDDOWN($L417*AK$5/100,0)&lt;-AK$6,-AK$6-SUM(AK$10:AK416),-ROUNDDOWN($L417*AK$5/100,0)),0)</f>
        <v>0</v>
      </c>
      <c r="AL417" s="38">
        <f>IF(AND(AL$7="○",$A417&gt;=AL$8,$A417&lt;=AL$9),IF(SUM(AL$10:AL416)-ROUNDDOWN($N417*AL$5/100,0)&lt;-AL$6,-AL$6-SUM(AL$10:AL416),-ROUNDDOWN($N417*AL$5/100,0)),0)</f>
        <v>0</v>
      </c>
      <c r="AM417" s="38">
        <f>IF(AND(AM$7="○",$A417&gt;=AM$8,$A417&lt;=AM$9),IF(SUM(AM$10:AM416)-ROUNDDOWN($L417*AM$5/100,0)&lt;-AM$6,-AM$6-SUM(AM$10:AM416),-ROUNDDOWN($L417*AM$5/100,0)),0)</f>
        <v>0</v>
      </c>
      <c r="AN417" s="38">
        <f>IF(AND(AN$7="○",$A417&gt;=AN$8,$A417&lt;=AN$9),IF(SUM(AN$10:AN416)-ROUNDDOWN($M417*AN$5/100,0)&lt;-AN$6,-AN$6-SUM(AN$10:AN416),-ROUNDDOWN($M417*AN$5/100,0)),0)</f>
        <v>0</v>
      </c>
      <c r="AO417" s="38">
        <f>IF(AND($A417&gt;=AO$8,$A417&lt;=AO$9),IF(SUM(AO$10:AO416)-ROUNDDOWN($K417*AO$5/100,0)&lt;-AO$6,-AO$6-SUM(AO$10:AO416),-ROUNDDOWN($K417*AO$5/100,0)),0)</f>
        <v>0</v>
      </c>
      <c r="AP417" s="38">
        <f>IF(AND($A417&gt;=AP$8,$A417&lt;=AP$9),IF(SUM(AP$10:AP416)-ROUNDDOWN($K417*AP$5/100,0)&lt;-AP$6,-AP$6-SUM(AP$10:AP416),-ROUNDDOWN($K417*AP$5/100,0)),0)</f>
        <v>0</v>
      </c>
      <c r="AQ417" s="38">
        <f>IF(AND($A417&gt;=AQ$8,$A417&lt;=AQ$9),IF(SUM(AQ$10:AQ416)-ROUNDDOWN($K417*AQ$5/100,0)&lt;-AQ$6,-AQ$6-SUM(AQ$10:AQ416),-ROUNDDOWN($K417*AQ$5/100,0)),0)</f>
        <v>0</v>
      </c>
      <c r="AR417" s="38">
        <f>IF(AND($A417&gt;=AR$8,$A417&lt;=AR$9),IF(SUM(AR$10:AR416)-ROUNDDOWN($K417*AR$5/100,0)&lt;-AR$6,-AR$6-SUM(AR$10:AR416),-ROUNDDOWN($K417*AR$5/100,0)),0)</f>
        <v>0</v>
      </c>
      <c r="AS417" s="38">
        <f>IF(SUMIFS(AS$10:AS416,$A$10:$A416,$A417)-ROUNDDOWN($K417*$S417/100,0)&lt;-$S417*1000,-$S417*1000-SUMIFS(AS$10:AS416,$A$10:$A416,$A417),-ROUNDDOWN($K417*$S417/100,0))</f>
        <v>0</v>
      </c>
      <c r="AT417" s="38">
        <f>IF(AND(X417="○",$A417&gt;=AT$8,$A417&lt;=AT$9,K417&gt;=3980),IF(SUM(AT$10:AT416)-ROUNDDOWN($K417*AT$5/100,0)&lt;-AT$6,-AT$6-SUM(AT$10:AT416),-ROUNDDOWN($K417*AT$5/100,0)),0)</f>
        <v>0</v>
      </c>
      <c r="AU417" s="38">
        <f>IF(O417="○",IF(SUM(AU$10:AU416)-ROUNDDOWN($K417*AU$5/100,0)&lt;-AU$6,-AU$6-SUM(AU$10:AU416),-ROUNDDOWN($K417*AU$5/100,0)),0)</f>
        <v>0</v>
      </c>
      <c r="AV417" s="38">
        <f>IF(P417="○",IF(SUM(AV$10:AV416)-ROUNDDOWN($K417*AV$5/100,0)&lt;-AV$6,-AV$6-SUM(AV$10:AV416),-ROUNDDOWN($K417*AV$5/100,0)),0)</f>
        <v>0</v>
      </c>
      <c r="AW417" s="38">
        <f>IF(Q417="○",IF(SUM(AW$10:AW416)-ROUNDDOWN($K417*AW$5/100,0)&lt;-AW$6,-AW$6-SUM(AW$10:AW416),-ROUNDDOWN($K417*AW$5/100,0)),0)</f>
        <v>0</v>
      </c>
      <c r="AX417" s="38">
        <f>IF(R417="○",IF(SUM(AX$10:AX416)-ROUNDDOWN($K417*AX$5/100,0)&lt;-AX$6,-AX$6-SUM(AX$10:AX416),-ROUNDDOWN($K417*AX$5/100,0)),0)</f>
        <v>0</v>
      </c>
      <c r="AY417" s="70">
        <v>0</v>
      </c>
      <c r="AZ417" s="65">
        <f t="shared" si="285"/>
        <v>0</v>
      </c>
      <c r="BA417" s="65">
        <f t="shared" si="286"/>
        <v>0</v>
      </c>
      <c r="BB417" s="70"/>
      <c r="BC417" s="65">
        <f t="shared" si="287"/>
        <v>0</v>
      </c>
      <c r="BD417" s="70">
        <v>0</v>
      </c>
      <c r="BE417" s="65">
        <f t="shared" si="288"/>
        <v>0</v>
      </c>
      <c r="BF417" s="70">
        <v>0</v>
      </c>
      <c r="BG417" s="65">
        <f t="shared" si="289"/>
        <v>0</v>
      </c>
      <c r="BH417" s="70">
        <v>0</v>
      </c>
      <c r="BI417" s="65">
        <f t="shared" si="290"/>
        <v>0</v>
      </c>
      <c r="BJ417" s="38">
        <f>IF(AND(BJ$7="○",$A417&gt;=BJ$8,$A417&lt;=BJ$9),IF(SUM(BJ$10:BJ416)-ROUNDDOWN($M417*BJ$5/100,0)&lt;-BJ$6,-BJ$6-SUM(BJ$10:BJ416),-ROUNDDOWN($M417*BJ$5/100,0)),0)</f>
        <v>0</v>
      </c>
      <c r="BK417" s="38">
        <f>IF(AND(BK$7="○",$A417&gt;=BK$8,$A417&lt;=BK$9),IF(SUM(BK$10:BK416)-ROUNDDOWN($L417*BK$5/100,0)&lt;-BK$6,-BK$6-SUM(BK$10:BK416),-ROUNDDOWN($L417*BK$5/100,0)),0)</f>
        <v>0</v>
      </c>
      <c r="BL417" s="38">
        <f>IF(AND(BL$7="○",$A417&gt;=BL$8,$A417&lt;=BL$9),IF(SUM(BL$10:BL416)-ROUNDDOWN($L417*BL$5/100,0)&lt;-BL$6,-BL$6-SUM(BL$10:BL416),-ROUNDDOWN($L417*BL$5/100,0)),0)</f>
        <v>0</v>
      </c>
      <c r="BM417" s="38">
        <f>IF(AND(BM$7="○",$A417&gt;=BM$8,$A417&lt;=BM$9),IF(SUM(BM$10:BM416)-ROUNDDOWN($M417*BM$5/100,0)&lt;-BM$6,-BM$6-SUM(BM$10:BM416),-ROUNDDOWN($M417*BM$5/100,0)),0)</f>
        <v>0</v>
      </c>
      <c r="BN417" s="38">
        <f>IF(AND(BN$7="○",$A417&gt;=BN$8,$A417&lt;=BN$9),IF(SUM(BN$10:BN416)-ROUNDDOWN($M417*BN$5/100,0)&lt;-BN$6,-BN$6-SUM(BN$10:BN416),-ROUNDDOWN($M417*BN$5/100,0)),0)</f>
        <v>0</v>
      </c>
      <c r="BO417" s="38">
        <f>IF(AND(BO$7="○",$A417&gt;=BO$8,$A417&lt;=BO$9),IF(SUM(BO$10:BO416)-ROUNDDOWN($M417*BO$5/100,0)&lt;-BO$6,-BO$6-SUM(BO$10:BO416),-ROUNDDOWN($M417*BO$5/100,0)),0)</f>
        <v>0</v>
      </c>
      <c r="BP417" s="38">
        <f>IF(AND(BP$7="○",$A417&gt;=BP$8,$A417&lt;=BP$9),IF(SUM(BP$10:BP416)-ROUNDDOWN($M417*BP$5/100,0)&lt;-BP$6,-BP$6-SUM(BP$10:BP416),-ROUNDDOWN($M417*BP$5/100,0)),0)</f>
        <v>0</v>
      </c>
      <c r="BQ417" s="38">
        <f>IF(AND(BQ$7="○",$A417&gt;=BQ$8,$A417&lt;=BQ$9),IF(SUM(BQ$10:BQ416)-ROUNDDOWN($L417*BQ$5/100,0)&lt;-BQ$6,-BQ$6-SUM(BQ$10:BQ416),-ROUNDDOWN($L417*BQ$5/100,0)),0)</f>
        <v>0</v>
      </c>
      <c r="BR417" s="38">
        <f>IF(AND(BR$7="○",$A417&gt;=BR$8,$A417&lt;=BR$9),IF(SUM(BR$10:BR416)-ROUNDDOWN($M417*BR$5/100,0)&lt;-BR$6,-BR$6-SUM(BR$10:BR416),-ROUNDDOWN($M417*BR$5/100,0)),0)</f>
        <v>0</v>
      </c>
      <c r="BS417" s="38">
        <f>IF(AND(BS$7="○",$A417&gt;=BS$8,$A417&lt;=BS$9),IF(SUM(BS$10:BS416)-ROUNDDOWN($M417*BS$5/100,0)&lt;-BS$6,-BS$6-SUM(BS$10:BS416),-ROUNDDOWN($M417*BS$5/100,0)),0)</f>
        <v>0</v>
      </c>
      <c r="BT417" s="38">
        <f>IF(AND(BT$7="○",$A417&gt;=BT$8,$A417&lt;=BT$9),IF(SUM(BT$10:BT416)-ROUNDDOWN($M417*BT$5/100,0)&lt;-BT$6,-BT$6-SUM(BT$10:BT416),-ROUNDDOWN($M417*BT$5/100,0)),0)</f>
        <v>0</v>
      </c>
      <c r="BU417" s="38">
        <f>IF(AND(BU$7="○",$A417&gt;=BU$8,$A417&lt;=BU$9),IF(SUM(BU$10:BU416)-ROUNDDOWN($M417*BU$5/100,0)&lt;-BU$6,-BU$6-SUM(BU$10:BU416),-ROUNDDOWN($M417*BU$5/100,0)),0)</f>
        <v>0</v>
      </c>
      <c r="BV417" s="38">
        <f>IF(AND(BV$7="○",$A417&gt;=BV$8,$A417&lt;=BV$9),IF(SUM(BV$10:BV416)-ROUNDDOWN($M417*BV$5/100,0)&lt;-BV$6,-BV$6-SUM(BV$10:BV416),-ROUNDDOWN($M417*BV$5/100,0)),0)</f>
        <v>0</v>
      </c>
      <c r="BW417" s="38">
        <f>IF(AND(BW$7="○",$A417&gt;=BW$8,$A417&lt;=BW$9),IF(SUM(BW$10:BW416)-ROUNDDOWN($M417*BW$5/100,0)&lt;-BW$6,-BW$6-SUM(BW$10:BW416),-ROUNDDOWN($M417*BW$5/100,0)),0)</f>
        <v>0</v>
      </c>
      <c r="BX417" s="38">
        <f>IF(AND(T417="○",$A417&gt;=BX$8,$A417&lt;=BX$9),IF(SUM(BX$10:BX416)-ROUNDDOWN($K417*BX$5/100,0)&lt;-BX$6,-BX$6-SUM(BX$10:BX416),-ROUNDDOWN($K417*BX$5/100,0)),0)</f>
        <v>0</v>
      </c>
      <c r="BY417" s="38">
        <f>IF(AND(U417="○",$A417&gt;=BY$8,$A417&lt;=BY$9),IF(SUM(BY$10:BY416)-ROUNDDOWN($K417*BY$5/100,0)&lt;-BY$6,-BY$6-SUM(BY$10:BY416),-ROUNDDOWN($K417*BY$5/100,0)),0)</f>
        <v>0</v>
      </c>
      <c r="BZ417" s="38">
        <f>IF(AND(V417="○",$A417&gt;=BZ$8,$A417&lt;=BZ$9),IF(SUM(BZ$10:BZ416)-ROUNDDOWN($K417*BZ$5/100,0)&lt;-BZ$6,-BZ$6-SUM(BZ$10:BZ416),-ROUNDDOWN($K417*BZ$5/100,0)),0)</f>
        <v>0</v>
      </c>
      <c r="CA417" s="38">
        <f>IF(AND(W417="○",$A417&gt;=CA$8,$A417&lt;=CA$9),IF(SUM(CA$10:CA416)-ROUNDDOWN($K417*CA$5/100,0)&lt;-CA$6,-CA$6-SUM(CA$10:CA416),-ROUNDDOWN($K417*CA$5/100,0)),0)</f>
        <v>0</v>
      </c>
      <c r="CB417" s="38"/>
      <c r="CC417" s="38"/>
      <c r="CD417" s="38"/>
      <c r="CE417" s="38"/>
      <c r="CF417" s="38"/>
      <c r="CG417" s="65">
        <f t="shared" si="291"/>
        <v>0</v>
      </c>
      <c r="CH417" s="71">
        <f t="shared" si="292"/>
        <v>0</v>
      </c>
      <c r="CI417" s="1">
        <f t="shared" si="19"/>
        <v>0</v>
      </c>
      <c r="CJ417" s="1"/>
      <c r="CK417" s="72"/>
      <c r="CL417" s="72"/>
      <c r="CM417" s="2"/>
      <c r="CN417" s="2"/>
      <c r="CO417" s="73">
        <f t="shared" si="20"/>
        <v>0</v>
      </c>
      <c r="CP417" s="5">
        <f t="shared" si="21"/>
        <v>0</v>
      </c>
      <c r="CQ417" s="1"/>
      <c r="CR417" s="1">
        <f t="shared" si="22"/>
        <v>0</v>
      </c>
      <c r="CS417" s="1"/>
      <c r="CT417" s="1" t="e">
        <f>INDEX([2]マスタ!$A:$A,MATCH(D417,[2]マスタ!$C:$C,0))</f>
        <v>#N/A</v>
      </c>
      <c r="CU417" s="1" t="str">
        <f t="shared" ca="1" si="23"/>
        <v>20260620_0-0</v>
      </c>
    </row>
    <row r="418" spans="1:99" x14ac:dyDescent="0.4">
      <c r="A418" s="61"/>
      <c r="B418" s="62"/>
      <c r="C418" s="62"/>
      <c r="D418" s="62"/>
      <c r="E418" s="74"/>
      <c r="F418" s="62"/>
      <c r="G418" s="62">
        <v>1</v>
      </c>
      <c r="H418" s="64">
        <f t="shared" si="4"/>
        <v>0</v>
      </c>
      <c r="I418" s="64"/>
      <c r="J418" s="64"/>
      <c r="K418" s="65">
        <f t="shared" ref="K418:K421" si="298">+ROUNDDOWN((H418+I418+J418)/100,0)*100</f>
        <v>0</v>
      </c>
      <c r="L418" s="65">
        <f t="shared" si="6"/>
        <v>0</v>
      </c>
      <c r="M418" s="65">
        <f t="shared" si="7"/>
        <v>0</v>
      </c>
      <c r="N418" s="65">
        <f t="shared" si="8"/>
        <v>0</v>
      </c>
      <c r="O418" s="66" t="str">
        <f t="shared" si="295"/>
        <v>✕</v>
      </c>
      <c r="P418" s="67" t="str">
        <f t="shared" si="296"/>
        <v>○</v>
      </c>
      <c r="Q418" s="67" t="str">
        <f t="shared" ref="Q418:Q421" si="299">+IF((TEXT(A418,"DD")+0)=1,"○","✕")</f>
        <v>✕</v>
      </c>
      <c r="R418" s="67" t="str">
        <f t="shared" si="297"/>
        <v>✕</v>
      </c>
      <c r="S418" s="68">
        <v>0</v>
      </c>
      <c r="T418" s="69" t="s">
        <v>85</v>
      </c>
      <c r="U418" s="69" t="s">
        <v>85</v>
      </c>
      <c r="V418" s="69" t="s">
        <v>85</v>
      </c>
      <c r="W418" s="69" t="s">
        <v>85</v>
      </c>
      <c r="X418" s="69" t="s">
        <v>84</v>
      </c>
      <c r="Y418" s="69" t="s">
        <v>85</v>
      </c>
      <c r="Z418" s="69" t="s">
        <v>85</v>
      </c>
      <c r="AA418" s="69" t="s">
        <v>85</v>
      </c>
      <c r="AB418" s="69" t="s">
        <v>85</v>
      </c>
      <c r="AC418" s="69" t="s">
        <v>85</v>
      </c>
      <c r="AD418" s="38" t="str">
        <f>+IF(ISERROR(VLOOKUP($B418,AD$10:AD410,1,0)),IF(AND($N418&gt;=1000,$A418&gt;=AO$8,$A418&lt;=AO$9),$B418,""),"")</f>
        <v/>
      </c>
      <c r="AE418" s="38" t="str">
        <f>+IF(ISERROR(VLOOKUP($B418,AE$10:AE410,1,0)),IF(AND($N418&gt;=1000,$A418&gt;=AP$8,$A418&lt;=AP$9),$B418,""),"")</f>
        <v/>
      </c>
      <c r="AF418" s="38" t="str">
        <f>+IF(ISERROR(VLOOKUP($B418,AF$10:AF410,1,0)),IF(AND($N418&gt;=1000,$A418&gt;=AQ$8,$A418&lt;=AQ$9),$B418,""),"")</f>
        <v/>
      </c>
      <c r="AG418" s="38" t="str">
        <f>+IF(ISERROR(VLOOKUP($B418,AG$10:AG410,1,0)),IF(AND($N418&gt;=1000,$A418&gt;=AR$8,$A418&lt;=AR$9),$B418,""),"")</f>
        <v/>
      </c>
      <c r="AH418" s="38"/>
      <c r="AI418" s="70">
        <v>0</v>
      </c>
      <c r="AJ418" s="38">
        <f>IF(AND(AJ$7="○",$A418&gt;=AJ$8,$A418&lt;=AJ$9),IF(SUM(AJ$10:AJ417)-ROUNDDOWN($K418*AJ$5/100,0)&lt;-AJ$6,-AJ$6-SUM(AJ$10:AJ417),-ROUNDDOWN($K418*AJ$5/100,0)),0)</f>
        <v>0</v>
      </c>
      <c r="AK418" s="38">
        <f>IF(AND(AK$7="○",$A418&gt;=AK$8,$A418&lt;=AK$9),IF(SUM(AK$10:AK417)-ROUNDDOWN($L418*AK$5/100,0)&lt;-AK$6,-AK$6-SUM(AK$10:AK417),-ROUNDDOWN($L418*AK$5/100,0)),0)</f>
        <v>0</v>
      </c>
      <c r="AL418" s="38">
        <f>IF(AND(AL$7="○",$A418&gt;=AL$8,$A418&lt;=AL$9),IF(SUM(AL$10:AL417)-ROUNDDOWN($N418*AL$5/100,0)&lt;-AL$6,-AL$6-SUM(AL$10:AL417),-ROUNDDOWN($N418*AL$5/100,0)),0)</f>
        <v>0</v>
      </c>
      <c r="AM418" s="38">
        <f>IF(AND(AM$7="○",$A418&gt;=AM$8,$A418&lt;=AM$9),IF(SUM(AM$10:AM417)-ROUNDDOWN($L418*AM$5/100,0)&lt;-AM$6,-AM$6-SUM(AM$10:AM417),-ROUNDDOWN($L418*AM$5/100,0)),0)</f>
        <v>0</v>
      </c>
      <c r="AN418" s="38">
        <f>IF(AND(AN$7="○",$A418&gt;=AN$8,$A418&lt;=AN$9),IF(SUM(AN$10:AN417)-ROUNDDOWN($M418*AN$5/100,0)&lt;-AN$6,-AN$6-SUM(AN$10:AN417),-ROUNDDOWN($M418*AN$5/100,0)),0)</f>
        <v>0</v>
      </c>
      <c r="AO418" s="38">
        <f>IF(AND($A418&gt;=AO$8,$A418&lt;=AO$9),IF(SUM(AO$10:AO417)-ROUNDDOWN($K418*AO$5/100,0)&lt;-AO$6,-AO$6-SUM(AO$10:AO417),-ROUNDDOWN($K418*AO$5/100,0)),0)</f>
        <v>0</v>
      </c>
      <c r="AP418" s="38">
        <f>IF(AND($A418&gt;=AP$8,$A418&lt;=AP$9),IF(SUM(AP$10:AP417)-ROUNDDOWN($K418*AP$5/100,0)&lt;-AP$6,-AP$6-SUM(AP$10:AP417),-ROUNDDOWN($K418*AP$5/100,0)),0)</f>
        <v>0</v>
      </c>
      <c r="AQ418" s="38">
        <f>IF(AND($A418&gt;=AQ$8,$A418&lt;=AQ$9),IF(SUM(AQ$10:AQ417)-ROUNDDOWN($K418*AQ$5/100,0)&lt;-AQ$6,-AQ$6-SUM(AQ$10:AQ417),-ROUNDDOWN($K418*AQ$5/100,0)),0)</f>
        <v>0</v>
      </c>
      <c r="AR418" s="38">
        <f>IF(AND($A418&gt;=AR$8,$A418&lt;=AR$9),IF(SUM(AR$10:AR417)-ROUNDDOWN($K418*AR$5/100,0)&lt;-AR$6,-AR$6-SUM(AR$10:AR417),-ROUNDDOWN($K418*AR$5/100,0)),0)</f>
        <v>0</v>
      </c>
      <c r="AS418" s="38">
        <f>IF(SUMIFS(AS$10:AS417,$A$10:$A417,$A418)-ROUNDDOWN($K418*$S418/100,0)&lt;-$S418*1000,-$S418*1000-SUMIFS(AS$10:AS417,$A$10:$A417,$A418),-ROUNDDOWN($K418*$S418/100,0))</f>
        <v>0</v>
      </c>
      <c r="AT418" s="38">
        <f>IF(AND(X418="○",$A418&gt;=AT$8,$A418&lt;=AT$9,K418&gt;=3980),IF(SUM(AT$10:AT417)-ROUNDDOWN($K418*AT$5/100,0)&lt;-AT$6,-AT$6-SUM(AT$10:AT417),-ROUNDDOWN($K418*AT$5/100,0)),0)</f>
        <v>0</v>
      </c>
      <c r="AU418" s="38">
        <f>IF(O418="○",IF(SUM(AU$10:AU417)-ROUNDDOWN($K418*AU$5/100,0)&lt;-AU$6,-AU$6-SUM(AU$10:AU417),-ROUNDDOWN($K418*AU$5/100,0)),0)</f>
        <v>0</v>
      </c>
      <c r="AV418" s="38">
        <f>IF(P418="○",IF(SUM(AV$10:AV417)-ROUNDDOWN($K418*AV$5/100,0)&lt;-AV$6,-AV$6-SUM(AV$10:AV417),-ROUNDDOWN($K418*AV$5/100,0)),0)</f>
        <v>0</v>
      </c>
      <c r="AW418" s="38">
        <f>IF(Q418="○",IF(SUM(AW$10:AW417)-ROUNDDOWN($K418*AW$5/100,0)&lt;-AW$6,-AW$6-SUM(AW$10:AW417),-ROUNDDOWN($K418*AW$5/100,0)),0)</f>
        <v>0</v>
      </c>
      <c r="AX418" s="38">
        <f>IF(R418="○",IF(SUM(AX$10:AX417)-ROUNDDOWN($K418*AX$5/100,0)&lt;-AX$6,-AX$6-SUM(AX$10:AX417),-ROUNDDOWN($K418*AX$5/100,0)),0)</f>
        <v>0</v>
      </c>
      <c r="AY418" s="70">
        <v>0</v>
      </c>
      <c r="AZ418" s="65">
        <f t="shared" si="285"/>
        <v>0</v>
      </c>
      <c r="BA418" s="65">
        <f t="shared" si="286"/>
        <v>0</v>
      </c>
      <c r="BB418" s="70"/>
      <c r="BC418" s="65">
        <f t="shared" si="287"/>
        <v>0</v>
      </c>
      <c r="BD418" s="70">
        <v>0</v>
      </c>
      <c r="BE418" s="65">
        <f t="shared" si="288"/>
        <v>0</v>
      </c>
      <c r="BF418" s="70">
        <v>0</v>
      </c>
      <c r="BG418" s="65">
        <f t="shared" si="289"/>
        <v>0</v>
      </c>
      <c r="BH418" s="70">
        <v>0</v>
      </c>
      <c r="BI418" s="65">
        <f t="shared" si="290"/>
        <v>0</v>
      </c>
      <c r="BJ418" s="38">
        <f>IF(AND(BJ$7="○",$A418&gt;=BJ$8,$A418&lt;=BJ$9),IF(SUM(BJ$10:BJ417)-ROUNDDOWN($M418*BJ$5/100,0)&lt;-BJ$6,-BJ$6-SUM(BJ$10:BJ417),-ROUNDDOWN($M418*BJ$5/100,0)),0)</f>
        <v>0</v>
      </c>
      <c r="BK418" s="38">
        <f>IF(AND(BK$7="○",$A418&gt;=BK$8,$A418&lt;=BK$9),IF(SUM(BK$10:BK417)-ROUNDDOWN($L418*BK$5/100,0)&lt;-BK$6,-BK$6-SUM(BK$10:BK417),-ROUNDDOWN($L418*BK$5/100,0)),0)</f>
        <v>0</v>
      </c>
      <c r="BL418" s="38">
        <f>IF(AND(BL$7="○",$A418&gt;=BL$8,$A418&lt;=BL$9),IF(SUM(BL$10:BL417)-ROUNDDOWN($L418*BL$5/100,0)&lt;-BL$6,-BL$6-SUM(BL$10:BL417),-ROUNDDOWN($L418*BL$5/100,0)),0)</f>
        <v>0</v>
      </c>
      <c r="BM418" s="38">
        <f>IF(AND(BM$7="○",$A418&gt;=BM$8,$A418&lt;=BM$9),IF(SUM(BM$10:BM417)-ROUNDDOWN($M418*BM$5/100,0)&lt;-BM$6,-BM$6-SUM(BM$10:BM417),-ROUNDDOWN($M418*BM$5/100,0)),0)</f>
        <v>0</v>
      </c>
      <c r="BN418" s="38">
        <f>IF(AND(BN$7="○",$A418&gt;=BN$8,$A418&lt;=BN$9),IF(SUM(BN$10:BN417)-ROUNDDOWN($M418*BN$5/100,0)&lt;-BN$6,-BN$6-SUM(BN$10:BN417),-ROUNDDOWN($M418*BN$5/100,0)),0)</f>
        <v>0</v>
      </c>
      <c r="BO418" s="38">
        <f>IF(AND(BO$7="○",$A418&gt;=BO$8,$A418&lt;=BO$9),IF(SUM(BO$10:BO417)-ROUNDDOWN($M418*BO$5/100,0)&lt;-BO$6,-BO$6-SUM(BO$10:BO417),-ROUNDDOWN($M418*BO$5/100,0)),0)</f>
        <v>0</v>
      </c>
      <c r="BP418" s="38">
        <f>IF(AND(BP$7="○",$A418&gt;=BP$8,$A418&lt;=BP$9),IF(SUM(BP$10:BP417)-ROUNDDOWN($M418*BP$5/100,0)&lt;-BP$6,-BP$6-SUM(BP$10:BP417),-ROUNDDOWN($M418*BP$5/100,0)),0)</f>
        <v>0</v>
      </c>
      <c r="BQ418" s="38">
        <f>IF(AND(BQ$7="○",$A418&gt;=BQ$8,$A418&lt;=BQ$9),IF(SUM(BQ$10:BQ417)-ROUNDDOWN($L418*BQ$5/100,0)&lt;-BQ$6,-BQ$6-SUM(BQ$10:BQ417),-ROUNDDOWN($L418*BQ$5/100,0)),0)</f>
        <v>0</v>
      </c>
      <c r="BR418" s="38">
        <f>IF(AND(BR$7="○",$A418&gt;=BR$8,$A418&lt;=BR$9),IF(SUM(BR$10:BR417)-ROUNDDOWN($M418*BR$5/100,0)&lt;-BR$6,-BR$6-SUM(BR$10:BR417),-ROUNDDOWN($M418*BR$5/100,0)),0)</f>
        <v>0</v>
      </c>
      <c r="BS418" s="38">
        <f>IF(AND(BS$7="○",$A418&gt;=BS$8,$A418&lt;=BS$9),IF(SUM(BS$10:BS417)-ROUNDDOWN($M418*BS$5/100,0)&lt;-BS$6,-BS$6-SUM(BS$10:BS417),-ROUNDDOWN($M418*BS$5/100,0)),0)</f>
        <v>0</v>
      </c>
      <c r="BT418" s="38">
        <f>IF(AND(BT$7="○",$A418&gt;=BT$8,$A418&lt;=BT$9),IF(SUM(BT$10:BT417)-ROUNDDOWN($M418*BT$5/100,0)&lt;-BT$6,-BT$6-SUM(BT$10:BT417),-ROUNDDOWN($M418*BT$5/100,0)),0)</f>
        <v>0</v>
      </c>
      <c r="BU418" s="38">
        <f>IF(AND(BU$7="○",$A418&gt;=BU$8,$A418&lt;=BU$9),IF(SUM(BU$10:BU417)-ROUNDDOWN($M418*BU$5/100,0)&lt;-BU$6,-BU$6-SUM(BU$10:BU417),-ROUNDDOWN($M418*BU$5/100,0)),0)</f>
        <v>0</v>
      </c>
      <c r="BV418" s="38">
        <f>IF(AND(BV$7="○",$A418&gt;=BV$8,$A418&lt;=BV$9),IF(SUM(BV$10:BV417)-ROUNDDOWN($M418*BV$5/100,0)&lt;-BV$6,-BV$6-SUM(BV$10:BV417),-ROUNDDOWN($M418*BV$5/100,0)),0)</f>
        <v>0</v>
      </c>
      <c r="BW418" s="38">
        <f>IF(AND(BW$7="○",$A418&gt;=BW$8,$A418&lt;=BW$9),IF(SUM(BW$10:BW417)-ROUNDDOWN($M418*BW$5/100,0)&lt;-BW$6,-BW$6-SUM(BW$10:BW417),-ROUNDDOWN($M418*BW$5/100,0)),0)</f>
        <v>0</v>
      </c>
      <c r="BX418" s="38">
        <f>IF(AND(T418="○",$A418&gt;=BX$8,$A418&lt;=BX$9),IF(SUM(BX$10:BX417)-ROUNDDOWN($K418*BX$5/100,0)&lt;-BX$6,-BX$6-SUM(BX$10:BX417),-ROUNDDOWN($K418*BX$5/100,0)),0)</f>
        <v>0</v>
      </c>
      <c r="BY418" s="38">
        <f>IF(AND(U418="○",$A418&gt;=BY$8,$A418&lt;=BY$9),IF(SUM(BY$10:BY417)-ROUNDDOWN($K418*BY$5/100,0)&lt;-BY$6,-BY$6-SUM(BY$10:BY417),-ROUNDDOWN($K418*BY$5/100,0)),0)</f>
        <v>0</v>
      </c>
      <c r="BZ418" s="38">
        <f>IF(AND(V418="○",$A418&gt;=BZ$8,$A418&lt;=BZ$9),IF(SUM(BZ$10:BZ417)-ROUNDDOWN($K418*BZ$5/100,0)&lt;-BZ$6,-BZ$6-SUM(BZ$10:BZ417),-ROUNDDOWN($K418*BZ$5/100,0)),0)</f>
        <v>0</v>
      </c>
      <c r="CA418" s="38">
        <f>IF(AND(W418="○",$A418&gt;=CA$8,$A418&lt;=CA$9),IF(SUM(CA$10:CA417)-ROUNDDOWN($K418*CA$5/100,0)&lt;-CA$6,-CA$6-SUM(CA$10:CA417),-ROUNDDOWN($K418*CA$5/100,0)),0)</f>
        <v>0</v>
      </c>
      <c r="CB418" s="38"/>
      <c r="CC418" s="38"/>
      <c r="CD418" s="38"/>
      <c r="CE418" s="38"/>
      <c r="CF418" s="38"/>
      <c r="CG418" s="65">
        <f t="shared" si="291"/>
        <v>0</v>
      </c>
      <c r="CH418" s="71">
        <f t="shared" si="292"/>
        <v>0</v>
      </c>
      <c r="CI418" s="1">
        <f t="shared" si="19"/>
        <v>0</v>
      </c>
      <c r="CJ418" s="1"/>
      <c r="CK418" s="75"/>
      <c r="CL418" s="75"/>
      <c r="CM418" s="2"/>
      <c r="CN418" s="2"/>
      <c r="CO418" s="73">
        <f t="shared" si="20"/>
        <v>0</v>
      </c>
      <c r="CP418" s="5">
        <f t="shared" si="21"/>
        <v>0</v>
      </c>
      <c r="CQ418" s="1"/>
      <c r="CR418" s="1">
        <f t="shared" si="22"/>
        <v>0</v>
      </c>
      <c r="CS418" s="1"/>
      <c r="CT418" s="1" t="e">
        <f>INDEX([2]マスタ!$A:$A,MATCH(D418,[2]マスタ!$C:$C,0))</f>
        <v>#N/A</v>
      </c>
      <c r="CU418" s="1" t="str">
        <f t="shared" ca="1" si="23"/>
        <v>20260620_0-0</v>
      </c>
    </row>
    <row r="419" spans="1:99" x14ac:dyDescent="0.4">
      <c r="A419" s="61"/>
      <c r="B419" s="62"/>
      <c r="C419" s="62"/>
      <c r="D419" s="62"/>
      <c r="E419" s="74"/>
      <c r="F419" s="62"/>
      <c r="G419" s="62">
        <v>1</v>
      </c>
      <c r="H419" s="64">
        <f t="shared" si="4"/>
        <v>0</v>
      </c>
      <c r="I419" s="64"/>
      <c r="J419" s="64"/>
      <c r="K419" s="65">
        <f t="shared" si="298"/>
        <v>0</v>
      </c>
      <c r="L419" s="65">
        <f t="shared" si="6"/>
        <v>0</v>
      </c>
      <c r="M419" s="65">
        <f t="shared" si="7"/>
        <v>0</v>
      </c>
      <c r="N419" s="65">
        <f t="shared" si="8"/>
        <v>0</v>
      </c>
      <c r="O419" s="66" t="str">
        <f t="shared" si="295"/>
        <v>✕</v>
      </c>
      <c r="P419" s="67" t="str">
        <f t="shared" si="296"/>
        <v>○</v>
      </c>
      <c r="Q419" s="67" t="str">
        <f t="shared" si="299"/>
        <v>✕</v>
      </c>
      <c r="R419" s="67" t="str">
        <f t="shared" si="297"/>
        <v>✕</v>
      </c>
      <c r="S419" s="68">
        <v>0</v>
      </c>
      <c r="T419" s="69" t="s">
        <v>85</v>
      </c>
      <c r="U419" s="69" t="s">
        <v>85</v>
      </c>
      <c r="V419" s="69" t="s">
        <v>85</v>
      </c>
      <c r="W419" s="69" t="s">
        <v>85</v>
      </c>
      <c r="X419" s="69" t="s">
        <v>84</v>
      </c>
      <c r="Y419" s="69" t="s">
        <v>85</v>
      </c>
      <c r="Z419" s="69" t="s">
        <v>85</v>
      </c>
      <c r="AA419" s="69" t="s">
        <v>85</v>
      </c>
      <c r="AB419" s="69" t="s">
        <v>85</v>
      </c>
      <c r="AC419" s="69" t="s">
        <v>85</v>
      </c>
      <c r="AD419" s="38" t="str">
        <f>+IF(ISERROR(VLOOKUP($B419,AD$10:AD418,1,0)),IF(AND($N419&gt;=1000,$A419&gt;=AO$8,$A419&lt;=AO$9),$B419,""),"")</f>
        <v/>
      </c>
      <c r="AE419" s="38" t="str">
        <f>+IF(ISERROR(VLOOKUP($B419,AE$10:AE418,1,0)),IF(AND($N419&gt;=1000,$A419&gt;=AP$8,$A419&lt;=AP$9),$B419,""),"")</f>
        <v/>
      </c>
      <c r="AF419" s="38" t="str">
        <f>+IF(ISERROR(VLOOKUP($B419,AF$10:AF418,1,0)),IF(AND($N419&gt;=1000,$A419&gt;=AQ$8,$A419&lt;=AQ$9),$B419,""),"")</f>
        <v/>
      </c>
      <c r="AG419" s="38" t="str">
        <f>+IF(ISERROR(VLOOKUP($B419,AG$10:AG418,1,0)),IF(AND($N419&gt;=1000,$A419&gt;=AR$8,$A419&lt;=AR$9),$B419,""),"")</f>
        <v/>
      </c>
      <c r="AH419" s="38"/>
      <c r="AI419" s="70">
        <v>0</v>
      </c>
      <c r="AJ419" s="38">
        <f>IF(AND(AJ$7="○",$A419&gt;=AJ$8,$A419&lt;=AJ$9),IF(SUM(AJ$10:AJ418)-ROUNDDOWN($K419*AJ$5/100,0)&lt;-AJ$6,-AJ$6-SUM(AJ$10:AJ418),-ROUNDDOWN($K419*AJ$5/100,0)),0)</f>
        <v>0</v>
      </c>
      <c r="AK419" s="38">
        <f>IF(AND(AK$7="○",$A419&gt;=AK$8,$A419&lt;=AK$9),IF(SUM(AK$10:AK418)-ROUNDDOWN($L419*AK$5/100,0)&lt;-AK$6,-AK$6-SUM(AK$10:AK418),-ROUNDDOWN($L419*AK$5/100,0)),0)</f>
        <v>0</v>
      </c>
      <c r="AL419" s="38">
        <f>IF(AND(AL$7="○",$A419&gt;=AL$8,$A419&lt;=AL$9),IF(SUM(AL$10:AL418)-ROUNDDOWN($N419*AL$5/100,0)&lt;-AL$6,-AL$6-SUM(AL$10:AL418),-ROUNDDOWN($N419*AL$5/100,0)),0)</f>
        <v>0</v>
      </c>
      <c r="AM419" s="38">
        <f>IF(AND(AM$7="○",$A419&gt;=AM$8,$A419&lt;=AM$9),IF(SUM(AM$10:AM418)-ROUNDDOWN($L419*AM$5/100,0)&lt;-AM$6,-AM$6-SUM(AM$10:AM418),-ROUNDDOWN($L419*AM$5/100,0)),0)</f>
        <v>0</v>
      </c>
      <c r="AN419" s="38">
        <f>IF(AND(AN$7="○",$A419&gt;=AN$8,$A419&lt;=AN$9),IF(SUM(AN$10:AN418)-ROUNDDOWN($M419*AN$5/100,0)&lt;-AN$6,-AN$6-SUM(AN$10:AN418),-ROUNDDOWN($M419*AN$5/100,0)),0)</f>
        <v>0</v>
      </c>
      <c r="AO419" s="38">
        <f>IF(AND($A419&gt;=AO$8,$A419&lt;=AO$9),IF(SUM(AO$10:AO418)-ROUNDDOWN($K419*AO$5/100,0)&lt;-AO$6,-AO$6-SUM(AO$10:AO418),-ROUNDDOWN($K419*AO$5/100,0)),0)</f>
        <v>0</v>
      </c>
      <c r="AP419" s="38">
        <f>IF(AND($A419&gt;=AP$8,$A419&lt;=AP$9),IF(SUM(AP$10:AP418)-ROUNDDOWN($K419*AP$5/100,0)&lt;-AP$6,-AP$6-SUM(AP$10:AP418),-ROUNDDOWN($K419*AP$5/100,0)),0)</f>
        <v>0</v>
      </c>
      <c r="AQ419" s="38">
        <f>IF(AND($A419&gt;=AQ$8,$A419&lt;=AQ$9),IF(SUM(AQ$10:AQ418)-ROUNDDOWN($K419*AQ$5/100,0)&lt;-AQ$6,-AQ$6-SUM(AQ$10:AQ418),-ROUNDDOWN($K419*AQ$5/100,0)),0)</f>
        <v>0</v>
      </c>
      <c r="AR419" s="38">
        <f>IF(AND($A419&gt;=AR$8,$A419&lt;=AR$9),IF(SUM(AR$10:AR418)-ROUNDDOWN($K419*AR$5/100,0)&lt;-AR$6,-AR$6-SUM(AR$10:AR418),-ROUNDDOWN($K419*AR$5/100,0)),0)</f>
        <v>0</v>
      </c>
      <c r="AS419" s="38">
        <f>IF(SUMIFS(AS$10:AS418,$A$10:$A418,$A419)-ROUNDDOWN($K419*$S419/100,0)&lt;-$S419*1000,-$S419*1000-SUMIFS(AS$10:AS418,$A$10:$A418,$A419),-ROUNDDOWN($K419*$S419/100,0))</f>
        <v>0</v>
      </c>
      <c r="AT419" s="38">
        <f>IF(AND(X419="○",$A419&gt;=AT$8,$A419&lt;=AT$9,K419&gt;=3980),IF(SUM(AT$10:AT418)-ROUNDDOWN($K419*AT$5/100,0)&lt;-AT$6,-AT$6-SUM(AT$10:AT418),-ROUNDDOWN($K419*AT$5/100,0)),0)</f>
        <v>0</v>
      </c>
      <c r="AU419" s="38">
        <f>IF(O419="○",IF(SUM(AU$10:AU418)-ROUNDDOWN($K419*AU$5/100,0)&lt;-AU$6,-AU$6-SUM(AU$10:AU418),-ROUNDDOWN($K419*AU$5/100,0)),0)</f>
        <v>0</v>
      </c>
      <c r="AV419" s="38">
        <f>IF(P419="○",IF(SUM(AV$10:AV418)-ROUNDDOWN($K419*AV$5/100,0)&lt;-AV$6,-AV$6-SUM(AV$10:AV418),-ROUNDDOWN($K419*AV$5/100,0)),0)</f>
        <v>0</v>
      </c>
      <c r="AW419" s="38">
        <f>IF(Q419="○",IF(SUM(AW$10:AW418)-ROUNDDOWN($K419*AW$5/100,0)&lt;-AW$6,-AW$6-SUM(AW$10:AW418),-ROUNDDOWN($K419*AW$5/100,0)),0)</f>
        <v>0</v>
      </c>
      <c r="AX419" s="38">
        <f>IF(R419="○",IF(SUM(AX$10:AX418)-ROUNDDOWN($K419*AX$5/100,0)&lt;-AX$6,-AX$6-SUM(AX$10:AX418),-ROUNDDOWN($K419*AX$5/100,0)),0)</f>
        <v>0</v>
      </c>
      <c r="AY419" s="70">
        <v>0</v>
      </c>
      <c r="AZ419" s="65">
        <f t="shared" si="285"/>
        <v>0</v>
      </c>
      <c r="BA419" s="65">
        <f t="shared" si="286"/>
        <v>0</v>
      </c>
      <c r="BB419" s="70"/>
      <c r="BC419" s="65">
        <f t="shared" si="287"/>
        <v>0</v>
      </c>
      <c r="BD419" s="70">
        <v>0</v>
      </c>
      <c r="BE419" s="65">
        <f t="shared" si="288"/>
        <v>0</v>
      </c>
      <c r="BF419" s="70">
        <v>0</v>
      </c>
      <c r="BG419" s="65">
        <f t="shared" si="289"/>
        <v>0</v>
      </c>
      <c r="BH419" s="70">
        <v>0</v>
      </c>
      <c r="BI419" s="65">
        <f t="shared" si="290"/>
        <v>0</v>
      </c>
      <c r="BJ419" s="38">
        <f>IF(AND(BJ$7="○",$A419&gt;=BJ$8,$A419&lt;=BJ$9),IF(SUM(BJ$10:BJ418)-ROUNDDOWN($M419*BJ$5/100,0)&lt;-BJ$6,-BJ$6-SUM(BJ$10:BJ418),-ROUNDDOWN($M419*BJ$5/100,0)),0)</f>
        <v>0</v>
      </c>
      <c r="BK419" s="38">
        <f>IF(AND(BK$7="○",$A419&gt;=BK$8,$A419&lt;=BK$9),IF(SUM(BK$10:BK418)-ROUNDDOWN($L419*BK$5/100,0)&lt;-BK$6,-BK$6-SUM(BK$10:BK418),-ROUNDDOWN($L419*BK$5/100,0)),0)</f>
        <v>0</v>
      </c>
      <c r="BL419" s="38">
        <f>IF(AND(BL$7="○",$A419&gt;=BL$8,$A419&lt;=BL$9),IF(SUM(BL$10:BL418)-ROUNDDOWN($L419*BL$5/100,0)&lt;-BL$6,-BL$6-SUM(BL$10:BL418),-ROUNDDOWN($L419*BL$5/100,0)),0)</f>
        <v>0</v>
      </c>
      <c r="BM419" s="38">
        <f>IF(AND(BM$7="○",$A419&gt;=BM$8,$A419&lt;=BM$9),IF(SUM(BM$10:BM418)-ROUNDDOWN($M419*BM$5/100,0)&lt;-BM$6,-BM$6-SUM(BM$10:BM418),-ROUNDDOWN($M419*BM$5/100,0)),0)</f>
        <v>0</v>
      </c>
      <c r="BN419" s="38">
        <f>IF(AND(BN$7="○",$A419&gt;=BN$8,$A419&lt;=BN$9),IF(SUM(BN$10:BN418)-ROUNDDOWN($M419*BN$5/100,0)&lt;-BN$6,-BN$6-SUM(BN$10:BN418),-ROUNDDOWN($M419*BN$5/100,0)),0)</f>
        <v>0</v>
      </c>
      <c r="BO419" s="38">
        <f>IF(AND(BO$7="○",$A419&gt;=BO$8,$A419&lt;=BO$9),IF(SUM(BO$10:BO418)-ROUNDDOWN($M419*BO$5/100,0)&lt;-BO$6,-BO$6-SUM(BO$10:BO418),-ROUNDDOWN($M419*BO$5/100,0)),0)</f>
        <v>0</v>
      </c>
      <c r="BP419" s="38">
        <f>IF(AND(BP$7="○",$A419&gt;=BP$8,$A419&lt;=BP$9),IF(SUM(BP$10:BP418)-ROUNDDOWN($M419*BP$5/100,0)&lt;-BP$6,-BP$6-SUM(BP$10:BP418),-ROUNDDOWN($M419*BP$5/100,0)),0)</f>
        <v>0</v>
      </c>
      <c r="BQ419" s="38">
        <f>IF(AND(BQ$7="○",$A419&gt;=BQ$8,$A419&lt;=BQ$9),IF(SUM(BQ$10:BQ418)-ROUNDDOWN($L419*BQ$5/100,0)&lt;-BQ$6,-BQ$6-SUM(BQ$10:BQ418),-ROUNDDOWN($L419*BQ$5/100,0)),0)</f>
        <v>0</v>
      </c>
      <c r="BR419" s="38">
        <f>IF(AND(BR$7="○",$A419&gt;=BR$8,$A419&lt;=BR$9),IF(SUM(BR$10:BR418)-ROUNDDOWN($M419*BR$5/100,0)&lt;-BR$6,-BR$6-SUM(BR$10:BR418),-ROUNDDOWN($M419*BR$5/100,0)),0)</f>
        <v>0</v>
      </c>
      <c r="BS419" s="38">
        <f>IF(AND(BS$7="○",$A419&gt;=BS$8,$A419&lt;=BS$9),IF(SUM(BS$10:BS418)-ROUNDDOWN($M419*BS$5/100,0)&lt;-BS$6,-BS$6-SUM(BS$10:BS418),-ROUNDDOWN($M419*BS$5/100,0)),0)</f>
        <v>0</v>
      </c>
      <c r="BT419" s="38">
        <f>IF(AND(BT$7="○",$A419&gt;=BT$8,$A419&lt;=BT$9),IF(SUM(BT$10:BT418)-ROUNDDOWN($M419*BT$5/100,0)&lt;-BT$6,-BT$6-SUM(BT$10:BT418),-ROUNDDOWN($M419*BT$5/100,0)),0)</f>
        <v>0</v>
      </c>
      <c r="BU419" s="38">
        <f>IF(AND(BU$7="○",$A419&gt;=BU$8,$A419&lt;=BU$9),IF(SUM(BU$10:BU418)-ROUNDDOWN($M419*BU$5/100,0)&lt;-BU$6,-BU$6-SUM(BU$10:BU418),-ROUNDDOWN($M419*BU$5/100,0)),0)</f>
        <v>0</v>
      </c>
      <c r="BV419" s="38">
        <f>IF(AND(BV$7="○",$A419&gt;=BV$8,$A419&lt;=BV$9),IF(SUM(BV$10:BV418)-ROUNDDOWN($M419*BV$5/100,0)&lt;-BV$6,-BV$6-SUM(BV$10:BV418),-ROUNDDOWN($M419*BV$5/100,0)),0)</f>
        <v>0</v>
      </c>
      <c r="BW419" s="38">
        <f>IF(AND(BW$7="○",$A419&gt;=BW$8,$A419&lt;=BW$9),IF(SUM(BW$10:BW418)-ROUNDDOWN($M419*BW$5/100,0)&lt;-BW$6,-BW$6-SUM(BW$10:BW418),-ROUNDDOWN($M419*BW$5/100,0)),0)</f>
        <v>0</v>
      </c>
      <c r="BX419" s="38">
        <f>IF(AND(T419="○",$A419&gt;=BX$8,$A419&lt;=BX$9),IF(SUM(BX$10:BX418)-ROUNDDOWN($K419*BX$5/100,0)&lt;-BX$6,-BX$6-SUM(BX$10:BX418),-ROUNDDOWN($K419*BX$5/100,0)),0)</f>
        <v>0</v>
      </c>
      <c r="BY419" s="38">
        <f>IF(AND(U419="○",$A419&gt;=BY$8,$A419&lt;=BY$9),IF(SUM(BY$10:BY418)-ROUNDDOWN($K419*BY$5/100,0)&lt;-BY$6,-BY$6-SUM(BY$10:BY418),-ROUNDDOWN($K419*BY$5/100,0)),0)</f>
        <v>0</v>
      </c>
      <c r="BZ419" s="38">
        <f>IF(AND(V419="○",$A419&gt;=BZ$8,$A419&lt;=BZ$9),IF(SUM(BZ$10:BZ418)-ROUNDDOWN($K419*BZ$5/100,0)&lt;-BZ$6,-BZ$6-SUM(BZ$10:BZ418),-ROUNDDOWN($K419*BZ$5/100,0)),0)</f>
        <v>0</v>
      </c>
      <c r="CA419" s="38">
        <f>IF(AND(W419="○",$A419&gt;=CA$8,$A419&lt;=CA$9),IF(SUM(CA$10:CA418)-ROUNDDOWN($K419*CA$5/100,0)&lt;-CA$6,-CA$6-SUM(CA$10:CA418),-ROUNDDOWN($K419*CA$5/100,0)),0)</f>
        <v>0</v>
      </c>
      <c r="CB419" s="38"/>
      <c r="CC419" s="38"/>
      <c r="CD419" s="38"/>
      <c r="CE419" s="38"/>
      <c r="CF419" s="38"/>
      <c r="CG419" s="65">
        <f t="shared" si="291"/>
        <v>0</v>
      </c>
      <c r="CH419" s="71">
        <f t="shared" si="292"/>
        <v>0</v>
      </c>
      <c r="CI419" s="1">
        <f t="shared" si="19"/>
        <v>0</v>
      </c>
      <c r="CJ419" s="1"/>
      <c r="CK419" s="75"/>
      <c r="CL419" s="75"/>
      <c r="CM419" s="2"/>
      <c r="CN419" s="2"/>
      <c r="CO419" s="73">
        <f t="shared" si="20"/>
        <v>0</v>
      </c>
      <c r="CP419" s="5">
        <f t="shared" si="21"/>
        <v>0</v>
      </c>
      <c r="CQ419" s="1"/>
      <c r="CR419" s="1">
        <f t="shared" si="22"/>
        <v>0</v>
      </c>
      <c r="CS419" s="1"/>
      <c r="CT419" s="1" t="e">
        <f>INDEX([2]マスタ!$A:$A,MATCH(D419,[2]マスタ!$C:$C,0))</f>
        <v>#N/A</v>
      </c>
      <c r="CU419" s="1" t="str">
        <f t="shared" ca="1" si="23"/>
        <v>20260620_0-0</v>
      </c>
    </row>
    <row r="420" spans="1:99" x14ac:dyDescent="0.4">
      <c r="A420" s="61"/>
      <c r="B420" s="62"/>
      <c r="C420" s="62"/>
      <c r="D420" s="62"/>
      <c r="E420" s="74"/>
      <c r="F420" s="62"/>
      <c r="G420" s="62">
        <v>1</v>
      </c>
      <c r="H420" s="64">
        <f t="shared" si="4"/>
        <v>0</v>
      </c>
      <c r="I420" s="64"/>
      <c r="J420" s="64"/>
      <c r="K420" s="65">
        <f t="shared" si="298"/>
        <v>0</v>
      </c>
      <c r="L420" s="65">
        <f t="shared" si="6"/>
        <v>0</v>
      </c>
      <c r="M420" s="65">
        <f t="shared" si="7"/>
        <v>0</v>
      </c>
      <c r="N420" s="65">
        <f t="shared" si="8"/>
        <v>0</v>
      </c>
      <c r="O420" s="66" t="str">
        <f t="shared" si="295"/>
        <v>✕</v>
      </c>
      <c r="P420" s="67" t="str">
        <f t="shared" si="296"/>
        <v>○</v>
      </c>
      <c r="Q420" s="67" t="str">
        <f t="shared" si="299"/>
        <v>✕</v>
      </c>
      <c r="R420" s="67" t="str">
        <f t="shared" si="297"/>
        <v>✕</v>
      </c>
      <c r="S420" s="68">
        <v>0</v>
      </c>
      <c r="T420" s="69" t="s">
        <v>85</v>
      </c>
      <c r="U420" s="69" t="s">
        <v>85</v>
      </c>
      <c r="V420" s="69" t="s">
        <v>85</v>
      </c>
      <c r="W420" s="69" t="s">
        <v>85</v>
      </c>
      <c r="X420" s="69" t="s">
        <v>84</v>
      </c>
      <c r="Y420" s="69" t="s">
        <v>85</v>
      </c>
      <c r="Z420" s="69" t="s">
        <v>85</v>
      </c>
      <c r="AA420" s="69" t="s">
        <v>85</v>
      </c>
      <c r="AB420" s="69" t="s">
        <v>85</v>
      </c>
      <c r="AC420" s="69" t="s">
        <v>85</v>
      </c>
      <c r="AD420" s="38" t="str">
        <f>+IF(ISERROR(VLOOKUP($B420,AD$10:AD419,1,0)),IF(AND($N420&gt;=1000,$A420&gt;=AO$8,$A420&lt;=AO$9),$B420,""),"")</f>
        <v/>
      </c>
      <c r="AE420" s="38" t="str">
        <f>+IF(ISERROR(VLOOKUP($B420,AE$10:AE419,1,0)),IF(AND($N420&gt;=1000,$A420&gt;=AP$8,$A420&lt;=AP$9),$B420,""),"")</f>
        <v/>
      </c>
      <c r="AF420" s="38" t="str">
        <f>+IF(ISERROR(VLOOKUP($B420,AF$10:AF419,1,0)),IF(AND($N420&gt;=1000,$A420&gt;=AQ$8,$A420&lt;=AQ$9),$B420,""),"")</f>
        <v/>
      </c>
      <c r="AG420" s="38" t="str">
        <f>+IF(ISERROR(VLOOKUP($B420,AG$10:AG419,1,0)),IF(AND($N420&gt;=1000,$A420&gt;=AR$8,$A420&lt;=AR$9),$B420,""),"")</f>
        <v/>
      </c>
      <c r="AH420" s="38"/>
      <c r="AI420" s="70">
        <v>0</v>
      </c>
      <c r="AJ420" s="38">
        <f>IF(AND(AJ$7="○",$A420&gt;=AJ$8,$A420&lt;=AJ$9),IF(SUM(AJ$10:AJ419)-ROUNDDOWN($K420*AJ$5/100,0)&lt;-AJ$6,-AJ$6-SUM(AJ$10:AJ419),-ROUNDDOWN($K420*AJ$5/100,0)),0)</f>
        <v>0</v>
      </c>
      <c r="AK420" s="38">
        <f>IF(AND(AK$7="○",$A420&gt;=AK$8,$A420&lt;=AK$9),IF(SUM(AK$10:AK419)-ROUNDDOWN($L420*AK$5/100,0)&lt;-AK$6,-AK$6-SUM(AK$10:AK419),-ROUNDDOWN($L420*AK$5/100,0)),0)</f>
        <v>0</v>
      </c>
      <c r="AL420" s="38">
        <f>IF(AND(AL$7="○",$A420&gt;=AL$8,$A420&lt;=AL$9),IF(SUM(AL$10:AL419)-ROUNDDOWN($N420*AL$5/100,0)&lt;-AL$6,-AL$6-SUM(AL$10:AL419),-ROUNDDOWN($N420*AL$5/100,0)),0)</f>
        <v>0</v>
      </c>
      <c r="AM420" s="38">
        <f>IF(AND(AM$7="○",$A420&gt;=AM$8,$A420&lt;=AM$9),IF(SUM(AM$10:AM419)-ROUNDDOWN($L420*AM$5/100,0)&lt;-AM$6,-AM$6-SUM(AM$10:AM419),-ROUNDDOWN($L420*AM$5/100,0)),0)</f>
        <v>0</v>
      </c>
      <c r="AN420" s="38">
        <f>IF(AND(AN$7="○",$A420&gt;=AN$8,$A420&lt;=AN$9),IF(SUM(AN$10:AN419)-ROUNDDOWN($M420*AN$5/100,0)&lt;-AN$6,-AN$6-SUM(AN$10:AN419),-ROUNDDOWN($M420*AN$5/100,0)),0)</f>
        <v>0</v>
      </c>
      <c r="AO420" s="38">
        <f>IF(AND($A420&gt;=AO$8,$A420&lt;=AO$9),IF(SUM(AO$10:AO419)-ROUNDDOWN($K420*AO$5/100,0)&lt;-AO$6,-AO$6-SUM(AO$10:AO419),-ROUNDDOWN($K420*AO$5/100,0)),0)</f>
        <v>0</v>
      </c>
      <c r="AP420" s="38">
        <f>IF(AND($A420&gt;=AP$8,$A420&lt;=AP$9),IF(SUM(AP$10:AP419)-ROUNDDOWN($K420*AP$5/100,0)&lt;-AP$6,-AP$6-SUM(AP$10:AP419),-ROUNDDOWN($K420*AP$5/100,0)),0)</f>
        <v>0</v>
      </c>
      <c r="AQ420" s="38">
        <f>IF(AND($A420&gt;=AQ$8,$A420&lt;=AQ$9),IF(SUM(AQ$10:AQ419)-ROUNDDOWN($K420*AQ$5/100,0)&lt;-AQ$6,-AQ$6-SUM(AQ$10:AQ419),-ROUNDDOWN($K420*AQ$5/100,0)),0)</f>
        <v>0</v>
      </c>
      <c r="AR420" s="38">
        <f>IF(AND($A420&gt;=AR$8,$A420&lt;=AR$9),IF(SUM(AR$10:AR419)-ROUNDDOWN($K420*AR$5/100,0)&lt;-AR$6,-AR$6-SUM(AR$10:AR419),-ROUNDDOWN($K420*AR$5/100,0)),0)</f>
        <v>0</v>
      </c>
      <c r="AS420" s="38">
        <f>IF(SUMIFS(AS$10:AS419,$A$10:$A419,$A420)-ROUNDDOWN($K420*$S420/100,0)&lt;-$S420*1000,-$S420*1000-SUMIFS(AS$10:AS419,$A$10:$A419,$A420),-ROUNDDOWN($K420*$S420/100,0))</f>
        <v>0</v>
      </c>
      <c r="AT420" s="38">
        <f>IF(AND(X420="○",$A420&gt;=AT$8,$A420&lt;=AT$9,K420&gt;=3980),IF(SUM(AT$10:AT419)-ROUNDDOWN($K420*AT$5/100,0)&lt;-AT$6,-AT$6-SUM(AT$10:AT419),-ROUNDDOWN($K420*AT$5/100,0)),0)</f>
        <v>0</v>
      </c>
      <c r="AU420" s="38">
        <f>IF(O420="○",IF(SUM(AU$10:AU419)-ROUNDDOWN($K420*AU$5/100,0)&lt;-AU$6,-AU$6-SUM(AU$10:AU419),-ROUNDDOWN($K420*AU$5/100,0)),0)</f>
        <v>0</v>
      </c>
      <c r="AV420" s="38">
        <f>IF(P420="○",IF(SUM(AV$10:AV419)-ROUNDDOWN($K420*AV$5/100,0)&lt;-AV$6,-AV$6-SUM(AV$10:AV419),-ROUNDDOWN($K420*AV$5/100,0)),0)</f>
        <v>0</v>
      </c>
      <c r="AW420" s="38">
        <f>IF(Q420="○",IF(SUM(AW$10:AW419)-ROUNDDOWN($K420*AW$5/100,0)&lt;-AW$6,-AW$6-SUM(AW$10:AW419),-ROUNDDOWN($K420*AW$5/100,0)),0)</f>
        <v>0</v>
      </c>
      <c r="AX420" s="38">
        <f>IF(R420="○",IF(SUM(AX$10:AX419)-ROUNDDOWN($K420*AX$5/100,0)&lt;-AX$6,-AX$6-SUM(AX$10:AX419),-ROUNDDOWN($K420*AX$5/100,0)),0)</f>
        <v>0</v>
      </c>
      <c r="AY420" s="70">
        <v>0</v>
      </c>
      <c r="AZ420" s="65">
        <f t="shared" si="285"/>
        <v>0</v>
      </c>
      <c r="BA420" s="65">
        <f t="shared" si="286"/>
        <v>0</v>
      </c>
      <c r="BB420" s="70"/>
      <c r="BC420" s="65">
        <f t="shared" si="287"/>
        <v>0</v>
      </c>
      <c r="BD420" s="70">
        <v>0</v>
      </c>
      <c r="BE420" s="65">
        <f t="shared" si="288"/>
        <v>0</v>
      </c>
      <c r="BF420" s="70">
        <v>0</v>
      </c>
      <c r="BG420" s="65">
        <f t="shared" si="289"/>
        <v>0</v>
      </c>
      <c r="BH420" s="70">
        <v>0</v>
      </c>
      <c r="BI420" s="65">
        <f t="shared" si="290"/>
        <v>0</v>
      </c>
      <c r="BJ420" s="38">
        <f>IF(AND(BJ$7="○",$A420&gt;=BJ$8,$A420&lt;=BJ$9),IF(SUM(BJ$10:BJ419)-ROUNDDOWN($M420*BJ$5/100,0)&lt;-BJ$6,-BJ$6-SUM(BJ$10:BJ419),-ROUNDDOWN($M420*BJ$5/100,0)),0)</f>
        <v>0</v>
      </c>
      <c r="BK420" s="38">
        <f>IF(AND(BK$7="○",$A420&gt;=BK$8,$A420&lt;=BK$9),IF(SUM(BK$10:BK419)-ROUNDDOWN($L420*BK$5/100,0)&lt;-BK$6,-BK$6-SUM(BK$10:BK419),-ROUNDDOWN($L420*BK$5/100,0)),0)</f>
        <v>0</v>
      </c>
      <c r="BL420" s="38">
        <f>IF(AND(BL$7="○",$A420&gt;=BL$8,$A420&lt;=BL$9),IF(SUM(BL$10:BL419)-ROUNDDOWN($L420*BL$5/100,0)&lt;-BL$6,-BL$6-SUM(BL$10:BL419),-ROUNDDOWN($L420*BL$5/100,0)),0)</f>
        <v>0</v>
      </c>
      <c r="BM420" s="38">
        <f>IF(AND(BM$7="○",$A420&gt;=BM$8,$A420&lt;=BM$9),IF(SUM(BM$10:BM419)-ROUNDDOWN($M420*BM$5/100,0)&lt;-BM$6,-BM$6-SUM(BM$10:BM419),-ROUNDDOWN($M420*BM$5/100,0)),0)</f>
        <v>0</v>
      </c>
      <c r="BN420" s="38">
        <f>IF(AND(BN$7="○",$A420&gt;=BN$8,$A420&lt;=BN$9),IF(SUM(BN$10:BN419)-ROUNDDOWN($M420*BN$5/100,0)&lt;-BN$6,-BN$6-SUM(BN$10:BN419),-ROUNDDOWN($M420*BN$5/100,0)),0)</f>
        <v>0</v>
      </c>
      <c r="BO420" s="38">
        <f>IF(AND(BO$7="○",$A420&gt;=BO$8,$A420&lt;=BO$9),IF(SUM(BO$10:BO419)-ROUNDDOWN($M420*BO$5/100,0)&lt;-BO$6,-BO$6-SUM(BO$10:BO419),-ROUNDDOWN($M420*BO$5/100,0)),0)</f>
        <v>0</v>
      </c>
      <c r="BP420" s="38">
        <f>IF(AND(BP$7="○",$A420&gt;=BP$8,$A420&lt;=BP$9),IF(SUM(BP$10:BP419)-ROUNDDOWN($M420*BP$5/100,0)&lt;-BP$6,-BP$6-SUM(BP$10:BP419),-ROUNDDOWN($M420*BP$5/100,0)),0)</f>
        <v>0</v>
      </c>
      <c r="BQ420" s="38">
        <f>IF(AND(BQ$7="○",$A420&gt;=BQ$8,$A420&lt;=BQ$9),IF(SUM(BQ$10:BQ419)-ROUNDDOWN($L420*BQ$5/100,0)&lt;-BQ$6,-BQ$6-SUM(BQ$10:BQ419),-ROUNDDOWN($L420*BQ$5/100,0)),0)</f>
        <v>0</v>
      </c>
      <c r="BR420" s="38">
        <f>IF(AND(BR$7="○",$A420&gt;=BR$8,$A420&lt;=BR$9),IF(SUM(BR$10:BR419)-ROUNDDOWN($M420*BR$5/100,0)&lt;-BR$6,-BR$6-SUM(BR$10:BR419),-ROUNDDOWN($M420*BR$5/100,0)),0)</f>
        <v>0</v>
      </c>
      <c r="BS420" s="38">
        <f>IF(AND(BS$7="○",$A420&gt;=BS$8,$A420&lt;=BS$9),IF(SUM(BS$10:BS419)-ROUNDDOWN($M420*BS$5/100,0)&lt;-BS$6,-BS$6-SUM(BS$10:BS419),-ROUNDDOWN($M420*BS$5/100,0)),0)</f>
        <v>0</v>
      </c>
      <c r="BT420" s="38">
        <f>IF(AND(BT$7="○",$A420&gt;=BT$8,$A420&lt;=BT$9),IF(SUM(BT$10:BT419)-ROUNDDOWN($M420*BT$5/100,0)&lt;-BT$6,-BT$6-SUM(BT$10:BT419),-ROUNDDOWN($M420*BT$5/100,0)),0)</f>
        <v>0</v>
      </c>
      <c r="BU420" s="38">
        <f>IF(AND(BU$7="○",$A420&gt;=BU$8,$A420&lt;=BU$9),IF(SUM(BU$10:BU419)-ROUNDDOWN($M420*BU$5/100,0)&lt;-BU$6,-BU$6-SUM(BU$10:BU419),-ROUNDDOWN($M420*BU$5/100,0)),0)</f>
        <v>0</v>
      </c>
      <c r="BV420" s="38">
        <f>IF(AND(BV$7="○",$A420&gt;=BV$8,$A420&lt;=BV$9),IF(SUM(BV$10:BV419)-ROUNDDOWN($M420*BV$5/100,0)&lt;-BV$6,-BV$6-SUM(BV$10:BV419),-ROUNDDOWN($M420*BV$5/100,0)),0)</f>
        <v>0</v>
      </c>
      <c r="BW420" s="38">
        <f>IF(AND(BW$7="○",$A420&gt;=BW$8,$A420&lt;=BW$9),IF(SUM(BW$10:BW419)-ROUNDDOWN($M420*BW$5/100,0)&lt;-BW$6,-BW$6-SUM(BW$10:BW419),-ROUNDDOWN($M420*BW$5/100,0)),0)</f>
        <v>0</v>
      </c>
      <c r="BX420" s="38">
        <f>IF(AND(T420="○",$A420&gt;=BX$8,$A420&lt;=BX$9),IF(SUM(BX$10:BX419)-ROUNDDOWN($K420*BX$5/100,0)&lt;-BX$6,-BX$6-SUM(BX$10:BX419),-ROUNDDOWN($K420*BX$5/100,0)),0)</f>
        <v>0</v>
      </c>
      <c r="BY420" s="38">
        <f>IF(AND(U420="○",$A420&gt;=BY$8,$A420&lt;=BY$9),IF(SUM(BY$10:BY419)-ROUNDDOWN($K420*BY$5/100,0)&lt;-BY$6,-BY$6-SUM(BY$10:BY419),-ROUNDDOWN($K420*BY$5/100,0)),0)</f>
        <v>0</v>
      </c>
      <c r="BZ420" s="38">
        <f>IF(AND(V420="○",$A420&gt;=BZ$8,$A420&lt;=BZ$9),IF(SUM(BZ$10:BZ419)-ROUNDDOWN($K420*BZ$5/100,0)&lt;-BZ$6,-BZ$6-SUM(BZ$10:BZ419),-ROUNDDOWN($K420*BZ$5/100,0)),0)</f>
        <v>0</v>
      </c>
      <c r="CA420" s="38">
        <f>IF(AND(W420="○",$A420&gt;=CA$8,$A420&lt;=CA$9),IF(SUM(CA$10:CA419)-ROUNDDOWN($K420*CA$5/100,0)&lt;-CA$6,-CA$6-SUM(CA$10:CA419),-ROUNDDOWN($K420*CA$5/100,0)),0)</f>
        <v>0</v>
      </c>
      <c r="CB420" s="38"/>
      <c r="CC420" s="38"/>
      <c r="CD420" s="38"/>
      <c r="CE420" s="38"/>
      <c r="CF420" s="38"/>
      <c r="CG420" s="65">
        <f t="shared" si="291"/>
        <v>0</v>
      </c>
      <c r="CH420" s="71">
        <f t="shared" si="292"/>
        <v>0</v>
      </c>
      <c r="CI420" s="1">
        <f t="shared" si="19"/>
        <v>0</v>
      </c>
      <c r="CJ420" s="1"/>
      <c r="CK420" s="75"/>
      <c r="CL420" s="75"/>
      <c r="CM420" s="2"/>
      <c r="CN420" s="2"/>
      <c r="CO420" s="73">
        <f t="shared" si="20"/>
        <v>0</v>
      </c>
      <c r="CP420" s="5">
        <f t="shared" si="21"/>
        <v>0</v>
      </c>
      <c r="CQ420" s="1"/>
      <c r="CR420" s="1">
        <f t="shared" si="22"/>
        <v>0</v>
      </c>
      <c r="CS420" s="1"/>
      <c r="CT420" s="1" t="e">
        <f>INDEX([2]マスタ!$A:$A,MATCH(D420,[2]マスタ!$C:$C,0))</f>
        <v>#N/A</v>
      </c>
      <c r="CU420" s="1" t="str">
        <f t="shared" ca="1" si="23"/>
        <v>20260620_0-0</v>
      </c>
    </row>
    <row r="421" spans="1:99" x14ac:dyDescent="0.4">
      <c r="A421" s="61"/>
      <c r="B421" s="62"/>
      <c r="C421" s="62"/>
      <c r="D421" s="62"/>
      <c r="E421" s="74"/>
      <c r="F421" s="62"/>
      <c r="G421" s="62">
        <v>1</v>
      </c>
      <c r="H421" s="64">
        <f t="shared" si="4"/>
        <v>0</v>
      </c>
      <c r="I421" s="64"/>
      <c r="J421" s="64"/>
      <c r="K421" s="65">
        <f t="shared" si="298"/>
        <v>0</v>
      </c>
      <c r="L421" s="65">
        <f t="shared" si="6"/>
        <v>0</v>
      </c>
      <c r="M421" s="65">
        <f t="shared" si="7"/>
        <v>0</v>
      </c>
      <c r="N421" s="65">
        <f t="shared" si="8"/>
        <v>0</v>
      </c>
      <c r="O421" s="66" t="str">
        <f t="shared" si="295"/>
        <v>✕</v>
      </c>
      <c r="P421" s="67" t="str">
        <f t="shared" si="296"/>
        <v>○</v>
      </c>
      <c r="Q421" s="67" t="str">
        <f t="shared" si="299"/>
        <v>✕</v>
      </c>
      <c r="R421" s="67" t="str">
        <f t="shared" si="297"/>
        <v>✕</v>
      </c>
      <c r="S421" s="68">
        <v>0</v>
      </c>
      <c r="T421" s="69" t="s">
        <v>85</v>
      </c>
      <c r="U421" s="69" t="s">
        <v>85</v>
      </c>
      <c r="V421" s="69" t="s">
        <v>85</v>
      </c>
      <c r="W421" s="69" t="s">
        <v>85</v>
      </c>
      <c r="X421" s="69" t="s">
        <v>84</v>
      </c>
      <c r="Y421" s="69" t="s">
        <v>85</v>
      </c>
      <c r="Z421" s="69" t="s">
        <v>85</v>
      </c>
      <c r="AA421" s="69" t="s">
        <v>85</v>
      </c>
      <c r="AB421" s="69" t="s">
        <v>85</v>
      </c>
      <c r="AC421" s="69" t="s">
        <v>85</v>
      </c>
      <c r="AD421" s="38" t="str">
        <f>+IF(ISERROR(VLOOKUP($B421,AD$10:AD420,1,0)),IF(AND($N421&gt;=1000,$A421&gt;=AO$8,$A421&lt;=AO$9),$B421,""),"")</f>
        <v/>
      </c>
      <c r="AE421" s="38" t="str">
        <f>+IF(ISERROR(VLOOKUP($B421,AE$10:AE420,1,0)),IF(AND($N421&gt;=1000,$A421&gt;=AP$8,$A421&lt;=AP$9),$B421,""),"")</f>
        <v/>
      </c>
      <c r="AF421" s="38" t="str">
        <f>+IF(ISERROR(VLOOKUP($B421,AF$10:AF420,1,0)),IF(AND($N421&gt;=1000,$A421&gt;=AQ$8,$A421&lt;=AQ$9),$B421,""),"")</f>
        <v/>
      </c>
      <c r="AG421" s="38" t="str">
        <f>+IF(ISERROR(VLOOKUP($B421,AG$10:AG420,1,0)),IF(AND($N421&gt;=1000,$A421&gt;=AR$8,$A421&lt;=AR$9),$B421,""),"")</f>
        <v/>
      </c>
      <c r="AH421" s="38"/>
      <c r="AI421" s="70">
        <v>0</v>
      </c>
      <c r="AJ421" s="38">
        <f>IF(AND(AJ$7="○",$A421&gt;=AJ$8,$A421&lt;=AJ$9),IF(SUM(AJ$10:AJ420)-ROUNDDOWN($K421*AJ$5/100,0)&lt;-AJ$6,-AJ$6-SUM(AJ$10:AJ420),-ROUNDDOWN($K421*AJ$5/100,0)),0)</f>
        <v>0</v>
      </c>
      <c r="AK421" s="38">
        <f>IF(AND(AK$7="○",$A421&gt;=AK$8,$A421&lt;=AK$9),IF(SUM(AK$10:AK420)-ROUNDDOWN($L421*AK$5/100,0)&lt;-AK$6,-AK$6-SUM(AK$10:AK420),-ROUNDDOWN($L421*AK$5/100,0)),0)</f>
        <v>0</v>
      </c>
      <c r="AL421" s="38">
        <f>IF(AND(AL$7="○",$A421&gt;=AL$8,$A421&lt;=AL$9),IF(SUM(AL$10:AL420)-ROUNDDOWN($N421*AL$5/100,0)&lt;-AL$6,-AL$6-SUM(AL$10:AL420),-ROUNDDOWN($N421*AL$5/100,0)),0)</f>
        <v>0</v>
      </c>
      <c r="AM421" s="38">
        <f>IF(AND(AM$7="○",$A421&gt;=AM$8,$A421&lt;=AM$9),IF(SUM(AM$10:AM420)-ROUNDDOWN($L421*AM$5/100,0)&lt;-AM$6,-AM$6-SUM(AM$10:AM420),-ROUNDDOWN($L421*AM$5/100,0)),0)</f>
        <v>0</v>
      </c>
      <c r="AN421" s="38">
        <f>IF(AND(AN$7="○",$A421&gt;=AN$8,$A421&lt;=AN$9),IF(SUM(AN$10:AN420)-ROUNDDOWN($M421*AN$5/100,0)&lt;-AN$6,-AN$6-SUM(AN$10:AN420),-ROUNDDOWN($M421*AN$5/100,0)),0)</f>
        <v>0</v>
      </c>
      <c r="AO421" s="38">
        <f>IF(AND($A421&gt;=AO$8,$A421&lt;=AO$9),IF(SUM(AO$10:AO420)-ROUNDDOWN($K421*AO$5/100,0)&lt;-AO$6,-AO$6-SUM(AO$10:AO420),-ROUNDDOWN($K421*AO$5/100,0)),0)</f>
        <v>0</v>
      </c>
      <c r="AP421" s="38">
        <f>IF(AND($A421&gt;=AP$8,$A421&lt;=AP$9),IF(SUM(AP$10:AP420)-ROUNDDOWN($K421*AP$5/100,0)&lt;-AP$6,-AP$6-SUM(AP$10:AP420),-ROUNDDOWN($K421*AP$5/100,0)),0)</f>
        <v>0</v>
      </c>
      <c r="AQ421" s="38">
        <f>IF(AND($A421&gt;=AQ$8,$A421&lt;=AQ$9),IF(SUM(AQ$10:AQ420)-ROUNDDOWN($K421*AQ$5/100,0)&lt;-AQ$6,-AQ$6-SUM(AQ$10:AQ420),-ROUNDDOWN($K421*AQ$5/100,0)),0)</f>
        <v>0</v>
      </c>
      <c r="AR421" s="38">
        <f>IF(AND($A421&gt;=AR$8,$A421&lt;=AR$9),IF(SUM(AR$10:AR420)-ROUNDDOWN($K421*AR$5/100,0)&lt;-AR$6,-AR$6-SUM(AR$10:AR420),-ROUNDDOWN($K421*AR$5/100,0)),0)</f>
        <v>0</v>
      </c>
      <c r="AS421" s="38">
        <f>IF(SUMIFS(AS$10:AS420,$A$10:$A420,$A421)-ROUNDDOWN($K421*$S421/100,0)&lt;-$S421*1000,-$S421*1000-SUMIFS(AS$10:AS420,$A$10:$A420,$A421),-ROUNDDOWN($K421*$S421/100,0))</f>
        <v>0</v>
      </c>
      <c r="AT421" s="38">
        <f>IF(AND(X421="○",$A421&gt;=AT$8,$A421&lt;=AT$9,K421&gt;=3980),IF(SUM(AT$10:AT420)-ROUNDDOWN($K421*AT$5/100,0)&lt;-AT$6,-AT$6-SUM(AT$10:AT420),-ROUNDDOWN($K421*AT$5/100,0)),0)</f>
        <v>0</v>
      </c>
      <c r="AU421" s="38">
        <f>IF(O421="○",IF(SUM(AU$10:AU420)-ROUNDDOWN($K421*AU$5/100,0)&lt;-AU$6,-AU$6-SUM(AU$10:AU420),-ROUNDDOWN($K421*AU$5/100,0)),0)</f>
        <v>0</v>
      </c>
      <c r="AV421" s="38">
        <f>IF(P421="○",IF(SUM(AV$10:AV420)-ROUNDDOWN($K421*AV$5/100,0)&lt;-AV$6,-AV$6-SUM(AV$10:AV420),-ROUNDDOWN($K421*AV$5/100,0)),0)</f>
        <v>0</v>
      </c>
      <c r="AW421" s="38">
        <f>IF(Q421="○",IF(SUM(AW$10:AW420)-ROUNDDOWN($K421*AW$5/100,0)&lt;-AW$6,-AW$6-SUM(AW$10:AW420),-ROUNDDOWN($K421*AW$5/100,0)),0)</f>
        <v>0</v>
      </c>
      <c r="AX421" s="38">
        <f>IF(R421="○",IF(SUM(AX$10:AX420)-ROUNDDOWN($K421*AX$5/100,0)&lt;-AX$6,-AX$6-SUM(AX$10:AX420),-ROUNDDOWN($K421*AX$5/100,0)),0)</f>
        <v>0</v>
      </c>
      <c r="AY421" s="70">
        <v>0</v>
      </c>
      <c r="AZ421" s="65">
        <f t="shared" si="285"/>
        <v>0</v>
      </c>
      <c r="BA421" s="65">
        <f t="shared" si="286"/>
        <v>0</v>
      </c>
      <c r="BB421" s="70"/>
      <c r="BC421" s="65">
        <f t="shared" si="287"/>
        <v>0</v>
      </c>
      <c r="BD421" s="70">
        <v>0</v>
      </c>
      <c r="BE421" s="65">
        <f t="shared" si="288"/>
        <v>0</v>
      </c>
      <c r="BF421" s="70">
        <v>0</v>
      </c>
      <c r="BG421" s="65">
        <f t="shared" si="289"/>
        <v>0</v>
      </c>
      <c r="BH421" s="70">
        <v>0</v>
      </c>
      <c r="BI421" s="65">
        <f t="shared" si="290"/>
        <v>0</v>
      </c>
      <c r="BJ421" s="38">
        <f>IF(AND(BJ$7="○",$A421&gt;=BJ$8,$A421&lt;=BJ$9),IF(SUM(BJ$10:BJ420)-ROUNDDOWN($M421*BJ$5/100,0)&lt;-BJ$6,-BJ$6-SUM(BJ$10:BJ420),-ROUNDDOWN($M421*BJ$5/100,0)),0)</f>
        <v>0</v>
      </c>
      <c r="BK421" s="38">
        <f>IF(AND(BK$7="○",$A421&gt;=BK$8,$A421&lt;=BK$9),IF(SUM(BK$10:BK420)-ROUNDDOWN($L421*BK$5/100,0)&lt;-BK$6,-BK$6-SUM(BK$10:BK420),-ROUNDDOWN($L421*BK$5/100,0)),0)</f>
        <v>0</v>
      </c>
      <c r="BL421" s="38">
        <f>IF(AND(BL$7="○",$A421&gt;=BL$8,$A421&lt;=BL$9),IF(SUM(BL$10:BL420)-ROUNDDOWN($L421*BL$5/100,0)&lt;-BL$6,-BL$6-SUM(BL$10:BL420),-ROUNDDOWN($L421*BL$5/100,0)),0)</f>
        <v>0</v>
      </c>
      <c r="BM421" s="38">
        <f>IF(AND(BM$7="○",$A421&gt;=BM$8,$A421&lt;=BM$9),IF(SUM(BM$10:BM420)-ROUNDDOWN($M421*BM$5/100,0)&lt;-BM$6,-BM$6-SUM(BM$10:BM420),-ROUNDDOWN($M421*BM$5/100,0)),0)</f>
        <v>0</v>
      </c>
      <c r="BN421" s="38">
        <f>IF(AND(BN$7="○",$A421&gt;=BN$8,$A421&lt;=BN$9),IF(SUM(BN$10:BN420)-ROUNDDOWN($M421*BN$5/100,0)&lt;-BN$6,-BN$6-SUM(BN$10:BN420),-ROUNDDOWN($M421*BN$5/100,0)),0)</f>
        <v>0</v>
      </c>
      <c r="BO421" s="38">
        <f>IF(AND(BO$7="○",$A421&gt;=BO$8,$A421&lt;=BO$9),IF(SUM(BO$10:BO420)-ROUNDDOWN($M421*BO$5/100,0)&lt;-BO$6,-BO$6-SUM(BO$10:BO420),-ROUNDDOWN($M421*BO$5/100,0)),0)</f>
        <v>0</v>
      </c>
      <c r="BP421" s="38">
        <f>IF(AND(BP$7="○",$A421&gt;=BP$8,$A421&lt;=BP$9),IF(SUM(BP$10:BP420)-ROUNDDOWN($M421*BP$5/100,0)&lt;-BP$6,-BP$6-SUM(BP$10:BP420),-ROUNDDOWN($M421*BP$5/100,0)),0)</f>
        <v>0</v>
      </c>
      <c r="BQ421" s="38">
        <f>IF(AND(BQ$7="○",$A421&gt;=BQ$8,$A421&lt;=BQ$9),IF(SUM(BQ$10:BQ420)-ROUNDDOWN($L421*BQ$5/100,0)&lt;-BQ$6,-BQ$6-SUM(BQ$10:BQ420),-ROUNDDOWN($L421*BQ$5/100,0)),0)</f>
        <v>0</v>
      </c>
      <c r="BR421" s="38">
        <f>IF(AND(BR$7="○",$A421&gt;=BR$8,$A421&lt;=BR$9),IF(SUM(BR$10:BR420)-ROUNDDOWN($M421*BR$5/100,0)&lt;-BR$6,-BR$6-SUM(BR$10:BR420),-ROUNDDOWN($M421*BR$5/100,0)),0)</f>
        <v>0</v>
      </c>
      <c r="BS421" s="38">
        <f>IF(AND(BS$7="○",$A421&gt;=BS$8,$A421&lt;=BS$9),IF(SUM(BS$10:BS420)-ROUNDDOWN($M421*BS$5/100,0)&lt;-BS$6,-BS$6-SUM(BS$10:BS420),-ROUNDDOWN($M421*BS$5/100,0)),0)</f>
        <v>0</v>
      </c>
      <c r="BT421" s="38">
        <f>IF(AND(BT$7="○",$A421&gt;=BT$8,$A421&lt;=BT$9),IF(SUM(BT$10:BT420)-ROUNDDOWN($M421*BT$5/100,0)&lt;-BT$6,-BT$6-SUM(BT$10:BT420),-ROUNDDOWN($M421*BT$5/100,0)),0)</f>
        <v>0</v>
      </c>
      <c r="BU421" s="38">
        <f>IF(AND(BU$7="○",$A421&gt;=BU$8,$A421&lt;=BU$9),IF(SUM(BU$10:BU420)-ROUNDDOWN($M421*BU$5/100,0)&lt;-BU$6,-BU$6-SUM(BU$10:BU420),-ROUNDDOWN($M421*BU$5/100,0)),0)</f>
        <v>0</v>
      </c>
      <c r="BV421" s="38">
        <f>IF(AND(BV$7="○",$A421&gt;=BV$8,$A421&lt;=BV$9),IF(SUM(BV$10:BV420)-ROUNDDOWN($M421*BV$5/100,0)&lt;-BV$6,-BV$6-SUM(BV$10:BV420),-ROUNDDOWN($M421*BV$5/100,0)),0)</f>
        <v>0</v>
      </c>
      <c r="BW421" s="38">
        <f>IF(AND(BW$7="○",$A421&gt;=BW$8,$A421&lt;=BW$9),IF(SUM(BW$10:BW420)-ROUNDDOWN($M421*BW$5/100,0)&lt;-BW$6,-BW$6-SUM(BW$10:BW420),-ROUNDDOWN($M421*BW$5/100,0)),0)</f>
        <v>0</v>
      </c>
      <c r="BX421" s="38">
        <f>IF(AND(T421="○",$A421&gt;=BX$8,$A421&lt;=BX$9),IF(SUM(BX$10:BX420)-ROUNDDOWN($K421*BX$5/100,0)&lt;-BX$6,-BX$6-SUM(BX$10:BX420),-ROUNDDOWN($K421*BX$5/100,0)),0)</f>
        <v>0</v>
      </c>
      <c r="BY421" s="38">
        <f>IF(AND(U421="○",$A421&gt;=BY$8,$A421&lt;=BY$9),IF(SUM(BY$10:BY420)-ROUNDDOWN($K421*BY$5/100,0)&lt;-BY$6,-BY$6-SUM(BY$10:BY420),-ROUNDDOWN($K421*BY$5/100,0)),0)</f>
        <v>0</v>
      </c>
      <c r="BZ421" s="38">
        <f>IF(AND(V421="○",$A421&gt;=BZ$8,$A421&lt;=BZ$9),IF(SUM(BZ$10:BZ420)-ROUNDDOWN($K421*BZ$5/100,0)&lt;-BZ$6,-BZ$6-SUM(BZ$10:BZ420),-ROUNDDOWN($K421*BZ$5/100,0)),0)</f>
        <v>0</v>
      </c>
      <c r="CA421" s="38">
        <f>IF(AND(W421="○",$A421&gt;=CA$8,$A421&lt;=CA$9),IF(SUM(CA$10:CA420)-ROUNDDOWN($K421*CA$5/100,0)&lt;-CA$6,-CA$6-SUM(CA$10:CA420),-ROUNDDOWN($K421*CA$5/100,0)),0)</f>
        <v>0</v>
      </c>
      <c r="CB421" s="38"/>
      <c r="CC421" s="38"/>
      <c r="CD421" s="38"/>
      <c r="CE421" s="38"/>
      <c r="CF421" s="38"/>
      <c r="CG421" s="65">
        <f t="shared" si="291"/>
        <v>0</v>
      </c>
      <c r="CH421" s="71">
        <f t="shared" si="292"/>
        <v>0</v>
      </c>
      <c r="CI421" s="1">
        <f t="shared" si="19"/>
        <v>0</v>
      </c>
      <c r="CJ421" s="1"/>
      <c r="CK421" s="75"/>
      <c r="CL421" s="75"/>
      <c r="CM421" s="2"/>
      <c r="CN421" s="2"/>
      <c r="CO421" s="73">
        <f t="shared" si="20"/>
        <v>0</v>
      </c>
      <c r="CP421" s="5">
        <f t="shared" si="21"/>
        <v>0</v>
      </c>
      <c r="CQ421" s="1"/>
      <c r="CR421" s="1">
        <f t="shared" si="22"/>
        <v>0</v>
      </c>
      <c r="CS421" s="1"/>
      <c r="CT421" s="1" t="e">
        <f>INDEX([2]マスタ!$A:$A,MATCH(D421,[2]マスタ!$C:$C,0))</f>
        <v>#N/A</v>
      </c>
      <c r="CU421" s="1" t="str">
        <f t="shared" ca="1" si="23"/>
        <v>20260620_0-0</v>
      </c>
    </row>
    <row r="422" spans="1:99" x14ac:dyDescent="0.4">
      <c r="A422" s="61"/>
      <c r="B422" s="62"/>
      <c r="C422" s="62"/>
      <c r="D422" s="62"/>
      <c r="E422" s="74"/>
      <c r="F422" s="62"/>
      <c r="G422" s="62">
        <v>1</v>
      </c>
      <c r="H422" s="64">
        <f t="shared" si="4"/>
        <v>0</v>
      </c>
      <c r="I422" s="64"/>
      <c r="J422" s="64"/>
      <c r="K422" s="65">
        <f>+ROUNDDOWN((H422+I422)/100,0)*100</f>
        <v>0</v>
      </c>
      <c r="L422" s="65">
        <f t="shared" si="6"/>
        <v>0</v>
      </c>
      <c r="M422" s="65">
        <f t="shared" si="7"/>
        <v>0</v>
      </c>
      <c r="N422" s="65">
        <f t="shared" si="8"/>
        <v>0</v>
      </c>
      <c r="O422" s="66" t="str">
        <f t="shared" si="295"/>
        <v>✕</v>
      </c>
      <c r="P422" s="67" t="str">
        <f t="shared" si="296"/>
        <v>○</v>
      </c>
      <c r="Q422" s="67" t="str">
        <f>+IF((TEXT($A422,"DD")+0)=1,"○","✕")</f>
        <v>✕</v>
      </c>
      <c r="R422" s="67" t="str">
        <f t="shared" si="297"/>
        <v>✕</v>
      </c>
      <c r="S422" s="68">
        <v>0</v>
      </c>
      <c r="T422" s="69" t="s">
        <v>85</v>
      </c>
      <c r="U422" s="69" t="s">
        <v>85</v>
      </c>
      <c r="V422" s="69" t="s">
        <v>85</v>
      </c>
      <c r="W422" s="69" t="s">
        <v>85</v>
      </c>
      <c r="X422" s="69" t="s">
        <v>84</v>
      </c>
      <c r="Y422" s="69" t="s">
        <v>85</v>
      </c>
      <c r="Z422" s="69" t="s">
        <v>85</v>
      </c>
      <c r="AA422" s="69" t="s">
        <v>85</v>
      </c>
      <c r="AB422" s="69" t="s">
        <v>85</v>
      </c>
      <c r="AC422" s="69" t="s">
        <v>85</v>
      </c>
      <c r="AD422" s="38" t="str">
        <f>+IF(ISERROR(VLOOKUP($B422,AD$10:AD421,1,0)),IF(AND($N422&gt;=1000,$A422&gt;=AO$8,$A422&lt;=AO$9),$B422,""),"")</f>
        <v/>
      </c>
      <c r="AE422" s="38" t="str">
        <f>+IF(ISERROR(VLOOKUP($B422,AE$10:AE421,1,0)),IF(AND($N422&gt;=1000,$A422&gt;=AP$8,$A422&lt;=AP$9),$B422,""),"")</f>
        <v/>
      </c>
      <c r="AF422" s="38" t="str">
        <f>+IF(ISERROR(VLOOKUP($B422,AF$10:AF421,1,0)),IF(AND($N422&gt;=1000,$A422&gt;=AQ$8,$A422&lt;=AQ$9),$B422,""),"")</f>
        <v/>
      </c>
      <c r="AG422" s="38" t="str">
        <f>+IF(ISERROR(VLOOKUP($B422,AG$10:AG421,1,0)),IF(AND($N422&gt;=1000,$A422&gt;=AR$8,$A422&lt;=AR$9),$B422,""),"")</f>
        <v/>
      </c>
      <c r="AH422" s="38"/>
      <c r="AI422" s="70">
        <v>0</v>
      </c>
      <c r="AJ422" s="38">
        <f>IF(AND(AJ$7="○",$A422&gt;=AJ$8,$A422&lt;=AJ$9),IF(SUM(AJ$10:AJ421)-ROUNDDOWN($K422*AJ$5/100,0)&lt;-AJ$6,-AJ$6-SUM(AJ$10:AJ421),-ROUNDDOWN($K422*AJ$5/100,0)),0)</f>
        <v>0</v>
      </c>
      <c r="AK422" s="38">
        <f>IF(AND(AK$7="○",$A422&gt;=AK$8,$A422&lt;=AK$9),IF(SUM(AK$10:AK421)-ROUNDDOWN($L422*AK$5/100,0)&lt;-AK$6,-AK$6-SUM(AK$10:AK421),-ROUNDDOWN($L422*AK$5/100,0)),0)</f>
        <v>0</v>
      </c>
      <c r="AL422" s="38">
        <f>IF(AND(AL$7="○",$A422&gt;=AL$8,$A422&lt;=AL$9),IF(SUM(AL$10:AL421)-ROUNDDOWN($N422*AL$5/100,0)&lt;-AL$6,-AL$6-SUM(AL$10:AL421),-ROUNDDOWN($N422*AL$5/100,0)),0)</f>
        <v>0</v>
      </c>
      <c r="AM422" s="38">
        <f>IF(AND(AM$7="○",$A422&gt;=AM$8,$A422&lt;=AM$9),IF(SUM(AM$10:AM421)-ROUNDDOWN($L422*AM$5/100,0)&lt;-AM$6,-AM$6-SUM(AM$10:AM421),-ROUNDDOWN($L422*AM$5/100,0)),0)</f>
        <v>0</v>
      </c>
      <c r="AN422" s="38">
        <f>IF(AND(AN$7="○",$A422&gt;=AN$8,$A422&lt;=AN$9),IF(SUM(AN$10:AN421)-ROUNDDOWN($M422*AN$5/100,0)&lt;-AN$6,-AN$6-SUM(AN$10:AN421),-ROUNDDOWN($M422*AN$5/100,0)),0)</f>
        <v>0</v>
      </c>
      <c r="AO422" s="38">
        <f>IF(AND($A422&gt;=AO$8,$A422&lt;=AO$9),IF(SUM(AO$10:AO421)-ROUNDDOWN($K422*AO$5/100,0)&lt;-AO$6,-AO$6-SUM(AO$10:AO421),-ROUNDDOWN($K422*AO$5/100,0)),0)</f>
        <v>0</v>
      </c>
      <c r="AP422" s="38">
        <f>IF(AND($A422&gt;=AP$8,$A422&lt;=AP$9),IF(SUM(AP$10:AP421)-ROUNDDOWN($K422*AP$5/100,0)&lt;-AP$6,-AP$6-SUM(AP$10:AP421),-ROUNDDOWN($K422*AP$5/100,0)),0)</f>
        <v>0</v>
      </c>
      <c r="AQ422" s="38">
        <f>IF(AND($A422&gt;=AQ$8,$A422&lt;=AQ$9),IF(SUM(AQ$10:AQ421)-ROUNDDOWN($K422*AQ$5/100,0)&lt;-AQ$6,-AQ$6-SUM(AQ$10:AQ421),-ROUNDDOWN($K422*AQ$5/100,0)),0)</f>
        <v>0</v>
      </c>
      <c r="AR422" s="38">
        <f>IF(AND($A422&gt;=AR$8,$A422&lt;=AR$9),IF(SUM(AR$10:AR421)-ROUNDDOWN($K422*AR$5/100,0)&lt;-AR$6,-AR$6-SUM(AR$10:AR421),-ROUNDDOWN($K422*AR$5/100,0)),0)</f>
        <v>0</v>
      </c>
      <c r="AS422" s="38">
        <f>IF(SUMIFS(AS$10:AS421,$A$10:$A421,$A422)-ROUNDDOWN($K422*$S422/100,0)&lt;-$S422*1000,-$S422*1000-SUMIFS(AS$10:AS421,$A$10:$A421,$A422),-ROUNDDOWN($K422*$S422/100,0))</f>
        <v>0</v>
      </c>
      <c r="AT422" s="38">
        <f>IF(AND(X422="○",$A422&gt;=AT$8,$A422&lt;=AT$9,K422&gt;=3980),IF(SUM(AT$10:AT421)-ROUNDDOWN($K422*AT$5/100,0)&lt;-AT$6,-AT$6-SUM(AT$10:AT421),-ROUNDDOWN($K422*AT$5/100,0)),0)</f>
        <v>0</v>
      </c>
      <c r="AU422" s="38">
        <f>IF(O422="○",IF(SUM(AU$10:AU421)-ROUNDDOWN($K422*AU$5/100,0)&lt;-AU$6,-AU$6-SUM(AU$10:AU421),-ROUNDDOWN($K422*AU$5/100,0)),0)</f>
        <v>0</v>
      </c>
      <c r="AV422" s="38">
        <f>IF(P422="○",IF(SUM(AV$10:AV421)-ROUNDDOWN($K422*AV$5/100,0)&lt;-AV$6,-AV$6-SUM(AV$10:AV421),-ROUNDDOWN($K422*AV$5/100,0)),0)</f>
        <v>0</v>
      </c>
      <c r="AW422" s="38">
        <f>IF(Q422="○",IF(SUM(AW$10:AW421)-ROUNDDOWN($K422*AW$5/100,0)&lt;-AW$6,-AW$6-SUM(AW$10:AW421),-ROUNDDOWN($K422*AW$5/100,0)),0)</f>
        <v>0</v>
      </c>
      <c r="AX422" s="38">
        <f>IF(R422="○",IF(SUM(AX$10:AX421)-ROUNDDOWN($K422*AX$5/100,0)&lt;-AX$6,-AX$6-SUM(AX$10:AX421),-ROUNDDOWN($K422*AX$5/100,0)),0)</f>
        <v>0</v>
      </c>
      <c r="AY422" s="70">
        <v>0</v>
      </c>
      <c r="AZ422" s="65">
        <f t="shared" si="285"/>
        <v>0</v>
      </c>
      <c r="BA422" s="65">
        <f t="shared" si="286"/>
        <v>0</v>
      </c>
      <c r="BB422" s="70"/>
      <c r="BC422" s="65">
        <f t="shared" si="287"/>
        <v>0</v>
      </c>
      <c r="BD422" s="70">
        <v>0</v>
      </c>
      <c r="BE422" s="65">
        <f t="shared" si="288"/>
        <v>0</v>
      </c>
      <c r="BF422" s="70">
        <v>0</v>
      </c>
      <c r="BG422" s="65">
        <f t="shared" si="289"/>
        <v>0</v>
      </c>
      <c r="BH422" s="70">
        <v>0</v>
      </c>
      <c r="BI422" s="65">
        <f t="shared" si="290"/>
        <v>0</v>
      </c>
      <c r="BJ422" s="38">
        <f>IF(AND(BJ$7="○",$A422&gt;=BJ$8,$A422&lt;=BJ$9),IF(SUM(BJ$10:BJ421)-ROUNDDOWN($M422*BJ$5/100,0)&lt;-BJ$6,-BJ$6-SUM(BJ$10:BJ421),-ROUNDDOWN($M422*BJ$5/100,0)),0)</f>
        <v>0</v>
      </c>
      <c r="BK422" s="38">
        <f>IF(AND(BK$7="○",$A422&gt;=BK$8,$A422&lt;=BK$9),IF(SUM(BK$10:BK421)-ROUNDDOWN($L422*BK$5/100,0)&lt;-BK$6,-BK$6-SUM(BK$10:BK421),-ROUNDDOWN($L422*BK$5/100,0)),0)</f>
        <v>0</v>
      </c>
      <c r="BL422" s="38">
        <f>IF(AND(BL$7="○",$A422&gt;=BL$8,$A422&lt;=BL$9),IF(SUM(BL$10:BL421)-ROUNDDOWN($L422*BL$5/100,0)&lt;-BL$6,-BL$6-SUM(BL$10:BL421),-ROUNDDOWN($L422*BL$5/100,0)),0)</f>
        <v>0</v>
      </c>
      <c r="BM422" s="38">
        <f>IF(AND(BM$7="○",$A422&gt;=BM$8,$A422&lt;=BM$9),IF(SUM(BM$10:BM421)-ROUNDDOWN($M422*BM$5/100,0)&lt;-BM$6,-BM$6-SUM(BM$10:BM421),-ROUNDDOWN($M422*BM$5/100,0)),0)</f>
        <v>0</v>
      </c>
      <c r="BN422" s="38">
        <f>IF(AND(BN$7="○",$A422&gt;=BN$8,$A422&lt;=BN$9),IF(SUM(BN$10:BN421)-ROUNDDOWN($M422*BN$5/100,0)&lt;-BN$6,-BN$6-SUM(BN$10:BN421),-ROUNDDOWN($M422*BN$5/100,0)),0)</f>
        <v>0</v>
      </c>
      <c r="BO422" s="38">
        <f>IF(AND(BO$7="○",$A422&gt;=BO$8,$A422&lt;=BO$9),IF(SUM(BO$10:BO421)-ROUNDDOWN($M422*BO$5/100,0)&lt;-BO$6,-BO$6-SUM(BO$10:BO421),-ROUNDDOWN($M422*BO$5/100,0)),0)</f>
        <v>0</v>
      </c>
      <c r="BP422" s="38">
        <f>IF(AND(BP$7="○",$A422&gt;=BP$8,$A422&lt;=BP$9),IF(SUM(BP$10:BP421)-ROUNDDOWN($M422*BP$5/100,0)&lt;-BP$6,-BP$6-SUM(BP$10:BP421),-ROUNDDOWN($M422*BP$5/100,0)),0)</f>
        <v>0</v>
      </c>
      <c r="BQ422" s="38">
        <f>IF(AND(BQ$7="○",$A422&gt;=BQ$8,$A422&lt;=BQ$9),IF(SUM(BQ$10:BQ421)-ROUNDDOWN($L422*BQ$5/100,0)&lt;-BQ$6,-BQ$6-SUM(BQ$10:BQ421),-ROUNDDOWN($L422*BQ$5/100,0)),0)</f>
        <v>0</v>
      </c>
      <c r="BR422" s="38">
        <f>IF(AND(BR$7="○",$A422&gt;=BR$8,$A422&lt;=BR$9),IF(SUM(BR$10:BR421)-ROUNDDOWN($M422*BR$5/100,0)&lt;-BR$6,-BR$6-SUM(BR$10:BR421),-ROUNDDOWN($M422*BR$5/100,0)),0)</f>
        <v>0</v>
      </c>
      <c r="BS422" s="38">
        <f>IF(AND(BS$7="○",$A422&gt;=BS$8,$A422&lt;=BS$9),IF(SUM(BS$10:BS421)-ROUNDDOWN($M422*BS$5/100,0)&lt;-BS$6,-BS$6-SUM(BS$10:BS421),-ROUNDDOWN($M422*BS$5/100,0)),0)</f>
        <v>0</v>
      </c>
      <c r="BT422" s="38">
        <f>IF(AND(BT$7="○",$A422&gt;=BT$8,$A422&lt;=BT$9),IF(SUM(BT$10:BT421)-ROUNDDOWN($M422*BT$5/100,0)&lt;-BT$6,-BT$6-SUM(BT$10:BT421),-ROUNDDOWN($M422*BT$5/100,0)),0)</f>
        <v>0</v>
      </c>
      <c r="BU422" s="38">
        <f>IF(AND(BU$7="○",$A422&gt;=BU$8,$A422&lt;=BU$9),IF(SUM(BU$10:BU421)-ROUNDDOWN($M422*BU$5/100,0)&lt;-BU$6,-BU$6-SUM(BU$10:BU421),-ROUNDDOWN($M422*BU$5/100,0)),0)</f>
        <v>0</v>
      </c>
      <c r="BV422" s="38">
        <f>IF(AND(BV$7="○",$A422&gt;=BV$8,$A422&lt;=BV$9),IF(SUM(BV$10:BV421)-ROUNDDOWN($M422*BV$5/100,0)&lt;-BV$6,-BV$6-SUM(BV$10:BV421),-ROUNDDOWN($M422*BV$5/100,0)),0)</f>
        <v>0</v>
      </c>
      <c r="BW422" s="38">
        <f>IF(AND(BW$7="○",$A422&gt;=BW$8,$A422&lt;=BW$9),IF(SUM(BW$10:BW421)-ROUNDDOWN($M422*BW$5/100,0)&lt;-BW$6,-BW$6-SUM(BW$10:BW421),-ROUNDDOWN($M422*BW$5/100,0)),0)</f>
        <v>0</v>
      </c>
      <c r="BX422" s="38">
        <f>IF(AND(T422="○",$A422&gt;=BX$8,$A422&lt;=BX$9),IF(SUM(BX$10:BX421)-ROUNDDOWN($K422*BX$5/100,0)&lt;-BX$6,-BX$6-SUM(BX$10:BX421),-ROUNDDOWN($K422*BX$5/100,0)),0)</f>
        <v>0</v>
      </c>
      <c r="BY422" s="38">
        <f>IF(AND(U422="○",$A422&gt;=BY$8,$A422&lt;=BY$9),IF(SUM(BY$10:BY421)-ROUNDDOWN($K422*BY$5/100,0)&lt;-BY$6,-BY$6-SUM(BY$10:BY421),-ROUNDDOWN($K422*BY$5/100,0)),0)</f>
        <v>0</v>
      </c>
      <c r="BZ422" s="38">
        <f>IF(AND(V422="○",$A422&gt;=BZ$8,$A422&lt;=BZ$9),IF(SUM(BZ$10:BZ421)-ROUNDDOWN($K422*BZ$5/100,0)&lt;-BZ$6,-BZ$6-SUM(BZ$10:BZ421),-ROUNDDOWN($K422*BZ$5/100,0)),0)</f>
        <v>0</v>
      </c>
      <c r="CA422" s="38">
        <f>IF(AND(W422="○",$A422&gt;=CA$8,$A422&lt;=CA$9),IF(SUM(CA$10:CA421)-ROUNDDOWN($K422*CA$5/100,0)&lt;-CA$6,-CA$6-SUM(CA$10:CA421),-ROUNDDOWN($K422*CA$5/100,0)),0)</f>
        <v>0</v>
      </c>
      <c r="CB422" s="38"/>
      <c r="CC422" s="38"/>
      <c r="CD422" s="38"/>
      <c r="CE422" s="38"/>
      <c r="CF422" s="38"/>
      <c r="CG422" s="65">
        <f t="shared" si="291"/>
        <v>0</v>
      </c>
      <c r="CH422" s="71">
        <f t="shared" si="292"/>
        <v>0</v>
      </c>
      <c r="CI422" s="1">
        <f t="shared" si="19"/>
        <v>0</v>
      </c>
      <c r="CJ422" s="1"/>
      <c r="CK422" s="75"/>
      <c r="CL422" s="75"/>
      <c r="CM422" s="2"/>
      <c r="CN422" s="2"/>
      <c r="CO422" s="73">
        <f t="shared" si="20"/>
        <v>0</v>
      </c>
      <c r="CP422" s="5">
        <f t="shared" si="21"/>
        <v>0</v>
      </c>
      <c r="CQ422" s="1"/>
      <c r="CR422" s="1">
        <f t="shared" si="22"/>
        <v>0</v>
      </c>
      <c r="CS422" s="1"/>
      <c r="CT422" s="1" t="e">
        <f>INDEX([2]マスタ!$A:$A,MATCH(D422,[2]マスタ!$C:$C,0))</f>
        <v>#N/A</v>
      </c>
      <c r="CU422" s="1" t="str">
        <f t="shared" ca="1" si="23"/>
        <v>20260620_0-0</v>
      </c>
    </row>
    <row r="423" spans="1:99" x14ac:dyDescent="0.4">
      <c r="A423" s="61"/>
      <c r="B423" s="62"/>
      <c r="C423" s="62"/>
      <c r="D423" s="62"/>
      <c r="E423" s="63"/>
      <c r="F423" s="62"/>
      <c r="G423" s="62">
        <v>1</v>
      </c>
      <c r="H423" s="64">
        <f t="shared" si="4"/>
        <v>0</v>
      </c>
      <c r="I423" s="64"/>
      <c r="J423" s="64"/>
      <c r="K423" s="65">
        <f>+ROUNDDOWN((H423+I423)/100,0)*100</f>
        <v>0</v>
      </c>
      <c r="L423" s="65">
        <f t="shared" si="6"/>
        <v>0</v>
      </c>
      <c r="M423" s="65">
        <f t="shared" si="7"/>
        <v>0</v>
      </c>
      <c r="N423" s="65">
        <f t="shared" si="8"/>
        <v>0</v>
      </c>
      <c r="O423" s="66" t="str">
        <f t="shared" si="295"/>
        <v>✕</v>
      </c>
      <c r="P423" s="67" t="str">
        <f t="shared" si="296"/>
        <v>○</v>
      </c>
      <c r="Q423" s="67" t="str">
        <f>+IF((TEXT($A423,"DD")+0)=1,"○","✕")</f>
        <v>✕</v>
      </c>
      <c r="R423" s="67" t="str">
        <f t="shared" si="297"/>
        <v>✕</v>
      </c>
      <c r="S423" s="68">
        <v>0</v>
      </c>
      <c r="T423" s="69" t="s">
        <v>85</v>
      </c>
      <c r="U423" s="69" t="s">
        <v>85</v>
      </c>
      <c r="V423" s="69" t="s">
        <v>85</v>
      </c>
      <c r="W423" s="69" t="s">
        <v>85</v>
      </c>
      <c r="X423" s="69" t="s">
        <v>84</v>
      </c>
      <c r="Y423" s="69" t="s">
        <v>85</v>
      </c>
      <c r="Z423" s="69" t="s">
        <v>85</v>
      </c>
      <c r="AA423" s="69" t="s">
        <v>85</v>
      </c>
      <c r="AB423" s="69" t="s">
        <v>85</v>
      </c>
      <c r="AC423" s="69" t="s">
        <v>85</v>
      </c>
      <c r="AD423" s="38" t="str">
        <f>+IF(ISERROR(VLOOKUP($B423,AD$10:AD422,1,0)),IF(AND($N423&gt;=1000,$A423&gt;=AO$8,$A423&lt;=AO$9),$B423,""),"")</f>
        <v/>
      </c>
      <c r="AE423" s="38" t="str">
        <f>+IF(ISERROR(VLOOKUP($B423,AE$10:AE422,1,0)),IF(AND($N423&gt;=1000,$A423&gt;=AP$8,$A423&lt;=AP$9),$B423,""),"")</f>
        <v/>
      </c>
      <c r="AF423" s="38" t="str">
        <f>+IF(ISERROR(VLOOKUP($B423,AF$10:AF422,1,0)),IF(AND($N423&gt;=1000,$A423&gt;=AQ$8,$A423&lt;=AQ$9),$B423,""),"")</f>
        <v/>
      </c>
      <c r="AG423" s="38" t="str">
        <f>+IF(ISERROR(VLOOKUP($B423,AG$10:AG422,1,0)),IF(AND($N423&gt;=1000,$A423&gt;=AR$8,$A423&lt;=AR$9),$B423,""),"")</f>
        <v/>
      </c>
      <c r="AH423" s="38"/>
      <c r="AI423" s="70">
        <v>0</v>
      </c>
      <c r="AJ423" s="38">
        <f>IF(AND(AJ$7="○",$A423&gt;=AJ$8,$A423&lt;=AJ$9),IF(SUM(AJ$10:AJ422)-ROUNDDOWN($K423*AJ$5/100,0)&lt;-AJ$6,-AJ$6-SUM(AJ$10:AJ422),-ROUNDDOWN($K423*AJ$5/100,0)),0)</f>
        <v>0</v>
      </c>
      <c r="AK423" s="38">
        <f>IF(AND(AK$7="○",$A423&gt;=AK$8,$A423&lt;=AK$9),IF(SUM(AK$10:AK422)-ROUNDDOWN($L423*AK$5/100,0)&lt;-AK$6,-AK$6-SUM(AK$10:AK422),-ROUNDDOWN($L423*AK$5/100,0)),0)</f>
        <v>0</v>
      </c>
      <c r="AL423" s="38">
        <f>IF(AND(AL$7="○",$A423&gt;=AL$8,$A423&lt;=AL$9),IF(SUM(AL$10:AL422)-ROUNDDOWN($N423*AL$5/100,0)&lt;-AL$6,-AL$6-SUM(AL$10:AL422),-ROUNDDOWN($N423*AL$5/100,0)),0)</f>
        <v>0</v>
      </c>
      <c r="AM423" s="38">
        <f>IF(AND(AM$7="○",$A423&gt;=AM$8,$A423&lt;=AM$9),IF(SUM(AM$10:AM422)-ROUNDDOWN($L423*AM$5/100,0)&lt;-AM$6,-AM$6-SUM(AM$10:AM422),-ROUNDDOWN($L423*AM$5/100,0)),0)</f>
        <v>0</v>
      </c>
      <c r="AN423" s="38">
        <f>IF(AND(AN$7="○",$A423&gt;=AN$8,$A423&lt;=AN$9),IF(SUM(AN$10:AN422)-ROUNDDOWN($M423*AN$5/100,0)&lt;-AN$6,-AN$6-SUM(AN$10:AN422),-ROUNDDOWN($M423*AN$5/100,0)),0)</f>
        <v>0</v>
      </c>
      <c r="AO423" s="38">
        <f>IF(AND($A423&gt;=AO$8,$A423&lt;=AO$9),IF(SUM(AO$10:AO422)-ROUNDDOWN($K423*AO$5/100,0)&lt;-AO$6,-AO$6-SUM(AO$10:AO422),-ROUNDDOWN($K423*AO$5/100,0)),0)</f>
        <v>0</v>
      </c>
      <c r="AP423" s="38">
        <f>IF(AND($A423&gt;=AP$8,$A423&lt;=AP$9),IF(SUM(AP$10:AP422)-ROUNDDOWN($K423*AP$5/100,0)&lt;-AP$6,-AP$6-SUM(AP$10:AP422),-ROUNDDOWN($K423*AP$5/100,0)),0)</f>
        <v>0</v>
      </c>
      <c r="AQ423" s="38">
        <f>IF(AND($A423&gt;=AQ$8,$A423&lt;=AQ$9),IF(SUM(AQ$10:AQ422)-ROUNDDOWN($K423*AQ$5/100,0)&lt;-AQ$6,-AQ$6-SUM(AQ$10:AQ422),-ROUNDDOWN($K423*AQ$5/100,0)),0)</f>
        <v>0</v>
      </c>
      <c r="AR423" s="38">
        <f>IF(AND($A423&gt;=AR$8,$A423&lt;=AR$9),IF(SUM(AR$10:AR422)-ROUNDDOWN($K423*AR$5/100,0)&lt;-AR$6,-AR$6-SUM(AR$10:AR422),-ROUNDDOWN($K423*AR$5/100,0)),0)</f>
        <v>0</v>
      </c>
      <c r="AS423" s="38">
        <f>IF(SUMIFS(AS$10:AS422,$A$10:$A422,$A423)-ROUNDDOWN($K423*$S423/100,0)&lt;-$S423*1000,-$S423*1000-SUMIFS(AS$10:AS422,$A$10:$A422,$A423),-ROUNDDOWN($K423*$S423/100,0))</f>
        <v>0</v>
      </c>
      <c r="AT423" s="38">
        <f>IF(AND(X423="○",$A423&gt;=AT$8,$A423&lt;=AT$9,K423&gt;=3980),IF(SUM(AT$10:AT422)-ROUNDDOWN($K423*AT$5/100,0)&lt;-AT$6,-AT$6-SUM(AT$10:AT422),-ROUNDDOWN($K423*AT$5/100,0)),0)</f>
        <v>0</v>
      </c>
      <c r="AU423" s="38">
        <f>IF(O423="○",IF(SUM(AU$10:AU422)-ROUNDDOWN($K423*AU$5/100,0)&lt;-AU$6,-AU$6-SUM(AU$10:AU422),-ROUNDDOWN($K423*AU$5/100,0)),0)</f>
        <v>0</v>
      </c>
      <c r="AV423" s="38">
        <f>IF(P423="○",IF(SUM(AV$10:AV422)-ROUNDDOWN($K423*AV$5/100,0)&lt;-AV$6,-AV$6-SUM(AV$10:AV422),-ROUNDDOWN($K423*AV$5/100,0)),0)</f>
        <v>0</v>
      </c>
      <c r="AW423" s="38">
        <f>IF(Q423="○",IF(SUM(AW$10:AW422)-ROUNDDOWN($K423*AW$5/100,0)&lt;-AW$6,-AW$6-SUM(AW$10:AW422),-ROUNDDOWN($K423*AW$5/100,0)),0)</f>
        <v>0</v>
      </c>
      <c r="AX423" s="38">
        <f>IF(R423="○",IF(SUM(AX$10:AX422)-ROUNDDOWN($K423*AX$5/100,0)&lt;-AX$6,-AX$6-SUM(AX$10:AX422),-ROUNDDOWN($K423*AX$5/100,0)),0)</f>
        <v>0</v>
      </c>
      <c r="AY423" s="70">
        <v>0</v>
      </c>
      <c r="AZ423" s="65">
        <f t="shared" si="285"/>
        <v>0</v>
      </c>
      <c r="BA423" s="65">
        <f t="shared" si="286"/>
        <v>0</v>
      </c>
      <c r="BB423" s="70"/>
      <c r="BC423" s="65">
        <f t="shared" si="287"/>
        <v>0</v>
      </c>
      <c r="BD423" s="70">
        <v>0</v>
      </c>
      <c r="BE423" s="65">
        <f t="shared" si="288"/>
        <v>0</v>
      </c>
      <c r="BF423" s="70">
        <v>0</v>
      </c>
      <c r="BG423" s="65">
        <f t="shared" si="289"/>
        <v>0</v>
      </c>
      <c r="BH423" s="70">
        <v>0</v>
      </c>
      <c r="BI423" s="65">
        <f t="shared" si="290"/>
        <v>0</v>
      </c>
      <c r="BJ423" s="38">
        <f>IF(AND(BJ$7="○",$A423&gt;=BJ$8,$A423&lt;=BJ$9),IF(SUM(BJ$10:BJ422)-ROUNDDOWN($M423*BJ$5/100,0)&lt;-BJ$6,-BJ$6-SUM(BJ$10:BJ422),-ROUNDDOWN($M423*BJ$5/100,0)),0)</f>
        <v>0</v>
      </c>
      <c r="BK423" s="38">
        <f>IF(AND(BK$7="○",$A423&gt;=BK$8,$A423&lt;=BK$9),IF(SUM(BK$10:BK422)-ROUNDDOWN($L423*BK$5/100,0)&lt;-BK$6,-BK$6-SUM(BK$10:BK422),-ROUNDDOWN($L423*BK$5/100,0)),0)</f>
        <v>0</v>
      </c>
      <c r="BL423" s="38">
        <f>IF(AND(BL$7="○",$A423&gt;=BL$8,$A423&lt;=BL$9),IF(SUM(BL$10:BL422)-ROUNDDOWN($L423*BL$5/100,0)&lt;-BL$6,-BL$6-SUM(BL$10:BL422),-ROUNDDOWN($L423*BL$5/100,0)),0)</f>
        <v>0</v>
      </c>
      <c r="BM423" s="38">
        <f>IF(AND(BM$7="○",$A423&gt;=BM$8,$A423&lt;=BM$9),IF(SUM(BM$10:BM422)-ROUNDDOWN($M423*BM$5/100,0)&lt;-BM$6,-BM$6-SUM(BM$10:BM422),-ROUNDDOWN($M423*BM$5/100,0)),0)</f>
        <v>0</v>
      </c>
      <c r="BN423" s="38">
        <f>IF(AND(BN$7="○",$A423&gt;=BN$8,$A423&lt;=BN$9),IF(SUM(BN$10:BN422)-ROUNDDOWN($M423*BN$5/100,0)&lt;-BN$6,-BN$6-SUM(BN$10:BN422),-ROUNDDOWN($M423*BN$5/100,0)),0)</f>
        <v>0</v>
      </c>
      <c r="BO423" s="38">
        <f>IF(AND(BO$7="○",$A423&gt;=BO$8,$A423&lt;=BO$9),IF(SUM(BO$10:BO422)-ROUNDDOWN($M423*BO$5/100,0)&lt;-BO$6,-BO$6-SUM(BO$10:BO422),-ROUNDDOWN($M423*BO$5/100,0)),0)</f>
        <v>0</v>
      </c>
      <c r="BP423" s="38">
        <f>IF(AND(BP$7="○",$A423&gt;=BP$8,$A423&lt;=BP$9),IF(SUM(BP$10:BP422)-ROUNDDOWN($M423*BP$5/100,0)&lt;-BP$6,-BP$6-SUM(BP$10:BP422),-ROUNDDOWN($M423*BP$5/100,0)),0)</f>
        <v>0</v>
      </c>
      <c r="BQ423" s="38">
        <f>IF(AND(BQ$7="○",$A423&gt;=BQ$8,$A423&lt;=BQ$9),IF(SUM(BQ$10:BQ422)-ROUNDDOWN($L423*BQ$5/100,0)&lt;-BQ$6,-BQ$6-SUM(BQ$10:BQ422),-ROUNDDOWN($L423*BQ$5/100,0)),0)</f>
        <v>0</v>
      </c>
      <c r="BR423" s="38">
        <f>IF(AND(BR$7="○",$A423&gt;=BR$8,$A423&lt;=BR$9),IF(SUM(BR$10:BR422)-ROUNDDOWN($M423*BR$5/100,0)&lt;-BR$6,-BR$6-SUM(BR$10:BR422),-ROUNDDOWN($M423*BR$5/100,0)),0)</f>
        <v>0</v>
      </c>
      <c r="BS423" s="38">
        <f>IF(AND(BS$7="○",$A423&gt;=BS$8,$A423&lt;=BS$9),IF(SUM(BS$10:BS422)-ROUNDDOWN($M423*BS$5/100,0)&lt;-BS$6,-BS$6-SUM(BS$10:BS422),-ROUNDDOWN($M423*BS$5/100,0)),0)</f>
        <v>0</v>
      </c>
      <c r="BT423" s="38">
        <f>IF(AND(BT$7="○",$A423&gt;=BT$8,$A423&lt;=BT$9),IF(SUM(BT$10:BT422)-ROUNDDOWN($M423*BT$5/100,0)&lt;-BT$6,-BT$6-SUM(BT$10:BT422),-ROUNDDOWN($M423*BT$5/100,0)),0)</f>
        <v>0</v>
      </c>
      <c r="BU423" s="38">
        <f>IF(AND(BU$7="○",$A423&gt;=BU$8,$A423&lt;=BU$9),IF(SUM(BU$10:BU422)-ROUNDDOWN($M423*BU$5/100,0)&lt;-BU$6,-BU$6-SUM(BU$10:BU422),-ROUNDDOWN($M423*BU$5/100,0)),0)</f>
        <v>0</v>
      </c>
      <c r="BV423" s="38">
        <f>IF(AND(BV$7="○",$A423&gt;=BV$8,$A423&lt;=BV$9),IF(SUM(BV$10:BV422)-ROUNDDOWN($M423*BV$5/100,0)&lt;-BV$6,-BV$6-SUM(BV$10:BV422),-ROUNDDOWN($M423*BV$5/100,0)),0)</f>
        <v>0</v>
      </c>
      <c r="BW423" s="38">
        <f>IF(AND(BW$7="○",$A423&gt;=BW$8,$A423&lt;=BW$9),IF(SUM(BW$10:BW422)-ROUNDDOWN($M423*BW$5/100,0)&lt;-BW$6,-BW$6-SUM(BW$10:BW422),-ROUNDDOWN($M423*BW$5/100,0)),0)</f>
        <v>0</v>
      </c>
      <c r="BX423" s="38">
        <f>IF(AND(T423="○",$A423&gt;=BX$8,$A423&lt;=BX$9),IF(SUM(BX$10:BX422)-ROUNDDOWN($K423*BX$5/100,0)&lt;-BX$6,-BX$6-SUM(BX$10:BX422),-ROUNDDOWN($K423*BX$5/100,0)),0)</f>
        <v>0</v>
      </c>
      <c r="BY423" s="38">
        <f>IF(AND(U423="○",$A423&gt;=BY$8,$A423&lt;=BY$9),IF(SUM(BY$10:BY422)-ROUNDDOWN($K423*BY$5/100,0)&lt;-BY$6,-BY$6-SUM(BY$10:BY422),-ROUNDDOWN($K423*BY$5/100,0)),0)</f>
        <v>0</v>
      </c>
      <c r="BZ423" s="38">
        <f>IF(AND(V423="○",$A423&gt;=BZ$8,$A423&lt;=BZ$9),IF(SUM(BZ$10:BZ422)-ROUNDDOWN($K423*BZ$5/100,0)&lt;-BZ$6,-BZ$6-SUM(BZ$10:BZ422),-ROUNDDOWN($K423*BZ$5/100,0)),0)</f>
        <v>0</v>
      </c>
      <c r="CA423" s="38">
        <f>IF(AND(W423="○",$A423&gt;=CA$8,$A423&lt;=CA$9),IF(SUM(CA$10:CA422)-ROUNDDOWN($K423*CA$5/100,0)&lt;-CA$6,-CA$6-SUM(CA$10:CA422),-ROUNDDOWN($K423*CA$5/100,0)),0)</f>
        <v>0</v>
      </c>
      <c r="CB423" s="38"/>
      <c r="CC423" s="38"/>
      <c r="CD423" s="38"/>
      <c r="CE423" s="38"/>
      <c r="CF423" s="38"/>
      <c r="CG423" s="65">
        <f t="shared" si="291"/>
        <v>0</v>
      </c>
      <c r="CH423" s="71">
        <f t="shared" si="292"/>
        <v>0</v>
      </c>
      <c r="CI423" s="1">
        <f t="shared" si="19"/>
        <v>0</v>
      </c>
      <c r="CJ423" s="1"/>
      <c r="CK423" s="72"/>
      <c r="CL423" s="72"/>
      <c r="CM423" s="2"/>
      <c r="CN423" s="2"/>
      <c r="CO423" s="73">
        <f t="shared" si="20"/>
        <v>0</v>
      </c>
      <c r="CP423" s="5">
        <f t="shared" si="21"/>
        <v>0</v>
      </c>
      <c r="CQ423" s="1"/>
      <c r="CR423" s="1">
        <f t="shared" si="22"/>
        <v>0</v>
      </c>
      <c r="CS423" s="1"/>
      <c r="CT423" s="1" t="e">
        <f>INDEX([2]マスタ!$A:$A,MATCH(D423,[2]マスタ!$C:$C,0))</f>
        <v>#N/A</v>
      </c>
      <c r="CU423" s="1" t="str">
        <f t="shared" ca="1" si="23"/>
        <v>20260620_0-0</v>
      </c>
    </row>
    <row r="424" spans="1:99" x14ac:dyDescent="0.4">
      <c r="A424" s="61"/>
      <c r="B424" s="62"/>
      <c r="C424" s="62"/>
      <c r="D424" s="62"/>
      <c r="E424" s="77"/>
      <c r="F424" s="62"/>
      <c r="G424" s="62">
        <v>1</v>
      </c>
      <c r="H424" s="64">
        <f t="shared" si="4"/>
        <v>0</v>
      </c>
      <c r="I424" s="64"/>
      <c r="J424" s="64"/>
      <c r="K424" s="65">
        <f>+ROUNDDOWN((H424+I424)/100,0)*100</f>
        <v>0</v>
      </c>
      <c r="L424" s="65">
        <f t="shared" si="6"/>
        <v>0</v>
      </c>
      <c r="M424" s="65">
        <f t="shared" si="7"/>
        <v>0</v>
      </c>
      <c r="N424" s="65">
        <f t="shared" si="8"/>
        <v>0</v>
      </c>
      <c r="O424" s="66" t="str">
        <f t="shared" si="295"/>
        <v>✕</v>
      </c>
      <c r="P424" s="67" t="str">
        <f t="shared" si="296"/>
        <v>○</v>
      </c>
      <c r="Q424" s="67" t="str">
        <f>+IF((TEXT($A424,"DD")+0)=1,"○","✕")</f>
        <v>✕</v>
      </c>
      <c r="R424" s="67" t="str">
        <f t="shared" si="297"/>
        <v>✕</v>
      </c>
      <c r="S424" s="68">
        <v>0</v>
      </c>
      <c r="T424" s="69" t="s">
        <v>85</v>
      </c>
      <c r="U424" s="69" t="s">
        <v>85</v>
      </c>
      <c r="V424" s="69" t="s">
        <v>85</v>
      </c>
      <c r="W424" s="69" t="s">
        <v>85</v>
      </c>
      <c r="X424" s="69" t="s">
        <v>84</v>
      </c>
      <c r="Y424" s="69" t="s">
        <v>85</v>
      </c>
      <c r="Z424" s="69" t="s">
        <v>85</v>
      </c>
      <c r="AA424" s="69" t="s">
        <v>85</v>
      </c>
      <c r="AB424" s="69" t="s">
        <v>85</v>
      </c>
      <c r="AC424" s="69" t="s">
        <v>85</v>
      </c>
      <c r="AD424" s="38" t="str">
        <f>+IF(ISERROR(VLOOKUP($B424,AD$10:AD423,1,0)),IF(AND($N424&gt;=1000,$A424&gt;=AO$8,$A424&lt;=AO$9),$B424,""),"")</f>
        <v/>
      </c>
      <c r="AE424" s="38" t="str">
        <f>+IF(ISERROR(VLOOKUP($B424,AE$10:AE423,1,0)),IF(AND($N424&gt;=1000,$A424&gt;=AP$8,$A424&lt;=AP$9),$B424,""),"")</f>
        <v/>
      </c>
      <c r="AF424" s="38" t="str">
        <f>+IF(ISERROR(VLOOKUP($B424,AF$10:AF423,1,0)),IF(AND($N424&gt;=1000,$A424&gt;=AQ$8,$A424&lt;=AQ$9),$B424,""),"")</f>
        <v/>
      </c>
      <c r="AG424" s="38" t="str">
        <f>+IF(ISERROR(VLOOKUP($B424,AG$10:AG423,1,0)),IF(AND($N424&gt;=1000,$A424&gt;=AR$8,$A424&lt;=AR$9),$B424,""),"")</f>
        <v/>
      </c>
      <c r="AH424" s="38"/>
      <c r="AI424" s="70">
        <v>0</v>
      </c>
      <c r="AJ424" s="38">
        <f>IF(AND(AJ$7="○",$A424&gt;=AJ$8,$A424&lt;=AJ$9),IF(SUM(AJ$10:AJ423)-ROUNDDOWN($K424*AJ$5/100,0)&lt;-AJ$6,-AJ$6-SUM(AJ$10:AJ423),-ROUNDDOWN($K424*AJ$5/100,0)),0)</f>
        <v>0</v>
      </c>
      <c r="AK424" s="38">
        <f>IF(AND(AK$7="○",$A424&gt;=AK$8,$A424&lt;=AK$9),IF(SUM(AK$10:AK423)-ROUNDDOWN($L424*AK$5/100,0)&lt;-AK$6,-AK$6-SUM(AK$10:AK423),-ROUNDDOWN($L424*AK$5/100,0)),0)</f>
        <v>0</v>
      </c>
      <c r="AL424" s="38">
        <f>IF(AND(AL$7="○",$A424&gt;=AL$8,$A424&lt;=AL$9),IF(SUM(AL$10:AL423)-ROUNDDOWN($N424*AL$5/100,0)&lt;-AL$6,-AL$6-SUM(AL$10:AL423),-ROUNDDOWN($N424*AL$5/100,0)),0)</f>
        <v>0</v>
      </c>
      <c r="AM424" s="38">
        <f>IF(AND(AM$7="○",$A424&gt;=AM$8,$A424&lt;=AM$9),IF(SUM(AM$10:AM423)-ROUNDDOWN($L424*AM$5/100,0)&lt;-AM$6,-AM$6-SUM(AM$10:AM423),-ROUNDDOWN($L424*AM$5/100,0)),0)</f>
        <v>0</v>
      </c>
      <c r="AN424" s="38">
        <f>IF(AND(AN$7="○",$A424&gt;=AN$8,$A424&lt;=AN$9),IF(SUM(AN$10:AN423)-ROUNDDOWN($M424*AN$5/100,0)&lt;-AN$6,-AN$6-SUM(AN$10:AN423),-ROUNDDOWN($M424*AN$5/100,0)),0)</f>
        <v>0</v>
      </c>
      <c r="AO424" s="38">
        <f>IF(AND($A424&gt;=AO$8,$A424&lt;=AO$9),IF(SUM(AO$10:AO423)-ROUNDDOWN($K424*AO$5/100,0)&lt;-AO$6,-AO$6-SUM(AO$10:AO423),-ROUNDDOWN($K424*AO$5/100,0)),0)</f>
        <v>0</v>
      </c>
      <c r="AP424" s="38">
        <f>IF(AND($A424&gt;=AP$8,$A424&lt;=AP$9),IF(SUM(AP$10:AP423)-ROUNDDOWN($K424*AP$5/100,0)&lt;-AP$6,-AP$6-SUM(AP$10:AP423),-ROUNDDOWN($K424*AP$5/100,0)),0)</f>
        <v>0</v>
      </c>
      <c r="AQ424" s="38">
        <f>IF(AND($A424&gt;=AQ$8,$A424&lt;=AQ$9),IF(SUM(AQ$10:AQ423)-ROUNDDOWN($K424*AQ$5/100,0)&lt;-AQ$6,-AQ$6-SUM(AQ$10:AQ423),-ROUNDDOWN($K424*AQ$5/100,0)),0)</f>
        <v>0</v>
      </c>
      <c r="AR424" s="38">
        <f>IF(AND($A424&gt;=AR$8,$A424&lt;=AR$9),IF(SUM(AR$10:AR423)-ROUNDDOWN($K424*AR$5/100,0)&lt;-AR$6,-AR$6-SUM(AR$10:AR423),-ROUNDDOWN($K424*AR$5/100,0)),0)</f>
        <v>0</v>
      </c>
      <c r="AS424" s="38">
        <f>IF(SUMIFS(AS$10:AS423,$A$10:$A423,$A424)-ROUNDDOWN($K424*$S424/100,0)&lt;-$S424*1000,-$S424*1000-SUMIFS(AS$10:AS423,$A$10:$A423,$A424),-ROUNDDOWN($K424*$S424/100,0))</f>
        <v>0</v>
      </c>
      <c r="AT424" s="38">
        <f>IF(AND(X424="○",$A424&gt;=AT$8,$A424&lt;=AT$9,K424&gt;=3980),IF(SUM(AT$10:AT423)-ROUNDDOWN($K424*AT$5/100,0)&lt;-AT$6,-AT$6-SUM(AT$10:AT423),-ROUNDDOWN($K424*AT$5/100,0)),0)</f>
        <v>0</v>
      </c>
      <c r="AU424" s="38">
        <f>IF(O424="○",IF(SUM(AU$10:AU423)-ROUNDDOWN($K424*AU$5/100,0)&lt;-AU$6,-AU$6-SUM(AU$10:AU423),-ROUNDDOWN($K424*AU$5/100,0)),0)</f>
        <v>0</v>
      </c>
      <c r="AV424" s="38">
        <f>IF(P424="○",IF(SUM(AV$10:AV423)-ROUNDDOWN($K424*AV$5/100,0)&lt;-AV$6,-AV$6-SUM(AV$10:AV423),-ROUNDDOWN($K424*AV$5/100,0)),0)</f>
        <v>0</v>
      </c>
      <c r="AW424" s="38">
        <f>IF(Q424="○",IF(SUM(AW$10:AW423)-ROUNDDOWN($K424*AW$5/100,0)&lt;-AW$6,-AW$6-SUM(AW$10:AW423),-ROUNDDOWN($K424*AW$5/100,0)),0)</f>
        <v>0</v>
      </c>
      <c r="AX424" s="38">
        <f>IF(R424="○",IF(SUM(AX$10:AX423)-ROUNDDOWN($K424*AX$5/100,0)&lt;-AX$6,-AX$6-SUM(AX$10:AX423),-ROUNDDOWN($K424*AX$5/100,0)),0)</f>
        <v>0</v>
      </c>
      <c r="AY424" s="70">
        <v>0</v>
      </c>
      <c r="AZ424" s="65">
        <f t="shared" si="285"/>
        <v>0</v>
      </c>
      <c r="BA424" s="65">
        <f t="shared" si="286"/>
        <v>0</v>
      </c>
      <c r="BB424" s="70"/>
      <c r="BC424" s="65">
        <f t="shared" si="287"/>
        <v>0</v>
      </c>
      <c r="BD424" s="70">
        <v>0</v>
      </c>
      <c r="BE424" s="65">
        <f t="shared" si="288"/>
        <v>0</v>
      </c>
      <c r="BF424" s="70">
        <v>0</v>
      </c>
      <c r="BG424" s="65">
        <f t="shared" si="289"/>
        <v>0</v>
      </c>
      <c r="BH424" s="70">
        <v>0</v>
      </c>
      <c r="BI424" s="65">
        <f t="shared" si="290"/>
        <v>0</v>
      </c>
      <c r="BJ424" s="38">
        <f>IF(AND(BJ$7="○",$A424&gt;=BJ$8,$A424&lt;=BJ$9),IF(SUM(BJ$10:BJ423)-ROUNDDOWN($M424*BJ$5/100,0)&lt;-BJ$6,-BJ$6-SUM(BJ$10:BJ423),-ROUNDDOWN($M424*BJ$5/100,0)),0)</f>
        <v>0</v>
      </c>
      <c r="BK424" s="38">
        <f>IF(AND(BK$7="○",$A424&gt;=BK$8,$A424&lt;=BK$9),IF(SUM(BK$10:BK423)-ROUNDDOWN($L424*BK$5/100,0)&lt;-BK$6,-BK$6-SUM(BK$10:BK423),-ROUNDDOWN($L424*BK$5/100,0)),0)</f>
        <v>0</v>
      </c>
      <c r="BL424" s="38">
        <f>IF(AND(BL$7="○",$A424&gt;=BL$8,$A424&lt;=BL$9),IF(SUM(BL$10:BL423)-ROUNDDOWN($L424*BL$5/100,0)&lt;-BL$6,-BL$6-SUM(BL$10:BL423),-ROUNDDOWN($L424*BL$5/100,0)),0)</f>
        <v>0</v>
      </c>
      <c r="BM424" s="38">
        <f>IF(AND(BM$7="○",$A424&gt;=BM$8,$A424&lt;=BM$9),IF(SUM(BM$10:BM423)-ROUNDDOWN($M424*BM$5/100,0)&lt;-BM$6,-BM$6-SUM(BM$10:BM423),-ROUNDDOWN($M424*BM$5/100,0)),0)</f>
        <v>0</v>
      </c>
      <c r="BN424" s="38">
        <f>IF(AND(BN$7="○",$A424&gt;=BN$8,$A424&lt;=BN$9),IF(SUM(BN$10:BN423)-ROUNDDOWN($M424*BN$5/100,0)&lt;-BN$6,-BN$6-SUM(BN$10:BN423),-ROUNDDOWN($M424*BN$5/100,0)),0)</f>
        <v>0</v>
      </c>
      <c r="BO424" s="38">
        <f>IF(AND(BO$7="○",$A424&gt;=BO$8,$A424&lt;=BO$9),IF(SUM(BO$10:BO423)-ROUNDDOWN($M424*BO$5/100,0)&lt;-BO$6,-BO$6-SUM(BO$10:BO423),-ROUNDDOWN($M424*BO$5/100,0)),0)</f>
        <v>0</v>
      </c>
      <c r="BP424" s="38">
        <f>IF(AND(BP$7="○",$A424&gt;=BP$8,$A424&lt;=BP$9),IF(SUM(BP$10:BP423)-ROUNDDOWN($M424*BP$5/100,0)&lt;-BP$6,-BP$6-SUM(BP$10:BP423),-ROUNDDOWN($M424*BP$5/100,0)),0)</f>
        <v>0</v>
      </c>
      <c r="BQ424" s="38">
        <f>IF(AND(BQ$7="○",$A424&gt;=BQ$8,$A424&lt;=BQ$9),IF(SUM(BQ$10:BQ423)-ROUNDDOWN($L424*BQ$5/100,0)&lt;-BQ$6,-BQ$6-SUM(BQ$10:BQ423),-ROUNDDOWN($L424*BQ$5/100,0)),0)</f>
        <v>0</v>
      </c>
      <c r="BR424" s="38">
        <f>IF(AND(BR$7="○",$A424&gt;=BR$8,$A424&lt;=BR$9),IF(SUM(BR$10:BR423)-ROUNDDOWN($M424*BR$5/100,0)&lt;-BR$6,-BR$6-SUM(BR$10:BR423),-ROUNDDOWN($M424*BR$5/100,0)),0)</f>
        <v>0</v>
      </c>
      <c r="BS424" s="38">
        <f>IF(AND(BS$7="○",$A424&gt;=BS$8,$A424&lt;=BS$9),IF(SUM(BS$10:BS423)-ROUNDDOWN($M424*BS$5/100,0)&lt;-BS$6,-BS$6-SUM(BS$10:BS423),-ROUNDDOWN($M424*BS$5/100,0)),0)</f>
        <v>0</v>
      </c>
      <c r="BT424" s="38">
        <f>IF(AND(BT$7="○",$A424&gt;=BT$8,$A424&lt;=BT$9),IF(SUM(BT$10:BT423)-ROUNDDOWN($M424*BT$5/100,0)&lt;-BT$6,-BT$6-SUM(BT$10:BT423),-ROUNDDOWN($M424*BT$5/100,0)),0)</f>
        <v>0</v>
      </c>
      <c r="BU424" s="38">
        <f>IF(AND(BU$7="○",$A424&gt;=BU$8,$A424&lt;=BU$9),IF(SUM(BU$10:BU423)-ROUNDDOWN($M424*BU$5/100,0)&lt;-BU$6,-BU$6-SUM(BU$10:BU423),-ROUNDDOWN($M424*BU$5/100,0)),0)</f>
        <v>0</v>
      </c>
      <c r="BV424" s="38">
        <f>IF(AND(BV$7="○",$A424&gt;=BV$8,$A424&lt;=BV$9),IF(SUM(BV$10:BV423)-ROUNDDOWN($M424*BV$5/100,0)&lt;-BV$6,-BV$6-SUM(BV$10:BV423),-ROUNDDOWN($M424*BV$5/100,0)),0)</f>
        <v>0</v>
      </c>
      <c r="BW424" s="38">
        <f>IF(AND(BW$7="○",$A424&gt;=BW$8,$A424&lt;=BW$9),IF(SUM(BW$10:BW423)-ROUNDDOWN($M424*BW$5/100,0)&lt;-BW$6,-BW$6-SUM(BW$10:BW423),-ROUNDDOWN($M424*BW$5/100,0)),0)</f>
        <v>0</v>
      </c>
      <c r="BX424" s="38">
        <f>IF(AND(T424="○",$A424&gt;=BX$8,$A424&lt;=BX$9),IF(SUM(BX$10:BX423)-ROUNDDOWN($K424*BX$5/100,0)&lt;-BX$6,-BX$6-SUM(BX$10:BX423),-ROUNDDOWN($K424*BX$5/100,0)),0)</f>
        <v>0</v>
      </c>
      <c r="BY424" s="38">
        <f>IF(AND(U424="○",$A424&gt;=BY$8,$A424&lt;=BY$9),IF(SUM(BY$10:BY423)-ROUNDDOWN($K424*BY$5/100,0)&lt;-BY$6,-BY$6-SUM(BY$10:BY423),-ROUNDDOWN($K424*BY$5/100,0)),0)</f>
        <v>0</v>
      </c>
      <c r="BZ424" s="38">
        <f>IF(AND(V424="○",$A424&gt;=BZ$8,$A424&lt;=BZ$9),IF(SUM(BZ$10:BZ423)-ROUNDDOWN($K424*BZ$5/100,0)&lt;-BZ$6,-BZ$6-SUM(BZ$10:BZ423),-ROUNDDOWN($K424*BZ$5/100,0)),0)</f>
        <v>0</v>
      </c>
      <c r="CA424" s="38">
        <f>IF(AND(W424="○",$A424&gt;=CA$8,$A424&lt;=CA$9),IF(SUM(CA$10:CA423)-ROUNDDOWN($K424*CA$5/100,0)&lt;-CA$6,-CA$6-SUM(CA$10:CA423),-ROUNDDOWN($K424*CA$5/100,0)),0)</f>
        <v>0</v>
      </c>
      <c r="CB424" s="38"/>
      <c r="CC424" s="38"/>
      <c r="CD424" s="38"/>
      <c r="CE424" s="38"/>
      <c r="CF424" s="38"/>
      <c r="CG424" s="65">
        <f t="shared" si="291"/>
        <v>0</v>
      </c>
      <c r="CH424" s="71">
        <f t="shared" si="292"/>
        <v>0</v>
      </c>
      <c r="CI424" s="1">
        <f t="shared" si="19"/>
        <v>0</v>
      </c>
      <c r="CJ424" s="1"/>
      <c r="CK424" s="79"/>
      <c r="CL424" s="79"/>
      <c r="CM424" s="2"/>
      <c r="CN424" s="2"/>
      <c r="CO424" s="73">
        <f t="shared" si="20"/>
        <v>0</v>
      </c>
      <c r="CP424" s="5">
        <f t="shared" si="21"/>
        <v>0</v>
      </c>
      <c r="CQ424" s="1"/>
      <c r="CR424" s="1">
        <f t="shared" si="22"/>
        <v>0</v>
      </c>
      <c r="CS424" s="1"/>
      <c r="CT424" s="1" t="e">
        <f>INDEX([2]マスタ!$A:$A,MATCH(D424,[2]マスタ!$C:$C,0))</f>
        <v>#N/A</v>
      </c>
      <c r="CU424" s="1" t="str">
        <f t="shared" ca="1" si="23"/>
        <v>20260620_0-0</v>
      </c>
    </row>
    <row r="425" spans="1:99" x14ac:dyDescent="0.4">
      <c r="A425" s="61"/>
      <c r="B425" s="62"/>
      <c r="C425" s="62"/>
      <c r="D425" s="62"/>
      <c r="E425" s="63"/>
      <c r="F425" s="62"/>
      <c r="G425" s="62">
        <v>1</v>
      </c>
      <c r="H425" s="64">
        <f t="shared" si="4"/>
        <v>0</v>
      </c>
      <c r="I425" s="64"/>
      <c r="J425" s="64"/>
      <c r="K425" s="65">
        <f>+ROUNDDOWN((H425+I425)/100,0)*100</f>
        <v>0</v>
      </c>
      <c r="L425" s="65">
        <f t="shared" si="6"/>
        <v>0</v>
      </c>
      <c r="M425" s="65">
        <f t="shared" si="7"/>
        <v>0</v>
      </c>
      <c r="N425" s="65">
        <f t="shared" si="8"/>
        <v>0</v>
      </c>
      <c r="O425" s="66" t="str">
        <f t="shared" si="295"/>
        <v>✕</v>
      </c>
      <c r="P425" s="67" t="str">
        <f t="shared" si="296"/>
        <v>○</v>
      </c>
      <c r="Q425" s="67" t="str">
        <f>+IF((TEXT($A425,"DD")+0)=1,"○","✕")</f>
        <v>✕</v>
      </c>
      <c r="R425" s="67" t="str">
        <f t="shared" si="297"/>
        <v>✕</v>
      </c>
      <c r="S425" s="68">
        <v>0</v>
      </c>
      <c r="T425" s="69" t="s">
        <v>85</v>
      </c>
      <c r="U425" s="69" t="s">
        <v>85</v>
      </c>
      <c r="V425" s="69" t="s">
        <v>85</v>
      </c>
      <c r="W425" s="69" t="s">
        <v>85</v>
      </c>
      <c r="X425" s="69" t="s">
        <v>84</v>
      </c>
      <c r="Y425" s="69" t="s">
        <v>85</v>
      </c>
      <c r="Z425" s="69" t="s">
        <v>85</v>
      </c>
      <c r="AA425" s="69" t="s">
        <v>85</v>
      </c>
      <c r="AB425" s="69" t="s">
        <v>85</v>
      </c>
      <c r="AC425" s="69" t="s">
        <v>85</v>
      </c>
      <c r="AD425" s="38" t="str">
        <f>+IF(ISERROR(VLOOKUP($B425,AD$10:AD424,1,0)),IF(AND($N425&gt;=1000,$A425&gt;=AO$8,$A425&lt;=AO$9),$B425,""),"")</f>
        <v/>
      </c>
      <c r="AE425" s="38" t="str">
        <f>+IF(ISERROR(VLOOKUP($B425,AE$10:AE424,1,0)),IF(AND($N425&gt;=1000,$A425&gt;=AP$8,$A425&lt;=AP$9),$B425,""),"")</f>
        <v/>
      </c>
      <c r="AF425" s="38" t="str">
        <f>+IF(ISERROR(VLOOKUP($B425,AF$10:AF424,1,0)),IF(AND($N425&gt;=1000,$A425&gt;=AQ$8,$A425&lt;=AQ$9),$B425,""),"")</f>
        <v/>
      </c>
      <c r="AG425" s="38" t="str">
        <f>+IF(ISERROR(VLOOKUP($B425,AG$10:AG424,1,0)),IF(AND($N425&gt;=1000,$A425&gt;=AR$8,$A425&lt;=AR$9),$B425,""),"")</f>
        <v/>
      </c>
      <c r="AH425" s="38"/>
      <c r="AI425" s="70">
        <v>0</v>
      </c>
      <c r="AJ425" s="38">
        <f>IF(AND(AJ$7="○",$A425&gt;=AJ$8,$A425&lt;=AJ$9),IF(SUM(AJ$10:AJ424)-ROUNDDOWN($K425*AJ$5/100,0)&lt;-AJ$6,-AJ$6-SUM(AJ$10:AJ424),-ROUNDDOWN($K425*AJ$5/100,0)),0)</f>
        <v>0</v>
      </c>
      <c r="AK425" s="38">
        <f>IF(AND(AK$7="○",$A425&gt;=AK$8,$A425&lt;=AK$9),IF(SUM(AK$10:AK424)-ROUNDDOWN($L425*AK$5/100,0)&lt;-AK$6,-AK$6-SUM(AK$10:AK424),-ROUNDDOWN($L425*AK$5/100,0)),0)</f>
        <v>0</v>
      </c>
      <c r="AL425" s="38">
        <f>IF(AND(AL$7="○",$A425&gt;=AL$8,$A425&lt;=AL$9),IF(SUM(AL$10:AL424)-ROUNDDOWN($N425*AL$5/100,0)&lt;-AL$6,-AL$6-SUM(AL$10:AL424),-ROUNDDOWN($N425*AL$5/100,0)),0)</f>
        <v>0</v>
      </c>
      <c r="AM425" s="38">
        <f>IF(AND(AM$7="○",$A425&gt;=AM$8,$A425&lt;=AM$9),IF(SUM(AM$10:AM424)-ROUNDDOWN($L425*AM$5/100,0)&lt;-AM$6,-AM$6-SUM(AM$10:AM424),-ROUNDDOWN($L425*AM$5/100,0)),0)</f>
        <v>0</v>
      </c>
      <c r="AN425" s="38">
        <f>IF(AND(AN$7="○",$A425&gt;=AN$8,$A425&lt;=AN$9),IF(SUM(AN$10:AN424)-ROUNDDOWN($M425*AN$5/100,0)&lt;-AN$6,-AN$6-SUM(AN$10:AN424),-ROUNDDOWN($M425*AN$5/100,0)),0)</f>
        <v>0</v>
      </c>
      <c r="AO425" s="38">
        <f>IF(AND($A425&gt;=AO$8,$A425&lt;=AO$9),IF(SUM(AO$10:AO424)-ROUNDDOWN($K425*AO$5/100,0)&lt;-AO$6,-AO$6-SUM(AO$10:AO424),-ROUNDDOWN($K425*AO$5/100,0)),0)</f>
        <v>0</v>
      </c>
      <c r="AP425" s="38">
        <f>IF(AND($A425&gt;=AP$8,$A425&lt;=AP$9),IF(SUM(AP$10:AP424)-ROUNDDOWN($K425*AP$5/100,0)&lt;-AP$6,-AP$6-SUM(AP$10:AP424),-ROUNDDOWN($K425*AP$5/100,0)),0)</f>
        <v>0</v>
      </c>
      <c r="AQ425" s="38">
        <f>IF(AND($A425&gt;=AQ$8,$A425&lt;=AQ$9),IF(SUM(AQ$10:AQ424)-ROUNDDOWN($K425*AQ$5/100,0)&lt;-AQ$6,-AQ$6-SUM(AQ$10:AQ424),-ROUNDDOWN($K425*AQ$5/100,0)),0)</f>
        <v>0</v>
      </c>
      <c r="AR425" s="38">
        <f>IF(AND($A425&gt;=AR$8,$A425&lt;=AR$9),IF(SUM(AR$10:AR424)-ROUNDDOWN($K425*AR$5/100,0)&lt;-AR$6,-AR$6-SUM(AR$10:AR424),-ROUNDDOWN($K425*AR$5/100,0)),0)</f>
        <v>0</v>
      </c>
      <c r="AS425" s="38">
        <f>IF(SUMIFS(AS$10:AS424,$A$10:$A424,$A425)-ROUNDDOWN($K425*$S425/100,0)&lt;-$S425*1000,-$S425*1000-SUMIFS(AS$10:AS424,$A$10:$A424,$A425),-ROUNDDOWN($K425*$S425/100,0))</f>
        <v>0</v>
      </c>
      <c r="AT425" s="38">
        <f>IF(AND(X425="○",$A425&gt;=AT$8,$A425&lt;=AT$9,K425&gt;=3980),IF(SUM(AT$10:AT424)-ROUNDDOWN($K425*AT$5/100,0)&lt;-AT$6,-AT$6-SUM(AT$10:AT424),-ROUNDDOWN($K425*AT$5/100,0)),0)</f>
        <v>0</v>
      </c>
      <c r="AU425" s="38">
        <f>IF(O425="○",IF(SUM(AU$10:AU424)-ROUNDDOWN($K425*AU$5/100,0)&lt;-AU$6,-AU$6-SUM(AU$10:AU424),-ROUNDDOWN($K425*AU$5/100,0)),0)</f>
        <v>0</v>
      </c>
      <c r="AV425" s="38">
        <f>IF(P425="○",IF(SUM(AV$10:AV424)-ROUNDDOWN($K425*AV$5/100,0)&lt;-AV$6,-AV$6-SUM(AV$10:AV424),-ROUNDDOWN($K425*AV$5/100,0)),0)</f>
        <v>0</v>
      </c>
      <c r="AW425" s="38">
        <f>IF(Q425="○",IF(SUM(AW$10:AW424)-ROUNDDOWN($K425*AW$5/100,0)&lt;-AW$6,-AW$6-SUM(AW$10:AW424),-ROUNDDOWN($K425*AW$5/100,0)),0)</f>
        <v>0</v>
      </c>
      <c r="AX425" s="38">
        <f>IF(R425="○",IF(SUM(AX$10:AX424)-ROUNDDOWN($K425*AX$5/100,0)&lt;-AX$6,-AX$6-SUM(AX$10:AX424),-ROUNDDOWN($K425*AX$5/100,0)),0)</f>
        <v>0</v>
      </c>
      <c r="AY425" s="70">
        <v>0</v>
      </c>
      <c r="AZ425" s="65">
        <f t="shared" si="285"/>
        <v>0</v>
      </c>
      <c r="BA425" s="65">
        <f t="shared" si="286"/>
        <v>0</v>
      </c>
      <c r="BB425" s="70"/>
      <c r="BC425" s="65">
        <f t="shared" si="287"/>
        <v>0</v>
      </c>
      <c r="BD425" s="70">
        <v>0</v>
      </c>
      <c r="BE425" s="65">
        <f t="shared" si="288"/>
        <v>0</v>
      </c>
      <c r="BF425" s="70">
        <v>0</v>
      </c>
      <c r="BG425" s="65">
        <f t="shared" si="289"/>
        <v>0</v>
      </c>
      <c r="BH425" s="70">
        <v>0</v>
      </c>
      <c r="BI425" s="65">
        <f t="shared" si="290"/>
        <v>0</v>
      </c>
      <c r="BJ425" s="38">
        <f>IF(AND(BJ$7="○",$A425&gt;=BJ$8,$A425&lt;=BJ$9),IF(SUM(BJ$10:BJ424)-ROUNDDOWN($M425*BJ$5/100,0)&lt;-BJ$6,-BJ$6-SUM(BJ$10:BJ424),-ROUNDDOWN($M425*BJ$5/100,0)),0)</f>
        <v>0</v>
      </c>
      <c r="BK425" s="38">
        <f>IF(AND(BK$7="○",$A425&gt;=BK$8,$A425&lt;=BK$9),IF(SUM(BK$10:BK424)-ROUNDDOWN($L425*BK$5/100,0)&lt;-BK$6,-BK$6-SUM(BK$10:BK424),-ROUNDDOWN($L425*BK$5/100,0)),0)</f>
        <v>0</v>
      </c>
      <c r="BL425" s="38">
        <f>IF(AND(BL$7="○",$A425&gt;=BL$8,$A425&lt;=BL$9),IF(SUM(BL$10:BL424)-ROUNDDOWN($L425*BL$5/100,0)&lt;-BL$6,-BL$6-SUM(BL$10:BL424),-ROUNDDOWN($L425*BL$5/100,0)),0)</f>
        <v>0</v>
      </c>
      <c r="BM425" s="38">
        <f>IF(AND(BM$7="○",$A425&gt;=BM$8,$A425&lt;=BM$9),IF(SUM(BM$10:BM424)-ROUNDDOWN($M425*BM$5/100,0)&lt;-BM$6,-BM$6-SUM(BM$10:BM424),-ROUNDDOWN($M425*BM$5/100,0)),0)</f>
        <v>0</v>
      </c>
      <c r="BN425" s="38">
        <f>IF(AND(BN$7="○",$A425&gt;=BN$8,$A425&lt;=BN$9),IF(SUM(BN$10:BN424)-ROUNDDOWN($M425*BN$5/100,0)&lt;-BN$6,-BN$6-SUM(BN$10:BN424),-ROUNDDOWN($M425*BN$5/100,0)),0)</f>
        <v>0</v>
      </c>
      <c r="BO425" s="38">
        <f>IF(AND(BO$7="○",$A425&gt;=BO$8,$A425&lt;=BO$9),IF(SUM(BO$10:BO424)-ROUNDDOWN($M425*BO$5/100,0)&lt;-BO$6,-BO$6-SUM(BO$10:BO424),-ROUNDDOWN($M425*BO$5/100,0)),0)</f>
        <v>0</v>
      </c>
      <c r="BP425" s="38">
        <f>IF(AND(BP$7="○",$A425&gt;=BP$8,$A425&lt;=BP$9),IF(SUM(BP$10:BP424)-ROUNDDOWN($M425*BP$5/100,0)&lt;-BP$6,-BP$6-SUM(BP$10:BP424),-ROUNDDOWN($M425*BP$5/100,0)),0)</f>
        <v>0</v>
      </c>
      <c r="BQ425" s="38">
        <f>IF(AND(BQ$7="○",$A425&gt;=BQ$8,$A425&lt;=BQ$9),IF(SUM(BQ$10:BQ424)-ROUNDDOWN($L425*BQ$5/100,0)&lt;-BQ$6,-BQ$6-SUM(BQ$10:BQ424),-ROUNDDOWN($L425*BQ$5/100,0)),0)</f>
        <v>0</v>
      </c>
      <c r="BR425" s="38">
        <f>IF(AND(BR$7="○",$A425&gt;=BR$8,$A425&lt;=BR$9),IF(SUM(BR$10:BR424)-ROUNDDOWN($M425*BR$5/100,0)&lt;-BR$6,-BR$6-SUM(BR$10:BR424),-ROUNDDOWN($M425*BR$5/100,0)),0)</f>
        <v>0</v>
      </c>
      <c r="BS425" s="38">
        <f>IF(AND(BS$7="○",$A425&gt;=BS$8,$A425&lt;=BS$9),IF(SUM(BS$10:BS424)-ROUNDDOWN($M425*BS$5/100,0)&lt;-BS$6,-BS$6-SUM(BS$10:BS424),-ROUNDDOWN($M425*BS$5/100,0)),0)</f>
        <v>0</v>
      </c>
      <c r="BT425" s="38">
        <f>IF(AND(BT$7="○",$A425&gt;=BT$8,$A425&lt;=BT$9),IF(SUM(BT$10:BT424)-ROUNDDOWN($M425*BT$5/100,0)&lt;-BT$6,-BT$6-SUM(BT$10:BT424),-ROUNDDOWN($M425*BT$5/100,0)),0)</f>
        <v>0</v>
      </c>
      <c r="BU425" s="38">
        <f>IF(AND(BU$7="○",$A425&gt;=BU$8,$A425&lt;=BU$9),IF(SUM(BU$10:BU424)-ROUNDDOWN($M425*BU$5/100,0)&lt;-BU$6,-BU$6-SUM(BU$10:BU424),-ROUNDDOWN($M425*BU$5/100,0)),0)</f>
        <v>0</v>
      </c>
      <c r="BV425" s="38">
        <f>IF(AND(BV$7="○",$A425&gt;=BV$8,$A425&lt;=BV$9),IF(SUM(BV$10:BV424)-ROUNDDOWN($M425*BV$5/100,0)&lt;-BV$6,-BV$6-SUM(BV$10:BV424),-ROUNDDOWN($M425*BV$5/100,0)),0)</f>
        <v>0</v>
      </c>
      <c r="BW425" s="38">
        <f>IF(AND(BW$7="○",$A425&gt;=BW$8,$A425&lt;=BW$9),IF(SUM(BW$10:BW424)-ROUNDDOWN($M425*BW$5/100,0)&lt;-BW$6,-BW$6-SUM(BW$10:BW424),-ROUNDDOWN($M425*BW$5/100,0)),0)</f>
        <v>0</v>
      </c>
      <c r="BX425" s="38">
        <f>IF(AND(T425="○",$A425&gt;=BX$8,$A425&lt;=BX$9),IF(SUM(BX$10:BX424)-ROUNDDOWN($K425*BX$5/100,0)&lt;-BX$6,-BX$6-SUM(BX$10:BX424),-ROUNDDOWN($K425*BX$5/100,0)),0)</f>
        <v>0</v>
      </c>
      <c r="BY425" s="38">
        <f>IF(AND(U425="○",$A425&gt;=BY$8,$A425&lt;=BY$9),IF(SUM(BY$10:BY424)-ROUNDDOWN($K425*BY$5/100,0)&lt;-BY$6,-BY$6-SUM(BY$10:BY424),-ROUNDDOWN($K425*BY$5/100,0)),0)</f>
        <v>0</v>
      </c>
      <c r="BZ425" s="38">
        <f>IF(AND(V425="○",$A425&gt;=BZ$8,$A425&lt;=BZ$9),IF(SUM(BZ$10:BZ424)-ROUNDDOWN($K425*BZ$5/100,0)&lt;-BZ$6,-BZ$6-SUM(BZ$10:BZ424),-ROUNDDOWN($K425*BZ$5/100,0)),0)</f>
        <v>0</v>
      </c>
      <c r="CA425" s="38">
        <f>IF(AND(W425="○",$A425&gt;=CA$8,$A425&lt;=CA$9),IF(SUM(CA$10:CA424)-ROUNDDOWN($K425*CA$5/100,0)&lt;-CA$6,-CA$6-SUM(CA$10:CA424),-ROUNDDOWN($K425*CA$5/100,0)),0)</f>
        <v>0</v>
      </c>
      <c r="CB425" s="38"/>
      <c r="CC425" s="38"/>
      <c r="CD425" s="38"/>
      <c r="CE425" s="38"/>
      <c r="CF425" s="38"/>
      <c r="CG425" s="65">
        <f t="shared" si="291"/>
        <v>0</v>
      </c>
      <c r="CH425" s="71">
        <f t="shared" si="292"/>
        <v>0</v>
      </c>
      <c r="CI425" s="1">
        <f t="shared" si="19"/>
        <v>0</v>
      </c>
      <c r="CJ425" s="1"/>
      <c r="CK425" s="79"/>
      <c r="CL425" s="79"/>
      <c r="CM425" s="2"/>
      <c r="CN425" s="2"/>
      <c r="CO425" s="73">
        <f t="shared" si="20"/>
        <v>0</v>
      </c>
      <c r="CP425" s="5">
        <f t="shared" si="21"/>
        <v>0</v>
      </c>
      <c r="CQ425" s="1"/>
      <c r="CR425" s="1">
        <f t="shared" si="22"/>
        <v>0</v>
      </c>
      <c r="CS425" s="1"/>
      <c r="CT425" s="1" t="e">
        <f>INDEX([2]マスタ!$A:$A,MATCH(D425,[2]マスタ!$C:$C,0))</f>
        <v>#N/A</v>
      </c>
      <c r="CU425" s="1" t="str">
        <f t="shared" ca="1" si="23"/>
        <v>20260620_0-0</v>
      </c>
    </row>
    <row r="426" spans="1:99" x14ac:dyDescent="0.4">
      <c r="A426" s="61"/>
      <c r="B426" s="62"/>
      <c r="C426" s="62"/>
      <c r="D426" s="62"/>
      <c r="E426" s="63"/>
      <c r="F426" s="62"/>
      <c r="G426" s="62">
        <v>1</v>
      </c>
      <c r="H426" s="64">
        <f t="shared" si="4"/>
        <v>0</v>
      </c>
      <c r="I426" s="64"/>
      <c r="J426" s="64"/>
      <c r="K426" s="65">
        <f t="shared" ref="K426:K435" si="300">+ROUNDDOWN((H426+I426+J426)/100,0)*100</f>
        <v>0</v>
      </c>
      <c r="L426" s="65">
        <f t="shared" si="6"/>
        <v>0</v>
      </c>
      <c r="M426" s="65">
        <f t="shared" si="7"/>
        <v>0</v>
      </c>
      <c r="N426" s="65">
        <f t="shared" si="8"/>
        <v>0</v>
      </c>
      <c r="O426" s="66" t="str">
        <f t="shared" si="295"/>
        <v>✕</v>
      </c>
      <c r="P426" s="67" t="str">
        <f t="shared" si="296"/>
        <v>○</v>
      </c>
      <c r="Q426" s="67" t="str">
        <f t="shared" ref="Q426:Q435" si="301">+IF((TEXT(A426,"DD")+0)=1,"○","✕")</f>
        <v>✕</v>
      </c>
      <c r="R426" s="67" t="str">
        <f t="shared" si="297"/>
        <v>✕</v>
      </c>
      <c r="S426" s="68">
        <v>0</v>
      </c>
      <c r="T426" s="69" t="s">
        <v>85</v>
      </c>
      <c r="U426" s="69" t="s">
        <v>85</v>
      </c>
      <c r="V426" s="69" t="s">
        <v>85</v>
      </c>
      <c r="W426" s="69" t="s">
        <v>85</v>
      </c>
      <c r="X426" s="69" t="s">
        <v>84</v>
      </c>
      <c r="Y426" s="69" t="s">
        <v>85</v>
      </c>
      <c r="Z426" s="69" t="s">
        <v>85</v>
      </c>
      <c r="AA426" s="69" t="s">
        <v>85</v>
      </c>
      <c r="AB426" s="69" t="s">
        <v>85</v>
      </c>
      <c r="AC426" s="69" t="s">
        <v>85</v>
      </c>
      <c r="AD426" s="38" t="str">
        <f>+IF(ISERROR(VLOOKUP($B426,AD$10:AD425,1,0)),IF(AND($N426&gt;=1000,$A426&gt;=AO$8,$A426&lt;=AO$9),$B426,""),"")</f>
        <v/>
      </c>
      <c r="AE426" s="38" t="str">
        <f>+IF(ISERROR(VLOOKUP($B426,AE$10:AE425,1,0)),IF(AND($N426&gt;=1000,$A426&gt;=AP$8,$A426&lt;=AP$9),$B426,""),"")</f>
        <v/>
      </c>
      <c r="AF426" s="38" t="str">
        <f>+IF(ISERROR(VLOOKUP($B426,AF$10:AF425,1,0)),IF(AND($N426&gt;=1000,$A426&gt;=AQ$8,$A426&lt;=AQ$9),$B426,""),"")</f>
        <v/>
      </c>
      <c r="AG426" s="38" t="str">
        <f>+IF(ISERROR(VLOOKUP($B426,AG$10:AG425,1,0)),IF(AND($N426&gt;=1000,$A426&gt;=AR$8,$A426&lt;=AR$9),$B426,""),"")</f>
        <v/>
      </c>
      <c r="AH426" s="38"/>
      <c r="AI426" s="70">
        <v>0</v>
      </c>
      <c r="AJ426" s="38">
        <f>IF(AND(AJ$7="○",$A426&gt;=AJ$8,$A426&lt;=AJ$9),IF(SUM(AJ$10:AJ425)-ROUNDDOWN($K426*AJ$5/100,0)&lt;-AJ$6,-AJ$6-SUM(AJ$10:AJ425),-ROUNDDOWN($K426*AJ$5/100,0)),0)</f>
        <v>0</v>
      </c>
      <c r="AK426" s="38">
        <f>IF(AND(AK$7="○",$A426&gt;=AK$8,$A426&lt;=AK$9),IF(SUM(AK$10:AK425)-ROUNDDOWN($L426*AK$5/100,0)&lt;-AK$6,-AK$6-SUM(AK$10:AK425),-ROUNDDOWN($L426*AK$5/100,0)),0)</f>
        <v>0</v>
      </c>
      <c r="AL426" s="38">
        <f>IF(AND(AL$7="○",$A426&gt;=AL$8,$A426&lt;=AL$9),IF(SUM(AL$10:AL425)-ROUNDDOWN($N426*AL$5/100,0)&lt;-AL$6,-AL$6-SUM(AL$10:AL425),-ROUNDDOWN($N426*AL$5/100,0)),0)</f>
        <v>0</v>
      </c>
      <c r="AM426" s="38">
        <f>IF(AND(AM$7="○",$A426&gt;=AM$8,$A426&lt;=AM$9),IF(SUM(AM$10:AM425)-ROUNDDOWN($L426*AM$5/100,0)&lt;-AM$6,-AM$6-SUM(AM$10:AM425),-ROUNDDOWN($L426*AM$5/100,0)),0)</f>
        <v>0</v>
      </c>
      <c r="AN426" s="38">
        <f>IF(AND(AN$7="○",$A426&gt;=AN$8,$A426&lt;=AN$9),IF(SUM(AN$10:AN425)-ROUNDDOWN($M426*AN$5/100,0)&lt;-AN$6,-AN$6-SUM(AN$10:AN425),-ROUNDDOWN($M426*AN$5/100,0)),0)</f>
        <v>0</v>
      </c>
      <c r="AO426" s="38">
        <f>IF(AND($A426&gt;=AO$8,$A426&lt;=AO$9),IF(SUM(AO$10:AO425)-ROUNDDOWN($K426*AO$5/100,0)&lt;-AO$6,-AO$6-SUM(AO$10:AO425),-ROUNDDOWN($K426*AO$5/100,0)),0)</f>
        <v>0</v>
      </c>
      <c r="AP426" s="38">
        <f>IF(AND($A426&gt;=AP$8,$A426&lt;=AP$9),IF(SUM(AP$10:AP425)-ROUNDDOWN($K426*AP$5/100,0)&lt;-AP$6,-AP$6-SUM(AP$10:AP425),-ROUNDDOWN($K426*AP$5/100,0)),0)</f>
        <v>0</v>
      </c>
      <c r="AQ426" s="38">
        <f>IF(AND($A426&gt;=AQ$8,$A426&lt;=AQ$9),IF(SUM(AQ$10:AQ425)-ROUNDDOWN($K426*AQ$5/100,0)&lt;-AQ$6,-AQ$6-SUM(AQ$10:AQ425),-ROUNDDOWN($K426*AQ$5/100,0)),0)</f>
        <v>0</v>
      </c>
      <c r="AR426" s="38">
        <f>IF(AND($A426&gt;=AR$8,$A426&lt;=AR$9),IF(SUM(AR$10:AR425)-ROUNDDOWN($K426*AR$5/100,0)&lt;-AR$6,-AR$6-SUM(AR$10:AR425),-ROUNDDOWN($K426*AR$5/100,0)),0)</f>
        <v>0</v>
      </c>
      <c r="AS426" s="38">
        <f>IF(SUMIFS(AS$10:AS425,$A$10:$A425,$A426)-ROUNDDOWN($K426*$S426/100,0)&lt;-$S426*1000,-$S426*1000-SUMIFS(AS$10:AS425,$A$10:$A425,$A426),-ROUNDDOWN($K426*$S426/100,0))</f>
        <v>0</v>
      </c>
      <c r="AT426" s="38">
        <f>IF(AND(X426="○",$A426&gt;=AT$8,$A426&lt;=AT$9,K426&gt;=3980),IF(SUM(AT$10:AT425)-ROUNDDOWN($K426*AT$5/100,0)&lt;-AT$6,-AT$6-SUM(AT$10:AT425),-ROUNDDOWN($K426*AT$5/100,0)),0)</f>
        <v>0</v>
      </c>
      <c r="AU426" s="38">
        <f>IF(O426="○",IF(SUM(AU$10:AU425)-ROUNDDOWN($K426*AU$5/100,0)&lt;-AU$6,-AU$6-SUM(AU$10:AU425),-ROUNDDOWN($K426*AU$5/100,0)),0)</f>
        <v>0</v>
      </c>
      <c r="AV426" s="38">
        <f>IF(P426="○",IF(SUM(AV$10:AV425)-ROUNDDOWN($K426*AV$5/100,0)&lt;-AV$6,-AV$6-SUM(AV$10:AV425),-ROUNDDOWN($K426*AV$5/100,0)),0)</f>
        <v>0</v>
      </c>
      <c r="AW426" s="38">
        <f>IF(Q426="○",IF(SUM(AW$10:AW425)-ROUNDDOWN($K426*AW$5/100,0)&lt;-AW$6,-AW$6-SUM(AW$10:AW425),-ROUNDDOWN($K426*AW$5/100,0)),0)</f>
        <v>0</v>
      </c>
      <c r="AX426" s="38">
        <f>IF(R426="○",IF(SUM(AX$10:AX425)-ROUNDDOWN($K426*AX$5/100,0)&lt;-AX$6,-AX$6-SUM(AX$10:AX425),-ROUNDDOWN($K426*AX$5/100,0)),0)</f>
        <v>0</v>
      </c>
      <c r="AY426" s="70">
        <v>0</v>
      </c>
      <c r="AZ426" s="65">
        <f t="shared" si="285"/>
        <v>0</v>
      </c>
      <c r="BA426" s="65">
        <f t="shared" si="286"/>
        <v>0</v>
      </c>
      <c r="BB426" s="70"/>
      <c r="BC426" s="65">
        <f t="shared" si="287"/>
        <v>0</v>
      </c>
      <c r="BD426" s="70">
        <v>0</v>
      </c>
      <c r="BE426" s="65">
        <f t="shared" si="288"/>
        <v>0</v>
      </c>
      <c r="BF426" s="70">
        <v>0</v>
      </c>
      <c r="BG426" s="65">
        <f t="shared" si="289"/>
        <v>0</v>
      </c>
      <c r="BH426" s="70">
        <v>0</v>
      </c>
      <c r="BI426" s="65">
        <f t="shared" si="290"/>
        <v>0</v>
      </c>
      <c r="BJ426" s="38">
        <f>IF(AND(BJ$7="○",$A426&gt;=BJ$8,$A426&lt;=BJ$9),IF(SUM(BJ$10:BJ425)-ROUNDDOWN($M426*BJ$5/100,0)&lt;-BJ$6,-BJ$6-SUM(BJ$10:BJ425),-ROUNDDOWN($M426*BJ$5/100,0)),0)</f>
        <v>0</v>
      </c>
      <c r="BK426" s="38">
        <f>IF(AND(BK$7="○",$A426&gt;=BK$8,$A426&lt;=BK$9),IF(SUM(BK$10:BK425)-ROUNDDOWN($L426*BK$5/100,0)&lt;-BK$6,-BK$6-SUM(BK$10:BK425),-ROUNDDOWN($L426*BK$5/100,0)),0)</f>
        <v>0</v>
      </c>
      <c r="BL426" s="38">
        <f>IF(AND(BL$7="○",$A426&gt;=BL$8,$A426&lt;=BL$9),IF(SUM(BL$10:BL425)-ROUNDDOWN($L426*BL$5/100,0)&lt;-BL$6,-BL$6-SUM(BL$10:BL425),-ROUNDDOWN($L426*BL$5/100,0)),0)</f>
        <v>0</v>
      </c>
      <c r="BM426" s="38">
        <f>IF(AND(BM$7="○",$A426&gt;=BM$8,$A426&lt;=BM$9),IF(SUM(BM$10:BM425)-ROUNDDOWN($M426*BM$5/100,0)&lt;-BM$6,-BM$6-SUM(BM$10:BM425),-ROUNDDOWN($M426*BM$5/100,0)),0)</f>
        <v>0</v>
      </c>
      <c r="BN426" s="38">
        <f>IF(AND(BN$7="○",$A426&gt;=BN$8,$A426&lt;=BN$9),IF(SUM(BN$10:BN425)-ROUNDDOWN($M426*BN$5/100,0)&lt;-BN$6,-BN$6-SUM(BN$10:BN425),-ROUNDDOWN($M426*BN$5/100,0)),0)</f>
        <v>0</v>
      </c>
      <c r="BO426" s="38">
        <f>IF(AND(BO$7="○",$A426&gt;=BO$8,$A426&lt;=BO$9),IF(SUM(BO$10:BO425)-ROUNDDOWN($M426*BO$5/100,0)&lt;-BO$6,-BO$6-SUM(BO$10:BO425),-ROUNDDOWN($M426*BO$5/100,0)),0)</f>
        <v>0</v>
      </c>
      <c r="BP426" s="38">
        <f>IF(AND(BP$7="○",$A426&gt;=BP$8,$A426&lt;=BP$9),IF(SUM(BP$10:BP425)-ROUNDDOWN($M426*BP$5/100,0)&lt;-BP$6,-BP$6-SUM(BP$10:BP425),-ROUNDDOWN($M426*BP$5/100,0)),0)</f>
        <v>0</v>
      </c>
      <c r="BQ426" s="38">
        <f>IF(AND(BQ$7="○",$A426&gt;=BQ$8,$A426&lt;=BQ$9),IF(SUM(BQ$10:BQ425)-ROUNDDOWN($L426*BQ$5/100,0)&lt;-BQ$6,-BQ$6-SUM(BQ$10:BQ425),-ROUNDDOWN($L426*BQ$5/100,0)),0)</f>
        <v>0</v>
      </c>
      <c r="BR426" s="38">
        <f>IF(AND(BR$7="○",$A426&gt;=BR$8,$A426&lt;=BR$9),IF(SUM(BR$10:BR425)-ROUNDDOWN($M426*BR$5/100,0)&lt;-BR$6,-BR$6-SUM(BR$10:BR425),-ROUNDDOWN($M426*BR$5/100,0)),0)</f>
        <v>0</v>
      </c>
      <c r="BS426" s="38">
        <f>IF(AND(BS$7="○",$A426&gt;=BS$8,$A426&lt;=BS$9),IF(SUM(BS$10:BS425)-ROUNDDOWN($M426*BS$5/100,0)&lt;-BS$6,-BS$6-SUM(BS$10:BS425),-ROUNDDOWN($M426*BS$5/100,0)),0)</f>
        <v>0</v>
      </c>
      <c r="BT426" s="38">
        <f>IF(AND(BT$7="○",$A426&gt;=BT$8,$A426&lt;=BT$9),IF(SUM(BT$10:BT425)-ROUNDDOWN($M426*BT$5/100,0)&lt;-BT$6,-BT$6-SUM(BT$10:BT425),-ROUNDDOWN($M426*BT$5/100,0)),0)</f>
        <v>0</v>
      </c>
      <c r="BU426" s="38">
        <f>IF(AND(BU$7="○",$A426&gt;=BU$8,$A426&lt;=BU$9),IF(SUM(BU$10:BU425)-ROUNDDOWN($M426*BU$5/100,0)&lt;-BU$6,-BU$6-SUM(BU$10:BU425),-ROUNDDOWN($M426*BU$5/100,0)),0)</f>
        <v>0</v>
      </c>
      <c r="BV426" s="38">
        <f>IF(AND(BV$7="○",$A426&gt;=BV$8,$A426&lt;=BV$9),IF(SUM(BV$10:BV425)-ROUNDDOWN($M426*BV$5/100,0)&lt;-BV$6,-BV$6-SUM(BV$10:BV425),-ROUNDDOWN($M426*BV$5/100,0)),0)</f>
        <v>0</v>
      </c>
      <c r="BW426" s="38">
        <f>IF(AND(BW$7="○",$A426&gt;=BW$8,$A426&lt;=BW$9),IF(SUM(BW$10:BW425)-ROUNDDOWN($M426*BW$5/100,0)&lt;-BW$6,-BW$6-SUM(BW$10:BW425),-ROUNDDOWN($M426*BW$5/100,0)),0)</f>
        <v>0</v>
      </c>
      <c r="BX426" s="38">
        <f>IF(AND(T426="○",$A426&gt;=BX$8,$A426&lt;=BX$9),IF(SUM(BX$10:BX425)-ROUNDDOWN($K426*BX$5/100,0)&lt;-BX$6,-BX$6-SUM(BX$10:BX425),-ROUNDDOWN($K426*BX$5/100,0)),0)</f>
        <v>0</v>
      </c>
      <c r="BY426" s="38">
        <f>IF(AND(U426="○",$A426&gt;=BY$8,$A426&lt;=BY$9),IF(SUM(BY$10:BY425)-ROUNDDOWN($K426*BY$5/100,0)&lt;-BY$6,-BY$6-SUM(BY$10:BY425),-ROUNDDOWN($K426*BY$5/100,0)),0)</f>
        <v>0</v>
      </c>
      <c r="BZ426" s="38">
        <f>IF(AND(V426="○",$A426&gt;=BZ$8,$A426&lt;=BZ$9),IF(SUM(BZ$10:BZ425)-ROUNDDOWN($K426*BZ$5/100,0)&lt;-BZ$6,-BZ$6-SUM(BZ$10:BZ425),-ROUNDDOWN($K426*BZ$5/100,0)),0)</f>
        <v>0</v>
      </c>
      <c r="CA426" s="38">
        <f>IF(AND(W426="○",$A426&gt;=CA$8,$A426&lt;=CA$9),IF(SUM(CA$10:CA425)-ROUNDDOWN($K426*CA$5/100,0)&lt;-CA$6,-CA$6-SUM(CA$10:CA425),-ROUNDDOWN($K426*CA$5/100,0)),0)</f>
        <v>0</v>
      </c>
      <c r="CB426" s="38"/>
      <c r="CC426" s="38"/>
      <c r="CD426" s="38"/>
      <c r="CE426" s="38"/>
      <c r="CF426" s="38"/>
      <c r="CG426" s="65">
        <f t="shared" si="291"/>
        <v>0</v>
      </c>
      <c r="CH426" s="71">
        <f t="shared" si="292"/>
        <v>0</v>
      </c>
      <c r="CI426" s="1">
        <f t="shared" si="19"/>
        <v>0</v>
      </c>
      <c r="CJ426" s="1"/>
      <c r="CK426" s="72"/>
      <c r="CL426" s="72"/>
      <c r="CM426" s="2"/>
      <c r="CN426" s="2"/>
      <c r="CO426" s="73">
        <f t="shared" si="20"/>
        <v>0</v>
      </c>
      <c r="CP426" s="5">
        <f t="shared" si="21"/>
        <v>0</v>
      </c>
      <c r="CQ426" s="1"/>
      <c r="CR426" s="1">
        <f t="shared" si="22"/>
        <v>0</v>
      </c>
      <c r="CS426" s="1"/>
      <c r="CT426" s="1" t="e">
        <f>INDEX([2]マスタ!$A:$A,MATCH(D426,[2]マスタ!$C:$C,0))</f>
        <v>#N/A</v>
      </c>
      <c r="CU426" s="1" t="str">
        <f t="shared" ca="1" si="23"/>
        <v>20260620_0-0</v>
      </c>
    </row>
    <row r="427" spans="1:99" x14ac:dyDescent="0.4">
      <c r="A427" s="61"/>
      <c r="B427" s="62"/>
      <c r="C427" s="62"/>
      <c r="D427" s="62"/>
      <c r="E427" s="63"/>
      <c r="F427" s="62"/>
      <c r="G427" s="62">
        <v>1</v>
      </c>
      <c r="H427" s="64">
        <f t="shared" si="4"/>
        <v>0</v>
      </c>
      <c r="I427" s="64"/>
      <c r="J427" s="64"/>
      <c r="K427" s="65">
        <f t="shared" si="300"/>
        <v>0</v>
      </c>
      <c r="L427" s="65">
        <f t="shared" si="6"/>
        <v>0</v>
      </c>
      <c r="M427" s="65">
        <f t="shared" si="7"/>
        <v>0</v>
      </c>
      <c r="N427" s="65">
        <f t="shared" si="8"/>
        <v>0</v>
      </c>
      <c r="O427" s="66" t="str">
        <f t="shared" si="295"/>
        <v>✕</v>
      </c>
      <c r="P427" s="67" t="str">
        <f t="shared" si="296"/>
        <v>○</v>
      </c>
      <c r="Q427" s="67" t="str">
        <f t="shared" si="301"/>
        <v>✕</v>
      </c>
      <c r="R427" s="67" t="str">
        <f t="shared" si="297"/>
        <v>✕</v>
      </c>
      <c r="S427" s="68">
        <v>0</v>
      </c>
      <c r="T427" s="69" t="s">
        <v>85</v>
      </c>
      <c r="U427" s="69" t="s">
        <v>85</v>
      </c>
      <c r="V427" s="69" t="s">
        <v>85</v>
      </c>
      <c r="W427" s="69" t="s">
        <v>85</v>
      </c>
      <c r="X427" s="69" t="s">
        <v>84</v>
      </c>
      <c r="Y427" s="69" t="s">
        <v>85</v>
      </c>
      <c r="Z427" s="69" t="s">
        <v>85</v>
      </c>
      <c r="AA427" s="69" t="s">
        <v>85</v>
      </c>
      <c r="AB427" s="69" t="s">
        <v>85</v>
      </c>
      <c r="AC427" s="69" t="s">
        <v>85</v>
      </c>
      <c r="AD427" s="38" t="str">
        <f>+IF(ISERROR(VLOOKUP($B427,AD$10:AD426,1,0)),IF(AND($N427&gt;=1000,$A427&gt;=AO$8,$A427&lt;=AO$9),$B427,""),"")</f>
        <v/>
      </c>
      <c r="AE427" s="38" t="str">
        <f>+IF(ISERROR(VLOOKUP($B427,AE$10:AE426,1,0)),IF(AND($N427&gt;=1000,$A427&gt;=AP$8,$A427&lt;=AP$9),$B427,""),"")</f>
        <v/>
      </c>
      <c r="AF427" s="38" t="str">
        <f>+IF(ISERROR(VLOOKUP($B427,AF$10:AF426,1,0)),IF(AND($N427&gt;=1000,$A427&gt;=AQ$8,$A427&lt;=AQ$9),$B427,""),"")</f>
        <v/>
      </c>
      <c r="AG427" s="38" t="str">
        <f>+IF(ISERROR(VLOOKUP($B427,AG$10:AG426,1,0)),IF(AND($N427&gt;=1000,$A427&gt;=AR$8,$A427&lt;=AR$9),$B427,""),"")</f>
        <v/>
      </c>
      <c r="AH427" s="38"/>
      <c r="AI427" s="70">
        <v>0</v>
      </c>
      <c r="AJ427" s="38">
        <f>IF(AND(AJ$7="○",$A427&gt;=AJ$8,$A427&lt;=AJ$9),IF(SUM(AJ$10:AJ426)-ROUNDDOWN($K427*AJ$5/100,0)&lt;-AJ$6,-AJ$6-SUM(AJ$10:AJ426),-ROUNDDOWN($K427*AJ$5/100,0)),0)</f>
        <v>0</v>
      </c>
      <c r="AK427" s="38">
        <f>IF(AND(AK$7="○",$A427&gt;=AK$8,$A427&lt;=AK$9),IF(SUM(AK$10:AK426)-ROUNDDOWN($L427*AK$5/100,0)&lt;-AK$6,-AK$6-SUM(AK$10:AK426),-ROUNDDOWN($L427*AK$5/100,0)),0)</f>
        <v>0</v>
      </c>
      <c r="AL427" s="38">
        <f>IF(AND(AL$7="○",$A427&gt;=AL$8,$A427&lt;=AL$9),IF(SUM(AL$10:AL426)-ROUNDDOWN($N427*AL$5/100,0)&lt;-AL$6,-AL$6-SUM(AL$10:AL426),-ROUNDDOWN($N427*AL$5/100,0)),0)</f>
        <v>0</v>
      </c>
      <c r="AM427" s="38">
        <f>IF(AND(AM$7="○",$A427&gt;=AM$8,$A427&lt;=AM$9),IF(SUM(AM$10:AM426)-ROUNDDOWN($L427*AM$5/100,0)&lt;-AM$6,-AM$6-SUM(AM$10:AM426),-ROUNDDOWN($L427*AM$5/100,0)),0)</f>
        <v>0</v>
      </c>
      <c r="AN427" s="38">
        <f>IF(AND(AN$7="○",$A427&gt;=AN$8,$A427&lt;=AN$9),IF(SUM(AN$10:AN426)-ROUNDDOWN($M427*AN$5/100,0)&lt;-AN$6,-AN$6-SUM(AN$10:AN426),-ROUNDDOWN($M427*AN$5/100,0)),0)</f>
        <v>0</v>
      </c>
      <c r="AO427" s="38">
        <f>IF(AND($A427&gt;=AO$8,$A427&lt;=AO$9),IF(SUM(AO$10:AO426)-ROUNDDOWN($K427*AO$5/100,0)&lt;-AO$6,-AO$6-SUM(AO$10:AO426),-ROUNDDOWN($K427*AO$5/100,0)),0)</f>
        <v>0</v>
      </c>
      <c r="AP427" s="38">
        <f>IF(AND($A427&gt;=AP$8,$A427&lt;=AP$9),IF(SUM(AP$10:AP426)-ROUNDDOWN($K427*AP$5/100,0)&lt;-AP$6,-AP$6-SUM(AP$10:AP426),-ROUNDDOWN($K427*AP$5/100,0)),0)</f>
        <v>0</v>
      </c>
      <c r="AQ427" s="38">
        <f>IF(AND($A427&gt;=AQ$8,$A427&lt;=AQ$9),IF(SUM(AQ$10:AQ426)-ROUNDDOWN($K427*AQ$5/100,0)&lt;-AQ$6,-AQ$6-SUM(AQ$10:AQ426),-ROUNDDOWN($K427*AQ$5/100,0)),0)</f>
        <v>0</v>
      </c>
      <c r="AR427" s="38">
        <f>IF(AND($A427&gt;=AR$8,$A427&lt;=AR$9),IF(SUM(AR$10:AR426)-ROUNDDOWN($K427*AR$5/100,0)&lt;-AR$6,-AR$6-SUM(AR$10:AR426),-ROUNDDOWN($K427*AR$5/100,0)),0)</f>
        <v>0</v>
      </c>
      <c r="AS427" s="38">
        <f>IF(SUMIFS(AS$10:AS426,$A$10:$A426,$A427)-ROUNDDOWN($K427*$S427/100,0)&lt;-$S427*1000,-$S427*1000-SUMIFS(AS$10:AS426,$A$10:$A426,$A427),-ROUNDDOWN($K427*$S427/100,0))</f>
        <v>0</v>
      </c>
      <c r="AT427" s="38">
        <f>IF(AND(X427="○",$A427&gt;=AT$8,$A427&lt;=AT$9,K427&gt;=3980),IF(SUM(AT$10:AT426)-ROUNDDOWN($K427*AT$5/100,0)&lt;-AT$6,-AT$6-SUM(AT$10:AT426),-ROUNDDOWN($K427*AT$5/100,0)),0)</f>
        <v>0</v>
      </c>
      <c r="AU427" s="38">
        <f>IF(O427="○",IF(SUM(AU$10:AU426)-ROUNDDOWN($K427*AU$5/100,0)&lt;-AU$6,-AU$6-SUM(AU$10:AU426),-ROUNDDOWN($K427*AU$5/100,0)),0)</f>
        <v>0</v>
      </c>
      <c r="AV427" s="38">
        <f>IF(P427="○",IF(SUM(AV$10:AV426)-ROUNDDOWN($K427*AV$5/100,0)&lt;-AV$6,-AV$6-SUM(AV$10:AV426),-ROUNDDOWN($K427*AV$5/100,0)),0)</f>
        <v>0</v>
      </c>
      <c r="AW427" s="38">
        <f>IF(Q427="○",IF(SUM(AW$10:AW426)-ROUNDDOWN($K427*AW$5/100,0)&lt;-AW$6,-AW$6-SUM(AW$10:AW426),-ROUNDDOWN($K427*AW$5/100,0)),0)</f>
        <v>0</v>
      </c>
      <c r="AX427" s="38">
        <f>IF(R427="○",IF(SUM(AX$10:AX426)-ROUNDDOWN($K427*AX$5/100,0)&lt;-AX$6,-AX$6-SUM(AX$10:AX426),-ROUNDDOWN($K427*AX$5/100,0)),0)</f>
        <v>0</v>
      </c>
      <c r="AY427" s="70">
        <v>0</v>
      </c>
      <c r="AZ427" s="65">
        <f t="shared" si="285"/>
        <v>0</v>
      </c>
      <c r="BA427" s="65">
        <f t="shared" si="286"/>
        <v>0</v>
      </c>
      <c r="BB427" s="70"/>
      <c r="BC427" s="65">
        <f t="shared" si="287"/>
        <v>0</v>
      </c>
      <c r="BD427" s="70">
        <v>0</v>
      </c>
      <c r="BE427" s="65">
        <f t="shared" si="288"/>
        <v>0</v>
      </c>
      <c r="BF427" s="70">
        <v>0</v>
      </c>
      <c r="BG427" s="65">
        <f t="shared" si="289"/>
        <v>0</v>
      </c>
      <c r="BH427" s="70">
        <v>0</v>
      </c>
      <c r="BI427" s="65">
        <f t="shared" si="290"/>
        <v>0</v>
      </c>
      <c r="BJ427" s="38">
        <f>IF(AND(BJ$7="○",$A427&gt;=BJ$8,$A427&lt;=BJ$9),IF(SUM(BJ$10:BJ426)-ROUNDDOWN($M427*BJ$5/100,0)&lt;-BJ$6,-BJ$6-SUM(BJ$10:BJ426),-ROUNDDOWN($M427*BJ$5/100,0)),0)</f>
        <v>0</v>
      </c>
      <c r="BK427" s="38">
        <f>IF(AND(BK$7="○",$A427&gt;=BK$8,$A427&lt;=BK$9),IF(SUM(BK$10:BK426)-ROUNDDOWN($L427*BK$5/100,0)&lt;-BK$6,-BK$6-SUM(BK$10:BK426),-ROUNDDOWN($L427*BK$5/100,0)),0)</f>
        <v>0</v>
      </c>
      <c r="BL427" s="38">
        <f>IF(AND(BL$7="○",$A427&gt;=BL$8,$A427&lt;=BL$9),IF(SUM(BL$10:BL426)-ROUNDDOWN($L427*BL$5/100,0)&lt;-BL$6,-BL$6-SUM(BL$10:BL426),-ROUNDDOWN($L427*BL$5/100,0)),0)</f>
        <v>0</v>
      </c>
      <c r="BM427" s="38">
        <f>IF(AND(BM$7="○",$A427&gt;=BM$8,$A427&lt;=BM$9),IF(SUM(BM$10:BM426)-ROUNDDOWN($M427*BM$5/100,0)&lt;-BM$6,-BM$6-SUM(BM$10:BM426),-ROUNDDOWN($M427*BM$5/100,0)),0)</f>
        <v>0</v>
      </c>
      <c r="BN427" s="38">
        <f>IF(AND(BN$7="○",$A427&gt;=BN$8,$A427&lt;=BN$9),IF(SUM(BN$10:BN426)-ROUNDDOWN($M427*BN$5/100,0)&lt;-BN$6,-BN$6-SUM(BN$10:BN426),-ROUNDDOWN($M427*BN$5/100,0)),0)</f>
        <v>0</v>
      </c>
      <c r="BO427" s="38">
        <f>IF(AND(BO$7="○",$A427&gt;=BO$8,$A427&lt;=BO$9),IF(SUM(BO$10:BO426)-ROUNDDOWN($M427*BO$5/100,0)&lt;-BO$6,-BO$6-SUM(BO$10:BO426),-ROUNDDOWN($M427*BO$5/100,0)),0)</f>
        <v>0</v>
      </c>
      <c r="BP427" s="38">
        <f>IF(AND(BP$7="○",$A427&gt;=BP$8,$A427&lt;=BP$9),IF(SUM(BP$10:BP426)-ROUNDDOWN($M427*BP$5/100,0)&lt;-BP$6,-BP$6-SUM(BP$10:BP426),-ROUNDDOWN($M427*BP$5/100,0)),0)</f>
        <v>0</v>
      </c>
      <c r="BQ427" s="38">
        <f>IF(AND(BQ$7="○",$A427&gt;=BQ$8,$A427&lt;=BQ$9),IF(SUM(BQ$10:BQ426)-ROUNDDOWN($L427*BQ$5/100,0)&lt;-BQ$6,-BQ$6-SUM(BQ$10:BQ426),-ROUNDDOWN($L427*BQ$5/100,0)),0)</f>
        <v>0</v>
      </c>
      <c r="BR427" s="38">
        <f>IF(AND(BR$7="○",$A427&gt;=BR$8,$A427&lt;=BR$9),IF(SUM(BR$10:BR426)-ROUNDDOWN($M427*BR$5/100,0)&lt;-BR$6,-BR$6-SUM(BR$10:BR426),-ROUNDDOWN($M427*BR$5/100,0)),0)</f>
        <v>0</v>
      </c>
      <c r="BS427" s="38">
        <f>IF(AND(BS$7="○",$A427&gt;=BS$8,$A427&lt;=BS$9),IF(SUM(BS$10:BS426)-ROUNDDOWN($M427*BS$5/100,0)&lt;-BS$6,-BS$6-SUM(BS$10:BS426),-ROUNDDOWN($M427*BS$5/100,0)),0)</f>
        <v>0</v>
      </c>
      <c r="BT427" s="38">
        <f>IF(AND(BT$7="○",$A427&gt;=BT$8,$A427&lt;=BT$9),IF(SUM(BT$10:BT426)-ROUNDDOWN($M427*BT$5/100,0)&lt;-BT$6,-BT$6-SUM(BT$10:BT426),-ROUNDDOWN($M427*BT$5/100,0)),0)</f>
        <v>0</v>
      </c>
      <c r="BU427" s="38">
        <f>IF(AND(BU$7="○",$A427&gt;=BU$8,$A427&lt;=BU$9),IF(SUM(BU$10:BU426)-ROUNDDOWN($M427*BU$5/100,0)&lt;-BU$6,-BU$6-SUM(BU$10:BU426),-ROUNDDOWN($M427*BU$5/100,0)),0)</f>
        <v>0</v>
      </c>
      <c r="BV427" s="38">
        <f>IF(AND(BV$7="○",$A427&gt;=BV$8,$A427&lt;=BV$9),IF(SUM(BV$10:BV426)-ROUNDDOWN($M427*BV$5/100,0)&lt;-BV$6,-BV$6-SUM(BV$10:BV426),-ROUNDDOWN($M427*BV$5/100,0)),0)</f>
        <v>0</v>
      </c>
      <c r="BW427" s="38">
        <f>IF(AND(BW$7="○",$A427&gt;=BW$8,$A427&lt;=BW$9),IF(SUM(BW$10:BW426)-ROUNDDOWN($M427*BW$5/100,0)&lt;-BW$6,-BW$6-SUM(BW$10:BW426),-ROUNDDOWN($M427*BW$5/100,0)),0)</f>
        <v>0</v>
      </c>
      <c r="BX427" s="38">
        <f>IF(AND(T427="○",$A427&gt;=BX$8,$A427&lt;=BX$9),IF(SUM(BX$10:BX426)-ROUNDDOWN($K427*BX$5/100,0)&lt;-BX$6,-BX$6-SUM(BX$10:BX426),-ROUNDDOWN($K427*BX$5/100,0)),0)</f>
        <v>0</v>
      </c>
      <c r="BY427" s="38">
        <f>IF(AND(U427="○",$A427&gt;=BY$8,$A427&lt;=BY$9),IF(SUM(BY$10:BY426)-ROUNDDOWN($K427*BY$5/100,0)&lt;-BY$6,-BY$6-SUM(BY$10:BY426),-ROUNDDOWN($K427*BY$5/100,0)),0)</f>
        <v>0</v>
      </c>
      <c r="BZ427" s="38">
        <f>IF(AND(V427="○",$A427&gt;=BZ$8,$A427&lt;=BZ$9),IF(SUM(BZ$10:BZ426)-ROUNDDOWN($K427*BZ$5/100,0)&lt;-BZ$6,-BZ$6-SUM(BZ$10:BZ426),-ROUNDDOWN($K427*BZ$5/100,0)),0)</f>
        <v>0</v>
      </c>
      <c r="CA427" s="38">
        <f>IF(AND(W427="○",$A427&gt;=CA$8,$A427&lt;=CA$9),IF(SUM(CA$10:CA426)-ROUNDDOWN($K427*CA$5/100,0)&lt;-CA$6,-CA$6-SUM(CA$10:CA426),-ROUNDDOWN($K427*CA$5/100,0)),0)</f>
        <v>0</v>
      </c>
      <c r="CB427" s="38"/>
      <c r="CC427" s="38"/>
      <c r="CD427" s="38"/>
      <c r="CE427" s="38"/>
      <c r="CF427" s="38"/>
      <c r="CG427" s="65">
        <f t="shared" si="291"/>
        <v>0</v>
      </c>
      <c r="CH427" s="71">
        <f t="shared" si="292"/>
        <v>0</v>
      </c>
      <c r="CI427" s="1">
        <f t="shared" si="19"/>
        <v>0</v>
      </c>
      <c r="CJ427" s="1"/>
      <c r="CK427" s="72"/>
      <c r="CL427" s="72"/>
      <c r="CM427" s="2"/>
      <c r="CN427" s="2"/>
      <c r="CO427" s="73">
        <f t="shared" si="20"/>
        <v>0</v>
      </c>
      <c r="CP427" s="5">
        <f t="shared" si="21"/>
        <v>0</v>
      </c>
      <c r="CQ427" s="1"/>
      <c r="CR427" s="1">
        <f t="shared" si="22"/>
        <v>0</v>
      </c>
      <c r="CS427" s="1"/>
      <c r="CT427" s="1" t="e">
        <f>INDEX([2]マスタ!$A:$A,MATCH(D427,[2]マスタ!$C:$C,0))</f>
        <v>#N/A</v>
      </c>
      <c r="CU427" s="1" t="str">
        <f t="shared" ca="1" si="23"/>
        <v>20260620_0-0</v>
      </c>
    </row>
    <row r="428" spans="1:99" x14ac:dyDescent="0.4">
      <c r="A428" s="61"/>
      <c r="B428" s="62"/>
      <c r="C428" s="62"/>
      <c r="D428" s="63"/>
      <c r="E428" s="63"/>
      <c r="F428" s="62"/>
      <c r="G428" s="62">
        <v>1</v>
      </c>
      <c r="H428" s="64">
        <f t="shared" si="4"/>
        <v>0</v>
      </c>
      <c r="I428" s="64"/>
      <c r="J428" s="64"/>
      <c r="K428" s="65">
        <f t="shared" si="300"/>
        <v>0</v>
      </c>
      <c r="L428" s="65">
        <f t="shared" si="6"/>
        <v>0</v>
      </c>
      <c r="M428" s="65">
        <f t="shared" si="7"/>
        <v>0</v>
      </c>
      <c r="N428" s="65">
        <f t="shared" si="8"/>
        <v>0</v>
      </c>
      <c r="O428" s="66" t="str">
        <f t="shared" si="295"/>
        <v>✕</v>
      </c>
      <c r="P428" s="67" t="str">
        <f t="shared" si="296"/>
        <v>○</v>
      </c>
      <c r="Q428" s="67" t="str">
        <f t="shared" si="301"/>
        <v>✕</v>
      </c>
      <c r="R428" s="67" t="str">
        <f t="shared" si="297"/>
        <v>✕</v>
      </c>
      <c r="S428" s="68">
        <v>0</v>
      </c>
      <c r="T428" s="69" t="s">
        <v>85</v>
      </c>
      <c r="U428" s="69" t="s">
        <v>85</v>
      </c>
      <c r="V428" s="69" t="s">
        <v>85</v>
      </c>
      <c r="W428" s="69" t="s">
        <v>85</v>
      </c>
      <c r="X428" s="69" t="s">
        <v>84</v>
      </c>
      <c r="Y428" s="69" t="s">
        <v>85</v>
      </c>
      <c r="Z428" s="69" t="s">
        <v>85</v>
      </c>
      <c r="AA428" s="69" t="s">
        <v>85</v>
      </c>
      <c r="AB428" s="69" t="s">
        <v>85</v>
      </c>
      <c r="AC428" s="69" t="s">
        <v>85</v>
      </c>
      <c r="AD428" s="38" t="str">
        <f>+IF(ISERROR(VLOOKUP($B428,AD$10:AD427,1,0)),IF(AND($N428&gt;=1000,$A428&gt;=AO$8,$A428&lt;=AO$9),$B428,""),"")</f>
        <v/>
      </c>
      <c r="AE428" s="38" t="str">
        <f>+IF(ISERROR(VLOOKUP($B428,AE$10:AE427,1,0)),IF(AND($N428&gt;=1000,$A428&gt;=AP$8,$A428&lt;=AP$9),$B428,""),"")</f>
        <v/>
      </c>
      <c r="AF428" s="38" t="str">
        <f>+IF(ISERROR(VLOOKUP($B428,AF$10:AF427,1,0)),IF(AND($N428&gt;=1000,$A428&gt;=AQ$8,$A428&lt;=AQ$9),$B428,""),"")</f>
        <v/>
      </c>
      <c r="AG428" s="38" t="str">
        <f>+IF(ISERROR(VLOOKUP($B428,AG$10:AG427,1,0)),IF(AND($N428&gt;=1000,$A428&gt;=AR$8,$A428&lt;=AR$9),$B428,""),"")</f>
        <v/>
      </c>
      <c r="AH428" s="38"/>
      <c r="AI428" s="70">
        <v>0</v>
      </c>
      <c r="AJ428" s="38">
        <f>IF(AND(AJ$7="○",$A428&gt;=AJ$8,$A428&lt;=AJ$9),IF(SUM(AJ$10:AJ427)-ROUNDDOWN($K428*AJ$5/100,0)&lt;-AJ$6,-AJ$6-SUM(AJ$10:AJ427),-ROUNDDOWN($K428*AJ$5/100,0)),0)</f>
        <v>0</v>
      </c>
      <c r="AK428" s="38">
        <f>IF(AND(AK$7="○",$A428&gt;=AK$8,$A428&lt;=AK$9),IF(SUM(AK$10:AK427)-ROUNDDOWN($L428*AK$5/100,0)&lt;-AK$6,-AK$6-SUM(AK$10:AK427),-ROUNDDOWN($L428*AK$5/100,0)),0)</f>
        <v>0</v>
      </c>
      <c r="AL428" s="38">
        <f>IF(AND(AL$7="○",$A428&gt;=AL$8,$A428&lt;=AL$9),IF(SUM(AL$10:AL427)-ROUNDDOWN($N428*AL$5/100,0)&lt;-AL$6,-AL$6-SUM(AL$10:AL427),-ROUNDDOWN($N428*AL$5/100,0)),0)</f>
        <v>0</v>
      </c>
      <c r="AM428" s="38">
        <f>IF(AND(AM$7="○",$A428&gt;=AM$8,$A428&lt;=AM$9),IF(SUM(AM$10:AM427)-ROUNDDOWN($L428*AM$5/100,0)&lt;-AM$6,-AM$6-SUM(AM$10:AM427),-ROUNDDOWN($L428*AM$5/100,0)),0)</f>
        <v>0</v>
      </c>
      <c r="AN428" s="38">
        <f>IF(AND(AN$7="○",$A428&gt;=AN$8,$A428&lt;=AN$9),IF(SUM(AN$10:AN427)-ROUNDDOWN($M428*AN$5/100,0)&lt;-AN$6,-AN$6-SUM(AN$10:AN427),-ROUNDDOWN($M428*AN$5/100,0)),0)</f>
        <v>0</v>
      </c>
      <c r="AO428" s="38">
        <f>IF(AND($A428&gt;=AO$8,$A428&lt;=AO$9),IF(SUM(AO$10:AO427)-ROUNDDOWN($K428*AO$5/100,0)&lt;-AO$6,-AO$6-SUM(AO$10:AO427),-ROUNDDOWN($K428*AO$5/100,0)),0)</f>
        <v>0</v>
      </c>
      <c r="AP428" s="38">
        <f>IF(AND($A428&gt;=AP$8,$A428&lt;=AP$9),IF(SUM(AP$10:AP427)-ROUNDDOWN($K428*AP$5/100,0)&lt;-AP$6,-AP$6-SUM(AP$10:AP427),-ROUNDDOWN($K428*AP$5/100,0)),0)</f>
        <v>0</v>
      </c>
      <c r="AQ428" s="38">
        <f>IF(AND($A428&gt;=AQ$8,$A428&lt;=AQ$9),IF(SUM(AQ$10:AQ427)-ROUNDDOWN($K428*AQ$5/100,0)&lt;-AQ$6,-AQ$6-SUM(AQ$10:AQ427),-ROUNDDOWN($K428*AQ$5/100,0)),0)</f>
        <v>0</v>
      </c>
      <c r="AR428" s="38">
        <f>IF(AND($A428&gt;=AR$8,$A428&lt;=AR$9),IF(SUM(AR$10:AR427)-ROUNDDOWN($K428*AR$5/100,0)&lt;-AR$6,-AR$6-SUM(AR$10:AR427),-ROUNDDOWN($K428*AR$5/100,0)),0)</f>
        <v>0</v>
      </c>
      <c r="AS428" s="38">
        <f>IF(SUMIFS(AS$10:AS427,$A$10:$A427,$A428)-ROUNDDOWN($K428*$S428/100,0)&lt;-$S428*1000,-$S428*1000-SUMIFS(AS$10:AS427,$A$10:$A427,$A428),-ROUNDDOWN($K428*$S428/100,0))</f>
        <v>0</v>
      </c>
      <c r="AT428" s="38">
        <f>IF(AND(X428="○",$A428&gt;=AT$8,$A428&lt;=AT$9,K428&gt;=3980),IF(SUM(AT$10:AT427)-ROUNDDOWN($K428*AT$5/100,0)&lt;-AT$6,-AT$6-SUM(AT$10:AT427),-ROUNDDOWN($K428*AT$5/100,0)),0)</f>
        <v>0</v>
      </c>
      <c r="AU428" s="38">
        <f>IF(O428="○",IF(SUM(AU$10:AU427)-ROUNDDOWN($K428*AU$5/100,0)&lt;-AU$6,-AU$6-SUM(AU$10:AU427),-ROUNDDOWN($K428*AU$5/100,0)),0)</f>
        <v>0</v>
      </c>
      <c r="AV428" s="38">
        <f>IF(P428="○",IF(SUM(AV$10:AV427)-ROUNDDOWN($K428*AV$5/100,0)&lt;-AV$6,-AV$6-SUM(AV$10:AV427),-ROUNDDOWN($K428*AV$5/100,0)),0)</f>
        <v>0</v>
      </c>
      <c r="AW428" s="38">
        <f>IF(Q428="○",IF(SUM(AW$10:AW427)-ROUNDDOWN($K428*AW$5/100,0)&lt;-AW$6,-AW$6-SUM(AW$10:AW427),-ROUNDDOWN($K428*AW$5/100,0)),0)</f>
        <v>0</v>
      </c>
      <c r="AX428" s="38">
        <f>IF(R428="○",IF(SUM(AX$10:AX427)-ROUNDDOWN($K428*AX$5/100,0)&lt;-AX$6,-AX$6-SUM(AX$10:AX427),-ROUNDDOWN($K428*AX$5/100,0)),0)</f>
        <v>0</v>
      </c>
      <c r="AY428" s="70">
        <v>0</v>
      </c>
      <c r="AZ428" s="65">
        <f t="shared" si="285"/>
        <v>0</v>
      </c>
      <c r="BA428" s="65">
        <f t="shared" si="286"/>
        <v>0</v>
      </c>
      <c r="BB428" s="70"/>
      <c r="BC428" s="65">
        <f t="shared" si="287"/>
        <v>0</v>
      </c>
      <c r="BD428" s="70">
        <v>0</v>
      </c>
      <c r="BE428" s="65">
        <f t="shared" si="288"/>
        <v>0</v>
      </c>
      <c r="BF428" s="70">
        <v>0</v>
      </c>
      <c r="BG428" s="65">
        <f t="shared" si="289"/>
        <v>0</v>
      </c>
      <c r="BH428" s="70">
        <v>0</v>
      </c>
      <c r="BI428" s="65">
        <f t="shared" si="290"/>
        <v>0</v>
      </c>
      <c r="BJ428" s="38">
        <f>IF(AND(BJ$7="○",$A428&gt;=BJ$8,$A428&lt;=BJ$9),IF(SUM(BJ$10:BJ427)-ROUNDDOWN($M428*BJ$5/100,0)&lt;-BJ$6,-BJ$6-SUM(BJ$10:BJ427),-ROUNDDOWN($M428*BJ$5/100,0)),0)</f>
        <v>0</v>
      </c>
      <c r="BK428" s="38">
        <f>IF(AND(BK$7="○",$A428&gt;=BK$8,$A428&lt;=BK$9),IF(SUM(BK$10:BK427)-ROUNDDOWN($L428*BK$5/100,0)&lt;-BK$6,-BK$6-SUM(BK$10:BK427),-ROUNDDOWN($L428*BK$5/100,0)),0)</f>
        <v>0</v>
      </c>
      <c r="BL428" s="38">
        <f>IF(AND(BL$7="○",$A428&gt;=BL$8,$A428&lt;=BL$9),IF(SUM(BL$10:BL427)-ROUNDDOWN($L428*BL$5/100,0)&lt;-BL$6,-BL$6-SUM(BL$10:BL427),-ROUNDDOWN($L428*BL$5/100,0)),0)</f>
        <v>0</v>
      </c>
      <c r="BM428" s="38">
        <f>IF(AND(BM$7="○",$A428&gt;=BM$8,$A428&lt;=BM$9),IF(SUM(BM$10:BM427)-ROUNDDOWN($M428*BM$5/100,0)&lt;-BM$6,-BM$6-SUM(BM$10:BM427),-ROUNDDOWN($M428*BM$5/100,0)),0)</f>
        <v>0</v>
      </c>
      <c r="BN428" s="38">
        <f>IF(AND(BN$7="○",$A428&gt;=BN$8,$A428&lt;=BN$9),IF(SUM(BN$10:BN427)-ROUNDDOWN($M428*BN$5/100,0)&lt;-BN$6,-BN$6-SUM(BN$10:BN427),-ROUNDDOWN($M428*BN$5/100,0)),0)</f>
        <v>0</v>
      </c>
      <c r="BO428" s="38">
        <f>IF(AND(BO$7="○",$A428&gt;=BO$8,$A428&lt;=BO$9),IF(SUM(BO$10:BO427)-ROUNDDOWN($M428*BO$5/100,0)&lt;-BO$6,-BO$6-SUM(BO$10:BO427),-ROUNDDOWN($M428*BO$5/100,0)),0)</f>
        <v>0</v>
      </c>
      <c r="BP428" s="38">
        <f>IF(AND(BP$7="○",$A428&gt;=BP$8,$A428&lt;=BP$9),IF(SUM(BP$10:BP427)-ROUNDDOWN($M428*BP$5/100,0)&lt;-BP$6,-BP$6-SUM(BP$10:BP427),-ROUNDDOWN($M428*BP$5/100,0)),0)</f>
        <v>0</v>
      </c>
      <c r="BQ428" s="38">
        <f>IF(AND(BQ$7="○",$A428&gt;=BQ$8,$A428&lt;=BQ$9),IF(SUM(BQ$10:BQ427)-ROUNDDOWN($L428*BQ$5/100,0)&lt;-BQ$6,-BQ$6-SUM(BQ$10:BQ427),-ROUNDDOWN($L428*BQ$5/100,0)),0)</f>
        <v>0</v>
      </c>
      <c r="BR428" s="38">
        <f>IF(AND(BR$7="○",$A428&gt;=BR$8,$A428&lt;=BR$9),IF(SUM(BR$10:BR427)-ROUNDDOWN($M428*BR$5/100,0)&lt;-BR$6,-BR$6-SUM(BR$10:BR427),-ROUNDDOWN($M428*BR$5/100,0)),0)</f>
        <v>0</v>
      </c>
      <c r="BS428" s="38">
        <f>IF(AND(BS$7="○",$A428&gt;=BS$8,$A428&lt;=BS$9),IF(SUM(BS$10:BS427)-ROUNDDOWN($M428*BS$5/100,0)&lt;-BS$6,-BS$6-SUM(BS$10:BS427),-ROUNDDOWN($M428*BS$5/100,0)),0)</f>
        <v>0</v>
      </c>
      <c r="BT428" s="38">
        <f>IF(AND(BT$7="○",$A428&gt;=BT$8,$A428&lt;=BT$9),IF(SUM(BT$10:BT427)-ROUNDDOWN($M428*BT$5/100,0)&lt;-BT$6,-BT$6-SUM(BT$10:BT427),-ROUNDDOWN($M428*BT$5/100,0)),0)</f>
        <v>0</v>
      </c>
      <c r="BU428" s="38">
        <f>IF(AND(BU$7="○",$A428&gt;=BU$8,$A428&lt;=BU$9),IF(SUM(BU$10:BU427)-ROUNDDOWN($M428*BU$5/100,0)&lt;-BU$6,-BU$6-SUM(BU$10:BU427),-ROUNDDOWN($M428*BU$5/100,0)),0)</f>
        <v>0</v>
      </c>
      <c r="BV428" s="38">
        <f>IF(AND(BV$7="○",$A428&gt;=BV$8,$A428&lt;=BV$9),IF(SUM(BV$10:BV427)-ROUNDDOWN($M428*BV$5/100,0)&lt;-BV$6,-BV$6-SUM(BV$10:BV427),-ROUNDDOWN($M428*BV$5/100,0)),0)</f>
        <v>0</v>
      </c>
      <c r="BW428" s="38">
        <f>IF(AND(BW$7="○",$A428&gt;=BW$8,$A428&lt;=BW$9),IF(SUM(BW$10:BW427)-ROUNDDOWN($M428*BW$5/100,0)&lt;-BW$6,-BW$6-SUM(BW$10:BW427),-ROUNDDOWN($M428*BW$5/100,0)),0)</f>
        <v>0</v>
      </c>
      <c r="BX428" s="38">
        <f>IF(AND(T428="○",$A428&gt;=BX$8,$A428&lt;=BX$9),IF(SUM(BX$10:BX427)-ROUNDDOWN($K428*BX$5/100,0)&lt;-BX$6,-BX$6-SUM(BX$10:BX427),-ROUNDDOWN($K428*BX$5/100,0)),0)</f>
        <v>0</v>
      </c>
      <c r="BY428" s="38">
        <f>IF(AND(U428="○",$A428&gt;=BY$8,$A428&lt;=BY$9),IF(SUM(BY$10:BY427)-ROUNDDOWN($K428*BY$5/100,0)&lt;-BY$6,-BY$6-SUM(BY$10:BY427),-ROUNDDOWN($K428*BY$5/100,0)),0)</f>
        <v>0</v>
      </c>
      <c r="BZ428" s="38">
        <f>IF(AND(V428="○",$A428&gt;=BZ$8,$A428&lt;=BZ$9),IF(SUM(BZ$10:BZ427)-ROUNDDOWN($K428*BZ$5/100,0)&lt;-BZ$6,-BZ$6-SUM(BZ$10:BZ427),-ROUNDDOWN($K428*BZ$5/100,0)),0)</f>
        <v>0</v>
      </c>
      <c r="CA428" s="38">
        <f>IF(AND(W428="○",$A428&gt;=CA$8,$A428&lt;=CA$9),IF(SUM(CA$10:CA427)-ROUNDDOWN($K428*CA$5/100,0)&lt;-CA$6,-CA$6-SUM(CA$10:CA427),-ROUNDDOWN($K428*CA$5/100,0)),0)</f>
        <v>0</v>
      </c>
      <c r="CB428" s="38"/>
      <c r="CC428" s="38"/>
      <c r="CD428" s="38"/>
      <c r="CE428" s="38"/>
      <c r="CF428" s="38"/>
      <c r="CG428" s="65">
        <f t="shared" si="291"/>
        <v>0</v>
      </c>
      <c r="CH428" s="71">
        <f t="shared" si="292"/>
        <v>0</v>
      </c>
      <c r="CI428" s="1">
        <f t="shared" si="19"/>
        <v>0</v>
      </c>
      <c r="CJ428" s="1"/>
      <c r="CK428" s="2"/>
      <c r="CL428" s="2"/>
      <c r="CM428" s="2"/>
      <c r="CN428" s="2"/>
      <c r="CO428" s="73">
        <f t="shared" si="20"/>
        <v>0</v>
      </c>
      <c r="CP428" s="5">
        <f t="shared" si="21"/>
        <v>0</v>
      </c>
      <c r="CQ428" s="1"/>
      <c r="CR428" s="1">
        <f t="shared" si="22"/>
        <v>0</v>
      </c>
      <c r="CS428" s="1"/>
      <c r="CT428" s="1" t="e">
        <f>INDEX([2]マスタ!$A:$A,MATCH(D428,[2]マスタ!$C:$C,0))</f>
        <v>#N/A</v>
      </c>
      <c r="CU428" s="1" t="str">
        <f t="shared" ca="1" si="23"/>
        <v>20260620_0-0</v>
      </c>
    </row>
    <row r="429" spans="1:99" x14ac:dyDescent="0.4">
      <c r="A429" s="61"/>
      <c r="B429" s="62"/>
      <c r="C429" s="62"/>
      <c r="D429" s="62"/>
      <c r="E429" s="63"/>
      <c r="F429" s="62"/>
      <c r="G429" s="62">
        <v>1</v>
      </c>
      <c r="H429" s="64">
        <f t="shared" si="4"/>
        <v>0</v>
      </c>
      <c r="I429" s="64"/>
      <c r="J429" s="78"/>
      <c r="K429" s="65">
        <f t="shared" si="300"/>
        <v>0</v>
      </c>
      <c r="L429" s="65">
        <f t="shared" si="6"/>
        <v>0</v>
      </c>
      <c r="M429" s="65">
        <f t="shared" si="7"/>
        <v>0</v>
      </c>
      <c r="N429" s="65">
        <f t="shared" si="8"/>
        <v>0</v>
      </c>
      <c r="O429" s="66" t="str">
        <f t="shared" si="295"/>
        <v>✕</v>
      </c>
      <c r="P429" s="67" t="str">
        <f t="shared" si="296"/>
        <v>○</v>
      </c>
      <c r="Q429" s="67" t="str">
        <f t="shared" si="301"/>
        <v>✕</v>
      </c>
      <c r="R429" s="67" t="str">
        <f t="shared" si="297"/>
        <v>✕</v>
      </c>
      <c r="S429" s="68">
        <v>0</v>
      </c>
      <c r="T429" s="69" t="s">
        <v>85</v>
      </c>
      <c r="U429" s="69" t="s">
        <v>85</v>
      </c>
      <c r="V429" s="69" t="s">
        <v>85</v>
      </c>
      <c r="W429" s="69" t="s">
        <v>85</v>
      </c>
      <c r="X429" s="69" t="s">
        <v>84</v>
      </c>
      <c r="Y429" s="69" t="s">
        <v>85</v>
      </c>
      <c r="Z429" s="69" t="s">
        <v>85</v>
      </c>
      <c r="AA429" s="69" t="s">
        <v>85</v>
      </c>
      <c r="AB429" s="69" t="s">
        <v>85</v>
      </c>
      <c r="AC429" s="69" t="s">
        <v>85</v>
      </c>
      <c r="AD429" s="38" t="str">
        <f>+IF(ISERROR(VLOOKUP($B429,AD$10:AD428,1,0)),IF(AND($N429&gt;=1000,$A429&gt;=AO$8,$A429&lt;=AO$9),$B429,""),"")</f>
        <v/>
      </c>
      <c r="AE429" s="38" t="str">
        <f>+IF(ISERROR(VLOOKUP($B429,AE$10:AE428,1,0)),IF(AND($N429&gt;=1000,$A429&gt;=AP$8,$A429&lt;=AP$9),$B429,""),"")</f>
        <v/>
      </c>
      <c r="AF429" s="38" t="str">
        <f>+IF(ISERROR(VLOOKUP($B429,AF$10:AF428,1,0)),IF(AND($N429&gt;=1000,$A429&gt;=AQ$8,$A429&lt;=AQ$9),$B429,""),"")</f>
        <v/>
      </c>
      <c r="AG429" s="38" t="str">
        <f>+IF(ISERROR(VLOOKUP($B429,AG$10:AG428,1,0)),IF(AND($N429&gt;=1000,$A429&gt;=AR$8,$A429&lt;=AR$9),$B429,""),"")</f>
        <v/>
      </c>
      <c r="AH429" s="38"/>
      <c r="AI429" s="70">
        <v>0</v>
      </c>
      <c r="AJ429" s="38">
        <f>IF(AND(AJ$7="○",$A429&gt;=AJ$8,$A429&lt;=AJ$9),IF(SUM(AJ$10:AJ428)-ROUNDDOWN($K429*AJ$5/100,0)&lt;-AJ$6,-AJ$6-SUM(AJ$10:AJ428),-ROUNDDOWN($K429*AJ$5/100,0)),0)</f>
        <v>0</v>
      </c>
      <c r="AK429" s="38">
        <f>IF(AND(AK$7="○",$A429&gt;=AK$8,$A429&lt;=AK$9),IF(SUM(AK$10:AK428)-ROUNDDOWN($L429*AK$5/100,0)&lt;-AK$6,-AK$6-SUM(AK$10:AK428),-ROUNDDOWN($L429*AK$5/100,0)),0)</f>
        <v>0</v>
      </c>
      <c r="AL429" s="38">
        <f>IF(AND(AL$7="○",$A429&gt;=AL$8,$A429&lt;=AL$9),IF(SUM(AL$10:AL428)-ROUNDDOWN($N429*AL$5/100,0)&lt;-AL$6,-AL$6-SUM(AL$10:AL428),-ROUNDDOWN($N429*AL$5/100,0)),0)</f>
        <v>0</v>
      </c>
      <c r="AM429" s="38">
        <f>IF(AND(AM$7="○",$A429&gt;=AM$8,$A429&lt;=AM$9),IF(SUM(AM$10:AM428)-ROUNDDOWN($L429*AM$5/100,0)&lt;-AM$6,-AM$6-SUM(AM$10:AM428),-ROUNDDOWN($L429*AM$5/100,0)),0)</f>
        <v>0</v>
      </c>
      <c r="AN429" s="38">
        <f>IF(AND(AN$7="○",$A429&gt;=AN$8,$A429&lt;=AN$9),IF(SUM(AN$10:AN428)-ROUNDDOWN($M429*AN$5/100,0)&lt;-AN$6,-AN$6-SUM(AN$10:AN428),-ROUNDDOWN($M429*AN$5/100,0)),0)</f>
        <v>0</v>
      </c>
      <c r="AO429" s="38">
        <f>IF(AND($A429&gt;=AO$8,$A429&lt;=AO$9),IF(SUM(AO$10:AO428)-ROUNDDOWN($K429*AO$5/100,0)&lt;-AO$6,-AO$6-SUM(AO$10:AO428),-ROUNDDOWN($K429*AO$5/100,0)),0)</f>
        <v>0</v>
      </c>
      <c r="AP429" s="38">
        <f>IF(AND($A429&gt;=AP$8,$A429&lt;=AP$9),IF(SUM(AP$10:AP428)-ROUNDDOWN($K429*AP$5/100,0)&lt;-AP$6,-AP$6-SUM(AP$10:AP428),-ROUNDDOWN($K429*AP$5/100,0)),0)</f>
        <v>0</v>
      </c>
      <c r="AQ429" s="38">
        <f>IF(AND($A429&gt;=AQ$8,$A429&lt;=AQ$9),IF(SUM(AQ$10:AQ428)-ROUNDDOWN($K429*AQ$5/100,0)&lt;-AQ$6,-AQ$6-SUM(AQ$10:AQ428),-ROUNDDOWN($K429*AQ$5/100,0)),0)</f>
        <v>0</v>
      </c>
      <c r="AR429" s="38">
        <f>IF(AND($A429&gt;=AR$8,$A429&lt;=AR$9),IF(SUM(AR$10:AR428)-ROUNDDOWN($K429*AR$5/100,0)&lt;-AR$6,-AR$6-SUM(AR$10:AR428),-ROUNDDOWN($K429*AR$5/100,0)),0)</f>
        <v>0</v>
      </c>
      <c r="AS429" s="38">
        <f>IF(SUMIFS(AS$10:AS428,$A$10:$A428,$A429)-ROUNDDOWN($K429*$S429/100,0)&lt;-$S429*1000,-$S429*1000-SUMIFS(AS$10:AS428,$A$10:$A428,$A429),-ROUNDDOWN($K429*$S429/100,0))</f>
        <v>0</v>
      </c>
      <c r="AT429" s="38">
        <f>IF(AND(X429="○",$A429&gt;=AT$8,$A429&lt;=AT$9,K429&gt;=3980),IF(SUM(AT$10:AT428)-ROUNDDOWN($K429*AT$5/100,0)&lt;-AT$6,-AT$6-SUM(AT$10:AT428),-ROUNDDOWN($K429*AT$5/100,0)),0)</f>
        <v>0</v>
      </c>
      <c r="AU429" s="38">
        <f>IF(O429="○",IF(SUM(AU$10:AU428)-ROUNDDOWN($K429*AU$5/100,0)&lt;-AU$6,-AU$6-SUM(AU$10:AU428),-ROUNDDOWN($K429*AU$5/100,0)),0)</f>
        <v>0</v>
      </c>
      <c r="AV429" s="38">
        <f>IF(P429="○",IF(SUM(AV$10:AV428)-ROUNDDOWN($K429*AV$5/100,0)&lt;-AV$6,-AV$6-SUM(AV$10:AV428),-ROUNDDOWN($K429*AV$5/100,0)),0)</f>
        <v>0</v>
      </c>
      <c r="AW429" s="38">
        <f>IF(Q429="○",IF(SUM(AW$10:AW428)-ROUNDDOWN($K429*AW$5/100,0)&lt;-AW$6,-AW$6-SUM(AW$10:AW428),-ROUNDDOWN($K429*AW$5/100,0)),0)</f>
        <v>0</v>
      </c>
      <c r="AX429" s="38">
        <f>IF(R429="○",IF(SUM(AX$10:AX428)-ROUNDDOWN($K429*AX$5/100,0)&lt;-AX$6,-AX$6-SUM(AX$10:AX428),-ROUNDDOWN($K429*AX$5/100,0)),0)</f>
        <v>0</v>
      </c>
      <c r="AY429" s="70">
        <v>0</v>
      </c>
      <c r="AZ429" s="65">
        <f t="shared" si="285"/>
        <v>0</v>
      </c>
      <c r="BA429" s="65">
        <f t="shared" si="286"/>
        <v>0</v>
      </c>
      <c r="BB429" s="70"/>
      <c r="BC429" s="65">
        <f t="shared" si="287"/>
        <v>0</v>
      </c>
      <c r="BD429" s="70">
        <v>0</v>
      </c>
      <c r="BE429" s="65">
        <f t="shared" si="288"/>
        <v>0</v>
      </c>
      <c r="BF429" s="70">
        <v>0</v>
      </c>
      <c r="BG429" s="65">
        <f t="shared" si="289"/>
        <v>0</v>
      </c>
      <c r="BH429" s="70">
        <v>0</v>
      </c>
      <c r="BI429" s="65">
        <f t="shared" si="290"/>
        <v>0</v>
      </c>
      <c r="BJ429" s="38">
        <f>IF(AND(BJ$7="○",$A429&gt;=BJ$8,$A429&lt;=BJ$9),IF(SUM(BJ$10:BJ428)-ROUNDDOWN($M429*BJ$5/100,0)&lt;-BJ$6,-BJ$6-SUM(BJ$10:BJ428),-ROUNDDOWN($M429*BJ$5/100,0)),0)</f>
        <v>0</v>
      </c>
      <c r="BK429" s="38">
        <f>IF(AND(BK$7="○",$A429&gt;=BK$8,$A429&lt;=BK$9),IF(SUM(BK$10:BK428)-ROUNDDOWN($L429*BK$5/100,0)&lt;-BK$6,-BK$6-SUM(BK$10:BK428),-ROUNDDOWN($L429*BK$5/100,0)),0)</f>
        <v>0</v>
      </c>
      <c r="BL429" s="38">
        <f>IF(AND(BL$7="○",$A429&gt;=BL$8,$A429&lt;=BL$9),IF(SUM(BL$10:BL428)-ROUNDDOWN($L429*BL$5/100,0)&lt;-BL$6,-BL$6-SUM(BL$10:BL428),-ROUNDDOWN($L429*BL$5/100,0)),0)</f>
        <v>0</v>
      </c>
      <c r="BM429" s="38">
        <f>IF(AND(BM$7="○",$A429&gt;=BM$8,$A429&lt;=BM$9),IF(SUM(BM$10:BM428)-ROUNDDOWN($M429*BM$5/100,0)&lt;-BM$6,-BM$6-SUM(BM$10:BM428),-ROUNDDOWN($M429*BM$5/100,0)),0)</f>
        <v>0</v>
      </c>
      <c r="BN429" s="38">
        <f>IF(AND(BN$7="○",$A429&gt;=BN$8,$A429&lt;=BN$9),IF(SUM(BN$10:BN428)-ROUNDDOWN($M429*BN$5/100,0)&lt;-BN$6,-BN$6-SUM(BN$10:BN428),-ROUNDDOWN($M429*BN$5/100,0)),0)</f>
        <v>0</v>
      </c>
      <c r="BO429" s="38">
        <f>IF(AND(BO$7="○",$A429&gt;=BO$8,$A429&lt;=BO$9),IF(SUM(BO$10:BO428)-ROUNDDOWN($M429*BO$5/100,0)&lt;-BO$6,-BO$6-SUM(BO$10:BO428),-ROUNDDOWN($M429*BO$5/100,0)),0)</f>
        <v>0</v>
      </c>
      <c r="BP429" s="38">
        <f>IF(AND(BP$7="○",$A429&gt;=BP$8,$A429&lt;=BP$9),IF(SUM(BP$10:BP428)-ROUNDDOWN($M429*BP$5/100,0)&lt;-BP$6,-BP$6-SUM(BP$10:BP428),-ROUNDDOWN($M429*BP$5/100,0)),0)</f>
        <v>0</v>
      </c>
      <c r="BQ429" s="38">
        <f>IF(AND(BQ$7="○",$A429&gt;=BQ$8,$A429&lt;=BQ$9),IF(SUM(BQ$10:BQ428)-ROUNDDOWN($L429*BQ$5/100,0)&lt;-BQ$6,-BQ$6-SUM(BQ$10:BQ428),-ROUNDDOWN($L429*BQ$5/100,0)),0)</f>
        <v>0</v>
      </c>
      <c r="BR429" s="38">
        <f>IF(AND(BR$7="○",$A429&gt;=BR$8,$A429&lt;=BR$9),IF(SUM(BR$10:BR428)-ROUNDDOWN($M429*BR$5/100,0)&lt;-BR$6,-BR$6-SUM(BR$10:BR428),-ROUNDDOWN($M429*BR$5/100,0)),0)</f>
        <v>0</v>
      </c>
      <c r="BS429" s="38">
        <f>IF(AND(BS$7="○",$A429&gt;=BS$8,$A429&lt;=BS$9),IF(SUM(BS$10:BS428)-ROUNDDOWN($M429*BS$5/100,0)&lt;-BS$6,-BS$6-SUM(BS$10:BS428),-ROUNDDOWN($M429*BS$5/100,0)),0)</f>
        <v>0</v>
      </c>
      <c r="BT429" s="38">
        <f>IF(AND(BT$7="○",$A429&gt;=BT$8,$A429&lt;=BT$9),IF(SUM(BT$10:BT428)-ROUNDDOWN($M429*BT$5/100,0)&lt;-BT$6,-BT$6-SUM(BT$10:BT428),-ROUNDDOWN($M429*BT$5/100,0)),0)</f>
        <v>0</v>
      </c>
      <c r="BU429" s="38">
        <f>IF(AND(BU$7="○",$A429&gt;=BU$8,$A429&lt;=BU$9),IF(SUM(BU$10:BU428)-ROUNDDOWN($M429*BU$5/100,0)&lt;-BU$6,-BU$6-SUM(BU$10:BU428),-ROUNDDOWN($M429*BU$5/100,0)),0)</f>
        <v>0</v>
      </c>
      <c r="BV429" s="38">
        <f>IF(AND(BV$7="○",$A429&gt;=BV$8,$A429&lt;=BV$9),IF(SUM(BV$10:BV428)-ROUNDDOWN($M429*BV$5/100,0)&lt;-BV$6,-BV$6-SUM(BV$10:BV428),-ROUNDDOWN($M429*BV$5/100,0)),0)</f>
        <v>0</v>
      </c>
      <c r="BW429" s="38">
        <f>IF(AND(BW$7="○",$A429&gt;=BW$8,$A429&lt;=BW$9),IF(SUM(BW$10:BW428)-ROUNDDOWN($M429*BW$5/100,0)&lt;-BW$6,-BW$6-SUM(BW$10:BW428),-ROUNDDOWN($M429*BW$5/100,0)),0)</f>
        <v>0</v>
      </c>
      <c r="BX429" s="38">
        <f>IF(AND(T429="○",$A429&gt;=BX$8,$A429&lt;=BX$9),IF(SUM(BX$10:BX428)-ROUNDDOWN($K429*BX$5/100,0)&lt;-BX$6,-BX$6-SUM(BX$10:BX428),-ROUNDDOWN($K429*BX$5/100,0)),0)</f>
        <v>0</v>
      </c>
      <c r="BY429" s="38">
        <f>IF(AND(U429="○",$A429&gt;=BY$8,$A429&lt;=BY$9),IF(SUM(BY$10:BY428)-ROUNDDOWN($K429*BY$5/100,0)&lt;-BY$6,-BY$6-SUM(BY$10:BY428),-ROUNDDOWN($K429*BY$5/100,0)),0)</f>
        <v>0</v>
      </c>
      <c r="BZ429" s="38">
        <f>IF(AND(V429="○",$A429&gt;=BZ$8,$A429&lt;=BZ$9),IF(SUM(BZ$10:BZ428)-ROUNDDOWN($K429*BZ$5/100,0)&lt;-BZ$6,-BZ$6-SUM(BZ$10:BZ428),-ROUNDDOWN($K429*BZ$5/100,0)),0)</f>
        <v>0</v>
      </c>
      <c r="CA429" s="38">
        <f>IF(AND(W429="○",$A429&gt;=CA$8,$A429&lt;=CA$9),IF(SUM(CA$10:CA428)-ROUNDDOWN($K429*CA$5/100,0)&lt;-CA$6,-CA$6-SUM(CA$10:CA428),-ROUNDDOWN($K429*CA$5/100,0)),0)</f>
        <v>0</v>
      </c>
      <c r="CB429" s="38"/>
      <c r="CC429" s="38"/>
      <c r="CD429" s="38"/>
      <c r="CE429" s="38"/>
      <c r="CF429" s="38"/>
      <c r="CG429" s="65">
        <f t="shared" si="291"/>
        <v>0</v>
      </c>
      <c r="CH429" s="71">
        <f t="shared" si="292"/>
        <v>0</v>
      </c>
      <c r="CI429" s="1">
        <f t="shared" si="19"/>
        <v>0</v>
      </c>
      <c r="CJ429" s="1"/>
      <c r="CK429" s="79"/>
      <c r="CL429" s="79"/>
      <c r="CM429" s="2"/>
      <c r="CN429" s="2"/>
      <c r="CO429" s="73">
        <f t="shared" si="20"/>
        <v>0</v>
      </c>
      <c r="CP429" s="5">
        <f t="shared" si="21"/>
        <v>0</v>
      </c>
      <c r="CQ429" s="1"/>
      <c r="CR429" s="1">
        <f t="shared" si="22"/>
        <v>0</v>
      </c>
      <c r="CS429" s="1"/>
      <c r="CT429" s="1" t="e">
        <f>INDEX([2]マスタ!$A:$A,MATCH(D429,[2]マスタ!$C:$C,0))</f>
        <v>#N/A</v>
      </c>
      <c r="CU429" s="1" t="str">
        <f t="shared" ca="1" si="23"/>
        <v>20260620_0-0</v>
      </c>
    </row>
    <row r="430" spans="1:99" x14ac:dyDescent="0.4">
      <c r="A430" s="61"/>
      <c r="B430" s="62"/>
      <c r="C430" s="62"/>
      <c r="D430" s="62"/>
      <c r="E430" s="63"/>
      <c r="F430" s="62"/>
      <c r="G430" s="62">
        <v>1</v>
      </c>
      <c r="H430" s="64">
        <f t="shared" si="4"/>
        <v>0</v>
      </c>
      <c r="I430" s="64"/>
      <c r="J430" s="64"/>
      <c r="K430" s="65">
        <f t="shared" si="300"/>
        <v>0</v>
      </c>
      <c r="L430" s="65">
        <f t="shared" si="6"/>
        <v>0</v>
      </c>
      <c r="M430" s="65">
        <f t="shared" si="7"/>
        <v>0</v>
      </c>
      <c r="N430" s="65">
        <f t="shared" si="8"/>
        <v>0</v>
      </c>
      <c r="O430" s="66" t="str">
        <f t="shared" si="295"/>
        <v>✕</v>
      </c>
      <c r="P430" s="67" t="str">
        <f t="shared" si="296"/>
        <v>○</v>
      </c>
      <c r="Q430" s="67" t="str">
        <f t="shared" si="301"/>
        <v>✕</v>
      </c>
      <c r="R430" s="67" t="str">
        <f t="shared" si="297"/>
        <v>✕</v>
      </c>
      <c r="S430" s="68">
        <v>0</v>
      </c>
      <c r="T430" s="69" t="s">
        <v>85</v>
      </c>
      <c r="U430" s="69" t="s">
        <v>85</v>
      </c>
      <c r="V430" s="69" t="s">
        <v>85</v>
      </c>
      <c r="W430" s="69" t="s">
        <v>85</v>
      </c>
      <c r="X430" s="69" t="s">
        <v>84</v>
      </c>
      <c r="Y430" s="69" t="s">
        <v>85</v>
      </c>
      <c r="Z430" s="69" t="s">
        <v>85</v>
      </c>
      <c r="AA430" s="69" t="s">
        <v>85</v>
      </c>
      <c r="AB430" s="69" t="s">
        <v>85</v>
      </c>
      <c r="AC430" s="69" t="s">
        <v>85</v>
      </c>
      <c r="AD430" s="38" t="str">
        <f>+IF(ISERROR(VLOOKUP($B430,AD$10:AD429,1,0)),IF(AND($N430&gt;=1000,$A430&gt;=AO$8,$A430&lt;=AO$9),$B430,""),"")</f>
        <v/>
      </c>
      <c r="AE430" s="38" t="str">
        <f>+IF(ISERROR(VLOOKUP($B430,AE$10:AE429,1,0)),IF(AND($N430&gt;=1000,$A430&gt;=AP$8,$A430&lt;=AP$9),$B430,""),"")</f>
        <v/>
      </c>
      <c r="AF430" s="38" t="str">
        <f>+IF(ISERROR(VLOOKUP($B430,AF$10:AF429,1,0)),IF(AND($N430&gt;=1000,$A430&gt;=AQ$8,$A430&lt;=AQ$9),$B430,""),"")</f>
        <v/>
      </c>
      <c r="AG430" s="38" t="str">
        <f>+IF(ISERROR(VLOOKUP($B430,AG$10:AG429,1,0)),IF(AND($N430&gt;=1000,$A430&gt;=AR$8,$A430&lt;=AR$9),$B430,""),"")</f>
        <v/>
      </c>
      <c r="AH430" s="38"/>
      <c r="AI430" s="70">
        <v>0</v>
      </c>
      <c r="AJ430" s="38">
        <f>IF(AND(AJ$7="○",$A430&gt;=AJ$8,$A430&lt;=AJ$9),IF(SUM(AJ$10:AJ429)-ROUNDDOWN($K430*AJ$5/100,0)&lt;-AJ$6,-AJ$6-SUM(AJ$10:AJ429),-ROUNDDOWN($K430*AJ$5/100,0)),0)</f>
        <v>0</v>
      </c>
      <c r="AK430" s="38">
        <f>IF(AND(AK$7="○",$A430&gt;=AK$8,$A430&lt;=AK$9),IF(SUM(AK$10:AK429)-ROUNDDOWN($L430*AK$5/100,0)&lt;-AK$6,-AK$6-SUM(AK$10:AK429),-ROUNDDOWN($L430*AK$5/100,0)),0)</f>
        <v>0</v>
      </c>
      <c r="AL430" s="38">
        <f>IF(AND(AL$7="○",$A430&gt;=AL$8,$A430&lt;=AL$9),IF(SUM(AL$10:AL429)-ROUNDDOWN($N430*AL$5/100,0)&lt;-AL$6,-AL$6-SUM(AL$10:AL429),-ROUNDDOWN($N430*AL$5/100,0)),0)</f>
        <v>0</v>
      </c>
      <c r="AM430" s="38">
        <f>IF(AND(AM$7="○",$A430&gt;=AM$8,$A430&lt;=AM$9),IF(SUM(AM$10:AM429)-ROUNDDOWN($L430*AM$5/100,0)&lt;-AM$6,-AM$6-SUM(AM$10:AM429),-ROUNDDOWN($L430*AM$5/100,0)),0)</f>
        <v>0</v>
      </c>
      <c r="AN430" s="38">
        <f>IF(AND(AN$7="○",$A430&gt;=AN$8,$A430&lt;=AN$9),IF(SUM(AN$10:AN429)-ROUNDDOWN($M430*AN$5/100,0)&lt;-AN$6,-AN$6-SUM(AN$10:AN429),-ROUNDDOWN($M430*AN$5/100,0)),0)</f>
        <v>0</v>
      </c>
      <c r="AO430" s="38">
        <f>IF(AND($A430&gt;=AO$8,$A430&lt;=AO$9),IF(SUM(AO$10:AO429)-ROUNDDOWN($K430*AO$5/100,0)&lt;-AO$6,-AO$6-SUM(AO$10:AO429),-ROUNDDOWN($K430*AO$5/100,0)),0)</f>
        <v>0</v>
      </c>
      <c r="AP430" s="38">
        <f>IF(AND($A430&gt;=AP$8,$A430&lt;=AP$9),IF(SUM(AP$10:AP429)-ROUNDDOWN($K430*AP$5/100,0)&lt;-AP$6,-AP$6-SUM(AP$10:AP429),-ROUNDDOWN($K430*AP$5/100,0)),0)</f>
        <v>0</v>
      </c>
      <c r="AQ430" s="38">
        <f>IF(AND($A430&gt;=AQ$8,$A430&lt;=AQ$9),IF(SUM(AQ$10:AQ429)-ROUNDDOWN($K430*AQ$5/100,0)&lt;-AQ$6,-AQ$6-SUM(AQ$10:AQ429),-ROUNDDOWN($K430*AQ$5/100,0)),0)</f>
        <v>0</v>
      </c>
      <c r="AR430" s="38">
        <f>IF(AND($A430&gt;=AR$8,$A430&lt;=AR$9),IF(SUM(AR$10:AR429)-ROUNDDOWN($K430*AR$5/100,0)&lt;-AR$6,-AR$6-SUM(AR$10:AR429),-ROUNDDOWN($K430*AR$5/100,0)),0)</f>
        <v>0</v>
      </c>
      <c r="AS430" s="38">
        <f>IF(SUMIFS(AS$10:AS429,$A$10:$A429,$A430)-ROUNDDOWN($K430*$S430/100,0)&lt;-$S430*1000,-$S430*1000-SUMIFS(AS$10:AS429,$A$10:$A429,$A430),-ROUNDDOWN($K430*$S430/100,0))</f>
        <v>0</v>
      </c>
      <c r="AT430" s="38">
        <f>IF(AND(X430="○",$A430&gt;=AT$8,$A430&lt;=AT$9,K430&gt;=3980),IF(SUM(AT$10:AT429)-ROUNDDOWN($K430*AT$5/100,0)&lt;-AT$6,-AT$6-SUM(AT$10:AT429),-ROUNDDOWN($K430*AT$5/100,0)),0)</f>
        <v>0</v>
      </c>
      <c r="AU430" s="38">
        <f>IF(O430="○",IF(SUM(AU$10:AU429)-ROUNDDOWN($K430*AU$5/100,0)&lt;-AU$6,-AU$6-SUM(AU$10:AU429),-ROUNDDOWN($K430*AU$5/100,0)),0)</f>
        <v>0</v>
      </c>
      <c r="AV430" s="38">
        <f>IF(P430="○",IF(SUM(AV$10:AV429)-ROUNDDOWN($K430*AV$5/100,0)&lt;-AV$6,-AV$6-SUM(AV$10:AV429),-ROUNDDOWN($K430*AV$5/100,0)),0)</f>
        <v>0</v>
      </c>
      <c r="AW430" s="38">
        <f>IF(Q430="○",IF(SUM(AW$10:AW429)-ROUNDDOWN($K430*AW$5/100,0)&lt;-AW$6,-AW$6-SUM(AW$10:AW429),-ROUNDDOWN($K430*AW$5/100,0)),0)</f>
        <v>0</v>
      </c>
      <c r="AX430" s="38">
        <f>IF(R430="○",IF(SUM(AX$10:AX429)-ROUNDDOWN($K430*AX$5/100,0)&lt;-AX$6,-AX$6-SUM(AX$10:AX429),-ROUNDDOWN($K430*AX$5/100,0)),0)</f>
        <v>0</v>
      </c>
      <c r="AY430" s="70">
        <v>0</v>
      </c>
      <c r="AZ430" s="65">
        <f t="shared" si="285"/>
        <v>0</v>
      </c>
      <c r="BA430" s="65">
        <f t="shared" si="286"/>
        <v>0</v>
      </c>
      <c r="BB430" s="70"/>
      <c r="BC430" s="65">
        <f t="shared" si="287"/>
        <v>0</v>
      </c>
      <c r="BD430" s="70">
        <v>0</v>
      </c>
      <c r="BE430" s="65">
        <f t="shared" si="288"/>
        <v>0</v>
      </c>
      <c r="BF430" s="70">
        <v>0</v>
      </c>
      <c r="BG430" s="65">
        <f t="shared" si="289"/>
        <v>0</v>
      </c>
      <c r="BH430" s="70">
        <v>0</v>
      </c>
      <c r="BI430" s="65">
        <f t="shared" si="290"/>
        <v>0</v>
      </c>
      <c r="BJ430" s="38">
        <f>IF(AND(BJ$7="○",$A430&gt;=BJ$8,$A430&lt;=BJ$9),IF(SUM(BJ$10:BJ429)-ROUNDDOWN($M430*BJ$5/100,0)&lt;-BJ$6,-BJ$6-SUM(BJ$10:BJ429),-ROUNDDOWN($M430*BJ$5/100,0)),0)</f>
        <v>0</v>
      </c>
      <c r="BK430" s="38">
        <f>IF(AND(BK$7="○",$A430&gt;=BK$8,$A430&lt;=BK$9),IF(SUM(BK$10:BK429)-ROUNDDOWN($L430*BK$5/100,0)&lt;-BK$6,-BK$6-SUM(BK$10:BK429),-ROUNDDOWN($L430*BK$5/100,0)),0)</f>
        <v>0</v>
      </c>
      <c r="BL430" s="38">
        <f>IF(AND(BL$7="○",$A430&gt;=BL$8,$A430&lt;=BL$9),IF(SUM(BL$10:BL429)-ROUNDDOWN($L430*BL$5/100,0)&lt;-BL$6,-BL$6-SUM(BL$10:BL429),-ROUNDDOWN($L430*BL$5/100,0)),0)</f>
        <v>0</v>
      </c>
      <c r="BM430" s="38">
        <f>IF(AND(BM$7="○",$A430&gt;=BM$8,$A430&lt;=BM$9),IF(SUM(BM$10:BM429)-ROUNDDOWN($M430*BM$5/100,0)&lt;-BM$6,-BM$6-SUM(BM$10:BM429),-ROUNDDOWN($M430*BM$5/100,0)),0)</f>
        <v>0</v>
      </c>
      <c r="BN430" s="38">
        <f>IF(AND(BN$7="○",$A430&gt;=BN$8,$A430&lt;=BN$9),IF(SUM(BN$10:BN429)-ROUNDDOWN($M430*BN$5/100,0)&lt;-BN$6,-BN$6-SUM(BN$10:BN429),-ROUNDDOWN($M430*BN$5/100,0)),0)</f>
        <v>0</v>
      </c>
      <c r="BO430" s="38">
        <f>IF(AND(BO$7="○",$A430&gt;=BO$8,$A430&lt;=BO$9),IF(SUM(BO$10:BO429)-ROUNDDOWN($M430*BO$5/100,0)&lt;-BO$6,-BO$6-SUM(BO$10:BO429),-ROUNDDOWN($M430*BO$5/100,0)),0)</f>
        <v>0</v>
      </c>
      <c r="BP430" s="38">
        <f>IF(AND(BP$7="○",$A430&gt;=BP$8,$A430&lt;=BP$9),IF(SUM(BP$10:BP429)-ROUNDDOWN($M430*BP$5/100,0)&lt;-BP$6,-BP$6-SUM(BP$10:BP429),-ROUNDDOWN($M430*BP$5/100,0)),0)</f>
        <v>0</v>
      </c>
      <c r="BQ430" s="38">
        <f>IF(AND(BQ$7="○",$A430&gt;=BQ$8,$A430&lt;=BQ$9),IF(SUM(BQ$10:BQ429)-ROUNDDOWN($L430*BQ$5/100,0)&lt;-BQ$6,-BQ$6-SUM(BQ$10:BQ429),-ROUNDDOWN($L430*BQ$5/100,0)),0)</f>
        <v>0</v>
      </c>
      <c r="BR430" s="38">
        <f>IF(AND(BR$7="○",$A430&gt;=BR$8,$A430&lt;=BR$9),IF(SUM(BR$10:BR429)-ROUNDDOWN($M430*BR$5/100,0)&lt;-BR$6,-BR$6-SUM(BR$10:BR429),-ROUNDDOWN($M430*BR$5/100,0)),0)</f>
        <v>0</v>
      </c>
      <c r="BS430" s="38">
        <f>IF(AND(BS$7="○",$A430&gt;=BS$8,$A430&lt;=BS$9),IF(SUM(BS$10:BS429)-ROUNDDOWN($M430*BS$5/100,0)&lt;-BS$6,-BS$6-SUM(BS$10:BS429),-ROUNDDOWN($M430*BS$5/100,0)),0)</f>
        <v>0</v>
      </c>
      <c r="BT430" s="38">
        <f>IF(AND(BT$7="○",$A430&gt;=BT$8,$A430&lt;=BT$9),IF(SUM(BT$10:BT429)-ROUNDDOWN($M430*BT$5/100,0)&lt;-BT$6,-BT$6-SUM(BT$10:BT429),-ROUNDDOWN($M430*BT$5/100,0)),0)</f>
        <v>0</v>
      </c>
      <c r="BU430" s="38">
        <f>IF(AND(BU$7="○",$A430&gt;=BU$8,$A430&lt;=BU$9),IF(SUM(BU$10:BU429)-ROUNDDOWN($M430*BU$5/100,0)&lt;-BU$6,-BU$6-SUM(BU$10:BU429),-ROUNDDOWN($M430*BU$5/100,0)),0)</f>
        <v>0</v>
      </c>
      <c r="BV430" s="38">
        <f>IF(AND(BV$7="○",$A430&gt;=BV$8,$A430&lt;=BV$9),IF(SUM(BV$10:BV429)-ROUNDDOWN($M430*BV$5/100,0)&lt;-BV$6,-BV$6-SUM(BV$10:BV429),-ROUNDDOWN($M430*BV$5/100,0)),0)</f>
        <v>0</v>
      </c>
      <c r="BW430" s="38">
        <f>IF(AND(BW$7="○",$A430&gt;=BW$8,$A430&lt;=BW$9),IF(SUM(BW$10:BW429)-ROUNDDOWN($M430*BW$5/100,0)&lt;-BW$6,-BW$6-SUM(BW$10:BW429),-ROUNDDOWN($M430*BW$5/100,0)),0)</f>
        <v>0</v>
      </c>
      <c r="BX430" s="38">
        <f>IF(AND(T430="○",$A430&gt;=BX$8,$A430&lt;=BX$9),IF(SUM(BX$10:BX429)-ROUNDDOWN($K430*BX$5/100,0)&lt;-BX$6,-BX$6-SUM(BX$10:BX429),-ROUNDDOWN($K430*BX$5/100,0)),0)</f>
        <v>0</v>
      </c>
      <c r="BY430" s="38">
        <f>IF(AND(U430="○",$A430&gt;=BY$8,$A430&lt;=BY$9),IF(SUM(BY$10:BY429)-ROUNDDOWN($K430*BY$5/100,0)&lt;-BY$6,-BY$6-SUM(BY$10:BY429),-ROUNDDOWN($K430*BY$5/100,0)),0)</f>
        <v>0</v>
      </c>
      <c r="BZ430" s="38">
        <f>IF(AND(V430="○",$A430&gt;=BZ$8,$A430&lt;=BZ$9),IF(SUM(BZ$10:BZ429)-ROUNDDOWN($K430*BZ$5/100,0)&lt;-BZ$6,-BZ$6-SUM(BZ$10:BZ429),-ROUNDDOWN($K430*BZ$5/100,0)),0)</f>
        <v>0</v>
      </c>
      <c r="CA430" s="38">
        <f>IF(AND(W430="○",$A430&gt;=CA$8,$A430&lt;=CA$9),IF(SUM(CA$10:CA429)-ROUNDDOWN($K430*CA$5/100,0)&lt;-CA$6,-CA$6-SUM(CA$10:CA429),-ROUNDDOWN($K430*CA$5/100,0)),0)</f>
        <v>0</v>
      </c>
      <c r="CB430" s="38"/>
      <c r="CC430" s="38"/>
      <c r="CD430" s="38"/>
      <c r="CE430" s="38"/>
      <c r="CF430" s="38"/>
      <c r="CG430" s="65">
        <f t="shared" si="291"/>
        <v>0</v>
      </c>
      <c r="CH430" s="71">
        <f t="shared" si="292"/>
        <v>0</v>
      </c>
      <c r="CI430" s="1">
        <f t="shared" si="19"/>
        <v>0</v>
      </c>
      <c r="CJ430" s="1"/>
      <c r="CK430" s="72"/>
      <c r="CL430" s="72"/>
      <c r="CM430" s="2"/>
      <c r="CN430" s="2"/>
      <c r="CO430" s="73">
        <f t="shared" si="20"/>
        <v>0</v>
      </c>
      <c r="CP430" s="5">
        <f t="shared" si="21"/>
        <v>0</v>
      </c>
      <c r="CQ430" s="1"/>
      <c r="CR430" s="1">
        <f t="shared" si="22"/>
        <v>0</v>
      </c>
      <c r="CS430" s="1"/>
      <c r="CT430" s="1" t="e">
        <f>INDEX([2]マスタ!$A:$A,MATCH(D430,[2]マスタ!$C:$C,0))</f>
        <v>#N/A</v>
      </c>
      <c r="CU430" s="1" t="str">
        <f t="shared" ca="1" si="23"/>
        <v>20260620_0-0</v>
      </c>
    </row>
    <row r="431" spans="1:99" x14ac:dyDescent="0.4">
      <c r="A431" s="61"/>
      <c r="B431" s="62"/>
      <c r="C431" s="62"/>
      <c r="D431" s="62"/>
      <c r="E431" s="63"/>
      <c r="F431" s="62"/>
      <c r="G431" s="62">
        <v>1</v>
      </c>
      <c r="H431" s="64">
        <f t="shared" si="4"/>
        <v>0</v>
      </c>
      <c r="I431" s="64"/>
      <c r="J431" s="64"/>
      <c r="K431" s="65">
        <f t="shared" si="300"/>
        <v>0</v>
      </c>
      <c r="L431" s="65">
        <f t="shared" si="6"/>
        <v>0</v>
      </c>
      <c r="M431" s="65">
        <f t="shared" si="7"/>
        <v>0</v>
      </c>
      <c r="N431" s="65">
        <f t="shared" si="8"/>
        <v>0</v>
      </c>
      <c r="O431" s="66" t="str">
        <f t="shared" si="295"/>
        <v>✕</v>
      </c>
      <c r="P431" s="67" t="str">
        <f t="shared" si="296"/>
        <v>○</v>
      </c>
      <c r="Q431" s="67" t="str">
        <f t="shared" si="301"/>
        <v>✕</v>
      </c>
      <c r="R431" s="67" t="str">
        <f t="shared" si="297"/>
        <v>✕</v>
      </c>
      <c r="S431" s="68">
        <v>0</v>
      </c>
      <c r="T431" s="69" t="s">
        <v>85</v>
      </c>
      <c r="U431" s="69" t="s">
        <v>85</v>
      </c>
      <c r="V431" s="69" t="s">
        <v>85</v>
      </c>
      <c r="W431" s="69" t="s">
        <v>85</v>
      </c>
      <c r="X431" s="69" t="s">
        <v>84</v>
      </c>
      <c r="Y431" s="69" t="s">
        <v>85</v>
      </c>
      <c r="Z431" s="69" t="s">
        <v>85</v>
      </c>
      <c r="AA431" s="69" t="s">
        <v>85</v>
      </c>
      <c r="AB431" s="69" t="s">
        <v>85</v>
      </c>
      <c r="AC431" s="69" t="s">
        <v>85</v>
      </c>
      <c r="AD431" s="38" t="str">
        <f>+IF(ISERROR(VLOOKUP($B431,AD$10:AD430,1,0)),IF(AND($N431&gt;=1000,$A431&gt;=AO$8,$A431&lt;=AO$9),$B431,""),"")</f>
        <v/>
      </c>
      <c r="AE431" s="38" t="str">
        <f>+IF(ISERROR(VLOOKUP($B431,AE$10:AE430,1,0)),IF(AND($N431&gt;=1000,$A431&gt;=AP$8,$A431&lt;=AP$9),$B431,""),"")</f>
        <v/>
      </c>
      <c r="AF431" s="38" t="str">
        <f>+IF(ISERROR(VLOOKUP($B431,AF$10:AF430,1,0)),IF(AND($N431&gt;=1000,$A431&gt;=AQ$8,$A431&lt;=AQ$9),$B431,""),"")</f>
        <v/>
      </c>
      <c r="AG431" s="38" t="str">
        <f>+IF(ISERROR(VLOOKUP($B431,AG$10:AG430,1,0)),IF(AND($N431&gt;=1000,$A431&gt;=AR$8,$A431&lt;=AR$9),$B431,""),"")</f>
        <v/>
      </c>
      <c r="AH431" s="38"/>
      <c r="AI431" s="70">
        <v>0</v>
      </c>
      <c r="AJ431" s="38">
        <f>IF(AND(AJ$7="○",$A431&gt;=AJ$8,$A431&lt;=AJ$9),IF(SUM(AJ$10:AJ430)-ROUNDDOWN($K431*AJ$5/100,0)&lt;-AJ$6,-AJ$6-SUM(AJ$10:AJ430),-ROUNDDOWN($K431*AJ$5/100,0)),0)</f>
        <v>0</v>
      </c>
      <c r="AK431" s="38">
        <f>IF(AND(AK$7="○",$A431&gt;=AK$8,$A431&lt;=AK$9),IF(SUM(AK$10:AK430)-ROUNDDOWN($L431*AK$5/100,0)&lt;-AK$6,-AK$6-SUM(AK$10:AK430),-ROUNDDOWN($L431*AK$5/100,0)),0)</f>
        <v>0</v>
      </c>
      <c r="AL431" s="38">
        <f>IF(AND(AL$7="○",$A431&gt;=AL$8,$A431&lt;=AL$9),IF(SUM(AL$10:AL430)-ROUNDDOWN($N431*AL$5/100,0)&lt;-AL$6,-AL$6-SUM(AL$10:AL430),-ROUNDDOWN($N431*AL$5/100,0)),0)</f>
        <v>0</v>
      </c>
      <c r="AM431" s="38">
        <f>IF(AND(AM$7="○",$A431&gt;=AM$8,$A431&lt;=AM$9),IF(SUM(AM$10:AM430)-ROUNDDOWN($L431*AM$5/100,0)&lt;-AM$6,-AM$6-SUM(AM$10:AM430),-ROUNDDOWN($L431*AM$5/100,0)),0)</f>
        <v>0</v>
      </c>
      <c r="AN431" s="38">
        <f>IF(AND(AN$7="○",$A431&gt;=AN$8,$A431&lt;=AN$9),IF(SUM(AN$10:AN430)-ROUNDDOWN($M431*AN$5/100,0)&lt;-AN$6,-AN$6-SUM(AN$10:AN430),-ROUNDDOWN($M431*AN$5/100,0)),0)</f>
        <v>0</v>
      </c>
      <c r="AO431" s="38">
        <f>IF(AND($A431&gt;=AO$8,$A431&lt;=AO$9),IF(SUM(AO$10:AO430)-ROUNDDOWN($K431*AO$5/100,0)&lt;-AO$6,-AO$6-SUM(AO$10:AO430),-ROUNDDOWN($K431*AO$5/100,0)),0)</f>
        <v>0</v>
      </c>
      <c r="AP431" s="38">
        <f>IF(AND($A431&gt;=AP$8,$A431&lt;=AP$9),IF(SUM(AP$10:AP430)-ROUNDDOWN($K431*AP$5/100,0)&lt;-AP$6,-AP$6-SUM(AP$10:AP430),-ROUNDDOWN($K431*AP$5/100,0)),0)</f>
        <v>0</v>
      </c>
      <c r="AQ431" s="38">
        <f>IF(AND($A431&gt;=AQ$8,$A431&lt;=AQ$9),IF(SUM(AQ$10:AQ430)-ROUNDDOWN($K431*AQ$5/100,0)&lt;-AQ$6,-AQ$6-SUM(AQ$10:AQ430),-ROUNDDOWN($K431*AQ$5/100,0)),0)</f>
        <v>0</v>
      </c>
      <c r="AR431" s="38">
        <f>IF(AND($A431&gt;=AR$8,$A431&lt;=AR$9),IF(SUM(AR$10:AR430)-ROUNDDOWN($K431*AR$5/100,0)&lt;-AR$6,-AR$6-SUM(AR$10:AR430),-ROUNDDOWN($K431*AR$5/100,0)),0)</f>
        <v>0</v>
      </c>
      <c r="AS431" s="38">
        <f>IF(SUMIFS(AS$10:AS430,$A$10:$A430,$A431)-ROUNDDOWN($K431*$S431/100,0)&lt;-$S431*1000,-$S431*1000-SUMIFS(AS$10:AS430,$A$10:$A430,$A431),-ROUNDDOWN($K431*$S431/100,0))</f>
        <v>0</v>
      </c>
      <c r="AT431" s="38">
        <f>IF(AND(X431="○",$A431&gt;=AT$8,$A431&lt;=AT$9,K431&gt;=3980),IF(SUM(AT$10:AT430)-ROUNDDOWN($K431*AT$5/100,0)&lt;-AT$6,-AT$6-SUM(AT$10:AT430),-ROUNDDOWN($K431*AT$5/100,0)),0)</f>
        <v>0</v>
      </c>
      <c r="AU431" s="38">
        <f>IF(O431="○",IF(SUM(AU$10:AU430)-ROUNDDOWN($K431*AU$5/100,0)&lt;-AU$6,-AU$6-SUM(AU$10:AU430),-ROUNDDOWN($K431*AU$5/100,0)),0)</f>
        <v>0</v>
      </c>
      <c r="AV431" s="38">
        <f>IF(P431="○",IF(SUM(AV$10:AV430)-ROUNDDOWN($K431*AV$5/100,0)&lt;-AV$6,-AV$6-SUM(AV$10:AV430),-ROUNDDOWN($K431*AV$5/100,0)),0)</f>
        <v>0</v>
      </c>
      <c r="AW431" s="38">
        <f>IF(Q431="○",IF(SUM(AW$10:AW430)-ROUNDDOWN($K431*AW$5/100,0)&lt;-AW$6,-AW$6-SUM(AW$10:AW430),-ROUNDDOWN($K431*AW$5/100,0)),0)</f>
        <v>0</v>
      </c>
      <c r="AX431" s="38">
        <f>IF(R431="○",IF(SUM(AX$10:AX430)-ROUNDDOWN($K431*AX$5/100,0)&lt;-AX$6,-AX$6-SUM(AX$10:AX430),-ROUNDDOWN($K431*AX$5/100,0)),0)</f>
        <v>0</v>
      </c>
      <c r="AY431" s="70">
        <v>0</v>
      </c>
      <c r="AZ431" s="65">
        <f t="shared" si="285"/>
        <v>0</v>
      </c>
      <c r="BA431" s="65">
        <f t="shared" si="286"/>
        <v>0</v>
      </c>
      <c r="BB431" s="70"/>
      <c r="BC431" s="65">
        <f t="shared" si="287"/>
        <v>0</v>
      </c>
      <c r="BD431" s="70">
        <v>0</v>
      </c>
      <c r="BE431" s="65">
        <f t="shared" si="288"/>
        <v>0</v>
      </c>
      <c r="BF431" s="70">
        <v>0</v>
      </c>
      <c r="BG431" s="65">
        <f t="shared" si="289"/>
        <v>0</v>
      </c>
      <c r="BH431" s="70">
        <v>0</v>
      </c>
      <c r="BI431" s="65">
        <f t="shared" si="290"/>
        <v>0</v>
      </c>
      <c r="BJ431" s="38">
        <f>IF(AND(BJ$7="○",$A431&gt;=BJ$8,$A431&lt;=BJ$9),IF(SUM(BJ$10:BJ430)-ROUNDDOWN($M431*BJ$5/100,0)&lt;-BJ$6,-BJ$6-SUM(BJ$10:BJ430),-ROUNDDOWN($M431*BJ$5/100,0)),0)</f>
        <v>0</v>
      </c>
      <c r="BK431" s="38">
        <f>IF(AND(BK$7="○",$A431&gt;=BK$8,$A431&lt;=BK$9),IF(SUM(BK$10:BK430)-ROUNDDOWN($L431*BK$5/100,0)&lt;-BK$6,-BK$6-SUM(BK$10:BK430),-ROUNDDOWN($L431*BK$5/100,0)),0)</f>
        <v>0</v>
      </c>
      <c r="BL431" s="38">
        <f>IF(AND(BL$7="○",$A431&gt;=BL$8,$A431&lt;=BL$9),IF(SUM(BL$10:BL430)-ROUNDDOWN($L431*BL$5/100,0)&lt;-BL$6,-BL$6-SUM(BL$10:BL430),-ROUNDDOWN($L431*BL$5/100,0)),0)</f>
        <v>0</v>
      </c>
      <c r="BM431" s="38">
        <f>IF(AND(BM$7="○",$A431&gt;=BM$8,$A431&lt;=BM$9),IF(SUM(BM$10:BM430)-ROUNDDOWN($M431*BM$5/100,0)&lt;-BM$6,-BM$6-SUM(BM$10:BM430),-ROUNDDOWN($M431*BM$5/100,0)),0)</f>
        <v>0</v>
      </c>
      <c r="BN431" s="38">
        <f>IF(AND(BN$7="○",$A431&gt;=BN$8,$A431&lt;=BN$9),IF(SUM(BN$10:BN430)-ROUNDDOWN($M431*BN$5/100,0)&lt;-BN$6,-BN$6-SUM(BN$10:BN430),-ROUNDDOWN($M431*BN$5/100,0)),0)</f>
        <v>0</v>
      </c>
      <c r="BO431" s="38">
        <f>IF(AND(BO$7="○",$A431&gt;=BO$8,$A431&lt;=BO$9),IF(SUM(BO$10:BO430)-ROUNDDOWN($M431*BO$5/100,0)&lt;-BO$6,-BO$6-SUM(BO$10:BO430),-ROUNDDOWN($M431*BO$5/100,0)),0)</f>
        <v>0</v>
      </c>
      <c r="BP431" s="38">
        <f>IF(AND(BP$7="○",$A431&gt;=BP$8,$A431&lt;=BP$9),IF(SUM(BP$10:BP430)-ROUNDDOWN($M431*BP$5/100,0)&lt;-BP$6,-BP$6-SUM(BP$10:BP430),-ROUNDDOWN($M431*BP$5/100,0)),0)</f>
        <v>0</v>
      </c>
      <c r="BQ431" s="38">
        <f>IF(AND(BQ$7="○",$A431&gt;=BQ$8,$A431&lt;=BQ$9),IF(SUM(BQ$10:BQ430)-ROUNDDOWN($L431*BQ$5/100,0)&lt;-BQ$6,-BQ$6-SUM(BQ$10:BQ430),-ROUNDDOWN($L431*BQ$5/100,0)),0)</f>
        <v>0</v>
      </c>
      <c r="BR431" s="38">
        <f>IF(AND(BR$7="○",$A431&gt;=BR$8,$A431&lt;=BR$9),IF(SUM(BR$10:BR430)-ROUNDDOWN($M431*BR$5/100,0)&lt;-BR$6,-BR$6-SUM(BR$10:BR430),-ROUNDDOWN($M431*BR$5/100,0)),0)</f>
        <v>0</v>
      </c>
      <c r="BS431" s="38">
        <f>IF(AND(BS$7="○",$A431&gt;=BS$8,$A431&lt;=BS$9),IF(SUM(BS$10:BS430)-ROUNDDOWN($M431*BS$5/100,0)&lt;-BS$6,-BS$6-SUM(BS$10:BS430),-ROUNDDOWN($M431*BS$5/100,0)),0)</f>
        <v>0</v>
      </c>
      <c r="BT431" s="38">
        <f>IF(AND(BT$7="○",$A431&gt;=BT$8,$A431&lt;=BT$9),IF(SUM(BT$10:BT430)-ROUNDDOWN($M431*BT$5/100,0)&lt;-BT$6,-BT$6-SUM(BT$10:BT430),-ROUNDDOWN($M431*BT$5/100,0)),0)</f>
        <v>0</v>
      </c>
      <c r="BU431" s="38">
        <f>IF(AND(BU$7="○",$A431&gt;=BU$8,$A431&lt;=BU$9),IF(SUM(BU$10:BU430)-ROUNDDOWN($M431*BU$5/100,0)&lt;-BU$6,-BU$6-SUM(BU$10:BU430),-ROUNDDOWN($M431*BU$5/100,0)),0)</f>
        <v>0</v>
      </c>
      <c r="BV431" s="38">
        <f>IF(AND(BV$7="○",$A431&gt;=BV$8,$A431&lt;=BV$9),IF(SUM(BV$10:BV430)-ROUNDDOWN($M431*BV$5/100,0)&lt;-BV$6,-BV$6-SUM(BV$10:BV430),-ROUNDDOWN($M431*BV$5/100,0)),0)</f>
        <v>0</v>
      </c>
      <c r="BW431" s="38">
        <f>IF(AND(BW$7="○",$A431&gt;=BW$8,$A431&lt;=BW$9),IF(SUM(BW$10:BW430)-ROUNDDOWN($M431*BW$5/100,0)&lt;-BW$6,-BW$6-SUM(BW$10:BW430),-ROUNDDOWN($M431*BW$5/100,0)),0)</f>
        <v>0</v>
      </c>
      <c r="BX431" s="38">
        <f>IF(AND(T431="○",$A431&gt;=BX$8,$A431&lt;=BX$9),IF(SUM(BX$10:BX430)-ROUNDDOWN($K431*BX$5/100,0)&lt;-BX$6,-BX$6-SUM(BX$10:BX430),-ROUNDDOWN($K431*BX$5/100,0)),0)</f>
        <v>0</v>
      </c>
      <c r="BY431" s="38">
        <f>IF(AND(U431="○",$A431&gt;=BY$8,$A431&lt;=BY$9),IF(SUM(BY$10:BY430)-ROUNDDOWN($K431*BY$5/100,0)&lt;-BY$6,-BY$6-SUM(BY$10:BY430),-ROUNDDOWN($K431*BY$5/100,0)),0)</f>
        <v>0</v>
      </c>
      <c r="BZ431" s="38">
        <f>IF(AND(V431="○",$A431&gt;=BZ$8,$A431&lt;=BZ$9),IF(SUM(BZ$10:BZ430)-ROUNDDOWN($K431*BZ$5/100,0)&lt;-BZ$6,-BZ$6-SUM(BZ$10:BZ430),-ROUNDDOWN($K431*BZ$5/100,0)),0)</f>
        <v>0</v>
      </c>
      <c r="CA431" s="38">
        <f>IF(AND(W431="○",$A431&gt;=CA$8,$A431&lt;=CA$9),IF(SUM(CA$10:CA430)-ROUNDDOWN($K431*CA$5/100,0)&lt;-CA$6,-CA$6-SUM(CA$10:CA430),-ROUNDDOWN($K431*CA$5/100,0)),0)</f>
        <v>0</v>
      </c>
      <c r="CB431" s="38"/>
      <c r="CC431" s="38"/>
      <c r="CD431" s="38"/>
      <c r="CE431" s="38"/>
      <c r="CF431" s="38"/>
      <c r="CG431" s="65">
        <f t="shared" si="291"/>
        <v>0</v>
      </c>
      <c r="CH431" s="71">
        <f t="shared" si="292"/>
        <v>0</v>
      </c>
      <c r="CI431" s="1">
        <f t="shared" si="19"/>
        <v>0</v>
      </c>
      <c r="CJ431" s="1"/>
      <c r="CK431" s="2"/>
      <c r="CL431" s="2"/>
      <c r="CM431" s="2"/>
      <c r="CN431" s="2"/>
      <c r="CO431" s="73">
        <f t="shared" si="20"/>
        <v>0</v>
      </c>
      <c r="CP431" s="5">
        <f t="shared" si="21"/>
        <v>0</v>
      </c>
      <c r="CQ431" s="1"/>
      <c r="CR431" s="1">
        <f t="shared" si="22"/>
        <v>0</v>
      </c>
      <c r="CS431" s="1"/>
      <c r="CT431" s="1" t="e">
        <f>INDEX([2]マスタ!$A:$A,MATCH(D431,[2]マスタ!$C:$C,0))</f>
        <v>#N/A</v>
      </c>
      <c r="CU431" s="1" t="str">
        <f t="shared" ca="1" si="23"/>
        <v>20260620_0-0</v>
      </c>
    </row>
    <row r="432" spans="1:99" x14ac:dyDescent="0.4">
      <c r="A432" s="61"/>
      <c r="B432" s="62"/>
      <c r="C432" s="62"/>
      <c r="D432" s="62"/>
      <c r="E432" s="63"/>
      <c r="F432" s="62"/>
      <c r="G432" s="62">
        <v>1</v>
      </c>
      <c r="H432" s="64">
        <f t="shared" si="4"/>
        <v>0</v>
      </c>
      <c r="I432" s="64"/>
      <c r="J432" s="78"/>
      <c r="K432" s="65">
        <f t="shared" si="300"/>
        <v>0</v>
      </c>
      <c r="L432" s="65">
        <f t="shared" si="6"/>
        <v>0</v>
      </c>
      <c r="M432" s="65">
        <f t="shared" si="7"/>
        <v>0</v>
      </c>
      <c r="N432" s="65">
        <f t="shared" si="8"/>
        <v>0</v>
      </c>
      <c r="O432" s="66" t="str">
        <f t="shared" si="295"/>
        <v>✕</v>
      </c>
      <c r="P432" s="67" t="str">
        <f t="shared" si="296"/>
        <v>○</v>
      </c>
      <c r="Q432" s="67" t="str">
        <f t="shared" si="301"/>
        <v>✕</v>
      </c>
      <c r="R432" s="67" t="str">
        <f t="shared" si="297"/>
        <v>✕</v>
      </c>
      <c r="S432" s="68">
        <v>0</v>
      </c>
      <c r="T432" s="69" t="s">
        <v>85</v>
      </c>
      <c r="U432" s="69" t="s">
        <v>85</v>
      </c>
      <c r="V432" s="69" t="s">
        <v>85</v>
      </c>
      <c r="W432" s="69" t="s">
        <v>85</v>
      </c>
      <c r="X432" s="69" t="s">
        <v>84</v>
      </c>
      <c r="Y432" s="69" t="s">
        <v>85</v>
      </c>
      <c r="Z432" s="69" t="s">
        <v>85</v>
      </c>
      <c r="AA432" s="69" t="s">
        <v>85</v>
      </c>
      <c r="AB432" s="69" t="s">
        <v>85</v>
      </c>
      <c r="AC432" s="69" t="s">
        <v>85</v>
      </c>
      <c r="AD432" s="38" t="str">
        <f>+IF(ISERROR(VLOOKUP($B432,AD$10:AD431,1,0)),IF(AND($N432&gt;=1000,$A432&gt;=AO$8,$A432&lt;=AO$9),$B432,""),"")</f>
        <v/>
      </c>
      <c r="AE432" s="38" t="str">
        <f>+IF(ISERROR(VLOOKUP($B432,AE$10:AE431,1,0)),IF(AND($N432&gt;=1000,$A432&gt;=AP$8,$A432&lt;=AP$9),$B432,""),"")</f>
        <v/>
      </c>
      <c r="AF432" s="38" t="str">
        <f>+IF(ISERROR(VLOOKUP($B432,AF$10:AF431,1,0)),IF(AND($N432&gt;=1000,$A432&gt;=AQ$8,$A432&lt;=AQ$9),$B432,""),"")</f>
        <v/>
      </c>
      <c r="AG432" s="38" t="str">
        <f>+IF(ISERROR(VLOOKUP($B432,AG$10:AG431,1,0)),IF(AND($N432&gt;=1000,$A432&gt;=AR$8,$A432&lt;=AR$9),$B432,""),"")</f>
        <v/>
      </c>
      <c r="AH432" s="38"/>
      <c r="AI432" s="70">
        <v>0</v>
      </c>
      <c r="AJ432" s="38">
        <f>IF(AND(AJ$7="○",$A432&gt;=AJ$8,$A432&lt;=AJ$9),IF(SUM(AJ$10:AJ431)-ROUNDDOWN($K432*AJ$5/100,0)&lt;-AJ$6,-AJ$6-SUM(AJ$10:AJ431),-ROUNDDOWN($K432*AJ$5/100,0)),0)</f>
        <v>0</v>
      </c>
      <c r="AK432" s="38">
        <f>IF(AND(AK$7="○",$A432&gt;=AK$8,$A432&lt;=AK$9),IF(SUM(AK$10:AK431)-ROUNDDOWN($L432*AK$5/100,0)&lt;-AK$6,-AK$6-SUM(AK$10:AK431),-ROUNDDOWN($L432*AK$5/100,0)),0)</f>
        <v>0</v>
      </c>
      <c r="AL432" s="38">
        <f>IF(AND(AL$7="○",$A432&gt;=AL$8,$A432&lt;=AL$9),IF(SUM(AL$10:AL431)-ROUNDDOWN($N432*AL$5/100,0)&lt;-AL$6,-AL$6-SUM(AL$10:AL431),-ROUNDDOWN($N432*AL$5/100,0)),0)</f>
        <v>0</v>
      </c>
      <c r="AM432" s="38">
        <f>IF(AND(AM$7="○",$A432&gt;=AM$8,$A432&lt;=AM$9),IF(SUM(AM$10:AM431)-ROUNDDOWN($L432*AM$5/100,0)&lt;-AM$6,-AM$6-SUM(AM$10:AM431),-ROUNDDOWN($L432*AM$5/100,0)),0)</f>
        <v>0</v>
      </c>
      <c r="AN432" s="38">
        <f>IF(AND(AN$7="○",$A432&gt;=AN$8,$A432&lt;=AN$9),IF(SUM(AN$10:AN431)-ROUNDDOWN($M432*AN$5/100,0)&lt;-AN$6,-AN$6-SUM(AN$10:AN431),-ROUNDDOWN($M432*AN$5/100,0)),0)</f>
        <v>0</v>
      </c>
      <c r="AO432" s="38">
        <f>IF(AND($A432&gt;=AO$8,$A432&lt;=AO$9),IF(SUM(AO$10:AO431)-ROUNDDOWN($K432*AO$5/100,0)&lt;-AO$6,-AO$6-SUM(AO$10:AO431),-ROUNDDOWN($K432*AO$5/100,0)),0)</f>
        <v>0</v>
      </c>
      <c r="AP432" s="38">
        <f>IF(AND($A432&gt;=AP$8,$A432&lt;=AP$9),IF(SUM(AP$10:AP431)-ROUNDDOWN($K432*AP$5/100,0)&lt;-AP$6,-AP$6-SUM(AP$10:AP431),-ROUNDDOWN($K432*AP$5/100,0)),0)</f>
        <v>0</v>
      </c>
      <c r="AQ432" s="38">
        <f>IF(AND($A432&gt;=AQ$8,$A432&lt;=AQ$9),IF(SUM(AQ$10:AQ431)-ROUNDDOWN($K432*AQ$5/100,0)&lt;-AQ$6,-AQ$6-SUM(AQ$10:AQ431),-ROUNDDOWN($K432*AQ$5/100,0)),0)</f>
        <v>0</v>
      </c>
      <c r="AR432" s="38">
        <f>IF(AND($A432&gt;=AR$8,$A432&lt;=AR$9),IF(SUM(AR$10:AR431)-ROUNDDOWN($K432*AR$5/100,0)&lt;-AR$6,-AR$6-SUM(AR$10:AR431),-ROUNDDOWN($K432*AR$5/100,0)),0)</f>
        <v>0</v>
      </c>
      <c r="AS432" s="38">
        <f>IF(SUMIFS(AS$10:AS431,$A$10:$A431,$A432)-ROUNDDOWN($K432*$S432/100,0)&lt;-$S432*1000,-$S432*1000-SUMIFS(AS$10:AS431,$A$10:$A431,$A432),-ROUNDDOWN($K432*$S432/100,0))</f>
        <v>0</v>
      </c>
      <c r="AT432" s="38">
        <f>IF(AND(X432="○",$A432&gt;=AT$8,$A432&lt;=AT$9,K432&gt;=3980),IF(SUM(AT$10:AT431)-ROUNDDOWN($K432*AT$5/100,0)&lt;-AT$6,-AT$6-SUM(AT$10:AT431),-ROUNDDOWN($K432*AT$5/100,0)),0)</f>
        <v>0</v>
      </c>
      <c r="AU432" s="38">
        <f>IF(O432="○",IF(SUM(AU$10:AU431)-ROUNDDOWN($K432*AU$5/100,0)&lt;-AU$6,-AU$6-SUM(AU$10:AU431),-ROUNDDOWN($K432*AU$5/100,0)),0)</f>
        <v>0</v>
      </c>
      <c r="AV432" s="38">
        <f>IF(P432="○",IF(SUM(AV$10:AV431)-ROUNDDOWN($K432*AV$5/100,0)&lt;-AV$6,-AV$6-SUM(AV$10:AV431),-ROUNDDOWN($K432*AV$5/100,0)),0)</f>
        <v>0</v>
      </c>
      <c r="AW432" s="38">
        <f>IF(Q432="○",IF(SUM(AW$10:AW431)-ROUNDDOWN($K432*AW$5/100,0)&lt;-AW$6,-AW$6-SUM(AW$10:AW431),-ROUNDDOWN($K432*AW$5/100,0)),0)</f>
        <v>0</v>
      </c>
      <c r="AX432" s="38">
        <f>IF(R432="○",IF(SUM(AX$10:AX431)-ROUNDDOWN($K432*AX$5/100,0)&lt;-AX$6,-AX$6-SUM(AX$10:AX431),-ROUNDDOWN($K432*AX$5/100,0)),0)</f>
        <v>0</v>
      </c>
      <c r="AY432" s="70">
        <v>0</v>
      </c>
      <c r="AZ432" s="65">
        <f t="shared" si="285"/>
        <v>0</v>
      </c>
      <c r="BA432" s="65">
        <f t="shared" si="286"/>
        <v>0</v>
      </c>
      <c r="BB432" s="70"/>
      <c r="BC432" s="65">
        <f t="shared" si="287"/>
        <v>0</v>
      </c>
      <c r="BD432" s="70">
        <v>0</v>
      </c>
      <c r="BE432" s="65">
        <f t="shared" si="288"/>
        <v>0</v>
      </c>
      <c r="BF432" s="70">
        <v>0</v>
      </c>
      <c r="BG432" s="65">
        <f t="shared" si="289"/>
        <v>0</v>
      </c>
      <c r="BH432" s="70">
        <v>0</v>
      </c>
      <c r="BI432" s="65">
        <f t="shared" si="290"/>
        <v>0</v>
      </c>
      <c r="BJ432" s="38">
        <f>IF(AND(BJ$7="○",$A432&gt;=BJ$8,$A432&lt;=BJ$9),IF(SUM(BJ$10:BJ431)-ROUNDDOWN($M432*BJ$5/100,0)&lt;-BJ$6,-BJ$6-SUM(BJ$10:BJ431),-ROUNDDOWN($M432*BJ$5/100,0)),0)</f>
        <v>0</v>
      </c>
      <c r="BK432" s="38">
        <f>IF(AND(BK$7="○",$A432&gt;=BK$8,$A432&lt;=BK$9),IF(SUM(BK$10:BK431)-ROUNDDOWN($L432*BK$5/100,0)&lt;-BK$6,-BK$6-SUM(BK$10:BK431),-ROUNDDOWN($L432*BK$5/100,0)),0)</f>
        <v>0</v>
      </c>
      <c r="BL432" s="38">
        <f>IF(AND(BL$7="○",$A432&gt;=BL$8,$A432&lt;=BL$9),IF(SUM(BL$10:BL431)-ROUNDDOWN($L432*BL$5/100,0)&lt;-BL$6,-BL$6-SUM(BL$10:BL431),-ROUNDDOWN($L432*BL$5/100,0)),0)</f>
        <v>0</v>
      </c>
      <c r="BM432" s="38">
        <f>IF(AND(BM$7="○",$A432&gt;=BM$8,$A432&lt;=BM$9),IF(SUM(BM$10:BM431)-ROUNDDOWN($M432*BM$5/100,0)&lt;-BM$6,-BM$6-SUM(BM$10:BM431),-ROUNDDOWN($M432*BM$5/100,0)),0)</f>
        <v>0</v>
      </c>
      <c r="BN432" s="38">
        <f>IF(AND(BN$7="○",$A432&gt;=BN$8,$A432&lt;=BN$9),IF(SUM(BN$10:BN431)-ROUNDDOWN($M432*BN$5/100,0)&lt;-BN$6,-BN$6-SUM(BN$10:BN431),-ROUNDDOWN($M432*BN$5/100,0)),0)</f>
        <v>0</v>
      </c>
      <c r="BO432" s="38">
        <f>IF(AND(BO$7="○",$A432&gt;=BO$8,$A432&lt;=BO$9),IF(SUM(BO$10:BO431)-ROUNDDOWN($M432*BO$5/100,0)&lt;-BO$6,-BO$6-SUM(BO$10:BO431),-ROUNDDOWN($M432*BO$5/100,0)),0)</f>
        <v>0</v>
      </c>
      <c r="BP432" s="38">
        <f>IF(AND(BP$7="○",$A432&gt;=BP$8,$A432&lt;=BP$9),IF(SUM(BP$10:BP431)-ROUNDDOWN($M432*BP$5/100,0)&lt;-BP$6,-BP$6-SUM(BP$10:BP431),-ROUNDDOWN($M432*BP$5/100,0)),0)</f>
        <v>0</v>
      </c>
      <c r="BQ432" s="38">
        <f>IF(AND(BQ$7="○",$A432&gt;=BQ$8,$A432&lt;=BQ$9),IF(SUM(BQ$10:BQ431)-ROUNDDOWN($L432*BQ$5/100,0)&lt;-BQ$6,-BQ$6-SUM(BQ$10:BQ431),-ROUNDDOWN($L432*BQ$5/100,0)),0)</f>
        <v>0</v>
      </c>
      <c r="BR432" s="38">
        <f>IF(AND(BR$7="○",$A432&gt;=BR$8,$A432&lt;=BR$9),IF(SUM(BR$10:BR431)-ROUNDDOWN($M432*BR$5/100,0)&lt;-BR$6,-BR$6-SUM(BR$10:BR431),-ROUNDDOWN($M432*BR$5/100,0)),0)</f>
        <v>0</v>
      </c>
      <c r="BS432" s="38">
        <f>IF(AND(BS$7="○",$A432&gt;=BS$8,$A432&lt;=BS$9),IF(SUM(BS$10:BS431)-ROUNDDOWN($M432*BS$5/100,0)&lt;-BS$6,-BS$6-SUM(BS$10:BS431),-ROUNDDOWN($M432*BS$5/100,0)),0)</f>
        <v>0</v>
      </c>
      <c r="BT432" s="38">
        <f>IF(AND(BT$7="○",$A432&gt;=BT$8,$A432&lt;=BT$9),IF(SUM(BT$10:BT431)-ROUNDDOWN($M432*BT$5/100,0)&lt;-BT$6,-BT$6-SUM(BT$10:BT431),-ROUNDDOWN($M432*BT$5/100,0)),0)</f>
        <v>0</v>
      </c>
      <c r="BU432" s="38">
        <f>IF(AND(BU$7="○",$A432&gt;=BU$8,$A432&lt;=BU$9),IF(SUM(BU$10:BU431)-ROUNDDOWN($M432*BU$5/100,0)&lt;-BU$6,-BU$6-SUM(BU$10:BU431),-ROUNDDOWN($M432*BU$5/100,0)),0)</f>
        <v>0</v>
      </c>
      <c r="BV432" s="38">
        <f>IF(AND(BV$7="○",$A432&gt;=BV$8,$A432&lt;=BV$9),IF(SUM(BV$10:BV431)-ROUNDDOWN($M432*BV$5/100,0)&lt;-BV$6,-BV$6-SUM(BV$10:BV431),-ROUNDDOWN($M432*BV$5/100,0)),0)</f>
        <v>0</v>
      </c>
      <c r="BW432" s="38">
        <f>IF(AND(BW$7="○",$A432&gt;=BW$8,$A432&lt;=BW$9),IF(SUM(BW$10:BW431)-ROUNDDOWN($M432*BW$5/100,0)&lt;-BW$6,-BW$6-SUM(BW$10:BW431),-ROUNDDOWN($M432*BW$5/100,0)),0)</f>
        <v>0</v>
      </c>
      <c r="BX432" s="38">
        <f>IF(AND(T432="○",$A432&gt;=BX$8,$A432&lt;=BX$9),IF(SUM(BX$10:BX431)-ROUNDDOWN($K432*BX$5/100,0)&lt;-BX$6,-BX$6-SUM(BX$10:BX431),-ROUNDDOWN($K432*BX$5/100,0)),0)</f>
        <v>0</v>
      </c>
      <c r="BY432" s="38">
        <f>IF(AND(U432="○",$A432&gt;=BY$8,$A432&lt;=BY$9),IF(SUM(BY$10:BY431)-ROUNDDOWN($K432*BY$5/100,0)&lt;-BY$6,-BY$6-SUM(BY$10:BY431),-ROUNDDOWN($K432*BY$5/100,0)),0)</f>
        <v>0</v>
      </c>
      <c r="BZ432" s="38">
        <f>IF(AND(V432="○",$A432&gt;=BZ$8,$A432&lt;=BZ$9),IF(SUM(BZ$10:BZ431)-ROUNDDOWN($K432*BZ$5/100,0)&lt;-BZ$6,-BZ$6-SUM(BZ$10:BZ431),-ROUNDDOWN($K432*BZ$5/100,0)),0)</f>
        <v>0</v>
      </c>
      <c r="CA432" s="38">
        <f>IF(AND(W432="○",$A432&gt;=CA$8,$A432&lt;=CA$9),IF(SUM(CA$10:CA431)-ROUNDDOWN($K432*CA$5/100,0)&lt;-CA$6,-CA$6-SUM(CA$10:CA431),-ROUNDDOWN($K432*CA$5/100,0)),0)</f>
        <v>0</v>
      </c>
      <c r="CB432" s="38"/>
      <c r="CC432" s="38"/>
      <c r="CD432" s="38"/>
      <c r="CE432" s="38"/>
      <c r="CF432" s="38"/>
      <c r="CG432" s="65">
        <f t="shared" si="291"/>
        <v>0</v>
      </c>
      <c r="CH432" s="71">
        <f t="shared" si="292"/>
        <v>0</v>
      </c>
      <c r="CI432" s="1">
        <f t="shared" si="19"/>
        <v>0</v>
      </c>
      <c r="CJ432" s="1"/>
      <c r="CK432" s="79"/>
      <c r="CL432" s="79"/>
      <c r="CM432" s="2"/>
      <c r="CN432" s="2"/>
      <c r="CO432" s="73">
        <f t="shared" si="20"/>
        <v>0</v>
      </c>
      <c r="CP432" s="5">
        <f t="shared" si="21"/>
        <v>0</v>
      </c>
      <c r="CQ432" s="1"/>
      <c r="CR432" s="1">
        <f t="shared" si="22"/>
        <v>0</v>
      </c>
      <c r="CS432" s="1"/>
      <c r="CT432" s="1" t="e">
        <f>INDEX([2]マスタ!$A:$A,MATCH(D432,[2]マスタ!$C:$C,0))</f>
        <v>#N/A</v>
      </c>
      <c r="CU432" s="1" t="str">
        <f t="shared" ca="1" si="23"/>
        <v>20260620_0-0</v>
      </c>
    </row>
    <row r="433" spans="1:99" x14ac:dyDescent="0.4">
      <c r="A433" s="61"/>
      <c r="B433" s="62"/>
      <c r="C433" s="62"/>
      <c r="D433" s="62"/>
      <c r="E433" s="63"/>
      <c r="F433" s="62"/>
      <c r="G433" s="62">
        <v>1</v>
      </c>
      <c r="H433" s="64">
        <f t="shared" si="4"/>
        <v>0</v>
      </c>
      <c r="I433" s="64"/>
      <c r="J433" s="78"/>
      <c r="K433" s="65">
        <f t="shared" si="300"/>
        <v>0</v>
      </c>
      <c r="L433" s="65">
        <f t="shared" si="6"/>
        <v>0</v>
      </c>
      <c r="M433" s="65">
        <f t="shared" si="7"/>
        <v>0</v>
      </c>
      <c r="N433" s="65">
        <f t="shared" si="8"/>
        <v>0</v>
      </c>
      <c r="O433" s="66" t="str">
        <f t="shared" si="295"/>
        <v>✕</v>
      </c>
      <c r="P433" s="67" t="str">
        <f t="shared" si="296"/>
        <v>○</v>
      </c>
      <c r="Q433" s="67" t="str">
        <f t="shared" si="301"/>
        <v>✕</v>
      </c>
      <c r="R433" s="67" t="str">
        <f t="shared" si="297"/>
        <v>✕</v>
      </c>
      <c r="S433" s="68">
        <v>0</v>
      </c>
      <c r="T433" s="69" t="s">
        <v>85</v>
      </c>
      <c r="U433" s="69" t="s">
        <v>85</v>
      </c>
      <c r="V433" s="69" t="s">
        <v>85</v>
      </c>
      <c r="W433" s="69" t="s">
        <v>85</v>
      </c>
      <c r="X433" s="69" t="s">
        <v>84</v>
      </c>
      <c r="Y433" s="69" t="s">
        <v>85</v>
      </c>
      <c r="Z433" s="69" t="s">
        <v>85</v>
      </c>
      <c r="AA433" s="69" t="s">
        <v>85</v>
      </c>
      <c r="AB433" s="69" t="s">
        <v>85</v>
      </c>
      <c r="AC433" s="69" t="s">
        <v>85</v>
      </c>
      <c r="AD433" s="38" t="str">
        <f>+IF(ISERROR(VLOOKUP($B433,AD$10:AD432,1,0)),IF(AND($N433&gt;=1000,$A433&gt;=AO$8,$A433&lt;=AO$9),$B433,""),"")</f>
        <v/>
      </c>
      <c r="AE433" s="38" t="str">
        <f>+IF(ISERROR(VLOOKUP($B433,AE$10:AE432,1,0)),IF(AND($N433&gt;=1000,$A433&gt;=AP$8,$A433&lt;=AP$9),$B433,""),"")</f>
        <v/>
      </c>
      <c r="AF433" s="38" t="str">
        <f>+IF(ISERROR(VLOOKUP($B433,AF$10:AF432,1,0)),IF(AND($N433&gt;=1000,$A433&gt;=AQ$8,$A433&lt;=AQ$9),$B433,""),"")</f>
        <v/>
      </c>
      <c r="AG433" s="38" t="str">
        <f>+IF(ISERROR(VLOOKUP($B433,AG$10:AG432,1,0)),IF(AND($N433&gt;=1000,$A433&gt;=AR$8,$A433&lt;=AR$9),$B433,""),"")</f>
        <v/>
      </c>
      <c r="AH433" s="38"/>
      <c r="AI433" s="70">
        <v>0</v>
      </c>
      <c r="AJ433" s="38">
        <f>IF(AND(AJ$7="○",$A433&gt;=AJ$8,$A433&lt;=AJ$9),IF(SUM(AJ$10:AJ432)-ROUNDDOWN($K433*AJ$5/100,0)&lt;-AJ$6,-AJ$6-SUM(AJ$10:AJ432),-ROUNDDOWN($K433*AJ$5/100,0)),0)</f>
        <v>0</v>
      </c>
      <c r="AK433" s="38">
        <f>IF(AND(AK$7="○",$A433&gt;=AK$8,$A433&lt;=AK$9),IF(SUM(AK$10:AK432)-ROUNDDOWN($L433*AK$5/100,0)&lt;-AK$6,-AK$6-SUM(AK$10:AK432),-ROUNDDOWN($L433*AK$5/100,0)),0)</f>
        <v>0</v>
      </c>
      <c r="AL433" s="38">
        <f>IF(AND(AL$7="○",$A433&gt;=AL$8,$A433&lt;=AL$9),IF(SUM(AL$10:AL432)-ROUNDDOWN($N433*AL$5/100,0)&lt;-AL$6,-AL$6-SUM(AL$10:AL432),-ROUNDDOWN($N433*AL$5/100,0)),0)</f>
        <v>0</v>
      </c>
      <c r="AM433" s="38">
        <f>IF(AND(AM$7="○",$A433&gt;=AM$8,$A433&lt;=AM$9),IF(SUM(AM$10:AM432)-ROUNDDOWN($L433*AM$5/100,0)&lt;-AM$6,-AM$6-SUM(AM$10:AM432),-ROUNDDOWN($L433*AM$5/100,0)),0)</f>
        <v>0</v>
      </c>
      <c r="AN433" s="38">
        <f>IF(AND(AN$7="○",$A433&gt;=AN$8,$A433&lt;=AN$9),IF(SUM(AN$10:AN432)-ROUNDDOWN($M433*AN$5/100,0)&lt;-AN$6,-AN$6-SUM(AN$10:AN432),-ROUNDDOWN($M433*AN$5/100,0)),0)</f>
        <v>0</v>
      </c>
      <c r="AO433" s="38">
        <f>IF(AND($A433&gt;=AO$8,$A433&lt;=AO$9),IF(SUM(AO$10:AO432)-ROUNDDOWN($K433*AO$5/100,0)&lt;-AO$6,-AO$6-SUM(AO$10:AO432),-ROUNDDOWN($K433*AO$5/100,0)),0)</f>
        <v>0</v>
      </c>
      <c r="AP433" s="38">
        <f>IF(AND($A433&gt;=AP$8,$A433&lt;=AP$9),IF(SUM(AP$10:AP432)-ROUNDDOWN($K433*AP$5/100,0)&lt;-AP$6,-AP$6-SUM(AP$10:AP432),-ROUNDDOWN($K433*AP$5/100,0)),0)</f>
        <v>0</v>
      </c>
      <c r="AQ433" s="38">
        <f>IF(AND($A433&gt;=AQ$8,$A433&lt;=AQ$9),IF(SUM(AQ$10:AQ432)-ROUNDDOWN($K433*AQ$5/100,0)&lt;-AQ$6,-AQ$6-SUM(AQ$10:AQ432),-ROUNDDOWN($K433*AQ$5/100,0)),0)</f>
        <v>0</v>
      </c>
      <c r="AR433" s="38">
        <f>IF(AND($A433&gt;=AR$8,$A433&lt;=AR$9),IF(SUM(AR$10:AR432)-ROUNDDOWN($K433*AR$5/100,0)&lt;-AR$6,-AR$6-SUM(AR$10:AR432),-ROUNDDOWN($K433*AR$5/100,0)),0)</f>
        <v>0</v>
      </c>
      <c r="AS433" s="38">
        <f>IF(SUMIFS(AS$10:AS432,$A$10:$A432,$A433)-ROUNDDOWN($K433*$S433/100,0)&lt;-$S433*1000,-$S433*1000-SUMIFS(AS$10:AS432,$A$10:$A432,$A433),-ROUNDDOWN($K433*$S433/100,0))</f>
        <v>0</v>
      </c>
      <c r="AT433" s="38">
        <f>IF(AND(X433="○",$A433&gt;=AT$8,$A433&lt;=AT$9,K433&gt;=3980),IF(SUM(AT$10:AT432)-ROUNDDOWN($K433*AT$5/100,0)&lt;-AT$6,-AT$6-SUM(AT$10:AT432),-ROUNDDOWN($K433*AT$5/100,0)),0)</f>
        <v>0</v>
      </c>
      <c r="AU433" s="38">
        <f>IF(O433="○",IF(SUM(AU$10:AU432)-ROUNDDOWN($K433*AU$5/100,0)&lt;-AU$6,-AU$6-SUM(AU$10:AU432),-ROUNDDOWN($K433*AU$5/100,0)),0)</f>
        <v>0</v>
      </c>
      <c r="AV433" s="38">
        <f>IF(P433="○",IF(SUM(AV$10:AV432)-ROUNDDOWN($K433*AV$5/100,0)&lt;-AV$6,-AV$6-SUM(AV$10:AV432),-ROUNDDOWN($K433*AV$5/100,0)),0)</f>
        <v>0</v>
      </c>
      <c r="AW433" s="38">
        <f>IF(Q433="○",IF(SUM(AW$10:AW432)-ROUNDDOWN($K433*AW$5/100,0)&lt;-AW$6,-AW$6-SUM(AW$10:AW432),-ROUNDDOWN($K433*AW$5/100,0)),0)</f>
        <v>0</v>
      </c>
      <c r="AX433" s="38">
        <f>IF(R433="○",IF(SUM(AX$10:AX432)-ROUNDDOWN($K433*AX$5/100,0)&lt;-AX$6,-AX$6-SUM(AX$10:AX432),-ROUNDDOWN($K433*AX$5/100,0)),0)</f>
        <v>0</v>
      </c>
      <c r="AY433" s="70">
        <v>0</v>
      </c>
      <c r="AZ433" s="65">
        <f t="shared" si="285"/>
        <v>0</v>
      </c>
      <c r="BA433" s="65">
        <f t="shared" si="286"/>
        <v>0</v>
      </c>
      <c r="BB433" s="70"/>
      <c r="BC433" s="65">
        <f t="shared" si="287"/>
        <v>0</v>
      </c>
      <c r="BD433" s="70">
        <v>0</v>
      </c>
      <c r="BE433" s="65">
        <f t="shared" si="288"/>
        <v>0</v>
      </c>
      <c r="BF433" s="70">
        <v>0</v>
      </c>
      <c r="BG433" s="65">
        <f t="shared" si="289"/>
        <v>0</v>
      </c>
      <c r="BH433" s="70">
        <v>0</v>
      </c>
      <c r="BI433" s="65">
        <f t="shared" si="290"/>
        <v>0</v>
      </c>
      <c r="BJ433" s="38">
        <f>IF(AND(BJ$7="○",$A433&gt;=BJ$8,$A433&lt;=BJ$9),IF(SUM(BJ$10:BJ432)-ROUNDDOWN($M433*BJ$5/100,0)&lt;-BJ$6,-BJ$6-SUM(BJ$10:BJ432),-ROUNDDOWN($M433*BJ$5/100,0)),0)</f>
        <v>0</v>
      </c>
      <c r="BK433" s="38">
        <f>IF(AND(BK$7="○",$A433&gt;=BK$8,$A433&lt;=BK$9),IF(SUM(BK$10:BK432)-ROUNDDOWN($L433*BK$5/100,0)&lt;-BK$6,-BK$6-SUM(BK$10:BK432),-ROUNDDOWN($L433*BK$5/100,0)),0)</f>
        <v>0</v>
      </c>
      <c r="BL433" s="38">
        <f>IF(AND(BL$7="○",$A433&gt;=BL$8,$A433&lt;=BL$9),IF(SUM(BL$10:BL432)-ROUNDDOWN($L433*BL$5/100,0)&lt;-BL$6,-BL$6-SUM(BL$10:BL432),-ROUNDDOWN($L433*BL$5/100,0)),0)</f>
        <v>0</v>
      </c>
      <c r="BM433" s="38">
        <f>IF(AND(BM$7="○",$A433&gt;=BM$8,$A433&lt;=BM$9),IF(SUM(BM$10:BM432)-ROUNDDOWN($M433*BM$5/100,0)&lt;-BM$6,-BM$6-SUM(BM$10:BM432),-ROUNDDOWN($M433*BM$5/100,0)),0)</f>
        <v>0</v>
      </c>
      <c r="BN433" s="38">
        <f>IF(AND(BN$7="○",$A433&gt;=BN$8,$A433&lt;=BN$9),IF(SUM(BN$10:BN432)-ROUNDDOWN($M433*BN$5/100,0)&lt;-BN$6,-BN$6-SUM(BN$10:BN432),-ROUNDDOWN($M433*BN$5/100,0)),0)</f>
        <v>0</v>
      </c>
      <c r="BO433" s="38">
        <f>IF(AND(BO$7="○",$A433&gt;=BO$8,$A433&lt;=BO$9),IF(SUM(BO$10:BO432)-ROUNDDOWN($M433*BO$5/100,0)&lt;-BO$6,-BO$6-SUM(BO$10:BO432),-ROUNDDOWN($M433*BO$5/100,0)),0)</f>
        <v>0</v>
      </c>
      <c r="BP433" s="38">
        <f>IF(AND(BP$7="○",$A433&gt;=BP$8,$A433&lt;=BP$9),IF(SUM(BP$10:BP432)-ROUNDDOWN($M433*BP$5/100,0)&lt;-BP$6,-BP$6-SUM(BP$10:BP432),-ROUNDDOWN($M433*BP$5/100,0)),0)</f>
        <v>0</v>
      </c>
      <c r="BQ433" s="38">
        <f>IF(AND(BQ$7="○",$A433&gt;=BQ$8,$A433&lt;=BQ$9),IF(SUM(BQ$10:BQ432)-ROUNDDOWN($L433*BQ$5/100,0)&lt;-BQ$6,-BQ$6-SUM(BQ$10:BQ432),-ROUNDDOWN($L433*BQ$5/100,0)),0)</f>
        <v>0</v>
      </c>
      <c r="BR433" s="38">
        <f>IF(AND(BR$7="○",$A433&gt;=BR$8,$A433&lt;=BR$9),IF(SUM(BR$10:BR432)-ROUNDDOWN($M433*BR$5/100,0)&lt;-BR$6,-BR$6-SUM(BR$10:BR432),-ROUNDDOWN($M433*BR$5/100,0)),0)</f>
        <v>0</v>
      </c>
      <c r="BS433" s="38">
        <f>IF(AND(BS$7="○",$A433&gt;=BS$8,$A433&lt;=BS$9),IF(SUM(BS$10:BS432)-ROUNDDOWN($M433*BS$5/100,0)&lt;-BS$6,-BS$6-SUM(BS$10:BS432),-ROUNDDOWN($M433*BS$5/100,0)),0)</f>
        <v>0</v>
      </c>
      <c r="BT433" s="38">
        <f>IF(AND(BT$7="○",$A433&gt;=BT$8,$A433&lt;=BT$9),IF(SUM(BT$10:BT432)-ROUNDDOWN($M433*BT$5/100,0)&lt;-BT$6,-BT$6-SUM(BT$10:BT432),-ROUNDDOWN($M433*BT$5/100,0)),0)</f>
        <v>0</v>
      </c>
      <c r="BU433" s="38">
        <f>IF(AND(BU$7="○",$A433&gt;=BU$8,$A433&lt;=BU$9),IF(SUM(BU$10:BU432)-ROUNDDOWN($M433*BU$5/100,0)&lt;-BU$6,-BU$6-SUM(BU$10:BU432),-ROUNDDOWN($M433*BU$5/100,0)),0)</f>
        <v>0</v>
      </c>
      <c r="BV433" s="38">
        <f>IF(AND(BV$7="○",$A433&gt;=BV$8,$A433&lt;=BV$9),IF(SUM(BV$10:BV432)-ROUNDDOWN($M433*BV$5/100,0)&lt;-BV$6,-BV$6-SUM(BV$10:BV432),-ROUNDDOWN($M433*BV$5/100,0)),0)</f>
        <v>0</v>
      </c>
      <c r="BW433" s="38">
        <f>IF(AND(BW$7="○",$A433&gt;=BW$8,$A433&lt;=BW$9),IF(SUM(BW$10:BW432)-ROUNDDOWN($M433*BW$5/100,0)&lt;-BW$6,-BW$6-SUM(BW$10:BW432),-ROUNDDOWN($M433*BW$5/100,0)),0)</f>
        <v>0</v>
      </c>
      <c r="BX433" s="38">
        <f>IF(AND(T433="○",$A433&gt;=BX$8,$A433&lt;=BX$9),IF(SUM(BX$10:BX432)-ROUNDDOWN($K433*BX$5/100,0)&lt;-BX$6,-BX$6-SUM(BX$10:BX432),-ROUNDDOWN($K433*BX$5/100,0)),0)</f>
        <v>0</v>
      </c>
      <c r="BY433" s="38">
        <f>IF(AND(U433="○",$A433&gt;=BY$8,$A433&lt;=BY$9),IF(SUM(BY$10:BY432)-ROUNDDOWN($K433*BY$5/100,0)&lt;-BY$6,-BY$6-SUM(BY$10:BY432),-ROUNDDOWN($K433*BY$5/100,0)),0)</f>
        <v>0</v>
      </c>
      <c r="BZ433" s="38">
        <f>IF(AND(V433="○",$A433&gt;=BZ$8,$A433&lt;=BZ$9),IF(SUM(BZ$10:BZ432)-ROUNDDOWN($K433*BZ$5/100,0)&lt;-BZ$6,-BZ$6-SUM(BZ$10:BZ432),-ROUNDDOWN($K433*BZ$5/100,0)),0)</f>
        <v>0</v>
      </c>
      <c r="CA433" s="38">
        <f>IF(AND(W433="○",$A433&gt;=CA$8,$A433&lt;=CA$9),IF(SUM(CA$10:CA432)-ROUNDDOWN($K433*CA$5/100,0)&lt;-CA$6,-CA$6-SUM(CA$10:CA432),-ROUNDDOWN($K433*CA$5/100,0)),0)</f>
        <v>0</v>
      </c>
      <c r="CB433" s="38"/>
      <c r="CC433" s="38"/>
      <c r="CD433" s="38"/>
      <c r="CE433" s="38"/>
      <c r="CF433" s="38"/>
      <c r="CG433" s="65">
        <f t="shared" si="291"/>
        <v>0</v>
      </c>
      <c r="CH433" s="71">
        <f t="shared" si="292"/>
        <v>0</v>
      </c>
      <c r="CI433" s="1">
        <f t="shared" si="19"/>
        <v>0</v>
      </c>
      <c r="CJ433" s="1"/>
      <c r="CK433" s="79"/>
      <c r="CL433" s="79"/>
      <c r="CM433" s="2"/>
      <c r="CN433" s="2"/>
      <c r="CO433" s="73">
        <f t="shared" si="20"/>
        <v>0</v>
      </c>
      <c r="CP433" s="5">
        <f t="shared" si="21"/>
        <v>0</v>
      </c>
      <c r="CQ433" s="1"/>
      <c r="CR433" s="1">
        <f t="shared" si="22"/>
        <v>0</v>
      </c>
      <c r="CS433" s="1"/>
      <c r="CT433" s="1" t="e">
        <f>INDEX([2]マスタ!$A:$A,MATCH(D433,[2]マスタ!$C:$C,0))</f>
        <v>#N/A</v>
      </c>
      <c r="CU433" s="1" t="str">
        <f t="shared" ca="1" si="23"/>
        <v>20260620_0-0</v>
      </c>
    </row>
    <row r="434" spans="1:99" x14ac:dyDescent="0.4">
      <c r="A434" s="61"/>
      <c r="B434" s="62"/>
      <c r="C434" s="62"/>
      <c r="D434" s="62"/>
      <c r="E434" s="77"/>
      <c r="F434" s="62"/>
      <c r="G434" s="62">
        <v>1</v>
      </c>
      <c r="H434" s="64">
        <f t="shared" si="4"/>
        <v>0</v>
      </c>
      <c r="I434" s="64"/>
      <c r="J434" s="64"/>
      <c r="K434" s="65">
        <f t="shared" si="300"/>
        <v>0</v>
      </c>
      <c r="L434" s="65">
        <f t="shared" si="6"/>
        <v>0</v>
      </c>
      <c r="M434" s="65">
        <f t="shared" si="7"/>
        <v>0</v>
      </c>
      <c r="N434" s="65">
        <f t="shared" si="8"/>
        <v>0</v>
      </c>
      <c r="O434" s="66" t="str">
        <f t="shared" si="295"/>
        <v>✕</v>
      </c>
      <c r="P434" s="67" t="str">
        <f t="shared" si="296"/>
        <v>○</v>
      </c>
      <c r="Q434" s="67" t="str">
        <f t="shared" si="301"/>
        <v>✕</v>
      </c>
      <c r="R434" s="67" t="str">
        <f t="shared" si="297"/>
        <v>✕</v>
      </c>
      <c r="S434" s="68">
        <v>0</v>
      </c>
      <c r="T434" s="69" t="s">
        <v>85</v>
      </c>
      <c r="U434" s="69" t="s">
        <v>85</v>
      </c>
      <c r="V434" s="69" t="s">
        <v>85</v>
      </c>
      <c r="W434" s="69" t="s">
        <v>85</v>
      </c>
      <c r="X434" s="69" t="s">
        <v>84</v>
      </c>
      <c r="Y434" s="69" t="s">
        <v>85</v>
      </c>
      <c r="Z434" s="69" t="s">
        <v>85</v>
      </c>
      <c r="AA434" s="69" t="s">
        <v>85</v>
      </c>
      <c r="AB434" s="69" t="s">
        <v>85</v>
      </c>
      <c r="AC434" s="69" t="s">
        <v>85</v>
      </c>
      <c r="AD434" s="38" t="str">
        <f>+IF(ISERROR(VLOOKUP($B434,AD$10:AD433,1,0)),IF(AND($N434&gt;=1000,$A434&gt;=AO$8,$A434&lt;=AO$9),$B434,""),"")</f>
        <v/>
      </c>
      <c r="AE434" s="38" t="str">
        <f>+IF(ISERROR(VLOOKUP($B434,AE$10:AE433,1,0)),IF(AND($N434&gt;=1000,$A434&gt;=AP$8,$A434&lt;=AP$9),$B434,""),"")</f>
        <v/>
      </c>
      <c r="AF434" s="38" t="str">
        <f>+IF(ISERROR(VLOOKUP($B434,AF$10:AF433,1,0)),IF(AND($N434&gt;=1000,$A434&gt;=AQ$8,$A434&lt;=AQ$9),$B434,""),"")</f>
        <v/>
      </c>
      <c r="AG434" s="38" t="str">
        <f>+IF(ISERROR(VLOOKUP($B434,AG$10:AG433,1,0)),IF(AND($N434&gt;=1000,$A434&gt;=AR$8,$A434&lt;=AR$9),$B434,""),"")</f>
        <v/>
      </c>
      <c r="AH434" s="38"/>
      <c r="AI434" s="70">
        <v>0</v>
      </c>
      <c r="AJ434" s="38">
        <f>IF(AND(AJ$7="○",$A434&gt;=AJ$8,$A434&lt;=AJ$9),IF(SUM(AJ$10:AJ433)-ROUNDDOWN($K434*AJ$5/100,0)&lt;-AJ$6,-AJ$6-SUM(AJ$10:AJ433),-ROUNDDOWN($K434*AJ$5/100,0)),0)</f>
        <v>0</v>
      </c>
      <c r="AK434" s="38">
        <f>IF(AND(AK$7="○",$A434&gt;=AK$8,$A434&lt;=AK$9),IF(SUM(AK$10:AK433)-ROUNDDOWN($L434*AK$5/100,0)&lt;-AK$6,-AK$6-SUM(AK$10:AK433),-ROUNDDOWN($L434*AK$5/100,0)),0)</f>
        <v>0</v>
      </c>
      <c r="AL434" s="38">
        <f>IF(AND(AL$7="○",$A434&gt;=AL$8,$A434&lt;=AL$9),IF(SUM(AL$10:AL433)-ROUNDDOWN($N434*AL$5/100,0)&lt;-AL$6,-AL$6-SUM(AL$10:AL433),-ROUNDDOWN($N434*AL$5/100,0)),0)</f>
        <v>0</v>
      </c>
      <c r="AM434" s="38">
        <f>IF(AND(AM$7="○",$A434&gt;=AM$8,$A434&lt;=AM$9),IF(SUM(AM$10:AM433)-ROUNDDOWN($L434*AM$5/100,0)&lt;-AM$6,-AM$6-SUM(AM$10:AM433),-ROUNDDOWN($L434*AM$5/100,0)),0)</f>
        <v>0</v>
      </c>
      <c r="AN434" s="38">
        <f>IF(AND(AN$7="○",$A434&gt;=AN$8,$A434&lt;=AN$9),IF(SUM(AN$10:AN433)-ROUNDDOWN($M434*AN$5/100,0)&lt;-AN$6,-AN$6-SUM(AN$10:AN433),-ROUNDDOWN($M434*AN$5/100,0)),0)</f>
        <v>0</v>
      </c>
      <c r="AO434" s="38">
        <f>IF(AND($A434&gt;=AO$8,$A434&lt;=AO$9),IF(SUM(AO$10:AO433)-ROUNDDOWN($K434*AO$5/100,0)&lt;-AO$6,-AO$6-SUM(AO$10:AO433),-ROUNDDOWN($K434*AO$5/100,0)),0)</f>
        <v>0</v>
      </c>
      <c r="AP434" s="38">
        <f>IF(AND($A434&gt;=AP$8,$A434&lt;=AP$9),IF(SUM(AP$10:AP433)-ROUNDDOWN($K434*AP$5/100,0)&lt;-AP$6,-AP$6-SUM(AP$10:AP433),-ROUNDDOWN($K434*AP$5/100,0)),0)</f>
        <v>0</v>
      </c>
      <c r="AQ434" s="38">
        <f>IF(AND($A434&gt;=AQ$8,$A434&lt;=AQ$9),IF(SUM(AQ$10:AQ433)-ROUNDDOWN($K434*AQ$5/100,0)&lt;-AQ$6,-AQ$6-SUM(AQ$10:AQ433),-ROUNDDOWN($K434*AQ$5/100,0)),0)</f>
        <v>0</v>
      </c>
      <c r="AR434" s="38">
        <f>IF(AND($A434&gt;=AR$8,$A434&lt;=AR$9),IF(SUM(AR$10:AR433)-ROUNDDOWN($K434*AR$5/100,0)&lt;-AR$6,-AR$6-SUM(AR$10:AR433),-ROUNDDOWN($K434*AR$5/100,0)),0)</f>
        <v>0</v>
      </c>
      <c r="AS434" s="38">
        <f>IF(SUMIFS(AS$10:AS433,$A$10:$A433,$A434)-ROUNDDOWN($K434*$S434/100,0)&lt;-$S434*1000,-$S434*1000-SUMIFS(AS$10:AS433,$A$10:$A433,$A434),-ROUNDDOWN($K434*$S434/100,0))</f>
        <v>0</v>
      </c>
      <c r="AT434" s="38">
        <f>IF(AND(X434="○",$A434&gt;=AT$8,$A434&lt;=AT$9,K434&gt;=3980),IF(SUM(AT$10:AT433)-ROUNDDOWN($K434*AT$5/100,0)&lt;-AT$6,-AT$6-SUM(AT$10:AT433),-ROUNDDOWN($K434*AT$5/100,0)),0)</f>
        <v>0</v>
      </c>
      <c r="AU434" s="38">
        <f>IF(O434="○",IF(SUM(AU$10:AU433)-ROUNDDOWN($K434*AU$5/100,0)&lt;-AU$6,-AU$6-SUM(AU$10:AU433),-ROUNDDOWN($K434*AU$5/100,0)),0)</f>
        <v>0</v>
      </c>
      <c r="AV434" s="38">
        <f>IF(P434="○",IF(SUM(AV$10:AV433)-ROUNDDOWN($K434*AV$5/100,0)&lt;-AV$6,-AV$6-SUM(AV$10:AV433),-ROUNDDOWN($K434*AV$5/100,0)),0)</f>
        <v>0</v>
      </c>
      <c r="AW434" s="38">
        <f>IF(Q434="○",IF(SUM(AW$10:AW433)-ROUNDDOWN($K434*AW$5/100,0)&lt;-AW$6,-AW$6-SUM(AW$10:AW433),-ROUNDDOWN($K434*AW$5/100,0)),0)</f>
        <v>0</v>
      </c>
      <c r="AX434" s="38">
        <f>IF(R434="○",IF(SUM(AX$10:AX433)-ROUNDDOWN($K434*AX$5/100,0)&lt;-AX$6,-AX$6-SUM(AX$10:AX433),-ROUNDDOWN($K434*AX$5/100,0)),0)</f>
        <v>0</v>
      </c>
      <c r="AY434" s="70">
        <v>0</v>
      </c>
      <c r="AZ434" s="65">
        <f t="shared" si="285"/>
        <v>0</v>
      </c>
      <c r="BA434" s="65">
        <f t="shared" si="286"/>
        <v>0</v>
      </c>
      <c r="BB434" s="70"/>
      <c r="BC434" s="65">
        <f t="shared" si="287"/>
        <v>0</v>
      </c>
      <c r="BD434" s="70">
        <v>0</v>
      </c>
      <c r="BE434" s="65">
        <f t="shared" si="288"/>
        <v>0</v>
      </c>
      <c r="BF434" s="70">
        <v>0</v>
      </c>
      <c r="BG434" s="65">
        <f t="shared" si="289"/>
        <v>0</v>
      </c>
      <c r="BH434" s="70">
        <v>0</v>
      </c>
      <c r="BI434" s="65">
        <f t="shared" si="290"/>
        <v>0</v>
      </c>
      <c r="BJ434" s="38">
        <f>IF(AND(BJ$7="○",$A434&gt;=BJ$8,$A434&lt;=BJ$9),IF(SUM(BJ$10:BJ433)-ROUNDDOWN($M434*BJ$5/100,0)&lt;-BJ$6,-BJ$6-SUM(BJ$10:BJ433),-ROUNDDOWN($M434*BJ$5/100,0)),0)</f>
        <v>0</v>
      </c>
      <c r="BK434" s="38">
        <f>IF(AND(BK$7="○",$A434&gt;=BK$8,$A434&lt;=BK$9),IF(SUM(BK$10:BK433)-ROUNDDOWN($L434*BK$5/100,0)&lt;-BK$6,-BK$6-SUM(BK$10:BK433),-ROUNDDOWN($L434*BK$5/100,0)),0)</f>
        <v>0</v>
      </c>
      <c r="BL434" s="38">
        <f>IF(AND(BL$7="○",$A434&gt;=BL$8,$A434&lt;=BL$9),IF(SUM(BL$10:BL433)-ROUNDDOWN($L434*BL$5/100,0)&lt;-BL$6,-BL$6-SUM(BL$10:BL433),-ROUNDDOWN($L434*BL$5/100,0)),0)</f>
        <v>0</v>
      </c>
      <c r="BM434" s="38">
        <f>IF(AND(BM$7="○",$A434&gt;=BM$8,$A434&lt;=BM$9),IF(SUM(BM$10:BM433)-ROUNDDOWN($M434*BM$5/100,0)&lt;-BM$6,-BM$6-SUM(BM$10:BM433),-ROUNDDOWN($M434*BM$5/100,0)),0)</f>
        <v>0</v>
      </c>
      <c r="BN434" s="38">
        <f>IF(AND(BN$7="○",$A434&gt;=BN$8,$A434&lt;=BN$9),IF(SUM(BN$10:BN433)-ROUNDDOWN($M434*BN$5/100,0)&lt;-BN$6,-BN$6-SUM(BN$10:BN433),-ROUNDDOWN($M434*BN$5/100,0)),0)</f>
        <v>0</v>
      </c>
      <c r="BO434" s="38">
        <f>IF(AND(BO$7="○",$A434&gt;=BO$8,$A434&lt;=BO$9),IF(SUM(BO$10:BO433)-ROUNDDOWN($M434*BO$5/100,0)&lt;-BO$6,-BO$6-SUM(BO$10:BO433),-ROUNDDOWN($M434*BO$5/100,0)),0)</f>
        <v>0</v>
      </c>
      <c r="BP434" s="38">
        <f>IF(AND(BP$7="○",$A434&gt;=BP$8,$A434&lt;=BP$9),IF(SUM(BP$10:BP433)-ROUNDDOWN($M434*BP$5/100,0)&lt;-BP$6,-BP$6-SUM(BP$10:BP433),-ROUNDDOWN($M434*BP$5/100,0)),0)</f>
        <v>0</v>
      </c>
      <c r="BQ434" s="38">
        <f>IF(AND(BQ$7="○",$A434&gt;=BQ$8,$A434&lt;=BQ$9),IF(SUM(BQ$10:BQ433)-ROUNDDOWN($L434*BQ$5/100,0)&lt;-BQ$6,-BQ$6-SUM(BQ$10:BQ433),-ROUNDDOWN($L434*BQ$5/100,0)),0)</f>
        <v>0</v>
      </c>
      <c r="BR434" s="38">
        <f>IF(AND(BR$7="○",$A434&gt;=BR$8,$A434&lt;=BR$9),IF(SUM(BR$10:BR433)-ROUNDDOWN($M434*BR$5/100,0)&lt;-BR$6,-BR$6-SUM(BR$10:BR433),-ROUNDDOWN($M434*BR$5/100,0)),0)</f>
        <v>0</v>
      </c>
      <c r="BS434" s="38">
        <f>IF(AND(BS$7="○",$A434&gt;=BS$8,$A434&lt;=BS$9),IF(SUM(BS$10:BS433)-ROUNDDOWN($M434*BS$5/100,0)&lt;-BS$6,-BS$6-SUM(BS$10:BS433),-ROUNDDOWN($M434*BS$5/100,0)),0)</f>
        <v>0</v>
      </c>
      <c r="BT434" s="38">
        <f>IF(AND(BT$7="○",$A434&gt;=BT$8,$A434&lt;=BT$9),IF(SUM(BT$10:BT433)-ROUNDDOWN($M434*BT$5/100,0)&lt;-BT$6,-BT$6-SUM(BT$10:BT433),-ROUNDDOWN($M434*BT$5/100,0)),0)</f>
        <v>0</v>
      </c>
      <c r="BU434" s="38">
        <f>IF(AND(BU$7="○",$A434&gt;=BU$8,$A434&lt;=BU$9),IF(SUM(BU$10:BU433)-ROUNDDOWN($M434*BU$5/100,0)&lt;-BU$6,-BU$6-SUM(BU$10:BU433),-ROUNDDOWN($M434*BU$5/100,0)),0)</f>
        <v>0</v>
      </c>
      <c r="BV434" s="38">
        <f>IF(AND(BV$7="○",$A434&gt;=BV$8,$A434&lt;=BV$9),IF(SUM(BV$10:BV433)-ROUNDDOWN($M434*BV$5/100,0)&lt;-BV$6,-BV$6-SUM(BV$10:BV433),-ROUNDDOWN($M434*BV$5/100,0)),0)</f>
        <v>0</v>
      </c>
      <c r="BW434" s="38">
        <f>IF(AND(BW$7="○",$A434&gt;=BW$8,$A434&lt;=BW$9),IF(SUM(BW$10:BW433)-ROUNDDOWN($M434*BW$5/100,0)&lt;-BW$6,-BW$6-SUM(BW$10:BW433),-ROUNDDOWN($M434*BW$5/100,0)),0)</f>
        <v>0</v>
      </c>
      <c r="BX434" s="38">
        <f>IF(AND(T434="○",$A434&gt;=BX$8,$A434&lt;=BX$9),IF(SUM(BX$10:BX433)-ROUNDDOWN($K434*BX$5/100,0)&lt;-BX$6,-BX$6-SUM(BX$10:BX433),-ROUNDDOWN($K434*BX$5/100,0)),0)</f>
        <v>0</v>
      </c>
      <c r="BY434" s="38">
        <f>IF(AND(U434="○",$A434&gt;=BY$8,$A434&lt;=BY$9),IF(SUM(BY$10:BY433)-ROUNDDOWN($K434*BY$5/100,0)&lt;-BY$6,-BY$6-SUM(BY$10:BY433),-ROUNDDOWN($K434*BY$5/100,0)),0)</f>
        <v>0</v>
      </c>
      <c r="BZ434" s="38">
        <f>IF(AND(V434="○",$A434&gt;=BZ$8,$A434&lt;=BZ$9),IF(SUM(BZ$10:BZ433)-ROUNDDOWN($K434*BZ$5/100,0)&lt;-BZ$6,-BZ$6-SUM(BZ$10:BZ433),-ROUNDDOWN($K434*BZ$5/100,0)),0)</f>
        <v>0</v>
      </c>
      <c r="CA434" s="38">
        <f>IF(AND(W434="○",$A434&gt;=CA$8,$A434&lt;=CA$9),IF(SUM(CA$10:CA433)-ROUNDDOWN($K434*CA$5/100,0)&lt;-CA$6,-CA$6-SUM(CA$10:CA433),-ROUNDDOWN($K434*CA$5/100,0)),0)</f>
        <v>0</v>
      </c>
      <c r="CB434" s="38"/>
      <c r="CC434" s="38"/>
      <c r="CD434" s="38"/>
      <c r="CE434" s="38"/>
      <c r="CF434" s="38"/>
      <c r="CG434" s="65">
        <f t="shared" si="291"/>
        <v>0</v>
      </c>
      <c r="CH434" s="71">
        <f t="shared" si="292"/>
        <v>0</v>
      </c>
      <c r="CI434" s="1">
        <f t="shared" si="19"/>
        <v>0</v>
      </c>
      <c r="CJ434" s="1"/>
      <c r="CK434" s="79"/>
      <c r="CL434" s="79"/>
      <c r="CM434" s="2"/>
      <c r="CN434" s="2"/>
      <c r="CO434" s="73">
        <f t="shared" si="20"/>
        <v>0</v>
      </c>
      <c r="CP434" s="5">
        <f t="shared" si="21"/>
        <v>0</v>
      </c>
      <c r="CQ434" s="1"/>
      <c r="CR434" s="1">
        <f t="shared" si="22"/>
        <v>0</v>
      </c>
      <c r="CS434" s="1"/>
      <c r="CT434" s="1" t="e">
        <f>INDEX([2]マスタ!$A:$A,MATCH(D434,[2]マスタ!$C:$C,0))</f>
        <v>#N/A</v>
      </c>
      <c r="CU434" s="1" t="str">
        <f t="shared" ca="1" si="23"/>
        <v>20260620_0-0</v>
      </c>
    </row>
    <row r="435" spans="1:99" x14ac:dyDescent="0.4">
      <c r="A435" s="61"/>
      <c r="B435" s="62"/>
      <c r="C435" s="62"/>
      <c r="D435" s="62"/>
      <c r="E435" s="63"/>
      <c r="F435" s="62"/>
      <c r="G435" s="62">
        <v>1</v>
      </c>
      <c r="H435" s="64">
        <f t="shared" si="4"/>
        <v>0</v>
      </c>
      <c r="I435" s="64"/>
      <c r="J435" s="64"/>
      <c r="K435" s="65">
        <f t="shared" si="300"/>
        <v>0</v>
      </c>
      <c r="L435" s="65">
        <f t="shared" si="6"/>
        <v>0</v>
      </c>
      <c r="M435" s="65">
        <f t="shared" si="7"/>
        <v>0</v>
      </c>
      <c r="N435" s="65">
        <f t="shared" si="8"/>
        <v>0</v>
      </c>
      <c r="O435" s="66" t="str">
        <f t="shared" si="295"/>
        <v>✕</v>
      </c>
      <c r="P435" s="67" t="str">
        <f t="shared" si="296"/>
        <v>○</v>
      </c>
      <c r="Q435" s="67" t="str">
        <f t="shared" si="301"/>
        <v>✕</v>
      </c>
      <c r="R435" s="67" t="str">
        <f t="shared" si="297"/>
        <v>✕</v>
      </c>
      <c r="S435" s="68">
        <v>0</v>
      </c>
      <c r="T435" s="69" t="s">
        <v>85</v>
      </c>
      <c r="U435" s="69" t="s">
        <v>85</v>
      </c>
      <c r="V435" s="69" t="s">
        <v>85</v>
      </c>
      <c r="W435" s="69" t="s">
        <v>85</v>
      </c>
      <c r="X435" s="69" t="s">
        <v>84</v>
      </c>
      <c r="Y435" s="69" t="s">
        <v>85</v>
      </c>
      <c r="Z435" s="69" t="s">
        <v>85</v>
      </c>
      <c r="AA435" s="69" t="s">
        <v>85</v>
      </c>
      <c r="AB435" s="69" t="s">
        <v>85</v>
      </c>
      <c r="AC435" s="69" t="s">
        <v>85</v>
      </c>
      <c r="AD435" s="38" t="str">
        <f>+IF(ISERROR(VLOOKUP($B435,AD$10:AD434,1,0)),IF(AND($N435&gt;=1000,$A435&gt;=AO$8,$A435&lt;=AO$9),$B435,""),"")</f>
        <v/>
      </c>
      <c r="AE435" s="38" t="str">
        <f>+IF(ISERROR(VLOOKUP($B435,AE$10:AE434,1,0)),IF(AND($N435&gt;=1000,$A435&gt;=AP$8,$A435&lt;=AP$9),$B435,""),"")</f>
        <v/>
      </c>
      <c r="AF435" s="38" t="str">
        <f>+IF(ISERROR(VLOOKUP($B435,AF$10:AF434,1,0)),IF(AND($N435&gt;=1000,$A435&gt;=AQ$8,$A435&lt;=AQ$9),$B435,""),"")</f>
        <v/>
      </c>
      <c r="AG435" s="38" t="str">
        <f>+IF(ISERROR(VLOOKUP($B435,AG$10:AG434,1,0)),IF(AND($N435&gt;=1000,$A435&gt;=AR$8,$A435&lt;=AR$9),$B435,""),"")</f>
        <v/>
      </c>
      <c r="AH435" s="38"/>
      <c r="AI435" s="70">
        <v>0</v>
      </c>
      <c r="AJ435" s="38">
        <f>IF(AND(AJ$7="○",$A435&gt;=AJ$8,$A435&lt;=AJ$9),IF(SUM(AJ$10:AJ434)-ROUNDDOWN($K435*AJ$5/100,0)&lt;-AJ$6,-AJ$6-SUM(AJ$10:AJ434),-ROUNDDOWN($K435*AJ$5/100,0)),0)</f>
        <v>0</v>
      </c>
      <c r="AK435" s="38">
        <f>IF(AND(AK$7="○",$A435&gt;=AK$8,$A435&lt;=AK$9),IF(SUM(AK$10:AK434)-ROUNDDOWN($L435*AK$5/100,0)&lt;-AK$6,-AK$6-SUM(AK$10:AK434),-ROUNDDOWN($L435*AK$5/100,0)),0)</f>
        <v>0</v>
      </c>
      <c r="AL435" s="38">
        <f>IF(AND(AL$7="○",$A435&gt;=AL$8,$A435&lt;=AL$9),IF(SUM(AL$10:AL434)-ROUNDDOWN($N435*AL$5/100,0)&lt;-AL$6,-AL$6-SUM(AL$10:AL434),-ROUNDDOWN($N435*AL$5/100,0)),0)</f>
        <v>0</v>
      </c>
      <c r="AM435" s="38">
        <f>IF(AND(AM$7="○",$A435&gt;=AM$8,$A435&lt;=AM$9),IF(SUM(AM$10:AM434)-ROUNDDOWN($L435*AM$5/100,0)&lt;-AM$6,-AM$6-SUM(AM$10:AM434),-ROUNDDOWN($L435*AM$5/100,0)),0)</f>
        <v>0</v>
      </c>
      <c r="AN435" s="38">
        <f>IF(AND(AN$7="○",$A435&gt;=AN$8,$A435&lt;=AN$9),IF(SUM(AN$10:AN434)-ROUNDDOWN($M435*AN$5/100,0)&lt;-AN$6,-AN$6-SUM(AN$10:AN434),-ROUNDDOWN($M435*AN$5/100,0)),0)</f>
        <v>0</v>
      </c>
      <c r="AO435" s="38">
        <f>IF(AND($A435&gt;=AO$8,$A435&lt;=AO$9),IF(SUM(AO$10:AO434)-ROUNDDOWN($K435*AO$5/100,0)&lt;-AO$6,-AO$6-SUM(AO$10:AO434),-ROUNDDOWN($K435*AO$5/100,0)),0)</f>
        <v>0</v>
      </c>
      <c r="AP435" s="38">
        <f>IF(AND($A435&gt;=AP$8,$A435&lt;=AP$9),IF(SUM(AP$10:AP434)-ROUNDDOWN($K435*AP$5/100,0)&lt;-AP$6,-AP$6-SUM(AP$10:AP434),-ROUNDDOWN($K435*AP$5/100,0)),0)</f>
        <v>0</v>
      </c>
      <c r="AQ435" s="38">
        <f>IF(AND($A435&gt;=AQ$8,$A435&lt;=AQ$9),IF(SUM(AQ$10:AQ434)-ROUNDDOWN($K435*AQ$5/100,0)&lt;-AQ$6,-AQ$6-SUM(AQ$10:AQ434),-ROUNDDOWN($K435*AQ$5/100,0)),0)</f>
        <v>0</v>
      </c>
      <c r="AR435" s="38">
        <f>IF(AND($A435&gt;=AR$8,$A435&lt;=AR$9),IF(SUM(AR$10:AR434)-ROUNDDOWN($K435*AR$5/100,0)&lt;-AR$6,-AR$6-SUM(AR$10:AR434),-ROUNDDOWN($K435*AR$5/100,0)),0)</f>
        <v>0</v>
      </c>
      <c r="AS435" s="38">
        <f>IF(SUMIFS(AS$10:AS434,$A$10:$A434,$A435)-ROUNDDOWN($K435*$S435/100,0)&lt;-$S435*1000,-$S435*1000-SUMIFS(AS$10:AS434,$A$10:$A434,$A435),-ROUNDDOWN($K435*$S435/100,0))</f>
        <v>0</v>
      </c>
      <c r="AT435" s="38">
        <f>IF(AND(X435="○",$A435&gt;=AT$8,$A435&lt;=AT$9,K435&gt;=3980),IF(SUM(AT$10:AT434)-ROUNDDOWN($K435*AT$5/100,0)&lt;-AT$6,-AT$6-SUM(AT$10:AT434),-ROUNDDOWN($K435*AT$5/100,0)),0)</f>
        <v>0</v>
      </c>
      <c r="AU435" s="38">
        <f>IF(O435="○",IF(SUM(AU$10:AU434)-ROUNDDOWN($K435*AU$5/100,0)&lt;-AU$6,-AU$6-SUM(AU$10:AU434),-ROUNDDOWN($K435*AU$5/100,0)),0)</f>
        <v>0</v>
      </c>
      <c r="AV435" s="38">
        <f>IF(P435="○",IF(SUM(AV$10:AV434)-ROUNDDOWN($K435*AV$5/100,0)&lt;-AV$6,-AV$6-SUM(AV$10:AV434),-ROUNDDOWN($K435*AV$5/100,0)),0)</f>
        <v>0</v>
      </c>
      <c r="AW435" s="38">
        <f>IF(Q435="○",IF(SUM(AW$10:AW434)-ROUNDDOWN($K435*AW$5/100,0)&lt;-AW$6,-AW$6-SUM(AW$10:AW434),-ROUNDDOWN($K435*AW$5/100,0)),0)</f>
        <v>0</v>
      </c>
      <c r="AX435" s="38">
        <f>IF(R435="○",IF(SUM(AX$10:AX434)-ROUNDDOWN($K435*AX$5/100,0)&lt;-AX$6,-AX$6-SUM(AX$10:AX434),-ROUNDDOWN($K435*AX$5/100,0)),0)</f>
        <v>0</v>
      </c>
      <c r="AY435" s="70">
        <v>0</v>
      </c>
      <c r="AZ435" s="65">
        <f t="shared" si="285"/>
        <v>0</v>
      </c>
      <c r="BA435" s="65">
        <f t="shared" si="286"/>
        <v>0</v>
      </c>
      <c r="BB435" s="70"/>
      <c r="BC435" s="65">
        <f t="shared" si="287"/>
        <v>0</v>
      </c>
      <c r="BD435" s="70">
        <v>0</v>
      </c>
      <c r="BE435" s="65">
        <f t="shared" si="288"/>
        <v>0</v>
      </c>
      <c r="BF435" s="70">
        <v>0</v>
      </c>
      <c r="BG435" s="65">
        <f t="shared" si="289"/>
        <v>0</v>
      </c>
      <c r="BH435" s="70">
        <v>0</v>
      </c>
      <c r="BI435" s="65">
        <f t="shared" si="290"/>
        <v>0</v>
      </c>
      <c r="BJ435" s="38">
        <f>IF(AND(BJ$7="○",$A435&gt;=BJ$8,$A435&lt;=BJ$9),IF(SUM(BJ$10:BJ434)-ROUNDDOWN($M435*BJ$5/100,0)&lt;-BJ$6,-BJ$6-SUM(BJ$10:BJ434),-ROUNDDOWN($M435*BJ$5/100,0)),0)</f>
        <v>0</v>
      </c>
      <c r="BK435" s="38">
        <f>IF(AND(BK$7="○",$A435&gt;=BK$8,$A435&lt;=BK$9),IF(SUM(BK$10:BK434)-ROUNDDOWN($L435*BK$5/100,0)&lt;-BK$6,-BK$6-SUM(BK$10:BK434),-ROUNDDOWN($L435*BK$5/100,0)),0)</f>
        <v>0</v>
      </c>
      <c r="BL435" s="38">
        <f>IF(AND(BL$7="○",$A435&gt;=BL$8,$A435&lt;=BL$9),IF(SUM(BL$10:BL434)-ROUNDDOWN($L435*BL$5/100,0)&lt;-BL$6,-BL$6-SUM(BL$10:BL434),-ROUNDDOWN($L435*BL$5/100,0)),0)</f>
        <v>0</v>
      </c>
      <c r="BM435" s="38">
        <f>IF(AND(BM$7="○",$A435&gt;=BM$8,$A435&lt;=BM$9),IF(SUM(BM$10:BM434)-ROUNDDOWN($M435*BM$5/100,0)&lt;-BM$6,-BM$6-SUM(BM$10:BM434),-ROUNDDOWN($M435*BM$5/100,0)),0)</f>
        <v>0</v>
      </c>
      <c r="BN435" s="38">
        <f>IF(AND(BN$7="○",$A435&gt;=BN$8,$A435&lt;=BN$9),IF(SUM(BN$10:BN434)-ROUNDDOWN($M435*BN$5/100,0)&lt;-BN$6,-BN$6-SUM(BN$10:BN434),-ROUNDDOWN($M435*BN$5/100,0)),0)</f>
        <v>0</v>
      </c>
      <c r="BO435" s="38">
        <f>IF(AND(BO$7="○",$A435&gt;=BO$8,$A435&lt;=BO$9),IF(SUM(BO$10:BO434)-ROUNDDOWN($M435*BO$5/100,0)&lt;-BO$6,-BO$6-SUM(BO$10:BO434),-ROUNDDOWN($M435*BO$5/100,0)),0)</f>
        <v>0</v>
      </c>
      <c r="BP435" s="38">
        <f>IF(AND(BP$7="○",$A435&gt;=BP$8,$A435&lt;=BP$9),IF(SUM(BP$10:BP434)-ROUNDDOWN($M435*BP$5/100,0)&lt;-BP$6,-BP$6-SUM(BP$10:BP434),-ROUNDDOWN($M435*BP$5/100,0)),0)</f>
        <v>0</v>
      </c>
      <c r="BQ435" s="38">
        <f>IF(AND(BQ$7="○",$A435&gt;=BQ$8,$A435&lt;=BQ$9),IF(SUM(BQ$10:BQ434)-ROUNDDOWN($L435*BQ$5/100,0)&lt;-BQ$6,-BQ$6-SUM(BQ$10:BQ434),-ROUNDDOWN($L435*BQ$5/100,0)),0)</f>
        <v>0</v>
      </c>
      <c r="BR435" s="38">
        <f>IF(AND(BR$7="○",$A435&gt;=BR$8,$A435&lt;=BR$9),IF(SUM(BR$10:BR434)-ROUNDDOWN($M435*BR$5/100,0)&lt;-BR$6,-BR$6-SUM(BR$10:BR434),-ROUNDDOWN($M435*BR$5/100,0)),0)</f>
        <v>0</v>
      </c>
      <c r="BS435" s="38">
        <f>IF(AND(BS$7="○",$A435&gt;=BS$8,$A435&lt;=BS$9),IF(SUM(BS$10:BS434)-ROUNDDOWN($M435*BS$5/100,0)&lt;-BS$6,-BS$6-SUM(BS$10:BS434),-ROUNDDOWN($M435*BS$5/100,0)),0)</f>
        <v>0</v>
      </c>
      <c r="BT435" s="38">
        <f>IF(AND(BT$7="○",$A435&gt;=BT$8,$A435&lt;=BT$9),IF(SUM(BT$10:BT434)-ROUNDDOWN($M435*BT$5/100,0)&lt;-BT$6,-BT$6-SUM(BT$10:BT434),-ROUNDDOWN($M435*BT$5/100,0)),0)</f>
        <v>0</v>
      </c>
      <c r="BU435" s="38">
        <f>IF(AND(BU$7="○",$A435&gt;=BU$8,$A435&lt;=BU$9),IF(SUM(BU$10:BU434)-ROUNDDOWN($M435*BU$5/100,0)&lt;-BU$6,-BU$6-SUM(BU$10:BU434),-ROUNDDOWN($M435*BU$5/100,0)),0)</f>
        <v>0</v>
      </c>
      <c r="BV435" s="38">
        <f>IF(AND(BV$7="○",$A435&gt;=BV$8,$A435&lt;=BV$9),IF(SUM(BV$10:BV434)-ROUNDDOWN($M435*BV$5/100,0)&lt;-BV$6,-BV$6-SUM(BV$10:BV434),-ROUNDDOWN($M435*BV$5/100,0)),0)</f>
        <v>0</v>
      </c>
      <c r="BW435" s="38">
        <f>IF(AND(BW$7="○",$A435&gt;=BW$8,$A435&lt;=BW$9),IF(SUM(BW$10:BW434)-ROUNDDOWN($M435*BW$5/100,0)&lt;-BW$6,-BW$6-SUM(BW$10:BW434),-ROUNDDOWN($M435*BW$5/100,0)),0)</f>
        <v>0</v>
      </c>
      <c r="BX435" s="38">
        <f>IF(AND(T435="○",$A435&gt;=BX$8,$A435&lt;=BX$9),IF(SUM(BX$10:BX434)-ROUNDDOWN($K435*BX$5/100,0)&lt;-BX$6,-BX$6-SUM(BX$10:BX434),-ROUNDDOWN($K435*BX$5/100,0)),0)</f>
        <v>0</v>
      </c>
      <c r="BY435" s="38">
        <f>IF(AND(U435="○",$A435&gt;=BY$8,$A435&lt;=BY$9),IF(SUM(BY$10:BY434)-ROUNDDOWN($K435*BY$5/100,0)&lt;-BY$6,-BY$6-SUM(BY$10:BY434),-ROUNDDOWN($K435*BY$5/100,0)),0)</f>
        <v>0</v>
      </c>
      <c r="BZ435" s="38">
        <f>IF(AND(V435="○",$A435&gt;=BZ$8,$A435&lt;=BZ$9),IF(SUM(BZ$10:BZ434)-ROUNDDOWN($K435*BZ$5/100,0)&lt;-BZ$6,-BZ$6-SUM(BZ$10:BZ434),-ROUNDDOWN($K435*BZ$5/100,0)),0)</f>
        <v>0</v>
      </c>
      <c r="CA435" s="38">
        <f>IF(AND(W435="○",$A435&gt;=CA$8,$A435&lt;=CA$9),IF(SUM(CA$10:CA434)-ROUNDDOWN($K435*CA$5/100,0)&lt;-CA$6,-CA$6-SUM(CA$10:CA434),-ROUNDDOWN($K435*CA$5/100,0)),0)</f>
        <v>0</v>
      </c>
      <c r="CB435" s="38"/>
      <c r="CC435" s="38"/>
      <c r="CD435" s="38"/>
      <c r="CE435" s="38"/>
      <c r="CF435" s="38"/>
      <c r="CG435" s="65">
        <f t="shared" si="291"/>
        <v>0</v>
      </c>
      <c r="CH435" s="71">
        <f t="shared" si="292"/>
        <v>0</v>
      </c>
      <c r="CI435" s="1">
        <f t="shared" si="19"/>
        <v>0</v>
      </c>
      <c r="CJ435" s="1"/>
      <c r="CK435" s="2"/>
      <c r="CL435" s="2"/>
      <c r="CM435" s="2"/>
      <c r="CN435" s="2"/>
      <c r="CO435" s="73">
        <f t="shared" si="20"/>
        <v>0</v>
      </c>
      <c r="CP435" s="5">
        <f t="shared" si="21"/>
        <v>0</v>
      </c>
      <c r="CQ435" s="1"/>
      <c r="CR435" s="1">
        <f t="shared" si="22"/>
        <v>0</v>
      </c>
      <c r="CS435" s="1"/>
      <c r="CT435" s="1" t="e">
        <f>INDEX([2]マスタ!$A:$A,MATCH(D435,[2]マスタ!$C:$C,0))</f>
        <v>#N/A</v>
      </c>
      <c r="CU435" s="1" t="str">
        <f t="shared" ca="1" si="23"/>
        <v>20260620_0-0</v>
      </c>
    </row>
    <row r="436" spans="1:99" x14ac:dyDescent="0.4">
      <c r="A436" s="61"/>
      <c r="B436" s="62"/>
      <c r="C436" s="62"/>
      <c r="D436" s="62"/>
      <c r="E436" s="74"/>
      <c r="F436" s="62"/>
      <c r="G436" s="62">
        <v>1</v>
      </c>
      <c r="H436" s="64">
        <f t="shared" ref="H436:H465" si="302">+F436*G436</f>
        <v>0</v>
      </c>
      <c r="I436" s="64"/>
      <c r="J436" s="64"/>
      <c r="K436" s="65">
        <f t="shared" ref="K436:K447" si="303">+ROUNDDOWN((H436+I436)/100,0)*100</f>
        <v>0</v>
      </c>
      <c r="L436" s="65">
        <f t="shared" ref="L436:L465" si="304">+ROUNDDOWN((H436+I436)/1.1/100,0)*100</f>
        <v>0</v>
      </c>
      <c r="M436" s="65">
        <f t="shared" ref="M436:M465" si="305">+ROUNDDOWN((H436+I436)/1.1/200,0)*200</f>
        <v>0</v>
      </c>
      <c r="N436" s="65">
        <f t="shared" ref="N436:N465" si="306">+H436+I436+J436</f>
        <v>0</v>
      </c>
      <c r="O436" s="66" t="str">
        <f t="shared" si="9"/>
        <v>✕</v>
      </c>
      <c r="P436" s="67" t="str">
        <f t="shared" si="10"/>
        <v>○</v>
      </c>
      <c r="Q436" s="67" t="str">
        <f t="shared" ref="Q436:Q447" si="307">+IF((TEXT($A436,"DD")+0)=1,"○","✕")</f>
        <v>✕</v>
      </c>
      <c r="R436" s="67" t="str">
        <f t="shared" si="12"/>
        <v>✕</v>
      </c>
      <c r="S436" s="68">
        <v>0</v>
      </c>
      <c r="T436" s="69" t="s">
        <v>85</v>
      </c>
      <c r="U436" s="69" t="s">
        <v>85</v>
      </c>
      <c r="V436" s="69" t="s">
        <v>85</v>
      </c>
      <c r="W436" s="69" t="s">
        <v>85</v>
      </c>
      <c r="X436" s="69" t="s">
        <v>84</v>
      </c>
      <c r="Y436" s="69" t="s">
        <v>85</v>
      </c>
      <c r="Z436" s="69" t="s">
        <v>85</v>
      </c>
      <c r="AA436" s="69" t="s">
        <v>85</v>
      </c>
      <c r="AB436" s="69" t="s">
        <v>85</v>
      </c>
      <c r="AC436" s="69" t="s">
        <v>85</v>
      </c>
      <c r="AD436" s="38" t="str">
        <f>+IF(ISERROR(VLOOKUP($B436,#REF!,1,0)),IF(AND($N436&gt;=1000,$A436&gt;=AO$8,$A436&lt;=AO$9),$B436,""),"")</f>
        <v/>
      </c>
      <c r="AE436" s="38" t="str">
        <f>+IF(ISERROR(VLOOKUP($B436,#REF!,1,0)),IF(AND($N436&gt;=1000,$A436&gt;=AP$8,$A436&lt;=AP$9),$B436,""),"")</f>
        <v/>
      </c>
      <c r="AF436" s="38" t="str">
        <f>+IF(ISERROR(VLOOKUP($B436,#REF!,1,0)),IF(AND($N436&gt;=1000,$A436&gt;=AQ$8,$A436&lt;=AQ$9),$B436,""),"")</f>
        <v/>
      </c>
      <c r="AG436" s="38" t="str">
        <f>+IF(ISERROR(VLOOKUP($B436,#REF!,1,0)),IF(AND($N436&gt;=1000,$A436&gt;=AR$8,$A436&lt;=AR$9),$B436,""),"")</f>
        <v/>
      </c>
      <c r="AH436" s="38"/>
      <c r="AI436" s="70">
        <v>0</v>
      </c>
      <c r="AJ436" s="38">
        <f>IF(AND(AJ$7="○",$A436&gt;=AJ$8,$A436&lt;=AJ$9),IF(SUM(AJ$10:AJ435)-ROUNDDOWN($K436*AJ$5/100,0)&lt;-AJ$6,-AJ$6-SUM(AJ$10:AJ435),-ROUNDDOWN($K436*AJ$5/100,0)),0)</f>
        <v>0</v>
      </c>
      <c r="AK436" s="38">
        <f>IF(AND(AK$7="○",$A436&gt;=AK$8,$A436&lt;=AK$9),IF(SUM(AK$10:AK435)-ROUNDDOWN($L436*AK$5/100,0)&lt;-AK$6,-AK$6-SUM(AK$10:AK435),-ROUNDDOWN($L436*AK$5/100,0)),0)</f>
        <v>0</v>
      </c>
      <c r="AL436" s="38">
        <f>IF(AND(AL$7="○",$A436&gt;=AL$8,$A436&lt;=AL$9),IF(SUM(AL$10:AL435)-ROUNDDOWN($N436*AL$5/100,0)&lt;-AL$6,-AL$6-SUM(AL$10:AL435),-ROUNDDOWN($N436*AL$5/100,0)),0)</f>
        <v>0</v>
      </c>
      <c r="AM436" s="38">
        <f>IF(AND(AM$7="○",$A436&gt;=AM$8,$A436&lt;=AM$9),IF(SUM(AM$10:AM435)-ROUNDDOWN($L436*AM$5/100,0)&lt;-AM$6,-AM$6-SUM(AM$10:AM435),-ROUNDDOWN($L436*AM$5/100,0)),0)</f>
        <v>0</v>
      </c>
      <c r="AN436" s="38">
        <f>IF(AND(AN$7="○",$A436&gt;=AN$8,$A436&lt;=AN$9),IF(SUM(AN$10:AN435)-ROUNDDOWN($M436*AN$5/100,0)&lt;-AN$6,-AN$6-SUM(AN$10:AN435),-ROUNDDOWN($M436*AN$5/100,0)),0)</f>
        <v>0</v>
      </c>
      <c r="AO436" s="38">
        <f>IF(AND($A436&gt;=AO$8,$A436&lt;=AO$9),IF(SUM(AO$10:AO435)-ROUNDDOWN($K436*AO$5/100,0)&lt;-AO$6,-AO$6-SUM(AO$10:AO435),-ROUNDDOWN($K436*AO$5/100,0)),0)</f>
        <v>0</v>
      </c>
      <c r="AP436" s="38">
        <f>IF(AND($A436&gt;=AP$8,$A436&lt;=AP$9),IF(SUM(AP$10:AP435)-ROUNDDOWN($K436*AP$5/100,0)&lt;-AP$6,-AP$6-SUM(AP$10:AP435),-ROUNDDOWN($K436*AP$5/100,0)),0)</f>
        <v>0</v>
      </c>
      <c r="AQ436" s="38">
        <f>IF(AND($A436&gt;=AQ$8,$A436&lt;=AQ$9),IF(SUM(AQ$10:AQ435)-ROUNDDOWN($K436*AQ$5/100,0)&lt;-AQ$6,-AQ$6-SUM(AQ$10:AQ435),-ROUNDDOWN($K436*AQ$5/100,0)),0)</f>
        <v>0</v>
      </c>
      <c r="AR436" s="38">
        <f>IF(AND($A436&gt;=AR$8,$A436&lt;=AR$9),IF(SUM(AR$10:AR435)-ROUNDDOWN($K436*AR$5/100,0)&lt;-AR$6,-AR$6-SUM(AR$10:AR435),-ROUNDDOWN($K436*AR$5/100,0)),0)</f>
        <v>0</v>
      </c>
      <c r="AS436" s="38">
        <f>IF(SUMIFS(AS$10:AS435,$A$10:$A435,$A436)-ROUNDDOWN($K436*$S436/100,0)&lt;-$S436*1000,-$S436*1000-SUMIFS(AS$10:AS435,$A$10:$A435,$A436),-ROUNDDOWN($K436*$S436/100,0))</f>
        <v>0</v>
      </c>
      <c r="AT436" s="38">
        <f>IF(AND(X436="○",$A436&gt;=AT$8,$A436&lt;=AT$9,K436&gt;=3980),IF(SUM(AT$10:AT435)-ROUNDDOWN($K436*AT$5/100,0)&lt;-AT$6,-AT$6-SUM(AT$10:AT435),-ROUNDDOWN($K436*AT$5/100,0)),0)</f>
        <v>0</v>
      </c>
      <c r="AU436" s="38">
        <f>IF(O436="○",IF(SUM(AU$10:AU435)-ROUNDDOWN($K436*AU$5/100,0)&lt;-AU$6,-AU$6-SUM(AU$10:AU435),-ROUNDDOWN($K436*AU$5/100,0)),0)</f>
        <v>0</v>
      </c>
      <c r="AV436" s="38">
        <f>IF(P436="○",IF(SUM(AV$10:AV435)-ROUNDDOWN($K436*AV$5/100,0)&lt;-AV$6,-AV$6-SUM(AV$10:AV435),-ROUNDDOWN($K436*AV$5/100,0)),0)</f>
        <v>0</v>
      </c>
      <c r="AW436" s="38">
        <f>IF(Q436="○",IF(SUM(AW$10:AW435)-ROUNDDOWN($K436*AW$5/100,0)&lt;-AW$6,-AW$6-SUM(AW$10:AW435),-ROUNDDOWN($K436*AW$5/100,0)),0)</f>
        <v>0</v>
      </c>
      <c r="AX436" s="38">
        <f>IF(R436="○",IF(SUM(AX$10:AX435)-ROUNDDOWN($K436*AX$5/100,0)&lt;-AX$6,-AX$6-SUM(AX$10:AX435),-ROUNDDOWN($K436*AX$5/100,0)),0)</f>
        <v>0</v>
      </c>
      <c r="AY436" s="70">
        <v>0</v>
      </c>
      <c r="AZ436" s="65">
        <f t="shared" si="285"/>
        <v>0</v>
      </c>
      <c r="BA436" s="65">
        <f t="shared" si="286"/>
        <v>0</v>
      </c>
      <c r="BB436" s="70"/>
      <c r="BC436" s="65">
        <f t="shared" si="287"/>
        <v>0</v>
      </c>
      <c r="BD436" s="70">
        <v>0</v>
      </c>
      <c r="BE436" s="65">
        <f t="shared" si="288"/>
        <v>0</v>
      </c>
      <c r="BF436" s="70">
        <v>0</v>
      </c>
      <c r="BG436" s="65">
        <f t="shared" si="289"/>
        <v>0</v>
      </c>
      <c r="BH436" s="70">
        <v>0</v>
      </c>
      <c r="BI436" s="65">
        <f t="shared" si="290"/>
        <v>0</v>
      </c>
      <c r="BJ436" s="38">
        <f>IF(AND(BJ$7="○",$A436&gt;=BJ$8,$A436&lt;=BJ$9),IF(SUM(BJ$10:BJ435)-ROUNDDOWN($M436*BJ$5/100,0)&lt;-BJ$6,-BJ$6-SUM(BJ$10:BJ435),-ROUNDDOWN($M436*BJ$5/100,0)),0)</f>
        <v>0</v>
      </c>
      <c r="BK436" s="38">
        <f>IF(AND(BK$7="○",$A436&gt;=BK$8,$A436&lt;=BK$9),IF(SUM(BK$10:BK435)-ROUNDDOWN($L436*BK$5/100,0)&lt;-BK$6,-BK$6-SUM(BK$10:BK435),-ROUNDDOWN($L436*BK$5/100,0)),0)</f>
        <v>0</v>
      </c>
      <c r="BL436" s="38">
        <f>IF(AND(BL$7="○",$A436&gt;=BL$8,$A436&lt;=BL$9),IF(SUM(BL$10:BL435)-ROUNDDOWN($L436*BL$5/100,0)&lt;-BL$6,-BL$6-SUM(BL$10:BL435),-ROUNDDOWN($L436*BL$5/100,0)),0)</f>
        <v>0</v>
      </c>
      <c r="BM436" s="38">
        <f>IF(AND(BM$7="○",$A436&gt;=BM$8,$A436&lt;=BM$9),IF(SUM(BM$10:BM435)-ROUNDDOWN($M436*BM$5/100,0)&lt;-BM$6,-BM$6-SUM(BM$10:BM435),-ROUNDDOWN($M436*BM$5/100,0)),0)</f>
        <v>0</v>
      </c>
      <c r="BN436" s="38">
        <f>IF(AND(BN$7="○",$A436&gt;=BN$8,$A436&lt;=BN$9),IF(SUM(BN$10:BN435)-ROUNDDOWN($M436*BN$5/100,0)&lt;-BN$6,-BN$6-SUM(BN$10:BN435),-ROUNDDOWN($M436*BN$5/100,0)),0)</f>
        <v>0</v>
      </c>
      <c r="BO436" s="38">
        <f>IF(AND(BO$7="○",$A436&gt;=BO$8,$A436&lt;=BO$9),IF(SUM(BO$10:BO435)-ROUNDDOWN($M436*BO$5/100,0)&lt;-BO$6,-BO$6-SUM(BO$10:BO435),-ROUNDDOWN($M436*BO$5/100,0)),0)</f>
        <v>0</v>
      </c>
      <c r="BP436" s="38">
        <f>IF(AND(BP$7="○",$A436&gt;=BP$8,$A436&lt;=BP$9),IF(SUM(BP$10:BP435)-ROUNDDOWN($M436*BP$5/100,0)&lt;-BP$6,-BP$6-SUM(BP$10:BP435),-ROUNDDOWN($M436*BP$5/100,0)),0)</f>
        <v>0</v>
      </c>
      <c r="BQ436" s="38">
        <f>IF(AND(BQ$7="○",$A436&gt;=BQ$8,$A436&lt;=BQ$9),IF(SUM(BQ$10:BQ435)-ROUNDDOWN($L436*BQ$5/100,0)&lt;-BQ$6,-BQ$6-SUM(BQ$10:BQ435),-ROUNDDOWN($L436*BQ$5/100,0)),0)</f>
        <v>0</v>
      </c>
      <c r="BR436" s="38">
        <f>IF(AND(BR$7="○",$A436&gt;=BR$8,$A436&lt;=BR$9),IF(SUM(BR$10:BR435)-ROUNDDOWN($M436*BR$5/100,0)&lt;-BR$6,-BR$6-SUM(BR$10:BR435),-ROUNDDOWN($M436*BR$5/100,0)),0)</f>
        <v>0</v>
      </c>
      <c r="BS436" s="38">
        <f>IF(AND(BS$7="○",$A436&gt;=BS$8,$A436&lt;=BS$9),IF(SUM(BS$10:BS435)-ROUNDDOWN($M436*BS$5/100,0)&lt;-BS$6,-BS$6-SUM(BS$10:BS435),-ROUNDDOWN($M436*BS$5/100,0)),0)</f>
        <v>0</v>
      </c>
      <c r="BT436" s="38">
        <f>IF(AND(BT$7="○",$A436&gt;=BT$8,$A436&lt;=BT$9),IF(SUM(BT$10:BT435)-ROUNDDOWN($M436*BT$5/100,0)&lt;-BT$6,-BT$6-SUM(BT$10:BT435),-ROUNDDOWN($M436*BT$5/100,0)),0)</f>
        <v>0</v>
      </c>
      <c r="BU436" s="38">
        <f>IF(AND(BU$7="○",$A436&gt;=BU$8,$A436&lt;=BU$9),IF(SUM(BU$10:BU435)-ROUNDDOWN($M436*BU$5/100,0)&lt;-BU$6,-BU$6-SUM(BU$10:BU435),-ROUNDDOWN($M436*BU$5/100,0)),0)</f>
        <v>0</v>
      </c>
      <c r="BV436" s="38">
        <f>IF(AND(BV$7="○",$A436&gt;=BV$8,$A436&lt;=BV$9),IF(SUM(BV$10:BV435)-ROUNDDOWN($M436*BV$5/100,0)&lt;-BV$6,-BV$6-SUM(BV$10:BV435),-ROUNDDOWN($M436*BV$5/100,0)),0)</f>
        <v>0</v>
      </c>
      <c r="BW436" s="38">
        <f>IF(AND(BW$7="○",$A436&gt;=BW$8,$A436&lt;=BW$9),IF(SUM(BW$10:BW435)-ROUNDDOWN($M436*BW$5/100,0)&lt;-BW$6,-BW$6-SUM(BW$10:BW435),-ROUNDDOWN($M436*BW$5/100,0)),0)</f>
        <v>0</v>
      </c>
      <c r="BX436" s="38">
        <f>IF(AND(T436="○",$A436&gt;=BX$8,$A436&lt;=BX$9),IF(SUM(BX$10:BX435)-ROUNDDOWN($K436*BX$5/100,0)&lt;-BX$6,-BX$6-SUM(BX$10:BX435),-ROUNDDOWN($K436*BX$5/100,0)),0)</f>
        <v>0</v>
      </c>
      <c r="BY436" s="38">
        <f>IF(AND(U436="○",$A436&gt;=BY$8,$A436&lt;=BY$9),IF(SUM(BY$10:BY435)-ROUNDDOWN($K436*BY$5/100,0)&lt;-BY$6,-BY$6-SUM(BY$10:BY435),-ROUNDDOWN($K436*BY$5/100,0)),0)</f>
        <v>0</v>
      </c>
      <c r="BZ436" s="38">
        <f>IF(AND(V436="○",$A436&gt;=BZ$8,$A436&lt;=BZ$9),IF(SUM(BZ$10:BZ435)-ROUNDDOWN($K436*BZ$5/100,0)&lt;-BZ$6,-BZ$6-SUM(BZ$10:BZ435),-ROUNDDOWN($K436*BZ$5/100,0)),0)</f>
        <v>0</v>
      </c>
      <c r="CA436" s="38">
        <f>IF(AND(W436="○",$A436&gt;=CA$8,$A436&lt;=CA$9),IF(SUM(CA$10:CA435)-ROUNDDOWN($K436*CA$5/100,0)&lt;-CA$6,-CA$6-SUM(CA$10:CA435),-ROUNDDOWN($K436*CA$5/100,0)),0)</f>
        <v>0</v>
      </c>
      <c r="CB436" s="38"/>
      <c r="CC436" s="38"/>
      <c r="CD436" s="38"/>
      <c r="CE436" s="38"/>
      <c r="CF436" s="38"/>
      <c r="CG436" s="65">
        <f t="shared" si="291"/>
        <v>0</v>
      </c>
      <c r="CH436" s="71">
        <f t="shared" si="292"/>
        <v>0</v>
      </c>
      <c r="CI436" s="1">
        <f t="shared" ref="CI436:CI465" si="308">IFERROR(ROUNDDOWN((CH436/G436),0),0)</f>
        <v>0</v>
      </c>
      <c r="CJ436" s="1"/>
      <c r="CK436" s="72"/>
      <c r="CL436" s="72"/>
      <c r="CM436" s="2"/>
      <c r="CN436" s="2"/>
      <c r="CO436" s="73">
        <f t="shared" ref="CO436:CO465" si="309">IFERROR(CN436-CI436,0)</f>
        <v>0</v>
      </c>
      <c r="CP436" s="5">
        <f t="shared" ref="CP436:CP465" si="310">IFERROR(CN436/CI436,0)</f>
        <v>0</v>
      </c>
      <c r="CQ436" s="1"/>
      <c r="CR436" s="1">
        <f t="shared" ref="CR436:CR465" si="311">+CO436*G436</f>
        <v>0</v>
      </c>
      <c r="CS436" s="1"/>
      <c r="CT436" s="1" t="e">
        <f>INDEX([2]マスタ!$A:$A,MATCH(D436,[2]マスタ!$C:$C,0))</f>
        <v>#N/A</v>
      </c>
      <c r="CU436" s="1" t="str">
        <f t="shared" ref="CU436:CU465" ca="1" si="312">IFERROR(TEXT(TODAY(),"yyyymmdd")&amp;"_"&amp;ROUNDDOWN(H436+I436,0)&amp;"-"&amp;ROUNDDOWN(CI436,0),"")</f>
        <v>20260620_0-0</v>
      </c>
    </row>
    <row r="437" spans="1:99" x14ac:dyDescent="0.4">
      <c r="A437" s="61"/>
      <c r="B437" s="62"/>
      <c r="C437" s="62"/>
      <c r="D437" s="62"/>
      <c r="E437" s="76"/>
      <c r="F437" s="62"/>
      <c r="G437" s="62">
        <v>1</v>
      </c>
      <c r="H437" s="64">
        <f t="shared" si="302"/>
        <v>0</v>
      </c>
      <c r="I437" s="64"/>
      <c r="J437" s="64"/>
      <c r="K437" s="65">
        <f t="shared" si="303"/>
        <v>0</v>
      </c>
      <c r="L437" s="65">
        <f t="shared" si="304"/>
        <v>0</v>
      </c>
      <c r="M437" s="65">
        <f t="shared" si="305"/>
        <v>0</v>
      </c>
      <c r="N437" s="65">
        <f t="shared" si="306"/>
        <v>0</v>
      </c>
      <c r="O437" s="66" t="str">
        <f t="shared" si="9"/>
        <v>✕</v>
      </c>
      <c r="P437" s="67" t="str">
        <f t="shared" si="10"/>
        <v>○</v>
      </c>
      <c r="Q437" s="67" t="str">
        <f t="shared" si="307"/>
        <v>✕</v>
      </c>
      <c r="R437" s="67" t="str">
        <f t="shared" si="12"/>
        <v>✕</v>
      </c>
      <c r="S437" s="68">
        <v>0</v>
      </c>
      <c r="T437" s="69" t="s">
        <v>85</v>
      </c>
      <c r="U437" s="69" t="s">
        <v>85</v>
      </c>
      <c r="V437" s="69" t="s">
        <v>85</v>
      </c>
      <c r="W437" s="69" t="s">
        <v>85</v>
      </c>
      <c r="X437" s="69" t="s">
        <v>84</v>
      </c>
      <c r="Y437" s="69" t="s">
        <v>85</v>
      </c>
      <c r="Z437" s="69" t="s">
        <v>85</v>
      </c>
      <c r="AA437" s="69" t="s">
        <v>85</v>
      </c>
      <c r="AB437" s="69" t="s">
        <v>85</v>
      </c>
      <c r="AC437" s="69" t="s">
        <v>85</v>
      </c>
      <c r="AD437" s="38" t="str">
        <f>+IF(ISERROR(VLOOKUP($B437,AD$10:AD436,1,0)),IF(AND($N437&gt;=1000,$A437&gt;=AO$8,$A437&lt;=AO$9),$B437,""),"")</f>
        <v/>
      </c>
      <c r="AE437" s="38" t="str">
        <f>+IF(ISERROR(VLOOKUP($B437,AE$10:AE436,1,0)),IF(AND($N437&gt;=1000,$A437&gt;=AP$8,$A437&lt;=AP$9),$B437,""),"")</f>
        <v/>
      </c>
      <c r="AF437" s="38" t="str">
        <f>+IF(ISERROR(VLOOKUP($B437,AF$10:AF436,1,0)),IF(AND($N437&gt;=1000,$A437&gt;=AQ$8,$A437&lt;=AQ$9),$B437,""),"")</f>
        <v/>
      </c>
      <c r="AG437" s="38" t="str">
        <f>+IF(ISERROR(VLOOKUP($B437,AG$10:AG436,1,0)),IF(AND($N437&gt;=1000,$A437&gt;=AR$8,$A437&lt;=AR$9),$B437,""),"")</f>
        <v/>
      </c>
      <c r="AH437" s="38"/>
      <c r="AI437" s="70">
        <v>0</v>
      </c>
      <c r="AJ437" s="38">
        <f>IF(AND(AJ$7="○",$A437&gt;=AJ$8,$A437&lt;=AJ$9),IF(SUM(AJ$10:AJ436)-ROUNDDOWN($K437*AJ$5/100,0)&lt;-AJ$6,-AJ$6-SUM(AJ$10:AJ436),-ROUNDDOWN($K437*AJ$5/100,0)),0)</f>
        <v>0</v>
      </c>
      <c r="AK437" s="38">
        <f>IF(AND(AK$7="○",$A437&gt;=AK$8,$A437&lt;=AK$9),IF(SUM(AK$10:AK436)-ROUNDDOWN($L437*AK$5/100,0)&lt;-AK$6,-AK$6-SUM(AK$10:AK436),-ROUNDDOWN($L437*AK$5/100,0)),0)</f>
        <v>0</v>
      </c>
      <c r="AL437" s="38">
        <f>IF(AND(AL$7="○",$A437&gt;=AL$8,$A437&lt;=AL$9),IF(SUM(AL$10:AL436)-ROUNDDOWN($N437*AL$5/100,0)&lt;-AL$6,-AL$6-SUM(AL$10:AL436),-ROUNDDOWN($N437*AL$5/100,0)),0)</f>
        <v>0</v>
      </c>
      <c r="AM437" s="38">
        <f>IF(AND(AM$7="○",$A437&gt;=AM$8,$A437&lt;=AM$9),IF(SUM(AM$10:AM436)-ROUNDDOWN($L437*AM$5/100,0)&lt;-AM$6,-AM$6-SUM(AM$10:AM436),-ROUNDDOWN($L437*AM$5/100,0)),0)</f>
        <v>0</v>
      </c>
      <c r="AN437" s="38">
        <f>IF(AND(AN$7="○",$A437&gt;=AN$8,$A437&lt;=AN$9),IF(SUM(AN$10:AN436)-ROUNDDOWN($M437*AN$5/100,0)&lt;-AN$6,-AN$6-SUM(AN$10:AN436),-ROUNDDOWN($M437*AN$5/100,0)),0)</f>
        <v>0</v>
      </c>
      <c r="AO437" s="38">
        <f>IF(AND($A437&gt;=AO$8,$A437&lt;=AO$9),IF(SUM(AO$10:AO436)-ROUNDDOWN($K437*AO$5/100,0)&lt;-AO$6,-AO$6-SUM(AO$10:AO436),-ROUNDDOWN($K437*AO$5/100,0)),0)</f>
        <v>0</v>
      </c>
      <c r="AP437" s="38">
        <f>IF(AND($A437&gt;=AP$8,$A437&lt;=AP$9),IF(SUM(AP$10:AP436)-ROUNDDOWN($K437*AP$5/100,0)&lt;-AP$6,-AP$6-SUM(AP$10:AP436),-ROUNDDOWN($K437*AP$5/100,0)),0)</f>
        <v>0</v>
      </c>
      <c r="AQ437" s="38">
        <f>IF(AND($A437&gt;=AQ$8,$A437&lt;=AQ$9),IF(SUM(AQ$10:AQ436)-ROUNDDOWN($K437*AQ$5/100,0)&lt;-AQ$6,-AQ$6-SUM(AQ$10:AQ436),-ROUNDDOWN($K437*AQ$5/100,0)),0)</f>
        <v>0</v>
      </c>
      <c r="AR437" s="38">
        <f>IF(AND($A437&gt;=AR$8,$A437&lt;=AR$9),IF(SUM(AR$10:AR436)-ROUNDDOWN($K437*AR$5/100,0)&lt;-AR$6,-AR$6-SUM(AR$10:AR436),-ROUNDDOWN($K437*AR$5/100,0)),0)</f>
        <v>0</v>
      </c>
      <c r="AS437" s="38">
        <f>IF(SUMIFS(AS$10:AS436,$A$10:$A436,$A437)-ROUNDDOWN($K437*$S437/100,0)&lt;-$S437*1000,-$S437*1000-SUMIFS(AS$10:AS436,$A$10:$A436,$A437),-ROUNDDOWN($K437*$S437/100,0))</f>
        <v>0</v>
      </c>
      <c r="AT437" s="38">
        <f>IF(AND(X437="○",$A437&gt;=AT$8,$A437&lt;=AT$9,K437&gt;=3980),IF(SUM(AT$10:AT436)-ROUNDDOWN($K437*AT$5/100,0)&lt;-AT$6,-AT$6-SUM(AT$10:AT436),-ROUNDDOWN($K437*AT$5/100,0)),0)</f>
        <v>0</v>
      </c>
      <c r="AU437" s="38">
        <f>IF(O437="○",IF(SUM(AU$10:AU436)-ROUNDDOWN($K437*AU$5/100,0)&lt;-AU$6,-AU$6-SUM(AU$10:AU436),-ROUNDDOWN($K437*AU$5/100,0)),0)</f>
        <v>0</v>
      </c>
      <c r="AV437" s="38">
        <f>IF(P437="○",IF(SUM(AV$10:AV436)-ROUNDDOWN($K437*AV$5/100,0)&lt;-AV$6,-AV$6-SUM(AV$10:AV436),-ROUNDDOWN($K437*AV$5/100,0)),0)</f>
        <v>0</v>
      </c>
      <c r="AW437" s="38">
        <f>IF(Q437="○",IF(SUM(AW$10:AW436)-ROUNDDOWN($K437*AW$5/100,0)&lt;-AW$6,-AW$6-SUM(AW$10:AW436),-ROUNDDOWN($K437*AW$5/100,0)),0)</f>
        <v>0</v>
      </c>
      <c r="AX437" s="38">
        <f>IF(R437="○",IF(SUM(AX$10:AX436)-ROUNDDOWN($K437*AX$5/100,0)&lt;-AX$6,-AX$6-SUM(AX$10:AX436),-ROUNDDOWN($K437*AX$5/100,0)),0)</f>
        <v>0</v>
      </c>
      <c r="AY437" s="70">
        <v>0</v>
      </c>
      <c r="AZ437" s="65">
        <f t="shared" si="285"/>
        <v>0</v>
      </c>
      <c r="BA437" s="65">
        <f t="shared" si="286"/>
        <v>0</v>
      </c>
      <c r="BB437" s="70"/>
      <c r="BC437" s="65">
        <f t="shared" si="287"/>
        <v>0</v>
      </c>
      <c r="BD437" s="70">
        <v>0</v>
      </c>
      <c r="BE437" s="65">
        <f t="shared" si="288"/>
        <v>0</v>
      </c>
      <c r="BF437" s="70">
        <v>0</v>
      </c>
      <c r="BG437" s="65">
        <f t="shared" si="289"/>
        <v>0</v>
      </c>
      <c r="BH437" s="70">
        <v>0</v>
      </c>
      <c r="BI437" s="65">
        <f t="shared" si="290"/>
        <v>0</v>
      </c>
      <c r="BJ437" s="38">
        <f>IF(AND(BJ$7="○",$A437&gt;=BJ$8,$A437&lt;=BJ$9),IF(SUM(BJ$10:BJ436)-ROUNDDOWN($M437*BJ$5/100,0)&lt;-BJ$6,-BJ$6-SUM(BJ$10:BJ436),-ROUNDDOWN($M437*BJ$5/100,0)),0)</f>
        <v>0</v>
      </c>
      <c r="BK437" s="38">
        <f>IF(AND(BK$7="○",$A437&gt;=BK$8,$A437&lt;=BK$9),IF(SUM(BK$10:BK436)-ROUNDDOWN($L437*BK$5/100,0)&lt;-BK$6,-BK$6-SUM(BK$10:BK436),-ROUNDDOWN($L437*BK$5/100,0)),0)</f>
        <v>0</v>
      </c>
      <c r="BL437" s="38">
        <f>IF(AND(BL$7="○",$A437&gt;=BL$8,$A437&lt;=BL$9),IF(SUM(BL$10:BL436)-ROUNDDOWN($L437*BL$5/100,0)&lt;-BL$6,-BL$6-SUM(BL$10:BL436),-ROUNDDOWN($L437*BL$5/100,0)),0)</f>
        <v>0</v>
      </c>
      <c r="BM437" s="38">
        <f>IF(AND(BM$7="○",$A437&gt;=BM$8,$A437&lt;=BM$9),IF(SUM(BM$10:BM436)-ROUNDDOWN($M437*BM$5/100,0)&lt;-BM$6,-BM$6-SUM(BM$10:BM436),-ROUNDDOWN($M437*BM$5/100,0)),0)</f>
        <v>0</v>
      </c>
      <c r="BN437" s="38">
        <f>IF(AND(BN$7="○",$A437&gt;=BN$8,$A437&lt;=BN$9),IF(SUM(BN$10:BN436)-ROUNDDOWN($M437*BN$5/100,0)&lt;-BN$6,-BN$6-SUM(BN$10:BN436),-ROUNDDOWN($M437*BN$5/100,0)),0)</f>
        <v>0</v>
      </c>
      <c r="BO437" s="38">
        <f>IF(AND(BO$7="○",$A437&gt;=BO$8,$A437&lt;=BO$9),IF(SUM(BO$10:BO436)-ROUNDDOWN($M437*BO$5/100,0)&lt;-BO$6,-BO$6-SUM(BO$10:BO436),-ROUNDDOWN($M437*BO$5/100,0)),0)</f>
        <v>0</v>
      </c>
      <c r="BP437" s="38">
        <f>IF(AND(BP$7="○",$A437&gt;=BP$8,$A437&lt;=BP$9),IF(SUM(BP$10:BP436)-ROUNDDOWN($M437*BP$5/100,0)&lt;-BP$6,-BP$6-SUM(BP$10:BP436),-ROUNDDOWN($M437*BP$5/100,0)),0)</f>
        <v>0</v>
      </c>
      <c r="BQ437" s="38">
        <f>IF(AND(BQ$7="○",$A437&gt;=BQ$8,$A437&lt;=BQ$9),IF(SUM(BQ$10:BQ436)-ROUNDDOWN($L437*BQ$5/100,0)&lt;-BQ$6,-BQ$6-SUM(BQ$10:BQ436),-ROUNDDOWN($L437*BQ$5/100,0)),0)</f>
        <v>0</v>
      </c>
      <c r="BR437" s="38">
        <f>IF(AND(BR$7="○",$A437&gt;=BR$8,$A437&lt;=BR$9),IF(SUM(BR$10:BR436)-ROUNDDOWN($M437*BR$5/100,0)&lt;-BR$6,-BR$6-SUM(BR$10:BR436),-ROUNDDOWN($M437*BR$5/100,0)),0)</f>
        <v>0</v>
      </c>
      <c r="BS437" s="38">
        <f>IF(AND(BS$7="○",$A437&gt;=BS$8,$A437&lt;=BS$9),IF(SUM(BS$10:BS436)-ROUNDDOWN($M437*BS$5/100,0)&lt;-BS$6,-BS$6-SUM(BS$10:BS436),-ROUNDDOWN($M437*BS$5/100,0)),0)</f>
        <v>0</v>
      </c>
      <c r="BT437" s="38">
        <f>IF(AND(BT$7="○",$A437&gt;=BT$8,$A437&lt;=BT$9),IF(SUM(BT$10:BT436)-ROUNDDOWN($M437*BT$5/100,0)&lt;-BT$6,-BT$6-SUM(BT$10:BT436),-ROUNDDOWN($M437*BT$5/100,0)),0)</f>
        <v>0</v>
      </c>
      <c r="BU437" s="38">
        <f>IF(AND(BU$7="○",$A437&gt;=BU$8,$A437&lt;=BU$9),IF(SUM(BU$10:BU436)-ROUNDDOWN($M437*BU$5/100,0)&lt;-BU$6,-BU$6-SUM(BU$10:BU436),-ROUNDDOWN($M437*BU$5/100,0)),0)</f>
        <v>0</v>
      </c>
      <c r="BV437" s="38">
        <f>IF(AND(BV$7="○",$A437&gt;=BV$8,$A437&lt;=BV$9),IF(SUM(BV$10:BV436)-ROUNDDOWN($M437*BV$5/100,0)&lt;-BV$6,-BV$6-SUM(BV$10:BV436),-ROUNDDOWN($M437*BV$5/100,0)),0)</f>
        <v>0</v>
      </c>
      <c r="BW437" s="38">
        <f>IF(AND(BW$7="○",$A437&gt;=BW$8,$A437&lt;=BW$9),IF(SUM(BW$10:BW436)-ROUNDDOWN($M437*BW$5/100,0)&lt;-BW$6,-BW$6-SUM(BW$10:BW436),-ROUNDDOWN($M437*BW$5/100,0)),0)</f>
        <v>0</v>
      </c>
      <c r="BX437" s="38">
        <f>IF(AND(T437="○",$A437&gt;=BX$8,$A437&lt;=BX$9),IF(SUM(BX$10:BX436)-ROUNDDOWN($K437*BX$5/100,0)&lt;-BX$6,-BX$6-SUM(BX$10:BX436),-ROUNDDOWN($K437*BX$5/100,0)),0)</f>
        <v>0</v>
      </c>
      <c r="BY437" s="38">
        <f>IF(AND(U437="○",$A437&gt;=BY$8,$A437&lt;=BY$9),IF(SUM(BY$10:BY436)-ROUNDDOWN($K437*BY$5/100,0)&lt;-BY$6,-BY$6-SUM(BY$10:BY436),-ROUNDDOWN($K437*BY$5/100,0)),0)</f>
        <v>0</v>
      </c>
      <c r="BZ437" s="38">
        <f>IF(AND(V437="○",$A437&gt;=BZ$8,$A437&lt;=BZ$9),IF(SUM(BZ$10:BZ436)-ROUNDDOWN($K437*BZ$5/100,0)&lt;-BZ$6,-BZ$6-SUM(BZ$10:BZ436),-ROUNDDOWN($K437*BZ$5/100,0)),0)</f>
        <v>0</v>
      </c>
      <c r="CA437" s="38">
        <f>IF(AND(W437="○",$A437&gt;=CA$8,$A437&lt;=CA$9),IF(SUM(CA$10:CA436)-ROUNDDOWN($K437*CA$5/100,0)&lt;-CA$6,-CA$6-SUM(CA$10:CA436),-ROUNDDOWN($K437*CA$5/100,0)),0)</f>
        <v>0</v>
      </c>
      <c r="CB437" s="38"/>
      <c r="CC437" s="38"/>
      <c r="CD437" s="38"/>
      <c r="CE437" s="38"/>
      <c r="CF437" s="38"/>
      <c r="CG437" s="65">
        <f t="shared" si="291"/>
        <v>0</v>
      </c>
      <c r="CH437" s="71">
        <f t="shared" si="292"/>
        <v>0</v>
      </c>
      <c r="CI437" s="1">
        <f t="shared" si="308"/>
        <v>0</v>
      </c>
      <c r="CJ437" s="1"/>
      <c r="CK437" s="72"/>
      <c r="CL437" s="72"/>
      <c r="CM437" s="2"/>
      <c r="CN437" s="2"/>
      <c r="CO437" s="73">
        <f t="shared" si="309"/>
        <v>0</v>
      </c>
      <c r="CP437" s="5">
        <f t="shared" si="310"/>
        <v>0</v>
      </c>
      <c r="CQ437" s="1"/>
      <c r="CR437" s="1">
        <f t="shared" si="311"/>
        <v>0</v>
      </c>
      <c r="CS437" s="1"/>
      <c r="CT437" s="1" t="e">
        <f>INDEX([2]マスタ!$A:$A,MATCH(D437,[2]マスタ!$C:$C,0))</f>
        <v>#N/A</v>
      </c>
      <c r="CU437" s="1" t="str">
        <f t="shared" ca="1" si="312"/>
        <v>20260620_0-0</v>
      </c>
    </row>
    <row r="438" spans="1:99" x14ac:dyDescent="0.4">
      <c r="A438" s="61"/>
      <c r="B438" s="62"/>
      <c r="C438" s="62"/>
      <c r="D438" s="62"/>
      <c r="E438" s="63"/>
      <c r="F438" s="62"/>
      <c r="G438" s="62">
        <v>1</v>
      </c>
      <c r="H438" s="64">
        <f t="shared" si="302"/>
        <v>0</v>
      </c>
      <c r="I438" s="64"/>
      <c r="J438" s="64"/>
      <c r="K438" s="65">
        <f t="shared" si="303"/>
        <v>0</v>
      </c>
      <c r="L438" s="65">
        <f t="shared" si="304"/>
        <v>0</v>
      </c>
      <c r="M438" s="65">
        <f t="shared" si="305"/>
        <v>0</v>
      </c>
      <c r="N438" s="65">
        <f t="shared" si="306"/>
        <v>0</v>
      </c>
      <c r="O438" s="66" t="str">
        <f t="shared" si="9"/>
        <v>✕</v>
      </c>
      <c r="P438" s="67" t="str">
        <f t="shared" si="10"/>
        <v>○</v>
      </c>
      <c r="Q438" s="67" t="str">
        <f t="shared" si="307"/>
        <v>✕</v>
      </c>
      <c r="R438" s="67" t="str">
        <f t="shared" si="12"/>
        <v>✕</v>
      </c>
      <c r="S438" s="68">
        <v>0</v>
      </c>
      <c r="T438" s="69" t="s">
        <v>85</v>
      </c>
      <c r="U438" s="69" t="s">
        <v>85</v>
      </c>
      <c r="V438" s="69" t="s">
        <v>85</v>
      </c>
      <c r="W438" s="69" t="s">
        <v>85</v>
      </c>
      <c r="X438" s="69" t="s">
        <v>84</v>
      </c>
      <c r="Y438" s="69" t="s">
        <v>85</v>
      </c>
      <c r="Z438" s="69" t="s">
        <v>85</v>
      </c>
      <c r="AA438" s="69" t="s">
        <v>85</v>
      </c>
      <c r="AB438" s="69" t="s">
        <v>85</v>
      </c>
      <c r="AC438" s="69" t="s">
        <v>85</v>
      </c>
      <c r="AD438" s="38" t="str">
        <f>+IF(ISERROR(VLOOKUP($B438,AD$10:AD437,1,0)),IF(AND($N438&gt;=1000,$A438&gt;=AO$8,$A438&lt;=AO$9),$B438,""),"")</f>
        <v/>
      </c>
      <c r="AE438" s="38" t="str">
        <f>+IF(ISERROR(VLOOKUP($B438,AE$10:AE437,1,0)),IF(AND($N438&gt;=1000,$A438&gt;=AP$8,$A438&lt;=AP$9),$B438,""),"")</f>
        <v/>
      </c>
      <c r="AF438" s="38" t="str">
        <f>+IF(ISERROR(VLOOKUP($B438,AF$10:AF437,1,0)),IF(AND($N438&gt;=1000,$A438&gt;=AQ$8,$A438&lt;=AQ$9),$B438,""),"")</f>
        <v/>
      </c>
      <c r="AG438" s="38" t="str">
        <f>+IF(ISERROR(VLOOKUP($B438,AG$10:AG437,1,0)),IF(AND($N438&gt;=1000,$A438&gt;=AR$8,$A438&lt;=AR$9),$B438,""),"")</f>
        <v/>
      </c>
      <c r="AH438" s="38"/>
      <c r="AI438" s="70">
        <v>0</v>
      </c>
      <c r="AJ438" s="38">
        <f>IF(AND(AJ$7="○",$A438&gt;=AJ$8,$A438&lt;=AJ$9),IF(SUM(AJ$10:AJ437)-ROUNDDOWN($K438*AJ$5/100,0)&lt;-AJ$6,-AJ$6-SUM(AJ$10:AJ437),-ROUNDDOWN($K438*AJ$5/100,0)),0)</f>
        <v>0</v>
      </c>
      <c r="AK438" s="38">
        <f>IF(AND(AK$7="○",$A438&gt;=AK$8,$A438&lt;=AK$9),IF(SUM(AK$10:AK437)-ROUNDDOWN($L438*AK$5/100,0)&lt;-AK$6,-AK$6-SUM(AK$10:AK437),-ROUNDDOWN($L438*AK$5/100,0)),0)</f>
        <v>0</v>
      </c>
      <c r="AL438" s="38">
        <f>IF(AND(AL$7="○",$A438&gt;=AL$8,$A438&lt;=AL$9),IF(SUM(AL$10:AL437)-ROUNDDOWN($N438*AL$5/100,0)&lt;-AL$6,-AL$6-SUM(AL$10:AL437),-ROUNDDOWN($N438*AL$5/100,0)),0)</f>
        <v>0</v>
      </c>
      <c r="AM438" s="38">
        <f>IF(AND(AM$7="○",$A438&gt;=AM$8,$A438&lt;=AM$9),IF(SUM(AM$10:AM437)-ROUNDDOWN($L438*AM$5/100,0)&lt;-AM$6,-AM$6-SUM(AM$10:AM437),-ROUNDDOWN($L438*AM$5/100,0)),0)</f>
        <v>0</v>
      </c>
      <c r="AN438" s="38">
        <f>IF(AND(AN$7="○",$A438&gt;=AN$8,$A438&lt;=AN$9),IF(SUM(AN$10:AN437)-ROUNDDOWN($M438*AN$5/100,0)&lt;-AN$6,-AN$6-SUM(AN$10:AN437),-ROUNDDOWN($M438*AN$5/100,0)),0)</f>
        <v>0</v>
      </c>
      <c r="AO438" s="38">
        <f>IF(AND($A438&gt;=AO$8,$A438&lt;=AO$9),IF(SUM(AO$10:AO437)-ROUNDDOWN($K438*AO$5/100,0)&lt;-AO$6,-AO$6-SUM(AO$10:AO437),-ROUNDDOWN($K438*AO$5/100,0)),0)</f>
        <v>0</v>
      </c>
      <c r="AP438" s="38">
        <f>IF(AND($A438&gt;=AP$8,$A438&lt;=AP$9),IF(SUM(AP$10:AP437)-ROUNDDOWN($K438*AP$5/100,0)&lt;-AP$6,-AP$6-SUM(AP$10:AP437),-ROUNDDOWN($K438*AP$5/100,0)),0)</f>
        <v>0</v>
      </c>
      <c r="AQ438" s="38">
        <f>IF(AND($A438&gt;=AQ$8,$A438&lt;=AQ$9),IF(SUM(AQ$10:AQ437)-ROUNDDOWN($K438*AQ$5/100,0)&lt;-AQ$6,-AQ$6-SUM(AQ$10:AQ437),-ROUNDDOWN($K438*AQ$5/100,0)),0)</f>
        <v>0</v>
      </c>
      <c r="AR438" s="38">
        <f>IF(AND($A438&gt;=AR$8,$A438&lt;=AR$9),IF(SUM(AR$10:AR437)-ROUNDDOWN($K438*AR$5/100,0)&lt;-AR$6,-AR$6-SUM(AR$10:AR437),-ROUNDDOWN($K438*AR$5/100,0)),0)</f>
        <v>0</v>
      </c>
      <c r="AS438" s="38">
        <f>IF(SUMIFS(AS$10:AS437,$A$10:$A437,$A438)-ROUNDDOWN($K438*$S438/100,0)&lt;-$S438*1000,-$S438*1000-SUMIFS(AS$10:AS437,$A$10:$A437,$A438),-ROUNDDOWN($K438*$S438/100,0))</f>
        <v>0</v>
      </c>
      <c r="AT438" s="38">
        <f>IF(AND(X438="○",$A438&gt;=AT$8,$A438&lt;=AT$9,K438&gt;=3980),IF(SUM(AT$10:AT437)-ROUNDDOWN($K438*AT$5/100,0)&lt;-AT$6,-AT$6-SUM(AT$10:AT437),-ROUNDDOWN($K438*AT$5/100,0)),0)</f>
        <v>0</v>
      </c>
      <c r="AU438" s="38">
        <f>IF(O438="○",IF(SUM(AU$10:AU437)-ROUNDDOWN($K438*AU$5/100,0)&lt;-AU$6,-AU$6-SUM(AU$10:AU437),-ROUNDDOWN($K438*AU$5/100,0)),0)</f>
        <v>0</v>
      </c>
      <c r="AV438" s="38">
        <f>IF(P438="○",IF(SUM(AV$10:AV437)-ROUNDDOWN($K438*AV$5/100,0)&lt;-AV$6,-AV$6-SUM(AV$10:AV437),-ROUNDDOWN($K438*AV$5/100,0)),0)</f>
        <v>0</v>
      </c>
      <c r="AW438" s="38">
        <f>IF(Q438="○",IF(SUM(AW$10:AW437)-ROUNDDOWN($K438*AW$5/100,0)&lt;-AW$6,-AW$6-SUM(AW$10:AW437),-ROUNDDOWN($K438*AW$5/100,0)),0)</f>
        <v>0</v>
      </c>
      <c r="AX438" s="38">
        <f>IF(R438="○",IF(SUM(AX$10:AX437)-ROUNDDOWN($K438*AX$5/100,0)&lt;-AX$6,-AX$6-SUM(AX$10:AX437),-ROUNDDOWN($K438*AX$5/100,0)),0)</f>
        <v>0</v>
      </c>
      <c r="AY438" s="70">
        <v>0</v>
      </c>
      <c r="AZ438" s="65">
        <f t="shared" si="285"/>
        <v>0</v>
      </c>
      <c r="BA438" s="65">
        <f t="shared" si="286"/>
        <v>0</v>
      </c>
      <c r="BB438" s="70"/>
      <c r="BC438" s="65">
        <f t="shared" si="287"/>
        <v>0</v>
      </c>
      <c r="BD438" s="70">
        <v>0</v>
      </c>
      <c r="BE438" s="65">
        <f t="shared" si="288"/>
        <v>0</v>
      </c>
      <c r="BF438" s="70">
        <v>0</v>
      </c>
      <c r="BG438" s="65">
        <f t="shared" si="289"/>
        <v>0</v>
      </c>
      <c r="BH438" s="70">
        <v>0</v>
      </c>
      <c r="BI438" s="65">
        <f t="shared" si="290"/>
        <v>0</v>
      </c>
      <c r="BJ438" s="38">
        <f>IF(AND(BJ$7="○",$A438&gt;=BJ$8,$A438&lt;=BJ$9),IF(SUM(BJ$10:BJ437)-ROUNDDOWN($M438*BJ$5/100,0)&lt;-BJ$6,-BJ$6-SUM(BJ$10:BJ437),-ROUNDDOWN($M438*BJ$5/100,0)),0)</f>
        <v>0</v>
      </c>
      <c r="BK438" s="38">
        <f>IF(AND(BK$7="○",$A438&gt;=BK$8,$A438&lt;=BK$9),IF(SUM(BK$10:BK437)-ROUNDDOWN($L438*BK$5/100,0)&lt;-BK$6,-BK$6-SUM(BK$10:BK437),-ROUNDDOWN($L438*BK$5/100,0)),0)</f>
        <v>0</v>
      </c>
      <c r="BL438" s="38">
        <f>IF(AND(BL$7="○",$A438&gt;=BL$8,$A438&lt;=BL$9),IF(SUM(BL$10:BL437)-ROUNDDOWN($L438*BL$5/100,0)&lt;-BL$6,-BL$6-SUM(BL$10:BL437),-ROUNDDOWN($L438*BL$5/100,0)),0)</f>
        <v>0</v>
      </c>
      <c r="BM438" s="38">
        <f>IF(AND(BM$7="○",$A438&gt;=BM$8,$A438&lt;=BM$9),IF(SUM(BM$10:BM437)-ROUNDDOWN($M438*BM$5/100,0)&lt;-BM$6,-BM$6-SUM(BM$10:BM437),-ROUNDDOWN($M438*BM$5/100,0)),0)</f>
        <v>0</v>
      </c>
      <c r="BN438" s="38">
        <f>IF(AND(BN$7="○",$A438&gt;=BN$8,$A438&lt;=BN$9),IF(SUM(BN$10:BN437)-ROUNDDOWN($M438*BN$5/100,0)&lt;-BN$6,-BN$6-SUM(BN$10:BN437),-ROUNDDOWN($M438*BN$5/100,0)),0)</f>
        <v>0</v>
      </c>
      <c r="BO438" s="38">
        <f>IF(AND(BO$7="○",$A438&gt;=BO$8,$A438&lt;=BO$9),IF(SUM(BO$10:BO437)-ROUNDDOWN($M438*BO$5/100,0)&lt;-BO$6,-BO$6-SUM(BO$10:BO437),-ROUNDDOWN($M438*BO$5/100,0)),0)</f>
        <v>0</v>
      </c>
      <c r="BP438" s="38">
        <f>IF(AND(BP$7="○",$A438&gt;=BP$8,$A438&lt;=BP$9),IF(SUM(BP$10:BP437)-ROUNDDOWN($M438*BP$5/100,0)&lt;-BP$6,-BP$6-SUM(BP$10:BP437),-ROUNDDOWN($M438*BP$5/100,0)),0)</f>
        <v>0</v>
      </c>
      <c r="BQ438" s="38">
        <f>IF(AND(BQ$7="○",$A438&gt;=BQ$8,$A438&lt;=BQ$9),IF(SUM(BQ$10:BQ437)-ROUNDDOWN($L438*BQ$5/100,0)&lt;-BQ$6,-BQ$6-SUM(BQ$10:BQ437),-ROUNDDOWN($L438*BQ$5/100,0)),0)</f>
        <v>0</v>
      </c>
      <c r="BR438" s="38">
        <f>IF(AND(BR$7="○",$A438&gt;=BR$8,$A438&lt;=BR$9),IF(SUM(BR$10:BR437)-ROUNDDOWN($M438*BR$5/100,0)&lt;-BR$6,-BR$6-SUM(BR$10:BR437),-ROUNDDOWN($M438*BR$5/100,0)),0)</f>
        <v>0</v>
      </c>
      <c r="BS438" s="38">
        <f>IF(AND(BS$7="○",$A438&gt;=BS$8,$A438&lt;=BS$9),IF(SUM(BS$10:BS437)-ROUNDDOWN($M438*BS$5/100,0)&lt;-BS$6,-BS$6-SUM(BS$10:BS437),-ROUNDDOWN($M438*BS$5/100,0)),0)</f>
        <v>0</v>
      </c>
      <c r="BT438" s="38">
        <f>IF(AND(BT$7="○",$A438&gt;=BT$8,$A438&lt;=BT$9),IF(SUM(BT$10:BT437)-ROUNDDOWN($M438*BT$5/100,0)&lt;-BT$6,-BT$6-SUM(BT$10:BT437),-ROUNDDOWN($M438*BT$5/100,0)),0)</f>
        <v>0</v>
      </c>
      <c r="BU438" s="38">
        <f>IF(AND(BU$7="○",$A438&gt;=BU$8,$A438&lt;=BU$9),IF(SUM(BU$10:BU437)-ROUNDDOWN($M438*BU$5/100,0)&lt;-BU$6,-BU$6-SUM(BU$10:BU437),-ROUNDDOWN($M438*BU$5/100,0)),0)</f>
        <v>0</v>
      </c>
      <c r="BV438" s="38">
        <f>IF(AND(BV$7="○",$A438&gt;=BV$8,$A438&lt;=BV$9),IF(SUM(BV$10:BV437)-ROUNDDOWN($M438*BV$5/100,0)&lt;-BV$6,-BV$6-SUM(BV$10:BV437),-ROUNDDOWN($M438*BV$5/100,0)),0)</f>
        <v>0</v>
      </c>
      <c r="BW438" s="38">
        <f>IF(AND(BW$7="○",$A438&gt;=BW$8,$A438&lt;=BW$9),IF(SUM(BW$10:BW437)-ROUNDDOWN($M438*BW$5/100,0)&lt;-BW$6,-BW$6-SUM(BW$10:BW437),-ROUNDDOWN($M438*BW$5/100,0)),0)</f>
        <v>0</v>
      </c>
      <c r="BX438" s="38">
        <f>IF(AND(T438="○",$A438&gt;=BX$8,$A438&lt;=BX$9),IF(SUM(BX$10:BX437)-ROUNDDOWN($K438*BX$5/100,0)&lt;-BX$6,-BX$6-SUM(BX$10:BX437),-ROUNDDOWN($K438*BX$5/100,0)),0)</f>
        <v>0</v>
      </c>
      <c r="BY438" s="38">
        <f>IF(AND(U438="○",$A438&gt;=BY$8,$A438&lt;=BY$9),IF(SUM(BY$10:BY437)-ROUNDDOWN($K438*BY$5/100,0)&lt;-BY$6,-BY$6-SUM(BY$10:BY437),-ROUNDDOWN($K438*BY$5/100,0)),0)</f>
        <v>0</v>
      </c>
      <c r="BZ438" s="38">
        <f>IF(AND(V438="○",$A438&gt;=BZ$8,$A438&lt;=BZ$9),IF(SUM(BZ$10:BZ437)-ROUNDDOWN($K438*BZ$5/100,0)&lt;-BZ$6,-BZ$6-SUM(BZ$10:BZ437),-ROUNDDOWN($K438*BZ$5/100,0)),0)</f>
        <v>0</v>
      </c>
      <c r="CA438" s="38">
        <f>IF(AND(W438="○",$A438&gt;=CA$8,$A438&lt;=CA$9),IF(SUM(CA$10:CA437)-ROUNDDOWN($K438*CA$5/100,0)&lt;-CA$6,-CA$6-SUM(CA$10:CA437),-ROUNDDOWN($K438*CA$5/100,0)),0)</f>
        <v>0</v>
      </c>
      <c r="CB438" s="38"/>
      <c r="CC438" s="38"/>
      <c r="CD438" s="38"/>
      <c r="CE438" s="38"/>
      <c r="CF438" s="38"/>
      <c r="CG438" s="65">
        <f t="shared" si="291"/>
        <v>0</v>
      </c>
      <c r="CH438" s="71">
        <f t="shared" si="292"/>
        <v>0</v>
      </c>
      <c r="CI438" s="1">
        <f t="shared" si="308"/>
        <v>0</v>
      </c>
      <c r="CJ438" s="1"/>
      <c r="CK438" s="72"/>
      <c r="CL438" s="72"/>
      <c r="CM438" s="2"/>
      <c r="CN438" s="2"/>
      <c r="CO438" s="73">
        <f t="shared" si="309"/>
        <v>0</v>
      </c>
      <c r="CP438" s="5">
        <f t="shared" si="310"/>
        <v>0</v>
      </c>
      <c r="CQ438" s="1"/>
      <c r="CR438" s="1">
        <f t="shared" si="311"/>
        <v>0</v>
      </c>
      <c r="CS438" s="1"/>
      <c r="CT438" s="1" t="e">
        <f>INDEX([2]マスタ!$A:$A,MATCH(D438,[2]マスタ!$C:$C,0))</f>
        <v>#N/A</v>
      </c>
      <c r="CU438" s="1" t="str">
        <f t="shared" ca="1" si="312"/>
        <v>20260620_0-0</v>
      </c>
    </row>
    <row r="439" spans="1:99" x14ac:dyDescent="0.4">
      <c r="A439" s="61"/>
      <c r="B439" s="62"/>
      <c r="C439" s="62"/>
      <c r="D439" s="62"/>
      <c r="E439" s="74"/>
      <c r="F439" s="62"/>
      <c r="G439" s="62">
        <v>1</v>
      </c>
      <c r="H439" s="64">
        <f t="shared" si="302"/>
        <v>0</v>
      </c>
      <c r="I439" s="64"/>
      <c r="J439" s="64"/>
      <c r="K439" s="65">
        <f t="shared" si="303"/>
        <v>0</v>
      </c>
      <c r="L439" s="65">
        <f t="shared" si="304"/>
        <v>0</v>
      </c>
      <c r="M439" s="65">
        <f t="shared" si="305"/>
        <v>0</v>
      </c>
      <c r="N439" s="65">
        <f t="shared" si="306"/>
        <v>0</v>
      </c>
      <c r="O439" s="66" t="str">
        <f t="shared" si="9"/>
        <v>✕</v>
      </c>
      <c r="P439" s="67" t="str">
        <f t="shared" si="10"/>
        <v>○</v>
      </c>
      <c r="Q439" s="67" t="str">
        <f t="shared" si="307"/>
        <v>✕</v>
      </c>
      <c r="R439" s="67" t="str">
        <f t="shared" si="12"/>
        <v>✕</v>
      </c>
      <c r="S439" s="68">
        <v>0</v>
      </c>
      <c r="T439" s="69" t="s">
        <v>85</v>
      </c>
      <c r="U439" s="69" t="s">
        <v>85</v>
      </c>
      <c r="V439" s="69" t="s">
        <v>85</v>
      </c>
      <c r="W439" s="69" t="s">
        <v>85</v>
      </c>
      <c r="X439" s="69" t="s">
        <v>84</v>
      </c>
      <c r="Y439" s="69" t="s">
        <v>85</v>
      </c>
      <c r="Z439" s="69" t="s">
        <v>85</v>
      </c>
      <c r="AA439" s="69" t="s">
        <v>85</v>
      </c>
      <c r="AB439" s="69" t="s">
        <v>85</v>
      </c>
      <c r="AC439" s="69" t="s">
        <v>85</v>
      </c>
      <c r="AD439" s="38" t="str">
        <f>+IF(ISERROR(VLOOKUP($B439,AD$10:AD438,1,0)),IF(AND($N439&gt;=1000,$A439&gt;=AO$8,$A439&lt;=AO$9),$B439,""),"")</f>
        <v/>
      </c>
      <c r="AE439" s="38" t="str">
        <f>+IF(ISERROR(VLOOKUP($B439,AE$10:AE438,1,0)),IF(AND($N439&gt;=1000,$A439&gt;=AP$8,$A439&lt;=AP$9),$B439,""),"")</f>
        <v/>
      </c>
      <c r="AF439" s="38" t="str">
        <f>+IF(ISERROR(VLOOKUP($B439,AF$10:AF438,1,0)),IF(AND($N439&gt;=1000,$A439&gt;=AQ$8,$A439&lt;=AQ$9),$B439,""),"")</f>
        <v/>
      </c>
      <c r="AG439" s="38" t="str">
        <f>+IF(ISERROR(VLOOKUP($B439,AG$10:AG438,1,0)),IF(AND($N439&gt;=1000,$A439&gt;=AR$8,$A439&lt;=AR$9),$B439,""),"")</f>
        <v/>
      </c>
      <c r="AH439" s="38"/>
      <c r="AI439" s="70">
        <v>0</v>
      </c>
      <c r="AJ439" s="38">
        <f>IF(AND(AJ$7="○",$A439&gt;=AJ$8,$A439&lt;=AJ$9),IF(SUM(AJ$10:AJ438)-ROUNDDOWN($K439*AJ$5/100,0)&lt;-AJ$6,-AJ$6-SUM(AJ$10:AJ438),-ROUNDDOWN($K439*AJ$5/100,0)),0)</f>
        <v>0</v>
      </c>
      <c r="AK439" s="38">
        <f>IF(AND(AK$7="○",$A439&gt;=AK$8,$A439&lt;=AK$9),IF(SUM(AK$10:AK438)-ROUNDDOWN($L439*AK$5/100,0)&lt;-AK$6,-AK$6-SUM(AK$10:AK438),-ROUNDDOWN($L439*AK$5/100,0)),0)</f>
        <v>0</v>
      </c>
      <c r="AL439" s="38">
        <f>IF(AND(AL$7="○",$A439&gt;=AL$8,$A439&lt;=AL$9),IF(SUM(AL$10:AL438)-ROUNDDOWN($N439*AL$5/100,0)&lt;-AL$6,-AL$6-SUM(AL$10:AL438),-ROUNDDOWN($N439*AL$5/100,0)),0)</f>
        <v>0</v>
      </c>
      <c r="AM439" s="38">
        <f>IF(AND(AM$7="○",$A439&gt;=AM$8,$A439&lt;=AM$9),IF(SUM(AM$10:AM438)-ROUNDDOWN($L439*AM$5/100,0)&lt;-AM$6,-AM$6-SUM(AM$10:AM438),-ROUNDDOWN($L439*AM$5/100,0)),0)</f>
        <v>0</v>
      </c>
      <c r="AN439" s="38">
        <f>IF(AND(AN$7="○",$A439&gt;=AN$8,$A439&lt;=AN$9),IF(SUM(AN$10:AN438)-ROUNDDOWN($M439*AN$5/100,0)&lt;-AN$6,-AN$6-SUM(AN$10:AN438),-ROUNDDOWN($M439*AN$5/100,0)),0)</f>
        <v>0</v>
      </c>
      <c r="AO439" s="38">
        <f>IF(AND($A439&gt;=AO$8,$A439&lt;=AO$9),IF(SUM(AO$10:AO438)-ROUNDDOWN($K439*AO$5/100,0)&lt;-AO$6,-AO$6-SUM(AO$10:AO438),-ROUNDDOWN($K439*AO$5/100,0)),0)</f>
        <v>0</v>
      </c>
      <c r="AP439" s="38">
        <f>IF(AND($A439&gt;=AP$8,$A439&lt;=AP$9),IF(SUM(AP$10:AP438)-ROUNDDOWN($K439*AP$5/100,0)&lt;-AP$6,-AP$6-SUM(AP$10:AP438),-ROUNDDOWN($K439*AP$5/100,0)),0)</f>
        <v>0</v>
      </c>
      <c r="AQ439" s="38">
        <f>IF(AND($A439&gt;=AQ$8,$A439&lt;=AQ$9),IF(SUM(AQ$10:AQ438)-ROUNDDOWN($K439*AQ$5/100,0)&lt;-AQ$6,-AQ$6-SUM(AQ$10:AQ438),-ROUNDDOWN($K439*AQ$5/100,0)),0)</f>
        <v>0</v>
      </c>
      <c r="AR439" s="38">
        <f>IF(AND($A439&gt;=AR$8,$A439&lt;=AR$9),IF(SUM(AR$10:AR438)-ROUNDDOWN($K439*AR$5/100,0)&lt;-AR$6,-AR$6-SUM(AR$10:AR438),-ROUNDDOWN($K439*AR$5/100,0)),0)</f>
        <v>0</v>
      </c>
      <c r="AS439" s="38">
        <f>IF(SUMIFS(AS$10:AS438,$A$10:$A438,$A439)-ROUNDDOWN($K439*$S439/100,0)&lt;-$S439*1000,-$S439*1000-SUMIFS(AS$10:AS438,$A$10:$A438,$A439),-ROUNDDOWN($K439*$S439/100,0))</f>
        <v>0</v>
      </c>
      <c r="AT439" s="38">
        <f>IF(AND(X439="○",$A439&gt;=AT$8,$A439&lt;=AT$9,K439&gt;=3980),IF(SUM(AT$10:AT438)-ROUNDDOWN($K439*AT$5/100,0)&lt;-AT$6,-AT$6-SUM(AT$10:AT438),-ROUNDDOWN($K439*AT$5/100,0)),0)</f>
        <v>0</v>
      </c>
      <c r="AU439" s="38">
        <f>IF(O439="○",IF(SUM(AU$10:AU438)-ROUNDDOWN($K439*AU$5/100,0)&lt;-AU$6,-AU$6-SUM(AU$10:AU438),-ROUNDDOWN($K439*AU$5/100,0)),0)</f>
        <v>0</v>
      </c>
      <c r="AV439" s="38">
        <f>IF(P439="○",IF(SUM(AV$10:AV438)-ROUNDDOWN($K439*AV$5/100,0)&lt;-AV$6,-AV$6-SUM(AV$10:AV438),-ROUNDDOWN($K439*AV$5/100,0)),0)</f>
        <v>0</v>
      </c>
      <c r="AW439" s="38">
        <f>IF(Q439="○",IF(SUM(AW$10:AW438)-ROUNDDOWN($K439*AW$5/100,0)&lt;-AW$6,-AW$6-SUM(AW$10:AW438),-ROUNDDOWN($K439*AW$5/100,0)),0)</f>
        <v>0</v>
      </c>
      <c r="AX439" s="38">
        <f>IF(R439="○",IF(SUM(AX$10:AX438)-ROUNDDOWN($K439*AX$5/100,0)&lt;-AX$6,-AX$6-SUM(AX$10:AX438),-ROUNDDOWN($K439*AX$5/100,0)),0)</f>
        <v>0</v>
      </c>
      <c r="AY439" s="70">
        <v>0</v>
      </c>
      <c r="AZ439" s="65">
        <f t="shared" si="285"/>
        <v>0</v>
      </c>
      <c r="BA439" s="65">
        <f t="shared" si="286"/>
        <v>0</v>
      </c>
      <c r="BB439" s="70"/>
      <c r="BC439" s="65">
        <f t="shared" si="287"/>
        <v>0</v>
      </c>
      <c r="BD439" s="70">
        <v>0</v>
      </c>
      <c r="BE439" s="65">
        <f t="shared" si="288"/>
        <v>0</v>
      </c>
      <c r="BF439" s="70">
        <v>0</v>
      </c>
      <c r="BG439" s="65">
        <f t="shared" si="289"/>
        <v>0</v>
      </c>
      <c r="BH439" s="70">
        <v>0</v>
      </c>
      <c r="BI439" s="65">
        <f t="shared" si="290"/>
        <v>0</v>
      </c>
      <c r="BJ439" s="38">
        <f>IF(AND(BJ$7="○",$A439&gt;=BJ$8,$A439&lt;=BJ$9),IF(SUM(BJ$10:BJ438)-ROUNDDOWN($M439*BJ$5/100,0)&lt;-BJ$6,-BJ$6-SUM(BJ$10:BJ438),-ROUNDDOWN($M439*BJ$5/100,0)),0)</f>
        <v>0</v>
      </c>
      <c r="BK439" s="38">
        <f>IF(AND(BK$7="○",$A439&gt;=BK$8,$A439&lt;=BK$9),IF(SUM(BK$10:BK438)-ROUNDDOWN($L439*BK$5/100,0)&lt;-BK$6,-BK$6-SUM(BK$10:BK438),-ROUNDDOWN($L439*BK$5/100,0)),0)</f>
        <v>0</v>
      </c>
      <c r="BL439" s="38">
        <f>IF(AND(BL$7="○",$A439&gt;=BL$8,$A439&lt;=BL$9),IF(SUM(BL$10:BL438)-ROUNDDOWN($L439*BL$5/100,0)&lt;-BL$6,-BL$6-SUM(BL$10:BL438),-ROUNDDOWN($L439*BL$5/100,0)),0)</f>
        <v>0</v>
      </c>
      <c r="BM439" s="38">
        <f>IF(AND(BM$7="○",$A439&gt;=BM$8,$A439&lt;=BM$9),IF(SUM(BM$10:BM438)-ROUNDDOWN($M439*BM$5/100,0)&lt;-BM$6,-BM$6-SUM(BM$10:BM438),-ROUNDDOWN($M439*BM$5/100,0)),0)</f>
        <v>0</v>
      </c>
      <c r="BN439" s="38">
        <f>IF(AND(BN$7="○",$A439&gt;=BN$8,$A439&lt;=BN$9),IF(SUM(BN$10:BN438)-ROUNDDOWN($M439*BN$5/100,0)&lt;-BN$6,-BN$6-SUM(BN$10:BN438),-ROUNDDOWN($M439*BN$5/100,0)),0)</f>
        <v>0</v>
      </c>
      <c r="BO439" s="38">
        <f>IF(AND(BO$7="○",$A439&gt;=BO$8,$A439&lt;=BO$9),IF(SUM(BO$10:BO438)-ROUNDDOWN($M439*BO$5/100,0)&lt;-BO$6,-BO$6-SUM(BO$10:BO438),-ROUNDDOWN($M439*BO$5/100,0)),0)</f>
        <v>0</v>
      </c>
      <c r="BP439" s="38">
        <f>IF(AND(BP$7="○",$A439&gt;=BP$8,$A439&lt;=BP$9),IF(SUM(BP$10:BP438)-ROUNDDOWN($M439*BP$5/100,0)&lt;-BP$6,-BP$6-SUM(BP$10:BP438),-ROUNDDOWN($M439*BP$5/100,0)),0)</f>
        <v>0</v>
      </c>
      <c r="BQ439" s="38">
        <f>IF(AND(BQ$7="○",$A439&gt;=BQ$8,$A439&lt;=BQ$9),IF(SUM(BQ$10:BQ438)-ROUNDDOWN($L439*BQ$5/100,0)&lt;-BQ$6,-BQ$6-SUM(BQ$10:BQ438),-ROUNDDOWN($L439*BQ$5/100,0)),0)</f>
        <v>0</v>
      </c>
      <c r="BR439" s="38">
        <f>IF(AND(BR$7="○",$A439&gt;=BR$8,$A439&lt;=BR$9),IF(SUM(BR$10:BR438)-ROUNDDOWN($M439*BR$5/100,0)&lt;-BR$6,-BR$6-SUM(BR$10:BR438),-ROUNDDOWN($M439*BR$5/100,0)),0)</f>
        <v>0</v>
      </c>
      <c r="BS439" s="38">
        <f>IF(AND(BS$7="○",$A439&gt;=BS$8,$A439&lt;=BS$9),IF(SUM(BS$10:BS438)-ROUNDDOWN($M439*BS$5/100,0)&lt;-BS$6,-BS$6-SUM(BS$10:BS438),-ROUNDDOWN($M439*BS$5/100,0)),0)</f>
        <v>0</v>
      </c>
      <c r="BT439" s="38">
        <f>IF(AND(BT$7="○",$A439&gt;=BT$8,$A439&lt;=BT$9),IF(SUM(BT$10:BT438)-ROUNDDOWN($M439*BT$5/100,0)&lt;-BT$6,-BT$6-SUM(BT$10:BT438),-ROUNDDOWN($M439*BT$5/100,0)),0)</f>
        <v>0</v>
      </c>
      <c r="BU439" s="38">
        <f>IF(AND(BU$7="○",$A439&gt;=BU$8,$A439&lt;=BU$9),IF(SUM(BU$10:BU438)-ROUNDDOWN($M439*BU$5/100,0)&lt;-BU$6,-BU$6-SUM(BU$10:BU438),-ROUNDDOWN($M439*BU$5/100,0)),0)</f>
        <v>0</v>
      </c>
      <c r="BV439" s="38">
        <f>IF(AND(BV$7="○",$A439&gt;=BV$8,$A439&lt;=BV$9),IF(SUM(BV$10:BV438)-ROUNDDOWN($M439*BV$5/100,0)&lt;-BV$6,-BV$6-SUM(BV$10:BV438),-ROUNDDOWN($M439*BV$5/100,0)),0)</f>
        <v>0</v>
      </c>
      <c r="BW439" s="38">
        <f>IF(AND(BW$7="○",$A439&gt;=BW$8,$A439&lt;=BW$9),IF(SUM(BW$10:BW438)-ROUNDDOWN($M439*BW$5/100,0)&lt;-BW$6,-BW$6-SUM(BW$10:BW438),-ROUNDDOWN($M439*BW$5/100,0)),0)</f>
        <v>0</v>
      </c>
      <c r="BX439" s="38">
        <f>IF(AND(T439="○",$A439&gt;=BX$8,$A439&lt;=BX$9),IF(SUM(BX$10:BX438)-ROUNDDOWN($K439*BX$5/100,0)&lt;-BX$6,-BX$6-SUM(BX$10:BX438),-ROUNDDOWN($K439*BX$5/100,0)),0)</f>
        <v>0</v>
      </c>
      <c r="BY439" s="38">
        <f>IF(AND(U439="○",$A439&gt;=BY$8,$A439&lt;=BY$9),IF(SUM(BY$10:BY438)-ROUNDDOWN($K439*BY$5/100,0)&lt;-BY$6,-BY$6-SUM(BY$10:BY438),-ROUNDDOWN($K439*BY$5/100,0)),0)</f>
        <v>0</v>
      </c>
      <c r="BZ439" s="38">
        <f>IF(AND(V439="○",$A439&gt;=BZ$8,$A439&lt;=BZ$9),IF(SUM(BZ$10:BZ438)-ROUNDDOWN($K439*BZ$5/100,0)&lt;-BZ$6,-BZ$6-SUM(BZ$10:BZ438),-ROUNDDOWN($K439*BZ$5/100,0)),0)</f>
        <v>0</v>
      </c>
      <c r="CA439" s="38">
        <f>IF(AND(W439="○",$A439&gt;=CA$8,$A439&lt;=CA$9),IF(SUM(CA$10:CA438)-ROUNDDOWN($K439*CA$5/100,0)&lt;-CA$6,-CA$6-SUM(CA$10:CA438),-ROUNDDOWN($K439*CA$5/100,0)),0)</f>
        <v>0</v>
      </c>
      <c r="CB439" s="38"/>
      <c r="CC439" s="38"/>
      <c r="CD439" s="38"/>
      <c r="CE439" s="38"/>
      <c r="CF439" s="38"/>
      <c r="CG439" s="65">
        <f t="shared" si="291"/>
        <v>0</v>
      </c>
      <c r="CH439" s="71">
        <f t="shared" si="292"/>
        <v>0</v>
      </c>
      <c r="CI439" s="1">
        <f t="shared" si="308"/>
        <v>0</v>
      </c>
      <c r="CJ439" s="1"/>
      <c r="CK439" s="72"/>
      <c r="CL439" s="72"/>
      <c r="CM439" s="2"/>
      <c r="CN439" s="2"/>
      <c r="CO439" s="73">
        <f t="shared" si="309"/>
        <v>0</v>
      </c>
      <c r="CP439" s="5">
        <f t="shared" si="310"/>
        <v>0</v>
      </c>
      <c r="CQ439" s="1"/>
      <c r="CR439" s="1">
        <f t="shared" si="311"/>
        <v>0</v>
      </c>
      <c r="CS439" s="1"/>
      <c r="CT439" s="1" t="e">
        <f>INDEX([2]マスタ!$A:$A,MATCH(D439,[2]マスタ!$C:$C,0))</f>
        <v>#N/A</v>
      </c>
      <c r="CU439" s="1" t="str">
        <f t="shared" ca="1" si="312"/>
        <v>20260620_0-0</v>
      </c>
    </row>
    <row r="440" spans="1:99" x14ac:dyDescent="0.4">
      <c r="A440" s="61"/>
      <c r="B440" s="62"/>
      <c r="C440" s="62"/>
      <c r="D440" s="62"/>
      <c r="E440" s="74"/>
      <c r="F440" s="62"/>
      <c r="G440" s="62">
        <v>1</v>
      </c>
      <c r="H440" s="64">
        <f t="shared" si="302"/>
        <v>0</v>
      </c>
      <c r="I440" s="64"/>
      <c r="J440" s="64"/>
      <c r="K440" s="65">
        <f t="shared" si="303"/>
        <v>0</v>
      </c>
      <c r="L440" s="65">
        <f t="shared" si="304"/>
        <v>0</v>
      </c>
      <c r="M440" s="65">
        <f t="shared" si="305"/>
        <v>0</v>
      </c>
      <c r="N440" s="65">
        <f t="shared" si="306"/>
        <v>0</v>
      </c>
      <c r="O440" s="66" t="str">
        <f t="shared" si="9"/>
        <v>✕</v>
      </c>
      <c r="P440" s="67" t="str">
        <f t="shared" si="10"/>
        <v>○</v>
      </c>
      <c r="Q440" s="67" t="str">
        <f t="shared" si="307"/>
        <v>✕</v>
      </c>
      <c r="R440" s="67" t="str">
        <f t="shared" si="12"/>
        <v>✕</v>
      </c>
      <c r="S440" s="68">
        <v>0</v>
      </c>
      <c r="T440" s="69" t="s">
        <v>85</v>
      </c>
      <c r="U440" s="69" t="s">
        <v>85</v>
      </c>
      <c r="V440" s="69" t="s">
        <v>85</v>
      </c>
      <c r="W440" s="69" t="s">
        <v>85</v>
      </c>
      <c r="X440" s="69" t="s">
        <v>84</v>
      </c>
      <c r="Y440" s="69" t="s">
        <v>85</v>
      </c>
      <c r="Z440" s="69" t="s">
        <v>85</v>
      </c>
      <c r="AA440" s="69" t="s">
        <v>85</v>
      </c>
      <c r="AB440" s="69" t="s">
        <v>85</v>
      </c>
      <c r="AC440" s="69" t="s">
        <v>85</v>
      </c>
      <c r="AD440" s="38" t="str">
        <f>+IF(ISERROR(VLOOKUP($B440,AD$10:AD439,1,0)),IF(AND($N440&gt;=1000,$A440&gt;=AO$8,$A440&lt;=AO$9),$B440,""),"")</f>
        <v/>
      </c>
      <c r="AE440" s="38" t="str">
        <f>+IF(ISERROR(VLOOKUP($B440,AE$10:AE439,1,0)),IF(AND($N440&gt;=1000,$A440&gt;=AP$8,$A440&lt;=AP$9),$B440,""),"")</f>
        <v/>
      </c>
      <c r="AF440" s="38" t="str">
        <f>+IF(ISERROR(VLOOKUP($B440,AF$10:AF439,1,0)),IF(AND($N440&gt;=1000,$A440&gt;=AQ$8,$A440&lt;=AQ$9),$B440,""),"")</f>
        <v/>
      </c>
      <c r="AG440" s="38" t="str">
        <f>+IF(ISERROR(VLOOKUP($B440,AG$10:AG439,1,0)),IF(AND($N440&gt;=1000,$A440&gt;=AR$8,$A440&lt;=AR$9),$B440,""),"")</f>
        <v/>
      </c>
      <c r="AH440" s="38"/>
      <c r="AI440" s="70">
        <v>0</v>
      </c>
      <c r="AJ440" s="38">
        <f>IF(AND(AJ$7="○",$A440&gt;=AJ$8,$A440&lt;=AJ$9),IF(SUM(AJ$10:AJ439)-ROUNDDOWN($K440*AJ$5/100,0)&lt;-AJ$6,-AJ$6-SUM(AJ$10:AJ439),-ROUNDDOWN($K440*AJ$5/100,0)),0)</f>
        <v>0</v>
      </c>
      <c r="AK440" s="38">
        <f>IF(AND(AK$7="○",$A440&gt;=AK$8,$A440&lt;=AK$9),IF(SUM(AK$10:AK439)-ROUNDDOWN($L440*AK$5/100,0)&lt;-AK$6,-AK$6-SUM(AK$10:AK439),-ROUNDDOWN($L440*AK$5/100,0)),0)</f>
        <v>0</v>
      </c>
      <c r="AL440" s="38">
        <f>IF(AND(AL$7="○",$A440&gt;=AL$8,$A440&lt;=AL$9),IF(SUM(AL$10:AL439)-ROUNDDOWN($N440*AL$5/100,0)&lt;-AL$6,-AL$6-SUM(AL$10:AL439),-ROUNDDOWN($N440*AL$5/100,0)),0)</f>
        <v>0</v>
      </c>
      <c r="AM440" s="38">
        <f>IF(AND(AM$7="○",$A440&gt;=AM$8,$A440&lt;=AM$9),IF(SUM(AM$10:AM439)-ROUNDDOWN($L440*AM$5/100,0)&lt;-AM$6,-AM$6-SUM(AM$10:AM439),-ROUNDDOWN($L440*AM$5/100,0)),0)</f>
        <v>0</v>
      </c>
      <c r="AN440" s="38">
        <f>IF(AND(AN$7="○",$A440&gt;=AN$8,$A440&lt;=AN$9),IF(SUM(AN$10:AN439)-ROUNDDOWN($M440*AN$5/100,0)&lt;-AN$6,-AN$6-SUM(AN$10:AN439),-ROUNDDOWN($M440*AN$5/100,0)),0)</f>
        <v>0</v>
      </c>
      <c r="AO440" s="38">
        <f>IF(AND($A440&gt;=AO$8,$A440&lt;=AO$9),IF(SUM(AO$10:AO439)-ROUNDDOWN($K440*AO$5/100,0)&lt;-AO$6,-AO$6-SUM(AO$10:AO439),-ROUNDDOWN($K440*AO$5/100,0)),0)</f>
        <v>0</v>
      </c>
      <c r="AP440" s="38">
        <f>IF(AND($A440&gt;=AP$8,$A440&lt;=AP$9),IF(SUM(AP$10:AP439)-ROUNDDOWN($K440*AP$5/100,0)&lt;-AP$6,-AP$6-SUM(AP$10:AP439),-ROUNDDOWN($K440*AP$5/100,0)),0)</f>
        <v>0</v>
      </c>
      <c r="AQ440" s="38">
        <f>IF(AND($A440&gt;=AQ$8,$A440&lt;=AQ$9),IF(SUM(AQ$10:AQ439)-ROUNDDOWN($K440*AQ$5/100,0)&lt;-AQ$6,-AQ$6-SUM(AQ$10:AQ439),-ROUNDDOWN($K440*AQ$5/100,0)),0)</f>
        <v>0</v>
      </c>
      <c r="AR440" s="38">
        <f>IF(AND($A440&gt;=AR$8,$A440&lt;=AR$9),IF(SUM(AR$10:AR439)-ROUNDDOWN($K440*AR$5/100,0)&lt;-AR$6,-AR$6-SUM(AR$10:AR439),-ROUNDDOWN($K440*AR$5/100,0)),0)</f>
        <v>0</v>
      </c>
      <c r="AS440" s="38">
        <f>IF(SUMIFS(AS$10:AS439,$A$10:$A439,$A440)-ROUNDDOWN($K440*$S440/100,0)&lt;-$S440*1000,-$S440*1000-SUMIFS(AS$10:AS439,$A$10:$A439,$A440),-ROUNDDOWN($K440*$S440/100,0))</f>
        <v>0</v>
      </c>
      <c r="AT440" s="38">
        <f>IF(AND(X440="○",$A440&gt;=AT$8,$A440&lt;=AT$9,K440&gt;=3980),IF(SUM(AT$10:AT439)-ROUNDDOWN($K440*AT$5/100,0)&lt;-AT$6,-AT$6-SUM(AT$10:AT439),-ROUNDDOWN($K440*AT$5/100,0)),0)</f>
        <v>0</v>
      </c>
      <c r="AU440" s="38">
        <f>IF(O440="○",IF(SUM(AU$10:AU439)-ROUNDDOWN($K440*AU$5/100,0)&lt;-AU$6,-AU$6-SUM(AU$10:AU439),-ROUNDDOWN($K440*AU$5/100,0)),0)</f>
        <v>0</v>
      </c>
      <c r="AV440" s="38">
        <f>IF(P440="○",IF(SUM(AV$10:AV439)-ROUNDDOWN($K440*AV$5/100,0)&lt;-AV$6,-AV$6-SUM(AV$10:AV439),-ROUNDDOWN($K440*AV$5/100,0)),0)</f>
        <v>0</v>
      </c>
      <c r="AW440" s="38">
        <f>IF(Q440="○",IF(SUM(AW$10:AW439)-ROUNDDOWN($K440*AW$5/100,0)&lt;-AW$6,-AW$6-SUM(AW$10:AW439),-ROUNDDOWN($K440*AW$5/100,0)),0)</f>
        <v>0</v>
      </c>
      <c r="AX440" s="38">
        <f>IF(R440="○",IF(SUM(AX$10:AX439)-ROUNDDOWN($K440*AX$5/100,0)&lt;-AX$6,-AX$6-SUM(AX$10:AX439),-ROUNDDOWN($K440*AX$5/100,0)),0)</f>
        <v>0</v>
      </c>
      <c r="AY440" s="70">
        <v>0</v>
      </c>
      <c r="AZ440" s="65">
        <f t="shared" si="285"/>
        <v>0</v>
      </c>
      <c r="BA440" s="65">
        <f t="shared" si="286"/>
        <v>0</v>
      </c>
      <c r="BB440" s="70"/>
      <c r="BC440" s="65">
        <f t="shared" si="287"/>
        <v>0</v>
      </c>
      <c r="BD440" s="70">
        <v>0</v>
      </c>
      <c r="BE440" s="65">
        <f t="shared" si="288"/>
        <v>0</v>
      </c>
      <c r="BF440" s="70">
        <v>0</v>
      </c>
      <c r="BG440" s="65">
        <f t="shared" si="289"/>
        <v>0</v>
      </c>
      <c r="BH440" s="70">
        <v>0</v>
      </c>
      <c r="BI440" s="65">
        <f t="shared" si="290"/>
        <v>0</v>
      </c>
      <c r="BJ440" s="38">
        <f>IF(AND(BJ$7="○",$A440&gt;=BJ$8,$A440&lt;=BJ$9),IF(SUM(BJ$10:BJ439)-ROUNDDOWN($M440*BJ$5/100,0)&lt;-BJ$6,-BJ$6-SUM(BJ$10:BJ439),-ROUNDDOWN($M440*BJ$5/100,0)),0)</f>
        <v>0</v>
      </c>
      <c r="BK440" s="38">
        <f>IF(AND(BK$7="○",$A440&gt;=BK$8,$A440&lt;=BK$9),IF(SUM(BK$10:BK439)-ROUNDDOWN($L440*BK$5/100,0)&lt;-BK$6,-BK$6-SUM(BK$10:BK439),-ROUNDDOWN($L440*BK$5/100,0)),0)</f>
        <v>0</v>
      </c>
      <c r="BL440" s="38">
        <f>IF(AND(BL$7="○",$A440&gt;=BL$8,$A440&lt;=BL$9),IF(SUM(BL$10:BL439)-ROUNDDOWN($L440*BL$5/100,0)&lt;-BL$6,-BL$6-SUM(BL$10:BL439),-ROUNDDOWN($L440*BL$5/100,0)),0)</f>
        <v>0</v>
      </c>
      <c r="BM440" s="38">
        <f>IF(AND(BM$7="○",$A440&gt;=BM$8,$A440&lt;=BM$9),IF(SUM(BM$10:BM439)-ROUNDDOWN($M440*BM$5/100,0)&lt;-BM$6,-BM$6-SUM(BM$10:BM439),-ROUNDDOWN($M440*BM$5/100,0)),0)</f>
        <v>0</v>
      </c>
      <c r="BN440" s="38">
        <f>IF(AND(BN$7="○",$A440&gt;=BN$8,$A440&lt;=BN$9),IF(SUM(BN$10:BN439)-ROUNDDOWN($M440*BN$5/100,0)&lt;-BN$6,-BN$6-SUM(BN$10:BN439),-ROUNDDOWN($M440*BN$5/100,0)),0)</f>
        <v>0</v>
      </c>
      <c r="BO440" s="38">
        <f>IF(AND(BO$7="○",$A440&gt;=BO$8,$A440&lt;=BO$9),IF(SUM(BO$10:BO439)-ROUNDDOWN($M440*BO$5/100,0)&lt;-BO$6,-BO$6-SUM(BO$10:BO439),-ROUNDDOWN($M440*BO$5/100,0)),0)</f>
        <v>0</v>
      </c>
      <c r="BP440" s="38">
        <f>IF(AND(BP$7="○",$A440&gt;=BP$8,$A440&lt;=BP$9),IF(SUM(BP$10:BP439)-ROUNDDOWN($M440*BP$5/100,0)&lt;-BP$6,-BP$6-SUM(BP$10:BP439),-ROUNDDOWN($M440*BP$5/100,0)),0)</f>
        <v>0</v>
      </c>
      <c r="BQ440" s="38">
        <f>IF(AND(BQ$7="○",$A440&gt;=BQ$8,$A440&lt;=BQ$9),IF(SUM(BQ$10:BQ439)-ROUNDDOWN($L440*BQ$5/100,0)&lt;-BQ$6,-BQ$6-SUM(BQ$10:BQ439),-ROUNDDOWN($L440*BQ$5/100,0)),0)</f>
        <v>0</v>
      </c>
      <c r="BR440" s="38">
        <f>IF(AND(BR$7="○",$A440&gt;=BR$8,$A440&lt;=BR$9),IF(SUM(BR$10:BR439)-ROUNDDOWN($M440*BR$5/100,0)&lt;-BR$6,-BR$6-SUM(BR$10:BR439),-ROUNDDOWN($M440*BR$5/100,0)),0)</f>
        <v>0</v>
      </c>
      <c r="BS440" s="38">
        <f>IF(AND(BS$7="○",$A440&gt;=BS$8,$A440&lt;=BS$9),IF(SUM(BS$10:BS439)-ROUNDDOWN($M440*BS$5/100,0)&lt;-BS$6,-BS$6-SUM(BS$10:BS439),-ROUNDDOWN($M440*BS$5/100,0)),0)</f>
        <v>0</v>
      </c>
      <c r="BT440" s="38">
        <f>IF(AND(BT$7="○",$A440&gt;=BT$8,$A440&lt;=BT$9),IF(SUM(BT$10:BT439)-ROUNDDOWN($M440*BT$5/100,0)&lt;-BT$6,-BT$6-SUM(BT$10:BT439),-ROUNDDOWN($M440*BT$5/100,0)),0)</f>
        <v>0</v>
      </c>
      <c r="BU440" s="38">
        <f>IF(AND(BU$7="○",$A440&gt;=BU$8,$A440&lt;=BU$9),IF(SUM(BU$10:BU439)-ROUNDDOWN($M440*BU$5/100,0)&lt;-BU$6,-BU$6-SUM(BU$10:BU439),-ROUNDDOWN($M440*BU$5/100,0)),0)</f>
        <v>0</v>
      </c>
      <c r="BV440" s="38">
        <f>IF(AND(BV$7="○",$A440&gt;=BV$8,$A440&lt;=BV$9),IF(SUM(BV$10:BV439)-ROUNDDOWN($M440*BV$5/100,0)&lt;-BV$6,-BV$6-SUM(BV$10:BV439),-ROUNDDOWN($M440*BV$5/100,0)),0)</f>
        <v>0</v>
      </c>
      <c r="BW440" s="38">
        <f>IF(AND(BW$7="○",$A440&gt;=BW$8,$A440&lt;=BW$9),IF(SUM(BW$10:BW439)-ROUNDDOWN($M440*BW$5/100,0)&lt;-BW$6,-BW$6-SUM(BW$10:BW439),-ROUNDDOWN($M440*BW$5/100,0)),0)</f>
        <v>0</v>
      </c>
      <c r="BX440" s="38">
        <f>IF(AND(T440="○",$A440&gt;=BX$8,$A440&lt;=BX$9),IF(SUM(BX$10:BX439)-ROUNDDOWN($K440*BX$5/100,0)&lt;-BX$6,-BX$6-SUM(BX$10:BX439),-ROUNDDOWN($K440*BX$5/100,0)),0)</f>
        <v>0</v>
      </c>
      <c r="BY440" s="38">
        <f>IF(AND(U440="○",$A440&gt;=BY$8,$A440&lt;=BY$9),IF(SUM(BY$10:BY439)-ROUNDDOWN($K440*BY$5/100,0)&lt;-BY$6,-BY$6-SUM(BY$10:BY439),-ROUNDDOWN($K440*BY$5/100,0)),0)</f>
        <v>0</v>
      </c>
      <c r="BZ440" s="38">
        <f>IF(AND(V440="○",$A440&gt;=BZ$8,$A440&lt;=BZ$9),IF(SUM(BZ$10:BZ439)-ROUNDDOWN($K440*BZ$5/100,0)&lt;-BZ$6,-BZ$6-SUM(BZ$10:BZ439),-ROUNDDOWN($K440*BZ$5/100,0)),0)</f>
        <v>0</v>
      </c>
      <c r="CA440" s="38">
        <f>IF(AND(W440="○",$A440&gt;=CA$8,$A440&lt;=CA$9),IF(SUM(CA$10:CA439)-ROUNDDOWN($K440*CA$5/100,0)&lt;-CA$6,-CA$6-SUM(CA$10:CA439),-ROUNDDOWN($K440*CA$5/100,0)),0)</f>
        <v>0</v>
      </c>
      <c r="CB440" s="38"/>
      <c r="CC440" s="38"/>
      <c r="CD440" s="38"/>
      <c r="CE440" s="38"/>
      <c r="CF440" s="38"/>
      <c r="CG440" s="65">
        <f t="shared" si="291"/>
        <v>0</v>
      </c>
      <c r="CH440" s="71">
        <f t="shared" si="292"/>
        <v>0</v>
      </c>
      <c r="CI440" s="1">
        <f t="shared" si="308"/>
        <v>0</v>
      </c>
      <c r="CJ440" s="1"/>
      <c r="CK440" s="72"/>
      <c r="CL440" s="72"/>
      <c r="CM440" s="2"/>
      <c r="CN440" s="2"/>
      <c r="CO440" s="73">
        <f t="shared" si="309"/>
        <v>0</v>
      </c>
      <c r="CP440" s="5">
        <f t="shared" si="310"/>
        <v>0</v>
      </c>
      <c r="CQ440" s="1"/>
      <c r="CR440" s="1">
        <f t="shared" si="311"/>
        <v>0</v>
      </c>
      <c r="CS440" s="1"/>
      <c r="CT440" s="1" t="e">
        <f>INDEX([2]マスタ!$A:$A,MATCH(D440,[2]マスタ!$C:$C,0))</f>
        <v>#N/A</v>
      </c>
      <c r="CU440" s="1" t="str">
        <f t="shared" ca="1" si="312"/>
        <v>20260620_0-0</v>
      </c>
    </row>
    <row r="441" spans="1:99" x14ac:dyDescent="0.4">
      <c r="A441" s="61"/>
      <c r="B441" s="62"/>
      <c r="C441" s="62"/>
      <c r="D441" s="62"/>
      <c r="E441" s="74"/>
      <c r="F441" s="62"/>
      <c r="G441" s="62">
        <v>1</v>
      </c>
      <c r="H441" s="64">
        <f t="shared" si="302"/>
        <v>0</v>
      </c>
      <c r="I441" s="64"/>
      <c r="J441" s="64"/>
      <c r="K441" s="65">
        <f t="shared" si="303"/>
        <v>0</v>
      </c>
      <c r="L441" s="65">
        <f t="shared" si="304"/>
        <v>0</v>
      </c>
      <c r="M441" s="65">
        <f t="shared" si="305"/>
        <v>0</v>
      </c>
      <c r="N441" s="65">
        <f t="shared" si="306"/>
        <v>0</v>
      </c>
      <c r="O441" s="66" t="str">
        <f t="shared" si="9"/>
        <v>✕</v>
      </c>
      <c r="P441" s="67" t="str">
        <f t="shared" si="10"/>
        <v>○</v>
      </c>
      <c r="Q441" s="67" t="str">
        <f t="shared" si="307"/>
        <v>✕</v>
      </c>
      <c r="R441" s="67" t="str">
        <f t="shared" si="12"/>
        <v>✕</v>
      </c>
      <c r="S441" s="68">
        <v>0</v>
      </c>
      <c r="T441" s="69" t="s">
        <v>85</v>
      </c>
      <c r="U441" s="69" t="s">
        <v>85</v>
      </c>
      <c r="V441" s="69" t="s">
        <v>85</v>
      </c>
      <c r="W441" s="69" t="s">
        <v>85</v>
      </c>
      <c r="X441" s="69" t="s">
        <v>84</v>
      </c>
      <c r="Y441" s="69" t="s">
        <v>85</v>
      </c>
      <c r="Z441" s="69" t="s">
        <v>85</v>
      </c>
      <c r="AA441" s="69" t="s">
        <v>85</v>
      </c>
      <c r="AB441" s="69" t="s">
        <v>85</v>
      </c>
      <c r="AC441" s="69" t="s">
        <v>85</v>
      </c>
      <c r="AD441" s="38" t="str">
        <f>+IF(ISERROR(VLOOKUP($B441,AD$10:AD440,1,0)),IF(AND($N441&gt;=1000,$A441&gt;=AO$8,$A441&lt;=AO$9),$B441,""),"")</f>
        <v/>
      </c>
      <c r="AE441" s="38" t="str">
        <f>+IF(ISERROR(VLOOKUP($B441,AE$10:AE440,1,0)),IF(AND($N441&gt;=1000,$A441&gt;=AP$8,$A441&lt;=AP$9),$B441,""),"")</f>
        <v/>
      </c>
      <c r="AF441" s="38" t="str">
        <f>+IF(ISERROR(VLOOKUP($B441,AF$10:AF440,1,0)),IF(AND($N441&gt;=1000,$A441&gt;=AQ$8,$A441&lt;=AQ$9),$B441,""),"")</f>
        <v/>
      </c>
      <c r="AG441" s="38" t="str">
        <f>+IF(ISERROR(VLOOKUP($B441,AG$10:AG440,1,0)),IF(AND($N441&gt;=1000,$A441&gt;=AR$8,$A441&lt;=AR$9),$B441,""),"")</f>
        <v/>
      </c>
      <c r="AH441" s="38"/>
      <c r="AI441" s="70">
        <v>0</v>
      </c>
      <c r="AJ441" s="38">
        <f>IF(AND(AJ$7="○",$A441&gt;=AJ$8,$A441&lt;=AJ$9),IF(SUM(AJ$10:AJ440)-ROUNDDOWN($K441*AJ$5/100,0)&lt;-AJ$6,-AJ$6-SUM(AJ$10:AJ440),-ROUNDDOWN($K441*AJ$5/100,0)),0)</f>
        <v>0</v>
      </c>
      <c r="AK441" s="38">
        <f>IF(AND(AK$7="○",$A441&gt;=AK$8,$A441&lt;=AK$9),IF(SUM(AK$10:AK440)-ROUNDDOWN($L441*AK$5/100,0)&lt;-AK$6,-AK$6-SUM(AK$10:AK440),-ROUNDDOWN($L441*AK$5/100,0)),0)</f>
        <v>0</v>
      </c>
      <c r="AL441" s="38">
        <f>IF(AND(AL$7="○",$A441&gt;=AL$8,$A441&lt;=AL$9),IF(SUM(AL$10:AL440)-ROUNDDOWN($N441*AL$5/100,0)&lt;-AL$6,-AL$6-SUM(AL$10:AL440),-ROUNDDOWN($N441*AL$5/100,0)),0)</f>
        <v>0</v>
      </c>
      <c r="AM441" s="38">
        <f>IF(AND(AM$7="○",$A441&gt;=AM$8,$A441&lt;=AM$9),IF(SUM(AM$10:AM440)-ROUNDDOWN($L441*AM$5/100,0)&lt;-AM$6,-AM$6-SUM(AM$10:AM440),-ROUNDDOWN($L441*AM$5/100,0)),0)</f>
        <v>0</v>
      </c>
      <c r="AN441" s="38">
        <f>IF(AND(AN$7="○",$A441&gt;=AN$8,$A441&lt;=AN$9),IF(SUM(AN$10:AN440)-ROUNDDOWN($M441*AN$5/100,0)&lt;-AN$6,-AN$6-SUM(AN$10:AN440),-ROUNDDOWN($M441*AN$5/100,0)),0)</f>
        <v>0</v>
      </c>
      <c r="AO441" s="38">
        <f>IF(AND($A441&gt;=AO$8,$A441&lt;=AO$9),IF(SUM(AO$10:AO440)-ROUNDDOWN($K441*AO$5/100,0)&lt;-AO$6,-AO$6-SUM(AO$10:AO440),-ROUNDDOWN($K441*AO$5/100,0)),0)</f>
        <v>0</v>
      </c>
      <c r="AP441" s="38">
        <f>IF(AND($A441&gt;=AP$8,$A441&lt;=AP$9),IF(SUM(AP$10:AP440)-ROUNDDOWN($K441*AP$5/100,0)&lt;-AP$6,-AP$6-SUM(AP$10:AP440),-ROUNDDOWN($K441*AP$5/100,0)),0)</f>
        <v>0</v>
      </c>
      <c r="AQ441" s="38">
        <f>IF(AND($A441&gt;=AQ$8,$A441&lt;=AQ$9),IF(SUM(AQ$10:AQ440)-ROUNDDOWN($K441*AQ$5/100,0)&lt;-AQ$6,-AQ$6-SUM(AQ$10:AQ440),-ROUNDDOWN($K441*AQ$5/100,0)),0)</f>
        <v>0</v>
      </c>
      <c r="AR441" s="38">
        <f>IF(AND($A441&gt;=AR$8,$A441&lt;=AR$9),IF(SUM(AR$10:AR440)-ROUNDDOWN($K441*AR$5/100,0)&lt;-AR$6,-AR$6-SUM(AR$10:AR440),-ROUNDDOWN($K441*AR$5/100,0)),0)</f>
        <v>0</v>
      </c>
      <c r="AS441" s="38">
        <f>IF(SUMIFS(AS$10:AS440,$A$10:$A440,$A441)-ROUNDDOWN($K441*$S441/100,0)&lt;-$S441*1000,-$S441*1000-SUMIFS(AS$10:AS440,$A$10:$A440,$A441),-ROUNDDOWN($K441*$S441/100,0))</f>
        <v>0</v>
      </c>
      <c r="AT441" s="38">
        <f>IF(AND(X441="○",$A441&gt;=AT$8,$A441&lt;=AT$9,K441&gt;=3980),IF(SUM(AT$10:AT440)-ROUNDDOWN($K441*AT$5/100,0)&lt;-AT$6,-AT$6-SUM(AT$10:AT440),-ROUNDDOWN($K441*AT$5/100,0)),0)</f>
        <v>0</v>
      </c>
      <c r="AU441" s="38">
        <f>IF(O441="○",IF(SUM(AU$10:AU440)-ROUNDDOWN($K441*AU$5/100,0)&lt;-AU$6,-AU$6-SUM(AU$10:AU440),-ROUNDDOWN($K441*AU$5/100,0)),0)</f>
        <v>0</v>
      </c>
      <c r="AV441" s="38">
        <f>IF(P441="○",IF(SUM(AV$10:AV440)-ROUNDDOWN($K441*AV$5/100,0)&lt;-AV$6,-AV$6-SUM(AV$10:AV440),-ROUNDDOWN($K441*AV$5/100,0)),0)</f>
        <v>0</v>
      </c>
      <c r="AW441" s="38">
        <f>IF(Q441="○",IF(SUM(AW$10:AW440)-ROUNDDOWN($K441*AW$5/100,0)&lt;-AW$6,-AW$6-SUM(AW$10:AW440),-ROUNDDOWN($K441*AW$5/100,0)),0)</f>
        <v>0</v>
      </c>
      <c r="AX441" s="38">
        <f>IF(R441="○",IF(SUM(AX$10:AX440)-ROUNDDOWN($K441*AX$5/100,0)&lt;-AX$6,-AX$6-SUM(AX$10:AX440),-ROUNDDOWN($K441*AX$5/100,0)),0)</f>
        <v>0</v>
      </c>
      <c r="AY441" s="70">
        <v>0</v>
      </c>
      <c r="AZ441" s="65">
        <f t="shared" si="285"/>
        <v>0</v>
      </c>
      <c r="BA441" s="65">
        <f t="shared" si="286"/>
        <v>0</v>
      </c>
      <c r="BB441" s="70"/>
      <c r="BC441" s="65">
        <f t="shared" si="287"/>
        <v>0</v>
      </c>
      <c r="BD441" s="70">
        <v>0</v>
      </c>
      <c r="BE441" s="65">
        <f t="shared" si="288"/>
        <v>0</v>
      </c>
      <c r="BF441" s="70">
        <v>0</v>
      </c>
      <c r="BG441" s="65">
        <f t="shared" si="289"/>
        <v>0</v>
      </c>
      <c r="BH441" s="70">
        <v>0</v>
      </c>
      <c r="BI441" s="65">
        <f t="shared" si="290"/>
        <v>0</v>
      </c>
      <c r="BJ441" s="38">
        <f>IF(AND(BJ$7="○",$A441&gt;=BJ$8,$A441&lt;=BJ$9),IF(SUM(BJ$10:BJ440)-ROUNDDOWN($M441*BJ$5/100,0)&lt;-BJ$6,-BJ$6-SUM(BJ$10:BJ440),-ROUNDDOWN($M441*BJ$5/100,0)),0)</f>
        <v>0</v>
      </c>
      <c r="BK441" s="38">
        <f>IF(AND(BK$7="○",$A441&gt;=BK$8,$A441&lt;=BK$9),IF(SUM(BK$10:BK440)-ROUNDDOWN($L441*BK$5/100,0)&lt;-BK$6,-BK$6-SUM(BK$10:BK440),-ROUNDDOWN($L441*BK$5/100,0)),0)</f>
        <v>0</v>
      </c>
      <c r="BL441" s="38">
        <f>IF(AND(BL$7="○",$A441&gt;=BL$8,$A441&lt;=BL$9),IF(SUM(BL$10:BL440)-ROUNDDOWN($L441*BL$5/100,0)&lt;-BL$6,-BL$6-SUM(BL$10:BL440),-ROUNDDOWN($L441*BL$5/100,0)),0)</f>
        <v>0</v>
      </c>
      <c r="BM441" s="38">
        <f>IF(AND(BM$7="○",$A441&gt;=BM$8,$A441&lt;=BM$9),IF(SUM(BM$10:BM440)-ROUNDDOWN($M441*BM$5/100,0)&lt;-BM$6,-BM$6-SUM(BM$10:BM440),-ROUNDDOWN($M441*BM$5/100,0)),0)</f>
        <v>0</v>
      </c>
      <c r="BN441" s="38">
        <f>IF(AND(BN$7="○",$A441&gt;=BN$8,$A441&lt;=BN$9),IF(SUM(BN$10:BN440)-ROUNDDOWN($M441*BN$5/100,0)&lt;-BN$6,-BN$6-SUM(BN$10:BN440),-ROUNDDOWN($M441*BN$5/100,0)),0)</f>
        <v>0</v>
      </c>
      <c r="BO441" s="38">
        <f>IF(AND(BO$7="○",$A441&gt;=BO$8,$A441&lt;=BO$9),IF(SUM(BO$10:BO440)-ROUNDDOWN($M441*BO$5/100,0)&lt;-BO$6,-BO$6-SUM(BO$10:BO440),-ROUNDDOWN($M441*BO$5/100,0)),0)</f>
        <v>0</v>
      </c>
      <c r="BP441" s="38">
        <f>IF(AND(BP$7="○",$A441&gt;=BP$8,$A441&lt;=BP$9),IF(SUM(BP$10:BP440)-ROUNDDOWN($M441*BP$5/100,0)&lt;-BP$6,-BP$6-SUM(BP$10:BP440),-ROUNDDOWN($M441*BP$5/100,0)),0)</f>
        <v>0</v>
      </c>
      <c r="BQ441" s="38">
        <f>IF(AND(BQ$7="○",$A441&gt;=BQ$8,$A441&lt;=BQ$9),IF(SUM(BQ$10:BQ440)-ROUNDDOWN($L441*BQ$5/100,0)&lt;-BQ$6,-BQ$6-SUM(BQ$10:BQ440),-ROUNDDOWN($L441*BQ$5/100,0)),0)</f>
        <v>0</v>
      </c>
      <c r="BR441" s="38">
        <f>IF(AND(BR$7="○",$A441&gt;=BR$8,$A441&lt;=BR$9),IF(SUM(BR$10:BR440)-ROUNDDOWN($M441*BR$5/100,0)&lt;-BR$6,-BR$6-SUM(BR$10:BR440),-ROUNDDOWN($M441*BR$5/100,0)),0)</f>
        <v>0</v>
      </c>
      <c r="BS441" s="38">
        <f>IF(AND(BS$7="○",$A441&gt;=BS$8,$A441&lt;=BS$9),IF(SUM(BS$10:BS440)-ROUNDDOWN($M441*BS$5/100,0)&lt;-BS$6,-BS$6-SUM(BS$10:BS440),-ROUNDDOWN($M441*BS$5/100,0)),0)</f>
        <v>0</v>
      </c>
      <c r="BT441" s="38">
        <f>IF(AND(BT$7="○",$A441&gt;=BT$8,$A441&lt;=BT$9),IF(SUM(BT$10:BT440)-ROUNDDOWN($M441*BT$5/100,0)&lt;-BT$6,-BT$6-SUM(BT$10:BT440),-ROUNDDOWN($M441*BT$5/100,0)),0)</f>
        <v>0</v>
      </c>
      <c r="BU441" s="38">
        <f>IF(AND(BU$7="○",$A441&gt;=BU$8,$A441&lt;=BU$9),IF(SUM(BU$10:BU440)-ROUNDDOWN($M441*BU$5/100,0)&lt;-BU$6,-BU$6-SUM(BU$10:BU440),-ROUNDDOWN($M441*BU$5/100,0)),0)</f>
        <v>0</v>
      </c>
      <c r="BV441" s="38">
        <f>IF(AND(BV$7="○",$A441&gt;=BV$8,$A441&lt;=BV$9),IF(SUM(BV$10:BV440)-ROUNDDOWN($M441*BV$5/100,0)&lt;-BV$6,-BV$6-SUM(BV$10:BV440),-ROUNDDOWN($M441*BV$5/100,0)),0)</f>
        <v>0</v>
      </c>
      <c r="BW441" s="38">
        <f>IF(AND(BW$7="○",$A441&gt;=BW$8,$A441&lt;=BW$9),IF(SUM(BW$10:BW440)-ROUNDDOWN($M441*BW$5/100,0)&lt;-BW$6,-BW$6-SUM(BW$10:BW440),-ROUNDDOWN($M441*BW$5/100,0)),0)</f>
        <v>0</v>
      </c>
      <c r="BX441" s="38">
        <f>IF(AND(T441="○",$A441&gt;=BX$8,$A441&lt;=BX$9),IF(SUM(BX$10:BX440)-ROUNDDOWN($K441*BX$5/100,0)&lt;-BX$6,-BX$6-SUM(BX$10:BX440),-ROUNDDOWN($K441*BX$5/100,0)),0)</f>
        <v>0</v>
      </c>
      <c r="BY441" s="38">
        <f>IF(AND(U441="○",$A441&gt;=BY$8,$A441&lt;=BY$9),IF(SUM(BY$10:BY440)-ROUNDDOWN($K441*BY$5/100,0)&lt;-BY$6,-BY$6-SUM(BY$10:BY440),-ROUNDDOWN($K441*BY$5/100,0)),0)</f>
        <v>0</v>
      </c>
      <c r="BZ441" s="38">
        <f>IF(AND(V441="○",$A441&gt;=BZ$8,$A441&lt;=BZ$9),IF(SUM(BZ$10:BZ440)-ROUNDDOWN($K441*BZ$5/100,0)&lt;-BZ$6,-BZ$6-SUM(BZ$10:BZ440),-ROUNDDOWN($K441*BZ$5/100,0)),0)</f>
        <v>0</v>
      </c>
      <c r="CA441" s="38">
        <f>IF(AND(W441="○",$A441&gt;=CA$8,$A441&lt;=CA$9),IF(SUM(CA$10:CA440)-ROUNDDOWN($K441*CA$5/100,0)&lt;-CA$6,-CA$6-SUM(CA$10:CA440),-ROUNDDOWN($K441*CA$5/100,0)),0)</f>
        <v>0</v>
      </c>
      <c r="CB441" s="38"/>
      <c r="CC441" s="38"/>
      <c r="CD441" s="38"/>
      <c r="CE441" s="38"/>
      <c r="CF441" s="38"/>
      <c r="CG441" s="65">
        <f t="shared" si="291"/>
        <v>0</v>
      </c>
      <c r="CH441" s="71">
        <f t="shared" si="292"/>
        <v>0</v>
      </c>
      <c r="CI441" s="1">
        <f t="shared" si="308"/>
        <v>0</v>
      </c>
      <c r="CJ441" s="1"/>
      <c r="CK441" s="72"/>
      <c r="CL441" s="72"/>
      <c r="CM441" s="2"/>
      <c r="CN441" s="2"/>
      <c r="CO441" s="73">
        <f t="shared" si="309"/>
        <v>0</v>
      </c>
      <c r="CP441" s="5">
        <f t="shared" si="310"/>
        <v>0</v>
      </c>
      <c r="CQ441" s="1"/>
      <c r="CR441" s="1">
        <f t="shared" si="311"/>
        <v>0</v>
      </c>
      <c r="CS441" s="1"/>
      <c r="CT441" s="1" t="e">
        <f>INDEX([2]マスタ!$A:$A,MATCH(D441,[2]マスタ!$C:$C,0))</f>
        <v>#N/A</v>
      </c>
      <c r="CU441" s="1" t="str">
        <f t="shared" ca="1" si="312"/>
        <v>20260620_0-0</v>
      </c>
    </row>
    <row r="442" spans="1:99" x14ac:dyDescent="0.4">
      <c r="A442" s="61"/>
      <c r="B442" s="62"/>
      <c r="C442" s="62"/>
      <c r="D442" s="62"/>
      <c r="E442" s="74"/>
      <c r="F442" s="62"/>
      <c r="G442" s="62">
        <v>1</v>
      </c>
      <c r="H442" s="64">
        <f t="shared" si="302"/>
        <v>0</v>
      </c>
      <c r="I442" s="64"/>
      <c r="J442" s="64"/>
      <c r="K442" s="65">
        <f t="shared" si="303"/>
        <v>0</v>
      </c>
      <c r="L442" s="65">
        <f t="shared" si="304"/>
        <v>0</v>
      </c>
      <c r="M442" s="65">
        <f t="shared" si="305"/>
        <v>0</v>
      </c>
      <c r="N442" s="65">
        <f t="shared" si="306"/>
        <v>0</v>
      </c>
      <c r="O442" s="66" t="str">
        <f t="shared" si="9"/>
        <v>✕</v>
      </c>
      <c r="P442" s="67" t="str">
        <f t="shared" si="10"/>
        <v>○</v>
      </c>
      <c r="Q442" s="67" t="str">
        <f t="shared" si="307"/>
        <v>✕</v>
      </c>
      <c r="R442" s="67" t="str">
        <f t="shared" si="12"/>
        <v>✕</v>
      </c>
      <c r="S442" s="68">
        <v>0</v>
      </c>
      <c r="T442" s="69" t="s">
        <v>85</v>
      </c>
      <c r="U442" s="69" t="s">
        <v>85</v>
      </c>
      <c r="V442" s="69" t="s">
        <v>85</v>
      </c>
      <c r="W442" s="69" t="s">
        <v>85</v>
      </c>
      <c r="X442" s="69" t="s">
        <v>84</v>
      </c>
      <c r="Y442" s="69" t="s">
        <v>85</v>
      </c>
      <c r="Z442" s="69" t="s">
        <v>85</v>
      </c>
      <c r="AA442" s="69" t="s">
        <v>85</v>
      </c>
      <c r="AB442" s="69" t="s">
        <v>85</v>
      </c>
      <c r="AC442" s="69" t="s">
        <v>85</v>
      </c>
      <c r="AD442" s="38" t="str">
        <f>+IF(ISERROR(VLOOKUP($B442,AD$10:AD441,1,0)),IF(AND($N442&gt;=1000,$A442&gt;=AO$8,$A442&lt;=AO$9),$B442,""),"")</f>
        <v/>
      </c>
      <c r="AE442" s="38" t="str">
        <f>+IF(ISERROR(VLOOKUP($B442,AE$10:AE441,1,0)),IF(AND($N442&gt;=1000,$A442&gt;=AP$8,$A442&lt;=AP$9),$B442,""),"")</f>
        <v/>
      </c>
      <c r="AF442" s="38" t="str">
        <f>+IF(ISERROR(VLOOKUP($B442,AF$10:AF441,1,0)),IF(AND($N442&gt;=1000,$A442&gt;=AQ$8,$A442&lt;=AQ$9),$B442,""),"")</f>
        <v/>
      </c>
      <c r="AG442" s="38" t="str">
        <f>+IF(ISERROR(VLOOKUP($B442,AG$10:AG441,1,0)),IF(AND($N442&gt;=1000,$A442&gt;=AR$8,$A442&lt;=AR$9),$B442,""),"")</f>
        <v/>
      </c>
      <c r="AH442" s="38"/>
      <c r="AI442" s="70">
        <v>0</v>
      </c>
      <c r="AJ442" s="38">
        <f>IF(AND(AJ$7="○",$A442&gt;=AJ$8,$A442&lt;=AJ$9),IF(SUM(AJ$10:AJ441)-ROUNDDOWN($K442*AJ$5/100,0)&lt;-AJ$6,-AJ$6-SUM(AJ$10:AJ441),-ROUNDDOWN($K442*AJ$5/100,0)),0)</f>
        <v>0</v>
      </c>
      <c r="AK442" s="38">
        <f>IF(AND(AK$7="○",$A442&gt;=AK$8,$A442&lt;=AK$9),IF(SUM(AK$10:AK441)-ROUNDDOWN($L442*AK$5/100,0)&lt;-AK$6,-AK$6-SUM(AK$10:AK441),-ROUNDDOWN($L442*AK$5/100,0)),0)</f>
        <v>0</v>
      </c>
      <c r="AL442" s="38">
        <f>IF(AND(AL$7="○",$A442&gt;=AL$8,$A442&lt;=AL$9),IF(SUM(AL$10:AL441)-ROUNDDOWN($N442*AL$5/100,0)&lt;-AL$6,-AL$6-SUM(AL$10:AL441),-ROUNDDOWN($N442*AL$5/100,0)),0)</f>
        <v>0</v>
      </c>
      <c r="AM442" s="38">
        <f>IF(AND(AM$7="○",$A442&gt;=AM$8,$A442&lt;=AM$9),IF(SUM(AM$10:AM441)-ROUNDDOWN($L442*AM$5/100,0)&lt;-AM$6,-AM$6-SUM(AM$10:AM441),-ROUNDDOWN($L442*AM$5/100,0)),0)</f>
        <v>0</v>
      </c>
      <c r="AN442" s="38">
        <f>IF(AND(AN$7="○",$A442&gt;=AN$8,$A442&lt;=AN$9),IF(SUM(AN$10:AN441)-ROUNDDOWN($M442*AN$5/100,0)&lt;-AN$6,-AN$6-SUM(AN$10:AN441),-ROUNDDOWN($M442*AN$5/100,0)),0)</f>
        <v>0</v>
      </c>
      <c r="AO442" s="38">
        <f>IF(AND($A442&gt;=AO$8,$A442&lt;=AO$9),IF(SUM(AO$10:AO441)-ROUNDDOWN($K442*AO$5/100,0)&lt;-AO$6,-AO$6-SUM(AO$10:AO441),-ROUNDDOWN($K442*AO$5/100,0)),0)</f>
        <v>0</v>
      </c>
      <c r="AP442" s="38">
        <f>IF(AND($A442&gt;=AP$8,$A442&lt;=AP$9),IF(SUM(AP$10:AP441)-ROUNDDOWN($K442*AP$5/100,0)&lt;-AP$6,-AP$6-SUM(AP$10:AP441),-ROUNDDOWN($K442*AP$5/100,0)),0)</f>
        <v>0</v>
      </c>
      <c r="AQ442" s="38">
        <f>IF(AND($A442&gt;=AQ$8,$A442&lt;=AQ$9),IF(SUM(AQ$10:AQ441)-ROUNDDOWN($K442*AQ$5/100,0)&lt;-AQ$6,-AQ$6-SUM(AQ$10:AQ441),-ROUNDDOWN($K442*AQ$5/100,0)),0)</f>
        <v>0</v>
      </c>
      <c r="AR442" s="38">
        <f>IF(AND($A442&gt;=AR$8,$A442&lt;=AR$9),IF(SUM(AR$10:AR441)-ROUNDDOWN($K442*AR$5/100,0)&lt;-AR$6,-AR$6-SUM(AR$10:AR441),-ROUNDDOWN($K442*AR$5/100,0)),0)</f>
        <v>0</v>
      </c>
      <c r="AS442" s="38">
        <f>IF(SUMIFS(AS$10:AS441,$A$10:$A441,$A442)-ROUNDDOWN($K442*$S442/100,0)&lt;-$S442*1000,-$S442*1000-SUMIFS(AS$10:AS441,$A$10:$A441,$A442),-ROUNDDOWN($K442*$S442/100,0))</f>
        <v>0</v>
      </c>
      <c r="AT442" s="38">
        <f>IF(AND(X442="○",$A442&gt;=AT$8,$A442&lt;=AT$9,K442&gt;=3980),IF(SUM(AT$10:AT441)-ROUNDDOWN($K442*AT$5/100,0)&lt;-AT$6,-AT$6-SUM(AT$10:AT441),-ROUNDDOWN($K442*AT$5/100,0)),0)</f>
        <v>0</v>
      </c>
      <c r="AU442" s="38">
        <f>IF(O442="○",IF(SUM(AU$10:AU441)-ROUNDDOWN($K442*AU$5/100,0)&lt;-AU$6,-AU$6-SUM(AU$10:AU441),-ROUNDDOWN($K442*AU$5/100,0)),0)</f>
        <v>0</v>
      </c>
      <c r="AV442" s="38">
        <f>IF(P442="○",IF(SUM(AV$10:AV441)-ROUNDDOWN($K442*AV$5/100,0)&lt;-AV$6,-AV$6-SUM(AV$10:AV441),-ROUNDDOWN($K442*AV$5/100,0)),0)</f>
        <v>0</v>
      </c>
      <c r="AW442" s="38">
        <f>IF(Q442="○",IF(SUM(AW$10:AW441)-ROUNDDOWN($K442*AW$5/100,0)&lt;-AW$6,-AW$6-SUM(AW$10:AW441),-ROUNDDOWN($K442*AW$5/100,0)),0)</f>
        <v>0</v>
      </c>
      <c r="AX442" s="38">
        <f>IF(R442="○",IF(SUM(AX$10:AX441)-ROUNDDOWN($K442*AX$5/100,0)&lt;-AX$6,-AX$6-SUM(AX$10:AX441),-ROUNDDOWN($K442*AX$5/100,0)),0)</f>
        <v>0</v>
      </c>
      <c r="AY442" s="70">
        <v>0</v>
      </c>
      <c r="AZ442" s="65">
        <f t="shared" si="285"/>
        <v>0</v>
      </c>
      <c r="BA442" s="65">
        <f t="shared" si="286"/>
        <v>0</v>
      </c>
      <c r="BB442" s="70"/>
      <c r="BC442" s="65">
        <f t="shared" si="287"/>
        <v>0</v>
      </c>
      <c r="BD442" s="70">
        <v>0</v>
      </c>
      <c r="BE442" s="65">
        <f t="shared" si="288"/>
        <v>0</v>
      </c>
      <c r="BF442" s="70">
        <v>0</v>
      </c>
      <c r="BG442" s="65">
        <f t="shared" si="289"/>
        <v>0</v>
      </c>
      <c r="BH442" s="70">
        <v>0</v>
      </c>
      <c r="BI442" s="65">
        <f t="shared" si="290"/>
        <v>0</v>
      </c>
      <c r="BJ442" s="38">
        <f>IF(AND(BJ$7="○",$A442&gt;=BJ$8,$A442&lt;=BJ$9),IF(SUM(BJ$10:BJ441)-ROUNDDOWN($M442*BJ$5/100,0)&lt;-BJ$6,-BJ$6-SUM(BJ$10:BJ441),-ROUNDDOWN($M442*BJ$5/100,0)),0)</f>
        <v>0</v>
      </c>
      <c r="BK442" s="38">
        <f>IF(AND(BK$7="○",$A442&gt;=BK$8,$A442&lt;=BK$9),IF(SUM(BK$10:BK441)-ROUNDDOWN($L442*BK$5/100,0)&lt;-BK$6,-BK$6-SUM(BK$10:BK441),-ROUNDDOWN($L442*BK$5/100,0)),0)</f>
        <v>0</v>
      </c>
      <c r="BL442" s="38">
        <f>IF(AND(BL$7="○",$A442&gt;=BL$8,$A442&lt;=BL$9),IF(SUM(BL$10:BL441)-ROUNDDOWN($L442*BL$5/100,0)&lt;-BL$6,-BL$6-SUM(BL$10:BL441),-ROUNDDOWN($L442*BL$5/100,0)),0)</f>
        <v>0</v>
      </c>
      <c r="BM442" s="38">
        <f>IF(AND(BM$7="○",$A442&gt;=BM$8,$A442&lt;=BM$9),IF(SUM(BM$10:BM441)-ROUNDDOWN($M442*BM$5/100,0)&lt;-BM$6,-BM$6-SUM(BM$10:BM441),-ROUNDDOWN($M442*BM$5/100,0)),0)</f>
        <v>0</v>
      </c>
      <c r="BN442" s="38">
        <f>IF(AND(BN$7="○",$A442&gt;=BN$8,$A442&lt;=BN$9),IF(SUM(BN$10:BN441)-ROUNDDOWN($M442*BN$5/100,0)&lt;-BN$6,-BN$6-SUM(BN$10:BN441),-ROUNDDOWN($M442*BN$5/100,0)),0)</f>
        <v>0</v>
      </c>
      <c r="BO442" s="38">
        <f>IF(AND(BO$7="○",$A442&gt;=BO$8,$A442&lt;=BO$9),IF(SUM(BO$10:BO441)-ROUNDDOWN($M442*BO$5/100,0)&lt;-BO$6,-BO$6-SUM(BO$10:BO441),-ROUNDDOWN($M442*BO$5/100,0)),0)</f>
        <v>0</v>
      </c>
      <c r="BP442" s="38">
        <f>IF(AND(BP$7="○",$A442&gt;=BP$8,$A442&lt;=BP$9),IF(SUM(BP$10:BP441)-ROUNDDOWN($M442*BP$5/100,0)&lt;-BP$6,-BP$6-SUM(BP$10:BP441),-ROUNDDOWN($M442*BP$5/100,0)),0)</f>
        <v>0</v>
      </c>
      <c r="BQ442" s="38">
        <f>IF(AND(BQ$7="○",$A442&gt;=BQ$8,$A442&lt;=BQ$9),IF(SUM(BQ$10:BQ441)-ROUNDDOWN($L442*BQ$5/100,0)&lt;-BQ$6,-BQ$6-SUM(BQ$10:BQ441),-ROUNDDOWN($L442*BQ$5/100,0)),0)</f>
        <v>0</v>
      </c>
      <c r="BR442" s="38">
        <f>IF(AND(BR$7="○",$A442&gt;=BR$8,$A442&lt;=BR$9),IF(SUM(BR$10:BR441)-ROUNDDOWN($M442*BR$5/100,0)&lt;-BR$6,-BR$6-SUM(BR$10:BR441),-ROUNDDOWN($M442*BR$5/100,0)),0)</f>
        <v>0</v>
      </c>
      <c r="BS442" s="38">
        <f>IF(AND(BS$7="○",$A442&gt;=BS$8,$A442&lt;=BS$9),IF(SUM(BS$10:BS441)-ROUNDDOWN($M442*BS$5/100,0)&lt;-BS$6,-BS$6-SUM(BS$10:BS441),-ROUNDDOWN($M442*BS$5/100,0)),0)</f>
        <v>0</v>
      </c>
      <c r="BT442" s="38">
        <f>IF(AND(BT$7="○",$A442&gt;=BT$8,$A442&lt;=BT$9),IF(SUM(BT$10:BT441)-ROUNDDOWN($M442*BT$5/100,0)&lt;-BT$6,-BT$6-SUM(BT$10:BT441),-ROUNDDOWN($M442*BT$5/100,0)),0)</f>
        <v>0</v>
      </c>
      <c r="BU442" s="38">
        <f>IF(AND(BU$7="○",$A442&gt;=BU$8,$A442&lt;=BU$9),IF(SUM(BU$10:BU441)-ROUNDDOWN($M442*BU$5/100,0)&lt;-BU$6,-BU$6-SUM(BU$10:BU441),-ROUNDDOWN($M442*BU$5/100,0)),0)</f>
        <v>0</v>
      </c>
      <c r="BV442" s="38">
        <f>IF(AND(BV$7="○",$A442&gt;=BV$8,$A442&lt;=BV$9),IF(SUM(BV$10:BV441)-ROUNDDOWN($M442*BV$5/100,0)&lt;-BV$6,-BV$6-SUM(BV$10:BV441),-ROUNDDOWN($M442*BV$5/100,0)),0)</f>
        <v>0</v>
      </c>
      <c r="BW442" s="38">
        <f>IF(AND(BW$7="○",$A442&gt;=BW$8,$A442&lt;=BW$9),IF(SUM(BW$10:BW441)-ROUNDDOWN($M442*BW$5/100,0)&lt;-BW$6,-BW$6-SUM(BW$10:BW441),-ROUNDDOWN($M442*BW$5/100,0)),0)</f>
        <v>0</v>
      </c>
      <c r="BX442" s="38">
        <f>IF(AND(T442="○",$A442&gt;=BX$8,$A442&lt;=BX$9),IF(SUM(BX$10:BX441)-ROUNDDOWN($K442*BX$5/100,0)&lt;-BX$6,-BX$6-SUM(BX$10:BX441),-ROUNDDOWN($K442*BX$5/100,0)),0)</f>
        <v>0</v>
      </c>
      <c r="BY442" s="38">
        <f>IF(AND(U442="○",$A442&gt;=BY$8,$A442&lt;=BY$9),IF(SUM(BY$10:BY441)-ROUNDDOWN($K442*BY$5/100,0)&lt;-BY$6,-BY$6-SUM(BY$10:BY441),-ROUNDDOWN($K442*BY$5/100,0)),0)</f>
        <v>0</v>
      </c>
      <c r="BZ442" s="38">
        <f>IF(AND(V442="○",$A442&gt;=BZ$8,$A442&lt;=BZ$9),IF(SUM(BZ$10:BZ441)-ROUNDDOWN($K442*BZ$5/100,0)&lt;-BZ$6,-BZ$6-SUM(BZ$10:BZ441),-ROUNDDOWN($K442*BZ$5/100,0)),0)</f>
        <v>0</v>
      </c>
      <c r="CA442" s="38">
        <f>IF(AND(W442="○",$A442&gt;=CA$8,$A442&lt;=CA$9),IF(SUM(CA$10:CA441)-ROUNDDOWN($K442*CA$5/100,0)&lt;-CA$6,-CA$6-SUM(CA$10:CA441),-ROUNDDOWN($K442*CA$5/100,0)),0)</f>
        <v>0</v>
      </c>
      <c r="CB442" s="38"/>
      <c r="CC442" s="38"/>
      <c r="CD442" s="38"/>
      <c r="CE442" s="38"/>
      <c r="CF442" s="38"/>
      <c r="CG442" s="65">
        <f t="shared" si="291"/>
        <v>0</v>
      </c>
      <c r="CH442" s="71">
        <f t="shared" si="292"/>
        <v>0</v>
      </c>
      <c r="CI442" s="1">
        <f t="shared" si="308"/>
        <v>0</v>
      </c>
      <c r="CJ442" s="1"/>
      <c r="CK442" s="72"/>
      <c r="CL442" s="72"/>
      <c r="CM442" s="2"/>
      <c r="CN442" s="2"/>
      <c r="CO442" s="73">
        <f t="shared" si="309"/>
        <v>0</v>
      </c>
      <c r="CP442" s="5">
        <f t="shared" si="310"/>
        <v>0</v>
      </c>
      <c r="CQ442" s="1"/>
      <c r="CR442" s="1">
        <f t="shared" si="311"/>
        <v>0</v>
      </c>
      <c r="CS442" s="1"/>
      <c r="CT442" s="1" t="e">
        <f>INDEX([2]マスタ!$A:$A,MATCH(D442,[2]マスタ!$C:$C,0))</f>
        <v>#N/A</v>
      </c>
      <c r="CU442" s="1" t="str">
        <f t="shared" ca="1" si="312"/>
        <v>20260620_0-0</v>
      </c>
    </row>
    <row r="443" spans="1:99" x14ac:dyDescent="0.4">
      <c r="A443" s="61"/>
      <c r="B443" s="62"/>
      <c r="C443" s="62"/>
      <c r="D443" s="62"/>
      <c r="E443" s="74"/>
      <c r="F443" s="62"/>
      <c r="G443" s="62">
        <v>1</v>
      </c>
      <c r="H443" s="64">
        <f t="shared" si="302"/>
        <v>0</v>
      </c>
      <c r="I443" s="64"/>
      <c r="J443" s="64"/>
      <c r="K443" s="65">
        <f t="shared" si="303"/>
        <v>0</v>
      </c>
      <c r="L443" s="65">
        <f t="shared" si="304"/>
        <v>0</v>
      </c>
      <c r="M443" s="65">
        <f t="shared" si="305"/>
        <v>0</v>
      </c>
      <c r="N443" s="65">
        <f t="shared" si="306"/>
        <v>0</v>
      </c>
      <c r="O443" s="66" t="str">
        <f t="shared" si="9"/>
        <v>✕</v>
      </c>
      <c r="P443" s="67" t="str">
        <f t="shared" si="10"/>
        <v>○</v>
      </c>
      <c r="Q443" s="67" t="str">
        <f t="shared" si="307"/>
        <v>✕</v>
      </c>
      <c r="R443" s="67" t="str">
        <f t="shared" si="12"/>
        <v>✕</v>
      </c>
      <c r="S443" s="68">
        <v>0</v>
      </c>
      <c r="T443" s="69" t="s">
        <v>85</v>
      </c>
      <c r="U443" s="69" t="s">
        <v>85</v>
      </c>
      <c r="V443" s="69" t="s">
        <v>85</v>
      </c>
      <c r="W443" s="69" t="s">
        <v>85</v>
      </c>
      <c r="X443" s="69" t="s">
        <v>84</v>
      </c>
      <c r="Y443" s="69" t="s">
        <v>85</v>
      </c>
      <c r="Z443" s="69" t="s">
        <v>85</v>
      </c>
      <c r="AA443" s="69" t="s">
        <v>85</v>
      </c>
      <c r="AB443" s="69" t="s">
        <v>85</v>
      </c>
      <c r="AC443" s="69" t="s">
        <v>85</v>
      </c>
      <c r="AD443" s="38" t="str">
        <f>+IF(ISERROR(VLOOKUP($B443,AD$10:AD442,1,0)),IF(AND($N443&gt;=1000,$A443&gt;=AO$8,$A443&lt;=AO$9),$B443,""),"")</f>
        <v/>
      </c>
      <c r="AE443" s="38" t="str">
        <f>+IF(ISERROR(VLOOKUP($B443,AE$10:AE442,1,0)),IF(AND($N443&gt;=1000,$A443&gt;=AP$8,$A443&lt;=AP$9),$B443,""),"")</f>
        <v/>
      </c>
      <c r="AF443" s="38" t="str">
        <f>+IF(ISERROR(VLOOKUP($B443,AF$10:AF442,1,0)),IF(AND($N443&gt;=1000,$A443&gt;=AQ$8,$A443&lt;=AQ$9),$B443,""),"")</f>
        <v/>
      </c>
      <c r="AG443" s="38" t="str">
        <f>+IF(ISERROR(VLOOKUP($B443,AG$10:AG442,1,0)),IF(AND($N443&gt;=1000,$A443&gt;=AR$8,$A443&lt;=AR$9),$B443,""),"")</f>
        <v/>
      </c>
      <c r="AH443" s="38"/>
      <c r="AI443" s="70">
        <v>0</v>
      </c>
      <c r="AJ443" s="38">
        <f>IF(AND(AJ$7="○",$A443&gt;=AJ$8,$A443&lt;=AJ$9),IF(SUM(AJ$10:AJ442)-ROUNDDOWN($K443*AJ$5/100,0)&lt;-AJ$6,-AJ$6-SUM(AJ$10:AJ442),-ROUNDDOWN($K443*AJ$5/100,0)),0)</f>
        <v>0</v>
      </c>
      <c r="AK443" s="38">
        <f>IF(AND(AK$7="○",$A443&gt;=AK$8,$A443&lt;=AK$9),IF(SUM(AK$10:AK442)-ROUNDDOWN($L443*AK$5/100,0)&lt;-AK$6,-AK$6-SUM(AK$10:AK442),-ROUNDDOWN($L443*AK$5/100,0)),0)</f>
        <v>0</v>
      </c>
      <c r="AL443" s="38">
        <f>IF(AND(AL$7="○",$A443&gt;=AL$8,$A443&lt;=AL$9),IF(SUM(AL$10:AL442)-ROUNDDOWN($N443*AL$5/100,0)&lt;-AL$6,-AL$6-SUM(AL$10:AL442),-ROUNDDOWN($N443*AL$5/100,0)),0)</f>
        <v>0</v>
      </c>
      <c r="AM443" s="38">
        <f>IF(AND(AM$7="○",$A443&gt;=AM$8,$A443&lt;=AM$9),IF(SUM(AM$10:AM442)-ROUNDDOWN($L443*AM$5/100,0)&lt;-AM$6,-AM$6-SUM(AM$10:AM442),-ROUNDDOWN($L443*AM$5/100,0)),0)</f>
        <v>0</v>
      </c>
      <c r="AN443" s="38">
        <f>IF(AND(AN$7="○",$A443&gt;=AN$8,$A443&lt;=AN$9),IF(SUM(AN$10:AN442)-ROUNDDOWN($M443*AN$5/100,0)&lt;-AN$6,-AN$6-SUM(AN$10:AN442),-ROUNDDOWN($M443*AN$5/100,0)),0)</f>
        <v>0</v>
      </c>
      <c r="AO443" s="38">
        <f>IF(AND($A443&gt;=AO$8,$A443&lt;=AO$9),IF(SUM(AO$10:AO442)-ROUNDDOWN($K443*AO$5/100,0)&lt;-AO$6,-AO$6-SUM(AO$10:AO442),-ROUNDDOWN($K443*AO$5/100,0)),0)</f>
        <v>0</v>
      </c>
      <c r="AP443" s="38">
        <f>IF(AND($A443&gt;=AP$8,$A443&lt;=AP$9),IF(SUM(AP$10:AP442)-ROUNDDOWN($K443*AP$5/100,0)&lt;-AP$6,-AP$6-SUM(AP$10:AP442),-ROUNDDOWN($K443*AP$5/100,0)),0)</f>
        <v>0</v>
      </c>
      <c r="AQ443" s="38">
        <f>IF(AND($A443&gt;=AQ$8,$A443&lt;=AQ$9),IF(SUM(AQ$10:AQ442)-ROUNDDOWN($K443*AQ$5/100,0)&lt;-AQ$6,-AQ$6-SUM(AQ$10:AQ442),-ROUNDDOWN($K443*AQ$5/100,0)),0)</f>
        <v>0</v>
      </c>
      <c r="AR443" s="38">
        <f>IF(AND($A443&gt;=AR$8,$A443&lt;=AR$9),IF(SUM(AR$10:AR442)-ROUNDDOWN($K443*AR$5/100,0)&lt;-AR$6,-AR$6-SUM(AR$10:AR442),-ROUNDDOWN($K443*AR$5/100,0)),0)</f>
        <v>0</v>
      </c>
      <c r="AS443" s="38">
        <f>IF(SUMIFS(AS$10:AS442,$A$10:$A442,$A443)-ROUNDDOWN($K443*$S443/100,0)&lt;-$S443*1000,-$S443*1000-SUMIFS(AS$10:AS442,$A$10:$A442,$A443),-ROUNDDOWN($K443*$S443/100,0))</f>
        <v>0</v>
      </c>
      <c r="AT443" s="38">
        <f>IF(AND(X443="○",$A443&gt;=AT$8,$A443&lt;=AT$9,K443&gt;=3980),IF(SUM(AT$10:AT442)-ROUNDDOWN($K443*AT$5/100,0)&lt;-AT$6,-AT$6-SUM(AT$10:AT442),-ROUNDDOWN($K443*AT$5/100,0)),0)</f>
        <v>0</v>
      </c>
      <c r="AU443" s="38">
        <f>IF(O443="○",IF(SUM(AU$10:AU442)-ROUNDDOWN($K443*AU$5/100,0)&lt;-AU$6,-AU$6-SUM(AU$10:AU442),-ROUNDDOWN($K443*AU$5/100,0)),0)</f>
        <v>0</v>
      </c>
      <c r="AV443" s="38">
        <f>IF(P443="○",IF(SUM(AV$10:AV442)-ROUNDDOWN($K443*AV$5/100,0)&lt;-AV$6,-AV$6-SUM(AV$10:AV442),-ROUNDDOWN($K443*AV$5/100,0)),0)</f>
        <v>0</v>
      </c>
      <c r="AW443" s="38">
        <f>IF(Q443="○",IF(SUM(AW$10:AW442)-ROUNDDOWN($K443*AW$5/100,0)&lt;-AW$6,-AW$6-SUM(AW$10:AW442),-ROUNDDOWN($K443*AW$5/100,0)),0)</f>
        <v>0</v>
      </c>
      <c r="AX443" s="38">
        <f>IF(R443="○",IF(SUM(AX$10:AX442)-ROUNDDOWN($K443*AX$5/100,0)&lt;-AX$6,-AX$6-SUM(AX$10:AX442),-ROUNDDOWN($K443*AX$5/100,0)),0)</f>
        <v>0</v>
      </c>
      <c r="AY443" s="70">
        <v>0</v>
      </c>
      <c r="AZ443" s="65">
        <f t="shared" si="285"/>
        <v>0</v>
      </c>
      <c r="BA443" s="65">
        <f t="shared" si="286"/>
        <v>0</v>
      </c>
      <c r="BB443" s="70"/>
      <c r="BC443" s="65">
        <f t="shared" si="287"/>
        <v>0</v>
      </c>
      <c r="BD443" s="70">
        <v>0</v>
      </c>
      <c r="BE443" s="65">
        <f t="shared" si="288"/>
        <v>0</v>
      </c>
      <c r="BF443" s="70">
        <v>0</v>
      </c>
      <c r="BG443" s="65">
        <f t="shared" si="289"/>
        <v>0</v>
      </c>
      <c r="BH443" s="70">
        <v>0</v>
      </c>
      <c r="BI443" s="65">
        <f t="shared" si="290"/>
        <v>0</v>
      </c>
      <c r="BJ443" s="38">
        <f>IF(AND(BJ$7="○",$A443&gt;=BJ$8,$A443&lt;=BJ$9),IF(SUM(BJ$10:BJ442)-ROUNDDOWN($M443*BJ$5/100,0)&lt;-BJ$6,-BJ$6-SUM(BJ$10:BJ442),-ROUNDDOWN($M443*BJ$5/100,0)),0)</f>
        <v>0</v>
      </c>
      <c r="BK443" s="38">
        <f>IF(AND(BK$7="○",$A443&gt;=BK$8,$A443&lt;=BK$9),IF(SUM(BK$10:BK442)-ROUNDDOWN($L443*BK$5/100,0)&lt;-BK$6,-BK$6-SUM(BK$10:BK442),-ROUNDDOWN($L443*BK$5/100,0)),0)</f>
        <v>0</v>
      </c>
      <c r="BL443" s="38">
        <f>IF(AND(BL$7="○",$A443&gt;=BL$8,$A443&lt;=BL$9),IF(SUM(BL$10:BL442)-ROUNDDOWN($L443*BL$5/100,0)&lt;-BL$6,-BL$6-SUM(BL$10:BL442),-ROUNDDOWN($L443*BL$5/100,0)),0)</f>
        <v>0</v>
      </c>
      <c r="BM443" s="38">
        <f>IF(AND(BM$7="○",$A443&gt;=BM$8,$A443&lt;=BM$9),IF(SUM(BM$10:BM442)-ROUNDDOWN($M443*BM$5/100,0)&lt;-BM$6,-BM$6-SUM(BM$10:BM442),-ROUNDDOWN($M443*BM$5/100,0)),0)</f>
        <v>0</v>
      </c>
      <c r="BN443" s="38">
        <f>IF(AND(BN$7="○",$A443&gt;=BN$8,$A443&lt;=BN$9),IF(SUM(BN$10:BN442)-ROUNDDOWN($M443*BN$5/100,0)&lt;-BN$6,-BN$6-SUM(BN$10:BN442),-ROUNDDOWN($M443*BN$5/100,0)),0)</f>
        <v>0</v>
      </c>
      <c r="BO443" s="38">
        <f>IF(AND(BO$7="○",$A443&gt;=BO$8,$A443&lt;=BO$9),IF(SUM(BO$10:BO442)-ROUNDDOWN($M443*BO$5/100,0)&lt;-BO$6,-BO$6-SUM(BO$10:BO442),-ROUNDDOWN($M443*BO$5/100,0)),0)</f>
        <v>0</v>
      </c>
      <c r="BP443" s="38">
        <f>IF(AND(BP$7="○",$A443&gt;=BP$8,$A443&lt;=BP$9),IF(SUM(BP$10:BP442)-ROUNDDOWN($M443*BP$5/100,0)&lt;-BP$6,-BP$6-SUM(BP$10:BP442),-ROUNDDOWN($M443*BP$5/100,0)),0)</f>
        <v>0</v>
      </c>
      <c r="BQ443" s="38">
        <f>IF(AND(BQ$7="○",$A443&gt;=BQ$8,$A443&lt;=BQ$9),IF(SUM(BQ$10:BQ442)-ROUNDDOWN($L443*BQ$5/100,0)&lt;-BQ$6,-BQ$6-SUM(BQ$10:BQ442),-ROUNDDOWN($L443*BQ$5/100,0)),0)</f>
        <v>0</v>
      </c>
      <c r="BR443" s="38">
        <f>IF(AND(BR$7="○",$A443&gt;=BR$8,$A443&lt;=BR$9),IF(SUM(BR$10:BR442)-ROUNDDOWN($M443*BR$5/100,0)&lt;-BR$6,-BR$6-SUM(BR$10:BR442),-ROUNDDOWN($M443*BR$5/100,0)),0)</f>
        <v>0</v>
      </c>
      <c r="BS443" s="38">
        <f>IF(AND(BS$7="○",$A443&gt;=BS$8,$A443&lt;=BS$9),IF(SUM(BS$10:BS442)-ROUNDDOWN($M443*BS$5/100,0)&lt;-BS$6,-BS$6-SUM(BS$10:BS442),-ROUNDDOWN($M443*BS$5/100,0)),0)</f>
        <v>0</v>
      </c>
      <c r="BT443" s="38">
        <f>IF(AND(BT$7="○",$A443&gt;=BT$8,$A443&lt;=BT$9),IF(SUM(BT$10:BT442)-ROUNDDOWN($M443*BT$5/100,0)&lt;-BT$6,-BT$6-SUM(BT$10:BT442),-ROUNDDOWN($M443*BT$5/100,0)),0)</f>
        <v>0</v>
      </c>
      <c r="BU443" s="38">
        <f>IF(AND(BU$7="○",$A443&gt;=BU$8,$A443&lt;=BU$9),IF(SUM(BU$10:BU442)-ROUNDDOWN($M443*BU$5/100,0)&lt;-BU$6,-BU$6-SUM(BU$10:BU442),-ROUNDDOWN($M443*BU$5/100,0)),0)</f>
        <v>0</v>
      </c>
      <c r="BV443" s="38">
        <f>IF(AND(BV$7="○",$A443&gt;=BV$8,$A443&lt;=BV$9),IF(SUM(BV$10:BV442)-ROUNDDOWN($M443*BV$5/100,0)&lt;-BV$6,-BV$6-SUM(BV$10:BV442),-ROUNDDOWN($M443*BV$5/100,0)),0)</f>
        <v>0</v>
      </c>
      <c r="BW443" s="38">
        <f>IF(AND(BW$7="○",$A443&gt;=BW$8,$A443&lt;=BW$9),IF(SUM(BW$10:BW442)-ROUNDDOWN($M443*BW$5/100,0)&lt;-BW$6,-BW$6-SUM(BW$10:BW442),-ROUNDDOWN($M443*BW$5/100,0)),0)</f>
        <v>0</v>
      </c>
      <c r="BX443" s="38">
        <f>IF(AND(T443="○",$A443&gt;=BX$8,$A443&lt;=BX$9),IF(SUM(BX$10:BX442)-ROUNDDOWN($K443*BX$5/100,0)&lt;-BX$6,-BX$6-SUM(BX$10:BX442),-ROUNDDOWN($K443*BX$5/100,0)),0)</f>
        <v>0</v>
      </c>
      <c r="BY443" s="38">
        <f>IF(AND(U443="○",$A443&gt;=BY$8,$A443&lt;=BY$9),IF(SUM(BY$10:BY442)-ROUNDDOWN($K443*BY$5/100,0)&lt;-BY$6,-BY$6-SUM(BY$10:BY442),-ROUNDDOWN($K443*BY$5/100,0)),0)</f>
        <v>0</v>
      </c>
      <c r="BZ443" s="38">
        <f>IF(AND(V443="○",$A443&gt;=BZ$8,$A443&lt;=BZ$9),IF(SUM(BZ$10:BZ442)-ROUNDDOWN($K443*BZ$5/100,0)&lt;-BZ$6,-BZ$6-SUM(BZ$10:BZ442),-ROUNDDOWN($K443*BZ$5/100,0)),0)</f>
        <v>0</v>
      </c>
      <c r="CA443" s="38">
        <f>IF(AND(W443="○",$A443&gt;=CA$8,$A443&lt;=CA$9),IF(SUM(CA$10:CA442)-ROUNDDOWN($K443*CA$5/100,0)&lt;-CA$6,-CA$6-SUM(CA$10:CA442),-ROUNDDOWN($K443*CA$5/100,0)),0)</f>
        <v>0</v>
      </c>
      <c r="CB443" s="38"/>
      <c r="CC443" s="38"/>
      <c r="CD443" s="38"/>
      <c r="CE443" s="38"/>
      <c r="CF443" s="38"/>
      <c r="CG443" s="65">
        <f t="shared" si="291"/>
        <v>0</v>
      </c>
      <c r="CH443" s="71">
        <f t="shared" si="292"/>
        <v>0</v>
      </c>
      <c r="CI443" s="1">
        <f t="shared" si="308"/>
        <v>0</v>
      </c>
      <c r="CJ443" s="1"/>
      <c r="CK443" s="72"/>
      <c r="CL443" s="72"/>
      <c r="CM443" s="2"/>
      <c r="CN443" s="2"/>
      <c r="CO443" s="73">
        <f t="shared" si="309"/>
        <v>0</v>
      </c>
      <c r="CP443" s="5">
        <f t="shared" si="310"/>
        <v>0</v>
      </c>
      <c r="CQ443" s="1"/>
      <c r="CR443" s="1">
        <f t="shared" si="311"/>
        <v>0</v>
      </c>
      <c r="CS443" s="1"/>
      <c r="CT443" s="1" t="e">
        <f>INDEX([2]マスタ!$A:$A,MATCH(D443,[2]マスタ!$C:$C,0))</f>
        <v>#N/A</v>
      </c>
      <c r="CU443" s="1" t="str">
        <f t="shared" ca="1" si="312"/>
        <v>20260620_0-0</v>
      </c>
    </row>
    <row r="444" spans="1:99" x14ac:dyDescent="0.4">
      <c r="A444" s="61"/>
      <c r="B444" s="62"/>
      <c r="C444" s="62"/>
      <c r="D444" s="62"/>
      <c r="E444" s="74"/>
      <c r="F444" s="62"/>
      <c r="G444" s="62">
        <v>1</v>
      </c>
      <c r="H444" s="64">
        <f t="shared" si="302"/>
        <v>0</v>
      </c>
      <c r="I444" s="64"/>
      <c r="J444" s="64"/>
      <c r="K444" s="65">
        <f t="shared" si="303"/>
        <v>0</v>
      </c>
      <c r="L444" s="65">
        <f t="shared" si="304"/>
        <v>0</v>
      </c>
      <c r="M444" s="65">
        <f t="shared" si="305"/>
        <v>0</v>
      </c>
      <c r="N444" s="65">
        <f t="shared" si="306"/>
        <v>0</v>
      </c>
      <c r="O444" s="66" t="str">
        <f t="shared" si="9"/>
        <v>✕</v>
      </c>
      <c r="P444" s="67" t="str">
        <f t="shared" si="10"/>
        <v>○</v>
      </c>
      <c r="Q444" s="67" t="str">
        <f t="shared" si="307"/>
        <v>✕</v>
      </c>
      <c r="R444" s="67" t="str">
        <f t="shared" si="12"/>
        <v>✕</v>
      </c>
      <c r="S444" s="68">
        <v>0</v>
      </c>
      <c r="T444" s="69" t="s">
        <v>85</v>
      </c>
      <c r="U444" s="69" t="s">
        <v>85</v>
      </c>
      <c r="V444" s="69" t="s">
        <v>85</v>
      </c>
      <c r="W444" s="69" t="s">
        <v>85</v>
      </c>
      <c r="X444" s="69" t="s">
        <v>84</v>
      </c>
      <c r="Y444" s="69" t="s">
        <v>85</v>
      </c>
      <c r="Z444" s="69" t="s">
        <v>85</v>
      </c>
      <c r="AA444" s="69" t="s">
        <v>85</v>
      </c>
      <c r="AB444" s="69" t="s">
        <v>85</v>
      </c>
      <c r="AC444" s="69" t="s">
        <v>85</v>
      </c>
      <c r="AD444" s="38" t="str">
        <f>+IF(ISERROR(VLOOKUP($B444,AD$10:AD443,1,0)),IF(AND($N444&gt;=1000,$A444&gt;=AO$8,$A444&lt;=AO$9),$B444,""),"")</f>
        <v/>
      </c>
      <c r="AE444" s="38" t="str">
        <f>+IF(ISERROR(VLOOKUP($B444,AE$10:AE443,1,0)),IF(AND($N444&gt;=1000,$A444&gt;=AP$8,$A444&lt;=AP$9),$B444,""),"")</f>
        <v/>
      </c>
      <c r="AF444" s="38" t="str">
        <f>+IF(ISERROR(VLOOKUP($B444,AF$10:AF443,1,0)),IF(AND($N444&gt;=1000,$A444&gt;=AQ$8,$A444&lt;=AQ$9),$B444,""),"")</f>
        <v/>
      </c>
      <c r="AG444" s="38" t="str">
        <f>+IF(ISERROR(VLOOKUP($B444,AG$10:AG443,1,0)),IF(AND($N444&gt;=1000,$A444&gt;=AR$8,$A444&lt;=AR$9),$B444,""),"")</f>
        <v/>
      </c>
      <c r="AH444" s="38"/>
      <c r="AI444" s="70">
        <v>0</v>
      </c>
      <c r="AJ444" s="38">
        <f>IF(AND(AJ$7="○",$A444&gt;=AJ$8,$A444&lt;=AJ$9),IF(SUM(AJ$10:AJ443)-ROUNDDOWN($K444*AJ$5/100,0)&lt;-AJ$6,-AJ$6-SUM(AJ$10:AJ443),-ROUNDDOWN($K444*AJ$5/100,0)),0)</f>
        <v>0</v>
      </c>
      <c r="AK444" s="38">
        <f>IF(AND(AK$7="○",$A444&gt;=AK$8,$A444&lt;=AK$9),IF(SUM(AK$10:AK443)-ROUNDDOWN($L444*AK$5/100,0)&lt;-AK$6,-AK$6-SUM(AK$10:AK443),-ROUNDDOWN($L444*AK$5/100,0)),0)</f>
        <v>0</v>
      </c>
      <c r="AL444" s="38">
        <f>IF(AND(AL$7="○",$A444&gt;=AL$8,$A444&lt;=AL$9),IF(SUM(AL$10:AL443)-ROUNDDOWN($N444*AL$5/100,0)&lt;-AL$6,-AL$6-SUM(AL$10:AL443),-ROUNDDOWN($N444*AL$5/100,0)),0)</f>
        <v>0</v>
      </c>
      <c r="AM444" s="38">
        <f>IF(AND(AM$7="○",$A444&gt;=AM$8,$A444&lt;=AM$9),IF(SUM(AM$10:AM443)-ROUNDDOWN($L444*AM$5/100,0)&lt;-AM$6,-AM$6-SUM(AM$10:AM443),-ROUNDDOWN($L444*AM$5/100,0)),0)</f>
        <v>0</v>
      </c>
      <c r="AN444" s="38">
        <f>IF(AND(AN$7="○",$A444&gt;=AN$8,$A444&lt;=AN$9),IF(SUM(AN$10:AN443)-ROUNDDOWN($M444*AN$5/100,0)&lt;-AN$6,-AN$6-SUM(AN$10:AN443),-ROUNDDOWN($M444*AN$5/100,0)),0)</f>
        <v>0</v>
      </c>
      <c r="AO444" s="38">
        <f>IF(AND($A444&gt;=AO$8,$A444&lt;=AO$9),IF(SUM(AO$10:AO443)-ROUNDDOWN($K444*AO$5/100,0)&lt;-AO$6,-AO$6-SUM(AO$10:AO443),-ROUNDDOWN($K444*AO$5/100,0)),0)</f>
        <v>0</v>
      </c>
      <c r="AP444" s="38">
        <f>IF(AND($A444&gt;=AP$8,$A444&lt;=AP$9),IF(SUM(AP$10:AP443)-ROUNDDOWN($K444*AP$5/100,0)&lt;-AP$6,-AP$6-SUM(AP$10:AP443),-ROUNDDOWN($K444*AP$5/100,0)),0)</f>
        <v>0</v>
      </c>
      <c r="AQ444" s="38">
        <f>IF(AND($A444&gt;=AQ$8,$A444&lt;=AQ$9),IF(SUM(AQ$10:AQ443)-ROUNDDOWN($K444*AQ$5/100,0)&lt;-AQ$6,-AQ$6-SUM(AQ$10:AQ443),-ROUNDDOWN($K444*AQ$5/100,0)),0)</f>
        <v>0</v>
      </c>
      <c r="AR444" s="38">
        <f>IF(AND($A444&gt;=AR$8,$A444&lt;=AR$9),IF(SUM(AR$10:AR443)-ROUNDDOWN($K444*AR$5/100,0)&lt;-AR$6,-AR$6-SUM(AR$10:AR443),-ROUNDDOWN($K444*AR$5/100,0)),0)</f>
        <v>0</v>
      </c>
      <c r="AS444" s="38">
        <f>IF(SUMIFS(AS$10:AS443,$A$10:$A443,$A444)-ROUNDDOWN($K444*$S444/100,0)&lt;-$S444*1000,-$S444*1000-SUMIFS(AS$10:AS443,$A$10:$A443,$A444),-ROUNDDOWN($K444*$S444/100,0))</f>
        <v>0</v>
      </c>
      <c r="AT444" s="38">
        <f>IF(AND(X444="○",$A444&gt;=AT$8,$A444&lt;=AT$9,K444&gt;=3980),IF(SUM(AT$10:AT443)-ROUNDDOWN($K444*AT$5/100,0)&lt;-AT$6,-AT$6-SUM(AT$10:AT443),-ROUNDDOWN($K444*AT$5/100,0)),0)</f>
        <v>0</v>
      </c>
      <c r="AU444" s="38">
        <f>IF(O444="○",IF(SUM(AU$10:AU443)-ROUNDDOWN($K444*AU$5/100,0)&lt;-AU$6,-AU$6-SUM(AU$10:AU443),-ROUNDDOWN($K444*AU$5/100,0)),0)</f>
        <v>0</v>
      </c>
      <c r="AV444" s="38">
        <f>IF(P444="○",IF(SUM(AV$10:AV443)-ROUNDDOWN($K444*AV$5/100,0)&lt;-AV$6,-AV$6-SUM(AV$10:AV443),-ROUNDDOWN($K444*AV$5/100,0)),0)</f>
        <v>0</v>
      </c>
      <c r="AW444" s="38">
        <f>IF(Q444="○",IF(SUM(AW$10:AW443)-ROUNDDOWN($K444*AW$5/100,0)&lt;-AW$6,-AW$6-SUM(AW$10:AW443),-ROUNDDOWN($K444*AW$5/100,0)),0)</f>
        <v>0</v>
      </c>
      <c r="AX444" s="38">
        <f>IF(R444="○",IF(SUM(AX$10:AX443)-ROUNDDOWN($K444*AX$5/100,0)&lt;-AX$6,-AX$6-SUM(AX$10:AX443),-ROUNDDOWN($K444*AX$5/100,0)),0)</f>
        <v>0</v>
      </c>
      <c r="AY444" s="70">
        <v>0</v>
      </c>
      <c r="AZ444" s="65">
        <f t="shared" si="285"/>
        <v>0</v>
      </c>
      <c r="BA444" s="65">
        <f t="shared" si="286"/>
        <v>0</v>
      </c>
      <c r="BB444" s="70"/>
      <c r="BC444" s="65">
        <f t="shared" si="287"/>
        <v>0</v>
      </c>
      <c r="BD444" s="70">
        <v>0</v>
      </c>
      <c r="BE444" s="65">
        <f t="shared" si="288"/>
        <v>0</v>
      </c>
      <c r="BF444" s="70">
        <v>0</v>
      </c>
      <c r="BG444" s="65">
        <f t="shared" si="289"/>
        <v>0</v>
      </c>
      <c r="BH444" s="70">
        <v>0</v>
      </c>
      <c r="BI444" s="65">
        <f t="shared" si="290"/>
        <v>0</v>
      </c>
      <c r="BJ444" s="38">
        <f>IF(AND(BJ$7="○",$A444&gt;=BJ$8,$A444&lt;=BJ$9),IF(SUM(BJ$10:BJ443)-ROUNDDOWN($M444*BJ$5/100,0)&lt;-BJ$6,-BJ$6-SUM(BJ$10:BJ443),-ROUNDDOWN($M444*BJ$5/100,0)),0)</f>
        <v>0</v>
      </c>
      <c r="BK444" s="38">
        <f>IF(AND(BK$7="○",$A444&gt;=BK$8,$A444&lt;=BK$9),IF(SUM(BK$10:BK443)-ROUNDDOWN($L444*BK$5/100,0)&lt;-BK$6,-BK$6-SUM(BK$10:BK443),-ROUNDDOWN($L444*BK$5/100,0)),0)</f>
        <v>0</v>
      </c>
      <c r="BL444" s="38">
        <f>IF(AND(BL$7="○",$A444&gt;=BL$8,$A444&lt;=BL$9),IF(SUM(BL$10:BL443)-ROUNDDOWN($L444*BL$5/100,0)&lt;-BL$6,-BL$6-SUM(BL$10:BL443),-ROUNDDOWN($L444*BL$5/100,0)),0)</f>
        <v>0</v>
      </c>
      <c r="BM444" s="38">
        <f>IF(AND(BM$7="○",$A444&gt;=BM$8,$A444&lt;=BM$9),IF(SUM(BM$10:BM443)-ROUNDDOWN($M444*BM$5/100,0)&lt;-BM$6,-BM$6-SUM(BM$10:BM443),-ROUNDDOWN($M444*BM$5/100,0)),0)</f>
        <v>0</v>
      </c>
      <c r="BN444" s="38">
        <f>IF(AND(BN$7="○",$A444&gt;=BN$8,$A444&lt;=BN$9),IF(SUM(BN$10:BN443)-ROUNDDOWN($M444*BN$5/100,0)&lt;-BN$6,-BN$6-SUM(BN$10:BN443),-ROUNDDOWN($M444*BN$5/100,0)),0)</f>
        <v>0</v>
      </c>
      <c r="BO444" s="38">
        <f>IF(AND(BO$7="○",$A444&gt;=BO$8,$A444&lt;=BO$9),IF(SUM(BO$10:BO443)-ROUNDDOWN($M444*BO$5/100,0)&lt;-BO$6,-BO$6-SUM(BO$10:BO443),-ROUNDDOWN($M444*BO$5/100,0)),0)</f>
        <v>0</v>
      </c>
      <c r="BP444" s="38">
        <f>IF(AND(BP$7="○",$A444&gt;=BP$8,$A444&lt;=BP$9),IF(SUM(BP$10:BP443)-ROUNDDOWN($M444*BP$5/100,0)&lt;-BP$6,-BP$6-SUM(BP$10:BP443),-ROUNDDOWN($M444*BP$5/100,0)),0)</f>
        <v>0</v>
      </c>
      <c r="BQ444" s="38">
        <f>IF(AND(BQ$7="○",$A444&gt;=BQ$8,$A444&lt;=BQ$9),IF(SUM(BQ$10:BQ443)-ROUNDDOWN($L444*BQ$5/100,0)&lt;-BQ$6,-BQ$6-SUM(BQ$10:BQ443),-ROUNDDOWN($L444*BQ$5/100,0)),0)</f>
        <v>0</v>
      </c>
      <c r="BR444" s="38">
        <f>IF(AND(BR$7="○",$A444&gt;=BR$8,$A444&lt;=BR$9),IF(SUM(BR$10:BR443)-ROUNDDOWN($M444*BR$5/100,0)&lt;-BR$6,-BR$6-SUM(BR$10:BR443),-ROUNDDOWN($M444*BR$5/100,0)),0)</f>
        <v>0</v>
      </c>
      <c r="BS444" s="38">
        <f>IF(AND(BS$7="○",$A444&gt;=BS$8,$A444&lt;=BS$9),IF(SUM(BS$10:BS443)-ROUNDDOWN($M444*BS$5/100,0)&lt;-BS$6,-BS$6-SUM(BS$10:BS443),-ROUNDDOWN($M444*BS$5/100,0)),0)</f>
        <v>0</v>
      </c>
      <c r="BT444" s="38">
        <f>IF(AND(BT$7="○",$A444&gt;=BT$8,$A444&lt;=BT$9),IF(SUM(BT$10:BT443)-ROUNDDOWN($M444*BT$5/100,0)&lt;-BT$6,-BT$6-SUM(BT$10:BT443),-ROUNDDOWN($M444*BT$5/100,0)),0)</f>
        <v>0</v>
      </c>
      <c r="BU444" s="38">
        <f>IF(AND(BU$7="○",$A444&gt;=BU$8,$A444&lt;=BU$9),IF(SUM(BU$10:BU443)-ROUNDDOWN($M444*BU$5/100,0)&lt;-BU$6,-BU$6-SUM(BU$10:BU443),-ROUNDDOWN($M444*BU$5/100,0)),0)</f>
        <v>0</v>
      </c>
      <c r="BV444" s="38">
        <f>IF(AND(BV$7="○",$A444&gt;=BV$8,$A444&lt;=BV$9),IF(SUM(BV$10:BV443)-ROUNDDOWN($M444*BV$5/100,0)&lt;-BV$6,-BV$6-SUM(BV$10:BV443),-ROUNDDOWN($M444*BV$5/100,0)),0)</f>
        <v>0</v>
      </c>
      <c r="BW444" s="38">
        <f>IF(AND(BW$7="○",$A444&gt;=BW$8,$A444&lt;=BW$9),IF(SUM(BW$10:BW443)-ROUNDDOWN($M444*BW$5/100,0)&lt;-BW$6,-BW$6-SUM(BW$10:BW443),-ROUNDDOWN($M444*BW$5/100,0)),0)</f>
        <v>0</v>
      </c>
      <c r="BX444" s="38">
        <f>IF(AND(T444="○",$A444&gt;=BX$8,$A444&lt;=BX$9),IF(SUM(BX$10:BX443)-ROUNDDOWN($K444*BX$5/100,0)&lt;-BX$6,-BX$6-SUM(BX$10:BX443),-ROUNDDOWN($K444*BX$5/100,0)),0)</f>
        <v>0</v>
      </c>
      <c r="BY444" s="38">
        <f>IF(AND(U444="○",$A444&gt;=BY$8,$A444&lt;=BY$9),IF(SUM(BY$10:BY443)-ROUNDDOWN($K444*BY$5/100,0)&lt;-BY$6,-BY$6-SUM(BY$10:BY443),-ROUNDDOWN($K444*BY$5/100,0)),0)</f>
        <v>0</v>
      </c>
      <c r="BZ444" s="38">
        <f>IF(AND(V444="○",$A444&gt;=BZ$8,$A444&lt;=BZ$9),IF(SUM(BZ$10:BZ443)-ROUNDDOWN($K444*BZ$5/100,0)&lt;-BZ$6,-BZ$6-SUM(BZ$10:BZ443),-ROUNDDOWN($K444*BZ$5/100,0)),0)</f>
        <v>0</v>
      </c>
      <c r="CA444" s="38">
        <f>IF(AND(W444="○",$A444&gt;=CA$8,$A444&lt;=CA$9),IF(SUM(CA$10:CA443)-ROUNDDOWN($K444*CA$5/100,0)&lt;-CA$6,-CA$6-SUM(CA$10:CA443),-ROUNDDOWN($K444*CA$5/100,0)),0)</f>
        <v>0</v>
      </c>
      <c r="CB444" s="38"/>
      <c r="CC444" s="38"/>
      <c r="CD444" s="38"/>
      <c r="CE444" s="38"/>
      <c r="CF444" s="38"/>
      <c r="CG444" s="65">
        <f t="shared" si="291"/>
        <v>0</v>
      </c>
      <c r="CH444" s="71">
        <f t="shared" si="292"/>
        <v>0</v>
      </c>
      <c r="CI444" s="1">
        <f t="shared" si="308"/>
        <v>0</v>
      </c>
      <c r="CJ444" s="1"/>
      <c r="CK444" s="72"/>
      <c r="CL444" s="72"/>
      <c r="CM444" s="2"/>
      <c r="CN444" s="2"/>
      <c r="CO444" s="73">
        <f t="shared" si="309"/>
        <v>0</v>
      </c>
      <c r="CP444" s="5">
        <f t="shared" si="310"/>
        <v>0</v>
      </c>
      <c r="CQ444" s="1"/>
      <c r="CR444" s="1">
        <f t="shared" si="311"/>
        <v>0</v>
      </c>
      <c r="CS444" s="1"/>
      <c r="CT444" s="1" t="e">
        <f>INDEX([2]マスタ!$A:$A,MATCH(D444,[2]マスタ!$C:$C,0))</f>
        <v>#N/A</v>
      </c>
      <c r="CU444" s="1" t="str">
        <f t="shared" ca="1" si="312"/>
        <v>20260620_0-0</v>
      </c>
    </row>
    <row r="445" spans="1:99" x14ac:dyDescent="0.4">
      <c r="A445" s="61"/>
      <c r="B445" s="62"/>
      <c r="C445" s="62"/>
      <c r="D445" s="62"/>
      <c r="E445" s="74"/>
      <c r="F445" s="62"/>
      <c r="G445" s="62">
        <v>1</v>
      </c>
      <c r="H445" s="64">
        <f t="shared" si="302"/>
        <v>0</v>
      </c>
      <c r="I445" s="64"/>
      <c r="J445" s="64"/>
      <c r="K445" s="65">
        <f t="shared" si="303"/>
        <v>0</v>
      </c>
      <c r="L445" s="65">
        <f t="shared" si="304"/>
        <v>0</v>
      </c>
      <c r="M445" s="65">
        <f t="shared" si="305"/>
        <v>0</v>
      </c>
      <c r="N445" s="65">
        <f t="shared" si="306"/>
        <v>0</v>
      </c>
      <c r="O445" s="66" t="str">
        <f t="shared" si="9"/>
        <v>✕</v>
      </c>
      <c r="P445" s="67" t="str">
        <f t="shared" si="10"/>
        <v>○</v>
      </c>
      <c r="Q445" s="67" t="str">
        <f t="shared" si="307"/>
        <v>✕</v>
      </c>
      <c r="R445" s="67" t="str">
        <f t="shared" si="12"/>
        <v>✕</v>
      </c>
      <c r="S445" s="68">
        <v>0</v>
      </c>
      <c r="T445" s="69" t="s">
        <v>85</v>
      </c>
      <c r="U445" s="69" t="s">
        <v>85</v>
      </c>
      <c r="V445" s="69" t="s">
        <v>85</v>
      </c>
      <c r="W445" s="69" t="s">
        <v>85</v>
      </c>
      <c r="X445" s="69" t="s">
        <v>84</v>
      </c>
      <c r="Y445" s="69" t="s">
        <v>85</v>
      </c>
      <c r="Z445" s="69" t="s">
        <v>85</v>
      </c>
      <c r="AA445" s="69" t="s">
        <v>85</v>
      </c>
      <c r="AB445" s="69" t="s">
        <v>85</v>
      </c>
      <c r="AC445" s="69" t="s">
        <v>85</v>
      </c>
      <c r="AD445" s="38" t="str">
        <f>+IF(ISERROR(VLOOKUP($B445,AD$10:AD444,1,0)),IF(AND($N445&gt;=1000,$A445&gt;=AO$8,$A445&lt;=AO$9),$B445,""),"")</f>
        <v/>
      </c>
      <c r="AE445" s="38" t="str">
        <f>+IF(ISERROR(VLOOKUP($B445,AE$10:AE444,1,0)),IF(AND($N445&gt;=1000,$A445&gt;=AP$8,$A445&lt;=AP$9),$B445,""),"")</f>
        <v/>
      </c>
      <c r="AF445" s="38" t="str">
        <f>+IF(ISERROR(VLOOKUP($B445,AF$10:AF444,1,0)),IF(AND($N445&gt;=1000,$A445&gt;=AQ$8,$A445&lt;=AQ$9),$B445,""),"")</f>
        <v/>
      </c>
      <c r="AG445" s="38" t="str">
        <f>+IF(ISERROR(VLOOKUP($B445,AG$10:AG444,1,0)),IF(AND($N445&gt;=1000,$A445&gt;=AR$8,$A445&lt;=AR$9),$B445,""),"")</f>
        <v/>
      </c>
      <c r="AH445" s="38"/>
      <c r="AI445" s="70">
        <v>0</v>
      </c>
      <c r="AJ445" s="38">
        <f>IF(AND(AJ$7="○",$A445&gt;=AJ$8,$A445&lt;=AJ$9),IF(SUM(AJ$10:AJ444)-ROUNDDOWN($K445*AJ$5/100,0)&lt;-AJ$6,-AJ$6-SUM(AJ$10:AJ444),-ROUNDDOWN($K445*AJ$5/100,0)),0)</f>
        <v>0</v>
      </c>
      <c r="AK445" s="38">
        <f>IF(AND(AK$7="○",$A445&gt;=AK$8,$A445&lt;=AK$9),IF(SUM(AK$10:AK444)-ROUNDDOWN($L445*AK$5/100,0)&lt;-AK$6,-AK$6-SUM(AK$10:AK444),-ROUNDDOWN($L445*AK$5/100,0)),0)</f>
        <v>0</v>
      </c>
      <c r="AL445" s="38">
        <f>IF(AND(AL$7="○",$A445&gt;=AL$8,$A445&lt;=AL$9),IF(SUM(AL$10:AL444)-ROUNDDOWN($N445*AL$5/100,0)&lt;-AL$6,-AL$6-SUM(AL$10:AL444),-ROUNDDOWN($N445*AL$5/100,0)),0)</f>
        <v>0</v>
      </c>
      <c r="AM445" s="38">
        <f>IF(AND(AM$7="○",$A445&gt;=AM$8,$A445&lt;=AM$9),IF(SUM(AM$10:AM444)-ROUNDDOWN($L445*AM$5/100,0)&lt;-AM$6,-AM$6-SUM(AM$10:AM444),-ROUNDDOWN($L445*AM$5/100,0)),0)</f>
        <v>0</v>
      </c>
      <c r="AN445" s="38">
        <f>IF(AND(AN$7="○",$A445&gt;=AN$8,$A445&lt;=AN$9),IF(SUM(AN$10:AN444)-ROUNDDOWN($M445*AN$5/100,0)&lt;-AN$6,-AN$6-SUM(AN$10:AN444),-ROUNDDOWN($M445*AN$5/100,0)),0)</f>
        <v>0</v>
      </c>
      <c r="AO445" s="38">
        <f>IF(AND($A445&gt;=AO$8,$A445&lt;=AO$9),IF(SUM(AO$10:AO444)-ROUNDDOWN($K445*AO$5/100,0)&lt;-AO$6,-AO$6-SUM(AO$10:AO444),-ROUNDDOWN($K445*AO$5/100,0)),0)</f>
        <v>0</v>
      </c>
      <c r="AP445" s="38">
        <f>IF(AND($A445&gt;=AP$8,$A445&lt;=AP$9),IF(SUM(AP$10:AP444)-ROUNDDOWN($K445*AP$5/100,0)&lt;-AP$6,-AP$6-SUM(AP$10:AP444),-ROUNDDOWN($K445*AP$5/100,0)),0)</f>
        <v>0</v>
      </c>
      <c r="AQ445" s="38">
        <f>IF(AND($A445&gt;=AQ$8,$A445&lt;=AQ$9),IF(SUM(AQ$10:AQ444)-ROUNDDOWN($K445*AQ$5/100,0)&lt;-AQ$6,-AQ$6-SUM(AQ$10:AQ444),-ROUNDDOWN($K445*AQ$5/100,0)),0)</f>
        <v>0</v>
      </c>
      <c r="AR445" s="38">
        <f>IF(AND($A445&gt;=AR$8,$A445&lt;=AR$9),IF(SUM(AR$10:AR444)-ROUNDDOWN($K445*AR$5/100,0)&lt;-AR$6,-AR$6-SUM(AR$10:AR444),-ROUNDDOWN($K445*AR$5/100,0)),0)</f>
        <v>0</v>
      </c>
      <c r="AS445" s="38">
        <f>IF(SUMIFS(AS$10:AS444,$A$10:$A444,$A445)-ROUNDDOWN($K445*$S445/100,0)&lt;-$S445*1000,-$S445*1000-SUMIFS(AS$10:AS444,$A$10:$A444,$A445),-ROUNDDOWN($K445*$S445/100,0))</f>
        <v>0</v>
      </c>
      <c r="AT445" s="38">
        <f>IF(AND(X445="○",$A445&gt;=AT$8,$A445&lt;=AT$9,K445&gt;=3980),IF(SUM(AT$10:AT444)-ROUNDDOWN($K445*AT$5/100,0)&lt;-AT$6,-AT$6-SUM(AT$10:AT444),-ROUNDDOWN($K445*AT$5/100,0)),0)</f>
        <v>0</v>
      </c>
      <c r="AU445" s="38">
        <f>IF(O445="○",IF(SUM(AU$10:AU444)-ROUNDDOWN($K445*AU$5/100,0)&lt;-AU$6,-AU$6-SUM(AU$10:AU444),-ROUNDDOWN($K445*AU$5/100,0)),0)</f>
        <v>0</v>
      </c>
      <c r="AV445" s="38">
        <f>IF(P445="○",IF(SUM(AV$10:AV444)-ROUNDDOWN($K445*AV$5/100,0)&lt;-AV$6,-AV$6-SUM(AV$10:AV444),-ROUNDDOWN($K445*AV$5/100,0)),0)</f>
        <v>0</v>
      </c>
      <c r="AW445" s="38">
        <f>IF(Q445="○",IF(SUM(AW$10:AW444)-ROUNDDOWN($K445*AW$5/100,0)&lt;-AW$6,-AW$6-SUM(AW$10:AW444),-ROUNDDOWN($K445*AW$5/100,0)),0)</f>
        <v>0</v>
      </c>
      <c r="AX445" s="38">
        <f>IF(R445="○",IF(SUM(AX$10:AX444)-ROUNDDOWN($K445*AX$5/100,0)&lt;-AX$6,-AX$6-SUM(AX$10:AX444),-ROUNDDOWN($K445*AX$5/100,0)),0)</f>
        <v>0</v>
      </c>
      <c r="AY445" s="70">
        <v>0</v>
      </c>
      <c r="AZ445" s="65">
        <f t="shared" si="285"/>
        <v>0</v>
      </c>
      <c r="BA445" s="65">
        <f t="shared" si="286"/>
        <v>0</v>
      </c>
      <c r="BB445" s="70"/>
      <c r="BC445" s="65">
        <f t="shared" si="287"/>
        <v>0</v>
      </c>
      <c r="BD445" s="70">
        <v>0</v>
      </c>
      <c r="BE445" s="65">
        <f t="shared" si="288"/>
        <v>0</v>
      </c>
      <c r="BF445" s="70">
        <v>0</v>
      </c>
      <c r="BG445" s="65">
        <f t="shared" si="289"/>
        <v>0</v>
      </c>
      <c r="BH445" s="70">
        <v>0</v>
      </c>
      <c r="BI445" s="65">
        <f t="shared" si="290"/>
        <v>0</v>
      </c>
      <c r="BJ445" s="38">
        <f>IF(AND(BJ$7="○",$A445&gt;=BJ$8,$A445&lt;=BJ$9),IF(SUM(BJ$10:BJ444)-ROUNDDOWN($M445*BJ$5/100,0)&lt;-BJ$6,-BJ$6-SUM(BJ$10:BJ444),-ROUNDDOWN($M445*BJ$5/100,0)),0)</f>
        <v>0</v>
      </c>
      <c r="BK445" s="38">
        <f>IF(AND(BK$7="○",$A445&gt;=BK$8,$A445&lt;=BK$9),IF(SUM(BK$10:BK444)-ROUNDDOWN($L445*BK$5/100,0)&lt;-BK$6,-BK$6-SUM(BK$10:BK444),-ROUNDDOWN($L445*BK$5/100,0)),0)</f>
        <v>0</v>
      </c>
      <c r="BL445" s="38">
        <f>IF(AND(BL$7="○",$A445&gt;=BL$8,$A445&lt;=BL$9),IF(SUM(BL$10:BL444)-ROUNDDOWN($L445*BL$5/100,0)&lt;-BL$6,-BL$6-SUM(BL$10:BL444),-ROUNDDOWN($L445*BL$5/100,0)),0)</f>
        <v>0</v>
      </c>
      <c r="BM445" s="38">
        <f>IF(AND(BM$7="○",$A445&gt;=BM$8,$A445&lt;=BM$9),IF(SUM(BM$10:BM444)-ROUNDDOWN($M445*BM$5/100,0)&lt;-BM$6,-BM$6-SUM(BM$10:BM444),-ROUNDDOWN($M445*BM$5/100,0)),0)</f>
        <v>0</v>
      </c>
      <c r="BN445" s="38">
        <f>IF(AND(BN$7="○",$A445&gt;=BN$8,$A445&lt;=BN$9),IF(SUM(BN$10:BN444)-ROUNDDOWN($M445*BN$5/100,0)&lt;-BN$6,-BN$6-SUM(BN$10:BN444),-ROUNDDOWN($M445*BN$5/100,0)),0)</f>
        <v>0</v>
      </c>
      <c r="BO445" s="38">
        <f>IF(AND(BO$7="○",$A445&gt;=BO$8,$A445&lt;=BO$9),IF(SUM(BO$10:BO444)-ROUNDDOWN($M445*BO$5/100,0)&lt;-BO$6,-BO$6-SUM(BO$10:BO444),-ROUNDDOWN($M445*BO$5/100,0)),0)</f>
        <v>0</v>
      </c>
      <c r="BP445" s="38">
        <f>IF(AND(BP$7="○",$A445&gt;=BP$8,$A445&lt;=BP$9),IF(SUM(BP$10:BP444)-ROUNDDOWN($M445*BP$5/100,0)&lt;-BP$6,-BP$6-SUM(BP$10:BP444),-ROUNDDOWN($M445*BP$5/100,0)),0)</f>
        <v>0</v>
      </c>
      <c r="BQ445" s="38">
        <f>IF(AND(BQ$7="○",$A445&gt;=BQ$8,$A445&lt;=BQ$9),IF(SUM(BQ$10:BQ444)-ROUNDDOWN($L445*BQ$5/100,0)&lt;-BQ$6,-BQ$6-SUM(BQ$10:BQ444),-ROUNDDOWN($L445*BQ$5/100,0)),0)</f>
        <v>0</v>
      </c>
      <c r="BR445" s="38">
        <f>IF(AND(BR$7="○",$A445&gt;=BR$8,$A445&lt;=BR$9),IF(SUM(BR$10:BR444)-ROUNDDOWN($M445*BR$5/100,0)&lt;-BR$6,-BR$6-SUM(BR$10:BR444),-ROUNDDOWN($M445*BR$5/100,0)),0)</f>
        <v>0</v>
      </c>
      <c r="BS445" s="38">
        <f>IF(AND(BS$7="○",$A445&gt;=BS$8,$A445&lt;=BS$9),IF(SUM(BS$10:BS444)-ROUNDDOWN($M445*BS$5/100,0)&lt;-BS$6,-BS$6-SUM(BS$10:BS444),-ROUNDDOWN($M445*BS$5/100,0)),0)</f>
        <v>0</v>
      </c>
      <c r="BT445" s="38">
        <f>IF(AND(BT$7="○",$A445&gt;=BT$8,$A445&lt;=BT$9),IF(SUM(BT$10:BT444)-ROUNDDOWN($M445*BT$5/100,0)&lt;-BT$6,-BT$6-SUM(BT$10:BT444),-ROUNDDOWN($M445*BT$5/100,0)),0)</f>
        <v>0</v>
      </c>
      <c r="BU445" s="38">
        <f>IF(AND(BU$7="○",$A445&gt;=BU$8,$A445&lt;=BU$9),IF(SUM(BU$10:BU444)-ROUNDDOWN($M445*BU$5/100,0)&lt;-BU$6,-BU$6-SUM(BU$10:BU444),-ROUNDDOWN($M445*BU$5/100,0)),0)</f>
        <v>0</v>
      </c>
      <c r="BV445" s="38">
        <f>IF(AND(BV$7="○",$A445&gt;=BV$8,$A445&lt;=BV$9),IF(SUM(BV$10:BV444)-ROUNDDOWN($M445*BV$5/100,0)&lt;-BV$6,-BV$6-SUM(BV$10:BV444),-ROUNDDOWN($M445*BV$5/100,0)),0)</f>
        <v>0</v>
      </c>
      <c r="BW445" s="38">
        <f>IF(AND(BW$7="○",$A445&gt;=BW$8,$A445&lt;=BW$9),IF(SUM(BW$10:BW444)-ROUNDDOWN($M445*BW$5/100,0)&lt;-BW$6,-BW$6-SUM(BW$10:BW444),-ROUNDDOWN($M445*BW$5/100,0)),0)</f>
        <v>0</v>
      </c>
      <c r="BX445" s="38">
        <f>IF(AND(T445="○",$A445&gt;=BX$8,$A445&lt;=BX$9),IF(SUM(BX$10:BX444)-ROUNDDOWN($K445*BX$5/100,0)&lt;-BX$6,-BX$6-SUM(BX$10:BX444),-ROUNDDOWN($K445*BX$5/100,0)),0)</f>
        <v>0</v>
      </c>
      <c r="BY445" s="38">
        <f>IF(AND(U445="○",$A445&gt;=BY$8,$A445&lt;=BY$9),IF(SUM(BY$10:BY444)-ROUNDDOWN($K445*BY$5/100,0)&lt;-BY$6,-BY$6-SUM(BY$10:BY444),-ROUNDDOWN($K445*BY$5/100,0)),0)</f>
        <v>0</v>
      </c>
      <c r="BZ445" s="38">
        <f>IF(AND(V445="○",$A445&gt;=BZ$8,$A445&lt;=BZ$9),IF(SUM(BZ$10:BZ444)-ROUNDDOWN($K445*BZ$5/100,0)&lt;-BZ$6,-BZ$6-SUM(BZ$10:BZ444),-ROUNDDOWN($K445*BZ$5/100,0)),0)</f>
        <v>0</v>
      </c>
      <c r="CA445" s="38">
        <f>IF(AND(W445="○",$A445&gt;=CA$8,$A445&lt;=CA$9),IF(SUM(CA$10:CA444)-ROUNDDOWN($K445*CA$5/100,0)&lt;-CA$6,-CA$6-SUM(CA$10:CA444),-ROUNDDOWN($K445*CA$5/100,0)),0)</f>
        <v>0</v>
      </c>
      <c r="CB445" s="38"/>
      <c r="CC445" s="38"/>
      <c r="CD445" s="38"/>
      <c r="CE445" s="38"/>
      <c r="CF445" s="38"/>
      <c r="CG445" s="65">
        <f t="shared" si="291"/>
        <v>0</v>
      </c>
      <c r="CH445" s="71">
        <f t="shared" si="292"/>
        <v>0</v>
      </c>
      <c r="CI445" s="1">
        <f t="shared" si="308"/>
        <v>0</v>
      </c>
      <c r="CJ445" s="1"/>
      <c r="CK445" s="72"/>
      <c r="CL445" s="72"/>
      <c r="CM445" s="2"/>
      <c r="CN445" s="2"/>
      <c r="CO445" s="73">
        <f t="shared" si="309"/>
        <v>0</v>
      </c>
      <c r="CP445" s="5">
        <f t="shared" si="310"/>
        <v>0</v>
      </c>
      <c r="CQ445" s="1"/>
      <c r="CR445" s="1">
        <f t="shared" si="311"/>
        <v>0</v>
      </c>
      <c r="CS445" s="1"/>
      <c r="CT445" s="1" t="e">
        <f>INDEX([2]マスタ!$A:$A,MATCH(D445,[2]マスタ!$C:$C,0))</f>
        <v>#N/A</v>
      </c>
      <c r="CU445" s="1" t="str">
        <f t="shared" ca="1" si="312"/>
        <v>20260620_0-0</v>
      </c>
    </row>
    <row r="446" spans="1:99" x14ac:dyDescent="0.4">
      <c r="A446" s="61"/>
      <c r="B446" s="62"/>
      <c r="C446" s="62"/>
      <c r="D446" s="62"/>
      <c r="E446" s="74"/>
      <c r="F446" s="62"/>
      <c r="G446" s="62">
        <v>1</v>
      </c>
      <c r="H446" s="64">
        <f t="shared" si="302"/>
        <v>0</v>
      </c>
      <c r="I446" s="64"/>
      <c r="J446" s="64"/>
      <c r="K446" s="65">
        <f t="shared" si="303"/>
        <v>0</v>
      </c>
      <c r="L446" s="65">
        <f t="shared" si="304"/>
        <v>0</v>
      </c>
      <c r="M446" s="65">
        <f t="shared" si="305"/>
        <v>0</v>
      </c>
      <c r="N446" s="65">
        <f t="shared" si="306"/>
        <v>0</v>
      </c>
      <c r="O446" s="66" t="str">
        <f t="shared" si="9"/>
        <v>✕</v>
      </c>
      <c r="P446" s="67" t="str">
        <f t="shared" si="10"/>
        <v>○</v>
      </c>
      <c r="Q446" s="67" t="str">
        <f t="shared" si="307"/>
        <v>✕</v>
      </c>
      <c r="R446" s="67" t="str">
        <f t="shared" si="12"/>
        <v>✕</v>
      </c>
      <c r="S446" s="68">
        <v>0</v>
      </c>
      <c r="T446" s="69" t="s">
        <v>85</v>
      </c>
      <c r="U446" s="69" t="s">
        <v>85</v>
      </c>
      <c r="V446" s="69" t="s">
        <v>85</v>
      </c>
      <c r="W446" s="69" t="s">
        <v>85</v>
      </c>
      <c r="X446" s="69" t="s">
        <v>84</v>
      </c>
      <c r="Y446" s="69" t="s">
        <v>85</v>
      </c>
      <c r="Z446" s="69" t="s">
        <v>85</v>
      </c>
      <c r="AA446" s="69" t="s">
        <v>85</v>
      </c>
      <c r="AB446" s="69" t="s">
        <v>85</v>
      </c>
      <c r="AC446" s="69" t="s">
        <v>85</v>
      </c>
      <c r="AD446" s="38" t="str">
        <f>+IF(ISERROR(VLOOKUP($B446,AD$10:AD445,1,0)),IF(AND($N446&gt;=1000,$A446&gt;=AO$8,$A446&lt;=AO$9),$B446,""),"")</f>
        <v/>
      </c>
      <c r="AE446" s="38" t="str">
        <f>+IF(ISERROR(VLOOKUP($B446,AE$10:AE445,1,0)),IF(AND($N446&gt;=1000,$A446&gt;=AP$8,$A446&lt;=AP$9),$B446,""),"")</f>
        <v/>
      </c>
      <c r="AF446" s="38" t="str">
        <f>+IF(ISERROR(VLOOKUP($B446,AF$10:AF445,1,0)),IF(AND($N446&gt;=1000,$A446&gt;=AQ$8,$A446&lt;=AQ$9),$B446,""),"")</f>
        <v/>
      </c>
      <c r="AG446" s="38" t="str">
        <f>+IF(ISERROR(VLOOKUP($B446,AG$10:AG445,1,0)),IF(AND($N446&gt;=1000,$A446&gt;=AR$8,$A446&lt;=AR$9),$B446,""),"")</f>
        <v/>
      </c>
      <c r="AH446" s="38"/>
      <c r="AI446" s="70">
        <v>0</v>
      </c>
      <c r="AJ446" s="38">
        <f>IF(AND(AJ$7="○",$A446&gt;=AJ$8,$A446&lt;=AJ$9),IF(SUM(AJ$10:AJ445)-ROUNDDOWN($K446*AJ$5/100,0)&lt;-AJ$6,-AJ$6-SUM(AJ$10:AJ445),-ROUNDDOWN($K446*AJ$5/100,0)),0)</f>
        <v>0</v>
      </c>
      <c r="AK446" s="38">
        <f>IF(AND(AK$7="○",$A446&gt;=AK$8,$A446&lt;=AK$9),IF(SUM(AK$10:AK445)-ROUNDDOWN($L446*AK$5/100,0)&lt;-AK$6,-AK$6-SUM(AK$10:AK445),-ROUNDDOWN($L446*AK$5/100,0)),0)</f>
        <v>0</v>
      </c>
      <c r="AL446" s="38">
        <f>IF(AND(AL$7="○",$A446&gt;=AL$8,$A446&lt;=AL$9),IF(SUM(AL$10:AL445)-ROUNDDOWN($N446*AL$5/100,0)&lt;-AL$6,-AL$6-SUM(AL$10:AL445),-ROUNDDOWN($N446*AL$5/100,0)),0)</f>
        <v>0</v>
      </c>
      <c r="AM446" s="38">
        <f>IF(AND(AM$7="○",$A446&gt;=AM$8,$A446&lt;=AM$9),IF(SUM(AM$10:AM445)-ROUNDDOWN($L446*AM$5/100,0)&lt;-AM$6,-AM$6-SUM(AM$10:AM445),-ROUNDDOWN($L446*AM$5/100,0)),0)</f>
        <v>0</v>
      </c>
      <c r="AN446" s="38">
        <f>IF(AND(AN$7="○",$A446&gt;=AN$8,$A446&lt;=AN$9),IF(SUM(AN$10:AN445)-ROUNDDOWN($M446*AN$5/100,0)&lt;-AN$6,-AN$6-SUM(AN$10:AN445),-ROUNDDOWN($M446*AN$5/100,0)),0)</f>
        <v>0</v>
      </c>
      <c r="AO446" s="38">
        <f>IF(AND($A446&gt;=AO$8,$A446&lt;=AO$9),IF(SUM(AO$10:AO445)-ROUNDDOWN($K446*AO$5/100,0)&lt;-AO$6,-AO$6-SUM(AO$10:AO445),-ROUNDDOWN($K446*AO$5/100,0)),0)</f>
        <v>0</v>
      </c>
      <c r="AP446" s="38">
        <f>IF(AND($A446&gt;=AP$8,$A446&lt;=AP$9),IF(SUM(AP$10:AP445)-ROUNDDOWN($K446*AP$5/100,0)&lt;-AP$6,-AP$6-SUM(AP$10:AP445),-ROUNDDOWN($K446*AP$5/100,0)),0)</f>
        <v>0</v>
      </c>
      <c r="AQ446" s="38">
        <f>IF(AND($A446&gt;=AQ$8,$A446&lt;=AQ$9),IF(SUM(AQ$10:AQ445)-ROUNDDOWN($K446*AQ$5/100,0)&lt;-AQ$6,-AQ$6-SUM(AQ$10:AQ445),-ROUNDDOWN($K446*AQ$5/100,0)),0)</f>
        <v>0</v>
      </c>
      <c r="AR446" s="38">
        <f>IF(AND($A446&gt;=AR$8,$A446&lt;=AR$9),IF(SUM(AR$10:AR445)-ROUNDDOWN($K446*AR$5/100,0)&lt;-AR$6,-AR$6-SUM(AR$10:AR445),-ROUNDDOWN($K446*AR$5/100,0)),0)</f>
        <v>0</v>
      </c>
      <c r="AS446" s="38">
        <f>IF(SUMIFS(AS$10:AS445,$A$10:$A445,$A446)-ROUNDDOWN($K446*$S446/100,0)&lt;-$S446*1000,-$S446*1000-SUMIFS(AS$10:AS445,$A$10:$A445,$A446),-ROUNDDOWN($K446*$S446/100,0))</f>
        <v>0</v>
      </c>
      <c r="AT446" s="38">
        <f>IF(AND(X446="○",$A446&gt;=AT$8,$A446&lt;=AT$9,K446&gt;=3980),IF(SUM(AT$10:AT445)-ROUNDDOWN($K446*AT$5/100,0)&lt;-AT$6,-AT$6-SUM(AT$10:AT445),-ROUNDDOWN($K446*AT$5/100,0)),0)</f>
        <v>0</v>
      </c>
      <c r="AU446" s="38">
        <f>IF(O446="○",IF(SUM(AU$10:AU445)-ROUNDDOWN($K446*AU$5/100,0)&lt;-AU$6,-AU$6-SUM(AU$10:AU445),-ROUNDDOWN($K446*AU$5/100,0)),0)</f>
        <v>0</v>
      </c>
      <c r="AV446" s="38">
        <f>IF(P446="○",IF(SUM(AV$10:AV445)-ROUNDDOWN($K446*AV$5/100,0)&lt;-AV$6,-AV$6-SUM(AV$10:AV445),-ROUNDDOWN($K446*AV$5/100,0)),0)</f>
        <v>0</v>
      </c>
      <c r="AW446" s="38">
        <f>IF(Q446="○",IF(SUM(AW$10:AW445)-ROUNDDOWN($K446*AW$5/100,0)&lt;-AW$6,-AW$6-SUM(AW$10:AW445),-ROUNDDOWN($K446*AW$5/100,0)),0)</f>
        <v>0</v>
      </c>
      <c r="AX446" s="38">
        <f>IF(R446="○",IF(SUM(AX$10:AX445)-ROUNDDOWN($K446*AX$5/100,0)&lt;-AX$6,-AX$6-SUM(AX$10:AX445),-ROUNDDOWN($K446*AX$5/100,0)),0)</f>
        <v>0</v>
      </c>
      <c r="AY446" s="70">
        <v>0</v>
      </c>
      <c r="AZ446" s="65">
        <f t="shared" si="285"/>
        <v>0</v>
      </c>
      <c r="BA446" s="65">
        <f t="shared" si="286"/>
        <v>0</v>
      </c>
      <c r="BB446" s="70"/>
      <c r="BC446" s="65">
        <f t="shared" si="287"/>
        <v>0</v>
      </c>
      <c r="BD446" s="70">
        <v>0</v>
      </c>
      <c r="BE446" s="65">
        <f t="shared" si="288"/>
        <v>0</v>
      </c>
      <c r="BF446" s="70">
        <v>0</v>
      </c>
      <c r="BG446" s="65">
        <f t="shared" si="289"/>
        <v>0</v>
      </c>
      <c r="BH446" s="70">
        <v>0</v>
      </c>
      <c r="BI446" s="65">
        <f t="shared" si="290"/>
        <v>0</v>
      </c>
      <c r="BJ446" s="38">
        <f>IF(AND(BJ$7="○",$A446&gt;=BJ$8,$A446&lt;=BJ$9),IF(SUM(BJ$10:BJ445)-ROUNDDOWN($M446*BJ$5/100,0)&lt;-BJ$6,-BJ$6-SUM(BJ$10:BJ445),-ROUNDDOWN($M446*BJ$5/100,0)),0)</f>
        <v>0</v>
      </c>
      <c r="BK446" s="38">
        <f>IF(AND(BK$7="○",$A446&gt;=BK$8,$A446&lt;=BK$9),IF(SUM(BK$10:BK445)-ROUNDDOWN($L446*BK$5/100,0)&lt;-BK$6,-BK$6-SUM(BK$10:BK445),-ROUNDDOWN($L446*BK$5/100,0)),0)</f>
        <v>0</v>
      </c>
      <c r="BL446" s="38">
        <f>IF(AND(BL$7="○",$A446&gt;=BL$8,$A446&lt;=BL$9),IF(SUM(BL$10:BL445)-ROUNDDOWN($L446*BL$5/100,0)&lt;-BL$6,-BL$6-SUM(BL$10:BL445),-ROUNDDOWN($L446*BL$5/100,0)),0)</f>
        <v>0</v>
      </c>
      <c r="BM446" s="38">
        <f>IF(AND(BM$7="○",$A446&gt;=BM$8,$A446&lt;=BM$9),IF(SUM(BM$10:BM445)-ROUNDDOWN($M446*BM$5/100,0)&lt;-BM$6,-BM$6-SUM(BM$10:BM445),-ROUNDDOWN($M446*BM$5/100,0)),0)</f>
        <v>0</v>
      </c>
      <c r="BN446" s="38">
        <f>IF(AND(BN$7="○",$A446&gt;=BN$8,$A446&lt;=BN$9),IF(SUM(BN$10:BN445)-ROUNDDOWN($M446*BN$5/100,0)&lt;-BN$6,-BN$6-SUM(BN$10:BN445),-ROUNDDOWN($M446*BN$5/100,0)),0)</f>
        <v>0</v>
      </c>
      <c r="BO446" s="38">
        <f>IF(AND(BO$7="○",$A446&gt;=BO$8,$A446&lt;=BO$9),IF(SUM(BO$10:BO445)-ROUNDDOWN($M446*BO$5/100,0)&lt;-BO$6,-BO$6-SUM(BO$10:BO445),-ROUNDDOWN($M446*BO$5/100,0)),0)</f>
        <v>0</v>
      </c>
      <c r="BP446" s="38">
        <f>IF(AND(BP$7="○",$A446&gt;=BP$8,$A446&lt;=BP$9),IF(SUM(BP$10:BP445)-ROUNDDOWN($M446*BP$5/100,0)&lt;-BP$6,-BP$6-SUM(BP$10:BP445),-ROUNDDOWN($M446*BP$5/100,0)),0)</f>
        <v>0</v>
      </c>
      <c r="BQ446" s="38">
        <f>IF(AND(BQ$7="○",$A446&gt;=BQ$8,$A446&lt;=BQ$9),IF(SUM(BQ$10:BQ445)-ROUNDDOWN($L446*BQ$5/100,0)&lt;-BQ$6,-BQ$6-SUM(BQ$10:BQ445),-ROUNDDOWN($L446*BQ$5/100,0)),0)</f>
        <v>0</v>
      </c>
      <c r="BR446" s="38">
        <f>IF(AND(BR$7="○",$A446&gt;=BR$8,$A446&lt;=BR$9),IF(SUM(BR$10:BR445)-ROUNDDOWN($M446*BR$5/100,0)&lt;-BR$6,-BR$6-SUM(BR$10:BR445),-ROUNDDOWN($M446*BR$5/100,0)),0)</f>
        <v>0</v>
      </c>
      <c r="BS446" s="38">
        <f>IF(AND(BS$7="○",$A446&gt;=BS$8,$A446&lt;=BS$9),IF(SUM(BS$10:BS445)-ROUNDDOWN($M446*BS$5/100,0)&lt;-BS$6,-BS$6-SUM(BS$10:BS445),-ROUNDDOWN($M446*BS$5/100,0)),0)</f>
        <v>0</v>
      </c>
      <c r="BT446" s="38">
        <f>IF(AND(BT$7="○",$A446&gt;=BT$8,$A446&lt;=BT$9),IF(SUM(BT$10:BT445)-ROUNDDOWN($M446*BT$5/100,0)&lt;-BT$6,-BT$6-SUM(BT$10:BT445),-ROUNDDOWN($M446*BT$5/100,0)),0)</f>
        <v>0</v>
      </c>
      <c r="BU446" s="38">
        <f>IF(AND(BU$7="○",$A446&gt;=BU$8,$A446&lt;=BU$9),IF(SUM(BU$10:BU445)-ROUNDDOWN($M446*BU$5/100,0)&lt;-BU$6,-BU$6-SUM(BU$10:BU445),-ROUNDDOWN($M446*BU$5/100,0)),0)</f>
        <v>0</v>
      </c>
      <c r="BV446" s="38">
        <f>IF(AND(BV$7="○",$A446&gt;=BV$8,$A446&lt;=BV$9),IF(SUM(BV$10:BV445)-ROUNDDOWN($M446*BV$5/100,0)&lt;-BV$6,-BV$6-SUM(BV$10:BV445),-ROUNDDOWN($M446*BV$5/100,0)),0)</f>
        <v>0</v>
      </c>
      <c r="BW446" s="38">
        <f>IF(AND(BW$7="○",$A446&gt;=BW$8,$A446&lt;=BW$9),IF(SUM(BW$10:BW445)-ROUNDDOWN($M446*BW$5/100,0)&lt;-BW$6,-BW$6-SUM(BW$10:BW445),-ROUNDDOWN($M446*BW$5/100,0)),0)</f>
        <v>0</v>
      </c>
      <c r="BX446" s="38">
        <f>IF(AND(T446="○",$A446&gt;=BX$8,$A446&lt;=BX$9),IF(SUM(BX$10:BX445)-ROUNDDOWN($K446*BX$5/100,0)&lt;-BX$6,-BX$6-SUM(BX$10:BX445),-ROUNDDOWN($K446*BX$5/100,0)),0)</f>
        <v>0</v>
      </c>
      <c r="BY446" s="38">
        <f>IF(AND(U446="○",$A446&gt;=BY$8,$A446&lt;=BY$9),IF(SUM(BY$10:BY445)-ROUNDDOWN($K446*BY$5/100,0)&lt;-BY$6,-BY$6-SUM(BY$10:BY445),-ROUNDDOWN($K446*BY$5/100,0)),0)</f>
        <v>0</v>
      </c>
      <c r="BZ446" s="38">
        <f>IF(AND(V446="○",$A446&gt;=BZ$8,$A446&lt;=BZ$9),IF(SUM(BZ$10:BZ445)-ROUNDDOWN($K446*BZ$5/100,0)&lt;-BZ$6,-BZ$6-SUM(BZ$10:BZ445),-ROUNDDOWN($K446*BZ$5/100,0)),0)</f>
        <v>0</v>
      </c>
      <c r="CA446" s="38">
        <f>IF(AND(W446="○",$A446&gt;=CA$8,$A446&lt;=CA$9),IF(SUM(CA$10:CA445)-ROUNDDOWN($K446*CA$5/100,0)&lt;-CA$6,-CA$6-SUM(CA$10:CA445),-ROUNDDOWN($K446*CA$5/100,0)),0)</f>
        <v>0</v>
      </c>
      <c r="CB446" s="38"/>
      <c r="CC446" s="38"/>
      <c r="CD446" s="38"/>
      <c r="CE446" s="38"/>
      <c r="CF446" s="38"/>
      <c r="CG446" s="65">
        <f t="shared" si="291"/>
        <v>0</v>
      </c>
      <c r="CH446" s="71">
        <f t="shared" si="292"/>
        <v>0</v>
      </c>
      <c r="CI446" s="1">
        <f t="shared" si="308"/>
        <v>0</v>
      </c>
      <c r="CJ446" s="1"/>
      <c r="CK446" s="72"/>
      <c r="CL446" s="72"/>
      <c r="CM446" s="2"/>
      <c r="CN446" s="2"/>
      <c r="CO446" s="73">
        <f t="shared" si="309"/>
        <v>0</v>
      </c>
      <c r="CP446" s="5">
        <f t="shared" si="310"/>
        <v>0</v>
      </c>
      <c r="CQ446" s="1"/>
      <c r="CR446" s="1">
        <f t="shared" si="311"/>
        <v>0</v>
      </c>
      <c r="CS446" s="1"/>
      <c r="CT446" s="1" t="e">
        <f>INDEX([2]マスタ!$A:$A,MATCH(D446,[2]マスタ!$C:$C,0))</f>
        <v>#N/A</v>
      </c>
      <c r="CU446" s="1" t="str">
        <f t="shared" ca="1" si="312"/>
        <v>20260620_0-0</v>
      </c>
    </row>
    <row r="447" spans="1:99" x14ac:dyDescent="0.4">
      <c r="A447" s="61"/>
      <c r="B447" s="62"/>
      <c r="C447" s="62"/>
      <c r="D447" s="62"/>
      <c r="E447" s="74"/>
      <c r="F447" s="62"/>
      <c r="G447" s="62">
        <v>1</v>
      </c>
      <c r="H447" s="64">
        <f t="shared" si="302"/>
        <v>0</v>
      </c>
      <c r="I447" s="64"/>
      <c r="J447" s="64"/>
      <c r="K447" s="65">
        <f t="shared" si="303"/>
        <v>0</v>
      </c>
      <c r="L447" s="65">
        <f t="shared" si="304"/>
        <v>0</v>
      </c>
      <c r="M447" s="65">
        <f t="shared" si="305"/>
        <v>0</v>
      </c>
      <c r="N447" s="65">
        <f t="shared" si="306"/>
        <v>0</v>
      </c>
      <c r="O447" s="66" t="str">
        <f t="shared" si="9"/>
        <v>✕</v>
      </c>
      <c r="P447" s="67" t="str">
        <f t="shared" si="10"/>
        <v>○</v>
      </c>
      <c r="Q447" s="67" t="str">
        <f t="shared" si="307"/>
        <v>✕</v>
      </c>
      <c r="R447" s="67" t="str">
        <f t="shared" si="12"/>
        <v>✕</v>
      </c>
      <c r="S447" s="68">
        <v>0</v>
      </c>
      <c r="T447" s="69" t="s">
        <v>85</v>
      </c>
      <c r="U447" s="69" t="s">
        <v>85</v>
      </c>
      <c r="V447" s="69" t="s">
        <v>85</v>
      </c>
      <c r="W447" s="69" t="s">
        <v>85</v>
      </c>
      <c r="X447" s="69" t="s">
        <v>84</v>
      </c>
      <c r="Y447" s="69" t="s">
        <v>85</v>
      </c>
      <c r="Z447" s="69" t="s">
        <v>85</v>
      </c>
      <c r="AA447" s="69" t="s">
        <v>85</v>
      </c>
      <c r="AB447" s="69" t="s">
        <v>85</v>
      </c>
      <c r="AC447" s="69" t="s">
        <v>85</v>
      </c>
      <c r="AD447" s="38" t="str">
        <f>+IF(ISERROR(VLOOKUP($B447,AD$10:AD446,1,0)),IF(AND($N447&gt;=1000,$A447&gt;=AO$8,$A447&lt;=AO$9),$B447,""),"")</f>
        <v/>
      </c>
      <c r="AE447" s="38" t="str">
        <f>+IF(ISERROR(VLOOKUP($B447,AE$10:AE446,1,0)),IF(AND($N447&gt;=1000,$A447&gt;=AP$8,$A447&lt;=AP$9),$B447,""),"")</f>
        <v/>
      </c>
      <c r="AF447" s="38" t="str">
        <f>+IF(ISERROR(VLOOKUP($B447,AF$10:AF446,1,0)),IF(AND($N447&gt;=1000,$A447&gt;=AQ$8,$A447&lt;=AQ$9),$B447,""),"")</f>
        <v/>
      </c>
      <c r="AG447" s="38" t="str">
        <f>+IF(ISERROR(VLOOKUP($B447,AG$10:AG446,1,0)),IF(AND($N447&gt;=1000,$A447&gt;=AR$8,$A447&lt;=AR$9),$B447,""),"")</f>
        <v/>
      </c>
      <c r="AH447" s="38"/>
      <c r="AI447" s="70">
        <v>0</v>
      </c>
      <c r="AJ447" s="38">
        <f>IF(AND(AJ$7="○",$A447&gt;=AJ$8,$A447&lt;=AJ$9),IF(SUM(AJ$10:AJ446)-ROUNDDOWN($K447*AJ$5/100,0)&lt;-AJ$6,-AJ$6-SUM(AJ$10:AJ446),-ROUNDDOWN($K447*AJ$5/100,0)),0)</f>
        <v>0</v>
      </c>
      <c r="AK447" s="38">
        <f>IF(AND(AK$7="○",$A447&gt;=AK$8,$A447&lt;=AK$9),IF(SUM(AK$10:AK446)-ROUNDDOWN($L447*AK$5/100,0)&lt;-AK$6,-AK$6-SUM(AK$10:AK446),-ROUNDDOWN($L447*AK$5/100,0)),0)</f>
        <v>0</v>
      </c>
      <c r="AL447" s="38">
        <f>IF(AND(AL$7="○",$A447&gt;=AL$8,$A447&lt;=AL$9),IF(SUM(AL$10:AL446)-ROUNDDOWN($N447*AL$5/100,0)&lt;-AL$6,-AL$6-SUM(AL$10:AL446),-ROUNDDOWN($N447*AL$5/100,0)),0)</f>
        <v>0</v>
      </c>
      <c r="AM447" s="38">
        <f>IF(AND(AM$7="○",$A447&gt;=AM$8,$A447&lt;=AM$9),IF(SUM(AM$10:AM446)-ROUNDDOWN($L447*AM$5/100,0)&lt;-AM$6,-AM$6-SUM(AM$10:AM446),-ROUNDDOWN($L447*AM$5/100,0)),0)</f>
        <v>0</v>
      </c>
      <c r="AN447" s="38">
        <f>IF(AND(AN$7="○",$A447&gt;=AN$8,$A447&lt;=AN$9),IF(SUM(AN$10:AN446)-ROUNDDOWN($M447*AN$5/100,0)&lt;-AN$6,-AN$6-SUM(AN$10:AN446),-ROUNDDOWN($M447*AN$5/100,0)),0)</f>
        <v>0</v>
      </c>
      <c r="AO447" s="38">
        <f>IF(AND($A447&gt;=AO$8,$A447&lt;=AO$9),IF(SUM(AO$10:AO446)-ROUNDDOWN($K447*AO$5/100,0)&lt;-AO$6,-AO$6-SUM(AO$10:AO446),-ROUNDDOWN($K447*AO$5/100,0)),0)</f>
        <v>0</v>
      </c>
      <c r="AP447" s="38">
        <f>IF(AND($A447&gt;=AP$8,$A447&lt;=AP$9),IF(SUM(AP$10:AP446)-ROUNDDOWN($K447*AP$5/100,0)&lt;-AP$6,-AP$6-SUM(AP$10:AP446),-ROUNDDOWN($K447*AP$5/100,0)),0)</f>
        <v>0</v>
      </c>
      <c r="AQ447" s="38">
        <f>IF(AND($A447&gt;=AQ$8,$A447&lt;=AQ$9),IF(SUM(AQ$10:AQ446)-ROUNDDOWN($K447*AQ$5/100,0)&lt;-AQ$6,-AQ$6-SUM(AQ$10:AQ446),-ROUNDDOWN($K447*AQ$5/100,0)),0)</f>
        <v>0</v>
      </c>
      <c r="AR447" s="38">
        <f>IF(AND($A447&gt;=AR$8,$A447&lt;=AR$9),IF(SUM(AR$10:AR446)-ROUNDDOWN($K447*AR$5/100,0)&lt;-AR$6,-AR$6-SUM(AR$10:AR446),-ROUNDDOWN($K447*AR$5/100,0)),0)</f>
        <v>0</v>
      </c>
      <c r="AS447" s="38">
        <f>IF(SUMIFS(AS$10:AS446,$A$10:$A446,$A447)-ROUNDDOWN($K447*$S447/100,0)&lt;-$S447*1000,-$S447*1000-SUMIFS(AS$10:AS446,$A$10:$A446,$A447),-ROUNDDOWN($K447*$S447/100,0))</f>
        <v>0</v>
      </c>
      <c r="AT447" s="38">
        <f>IF(AND(X447="○",$A447&gt;=AT$8,$A447&lt;=AT$9,K447&gt;=3980),IF(SUM(AT$10:AT446)-ROUNDDOWN($K447*AT$5/100,0)&lt;-AT$6,-AT$6-SUM(AT$10:AT446),-ROUNDDOWN($K447*AT$5/100,0)),0)</f>
        <v>0</v>
      </c>
      <c r="AU447" s="38">
        <f>IF(O447="○",IF(SUM(AU$10:AU446)-ROUNDDOWN($K447*AU$5/100,0)&lt;-AU$6,-AU$6-SUM(AU$10:AU446),-ROUNDDOWN($K447*AU$5/100,0)),0)</f>
        <v>0</v>
      </c>
      <c r="AV447" s="38">
        <f>IF(P447="○",IF(SUM(AV$10:AV446)-ROUNDDOWN($K447*AV$5/100,0)&lt;-AV$6,-AV$6-SUM(AV$10:AV446),-ROUNDDOWN($K447*AV$5/100,0)),0)</f>
        <v>0</v>
      </c>
      <c r="AW447" s="38">
        <f>IF(Q447="○",IF(SUM(AW$10:AW446)-ROUNDDOWN($K447*AW$5/100,0)&lt;-AW$6,-AW$6-SUM(AW$10:AW446),-ROUNDDOWN($K447*AW$5/100,0)),0)</f>
        <v>0</v>
      </c>
      <c r="AX447" s="38">
        <f>IF(R447="○",IF(SUM(AX$10:AX446)-ROUNDDOWN($K447*AX$5/100,0)&lt;-AX$6,-AX$6-SUM(AX$10:AX446),-ROUNDDOWN($K447*AX$5/100,0)),0)</f>
        <v>0</v>
      </c>
      <c r="AY447" s="70">
        <v>0</v>
      </c>
      <c r="AZ447" s="65">
        <f t="shared" si="285"/>
        <v>0</v>
      </c>
      <c r="BA447" s="65">
        <f t="shared" si="286"/>
        <v>0</v>
      </c>
      <c r="BB447" s="70"/>
      <c r="BC447" s="65">
        <f t="shared" si="287"/>
        <v>0</v>
      </c>
      <c r="BD447" s="70">
        <v>0</v>
      </c>
      <c r="BE447" s="65">
        <f t="shared" si="288"/>
        <v>0</v>
      </c>
      <c r="BF447" s="70">
        <v>0</v>
      </c>
      <c r="BG447" s="65">
        <f t="shared" si="289"/>
        <v>0</v>
      </c>
      <c r="BH447" s="70">
        <v>0</v>
      </c>
      <c r="BI447" s="65">
        <f t="shared" si="290"/>
        <v>0</v>
      </c>
      <c r="BJ447" s="38">
        <f>IF(AND(BJ$7="○",$A447&gt;=BJ$8,$A447&lt;=BJ$9),IF(SUM(BJ$10:BJ446)-ROUNDDOWN($M447*BJ$5/100,0)&lt;-BJ$6,-BJ$6-SUM(BJ$10:BJ446),-ROUNDDOWN($M447*BJ$5/100,0)),0)</f>
        <v>0</v>
      </c>
      <c r="BK447" s="38">
        <f>IF(AND(BK$7="○",$A447&gt;=BK$8,$A447&lt;=BK$9),IF(SUM(BK$10:BK446)-ROUNDDOWN($L447*BK$5/100,0)&lt;-BK$6,-BK$6-SUM(BK$10:BK446),-ROUNDDOWN($L447*BK$5/100,0)),0)</f>
        <v>0</v>
      </c>
      <c r="BL447" s="38">
        <f>IF(AND(BL$7="○",$A447&gt;=BL$8,$A447&lt;=BL$9),IF(SUM(BL$10:BL446)-ROUNDDOWN($L447*BL$5/100,0)&lt;-BL$6,-BL$6-SUM(BL$10:BL446),-ROUNDDOWN($L447*BL$5/100,0)),0)</f>
        <v>0</v>
      </c>
      <c r="BM447" s="38">
        <f>IF(AND(BM$7="○",$A447&gt;=BM$8,$A447&lt;=BM$9),IF(SUM(BM$10:BM446)-ROUNDDOWN($M447*BM$5/100,0)&lt;-BM$6,-BM$6-SUM(BM$10:BM446),-ROUNDDOWN($M447*BM$5/100,0)),0)</f>
        <v>0</v>
      </c>
      <c r="BN447" s="38">
        <f>IF(AND(BN$7="○",$A447&gt;=BN$8,$A447&lt;=BN$9),IF(SUM(BN$10:BN446)-ROUNDDOWN($M447*BN$5/100,0)&lt;-BN$6,-BN$6-SUM(BN$10:BN446),-ROUNDDOWN($M447*BN$5/100,0)),0)</f>
        <v>0</v>
      </c>
      <c r="BO447" s="38">
        <f>IF(AND(BO$7="○",$A447&gt;=BO$8,$A447&lt;=BO$9),IF(SUM(BO$10:BO446)-ROUNDDOWN($M447*BO$5/100,0)&lt;-BO$6,-BO$6-SUM(BO$10:BO446),-ROUNDDOWN($M447*BO$5/100,0)),0)</f>
        <v>0</v>
      </c>
      <c r="BP447" s="38">
        <f>IF(AND(BP$7="○",$A447&gt;=BP$8,$A447&lt;=BP$9),IF(SUM(BP$10:BP446)-ROUNDDOWN($M447*BP$5/100,0)&lt;-BP$6,-BP$6-SUM(BP$10:BP446),-ROUNDDOWN($M447*BP$5/100,0)),0)</f>
        <v>0</v>
      </c>
      <c r="BQ447" s="38">
        <f>IF(AND(BQ$7="○",$A447&gt;=BQ$8,$A447&lt;=BQ$9),IF(SUM(BQ$10:BQ446)-ROUNDDOWN($L447*BQ$5/100,0)&lt;-BQ$6,-BQ$6-SUM(BQ$10:BQ446),-ROUNDDOWN($L447*BQ$5/100,0)),0)</f>
        <v>0</v>
      </c>
      <c r="BR447" s="38">
        <f>IF(AND(BR$7="○",$A447&gt;=BR$8,$A447&lt;=BR$9),IF(SUM(BR$10:BR446)-ROUNDDOWN($M447*BR$5/100,0)&lt;-BR$6,-BR$6-SUM(BR$10:BR446),-ROUNDDOWN($M447*BR$5/100,0)),0)</f>
        <v>0</v>
      </c>
      <c r="BS447" s="38">
        <f>IF(AND(BS$7="○",$A447&gt;=BS$8,$A447&lt;=BS$9),IF(SUM(BS$10:BS446)-ROUNDDOWN($M447*BS$5/100,0)&lt;-BS$6,-BS$6-SUM(BS$10:BS446),-ROUNDDOWN($M447*BS$5/100,0)),0)</f>
        <v>0</v>
      </c>
      <c r="BT447" s="38">
        <f>IF(AND(BT$7="○",$A447&gt;=BT$8,$A447&lt;=BT$9),IF(SUM(BT$10:BT446)-ROUNDDOWN($M447*BT$5/100,0)&lt;-BT$6,-BT$6-SUM(BT$10:BT446),-ROUNDDOWN($M447*BT$5/100,0)),0)</f>
        <v>0</v>
      </c>
      <c r="BU447" s="38">
        <f>IF(AND(BU$7="○",$A447&gt;=BU$8,$A447&lt;=BU$9),IF(SUM(BU$10:BU446)-ROUNDDOWN($M447*BU$5/100,0)&lt;-BU$6,-BU$6-SUM(BU$10:BU446),-ROUNDDOWN($M447*BU$5/100,0)),0)</f>
        <v>0</v>
      </c>
      <c r="BV447" s="38">
        <f>IF(AND(BV$7="○",$A447&gt;=BV$8,$A447&lt;=BV$9),IF(SUM(BV$10:BV446)-ROUNDDOWN($M447*BV$5/100,0)&lt;-BV$6,-BV$6-SUM(BV$10:BV446),-ROUNDDOWN($M447*BV$5/100,0)),0)</f>
        <v>0</v>
      </c>
      <c r="BW447" s="38">
        <f>IF(AND(BW$7="○",$A447&gt;=BW$8,$A447&lt;=BW$9),IF(SUM(BW$10:BW446)-ROUNDDOWN($M447*BW$5/100,0)&lt;-BW$6,-BW$6-SUM(BW$10:BW446),-ROUNDDOWN($M447*BW$5/100,0)),0)</f>
        <v>0</v>
      </c>
      <c r="BX447" s="38">
        <f>IF(AND(T447="○",$A447&gt;=BX$8,$A447&lt;=BX$9),IF(SUM(BX$10:BX446)-ROUNDDOWN($K447*BX$5/100,0)&lt;-BX$6,-BX$6-SUM(BX$10:BX446),-ROUNDDOWN($K447*BX$5/100,0)),0)</f>
        <v>0</v>
      </c>
      <c r="BY447" s="38">
        <f>IF(AND(U447="○",$A447&gt;=BY$8,$A447&lt;=BY$9),IF(SUM(BY$10:BY446)-ROUNDDOWN($K447*BY$5/100,0)&lt;-BY$6,-BY$6-SUM(BY$10:BY446),-ROUNDDOWN($K447*BY$5/100,0)),0)</f>
        <v>0</v>
      </c>
      <c r="BZ447" s="38">
        <f>IF(AND(V447="○",$A447&gt;=BZ$8,$A447&lt;=BZ$9),IF(SUM(BZ$10:BZ446)-ROUNDDOWN($K447*BZ$5/100,0)&lt;-BZ$6,-BZ$6-SUM(BZ$10:BZ446),-ROUNDDOWN($K447*BZ$5/100,0)),0)</f>
        <v>0</v>
      </c>
      <c r="CA447" s="38">
        <f>IF(AND(W447="○",$A447&gt;=CA$8,$A447&lt;=CA$9),IF(SUM(CA$10:CA446)-ROUNDDOWN($K447*CA$5/100,0)&lt;-CA$6,-CA$6-SUM(CA$10:CA446),-ROUNDDOWN($K447*CA$5/100,0)),0)</f>
        <v>0</v>
      </c>
      <c r="CB447" s="38"/>
      <c r="CC447" s="38"/>
      <c r="CD447" s="38"/>
      <c r="CE447" s="38"/>
      <c r="CF447" s="38"/>
      <c r="CG447" s="65">
        <f t="shared" si="291"/>
        <v>0</v>
      </c>
      <c r="CH447" s="71">
        <f t="shared" si="292"/>
        <v>0</v>
      </c>
      <c r="CI447" s="1">
        <f t="shared" si="308"/>
        <v>0</v>
      </c>
      <c r="CJ447" s="1"/>
      <c r="CK447" s="72"/>
      <c r="CL447" s="72"/>
      <c r="CM447" s="2"/>
      <c r="CN447" s="2"/>
      <c r="CO447" s="73">
        <f t="shared" si="309"/>
        <v>0</v>
      </c>
      <c r="CP447" s="5">
        <f t="shared" si="310"/>
        <v>0</v>
      </c>
      <c r="CQ447" s="1"/>
      <c r="CR447" s="1">
        <f t="shared" si="311"/>
        <v>0</v>
      </c>
      <c r="CS447" s="1"/>
      <c r="CT447" s="1" t="e">
        <f>INDEX([2]マスタ!$A:$A,MATCH(D447,[2]マスタ!$C:$C,0))</f>
        <v>#N/A</v>
      </c>
      <c r="CU447" s="1" t="str">
        <f t="shared" ca="1" si="312"/>
        <v>20260620_0-0</v>
      </c>
    </row>
    <row r="448" spans="1:99" x14ac:dyDescent="0.4">
      <c r="A448" s="61"/>
      <c r="B448" s="62"/>
      <c r="C448" s="62"/>
      <c r="D448" s="62"/>
      <c r="E448" s="74"/>
      <c r="F448" s="62"/>
      <c r="G448" s="62">
        <v>1</v>
      </c>
      <c r="H448" s="64">
        <f t="shared" si="302"/>
        <v>0</v>
      </c>
      <c r="I448" s="64"/>
      <c r="J448" s="64"/>
      <c r="K448" s="65">
        <f t="shared" ref="K448:K451" si="313">+ROUNDDOWN((H448+I448+J448)/100,0)*100</f>
        <v>0</v>
      </c>
      <c r="L448" s="65">
        <f t="shared" si="304"/>
        <v>0</v>
      </c>
      <c r="M448" s="65">
        <f t="shared" si="305"/>
        <v>0</v>
      </c>
      <c r="N448" s="65">
        <f t="shared" si="306"/>
        <v>0</v>
      </c>
      <c r="O448" s="66" t="str">
        <f t="shared" si="9"/>
        <v>✕</v>
      </c>
      <c r="P448" s="67" t="str">
        <f t="shared" si="10"/>
        <v>○</v>
      </c>
      <c r="Q448" s="67" t="str">
        <f t="shared" ref="Q448:Q451" si="314">+IF((TEXT(A448,"DD")+0)=1,"○","✕")</f>
        <v>✕</v>
      </c>
      <c r="R448" s="67" t="str">
        <f t="shared" si="12"/>
        <v>✕</v>
      </c>
      <c r="S448" s="68">
        <v>0</v>
      </c>
      <c r="T448" s="69" t="s">
        <v>85</v>
      </c>
      <c r="U448" s="69" t="s">
        <v>85</v>
      </c>
      <c r="V448" s="69" t="s">
        <v>85</v>
      </c>
      <c r="W448" s="69" t="s">
        <v>85</v>
      </c>
      <c r="X448" s="69" t="s">
        <v>84</v>
      </c>
      <c r="Y448" s="69" t="s">
        <v>85</v>
      </c>
      <c r="Z448" s="69" t="s">
        <v>85</v>
      </c>
      <c r="AA448" s="69" t="s">
        <v>85</v>
      </c>
      <c r="AB448" s="69" t="s">
        <v>85</v>
      </c>
      <c r="AC448" s="69" t="s">
        <v>85</v>
      </c>
      <c r="AD448" s="38" t="str">
        <f>+IF(ISERROR(VLOOKUP($B448,AD$10:AD440,1,0)),IF(AND($N448&gt;=1000,$A448&gt;=AO$8,$A448&lt;=AO$9),$B448,""),"")</f>
        <v/>
      </c>
      <c r="AE448" s="38" t="str">
        <f>+IF(ISERROR(VLOOKUP($B448,AE$10:AE440,1,0)),IF(AND($N448&gt;=1000,$A448&gt;=AP$8,$A448&lt;=AP$9),$B448,""),"")</f>
        <v/>
      </c>
      <c r="AF448" s="38" t="str">
        <f>+IF(ISERROR(VLOOKUP($B448,AF$10:AF440,1,0)),IF(AND($N448&gt;=1000,$A448&gt;=AQ$8,$A448&lt;=AQ$9),$B448,""),"")</f>
        <v/>
      </c>
      <c r="AG448" s="38" t="str">
        <f>+IF(ISERROR(VLOOKUP($B448,AG$10:AG440,1,0)),IF(AND($N448&gt;=1000,$A448&gt;=AR$8,$A448&lt;=AR$9),$B448,""),"")</f>
        <v/>
      </c>
      <c r="AH448" s="38"/>
      <c r="AI448" s="70">
        <v>0</v>
      </c>
      <c r="AJ448" s="38">
        <f>IF(AND(AJ$7="○",$A448&gt;=AJ$8,$A448&lt;=AJ$9),IF(SUM(AJ$10:AJ447)-ROUNDDOWN($K448*AJ$5/100,0)&lt;-AJ$6,-AJ$6-SUM(AJ$10:AJ447),-ROUNDDOWN($K448*AJ$5/100,0)),0)</f>
        <v>0</v>
      </c>
      <c r="AK448" s="38">
        <f>IF(AND(AK$7="○",$A448&gt;=AK$8,$A448&lt;=AK$9),IF(SUM(AK$10:AK447)-ROUNDDOWN($L448*AK$5/100,0)&lt;-AK$6,-AK$6-SUM(AK$10:AK447),-ROUNDDOWN($L448*AK$5/100,0)),0)</f>
        <v>0</v>
      </c>
      <c r="AL448" s="38">
        <f>IF(AND(AL$7="○",$A448&gt;=AL$8,$A448&lt;=AL$9),IF(SUM(AL$10:AL447)-ROUNDDOWN($N448*AL$5/100,0)&lt;-AL$6,-AL$6-SUM(AL$10:AL447),-ROUNDDOWN($N448*AL$5/100,0)),0)</f>
        <v>0</v>
      </c>
      <c r="AM448" s="38">
        <f>IF(AND(AM$7="○",$A448&gt;=AM$8,$A448&lt;=AM$9),IF(SUM(AM$10:AM447)-ROUNDDOWN($L448*AM$5/100,0)&lt;-AM$6,-AM$6-SUM(AM$10:AM447),-ROUNDDOWN($L448*AM$5/100,0)),0)</f>
        <v>0</v>
      </c>
      <c r="AN448" s="38">
        <f>IF(AND(AN$7="○",$A448&gt;=AN$8,$A448&lt;=AN$9),IF(SUM(AN$10:AN447)-ROUNDDOWN($M448*AN$5/100,0)&lt;-AN$6,-AN$6-SUM(AN$10:AN447),-ROUNDDOWN($M448*AN$5/100,0)),0)</f>
        <v>0</v>
      </c>
      <c r="AO448" s="38">
        <f>IF(AND($A448&gt;=AO$8,$A448&lt;=AO$9),IF(SUM(AO$10:AO447)-ROUNDDOWN($K448*AO$5/100,0)&lt;-AO$6,-AO$6-SUM(AO$10:AO447),-ROUNDDOWN($K448*AO$5/100,0)),0)</f>
        <v>0</v>
      </c>
      <c r="AP448" s="38">
        <f>IF(AND($A448&gt;=AP$8,$A448&lt;=AP$9),IF(SUM(AP$10:AP447)-ROUNDDOWN($K448*AP$5/100,0)&lt;-AP$6,-AP$6-SUM(AP$10:AP447),-ROUNDDOWN($K448*AP$5/100,0)),0)</f>
        <v>0</v>
      </c>
      <c r="AQ448" s="38">
        <f>IF(AND($A448&gt;=AQ$8,$A448&lt;=AQ$9),IF(SUM(AQ$10:AQ447)-ROUNDDOWN($K448*AQ$5/100,0)&lt;-AQ$6,-AQ$6-SUM(AQ$10:AQ447),-ROUNDDOWN($K448*AQ$5/100,0)),0)</f>
        <v>0</v>
      </c>
      <c r="AR448" s="38">
        <f>IF(AND($A448&gt;=AR$8,$A448&lt;=AR$9),IF(SUM(AR$10:AR447)-ROUNDDOWN($K448*AR$5/100,0)&lt;-AR$6,-AR$6-SUM(AR$10:AR447),-ROUNDDOWN($K448*AR$5/100,0)),0)</f>
        <v>0</v>
      </c>
      <c r="AS448" s="38">
        <f>IF(SUMIFS(AS$10:AS447,$A$10:$A447,$A448)-ROUNDDOWN($K448*$S448/100,0)&lt;-$S448*1000,-$S448*1000-SUMIFS(AS$10:AS447,$A$10:$A447,$A448),-ROUNDDOWN($K448*$S448/100,0))</f>
        <v>0</v>
      </c>
      <c r="AT448" s="38">
        <f>IF(AND(X448="○",$A448&gt;=AT$8,$A448&lt;=AT$9,K448&gt;=3980),IF(SUM(AT$10:AT447)-ROUNDDOWN($K448*AT$5/100,0)&lt;-AT$6,-AT$6-SUM(AT$10:AT447),-ROUNDDOWN($K448*AT$5/100,0)),0)</f>
        <v>0</v>
      </c>
      <c r="AU448" s="38">
        <f>IF(O448="○",IF(SUM(AU$10:AU447)-ROUNDDOWN($K448*AU$5/100,0)&lt;-AU$6,-AU$6-SUM(AU$10:AU447),-ROUNDDOWN($K448*AU$5/100,0)),0)</f>
        <v>0</v>
      </c>
      <c r="AV448" s="38">
        <f>IF(P448="○",IF(SUM(AV$10:AV447)-ROUNDDOWN($K448*AV$5/100,0)&lt;-AV$6,-AV$6-SUM(AV$10:AV447),-ROUNDDOWN($K448*AV$5/100,0)),0)</f>
        <v>0</v>
      </c>
      <c r="AW448" s="38">
        <f>IF(Q448="○",IF(SUM(AW$10:AW447)-ROUNDDOWN($K448*AW$5/100,0)&lt;-AW$6,-AW$6-SUM(AW$10:AW447),-ROUNDDOWN($K448*AW$5/100,0)),0)</f>
        <v>0</v>
      </c>
      <c r="AX448" s="38">
        <f>IF(R448="○",IF(SUM(AX$10:AX447)-ROUNDDOWN($K448*AX$5/100,0)&lt;-AX$6,-AX$6-SUM(AX$10:AX447),-ROUNDDOWN($K448*AX$5/100,0)),0)</f>
        <v>0</v>
      </c>
      <c r="AY448" s="70">
        <v>0</v>
      </c>
      <c r="AZ448" s="65">
        <f t="shared" si="285"/>
        <v>0</v>
      </c>
      <c r="BA448" s="65">
        <f t="shared" si="286"/>
        <v>0</v>
      </c>
      <c r="BB448" s="70"/>
      <c r="BC448" s="65">
        <f t="shared" si="287"/>
        <v>0</v>
      </c>
      <c r="BD448" s="70">
        <v>0</v>
      </c>
      <c r="BE448" s="65">
        <f t="shared" si="288"/>
        <v>0</v>
      </c>
      <c r="BF448" s="70">
        <v>0</v>
      </c>
      <c r="BG448" s="65">
        <f t="shared" si="289"/>
        <v>0</v>
      </c>
      <c r="BH448" s="70">
        <v>0</v>
      </c>
      <c r="BI448" s="65">
        <f t="shared" si="290"/>
        <v>0</v>
      </c>
      <c r="BJ448" s="38">
        <f>IF(AND(BJ$7="○",$A448&gt;=BJ$8,$A448&lt;=BJ$9),IF(SUM(BJ$10:BJ447)-ROUNDDOWN($M448*BJ$5/100,0)&lt;-BJ$6,-BJ$6-SUM(BJ$10:BJ447),-ROUNDDOWN($M448*BJ$5/100,0)),0)</f>
        <v>0</v>
      </c>
      <c r="BK448" s="38">
        <f>IF(AND(BK$7="○",$A448&gt;=BK$8,$A448&lt;=BK$9),IF(SUM(BK$10:BK447)-ROUNDDOWN($L448*BK$5/100,0)&lt;-BK$6,-BK$6-SUM(BK$10:BK447),-ROUNDDOWN($L448*BK$5/100,0)),0)</f>
        <v>0</v>
      </c>
      <c r="BL448" s="38">
        <f>IF(AND(BL$7="○",$A448&gt;=BL$8,$A448&lt;=BL$9),IF(SUM(BL$10:BL447)-ROUNDDOWN($L448*BL$5/100,0)&lt;-BL$6,-BL$6-SUM(BL$10:BL447),-ROUNDDOWN($L448*BL$5/100,0)),0)</f>
        <v>0</v>
      </c>
      <c r="BM448" s="38">
        <f>IF(AND(BM$7="○",$A448&gt;=BM$8,$A448&lt;=BM$9),IF(SUM(BM$10:BM447)-ROUNDDOWN($M448*BM$5/100,0)&lt;-BM$6,-BM$6-SUM(BM$10:BM447),-ROUNDDOWN($M448*BM$5/100,0)),0)</f>
        <v>0</v>
      </c>
      <c r="BN448" s="38">
        <f>IF(AND(BN$7="○",$A448&gt;=BN$8,$A448&lt;=BN$9),IF(SUM(BN$10:BN447)-ROUNDDOWN($M448*BN$5/100,0)&lt;-BN$6,-BN$6-SUM(BN$10:BN447),-ROUNDDOWN($M448*BN$5/100,0)),0)</f>
        <v>0</v>
      </c>
      <c r="BO448" s="38">
        <f>IF(AND(BO$7="○",$A448&gt;=BO$8,$A448&lt;=BO$9),IF(SUM(BO$10:BO447)-ROUNDDOWN($M448*BO$5/100,0)&lt;-BO$6,-BO$6-SUM(BO$10:BO447),-ROUNDDOWN($M448*BO$5/100,0)),0)</f>
        <v>0</v>
      </c>
      <c r="BP448" s="38">
        <f>IF(AND(BP$7="○",$A448&gt;=BP$8,$A448&lt;=BP$9),IF(SUM(BP$10:BP447)-ROUNDDOWN($M448*BP$5/100,0)&lt;-BP$6,-BP$6-SUM(BP$10:BP447),-ROUNDDOWN($M448*BP$5/100,0)),0)</f>
        <v>0</v>
      </c>
      <c r="BQ448" s="38">
        <f>IF(AND(BQ$7="○",$A448&gt;=BQ$8,$A448&lt;=BQ$9),IF(SUM(BQ$10:BQ447)-ROUNDDOWN($L448*BQ$5/100,0)&lt;-BQ$6,-BQ$6-SUM(BQ$10:BQ447),-ROUNDDOWN($L448*BQ$5/100,0)),0)</f>
        <v>0</v>
      </c>
      <c r="BR448" s="38">
        <f>IF(AND(BR$7="○",$A448&gt;=BR$8,$A448&lt;=BR$9),IF(SUM(BR$10:BR447)-ROUNDDOWN($M448*BR$5/100,0)&lt;-BR$6,-BR$6-SUM(BR$10:BR447),-ROUNDDOWN($M448*BR$5/100,0)),0)</f>
        <v>0</v>
      </c>
      <c r="BS448" s="38">
        <f>IF(AND(BS$7="○",$A448&gt;=BS$8,$A448&lt;=BS$9),IF(SUM(BS$10:BS447)-ROUNDDOWN($M448*BS$5/100,0)&lt;-BS$6,-BS$6-SUM(BS$10:BS447),-ROUNDDOWN($M448*BS$5/100,0)),0)</f>
        <v>0</v>
      </c>
      <c r="BT448" s="38">
        <f>IF(AND(BT$7="○",$A448&gt;=BT$8,$A448&lt;=BT$9),IF(SUM(BT$10:BT447)-ROUNDDOWN($M448*BT$5/100,0)&lt;-BT$6,-BT$6-SUM(BT$10:BT447),-ROUNDDOWN($M448*BT$5/100,0)),0)</f>
        <v>0</v>
      </c>
      <c r="BU448" s="38">
        <f>IF(AND(BU$7="○",$A448&gt;=BU$8,$A448&lt;=BU$9),IF(SUM(BU$10:BU447)-ROUNDDOWN($M448*BU$5/100,0)&lt;-BU$6,-BU$6-SUM(BU$10:BU447),-ROUNDDOWN($M448*BU$5/100,0)),0)</f>
        <v>0</v>
      </c>
      <c r="BV448" s="38">
        <f>IF(AND(BV$7="○",$A448&gt;=BV$8,$A448&lt;=BV$9),IF(SUM(BV$10:BV447)-ROUNDDOWN($M448*BV$5/100,0)&lt;-BV$6,-BV$6-SUM(BV$10:BV447),-ROUNDDOWN($M448*BV$5/100,0)),0)</f>
        <v>0</v>
      </c>
      <c r="BW448" s="38">
        <f>IF(AND(BW$7="○",$A448&gt;=BW$8,$A448&lt;=BW$9),IF(SUM(BW$10:BW447)-ROUNDDOWN($M448*BW$5/100,0)&lt;-BW$6,-BW$6-SUM(BW$10:BW447),-ROUNDDOWN($M448*BW$5/100,0)),0)</f>
        <v>0</v>
      </c>
      <c r="BX448" s="38">
        <f>IF(AND(T448="○",$A448&gt;=BX$8,$A448&lt;=BX$9),IF(SUM(BX$10:BX447)-ROUNDDOWN($K448*BX$5/100,0)&lt;-BX$6,-BX$6-SUM(BX$10:BX447),-ROUNDDOWN($K448*BX$5/100,0)),0)</f>
        <v>0</v>
      </c>
      <c r="BY448" s="38">
        <f>IF(AND(U448="○",$A448&gt;=BY$8,$A448&lt;=BY$9),IF(SUM(BY$10:BY447)-ROUNDDOWN($K448*BY$5/100,0)&lt;-BY$6,-BY$6-SUM(BY$10:BY447),-ROUNDDOWN($K448*BY$5/100,0)),0)</f>
        <v>0</v>
      </c>
      <c r="BZ448" s="38">
        <f>IF(AND(V448="○",$A448&gt;=BZ$8,$A448&lt;=BZ$9),IF(SUM(BZ$10:BZ447)-ROUNDDOWN($K448*BZ$5/100,0)&lt;-BZ$6,-BZ$6-SUM(BZ$10:BZ447),-ROUNDDOWN($K448*BZ$5/100,0)),0)</f>
        <v>0</v>
      </c>
      <c r="CA448" s="38">
        <f>IF(AND(W448="○",$A448&gt;=CA$8,$A448&lt;=CA$9),IF(SUM(CA$10:CA447)-ROUNDDOWN($K448*CA$5/100,0)&lt;-CA$6,-CA$6-SUM(CA$10:CA447),-ROUNDDOWN($K448*CA$5/100,0)),0)</f>
        <v>0</v>
      </c>
      <c r="CB448" s="38"/>
      <c r="CC448" s="38"/>
      <c r="CD448" s="38"/>
      <c r="CE448" s="38"/>
      <c r="CF448" s="38"/>
      <c r="CG448" s="65">
        <f t="shared" si="291"/>
        <v>0</v>
      </c>
      <c r="CH448" s="71">
        <f t="shared" si="292"/>
        <v>0</v>
      </c>
      <c r="CI448" s="1">
        <f t="shared" si="308"/>
        <v>0</v>
      </c>
      <c r="CJ448" s="1"/>
      <c r="CK448" s="75"/>
      <c r="CL448" s="75"/>
      <c r="CM448" s="2"/>
      <c r="CN448" s="2"/>
      <c r="CO448" s="73">
        <f t="shared" si="309"/>
        <v>0</v>
      </c>
      <c r="CP448" s="5">
        <f t="shared" si="310"/>
        <v>0</v>
      </c>
      <c r="CQ448" s="1"/>
      <c r="CR448" s="1">
        <f t="shared" si="311"/>
        <v>0</v>
      </c>
      <c r="CS448" s="1"/>
      <c r="CT448" s="1" t="e">
        <f>INDEX([2]マスタ!$A:$A,MATCH(D448,[2]マスタ!$C:$C,0))</f>
        <v>#N/A</v>
      </c>
      <c r="CU448" s="1" t="str">
        <f t="shared" ca="1" si="312"/>
        <v>20260620_0-0</v>
      </c>
    </row>
    <row r="449" spans="1:99" x14ac:dyDescent="0.4">
      <c r="A449" s="61"/>
      <c r="B449" s="62"/>
      <c r="C449" s="62"/>
      <c r="D449" s="62"/>
      <c r="E449" s="74"/>
      <c r="F449" s="62"/>
      <c r="G449" s="62">
        <v>1</v>
      </c>
      <c r="H449" s="64">
        <f t="shared" si="302"/>
        <v>0</v>
      </c>
      <c r="I449" s="64"/>
      <c r="J449" s="64"/>
      <c r="K449" s="65">
        <f t="shared" si="313"/>
        <v>0</v>
      </c>
      <c r="L449" s="65">
        <f t="shared" si="304"/>
        <v>0</v>
      </c>
      <c r="M449" s="65">
        <f t="shared" si="305"/>
        <v>0</v>
      </c>
      <c r="N449" s="65">
        <f t="shared" si="306"/>
        <v>0</v>
      </c>
      <c r="O449" s="66" t="str">
        <f t="shared" si="9"/>
        <v>✕</v>
      </c>
      <c r="P449" s="67" t="str">
        <f t="shared" si="10"/>
        <v>○</v>
      </c>
      <c r="Q449" s="67" t="str">
        <f t="shared" si="314"/>
        <v>✕</v>
      </c>
      <c r="R449" s="67" t="str">
        <f t="shared" si="12"/>
        <v>✕</v>
      </c>
      <c r="S449" s="68">
        <v>0</v>
      </c>
      <c r="T449" s="69" t="s">
        <v>85</v>
      </c>
      <c r="U449" s="69" t="s">
        <v>85</v>
      </c>
      <c r="V449" s="69" t="s">
        <v>85</v>
      </c>
      <c r="W449" s="69" t="s">
        <v>85</v>
      </c>
      <c r="X449" s="69" t="s">
        <v>84</v>
      </c>
      <c r="Y449" s="69" t="s">
        <v>85</v>
      </c>
      <c r="Z449" s="69" t="s">
        <v>85</v>
      </c>
      <c r="AA449" s="69" t="s">
        <v>85</v>
      </c>
      <c r="AB449" s="69" t="s">
        <v>85</v>
      </c>
      <c r="AC449" s="69" t="s">
        <v>85</v>
      </c>
      <c r="AD449" s="38" t="str">
        <f>+IF(ISERROR(VLOOKUP($B449,AD$10:AD448,1,0)),IF(AND($N449&gt;=1000,$A449&gt;=AO$8,$A449&lt;=AO$9),$B449,""),"")</f>
        <v/>
      </c>
      <c r="AE449" s="38" t="str">
        <f>+IF(ISERROR(VLOOKUP($B449,AE$10:AE448,1,0)),IF(AND($N449&gt;=1000,$A449&gt;=AP$8,$A449&lt;=AP$9),$B449,""),"")</f>
        <v/>
      </c>
      <c r="AF449" s="38" t="str">
        <f>+IF(ISERROR(VLOOKUP($B449,AF$10:AF448,1,0)),IF(AND($N449&gt;=1000,$A449&gt;=AQ$8,$A449&lt;=AQ$9),$B449,""),"")</f>
        <v/>
      </c>
      <c r="AG449" s="38" t="str">
        <f>+IF(ISERROR(VLOOKUP($B449,AG$10:AG448,1,0)),IF(AND($N449&gt;=1000,$A449&gt;=AR$8,$A449&lt;=AR$9),$B449,""),"")</f>
        <v/>
      </c>
      <c r="AH449" s="38"/>
      <c r="AI449" s="70">
        <v>0</v>
      </c>
      <c r="AJ449" s="38">
        <f>IF(AND(AJ$7="○",$A449&gt;=AJ$8,$A449&lt;=AJ$9),IF(SUM(AJ$10:AJ448)-ROUNDDOWN($K449*AJ$5/100,0)&lt;-AJ$6,-AJ$6-SUM(AJ$10:AJ448),-ROUNDDOWN($K449*AJ$5/100,0)),0)</f>
        <v>0</v>
      </c>
      <c r="AK449" s="38">
        <f>IF(AND(AK$7="○",$A449&gt;=AK$8,$A449&lt;=AK$9),IF(SUM(AK$10:AK448)-ROUNDDOWN($L449*AK$5/100,0)&lt;-AK$6,-AK$6-SUM(AK$10:AK448),-ROUNDDOWN($L449*AK$5/100,0)),0)</f>
        <v>0</v>
      </c>
      <c r="AL449" s="38">
        <f>IF(AND(AL$7="○",$A449&gt;=AL$8,$A449&lt;=AL$9),IF(SUM(AL$10:AL448)-ROUNDDOWN($N449*AL$5/100,0)&lt;-AL$6,-AL$6-SUM(AL$10:AL448),-ROUNDDOWN($N449*AL$5/100,0)),0)</f>
        <v>0</v>
      </c>
      <c r="AM449" s="38">
        <f>IF(AND(AM$7="○",$A449&gt;=AM$8,$A449&lt;=AM$9),IF(SUM(AM$10:AM448)-ROUNDDOWN($L449*AM$5/100,0)&lt;-AM$6,-AM$6-SUM(AM$10:AM448),-ROUNDDOWN($L449*AM$5/100,0)),0)</f>
        <v>0</v>
      </c>
      <c r="AN449" s="38">
        <f>IF(AND(AN$7="○",$A449&gt;=AN$8,$A449&lt;=AN$9),IF(SUM(AN$10:AN448)-ROUNDDOWN($M449*AN$5/100,0)&lt;-AN$6,-AN$6-SUM(AN$10:AN448),-ROUNDDOWN($M449*AN$5/100,0)),0)</f>
        <v>0</v>
      </c>
      <c r="AO449" s="38">
        <f>IF(AND($A449&gt;=AO$8,$A449&lt;=AO$9),IF(SUM(AO$10:AO448)-ROUNDDOWN($K449*AO$5/100,0)&lt;-AO$6,-AO$6-SUM(AO$10:AO448),-ROUNDDOWN($K449*AO$5/100,0)),0)</f>
        <v>0</v>
      </c>
      <c r="AP449" s="38">
        <f>IF(AND($A449&gt;=AP$8,$A449&lt;=AP$9),IF(SUM(AP$10:AP448)-ROUNDDOWN($K449*AP$5/100,0)&lt;-AP$6,-AP$6-SUM(AP$10:AP448),-ROUNDDOWN($K449*AP$5/100,0)),0)</f>
        <v>0</v>
      </c>
      <c r="AQ449" s="38">
        <f>IF(AND($A449&gt;=AQ$8,$A449&lt;=AQ$9),IF(SUM(AQ$10:AQ448)-ROUNDDOWN($K449*AQ$5/100,0)&lt;-AQ$6,-AQ$6-SUM(AQ$10:AQ448),-ROUNDDOWN($K449*AQ$5/100,0)),0)</f>
        <v>0</v>
      </c>
      <c r="AR449" s="38">
        <f>IF(AND($A449&gt;=AR$8,$A449&lt;=AR$9),IF(SUM(AR$10:AR448)-ROUNDDOWN($K449*AR$5/100,0)&lt;-AR$6,-AR$6-SUM(AR$10:AR448),-ROUNDDOWN($K449*AR$5/100,0)),0)</f>
        <v>0</v>
      </c>
      <c r="AS449" s="38">
        <f>IF(SUMIFS(AS$10:AS448,$A$10:$A448,$A449)-ROUNDDOWN($K449*$S449/100,0)&lt;-$S449*1000,-$S449*1000-SUMIFS(AS$10:AS448,$A$10:$A448,$A449),-ROUNDDOWN($K449*$S449/100,0))</f>
        <v>0</v>
      </c>
      <c r="AT449" s="38">
        <f>IF(AND(X449="○",$A449&gt;=AT$8,$A449&lt;=AT$9,K449&gt;=3980),IF(SUM(AT$10:AT448)-ROUNDDOWN($K449*AT$5/100,0)&lt;-AT$6,-AT$6-SUM(AT$10:AT448),-ROUNDDOWN($K449*AT$5/100,0)),0)</f>
        <v>0</v>
      </c>
      <c r="AU449" s="38">
        <f>IF(O449="○",IF(SUM(AU$10:AU448)-ROUNDDOWN($K449*AU$5/100,0)&lt;-AU$6,-AU$6-SUM(AU$10:AU448),-ROUNDDOWN($K449*AU$5/100,0)),0)</f>
        <v>0</v>
      </c>
      <c r="AV449" s="38">
        <f>IF(P449="○",IF(SUM(AV$10:AV448)-ROUNDDOWN($K449*AV$5/100,0)&lt;-AV$6,-AV$6-SUM(AV$10:AV448),-ROUNDDOWN($K449*AV$5/100,0)),0)</f>
        <v>0</v>
      </c>
      <c r="AW449" s="38">
        <f>IF(Q449="○",IF(SUM(AW$10:AW448)-ROUNDDOWN($K449*AW$5/100,0)&lt;-AW$6,-AW$6-SUM(AW$10:AW448),-ROUNDDOWN($K449*AW$5/100,0)),0)</f>
        <v>0</v>
      </c>
      <c r="AX449" s="38">
        <f>IF(R449="○",IF(SUM(AX$10:AX448)-ROUNDDOWN($K449*AX$5/100,0)&lt;-AX$6,-AX$6-SUM(AX$10:AX448),-ROUNDDOWN($K449*AX$5/100,0)),0)</f>
        <v>0</v>
      </c>
      <c r="AY449" s="70">
        <v>0</v>
      </c>
      <c r="AZ449" s="65">
        <f t="shared" si="285"/>
        <v>0</v>
      </c>
      <c r="BA449" s="65">
        <f t="shared" si="286"/>
        <v>0</v>
      </c>
      <c r="BB449" s="70"/>
      <c r="BC449" s="65">
        <f t="shared" si="287"/>
        <v>0</v>
      </c>
      <c r="BD449" s="70">
        <v>0</v>
      </c>
      <c r="BE449" s="65">
        <f t="shared" si="288"/>
        <v>0</v>
      </c>
      <c r="BF449" s="70">
        <v>0</v>
      </c>
      <c r="BG449" s="65">
        <f t="shared" si="289"/>
        <v>0</v>
      </c>
      <c r="BH449" s="70">
        <v>0</v>
      </c>
      <c r="BI449" s="65">
        <f t="shared" si="290"/>
        <v>0</v>
      </c>
      <c r="BJ449" s="38">
        <f>IF(AND(BJ$7="○",$A449&gt;=BJ$8,$A449&lt;=BJ$9),IF(SUM(BJ$10:BJ448)-ROUNDDOWN($M449*BJ$5/100,0)&lt;-BJ$6,-BJ$6-SUM(BJ$10:BJ448),-ROUNDDOWN($M449*BJ$5/100,0)),0)</f>
        <v>0</v>
      </c>
      <c r="BK449" s="38">
        <f>IF(AND(BK$7="○",$A449&gt;=BK$8,$A449&lt;=BK$9),IF(SUM(BK$10:BK448)-ROUNDDOWN($L449*BK$5/100,0)&lt;-BK$6,-BK$6-SUM(BK$10:BK448),-ROUNDDOWN($L449*BK$5/100,0)),0)</f>
        <v>0</v>
      </c>
      <c r="BL449" s="38">
        <f>IF(AND(BL$7="○",$A449&gt;=BL$8,$A449&lt;=BL$9),IF(SUM(BL$10:BL448)-ROUNDDOWN($L449*BL$5/100,0)&lt;-BL$6,-BL$6-SUM(BL$10:BL448),-ROUNDDOWN($L449*BL$5/100,0)),0)</f>
        <v>0</v>
      </c>
      <c r="BM449" s="38">
        <f>IF(AND(BM$7="○",$A449&gt;=BM$8,$A449&lt;=BM$9),IF(SUM(BM$10:BM448)-ROUNDDOWN($M449*BM$5/100,0)&lt;-BM$6,-BM$6-SUM(BM$10:BM448),-ROUNDDOWN($M449*BM$5/100,0)),0)</f>
        <v>0</v>
      </c>
      <c r="BN449" s="38">
        <f>IF(AND(BN$7="○",$A449&gt;=BN$8,$A449&lt;=BN$9),IF(SUM(BN$10:BN448)-ROUNDDOWN($M449*BN$5/100,0)&lt;-BN$6,-BN$6-SUM(BN$10:BN448),-ROUNDDOWN($M449*BN$5/100,0)),0)</f>
        <v>0</v>
      </c>
      <c r="BO449" s="38">
        <f>IF(AND(BO$7="○",$A449&gt;=BO$8,$A449&lt;=BO$9),IF(SUM(BO$10:BO448)-ROUNDDOWN($M449*BO$5/100,0)&lt;-BO$6,-BO$6-SUM(BO$10:BO448),-ROUNDDOWN($M449*BO$5/100,0)),0)</f>
        <v>0</v>
      </c>
      <c r="BP449" s="38">
        <f>IF(AND(BP$7="○",$A449&gt;=BP$8,$A449&lt;=BP$9),IF(SUM(BP$10:BP448)-ROUNDDOWN($M449*BP$5/100,0)&lt;-BP$6,-BP$6-SUM(BP$10:BP448),-ROUNDDOWN($M449*BP$5/100,0)),0)</f>
        <v>0</v>
      </c>
      <c r="BQ449" s="38">
        <f>IF(AND(BQ$7="○",$A449&gt;=BQ$8,$A449&lt;=BQ$9),IF(SUM(BQ$10:BQ448)-ROUNDDOWN($L449*BQ$5/100,0)&lt;-BQ$6,-BQ$6-SUM(BQ$10:BQ448),-ROUNDDOWN($L449*BQ$5/100,0)),0)</f>
        <v>0</v>
      </c>
      <c r="BR449" s="38">
        <f>IF(AND(BR$7="○",$A449&gt;=BR$8,$A449&lt;=BR$9),IF(SUM(BR$10:BR448)-ROUNDDOWN($M449*BR$5/100,0)&lt;-BR$6,-BR$6-SUM(BR$10:BR448),-ROUNDDOWN($M449*BR$5/100,0)),0)</f>
        <v>0</v>
      </c>
      <c r="BS449" s="38">
        <f>IF(AND(BS$7="○",$A449&gt;=BS$8,$A449&lt;=BS$9),IF(SUM(BS$10:BS448)-ROUNDDOWN($M449*BS$5/100,0)&lt;-BS$6,-BS$6-SUM(BS$10:BS448),-ROUNDDOWN($M449*BS$5/100,0)),0)</f>
        <v>0</v>
      </c>
      <c r="BT449" s="38">
        <f>IF(AND(BT$7="○",$A449&gt;=BT$8,$A449&lt;=BT$9),IF(SUM(BT$10:BT448)-ROUNDDOWN($M449*BT$5/100,0)&lt;-BT$6,-BT$6-SUM(BT$10:BT448),-ROUNDDOWN($M449*BT$5/100,0)),0)</f>
        <v>0</v>
      </c>
      <c r="BU449" s="38">
        <f>IF(AND(BU$7="○",$A449&gt;=BU$8,$A449&lt;=BU$9),IF(SUM(BU$10:BU448)-ROUNDDOWN($M449*BU$5/100,0)&lt;-BU$6,-BU$6-SUM(BU$10:BU448),-ROUNDDOWN($M449*BU$5/100,0)),0)</f>
        <v>0</v>
      </c>
      <c r="BV449" s="38">
        <f>IF(AND(BV$7="○",$A449&gt;=BV$8,$A449&lt;=BV$9),IF(SUM(BV$10:BV448)-ROUNDDOWN($M449*BV$5/100,0)&lt;-BV$6,-BV$6-SUM(BV$10:BV448),-ROUNDDOWN($M449*BV$5/100,0)),0)</f>
        <v>0</v>
      </c>
      <c r="BW449" s="38">
        <f>IF(AND(BW$7="○",$A449&gt;=BW$8,$A449&lt;=BW$9),IF(SUM(BW$10:BW448)-ROUNDDOWN($M449*BW$5/100,0)&lt;-BW$6,-BW$6-SUM(BW$10:BW448),-ROUNDDOWN($M449*BW$5/100,0)),0)</f>
        <v>0</v>
      </c>
      <c r="BX449" s="38">
        <f>IF(AND(T449="○",$A449&gt;=BX$8,$A449&lt;=BX$9),IF(SUM(BX$10:BX448)-ROUNDDOWN($K449*BX$5/100,0)&lt;-BX$6,-BX$6-SUM(BX$10:BX448),-ROUNDDOWN($K449*BX$5/100,0)),0)</f>
        <v>0</v>
      </c>
      <c r="BY449" s="38">
        <f>IF(AND(U449="○",$A449&gt;=BY$8,$A449&lt;=BY$9),IF(SUM(BY$10:BY448)-ROUNDDOWN($K449*BY$5/100,0)&lt;-BY$6,-BY$6-SUM(BY$10:BY448),-ROUNDDOWN($K449*BY$5/100,0)),0)</f>
        <v>0</v>
      </c>
      <c r="BZ449" s="38">
        <f>IF(AND(V449="○",$A449&gt;=BZ$8,$A449&lt;=BZ$9),IF(SUM(BZ$10:BZ448)-ROUNDDOWN($K449*BZ$5/100,0)&lt;-BZ$6,-BZ$6-SUM(BZ$10:BZ448),-ROUNDDOWN($K449*BZ$5/100,0)),0)</f>
        <v>0</v>
      </c>
      <c r="CA449" s="38">
        <f>IF(AND(W449="○",$A449&gt;=CA$8,$A449&lt;=CA$9),IF(SUM(CA$10:CA448)-ROUNDDOWN($K449*CA$5/100,0)&lt;-CA$6,-CA$6-SUM(CA$10:CA448),-ROUNDDOWN($K449*CA$5/100,0)),0)</f>
        <v>0</v>
      </c>
      <c r="CB449" s="38"/>
      <c r="CC449" s="38"/>
      <c r="CD449" s="38"/>
      <c r="CE449" s="38"/>
      <c r="CF449" s="38"/>
      <c r="CG449" s="65">
        <f t="shared" si="291"/>
        <v>0</v>
      </c>
      <c r="CH449" s="71">
        <f t="shared" si="292"/>
        <v>0</v>
      </c>
      <c r="CI449" s="1">
        <f t="shared" si="308"/>
        <v>0</v>
      </c>
      <c r="CJ449" s="1"/>
      <c r="CK449" s="75"/>
      <c r="CL449" s="75"/>
      <c r="CM449" s="2"/>
      <c r="CN449" s="2"/>
      <c r="CO449" s="73">
        <f t="shared" si="309"/>
        <v>0</v>
      </c>
      <c r="CP449" s="5">
        <f t="shared" si="310"/>
        <v>0</v>
      </c>
      <c r="CQ449" s="1"/>
      <c r="CR449" s="1">
        <f t="shared" si="311"/>
        <v>0</v>
      </c>
      <c r="CS449" s="1"/>
      <c r="CT449" s="1" t="e">
        <f>INDEX([2]マスタ!$A:$A,MATCH(D449,[2]マスタ!$C:$C,0))</f>
        <v>#N/A</v>
      </c>
      <c r="CU449" s="1" t="str">
        <f t="shared" ca="1" si="312"/>
        <v>20260620_0-0</v>
      </c>
    </row>
    <row r="450" spans="1:99" x14ac:dyDescent="0.4">
      <c r="A450" s="61"/>
      <c r="B450" s="62"/>
      <c r="C450" s="62"/>
      <c r="D450" s="62"/>
      <c r="E450" s="74"/>
      <c r="F450" s="62"/>
      <c r="G450" s="62">
        <v>1</v>
      </c>
      <c r="H450" s="64">
        <f t="shared" si="302"/>
        <v>0</v>
      </c>
      <c r="I450" s="64"/>
      <c r="J450" s="64"/>
      <c r="K450" s="65">
        <f t="shared" si="313"/>
        <v>0</v>
      </c>
      <c r="L450" s="65">
        <f t="shared" si="304"/>
        <v>0</v>
      </c>
      <c r="M450" s="65">
        <f t="shared" si="305"/>
        <v>0</v>
      </c>
      <c r="N450" s="65">
        <f t="shared" si="306"/>
        <v>0</v>
      </c>
      <c r="O450" s="66" t="str">
        <f t="shared" si="9"/>
        <v>✕</v>
      </c>
      <c r="P450" s="67" t="str">
        <f t="shared" si="10"/>
        <v>○</v>
      </c>
      <c r="Q450" s="67" t="str">
        <f t="shared" si="314"/>
        <v>✕</v>
      </c>
      <c r="R450" s="67" t="str">
        <f t="shared" si="12"/>
        <v>✕</v>
      </c>
      <c r="S450" s="68">
        <v>0</v>
      </c>
      <c r="T450" s="69" t="s">
        <v>85</v>
      </c>
      <c r="U450" s="69" t="s">
        <v>85</v>
      </c>
      <c r="V450" s="69" t="s">
        <v>85</v>
      </c>
      <c r="W450" s="69" t="s">
        <v>85</v>
      </c>
      <c r="X450" s="69" t="s">
        <v>84</v>
      </c>
      <c r="Y450" s="69" t="s">
        <v>85</v>
      </c>
      <c r="Z450" s="69" t="s">
        <v>85</v>
      </c>
      <c r="AA450" s="69" t="s">
        <v>85</v>
      </c>
      <c r="AB450" s="69" t="s">
        <v>85</v>
      </c>
      <c r="AC450" s="69" t="s">
        <v>85</v>
      </c>
      <c r="AD450" s="38" t="str">
        <f>+IF(ISERROR(VLOOKUP($B450,AD$10:AD449,1,0)),IF(AND($N450&gt;=1000,$A450&gt;=AO$8,$A450&lt;=AO$9),$B450,""),"")</f>
        <v/>
      </c>
      <c r="AE450" s="38" t="str">
        <f>+IF(ISERROR(VLOOKUP($B450,AE$10:AE449,1,0)),IF(AND($N450&gt;=1000,$A450&gt;=AP$8,$A450&lt;=AP$9),$B450,""),"")</f>
        <v/>
      </c>
      <c r="AF450" s="38" t="str">
        <f>+IF(ISERROR(VLOOKUP($B450,AF$10:AF449,1,0)),IF(AND($N450&gt;=1000,$A450&gt;=AQ$8,$A450&lt;=AQ$9),$B450,""),"")</f>
        <v/>
      </c>
      <c r="AG450" s="38" t="str">
        <f>+IF(ISERROR(VLOOKUP($B450,AG$10:AG449,1,0)),IF(AND($N450&gt;=1000,$A450&gt;=AR$8,$A450&lt;=AR$9),$B450,""),"")</f>
        <v/>
      </c>
      <c r="AH450" s="38"/>
      <c r="AI450" s="70">
        <v>0</v>
      </c>
      <c r="AJ450" s="38">
        <f>IF(AND(AJ$7="○",$A450&gt;=AJ$8,$A450&lt;=AJ$9),IF(SUM(AJ$10:AJ449)-ROUNDDOWN($K450*AJ$5/100,0)&lt;-AJ$6,-AJ$6-SUM(AJ$10:AJ449),-ROUNDDOWN($K450*AJ$5/100,0)),0)</f>
        <v>0</v>
      </c>
      <c r="AK450" s="38">
        <f>IF(AND(AK$7="○",$A450&gt;=AK$8,$A450&lt;=AK$9),IF(SUM(AK$10:AK449)-ROUNDDOWN($L450*AK$5/100,0)&lt;-AK$6,-AK$6-SUM(AK$10:AK449),-ROUNDDOWN($L450*AK$5/100,0)),0)</f>
        <v>0</v>
      </c>
      <c r="AL450" s="38">
        <f>IF(AND(AL$7="○",$A450&gt;=AL$8,$A450&lt;=AL$9),IF(SUM(AL$10:AL449)-ROUNDDOWN($N450*AL$5/100,0)&lt;-AL$6,-AL$6-SUM(AL$10:AL449),-ROUNDDOWN($N450*AL$5/100,0)),0)</f>
        <v>0</v>
      </c>
      <c r="AM450" s="38">
        <f>IF(AND(AM$7="○",$A450&gt;=AM$8,$A450&lt;=AM$9),IF(SUM(AM$10:AM449)-ROUNDDOWN($L450*AM$5/100,0)&lt;-AM$6,-AM$6-SUM(AM$10:AM449),-ROUNDDOWN($L450*AM$5/100,0)),0)</f>
        <v>0</v>
      </c>
      <c r="AN450" s="38">
        <f>IF(AND(AN$7="○",$A450&gt;=AN$8,$A450&lt;=AN$9),IF(SUM(AN$10:AN449)-ROUNDDOWN($M450*AN$5/100,0)&lt;-AN$6,-AN$6-SUM(AN$10:AN449),-ROUNDDOWN($M450*AN$5/100,0)),0)</f>
        <v>0</v>
      </c>
      <c r="AO450" s="38">
        <f>IF(AND($A450&gt;=AO$8,$A450&lt;=AO$9),IF(SUM(AO$10:AO449)-ROUNDDOWN($K450*AO$5/100,0)&lt;-AO$6,-AO$6-SUM(AO$10:AO449),-ROUNDDOWN($K450*AO$5/100,0)),0)</f>
        <v>0</v>
      </c>
      <c r="AP450" s="38">
        <f>IF(AND($A450&gt;=AP$8,$A450&lt;=AP$9),IF(SUM(AP$10:AP449)-ROUNDDOWN($K450*AP$5/100,0)&lt;-AP$6,-AP$6-SUM(AP$10:AP449),-ROUNDDOWN($K450*AP$5/100,0)),0)</f>
        <v>0</v>
      </c>
      <c r="AQ450" s="38">
        <f>IF(AND($A450&gt;=AQ$8,$A450&lt;=AQ$9),IF(SUM(AQ$10:AQ449)-ROUNDDOWN($K450*AQ$5/100,0)&lt;-AQ$6,-AQ$6-SUM(AQ$10:AQ449),-ROUNDDOWN($K450*AQ$5/100,0)),0)</f>
        <v>0</v>
      </c>
      <c r="AR450" s="38">
        <f>IF(AND($A450&gt;=AR$8,$A450&lt;=AR$9),IF(SUM(AR$10:AR449)-ROUNDDOWN($K450*AR$5/100,0)&lt;-AR$6,-AR$6-SUM(AR$10:AR449),-ROUNDDOWN($K450*AR$5/100,0)),0)</f>
        <v>0</v>
      </c>
      <c r="AS450" s="38">
        <f>IF(SUMIFS(AS$10:AS449,$A$10:$A449,$A450)-ROUNDDOWN($K450*$S450/100,0)&lt;-$S450*1000,-$S450*1000-SUMIFS(AS$10:AS449,$A$10:$A449,$A450),-ROUNDDOWN($K450*$S450/100,0))</f>
        <v>0</v>
      </c>
      <c r="AT450" s="38">
        <f>IF(AND(X450="○",$A450&gt;=AT$8,$A450&lt;=AT$9,K450&gt;=3980),IF(SUM(AT$10:AT449)-ROUNDDOWN($K450*AT$5/100,0)&lt;-AT$6,-AT$6-SUM(AT$10:AT449),-ROUNDDOWN($K450*AT$5/100,0)),0)</f>
        <v>0</v>
      </c>
      <c r="AU450" s="38">
        <f>IF(O450="○",IF(SUM(AU$10:AU449)-ROUNDDOWN($K450*AU$5/100,0)&lt;-AU$6,-AU$6-SUM(AU$10:AU449),-ROUNDDOWN($K450*AU$5/100,0)),0)</f>
        <v>0</v>
      </c>
      <c r="AV450" s="38">
        <f>IF(P450="○",IF(SUM(AV$10:AV449)-ROUNDDOWN($K450*AV$5/100,0)&lt;-AV$6,-AV$6-SUM(AV$10:AV449),-ROUNDDOWN($K450*AV$5/100,0)),0)</f>
        <v>0</v>
      </c>
      <c r="AW450" s="38">
        <f>IF(Q450="○",IF(SUM(AW$10:AW449)-ROUNDDOWN($K450*AW$5/100,0)&lt;-AW$6,-AW$6-SUM(AW$10:AW449),-ROUNDDOWN($K450*AW$5/100,0)),0)</f>
        <v>0</v>
      </c>
      <c r="AX450" s="38">
        <f>IF(R450="○",IF(SUM(AX$10:AX449)-ROUNDDOWN($K450*AX$5/100,0)&lt;-AX$6,-AX$6-SUM(AX$10:AX449),-ROUNDDOWN($K450*AX$5/100,0)),0)</f>
        <v>0</v>
      </c>
      <c r="AY450" s="70">
        <v>0</v>
      </c>
      <c r="AZ450" s="65">
        <f t="shared" si="285"/>
        <v>0</v>
      </c>
      <c r="BA450" s="65">
        <f t="shared" si="286"/>
        <v>0</v>
      </c>
      <c r="BB450" s="70"/>
      <c r="BC450" s="65">
        <f t="shared" si="287"/>
        <v>0</v>
      </c>
      <c r="BD450" s="70">
        <v>0</v>
      </c>
      <c r="BE450" s="65">
        <f t="shared" si="288"/>
        <v>0</v>
      </c>
      <c r="BF450" s="70">
        <v>0</v>
      </c>
      <c r="BG450" s="65">
        <f t="shared" si="289"/>
        <v>0</v>
      </c>
      <c r="BH450" s="70">
        <v>0</v>
      </c>
      <c r="BI450" s="65">
        <f t="shared" si="290"/>
        <v>0</v>
      </c>
      <c r="BJ450" s="38">
        <f>IF(AND(BJ$7="○",$A450&gt;=BJ$8,$A450&lt;=BJ$9),IF(SUM(BJ$10:BJ449)-ROUNDDOWN($M450*BJ$5/100,0)&lt;-BJ$6,-BJ$6-SUM(BJ$10:BJ449),-ROUNDDOWN($M450*BJ$5/100,0)),0)</f>
        <v>0</v>
      </c>
      <c r="BK450" s="38">
        <f>IF(AND(BK$7="○",$A450&gt;=BK$8,$A450&lt;=BK$9),IF(SUM(BK$10:BK449)-ROUNDDOWN($L450*BK$5/100,0)&lt;-BK$6,-BK$6-SUM(BK$10:BK449),-ROUNDDOWN($L450*BK$5/100,0)),0)</f>
        <v>0</v>
      </c>
      <c r="BL450" s="38">
        <f>IF(AND(BL$7="○",$A450&gt;=BL$8,$A450&lt;=BL$9),IF(SUM(BL$10:BL449)-ROUNDDOWN($L450*BL$5/100,0)&lt;-BL$6,-BL$6-SUM(BL$10:BL449),-ROUNDDOWN($L450*BL$5/100,0)),0)</f>
        <v>0</v>
      </c>
      <c r="BM450" s="38">
        <f>IF(AND(BM$7="○",$A450&gt;=BM$8,$A450&lt;=BM$9),IF(SUM(BM$10:BM449)-ROUNDDOWN($M450*BM$5/100,0)&lt;-BM$6,-BM$6-SUM(BM$10:BM449),-ROUNDDOWN($M450*BM$5/100,0)),0)</f>
        <v>0</v>
      </c>
      <c r="BN450" s="38">
        <f>IF(AND(BN$7="○",$A450&gt;=BN$8,$A450&lt;=BN$9),IF(SUM(BN$10:BN449)-ROUNDDOWN($M450*BN$5/100,0)&lt;-BN$6,-BN$6-SUM(BN$10:BN449),-ROUNDDOWN($M450*BN$5/100,0)),0)</f>
        <v>0</v>
      </c>
      <c r="BO450" s="38">
        <f>IF(AND(BO$7="○",$A450&gt;=BO$8,$A450&lt;=BO$9),IF(SUM(BO$10:BO449)-ROUNDDOWN($M450*BO$5/100,0)&lt;-BO$6,-BO$6-SUM(BO$10:BO449),-ROUNDDOWN($M450*BO$5/100,0)),0)</f>
        <v>0</v>
      </c>
      <c r="BP450" s="38">
        <f>IF(AND(BP$7="○",$A450&gt;=BP$8,$A450&lt;=BP$9),IF(SUM(BP$10:BP449)-ROUNDDOWN($M450*BP$5/100,0)&lt;-BP$6,-BP$6-SUM(BP$10:BP449),-ROUNDDOWN($M450*BP$5/100,0)),0)</f>
        <v>0</v>
      </c>
      <c r="BQ450" s="38">
        <f>IF(AND(BQ$7="○",$A450&gt;=BQ$8,$A450&lt;=BQ$9),IF(SUM(BQ$10:BQ449)-ROUNDDOWN($L450*BQ$5/100,0)&lt;-BQ$6,-BQ$6-SUM(BQ$10:BQ449),-ROUNDDOWN($L450*BQ$5/100,0)),0)</f>
        <v>0</v>
      </c>
      <c r="BR450" s="38">
        <f>IF(AND(BR$7="○",$A450&gt;=BR$8,$A450&lt;=BR$9),IF(SUM(BR$10:BR449)-ROUNDDOWN($M450*BR$5/100,0)&lt;-BR$6,-BR$6-SUM(BR$10:BR449),-ROUNDDOWN($M450*BR$5/100,0)),0)</f>
        <v>0</v>
      </c>
      <c r="BS450" s="38">
        <f>IF(AND(BS$7="○",$A450&gt;=BS$8,$A450&lt;=BS$9),IF(SUM(BS$10:BS449)-ROUNDDOWN($M450*BS$5/100,0)&lt;-BS$6,-BS$6-SUM(BS$10:BS449),-ROUNDDOWN($M450*BS$5/100,0)),0)</f>
        <v>0</v>
      </c>
      <c r="BT450" s="38">
        <f>IF(AND(BT$7="○",$A450&gt;=BT$8,$A450&lt;=BT$9),IF(SUM(BT$10:BT449)-ROUNDDOWN($M450*BT$5/100,0)&lt;-BT$6,-BT$6-SUM(BT$10:BT449),-ROUNDDOWN($M450*BT$5/100,0)),0)</f>
        <v>0</v>
      </c>
      <c r="BU450" s="38">
        <f>IF(AND(BU$7="○",$A450&gt;=BU$8,$A450&lt;=BU$9),IF(SUM(BU$10:BU449)-ROUNDDOWN($M450*BU$5/100,0)&lt;-BU$6,-BU$6-SUM(BU$10:BU449),-ROUNDDOWN($M450*BU$5/100,0)),0)</f>
        <v>0</v>
      </c>
      <c r="BV450" s="38">
        <f>IF(AND(BV$7="○",$A450&gt;=BV$8,$A450&lt;=BV$9),IF(SUM(BV$10:BV449)-ROUNDDOWN($M450*BV$5/100,0)&lt;-BV$6,-BV$6-SUM(BV$10:BV449),-ROUNDDOWN($M450*BV$5/100,0)),0)</f>
        <v>0</v>
      </c>
      <c r="BW450" s="38">
        <f>IF(AND(BW$7="○",$A450&gt;=BW$8,$A450&lt;=BW$9),IF(SUM(BW$10:BW449)-ROUNDDOWN($M450*BW$5/100,0)&lt;-BW$6,-BW$6-SUM(BW$10:BW449),-ROUNDDOWN($M450*BW$5/100,0)),0)</f>
        <v>0</v>
      </c>
      <c r="BX450" s="38">
        <f>IF(AND(T450="○",$A450&gt;=BX$8,$A450&lt;=BX$9),IF(SUM(BX$10:BX449)-ROUNDDOWN($K450*BX$5/100,0)&lt;-BX$6,-BX$6-SUM(BX$10:BX449),-ROUNDDOWN($K450*BX$5/100,0)),0)</f>
        <v>0</v>
      </c>
      <c r="BY450" s="38">
        <f>IF(AND(U450="○",$A450&gt;=BY$8,$A450&lt;=BY$9),IF(SUM(BY$10:BY449)-ROUNDDOWN($K450*BY$5/100,0)&lt;-BY$6,-BY$6-SUM(BY$10:BY449),-ROUNDDOWN($K450*BY$5/100,0)),0)</f>
        <v>0</v>
      </c>
      <c r="BZ450" s="38">
        <f>IF(AND(V450="○",$A450&gt;=BZ$8,$A450&lt;=BZ$9),IF(SUM(BZ$10:BZ449)-ROUNDDOWN($K450*BZ$5/100,0)&lt;-BZ$6,-BZ$6-SUM(BZ$10:BZ449),-ROUNDDOWN($K450*BZ$5/100,0)),0)</f>
        <v>0</v>
      </c>
      <c r="CA450" s="38">
        <f>IF(AND(W450="○",$A450&gt;=CA$8,$A450&lt;=CA$9),IF(SUM(CA$10:CA449)-ROUNDDOWN($K450*CA$5/100,0)&lt;-CA$6,-CA$6-SUM(CA$10:CA449),-ROUNDDOWN($K450*CA$5/100,0)),0)</f>
        <v>0</v>
      </c>
      <c r="CB450" s="38"/>
      <c r="CC450" s="38"/>
      <c r="CD450" s="38"/>
      <c r="CE450" s="38"/>
      <c r="CF450" s="38"/>
      <c r="CG450" s="65">
        <f t="shared" si="291"/>
        <v>0</v>
      </c>
      <c r="CH450" s="71">
        <f t="shared" si="292"/>
        <v>0</v>
      </c>
      <c r="CI450" s="1">
        <f t="shared" si="308"/>
        <v>0</v>
      </c>
      <c r="CJ450" s="1"/>
      <c r="CK450" s="75"/>
      <c r="CL450" s="75"/>
      <c r="CM450" s="2"/>
      <c r="CN450" s="2"/>
      <c r="CO450" s="73">
        <f t="shared" si="309"/>
        <v>0</v>
      </c>
      <c r="CP450" s="5">
        <f t="shared" si="310"/>
        <v>0</v>
      </c>
      <c r="CQ450" s="1"/>
      <c r="CR450" s="1">
        <f t="shared" si="311"/>
        <v>0</v>
      </c>
      <c r="CS450" s="1"/>
      <c r="CT450" s="1" t="e">
        <f>INDEX([2]マスタ!$A:$A,MATCH(D450,[2]マスタ!$C:$C,0))</f>
        <v>#N/A</v>
      </c>
      <c r="CU450" s="1" t="str">
        <f t="shared" ca="1" si="312"/>
        <v>20260620_0-0</v>
      </c>
    </row>
    <row r="451" spans="1:99" x14ac:dyDescent="0.4">
      <c r="A451" s="61"/>
      <c r="B451" s="62"/>
      <c r="C451" s="62"/>
      <c r="D451" s="62"/>
      <c r="E451" s="74"/>
      <c r="F451" s="62"/>
      <c r="G451" s="62">
        <v>1</v>
      </c>
      <c r="H451" s="64">
        <f t="shared" si="302"/>
        <v>0</v>
      </c>
      <c r="I451" s="64"/>
      <c r="J451" s="64"/>
      <c r="K451" s="65">
        <f t="shared" si="313"/>
        <v>0</v>
      </c>
      <c r="L451" s="65">
        <f t="shared" si="304"/>
        <v>0</v>
      </c>
      <c r="M451" s="65">
        <f t="shared" si="305"/>
        <v>0</v>
      </c>
      <c r="N451" s="65">
        <f t="shared" si="306"/>
        <v>0</v>
      </c>
      <c r="O451" s="66" t="str">
        <f t="shared" si="9"/>
        <v>✕</v>
      </c>
      <c r="P451" s="67" t="str">
        <f t="shared" si="10"/>
        <v>○</v>
      </c>
      <c r="Q451" s="67" t="str">
        <f t="shared" si="314"/>
        <v>✕</v>
      </c>
      <c r="R451" s="67" t="str">
        <f t="shared" si="12"/>
        <v>✕</v>
      </c>
      <c r="S451" s="68">
        <v>0</v>
      </c>
      <c r="T451" s="69" t="s">
        <v>85</v>
      </c>
      <c r="U451" s="69" t="s">
        <v>85</v>
      </c>
      <c r="V451" s="69" t="s">
        <v>85</v>
      </c>
      <c r="W451" s="69" t="s">
        <v>85</v>
      </c>
      <c r="X451" s="69" t="s">
        <v>84</v>
      </c>
      <c r="Y451" s="69" t="s">
        <v>85</v>
      </c>
      <c r="Z451" s="69" t="s">
        <v>85</v>
      </c>
      <c r="AA451" s="69" t="s">
        <v>85</v>
      </c>
      <c r="AB451" s="69" t="s">
        <v>85</v>
      </c>
      <c r="AC451" s="69" t="s">
        <v>85</v>
      </c>
      <c r="AD451" s="38" t="str">
        <f>+IF(ISERROR(VLOOKUP($B451,AD$10:AD450,1,0)),IF(AND($N451&gt;=1000,$A451&gt;=AO$8,$A451&lt;=AO$9),$B451,""),"")</f>
        <v/>
      </c>
      <c r="AE451" s="38" t="str">
        <f>+IF(ISERROR(VLOOKUP($B451,AE$10:AE450,1,0)),IF(AND($N451&gt;=1000,$A451&gt;=AP$8,$A451&lt;=AP$9),$B451,""),"")</f>
        <v/>
      </c>
      <c r="AF451" s="38" t="str">
        <f>+IF(ISERROR(VLOOKUP($B451,AF$10:AF450,1,0)),IF(AND($N451&gt;=1000,$A451&gt;=AQ$8,$A451&lt;=AQ$9),$B451,""),"")</f>
        <v/>
      </c>
      <c r="AG451" s="38" t="str">
        <f>+IF(ISERROR(VLOOKUP($B451,AG$10:AG450,1,0)),IF(AND($N451&gt;=1000,$A451&gt;=AR$8,$A451&lt;=AR$9),$B451,""),"")</f>
        <v/>
      </c>
      <c r="AH451" s="38"/>
      <c r="AI451" s="70">
        <v>0</v>
      </c>
      <c r="AJ451" s="38">
        <f>IF(AND(AJ$7="○",$A451&gt;=AJ$8,$A451&lt;=AJ$9),IF(SUM(AJ$10:AJ450)-ROUNDDOWN($K451*AJ$5/100,0)&lt;-AJ$6,-AJ$6-SUM(AJ$10:AJ450),-ROUNDDOWN($K451*AJ$5/100,0)),0)</f>
        <v>0</v>
      </c>
      <c r="AK451" s="38">
        <f>IF(AND(AK$7="○",$A451&gt;=AK$8,$A451&lt;=AK$9),IF(SUM(AK$10:AK450)-ROUNDDOWN($L451*AK$5/100,0)&lt;-AK$6,-AK$6-SUM(AK$10:AK450),-ROUNDDOWN($L451*AK$5/100,0)),0)</f>
        <v>0</v>
      </c>
      <c r="AL451" s="38">
        <f>IF(AND(AL$7="○",$A451&gt;=AL$8,$A451&lt;=AL$9),IF(SUM(AL$10:AL450)-ROUNDDOWN($N451*AL$5/100,0)&lt;-AL$6,-AL$6-SUM(AL$10:AL450),-ROUNDDOWN($N451*AL$5/100,0)),0)</f>
        <v>0</v>
      </c>
      <c r="AM451" s="38">
        <f>IF(AND(AM$7="○",$A451&gt;=AM$8,$A451&lt;=AM$9),IF(SUM(AM$10:AM450)-ROUNDDOWN($L451*AM$5/100,0)&lt;-AM$6,-AM$6-SUM(AM$10:AM450),-ROUNDDOWN($L451*AM$5/100,0)),0)</f>
        <v>0</v>
      </c>
      <c r="AN451" s="38">
        <f>IF(AND(AN$7="○",$A451&gt;=AN$8,$A451&lt;=AN$9),IF(SUM(AN$10:AN450)-ROUNDDOWN($M451*AN$5/100,0)&lt;-AN$6,-AN$6-SUM(AN$10:AN450),-ROUNDDOWN($M451*AN$5/100,0)),0)</f>
        <v>0</v>
      </c>
      <c r="AO451" s="38">
        <f>IF(AND($A451&gt;=AO$8,$A451&lt;=AO$9),IF(SUM(AO$10:AO450)-ROUNDDOWN($K451*AO$5/100,0)&lt;-AO$6,-AO$6-SUM(AO$10:AO450),-ROUNDDOWN($K451*AO$5/100,0)),0)</f>
        <v>0</v>
      </c>
      <c r="AP451" s="38">
        <f>IF(AND($A451&gt;=AP$8,$A451&lt;=AP$9),IF(SUM(AP$10:AP450)-ROUNDDOWN($K451*AP$5/100,0)&lt;-AP$6,-AP$6-SUM(AP$10:AP450),-ROUNDDOWN($K451*AP$5/100,0)),0)</f>
        <v>0</v>
      </c>
      <c r="AQ451" s="38">
        <f>IF(AND($A451&gt;=AQ$8,$A451&lt;=AQ$9),IF(SUM(AQ$10:AQ450)-ROUNDDOWN($K451*AQ$5/100,0)&lt;-AQ$6,-AQ$6-SUM(AQ$10:AQ450),-ROUNDDOWN($K451*AQ$5/100,0)),0)</f>
        <v>0</v>
      </c>
      <c r="AR451" s="38">
        <f>IF(AND($A451&gt;=AR$8,$A451&lt;=AR$9),IF(SUM(AR$10:AR450)-ROUNDDOWN($K451*AR$5/100,0)&lt;-AR$6,-AR$6-SUM(AR$10:AR450),-ROUNDDOWN($K451*AR$5/100,0)),0)</f>
        <v>0</v>
      </c>
      <c r="AS451" s="38">
        <f>IF(SUMIFS(AS$10:AS450,$A$10:$A450,$A451)-ROUNDDOWN($K451*$S451/100,0)&lt;-$S451*1000,-$S451*1000-SUMIFS(AS$10:AS450,$A$10:$A450,$A451),-ROUNDDOWN($K451*$S451/100,0))</f>
        <v>0</v>
      </c>
      <c r="AT451" s="38">
        <f>IF(AND(X451="○",$A451&gt;=AT$8,$A451&lt;=AT$9,K451&gt;=3980),IF(SUM(AT$10:AT450)-ROUNDDOWN($K451*AT$5/100,0)&lt;-AT$6,-AT$6-SUM(AT$10:AT450),-ROUNDDOWN($K451*AT$5/100,0)),0)</f>
        <v>0</v>
      </c>
      <c r="AU451" s="38">
        <f>IF(O451="○",IF(SUM(AU$10:AU450)-ROUNDDOWN($K451*AU$5/100,0)&lt;-AU$6,-AU$6-SUM(AU$10:AU450),-ROUNDDOWN($K451*AU$5/100,0)),0)</f>
        <v>0</v>
      </c>
      <c r="AV451" s="38">
        <f>IF(P451="○",IF(SUM(AV$10:AV450)-ROUNDDOWN($K451*AV$5/100,0)&lt;-AV$6,-AV$6-SUM(AV$10:AV450),-ROUNDDOWN($K451*AV$5/100,0)),0)</f>
        <v>0</v>
      </c>
      <c r="AW451" s="38">
        <f>IF(Q451="○",IF(SUM(AW$10:AW450)-ROUNDDOWN($K451*AW$5/100,0)&lt;-AW$6,-AW$6-SUM(AW$10:AW450),-ROUNDDOWN($K451*AW$5/100,0)),0)</f>
        <v>0</v>
      </c>
      <c r="AX451" s="38">
        <f>IF(R451="○",IF(SUM(AX$10:AX450)-ROUNDDOWN($K451*AX$5/100,0)&lt;-AX$6,-AX$6-SUM(AX$10:AX450),-ROUNDDOWN($K451*AX$5/100,0)),0)</f>
        <v>0</v>
      </c>
      <c r="AY451" s="70">
        <v>0</v>
      </c>
      <c r="AZ451" s="65">
        <f t="shared" si="285"/>
        <v>0</v>
      </c>
      <c r="BA451" s="65">
        <f t="shared" si="286"/>
        <v>0</v>
      </c>
      <c r="BB451" s="70"/>
      <c r="BC451" s="65">
        <f t="shared" si="287"/>
        <v>0</v>
      </c>
      <c r="BD451" s="70">
        <v>0</v>
      </c>
      <c r="BE451" s="65">
        <f t="shared" si="288"/>
        <v>0</v>
      </c>
      <c r="BF451" s="70">
        <v>0</v>
      </c>
      <c r="BG451" s="65">
        <f t="shared" si="289"/>
        <v>0</v>
      </c>
      <c r="BH451" s="70">
        <v>0</v>
      </c>
      <c r="BI451" s="65">
        <f t="shared" si="290"/>
        <v>0</v>
      </c>
      <c r="BJ451" s="38">
        <f>IF(AND(BJ$7="○",$A451&gt;=BJ$8,$A451&lt;=BJ$9),IF(SUM(BJ$10:BJ450)-ROUNDDOWN($M451*BJ$5/100,0)&lt;-BJ$6,-BJ$6-SUM(BJ$10:BJ450),-ROUNDDOWN($M451*BJ$5/100,0)),0)</f>
        <v>0</v>
      </c>
      <c r="BK451" s="38">
        <f>IF(AND(BK$7="○",$A451&gt;=BK$8,$A451&lt;=BK$9),IF(SUM(BK$10:BK450)-ROUNDDOWN($L451*BK$5/100,0)&lt;-BK$6,-BK$6-SUM(BK$10:BK450),-ROUNDDOWN($L451*BK$5/100,0)),0)</f>
        <v>0</v>
      </c>
      <c r="BL451" s="38">
        <f>IF(AND(BL$7="○",$A451&gt;=BL$8,$A451&lt;=BL$9),IF(SUM(BL$10:BL450)-ROUNDDOWN($L451*BL$5/100,0)&lt;-BL$6,-BL$6-SUM(BL$10:BL450),-ROUNDDOWN($L451*BL$5/100,0)),0)</f>
        <v>0</v>
      </c>
      <c r="BM451" s="38">
        <f>IF(AND(BM$7="○",$A451&gt;=BM$8,$A451&lt;=BM$9),IF(SUM(BM$10:BM450)-ROUNDDOWN($M451*BM$5/100,0)&lt;-BM$6,-BM$6-SUM(BM$10:BM450),-ROUNDDOWN($M451*BM$5/100,0)),0)</f>
        <v>0</v>
      </c>
      <c r="BN451" s="38">
        <f>IF(AND(BN$7="○",$A451&gt;=BN$8,$A451&lt;=BN$9),IF(SUM(BN$10:BN450)-ROUNDDOWN($M451*BN$5/100,0)&lt;-BN$6,-BN$6-SUM(BN$10:BN450),-ROUNDDOWN($M451*BN$5/100,0)),0)</f>
        <v>0</v>
      </c>
      <c r="BO451" s="38">
        <f>IF(AND(BO$7="○",$A451&gt;=BO$8,$A451&lt;=BO$9),IF(SUM(BO$10:BO450)-ROUNDDOWN($M451*BO$5/100,0)&lt;-BO$6,-BO$6-SUM(BO$10:BO450),-ROUNDDOWN($M451*BO$5/100,0)),0)</f>
        <v>0</v>
      </c>
      <c r="BP451" s="38">
        <f>IF(AND(BP$7="○",$A451&gt;=BP$8,$A451&lt;=BP$9),IF(SUM(BP$10:BP450)-ROUNDDOWN($M451*BP$5/100,0)&lt;-BP$6,-BP$6-SUM(BP$10:BP450),-ROUNDDOWN($M451*BP$5/100,0)),0)</f>
        <v>0</v>
      </c>
      <c r="BQ451" s="38">
        <f>IF(AND(BQ$7="○",$A451&gt;=BQ$8,$A451&lt;=BQ$9),IF(SUM(BQ$10:BQ450)-ROUNDDOWN($L451*BQ$5/100,0)&lt;-BQ$6,-BQ$6-SUM(BQ$10:BQ450),-ROUNDDOWN($L451*BQ$5/100,0)),0)</f>
        <v>0</v>
      </c>
      <c r="BR451" s="38">
        <f>IF(AND(BR$7="○",$A451&gt;=BR$8,$A451&lt;=BR$9),IF(SUM(BR$10:BR450)-ROUNDDOWN($M451*BR$5/100,0)&lt;-BR$6,-BR$6-SUM(BR$10:BR450),-ROUNDDOWN($M451*BR$5/100,0)),0)</f>
        <v>0</v>
      </c>
      <c r="BS451" s="38">
        <f>IF(AND(BS$7="○",$A451&gt;=BS$8,$A451&lt;=BS$9),IF(SUM(BS$10:BS450)-ROUNDDOWN($M451*BS$5/100,0)&lt;-BS$6,-BS$6-SUM(BS$10:BS450),-ROUNDDOWN($M451*BS$5/100,0)),0)</f>
        <v>0</v>
      </c>
      <c r="BT451" s="38">
        <f>IF(AND(BT$7="○",$A451&gt;=BT$8,$A451&lt;=BT$9),IF(SUM(BT$10:BT450)-ROUNDDOWN($M451*BT$5/100,0)&lt;-BT$6,-BT$6-SUM(BT$10:BT450),-ROUNDDOWN($M451*BT$5/100,0)),0)</f>
        <v>0</v>
      </c>
      <c r="BU451" s="38">
        <f>IF(AND(BU$7="○",$A451&gt;=BU$8,$A451&lt;=BU$9),IF(SUM(BU$10:BU450)-ROUNDDOWN($M451*BU$5/100,0)&lt;-BU$6,-BU$6-SUM(BU$10:BU450),-ROUNDDOWN($M451*BU$5/100,0)),0)</f>
        <v>0</v>
      </c>
      <c r="BV451" s="38">
        <f>IF(AND(BV$7="○",$A451&gt;=BV$8,$A451&lt;=BV$9),IF(SUM(BV$10:BV450)-ROUNDDOWN($M451*BV$5/100,0)&lt;-BV$6,-BV$6-SUM(BV$10:BV450),-ROUNDDOWN($M451*BV$5/100,0)),0)</f>
        <v>0</v>
      </c>
      <c r="BW451" s="38">
        <f>IF(AND(BW$7="○",$A451&gt;=BW$8,$A451&lt;=BW$9),IF(SUM(BW$10:BW450)-ROUNDDOWN($M451*BW$5/100,0)&lt;-BW$6,-BW$6-SUM(BW$10:BW450),-ROUNDDOWN($M451*BW$5/100,0)),0)</f>
        <v>0</v>
      </c>
      <c r="BX451" s="38">
        <f>IF(AND(T451="○",$A451&gt;=BX$8,$A451&lt;=BX$9),IF(SUM(BX$10:BX450)-ROUNDDOWN($K451*BX$5/100,0)&lt;-BX$6,-BX$6-SUM(BX$10:BX450),-ROUNDDOWN($K451*BX$5/100,0)),0)</f>
        <v>0</v>
      </c>
      <c r="BY451" s="38">
        <f>IF(AND(U451="○",$A451&gt;=BY$8,$A451&lt;=BY$9),IF(SUM(BY$10:BY450)-ROUNDDOWN($K451*BY$5/100,0)&lt;-BY$6,-BY$6-SUM(BY$10:BY450),-ROUNDDOWN($K451*BY$5/100,0)),0)</f>
        <v>0</v>
      </c>
      <c r="BZ451" s="38">
        <f>IF(AND(V451="○",$A451&gt;=BZ$8,$A451&lt;=BZ$9),IF(SUM(BZ$10:BZ450)-ROUNDDOWN($K451*BZ$5/100,0)&lt;-BZ$6,-BZ$6-SUM(BZ$10:BZ450),-ROUNDDOWN($K451*BZ$5/100,0)),0)</f>
        <v>0</v>
      </c>
      <c r="CA451" s="38">
        <f>IF(AND(W451="○",$A451&gt;=CA$8,$A451&lt;=CA$9),IF(SUM(CA$10:CA450)-ROUNDDOWN($K451*CA$5/100,0)&lt;-CA$6,-CA$6-SUM(CA$10:CA450),-ROUNDDOWN($K451*CA$5/100,0)),0)</f>
        <v>0</v>
      </c>
      <c r="CB451" s="38"/>
      <c r="CC451" s="38"/>
      <c r="CD451" s="38"/>
      <c r="CE451" s="38"/>
      <c r="CF451" s="38"/>
      <c r="CG451" s="65">
        <f t="shared" si="291"/>
        <v>0</v>
      </c>
      <c r="CH451" s="71">
        <f t="shared" si="292"/>
        <v>0</v>
      </c>
      <c r="CI451" s="1">
        <f t="shared" si="308"/>
        <v>0</v>
      </c>
      <c r="CJ451" s="1"/>
      <c r="CK451" s="75"/>
      <c r="CL451" s="75"/>
      <c r="CM451" s="2"/>
      <c r="CN451" s="2"/>
      <c r="CO451" s="73">
        <f t="shared" si="309"/>
        <v>0</v>
      </c>
      <c r="CP451" s="5">
        <f t="shared" si="310"/>
        <v>0</v>
      </c>
      <c r="CQ451" s="1"/>
      <c r="CR451" s="1">
        <f t="shared" si="311"/>
        <v>0</v>
      </c>
      <c r="CS451" s="1"/>
      <c r="CT451" s="1" t="e">
        <f>INDEX([2]マスタ!$A:$A,MATCH(D451,[2]マスタ!$C:$C,0))</f>
        <v>#N/A</v>
      </c>
      <c r="CU451" s="1" t="str">
        <f t="shared" ca="1" si="312"/>
        <v>20260620_0-0</v>
      </c>
    </row>
    <row r="452" spans="1:99" x14ac:dyDescent="0.4">
      <c r="A452" s="61"/>
      <c r="B452" s="62"/>
      <c r="C452" s="62"/>
      <c r="D452" s="62"/>
      <c r="E452" s="74"/>
      <c r="F452" s="62"/>
      <c r="G452" s="62">
        <v>1</v>
      </c>
      <c r="H452" s="64">
        <f t="shared" si="302"/>
        <v>0</v>
      </c>
      <c r="I452" s="64"/>
      <c r="J452" s="64"/>
      <c r="K452" s="65">
        <f>+ROUNDDOWN((H452+I452)/100,0)*100</f>
        <v>0</v>
      </c>
      <c r="L452" s="65">
        <f t="shared" si="304"/>
        <v>0</v>
      </c>
      <c r="M452" s="65">
        <f t="shared" si="305"/>
        <v>0</v>
      </c>
      <c r="N452" s="65">
        <f t="shared" si="306"/>
        <v>0</v>
      </c>
      <c r="O452" s="66" t="str">
        <f t="shared" si="9"/>
        <v>✕</v>
      </c>
      <c r="P452" s="67" t="str">
        <f t="shared" si="10"/>
        <v>○</v>
      </c>
      <c r="Q452" s="67" t="str">
        <f>+IF((TEXT($A452,"DD")+0)=1,"○","✕")</f>
        <v>✕</v>
      </c>
      <c r="R452" s="67" t="str">
        <f t="shared" si="12"/>
        <v>✕</v>
      </c>
      <c r="S452" s="68">
        <v>0</v>
      </c>
      <c r="T452" s="69" t="s">
        <v>85</v>
      </c>
      <c r="U452" s="69" t="s">
        <v>85</v>
      </c>
      <c r="V452" s="69" t="s">
        <v>85</v>
      </c>
      <c r="W452" s="69" t="s">
        <v>85</v>
      </c>
      <c r="X452" s="69" t="s">
        <v>84</v>
      </c>
      <c r="Y452" s="69" t="s">
        <v>85</v>
      </c>
      <c r="Z452" s="69" t="s">
        <v>85</v>
      </c>
      <c r="AA452" s="69" t="s">
        <v>85</v>
      </c>
      <c r="AB452" s="69" t="s">
        <v>85</v>
      </c>
      <c r="AC452" s="69" t="s">
        <v>85</v>
      </c>
      <c r="AD452" s="38" t="str">
        <f>+IF(ISERROR(VLOOKUP($B452,AD$10:AD451,1,0)),IF(AND($N452&gt;=1000,$A452&gt;=AO$8,$A452&lt;=AO$9),$B452,""),"")</f>
        <v/>
      </c>
      <c r="AE452" s="38" t="str">
        <f>+IF(ISERROR(VLOOKUP($B452,AE$10:AE451,1,0)),IF(AND($N452&gt;=1000,$A452&gt;=AP$8,$A452&lt;=AP$9),$B452,""),"")</f>
        <v/>
      </c>
      <c r="AF452" s="38" t="str">
        <f>+IF(ISERROR(VLOOKUP($B452,AF$10:AF451,1,0)),IF(AND($N452&gt;=1000,$A452&gt;=AQ$8,$A452&lt;=AQ$9),$B452,""),"")</f>
        <v/>
      </c>
      <c r="AG452" s="38" t="str">
        <f>+IF(ISERROR(VLOOKUP($B452,AG$10:AG451,1,0)),IF(AND($N452&gt;=1000,$A452&gt;=AR$8,$A452&lt;=AR$9),$B452,""),"")</f>
        <v/>
      </c>
      <c r="AH452" s="38"/>
      <c r="AI452" s="70">
        <v>0</v>
      </c>
      <c r="AJ452" s="38">
        <f>IF(AND(AJ$7="○",$A452&gt;=AJ$8,$A452&lt;=AJ$9),IF(SUM(AJ$10:AJ451)-ROUNDDOWN($K452*AJ$5/100,0)&lt;-AJ$6,-AJ$6-SUM(AJ$10:AJ451),-ROUNDDOWN($K452*AJ$5/100,0)),0)</f>
        <v>0</v>
      </c>
      <c r="AK452" s="38">
        <f>IF(AND(AK$7="○",$A452&gt;=AK$8,$A452&lt;=AK$9),IF(SUM(AK$10:AK451)-ROUNDDOWN($L452*AK$5/100,0)&lt;-AK$6,-AK$6-SUM(AK$10:AK451),-ROUNDDOWN($L452*AK$5/100,0)),0)</f>
        <v>0</v>
      </c>
      <c r="AL452" s="38">
        <f>IF(AND(AL$7="○",$A452&gt;=AL$8,$A452&lt;=AL$9),IF(SUM(AL$10:AL451)-ROUNDDOWN($N452*AL$5/100,0)&lt;-AL$6,-AL$6-SUM(AL$10:AL451),-ROUNDDOWN($N452*AL$5/100,0)),0)</f>
        <v>0</v>
      </c>
      <c r="AM452" s="38">
        <f>IF(AND(AM$7="○",$A452&gt;=AM$8,$A452&lt;=AM$9),IF(SUM(AM$10:AM451)-ROUNDDOWN($L452*AM$5/100,0)&lt;-AM$6,-AM$6-SUM(AM$10:AM451),-ROUNDDOWN($L452*AM$5/100,0)),0)</f>
        <v>0</v>
      </c>
      <c r="AN452" s="38">
        <f>IF(AND(AN$7="○",$A452&gt;=AN$8,$A452&lt;=AN$9),IF(SUM(AN$10:AN451)-ROUNDDOWN($M452*AN$5/100,0)&lt;-AN$6,-AN$6-SUM(AN$10:AN451),-ROUNDDOWN($M452*AN$5/100,0)),0)</f>
        <v>0</v>
      </c>
      <c r="AO452" s="38">
        <f>IF(AND($A452&gt;=AO$8,$A452&lt;=AO$9),IF(SUM(AO$10:AO451)-ROUNDDOWN($K452*AO$5/100,0)&lt;-AO$6,-AO$6-SUM(AO$10:AO451),-ROUNDDOWN($K452*AO$5/100,0)),0)</f>
        <v>0</v>
      </c>
      <c r="AP452" s="38">
        <f>IF(AND($A452&gt;=AP$8,$A452&lt;=AP$9),IF(SUM(AP$10:AP451)-ROUNDDOWN($K452*AP$5/100,0)&lt;-AP$6,-AP$6-SUM(AP$10:AP451),-ROUNDDOWN($K452*AP$5/100,0)),0)</f>
        <v>0</v>
      </c>
      <c r="AQ452" s="38">
        <f>IF(AND($A452&gt;=AQ$8,$A452&lt;=AQ$9),IF(SUM(AQ$10:AQ451)-ROUNDDOWN($K452*AQ$5/100,0)&lt;-AQ$6,-AQ$6-SUM(AQ$10:AQ451),-ROUNDDOWN($K452*AQ$5/100,0)),0)</f>
        <v>0</v>
      </c>
      <c r="AR452" s="38">
        <f>IF(AND($A452&gt;=AR$8,$A452&lt;=AR$9),IF(SUM(AR$10:AR451)-ROUNDDOWN($K452*AR$5/100,0)&lt;-AR$6,-AR$6-SUM(AR$10:AR451),-ROUNDDOWN($K452*AR$5/100,0)),0)</f>
        <v>0</v>
      </c>
      <c r="AS452" s="38">
        <f>IF(SUMIFS(AS$10:AS451,$A$10:$A451,$A452)-ROUNDDOWN($K452*$S452/100,0)&lt;-$S452*1000,-$S452*1000-SUMIFS(AS$10:AS451,$A$10:$A451,$A452),-ROUNDDOWN($K452*$S452/100,0))</f>
        <v>0</v>
      </c>
      <c r="AT452" s="38">
        <f>IF(AND(X452="○",$A452&gt;=AT$8,$A452&lt;=AT$9,K452&gt;=3980),IF(SUM(AT$10:AT451)-ROUNDDOWN($K452*AT$5/100,0)&lt;-AT$6,-AT$6-SUM(AT$10:AT451),-ROUNDDOWN($K452*AT$5/100,0)),0)</f>
        <v>0</v>
      </c>
      <c r="AU452" s="38">
        <f>IF(O452="○",IF(SUM(AU$10:AU451)-ROUNDDOWN($K452*AU$5/100,0)&lt;-AU$6,-AU$6-SUM(AU$10:AU451),-ROUNDDOWN($K452*AU$5/100,0)),0)</f>
        <v>0</v>
      </c>
      <c r="AV452" s="38">
        <f>IF(P452="○",IF(SUM(AV$10:AV451)-ROUNDDOWN($K452*AV$5/100,0)&lt;-AV$6,-AV$6-SUM(AV$10:AV451),-ROUNDDOWN($K452*AV$5/100,0)),0)</f>
        <v>0</v>
      </c>
      <c r="AW452" s="38">
        <f>IF(Q452="○",IF(SUM(AW$10:AW451)-ROUNDDOWN($K452*AW$5/100,0)&lt;-AW$6,-AW$6-SUM(AW$10:AW451),-ROUNDDOWN($K452*AW$5/100,0)),0)</f>
        <v>0</v>
      </c>
      <c r="AX452" s="38">
        <f>IF(R452="○",IF(SUM(AX$10:AX451)-ROUNDDOWN($K452*AX$5/100,0)&lt;-AX$6,-AX$6-SUM(AX$10:AX451),-ROUNDDOWN($K452*AX$5/100,0)),0)</f>
        <v>0</v>
      </c>
      <c r="AY452" s="70">
        <v>0</v>
      </c>
      <c r="AZ452" s="65">
        <f t="shared" si="285"/>
        <v>0</v>
      </c>
      <c r="BA452" s="65">
        <f t="shared" si="286"/>
        <v>0</v>
      </c>
      <c r="BB452" s="70"/>
      <c r="BC452" s="65">
        <f t="shared" si="287"/>
        <v>0</v>
      </c>
      <c r="BD452" s="70">
        <v>0</v>
      </c>
      <c r="BE452" s="65">
        <f t="shared" si="288"/>
        <v>0</v>
      </c>
      <c r="BF452" s="70">
        <v>0</v>
      </c>
      <c r="BG452" s="65">
        <f t="shared" si="289"/>
        <v>0</v>
      </c>
      <c r="BH452" s="70">
        <v>0</v>
      </c>
      <c r="BI452" s="65">
        <f t="shared" si="290"/>
        <v>0</v>
      </c>
      <c r="BJ452" s="38">
        <f>IF(AND(BJ$7="○",$A452&gt;=BJ$8,$A452&lt;=BJ$9),IF(SUM(BJ$10:BJ451)-ROUNDDOWN($M452*BJ$5/100,0)&lt;-BJ$6,-BJ$6-SUM(BJ$10:BJ451),-ROUNDDOWN($M452*BJ$5/100,0)),0)</f>
        <v>0</v>
      </c>
      <c r="BK452" s="38">
        <f>IF(AND(BK$7="○",$A452&gt;=BK$8,$A452&lt;=BK$9),IF(SUM(BK$10:BK451)-ROUNDDOWN($L452*BK$5/100,0)&lt;-BK$6,-BK$6-SUM(BK$10:BK451),-ROUNDDOWN($L452*BK$5/100,0)),0)</f>
        <v>0</v>
      </c>
      <c r="BL452" s="38">
        <f>IF(AND(BL$7="○",$A452&gt;=BL$8,$A452&lt;=BL$9),IF(SUM(BL$10:BL451)-ROUNDDOWN($L452*BL$5/100,0)&lt;-BL$6,-BL$6-SUM(BL$10:BL451),-ROUNDDOWN($L452*BL$5/100,0)),0)</f>
        <v>0</v>
      </c>
      <c r="BM452" s="38">
        <f>IF(AND(BM$7="○",$A452&gt;=BM$8,$A452&lt;=BM$9),IF(SUM(BM$10:BM451)-ROUNDDOWN($M452*BM$5/100,0)&lt;-BM$6,-BM$6-SUM(BM$10:BM451),-ROUNDDOWN($M452*BM$5/100,0)),0)</f>
        <v>0</v>
      </c>
      <c r="BN452" s="38">
        <f>IF(AND(BN$7="○",$A452&gt;=BN$8,$A452&lt;=BN$9),IF(SUM(BN$10:BN451)-ROUNDDOWN($M452*BN$5/100,0)&lt;-BN$6,-BN$6-SUM(BN$10:BN451),-ROUNDDOWN($M452*BN$5/100,0)),0)</f>
        <v>0</v>
      </c>
      <c r="BO452" s="38">
        <f>IF(AND(BO$7="○",$A452&gt;=BO$8,$A452&lt;=BO$9),IF(SUM(BO$10:BO451)-ROUNDDOWN($M452*BO$5/100,0)&lt;-BO$6,-BO$6-SUM(BO$10:BO451),-ROUNDDOWN($M452*BO$5/100,0)),0)</f>
        <v>0</v>
      </c>
      <c r="BP452" s="38">
        <f>IF(AND(BP$7="○",$A452&gt;=BP$8,$A452&lt;=BP$9),IF(SUM(BP$10:BP451)-ROUNDDOWN($M452*BP$5/100,0)&lt;-BP$6,-BP$6-SUM(BP$10:BP451),-ROUNDDOWN($M452*BP$5/100,0)),0)</f>
        <v>0</v>
      </c>
      <c r="BQ452" s="38">
        <f>IF(AND(BQ$7="○",$A452&gt;=BQ$8,$A452&lt;=BQ$9),IF(SUM(BQ$10:BQ451)-ROUNDDOWN($L452*BQ$5/100,0)&lt;-BQ$6,-BQ$6-SUM(BQ$10:BQ451),-ROUNDDOWN($L452*BQ$5/100,0)),0)</f>
        <v>0</v>
      </c>
      <c r="BR452" s="38">
        <f>IF(AND(BR$7="○",$A452&gt;=BR$8,$A452&lt;=BR$9),IF(SUM(BR$10:BR451)-ROUNDDOWN($M452*BR$5/100,0)&lt;-BR$6,-BR$6-SUM(BR$10:BR451),-ROUNDDOWN($M452*BR$5/100,0)),0)</f>
        <v>0</v>
      </c>
      <c r="BS452" s="38">
        <f>IF(AND(BS$7="○",$A452&gt;=BS$8,$A452&lt;=BS$9),IF(SUM(BS$10:BS451)-ROUNDDOWN($M452*BS$5/100,0)&lt;-BS$6,-BS$6-SUM(BS$10:BS451),-ROUNDDOWN($M452*BS$5/100,0)),0)</f>
        <v>0</v>
      </c>
      <c r="BT452" s="38">
        <f>IF(AND(BT$7="○",$A452&gt;=BT$8,$A452&lt;=BT$9),IF(SUM(BT$10:BT451)-ROUNDDOWN($M452*BT$5/100,0)&lt;-BT$6,-BT$6-SUM(BT$10:BT451),-ROUNDDOWN($M452*BT$5/100,0)),0)</f>
        <v>0</v>
      </c>
      <c r="BU452" s="38">
        <f>IF(AND(BU$7="○",$A452&gt;=BU$8,$A452&lt;=BU$9),IF(SUM(BU$10:BU451)-ROUNDDOWN($M452*BU$5/100,0)&lt;-BU$6,-BU$6-SUM(BU$10:BU451),-ROUNDDOWN($M452*BU$5/100,0)),0)</f>
        <v>0</v>
      </c>
      <c r="BV452" s="38">
        <f>IF(AND(BV$7="○",$A452&gt;=BV$8,$A452&lt;=BV$9),IF(SUM(BV$10:BV451)-ROUNDDOWN($M452*BV$5/100,0)&lt;-BV$6,-BV$6-SUM(BV$10:BV451),-ROUNDDOWN($M452*BV$5/100,0)),0)</f>
        <v>0</v>
      </c>
      <c r="BW452" s="38">
        <f>IF(AND(BW$7="○",$A452&gt;=BW$8,$A452&lt;=BW$9),IF(SUM(BW$10:BW451)-ROUNDDOWN($M452*BW$5/100,0)&lt;-BW$6,-BW$6-SUM(BW$10:BW451),-ROUNDDOWN($M452*BW$5/100,0)),0)</f>
        <v>0</v>
      </c>
      <c r="BX452" s="38">
        <f>IF(AND(T452="○",$A452&gt;=BX$8,$A452&lt;=BX$9),IF(SUM(BX$10:BX451)-ROUNDDOWN($K452*BX$5/100,0)&lt;-BX$6,-BX$6-SUM(BX$10:BX451),-ROUNDDOWN($K452*BX$5/100,0)),0)</f>
        <v>0</v>
      </c>
      <c r="BY452" s="38">
        <f>IF(AND(U452="○",$A452&gt;=BY$8,$A452&lt;=BY$9),IF(SUM(BY$10:BY451)-ROUNDDOWN($K452*BY$5/100,0)&lt;-BY$6,-BY$6-SUM(BY$10:BY451),-ROUNDDOWN($K452*BY$5/100,0)),0)</f>
        <v>0</v>
      </c>
      <c r="BZ452" s="38">
        <f>IF(AND(V452="○",$A452&gt;=BZ$8,$A452&lt;=BZ$9),IF(SUM(BZ$10:BZ451)-ROUNDDOWN($K452*BZ$5/100,0)&lt;-BZ$6,-BZ$6-SUM(BZ$10:BZ451),-ROUNDDOWN($K452*BZ$5/100,0)),0)</f>
        <v>0</v>
      </c>
      <c r="CA452" s="38">
        <f>IF(AND(W452="○",$A452&gt;=CA$8,$A452&lt;=CA$9),IF(SUM(CA$10:CA451)-ROUNDDOWN($K452*CA$5/100,0)&lt;-CA$6,-CA$6-SUM(CA$10:CA451),-ROUNDDOWN($K452*CA$5/100,0)),0)</f>
        <v>0</v>
      </c>
      <c r="CB452" s="38"/>
      <c r="CC452" s="38"/>
      <c r="CD452" s="38"/>
      <c r="CE452" s="38"/>
      <c r="CF452" s="38"/>
      <c r="CG452" s="65">
        <f t="shared" si="291"/>
        <v>0</v>
      </c>
      <c r="CH452" s="71">
        <f t="shared" si="292"/>
        <v>0</v>
      </c>
      <c r="CI452" s="1">
        <f t="shared" si="308"/>
        <v>0</v>
      </c>
      <c r="CJ452" s="1"/>
      <c r="CK452" s="75"/>
      <c r="CL452" s="75"/>
      <c r="CM452" s="2"/>
      <c r="CN452" s="2"/>
      <c r="CO452" s="73">
        <f t="shared" si="309"/>
        <v>0</v>
      </c>
      <c r="CP452" s="5">
        <f t="shared" si="310"/>
        <v>0</v>
      </c>
      <c r="CQ452" s="1"/>
      <c r="CR452" s="1">
        <f t="shared" si="311"/>
        <v>0</v>
      </c>
      <c r="CS452" s="1"/>
      <c r="CT452" s="1" t="e">
        <f>INDEX([2]マスタ!$A:$A,MATCH(D452,[2]マスタ!$C:$C,0))</f>
        <v>#N/A</v>
      </c>
      <c r="CU452" s="1" t="str">
        <f t="shared" ca="1" si="312"/>
        <v>20260620_0-0</v>
      </c>
    </row>
    <row r="453" spans="1:99" x14ac:dyDescent="0.4">
      <c r="A453" s="61"/>
      <c r="B453" s="62"/>
      <c r="C453" s="62"/>
      <c r="D453" s="62"/>
      <c r="E453" s="63"/>
      <c r="F453" s="62"/>
      <c r="G453" s="62">
        <v>1</v>
      </c>
      <c r="H453" s="64">
        <f t="shared" si="302"/>
        <v>0</v>
      </c>
      <c r="I453" s="64"/>
      <c r="J453" s="64"/>
      <c r="K453" s="65">
        <f>+ROUNDDOWN((H453+I453)/100,0)*100</f>
        <v>0</v>
      </c>
      <c r="L453" s="65">
        <f t="shared" si="304"/>
        <v>0</v>
      </c>
      <c r="M453" s="65">
        <f t="shared" si="305"/>
        <v>0</v>
      </c>
      <c r="N453" s="65">
        <f t="shared" si="306"/>
        <v>0</v>
      </c>
      <c r="O453" s="66" t="str">
        <f t="shared" si="9"/>
        <v>✕</v>
      </c>
      <c r="P453" s="67" t="str">
        <f t="shared" si="10"/>
        <v>○</v>
      </c>
      <c r="Q453" s="67" t="str">
        <f>+IF((TEXT($A453,"DD")+0)=1,"○","✕")</f>
        <v>✕</v>
      </c>
      <c r="R453" s="67" t="str">
        <f t="shared" si="12"/>
        <v>✕</v>
      </c>
      <c r="S453" s="68">
        <v>0</v>
      </c>
      <c r="T453" s="69" t="s">
        <v>85</v>
      </c>
      <c r="U453" s="69" t="s">
        <v>85</v>
      </c>
      <c r="V453" s="69" t="s">
        <v>85</v>
      </c>
      <c r="W453" s="69" t="s">
        <v>85</v>
      </c>
      <c r="X453" s="69" t="s">
        <v>84</v>
      </c>
      <c r="Y453" s="69" t="s">
        <v>85</v>
      </c>
      <c r="Z453" s="69" t="s">
        <v>85</v>
      </c>
      <c r="AA453" s="69" t="s">
        <v>85</v>
      </c>
      <c r="AB453" s="69" t="s">
        <v>85</v>
      </c>
      <c r="AC453" s="69" t="s">
        <v>85</v>
      </c>
      <c r="AD453" s="38" t="str">
        <f>+IF(ISERROR(VLOOKUP($B453,AD$10:AD452,1,0)),IF(AND($N453&gt;=1000,$A453&gt;=AO$8,$A453&lt;=AO$9),$B453,""),"")</f>
        <v/>
      </c>
      <c r="AE453" s="38" t="str">
        <f>+IF(ISERROR(VLOOKUP($B453,AE$10:AE452,1,0)),IF(AND($N453&gt;=1000,$A453&gt;=AP$8,$A453&lt;=AP$9),$B453,""),"")</f>
        <v/>
      </c>
      <c r="AF453" s="38" t="str">
        <f>+IF(ISERROR(VLOOKUP($B453,AF$10:AF452,1,0)),IF(AND($N453&gt;=1000,$A453&gt;=AQ$8,$A453&lt;=AQ$9),$B453,""),"")</f>
        <v/>
      </c>
      <c r="AG453" s="38" t="str">
        <f>+IF(ISERROR(VLOOKUP($B453,AG$10:AG452,1,0)),IF(AND($N453&gt;=1000,$A453&gt;=AR$8,$A453&lt;=AR$9),$B453,""),"")</f>
        <v/>
      </c>
      <c r="AH453" s="38"/>
      <c r="AI453" s="70">
        <v>0</v>
      </c>
      <c r="AJ453" s="38">
        <f>IF(AND(AJ$7="○",$A453&gt;=AJ$8,$A453&lt;=AJ$9),IF(SUM(AJ$10:AJ452)-ROUNDDOWN($K453*AJ$5/100,0)&lt;-AJ$6,-AJ$6-SUM(AJ$10:AJ452),-ROUNDDOWN($K453*AJ$5/100,0)),0)</f>
        <v>0</v>
      </c>
      <c r="AK453" s="38">
        <f>IF(AND(AK$7="○",$A453&gt;=AK$8,$A453&lt;=AK$9),IF(SUM(AK$10:AK452)-ROUNDDOWN($L453*AK$5/100,0)&lt;-AK$6,-AK$6-SUM(AK$10:AK452),-ROUNDDOWN($L453*AK$5/100,0)),0)</f>
        <v>0</v>
      </c>
      <c r="AL453" s="38">
        <f>IF(AND(AL$7="○",$A453&gt;=AL$8,$A453&lt;=AL$9),IF(SUM(AL$10:AL452)-ROUNDDOWN($N453*AL$5/100,0)&lt;-AL$6,-AL$6-SUM(AL$10:AL452),-ROUNDDOWN($N453*AL$5/100,0)),0)</f>
        <v>0</v>
      </c>
      <c r="AM453" s="38">
        <f>IF(AND(AM$7="○",$A453&gt;=AM$8,$A453&lt;=AM$9),IF(SUM(AM$10:AM452)-ROUNDDOWN($L453*AM$5/100,0)&lt;-AM$6,-AM$6-SUM(AM$10:AM452),-ROUNDDOWN($L453*AM$5/100,0)),0)</f>
        <v>0</v>
      </c>
      <c r="AN453" s="38">
        <f>IF(AND(AN$7="○",$A453&gt;=AN$8,$A453&lt;=AN$9),IF(SUM(AN$10:AN452)-ROUNDDOWN($M453*AN$5/100,0)&lt;-AN$6,-AN$6-SUM(AN$10:AN452),-ROUNDDOWN($M453*AN$5/100,0)),0)</f>
        <v>0</v>
      </c>
      <c r="AO453" s="38">
        <f>IF(AND($A453&gt;=AO$8,$A453&lt;=AO$9),IF(SUM(AO$10:AO452)-ROUNDDOWN($K453*AO$5/100,0)&lt;-AO$6,-AO$6-SUM(AO$10:AO452),-ROUNDDOWN($K453*AO$5/100,0)),0)</f>
        <v>0</v>
      </c>
      <c r="AP453" s="38">
        <f>IF(AND($A453&gt;=AP$8,$A453&lt;=AP$9),IF(SUM(AP$10:AP452)-ROUNDDOWN($K453*AP$5/100,0)&lt;-AP$6,-AP$6-SUM(AP$10:AP452),-ROUNDDOWN($K453*AP$5/100,0)),0)</f>
        <v>0</v>
      </c>
      <c r="AQ453" s="38">
        <f>IF(AND($A453&gt;=AQ$8,$A453&lt;=AQ$9),IF(SUM(AQ$10:AQ452)-ROUNDDOWN($K453*AQ$5/100,0)&lt;-AQ$6,-AQ$6-SUM(AQ$10:AQ452),-ROUNDDOWN($K453*AQ$5/100,0)),0)</f>
        <v>0</v>
      </c>
      <c r="AR453" s="38">
        <f>IF(AND($A453&gt;=AR$8,$A453&lt;=AR$9),IF(SUM(AR$10:AR452)-ROUNDDOWN($K453*AR$5/100,0)&lt;-AR$6,-AR$6-SUM(AR$10:AR452),-ROUNDDOWN($K453*AR$5/100,0)),0)</f>
        <v>0</v>
      </c>
      <c r="AS453" s="38">
        <f>IF(SUMIFS(AS$10:AS452,$A$10:$A452,$A453)-ROUNDDOWN($K453*$S453/100,0)&lt;-$S453*1000,-$S453*1000-SUMIFS(AS$10:AS452,$A$10:$A452,$A453),-ROUNDDOWN($K453*$S453/100,0))</f>
        <v>0</v>
      </c>
      <c r="AT453" s="38">
        <f>IF(AND(X453="○",$A453&gt;=AT$8,$A453&lt;=AT$9,K453&gt;=3980),IF(SUM(AT$10:AT452)-ROUNDDOWN($K453*AT$5/100,0)&lt;-AT$6,-AT$6-SUM(AT$10:AT452),-ROUNDDOWN($K453*AT$5/100,0)),0)</f>
        <v>0</v>
      </c>
      <c r="AU453" s="38">
        <f>IF(O453="○",IF(SUM(AU$10:AU452)-ROUNDDOWN($K453*AU$5/100,0)&lt;-AU$6,-AU$6-SUM(AU$10:AU452),-ROUNDDOWN($K453*AU$5/100,0)),0)</f>
        <v>0</v>
      </c>
      <c r="AV453" s="38">
        <f>IF(P453="○",IF(SUM(AV$10:AV452)-ROUNDDOWN($K453*AV$5/100,0)&lt;-AV$6,-AV$6-SUM(AV$10:AV452),-ROUNDDOWN($K453*AV$5/100,0)),0)</f>
        <v>0</v>
      </c>
      <c r="AW453" s="38">
        <f>IF(Q453="○",IF(SUM(AW$10:AW452)-ROUNDDOWN($K453*AW$5/100,0)&lt;-AW$6,-AW$6-SUM(AW$10:AW452),-ROUNDDOWN($K453*AW$5/100,0)),0)</f>
        <v>0</v>
      </c>
      <c r="AX453" s="38">
        <f>IF(R453="○",IF(SUM(AX$10:AX452)-ROUNDDOWN($K453*AX$5/100,0)&lt;-AX$6,-AX$6-SUM(AX$10:AX452),-ROUNDDOWN($K453*AX$5/100,0)),0)</f>
        <v>0</v>
      </c>
      <c r="AY453" s="70">
        <v>0</v>
      </c>
      <c r="AZ453" s="65">
        <f t="shared" si="285"/>
        <v>0</v>
      </c>
      <c r="BA453" s="65">
        <f t="shared" si="286"/>
        <v>0</v>
      </c>
      <c r="BB453" s="70"/>
      <c r="BC453" s="65">
        <f t="shared" si="287"/>
        <v>0</v>
      </c>
      <c r="BD453" s="70">
        <v>0</v>
      </c>
      <c r="BE453" s="65">
        <f t="shared" si="288"/>
        <v>0</v>
      </c>
      <c r="BF453" s="70">
        <v>0</v>
      </c>
      <c r="BG453" s="65">
        <f t="shared" si="289"/>
        <v>0</v>
      </c>
      <c r="BH453" s="70">
        <v>0</v>
      </c>
      <c r="BI453" s="65">
        <f t="shared" si="290"/>
        <v>0</v>
      </c>
      <c r="BJ453" s="38">
        <f>IF(AND(BJ$7="○",$A453&gt;=BJ$8,$A453&lt;=BJ$9),IF(SUM(BJ$10:BJ452)-ROUNDDOWN($M453*BJ$5/100,0)&lt;-BJ$6,-BJ$6-SUM(BJ$10:BJ452),-ROUNDDOWN($M453*BJ$5/100,0)),0)</f>
        <v>0</v>
      </c>
      <c r="BK453" s="38">
        <f>IF(AND(BK$7="○",$A453&gt;=BK$8,$A453&lt;=BK$9),IF(SUM(BK$10:BK452)-ROUNDDOWN($L453*BK$5/100,0)&lt;-BK$6,-BK$6-SUM(BK$10:BK452),-ROUNDDOWN($L453*BK$5/100,0)),0)</f>
        <v>0</v>
      </c>
      <c r="BL453" s="38">
        <f>IF(AND(BL$7="○",$A453&gt;=BL$8,$A453&lt;=BL$9),IF(SUM(BL$10:BL452)-ROUNDDOWN($L453*BL$5/100,0)&lt;-BL$6,-BL$6-SUM(BL$10:BL452),-ROUNDDOWN($L453*BL$5/100,0)),0)</f>
        <v>0</v>
      </c>
      <c r="BM453" s="38">
        <f>IF(AND(BM$7="○",$A453&gt;=BM$8,$A453&lt;=BM$9),IF(SUM(BM$10:BM452)-ROUNDDOWN($M453*BM$5/100,0)&lt;-BM$6,-BM$6-SUM(BM$10:BM452),-ROUNDDOWN($M453*BM$5/100,0)),0)</f>
        <v>0</v>
      </c>
      <c r="BN453" s="38">
        <f>IF(AND(BN$7="○",$A453&gt;=BN$8,$A453&lt;=BN$9),IF(SUM(BN$10:BN452)-ROUNDDOWN($M453*BN$5/100,0)&lt;-BN$6,-BN$6-SUM(BN$10:BN452),-ROUNDDOWN($M453*BN$5/100,0)),0)</f>
        <v>0</v>
      </c>
      <c r="BO453" s="38">
        <f>IF(AND(BO$7="○",$A453&gt;=BO$8,$A453&lt;=BO$9),IF(SUM(BO$10:BO452)-ROUNDDOWN($M453*BO$5/100,0)&lt;-BO$6,-BO$6-SUM(BO$10:BO452),-ROUNDDOWN($M453*BO$5/100,0)),0)</f>
        <v>0</v>
      </c>
      <c r="BP453" s="38">
        <f>IF(AND(BP$7="○",$A453&gt;=BP$8,$A453&lt;=BP$9),IF(SUM(BP$10:BP452)-ROUNDDOWN($M453*BP$5/100,0)&lt;-BP$6,-BP$6-SUM(BP$10:BP452),-ROUNDDOWN($M453*BP$5/100,0)),0)</f>
        <v>0</v>
      </c>
      <c r="BQ453" s="38">
        <f>IF(AND(BQ$7="○",$A453&gt;=BQ$8,$A453&lt;=BQ$9),IF(SUM(BQ$10:BQ452)-ROUNDDOWN($L453*BQ$5/100,0)&lt;-BQ$6,-BQ$6-SUM(BQ$10:BQ452),-ROUNDDOWN($L453*BQ$5/100,0)),0)</f>
        <v>0</v>
      </c>
      <c r="BR453" s="38">
        <f>IF(AND(BR$7="○",$A453&gt;=BR$8,$A453&lt;=BR$9),IF(SUM(BR$10:BR452)-ROUNDDOWN($M453*BR$5/100,0)&lt;-BR$6,-BR$6-SUM(BR$10:BR452),-ROUNDDOWN($M453*BR$5/100,0)),0)</f>
        <v>0</v>
      </c>
      <c r="BS453" s="38">
        <f>IF(AND(BS$7="○",$A453&gt;=BS$8,$A453&lt;=BS$9),IF(SUM(BS$10:BS452)-ROUNDDOWN($M453*BS$5/100,0)&lt;-BS$6,-BS$6-SUM(BS$10:BS452),-ROUNDDOWN($M453*BS$5/100,0)),0)</f>
        <v>0</v>
      </c>
      <c r="BT453" s="38">
        <f>IF(AND(BT$7="○",$A453&gt;=BT$8,$A453&lt;=BT$9),IF(SUM(BT$10:BT452)-ROUNDDOWN($M453*BT$5/100,0)&lt;-BT$6,-BT$6-SUM(BT$10:BT452),-ROUNDDOWN($M453*BT$5/100,0)),0)</f>
        <v>0</v>
      </c>
      <c r="BU453" s="38">
        <f>IF(AND(BU$7="○",$A453&gt;=BU$8,$A453&lt;=BU$9),IF(SUM(BU$10:BU452)-ROUNDDOWN($M453*BU$5/100,0)&lt;-BU$6,-BU$6-SUM(BU$10:BU452),-ROUNDDOWN($M453*BU$5/100,0)),0)</f>
        <v>0</v>
      </c>
      <c r="BV453" s="38">
        <f>IF(AND(BV$7="○",$A453&gt;=BV$8,$A453&lt;=BV$9),IF(SUM(BV$10:BV452)-ROUNDDOWN($M453*BV$5/100,0)&lt;-BV$6,-BV$6-SUM(BV$10:BV452),-ROUNDDOWN($M453*BV$5/100,0)),0)</f>
        <v>0</v>
      </c>
      <c r="BW453" s="38">
        <f>IF(AND(BW$7="○",$A453&gt;=BW$8,$A453&lt;=BW$9),IF(SUM(BW$10:BW452)-ROUNDDOWN($M453*BW$5/100,0)&lt;-BW$6,-BW$6-SUM(BW$10:BW452),-ROUNDDOWN($M453*BW$5/100,0)),0)</f>
        <v>0</v>
      </c>
      <c r="BX453" s="38">
        <f>IF(AND(T453="○",$A453&gt;=BX$8,$A453&lt;=BX$9),IF(SUM(BX$10:BX452)-ROUNDDOWN($K453*BX$5/100,0)&lt;-BX$6,-BX$6-SUM(BX$10:BX452),-ROUNDDOWN($K453*BX$5/100,0)),0)</f>
        <v>0</v>
      </c>
      <c r="BY453" s="38">
        <f>IF(AND(U453="○",$A453&gt;=BY$8,$A453&lt;=BY$9),IF(SUM(BY$10:BY452)-ROUNDDOWN($K453*BY$5/100,0)&lt;-BY$6,-BY$6-SUM(BY$10:BY452),-ROUNDDOWN($K453*BY$5/100,0)),0)</f>
        <v>0</v>
      </c>
      <c r="BZ453" s="38">
        <f>IF(AND(V453="○",$A453&gt;=BZ$8,$A453&lt;=BZ$9),IF(SUM(BZ$10:BZ452)-ROUNDDOWN($K453*BZ$5/100,0)&lt;-BZ$6,-BZ$6-SUM(BZ$10:BZ452),-ROUNDDOWN($K453*BZ$5/100,0)),0)</f>
        <v>0</v>
      </c>
      <c r="CA453" s="38">
        <f>IF(AND(W453="○",$A453&gt;=CA$8,$A453&lt;=CA$9),IF(SUM(CA$10:CA452)-ROUNDDOWN($K453*CA$5/100,0)&lt;-CA$6,-CA$6-SUM(CA$10:CA452),-ROUNDDOWN($K453*CA$5/100,0)),0)</f>
        <v>0</v>
      </c>
      <c r="CB453" s="38"/>
      <c r="CC453" s="38"/>
      <c r="CD453" s="38"/>
      <c r="CE453" s="38"/>
      <c r="CF453" s="38"/>
      <c r="CG453" s="65">
        <f t="shared" si="291"/>
        <v>0</v>
      </c>
      <c r="CH453" s="71">
        <f t="shared" si="292"/>
        <v>0</v>
      </c>
      <c r="CI453" s="1">
        <f t="shared" si="308"/>
        <v>0</v>
      </c>
      <c r="CJ453" s="1"/>
      <c r="CK453" s="72"/>
      <c r="CL453" s="72"/>
      <c r="CM453" s="2"/>
      <c r="CN453" s="2"/>
      <c r="CO453" s="73">
        <f t="shared" si="309"/>
        <v>0</v>
      </c>
      <c r="CP453" s="5">
        <f t="shared" si="310"/>
        <v>0</v>
      </c>
      <c r="CQ453" s="1"/>
      <c r="CR453" s="1">
        <f t="shared" si="311"/>
        <v>0</v>
      </c>
      <c r="CS453" s="1"/>
      <c r="CT453" s="1" t="e">
        <f>INDEX([2]マスタ!$A:$A,MATCH(D453,[2]マスタ!$C:$C,0))</f>
        <v>#N/A</v>
      </c>
      <c r="CU453" s="1" t="str">
        <f t="shared" ca="1" si="312"/>
        <v>20260620_0-0</v>
      </c>
    </row>
    <row r="454" spans="1:99" x14ac:dyDescent="0.4">
      <c r="A454" s="61"/>
      <c r="B454" s="62"/>
      <c r="C454" s="62"/>
      <c r="D454" s="62"/>
      <c r="E454" s="77"/>
      <c r="F454" s="62"/>
      <c r="G454" s="62">
        <v>1</v>
      </c>
      <c r="H454" s="64">
        <f t="shared" si="302"/>
        <v>0</v>
      </c>
      <c r="I454" s="64"/>
      <c r="J454" s="64"/>
      <c r="K454" s="65">
        <f>+ROUNDDOWN((H454+I454)/100,0)*100</f>
        <v>0</v>
      </c>
      <c r="L454" s="65">
        <f t="shared" si="304"/>
        <v>0</v>
      </c>
      <c r="M454" s="65">
        <f t="shared" si="305"/>
        <v>0</v>
      </c>
      <c r="N454" s="65">
        <f t="shared" si="306"/>
        <v>0</v>
      </c>
      <c r="O454" s="66" t="str">
        <f t="shared" si="9"/>
        <v>✕</v>
      </c>
      <c r="P454" s="67" t="str">
        <f t="shared" si="10"/>
        <v>○</v>
      </c>
      <c r="Q454" s="67" t="str">
        <f>+IF((TEXT($A454,"DD")+0)=1,"○","✕")</f>
        <v>✕</v>
      </c>
      <c r="R454" s="67" t="str">
        <f t="shared" si="12"/>
        <v>✕</v>
      </c>
      <c r="S454" s="68">
        <v>0</v>
      </c>
      <c r="T454" s="69" t="s">
        <v>85</v>
      </c>
      <c r="U454" s="69" t="s">
        <v>85</v>
      </c>
      <c r="V454" s="69" t="s">
        <v>85</v>
      </c>
      <c r="W454" s="69" t="s">
        <v>85</v>
      </c>
      <c r="X454" s="69" t="s">
        <v>84</v>
      </c>
      <c r="Y454" s="69" t="s">
        <v>85</v>
      </c>
      <c r="Z454" s="69" t="s">
        <v>85</v>
      </c>
      <c r="AA454" s="69" t="s">
        <v>85</v>
      </c>
      <c r="AB454" s="69" t="s">
        <v>85</v>
      </c>
      <c r="AC454" s="69" t="s">
        <v>85</v>
      </c>
      <c r="AD454" s="38" t="str">
        <f>+IF(ISERROR(VLOOKUP($B454,AD$10:AD453,1,0)),IF(AND($N454&gt;=1000,$A454&gt;=AO$8,$A454&lt;=AO$9),$B454,""),"")</f>
        <v/>
      </c>
      <c r="AE454" s="38" t="str">
        <f>+IF(ISERROR(VLOOKUP($B454,AE$10:AE453,1,0)),IF(AND($N454&gt;=1000,$A454&gt;=AP$8,$A454&lt;=AP$9),$B454,""),"")</f>
        <v/>
      </c>
      <c r="AF454" s="38" t="str">
        <f>+IF(ISERROR(VLOOKUP($B454,AF$10:AF453,1,0)),IF(AND($N454&gt;=1000,$A454&gt;=AQ$8,$A454&lt;=AQ$9),$B454,""),"")</f>
        <v/>
      </c>
      <c r="AG454" s="38" t="str">
        <f>+IF(ISERROR(VLOOKUP($B454,AG$10:AG453,1,0)),IF(AND($N454&gt;=1000,$A454&gt;=AR$8,$A454&lt;=AR$9),$B454,""),"")</f>
        <v/>
      </c>
      <c r="AH454" s="38"/>
      <c r="AI454" s="70">
        <v>0</v>
      </c>
      <c r="AJ454" s="38">
        <f>IF(AND(AJ$7="○",$A454&gt;=AJ$8,$A454&lt;=AJ$9),IF(SUM(AJ$10:AJ453)-ROUNDDOWN($K454*AJ$5/100,0)&lt;-AJ$6,-AJ$6-SUM(AJ$10:AJ453),-ROUNDDOWN($K454*AJ$5/100,0)),0)</f>
        <v>0</v>
      </c>
      <c r="AK454" s="38">
        <f>IF(AND(AK$7="○",$A454&gt;=AK$8,$A454&lt;=AK$9),IF(SUM(AK$10:AK453)-ROUNDDOWN($L454*AK$5/100,0)&lt;-AK$6,-AK$6-SUM(AK$10:AK453),-ROUNDDOWN($L454*AK$5/100,0)),0)</f>
        <v>0</v>
      </c>
      <c r="AL454" s="38">
        <f>IF(AND(AL$7="○",$A454&gt;=AL$8,$A454&lt;=AL$9),IF(SUM(AL$10:AL453)-ROUNDDOWN($N454*AL$5/100,0)&lt;-AL$6,-AL$6-SUM(AL$10:AL453),-ROUNDDOWN($N454*AL$5/100,0)),0)</f>
        <v>0</v>
      </c>
      <c r="AM454" s="38">
        <f>IF(AND(AM$7="○",$A454&gt;=AM$8,$A454&lt;=AM$9),IF(SUM(AM$10:AM453)-ROUNDDOWN($L454*AM$5/100,0)&lt;-AM$6,-AM$6-SUM(AM$10:AM453),-ROUNDDOWN($L454*AM$5/100,0)),0)</f>
        <v>0</v>
      </c>
      <c r="AN454" s="38">
        <f>IF(AND(AN$7="○",$A454&gt;=AN$8,$A454&lt;=AN$9),IF(SUM(AN$10:AN453)-ROUNDDOWN($M454*AN$5/100,0)&lt;-AN$6,-AN$6-SUM(AN$10:AN453),-ROUNDDOWN($M454*AN$5/100,0)),0)</f>
        <v>0</v>
      </c>
      <c r="AO454" s="38">
        <f>IF(AND($A454&gt;=AO$8,$A454&lt;=AO$9),IF(SUM(AO$10:AO453)-ROUNDDOWN($K454*AO$5/100,0)&lt;-AO$6,-AO$6-SUM(AO$10:AO453),-ROUNDDOWN($K454*AO$5/100,0)),0)</f>
        <v>0</v>
      </c>
      <c r="AP454" s="38">
        <f>IF(AND($A454&gt;=AP$8,$A454&lt;=AP$9),IF(SUM(AP$10:AP453)-ROUNDDOWN($K454*AP$5/100,0)&lt;-AP$6,-AP$6-SUM(AP$10:AP453),-ROUNDDOWN($K454*AP$5/100,0)),0)</f>
        <v>0</v>
      </c>
      <c r="AQ454" s="38">
        <f>IF(AND($A454&gt;=AQ$8,$A454&lt;=AQ$9),IF(SUM(AQ$10:AQ453)-ROUNDDOWN($K454*AQ$5/100,0)&lt;-AQ$6,-AQ$6-SUM(AQ$10:AQ453),-ROUNDDOWN($K454*AQ$5/100,0)),0)</f>
        <v>0</v>
      </c>
      <c r="AR454" s="38">
        <f>IF(AND($A454&gt;=AR$8,$A454&lt;=AR$9),IF(SUM(AR$10:AR453)-ROUNDDOWN($K454*AR$5/100,0)&lt;-AR$6,-AR$6-SUM(AR$10:AR453),-ROUNDDOWN($K454*AR$5/100,0)),0)</f>
        <v>0</v>
      </c>
      <c r="AS454" s="38">
        <f>IF(SUMIFS(AS$10:AS453,$A$10:$A453,$A454)-ROUNDDOWN($K454*$S454/100,0)&lt;-$S454*1000,-$S454*1000-SUMIFS(AS$10:AS453,$A$10:$A453,$A454),-ROUNDDOWN($K454*$S454/100,0))</f>
        <v>0</v>
      </c>
      <c r="AT454" s="38">
        <f>IF(AND(X454="○",$A454&gt;=AT$8,$A454&lt;=AT$9,K454&gt;=3980),IF(SUM(AT$10:AT453)-ROUNDDOWN($K454*AT$5/100,0)&lt;-AT$6,-AT$6-SUM(AT$10:AT453),-ROUNDDOWN($K454*AT$5/100,0)),0)</f>
        <v>0</v>
      </c>
      <c r="AU454" s="38">
        <f>IF(O454="○",IF(SUM(AU$10:AU453)-ROUNDDOWN($K454*AU$5/100,0)&lt;-AU$6,-AU$6-SUM(AU$10:AU453),-ROUNDDOWN($K454*AU$5/100,0)),0)</f>
        <v>0</v>
      </c>
      <c r="AV454" s="38">
        <f>IF(P454="○",IF(SUM(AV$10:AV453)-ROUNDDOWN($K454*AV$5/100,0)&lt;-AV$6,-AV$6-SUM(AV$10:AV453),-ROUNDDOWN($K454*AV$5/100,0)),0)</f>
        <v>0</v>
      </c>
      <c r="AW454" s="38">
        <f>IF(Q454="○",IF(SUM(AW$10:AW453)-ROUNDDOWN($K454*AW$5/100,0)&lt;-AW$6,-AW$6-SUM(AW$10:AW453),-ROUNDDOWN($K454*AW$5/100,0)),0)</f>
        <v>0</v>
      </c>
      <c r="AX454" s="38">
        <f>IF(R454="○",IF(SUM(AX$10:AX453)-ROUNDDOWN($K454*AX$5/100,0)&lt;-AX$6,-AX$6-SUM(AX$10:AX453),-ROUNDDOWN($K454*AX$5/100,0)),0)</f>
        <v>0</v>
      </c>
      <c r="AY454" s="70">
        <v>0</v>
      </c>
      <c r="AZ454" s="65">
        <f t="shared" si="285"/>
        <v>0</v>
      </c>
      <c r="BA454" s="65">
        <f t="shared" si="286"/>
        <v>0</v>
      </c>
      <c r="BB454" s="70"/>
      <c r="BC454" s="65">
        <f t="shared" si="287"/>
        <v>0</v>
      </c>
      <c r="BD454" s="70">
        <v>0</v>
      </c>
      <c r="BE454" s="65">
        <f t="shared" si="288"/>
        <v>0</v>
      </c>
      <c r="BF454" s="70">
        <v>0</v>
      </c>
      <c r="BG454" s="65">
        <f t="shared" si="289"/>
        <v>0</v>
      </c>
      <c r="BH454" s="70">
        <v>0</v>
      </c>
      <c r="BI454" s="65">
        <f t="shared" si="290"/>
        <v>0</v>
      </c>
      <c r="BJ454" s="38">
        <f>IF(AND(BJ$7="○",$A454&gt;=BJ$8,$A454&lt;=BJ$9),IF(SUM(BJ$10:BJ453)-ROUNDDOWN($M454*BJ$5/100,0)&lt;-BJ$6,-BJ$6-SUM(BJ$10:BJ453),-ROUNDDOWN($M454*BJ$5/100,0)),0)</f>
        <v>0</v>
      </c>
      <c r="BK454" s="38">
        <f>IF(AND(BK$7="○",$A454&gt;=BK$8,$A454&lt;=BK$9),IF(SUM(BK$10:BK453)-ROUNDDOWN($L454*BK$5/100,0)&lt;-BK$6,-BK$6-SUM(BK$10:BK453),-ROUNDDOWN($L454*BK$5/100,0)),0)</f>
        <v>0</v>
      </c>
      <c r="BL454" s="38">
        <f>IF(AND(BL$7="○",$A454&gt;=BL$8,$A454&lt;=BL$9),IF(SUM(BL$10:BL453)-ROUNDDOWN($L454*BL$5/100,0)&lt;-BL$6,-BL$6-SUM(BL$10:BL453),-ROUNDDOWN($L454*BL$5/100,0)),0)</f>
        <v>0</v>
      </c>
      <c r="BM454" s="38">
        <f>IF(AND(BM$7="○",$A454&gt;=BM$8,$A454&lt;=BM$9),IF(SUM(BM$10:BM453)-ROUNDDOWN($M454*BM$5/100,0)&lt;-BM$6,-BM$6-SUM(BM$10:BM453),-ROUNDDOWN($M454*BM$5/100,0)),0)</f>
        <v>0</v>
      </c>
      <c r="BN454" s="38">
        <f>IF(AND(BN$7="○",$A454&gt;=BN$8,$A454&lt;=BN$9),IF(SUM(BN$10:BN453)-ROUNDDOWN($M454*BN$5/100,0)&lt;-BN$6,-BN$6-SUM(BN$10:BN453),-ROUNDDOWN($M454*BN$5/100,0)),0)</f>
        <v>0</v>
      </c>
      <c r="BO454" s="38">
        <f>IF(AND(BO$7="○",$A454&gt;=BO$8,$A454&lt;=BO$9),IF(SUM(BO$10:BO453)-ROUNDDOWN($M454*BO$5/100,0)&lt;-BO$6,-BO$6-SUM(BO$10:BO453),-ROUNDDOWN($M454*BO$5/100,0)),0)</f>
        <v>0</v>
      </c>
      <c r="BP454" s="38">
        <f>IF(AND(BP$7="○",$A454&gt;=BP$8,$A454&lt;=BP$9),IF(SUM(BP$10:BP453)-ROUNDDOWN($M454*BP$5/100,0)&lt;-BP$6,-BP$6-SUM(BP$10:BP453),-ROUNDDOWN($M454*BP$5/100,0)),0)</f>
        <v>0</v>
      </c>
      <c r="BQ454" s="38">
        <f>IF(AND(BQ$7="○",$A454&gt;=BQ$8,$A454&lt;=BQ$9),IF(SUM(BQ$10:BQ453)-ROUNDDOWN($L454*BQ$5/100,0)&lt;-BQ$6,-BQ$6-SUM(BQ$10:BQ453),-ROUNDDOWN($L454*BQ$5/100,0)),0)</f>
        <v>0</v>
      </c>
      <c r="BR454" s="38">
        <f>IF(AND(BR$7="○",$A454&gt;=BR$8,$A454&lt;=BR$9),IF(SUM(BR$10:BR453)-ROUNDDOWN($M454*BR$5/100,0)&lt;-BR$6,-BR$6-SUM(BR$10:BR453),-ROUNDDOWN($M454*BR$5/100,0)),0)</f>
        <v>0</v>
      </c>
      <c r="BS454" s="38">
        <f>IF(AND(BS$7="○",$A454&gt;=BS$8,$A454&lt;=BS$9),IF(SUM(BS$10:BS453)-ROUNDDOWN($M454*BS$5/100,0)&lt;-BS$6,-BS$6-SUM(BS$10:BS453),-ROUNDDOWN($M454*BS$5/100,0)),0)</f>
        <v>0</v>
      </c>
      <c r="BT454" s="38">
        <f>IF(AND(BT$7="○",$A454&gt;=BT$8,$A454&lt;=BT$9),IF(SUM(BT$10:BT453)-ROUNDDOWN($M454*BT$5/100,0)&lt;-BT$6,-BT$6-SUM(BT$10:BT453),-ROUNDDOWN($M454*BT$5/100,0)),0)</f>
        <v>0</v>
      </c>
      <c r="BU454" s="38">
        <f>IF(AND(BU$7="○",$A454&gt;=BU$8,$A454&lt;=BU$9),IF(SUM(BU$10:BU453)-ROUNDDOWN($M454*BU$5/100,0)&lt;-BU$6,-BU$6-SUM(BU$10:BU453),-ROUNDDOWN($M454*BU$5/100,0)),0)</f>
        <v>0</v>
      </c>
      <c r="BV454" s="38">
        <f>IF(AND(BV$7="○",$A454&gt;=BV$8,$A454&lt;=BV$9),IF(SUM(BV$10:BV453)-ROUNDDOWN($M454*BV$5/100,0)&lt;-BV$6,-BV$6-SUM(BV$10:BV453),-ROUNDDOWN($M454*BV$5/100,0)),0)</f>
        <v>0</v>
      </c>
      <c r="BW454" s="38">
        <f>IF(AND(BW$7="○",$A454&gt;=BW$8,$A454&lt;=BW$9),IF(SUM(BW$10:BW453)-ROUNDDOWN($M454*BW$5/100,0)&lt;-BW$6,-BW$6-SUM(BW$10:BW453),-ROUNDDOWN($M454*BW$5/100,0)),0)</f>
        <v>0</v>
      </c>
      <c r="BX454" s="38">
        <f>IF(AND(T454="○",$A454&gt;=BX$8,$A454&lt;=BX$9),IF(SUM(BX$10:BX453)-ROUNDDOWN($K454*BX$5/100,0)&lt;-BX$6,-BX$6-SUM(BX$10:BX453),-ROUNDDOWN($K454*BX$5/100,0)),0)</f>
        <v>0</v>
      </c>
      <c r="BY454" s="38">
        <f>IF(AND(U454="○",$A454&gt;=BY$8,$A454&lt;=BY$9),IF(SUM(BY$10:BY453)-ROUNDDOWN($K454*BY$5/100,0)&lt;-BY$6,-BY$6-SUM(BY$10:BY453),-ROUNDDOWN($K454*BY$5/100,0)),0)</f>
        <v>0</v>
      </c>
      <c r="BZ454" s="38">
        <f>IF(AND(V454="○",$A454&gt;=BZ$8,$A454&lt;=BZ$9),IF(SUM(BZ$10:BZ453)-ROUNDDOWN($K454*BZ$5/100,0)&lt;-BZ$6,-BZ$6-SUM(BZ$10:BZ453),-ROUNDDOWN($K454*BZ$5/100,0)),0)</f>
        <v>0</v>
      </c>
      <c r="CA454" s="38">
        <f>IF(AND(W454="○",$A454&gt;=CA$8,$A454&lt;=CA$9),IF(SUM(CA$10:CA453)-ROUNDDOWN($K454*CA$5/100,0)&lt;-CA$6,-CA$6-SUM(CA$10:CA453),-ROUNDDOWN($K454*CA$5/100,0)),0)</f>
        <v>0</v>
      </c>
      <c r="CB454" s="38"/>
      <c r="CC454" s="38"/>
      <c r="CD454" s="38"/>
      <c r="CE454" s="38"/>
      <c r="CF454" s="38"/>
      <c r="CG454" s="65">
        <f t="shared" si="291"/>
        <v>0</v>
      </c>
      <c r="CH454" s="71">
        <f t="shared" si="292"/>
        <v>0</v>
      </c>
      <c r="CI454" s="1">
        <f t="shared" si="308"/>
        <v>0</v>
      </c>
      <c r="CJ454" s="1"/>
      <c r="CK454" s="79"/>
      <c r="CL454" s="79"/>
      <c r="CM454" s="2"/>
      <c r="CN454" s="2"/>
      <c r="CO454" s="73">
        <f t="shared" si="309"/>
        <v>0</v>
      </c>
      <c r="CP454" s="5">
        <f t="shared" si="310"/>
        <v>0</v>
      </c>
      <c r="CQ454" s="1"/>
      <c r="CR454" s="1">
        <f t="shared" si="311"/>
        <v>0</v>
      </c>
      <c r="CS454" s="1"/>
      <c r="CT454" s="1" t="e">
        <f>INDEX([2]マスタ!$A:$A,MATCH(D454,[2]マスタ!$C:$C,0))</f>
        <v>#N/A</v>
      </c>
      <c r="CU454" s="1" t="str">
        <f t="shared" ca="1" si="312"/>
        <v>20260620_0-0</v>
      </c>
    </row>
    <row r="455" spans="1:99" x14ac:dyDescent="0.4">
      <c r="A455" s="61"/>
      <c r="B455" s="62"/>
      <c r="C455" s="62"/>
      <c r="D455" s="62"/>
      <c r="E455" s="63"/>
      <c r="F455" s="62"/>
      <c r="G455" s="62">
        <v>1</v>
      </c>
      <c r="H455" s="64">
        <f t="shared" si="302"/>
        <v>0</v>
      </c>
      <c r="I455" s="64"/>
      <c r="J455" s="64"/>
      <c r="K455" s="65">
        <f>+ROUNDDOWN((H455+I455)/100,0)*100</f>
        <v>0</v>
      </c>
      <c r="L455" s="65">
        <f t="shared" si="304"/>
        <v>0</v>
      </c>
      <c r="M455" s="65">
        <f t="shared" si="305"/>
        <v>0</v>
      </c>
      <c r="N455" s="65">
        <f t="shared" si="306"/>
        <v>0</v>
      </c>
      <c r="O455" s="66" t="str">
        <f t="shared" si="9"/>
        <v>✕</v>
      </c>
      <c r="P455" s="67" t="str">
        <f t="shared" si="10"/>
        <v>○</v>
      </c>
      <c r="Q455" s="67" t="str">
        <f>+IF((TEXT($A455,"DD")+0)=1,"○","✕")</f>
        <v>✕</v>
      </c>
      <c r="R455" s="67" t="str">
        <f t="shared" si="12"/>
        <v>✕</v>
      </c>
      <c r="S455" s="68">
        <v>0</v>
      </c>
      <c r="T455" s="69" t="s">
        <v>85</v>
      </c>
      <c r="U455" s="69" t="s">
        <v>85</v>
      </c>
      <c r="V455" s="69" t="s">
        <v>85</v>
      </c>
      <c r="W455" s="69" t="s">
        <v>85</v>
      </c>
      <c r="X455" s="69" t="s">
        <v>84</v>
      </c>
      <c r="Y455" s="69" t="s">
        <v>85</v>
      </c>
      <c r="Z455" s="69" t="s">
        <v>85</v>
      </c>
      <c r="AA455" s="69" t="s">
        <v>85</v>
      </c>
      <c r="AB455" s="69" t="s">
        <v>85</v>
      </c>
      <c r="AC455" s="69" t="s">
        <v>85</v>
      </c>
      <c r="AD455" s="38" t="str">
        <f>+IF(ISERROR(VLOOKUP($B455,AD$10:AD454,1,0)),IF(AND($N455&gt;=1000,$A455&gt;=AO$8,$A455&lt;=AO$9),$B455,""),"")</f>
        <v/>
      </c>
      <c r="AE455" s="38" t="str">
        <f>+IF(ISERROR(VLOOKUP($B455,AE$10:AE454,1,0)),IF(AND($N455&gt;=1000,$A455&gt;=AP$8,$A455&lt;=AP$9),$B455,""),"")</f>
        <v/>
      </c>
      <c r="AF455" s="38" t="str">
        <f>+IF(ISERROR(VLOOKUP($B455,AF$10:AF454,1,0)),IF(AND($N455&gt;=1000,$A455&gt;=AQ$8,$A455&lt;=AQ$9),$B455,""),"")</f>
        <v/>
      </c>
      <c r="AG455" s="38" t="str">
        <f>+IF(ISERROR(VLOOKUP($B455,AG$10:AG454,1,0)),IF(AND($N455&gt;=1000,$A455&gt;=AR$8,$A455&lt;=AR$9),$B455,""),"")</f>
        <v/>
      </c>
      <c r="AH455" s="38"/>
      <c r="AI455" s="70">
        <v>0</v>
      </c>
      <c r="AJ455" s="38">
        <f>IF(AND(AJ$7="○",$A455&gt;=AJ$8,$A455&lt;=AJ$9),IF(SUM(AJ$10:AJ454)-ROUNDDOWN($K455*AJ$5/100,0)&lt;-AJ$6,-AJ$6-SUM(AJ$10:AJ454),-ROUNDDOWN($K455*AJ$5/100,0)),0)</f>
        <v>0</v>
      </c>
      <c r="AK455" s="38">
        <f>IF(AND(AK$7="○",$A455&gt;=AK$8,$A455&lt;=AK$9),IF(SUM(AK$10:AK454)-ROUNDDOWN($L455*AK$5/100,0)&lt;-AK$6,-AK$6-SUM(AK$10:AK454),-ROUNDDOWN($L455*AK$5/100,0)),0)</f>
        <v>0</v>
      </c>
      <c r="AL455" s="38">
        <f>IF(AND(AL$7="○",$A455&gt;=AL$8,$A455&lt;=AL$9),IF(SUM(AL$10:AL454)-ROUNDDOWN($N455*AL$5/100,0)&lt;-AL$6,-AL$6-SUM(AL$10:AL454),-ROUNDDOWN($N455*AL$5/100,0)),0)</f>
        <v>0</v>
      </c>
      <c r="AM455" s="38">
        <f>IF(AND(AM$7="○",$A455&gt;=AM$8,$A455&lt;=AM$9),IF(SUM(AM$10:AM454)-ROUNDDOWN($L455*AM$5/100,0)&lt;-AM$6,-AM$6-SUM(AM$10:AM454),-ROUNDDOWN($L455*AM$5/100,0)),0)</f>
        <v>0</v>
      </c>
      <c r="AN455" s="38">
        <f>IF(AND(AN$7="○",$A455&gt;=AN$8,$A455&lt;=AN$9),IF(SUM(AN$10:AN454)-ROUNDDOWN($M455*AN$5/100,0)&lt;-AN$6,-AN$6-SUM(AN$10:AN454),-ROUNDDOWN($M455*AN$5/100,0)),0)</f>
        <v>0</v>
      </c>
      <c r="AO455" s="38">
        <f>IF(AND($A455&gt;=AO$8,$A455&lt;=AO$9),IF(SUM(AO$10:AO454)-ROUNDDOWN($K455*AO$5/100,0)&lt;-AO$6,-AO$6-SUM(AO$10:AO454),-ROUNDDOWN($K455*AO$5/100,0)),0)</f>
        <v>0</v>
      </c>
      <c r="AP455" s="38">
        <f>IF(AND($A455&gt;=AP$8,$A455&lt;=AP$9),IF(SUM(AP$10:AP454)-ROUNDDOWN($K455*AP$5/100,0)&lt;-AP$6,-AP$6-SUM(AP$10:AP454),-ROUNDDOWN($K455*AP$5/100,0)),0)</f>
        <v>0</v>
      </c>
      <c r="AQ455" s="38">
        <f>IF(AND($A455&gt;=AQ$8,$A455&lt;=AQ$9),IF(SUM(AQ$10:AQ454)-ROUNDDOWN($K455*AQ$5/100,0)&lt;-AQ$6,-AQ$6-SUM(AQ$10:AQ454),-ROUNDDOWN($K455*AQ$5/100,0)),0)</f>
        <v>0</v>
      </c>
      <c r="AR455" s="38">
        <f>IF(AND($A455&gt;=AR$8,$A455&lt;=AR$9),IF(SUM(AR$10:AR454)-ROUNDDOWN($K455*AR$5/100,0)&lt;-AR$6,-AR$6-SUM(AR$10:AR454),-ROUNDDOWN($K455*AR$5/100,0)),0)</f>
        <v>0</v>
      </c>
      <c r="AS455" s="38">
        <f>IF(SUMIFS(AS$10:AS454,$A$10:$A454,$A455)-ROUNDDOWN($K455*$S455/100,0)&lt;-$S455*1000,-$S455*1000-SUMIFS(AS$10:AS454,$A$10:$A454,$A455),-ROUNDDOWN($K455*$S455/100,0))</f>
        <v>0</v>
      </c>
      <c r="AT455" s="38">
        <f>IF(AND(X455="○",$A455&gt;=AT$8,$A455&lt;=AT$9,K455&gt;=3980),IF(SUM(AT$10:AT454)-ROUNDDOWN($K455*AT$5/100,0)&lt;-AT$6,-AT$6-SUM(AT$10:AT454),-ROUNDDOWN($K455*AT$5/100,0)),0)</f>
        <v>0</v>
      </c>
      <c r="AU455" s="38">
        <f>IF(O455="○",IF(SUM(AU$10:AU454)-ROUNDDOWN($K455*AU$5/100,0)&lt;-AU$6,-AU$6-SUM(AU$10:AU454),-ROUNDDOWN($K455*AU$5/100,0)),0)</f>
        <v>0</v>
      </c>
      <c r="AV455" s="38">
        <f>IF(P455="○",IF(SUM(AV$10:AV454)-ROUNDDOWN($K455*AV$5/100,0)&lt;-AV$6,-AV$6-SUM(AV$10:AV454),-ROUNDDOWN($K455*AV$5/100,0)),0)</f>
        <v>0</v>
      </c>
      <c r="AW455" s="38">
        <f>IF(Q455="○",IF(SUM(AW$10:AW454)-ROUNDDOWN($K455*AW$5/100,0)&lt;-AW$6,-AW$6-SUM(AW$10:AW454),-ROUNDDOWN($K455*AW$5/100,0)),0)</f>
        <v>0</v>
      </c>
      <c r="AX455" s="38">
        <f>IF(R455="○",IF(SUM(AX$10:AX454)-ROUNDDOWN($K455*AX$5/100,0)&lt;-AX$6,-AX$6-SUM(AX$10:AX454),-ROUNDDOWN($K455*AX$5/100,0)),0)</f>
        <v>0</v>
      </c>
      <c r="AY455" s="70">
        <v>0</v>
      </c>
      <c r="AZ455" s="65">
        <f t="shared" si="285"/>
        <v>0</v>
      </c>
      <c r="BA455" s="65">
        <f t="shared" si="286"/>
        <v>0</v>
      </c>
      <c r="BB455" s="70"/>
      <c r="BC455" s="65">
        <f t="shared" si="287"/>
        <v>0</v>
      </c>
      <c r="BD455" s="70">
        <v>0</v>
      </c>
      <c r="BE455" s="65">
        <f t="shared" si="288"/>
        <v>0</v>
      </c>
      <c r="BF455" s="70">
        <v>0</v>
      </c>
      <c r="BG455" s="65">
        <f t="shared" si="289"/>
        <v>0</v>
      </c>
      <c r="BH455" s="70">
        <v>0</v>
      </c>
      <c r="BI455" s="65">
        <f t="shared" si="290"/>
        <v>0</v>
      </c>
      <c r="BJ455" s="38">
        <f>IF(AND(BJ$7="○",$A455&gt;=BJ$8,$A455&lt;=BJ$9),IF(SUM(BJ$10:BJ454)-ROUNDDOWN($M455*BJ$5/100,0)&lt;-BJ$6,-BJ$6-SUM(BJ$10:BJ454),-ROUNDDOWN($M455*BJ$5/100,0)),0)</f>
        <v>0</v>
      </c>
      <c r="BK455" s="38">
        <f>IF(AND(BK$7="○",$A455&gt;=BK$8,$A455&lt;=BK$9),IF(SUM(BK$10:BK454)-ROUNDDOWN($L455*BK$5/100,0)&lt;-BK$6,-BK$6-SUM(BK$10:BK454),-ROUNDDOWN($L455*BK$5/100,0)),0)</f>
        <v>0</v>
      </c>
      <c r="BL455" s="38">
        <f>IF(AND(BL$7="○",$A455&gt;=BL$8,$A455&lt;=BL$9),IF(SUM(BL$10:BL454)-ROUNDDOWN($L455*BL$5/100,0)&lt;-BL$6,-BL$6-SUM(BL$10:BL454),-ROUNDDOWN($L455*BL$5/100,0)),0)</f>
        <v>0</v>
      </c>
      <c r="BM455" s="38">
        <f>IF(AND(BM$7="○",$A455&gt;=BM$8,$A455&lt;=BM$9),IF(SUM(BM$10:BM454)-ROUNDDOWN($M455*BM$5/100,0)&lt;-BM$6,-BM$6-SUM(BM$10:BM454),-ROUNDDOWN($M455*BM$5/100,0)),0)</f>
        <v>0</v>
      </c>
      <c r="BN455" s="38">
        <f>IF(AND(BN$7="○",$A455&gt;=BN$8,$A455&lt;=BN$9),IF(SUM(BN$10:BN454)-ROUNDDOWN($M455*BN$5/100,0)&lt;-BN$6,-BN$6-SUM(BN$10:BN454),-ROUNDDOWN($M455*BN$5/100,0)),0)</f>
        <v>0</v>
      </c>
      <c r="BO455" s="38">
        <f>IF(AND(BO$7="○",$A455&gt;=BO$8,$A455&lt;=BO$9),IF(SUM(BO$10:BO454)-ROUNDDOWN($M455*BO$5/100,0)&lt;-BO$6,-BO$6-SUM(BO$10:BO454),-ROUNDDOWN($M455*BO$5/100,0)),0)</f>
        <v>0</v>
      </c>
      <c r="BP455" s="38">
        <f>IF(AND(BP$7="○",$A455&gt;=BP$8,$A455&lt;=BP$9),IF(SUM(BP$10:BP454)-ROUNDDOWN($M455*BP$5/100,0)&lt;-BP$6,-BP$6-SUM(BP$10:BP454),-ROUNDDOWN($M455*BP$5/100,0)),0)</f>
        <v>0</v>
      </c>
      <c r="BQ455" s="38">
        <f>IF(AND(BQ$7="○",$A455&gt;=BQ$8,$A455&lt;=BQ$9),IF(SUM(BQ$10:BQ454)-ROUNDDOWN($L455*BQ$5/100,0)&lt;-BQ$6,-BQ$6-SUM(BQ$10:BQ454),-ROUNDDOWN($L455*BQ$5/100,0)),0)</f>
        <v>0</v>
      </c>
      <c r="BR455" s="38">
        <f>IF(AND(BR$7="○",$A455&gt;=BR$8,$A455&lt;=BR$9),IF(SUM(BR$10:BR454)-ROUNDDOWN($M455*BR$5/100,0)&lt;-BR$6,-BR$6-SUM(BR$10:BR454),-ROUNDDOWN($M455*BR$5/100,0)),0)</f>
        <v>0</v>
      </c>
      <c r="BS455" s="38">
        <f>IF(AND(BS$7="○",$A455&gt;=BS$8,$A455&lt;=BS$9),IF(SUM(BS$10:BS454)-ROUNDDOWN($M455*BS$5/100,0)&lt;-BS$6,-BS$6-SUM(BS$10:BS454),-ROUNDDOWN($M455*BS$5/100,0)),0)</f>
        <v>0</v>
      </c>
      <c r="BT455" s="38">
        <f>IF(AND(BT$7="○",$A455&gt;=BT$8,$A455&lt;=BT$9),IF(SUM(BT$10:BT454)-ROUNDDOWN($M455*BT$5/100,0)&lt;-BT$6,-BT$6-SUM(BT$10:BT454),-ROUNDDOWN($M455*BT$5/100,0)),0)</f>
        <v>0</v>
      </c>
      <c r="BU455" s="38">
        <f>IF(AND(BU$7="○",$A455&gt;=BU$8,$A455&lt;=BU$9),IF(SUM(BU$10:BU454)-ROUNDDOWN($M455*BU$5/100,0)&lt;-BU$6,-BU$6-SUM(BU$10:BU454),-ROUNDDOWN($M455*BU$5/100,0)),0)</f>
        <v>0</v>
      </c>
      <c r="BV455" s="38">
        <f>IF(AND(BV$7="○",$A455&gt;=BV$8,$A455&lt;=BV$9),IF(SUM(BV$10:BV454)-ROUNDDOWN($M455*BV$5/100,0)&lt;-BV$6,-BV$6-SUM(BV$10:BV454),-ROUNDDOWN($M455*BV$5/100,0)),0)</f>
        <v>0</v>
      </c>
      <c r="BW455" s="38">
        <f>IF(AND(BW$7="○",$A455&gt;=BW$8,$A455&lt;=BW$9),IF(SUM(BW$10:BW454)-ROUNDDOWN($M455*BW$5/100,0)&lt;-BW$6,-BW$6-SUM(BW$10:BW454),-ROUNDDOWN($M455*BW$5/100,0)),0)</f>
        <v>0</v>
      </c>
      <c r="BX455" s="38">
        <f>IF(AND(T455="○",$A455&gt;=BX$8,$A455&lt;=BX$9),IF(SUM(BX$10:BX454)-ROUNDDOWN($K455*BX$5/100,0)&lt;-BX$6,-BX$6-SUM(BX$10:BX454),-ROUNDDOWN($K455*BX$5/100,0)),0)</f>
        <v>0</v>
      </c>
      <c r="BY455" s="38">
        <f>IF(AND(U455="○",$A455&gt;=BY$8,$A455&lt;=BY$9),IF(SUM(BY$10:BY454)-ROUNDDOWN($K455*BY$5/100,0)&lt;-BY$6,-BY$6-SUM(BY$10:BY454),-ROUNDDOWN($K455*BY$5/100,0)),0)</f>
        <v>0</v>
      </c>
      <c r="BZ455" s="38">
        <f>IF(AND(V455="○",$A455&gt;=BZ$8,$A455&lt;=BZ$9),IF(SUM(BZ$10:BZ454)-ROUNDDOWN($K455*BZ$5/100,0)&lt;-BZ$6,-BZ$6-SUM(BZ$10:BZ454),-ROUNDDOWN($K455*BZ$5/100,0)),0)</f>
        <v>0</v>
      </c>
      <c r="CA455" s="38">
        <f>IF(AND(W455="○",$A455&gt;=CA$8,$A455&lt;=CA$9),IF(SUM(CA$10:CA454)-ROUNDDOWN($K455*CA$5/100,0)&lt;-CA$6,-CA$6-SUM(CA$10:CA454),-ROUNDDOWN($K455*CA$5/100,0)),0)</f>
        <v>0</v>
      </c>
      <c r="CB455" s="38"/>
      <c r="CC455" s="38"/>
      <c r="CD455" s="38"/>
      <c r="CE455" s="38"/>
      <c r="CF455" s="38"/>
      <c r="CG455" s="65">
        <f t="shared" si="291"/>
        <v>0</v>
      </c>
      <c r="CH455" s="71">
        <f t="shared" si="292"/>
        <v>0</v>
      </c>
      <c r="CI455" s="1">
        <f t="shared" si="308"/>
        <v>0</v>
      </c>
      <c r="CJ455" s="1"/>
      <c r="CK455" s="79"/>
      <c r="CL455" s="79"/>
      <c r="CM455" s="2"/>
      <c r="CN455" s="2"/>
      <c r="CO455" s="73">
        <f t="shared" si="309"/>
        <v>0</v>
      </c>
      <c r="CP455" s="5">
        <f t="shared" si="310"/>
        <v>0</v>
      </c>
      <c r="CQ455" s="1"/>
      <c r="CR455" s="1">
        <f t="shared" si="311"/>
        <v>0</v>
      </c>
      <c r="CS455" s="1"/>
      <c r="CT455" s="1" t="e">
        <f>INDEX([2]マスタ!$A:$A,MATCH(D455,[2]マスタ!$C:$C,0))</f>
        <v>#N/A</v>
      </c>
      <c r="CU455" s="1" t="str">
        <f t="shared" ca="1" si="312"/>
        <v>20260620_0-0</v>
      </c>
    </row>
    <row r="456" spans="1:99" x14ac:dyDescent="0.4">
      <c r="A456" s="61"/>
      <c r="B456" s="62"/>
      <c r="C456" s="62"/>
      <c r="D456" s="62"/>
      <c r="E456" s="63"/>
      <c r="F456" s="62"/>
      <c r="G456" s="62">
        <v>1</v>
      </c>
      <c r="H456" s="64">
        <f t="shared" si="302"/>
        <v>0</v>
      </c>
      <c r="I456" s="64"/>
      <c r="J456" s="64"/>
      <c r="K456" s="65">
        <f t="shared" ref="K456:K465" si="315">+ROUNDDOWN((H456+I456+J456)/100,0)*100</f>
        <v>0</v>
      </c>
      <c r="L456" s="65">
        <f t="shared" si="304"/>
        <v>0</v>
      </c>
      <c r="M456" s="65">
        <f t="shared" si="305"/>
        <v>0</v>
      </c>
      <c r="N456" s="65">
        <f t="shared" si="306"/>
        <v>0</v>
      </c>
      <c r="O456" s="66" t="str">
        <f t="shared" si="9"/>
        <v>✕</v>
      </c>
      <c r="P456" s="67" t="str">
        <f t="shared" si="10"/>
        <v>○</v>
      </c>
      <c r="Q456" s="67" t="str">
        <f t="shared" ref="Q456:Q465" si="316">+IF((TEXT(A456,"DD")+0)=1,"○","✕")</f>
        <v>✕</v>
      </c>
      <c r="R456" s="67" t="str">
        <f t="shared" si="12"/>
        <v>✕</v>
      </c>
      <c r="S456" s="68">
        <v>0</v>
      </c>
      <c r="T456" s="69" t="s">
        <v>85</v>
      </c>
      <c r="U456" s="69" t="s">
        <v>85</v>
      </c>
      <c r="V456" s="69" t="s">
        <v>85</v>
      </c>
      <c r="W456" s="69" t="s">
        <v>85</v>
      </c>
      <c r="X456" s="69" t="s">
        <v>84</v>
      </c>
      <c r="Y456" s="69" t="s">
        <v>85</v>
      </c>
      <c r="Z456" s="69" t="s">
        <v>85</v>
      </c>
      <c r="AA456" s="69" t="s">
        <v>85</v>
      </c>
      <c r="AB456" s="69" t="s">
        <v>85</v>
      </c>
      <c r="AC456" s="69" t="s">
        <v>85</v>
      </c>
      <c r="AD456" s="38" t="str">
        <f>+IF(ISERROR(VLOOKUP($B456,AD$10:AD455,1,0)),IF(AND($N456&gt;=1000,$A456&gt;=AO$8,$A456&lt;=AO$9),$B456,""),"")</f>
        <v/>
      </c>
      <c r="AE456" s="38" t="str">
        <f>+IF(ISERROR(VLOOKUP($B456,AE$10:AE455,1,0)),IF(AND($N456&gt;=1000,$A456&gt;=AP$8,$A456&lt;=AP$9),$B456,""),"")</f>
        <v/>
      </c>
      <c r="AF456" s="38" t="str">
        <f>+IF(ISERROR(VLOOKUP($B456,AF$10:AF455,1,0)),IF(AND($N456&gt;=1000,$A456&gt;=AQ$8,$A456&lt;=AQ$9),$B456,""),"")</f>
        <v/>
      </c>
      <c r="AG456" s="38" t="str">
        <f>+IF(ISERROR(VLOOKUP($B456,AG$10:AG455,1,0)),IF(AND($N456&gt;=1000,$A456&gt;=AR$8,$A456&lt;=AR$9),$B456,""),"")</f>
        <v/>
      </c>
      <c r="AH456" s="38"/>
      <c r="AI456" s="70">
        <v>0</v>
      </c>
      <c r="AJ456" s="38">
        <f>IF(AND(AJ$7="○",$A456&gt;=AJ$8,$A456&lt;=AJ$9),IF(SUM(AJ$10:AJ455)-ROUNDDOWN($K456*AJ$5/100,0)&lt;-AJ$6,-AJ$6-SUM(AJ$10:AJ455),-ROUNDDOWN($K456*AJ$5/100,0)),0)</f>
        <v>0</v>
      </c>
      <c r="AK456" s="38">
        <f>IF(AND(AK$7="○",$A456&gt;=AK$8,$A456&lt;=AK$9),IF(SUM(AK$10:AK455)-ROUNDDOWN($L456*AK$5/100,0)&lt;-AK$6,-AK$6-SUM(AK$10:AK455),-ROUNDDOWN($L456*AK$5/100,0)),0)</f>
        <v>0</v>
      </c>
      <c r="AL456" s="38">
        <f>IF(AND(AL$7="○",$A456&gt;=AL$8,$A456&lt;=AL$9),IF(SUM(AL$10:AL455)-ROUNDDOWN($N456*AL$5/100,0)&lt;-AL$6,-AL$6-SUM(AL$10:AL455),-ROUNDDOWN($N456*AL$5/100,0)),0)</f>
        <v>0</v>
      </c>
      <c r="AM456" s="38">
        <f>IF(AND(AM$7="○",$A456&gt;=AM$8,$A456&lt;=AM$9),IF(SUM(AM$10:AM455)-ROUNDDOWN($L456*AM$5/100,0)&lt;-AM$6,-AM$6-SUM(AM$10:AM455),-ROUNDDOWN($L456*AM$5/100,0)),0)</f>
        <v>0</v>
      </c>
      <c r="AN456" s="38">
        <f>IF(AND(AN$7="○",$A456&gt;=AN$8,$A456&lt;=AN$9),IF(SUM(AN$10:AN455)-ROUNDDOWN($M456*AN$5/100,0)&lt;-AN$6,-AN$6-SUM(AN$10:AN455),-ROUNDDOWN($M456*AN$5/100,0)),0)</f>
        <v>0</v>
      </c>
      <c r="AO456" s="38">
        <f>IF(AND($A456&gt;=AO$8,$A456&lt;=AO$9),IF(SUM(AO$10:AO455)-ROUNDDOWN($K456*AO$5/100,0)&lt;-AO$6,-AO$6-SUM(AO$10:AO455),-ROUNDDOWN($K456*AO$5/100,0)),0)</f>
        <v>0</v>
      </c>
      <c r="AP456" s="38">
        <f>IF(AND($A456&gt;=AP$8,$A456&lt;=AP$9),IF(SUM(AP$10:AP455)-ROUNDDOWN($K456*AP$5/100,0)&lt;-AP$6,-AP$6-SUM(AP$10:AP455),-ROUNDDOWN($K456*AP$5/100,0)),0)</f>
        <v>0</v>
      </c>
      <c r="AQ456" s="38">
        <f>IF(AND($A456&gt;=AQ$8,$A456&lt;=AQ$9),IF(SUM(AQ$10:AQ455)-ROUNDDOWN($K456*AQ$5/100,0)&lt;-AQ$6,-AQ$6-SUM(AQ$10:AQ455),-ROUNDDOWN($K456*AQ$5/100,0)),0)</f>
        <v>0</v>
      </c>
      <c r="AR456" s="38">
        <f>IF(AND($A456&gt;=AR$8,$A456&lt;=AR$9),IF(SUM(AR$10:AR455)-ROUNDDOWN($K456*AR$5/100,0)&lt;-AR$6,-AR$6-SUM(AR$10:AR455),-ROUNDDOWN($K456*AR$5/100,0)),0)</f>
        <v>0</v>
      </c>
      <c r="AS456" s="38">
        <f>IF(SUMIFS(AS$10:AS455,$A$10:$A455,$A456)-ROUNDDOWN($K456*$S456/100,0)&lt;-$S456*1000,-$S456*1000-SUMIFS(AS$10:AS455,$A$10:$A455,$A456),-ROUNDDOWN($K456*$S456/100,0))</f>
        <v>0</v>
      </c>
      <c r="AT456" s="38">
        <f>IF(AND(X456="○",$A456&gt;=AT$8,$A456&lt;=AT$9,K456&gt;=3980),IF(SUM(AT$10:AT455)-ROUNDDOWN($K456*AT$5/100,0)&lt;-AT$6,-AT$6-SUM(AT$10:AT455),-ROUNDDOWN($K456*AT$5/100,0)),0)</f>
        <v>0</v>
      </c>
      <c r="AU456" s="38">
        <f>IF(O456="○",IF(SUM(AU$10:AU455)-ROUNDDOWN($K456*AU$5/100,0)&lt;-AU$6,-AU$6-SUM(AU$10:AU455),-ROUNDDOWN($K456*AU$5/100,0)),0)</f>
        <v>0</v>
      </c>
      <c r="AV456" s="38">
        <f>IF(P456="○",IF(SUM(AV$10:AV455)-ROUNDDOWN($K456*AV$5/100,0)&lt;-AV$6,-AV$6-SUM(AV$10:AV455),-ROUNDDOWN($K456*AV$5/100,0)),0)</f>
        <v>0</v>
      </c>
      <c r="AW456" s="38">
        <f>IF(Q456="○",IF(SUM(AW$10:AW455)-ROUNDDOWN($K456*AW$5/100,0)&lt;-AW$6,-AW$6-SUM(AW$10:AW455),-ROUNDDOWN($K456*AW$5/100,0)),0)</f>
        <v>0</v>
      </c>
      <c r="AX456" s="38">
        <f>IF(R456="○",IF(SUM(AX$10:AX455)-ROUNDDOWN($K456*AX$5/100,0)&lt;-AX$6,-AX$6-SUM(AX$10:AX455),-ROUNDDOWN($K456*AX$5/100,0)),0)</f>
        <v>0</v>
      </c>
      <c r="AY456" s="70">
        <v>0</v>
      </c>
      <c r="AZ456" s="65">
        <f t="shared" si="285"/>
        <v>0</v>
      </c>
      <c r="BA456" s="65">
        <f t="shared" si="286"/>
        <v>0</v>
      </c>
      <c r="BB456" s="70"/>
      <c r="BC456" s="65">
        <f t="shared" si="287"/>
        <v>0</v>
      </c>
      <c r="BD456" s="70">
        <v>0</v>
      </c>
      <c r="BE456" s="65">
        <f t="shared" si="288"/>
        <v>0</v>
      </c>
      <c r="BF456" s="70">
        <v>0</v>
      </c>
      <c r="BG456" s="65">
        <f t="shared" si="289"/>
        <v>0</v>
      </c>
      <c r="BH456" s="70">
        <v>0</v>
      </c>
      <c r="BI456" s="65">
        <f t="shared" si="290"/>
        <v>0</v>
      </c>
      <c r="BJ456" s="38">
        <f>IF(AND(BJ$7="○",$A456&gt;=BJ$8,$A456&lt;=BJ$9),IF(SUM(BJ$10:BJ455)-ROUNDDOWN($M456*BJ$5/100,0)&lt;-BJ$6,-BJ$6-SUM(BJ$10:BJ455),-ROUNDDOWN($M456*BJ$5/100,0)),0)</f>
        <v>0</v>
      </c>
      <c r="BK456" s="38">
        <f>IF(AND(BK$7="○",$A456&gt;=BK$8,$A456&lt;=BK$9),IF(SUM(BK$10:BK455)-ROUNDDOWN($L456*BK$5/100,0)&lt;-BK$6,-BK$6-SUM(BK$10:BK455),-ROUNDDOWN($L456*BK$5/100,0)),0)</f>
        <v>0</v>
      </c>
      <c r="BL456" s="38">
        <f>IF(AND(BL$7="○",$A456&gt;=BL$8,$A456&lt;=BL$9),IF(SUM(BL$10:BL455)-ROUNDDOWN($L456*BL$5/100,0)&lt;-BL$6,-BL$6-SUM(BL$10:BL455),-ROUNDDOWN($L456*BL$5/100,0)),0)</f>
        <v>0</v>
      </c>
      <c r="BM456" s="38">
        <f>IF(AND(BM$7="○",$A456&gt;=BM$8,$A456&lt;=BM$9),IF(SUM(BM$10:BM455)-ROUNDDOWN($M456*BM$5/100,0)&lt;-BM$6,-BM$6-SUM(BM$10:BM455),-ROUNDDOWN($M456*BM$5/100,0)),0)</f>
        <v>0</v>
      </c>
      <c r="BN456" s="38">
        <f>IF(AND(BN$7="○",$A456&gt;=BN$8,$A456&lt;=BN$9),IF(SUM(BN$10:BN455)-ROUNDDOWN($M456*BN$5/100,0)&lt;-BN$6,-BN$6-SUM(BN$10:BN455),-ROUNDDOWN($M456*BN$5/100,0)),0)</f>
        <v>0</v>
      </c>
      <c r="BO456" s="38">
        <f>IF(AND(BO$7="○",$A456&gt;=BO$8,$A456&lt;=BO$9),IF(SUM(BO$10:BO455)-ROUNDDOWN($M456*BO$5/100,0)&lt;-BO$6,-BO$6-SUM(BO$10:BO455),-ROUNDDOWN($M456*BO$5/100,0)),0)</f>
        <v>0</v>
      </c>
      <c r="BP456" s="38">
        <f>IF(AND(BP$7="○",$A456&gt;=BP$8,$A456&lt;=BP$9),IF(SUM(BP$10:BP455)-ROUNDDOWN($M456*BP$5/100,0)&lt;-BP$6,-BP$6-SUM(BP$10:BP455),-ROUNDDOWN($M456*BP$5/100,0)),0)</f>
        <v>0</v>
      </c>
      <c r="BQ456" s="38">
        <f>IF(AND(BQ$7="○",$A456&gt;=BQ$8,$A456&lt;=BQ$9),IF(SUM(BQ$10:BQ455)-ROUNDDOWN($L456*BQ$5/100,0)&lt;-BQ$6,-BQ$6-SUM(BQ$10:BQ455),-ROUNDDOWN($L456*BQ$5/100,0)),0)</f>
        <v>0</v>
      </c>
      <c r="BR456" s="38">
        <f>IF(AND(BR$7="○",$A456&gt;=BR$8,$A456&lt;=BR$9),IF(SUM(BR$10:BR455)-ROUNDDOWN($M456*BR$5/100,0)&lt;-BR$6,-BR$6-SUM(BR$10:BR455),-ROUNDDOWN($M456*BR$5/100,0)),0)</f>
        <v>0</v>
      </c>
      <c r="BS456" s="38">
        <f>IF(AND(BS$7="○",$A456&gt;=BS$8,$A456&lt;=BS$9),IF(SUM(BS$10:BS455)-ROUNDDOWN($M456*BS$5/100,0)&lt;-BS$6,-BS$6-SUM(BS$10:BS455),-ROUNDDOWN($M456*BS$5/100,0)),0)</f>
        <v>0</v>
      </c>
      <c r="BT456" s="38">
        <f>IF(AND(BT$7="○",$A456&gt;=BT$8,$A456&lt;=BT$9),IF(SUM(BT$10:BT455)-ROUNDDOWN($M456*BT$5/100,0)&lt;-BT$6,-BT$6-SUM(BT$10:BT455),-ROUNDDOWN($M456*BT$5/100,0)),0)</f>
        <v>0</v>
      </c>
      <c r="BU456" s="38">
        <f>IF(AND(BU$7="○",$A456&gt;=BU$8,$A456&lt;=BU$9),IF(SUM(BU$10:BU455)-ROUNDDOWN($M456*BU$5/100,0)&lt;-BU$6,-BU$6-SUM(BU$10:BU455),-ROUNDDOWN($M456*BU$5/100,0)),0)</f>
        <v>0</v>
      </c>
      <c r="BV456" s="38">
        <f>IF(AND(BV$7="○",$A456&gt;=BV$8,$A456&lt;=BV$9),IF(SUM(BV$10:BV455)-ROUNDDOWN($M456*BV$5/100,0)&lt;-BV$6,-BV$6-SUM(BV$10:BV455),-ROUNDDOWN($M456*BV$5/100,0)),0)</f>
        <v>0</v>
      </c>
      <c r="BW456" s="38">
        <f>IF(AND(BW$7="○",$A456&gt;=BW$8,$A456&lt;=BW$9),IF(SUM(BW$10:BW455)-ROUNDDOWN($M456*BW$5/100,0)&lt;-BW$6,-BW$6-SUM(BW$10:BW455),-ROUNDDOWN($M456*BW$5/100,0)),0)</f>
        <v>0</v>
      </c>
      <c r="BX456" s="38">
        <f>IF(AND(T456="○",$A456&gt;=BX$8,$A456&lt;=BX$9),IF(SUM(BX$10:BX455)-ROUNDDOWN($K456*BX$5/100,0)&lt;-BX$6,-BX$6-SUM(BX$10:BX455),-ROUNDDOWN($K456*BX$5/100,0)),0)</f>
        <v>0</v>
      </c>
      <c r="BY456" s="38">
        <f>IF(AND(U456="○",$A456&gt;=BY$8,$A456&lt;=BY$9),IF(SUM(BY$10:BY455)-ROUNDDOWN($K456*BY$5/100,0)&lt;-BY$6,-BY$6-SUM(BY$10:BY455),-ROUNDDOWN($K456*BY$5/100,0)),0)</f>
        <v>0</v>
      </c>
      <c r="BZ456" s="38">
        <f>IF(AND(V456="○",$A456&gt;=BZ$8,$A456&lt;=BZ$9),IF(SUM(BZ$10:BZ455)-ROUNDDOWN($K456*BZ$5/100,0)&lt;-BZ$6,-BZ$6-SUM(BZ$10:BZ455),-ROUNDDOWN($K456*BZ$5/100,0)),0)</f>
        <v>0</v>
      </c>
      <c r="CA456" s="38">
        <f>IF(AND(W456="○",$A456&gt;=CA$8,$A456&lt;=CA$9),IF(SUM(CA$10:CA455)-ROUNDDOWN($K456*CA$5/100,0)&lt;-CA$6,-CA$6-SUM(CA$10:CA455),-ROUNDDOWN($K456*CA$5/100,0)),0)</f>
        <v>0</v>
      </c>
      <c r="CB456" s="38"/>
      <c r="CC456" s="38"/>
      <c r="CD456" s="38"/>
      <c r="CE456" s="38"/>
      <c r="CF456" s="38"/>
      <c r="CG456" s="65">
        <f t="shared" si="291"/>
        <v>0</v>
      </c>
      <c r="CH456" s="71">
        <f t="shared" si="292"/>
        <v>0</v>
      </c>
      <c r="CI456" s="1">
        <f t="shared" si="308"/>
        <v>0</v>
      </c>
      <c r="CJ456" s="1"/>
      <c r="CK456" s="72"/>
      <c r="CL456" s="72"/>
      <c r="CM456" s="2"/>
      <c r="CN456" s="2"/>
      <c r="CO456" s="73">
        <f t="shared" si="309"/>
        <v>0</v>
      </c>
      <c r="CP456" s="5">
        <f t="shared" si="310"/>
        <v>0</v>
      </c>
      <c r="CQ456" s="1"/>
      <c r="CR456" s="1">
        <f t="shared" si="311"/>
        <v>0</v>
      </c>
      <c r="CS456" s="1"/>
      <c r="CT456" s="1" t="e">
        <f>INDEX([2]マスタ!$A:$A,MATCH(D456,[2]マスタ!$C:$C,0))</f>
        <v>#N/A</v>
      </c>
      <c r="CU456" s="1" t="str">
        <f t="shared" ca="1" si="312"/>
        <v>20260620_0-0</v>
      </c>
    </row>
    <row r="457" spans="1:99" x14ac:dyDescent="0.4">
      <c r="A457" s="61"/>
      <c r="B457" s="62"/>
      <c r="C457" s="62"/>
      <c r="D457" s="62"/>
      <c r="E457" s="63"/>
      <c r="F457" s="62"/>
      <c r="G457" s="62">
        <v>1</v>
      </c>
      <c r="H457" s="64">
        <f t="shared" si="302"/>
        <v>0</v>
      </c>
      <c r="I457" s="64"/>
      <c r="J457" s="64"/>
      <c r="K457" s="65">
        <f t="shared" si="315"/>
        <v>0</v>
      </c>
      <c r="L457" s="65">
        <f t="shared" si="304"/>
        <v>0</v>
      </c>
      <c r="M457" s="65">
        <f t="shared" si="305"/>
        <v>0</v>
      </c>
      <c r="N457" s="65">
        <f t="shared" si="306"/>
        <v>0</v>
      </c>
      <c r="O457" s="66" t="str">
        <f t="shared" si="9"/>
        <v>✕</v>
      </c>
      <c r="P457" s="67" t="str">
        <f t="shared" si="10"/>
        <v>○</v>
      </c>
      <c r="Q457" s="67" t="str">
        <f t="shared" si="316"/>
        <v>✕</v>
      </c>
      <c r="R457" s="67" t="str">
        <f t="shared" si="12"/>
        <v>✕</v>
      </c>
      <c r="S457" s="68">
        <v>0</v>
      </c>
      <c r="T457" s="69" t="s">
        <v>85</v>
      </c>
      <c r="U457" s="69" t="s">
        <v>85</v>
      </c>
      <c r="V457" s="69" t="s">
        <v>85</v>
      </c>
      <c r="W457" s="69" t="s">
        <v>85</v>
      </c>
      <c r="X457" s="69" t="s">
        <v>84</v>
      </c>
      <c r="Y457" s="69" t="s">
        <v>85</v>
      </c>
      <c r="Z457" s="69" t="s">
        <v>85</v>
      </c>
      <c r="AA457" s="69" t="s">
        <v>85</v>
      </c>
      <c r="AB457" s="69" t="s">
        <v>85</v>
      </c>
      <c r="AC457" s="69" t="s">
        <v>85</v>
      </c>
      <c r="AD457" s="38" t="str">
        <f>+IF(ISERROR(VLOOKUP($B457,AD$10:AD456,1,0)),IF(AND($N457&gt;=1000,$A457&gt;=AO$8,$A457&lt;=AO$9),$B457,""),"")</f>
        <v/>
      </c>
      <c r="AE457" s="38" t="str">
        <f>+IF(ISERROR(VLOOKUP($B457,AE$10:AE456,1,0)),IF(AND($N457&gt;=1000,$A457&gt;=AP$8,$A457&lt;=AP$9),$B457,""),"")</f>
        <v/>
      </c>
      <c r="AF457" s="38" t="str">
        <f>+IF(ISERROR(VLOOKUP($B457,AF$10:AF456,1,0)),IF(AND($N457&gt;=1000,$A457&gt;=AQ$8,$A457&lt;=AQ$9),$B457,""),"")</f>
        <v/>
      </c>
      <c r="AG457" s="38" t="str">
        <f>+IF(ISERROR(VLOOKUP($B457,AG$10:AG456,1,0)),IF(AND($N457&gt;=1000,$A457&gt;=AR$8,$A457&lt;=AR$9),$B457,""),"")</f>
        <v/>
      </c>
      <c r="AH457" s="38"/>
      <c r="AI457" s="70">
        <v>0</v>
      </c>
      <c r="AJ457" s="38">
        <f>IF(AND(AJ$7="○",$A457&gt;=AJ$8,$A457&lt;=AJ$9),IF(SUM(AJ$10:AJ456)-ROUNDDOWN($K457*AJ$5/100,0)&lt;-AJ$6,-AJ$6-SUM(AJ$10:AJ456),-ROUNDDOWN($K457*AJ$5/100,0)),0)</f>
        <v>0</v>
      </c>
      <c r="AK457" s="38">
        <f>IF(AND(AK$7="○",$A457&gt;=AK$8,$A457&lt;=AK$9),IF(SUM(AK$10:AK456)-ROUNDDOWN($L457*AK$5/100,0)&lt;-AK$6,-AK$6-SUM(AK$10:AK456),-ROUNDDOWN($L457*AK$5/100,0)),0)</f>
        <v>0</v>
      </c>
      <c r="AL457" s="38">
        <f>IF(AND(AL$7="○",$A457&gt;=AL$8,$A457&lt;=AL$9),IF(SUM(AL$10:AL456)-ROUNDDOWN($N457*AL$5/100,0)&lt;-AL$6,-AL$6-SUM(AL$10:AL456),-ROUNDDOWN($N457*AL$5/100,0)),0)</f>
        <v>0</v>
      </c>
      <c r="AM457" s="38">
        <f>IF(AND(AM$7="○",$A457&gt;=AM$8,$A457&lt;=AM$9),IF(SUM(AM$10:AM456)-ROUNDDOWN($L457*AM$5/100,0)&lt;-AM$6,-AM$6-SUM(AM$10:AM456),-ROUNDDOWN($L457*AM$5/100,0)),0)</f>
        <v>0</v>
      </c>
      <c r="AN457" s="38">
        <f>IF(AND(AN$7="○",$A457&gt;=AN$8,$A457&lt;=AN$9),IF(SUM(AN$10:AN456)-ROUNDDOWN($M457*AN$5/100,0)&lt;-AN$6,-AN$6-SUM(AN$10:AN456),-ROUNDDOWN($M457*AN$5/100,0)),0)</f>
        <v>0</v>
      </c>
      <c r="AO457" s="38">
        <f>IF(AND($A457&gt;=AO$8,$A457&lt;=AO$9),IF(SUM(AO$10:AO456)-ROUNDDOWN($K457*AO$5/100,0)&lt;-AO$6,-AO$6-SUM(AO$10:AO456),-ROUNDDOWN($K457*AO$5/100,0)),0)</f>
        <v>0</v>
      </c>
      <c r="AP457" s="38">
        <f>IF(AND($A457&gt;=AP$8,$A457&lt;=AP$9),IF(SUM(AP$10:AP456)-ROUNDDOWN($K457*AP$5/100,0)&lt;-AP$6,-AP$6-SUM(AP$10:AP456),-ROUNDDOWN($K457*AP$5/100,0)),0)</f>
        <v>0</v>
      </c>
      <c r="AQ457" s="38">
        <f>IF(AND($A457&gt;=AQ$8,$A457&lt;=AQ$9),IF(SUM(AQ$10:AQ456)-ROUNDDOWN($K457*AQ$5/100,0)&lt;-AQ$6,-AQ$6-SUM(AQ$10:AQ456),-ROUNDDOWN($K457*AQ$5/100,0)),0)</f>
        <v>0</v>
      </c>
      <c r="AR457" s="38">
        <f>IF(AND($A457&gt;=AR$8,$A457&lt;=AR$9),IF(SUM(AR$10:AR456)-ROUNDDOWN($K457*AR$5/100,0)&lt;-AR$6,-AR$6-SUM(AR$10:AR456),-ROUNDDOWN($K457*AR$5/100,0)),0)</f>
        <v>0</v>
      </c>
      <c r="AS457" s="38">
        <f>IF(SUMIFS(AS$10:AS456,$A$10:$A456,$A457)-ROUNDDOWN($K457*$S457/100,0)&lt;-$S457*1000,-$S457*1000-SUMIFS(AS$10:AS456,$A$10:$A456,$A457),-ROUNDDOWN($K457*$S457/100,0))</f>
        <v>0</v>
      </c>
      <c r="AT457" s="38">
        <f>IF(AND(X457="○",$A457&gt;=AT$8,$A457&lt;=AT$9,K457&gt;=3980),IF(SUM(AT$10:AT456)-ROUNDDOWN($K457*AT$5/100,0)&lt;-AT$6,-AT$6-SUM(AT$10:AT456),-ROUNDDOWN($K457*AT$5/100,0)),0)</f>
        <v>0</v>
      </c>
      <c r="AU457" s="38">
        <f>IF(O457="○",IF(SUM(AU$10:AU456)-ROUNDDOWN($K457*AU$5/100,0)&lt;-AU$6,-AU$6-SUM(AU$10:AU456),-ROUNDDOWN($K457*AU$5/100,0)),0)</f>
        <v>0</v>
      </c>
      <c r="AV457" s="38">
        <f>IF(P457="○",IF(SUM(AV$10:AV456)-ROUNDDOWN($K457*AV$5/100,0)&lt;-AV$6,-AV$6-SUM(AV$10:AV456),-ROUNDDOWN($K457*AV$5/100,0)),0)</f>
        <v>0</v>
      </c>
      <c r="AW457" s="38">
        <f>IF(Q457="○",IF(SUM(AW$10:AW456)-ROUNDDOWN($K457*AW$5/100,0)&lt;-AW$6,-AW$6-SUM(AW$10:AW456),-ROUNDDOWN($K457*AW$5/100,0)),0)</f>
        <v>0</v>
      </c>
      <c r="AX457" s="38">
        <f>IF(R457="○",IF(SUM(AX$10:AX456)-ROUNDDOWN($K457*AX$5/100,0)&lt;-AX$6,-AX$6-SUM(AX$10:AX456),-ROUNDDOWN($K457*AX$5/100,0)),0)</f>
        <v>0</v>
      </c>
      <c r="AY457" s="70">
        <v>0</v>
      </c>
      <c r="AZ457" s="65">
        <f t="shared" si="285"/>
        <v>0</v>
      </c>
      <c r="BA457" s="65">
        <f t="shared" si="286"/>
        <v>0</v>
      </c>
      <c r="BB457" s="70"/>
      <c r="BC457" s="65">
        <f t="shared" si="287"/>
        <v>0</v>
      </c>
      <c r="BD457" s="70">
        <v>0</v>
      </c>
      <c r="BE457" s="65">
        <f t="shared" si="288"/>
        <v>0</v>
      </c>
      <c r="BF457" s="70">
        <v>0</v>
      </c>
      <c r="BG457" s="65">
        <f t="shared" si="289"/>
        <v>0</v>
      </c>
      <c r="BH457" s="70">
        <v>0</v>
      </c>
      <c r="BI457" s="65">
        <f t="shared" si="290"/>
        <v>0</v>
      </c>
      <c r="BJ457" s="38">
        <f>IF(AND(BJ$7="○",$A457&gt;=BJ$8,$A457&lt;=BJ$9),IF(SUM(BJ$10:BJ456)-ROUNDDOWN($M457*BJ$5/100,0)&lt;-BJ$6,-BJ$6-SUM(BJ$10:BJ456),-ROUNDDOWN($M457*BJ$5/100,0)),0)</f>
        <v>0</v>
      </c>
      <c r="BK457" s="38">
        <f>IF(AND(BK$7="○",$A457&gt;=BK$8,$A457&lt;=BK$9),IF(SUM(BK$10:BK456)-ROUNDDOWN($L457*BK$5/100,0)&lt;-BK$6,-BK$6-SUM(BK$10:BK456),-ROUNDDOWN($L457*BK$5/100,0)),0)</f>
        <v>0</v>
      </c>
      <c r="BL457" s="38">
        <f>IF(AND(BL$7="○",$A457&gt;=BL$8,$A457&lt;=BL$9),IF(SUM(BL$10:BL456)-ROUNDDOWN($L457*BL$5/100,0)&lt;-BL$6,-BL$6-SUM(BL$10:BL456),-ROUNDDOWN($L457*BL$5/100,0)),0)</f>
        <v>0</v>
      </c>
      <c r="BM457" s="38">
        <f>IF(AND(BM$7="○",$A457&gt;=BM$8,$A457&lt;=BM$9),IF(SUM(BM$10:BM456)-ROUNDDOWN($M457*BM$5/100,0)&lt;-BM$6,-BM$6-SUM(BM$10:BM456),-ROUNDDOWN($M457*BM$5/100,0)),0)</f>
        <v>0</v>
      </c>
      <c r="BN457" s="38">
        <f>IF(AND(BN$7="○",$A457&gt;=BN$8,$A457&lt;=BN$9),IF(SUM(BN$10:BN456)-ROUNDDOWN($M457*BN$5/100,0)&lt;-BN$6,-BN$6-SUM(BN$10:BN456),-ROUNDDOWN($M457*BN$5/100,0)),0)</f>
        <v>0</v>
      </c>
      <c r="BO457" s="38">
        <f>IF(AND(BO$7="○",$A457&gt;=BO$8,$A457&lt;=BO$9),IF(SUM(BO$10:BO456)-ROUNDDOWN($M457*BO$5/100,0)&lt;-BO$6,-BO$6-SUM(BO$10:BO456),-ROUNDDOWN($M457*BO$5/100,0)),0)</f>
        <v>0</v>
      </c>
      <c r="BP457" s="38">
        <f>IF(AND(BP$7="○",$A457&gt;=BP$8,$A457&lt;=BP$9),IF(SUM(BP$10:BP456)-ROUNDDOWN($M457*BP$5/100,0)&lt;-BP$6,-BP$6-SUM(BP$10:BP456),-ROUNDDOWN($M457*BP$5/100,0)),0)</f>
        <v>0</v>
      </c>
      <c r="BQ457" s="38">
        <f>IF(AND(BQ$7="○",$A457&gt;=BQ$8,$A457&lt;=BQ$9),IF(SUM(BQ$10:BQ456)-ROUNDDOWN($L457*BQ$5/100,0)&lt;-BQ$6,-BQ$6-SUM(BQ$10:BQ456),-ROUNDDOWN($L457*BQ$5/100,0)),0)</f>
        <v>0</v>
      </c>
      <c r="BR457" s="38">
        <f>IF(AND(BR$7="○",$A457&gt;=BR$8,$A457&lt;=BR$9),IF(SUM(BR$10:BR456)-ROUNDDOWN($M457*BR$5/100,0)&lt;-BR$6,-BR$6-SUM(BR$10:BR456),-ROUNDDOWN($M457*BR$5/100,0)),0)</f>
        <v>0</v>
      </c>
      <c r="BS457" s="38">
        <f>IF(AND(BS$7="○",$A457&gt;=BS$8,$A457&lt;=BS$9),IF(SUM(BS$10:BS456)-ROUNDDOWN($M457*BS$5/100,0)&lt;-BS$6,-BS$6-SUM(BS$10:BS456),-ROUNDDOWN($M457*BS$5/100,0)),0)</f>
        <v>0</v>
      </c>
      <c r="BT457" s="38">
        <f>IF(AND(BT$7="○",$A457&gt;=BT$8,$A457&lt;=BT$9),IF(SUM(BT$10:BT456)-ROUNDDOWN($M457*BT$5/100,0)&lt;-BT$6,-BT$6-SUM(BT$10:BT456),-ROUNDDOWN($M457*BT$5/100,0)),0)</f>
        <v>0</v>
      </c>
      <c r="BU457" s="38">
        <f>IF(AND(BU$7="○",$A457&gt;=BU$8,$A457&lt;=BU$9),IF(SUM(BU$10:BU456)-ROUNDDOWN($M457*BU$5/100,0)&lt;-BU$6,-BU$6-SUM(BU$10:BU456),-ROUNDDOWN($M457*BU$5/100,0)),0)</f>
        <v>0</v>
      </c>
      <c r="BV457" s="38">
        <f>IF(AND(BV$7="○",$A457&gt;=BV$8,$A457&lt;=BV$9),IF(SUM(BV$10:BV456)-ROUNDDOWN($M457*BV$5/100,0)&lt;-BV$6,-BV$6-SUM(BV$10:BV456),-ROUNDDOWN($M457*BV$5/100,0)),0)</f>
        <v>0</v>
      </c>
      <c r="BW457" s="38">
        <f>IF(AND(BW$7="○",$A457&gt;=BW$8,$A457&lt;=BW$9),IF(SUM(BW$10:BW456)-ROUNDDOWN($M457*BW$5/100,0)&lt;-BW$6,-BW$6-SUM(BW$10:BW456),-ROUNDDOWN($M457*BW$5/100,0)),0)</f>
        <v>0</v>
      </c>
      <c r="BX457" s="38">
        <f>IF(AND(T457="○",$A457&gt;=BX$8,$A457&lt;=BX$9),IF(SUM(BX$10:BX456)-ROUNDDOWN($K457*BX$5/100,0)&lt;-BX$6,-BX$6-SUM(BX$10:BX456),-ROUNDDOWN($K457*BX$5/100,0)),0)</f>
        <v>0</v>
      </c>
      <c r="BY457" s="38">
        <f>IF(AND(U457="○",$A457&gt;=BY$8,$A457&lt;=BY$9),IF(SUM(BY$10:BY456)-ROUNDDOWN($K457*BY$5/100,0)&lt;-BY$6,-BY$6-SUM(BY$10:BY456),-ROUNDDOWN($K457*BY$5/100,0)),0)</f>
        <v>0</v>
      </c>
      <c r="BZ457" s="38">
        <f>IF(AND(V457="○",$A457&gt;=BZ$8,$A457&lt;=BZ$9),IF(SUM(BZ$10:BZ456)-ROUNDDOWN($K457*BZ$5/100,0)&lt;-BZ$6,-BZ$6-SUM(BZ$10:BZ456),-ROUNDDOWN($K457*BZ$5/100,0)),0)</f>
        <v>0</v>
      </c>
      <c r="CA457" s="38">
        <f>IF(AND(W457="○",$A457&gt;=CA$8,$A457&lt;=CA$9),IF(SUM(CA$10:CA456)-ROUNDDOWN($K457*CA$5/100,0)&lt;-CA$6,-CA$6-SUM(CA$10:CA456),-ROUNDDOWN($K457*CA$5/100,0)),0)</f>
        <v>0</v>
      </c>
      <c r="CB457" s="38"/>
      <c r="CC457" s="38"/>
      <c r="CD457" s="38"/>
      <c r="CE457" s="38"/>
      <c r="CF457" s="38"/>
      <c r="CG457" s="65">
        <f t="shared" si="291"/>
        <v>0</v>
      </c>
      <c r="CH457" s="71">
        <f t="shared" si="292"/>
        <v>0</v>
      </c>
      <c r="CI457" s="1">
        <f t="shared" si="308"/>
        <v>0</v>
      </c>
      <c r="CJ457" s="1"/>
      <c r="CK457" s="72"/>
      <c r="CL457" s="72"/>
      <c r="CM457" s="2"/>
      <c r="CN457" s="2"/>
      <c r="CO457" s="73">
        <f t="shared" si="309"/>
        <v>0</v>
      </c>
      <c r="CP457" s="5">
        <f t="shared" si="310"/>
        <v>0</v>
      </c>
      <c r="CQ457" s="1"/>
      <c r="CR457" s="1">
        <f t="shared" si="311"/>
        <v>0</v>
      </c>
      <c r="CS457" s="1"/>
      <c r="CT457" s="1" t="e">
        <f>INDEX([2]マスタ!$A:$A,MATCH(D457,[2]マスタ!$C:$C,0))</f>
        <v>#N/A</v>
      </c>
      <c r="CU457" s="1" t="str">
        <f t="shared" ca="1" si="312"/>
        <v>20260620_0-0</v>
      </c>
    </row>
    <row r="458" spans="1:99" x14ac:dyDescent="0.4">
      <c r="A458" s="61"/>
      <c r="B458" s="62"/>
      <c r="C458" s="62"/>
      <c r="D458" s="63"/>
      <c r="E458" s="63"/>
      <c r="F458" s="62"/>
      <c r="G458" s="62">
        <v>1</v>
      </c>
      <c r="H458" s="64">
        <f t="shared" si="302"/>
        <v>0</v>
      </c>
      <c r="I458" s="64"/>
      <c r="J458" s="64"/>
      <c r="K458" s="65">
        <f t="shared" si="315"/>
        <v>0</v>
      </c>
      <c r="L458" s="65">
        <f t="shared" si="304"/>
        <v>0</v>
      </c>
      <c r="M458" s="65">
        <f t="shared" si="305"/>
        <v>0</v>
      </c>
      <c r="N458" s="65">
        <f t="shared" si="306"/>
        <v>0</v>
      </c>
      <c r="O458" s="66" t="str">
        <f t="shared" si="9"/>
        <v>✕</v>
      </c>
      <c r="P458" s="67" t="str">
        <f t="shared" si="10"/>
        <v>○</v>
      </c>
      <c r="Q458" s="67" t="str">
        <f t="shared" si="316"/>
        <v>✕</v>
      </c>
      <c r="R458" s="67" t="str">
        <f t="shared" si="12"/>
        <v>✕</v>
      </c>
      <c r="S458" s="68">
        <v>0</v>
      </c>
      <c r="T458" s="69" t="s">
        <v>85</v>
      </c>
      <c r="U458" s="69" t="s">
        <v>85</v>
      </c>
      <c r="V458" s="69" t="s">
        <v>85</v>
      </c>
      <c r="W458" s="69" t="s">
        <v>85</v>
      </c>
      <c r="X458" s="69" t="s">
        <v>84</v>
      </c>
      <c r="Y458" s="69" t="s">
        <v>85</v>
      </c>
      <c r="Z458" s="69" t="s">
        <v>85</v>
      </c>
      <c r="AA458" s="69" t="s">
        <v>85</v>
      </c>
      <c r="AB458" s="69" t="s">
        <v>85</v>
      </c>
      <c r="AC458" s="69" t="s">
        <v>85</v>
      </c>
      <c r="AD458" s="38" t="str">
        <f>+IF(ISERROR(VLOOKUP($B458,AD$10:AD457,1,0)),IF(AND($N458&gt;=1000,$A458&gt;=AO$8,$A458&lt;=AO$9),$B458,""),"")</f>
        <v/>
      </c>
      <c r="AE458" s="38" t="str">
        <f>+IF(ISERROR(VLOOKUP($B458,AE$10:AE457,1,0)),IF(AND($N458&gt;=1000,$A458&gt;=AP$8,$A458&lt;=AP$9),$B458,""),"")</f>
        <v/>
      </c>
      <c r="AF458" s="38" t="str">
        <f>+IF(ISERROR(VLOOKUP($B458,AF$10:AF457,1,0)),IF(AND($N458&gt;=1000,$A458&gt;=AQ$8,$A458&lt;=AQ$9),$B458,""),"")</f>
        <v/>
      </c>
      <c r="AG458" s="38" t="str">
        <f>+IF(ISERROR(VLOOKUP($B458,AG$10:AG457,1,0)),IF(AND($N458&gt;=1000,$A458&gt;=AR$8,$A458&lt;=AR$9),$B458,""),"")</f>
        <v/>
      </c>
      <c r="AH458" s="38"/>
      <c r="AI458" s="70">
        <v>0</v>
      </c>
      <c r="AJ458" s="38">
        <f>IF(AND(AJ$7="○",$A458&gt;=AJ$8,$A458&lt;=AJ$9),IF(SUM(AJ$10:AJ457)-ROUNDDOWN($K458*AJ$5/100,0)&lt;-AJ$6,-AJ$6-SUM(AJ$10:AJ457),-ROUNDDOWN($K458*AJ$5/100,0)),0)</f>
        <v>0</v>
      </c>
      <c r="AK458" s="38">
        <f>IF(AND(AK$7="○",$A458&gt;=AK$8,$A458&lt;=AK$9),IF(SUM(AK$10:AK457)-ROUNDDOWN($L458*AK$5/100,0)&lt;-AK$6,-AK$6-SUM(AK$10:AK457),-ROUNDDOWN($L458*AK$5/100,0)),0)</f>
        <v>0</v>
      </c>
      <c r="AL458" s="38">
        <f>IF(AND(AL$7="○",$A458&gt;=AL$8,$A458&lt;=AL$9),IF(SUM(AL$10:AL457)-ROUNDDOWN($N458*AL$5/100,0)&lt;-AL$6,-AL$6-SUM(AL$10:AL457),-ROUNDDOWN($N458*AL$5/100,0)),0)</f>
        <v>0</v>
      </c>
      <c r="AM458" s="38">
        <f>IF(AND(AM$7="○",$A458&gt;=AM$8,$A458&lt;=AM$9),IF(SUM(AM$10:AM457)-ROUNDDOWN($L458*AM$5/100,0)&lt;-AM$6,-AM$6-SUM(AM$10:AM457),-ROUNDDOWN($L458*AM$5/100,0)),0)</f>
        <v>0</v>
      </c>
      <c r="AN458" s="38">
        <f>IF(AND(AN$7="○",$A458&gt;=AN$8,$A458&lt;=AN$9),IF(SUM(AN$10:AN457)-ROUNDDOWN($M458*AN$5/100,0)&lt;-AN$6,-AN$6-SUM(AN$10:AN457),-ROUNDDOWN($M458*AN$5/100,0)),0)</f>
        <v>0</v>
      </c>
      <c r="AO458" s="38">
        <f>IF(AND($A458&gt;=AO$8,$A458&lt;=AO$9),IF(SUM(AO$10:AO457)-ROUNDDOWN($K458*AO$5/100,0)&lt;-AO$6,-AO$6-SUM(AO$10:AO457),-ROUNDDOWN($K458*AO$5/100,0)),0)</f>
        <v>0</v>
      </c>
      <c r="AP458" s="38">
        <f>IF(AND($A458&gt;=AP$8,$A458&lt;=AP$9),IF(SUM(AP$10:AP457)-ROUNDDOWN($K458*AP$5/100,0)&lt;-AP$6,-AP$6-SUM(AP$10:AP457),-ROUNDDOWN($K458*AP$5/100,0)),0)</f>
        <v>0</v>
      </c>
      <c r="AQ458" s="38">
        <f>IF(AND($A458&gt;=AQ$8,$A458&lt;=AQ$9),IF(SUM(AQ$10:AQ457)-ROUNDDOWN($K458*AQ$5/100,0)&lt;-AQ$6,-AQ$6-SUM(AQ$10:AQ457),-ROUNDDOWN($K458*AQ$5/100,0)),0)</f>
        <v>0</v>
      </c>
      <c r="AR458" s="38">
        <f>IF(AND($A458&gt;=AR$8,$A458&lt;=AR$9),IF(SUM(AR$10:AR457)-ROUNDDOWN($K458*AR$5/100,0)&lt;-AR$6,-AR$6-SUM(AR$10:AR457),-ROUNDDOWN($K458*AR$5/100,0)),0)</f>
        <v>0</v>
      </c>
      <c r="AS458" s="38">
        <f>IF(SUMIFS(AS$10:AS457,$A$10:$A457,$A458)-ROUNDDOWN($K458*$S458/100,0)&lt;-$S458*1000,-$S458*1000-SUMIFS(AS$10:AS457,$A$10:$A457,$A458),-ROUNDDOWN($K458*$S458/100,0))</f>
        <v>0</v>
      </c>
      <c r="AT458" s="38">
        <f>IF(AND(X458="○",$A458&gt;=AT$8,$A458&lt;=AT$9,K458&gt;=3980),IF(SUM(AT$10:AT457)-ROUNDDOWN($K458*AT$5/100,0)&lt;-AT$6,-AT$6-SUM(AT$10:AT457),-ROUNDDOWN($K458*AT$5/100,0)),0)</f>
        <v>0</v>
      </c>
      <c r="AU458" s="38">
        <f>IF(O458="○",IF(SUM(AU$10:AU457)-ROUNDDOWN($K458*AU$5/100,0)&lt;-AU$6,-AU$6-SUM(AU$10:AU457),-ROUNDDOWN($K458*AU$5/100,0)),0)</f>
        <v>0</v>
      </c>
      <c r="AV458" s="38">
        <f>IF(P458="○",IF(SUM(AV$10:AV457)-ROUNDDOWN($K458*AV$5/100,0)&lt;-AV$6,-AV$6-SUM(AV$10:AV457),-ROUNDDOWN($K458*AV$5/100,0)),0)</f>
        <v>0</v>
      </c>
      <c r="AW458" s="38">
        <f>IF(Q458="○",IF(SUM(AW$10:AW457)-ROUNDDOWN($K458*AW$5/100,0)&lt;-AW$6,-AW$6-SUM(AW$10:AW457),-ROUNDDOWN($K458*AW$5/100,0)),0)</f>
        <v>0</v>
      </c>
      <c r="AX458" s="38">
        <f>IF(R458="○",IF(SUM(AX$10:AX457)-ROUNDDOWN($K458*AX$5/100,0)&lt;-AX$6,-AX$6-SUM(AX$10:AX457),-ROUNDDOWN($K458*AX$5/100,0)),0)</f>
        <v>0</v>
      </c>
      <c r="AY458" s="70">
        <v>0</v>
      </c>
      <c r="AZ458" s="65">
        <f t="shared" si="285"/>
        <v>0</v>
      </c>
      <c r="BA458" s="65">
        <f t="shared" si="286"/>
        <v>0</v>
      </c>
      <c r="BB458" s="70"/>
      <c r="BC458" s="65">
        <f t="shared" si="287"/>
        <v>0</v>
      </c>
      <c r="BD458" s="70">
        <v>0</v>
      </c>
      <c r="BE458" s="65">
        <f t="shared" si="288"/>
        <v>0</v>
      </c>
      <c r="BF458" s="70">
        <v>0</v>
      </c>
      <c r="BG458" s="65">
        <f t="shared" si="289"/>
        <v>0</v>
      </c>
      <c r="BH458" s="70">
        <v>0</v>
      </c>
      <c r="BI458" s="65">
        <f t="shared" si="290"/>
        <v>0</v>
      </c>
      <c r="BJ458" s="38">
        <f>IF(AND(BJ$7="○",$A458&gt;=BJ$8,$A458&lt;=BJ$9),IF(SUM(BJ$10:BJ457)-ROUNDDOWN($M458*BJ$5/100,0)&lt;-BJ$6,-BJ$6-SUM(BJ$10:BJ457),-ROUNDDOWN($M458*BJ$5/100,0)),0)</f>
        <v>0</v>
      </c>
      <c r="BK458" s="38">
        <f>IF(AND(BK$7="○",$A458&gt;=BK$8,$A458&lt;=BK$9),IF(SUM(BK$10:BK457)-ROUNDDOWN($L458*BK$5/100,0)&lt;-BK$6,-BK$6-SUM(BK$10:BK457),-ROUNDDOWN($L458*BK$5/100,0)),0)</f>
        <v>0</v>
      </c>
      <c r="BL458" s="38">
        <f>IF(AND(BL$7="○",$A458&gt;=BL$8,$A458&lt;=BL$9),IF(SUM(BL$10:BL457)-ROUNDDOWN($L458*BL$5/100,0)&lt;-BL$6,-BL$6-SUM(BL$10:BL457),-ROUNDDOWN($L458*BL$5/100,0)),0)</f>
        <v>0</v>
      </c>
      <c r="BM458" s="38">
        <f>IF(AND(BM$7="○",$A458&gt;=BM$8,$A458&lt;=BM$9),IF(SUM(BM$10:BM457)-ROUNDDOWN($M458*BM$5/100,0)&lt;-BM$6,-BM$6-SUM(BM$10:BM457),-ROUNDDOWN($M458*BM$5/100,0)),0)</f>
        <v>0</v>
      </c>
      <c r="BN458" s="38">
        <f>IF(AND(BN$7="○",$A458&gt;=BN$8,$A458&lt;=BN$9),IF(SUM(BN$10:BN457)-ROUNDDOWN($M458*BN$5/100,0)&lt;-BN$6,-BN$6-SUM(BN$10:BN457),-ROUNDDOWN($M458*BN$5/100,0)),0)</f>
        <v>0</v>
      </c>
      <c r="BO458" s="38">
        <f>IF(AND(BO$7="○",$A458&gt;=BO$8,$A458&lt;=BO$9),IF(SUM(BO$10:BO457)-ROUNDDOWN($M458*BO$5/100,0)&lt;-BO$6,-BO$6-SUM(BO$10:BO457),-ROUNDDOWN($M458*BO$5/100,0)),0)</f>
        <v>0</v>
      </c>
      <c r="BP458" s="38">
        <f>IF(AND(BP$7="○",$A458&gt;=BP$8,$A458&lt;=BP$9),IF(SUM(BP$10:BP457)-ROUNDDOWN($M458*BP$5/100,0)&lt;-BP$6,-BP$6-SUM(BP$10:BP457),-ROUNDDOWN($M458*BP$5/100,0)),0)</f>
        <v>0</v>
      </c>
      <c r="BQ458" s="38">
        <f>IF(AND(BQ$7="○",$A458&gt;=BQ$8,$A458&lt;=BQ$9),IF(SUM(BQ$10:BQ457)-ROUNDDOWN($L458*BQ$5/100,0)&lt;-BQ$6,-BQ$6-SUM(BQ$10:BQ457),-ROUNDDOWN($L458*BQ$5/100,0)),0)</f>
        <v>0</v>
      </c>
      <c r="BR458" s="38">
        <f>IF(AND(BR$7="○",$A458&gt;=BR$8,$A458&lt;=BR$9),IF(SUM(BR$10:BR457)-ROUNDDOWN($M458*BR$5/100,0)&lt;-BR$6,-BR$6-SUM(BR$10:BR457),-ROUNDDOWN($M458*BR$5/100,0)),0)</f>
        <v>0</v>
      </c>
      <c r="BS458" s="38">
        <f>IF(AND(BS$7="○",$A458&gt;=BS$8,$A458&lt;=BS$9),IF(SUM(BS$10:BS457)-ROUNDDOWN($M458*BS$5/100,0)&lt;-BS$6,-BS$6-SUM(BS$10:BS457),-ROUNDDOWN($M458*BS$5/100,0)),0)</f>
        <v>0</v>
      </c>
      <c r="BT458" s="38">
        <f>IF(AND(BT$7="○",$A458&gt;=BT$8,$A458&lt;=BT$9),IF(SUM(BT$10:BT457)-ROUNDDOWN($M458*BT$5/100,0)&lt;-BT$6,-BT$6-SUM(BT$10:BT457),-ROUNDDOWN($M458*BT$5/100,0)),0)</f>
        <v>0</v>
      </c>
      <c r="BU458" s="38">
        <f>IF(AND(BU$7="○",$A458&gt;=BU$8,$A458&lt;=BU$9),IF(SUM(BU$10:BU457)-ROUNDDOWN($M458*BU$5/100,0)&lt;-BU$6,-BU$6-SUM(BU$10:BU457),-ROUNDDOWN($M458*BU$5/100,0)),0)</f>
        <v>0</v>
      </c>
      <c r="BV458" s="38">
        <f>IF(AND(BV$7="○",$A458&gt;=BV$8,$A458&lt;=BV$9),IF(SUM(BV$10:BV457)-ROUNDDOWN($M458*BV$5/100,0)&lt;-BV$6,-BV$6-SUM(BV$10:BV457),-ROUNDDOWN($M458*BV$5/100,0)),0)</f>
        <v>0</v>
      </c>
      <c r="BW458" s="38">
        <f>IF(AND(BW$7="○",$A458&gt;=BW$8,$A458&lt;=BW$9),IF(SUM(BW$10:BW457)-ROUNDDOWN($M458*BW$5/100,0)&lt;-BW$6,-BW$6-SUM(BW$10:BW457),-ROUNDDOWN($M458*BW$5/100,0)),0)</f>
        <v>0</v>
      </c>
      <c r="BX458" s="38">
        <f>IF(AND(T458="○",$A458&gt;=BX$8,$A458&lt;=BX$9),IF(SUM(BX$10:BX457)-ROUNDDOWN($K458*BX$5/100,0)&lt;-BX$6,-BX$6-SUM(BX$10:BX457),-ROUNDDOWN($K458*BX$5/100,0)),0)</f>
        <v>0</v>
      </c>
      <c r="BY458" s="38">
        <f>IF(AND(U458="○",$A458&gt;=BY$8,$A458&lt;=BY$9),IF(SUM(BY$10:BY457)-ROUNDDOWN($K458*BY$5/100,0)&lt;-BY$6,-BY$6-SUM(BY$10:BY457),-ROUNDDOWN($K458*BY$5/100,0)),0)</f>
        <v>0</v>
      </c>
      <c r="BZ458" s="38">
        <f>IF(AND(V458="○",$A458&gt;=BZ$8,$A458&lt;=BZ$9),IF(SUM(BZ$10:BZ457)-ROUNDDOWN($K458*BZ$5/100,0)&lt;-BZ$6,-BZ$6-SUM(BZ$10:BZ457),-ROUNDDOWN($K458*BZ$5/100,0)),0)</f>
        <v>0</v>
      </c>
      <c r="CA458" s="38">
        <f>IF(AND(W458="○",$A458&gt;=CA$8,$A458&lt;=CA$9),IF(SUM(CA$10:CA457)-ROUNDDOWN($K458*CA$5/100,0)&lt;-CA$6,-CA$6-SUM(CA$10:CA457),-ROUNDDOWN($K458*CA$5/100,0)),0)</f>
        <v>0</v>
      </c>
      <c r="CB458" s="38"/>
      <c r="CC458" s="38"/>
      <c r="CD458" s="38"/>
      <c r="CE458" s="38"/>
      <c r="CF458" s="38"/>
      <c r="CG458" s="65">
        <f t="shared" si="291"/>
        <v>0</v>
      </c>
      <c r="CH458" s="71">
        <f t="shared" si="292"/>
        <v>0</v>
      </c>
      <c r="CI458" s="1">
        <f t="shared" si="308"/>
        <v>0</v>
      </c>
      <c r="CJ458" s="1"/>
      <c r="CK458" s="2"/>
      <c r="CL458" s="2"/>
      <c r="CM458" s="2"/>
      <c r="CN458" s="2"/>
      <c r="CO458" s="73">
        <f t="shared" si="309"/>
        <v>0</v>
      </c>
      <c r="CP458" s="5">
        <f t="shared" si="310"/>
        <v>0</v>
      </c>
      <c r="CQ458" s="1"/>
      <c r="CR458" s="1">
        <f t="shared" si="311"/>
        <v>0</v>
      </c>
      <c r="CS458" s="1"/>
      <c r="CT458" s="1" t="e">
        <f>INDEX([2]マスタ!$A:$A,MATCH(D458,[2]マスタ!$C:$C,0))</f>
        <v>#N/A</v>
      </c>
      <c r="CU458" s="1" t="str">
        <f t="shared" ca="1" si="312"/>
        <v>20260620_0-0</v>
      </c>
    </row>
    <row r="459" spans="1:99" x14ac:dyDescent="0.4">
      <c r="A459" s="61"/>
      <c r="B459" s="62"/>
      <c r="C459" s="62"/>
      <c r="D459" s="62"/>
      <c r="E459" s="63"/>
      <c r="F459" s="62"/>
      <c r="G459" s="62">
        <v>1</v>
      </c>
      <c r="H459" s="64">
        <f t="shared" si="302"/>
        <v>0</v>
      </c>
      <c r="I459" s="64"/>
      <c r="J459" s="78"/>
      <c r="K459" s="65">
        <f t="shared" si="315"/>
        <v>0</v>
      </c>
      <c r="L459" s="65">
        <f t="shared" si="304"/>
        <v>0</v>
      </c>
      <c r="M459" s="65">
        <f t="shared" si="305"/>
        <v>0</v>
      </c>
      <c r="N459" s="65">
        <f t="shared" si="306"/>
        <v>0</v>
      </c>
      <c r="O459" s="66" t="str">
        <f t="shared" si="9"/>
        <v>✕</v>
      </c>
      <c r="P459" s="67" t="str">
        <f t="shared" si="10"/>
        <v>○</v>
      </c>
      <c r="Q459" s="67" t="str">
        <f t="shared" si="316"/>
        <v>✕</v>
      </c>
      <c r="R459" s="67" t="str">
        <f t="shared" si="12"/>
        <v>✕</v>
      </c>
      <c r="S459" s="68">
        <v>0</v>
      </c>
      <c r="T459" s="69" t="s">
        <v>85</v>
      </c>
      <c r="U459" s="69" t="s">
        <v>85</v>
      </c>
      <c r="V459" s="69" t="s">
        <v>85</v>
      </c>
      <c r="W459" s="69" t="s">
        <v>85</v>
      </c>
      <c r="X459" s="69" t="s">
        <v>84</v>
      </c>
      <c r="Y459" s="69" t="s">
        <v>85</v>
      </c>
      <c r="Z459" s="69" t="s">
        <v>85</v>
      </c>
      <c r="AA459" s="69" t="s">
        <v>85</v>
      </c>
      <c r="AB459" s="69" t="s">
        <v>85</v>
      </c>
      <c r="AC459" s="69" t="s">
        <v>85</v>
      </c>
      <c r="AD459" s="38" t="str">
        <f>+IF(ISERROR(VLOOKUP($B459,AD$10:AD458,1,0)),IF(AND($N459&gt;=1000,$A459&gt;=AO$8,$A459&lt;=AO$9),$B459,""),"")</f>
        <v/>
      </c>
      <c r="AE459" s="38" t="str">
        <f>+IF(ISERROR(VLOOKUP($B459,AE$10:AE458,1,0)),IF(AND($N459&gt;=1000,$A459&gt;=AP$8,$A459&lt;=AP$9),$B459,""),"")</f>
        <v/>
      </c>
      <c r="AF459" s="38" t="str">
        <f>+IF(ISERROR(VLOOKUP($B459,AF$10:AF458,1,0)),IF(AND($N459&gt;=1000,$A459&gt;=AQ$8,$A459&lt;=AQ$9),$B459,""),"")</f>
        <v/>
      </c>
      <c r="AG459" s="38" t="str">
        <f>+IF(ISERROR(VLOOKUP($B459,AG$10:AG458,1,0)),IF(AND($N459&gt;=1000,$A459&gt;=AR$8,$A459&lt;=AR$9),$B459,""),"")</f>
        <v/>
      </c>
      <c r="AH459" s="38"/>
      <c r="AI459" s="70">
        <v>0</v>
      </c>
      <c r="AJ459" s="38">
        <f>IF(AND(AJ$7="○",$A459&gt;=AJ$8,$A459&lt;=AJ$9),IF(SUM(AJ$10:AJ458)-ROUNDDOWN($K459*AJ$5/100,0)&lt;-AJ$6,-AJ$6-SUM(AJ$10:AJ458),-ROUNDDOWN($K459*AJ$5/100,0)),0)</f>
        <v>0</v>
      </c>
      <c r="AK459" s="38">
        <f>IF(AND(AK$7="○",$A459&gt;=AK$8,$A459&lt;=AK$9),IF(SUM(AK$10:AK458)-ROUNDDOWN($L459*AK$5/100,0)&lt;-AK$6,-AK$6-SUM(AK$10:AK458),-ROUNDDOWN($L459*AK$5/100,0)),0)</f>
        <v>0</v>
      </c>
      <c r="AL459" s="38">
        <f>IF(AND(AL$7="○",$A459&gt;=AL$8,$A459&lt;=AL$9),IF(SUM(AL$10:AL458)-ROUNDDOWN($N459*AL$5/100,0)&lt;-AL$6,-AL$6-SUM(AL$10:AL458),-ROUNDDOWN($N459*AL$5/100,0)),0)</f>
        <v>0</v>
      </c>
      <c r="AM459" s="38">
        <f>IF(AND(AM$7="○",$A459&gt;=AM$8,$A459&lt;=AM$9),IF(SUM(AM$10:AM458)-ROUNDDOWN($L459*AM$5/100,0)&lt;-AM$6,-AM$6-SUM(AM$10:AM458),-ROUNDDOWN($L459*AM$5/100,0)),0)</f>
        <v>0</v>
      </c>
      <c r="AN459" s="38">
        <f>IF(AND(AN$7="○",$A459&gt;=AN$8,$A459&lt;=AN$9),IF(SUM(AN$10:AN458)-ROUNDDOWN($M459*AN$5/100,0)&lt;-AN$6,-AN$6-SUM(AN$10:AN458),-ROUNDDOWN($M459*AN$5/100,0)),0)</f>
        <v>0</v>
      </c>
      <c r="AO459" s="38">
        <f>IF(AND($A459&gt;=AO$8,$A459&lt;=AO$9),IF(SUM(AO$10:AO458)-ROUNDDOWN($K459*AO$5/100,0)&lt;-AO$6,-AO$6-SUM(AO$10:AO458),-ROUNDDOWN($K459*AO$5/100,0)),0)</f>
        <v>0</v>
      </c>
      <c r="AP459" s="38">
        <f>IF(AND($A459&gt;=AP$8,$A459&lt;=AP$9),IF(SUM(AP$10:AP458)-ROUNDDOWN($K459*AP$5/100,0)&lt;-AP$6,-AP$6-SUM(AP$10:AP458),-ROUNDDOWN($K459*AP$5/100,0)),0)</f>
        <v>0</v>
      </c>
      <c r="AQ459" s="38">
        <f>IF(AND($A459&gt;=AQ$8,$A459&lt;=AQ$9),IF(SUM(AQ$10:AQ458)-ROUNDDOWN($K459*AQ$5/100,0)&lt;-AQ$6,-AQ$6-SUM(AQ$10:AQ458),-ROUNDDOWN($K459*AQ$5/100,0)),0)</f>
        <v>0</v>
      </c>
      <c r="AR459" s="38">
        <f>IF(AND($A459&gt;=AR$8,$A459&lt;=AR$9),IF(SUM(AR$10:AR458)-ROUNDDOWN($K459*AR$5/100,0)&lt;-AR$6,-AR$6-SUM(AR$10:AR458),-ROUNDDOWN($K459*AR$5/100,0)),0)</f>
        <v>0</v>
      </c>
      <c r="AS459" s="38">
        <f>IF(SUMIFS(AS$10:AS458,$A$10:$A458,$A459)-ROUNDDOWN($K459*$S459/100,0)&lt;-$S459*1000,-$S459*1000-SUMIFS(AS$10:AS458,$A$10:$A458,$A459),-ROUNDDOWN($K459*$S459/100,0))</f>
        <v>0</v>
      </c>
      <c r="AT459" s="38">
        <f>IF(AND(X459="○",$A459&gt;=AT$8,$A459&lt;=AT$9,K459&gt;=3980),IF(SUM(AT$10:AT458)-ROUNDDOWN($K459*AT$5/100,0)&lt;-AT$6,-AT$6-SUM(AT$10:AT458),-ROUNDDOWN($K459*AT$5/100,0)),0)</f>
        <v>0</v>
      </c>
      <c r="AU459" s="38">
        <f>IF(O459="○",IF(SUM(AU$10:AU458)-ROUNDDOWN($K459*AU$5/100,0)&lt;-AU$6,-AU$6-SUM(AU$10:AU458),-ROUNDDOWN($K459*AU$5/100,0)),0)</f>
        <v>0</v>
      </c>
      <c r="AV459" s="38">
        <f>IF(P459="○",IF(SUM(AV$10:AV458)-ROUNDDOWN($K459*AV$5/100,0)&lt;-AV$6,-AV$6-SUM(AV$10:AV458),-ROUNDDOWN($K459*AV$5/100,0)),0)</f>
        <v>0</v>
      </c>
      <c r="AW459" s="38">
        <f>IF(Q459="○",IF(SUM(AW$10:AW458)-ROUNDDOWN($K459*AW$5/100,0)&lt;-AW$6,-AW$6-SUM(AW$10:AW458),-ROUNDDOWN($K459*AW$5/100,0)),0)</f>
        <v>0</v>
      </c>
      <c r="AX459" s="38">
        <f>IF(R459="○",IF(SUM(AX$10:AX458)-ROUNDDOWN($K459*AX$5/100,0)&lt;-AX$6,-AX$6-SUM(AX$10:AX458),-ROUNDDOWN($K459*AX$5/100,0)),0)</f>
        <v>0</v>
      </c>
      <c r="AY459" s="70">
        <v>0</v>
      </c>
      <c r="AZ459" s="65">
        <f t="shared" si="285"/>
        <v>0</v>
      </c>
      <c r="BA459" s="65">
        <f t="shared" si="286"/>
        <v>0</v>
      </c>
      <c r="BB459" s="70"/>
      <c r="BC459" s="65">
        <f t="shared" si="287"/>
        <v>0</v>
      </c>
      <c r="BD459" s="70">
        <v>0</v>
      </c>
      <c r="BE459" s="65">
        <f t="shared" si="288"/>
        <v>0</v>
      </c>
      <c r="BF459" s="70">
        <v>0</v>
      </c>
      <c r="BG459" s="65">
        <f t="shared" si="289"/>
        <v>0</v>
      </c>
      <c r="BH459" s="70">
        <v>0</v>
      </c>
      <c r="BI459" s="65">
        <f t="shared" si="290"/>
        <v>0</v>
      </c>
      <c r="BJ459" s="38">
        <f>IF(AND(BJ$7="○",$A459&gt;=BJ$8,$A459&lt;=BJ$9),IF(SUM(BJ$10:BJ458)-ROUNDDOWN($M459*BJ$5/100,0)&lt;-BJ$6,-BJ$6-SUM(BJ$10:BJ458),-ROUNDDOWN($M459*BJ$5/100,0)),0)</f>
        <v>0</v>
      </c>
      <c r="BK459" s="38">
        <f>IF(AND(BK$7="○",$A459&gt;=BK$8,$A459&lt;=BK$9),IF(SUM(BK$10:BK458)-ROUNDDOWN($L459*BK$5/100,0)&lt;-BK$6,-BK$6-SUM(BK$10:BK458),-ROUNDDOWN($L459*BK$5/100,0)),0)</f>
        <v>0</v>
      </c>
      <c r="BL459" s="38">
        <f>IF(AND(BL$7="○",$A459&gt;=BL$8,$A459&lt;=BL$9),IF(SUM(BL$10:BL458)-ROUNDDOWN($L459*BL$5/100,0)&lt;-BL$6,-BL$6-SUM(BL$10:BL458),-ROUNDDOWN($L459*BL$5/100,0)),0)</f>
        <v>0</v>
      </c>
      <c r="BM459" s="38">
        <f>IF(AND(BM$7="○",$A459&gt;=BM$8,$A459&lt;=BM$9),IF(SUM(BM$10:BM458)-ROUNDDOWN($M459*BM$5/100,0)&lt;-BM$6,-BM$6-SUM(BM$10:BM458),-ROUNDDOWN($M459*BM$5/100,0)),0)</f>
        <v>0</v>
      </c>
      <c r="BN459" s="38">
        <f>IF(AND(BN$7="○",$A459&gt;=BN$8,$A459&lt;=BN$9),IF(SUM(BN$10:BN458)-ROUNDDOWN($M459*BN$5/100,0)&lt;-BN$6,-BN$6-SUM(BN$10:BN458),-ROUNDDOWN($M459*BN$5/100,0)),0)</f>
        <v>0</v>
      </c>
      <c r="BO459" s="38">
        <f>IF(AND(BO$7="○",$A459&gt;=BO$8,$A459&lt;=BO$9),IF(SUM(BO$10:BO458)-ROUNDDOWN($M459*BO$5/100,0)&lt;-BO$6,-BO$6-SUM(BO$10:BO458),-ROUNDDOWN($M459*BO$5/100,0)),0)</f>
        <v>0</v>
      </c>
      <c r="BP459" s="38">
        <f>IF(AND(BP$7="○",$A459&gt;=BP$8,$A459&lt;=BP$9),IF(SUM(BP$10:BP458)-ROUNDDOWN($M459*BP$5/100,0)&lt;-BP$6,-BP$6-SUM(BP$10:BP458),-ROUNDDOWN($M459*BP$5/100,0)),0)</f>
        <v>0</v>
      </c>
      <c r="BQ459" s="38">
        <f>IF(AND(BQ$7="○",$A459&gt;=BQ$8,$A459&lt;=BQ$9),IF(SUM(BQ$10:BQ458)-ROUNDDOWN($L459*BQ$5/100,0)&lt;-BQ$6,-BQ$6-SUM(BQ$10:BQ458),-ROUNDDOWN($L459*BQ$5/100,0)),0)</f>
        <v>0</v>
      </c>
      <c r="BR459" s="38">
        <f>IF(AND(BR$7="○",$A459&gt;=BR$8,$A459&lt;=BR$9),IF(SUM(BR$10:BR458)-ROUNDDOWN($M459*BR$5/100,0)&lt;-BR$6,-BR$6-SUM(BR$10:BR458),-ROUNDDOWN($M459*BR$5/100,0)),0)</f>
        <v>0</v>
      </c>
      <c r="BS459" s="38">
        <f>IF(AND(BS$7="○",$A459&gt;=BS$8,$A459&lt;=BS$9),IF(SUM(BS$10:BS458)-ROUNDDOWN($M459*BS$5/100,0)&lt;-BS$6,-BS$6-SUM(BS$10:BS458),-ROUNDDOWN($M459*BS$5/100,0)),0)</f>
        <v>0</v>
      </c>
      <c r="BT459" s="38">
        <f>IF(AND(BT$7="○",$A459&gt;=BT$8,$A459&lt;=BT$9),IF(SUM(BT$10:BT458)-ROUNDDOWN($M459*BT$5/100,0)&lt;-BT$6,-BT$6-SUM(BT$10:BT458),-ROUNDDOWN($M459*BT$5/100,0)),0)</f>
        <v>0</v>
      </c>
      <c r="BU459" s="38">
        <f>IF(AND(BU$7="○",$A459&gt;=BU$8,$A459&lt;=BU$9),IF(SUM(BU$10:BU458)-ROUNDDOWN($M459*BU$5/100,0)&lt;-BU$6,-BU$6-SUM(BU$10:BU458),-ROUNDDOWN($M459*BU$5/100,0)),0)</f>
        <v>0</v>
      </c>
      <c r="BV459" s="38">
        <f>IF(AND(BV$7="○",$A459&gt;=BV$8,$A459&lt;=BV$9),IF(SUM(BV$10:BV458)-ROUNDDOWN($M459*BV$5/100,0)&lt;-BV$6,-BV$6-SUM(BV$10:BV458),-ROUNDDOWN($M459*BV$5/100,0)),0)</f>
        <v>0</v>
      </c>
      <c r="BW459" s="38">
        <f>IF(AND(BW$7="○",$A459&gt;=BW$8,$A459&lt;=BW$9),IF(SUM(BW$10:BW458)-ROUNDDOWN($M459*BW$5/100,0)&lt;-BW$6,-BW$6-SUM(BW$10:BW458),-ROUNDDOWN($M459*BW$5/100,0)),0)</f>
        <v>0</v>
      </c>
      <c r="BX459" s="38">
        <f>IF(AND(T459="○",$A459&gt;=BX$8,$A459&lt;=BX$9),IF(SUM(BX$10:BX458)-ROUNDDOWN($K459*BX$5/100,0)&lt;-BX$6,-BX$6-SUM(BX$10:BX458),-ROUNDDOWN($K459*BX$5/100,0)),0)</f>
        <v>0</v>
      </c>
      <c r="BY459" s="38">
        <f>IF(AND(U459="○",$A459&gt;=BY$8,$A459&lt;=BY$9),IF(SUM(BY$10:BY458)-ROUNDDOWN($K459*BY$5/100,0)&lt;-BY$6,-BY$6-SUM(BY$10:BY458),-ROUNDDOWN($K459*BY$5/100,0)),0)</f>
        <v>0</v>
      </c>
      <c r="BZ459" s="38">
        <f>IF(AND(V459="○",$A459&gt;=BZ$8,$A459&lt;=BZ$9),IF(SUM(BZ$10:BZ458)-ROUNDDOWN($K459*BZ$5/100,0)&lt;-BZ$6,-BZ$6-SUM(BZ$10:BZ458),-ROUNDDOWN($K459*BZ$5/100,0)),0)</f>
        <v>0</v>
      </c>
      <c r="CA459" s="38">
        <f>IF(AND(W459="○",$A459&gt;=CA$8,$A459&lt;=CA$9),IF(SUM(CA$10:CA458)-ROUNDDOWN($K459*CA$5/100,0)&lt;-CA$6,-CA$6-SUM(CA$10:CA458),-ROUNDDOWN($K459*CA$5/100,0)),0)</f>
        <v>0</v>
      </c>
      <c r="CB459" s="38"/>
      <c r="CC459" s="38"/>
      <c r="CD459" s="38"/>
      <c r="CE459" s="38"/>
      <c r="CF459" s="38"/>
      <c r="CG459" s="65">
        <f t="shared" si="291"/>
        <v>0</v>
      </c>
      <c r="CH459" s="71">
        <f t="shared" si="292"/>
        <v>0</v>
      </c>
      <c r="CI459" s="1">
        <f t="shared" si="308"/>
        <v>0</v>
      </c>
      <c r="CJ459" s="1"/>
      <c r="CK459" s="79"/>
      <c r="CL459" s="79"/>
      <c r="CM459" s="2"/>
      <c r="CN459" s="2"/>
      <c r="CO459" s="73">
        <f t="shared" si="309"/>
        <v>0</v>
      </c>
      <c r="CP459" s="5">
        <f t="shared" si="310"/>
        <v>0</v>
      </c>
      <c r="CQ459" s="1"/>
      <c r="CR459" s="1">
        <f t="shared" si="311"/>
        <v>0</v>
      </c>
      <c r="CS459" s="1"/>
      <c r="CT459" s="1" t="e">
        <f>INDEX([2]マスタ!$A:$A,MATCH(D459,[2]マスタ!$C:$C,0))</f>
        <v>#N/A</v>
      </c>
      <c r="CU459" s="1" t="str">
        <f t="shared" ca="1" si="312"/>
        <v>20260620_0-0</v>
      </c>
    </row>
    <row r="460" spans="1:99" x14ac:dyDescent="0.4">
      <c r="A460" s="61"/>
      <c r="B460" s="62"/>
      <c r="C460" s="62"/>
      <c r="D460" s="62"/>
      <c r="E460" s="63"/>
      <c r="F460" s="62"/>
      <c r="G460" s="62">
        <v>1</v>
      </c>
      <c r="H460" s="64">
        <f t="shared" si="302"/>
        <v>0</v>
      </c>
      <c r="I460" s="64"/>
      <c r="J460" s="64"/>
      <c r="K460" s="65">
        <f t="shared" si="315"/>
        <v>0</v>
      </c>
      <c r="L460" s="65">
        <f t="shared" si="304"/>
        <v>0</v>
      </c>
      <c r="M460" s="65">
        <f t="shared" si="305"/>
        <v>0</v>
      </c>
      <c r="N460" s="65">
        <f t="shared" si="306"/>
        <v>0</v>
      </c>
      <c r="O460" s="66" t="str">
        <f t="shared" si="9"/>
        <v>✕</v>
      </c>
      <c r="P460" s="67" t="str">
        <f t="shared" si="10"/>
        <v>○</v>
      </c>
      <c r="Q460" s="67" t="str">
        <f t="shared" si="316"/>
        <v>✕</v>
      </c>
      <c r="R460" s="67" t="str">
        <f t="shared" si="12"/>
        <v>✕</v>
      </c>
      <c r="S460" s="68">
        <v>0</v>
      </c>
      <c r="T460" s="69" t="s">
        <v>85</v>
      </c>
      <c r="U460" s="69" t="s">
        <v>85</v>
      </c>
      <c r="V460" s="69" t="s">
        <v>85</v>
      </c>
      <c r="W460" s="69" t="s">
        <v>85</v>
      </c>
      <c r="X460" s="69" t="s">
        <v>84</v>
      </c>
      <c r="Y460" s="69" t="s">
        <v>85</v>
      </c>
      <c r="Z460" s="69" t="s">
        <v>85</v>
      </c>
      <c r="AA460" s="69" t="s">
        <v>85</v>
      </c>
      <c r="AB460" s="69" t="s">
        <v>85</v>
      </c>
      <c r="AC460" s="69" t="s">
        <v>85</v>
      </c>
      <c r="AD460" s="38" t="str">
        <f>+IF(ISERROR(VLOOKUP($B460,AD$10:AD459,1,0)),IF(AND($N460&gt;=1000,$A460&gt;=AO$8,$A460&lt;=AO$9),$B460,""),"")</f>
        <v/>
      </c>
      <c r="AE460" s="38" t="str">
        <f>+IF(ISERROR(VLOOKUP($B460,AE$10:AE459,1,0)),IF(AND($N460&gt;=1000,$A460&gt;=AP$8,$A460&lt;=AP$9),$B460,""),"")</f>
        <v/>
      </c>
      <c r="AF460" s="38" t="str">
        <f>+IF(ISERROR(VLOOKUP($B460,AF$10:AF459,1,0)),IF(AND($N460&gt;=1000,$A460&gt;=AQ$8,$A460&lt;=AQ$9),$B460,""),"")</f>
        <v/>
      </c>
      <c r="AG460" s="38" t="str">
        <f>+IF(ISERROR(VLOOKUP($B460,AG$10:AG459,1,0)),IF(AND($N460&gt;=1000,$A460&gt;=AR$8,$A460&lt;=AR$9),$B460,""),"")</f>
        <v/>
      </c>
      <c r="AH460" s="38"/>
      <c r="AI460" s="70">
        <v>0</v>
      </c>
      <c r="AJ460" s="38">
        <f>IF(AND(AJ$7="○",$A460&gt;=AJ$8,$A460&lt;=AJ$9),IF(SUM(AJ$10:AJ459)-ROUNDDOWN($K460*AJ$5/100,0)&lt;-AJ$6,-AJ$6-SUM(AJ$10:AJ459),-ROUNDDOWN($K460*AJ$5/100,0)),0)</f>
        <v>0</v>
      </c>
      <c r="AK460" s="38">
        <f>IF(AND(AK$7="○",$A460&gt;=AK$8,$A460&lt;=AK$9),IF(SUM(AK$10:AK459)-ROUNDDOWN($L460*AK$5/100,0)&lt;-AK$6,-AK$6-SUM(AK$10:AK459),-ROUNDDOWN($L460*AK$5/100,0)),0)</f>
        <v>0</v>
      </c>
      <c r="AL460" s="38">
        <f>IF(AND(AL$7="○",$A460&gt;=AL$8,$A460&lt;=AL$9),IF(SUM(AL$10:AL459)-ROUNDDOWN($N460*AL$5/100,0)&lt;-AL$6,-AL$6-SUM(AL$10:AL459),-ROUNDDOWN($N460*AL$5/100,0)),0)</f>
        <v>0</v>
      </c>
      <c r="AM460" s="38">
        <f>IF(AND(AM$7="○",$A460&gt;=AM$8,$A460&lt;=AM$9),IF(SUM(AM$10:AM459)-ROUNDDOWN($L460*AM$5/100,0)&lt;-AM$6,-AM$6-SUM(AM$10:AM459),-ROUNDDOWN($L460*AM$5/100,0)),0)</f>
        <v>0</v>
      </c>
      <c r="AN460" s="38">
        <f>IF(AND(AN$7="○",$A460&gt;=AN$8,$A460&lt;=AN$9),IF(SUM(AN$10:AN459)-ROUNDDOWN($M460*AN$5/100,0)&lt;-AN$6,-AN$6-SUM(AN$10:AN459),-ROUNDDOWN($M460*AN$5/100,0)),0)</f>
        <v>0</v>
      </c>
      <c r="AO460" s="38">
        <f>IF(AND($A460&gt;=AO$8,$A460&lt;=AO$9),IF(SUM(AO$10:AO459)-ROUNDDOWN($K460*AO$5/100,0)&lt;-AO$6,-AO$6-SUM(AO$10:AO459),-ROUNDDOWN($K460*AO$5/100,0)),0)</f>
        <v>0</v>
      </c>
      <c r="AP460" s="38">
        <f>IF(AND($A460&gt;=AP$8,$A460&lt;=AP$9),IF(SUM(AP$10:AP459)-ROUNDDOWN($K460*AP$5/100,0)&lt;-AP$6,-AP$6-SUM(AP$10:AP459),-ROUNDDOWN($K460*AP$5/100,0)),0)</f>
        <v>0</v>
      </c>
      <c r="AQ460" s="38">
        <f>IF(AND($A460&gt;=AQ$8,$A460&lt;=AQ$9),IF(SUM(AQ$10:AQ459)-ROUNDDOWN($K460*AQ$5/100,0)&lt;-AQ$6,-AQ$6-SUM(AQ$10:AQ459),-ROUNDDOWN($K460*AQ$5/100,0)),0)</f>
        <v>0</v>
      </c>
      <c r="AR460" s="38">
        <f>IF(AND($A460&gt;=AR$8,$A460&lt;=AR$9),IF(SUM(AR$10:AR459)-ROUNDDOWN($K460*AR$5/100,0)&lt;-AR$6,-AR$6-SUM(AR$10:AR459),-ROUNDDOWN($K460*AR$5/100,0)),0)</f>
        <v>0</v>
      </c>
      <c r="AS460" s="38">
        <f>IF(SUMIFS(AS$10:AS459,$A$10:$A459,$A460)-ROUNDDOWN($K460*$S460/100,0)&lt;-$S460*1000,-$S460*1000-SUMIFS(AS$10:AS459,$A$10:$A459,$A460),-ROUNDDOWN($K460*$S460/100,0))</f>
        <v>0</v>
      </c>
      <c r="AT460" s="38">
        <f>IF(AND(X460="○",$A460&gt;=AT$8,$A460&lt;=AT$9,K460&gt;=3980),IF(SUM(AT$10:AT459)-ROUNDDOWN($K460*AT$5/100,0)&lt;-AT$6,-AT$6-SUM(AT$10:AT459),-ROUNDDOWN($K460*AT$5/100,0)),0)</f>
        <v>0</v>
      </c>
      <c r="AU460" s="38">
        <f>IF(O460="○",IF(SUM(AU$10:AU459)-ROUNDDOWN($K460*AU$5/100,0)&lt;-AU$6,-AU$6-SUM(AU$10:AU459),-ROUNDDOWN($K460*AU$5/100,0)),0)</f>
        <v>0</v>
      </c>
      <c r="AV460" s="38">
        <f>IF(P460="○",IF(SUM(AV$10:AV459)-ROUNDDOWN($K460*AV$5/100,0)&lt;-AV$6,-AV$6-SUM(AV$10:AV459),-ROUNDDOWN($K460*AV$5/100,0)),0)</f>
        <v>0</v>
      </c>
      <c r="AW460" s="38">
        <f>IF(Q460="○",IF(SUM(AW$10:AW459)-ROUNDDOWN($K460*AW$5/100,0)&lt;-AW$6,-AW$6-SUM(AW$10:AW459),-ROUNDDOWN($K460*AW$5/100,0)),0)</f>
        <v>0</v>
      </c>
      <c r="AX460" s="38">
        <f>IF(R460="○",IF(SUM(AX$10:AX459)-ROUNDDOWN($K460*AX$5/100,0)&lt;-AX$6,-AX$6-SUM(AX$10:AX459),-ROUNDDOWN($K460*AX$5/100,0)),0)</f>
        <v>0</v>
      </c>
      <c r="AY460" s="70">
        <v>0</v>
      </c>
      <c r="AZ460" s="65">
        <f t="shared" si="285"/>
        <v>0</v>
      </c>
      <c r="BA460" s="65">
        <f t="shared" si="286"/>
        <v>0</v>
      </c>
      <c r="BB460" s="70"/>
      <c r="BC460" s="65">
        <f t="shared" si="287"/>
        <v>0</v>
      </c>
      <c r="BD460" s="70">
        <v>0</v>
      </c>
      <c r="BE460" s="65">
        <f t="shared" si="288"/>
        <v>0</v>
      </c>
      <c r="BF460" s="70">
        <v>0</v>
      </c>
      <c r="BG460" s="65">
        <f t="shared" si="289"/>
        <v>0</v>
      </c>
      <c r="BH460" s="70">
        <v>0</v>
      </c>
      <c r="BI460" s="65">
        <f t="shared" si="290"/>
        <v>0</v>
      </c>
      <c r="BJ460" s="38">
        <f>IF(AND(BJ$7="○",$A460&gt;=BJ$8,$A460&lt;=BJ$9),IF(SUM(BJ$10:BJ459)-ROUNDDOWN($M460*BJ$5/100,0)&lt;-BJ$6,-BJ$6-SUM(BJ$10:BJ459),-ROUNDDOWN($M460*BJ$5/100,0)),0)</f>
        <v>0</v>
      </c>
      <c r="BK460" s="38">
        <f>IF(AND(BK$7="○",$A460&gt;=BK$8,$A460&lt;=BK$9),IF(SUM(BK$10:BK459)-ROUNDDOWN($L460*BK$5/100,0)&lt;-BK$6,-BK$6-SUM(BK$10:BK459),-ROUNDDOWN($L460*BK$5/100,0)),0)</f>
        <v>0</v>
      </c>
      <c r="BL460" s="38">
        <f>IF(AND(BL$7="○",$A460&gt;=BL$8,$A460&lt;=BL$9),IF(SUM(BL$10:BL459)-ROUNDDOWN($L460*BL$5/100,0)&lt;-BL$6,-BL$6-SUM(BL$10:BL459),-ROUNDDOWN($L460*BL$5/100,0)),0)</f>
        <v>0</v>
      </c>
      <c r="BM460" s="38">
        <f>IF(AND(BM$7="○",$A460&gt;=BM$8,$A460&lt;=BM$9),IF(SUM(BM$10:BM459)-ROUNDDOWN($M460*BM$5/100,0)&lt;-BM$6,-BM$6-SUM(BM$10:BM459),-ROUNDDOWN($M460*BM$5/100,0)),0)</f>
        <v>0</v>
      </c>
      <c r="BN460" s="38">
        <f>IF(AND(BN$7="○",$A460&gt;=BN$8,$A460&lt;=BN$9),IF(SUM(BN$10:BN459)-ROUNDDOWN($M460*BN$5/100,0)&lt;-BN$6,-BN$6-SUM(BN$10:BN459),-ROUNDDOWN($M460*BN$5/100,0)),0)</f>
        <v>0</v>
      </c>
      <c r="BO460" s="38">
        <f>IF(AND(BO$7="○",$A460&gt;=BO$8,$A460&lt;=BO$9),IF(SUM(BO$10:BO459)-ROUNDDOWN($M460*BO$5/100,0)&lt;-BO$6,-BO$6-SUM(BO$10:BO459),-ROUNDDOWN($M460*BO$5/100,0)),0)</f>
        <v>0</v>
      </c>
      <c r="BP460" s="38">
        <f>IF(AND(BP$7="○",$A460&gt;=BP$8,$A460&lt;=BP$9),IF(SUM(BP$10:BP459)-ROUNDDOWN($M460*BP$5/100,0)&lt;-BP$6,-BP$6-SUM(BP$10:BP459),-ROUNDDOWN($M460*BP$5/100,0)),0)</f>
        <v>0</v>
      </c>
      <c r="BQ460" s="38">
        <f>IF(AND(BQ$7="○",$A460&gt;=BQ$8,$A460&lt;=BQ$9),IF(SUM(BQ$10:BQ459)-ROUNDDOWN($L460*BQ$5/100,0)&lt;-BQ$6,-BQ$6-SUM(BQ$10:BQ459),-ROUNDDOWN($L460*BQ$5/100,0)),0)</f>
        <v>0</v>
      </c>
      <c r="BR460" s="38">
        <f>IF(AND(BR$7="○",$A460&gt;=BR$8,$A460&lt;=BR$9),IF(SUM(BR$10:BR459)-ROUNDDOWN($M460*BR$5/100,0)&lt;-BR$6,-BR$6-SUM(BR$10:BR459),-ROUNDDOWN($M460*BR$5/100,0)),0)</f>
        <v>0</v>
      </c>
      <c r="BS460" s="38">
        <f>IF(AND(BS$7="○",$A460&gt;=BS$8,$A460&lt;=BS$9),IF(SUM(BS$10:BS459)-ROUNDDOWN($M460*BS$5/100,0)&lt;-BS$6,-BS$6-SUM(BS$10:BS459),-ROUNDDOWN($M460*BS$5/100,0)),0)</f>
        <v>0</v>
      </c>
      <c r="BT460" s="38">
        <f>IF(AND(BT$7="○",$A460&gt;=BT$8,$A460&lt;=BT$9),IF(SUM(BT$10:BT459)-ROUNDDOWN($M460*BT$5/100,0)&lt;-BT$6,-BT$6-SUM(BT$10:BT459),-ROUNDDOWN($M460*BT$5/100,0)),0)</f>
        <v>0</v>
      </c>
      <c r="BU460" s="38">
        <f>IF(AND(BU$7="○",$A460&gt;=BU$8,$A460&lt;=BU$9),IF(SUM(BU$10:BU459)-ROUNDDOWN($M460*BU$5/100,0)&lt;-BU$6,-BU$6-SUM(BU$10:BU459),-ROUNDDOWN($M460*BU$5/100,0)),0)</f>
        <v>0</v>
      </c>
      <c r="BV460" s="38">
        <f>IF(AND(BV$7="○",$A460&gt;=BV$8,$A460&lt;=BV$9),IF(SUM(BV$10:BV459)-ROUNDDOWN($M460*BV$5/100,0)&lt;-BV$6,-BV$6-SUM(BV$10:BV459),-ROUNDDOWN($M460*BV$5/100,0)),0)</f>
        <v>0</v>
      </c>
      <c r="BW460" s="38">
        <f>IF(AND(BW$7="○",$A460&gt;=BW$8,$A460&lt;=BW$9),IF(SUM(BW$10:BW459)-ROUNDDOWN($M460*BW$5/100,0)&lt;-BW$6,-BW$6-SUM(BW$10:BW459),-ROUNDDOWN($M460*BW$5/100,0)),0)</f>
        <v>0</v>
      </c>
      <c r="BX460" s="38">
        <f>IF(AND(T460="○",$A460&gt;=BX$8,$A460&lt;=BX$9),IF(SUM(BX$10:BX459)-ROUNDDOWN($K460*BX$5/100,0)&lt;-BX$6,-BX$6-SUM(BX$10:BX459),-ROUNDDOWN($K460*BX$5/100,0)),0)</f>
        <v>0</v>
      </c>
      <c r="BY460" s="38">
        <f>IF(AND(U460="○",$A460&gt;=BY$8,$A460&lt;=BY$9),IF(SUM(BY$10:BY459)-ROUNDDOWN($K460*BY$5/100,0)&lt;-BY$6,-BY$6-SUM(BY$10:BY459),-ROUNDDOWN($K460*BY$5/100,0)),0)</f>
        <v>0</v>
      </c>
      <c r="BZ460" s="38">
        <f>IF(AND(V460="○",$A460&gt;=BZ$8,$A460&lt;=BZ$9),IF(SUM(BZ$10:BZ459)-ROUNDDOWN($K460*BZ$5/100,0)&lt;-BZ$6,-BZ$6-SUM(BZ$10:BZ459),-ROUNDDOWN($K460*BZ$5/100,0)),0)</f>
        <v>0</v>
      </c>
      <c r="CA460" s="38">
        <f>IF(AND(W460="○",$A460&gt;=CA$8,$A460&lt;=CA$9),IF(SUM(CA$10:CA459)-ROUNDDOWN($K460*CA$5/100,0)&lt;-CA$6,-CA$6-SUM(CA$10:CA459),-ROUNDDOWN($K460*CA$5/100,0)),0)</f>
        <v>0</v>
      </c>
      <c r="CB460" s="38"/>
      <c r="CC460" s="38"/>
      <c r="CD460" s="38"/>
      <c r="CE460" s="38"/>
      <c r="CF460" s="38"/>
      <c r="CG460" s="65">
        <f t="shared" si="291"/>
        <v>0</v>
      </c>
      <c r="CH460" s="71">
        <f t="shared" si="292"/>
        <v>0</v>
      </c>
      <c r="CI460" s="1">
        <f t="shared" si="308"/>
        <v>0</v>
      </c>
      <c r="CJ460" s="1"/>
      <c r="CK460" s="72"/>
      <c r="CL460" s="72"/>
      <c r="CM460" s="2"/>
      <c r="CN460" s="2"/>
      <c r="CO460" s="73">
        <f t="shared" si="309"/>
        <v>0</v>
      </c>
      <c r="CP460" s="5">
        <f t="shared" si="310"/>
        <v>0</v>
      </c>
      <c r="CQ460" s="1"/>
      <c r="CR460" s="1">
        <f t="shared" si="311"/>
        <v>0</v>
      </c>
      <c r="CS460" s="1"/>
      <c r="CT460" s="1" t="e">
        <f>INDEX([2]マスタ!$A:$A,MATCH(D460,[2]マスタ!$C:$C,0))</f>
        <v>#N/A</v>
      </c>
      <c r="CU460" s="1" t="str">
        <f t="shared" ca="1" si="312"/>
        <v>20260620_0-0</v>
      </c>
    </row>
    <row r="461" spans="1:99" x14ac:dyDescent="0.4">
      <c r="A461" s="61"/>
      <c r="B461" s="62"/>
      <c r="C461" s="62"/>
      <c r="D461" s="62"/>
      <c r="E461" s="63"/>
      <c r="F461" s="62"/>
      <c r="G461" s="62">
        <v>1</v>
      </c>
      <c r="H461" s="64">
        <f t="shared" si="302"/>
        <v>0</v>
      </c>
      <c r="I461" s="64"/>
      <c r="J461" s="64"/>
      <c r="K461" s="65">
        <f t="shared" si="315"/>
        <v>0</v>
      </c>
      <c r="L461" s="65">
        <f t="shared" si="304"/>
        <v>0</v>
      </c>
      <c r="M461" s="65">
        <f t="shared" si="305"/>
        <v>0</v>
      </c>
      <c r="N461" s="65">
        <f t="shared" si="306"/>
        <v>0</v>
      </c>
      <c r="O461" s="66" t="str">
        <f t="shared" si="9"/>
        <v>✕</v>
      </c>
      <c r="P461" s="67" t="str">
        <f t="shared" si="10"/>
        <v>○</v>
      </c>
      <c r="Q461" s="67" t="str">
        <f t="shared" si="316"/>
        <v>✕</v>
      </c>
      <c r="R461" s="67" t="str">
        <f t="shared" si="12"/>
        <v>✕</v>
      </c>
      <c r="S461" s="68">
        <v>0</v>
      </c>
      <c r="T461" s="69" t="s">
        <v>85</v>
      </c>
      <c r="U461" s="69" t="s">
        <v>85</v>
      </c>
      <c r="V461" s="69" t="s">
        <v>85</v>
      </c>
      <c r="W461" s="69" t="s">
        <v>85</v>
      </c>
      <c r="X461" s="69" t="s">
        <v>84</v>
      </c>
      <c r="Y461" s="69" t="s">
        <v>85</v>
      </c>
      <c r="Z461" s="69" t="s">
        <v>85</v>
      </c>
      <c r="AA461" s="69" t="s">
        <v>85</v>
      </c>
      <c r="AB461" s="69" t="s">
        <v>85</v>
      </c>
      <c r="AC461" s="69" t="s">
        <v>85</v>
      </c>
      <c r="AD461" s="38" t="str">
        <f>+IF(ISERROR(VLOOKUP($B461,AD$10:AD460,1,0)),IF(AND($N461&gt;=1000,$A461&gt;=AO$8,$A461&lt;=AO$9),$B461,""),"")</f>
        <v/>
      </c>
      <c r="AE461" s="38" t="str">
        <f>+IF(ISERROR(VLOOKUP($B461,AE$10:AE460,1,0)),IF(AND($N461&gt;=1000,$A461&gt;=AP$8,$A461&lt;=AP$9),$B461,""),"")</f>
        <v/>
      </c>
      <c r="AF461" s="38" t="str">
        <f>+IF(ISERROR(VLOOKUP($B461,AF$10:AF460,1,0)),IF(AND($N461&gt;=1000,$A461&gt;=AQ$8,$A461&lt;=AQ$9),$B461,""),"")</f>
        <v/>
      </c>
      <c r="AG461" s="38" t="str">
        <f>+IF(ISERROR(VLOOKUP($B461,AG$10:AG460,1,0)),IF(AND($N461&gt;=1000,$A461&gt;=AR$8,$A461&lt;=AR$9),$B461,""),"")</f>
        <v/>
      </c>
      <c r="AH461" s="38"/>
      <c r="AI461" s="70">
        <v>0</v>
      </c>
      <c r="AJ461" s="38">
        <f>IF(AND(AJ$7="○",$A461&gt;=AJ$8,$A461&lt;=AJ$9),IF(SUM(AJ$10:AJ460)-ROUNDDOWN($K461*AJ$5/100,0)&lt;-AJ$6,-AJ$6-SUM(AJ$10:AJ460),-ROUNDDOWN($K461*AJ$5/100,0)),0)</f>
        <v>0</v>
      </c>
      <c r="AK461" s="38">
        <f>IF(AND(AK$7="○",$A461&gt;=AK$8,$A461&lt;=AK$9),IF(SUM(AK$10:AK460)-ROUNDDOWN($L461*AK$5/100,0)&lt;-AK$6,-AK$6-SUM(AK$10:AK460),-ROUNDDOWN($L461*AK$5/100,0)),0)</f>
        <v>0</v>
      </c>
      <c r="AL461" s="38">
        <f>IF(AND(AL$7="○",$A461&gt;=AL$8,$A461&lt;=AL$9),IF(SUM(AL$10:AL460)-ROUNDDOWN($N461*AL$5/100,0)&lt;-AL$6,-AL$6-SUM(AL$10:AL460),-ROUNDDOWN($N461*AL$5/100,0)),0)</f>
        <v>0</v>
      </c>
      <c r="AM461" s="38">
        <f>IF(AND(AM$7="○",$A461&gt;=AM$8,$A461&lt;=AM$9),IF(SUM(AM$10:AM460)-ROUNDDOWN($L461*AM$5/100,0)&lt;-AM$6,-AM$6-SUM(AM$10:AM460),-ROUNDDOWN($L461*AM$5/100,0)),0)</f>
        <v>0</v>
      </c>
      <c r="AN461" s="38">
        <f>IF(AND(AN$7="○",$A461&gt;=AN$8,$A461&lt;=AN$9),IF(SUM(AN$10:AN460)-ROUNDDOWN($M461*AN$5/100,0)&lt;-AN$6,-AN$6-SUM(AN$10:AN460),-ROUNDDOWN($M461*AN$5/100,0)),0)</f>
        <v>0</v>
      </c>
      <c r="AO461" s="38">
        <f>IF(AND($A461&gt;=AO$8,$A461&lt;=AO$9),IF(SUM(AO$10:AO460)-ROUNDDOWN($K461*AO$5/100,0)&lt;-AO$6,-AO$6-SUM(AO$10:AO460),-ROUNDDOWN($K461*AO$5/100,0)),0)</f>
        <v>0</v>
      </c>
      <c r="AP461" s="38">
        <f>IF(AND($A461&gt;=AP$8,$A461&lt;=AP$9),IF(SUM(AP$10:AP460)-ROUNDDOWN($K461*AP$5/100,0)&lt;-AP$6,-AP$6-SUM(AP$10:AP460),-ROUNDDOWN($K461*AP$5/100,0)),0)</f>
        <v>0</v>
      </c>
      <c r="AQ461" s="38">
        <f>IF(AND($A461&gt;=AQ$8,$A461&lt;=AQ$9),IF(SUM(AQ$10:AQ460)-ROUNDDOWN($K461*AQ$5/100,0)&lt;-AQ$6,-AQ$6-SUM(AQ$10:AQ460),-ROUNDDOWN($K461*AQ$5/100,0)),0)</f>
        <v>0</v>
      </c>
      <c r="AR461" s="38">
        <f>IF(AND($A461&gt;=AR$8,$A461&lt;=AR$9),IF(SUM(AR$10:AR460)-ROUNDDOWN($K461*AR$5/100,0)&lt;-AR$6,-AR$6-SUM(AR$10:AR460),-ROUNDDOWN($K461*AR$5/100,0)),0)</f>
        <v>0</v>
      </c>
      <c r="AS461" s="38">
        <f>IF(SUMIFS(AS$10:AS460,$A$10:$A460,$A461)-ROUNDDOWN($K461*$S461/100,0)&lt;-$S461*1000,-$S461*1000-SUMIFS(AS$10:AS460,$A$10:$A460,$A461),-ROUNDDOWN($K461*$S461/100,0))</f>
        <v>0</v>
      </c>
      <c r="AT461" s="38">
        <f>IF(AND(X461="○",$A461&gt;=AT$8,$A461&lt;=AT$9,K461&gt;=3980),IF(SUM(AT$10:AT460)-ROUNDDOWN($K461*AT$5/100,0)&lt;-AT$6,-AT$6-SUM(AT$10:AT460),-ROUNDDOWN($K461*AT$5/100,0)),0)</f>
        <v>0</v>
      </c>
      <c r="AU461" s="38">
        <f>IF(O461="○",IF(SUM(AU$10:AU460)-ROUNDDOWN($K461*AU$5/100,0)&lt;-AU$6,-AU$6-SUM(AU$10:AU460),-ROUNDDOWN($K461*AU$5/100,0)),0)</f>
        <v>0</v>
      </c>
      <c r="AV461" s="38">
        <f>IF(P461="○",IF(SUM(AV$10:AV460)-ROUNDDOWN($K461*AV$5/100,0)&lt;-AV$6,-AV$6-SUM(AV$10:AV460),-ROUNDDOWN($K461*AV$5/100,0)),0)</f>
        <v>0</v>
      </c>
      <c r="AW461" s="38">
        <f>IF(Q461="○",IF(SUM(AW$10:AW460)-ROUNDDOWN($K461*AW$5/100,0)&lt;-AW$6,-AW$6-SUM(AW$10:AW460),-ROUNDDOWN($K461*AW$5/100,0)),0)</f>
        <v>0</v>
      </c>
      <c r="AX461" s="38">
        <f>IF(R461="○",IF(SUM(AX$10:AX460)-ROUNDDOWN($K461*AX$5/100,0)&lt;-AX$6,-AX$6-SUM(AX$10:AX460),-ROUNDDOWN($K461*AX$5/100,0)),0)</f>
        <v>0</v>
      </c>
      <c r="AY461" s="70">
        <v>0</v>
      </c>
      <c r="AZ461" s="65">
        <f t="shared" si="285"/>
        <v>0</v>
      </c>
      <c r="BA461" s="65">
        <f t="shared" si="286"/>
        <v>0</v>
      </c>
      <c r="BB461" s="70"/>
      <c r="BC461" s="65">
        <f t="shared" si="287"/>
        <v>0</v>
      </c>
      <c r="BD461" s="70">
        <v>0</v>
      </c>
      <c r="BE461" s="65">
        <f t="shared" si="288"/>
        <v>0</v>
      </c>
      <c r="BF461" s="70">
        <v>0</v>
      </c>
      <c r="BG461" s="65">
        <f t="shared" si="289"/>
        <v>0</v>
      </c>
      <c r="BH461" s="70">
        <v>0</v>
      </c>
      <c r="BI461" s="65">
        <f t="shared" si="290"/>
        <v>0</v>
      </c>
      <c r="BJ461" s="38">
        <f>IF(AND(BJ$7="○",$A461&gt;=BJ$8,$A461&lt;=BJ$9),IF(SUM(BJ$10:BJ460)-ROUNDDOWN($M461*BJ$5/100,0)&lt;-BJ$6,-BJ$6-SUM(BJ$10:BJ460),-ROUNDDOWN($M461*BJ$5/100,0)),0)</f>
        <v>0</v>
      </c>
      <c r="BK461" s="38">
        <f>IF(AND(BK$7="○",$A461&gt;=BK$8,$A461&lt;=BK$9),IF(SUM(BK$10:BK460)-ROUNDDOWN($L461*BK$5/100,0)&lt;-BK$6,-BK$6-SUM(BK$10:BK460),-ROUNDDOWN($L461*BK$5/100,0)),0)</f>
        <v>0</v>
      </c>
      <c r="BL461" s="38">
        <f>IF(AND(BL$7="○",$A461&gt;=BL$8,$A461&lt;=BL$9),IF(SUM(BL$10:BL460)-ROUNDDOWN($L461*BL$5/100,0)&lt;-BL$6,-BL$6-SUM(BL$10:BL460),-ROUNDDOWN($L461*BL$5/100,0)),0)</f>
        <v>0</v>
      </c>
      <c r="BM461" s="38">
        <f>IF(AND(BM$7="○",$A461&gt;=BM$8,$A461&lt;=BM$9),IF(SUM(BM$10:BM460)-ROUNDDOWN($M461*BM$5/100,0)&lt;-BM$6,-BM$6-SUM(BM$10:BM460),-ROUNDDOWN($M461*BM$5/100,0)),0)</f>
        <v>0</v>
      </c>
      <c r="BN461" s="38">
        <f>IF(AND(BN$7="○",$A461&gt;=BN$8,$A461&lt;=BN$9),IF(SUM(BN$10:BN460)-ROUNDDOWN($M461*BN$5/100,0)&lt;-BN$6,-BN$6-SUM(BN$10:BN460),-ROUNDDOWN($M461*BN$5/100,0)),0)</f>
        <v>0</v>
      </c>
      <c r="BO461" s="38">
        <f>IF(AND(BO$7="○",$A461&gt;=BO$8,$A461&lt;=BO$9),IF(SUM(BO$10:BO460)-ROUNDDOWN($M461*BO$5/100,0)&lt;-BO$6,-BO$6-SUM(BO$10:BO460),-ROUNDDOWN($M461*BO$5/100,0)),0)</f>
        <v>0</v>
      </c>
      <c r="BP461" s="38">
        <f>IF(AND(BP$7="○",$A461&gt;=BP$8,$A461&lt;=BP$9),IF(SUM(BP$10:BP460)-ROUNDDOWN($M461*BP$5/100,0)&lt;-BP$6,-BP$6-SUM(BP$10:BP460),-ROUNDDOWN($M461*BP$5/100,0)),0)</f>
        <v>0</v>
      </c>
      <c r="BQ461" s="38">
        <f>IF(AND(BQ$7="○",$A461&gt;=BQ$8,$A461&lt;=BQ$9),IF(SUM(BQ$10:BQ460)-ROUNDDOWN($L461*BQ$5/100,0)&lt;-BQ$6,-BQ$6-SUM(BQ$10:BQ460),-ROUNDDOWN($L461*BQ$5/100,0)),0)</f>
        <v>0</v>
      </c>
      <c r="BR461" s="38">
        <f>IF(AND(BR$7="○",$A461&gt;=BR$8,$A461&lt;=BR$9),IF(SUM(BR$10:BR460)-ROUNDDOWN($M461*BR$5/100,0)&lt;-BR$6,-BR$6-SUM(BR$10:BR460),-ROUNDDOWN($M461*BR$5/100,0)),0)</f>
        <v>0</v>
      </c>
      <c r="BS461" s="38">
        <f>IF(AND(BS$7="○",$A461&gt;=BS$8,$A461&lt;=BS$9),IF(SUM(BS$10:BS460)-ROUNDDOWN($M461*BS$5/100,0)&lt;-BS$6,-BS$6-SUM(BS$10:BS460),-ROUNDDOWN($M461*BS$5/100,0)),0)</f>
        <v>0</v>
      </c>
      <c r="BT461" s="38">
        <f>IF(AND(BT$7="○",$A461&gt;=BT$8,$A461&lt;=BT$9),IF(SUM(BT$10:BT460)-ROUNDDOWN($M461*BT$5/100,0)&lt;-BT$6,-BT$6-SUM(BT$10:BT460),-ROUNDDOWN($M461*BT$5/100,0)),0)</f>
        <v>0</v>
      </c>
      <c r="BU461" s="38">
        <f>IF(AND(BU$7="○",$A461&gt;=BU$8,$A461&lt;=BU$9),IF(SUM(BU$10:BU460)-ROUNDDOWN($M461*BU$5/100,0)&lt;-BU$6,-BU$6-SUM(BU$10:BU460),-ROUNDDOWN($M461*BU$5/100,0)),0)</f>
        <v>0</v>
      </c>
      <c r="BV461" s="38">
        <f>IF(AND(BV$7="○",$A461&gt;=BV$8,$A461&lt;=BV$9),IF(SUM(BV$10:BV460)-ROUNDDOWN($M461*BV$5/100,0)&lt;-BV$6,-BV$6-SUM(BV$10:BV460),-ROUNDDOWN($M461*BV$5/100,0)),0)</f>
        <v>0</v>
      </c>
      <c r="BW461" s="38">
        <f>IF(AND(BW$7="○",$A461&gt;=BW$8,$A461&lt;=BW$9),IF(SUM(BW$10:BW460)-ROUNDDOWN($M461*BW$5/100,0)&lt;-BW$6,-BW$6-SUM(BW$10:BW460),-ROUNDDOWN($M461*BW$5/100,0)),0)</f>
        <v>0</v>
      </c>
      <c r="BX461" s="38">
        <f>IF(AND(T461="○",$A461&gt;=BX$8,$A461&lt;=BX$9),IF(SUM(BX$10:BX460)-ROUNDDOWN($K461*BX$5/100,0)&lt;-BX$6,-BX$6-SUM(BX$10:BX460),-ROUNDDOWN($K461*BX$5/100,0)),0)</f>
        <v>0</v>
      </c>
      <c r="BY461" s="38">
        <f>IF(AND(U461="○",$A461&gt;=BY$8,$A461&lt;=BY$9),IF(SUM(BY$10:BY460)-ROUNDDOWN($K461*BY$5/100,0)&lt;-BY$6,-BY$6-SUM(BY$10:BY460),-ROUNDDOWN($K461*BY$5/100,0)),0)</f>
        <v>0</v>
      </c>
      <c r="BZ461" s="38">
        <f>IF(AND(V461="○",$A461&gt;=BZ$8,$A461&lt;=BZ$9),IF(SUM(BZ$10:BZ460)-ROUNDDOWN($K461*BZ$5/100,0)&lt;-BZ$6,-BZ$6-SUM(BZ$10:BZ460),-ROUNDDOWN($K461*BZ$5/100,0)),0)</f>
        <v>0</v>
      </c>
      <c r="CA461" s="38">
        <f>IF(AND(W461="○",$A461&gt;=CA$8,$A461&lt;=CA$9),IF(SUM(CA$10:CA460)-ROUNDDOWN($K461*CA$5/100,0)&lt;-CA$6,-CA$6-SUM(CA$10:CA460),-ROUNDDOWN($K461*CA$5/100,0)),0)</f>
        <v>0</v>
      </c>
      <c r="CB461" s="38"/>
      <c r="CC461" s="38"/>
      <c r="CD461" s="38"/>
      <c r="CE461" s="38"/>
      <c r="CF461" s="38"/>
      <c r="CG461" s="65">
        <f t="shared" si="291"/>
        <v>0</v>
      </c>
      <c r="CH461" s="71">
        <f t="shared" si="292"/>
        <v>0</v>
      </c>
      <c r="CI461" s="1">
        <f t="shared" si="308"/>
        <v>0</v>
      </c>
      <c r="CJ461" s="1"/>
      <c r="CK461" s="2"/>
      <c r="CL461" s="2"/>
      <c r="CM461" s="2"/>
      <c r="CN461" s="2"/>
      <c r="CO461" s="73">
        <f t="shared" si="309"/>
        <v>0</v>
      </c>
      <c r="CP461" s="5">
        <f t="shared" si="310"/>
        <v>0</v>
      </c>
      <c r="CQ461" s="1"/>
      <c r="CR461" s="1">
        <f t="shared" si="311"/>
        <v>0</v>
      </c>
      <c r="CS461" s="1"/>
      <c r="CT461" s="1" t="e">
        <f>INDEX([2]マスタ!$A:$A,MATCH(D461,[2]マスタ!$C:$C,0))</f>
        <v>#N/A</v>
      </c>
      <c r="CU461" s="1" t="str">
        <f t="shared" ca="1" si="312"/>
        <v>20260620_0-0</v>
      </c>
    </row>
    <row r="462" spans="1:99" x14ac:dyDescent="0.4">
      <c r="A462" s="61"/>
      <c r="B462" s="62"/>
      <c r="C462" s="62"/>
      <c r="D462" s="62"/>
      <c r="E462" s="63"/>
      <c r="F462" s="62"/>
      <c r="G462" s="62">
        <v>1</v>
      </c>
      <c r="H462" s="64">
        <f t="shared" si="302"/>
        <v>0</v>
      </c>
      <c r="I462" s="64"/>
      <c r="J462" s="78"/>
      <c r="K462" s="65">
        <f t="shared" si="315"/>
        <v>0</v>
      </c>
      <c r="L462" s="65">
        <f t="shared" si="304"/>
        <v>0</v>
      </c>
      <c r="M462" s="65">
        <f t="shared" si="305"/>
        <v>0</v>
      </c>
      <c r="N462" s="65">
        <f t="shared" si="306"/>
        <v>0</v>
      </c>
      <c r="O462" s="66" t="str">
        <f t="shared" si="9"/>
        <v>✕</v>
      </c>
      <c r="P462" s="67" t="str">
        <f t="shared" si="10"/>
        <v>○</v>
      </c>
      <c r="Q462" s="67" t="str">
        <f t="shared" si="316"/>
        <v>✕</v>
      </c>
      <c r="R462" s="67" t="str">
        <f t="shared" si="12"/>
        <v>✕</v>
      </c>
      <c r="S462" s="68">
        <v>0</v>
      </c>
      <c r="T462" s="69" t="s">
        <v>85</v>
      </c>
      <c r="U462" s="69" t="s">
        <v>85</v>
      </c>
      <c r="V462" s="69" t="s">
        <v>85</v>
      </c>
      <c r="W462" s="69" t="s">
        <v>85</v>
      </c>
      <c r="X462" s="69" t="s">
        <v>84</v>
      </c>
      <c r="Y462" s="69" t="s">
        <v>85</v>
      </c>
      <c r="Z462" s="69" t="s">
        <v>85</v>
      </c>
      <c r="AA462" s="69" t="s">
        <v>85</v>
      </c>
      <c r="AB462" s="69" t="s">
        <v>85</v>
      </c>
      <c r="AC462" s="69" t="s">
        <v>85</v>
      </c>
      <c r="AD462" s="38" t="str">
        <f>+IF(ISERROR(VLOOKUP($B462,AD$10:AD461,1,0)),IF(AND($N462&gt;=1000,$A462&gt;=AO$8,$A462&lt;=AO$9),$B462,""),"")</f>
        <v/>
      </c>
      <c r="AE462" s="38" t="str">
        <f>+IF(ISERROR(VLOOKUP($B462,AE$10:AE461,1,0)),IF(AND($N462&gt;=1000,$A462&gt;=AP$8,$A462&lt;=AP$9),$B462,""),"")</f>
        <v/>
      </c>
      <c r="AF462" s="38" t="str">
        <f>+IF(ISERROR(VLOOKUP($B462,AF$10:AF461,1,0)),IF(AND($N462&gt;=1000,$A462&gt;=AQ$8,$A462&lt;=AQ$9),$B462,""),"")</f>
        <v/>
      </c>
      <c r="AG462" s="38" t="str">
        <f>+IF(ISERROR(VLOOKUP($B462,AG$10:AG461,1,0)),IF(AND($N462&gt;=1000,$A462&gt;=AR$8,$A462&lt;=AR$9),$B462,""),"")</f>
        <v/>
      </c>
      <c r="AH462" s="38"/>
      <c r="AI462" s="70">
        <v>0</v>
      </c>
      <c r="AJ462" s="38">
        <f>IF(AND(AJ$7="○",$A462&gt;=AJ$8,$A462&lt;=AJ$9),IF(SUM(AJ$10:AJ461)-ROUNDDOWN($K462*AJ$5/100,0)&lt;-AJ$6,-AJ$6-SUM(AJ$10:AJ461),-ROUNDDOWN($K462*AJ$5/100,0)),0)</f>
        <v>0</v>
      </c>
      <c r="AK462" s="38">
        <f>IF(AND(AK$7="○",$A462&gt;=AK$8,$A462&lt;=AK$9),IF(SUM(AK$10:AK461)-ROUNDDOWN($L462*AK$5/100,0)&lt;-AK$6,-AK$6-SUM(AK$10:AK461),-ROUNDDOWN($L462*AK$5/100,0)),0)</f>
        <v>0</v>
      </c>
      <c r="AL462" s="38">
        <f>IF(AND(AL$7="○",$A462&gt;=AL$8,$A462&lt;=AL$9),IF(SUM(AL$10:AL461)-ROUNDDOWN($N462*AL$5/100,0)&lt;-AL$6,-AL$6-SUM(AL$10:AL461),-ROUNDDOWN($N462*AL$5/100,0)),0)</f>
        <v>0</v>
      </c>
      <c r="AM462" s="38">
        <f>IF(AND(AM$7="○",$A462&gt;=AM$8,$A462&lt;=AM$9),IF(SUM(AM$10:AM461)-ROUNDDOWN($L462*AM$5/100,0)&lt;-AM$6,-AM$6-SUM(AM$10:AM461),-ROUNDDOWN($L462*AM$5/100,0)),0)</f>
        <v>0</v>
      </c>
      <c r="AN462" s="38">
        <f>IF(AND(AN$7="○",$A462&gt;=AN$8,$A462&lt;=AN$9),IF(SUM(AN$10:AN461)-ROUNDDOWN($M462*AN$5/100,0)&lt;-AN$6,-AN$6-SUM(AN$10:AN461),-ROUNDDOWN($M462*AN$5/100,0)),0)</f>
        <v>0</v>
      </c>
      <c r="AO462" s="38">
        <f>IF(AND($A462&gt;=AO$8,$A462&lt;=AO$9),IF(SUM(AO$10:AO461)-ROUNDDOWN($K462*AO$5/100,0)&lt;-AO$6,-AO$6-SUM(AO$10:AO461),-ROUNDDOWN($K462*AO$5/100,0)),0)</f>
        <v>0</v>
      </c>
      <c r="AP462" s="38">
        <f>IF(AND($A462&gt;=AP$8,$A462&lt;=AP$9),IF(SUM(AP$10:AP461)-ROUNDDOWN($K462*AP$5/100,0)&lt;-AP$6,-AP$6-SUM(AP$10:AP461),-ROUNDDOWN($K462*AP$5/100,0)),0)</f>
        <v>0</v>
      </c>
      <c r="AQ462" s="38">
        <f>IF(AND($A462&gt;=AQ$8,$A462&lt;=AQ$9),IF(SUM(AQ$10:AQ461)-ROUNDDOWN($K462*AQ$5/100,0)&lt;-AQ$6,-AQ$6-SUM(AQ$10:AQ461),-ROUNDDOWN($K462*AQ$5/100,0)),0)</f>
        <v>0</v>
      </c>
      <c r="AR462" s="38">
        <f>IF(AND($A462&gt;=AR$8,$A462&lt;=AR$9),IF(SUM(AR$10:AR461)-ROUNDDOWN($K462*AR$5/100,0)&lt;-AR$6,-AR$6-SUM(AR$10:AR461),-ROUNDDOWN($K462*AR$5/100,0)),0)</f>
        <v>0</v>
      </c>
      <c r="AS462" s="38">
        <f>IF(SUMIFS(AS$10:AS461,$A$10:$A461,$A462)-ROUNDDOWN($K462*$S462/100,0)&lt;-$S462*1000,-$S462*1000-SUMIFS(AS$10:AS461,$A$10:$A461,$A462),-ROUNDDOWN($K462*$S462/100,0))</f>
        <v>0</v>
      </c>
      <c r="AT462" s="38">
        <f>IF(AND(X462="○",$A462&gt;=AT$8,$A462&lt;=AT$9,K462&gt;=3980),IF(SUM(AT$10:AT461)-ROUNDDOWN($K462*AT$5/100,0)&lt;-AT$6,-AT$6-SUM(AT$10:AT461),-ROUNDDOWN($K462*AT$5/100,0)),0)</f>
        <v>0</v>
      </c>
      <c r="AU462" s="38">
        <f>IF(O462="○",IF(SUM(AU$10:AU461)-ROUNDDOWN($K462*AU$5/100,0)&lt;-AU$6,-AU$6-SUM(AU$10:AU461),-ROUNDDOWN($K462*AU$5/100,0)),0)</f>
        <v>0</v>
      </c>
      <c r="AV462" s="38">
        <f>IF(P462="○",IF(SUM(AV$10:AV461)-ROUNDDOWN($K462*AV$5/100,0)&lt;-AV$6,-AV$6-SUM(AV$10:AV461),-ROUNDDOWN($K462*AV$5/100,0)),0)</f>
        <v>0</v>
      </c>
      <c r="AW462" s="38">
        <f>IF(Q462="○",IF(SUM(AW$10:AW461)-ROUNDDOWN($K462*AW$5/100,0)&lt;-AW$6,-AW$6-SUM(AW$10:AW461),-ROUNDDOWN($K462*AW$5/100,0)),0)</f>
        <v>0</v>
      </c>
      <c r="AX462" s="38">
        <f>IF(R462="○",IF(SUM(AX$10:AX461)-ROUNDDOWN($K462*AX$5/100,0)&lt;-AX$6,-AX$6-SUM(AX$10:AX461),-ROUNDDOWN($K462*AX$5/100,0)),0)</f>
        <v>0</v>
      </c>
      <c r="AY462" s="70">
        <v>0</v>
      </c>
      <c r="AZ462" s="65">
        <f t="shared" si="285"/>
        <v>0</v>
      </c>
      <c r="BA462" s="65">
        <f t="shared" si="286"/>
        <v>0</v>
      </c>
      <c r="BB462" s="70"/>
      <c r="BC462" s="65">
        <f t="shared" si="287"/>
        <v>0</v>
      </c>
      <c r="BD462" s="70">
        <v>0</v>
      </c>
      <c r="BE462" s="65">
        <f t="shared" si="288"/>
        <v>0</v>
      </c>
      <c r="BF462" s="70">
        <v>0</v>
      </c>
      <c r="BG462" s="65">
        <f t="shared" si="289"/>
        <v>0</v>
      </c>
      <c r="BH462" s="70">
        <v>0</v>
      </c>
      <c r="BI462" s="65">
        <f t="shared" si="290"/>
        <v>0</v>
      </c>
      <c r="BJ462" s="38">
        <f>IF(AND(BJ$7="○",$A462&gt;=BJ$8,$A462&lt;=BJ$9),IF(SUM(BJ$10:BJ461)-ROUNDDOWN($M462*BJ$5/100,0)&lt;-BJ$6,-BJ$6-SUM(BJ$10:BJ461),-ROUNDDOWN($M462*BJ$5/100,0)),0)</f>
        <v>0</v>
      </c>
      <c r="BK462" s="38">
        <f>IF(AND(BK$7="○",$A462&gt;=BK$8,$A462&lt;=BK$9),IF(SUM(BK$10:BK461)-ROUNDDOWN($L462*BK$5/100,0)&lt;-BK$6,-BK$6-SUM(BK$10:BK461),-ROUNDDOWN($L462*BK$5/100,0)),0)</f>
        <v>0</v>
      </c>
      <c r="BL462" s="38">
        <f>IF(AND(BL$7="○",$A462&gt;=BL$8,$A462&lt;=BL$9),IF(SUM(BL$10:BL461)-ROUNDDOWN($L462*BL$5/100,0)&lt;-BL$6,-BL$6-SUM(BL$10:BL461),-ROUNDDOWN($L462*BL$5/100,0)),0)</f>
        <v>0</v>
      </c>
      <c r="BM462" s="38">
        <f>IF(AND(BM$7="○",$A462&gt;=BM$8,$A462&lt;=BM$9),IF(SUM(BM$10:BM461)-ROUNDDOWN($M462*BM$5/100,0)&lt;-BM$6,-BM$6-SUM(BM$10:BM461),-ROUNDDOWN($M462*BM$5/100,0)),0)</f>
        <v>0</v>
      </c>
      <c r="BN462" s="38">
        <f>IF(AND(BN$7="○",$A462&gt;=BN$8,$A462&lt;=BN$9),IF(SUM(BN$10:BN461)-ROUNDDOWN($M462*BN$5/100,0)&lt;-BN$6,-BN$6-SUM(BN$10:BN461),-ROUNDDOWN($M462*BN$5/100,0)),0)</f>
        <v>0</v>
      </c>
      <c r="BO462" s="38">
        <f>IF(AND(BO$7="○",$A462&gt;=BO$8,$A462&lt;=BO$9),IF(SUM(BO$10:BO461)-ROUNDDOWN($M462*BO$5/100,0)&lt;-BO$6,-BO$6-SUM(BO$10:BO461),-ROUNDDOWN($M462*BO$5/100,0)),0)</f>
        <v>0</v>
      </c>
      <c r="BP462" s="38">
        <f>IF(AND(BP$7="○",$A462&gt;=BP$8,$A462&lt;=BP$9),IF(SUM(BP$10:BP461)-ROUNDDOWN($M462*BP$5/100,0)&lt;-BP$6,-BP$6-SUM(BP$10:BP461),-ROUNDDOWN($M462*BP$5/100,0)),0)</f>
        <v>0</v>
      </c>
      <c r="BQ462" s="38">
        <f>IF(AND(BQ$7="○",$A462&gt;=BQ$8,$A462&lt;=BQ$9),IF(SUM(BQ$10:BQ461)-ROUNDDOWN($L462*BQ$5/100,0)&lt;-BQ$6,-BQ$6-SUM(BQ$10:BQ461),-ROUNDDOWN($L462*BQ$5/100,0)),0)</f>
        <v>0</v>
      </c>
      <c r="BR462" s="38">
        <f>IF(AND(BR$7="○",$A462&gt;=BR$8,$A462&lt;=BR$9),IF(SUM(BR$10:BR461)-ROUNDDOWN($M462*BR$5/100,0)&lt;-BR$6,-BR$6-SUM(BR$10:BR461),-ROUNDDOWN($M462*BR$5/100,0)),0)</f>
        <v>0</v>
      </c>
      <c r="BS462" s="38">
        <f>IF(AND(BS$7="○",$A462&gt;=BS$8,$A462&lt;=BS$9),IF(SUM(BS$10:BS461)-ROUNDDOWN($M462*BS$5/100,0)&lt;-BS$6,-BS$6-SUM(BS$10:BS461),-ROUNDDOWN($M462*BS$5/100,0)),0)</f>
        <v>0</v>
      </c>
      <c r="BT462" s="38">
        <f>IF(AND(BT$7="○",$A462&gt;=BT$8,$A462&lt;=BT$9),IF(SUM(BT$10:BT461)-ROUNDDOWN($M462*BT$5/100,0)&lt;-BT$6,-BT$6-SUM(BT$10:BT461),-ROUNDDOWN($M462*BT$5/100,0)),0)</f>
        <v>0</v>
      </c>
      <c r="BU462" s="38">
        <f>IF(AND(BU$7="○",$A462&gt;=BU$8,$A462&lt;=BU$9),IF(SUM(BU$10:BU461)-ROUNDDOWN($M462*BU$5/100,0)&lt;-BU$6,-BU$6-SUM(BU$10:BU461),-ROUNDDOWN($M462*BU$5/100,0)),0)</f>
        <v>0</v>
      </c>
      <c r="BV462" s="38">
        <f>IF(AND(BV$7="○",$A462&gt;=BV$8,$A462&lt;=BV$9),IF(SUM(BV$10:BV461)-ROUNDDOWN($M462*BV$5/100,0)&lt;-BV$6,-BV$6-SUM(BV$10:BV461),-ROUNDDOWN($M462*BV$5/100,0)),0)</f>
        <v>0</v>
      </c>
      <c r="BW462" s="38">
        <f>IF(AND(BW$7="○",$A462&gt;=BW$8,$A462&lt;=BW$9),IF(SUM(BW$10:BW461)-ROUNDDOWN($M462*BW$5/100,0)&lt;-BW$6,-BW$6-SUM(BW$10:BW461),-ROUNDDOWN($M462*BW$5/100,0)),0)</f>
        <v>0</v>
      </c>
      <c r="BX462" s="38">
        <f>IF(AND(T462="○",$A462&gt;=BX$8,$A462&lt;=BX$9),IF(SUM(BX$10:BX461)-ROUNDDOWN($K462*BX$5/100,0)&lt;-BX$6,-BX$6-SUM(BX$10:BX461),-ROUNDDOWN($K462*BX$5/100,0)),0)</f>
        <v>0</v>
      </c>
      <c r="BY462" s="38">
        <f>IF(AND(U462="○",$A462&gt;=BY$8,$A462&lt;=BY$9),IF(SUM(BY$10:BY461)-ROUNDDOWN($K462*BY$5/100,0)&lt;-BY$6,-BY$6-SUM(BY$10:BY461),-ROUNDDOWN($K462*BY$5/100,0)),0)</f>
        <v>0</v>
      </c>
      <c r="BZ462" s="38">
        <f>IF(AND(V462="○",$A462&gt;=BZ$8,$A462&lt;=BZ$9),IF(SUM(BZ$10:BZ461)-ROUNDDOWN($K462*BZ$5/100,0)&lt;-BZ$6,-BZ$6-SUM(BZ$10:BZ461),-ROUNDDOWN($K462*BZ$5/100,0)),0)</f>
        <v>0</v>
      </c>
      <c r="CA462" s="38">
        <f>IF(AND(W462="○",$A462&gt;=CA$8,$A462&lt;=CA$9),IF(SUM(CA$10:CA461)-ROUNDDOWN($K462*CA$5/100,0)&lt;-CA$6,-CA$6-SUM(CA$10:CA461),-ROUNDDOWN($K462*CA$5/100,0)),0)</f>
        <v>0</v>
      </c>
      <c r="CB462" s="38"/>
      <c r="CC462" s="38"/>
      <c r="CD462" s="38"/>
      <c r="CE462" s="38"/>
      <c r="CF462" s="38"/>
      <c r="CG462" s="65">
        <f t="shared" si="291"/>
        <v>0</v>
      </c>
      <c r="CH462" s="71">
        <f t="shared" si="292"/>
        <v>0</v>
      </c>
      <c r="CI462" s="1">
        <f t="shared" si="308"/>
        <v>0</v>
      </c>
      <c r="CJ462" s="1"/>
      <c r="CK462" s="79"/>
      <c r="CL462" s="79"/>
      <c r="CM462" s="2"/>
      <c r="CN462" s="2"/>
      <c r="CO462" s="73">
        <f t="shared" si="309"/>
        <v>0</v>
      </c>
      <c r="CP462" s="5">
        <f t="shared" si="310"/>
        <v>0</v>
      </c>
      <c r="CQ462" s="1"/>
      <c r="CR462" s="1">
        <f t="shared" si="311"/>
        <v>0</v>
      </c>
      <c r="CS462" s="1"/>
      <c r="CT462" s="1" t="e">
        <f>INDEX([2]マスタ!$A:$A,MATCH(D462,[2]マスタ!$C:$C,0))</f>
        <v>#N/A</v>
      </c>
      <c r="CU462" s="1" t="str">
        <f t="shared" ca="1" si="312"/>
        <v>20260620_0-0</v>
      </c>
    </row>
    <row r="463" spans="1:99" x14ac:dyDescent="0.4">
      <c r="A463" s="61"/>
      <c r="B463" s="62"/>
      <c r="C463" s="62"/>
      <c r="D463" s="62"/>
      <c r="E463" s="63"/>
      <c r="F463" s="62"/>
      <c r="G463" s="62">
        <v>1</v>
      </c>
      <c r="H463" s="64">
        <f t="shared" si="302"/>
        <v>0</v>
      </c>
      <c r="I463" s="64"/>
      <c r="J463" s="78"/>
      <c r="K463" s="65">
        <f t="shared" si="315"/>
        <v>0</v>
      </c>
      <c r="L463" s="65">
        <f t="shared" si="304"/>
        <v>0</v>
      </c>
      <c r="M463" s="65">
        <f t="shared" si="305"/>
        <v>0</v>
      </c>
      <c r="N463" s="65">
        <f t="shared" si="306"/>
        <v>0</v>
      </c>
      <c r="O463" s="66" t="str">
        <f t="shared" si="9"/>
        <v>✕</v>
      </c>
      <c r="P463" s="67" t="str">
        <f t="shared" si="10"/>
        <v>○</v>
      </c>
      <c r="Q463" s="67" t="str">
        <f t="shared" si="316"/>
        <v>✕</v>
      </c>
      <c r="R463" s="67" t="str">
        <f t="shared" si="12"/>
        <v>✕</v>
      </c>
      <c r="S463" s="68">
        <v>0</v>
      </c>
      <c r="T463" s="69" t="s">
        <v>85</v>
      </c>
      <c r="U463" s="69" t="s">
        <v>85</v>
      </c>
      <c r="V463" s="69" t="s">
        <v>85</v>
      </c>
      <c r="W463" s="69" t="s">
        <v>85</v>
      </c>
      <c r="X463" s="69" t="s">
        <v>84</v>
      </c>
      <c r="Y463" s="69" t="s">
        <v>85</v>
      </c>
      <c r="Z463" s="69" t="s">
        <v>85</v>
      </c>
      <c r="AA463" s="69" t="s">
        <v>85</v>
      </c>
      <c r="AB463" s="69" t="s">
        <v>85</v>
      </c>
      <c r="AC463" s="69" t="s">
        <v>85</v>
      </c>
      <c r="AD463" s="38" t="str">
        <f>+IF(ISERROR(VLOOKUP($B463,AD$10:AD462,1,0)),IF(AND($N463&gt;=1000,$A463&gt;=AO$8,$A463&lt;=AO$9),$B463,""),"")</f>
        <v/>
      </c>
      <c r="AE463" s="38" t="str">
        <f>+IF(ISERROR(VLOOKUP($B463,AE$10:AE462,1,0)),IF(AND($N463&gt;=1000,$A463&gt;=AP$8,$A463&lt;=AP$9),$B463,""),"")</f>
        <v/>
      </c>
      <c r="AF463" s="38" t="str">
        <f>+IF(ISERROR(VLOOKUP($B463,AF$10:AF462,1,0)),IF(AND($N463&gt;=1000,$A463&gt;=AQ$8,$A463&lt;=AQ$9),$B463,""),"")</f>
        <v/>
      </c>
      <c r="AG463" s="38" t="str">
        <f>+IF(ISERROR(VLOOKUP($B463,AG$10:AG462,1,0)),IF(AND($N463&gt;=1000,$A463&gt;=AR$8,$A463&lt;=AR$9),$B463,""),"")</f>
        <v/>
      </c>
      <c r="AH463" s="38"/>
      <c r="AI463" s="70">
        <v>0</v>
      </c>
      <c r="AJ463" s="38">
        <f>IF(AND(AJ$7="○",$A463&gt;=AJ$8,$A463&lt;=AJ$9),IF(SUM(AJ$10:AJ462)-ROUNDDOWN($K463*AJ$5/100,0)&lt;-AJ$6,-AJ$6-SUM(AJ$10:AJ462),-ROUNDDOWN($K463*AJ$5/100,0)),0)</f>
        <v>0</v>
      </c>
      <c r="AK463" s="38">
        <f>IF(AND(AK$7="○",$A463&gt;=AK$8,$A463&lt;=AK$9),IF(SUM(AK$10:AK462)-ROUNDDOWN($L463*AK$5/100,0)&lt;-AK$6,-AK$6-SUM(AK$10:AK462),-ROUNDDOWN($L463*AK$5/100,0)),0)</f>
        <v>0</v>
      </c>
      <c r="AL463" s="38">
        <f>IF(AND(AL$7="○",$A463&gt;=AL$8,$A463&lt;=AL$9),IF(SUM(AL$10:AL462)-ROUNDDOWN($N463*AL$5/100,0)&lt;-AL$6,-AL$6-SUM(AL$10:AL462),-ROUNDDOWN($N463*AL$5/100,0)),0)</f>
        <v>0</v>
      </c>
      <c r="AM463" s="38">
        <f>IF(AND(AM$7="○",$A463&gt;=AM$8,$A463&lt;=AM$9),IF(SUM(AM$10:AM462)-ROUNDDOWN($L463*AM$5/100,0)&lt;-AM$6,-AM$6-SUM(AM$10:AM462),-ROUNDDOWN($L463*AM$5/100,0)),0)</f>
        <v>0</v>
      </c>
      <c r="AN463" s="38">
        <f>IF(AND(AN$7="○",$A463&gt;=AN$8,$A463&lt;=AN$9),IF(SUM(AN$10:AN462)-ROUNDDOWN($M463*AN$5/100,0)&lt;-AN$6,-AN$6-SUM(AN$10:AN462),-ROUNDDOWN($M463*AN$5/100,0)),0)</f>
        <v>0</v>
      </c>
      <c r="AO463" s="38">
        <f>IF(AND($A463&gt;=AO$8,$A463&lt;=AO$9),IF(SUM(AO$10:AO462)-ROUNDDOWN($K463*AO$5/100,0)&lt;-AO$6,-AO$6-SUM(AO$10:AO462),-ROUNDDOWN($K463*AO$5/100,0)),0)</f>
        <v>0</v>
      </c>
      <c r="AP463" s="38">
        <f>IF(AND($A463&gt;=AP$8,$A463&lt;=AP$9),IF(SUM(AP$10:AP462)-ROUNDDOWN($K463*AP$5/100,0)&lt;-AP$6,-AP$6-SUM(AP$10:AP462),-ROUNDDOWN($K463*AP$5/100,0)),0)</f>
        <v>0</v>
      </c>
      <c r="AQ463" s="38">
        <f>IF(AND($A463&gt;=AQ$8,$A463&lt;=AQ$9),IF(SUM(AQ$10:AQ462)-ROUNDDOWN($K463*AQ$5/100,0)&lt;-AQ$6,-AQ$6-SUM(AQ$10:AQ462),-ROUNDDOWN($K463*AQ$5/100,0)),0)</f>
        <v>0</v>
      </c>
      <c r="AR463" s="38">
        <f>IF(AND($A463&gt;=AR$8,$A463&lt;=AR$9),IF(SUM(AR$10:AR462)-ROUNDDOWN($K463*AR$5/100,0)&lt;-AR$6,-AR$6-SUM(AR$10:AR462),-ROUNDDOWN($K463*AR$5/100,0)),0)</f>
        <v>0</v>
      </c>
      <c r="AS463" s="38">
        <f>IF(SUMIFS(AS$10:AS462,$A$10:$A462,$A463)-ROUNDDOWN($K463*$S463/100,0)&lt;-$S463*1000,-$S463*1000-SUMIFS(AS$10:AS462,$A$10:$A462,$A463),-ROUNDDOWN($K463*$S463/100,0))</f>
        <v>0</v>
      </c>
      <c r="AT463" s="38">
        <f>IF(AND(X463="○",$A463&gt;=AT$8,$A463&lt;=AT$9,K463&gt;=3980),IF(SUM(AT$10:AT462)-ROUNDDOWN($K463*AT$5/100,0)&lt;-AT$6,-AT$6-SUM(AT$10:AT462),-ROUNDDOWN($K463*AT$5/100,0)),0)</f>
        <v>0</v>
      </c>
      <c r="AU463" s="38">
        <f>IF(O463="○",IF(SUM(AU$10:AU462)-ROUNDDOWN($K463*AU$5/100,0)&lt;-AU$6,-AU$6-SUM(AU$10:AU462),-ROUNDDOWN($K463*AU$5/100,0)),0)</f>
        <v>0</v>
      </c>
      <c r="AV463" s="38">
        <f>IF(P463="○",IF(SUM(AV$10:AV462)-ROUNDDOWN($K463*AV$5/100,0)&lt;-AV$6,-AV$6-SUM(AV$10:AV462),-ROUNDDOWN($K463*AV$5/100,0)),0)</f>
        <v>0</v>
      </c>
      <c r="AW463" s="38">
        <f>IF(Q463="○",IF(SUM(AW$10:AW462)-ROUNDDOWN($K463*AW$5/100,0)&lt;-AW$6,-AW$6-SUM(AW$10:AW462),-ROUNDDOWN($K463*AW$5/100,0)),0)</f>
        <v>0</v>
      </c>
      <c r="AX463" s="38">
        <f>IF(R463="○",IF(SUM(AX$10:AX462)-ROUNDDOWN($K463*AX$5/100,0)&lt;-AX$6,-AX$6-SUM(AX$10:AX462),-ROUNDDOWN($K463*AX$5/100,0)),0)</f>
        <v>0</v>
      </c>
      <c r="AY463" s="70">
        <v>0</v>
      </c>
      <c r="AZ463" s="65">
        <f t="shared" si="285"/>
        <v>0</v>
      </c>
      <c r="BA463" s="65">
        <f t="shared" si="286"/>
        <v>0</v>
      </c>
      <c r="BB463" s="70"/>
      <c r="BC463" s="65">
        <f t="shared" si="287"/>
        <v>0</v>
      </c>
      <c r="BD463" s="70">
        <v>0</v>
      </c>
      <c r="BE463" s="65">
        <f t="shared" si="288"/>
        <v>0</v>
      </c>
      <c r="BF463" s="70">
        <v>0</v>
      </c>
      <c r="BG463" s="65">
        <f t="shared" si="289"/>
        <v>0</v>
      </c>
      <c r="BH463" s="70">
        <v>0</v>
      </c>
      <c r="BI463" s="65">
        <f t="shared" si="290"/>
        <v>0</v>
      </c>
      <c r="BJ463" s="38">
        <f>IF(AND(BJ$7="○",$A463&gt;=BJ$8,$A463&lt;=BJ$9),IF(SUM(BJ$10:BJ462)-ROUNDDOWN($M463*BJ$5/100,0)&lt;-BJ$6,-BJ$6-SUM(BJ$10:BJ462),-ROUNDDOWN($M463*BJ$5/100,0)),0)</f>
        <v>0</v>
      </c>
      <c r="BK463" s="38">
        <f>IF(AND(BK$7="○",$A463&gt;=BK$8,$A463&lt;=BK$9),IF(SUM(BK$10:BK462)-ROUNDDOWN($L463*BK$5/100,0)&lt;-BK$6,-BK$6-SUM(BK$10:BK462),-ROUNDDOWN($L463*BK$5/100,0)),0)</f>
        <v>0</v>
      </c>
      <c r="BL463" s="38">
        <f>IF(AND(BL$7="○",$A463&gt;=BL$8,$A463&lt;=BL$9),IF(SUM(BL$10:BL462)-ROUNDDOWN($L463*BL$5/100,0)&lt;-BL$6,-BL$6-SUM(BL$10:BL462),-ROUNDDOWN($L463*BL$5/100,0)),0)</f>
        <v>0</v>
      </c>
      <c r="BM463" s="38">
        <f>IF(AND(BM$7="○",$A463&gt;=BM$8,$A463&lt;=BM$9),IF(SUM(BM$10:BM462)-ROUNDDOWN($M463*BM$5/100,0)&lt;-BM$6,-BM$6-SUM(BM$10:BM462),-ROUNDDOWN($M463*BM$5/100,0)),0)</f>
        <v>0</v>
      </c>
      <c r="BN463" s="38">
        <f>IF(AND(BN$7="○",$A463&gt;=BN$8,$A463&lt;=BN$9),IF(SUM(BN$10:BN462)-ROUNDDOWN($M463*BN$5/100,0)&lt;-BN$6,-BN$6-SUM(BN$10:BN462),-ROUNDDOWN($M463*BN$5/100,0)),0)</f>
        <v>0</v>
      </c>
      <c r="BO463" s="38">
        <f>IF(AND(BO$7="○",$A463&gt;=BO$8,$A463&lt;=BO$9),IF(SUM(BO$10:BO462)-ROUNDDOWN($M463*BO$5/100,0)&lt;-BO$6,-BO$6-SUM(BO$10:BO462),-ROUNDDOWN($M463*BO$5/100,0)),0)</f>
        <v>0</v>
      </c>
      <c r="BP463" s="38">
        <f>IF(AND(BP$7="○",$A463&gt;=BP$8,$A463&lt;=BP$9),IF(SUM(BP$10:BP462)-ROUNDDOWN($M463*BP$5/100,0)&lt;-BP$6,-BP$6-SUM(BP$10:BP462),-ROUNDDOWN($M463*BP$5/100,0)),0)</f>
        <v>0</v>
      </c>
      <c r="BQ463" s="38">
        <f>IF(AND(BQ$7="○",$A463&gt;=BQ$8,$A463&lt;=BQ$9),IF(SUM(BQ$10:BQ462)-ROUNDDOWN($L463*BQ$5/100,0)&lt;-BQ$6,-BQ$6-SUM(BQ$10:BQ462),-ROUNDDOWN($L463*BQ$5/100,0)),0)</f>
        <v>0</v>
      </c>
      <c r="BR463" s="38">
        <f>IF(AND(BR$7="○",$A463&gt;=BR$8,$A463&lt;=BR$9),IF(SUM(BR$10:BR462)-ROUNDDOWN($M463*BR$5/100,0)&lt;-BR$6,-BR$6-SUM(BR$10:BR462),-ROUNDDOWN($M463*BR$5/100,0)),0)</f>
        <v>0</v>
      </c>
      <c r="BS463" s="38">
        <f>IF(AND(BS$7="○",$A463&gt;=BS$8,$A463&lt;=BS$9),IF(SUM(BS$10:BS462)-ROUNDDOWN($M463*BS$5/100,0)&lt;-BS$6,-BS$6-SUM(BS$10:BS462),-ROUNDDOWN($M463*BS$5/100,0)),0)</f>
        <v>0</v>
      </c>
      <c r="BT463" s="38">
        <f>IF(AND(BT$7="○",$A463&gt;=BT$8,$A463&lt;=BT$9),IF(SUM(BT$10:BT462)-ROUNDDOWN($M463*BT$5/100,0)&lt;-BT$6,-BT$6-SUM(BT$10:BT462),-ROUNDDOWN($M463*BT$5/100,0)),0)</f>
        <v>0</v>
      </c>
      <c r="BU463" s="38">
        <f>IF(AND(BU$7="○",$A463&gt;=BU$8,$A463&lt;=BU$9),IF(SUM(BU$10:BU462)-ROUNDDOWN($M463*BU$5/100,0)&lt;-BU$6,-BU$6-SUM(BU$10:BU462),-ROUNDDOWN($M463*BU$5/100,0)),0)</f>
        <v>0</v>
      </c>
      <c r="BV463" s="38">
        <f>IF(AND(BV$7="○",$A463&gt;=BV$8,$A463&lt;=BV$9),IF(SUM(BV$10:BV462)-ROUNDDOWN($M463*BV$5/100,0)&lt;-BV$6,-BV$6-SUM(BV$10:BV462),-ROUNDDOWN($M463*BV$5/100,0)),0)</f>
        <v>0</v>
      </c>
      <c r="BW463" s="38">
        <f>IF(AND(BW$7="○",$A463&gt;=BW$8,$A463&lt;=BW$9),IF(SUM(BW$10:BW462)-ROUNDDOWN($M463*BW$5/100,0)&lt;-BW$6,-BW$6-SUM(BW$10:BW462),-ROUNDDOWN($M463*BW$5/100,0)),0)</f>
        <v>0</v>
      </c>
      <c r="BX463" s="38">
        <f>IF(AND(T463="○",$A463&gt;=BX$8,$A463&lt;=BX$9),IF(SUM(BX$10:BX462)-ROUNDDOWN($K463*BX$5/100,0)&lt;-BX$6,-BX$6-SUM(BX$10:BX462),-ROUNDDOWN($K463*BX$5/100,0)),0)</f>
        <v>0</v>
      </c>
      <c r="BY463" s="38">
        <f>IF(AND(U463="○",$A463&gt;=BY$8,$A463&lt;=BY$9),IF(SUM(BY$10:BY462)-ROUNDDOWN($K463*BY$5/100,0)&lt;-BY$6,-BY$6-SUM(BY$10:BY462),-ROUNDDOWN($K463*BY$5/100,0)),0)</f>
        <v>0</v>
      </c>
      <c r="BZ463" s="38">
        <f>IF(AND(V463="○",$A463&gt;=BZ$8,$A463&lt;=BZ$9),IF(SUM(BZ$10:BZ462)-ROUNDDOWN($K463*BZ$5/100,0)&lt;-BZ$6,-BZ$6-SUM(BZ$10:BZ462),-ROUNDDOWN($K463*BZ$5/100,0)),0)</f>
        <v>0</v>
      </c>
      <c r="CA463" s="38">
        <f>IF(AND(W463="○",$A463&gt;=CA$8,$A463&lt;=CA$9),IF(SUM(CA$10:CA462)-ROUNDDOWN($K463*CA$5/100,0)&lt;-CA$6,-CA$6-SUM(CA$10:CA462),-ROUNDDOWN($K463*CA$5/100,0)),0)</f>
        <v>0</v>
      </c>
      <c r="CB463" s="38"/>
      <c r="CC463" s="38"/>
      <c r="CD463" s="38"/>
      <c r="CE463" s="38"/>
      <c r="CF463" s="38"/>
      <c r="CG463" s="65">
        <f t="shared" si="291"/>
        <v>0</v>
      </c>
      <c r="CH463" s="71">
        <f t="shared" si="292"/>
        <v>0</v>
      </c>
      <c r="CI463" s="1">
        <f t="shared" si="308"/>
        <v>0</v>
      </c>
      <c r="CJ463" s="1"/>
      <c r="CK463" s="79"/>
      <c r="CL463" s="79"/>
      <c r="CM463" s="2"/>
      <c r="CN463" s="2"/>
      <c r="CO463" s="73">
        <f t="shared" si="309"/>
        <v>0</v>
      </c>
      <c r="CP463" s="5">
        <f t="shared" si="310"/>
        <v>0</v>
      </c>
      <c r="CQ463" s="1"/>
      <c r="CR463" s="1">
        <f t="shared" si="311"/>
        <v>0</v>
      </c>
      <c r="CS463" s="1"/>
      <c r="CT463" s="1" t="e">
        <f>INDEX([2]マスタ!$A:$A,MATCH(D463,[2]マスタ!$C:$C,0))</f>
        <v>#N/A</v>
      </c>
      <c r="CU463" s="1" t="str">
        <f t="shared" ca="1" si="312"/>
        <v>20260620_0-0</v>
      </c>
    </row>
    <row r="464" spans="1:99" x14ac:dyDescent="0.4">
      <c r="A464" s="61"/>
      <c r="B464" s="62"/>
      <c r="C464" s="62"/>
      <c r="D464" s="62"/>
      <c r="E464" s="77"/>
      <c r="F464" s="62"/>
      <c r="G464" s="62">
        <v>1</v>
      </c>
      <c r="H464" s="64">
        <f t="shared" si="302"/>
        <v>0</v>
      </c>
      <c r="I464" s="64"/>
      <c r="J464" s="64"/>
      <c r="K464" s="65">
        <f t="shared" si="315"/>
        <v>0</v>
      </c>
      <c r="L464" s="65">
        <f t="shared" si="304"/>
        <v>0</v>
      </c>
      <c r="M464" s="65">
        <f t="shared" si="305"/>
        <v>0</v>
      </c>
      <c r="N464" s="65">
        <f t="shared" si="306"/>
        <v>0</v>
      </c>
      <c r="O464" s="66" t="str">
        <f t="shared" si="9"/>
        <v>✕</v>
      </c>
      <c r="P464" s="67" t="str">
        <f t="shared" si="10"/>
        <v>○</v>
      </c>
      <c r="Q464" s="67" t="str">
        <f t="shared" si="316"/>
        <v>✕</v>
      </c>
      <c r="R464" s="67" t="str">
        <f t="shared" si="12"/>
        <v>✕</v>
      </c>
      <c r="S464" s="68">
        <v>0</v>
      </c>
      <c r="T464" s="69" t="s">
        <v>85</v>
      </c>
      <c r="U464" s="69" t="s">
        <v>85</v>
      </c>
      <c r="V464" s="69" t="s">
        <v>85</v>
      </c>
      <c r="W464" s="69" t="s">
        <v>85</v>
      </c>
      <c r="X464" s="69" t="s">
        <v>84</v>
      </c>
      <c r="Y464" s="69" t="s">
        <v>85</v>
      </c>
      <c r="Z464" s="69" t="s">
        <v>85</v>
      </c>
      <c r="AA464" s="69" t="s">
        <v>85</v>
      </c>
      <c r="AB464" s="69" t="s">
        <v>85</v>
      </c>
      <c r="AC464" s="69" t="s">
        <v>85</v>
      </c>
      <c r="AD464" s="38" t="str">
        <f>+IF(ISERROR(VLOOKUP($B464,AD$10:AD463,1,0)),IF(AND($N464&gt;=1000,$A464&gt;=AO$8,$A464&lt;=AO$9),$B464,""),"")</f>
        <v/>
      </c>
      <c r="AE464" s="38" t="str">
        <f>+IF(ISERROR(VLOOKUP($B464,AE$10:AE463,1,0)),IF(AND($N464&gt;=1000,$A464&gt;=AP$8,$A464&lt;=AP$9),$B464,""),"")</f>
        <v/>
      </c>
      <c r="AF464" s="38" t="str">
        <f>+IF(ISERROR(VLOOKUP($B464,AF$10:AF463,1,0)),IF(AND($N464&gt;=1000,$A464&gt;=AQ$8,$A464&lt;=AQ$9),$B464,""),"")</f>
        <v/>
      </c>
      <c r="AG464" s="38" t="str">
        <f>+IF(ISERROR(VLOOKUP($B464,AG$10:AG463,1,0)),IF(AND($N464&gt;=1000,$A464&gt;=AR$8,$A464&lt;=AR$9),$B464,""),"")</f>
        <v/>
      </c>
      <c r="AH464" s="38"/>
      <c r="AI464" s="70">
        <v>0</v>
      </c>
      <c r="AJ464" s="38">
        <f>IF(AND(AJ$7="○",$A464&gt;=AJ$8,$A464&lt;=AJ$9),IF(SUM(AJ$10:AJ463)-ROUNDDOWN($K464*AJ$5/100,0)&lt;-AJ$6,-AJ$6-SUM(AJ$10:AJ463),-ROUNDDOWN($K464*AJ$5/100,0)),0)</f>
        <v>0</v>
      </c>
      <c r="AK464" s="38">
        <f>IF(AND(AK$7="○",$A464&gt;=AK$8,$A464&lt;=AK$9),IF(SUM(AK$10:AK463)-ROUNDDOWN($L464*AK$5/100,0)&lt;-AK$6,-AK$6-SUM(AK$10:AK463),-ROUNDDOWN($L464*AK$5/100,0)),0)</f>
        <v>0</v>
      </c>
      <c r="AL464" s="38">
        <f>IF(AND(AL$7="○",$A464&gt;=AL$8,$A464&lt;=AL$9),IF(SUM(AL$10:AL463)-ROUNDDOWN($N464*AL$5/100,0)&lt;-AL$6,-AL$6-SUM(AL$10:AL463),-ROUNDDOWN($N464*AL$5/100,0)),0)</f>
        <v>0</v>
      </c>
      <c r="AM464" s="38">
        <f>IF(AND(AM$7="○",$A464&gt;=AM$8,$A464&lt;=AM$9),IF(SUM(AM$10:AM463)-ROUNDDOWN($L464*AM$5/100,0)&lt;-AM$6,-AM$6-SUM(AM$10:AM463),-ROUNDDOWN($L464*AM$5/100,0)),0)</f>
        <v>0</v>
      </c>
      <c r="AN464" s="38">
        <f>IF(AND(AN$7="○",$A464&gt;=AN$8,$A464&lt;=AN$9),IF(SUM(AN$10:AN463)-ROUNDDOWN($M464*AN$5/100,0)&lt;-AN$6,-AN$6-SUM(AN$10:AN463),-ROUNDDOWN($M464*AN$5/100,0)),0)</f>
        <v>0</v>
      </c>
      <c r="AO464" s="38">
        <f>IF(AND($A464&gt;=AO$8,$A464&lt;=AO$9),IF(SUM(AO$10:AO463)-ROUNDDOWN($K464*AO$5/100,0)&lt;-AO$6,-AO$6-SUM(AO$10:AO463),-ROUNDDOWN($K464*AO$5/100,0)),0)</f>
        <v>0</v>
      </c>
      <c r="AP464" s="38">
        <f>IF(AND($A464&gt;=AP$8,$A464&lt;=AP$9),IF(SUM(AP$10:AP463)-ROUNDDOWN($K464*AP$5/100,0)&lt;-AP$6,-AP$6-SUM(AP$10:AP463),-ROUNDDOWN($K464*AP$5/100,0)),0)</f>
        <v>0</v>
      </c>
      <c r="AQ464" s="38">
        <f>IF(AND($A464&gt;=AQ$8,$A464&lt;=AQ$9),IF(SUM(AQ$10:AQ463)-ROUNDDOWN($K464*AQ$5/100,0)&lt;-AQ$6,-AQ$6-SUM(AQ$10:AQ463),-ROUNDDOWN($K464*AQ$5/100,0)),0)</f>
        <v>0</v>
      </c>
      <c r="AR464" s="38">
        <f>IF(AND($A464&gt;=AR$8,$A464&lt;=AR$9),IF(SUM(AR$10:AR463)-ROUNDDOWN($K464*AR$5/100,0)&lt;-AR$6,-AR$6-SUM(AR$10:AR463),-ROUNDDOWN($K464*AR$5/100,0)),0)</f>
        <v>0</v>
      </c>
      <c r="AS464" s="38">
        <f>IF(SUMIFS(AS$10:AS463,$A$10:$A463,$A464)-ROUNDDOWN($K464*$S464/100,0)&lt;-$S464*1000,-$S464*1000-SUMIFS(AS$10:AS463,$A$10:$A463,$A464),-ROUNDDOWN($K464*$S464/100,0))</f>
        <v>0</v>
      </c>
      <c r="AT464" s="38">
        <f>IF(AND(X464="○",$A464&gt;=AT$8,$A464&lt;=AT$9,K464&gt;=3980),IF(SUM(AT$10:AT463)-ROUNDDOWN($K464*AT$5/100,0)&lt;-AT$6,-AT$6-SUM(AT$10:AT463),-ROUNDDOWN($K464*AT$5/100,0)),0)</f>
        <v>0</v>
      </c>
      <c r="AU464" s="38">
        <f>IF(O464="○",IF(SUM(AU$10:AU463)-ROUNDDOWN($K464*AU$5/100,0)&lt;-AU$6,-AU$6-SUM(AU$10:AU463),-ROUNDDOWN($K464*AU$5/100,0)),0)</f>
        <v>0</v>
      </c>
      <c r="AV464" s="38">
        <f>IF(P464="○",IF(SUM(AV$10:AV463)-ROUNDDOWN($K464*AV$5/100,0)&lt;-AV$6,-AV$6-SUM(AV$10:AV463),-ROUNDDOWN($K464*AV$5/100,0)),0)</f>
        <v>0</v>
      </c>
      <c r="AW464" s="38">
        <f>IF(Q464="○",IF(SUM(AW$10:AW463)-ROUNDDOWN($K464*AW$5/100,0)&lt;-AW$6,-AW$6-SUM(AW$10:AW463),-ROUNDDOWN($K464*AW$5/100,0)),0)</f>
        <v>0</v>
      </c>
      <c r="AX464" s="38">
        <f>IF(R464="○",IF(SUM(AX$10:AX463)-ROUNDDOWN($K464*AX$5/100,0)&lt;-AX$6,-AX$6-SUM(AX$10:AX463),-ROUNDDOWN($K464*AX$5/100,0)),0)</f>
        <v>0</v>
      </c>
      <c r="AY464" s="70">
        <v>0</v>
      </c>
      <c r="AZ464" s="65">
        <f t="shared" si="285"/>
        <v>0</v>
      </c>
      <c r="BA464" s="65">
        <f t="shared" si="286"/>
        <v>0</v>
      </c>
      <c r="BB464" s="70"/>
      <c r="BC464" s="65">
        <f t="shared" si="287"/>
        <v>0</v>
      </c>
      <c r="BD464" s="70">
        <v>0</v>
      </c>
      <c r="BE464" s="65">
        <f t="shared" si="288"/>
        <v>0</v>
      </c>
      <c r="BF464" s="70">
        <v>0</v>
      </c>
      <c r="BG464" s="65">
        <f t="shared" si="289"/>
        <v>0</v>
      </c>
      <c r="BH464" s="70">
        <v>0</v>
      </c>
      <c r="BI464" s="65">
        <f t="shared" si="290"/>
        <v>0</v>
      </c>
      <c r="BJ464" s="38">
        <f>IF(AND(BJ$7="○",$A464&gt;=BJ$8,$A464&lt;=BJ$9),IF(SUM(BJ$10:BJ463)-ROUNDDOWN($M464*BJ$5/100,0)&lt;-BJ$6,-BJ$6-SUM(BJ$10:BJ463),-ROUNDDOWN($M464*BJ$5/100,0)),0)</f>
        <v>0</v>
      </c>
      <c r="BK464" s="38">
        <f>IF(AND(BK$7="○",$A464&gt;=BK$8,$A464&lt;=BK$9),IF(SUM(BK$10:BK463)-ROUNDDOWN($L464*BK$5/100,0)&lt;-BK$6,-BK$6-SUM(BK$10:BK463),-ROUNDDOWN($L464*BK$5/100,0)),0)</f>
        <v>0</v>
      </c>
      <c r="BL464" s="38">
        <f>IF(AND(BL$7="○",$A464&gt;=BL$8,$A464&lt;=BL$9),IF(SUM(BL$10:BL463)-ROUNDDOWN($L464*BL$5/100,0)&lt;-BL$6,-BL$6-SUM(BL$10:BL463),-ROUNDDOWN($L464*BL$5/100,0)),0)</f>
        <v>0</v>
      </c>
      <c r="BM464" s="38">
        <f>IF(AND(BM$7="○",$A464&gt;=BM$8,$A464&lt;=BM$9),IF(SUM(BM$10:BM463)-ROUNDDOWN($M464*BM$5/100,0)&lt;-BM$6,-BM$6-SUM(BM$10:BM463),-ROUNDDOWN($M464*BM$5/100,0)),0)</f>
        <v>0</v>
      </c>
      <c r="BN464" s="38">
        <f>IF(AND(BN$7="○",$A464&gt;=BN$8,$A464&lt;=BN$9),IF(SUM(BN$10:BN463)-ROUNDDOWN($M464*BN$5/100,0)&lt;-BN$6,-BN$6-SUM(BN$10:BN463),-ROUNDDOWN($M464*BN$5/100,0)),0)</f>
        <v>0</v>
      </c>
      <c r="BO464" s="38">
        <f>IF(AND(BO$7="○",$A464&gt;=BO$8,$A464&lt;=BO$9),IF(SUM(BO$10:BO463)-ROUNDDOWN($M464*BO$5/100,0)&lt;-BO$6,-BO$6-SUM(BO$10:BO463),-ROUNDDOWN($M464*BO$5/100,0)),0)</f>
        <v>0</v>
      </c>
      <c r="BP464" s="38">
        <f>IF(AND(BP$7="○",$A464&gt;=BP$8,$A464&lt;=BP$9),IF(SUM(BP$10:BP463)-ROUNDDOWN($M464*BP$5/100,0)&lt;-BP$6,-BP$6-SUM(BP$10:BP463),-ROUNDDOWN($M464*BP$5/100,0)),0)</f>
        <v>0</v>
      </c>
      <c r="BQ464" s="38">
        <f>IF(AND(BQ$7="○",$A464&gt;=BQ$8,$A464&lt;=BQ$9),IF(SUM(BQ$10:BQ463)-ROUNDDOWN($L464*BQ$5/100,0)&lt;-BQ$6,-BQ$6-SUM(BQ$10:BQ463),-ROUNDDOWN($L464*BQ$5/100,0)),0)</f>
        <v>0</v>
      </c>
      <c r="BR464" s="38">
        <f>IF(AND(BR$7="○",$A464&gt;=BR$8,$A464&lt;=BR$9),IF(SUM(BR$10:BR463)-ROUNDDOWN($M464*BR$5/100,0)&lt;-BR$6,-BR$6-SUM(BR$10:BR463),-ROUNDDOWN($M464*BR$5/100,0)),0)</f>
        <v>0</v>
      </c>
      <c r="BS464" s="38">
        <f>IF(AND(BS$7="○",$A464&gt;=BS$8,$A464&lt;=BS$9),IF(SUM(BS$10:BS463)-ROUNDDOWN($M464*BS$5/100,0)&lt;-BS$6,-BS$6-SUM(BS$10:BS463),-ROUNDDOWN($M464*BS$5/100,0)),0)</f>
        <v>0</v>
      </c>
      <c r="BT464" s="38">
        <f>IF(AND(BT$7="○",$A464&gt;=BT$8,$A464&lt;=BT$9),IF(SUM(BT$10:BT463)-ROUNDDOWN($M464*BT$5/100,0)&lt;-BT$6,-BT$6-SUM(BT$10:BT463),-ROUNDDOWN($M464*BT$5/100,0)),0)</f>
        <v>0</v>
      </c>
      <c r="BU464" s="38">
        <f>IF(AND(BU$7="○",$A464&gt;=BU$8,$A464&lt;=BU$9),IF(SUM(BU$10:BU463)-ROUNDDOWN($M464*BU$5/100,0)&lt;-BU$6,-BU$6-SUM(BU$10:BU463),-ROUNDDOWN($M464*BU$5/100,0)),0)</f>
        <v>0</v>
      </c>
      <c r="BV464" s="38">
        <f>IF(AND(BV$7="○",$A464&gt;=BV$8,$A464&lt;=BV$9),IF(SUM(BV$10:BV463)-ROUNDDOWN($M464*BV$5/100,0)&lt;-BV$6,-BV$6-SUM(BV$10:BV463),-ROUNDDOWN($M464*BV$5/100,0)),0)</f>
        <v>0</v>
      </c>
      <c r="BW464" s="38">
        <f>IF(AND(BW$7="○",$A464&gt;=BW$8,$A464&lt;=BW$9),IF(SUM(BW$10:BW463)-ROUNDDOWN($M464*BW$5/100,0)&lt;-BW$6,-BW$6-SUM(BW$10:BW463),-ROUNDDOWN($M464*BW$5/100,0)),0)</f>
        <v>0</v>
      </c>
      <c r="BX464" s="38">
        <f>IF(AND(T464="○",$A464&gt;=BX$8,$A464&lt;=BX$9),IF(SUM(BX$10:BX463)-ROUNDDOWN($K464*BX$5/100,0)&lt;-BX$6,-BX$6-SUM(BX$10:BX463),-ROUNDDOWN($K464*BX$5/100,0)),0)</f>
        <v>0</v>
      </c>
      <c r="BY464" s="38">
        <f>IF(AND(U464="○",$A464&gt;=BY$8,$A464&lt;=BY$9),IF(SUM(BY$10:BY463)-ROUNDDOWN($K464*BY$5/100,0)&lt;-BY$6,-BY$6-SUM(BY$10:BY463),-ROUNDDOWN($K464*BY$5/100,0)),0)</f>
        <v>0</v>
      </c>
      <c r="BZ464" s="38">
        <f>IF(AND(V464="○",$A464&gt;=BZ$8,$A464&lt;=BZ$9),IF(SUM(BZ$10:BZ463)-ROUNDDOWN($K464*BZ$5/100,0)&lt;-BZ$6,-BZ$6-SUM(BZ$10:BZ463),-ROUNDDOWN($K464*BZ$5/100,0)),0)</f>
        <v>0</v>
      </c>
      <c r="CA464" s="38">
        <f>IF(AND(W464="○",$A464&gt;=CA$8,$A464&lt;=CA$9),IF(SUM(CA$10:CA463)-ROUNDDOWN($K464*CA$5/100,0)&lt;-CA$6,-CA$6-SUM(CA$10:CA463),-ROUNDDOWN($K464*CA$5/100,0)),0)</f>
        <v>0</v>
      </c>
      <c r="CB464" s="38"/>
      <c r="CC464" s="38"/>
      <c r="CD464" s="38"/>
      <c r="CE464" s="38"/>
      <c r="CF464" s="38"/>
      <c r="CG464" s="65">
        <f t="shared" si="291"/>
        <v>0</v>
      </c>
      <c r="CH464" s="71">
        <f t="shared" si="292"/>
        <v>0</v>
      </c>
      <c r="CI464" s="1">
        <f t="shared" si="308"/>
        <v>0</v>
      </c>
      <c r="CJ464" s="1"/>
      <c r="CK464" s="79"/>
      <c r="CL464" s="79"/>
      <c r="CM464" s="2"/>
      <c r="CN464" s="2"/>
      <c r="CO464" s="73">
        <f t="shared" si="309"/>
        <v>0</v>
      </c>
      <c r="CP464" s="5">
        <f t="shared" si="310"/>
        <v>0</v>
      </c>
      <c r="CQ464" s="1"/>
      <c r="CR464" s="1">
        <f t="shared" si="311"/>
        <v>0</v>
      </c>
      <c r="CS464" s="1"/>
      <c r="CT464" s="1" t="e">
        <f>INDEX([2]マスタ!$A:$A,MATCH(D464,[2]マスタ!$C:$C,0))</f>
        <v>#N/A</v>
      </c>
      <c r="CU464" s="1" t="str">
        <f t="shared" ca="1" si="312"/>
        <v>20260620_0-0</v>
      </c>
    </row>
    <row r="465" spans="1:99" x14ac:dyDescent="0.4">
      <c r="A465" s="61"/>
      <c r="B465" s="62"/>
      <c r="C465" s="62"/>
      <c r="D465" s="62"/>
      <c r="E465" s="63"/>
      <c r="F465" s="62"/>
      <c r="G465" s="62">
        <v>1</v>
      </c>
      <c r="H465" s="64">
        <f t="shared" si="302"/>
        <v>0</v>
      </c>
      <c r="I465" s="64"/>
      <c r="J465" s="64"/>
      <c r="K465" s="65">
        <f t="shared" si="315"/>
        <v>0</v>
      </c>
      <c r="L465" s="65">
        <f t="shared" si="304"/>
        <v>0</v>
      </c>
      <c r="M465" s="65">
        <f t="shared" si="305"/>
        <v>0</v>
      </c>
      <c r="N465" s="65">
        <f t="shared" si="306"/>
        <v>0</v>
      </c>
      <c r="O465" s="66" t="str">
        <f t="shared" si="9"/>
        <v>✕</v>
      </c>
      <c r="P465" s="67" t="str">
        <f t="shared" si="10"/>
        <v>○</v>
      </c>
      <c r="Q465" s="67" t="str">
        <f t="shared" si="316"/>
        <v>✕</v>
      </c>
      <c r="R465" s="67" t="str">
        <f t="shared" si="12"/>
        <v>✕</v>
      </c>
      <c r="S465" s="68">
        <v>0</v>
      </c>
      <c r="T465" s="69" t="s">
        <v>85</v>
      </c>
      <c r="U465" s="69" t="s">
        <v>85</v>
      </c>
      <c r="V465" s="69" t="s">
        <v>85</v>
      </c>
      <c r="W465" s="69" t="s">
        <v>85</v>
      </c>
      <c r="X465" s="69" t="s">
        <v>84</v>
      </c>
      <c r="Y465" s="69" t="s">
        <v>85</v>
      </c>
      <c r="Z465" s="69" t="s">
        <v>85</v>
      </c>
      <c r="AA465" s="69" t="s">
        <v>85</v>
      </c>
      <c r="AB465" s="69" t="s">
        <v>85</v>
      </c>
      <c r="AC465" s="69" t="s">
        <v>85</v>
      </c>
      <c r="AD465" s="38" t="str">
        <f>+IF(ISERROR(VLOOKUP($B465,AD$10:AD464,1,0)),IF(AND($N465&gt;=1000,$A465&gt;=AO$8,$A465&lt;=AO$9),$B465,""),"")</f>
        <v/>
      </c>
      <c r="AE465" s="38" t="str">
        <f>+IF(ISERROR(VLOOKUP($B465,AE$10:AE464,1,0)),IF(AND($N465&gt;=1000,$A465&gt;=AP$8,$A465&lt;=AP$9),$B465,""),"")</f>
        <v/>
      </c>
      <c r="AF465" s="38" t="str">
        <f>+IF(ISERROR(VLOOKUP($B465,AF$10:AF464,1,0)),IF(AND($N465&gt;=1000,$A465&gt;=AQ$8,$A465&lt;=AQ$9),$B465,""),"")</f>
        <v/>
      </c>
      <c r="AG465" s="38" t="str">
        <f>+IF(ISERROR(VLOOKUP($B465,AG$10:AG464,1,0)),IF(AND($N465&gt;=1000,$A465&gt;=AR$8,$A465&lt;=AR$9),$B465,""),"")</f>
        <v/>
      </c>
      <c r="AH465" s="38"/>
      <c r="AI465" s="70">
        <v>0</v>
      </c>
      <c r="AJ465" s="38">
        <f>IF(AND(AJ$7="○",$A465&gt;=AJ$8,$A465&lt;=AJ$9),IF(SUM(AJ$10:AJ464)-ROUNDDOWN($K465*AJ$5/100,0)&lt;-AJ$6,-AJ$6-SUM(AJ$10:AJ464),-ROUNDDOWN($K465*AJ$5/100,0)),0)</f>
        <v>0</v>
      </c>
      <c r="AK465" s="38">
        <f>IF(AND(AK$7="○",$A465&gt;=AK$8,$A465&lt;=AK$9),IF(SUM(AK$10:AK464)-ROUNDDOWN($L465*AK$5/100,0)&lt;-AK$6,-AK$6-SUM(AK$10:AK464),-ROUNDDOWN($L465*AK$5/100,0)),0)</f>
        <v>0</v>
      </c>
      <c r="AL465" s="38">
        <f>IF(AND(AL$7="○",$A465&gt;=AL$8,$A465&lt;=AL$9),IF(SUM(AL$10:AL464)-ROUNDDOWN($N465*AL$5/100,0)&lt;-AL$6,-AL$6-SUM(AL$10:AL464),-ROUNDDOWN($N465*AL$5/100,0)),0)</f>
        <v>0</v>
      </c>
      <c r="AM465" s="38">
        <f>IF(AND(AM$7="○",$A465&gt;=AM$8,$A465&lt;=AM$9),IF(SUM(AM$10:AM464)-ROUNDDOWN($L465*AM$5/100,0)&lt;-AM$6,-AM$6-SUM(AM$10:AM464),-ROUNDDOWN($L465*AM$5/100,0)),0)</f>
        <v>0</v>
      </c>
      <c r="AN465" s="38">
        <f>IF(AND(AN$7="○",$A465&gt;=AN$8,$A465&lt;=AN$9),IF(SUM(AN$10:AN464)-ROUNDDOWN($M465*AN$5/100,0)&lt;-AN$6,-AN$6-SUM(AN$10:AN464),-ROUNDDOWN($M465*AN$5/100,0)),0)</f>
        <v>0</v>
      </c>
      <c r="AO465" s="38">
        <f>IF(AND($A465&gt;=AO$8,$A465&lt;=AO$9),IF(SUM(AO$10:AO464)-ROUNDDOWN($K465*AO$5/100,0)&lt;-AO$6,-AO$6-SUM(AO$10:AO464),-ROUNDDOWN($K465*AO$5/100,0)),0)</f>
        <v>0</v>
      </c>
      <c r="AP465" s="38">
        <f>IF(AND($A465&gt;=AP$8,$A465&lt;=AP$9),IF(SUM(AP$10:AP464)-ROUNDDOWN($K465*AP$5/100,0)&lt;-AP$6,-AP$6-SUM(AP$10:AP464),-ROUNDDOWN($K465*AP$5/100,0)),0)</f>
        <v>0</v>
      </c>
      <c r="AQ465" s="38">
        <f>IF(AND($A465&gt;=AQ$8,$A465&lt;=AQ$9),IF(SUM(AQ$10:AQ464)-ROUNDDOWN($K465*AQ$5/100,0)&lt;-AQ$6,-AQ$6-SUM(AQ$10:AQ464),-ROUNDDOWN($K465*AQ$5/100,0)),0)</f>
        <v>0</v>
      </c>
      <c r="AR465" s="38">
        <f>IF(AND($A465&gt;=AR$8,$A465&lt;=AR$9),IF(SUM(AR$10:AR464)-ROUNDDOWN($K465*AR$5/100,0)&lt;-AR$6,-AR$6-SUM(AR$10:AR464),-ROUNDDOWN($K465*AR$5/100,0)),0)</f>
        <v>0</v>
      </c>
      <c r="AS465" s="38">
        <f>IF(SUMIFS(AS$10:AS464,$A$10:$A464,$A465)-ROUNDDOWN($K465*$S465/100,0)&lt;-$S465*1000,-$S465*1000-SUMIFS(AS$10:AS464,$A$10:$A464,$A465),-ROUNDDOWN($K465*$S465/100,0))</f>
        <v>0</v>
      </c>
      <c r="AT465" s="38">
        <f>IF(AND(X465="○",$A465&gt;=AT$8,$A465&lt;=AT$9,K465&gt;=3980),IF(SUM(AT$10:AT464)-ROUNDDOWN($K465*AT$5/100,0)&lt;-AT$6,-AT$6-SUM(AT$10:AT464),-ROUNDDOWN($K465*AT$5/100,0)),0)</f>
        <v>0</v>
      </c>
      <c r="AU465" s="38">
        <f>IF(O465="○",IF(SUM(AU$10:AU464)-ROUNDDOWN($K465*AU$5/100,0)&lt;-AU$6,-AU$6-SUM(AU$10:AU464),-ROUNDDOWN($K465*AU$5/100,0)),0)</f>
        <v>0</v>
      </c>
      <c r="AV465" s="38">
        <f>IF(P465="○",IF(SUM(AV$10:AV464)-ROUNDDOWN($K465*AV$5/100,0)&lt;-AV$6,-AV$6-SUM(AV$10:AV464),-ROUNDDOWN($K465*AV$5/100,0)),0)</f>
        <v>0</v>
      </c>
      <c r="AW465" s="38">
        <f>IF(Q465="○",IF(SUM(AW$10:AW464)-ROUNDDOWN($K465*AW$5/100,0)&lt;-AW$6,-AW$6-SUM(AW$10:AW464),-ROUNDDOWN($K465*AW$5/100,0)),0)</f>
        <v>0</v>
      </c>
      <c r="AX465" s="38">
        <f>IF(R465="○",IF(SUM(AX$10:AX464)-ROUNDDOWN($K465*AX$5/100,0)&lt;-AX$6,-AX$6-SUM(AX$10:AX464),-ROUNDDOWN($K465*AX$5/100,0)),0)</f>
        <v>0</v>
      </c>
      <c r="AY465" s="70">
        <v>0</v>
      </c>
      <c r="AZ465" s="65">
        <f t="shared" si="285"/>
        <v>0</v>
      </c>
      <c r="BA465" s="65">
        <f t="shared" si="286"/>
        <v>0</v>
      </c>
      <c r="BB465" s="70"/>
      <c r="BC465" s="65">
        <f t="shared" si="287"/>
        <v>0</v>
      </c>
      <c r="BD465" s="70">
        <v>0</v>
      </c>
      <c r="BE465" s="65">
        <f t="shared" si="288"/>
        <v>0</v>
      </c>
      <c r="BF465" s="70">
        <v>0</v>
      </c>
      <c r="BG465" s="65">
        <f t="shared" si="289"/>
        <v>0</v>
      </c>
      <c r="BH465" s="70">
        <v>0</v>
      </c>
      <c r="BI465" s="65">
        <f t="shared" si="290"/>
        <v>0</v>
      </c>
      <c r="BJ465" s="38">
        <f>IF(AND(BJ$7="○",$A465&gt;=BJ$8,$A465&lt;=BJ$9),IF(SUM(BJ$10:BJ464)-ROUNDDOWN($M465*BJ$5/100,0)&lt;-BJ$6,-BJ$6-SUM(BJ$10:BJ464),-ROUNDDOWN($M465*BJ$5/100,0)),0)</f>
        <v>0</v>
      </c>
      <c r="BK465" s="38">
        <f>IF(AND(BK$7="○",$A465&gt;=BK$8,$A465&lt;=BK$9),IF(SUM(BK$10:BK464)-ROUNDDOWN($L465*BK$5/100,0)&lt;-BK$6,-BK$6-SUM(BK$10:BK464),-ROUNDDOWN($L465*BK$5/100,0)),0)</f>
        <v>0</v>
      </c>
      <c r="BL465" s="38">
        <f>IF(AND(BL$7="○",$A465&gt;=BL$8,$A465&lt;=BL$9),IF(SUM(BL$10:BL464)-ROUNDDOWN($L465*BL$5/100,0)&lt;-BL$6,-BL$6-SUM(BL$10:BL464),-ROUNDDOWN($L465*BL$5/100,0)),0)</f>
        <v>0</v>
      </c>
      <c r="BM465" s="38">
        <f>IF(AND(BM$7="○",$A465&gt;=BM$8,$A465&lt;=BM$9),IF(SUM(BM$10:BM464)-ROUNDDOWN($M465*BM$5/100,0)&lt;-BM$6,-BM$6-SUM(BM$10:BM464),-ROUNDDOWN($M465*BM$5/100,0)),0)</f>
        <v>0</v>
      </c>
      <c r="BN465" s="38">
        <f>IF(AND(BN$7="○",$A465&gt;=BN$8,$A465&lt;=BN$9),IF(SUM(BN$10:BN464)-ROUNDDOWN($M465*BN$5/100,0)&lt;-BN$6,-BN$6-SUM(BN$10:BN464),-ROUNDDOWN($M465*BN$5/100,0)),0)</f>
        <v>0</v>
      </c>
      <c r="BO465" s="38">
        <f>IF(AND(BO$7="○",$A465&gt;=BO$8,$A465&lt;=BO$9),IF(SUM(BO$10:BO464)-ROUNDDOWN($M465*BO$5/100,0)&lt;-BO$6,-BO$6-SUM(BO$10:BO464),-ROUNDDOWN($M465*BO$5/100,0)),0)</f>
        <v>0</v>
      </c>
      <c r="BP465" s="38">
        <f>IF(AND(BP$7="○",$A465&gt;=BP$8,$A465&lt;=BP$9),IF(SUM(BP$10:BP464)-ROUNDDOWN($M465*BP$5/100,0)&lt;-BP$6,-BP$6-SUM(BP$10:BP464),-ROUNDDOWN($M465*BP$5/100,0)),0)</f>
        <v>0</v>
      </c>
      <c r="BQ465" s="38">
        <f>IF(AND(BQ$7="○",$A465&gt;=BQ$8,$A465&lt;=BQ$9),IF(SUM(BQ$10:BQ464)-ROUNDDOWN($L465*BQ$5/100,0)&lt;-BQ$6,-BQ$6-SUM(BQ$10:BQ464),-ROUNDDOWN($L465*BQ$5/100,0)),0)</f>
        <v>0</v>
      </c>
      <c r="BR465" s="38">
        <f>IF(AND(BR$7="○",$A465&gt;=BR$8,$A465&lt;=BR$9),IF(SUM(BR$10:BR464)-ROUNDDOWN($M465*BR$5/100,0)&lt;-BR$6,-BR$6-SUM(BR$10:BR464),-ROUNDDOWN($M465*BR$5/100,0)),0)</f>
        <v>0</v>
      </c>
      <c r="BS465" s="38">
        <f>IF(AND(BS$7="○",$A465&gt;=BS$8,$A465&lt;=BS$9),IF(SUM(BS$10:BS464)-ROUNDDOWN($M465*BS$5/100,0)&lt;-BS$6,-BS$6-SUM(BS$10:BS464),-ROUNDDOWN($M465*BS$5/100,0)),0)</f>
        <v>0</v>
      </c>
      <c r="BT465" s="38">
        <f>IF(AND(BT$7="○",$A465&gt;=BT$8,$A465&lt;=BT$9),IF(SUM(BT$10:BT464)-ROUNDDOWN($M465*BT$5/100,0)&lt;-BT$6,-BT$6-SUM(BT$10:BT464),-ROUNDDOWN($M465*BT$5/100,0)),0)</f>
        <v>0</v>
      </c>
      <c r="BU465" s="38">
        <f>IF(AND(BU$7="○",$A465&gt;=BU$8,$A465&lt;=BU$9),IF(SUM(BU$10:BU464)-ROUNDDOWN($M465*BU$5/100,0)&lt;-BU$6,-BU$6-SUM(BU$10:BU464),-ROUNDDOWN($M465*BU$5/100,0)),0)</f>
        <v>0</v>
      </c>
      <c r="BV465" s="38">
        <f>IF(AND(BV$7="○",$A465&gt;=BV$8,$A465&lt;=BV$9),IF(SUM(BV$10:BV464)-ROUNDDOWN($M465*BV$5/100,0)&lt;-BV$6,-BV$6-SUM(BV$10:BV464),-ROUNDDOWN($M465*BV$5/100,0)),0)</f>
        <v>0</v>
      </c>
      <c r="BW465" s="38">
        <f>IF(AND(BW$7="○",$A465&gt;=BW$8,$A465&lt;=BW$9),IF(SUM(BW$10:BW464)-ROUNDDOWN($M465*BW$5/100,0)&lt;-BW$6,-BW$6-SUM(BW$10:BW464),-ROUNDDOWN($M465*BW$5/100,0)),0)</f>
        <v>0</v>
      </c>
      <c r="BX465" s="38">
        <f>IF(AND(T465="○",$A465&gt;=BX$8,$A465&lt;=BX$9),IF(SUM(BX$10:BX464)-ROUNDDOWN($K465*BX$5/100,0)&lt;-BX$6,-BX$6-SUM(BX$10:BX464),-ROUNDDOWN($K465*BX$5/100,0)),0)</f>
        <v>0</v>
      </c>
      <c r="BY465" s="38">
        <f>IF(AND(U465="○",$A465&gt;=BY$8,$A465&lt;=BY$9),IF(SUM(BY$10:BY464)-ROUNDDOWN($K465*BY$5/100,0)&lt;-BY$6,-BY$6-SUM(BY$10:BY464),-ROUNDDOWN($K465*BY$5/100,0)),0)</f>
        <v>0</v>
      </c>
      <c r="BZ465" s="38">
        <f>IF(AND(V465="○",$A465&gt;=BZ$8,$A465&lt;=BZ$9),IF(SUM(BZ$10:BZ464)-ROUNDDOWN($K465*BZ$5/100,0)&lt;-BZ$6,-BZ$6-SUM(BZ$10:BZ464),-ROUNDDOWN($K465*BZ$5/100,0)),0)</f>
        <v>0</v>
      </c>
      <c r="CA465" s="38">
        <f>IF(AND(W465="○",$A465&gt;=CA$8,$A465&lt;=CA$9),IF(SUM(CA$10:CA464)-ROUNDDOWN($K465*CA$5/100,0)&lt;-CA$6,-CA$6-SUM(CA$10:CA464),-ROUNDDOWN($K465*CA$5/100,0)),0)</f>
        <v>0</v>
      </c>
      <c r="CB465" s="38"/>
      <c r="CC465" s="38"/>
      <c r="CD465" s="38"/>
      <c r="CE465" s="38"/>
      <c r="CF465" s="38"/>
      <c r="CG465" s="65">
        <f t="shared" si="291"/>
        <v>0</v>
      </c>
      <c r="CH465" s="71">
        <f t="shared" si="292"/>
        <v>0</v>
      </c>
      <c r="CI465" s="1">
        <f t="shared" si="308"/>
        <v>0</v>
      </c>
      <c r="CJ465" s="1"/>
      <c r="CK465" s="2"/>
      <c r="CL465" s="2"/>
      <c r="CM465" s="2"/>
      <c r="CN465" s="2"/>
      <c r="CO465" s="73">
        <f t="shared" si="309"/>
        <v>0</v>
      </c>
      <c r="CP465" s="5">
        <f t="shared" si="310"/>
        <v>0</v>
      </c>
      <c r="CQ465" s="1"/>
      <c r="CR465" s="1">
        <f t="shared" si="311"/>
        <v>0</v>
      </c>
      <c r="CS465" s="1"/>
      <c r="CT465" s="1" t="e">
        <f>INDEX([2]マスタ!$A:$A,MATCH(D465,[2]マスタ!$C:$C,0))</f>
        <v>#N/A</v>
      </c>
      <c r="CU465" s="1" t="str">
        <f t="shared" ca="1" si="312"/>
        <v>20260620_0-0</v>
      </c>
    </row>
    <row r="466" spans="1:99" x14ac:dyDescent="0.4">
      <c r="A466" s="61"/>
      <c r="B466" s="62"/>
      <c r="C466" s="62"/>
      <c r="D466" s="62"/>
      <c r="E466" s="74"/>
      <c r="F466" s="62"/>
      <c r="G466" s="62">
        <v>1</v>
      </c>
      <c r="H466" s="64">
        <f t="shared" si="4"/>
        <v>0</v>
      </c>
      <c r="I466" s="64"/>
      <c r="J466" s="64"/>
      <c r="K466" s="65">
        <f t="shared" ref="K466:K477" si="317">+ROUNDDOWN((H466+I466)/100,0)*100</f>
        <v>0</v>
      </c>
      <c r="L466" s="65">
        <f t="shared" si="6"/>
        <v>0</v>
      </c>
      <c r="M466" s="65">
        <f t="shared" si="7"/>
        <v>0</v>
      </c>
      <c r="N466" s="65">
        <f t="shared" si="8"/>
        <v>0</v>
      </c>
      <c r="O466" s="66" t="str">
        <f t="shared" si="9"/>
        <v>✕</v>
      </c>
      <c r="P466" s="67" t="str">
        <f t="shared" si="10"/>
        <v>○</v>
      </c>
      <c r="Q466" s="67" t="str">
        <f t="shared" ref="Q466:Q477" si="318">+IF((TEXT($A466,"DD")+0)=1,"○","✕")</f>
        <v>✕</v>
      </c>
      <c r="R466" s="67" t="str">
        <f t="shared" si="12"/>
        <v>✕</v>
      </c>
      <c r="S466" s="68">
        <v>0</v>
      </c>
      <c r="T466" s="69" t="s">
        <v>85</v>
      </c>
      <c r="U466" s="69" t="s">
        <v>85</v>
      </c>
      <c r="V466" s="69" t="s">
        <v>85</v>
      </c>
      <c r="W466" s="69" t="s">
        <v>85</v>
      </c>
      <c r="X466" s="69" t="s">
        <v>84</v>
      </c>
      <c r="Y466" s="69" t="s">
        <v>85</v>
      </c>
      <c r="Z466" s="69" t="s">
        <v>85</v>
      </c>
      <c r="AA466" s="69" t="s">
        <v>85</v>
      </c>
      <c r="AB466" s="69" t="s">
        <v>85</v>
      </c>
      <c r="AC466" s="69" t="s">
        <v>85</v>
      </c>
      <c r="AD466" s="38" t="str">
        <f>+IF(ISERROR(VLOOKUP($B466,#REF!,1,0)),IF(AND($N466&gt;=1000,$A466&gt;=AO$8,$A466&lt;=AO$9),$B466,""),"")</f>
        <v/>
      </c>
      <c r="AE466" s="38" t="str">
        <f>+IF(ISERROR(VLOOKUP($B466,#REF!,1,0)),IF(AND($N466&gt;=1000,$A466&gt;=AP$8,$A466&lt;=AP$9),$B466,""),"")</f>
        <v/>
      </c>
      <c r="AF466" s="38" t="str">
        <f>+IF(ISERROR(VLOOKUP($B466,#REF!,1,0)),IF(AND($N466&gt;=1000,$A466&gt;=AQ$8,$A466&lt;=AQ$9),$B466,""),"")</f>
        <v/>
      </c>
      <c r="AG466" s="38" t="str">
        <f>+IF(ISERROR(VLOOKUP($B466,#REF!,1,0)),IF(AND($N466&gt;=1000,$A466&gt;=AR$8,$A466&lt;=AR$9),$B466,""),"")</f>
        <v/>
      </c>
      <c r="AH466" s="38"/>
      <c r="AI466" s="70">
        <v>0</v>
      </c>
      <c r="AJ466" s="38">
        <f>IF(AND(AJ$7="○",$A466&gt;=AJ$8,$A466&lt;=AJ$9),IF(SUM(AJ$10:AJ465)-ROUNDDOWN($K466*AJ$5/100,0)&lt;-AJ$6,-AJ$6-SUM(AJ$10:AJ465),-ROUNDDOWN($K466*AJ$5/100,0)),0)</f>
        <v>0</v>
      </c>
      <c r="AK466" s="38">
        <f>IF(AND(AK$7="○",$A466&gt;=AK$8,$A466&lt;=AK$9),IF(SUM(AK$10:AK465)-ROUNDDOWN($L466*AK$5/100,0)&lt;-AK$6,-AK$6-SUM(AK$10:AK465),-ROUNDDOWN($L466*AK$5/100,0)),0)</f>
        <v>0</v>
      </c>
      <c r="AL466" s="38">
        <f>IF(AND(AL$7="○",$A466&gt;=AL$8,$A466&lt;=AL$9),IF(SUM(AL$10:AL465)-ROUNDDOWN($N466*AL$5/100,0)&lt;-AL$6,-AL$6-SUM(AL$10:AL465),-ROUNDDOWN($N466*AL$5/100,0)),0)</f>
        <v>0</v>
      </c>
      <c r="AM466" s="38">
        <f>IF(AND(AM$7="○",$A466&gt;=AM$8,$A466&lt;=AM$9),IF(SUM(AM$10:AM465)-ROUNDDOWN($L466*AM$5/100,0)&lt;-AM$6,-AM$6-SUM(AM$10:AM465),-ROUNDDOWN($L466*AM$5/100,0)),0)</f>
        <v>0</v>
      </c>
      <c r="AN466" s="38">
        <f>IF(AND(AN$7="○",$A466&gt;=AN$8,$A466&lt;=AN$9),IF(SUM(AN$10:AN465)-ROUNDDOWN($M466*AN$5/100,0)&lt;-AN$6,-AN$6-SUM(AN$10:AN465),-ROUNDDOWN($M466*AN$5/100,0)),0)</f>
        <v>0</v>
      </c>
      <c r="AO466" s="38">
        <f>IF(AND($A466&gt;=AO$8,$A466&lt;=AO$9),IF(SUM(AO$10:AO465)-ROUNDDOWN($K466*AO$5/100,0)&lt;-AO$6,-AO$6-SUM(AO$10:AO465),-ROUNDDOWN($K466*AO$5/100,0)),0)</f>
        <v>0</v>
      </c>
      <c r="AP466" s="38">
        <f>IF(AND($A466&gt;=AP$8,$A466&lt;=AP$9),IF(SUM(AP$10:AP465)-ROUNDDOWN($K466*AP$5/100,0)&lt;-AP$6,-AP$6-SUM(AP$10:AP465),-ROUNDDOWN($K466*AP$5/100,0)),0)</f>
        <v>0</v>
      </c>
      <c r="AQ466" s="38">
        <f>IF(AND($A466&gt;=AQ$8,$A466&lt;=AQ$9),IF(SUM(AQ$10:AQ465)-ROUNDDOWN($K466*AQ$5/100,0)&lt;-AQ$6,-AQ$6-SUM(AQ$10:AQ465),-ROUNDDOWN($K466*AQ$5/100,0)),0)</f>
        <v>0</v>
      </c>
      <c r="AR466" s="38">
        <f>IF(AND($A466&gt;=AR$8,$A466&lt;=AR$9),IF(SUM(AR$10:AR465)-ROUNDDOWN($K466*AR$5/100,0)&lt;-AR$6,-AR$6-SUM(AR$10:AR465),-ROUNDDOWN($K466*AR$5/100,0)),0)</f>
        <v>0</v>
      </c>
      <c r="AS466" s="38">
        <f>IF(SUMIFS(AS$10:AS465,$A$10:$A465,$A466)-ROUNDDOWN($K466*$S466/100,0)&lt;-$S466*1000,-$S466*1000-SUMIFS(AS$10:AS465,$A$10:$A465,$A466),-ROUNDDOWN($K466*$S466/100,0))</f>
        <v>0</v>
      </c>
      <c r="AT466" s="38">
        <f>IF(AND(X466="○",$A466&gt;=AT$8,$A466&lt;=AT$9,K466&gt;=3980),IF(SUM(AT$10:AT465)-ROUNDDOWN($K466*AT$5/100,0)&lt;-AT$6,-AT$6-SUM(AT$10:AT465),-ROUNDDOWN($K466*AT$5/100,0)),0)</f>
        <v>0</v>
      </c>
      <c r="AU466" s="38">
        <f>IF(O466="○",IF(SUM(AU$10:AU465)-ROUNDDOWN($K466*AU$5/100,0)&lt;-AU$6,-AU$6-SUM(AU$10:AU465),-ROUNDDOWN($K466*AU$5/100,0)),0)</f>
        <v>0</v>
      </c>
      <c r="AV466" s="38">
        <f>IF(P466="○",IF(SUM(AV$10:AV465)-ROUNDDOWN($K466*AV$5/100,0)&lt;-AV$6,-AV$6-SUM(AV$10:AV465),-ROUNDDOWN($K466*AV$5/100,0)),0)</f>
        <v>0</v>
      </c>
      <c r="AW466" s="38">
        <f>IF(Q466="○",IF(SUM(AW$10:AW465)-ROUNDDOWN($K466*AW$5/100,0)&lt;-AW$6,-AW$6-SUM(AW$10:AW465),-ROUNDDOWN($K466*AW$5/100,0)),0)</f>
        <v>0</v>
      </c>
      <c r="AX466" s="38">
        <f>IF(R466="○",IF(SUM(AX$10:AX465)-ROUNDDOWN($K466*AX$5/100,0)&lt;-AX$6,-AX$6-SUM(AX$10:AX465),-ROUNDDOWN($K466*AX$5/100,0)),0)</f>
        <v>0</v>
      </c>
      <c r="AY466" s="70">
        <v>0</v>
      </c>
      <c r="AZ466" s="65">
        <f t="shared" si="285"/>
        <v>0</v>
      </c>
      <c r="BA466" s="65">
        <f t="shared" si="286"/>
        <v>0</v>
      </c>
      <c r="BB466" s="70"/>
      <c r="BC466" s="65">
        <f t="shared" si="287"/>
        <v>0</v>
      </c>
      <c r="BD466" s="70">
        <v>0</v>
      </c>
      <c r="BE466" s="65">
        <f t="shared" si="288"/>
        <v>0</v>
      </c>
      <c r="BF466" s="70">
        <v>0</v>
      </c>
      <c r="BG466" s="65">
        <f t="shared" si="289"/>
        <v>0</v>
      </c>
      <c r="BH466" s="70">
        <v>0</v>
      </c>
      <c r="BI466" s="65">
        <f t="shared" si="290"/>
        <v>0</v>
      </c>
      <c r="BJ466" s="38">
        <f>IF(AND(BJ$7="○",$A466&gt;=BJ$8,$A466&lt;=BJ$9),IF(SUM(BJ$10:BJ465)-ROUNDDOWN($M466*BJ$5/100,0)&lt;-BJ$6,-BJ$6-SUM(BJ$10:BJ465),-ROUNDDOWN($M466*BJ$5/100,0)),0)</f>
        <v>0</v>
      </c>
      <c r="BK466" s="38">
        <f>IF(AND(BK$7="○",$A466&gt;=BK$8,$A466&lt;=BK$9),IF(SUM(BK$10:BK465)-ROUNDDOWN($L466*BK$5/100,0)&lt;-BK$6,-BK$6-SUM(BK$10:BK465),-ROUNDDOWN($L466*BK$5/100,0)),0)</f>
        <v>0</v>
      </c>
      <c r="BL466" s="38">
        <f>IF(AND(BL$7="○",$A466&gt;=BL$8,$A466&lt;=BL$9),IF(SUM(BL$10:BL465)-ROUNDDOWN($L466*BL$5/100,0)&lt;-BL$6,-BL$6-SUM(BL$10:BL465),-ROUNDDOWN($L466*BL$5/100,0)),0)</f>
        <v>0</v>
      </c>
      <c r="BM466" s="38">
        <f>IF(AND(BM$7="○",$A466&gt;=BM$8,$A466&lt;=BM$9),IF(SUM(BM$10:BM465)-ROUNDDOWN($M466*BM$5/100,0)&lt;-BM$6,-BM$6-SUM(BM$10:BM465),-ROUNDDOWN($M466*BM$5/100,0)),0)</f>
        <v>0</v>
      </c>
      <c r="BN466" s="38">
        <f>IF(AND(BN$7="○",$A466&gt;=BN$8,$A466&lt;=BN$9),IF(SUM(BN$10:BN465)-ROUNDDOWN($M466*BN$5/100,0)&lt;-BN$6,-BN$6-SUM(BN$10:BN465),-ROUNDDOWN($M466*BN$5/100,0)),0)</f>
        <v>0</v>
      </c>
      <c r="BO466" s="38">
        <f>IF(AND(BO$7="○",$A466&gt;=BO$8,$A466&lt;=BO$9),IF(SUM(BO$10:BO465)-ROUNDDOWN($M466*BO$5/100,0)&lt;-BO$6,-BO$6-SUM(BO$10:BO465),-ROUNDDOWN($M466*BO$5/100,0)),0)</f>
        <v>0</v>
      </c>
      <c r="BP466" s="38">
        <f>IF(AND(BP$7="○",$A466&gt;=BP$8,$A466&lt;=BP$9),IF(SUM(BP$10:BP465)-ROUNDDOWN($M466*BP$5/100,0)&lt;-BP$6,-BP$6-SUM(BP$10:BP465),-ROUNDDOWN($M466*BP$5/100,0)),0)</f>
        <v>0</v>
      </c>
      <c r="BQ466" s="38">
        <f>IF(AND(BQ$7="○",$A466&gt;=BQ$8,$A466&lt;=BQ$9),IF(SUM(BQ$10:BQ465)-ROUNDDOWN($L466*BQ$5/100,0)&lt;-BQ$6,-BQ$6-SUM(BQ$10:BQ465),-ROUNDDOWN($L466*BQ$5/100,0)),0)</f>
        <v>0</v>
      </c>
      <c r="BR466" s="38">
        <f>IF(AND(BR$7="○",$A466&gt;=BR$8,$A466&lt;=BR$9),IF(SUM(BR$10:BR465)-ROUNDDOWN($M466*BR$5/100,0)&lt;-BR$6,-BR$6-SUM(BR$10:BR465),-ROUNDDOWN($M466*BR$5/100,0)),0)</f>
        <v>0</v>
      </c>
      <c r="BS466" s="38">
        <f>IF(AND(BS$7="○",$A466&gt;=BS$8,$A466&lt;=BS$9),IF(SUM(BS$10:BS465)-ROUNDDOWN($M466*BS$5/100,0)&lt;-BS$6,-BS$6-SUM(BS$10:BS465),-ROUNDDOWN($M466*BS$5/100,0)),0)</f>
        <v>0</v>
      </c>
      <c r="BT466" s="38">
        <f>IF(AND(BT$7="○",$A466&gt;=BT$8,$A466&lt;=BT$9),IF(SUM(BT$10:BT465)-ROUNDDOWN($M466*BT$5/100,0)&lt;-BT$6,-BT$6-SUM(BT$10:BT465),-ROUNDDOWN($M466*BT$5/100,0)),0)</f>
        <v>0</v>
      </c>
      <c r="BU466" s="38">
        <f>IF(AND(BU$7="○",$A466&gt;=BU$8,$A466&lt;=BU$9),IF(SUM(BU$10:BU465)-ROUNDDOWN($M466*BU$5/100,0)&lt;-BU$6,-BU$6-SUM(BU$10:BU465),-ROUNDDOWN($M466*BU$5/100,0)),0)</f>
        <v>0</v>
      </c>
      <c r="BV466" s="38">
        <f>IF(AND(BV$7="○",$A466&gt;=BV$8,$A466&lt;=BV$9),IF(SUM(BV$10:BV465)-ROUNDDOWN($M466*BV$5/100,0)&lt;-BV$6,-BV$6-SUM(BV$10:BV465),-ROUNDDOWN($M466*BV$5/100,0)),0)</f>
        <v>0</v>
      </c>
      <c r="BW466" s="38">
        <f>IF(AND(BW$7="○",$A466&gt;=BW$8,$A466&lt;=BW$9),IF(SUM(BW$10:BW465)-ROUNDDOWN($M466*BW$5/100,0)&lt;-BW$6,-BW$6-SUM(BW$10:BW465),-ROUNDDOWN($M466*BW$5/100,0)),0)</f>
        <v>0</v>
      </c>
      <c r="BX466" s="38">
        <f>IF(AND(T466="○",$A466&gt;=BX$8,$A466&lt;=BX$9),IF(SUM(BX$10:BX465)-ROUNDDOWN($K466*BX$5/100,0)&lt;-BX$6,-BX$6-SUM(BX$10:BX465),-ROUNDDOWN($K466*BX$5/100,0)),0)</f>
        <v>0</v>
      </c>
      <c r="BY466" s="38">
        <f>IF(AND(U466="○",$A466&gt;=BY$8,$A466&lt;=BY$9),IF(SUM(BY$10:BY465)-ROUNDDOWN($K466*BY$5/100,0)&lt;-BY$6,-BY$6-SUM(BY$10:BY465),-ROUNDDOWN($K466*BY$5/100,0)),0)</f>
        <v>0</v>
      </c>
      <c r="BZ466" s="38">
        <f>IF(AND(V466="○",$A466&gt;=BZ$8,$A466&lt;=BZ$9),IF(SUM(BZ$10:BZ465)-ROUNDDOWN($K466*BZ$5/100,0)&lt;-BZ$6,-BZ$6-SUM(BZ$10:BZ465),-ROUNDDOWN($K466*BZ$5/100,0)),0)</f>
        <v>0</v>
      </c>
      <c r="CA466" s="38">
        <f>IF(AND(W466="○",$A466&gt;=CA$8,$A466&lt;=CA$9),IF(SUM(CA$10:CA465)-ROUNDDOWN($K466*CA$5/100,0)&lt;-CA$6,-CA$6-SUM(CA$10:CA465),-ROUNDDOWN($K466*CA$5/100,0)),0)</f>
        <v>0</v>
      </c>
      <c r="CB466" s="38"/>
      <c r="CC466" s="38"/>
      <c r="CD466" s="38"/>
      <c r="CE466" s="38"/>
      <c r="CF466" s="38"/>
      <c r="CG466" s="65">
        <f t="shared" si="291"/>
        <v>0</v>
      </c>
      <c r="CH466" s="71">
        <f t="shared" si="292"/>
        <v>0</v>
      </c>
      <c r="CI466" s="1">
        <f t="shared" si="19"/>
        <v>0</v>
      </c>
      <c r="CJ466" s="1"/>
      <c r="CK466" s="72"/>
      <c r="CL466" s="72"/>
      <c r="CM466" s="2"/>
      <c r="CN466" s="2"/>
      <c r="CO466" s="73">
        <f t="shared" si="20"/>
        <v>0</v>
      </c>
      <c r="CP466" s="5">
        <f t="shared" si="21"/>
        <v>0</v>
      </c>
      <c r="CQ466" s="1"/>
      <c r="CR466" s="1">
        <f t="shared" si="22"/>
        <v>0</v>
      </c>
      <c r="CS466" s="1"/>
      <c r="CT466" s="1" t="e">
        <f>INDEX([2]マスタ!$A:$A,MATCH(D466,[2]マスタ!$C:$C,0))</f>
        <v>#N/A</v>
      </c>
      <c r="CU466" s="1" t="str">
        <f t="shared" ca="1" si="23"/>
        <v>20260620_0-0</v>
      </c>
    </row>
    <row r="467" spans="1:99" x14ac:dyDescent="0.4">
      <c r="A467" s="61"/>
      <c r="B467" s="62"/>
      <c r="C467" s="62"/>
      <c r="D467" s="62"/>
      <c r="E467" s="76"/>
      <c r="F467" s="62"/>
      <c r="G467" s="62">
        <v>1</v>
      </c>
      <c r="H467" s="64">
        <f t="shared" si="4"/>
        <v>0</v>
      </c>
      <c r="I467" s="64"/>
      <c r="J467" s="64"/>
      <c r="K467" s="65">
        <f t="shared" si="317"/>
        <v>0</v>
      </c>
      <c r="L467" s="65">
        <f t="shared" si="6"/>
        <v>0</v>
      </c>
      <c r="M467" s="65">
        <f t="shared" si="7"/>
        <v>0</v>
      </c>
      <c r="N467" s="65">
        <f t="shared" si="8"/>
        <v>0</v>
      </c>
      <c r="O467" s="66" t="str">
        <f t="shared" si="9"/>
        <v>✕</v>
      </c>
      <c r="P467" s="67" t="str">
        <f t="shared" si="10"/>
        <v>○</v>
      </c>
      <c r="Q467" s="67" t="str">
        <f t="shared" si="318"/>
        <v>✕</v>
      </c>
      <c r="R467" s="67" t="str">
        <f t="shared" si="12"/>
        <v>✕</v>
      </c>
      <c r="S467" s="68">
        <v>0</v>
      </c>
      <c r="T467" s="69" t="s">
        <v>85</v>
      </c>
      <c r="U467" s="69" t="s">
        <v>85</v>
      </c>
      <c r="V467" s="69" t="s">
        <v>85</v>
      </c>
      <c r="W467" s="69" t="s">
        <v>85</v>
      </c>
      <c r="X467" s="69" t="s">
        <v>84</v>
      </c>
      <c r="Y467" s="69" t="s">
        <v>85</v>
      </c>
      <c r="Z467" s="69" t="s">
        <v>85</v>
      </c>
      <c r="AA467" s="69" t="s">
        <v>85</v>
      </c>
      <c r="AB467" s="69" t="s">
        <v>85</v>
      </c>
      <c r="AC467" s="69" t="s">
        <v>85</v>
      </c>
      <c r="AD467" s="38" t="str">
        <f>+IF(ISERROR(VLOOKUP($B467,AD$10:AD466,1,0)),IF(AND($N467&gt;=1000,$A467&gt;=AO$8,$A467&lt;=AO$9),$B467,""),"")</f>
        <v/>
      </c>
      <c r="AE467" s="38" t="str">
        <f>+IF(ISERROR(VLOOKUP($B467,AE$10:AE466,1,0)),IF(AND($N467&gt;=1000,$A467&gt;=AP$8,$A467&lt;=AP$9),$B467,""),"")</f>
        <v/>
      </c>
      <c r="AF467" s="38" t="str">
        <f>+IF(ISERROR(VLOOKUP($B467,AF$10:AF466,1,0)),IF(AND($N467&gt;=1000,$A467&gt;=AQ$8,$A467&lt;=AQ$9),$B467,""),"")</f>
        <v/>
      </c>
      <c r="AG467" s="38" t="str">
        <f>+IF(ISERROR(VLOOKUP($B467,AG$10:AG466,1,0)),IF(AND($N467&gt;=1000,$A467&gt;=AR$8,$A467&lt;=AR$9),$B467,""),"")</f>
        <v/>
      </c>
      <c r="AH467" s="38"/>
      <c r="AI467" s="70">
        <v>0</v>
      </c>
      <c r="AJ467" s="38">
        <f>IF(AND(AJ$7="○",$A467&gt;=AJ$8,$A467&lt;=AJ$9),IF(SUM(AJ$10:AJ466)-ROUNDDOWN($K467*AJ$5/100,0)&lt;-AJ$6,-AJ$6-SUM(AJ$10:AJ466),-ROUNDDOWN($K467*AJ$5/100,0)),0)</f>
        <v>0</v>
      </c>
      <c r="AK467" s="38">
        <f>IF(AND(AK$7="○",$A467&gt;=AK$8,$A467&lt;=AK$9),IF(SUM(AK$10:AK466)-ROUNDDOWN($L467*AK$5/100,0)&lt;-AK$6,-AK$6-SUM(AK$10:AK466),-ROUNDDOWN($L467*AK$5/100,0)),0)</f>
        <v>0</v>
      </c>
      <c r="AL467" s="38">
        <f>IF(AND(AL$7="○",$A467&gt;=AL$8,$A467&lt;=AL$9),IF(SUM(AL$10:AL466)-ROUNDDOWN($N467*AL$5/100,0)&lt;-AL$6,-AL$6-SUM(AL$10:AL466),-ROUNDDOWN($N467*AL$5/100,0)),0)</f>
        <v>0</v>
      </c>
      <c r="AM467" s="38">
        <f>IF(AND(AM$7="○",$A467&gt;=AM$8,$A467&lt;=AM$9),IF(SUM(AM$10:AM466)-ROUNDDOWN($L467*AM$5/100,0)&lt;-AM$6,-AM$6-SUM(AM$10:AM466),-ROUNDDOWN($L467*AM$5/100,0)),0)</f>
        <v>0</v>
      </c>
      <c r="AN467" s="38">
        <f>IF(AND(AN$7="○",$A467&gt;=AN$8,$A467&lt;=AN$9),IF(SUM(AN$10:AN466)-ROUNDDOWN($M467*AN$5/100,0)&lt;-AN$6,-AN$6-SUM(AN$10:AN466),-ROUNDDOWN($M467*AN$5/100,0)),0)</f>
        <v>0</v>
      </c>
      <c r="AO467" s="38">
        <f>IF(AND($A467&gt;=AO$8,$A467&lt;=AO$9),IF(SUM(AO$10:AO466)-ROUNDDOWN($K467*AO$5/100,0)&lt;-AO$6,-AO$6-SUM(AO$10:AO466),-ROUNDDOWN($K467*AO$5/100,0)),0)</f>
        <v>0</v>
      </c>
      <c r="AP467" s="38">
        <f>IF(AND($A467&gt;=AP$8,$A467&lt;=AP$9),IF(SUM(AP$10:AP466)-ROUNDDOWN($K467*AP$5/100,0)&lt;-AP$6,-AP$6-SUM(AP$10:AP466),-ROUNDDOWN($K467*AP$5/100,0)),0)</f>
        <v>0</v>
      </c>
      <c r="AQ467" s="38">
        <f>IF(AND($A467&gt;=AQ$8,$A467&lt;=AQ$9),IF(SUM(AQ$10:AQ466)-ROUNDDOWN($K467*AQ$5/100,0)&lt;-AQ$6,-AQ$6-SUM(AQ$10:AQ466),-ROUNDDOWN($K467*AQ$5/100,0)),0)</f>
        <v>0</v>
      </c>
      <c r="AR467" s="38">
        <f>IF(AND($A467&gt;=AR$8,$A467&lt;=AR$9),IF(SUM(AR$10:AR466)-ROUNDDOWN($K467*AR$5/100,0)&lt;-AR$6,-AR$6-SUM(AR$10:AR466),-ROUNDDOWN($K467*AR$5/100,0)),0)</f>
        <v>0</v>
      </c>
      <c r="AS467" s="38">
        <f>IF(SUMIFS(AS$10:AS466,$A$10:$A466,$A467)-ROUNDDOWN($K467*$S467/100,0)&lt;-$S467*1000,-$S467*1000-SUMIFS(AS$10:AS466,$A$10:$A466,$A467),-ROUNDDOWN($K467*$S467/100,0))</f>
        <v>0</v>
      </c>
      <c r="AT467" s="38">
        <f>IF(AND(X467="○",$A467&gt;=AT$8,$A467&lt;=AT$9,K467&gt;=3980),IF(SUM(AT$10:AT466)-ROUNDDOWN($K467*AT$5/100,0)&lt;-AT$6,-AT$6-SUM(AT$10:AT466),-ROUNDDOWN($K467*AT$5/100,0)),0)</f>
        <v>0</v>
      </c>
      <c r="AU467" s="38">
        <f>IF(O467="○",IF(SUM(AU$10:AU466)-ROUNDDOWN($K467*AU$5/100,0)&lt;-AU$6,-AU$6-SUM(AU$10:AU466),-ROUNDDOWN($K467*AU$5/100,0)),0)</f>
        <v>0</v>
      </c>
      <c r="AV467" s="38">
        <f>IF(P467="○",IF(SUM(AV$10:AV466)-ROUNDDOWN($K467*AV$5/100,0)&lt;-AV$6,-AV$6-SUM(AV$10:AV466),-ROUNDDOWN($K467*AV$5/100,0)),0)</f>
        <v>0</v>
      </c>
      <c r="AW467" s="38">
        <f>IF(Q467="○",IF(SUM(AW$10:AW466)-ROUNDDOWN($K467*AW$5/100,0)&lt;-AW$6,-AW$6-SUM(AW$10:AW466),-ROUNDDOWN($K467*AW$5/100,0)),0)</f>
        <v>0</v>
      </c>
      <c r="AX467" s="38">
        <f>IF(R467="○",IF(SUM(AX$10:AX466)-ROUNDDOWN($K467*AX$5/100,0)&lt;-AX$6,-AX$6-SUM(AX$10:AX466),-ROUNDDOWN($K467*AX$5/100,0)),0)</f>
        <v>0</v>
      </c>
      <c r="AY467" s="70">
        <v>0</v>
      </c>
      <c r="AZ467" s="65">
        <f t="shared" ref="AZ467:AZ530" si="319">-ROUNDDOWN($K467*AY467/100,0)</f>
        <v>0</v>
      </c>
      <c r="BA467" s="65">
        <f t="shared" ref="BA467:BA530" si="320">-ROUNDDOWN($K467*AI467/100,0)</f>
        <v>0</v>
      </c>
      <c r="BB467" s="70"/>
      <c r="BC467" s="65">
        <f t="shared" ref="BC467:BC530" si="321">-ROUNDDOWN($K467*BB467/100,0)</f>
        <v>0</v>
      </c>
      <c r="BD467" s="70">
        <v>0</v>
      </c>
      <c r="BE467" s="65">
        <f t="shared" ref="BE467:BE530" si="322">-ROUNDDOWN($K467*BD467/100,0)</f>
        <v>0</v>
      </c>
      <c r="BF467" s="70">
        <v>0</v>
      </c>
      <c r="BG467" s="65">
        <f t="shared" ref="BG467:BG530" si="323">-ROUNDDOWN($K467*BF467/100,0)</f>
        <v>0</v>
      </c>
      <c r="BH467" s="70">
        <v>0</v>
      </c>
      <c r="BI467" s="65">
        <f t="shared" ref="BI467:BI530" si="324">-ROUNDDOWN($K467*BH467/100,0)</f>
        <v>0</v>
      </c>
      <c r="BJ467" s="38">
        <f>IF(AND(BJ$7="○",$A467&gt;=BJ$8,$A467&lt;=BJ$9),IF(SUM(BJ$10:BJ466)-ROUNDDOWN($M467*BJ$5/100,0)&lt;-BJ$6,-BJ$6-SUM(BJ$10:BJ466),-ROUNDDOWN($M467*BJ$5/100,0)),0)</f>
        <v>0</v>
      </c>
      <c r="BK467" s="38">
        <f>IF(AND(BK$7="○",$A467&gt;=BK$8,$A467&lt;=BK$9),IF(SUM(BK$10:BK466)-ROUNDDOWN($L467*BK$5/100,0)&lt;-BK$6,-BK$6-SUM(BK$10:BK466),-ROUNDDOWN($L467*BK$5/100,0)),0)</f>
        <v>0</v>
      </c>
      <c r="BL467" s="38">
        <f>IF(AND(BL$7="○",$A467&gt;=BL$8,$A467&lt;=BL$9),IF(SUM(BL$10:BL466)-ROUNDDOWN($L467*BL$5/100,0)&lt;-BL$6,-BL$6-SUM(BL$10:BL466),-ROUNDDOWN($L467*BL$5/100,0)),0)</f>
        <v>0</v>
      </c>
      <c r="BM467" s="38">
        <f>IF(AND(BM$7="○",$A467&gt;=BM$8,$A467&lt;=BM$9),IF(SUM(BM$10:BM466)-ROUNDDOWN($M467*BM$5/100,0)&lt;-BM$6,-BM$6-SUM(BM$10:BM466),-ROUNDDOWN($M467*BM$5/100,0)),0)</f>
        <v>0</v>
      </c>
      <c r="BN467" s="38">
        <f>IF(AND(BN$7="○",$A467&gt;=BN$8,$A467&lt;=BN$9),IF(SUM(BN$10:BN466)-ROUNDDOWN($M467*BN$5/100,0)&lt;-BN$6,-BN$6-SUM(BN$10:BN466),-ROUNDDOWN($M467*BN$5/100,0)),0)</f>
        <v>0</v>
      </c>
      <c r="BO467" s="38">
        <f>IF(AND(BO$7="○",$A467&gt;=BO$8,$A467&lt;=BO$9),IF(SUM(BO$10:BO466)-ROUNDDOWN($M467*BO$5/100,0)&lt;-BO$6,-BO$6-SUM(BO$10:BO466),-ROUNDDOWN($M467*BO$5/100,0)),0)</f>
        <v>0</v>
      </c>
      <c r="BP467" s="38">
        <f>IF(AND(BP$7="○",$A467&gt;=BP$8,$A467&lt;=BP$9),IF(SUM(BP$10:BP466)-ROUNDDOWN($M467*BP$5/100,0)&lt;-BP$6,-BP$6-SUM(BP$10:BP466),-ROUNDDOWN($M467*BP$5/100,0)),0)</f>
        <v>0</v>
      </c>
      <c r="BQ467" s="38">
        <f>IF(AND(BQ$7="○",$A467&gt;=BQ$8,$A467&lt;=BQ$9),IF(SUM(BQ$10:BQ466)-ROUNDDOWN($L467*BQ$5/100,0)&lt;-BQ$6,-BQ$6-SUM(BQ$10:BQ466),-ROUNDDOWN($L467*BQ$5/100,0)),0)</f>
        <v>0</v>
      </c>
      <c r="BR467" s="38">
        <f>IF(AND(BR$7="○",$A467&gt;=BR$8,$A467&lt;=BR$9),IF(SUM(BR$10:BR466)-ROUNDDOWN($M467*BR$5/100,0)&lt;-BR$6,-BR$6-SUM(BR$10:BR466),-ROUNDDOWN($M467*BR$5/100,0)),0)</f>
        <v>0</v>
      </c>
      <c r="BS467" s="38">
        <f>IF(AND(BS$7="○",$A467&gt;=BS$8,$A467&lt;=BS$9),IF(SUM(BS$10:BS466)-ROUNDDOWN($M467*BS$5/100,0)&lt;-BS$6,-BS$6-SUM(BS$10:BS466),-ROUNDDOWN($M467*BS$5/100,0)),0)</f>
        <v>0</v>
      </c>
      <c r="BT467" s="38">
        <f>IF(AND(BT$7="○",$A467&gt;=BT$8,$A467&lt;=BT$9),IF(SUM(BT$10:BT466)-ROUNDDOWN($M467*BT$5/100,0)&lt;-BT$6,-BT$6-SUM(BT$10:BT466),-ROUNDDOWN($M467*BT$5/100,0)),0)</f>
        <v>0</v>
      </c>
      <c r="BU467" s="38">
        <f>IF(AND(BU$7="○",$A467&gt;=BU$8,$A467&lt;=BU$9),IF(SUM(BU$10:BU466)-ROUNDDOWN($M467*BU$5/100,0)&lt;-BU$6,-BU$6-SUM(BU$10:BU466),-ROUNDDOWN($M467*BU$5/100,0)),0)</f>
        <v>0</v>
      </c>
      <c r="BV467" s="38">
        <f>IF(AND(BV$7="○",$A467&gt;=BV$8,$A467&lt;=BV$9),IF(SUM(BV$10:BV466)-ROUNDDOWN($M467*BV$5/100,0)&lt;-BV$6,-BV$6-SUM(BV$10:BV466),-ROUNDDOWN($M467*BV$5/100,0)),0)</f>
        <v>0</v>
      </c>
      <c r="BW467" s="38">
        <f>IF(AND(BW$7="○",$A467&gt;=BW$8,$A467&lt;=BW$9),IF(SUM(BW$10:BW466)-ROUNDDOWN($M467*BW$5/100,0)&lt;-BW$6,-BW$6-SUM(BW$10:BW466),-ROUNDDOWN($M467*BW$5/100,0)),0)</f>
        <v>0</v>
      </c>
      <c r="BX467" s="38">
        <f>IF(AND(T467="○",$A467&gt;=BX$8,$A467&lt;=BX$9),IF(SUM(BX$10:BX466)-ROUNDDOWN($K467*BX$5/100,0)&lt;-BX$6,-BX$6-SUM(BX$10:BX466),-ROUNDDOWN($K467*BX$5/100,0)),0)</f>
        <v>0</v>
      </c>
      <c r="BY467" s="38">
        <f>IF(AND(U467="○",$A467&gt;=BY$8,$A467&lt;=BY$9),IF(SUM(BY$10:BY466)-ROUNDDOWN($K467*BY$5/100,0)&lt;-BY$6,-BY$6-SUM(BY$10:BY466),-ROUNDDOWN($K467*BY$5/100,0)),0)</f>
        <v>0</v>
      </c>
      <c r="BZ467" s="38">
        <f>IF(AND(V467="○",$A467&gt;=BZ$8,$A467&lt;=BZ$9),IF(SUM(BZ$10:BZ466)-ROUNDDOWN($K467*BZ$5/100,0)&lt;-BZ$6,-BZ$6-SUM(BZ$10:BZ466),-ROUNDDOWN($K467*BZ$5/100,0)),0)</f>
        <v>0</v>
      </c>
      <c r="CA467" s="38">
        <f>IF(AND(W467="○",$A467&gt;=CA$8,$A467&lt;=CA$9),IF(SUM(CA$10:CA466)-ROUNDDOWN($K467*CA$5/100,0)&lt;-CA$6,-CA$6-SUM(CA$10:CA466),-ROUNDDOWN($K467*CA$5/100,0)),0)</f>
        <v>0</v>
      </c>
      <c r="CB467" s="38"/>
      <c r="CC467" s="38"/>
      <c r="CD467" s="38"/>
      <c r="CE467" s="38"/>
      <c r="CF467" s="38"/>
      <c r="CG467" s="65">
        <f t="shared" ref="CG467:CG530" si="325">+SUM(AJ467:CF467,BC467,BE467,AZ467,BA467,BG467,BI467)</f>
        <v>0</v>
      </c>
      <c r="CH467" s="71">
        <f t="shared" ref="CH467:CH530" si="326">+CG467+N467</f>
        <v>0</v>
      </c>
      <c r="CI467" s="1">
        <f t="shared" si="19"/>
        <v>0</v>
      </c>
      <c r="CJ467" s="1"/>
      <c r="CK467" s="72"/>
      <c r="CL467" s="72"/>
      <c r="CM467" s="2"/>
      <c r="CN467" s="2"/>
      <c r="CO467" s="73">
        <f t="shared" si="20"/>
        <v>0</v>
      </c>
      <c r="CP467" s="5">
        <f t="shared" si="21"/>
        <v>0</v>
      </c>
      <c r="CQ467" s="1"/>
      <c r="CR467" s="1">
        <f t="shared" si="22"/>
        <v>0</v>
      </c>
      <c r="CS467" s="1"/>
      <c r="CT467" s="1" t="e">
        <f>INDEX([2]マスタ!$A:$A,MATCH(D467,[2]マスタ!$C:$C,0))</f>
        <v>#N/A</v>
      </c>
      <c r="CU467" s="1" t="str">
        <f t="shared" ca="1" si="23"/>
        <v>20260620_0-0</v>
      </c>
    </row>
    <row r="468" spans="1:99" x14ac:dyDescent="0.4">
      <c r="A468" s="61"/>
      <c r="B468" s="62"/>
      <c r="C468" s="62"/>
      <c r="D468" s="62"/>
      <c r="E468" s="63"/>
      <c r="F468" s="62"/>
      <c r="G468" s="62">
        <v>1</v>
      </c>
      <c r="H468" s="64">
        <f t="shared" si="4"/>
        <v>0</v>
      </c>
      <c r="I468" s="64"/>
      <c r="J468" s="64"/>
      <c r="K468" s="65">
        <f t="shared" si="317"/>
        <v>0</v>
      </c>
      <c r="L468" s="65">
        <f t="shared" si="6"/>
        <v>0</v>
      </c>
      <c r="M468" s="65">
        <f t="shared" si="7"/>
        <v>0</v>
      </c>
      <c r="N468" s="65">
        <f t="shared" si="8"/>
        <v>0</v>
      </c>
      <c r="O468" s="66" t="str">
        <f t="shared" si="9"/>
        <v>✕</v>
      </c>
      <c r="P468" s="67" t="str">
        <f t="shared" si="10"/>
        <v>○</v>
      </c>
      <c r="Q468" s="67" t="str">
        <f t="shared" si="318"/>
        <v>✕</v>
      </c>
      <c r="R468" s="67" t="str">
        <f t="shared" si="12"/>
        <v>✕</v>
      </c>
      <c r="S468" s="68">
        <v>0</v>
      </c>
      <c r="T468" s="69" t="s">
        <v>85</v>
      </c>
      <c r="U468" s="69" t="s">
        <v>85</v>
      </c>
      <c r="V468" s="69" t="s">
        <v>85</v>
      </c>
      <c r="W468" s="69" t="s">
        <v>85</v>
      </c>
      <c r="X468" s="69" t="s">
        <v>84</v>
      </c>
      <c r="Y468" s="69" t="s">
        <v>85</v>
      </c>
      <c r="Z468" s="69" t="s">
        <v>85</v>
      </c>
      <c r="AA468" s="69" t="s">
        <v>85</v>
      </c>
      <c r="AB468" s="69" t="s">
        <v>85</v>
      </c>
      <c r="AC468" s="69" t="s">
        <v>85</v>
      </c>
      <c r="AD468" s="38" t="str">
        <f>+IF(ISERROR(VLOOKUP($B468,AD$10:AD467,1,0)),IF(AND($N468&gt;=1000,$A468&gt;=AO$8,$A468&lt;=AO$9),$B468,""),"")</f>
        <v/>
      </c>
      <c r="AE468" s="38" t="str">
        <f>+IF(ISERROR(VLOOKUP($B468,AE$10:AE467,1,0)),IF(AND($N468&gt;=1000,$A468&gt;=AP$8,$A468&lt;=AP$9),$B468,""),"")</f>
        <v/>
      </c>
      <c r="AF468" s="38" t="str">
        <f>+IF(ISERROR(VLOOKUP($B468,AF$10:AF467,1,0)),IF(AND($N468&gt;=1000,$A468&gt;=AQ$8,$A468&lt;=AQ$9),$B468,""),"")</f>
        <v/>
      </c>
      <c r="AG468" s="38" t="str">
        <f>+IF(ISERROR(VLOOKUP($B468,AG$10:AG467,1,0)),IF(AND($N468&gt;=1000,$A468&gt;=AR$8,$A468&lt;=AR$9),$B468,""),"")</f>
        <v/>
      </c>
      <c r="AH468" s="38"/>
      <c r="AI468" s="70">
        <v>0</v>
      </c>
      <c r="AJ468" s="38">
        <f>IF(AND(AJ$7="○",$A468&gt;=AJ$8,$A468&lt;=AJ$9),IF(SUM(AJ$10:AJ467)-ROUNDDOWN($K468*AJ$5/100,0)&lt;-AJ$6,-AJ$6-SUM(AJ$10:AJ467),-ROUNDDOWN($K468*AJ$5/100,0)),0)</f>
        <v>0</v>
      </c>
      <c r="AK468" s="38">
        <f>IF(AND(AK$7="○",$A468&gt;=AK$8,$A468&lt;=AK$9),IF(SUM(AK$10:AK467)-ROUNDDOWN($L468*AK$5/100,0)&lt;-AK$6,-AK$6-SUM(AK$10:AK467),-ROUNDDOWN($L468*AK$5/100,0)),0)</f>
        <v>0</v>
      </c>
      <c r="AL468" s="38">
        <f>IF(AND(AL$7="○",$A468&gt;=AL$8,$A468&lt;=AL$9),IF(SUM(AL$10:AL467)-ROUNDDOWN($N468*AL$5/100,0)&lt;-AL$6,-AL$6-SUM(AL$10:AL467),-ROUNDDOWN($N468*AL$5/100,0)),0)</f>
        <v>0</v>
      </c>
      <c r="AM468" s="38">
        <f>IF(AND(AM$7="○",$A468&gt;=AM$8,$A468&lt;=AM$9),IF(SUM(AM$10:AM467)-ROUNDDOWN($L468*AM$5/100,0)&lt;-AM$6,-AM$6-SUM(AM$10:AM467),-ROUNDDOWN($L468*AM$5/100,0)),0)</f>
        <v>0</v>
      </c>
      <c r="AN468" s="38">
        <f>IF(AND(AN$7="○",$A468&gt;=AN$8,$A468&lt;=AN$9),IF(SUM(AN$10:AN467)-ROUNDDOWN($M468*AN$5/100,0)&lt;-AN$6,-AN$6-SUM(AN$10:AN467),-ROUNDDOWN($M468*AN$5/100,0)),0)</f>
        <v>0</v>
      </c>
      <c r="AO468" s="38">
        <f>IF(AND($A468&gt;=AO$8,$A468&lt;=AO$9),IF(SUM(AO$10:AO467)-ROUNDDOWN($K468*AO$5/100,0)&lt;-AO$6,-AO$6-SUM(AO$10:AO467),-ROUNDDOWN($K468*AO$5/100,0)),0)</f>
        <v>0</v>
      </c>
      <c r="AP468" s="38">
        <f>IF(AND($A468&gt;=AP$8,$A468&lt;=AP$9),IF(SUM(AP$10:AP467)-ROUNDDOWN($K468*AP$5/100,0)&lt;-AP$6,-AP$6-SUM(AP$10:AP467),-ROUNDDOWN($K468*AP$5/100,0)),0)</f>
        <v>0</v>
      </c>
      <c r="AQ468" s="38">
        <f>IF(AND($A468&gt;=AQ$8,$A468&lt;=AQ$9),IF(SUM(AQ$10:AQ467)-ROUNDDOWN($K468*AQ$5/100,0)&lt;-AQ$6,-AQ$6-SUM(AQ$10:AQ467),-ROUNDDOWN($K468*AQ$5/100,0)),0)</f>
        <v>0</v>
      </c>
      <c r="AR468" s="38">
        <f>IF(AND($A468&gt;=AR$8,$A468&lt;=AR$9),IF(SUM(AR$10:AR467)-ROUNDDOWN($K468*AR$5/100,0)&lt;-AR$6,-AR$6-SUM(AR$10:AR467),-ROUNDDOWN($K468*AR$5/100,0)),0)</f>
        <v>0</v>
      </c>
      <c r="AS468" s="38">
        <f>IF(SUMIFS(AS$10:AS467,$A$10:$A467,$A468)-ROUNDDOWN($K468*$S468/100,0)&lt;-$S468*1000,-$S468*1000-SUMIFS(AS$10:AS467,$A$10:$A467,$A468),-ROUNDDOWN($K468*$S468/100,0))</f>
        <v>0</v>
      </c>
      <c r="AT468" s="38">
        <f>IF(AND(X468="○",$A468&gt;=AT$8,$A468&lt;=AT$9,K468&gt;=3980),IF(SUM(AT$10:AT467)-ROUNDDOWN($K468*AT$5/100,0)&lt;-AT$6,-AT$6-SUM(AT$10:AT467),-ROUNDDOWN($K468*AT$5/100,0)),0)</f>
        <v>0</v>
      </c>
      <c r="AU468" s="38">
        <f>IF(O468="○",IF(SUM(AU$10:AU467)-ROUNDDOWN($K468*AU$5/100,0)&lt;-AU$6,-AU$6-SUM(AU$10:AU467),-ROUNDDOWN($K468*AU$5/100,0)),0)</f>
        <v>0</v>
      </c>
      <c r="AV468" s="38">
        <f>IF(P468="○",IF(SUM(AV$10:AV467)-ROUNDDOWN($K468*AV$5/100,0)&lt;-AV$6,-AV$6-SUM(AV$10:AV467),-ROUNDDOWN($K468*AV$5/100,0)),0)</f>
        <v>0</v>
      </c>
      <c r="AW468" s="38">
        <f>IF(Q468="○",IF(SUM(AW$10:AW467)-ROUNDDOWN($K468*AW$5/100,0)&lt;-AW$6,-AW$6-SUM(AW$10:AW467),-ROUNDDOWN($K468*AW$5/100,0)),0)</f>
        <v>0</v>
      </c>
      <c r="AX468" s="38">
        <f>IF(R468="○",IF(SUM(AX$10:AX467)-ROUNDDOWN($K468*AX$5/100,0)&lt;-AX$6,-AX$6-SUM(AX$10:AX467),-ROUNDDOWN($K468*AX$5/100,0)),0)</f>
        <v>0</v>
      </c>
      <c r="AY468" s="70">
        <v>0</v>
      </c>
      <c r="AZ468" s="65">
        <f t="shared" si="319"/>
        <v>0</v>
      </c>
      <c r="BA468" s="65">
        <f t="shared" si="320"/>
        <v>0</v>
      </c>
      <c r="BB468" s="70"/>
      <c r="BC468" s="65">
        <f t="shared" si="321"/>
        <v>0</v>
      </c>
      <c r="BD468" s="70">
        <v>0</v>
      </c>
      <c r="BE468" s="65">
        <f t="shared" si="322"/>
        <v>0</v>
      </c>
      <c r="BF468" s="70">
        <v>0</v>
      </c>
      <c r="BG468" s="65">
        <f t="shared" si="323"/>
        <v>0</v>
      </c>
      <c r="BH468" s="70">
        <v>0</v>
      </c>
      <c r="BI468" s="65">
        <f t="shared" si="324"/>
        <v>0</v>
      </c>
      <c r="BJ468" s="38">
        <f>IF(AND(BJ$7="○",$A468&gt;=BJ$8,$A468&lt;=BJ$9),IF(SUM(BJ$10:BJ467)-ROUNDDOWN($M468*BJ$5/100,0)&lt;-BJ$6,-BJ$6-SUM(BJ$10:BJ467),-ROUNDDOWN($M468*BJ$5/100,0)),0)</f>
        <v>0</v>
      </c>
      <c r="BK468" s="38">
        <f>IF(AND(BK$7="○",$A468&gt;=BK$8,$A468&lt;=BK$9),IF(SUM(BK$10:BK467)-ROUNDDOWN($L468*BK$5/100,0)&lt;-BK$6,-BK$6-SUM(BK$10:BK467),-ROUNDDOWN($L468*BK$5/100,0)),0)</f>
        <v>0</v>
      </c>
      <c r="BL468" s="38">
        <f>IF(AND(BL$7="○",$A468&gt;=BL$8,$A468&lt;=BL$9),IF(SUM(BL$10:BL467)-ROUNDDOWN($L468*BL$5/100,0)&lt;-BL$6,-BL$6-SUM(BL$10:BL467),-ROUNDDOWN($L468*BL$5/100,0)),0)</f>
        <v>0</v>
      </c>
      <c r="BM468" s="38">
        <f>IF(AND(BM$7="○",$A468&gt;=BM$8,$A468&lt;=BM$9),IF(SUM(BM$10:BM467)-ROUNDDOWN($M468*BM$5/100,0)&lt;-BM$6,-BM$6-SUM(BM$10:BM467),-ROUNDDOWN($M468*BM$5/100,0)),0)</f>
        <v>0</v>
      </c>
      <c r="BN468" s="38">
        <f>IF(AND(BN$7="○",$A468&gt;=BN$8,$A468&lt;=BN$9),IF(SUM(BN$10:BN467)-ROUNDDOWN($M468*BN$5/100,0)&lt;-BN$6,-BN$6-SUM(BN$10:BN467),-ROUNDDOWN($M468*BN$5/100,0)),0)</f>
        <v>0</v>
      </c>
      <c r="BO468" s="38">
        <f>IF(AND(BO$7="○",$A468&gt;=BO$8,$A468&lt;=BO$9),IF(SUM(BO$10:BO467)-ROUNDDOWN($M468*BO$5/100,0)&lt;-BO$6,-BO$6-SUM(BO$10:BO467),-ROUNDDOWN($M468*BO$5/100,0)),0)</f>
        <v>0</v>
      </c>
      <c r="BP468" s="38">
        <f>IF(AND(BP$7="○",$A468&gt;=BP$8,$A468&lt;=BP$9),IF(SUM(BP$10:BP467)-ROUNDDOWN($M468*BP$5/100,0)&lt;-BP$6,-BP$6-SUM(BP$10:BP467),-ROUNDDOWN($M468*BP$5/100,0)),0)</f>
        <v>0</v>
      </c>
      <c r="BQ468" s="38">
        <f>IF(AND(BQ$7="○",$A468&gt;=BQ$8,$A468&lt;=BQ$9),IF(SUM(BQ$10:BQ467)-ROUNDDOWN($L468*BQ$5/100,0)&lt;-BQ$6,-BQ$6-SUM(BQ$10:BQ467),-ROUNDDOWN($L468*BQ$5/100,0)),0)</f>
        <v>0</v>
      </c>
      <c r="BR468" s="38">
        <f>IF(AND(BR$7="○",$A468&gt;=BR$8,$A468&lt;=BR$9),IF(SUM(BR$10:BR467)-ROUNDDOWN($M468*BR$5/100,0)&lt;-BR$6,-BR$6-SUM(BR$10:BR467),-ROUNDDOWN($M468*BR$5/100,0)),0)</f>
        <v>0</v>
      </c>
      <c r="BS468" s="38">
        <f>IF(AND(BS$7="○",$A468&gt;=BS$8,$A468&lt;=BS$9),IF(SUM(BS$10:BS467)-ROUNDDOWN($M468*BS$5/100,0)&lt;-BS$6,-BS$6-SUM(BS$10:BS467),-ROUNDDOWN($M468*BS$5/100,0)),0)</f>
        <v>0</v>
      </c>
      <c r="BT468" s="38">
        <f>IF(AND(BT$7="○",$A468&gt;=BT$8,$A468&lt;=BT$9),IF(SUM(BT$10:BT467)-ROUNDDOWN($M468*BT$5/100,0)&lt;-BT$6,-BT$6-SUM(BT$10:BT467),-ROUNDDOWN($M468*BT$5/100,0)),0)</f>
        <v>0</v>
      </c>
      <c r="BU468" s="38">
        <f>IF(AND(BU$7="○",$A468&gt;=BU$8,$A468&lt;=BU$9),IF(SUM(BU$10:BU467)-ROUNDDOWN($M468*BU$5/100,0)&lt;-BU$6,-BU$6-SUM(BU$10:BU467),-ROUNDDOWN($M468*BU$5/100,0)),0)</f>
        <v>0</v>
      </c>
      <c r="BV468" s="38">
        <f>IF(AND(BV$7="○",$A468&gt;=BV$8,$A468&lt;=BV$9),IF(SUM(BV$10:BV467)-ROUNDDOWN($M468*BV$5/100,0)&lt;-BV$6,-BV$6-SUM(BV$10:BV467),-ROUNDDOWN($M468*BV$5/100,0)),0)</f>
        <v>0</v>
      </c>
      <c r="BW468" s="38">
        <f>IF(AND(BW$7="○",$A468&gt;=BW$8,$A468&lt;=BW$9),IF(SUM(BW$10:BW467)-ROUNDDOWN($M468*BW$5/100,0)&lt;-BW$6,-BW$6-SUM(BW$10:BW467),-ROUNDDOWN($M468*BW$5/100,0)),0)</f>
        <v>0</v>
      </c>
      <c r="BX468" s="38">
        <f>IF(AND(T468="○",$A468&gt;=BX$8,$A468&lt;=BX$9),IF(SUM(BX$10:BX467)-ROUNDDOWN($K468*BX$5/100,0)&lt;-BX$6,-BX$6-SUM(BX$10:BX467),-ROUNDDOWN($K468*BX$5/100,0)),0)</f>
        <v>0</v>
      </c>
      <c r="BY468" s="38">
        <f>IF(AND(U468="○",$A468&gt;=BY$8,$A468&lt;=BY$9),IF(SUM(BY$10:BY467)-ROUNDDOWN($K468*BY$5/100,0)&lt;-BY$6,-BY$6-SUM(BY$10:BY467),-ROUNDDOWN($K468*BY$5/100,0)),0)</f>
        <v>0</v>
      </c>
      <c r="BZ468" s="38">
        <f>IF(AND(V468="○",$A468&gt;=BZ$8,$A468&lt;=BZ$9),IF(SUM(BZ$10:BZ467)-ROUNDDOWN($K468*BZ$5/100,0)&lt;-BZ$6,-BZ$6-SUM(BZ$10:BZ467),-ROUNDDOWN($K468*BZ$5/100,0)),0)</f>
        <v>0</v>
      </c>
      <c r="CA468" s="38">
        <f>IF(AND(W468="○",$A468&gt;=CA$8,$A468&lt;=CA$9),IF(SUM(CA$10:CA467)-ROUNDDOWN($K468*CA$5/100,0)&lt;-CA$6,-CA$6-SUM(CA$10:CA467),-ROUNDDOWN($K468*CA$5/100,0)),0)</f>
        <v>0</v>
      </c>
      <c r="CB468" s="38"/>
      <c r="CC468" s="38"/>
      <c r="CD468" s="38"/>
      <c r="CE468" s="38"/>
      <c r="CF468" s="38"/>
      <c r="CG468" s="65">
        <f t="shared" si="325"/>
        <v>0</v>
      </c>
      <c r="CH468" s="71">
        <f t="shared" si="326"/>
        <v>0</v>
      </c>
      <c r="CI468" s="1">
        <f t="shared" si="19"/>
        <v>0</v>
      </c>
      <c r="CJ468" s="1"/>
      <c r="CK468" s="72"/>
      <c r="CL468" s="72"/>
      <c r="CM468" s="2"/>
      <c r="CN468" s="2"/>
      <c r="CO468" s="73">
        <f t="shared" si="20"/>
        <v>0</v>
      </c>
      <c r="CP468" s="5">
        <f t="shared" si="21"/>
        <v>0</v>
      </c>
      <c r="CQ468" s="1"/>
      <c r="CR468" s="1">
        <f t="shared" si="22"/>
        <v>0</v>
      </c>
      <c r="CS468" s="1"/>
      <c r="CT468" s="1" t="e">
        <f>INDEX([2]マスタ!$A:$A,MATCH(D468,[2]マスタ!$C:$C,0))</f>
        <v>#N/A</v>
      </c>
      <c r="CU468" s="1" t="str">
        <f t="shared" ca="1" si="23"/>
        <v>20260620_0-0</v>
      </c>
    </row>
    <row r="469" spans="1:99" x14ac:dyDescent="0.4">
      <c r="A469" s="61"/>
      <c r="B469" s="62"/>
      <c r="C469" s="62"/>
      <c r="D469" s="62"/>
      <c r="E469" s="74"/>
      <c r="F469" s="62"/>
      <c r="G469" s="62">
        <v>1</v>
      </c>
      <c r="H469" s="64">
        <f t="shared" si="4"/>
        <v>0</v>
      </c>
      <c r="I469" s="64"/>
      <c r="J469" s="64"/>
      <c r="K469" s="65">
        <f t="shared" si="317"/>
        <v>0</v>
      </c>
      <c r="L469" s="65">
        <f t="shared" si="6"/>
        <v>0</v>
      </c>
      <c r="M469" s="65">
        <f t="shared" si="7"/>
        <v>0</v>
      </c>
      <c r="N469" s="65">
        <f t="shared" si="8"/>
        <v>0</v>
      </c>
      <c r="O469" s="66" t="str">
        <f t="shared" si="9"/>
        <v>✕</v>
      </c>
      <c r="P469" s="67" t="str">
        <f t="shared" si="10"/>
        <v>○</v>
      </c>
      <c r="Q469" s="67" t="str">
        <f t="shared" si="318"/>
        <v>✕</v>
      </c>
      <c r="R469" s="67" t="str">
        <f t="shared" si="12"/>
        <v>✕</v>
      </c>
      <c r="S469" s="68">
        <v>0</v>
      </c>
      <c r="T469" s="69" t="s">
        <v>85</v>
      </c>
      <c r="U469" s="69" t="s">
        <v>85</v>
      </c>
      <c r="V469" s="69" t="s">
        <v>85</v>
      </c>
      <c r="W469" s="69" t="s">
        <v>85</v>
      </c>
      <c r="X469" s="69" t="s">
        <v>84</v>
      </c>
      <c r="Y469" s="69" t="s">
        <v>85</v>
      </c>
      <c r="Z469" s="69" t="s">
        <v>85</v>
      </c>
      <c r="AA469" s="69" t="s">
        <v>85</v>
      </c>
      <c r="AB469" s="69" t="s">
        <v>85</v>
      </c>
      <c r="AC469" s="69" t="s">
        <v>85</v>
      </c>
      <c r="AD469" s="38" t="str">
        <f>+IF(ISERROR(VLOOKUP($B469,AD$10:AD468,1,0)),IF(AND($N469&gt;=1000,$A469&gt;=AO$8,$A469&lt;=AO$9),$B469,""),"")</f>
        <v/>
      </c>
      <c r="AE469" s="38" t="str">
        <f>+IF(ISERROR(VLOOKUP($B469,AE$10:AE468,1,0)),IF(AND($N469&gt;=1000,$A469&gt;=AP$8,$A469&lt;=AP$9),$B469,""),"")</f>
        <v/>
      </c>
      <c r="AF469" s="38" t="str">
        <f>+IF(ISERROR(VLOOKUP($B469,AF$10:AF468,1,0)),IF(AND($N469&gt;=1000,$A469&gt;=AQ$8,$A469&lt;=AQ$9),$B469,""),"")</f>
        <v/>
      </c>
      <c r="AG469" s="38" t="str">
        <f>+IF(ISERROR(VLOOKUP($B469,AG$10:AG468,1,0)),IF(AND($N469&gt;=1000,$A469&gt;=AR$8,$A469&lt;=AR$9),$B469,""),"")</f>
        <v/>
      </c>
      <c r="AH469" s="38"/>
      <c r="AI469" s="70">
        <v>0</v>
      </c>
      <c r="AJ469" s="38">
        <f>IF(AND(AJ$7="○",$A469&gt;=AJ$8,$A469&lt;=AJ$9),IF(SUM(AJ$10:AJ468)-ROUNDDOWN($K469*AJ$5/100,0)&lt;-AJ$6,-AJ$6-SUM(AJ$10:AJ468),-ROUNDDOWN($K469*AJ$5/100,0)),0)</f>
        <v>0</v>
      </c>
      <c r="AK469" s="38">
        <f>IF(AND(AK$7="○",$A469&gt;=AK$8,$A469&lt;=AK$9),IF(SUM(AK$10:AK468)-ROUNDDOWN($L469*AK$5/100,0)&lt;-AK$6,-AK$6-SUM(AK$10:AK468),-ROUNDDOWN($L469*AK$5/100,0)),0)</f>
        <v>0</v>
      </c>
      <c r="AL469" s="38">
        <f>IF(AND(AL$7="○",$A469&gt;=AL$8,$A469&lt;=AL$9),IF(SUM(AL$10:AL468)-ROUNDDOWN($N469*AL$5/100,0)&lt;-AL$6,-AL$6-SUM(AL$10:AL468),-ROUNDDOWN($N469*AL$5/100,0)),0)</f>
        <v>0</v>
      </c>
      <c r="AM469" s="38">
        <f>IF(AND(AM$7="○",$A469&gt;=AM$8,$A469&lt;=AM$9),IF(SUM(AM$10:AM468)-ROUNDDOWN($L469*AM$5/100,0)&lt;-AM$6,-AM$6-SUM(AM$10:AM468),-ROUNDDOWN($L469*AM$5/100,0)),0)</f>
        <v>0</v>
      </c>
      <c r="AN469" s="38">
        <f>IF(AND(AN$7="○",$A469&gt;=AN$8,$A469&lt;=AN$9),IF(SUM(AN$10:AN468)-ROUNDDOWN($M469*AN$5/100,0)&lt;-AN$6,-AN$6-SUM(AN$10:AN468),-ROUNDDOWN($M469*AN$5/100,0)),0)</f>
        <v>0</v>
      </c>
      <c r="AO469" s="38">
        <f>IF(AND($A469&gt;=AO$8,$A469&lt;=AO$9),IF(SUM(AO$10:AO468)-ROUNDDOWN($K469*AO$5/100,0)&lt;-AO$6,-AO$6-SUM(AO$10:AO468),-ROUNDDOWN($K469*AO$5/100,0)),0)</f>
        <v>0</v>
      </c>
      <c r="AP469" s="38">
        <f>IF(AND($A469&gt;=AP$8,$A469&lt;=AP$9),IF(SUM(AP$10:AP468)-ROUNDDOWN($K469*AP$5/100,0)&lt;-AP$6,-AP$6-SUM(AP$10:AP468),-ROUNDDOWN($K469*AP$5/100,0)),0)</f>
        <v>0</v>
      </c>
      <c r="AQ469" s="38">
        <f>IF(AND($A469&gt;=AQ$8,$A469&lt;=AQ$9),IF(SUM(AQ$10:AQ468)-ROUNDDOWN($K469*AQ$5/100,0)&lt;-AQ$6,-AQ$6-SUM(AQ$10:AQ468),-ROUNDDOWN($K469*AQ$5/100,0)),0)</f>
        <v>0</v>
      </c>
      <c r="AR469" s="38">
        <f>IF(AND($A469&gt;=AR$8,$A469&lt;=AR$9),IF(SUM(AR$10:AR468)-ROUNDDOWN($K469*AR$5/100,0)&lt;-AR$6,-AR$6-SUM(AR$10:AR468),-ROUNDDOWN($K469*AR$5/100,0)),0)</f>
        <v>0</v>
      </c>
      <c r="AS469" s="38">
        <f>IF(SUMIFS(AS$10:AS468,$A$10:$A468,$A469)-ROUNDDOWN($K469*$S469/100,0)&lt;-$S469*1000,-$S469*1000-SUMIFS(AS$10:AS468,$A$10:$A468,$A469),-ROUNDDOWN($K469*$S469/100,0))</f>
        <v>0</v>
      </c>
      <c r="AT469" s="38">
        <f>IF(AND(X469="○",$A469&gt;=AT$8,$A469&lt;=AT$9,K469&gt;=3980),IF(SUM(AT$10:AT468)-ROUNDDOWN($K469*AT$5/100,0)&lt;-AT$6,-AT$6-SUM(AT$10:AT468),-ROUNDDOWN($K469*AT$5/100,0)),0)</f>
        <v>0</v>
      </c>
      <c r="AU469" s="38">
        <f>IF(O469="○",IF(SUM(AU$10:AU468)-ROUNDDOWN($K469*AU$5/100,0)&lt;-AU$6,-AU$6-SUM(AU$10:AU468),-ROUNDDOWN($K469*AU$5/100,0)),0)</f>
        <v>0</v>
      </c>
      <c r="AV469" s="38">
        <f>IF(P469="○",IF(SUM(AV$10:AV468)-ROUNDDOWN($K469*AV$5/100,0)&lt;-AV$6,-AV$6-SUM(AV$10:AV468),-ROUNDDOWN($K469*AV$5/100,0)),0)</f>
        <v>0</v>
      </c>
      <c r="AW469" s="38">
        <f>IF(Q469="○",IF(SUM(AW$10:AW468)-ROUNDDOWN($K469*AW$5/100,0)&lt;-AW$6,-AW$6-SUM(AW$10:AW468),-ROUNDDOWN($K469*AW$5/100,0)),0)</f>
        <v>0</v>
      </c>
      <c r="AX469" s="38">
        <f>IF(R469="○",IF(SUM(AX$10:AX468)-ROUNDDOWN($K469*AX$5/100,0)&lt;-AX$6,-AX$6-SUM(AX$10:AX468),-ROUNDDOWN($K469*AX$5/100,0)),0)</f>
        <v>0</v>
      </c>
      <c r="AY469" s="70">
        <v>0</v>
      </c>
      <c r="AZ469" s="65">
        <f t="shared" si="319"/>
        <v>0</v>
      </c>
      <c r="BA469" s="65">
        <f t="shared" si="320"/>
        <v>0</v>
      </c>
      <c r="BB469" s="70"/>
      <c r="BC469" s="65">
        <f t="shared" si="321"/>
        <v>0</v>
      </c>
      <c r="BD469" s="70">
        <v>0</v>
      </c>
      <c r="BE469" s="65">
        <f t="shared" si="322"/>
        <v>0</v>
      </c>
      <c r="BF469" s="70">
        <v>0</v>
      </c>
      <c r="BG469" s="65">
        <f t="shared" si="323"/>
        <v>0</v>
      </c>
      <c r="BH469" s="70">
        <v>0</v>
      </c>
      <c r="BI469" s="65">
        <f t="shared" si="324"/>
        <v>0</v>
      </c>
      <c r="BJ469" s="38">
        <f>IF(AND(BJ$7="○",$A469&gt;=BJ$8,$A469&lt;=BJ$9),IF(SUM(BJ$10:BJ468)-ROUNDDOWN($M469*BJ$5/100,0)&lt;-BJ$6,-BJ$6-SUM(BJ$10:BJ468),-ROUNDDOWN($M469*BJ$5/100,0)),0)</f>
        <v>0</v>
      </c>
      <c r="BK469" s="38">
        <f>IF(AND(BK$7="○",$A469&gt;=BK$8,$A469&lt;=BK$9),IF(SUM(BK$10:BK468)-ROUNDDOWN($L469*BK$5/100,0)&lt;-BK$6,-BK$6-SUM(BK$10:BK468),-ROUNDDOWN($L469*BK$5/100,0)),0)</f>
        <v>0</v>
      </c>
      <c r="BL469" s="38">
        <f>IF(AND(BL$7="○",$A469&gt;=BL$8,$A469&lt;=BL$9),IF(SUM(BL$10:BL468)-ROUNDDOWN($L469*BL$5/100,0)&lt;-BL$6,-BL$6-SUM(BL$10:BL468),-ROUNDDOWN($L469*BL$5/100,0)),0)</f>
        <v>0</v>
      </c>
      <c r="BM469" s="38">
        <f>IF(AND(BM$7="○",$A469&gt;=BM$8,$A469&lt;=BM$9),IF(SUM(BM$10:BM468)-ROUNDDOWN($M469*BM$5/100,0)&lt;-BM$6,-BM$6-SUM(BM$10:BM468),-ROUNDDOWN($M469*BM$5/100,0)),0)</f>
        <v>0</v>
      </c>
      <c r="BN469" s="38">
        <f>IF(AND(BN$7="○",$A469&gt;=BN$8,$A469&lt;=BN$9),IF(SUM(BN$10:BN468)-ROUNDDOWN($M469*BN$5/100,0)&lt;-BN$6,-BN$6-SUM(BN$10:BN468),-ROUNDDOWN($M469*BN$5/100,0)),0)</f>
        <v>0</v>
      </c>
      <c r="BO469" s="38">
        <f>IF(AND(BO$7="○",$A469&gt;=BO$8,$A469&lt;=BO$9),IF(SUM(BO$10:BO468)-ROUNDDOWN($M469*BO$5/100,0)&lt;-BO$6,-BO$6-SUM(BO$10:BO468),-ROUNDDOWN($M469*BO$5/100,0)),0)</f>
        <v>0</v>
      </c>
      <c r="BP469" s="38">
        <f>IF(AND(BP$7="○",$A469&gt;=BP$8,$A469&lt;=BP$9),IF(SUM(BP$10:BP468)-ROUNDDOWN($M469*BP$5/100,0)&lt;-BP$6,-BP$6-SUM(BP$10:BP468),-ROUNDDOWN($M469*BP$5/100,0)),0)</f>
        <v>0</v>
      </c>
      <c r="BQ469" s="38">
        <f>IF(AND(BQ$7="○",$A469&gt;=BQ$8,$A469&lt;=BQ$9),IF(SUM(BQ$10:BQ468)-ROUNDDOWN($L469*BQ$5/100,0)&lt;-BQ$6,-BQ$6-SUM(BQ$10:BQ468),-ROUNDDOWN($L469*BQ$5/100,0)),0)</f>
        <v>0</v>
      </c>
      <c r="BR469" s="38">
        <f>IF(AND(BR$7="○",$A469&gt;=BR$8,$A469&lt;=BR$9),IF(SUM(BR$10:BR468)-ROUNDDOWN($M469*BR$5/100,0)&lt;-BR$6,-BR$6-SUM(BR$10:BR468),-ROUNDDOWN($M469*BR$5/100,0)),0)</f>
        <v>0</v>
      </c>
      <c r="BS469" s="38">
        <f>IF(AND(BS$7="○",$A469&gt;=BS$8,$A469&lt;=BS$9),IF(SUM(BS$10:BS468)-ROUNDDOWN($M469*BS$5/100,0)&lt;-BS$6,-BS$6-SUM(BS$10:BS468),-ROUNDDOWN($M469*BS$5/100,0)),0)</f>
        <v>0</v>
      </c>
      <c r="BT469" s="38">
        <f>IF(AND(BT$7="○",$A469&gt;=BT$8,$A469&lt;=BT$9),IF(SUM(BT$10:BT468)-ROUNDDOWN($M469*BT$5/100,0)&lt;-BT$6,-BT$6-SUM(BT$10:BT468),-ROUNDDOWN($M469*BT$5/100,0)),0)</f>
        <v>0</v>
      </c>
      <c r="BU469" s="38">
        <f>IF(AND(BU$7="○",$A469&gt;=BU$8,$A469&lt;=BU$9),IF(SUM(BU$10:BU468)-ROUNDDOWN($M469*BU$5/100,0)&lt;-BU$6,-BU$6-SUM(BU$10:BU468),-ROUNDDOWN($M469*BU$5/100,0)),0)</f>
        <v>0</v>
      </c>
      <c r="BV469" s="38">
        <f>IF(AND(BV$7="○",$A469&gt;=BV$8,$A469&lt;=BV$9),IF(SUM(BV$10:BV468)-ROUNDDOWN($M469*BV$5/100,0)&lt;-BV$6,-BV$6-SUM(BV$10:BV468),-ROUNDDOWN($M469*BV$5/100,0)),0)</f>
        <v>0</v>
      </c>
      <c r="BW469" s="38">
        <f>IF(AND(BW$7="○",$A469&gt;=BW$8,$A469&lt;=BW$9),IF(SUM(BW$10:BW468)-ROUNDDOWN($M469*BW$5/100,0)&lt;-BW$6,-BW$6-SUM(BW$10:BW468),-ROUNDDOWN($M469*BW$5/100,0)),0)</f>
        <v>0</v>
      </c>
      <c r="BX469" s="38">
        <f>IF(AND(T469="○",$A469&gt;=BX$8,$A469&lt;=BX$9),IF(SUM(BX$10:BX468)-ROUNDDOWN($K469*BX$5/100,0)&lt;-BX$6,-BX$6-SUM(BX$10:BX468),-ROUNDDOWN($K469*BX$5/100,0)),0)</f>
        <v>0</v>
      </c>
      <c r="BY469" s="38">
        <f>IF(AND(U469="○",$A469&gt;=BY$8,$A469&lt;=BY$9),IF(SUM(BY$10:BY468)-ROUNDDOWN($K469*BY$5/100,0)&lt;-BY$6,-BY$6-SUM(BY$10:BY468),-ROUNDDOWN($K469*BY$5/100,0)),0)</f>
        <v>0</v>
      </c>
      <c r="BZ469" s="38">
        <f>IF(AND(V469="○",$A469&gt;=BZ$8,$A469&lt;=BZ$9),IF(SUM(BZ$10:BZ468)-ROUNDDOWN($K469*BZ$5/100,0)&lt;-BZ$6,-BZ$6-SUM(BZ$10:BZ468),-ROUNDDOWN($K469*BZ$5/100,0)),0)</f>
        <v>0</v>
      </c>
      <c r="CA469" s="38">
        <f>IF(AND(W469="○",$A469&gt;=CA$8,$A469&lt;=CA$9),IF(SUM(CA$10:CA468)-ROUNDDOWN($K469*CA$5/100,0)&lt;-CA$6,-CA$6-SUM(CA$10:CA468),-ROUNDDOWN($K469*CA$5/100,0)),0)</f>
        <v>0</v>
      </c>
      <c r="CB469" s="38"/>
      <c r="CC469" s="38"/>
      <c r="CD469" s="38"/>
      <c r="CE469" s="38"/>
      <c r="CF469" s="38"/>
      <c r="CG469" s="65">
        <f t="shared" si="325"/>
        <v>0</v>
      </c>
      <c r="CH469" s="71">
        <f t="shared" si="326"/>
        <v>0</v>
      </c>
      <c r="CI469" s="1">
        <f t="shared" si="19"/>
        <v>0</v>
      </c>
      <c r="CJ469" s="1"/>
      <c r="CK469" s="72"/>
      <c r="CL469" s="72"/>
      <c r="CM469" s="2"/>
      <c r="CN469" s="2"/>
      <c r="CO469" s="73">
        <f t="shared" si="20"/>
        <v>0</v>
      </c>
      <c r="CP469" s="5">
        <f t="shared" si="21"/>
        <v>0</v>
      </c>
      <c r="CQ469" s="1"/>
      <c r="CR469" s="1">
        <f t="shared" si="22"/>
        <v>0</v>
      </c>
      <c r="CS469" s="1"/>
      <c r="CT469" s="1" t="e">
        <f>INDEX([2]マスタ!$A:$A,MATCH(D469,[2]マスタ!$C:$C,0))</f>
        <v>#N/A</v>
      </c>
      <c r="CU469" s="1" t="str">
        <f t="shared" ca="1" si="23"/>
        <v>20260620_0-0</v>
      </c>
    </row>
    <row r="470" spans="1:99" x14ac:dyDescent="0.4">
      <c r="A470" s="61"/>
      <c r="B470" s="62"/>
      <c r="C470" s="62"/>
      <c r="D470" s="62"/>
      <c r="E470" s="74"/>
      <c r="F470" s="62"/>
      <c r="G470" s="62">
        <v>1</v>
      </c>
      <c r="H470" s="64">
        <f t="shared" si="4"/>
        <v>0</v>
      </c>
      <c r="I470" s="64"/>
      <c r="J470" s="64"/>
      <c r="K470" s="65">
        <f t="shared" si="317"/>
        <v>0</v>
      </c>
      <c r="L470" s="65">
        <f t="shared" si="6"/>
        <v>0</v>
      </c>
      <c r="M470" s="65">
        <f t="shared" si="7"/>
        <v>0</v>
      </c>
      <c r="N470" s="65">
        <f t="shared" si="8"/>
        <v>0</v>
      </c>
      <c r="O470" s="66" t="str">
        <f t="shared" si="9"/>
        <v>✕</v>
      </c>
      <c r="P470" s="67" t="str">
        <f t="shared" si="10"/>
        <v>○</v>
      </c>
      <c r="Q470" s="67" t="str">
        <f t="shared" si="318"/>
        <v>✕</v>
      </c>
      <c r="R470" s="67" t="str">
        <f t="shared" si="12"/>
        <v>✕</v>
      </c>
      <c r="S470" s="68">
        <v>0</v>
      </c>
      <c r="T470" s="69" t="s">
        <v>85</v>
      </c>
      <c r="U470" s="69" t="s">
        <v>85</v>
      </c>
      <c r="V470" s="69" t="s">
        <v>85</v>
      </c>
      <c r="W470" s="69" t="s">
        <v>85</v>
      </c>
      <c r="X470" s="69" t="s">
        <v>84</v>
      </c>
      <c r="Y470" s="69" t="s">
        <v>85</v>
      </c>
      <c r="Z470" s="69" t="s">
        <v>85</v>
      </c>
      <c r="AA470" s="69" t="s">
        <v>85</v>
      </c>
      <c r="AB470" s="69" t="s">
        <v>85</v>
      </c>
      <c r="AC470" s="69" t="s">
        <v>85</v>
      </c>
      <c r="AD470" s="38" t="str">
        <f>+IF(ISERROR(VLOOKUP($B470,AD$10:AD469,1,0)),IF(AND($N470&gt;=1000,$A470&gt;=AO$8,$A470&lt;=AO$9),$B470,""),"")</f>
        <v/>
      </c>
      <c r="AE470" s="38" t="str">
        <f>+IF(ISERROR(VLOOKUP($B470,AE$10:AE469,1,0)),IF(AND($N470&gt;=1000,$A470&gt;=AP$8,$A470&lt;=AP$9),$B470,""),"")</f>
        <v/>
      </c>
      <c r="AF470" s="38" t="str">
        <f>+IF(ISERROR(VLOOKUP($B470,AF$10:AF469,1,0)),IF(AND($N470&gt;=1000,$A470&gt;=AQ$8,$A470&lt;=AQ$9),$B470,""),"")</f>
        <v/>
      </c>
      <c r="AG470" s="38" t="str">
        <f>+IF(ISERROR(VLOOKUP($B470,AG$10:AG469,1,0)),IF(AND($N470&gt;=1000,$A470&gt;=AR$8,$A470&lt;=AR$9),$B470,""),"")</f>
        <v/>
      </c>
      <c r="AH470" s="38"/>
      <c r="AI470" s="70">
        <v>0</v>
      </c>
      <c r="AJ470" s="38">
        <f>IF(AND(AJ$7="○",$A470&gt;=AJ$8,$A470&lt;=AJ$9),IF(SUM(AJ$10:AJ469)-ROUNDDOWN($K470*AJ$5/100,0)&lt;-AJ$6,-AJ$6-SUM(AJ$10:AJ469),-ROUNDDOWN($K470*AJ$5/100,0)),0)</f>
        <v>0</v>
      </c>
      <c r="AK470" s="38">
        <f>IF(AND(AK$7="○",$A470&gt;=AK$8,$A470&lt;=AK$9),IF(SUM(AK$10:AK469)-ROUNDDOWN($L470*AK$5/100,0)&lt;-AK$6,-AK$6-SUM(AK$10:AK469),-ROUNDDOWN($L470*AK$5/100,0)),0)</f>
        <v>0</v>
      </c>
      <c r="AL470" s="38">
        <f>IF(AND(AL$7="○",$A470&gt;=AL$8,$A470&lt;=AL$9),IF(SUM(AL$10:AL469)-ROUNDDOWN($N470*AL$5/100,0)&lt;-AL$6,-AL$6-SUM(AL$10:AL469),-ROUNDDOWN($N470*AL$5/100,0)),0)</f>
        <v>0</v>
      </c>
      <c r="AM470" s="38">
        <f>IF(AND(AM$7="○",$A470&gt;=AM$8,$A470&lt;=AM$9),IF(SUM(AM$10:AM469)-ROUNDDOWN($L470*AM$5/100,0)&lt;-AM$6,-AM$6-SUM(AM$10:AM469),-ROUNDDOWN($L470*AM$5/100,0)),0)</f>
        <v>0</v>
      </c>
      <c r="AN470" s="38">
        <f>IF(AND(AN$7="○",$A470&gt;=AN$8,$A470&lt;=AN$9),IF(SUM(AN$10:AN469)-ROUNDDOWN($M470*AN$5/100,0)&lt;-AN$6,-AN$6-SUM(AN$10:AN469),-ROUNDDOWN($M470*AN$5/100,0)),0)</f>
        <v>0</v>
      </c>
      <c r="AO470" s="38">
        <f>IF(AND($A470&gt;=AO$8,$A470&lt;=AO$9),IF(SUM(AO$10:AO469)-ROUNDDOWN($K470*AO$5/100,0)&lt;-AO$6,-AO$6-SUM(AO$10:AO469),-ROUNDDOWN($K470*AO$5/100,0)),0)</f>
        <v>0</v>
      </c>
      <c r="AP470" s="38">
        <f>IF(AND($A470&gt;=AP$8,$A470&lt;=AP$9),IF(SUM(AP$10:AP469)-ROUNDDOWN($K470*AP$5/100,0)&lt;-AP$6,-AP$6-SUM(AP$10:AP469),-ROUNDDOWN($K470*AP$5/100,0)),0)</f>
        <v>0</v>
      </c>
      <c r="AQ470" s="38">
        <f>IF(AND($A470&gt;=AQ$8,$A470&lt;=AQ$9),IF(SUM(AQ$10:AQ469)-ROUNDDOWN($K470*AQ$5/100,0)&lt;-AQ$6,-AQ$6-SUM(AQ$10:AQ469),-ROUNDDOWN($K470*AQ$5/100,0)),0)</f>
        <v>0</v>
      </c>
      <c r="AR470" s="38">
        <f>IF(AND($A470&gt;=AR$8,$A470&lt;=AR$9),IF(SUM(AR$10:AR469)-ROUNDDOWN($K470*AR$5/100,0)&lt;-AR$6,-AR$6-SUM(AR$10:AR469),-ROUNDDOWN($K470*AR$5/100,0)),0)</f>
        <v>0</v>
      </c>
      <c r="AS470" s="38">
        <f>IF(SUMIFS(AS$10:AS469,$A$10:$A469,$A470)-ROUNDDOWN($K470*$S470/100,0)&lt;-$S470*1000,-$S470*1000-SUMIFS(AS$10:AS469,$A$10:$A469,$A470),-ROUNDDOWN($K470*$S470/100,0))</f>
        <v>0</v>
      </c>
      <c r="AT470" s="38">
        <f>IF(AND(X470="○",$A470&gt;=AT$8,$A470&lt;=AT$9,K470&gt;=3980),IF(SUM(AT$10:AT469)-ROUNDDOWN($K470*AT$5/100,0)&lt;-AT$6,-AT$6-SUM(AT$10:AT469),-ROUNDDOWN($K470*AT$5/100,0)),0)</f>
        <v>0</v>
      </c>
      <c r="AU470" s="38">
        <f>IF(O470="○",IF(SUM(AU$10:AU469)-ROUNDDOWN($K470*AU$5/100,0)&lt;-AU$6,-AU$6-SUM(AU$10:AU469),-ROUNDDOWN($K470*AU$5/100,0)),0)</f>
        <v>0</v>
      </c>
      <c r="AV470" s="38">
        <f>IF(P470="○",IF(SUM(AV$10:AV469)-ROUNDDOWN($K470*AV$5/100,0)&lt;-AV$6,-AV$6-SUM(AV$10:AV469),-ROUNDDOWN($K470*AV$5/100,0)),0)</f>
        <v>0</v>
      </c>
      <c r="AW470" s="38">
        <f>IF(Q470="○",IF(SUM(AW$10:AW469)-ROUNDDOWN($K470*AW$5/100,0)&lt;-AW$6,-AW$6-SUM(AW$10:AW469),-ROUNDDOWN($K470*AW$5/100,0)),0)</f>
        <v>0</v>
      </c>
      <c r="AX470" s="38">
        <f>IF(R470="○",IF(SUM(AX$10:AX469)-ROUNDDOWN($K470*AX$5/100,0)&lt;-AX$6,-AX$6-SUM(AX$10:AX469),-ROUNDDOWN($K470*AX$5/100,0)),0)</f>
        <v>0</v>
      </c>
      <c r="AY470" s="70">
        <v>0</v>
      </c>
      <c r="AZ470" s="65">
        <f t="shared" si="319"/>
        <v>0</v>
      </c>
      <c r="BA470" s="65">
        <f t="shared" si="320"/>
        <v>0</v>
      </c>
      <c r="BB470" s="70"/>
      <c r="BC470" s="65">
        <f t="shared" si="321"/>
        <v>0</v>
      </c>
      <c r="BD470" s="70">
        <v>0</v>
      </c>
      <c r="BE470" s="65">
        <f t="shared" si="322"/>
        <v>0</v>
      </c>
      <c r="BF470" s="70">
        <v>0</v>
      </c>
      <c r="BG470" s="65">
        <f t="shared" si="323"/>
        <v>0</v>
      </c>
      <c r="BH470" s="70">
        <v>0</v>
      </c>
      <c r="BI470" s="65">
        <f t="shared" si="324"/>
        <v>0</v>
      </c>
      <c r="BJ470" s="38">
        <f>IF(AND(BJ$7="○",$A470&gt;=BJ$8,$A470&lt;=BJ$9),IF(SUM(BJ$10:BJ469)-ROUNDDOWN($M470*BJ$5/100,0)&lt;-BJ$6,-BJ$6-SUM(BJ$10:BJ469),-ROUNDDOWN($M470*BJ$5/100,0)),0)</f>
        <v>0</v>
      </c>
      <c r="BK470" s="38">
        <f>IF(AND(BK$7="○",$A470&gt;=BK$8,$A470&lt;=BK$9),IF(SUM(BK$10:BK469)-ROUNDDOWN($L470*BK$5/100,0)&lt;-BK$6,-BK$6-SUM(BK$10:BK469),-ROUNDDOWN($L470*BK$5/100,0)),0)</f>
        <v>0</v>
      </c>
      <c r="BL470" s="38">
        <f>IF(AND(BL$7="○",$A470&gt;=BL$8,$A470&lt;=BL$9),IF(SUM(BL$10:BL469)-ROUNDDOWN($L470*BL$5/100,0)&lt;-BL$6,-BL$6-SUM(BL$10:BL469),-ROUNDDOWN($L470*BL$5/100,0)),0)</f>
        <v>0</v>
      </c>
      <c r="BM470" s="38">
        <f>IF(AND(BM$7="○",$A470&gt;=BM$8,$A470&lt;=BM$9),IF(SUM(BM$10:BM469)-ROUNDDOWN($M470*BM$5/100,0)&lt;-BM$6,-BM$6-SUM(BM$10:BM469),-ROUNDDOWN($M470*BM$5/100,0)),0)</f>
        <v>0</v>
      </c>
      <c r="BN470" s="38">
        <f>IF(AND(BN$7="○",$A470&gt;=BN$8,$A470&lt;=BN$9),IF(SUM(BN$10:BN469)-ROUNDDOWN($M470*BN$5/100,0)&lt;-BN$6,-BN$6-SUM(BN$10:BN469),-ROUNDDOWN($M470*BN$5/100,0)),0)</f>
        <v>0</v>
      </c>
      <c r="BO470" s="38">
        <f>IF(AND(BO$7="○",$A470&gt;=BO$8,$A470&lt;=BO$9),IF(SUM(BO$10:BO469)-ROUNDDOWN($M470*BO$5/100,0)&lt;-BO$6,-BO$6-SUM(BO$10:BO469),-ROUNDDOWN($M470*BO$5/100,0)),0)</f>
        <v>0</v>
      </c>
      <c r="BP470" s="38">
        <f>IF(AND(BP$7="○",$A470&gt;=BP$8,$A470&lt;=BP$9),IF(SUM(BP$10:BP469)-ROUNDDOWN($M470*BP$5/100,0)&lt;-BP$6,-BP$6-SUM(BP$10:BP469),-ROUNDDOWN($M470*BP$5/100,0)),0)</f>
        <v>0</v>
      </c>
      <c r="BQ470" s="38">
        <f>IF(AND(BQ$7="○",$A470&gt;=BQ$8,$A470&lt;=BQ$9),IF(SUM(BQ$10:BQ469)-ROUNDDOWN($L470*BQ$5/100,0)&lt;-BQ$6,-BQ$6-SUM(BQ$10:BQ469),-ROUNDDOWN($L470*BQ$5/100,0)),0)</f>
        <v>0</v>
      </c>
      <c r="BR470" s="38">
        <f>IF(AND(BR$7="○",$A470&gt;=BR$8,$A470&lt;=BR$9),IF(SUM(BR$10:BR469)-ROUNDDOWN($M470*BR$5/100,0)&lt;-BR$6,-BR$6-SUM(BR$10:BR469),-ROUNDDOWN($M470*BR$5/100,0)),0)</f>
        <v>0</v>
      </c>
      <c r="BS470" s="38">
        <f>IF(AND(BS$7="○",$A470&gt;=BS$8,$A470&lt;=BS$9),IF(SUM(BS$10:BS469)-ROUNDDOWN($M470*BS$5/100,0)&lt;-BS$6,-BS$6-SUM(BS$10:BS469),-ROUNDDOWN($M470*BS$5/100,0)),0)</f>
        <v>0</v>
      </c>
      <c r="BT470" s="38">
        <f>IF(AND(BT$7="○",$A470&gt;=BT$8,$A470&lt;=BT$9),IF(SUM(BT$10:BT469)-ROUNDDOWN($M470*BT$5/100,0)&lt;-BT$6,-BT$6-SUM(BT$10:BT469),-ROUNDDOWN($M470*BT$5/100,0)),0)</f>
        <v>0</v>
      </c>
      <c r="BU470" s="38">
        <f>IF(AND(BU$7="○",$A470&gt;=BU$8,$A470&lt;=BU$9),IF(SUM(BU$10:BU469)-ROUNDDOWN($M470*BU$5/100,0)&lt;-BU$6,-BU$6-SUM(BU$10:BU469),-ROUNDDOWN($M470*BU$5/100,0)),0)</f>
        <v>0</v>
      </c>
      <c r="BV470" s="38">
        <f>IF(AND(BV$7="○",$A470&gt;=BV$8,$A470&lt;=BV$9),IF(SUM(BV$10:BV469)-ROUNDDOWN($M470*BV$5/100,0)&lt;-BV$6,-BV$6-SUM(BV$10:BV469),-ROUNDDOWN($M470*BV$5/100,0)),0)</f>
        <v>0</v>
      </c>
      <c r="BW470" s="38">
        <f>IF(AND(BW$7="○",$A470&gt;=BW$8,$A470&lt;=BW$9),IF(SUM(BW$10:BW469)-ROUNDDOWN($M470*BW$5/100,0)&lt;-BW$6,-BW$6-SUM(BW$10:BW469),-ROUNDDOWN($M470*BW$5/100,0)),0)</f>
        <v>0</v>
      </c>
      <c r="BX470" s="38">
        <f>IF(AND(T470="○",$A470&gt;=BX$8,$A470&lt;=BX$9),IF(SUM(BX$10:BX469)-ROUNDDOWN($K470*BX$5/100,0)&lt;-BX$6,-BX$6-SUM(BX$10:BX469),-ROUNDDOWN($K470*BX$5/100,0)),0)</f>
        <v>0</v>
      </c>
      <c r="BY470" s="38">
        <f>IF(AND(U470="○",$A470&gt;=BY$8,$A470&lt;=BY$9),IF(SUM(BY$10:BY469)-ROUNDDOWN($K470*BY$5/100,0)&lt;-BY$6,-BY$6-SUM(BY$10:BY469),-ROUNDDOWN($K470*BY$5/100,0)),0)</f>
        <v>0</v>
      </c>
      <c r="BZ470" s="38">
        <f>IF(AND(V470="○",$A470&gt;=BZ$8,$A470&lt;=BZ$9),IF(SUM(BZ$10:BZ469)-ROUNDDOWN($K470*BZ$5/100,0)&lt;-BZ$6,-BZ$6-SUM(BZ$10:BZ469),-ROUNDDOWN($K470*BZ$5/100,0)),0)</f>
        <v>0</v>
      </c>
      <c r="CA470" s="38">
        <f>IF(AND(W470="○",$A470&gt;=CA$8,$A470&lt;=CA$9),IF(SUM(CA$10:CA469)-ROUNDDOWN($K470*CA$5/100,0)&lt;-CA$6,-CA$6-SUM(CA$10:CA469),-ROUNDDOWN($K470*CA$5/100,0)),0)</f>
        <v>0</v>
      </c>
      <c r="CB470" s="38"/>
      <c r="CC470" s="38"/>
      <c r="CD470" s="38"/>
      <c r="CE470" s="38"/>
      <c r="CF470" s="38"/>
      <c r="CG470" s="65">
        <f t="shared" si="325"/>
        <v>0</v>
      </c>
      <c r="CH470" s="71">
        <f t="shared" si="326"/>
        <v>0</v>
      </c>
      <c r="CI470" s="1">
        <f t="shared" si="19"/>
        <v>0</v>
      </c>
      <c r="CJ470" s="1"/>
      <c r="CK470" s="72"/>
      <c r="CL470" s="72"/>
      <c r="CM470" s="2"/>
      <c r="CN470" s="2"/>
      <c r="CO470" s="73">
        <f t="shared" si="20"/>
        <v>0</v>
      </c>
      <c r="CP470" s="5">
        <f t="shared" si="21"/>
        <v>0</v>
      </c>
      <c r="CQ470" s="1"/>
      <c r="CR470" s="1">
        <f t="shared" si="22"/>
        <v>0</v>
      </c>
      <c r="CS470" s="1"/>
      <c r="CT470" s="1" t="e">
        <f>INDEX([2]マスタ!$A:$A,MATCH(D470,[2]マスタ!$C:$C,0))</f>
        <v>#N/A</v>
      </c>
      <c r="CU470" s="1" t="str">
        <f t="shared" ca="1" si="23"/>
        <v>20260620_0-0</v>
      </c>
    </row>
    <row r="471" spans="1:99" x14ac:dyDescent="0.4">
      <c r="A471" s="61"/>
      <c r="B471" s="62"/>
      <c r="C471" s="62"/>
      <c r="D471" s="62"/>
      <c r="E471" s="74"/>
      <c r="F471" s="62"/>
      <c r="G471" s="62">
        <v>1</v>
      </c>
      <c r="H471" s="64">
        <f t="shared" si="4"/>
        <v>0</v>
      </c>
      <c r="I471" s="64"/>
      <c r="J471" s="64"/>
      <c r="K471" s="65">
        <f t="shared" si="317"/>
        <v>0</v>
      </c>
      <c r="L471" s="65">
        <f t="shared" si="6"/>
        <v>0</v>
      </c>
      <c r="M471" s="65">
        <f t="shared" si="7"/>
        <v>0</v>
      </c>
      <c r="N471" s="65">
        <f t="shared" si="8"/>
        <v>0</v>
      </c>
      <c r="O471" s="66" t="str">
        <f t="shared" si="9"/>
        <v>✕</v>
      </c>
      <c r="P471" s="67" t="str">
        <f t="shared" si="10"/>
        <v>○</v>
      </c>
      <c r="Q471" s="67" t="str">
        <f t="shared" si="318"/>
        <v>✕</v>
      </c>
      <c r="R471" s="67" t="str">
        <f t="shared" si="12"/>
        <v>✕</v>
      </c>
      <c r="S471" s="68">
        <v>0</v>
      </c>
      <c r="T471" s="69" t="s">
        <v>85</v>
      </c>
      <c r="U471" s="69" t="s">
        <v>85</v>
      </c>
      <c r="V471" s="69" t="s">
        <v>85</v>
      </c>
      <c r="W471" s="69" t="s">
        <v>85</v>
      </c>
      <c r="X471" s="69" t="s">
        <v>84</v>
      </c>
      <c r="Y471" s="69" t="s">
        <v>85</v>
      </c>
      <c r="Z471" s="69" t="s">
        <v>85</v>
      </c>
      <c r="AA471" s="69" t="s">
        <v>85</v>
      </c>
      <c r="AB471" s="69" t="s">
        <v>85</v>
      </c>
      <c r="AC471" s="69" t="s">
        <v>85</v>
      </c>
      <c r="AD471" s="38" t="str">
        <f>+IF(ISERROR(VLOOKUP($B471,AD$10:AD470,1,0)),IF(AND($N471&gt;=1000,$A471&gt;=AO$8,$A471&lt;=AO$9),$B471,""),"")</f>
        <v/>
      </c>
      <c r="AE471" s="38" t="str">
        <f>+IF(ISERROR(VLOOKUP($B471,AE$10:AE470,1,0)),IF(AND($N471&gt;=1000,$A471&gt;=AP$8,$A471&lt;=AP$9),$B471,""),"")</f>
        <v/>
      </c>
      <c r="AF471" s="38" t="str">
        <f>+IF(ISERROR(VLOOKUP($B471,AF$10:AF470,1,0)),IF(AND($N471&gt;=1000,$A471&gt;=AQ$8,$A471&lt;=AQ$9),$B471,""),"")</f>
        <v/>
      </c>
      <c r="AG471" s="38" t="str">
        <f>+IF(ISERROR(VLOOKUP($B471,AG$10:AG470,1,0)),IF(AND($N471&gt;=1000,$A471&gt;=AR$8,$A471&lt;=AR$9),$B471,""),"")</f>
        <v/>
      </c>
      <c r="AH471" s="38"/>
      <c r="AI471" s="70">
        <v>0</v>
      </c>
      <c r="AJ471" s="38">
        <f>IF(AND(AJ$7="○",$A471&gt;=AJ$8,$A471&lt;=AJ$9),IF(SUM(AJ$10:AJ470)-ROUNDDOWN($K471*AJ$5/100,0)&lt;-AJ$6,-AJ$6-SUM(AJ$10:AJ470),-ROUNDDOWN($K471*AJ$5/100,0)),0)</f>
        <v>0</v>
      </c>
      <c r="AK471" s="38">
        <f>IF(AND(AK$7="○",$A471&gt;=AK$8,$A471&lt;=AK$9),IF(SUM(AK$10:AK470)-ROUNDDOWN($L471*AK$5/100,0)&lt;-AK$6,-AK$6-SUM(AK$10:AK470),-ROUNDDOWN($L471*AK$5/100,0)),0)</f>
        <v>0</v>
      </c>
      <c r="AL471" s="38">
        <f>IF(AND(AL$7="○",$A471&gt;=AL$8,$A471&lt;=AL$9),IF(SUM(AL$10:AL470)-ROUNDDOWN($N471*AL$5/100,0)&lt;-AL$6,-AL$6-SUM(AL$10:AL470),-ROUNDDOWN($N471*AL$5/100,0)),0)</f>
        <v>0</v>
      </c>
      <c r="AM471" s="38">
        <f>IF(AND(AM$7="○",$A471&gt;=AM$8,$A471&lt;=AM$9),IF(SUM(AM$10:AM470)-ROUNDDOWN($L471*AM$5/100,0)&lt;-AM$6,-AM$6-SUM(AM$10:AM470),-ROUNDDOWN($L471*AM$5/100,0)),0)</f>
        <v>0</v>
      </c>
      <c r="AN471" s="38">
        <f>IF(AND(AN$7="○",$A471&gt;=AN$8,$A471&lt;=AN$9),IF(SUM(AN$10:AN470)-ROUNDDOWN($M471*AN$5/100,0)&lt;-AN$6,-AN$6-SUM(AN$10:AN470),-ROUNDDOWN($M471*AN$5/100,0)),0)</f>
        <v>0</v>
      </c>
      <c r="AO471" s="38">
        <f>IF(AND($A471&gt;=AO$8,$A471&lt;=AO$9),IF(SUM(AO$10:AO470)-ROUNDDOWN($K471*AO$5/100,0)&lt;-AO$6,-AO$6-SUM(AO$10:AO470),-ROUNDDOWN($K471*AO$5/100,0)),0)</f>
        <v>0</v>
      </c>
      <c r="AP471" s="38">
        <f>IF(AND($A471&gt;=AP$8,$A471&lt;=AP$9),IF(SUM(AP$10:AP470)-ROUNDDOWN($K471*AP$5/100,0)&lt;-AP$6,-AP$6-SUM(AP$10:AP470),-ROUNDDOWN($K471*AP$5/100,0)),0)</f>
        <v>0</v>
      </c>
      <c r="AQ471" s="38">
        <f>IF(AND($A471&gt;=AQ$8,$A471&lt;=AQ$9),IF(SUM(AQ$10:AQ470)-ROUNDDOWN($K471*AQ$5/100,0)&lt;-AQ$6,-AQ$6-SUM(AQ$10:AQ470),-ROUNDDOWN($K471*AQ$5/100,0)),0)</f>
        <v>0</v>
      </c>
      <c r="AR471" s="38">
        <f>IF(AND($A471&gt;=AR$8,$A471&lt;=AR$9),IF(SUM(AR$10:AR470)-ROUNDDOWN($K471*AR$5/100,0)&lt;-AR$6,-AR$6-SUM(AR$10:AR470),-ROUNDDOWN($K471*AR$5/100,0)),0)</f>
        <v>0</v>
      </c>
      <c r="AS471" s="38">
        <f>IF(SUMIFS(AS$10:AS470,$A$10:$A470,$A471)-ROUNDDOWN($K471*$S471/100,0)&lt;-$S471*1000,-$S471*1000-SUMIFS(AS$10:AS470,$A$10:$A470,$A471),-ROUNDDOWN($K471*$S471/100,0))</f>
        <v>0</v>
      </c>
      <c r="AT471" s="38">
        <f>IF(AND(X471="○",$A471&gt;=AT$8,$A471&lt;=AT$9,K471&gt;=3980),IF(SUM(AT$10:AT470)-ROUNDDOWN($K471*AT$5/100,0)&lt;-AT$6,-AT$6-SUM(AT$10:AT470),-ROUNDDOWN($K471*AT$5/100,0)),0)</f>
        <v>0</v>
      </c>
      <c r="AU471" s="38">
        <f>IF(O471="○",IF(SUM(AU$10:AU470)-ROUNDDOWN($K471*AU$5/100,0)&lt;-AU$6,-AU$6-SUM(AU$10:AU470),-ROUNDDOWN($K471*AU$5/100,0)),0)</f>
        <v>0</v>
      </c>
      <c r="AV471" s="38">
        <f>IF(P471="○",IF(SUM(AV$10:AV470)-ROUNDDOWN($K471*AV$5/100,0)&lt;-AV$6,-AV$6-SUM(AV$10:AV470),-ROUNDDOWN($K471*AV$5/100,0)),0)</f>
        <v>0</v>
      </c>
      <c r="AW471" s="38">
        <f>IF(Q471="○",IF(SUM(AW$10:AW470)-ROUNDDOWN($K471*AW$5/100,0)&lt;-AW$6,-AW$6-SUM(AW$10:AW470),-ROUNDDOWN($K471*AW$5/100,0)),0)</f>
        <v>0</v>
      </c>
      <c r="AX471" s="38">
        <f>IF(R471="○",IF(SUM(AX$10:AX470)-ROUNDDOWN($K471*AX$5/100,0)&lt;-AX$6,-AX$6-SUM(AX$10:AX470),-ROUNDDOWN($K471*AX$5/100,0)),0)</f>
        <v>0</v>
      </c>
      <c r="AY471" s="70">
        <v>0</v>
      </c>
      <c r="AZ471" s="65">
        <f t="shared" si="319"/>
        <v>0</v>
      </c>
      <c r="BA471" s="65">
        <f t="shared" si="320"/>
        <v>0</v>
      </c>
      <c r="BB471" s="70"/>
      <c r="BC471" s="65">
        <f t="shared" si="321"/>
        <v>0</v>
      </c>
      <c r="BD471" s="70">
        <v>0</v>
      </c>
      <c r="BE471" s="65">
        <f t="shared" si="322"/>
        <v>0</v>
      </c>
      <c r="BF471" s="70">
        <v>0</v>
      </c>
      <c r="BG471" s="65">
        <f t="shared" si="323"/>
        <v>0</v>
      </c>
      <c r="BH471" s="70">
        <v>0</v>
      </c>
      <c r="BI471" s="65">
        <f t="shared" si="324"/>
        <v>0</v>
      </c>
      <c r="BJ471" s="38">
        <f>IF(AND(BJ$7="○",$A471&gt;=BJ$8,$A471&lt;=BJ$9),IF(SUM(BJ$10:BJ470)-ROUNDDOWN($M471*BJ$5/100,0)&lt;-BJ$6,-BJ$6-SUM(BJ$10:BJ470),-ROUNDDOWN($M471*BJ$5/100,0)),0)</f>
        <v>0</v>
      </c>
      <c r="BK471" s="38">
        <f>IF(AND(BK$7="○",$A471&gt;=BK$8,$A471&lt;=BK$9),IF(SUM(BK$10:BK470)-ROUNDDOWN($L471*BK$5/100,0)&lt;-BK$6,-BK$6-SUM(BK$10:BK470),-ROUNDDOWN($L471*BK$5/100,0)),0)</f>
        <v>0</v>
      </c>
      <c r="BL471" s="38">
        <f>IF(AND(BL$7="○",$A471&gt;=BL$8,$A471&lt;=BL$9),IF(SUM(BL$10:BL470)-ROUNDDOWN($L471*BL$5/100,0)&lt;-BL$6,-BL$6-SUM(BL$10:BL470),-ROUNDDOWN($L471*BL$5/100,0)),0)</f>
        <v>0</v>
      </c>
      <c r="BM471" s="38">
        <f>IF(AND(BM$7="○",$A471&gt;=BM$8,$A471&lt;=BM$9),IF(SUM(BM$10:BM470)-ROUNDDOWN($M471*BM$5/100,0)&lt;-BM$6,-BM$6-SUM(BM$10:BM470),-ROUNDDOWN($M471*BM$5/100,0)),0)</f>
        <v>0</v>
      </c>
      <c r="BN471" s="38">
        <f>IF(AND(BN$7="○",$A471&gt;=BN$8,$A471&lt;=BN$9),IF(SUM(BN$10:BN470)-ROUNDDOWN($M471*BN$5/100,0)&lt;-BN$6,-BN$6-SUM(BN$10:BN470),-ROUNDDOWN($M471*BN$5/100,0)),0)</f>
        <v>0</v>
      </c>
      <c r="BO471" s="38">
        <f>IF(AND(BO$7="○",$A471&gt;=BO$8,$A471&lt;=BO$9),IF(SUM(BO$10:BO470)-ROUNDDOWN($M471*BO$5/100,0)&lt;-BO$6,-BO$6-SUM(BO$10:BO470),-ROUNDDOWN($M471*BO$5/100,0)),0)</f>
        <v>0</v>
      </c>
      <c r="BP471" s="38">
        <f>IF(AND(BP$7="○",$A471&gt;=BP$8,$A471&lt;=BP$9),IF(SUM(BP$10:BP470)-ROUNDDOWN($M471*BP$5/100,0)&lt;-BP$6,-BP$6-SUM(BP$10:BP470),-ROUNDDOWN($M471*BP$5/100,0)),0)</f>
        <v>0</v>
      </c>
      <c r="BQ471" s="38">
        <f>IF(AND(BQ$7="○",$A471&gt;=BQ$8,$A471&lt;=BQ$9),IF(SUM(BQ$10:BQ470)-ROUNDDOWN($L471*BQ$5/100,0)&lt;-BQ$6,-BQ$6-SUM(BQ$10:BQ470),-ROUNDDOWN($L471*BQ$5/100,0)),0)</f>
        <v>0</v>
      </c>
      <c r="BR471" s="38">
        <f>IF(AND(BR$7="○",$A471&gt;=BR$8,$A471&lt;=BR$9),IF(SUM(BR$10:BR470)-ROUNDDOWN($M471*BR$5/100,0)&lt;-BR$6,-BR$6-SUM(BR$10:BR470),-ROUNDDOWN($M471*BR$5/100,0)),0)</f>
        <v>0</v>
      </c>
      <c r="BS471" s="38">
        <f>IF(AND(BS$7="○",$A471&gt;=BS$8,$A471&lt;=BS$9),IF(SUM(BS$10:BS470)-ROUNDDOWN($M471*BS$5/100,0)&lt;-BS$6,-BS$6-SUM(BS$10:BS470),-ROUNDDOWN($M471*BS$5/100,0)),0)</f>
        <v>0</v>
      </c>
      <c r="BT471" s="38">
        <f>IF(AND(BT$7="○",$A471&gt;=BT$8,$A471&lt;=BT$9),IF(SUM(BT$10:BT470)-ROUNDDOWN($M471*BT$5/100,0)&lt;-BT$6,-BT$6-SUM(BT$10:BT470),-ROUNDDOWN($M471*BT$5/100,0)),0)</f>
        <v>0</v>
      </c>
      <c r="BU471" s="38">
        <f>IF(AND(BU$7="○",$A471&gt;=BU$8,$A471&lt;=BU$9),IF(SUM(BU$10:BU470)-ROUNDDOWN($M471*BU$5/100,0)&lt;-BU$6,-BU$6-SUM(BU$10:BU470),-ROUNDDOWN($M471*BU$5/100,0)),0)</f>
        <v>0</v>
      </c>
      <c r="BV471" s="38">
        <f>IF(AND(BV$7="○",$A471&gt;=BV$8,$A471&lt;=BV$9),IF(SUM(BV$10:BV470)-ROUNDDOWN($M471*BV$5/100,0)&lt;-BV$6,-BV$6-SUM(BV$10:BV470),-ROUNDDOWN($M471*BV$5/100,0)),0)</f>
        <v>0</v>
      </c>
      <c r="BW471" s="38">
        <f>IF(AND(BW$7="○",$A471&gt;=BW$8,$A471&lt;=BW$9),IF(SUM(BW$10:BW470)-ROUNDDOWN($M471*BW$5/100,0)&lt;-BW$6,-BW$6-SUM(BW$10:BW470),-ROUNDDOWN($M471*BW$5/100,0)),0)</f>
        <v>0</v>
      </c>
      <c r="BX471" s="38">
        <f>IF(AND(T471="○",$A471&gt;=BX$8,$A471&lt;=BX$9),IF(SUM(BX$10:BX470)-ROUNDDOWN($K471*BX$5/100,0)&lt;-BX$6,-BX$6-SUM(BX$10:BX470),-ROUNDDOWN($K471*BX$5/100,0)),0)</f>
        <v>0</v>
      </c>
      <c r="BY471" s="38">
        <f>IF(AND(U471="○",$A471&gt;=BY$8,$A471&lt;=BY$9),IF(SUM(BY$10:BY470)-ROUNDDOWN($K471*BY$5/100,0)&lt;-BY$6,-BY$6-SUM(BY$10:BY470),-ROUNDDOWN($K471*BY$5/100,0)),0)</f>
        <v>0</v>
      </c>
      <c r="BZ471" s="38">
        <f>IF(AND(V471="○",$A471&gt;=BZ$8,$A471&lt;=BZ$9),IF(SUM(BZ$10:BZ470)-ROUNDDOWN($K471*BZ$5/100,0)&lt;-BZ$6,-BZ$6-SUM(BZ$10:BZ470),-ROUNDDOWN($K471*BZ$5/100,0)),0)</f>
        <v>0</v>
      </c>
      <c r="CA471" s="38">
        <f>IF(AND(W471="○",$A471&gt;=CA$8,$A471&lt;=CA$9),IF(SUM(CA$10:CA470)-ROUNDDOWN($K471*CA$5/100,0)&lt;-CA$6,-CA$6-SUM(CA$10:CA470),-ROUNDDOWN($K471*CA$5/100,0)),0)</f>
        <v>0</v>
      </c>
      <c r="CB471" s="38"/>
      <c r="CC471" s="38"/>
      <c r="CD471" s="38"/>
      <c r="CE471" s="38"/>
      <c r="CF471" s="38"/>
      <c r="CG471" s="65">
        <f t="shared" si="325"/>
        <v>0</v>
      </c>
      <c r="CH471" s="71">
        <f t="shared" si="326"/>
        <v>0</v>
      </c>
      <c r="CI471" s="1">
        <f t="shared" si="19"/>
        <v>0</v>
      </c>
      <c r="CJ471" s="1"/>
      <c r="CK471" s="72"/>
      <c r="CL471" s="72"/>
      <c r="CM471" s="2"/>
      <c r="CN471" s="2"/>
      <c r="CO471" s="73">
        <f t="shared" si="20"/>
        <v>0</v>
      </c>
      <c r="CP471" s="5">
        <f t="shared" si="21"/>
        <v>0</v>
      </c>
      <c r="CQ471" s="1"/>
      <c r="CR471" s="1">
        <f t="shared" si="22"/>
        <v>0</v>
      </c>
      <c r="CS471" s="1"/>
      <c r="CT471" s="1" t="e">
        <f>INDEX([2]マスタ!$A:$A,MATCH(D471,[2]マスタ!$C:$C,0))</f>
        <v>#N/A</v>
      </c>
      <c r="CU471" s="1" t="str">
        <f t="shared" ca="1" si="23"/>
        <v>20260620_0-0</v>
      </c>
    </row>
    <row r="472" spans="1:99" x14ac:dyDescent="0.4">
      <c r="A472" s="61"/>
      <c r="B472" s="62"/>
      <c r="C472" s="62"/>
      <c r="D472" s="62"/>
      <c r="E472" s="74"/>
      <c r="F472" s="62"/>
      <c r="G472" s="62">
        <v>1</v>
      </c>
      <c r="H472" s="64">
        <f t="shared" si="4"/>
        <v>0</v>
      </c>
      <c r="I472" s="64"/>
      <c r="J472" s="64"/>
      <c r="K472" s="65">
        <f t="shared" si="317"/>
        <v>0</v>
      </c>
      <c r="L472" s="65">
        <f t="shared" si="6"/>
        <v>0</v>
      </c>
      <c r="M472" s="65">
        <f t="shared" si="7"/>
        <v>0</v>
      </c>
      <c r="N472" s="65">
        <f t="shared" si="8"/>
        <v>0</v>
      </c>
      <c r="O472" s="66" t="str">
        <f t="shared" si="9"/>
        <v>✕</v>
      </c>
      <c r="P472" s="67" t="str">
        <f t="shared" si="10"/>
        <v>○</v>
      </c>
      <c r="Q472" s="67" t="str">
        <f t="shared" si="318"/>
        <v>✕</v>
      </c>
      <c r="R472" s="67" t="str">
        <f t="shared" si="12"/>
        <v>✕</v>
      </c>
      <c r="S472" s="68">
        <v>0</v>
      </c>
      <c r="T472" s="69" t="s">
        <v>85</v>
      </c>
      <c r="U472" s="69" t="s">
        <v>85</v>
      </c>
      <c r="V472" s="69" t="s">
        <v>85</v>
      </c>
      <c r="W472" s="69" t="s">
        <v>85</v>
      </c>
      <c r="X472" s="69" t="s">
        <v>84</v>
      </c>
      <c r="Y472" s="69" t="s">
        <v>85</v>
      </c>
      <c r="Z472" s="69" t="s">
        <v>85</v>
      </c>
      <c r="AA472" s="69" t="s">
        <v>85</v>
      </c>
      <c r="AB472" s="69" t="s">
        <v>85</v>
      </c>
      <c r="AC472" s="69" t="s">
        <v>85</v>
      </c>
      <c r="AD472" s="38" t="str">
        <f>+IF(ISERROR(VLOOKUP($B472,AD$10:AD471,1,0)),IF(AND($N472&gt;=1000,$A472&gt;=AO$8,$A472&lt;=AO$9),$B472,""),"")</f>
        <v/>
      </c>
      <c r="AE472" s="38" t="str">
        <f>+IF(ISERROR(VLOOKUP($B472,AE$10:AE471,1,0)),IF(AND($N472&gt;=1000,$A472&gt;=AP$8,$A472&lt;=AP$9),$B472,""),"")</f>
        <v/>
      </c>
      <c r="AF472" s="38" t="str">
        <f>+IF(ISERROR(VLOOKUP($B472,AF$10:AF471,1,0)),IF(AND($N472&gt;=1000,$A472&gt;=AQ$8,$A472&lt;=AQ$9),$B472,""),"")</f>
        <v/>
      </c>
      <c r="AG472" s="38" t="str">
        <f>+IF(ISERROR(VLOOKUP($B472,AG$10:AG471,1,0)),IF(AND($N472&gt;=1000,$A472&gt;=AR$8,$A472&lt;=AR$9),$B472,""),"")</f>
        <v/>
      </c>
      <c r="AH472" s="38"/>
      <c r="AI472" s="70">
        <v>0</v>
      </c>
      <c r="AJ472" s="38">
        <f>IF(AND(AJ$7="○",$A472&gt;=AJ$8,$A472&lt;=AJ$9),IF(SUM(AJ$10:AJ471)-ROUNDDOWN($K472*AJ$5/100,0)&lt;-AJ$6,-AJ$6-SUM(AJ$10:AJ471),-ROUNDDOWN($K472*AJ$5/100,0)),0)</f>
        <v>0</v>
      </c>
      <c r="AK472" s="38">
        <f>IF(AND(AK$7="○",$A472&gt;=AK$8,$A472&lt;=AK$9),IF(SUM(AK$10:AK471)-ROUNDDOWN($L472*AK$5/100,0)&lt;-AK$6,-AK$6-SUM(AK$10:AK471),-ROUNDDOWN($L472*AK$5/100,0)),0)</f>
        <v>0</v>
      </c>
      <c r="AL472" s="38">
        <f>IF(AND(AL$7="○",$A472&gt;=AL$8,$A472&lt;=AL$9),IF(SUM(AL$10:AL471)-ROUNDDOWN($N472*AL$5/100,0)&lt;-AL$6,-AL$6-SUM(AL$10:AL471),-ROUNDDOWN($N472*AL$5/100,0)),0)</f>
        <v>0</v>
      </c>
      <c r="AM472" s="38">
        <f>IF(AND(AM$7="○",$A472&gt;=AM$8,$A472&lt;=AM$9),IF(SUM(AM$10:AM471)-ROUNDDOWN($L472*AM$5/100,0)&lt;-AM$6,-AM$6-SUM(AM$10:AM471),-ROUNDDOWN($L472*AM$5/100,0)),0)</f>
        <v>0</v>
      </c>
      <c r="AN472" s="38">
        <f>IF(AND(AN$7="○",$A472&gt;=AN$8,$A472&lt;=AN$9),IF(SUM(AN$10:AN471)-ROUNDDOWN($M472*AN$5/100,0)&lt;-AN$6,-AN$6-SUM(AN$10:AN471),-ROUNDDOWN($M472*AN$5/100,0)),0)</f>
        <v>0</v>
      </c>
      <c r="AO472" s="38">
        <f>IF(AND($A472&gt;=AO$8,$A472&lt;=AO$9),IF(SUM(AO$10:AO471)-ROUNDDOWN($K472*AO$5/100,0)&lt;-AO$6,-AO$6-SUM(AO$10:AO471),-ROUNDDOWN($K472*AO$5/100,0)),0)</f>
        <v>0</v>
      </c>
      <c r="AP472" s="38">
        <f>IF(AND($A472&gt;=AP$8,$A472&lt;=AP$9),IF(SUM(AP$10:AP471)-ROUNDDOWN($K472*AP$5/100,0)&lt;-AP$6,-AP$6-SUM(AP$10:AP471),-ROUNDDOWN($K472*AP$5/100,0)),0)</f>
        <v>0</v>
      </c>
      <c r="AQ472" s="38">
        <f>IF(AND($A472&gt;=AQ$8,$A472&lt;=AQ$9),IF(SUM(AQ$10:AQ471)-ROUNDDOWN($K472*AQ$5/100,0)&lt;-AQ$6,-AQ$6-SUM(AQ$10:AQ471),-ROUNDDOWN($K472*AQ$5/100,0)),0)</f>
        <v>0</v>
      </c>
      <c r="AR472" s="38">
        <f>IF(AND($A472&gt;=AR$8,$A472&lt;=AR$9),IF(SUM(AR$10:AR471)-ROUNDDOWN($K472*AR$5/100,0)&lt;-AR$6,-AR$6-SUM(AR$10:AR471),-ROUNDDOWN($K472*AR$5/100,0)),0)</f>
        <v>0</v>
      </c>
      <c r="AS472" s="38">
        <f>IF(SUMIFS(AS$10:AS471,$A$10:$A471,$A472)-ROUNDDOWN($K472*$S472/100,0)&lt;-$S472*1000,-$S472*1000-SUMIFS(AS$10:AS471,$A$10:$A471,$A472),-ROUNDDOWN($K472*$S472/100,0))</f>
        <v>0</v>
      </c>
      <c r="AT472" s="38">
        <f>IF(AND(X472="○",$A472&gt;=AT$8,$A472&lt;=AT$9,K472&gt;=3980),IF(SUM(AT$10:AT471)-ROUNDDOWN($K472*AT$5/100,0)&lt;-AT$6,-AT$6-SUM(AT$10:AT471),-ROUNDDOWN($K472*AT$5/100,0)),0)</f>
        <v>0</v>
      </c>
      <c r="AU472" s="38">
        <f>IF(O472="○",IF(SUM(AU$10:AU471)-ROUNDDOWN($K472*AU$5/100,0)&lt;-AU$6,-AU$6-SUM(AU$10:AU471),-ROUNDDOWN($K472*AU$5/100,0)),0)</f>
        <v>0</v>
      </c>
      <c r="AV472" s="38">
        <f>IF(P472="○",IF(SUM(AV$10:AV471)-ROUNDDOWN($K472*AV$5/100,0)&lt;-AV$6,-AV$6-SUM(AV$10:AV471),-ROUNDDOWN($K472*AV$5/100,0)),0)</f>
        <v>0</v>
      </c>
      <c r="AW472" s="38">
        <f>IF(Q472="○",IF(SUM(AW$10:AW471)-ROUNDDOWN($K472*AW$5/100,0)&lt;-AW$6,-AW$6-SUM(AW$10:AW471),-ROUNDDOWN($K472*AW$5/100,0)),0)</f>
        <v>0</v>
      </c>
      <c r="AX472" s="38">
        <f>IF(R472="○",IF(SUM(AX$10:AX471)-ROUNDDOWN($K472*AX$5/100,0)&lt;-AX$6,-AX$6-SUM(AX$10:AX471),-ROUNDDOWN($K472*AX$5/100,0)),0)</f>
        <v>0</v>
      </c>
      <c r="AY472" s="70">
        <v>0</v>
      </c>
      <c r="AZ472" s="65">
        <f t="shared" si="319"/>
        <v>0</v>
      </c>
      <c r="BA472" s="65">
        <f t="shared" si="320"/>
        <v>0</v>
      </c>
      <c r="BB472" s="70"/>
      <c r="BC472" s="65">
        <f t="shared" si="321"/>
        <v>0</v>
      </c>
      <c r="BD472" s="70">
        <v>0</v>
      </c>
      <c r="BE472" s="65">
        <f t="shared" si="322"/>
        <v>0</v>
      </c>
      <c r="BF472" s="70">
        <v>0</v>
      </c>
      <c r="BG472" s="65">
        <f t="shared" si="323"/>
        <v>0</v>
      </c>
      <c r="BH472" s="70">
        <v>0</v>
      </c>
      <c r="BI472" s="65">
        <f t="shared" si="324"/>
        <v>0</v>
      </c>
      <c r="BJ472" s="38">
        <f>IF(AND(BJ$7="○",$A472&gt;=BJ$8,$A472&lt;=BJ$9),IF(SUM(BJ$10:BJ471)-ROUNDDOWN($M472*BJ$5/100,0)&lt;-BJ$6,-BJ$6-SUM(BJ$10:BJ471),-ROUNDDOWN($M472*BJ$5/100,0)),0)</f>
        <v>0</v>
      </c>
      <c r="BK472" s="38">
        <f>IF(AND(BK$7="○",$A472&gt;=BK$8,$A472&lt;=BK$9),IF(SUM(BK$10:BK471)-ROUNDDOWN($L472*BK$5/100,0)&lt;-BK$6,-BK$6-SUM(BK$10:BK471),-ROUNDDOWN($L472*BK$5/100,0)),0)</f>
        <v>0</v>
      </c>
      <c r="BL472" s="38">
        <f>IF(AND(BL$7="○",$A472&gt;=BL$8,$A472&lt;=BL$9),IF(SUM(BL$10:BL471)-ROUNDDOWN($L472*BL$5/100,0)&lt;-BL$6,-BL$6-SUM(BL$10:BL471),-ROUNDDOWN($L472*BL$5/100,0)),0)</f>
        <v>0</v>
      </c>
      <c r="BM472" s="38">
        <f>IF(AND(BM$7="○",$A472&gt;=BM$8,$A472&lt;=BM$9),IF(SUM(BM$10:BM471)-ROUNDDOWN($M472*BM$5/100,0)&lt;-BM$6,-BM$6-SUM(BM$10:BM471),-ROUNDDOWN($M472*BM$5/100,0)),0)</f>
        <v>0</v>
      </c>
      <c r="BN472" s="38">
        <f>IF(AND(BN$7="○",$A472&gt;=BN$8,$A472&lt;=BN$9),IF(SUM(BN$10:BN471)-ROUNDDOWN($M472*BN$5/100,0)&lt;-BN$6,-BN$6-SUM(BN$10:BN471),-ROUNDDOWN($M472*BN$5/100,0)),0)</f>
        <v>0</v>
      </c>
      <c r="BO472" s="38">
        <f>IF(AND(BO$7="○",$A472&gt;=BO$8,$A472&lt;=BO$9),IF(SUM(BO$10:BO471)-ROUNDDOWN($M472*BO$5/100,0)&lt;-BO$6,-BO$6-SUM(BO$10:BO471),-ROUNDDOWN($M472*BO$5/100,0)),0)</f>
        <v>0</v>
      </c>
      <c r="BP472" s="38">
        <f>IF(AND(BP$7="○",$A472&gt;=BP$8,$A472&lt;=BP$9),IF(SUM(BP$10:BP471)-ROUNDDOWN($M472*BP$5/100,0)&lt;-BP$6,-BP$6-SUM(BP$10:BP471),-ROUNDDOWN($M472*BP$5/100,0)),0)</f>
        <v>0</v>
      </c>
      <c r="BQ472" s="38">
        <f>IF(AND(BQ$7="○",$A472&gt;=BQ$8,$A472&lt;=BQ$9),IF(SUM(BQ$10:BQ471)-ROUNDDOWN($L472*BQ$5/100,0)&lt;-BQ$6,-BQ$6-SUM(BQ$10:BQ471),-ROUNDDOWN($L472*BQ$5/100,0)),0)</f>
        <v>0</v>
      </c>
      <c r="BR472" s="38">
        <f>IF(AND(BR$7="○",$A472&gt;=BR$8,$A472&lt;=BR$9),IF(SUM(BR$10:BR471)-ROUNDDOWN($M472*BR$5/100,0)&lt;-BR$6,-BR$6-SUM(BR$10:BR471),-ROUNDDOWN($M472*BR$5/100,0)),0)</f>
        <v>0</v>
      </c>
      <c r="BS472" s="38">
        <f>IF(AND(BS$7="○",$A472&gt;=BS$8,$A472&lt;=BS$9),IF(SUM(BS$10:BS471)-ROUNDDOWN($M472*BS$5/100,0)&lt;-BS$6,-BS$6-SUM(BS$10:BS471),-ROUNDDOWN($M472*BS$5/100,0)),0)</f>
        <v>0</v>
      </c>
      <c r="BT472" s="38">
        <f>IF(AND(BT$7="○",$A472&gt;=BT$8,$A472&lt;=BT$9),IF(SUM(BT$10:BT471)-ROUNDDOWN($M472*BT$5/100,0)&lt;-BT$6,-BT$6-SUM(BT$10:BT471),-ROUNDDOWN($M472*BT$5/100,0)),0)</f>
        <v>0</v>
      </c>
      <c r="BU472" s="38">
        <f>IF(AND(BU$7="○",$A472&gt;=BU$8,$A472&lt;=BU$9),IF(SUM(BU$10:BU471)-ROUNDDOWN($M472*BU$5/100,0)&lt;-BU$6,-BU$6-SUM(BU$10:BU471),-ROUNDDOWN($M472*BU$5/100,0)),0)</f>
        <v>0</v>
      </c>
      <c r="BV472" s="38">
        <f>IF(AND(BV$7="○",$A472&gt;=BV$8,$A472&lt;=BV$9),IF(SUM(BV$10:BV471)-ROUNDDOWN($M472*BV$5/100,0)&lt;-BV$6,-BV$6-SUM(BV$10:BV471),-ROUNDDOWN($M472*BV$5/100,0)),0)</f>
        <v>0</v>
      </c>
      <c r="BW472" s="38">
        <f>IF(AND(BW$7="○",$A472&gt;=BW$8,$A472&lt;=BW$9),IF(SUM(BW$10:BW471)-ROUNDDOWN($M472*BW$5/100,0)&lt;-BW$6,-BW$6-SUM(BW$10:BW471),-ROUNDDOWN($M472*BW$5/100,0)),0)</f>
        <v>0</v>
      </c>
      <c r="BX472" s="38">
        <f>IF(AND(T472="○",$A472&gt;=BX$8,$A472&lt;=BX$9),IF(SUM(BX$10:BX471)-ROUNDDOWN($K472*BX$5/100,0)&lt;-BX$6,-BX$6-SUM(BX$10:BX471),-ROUNDDOWN($K472*BX$5/100,0)),0)</f>
        <v>0</v>
      </c>
      <c r="BY472" s="38">
        <f>IF(AND(U472="○",$A472&gt;=BY$8,$A472&lt;=BY$9),IF(SUM(BY$10:BY471)-ROUNDDOWN($K472*BY$5/100,0)&lt;-BY$6,-BY$6-SUM(BY$10:BY471),-ROUNDDOWN($K472*BY$5/100,0)),0)</f>
        <v>0</v>
      </c>
      <c r="BZ472" s="38">
        <f>IF(AND(V472="○",$A472&gt;=BZ$8,$A472&lt;=BZ$9),IF(SUM(BZ$10:BZ471)-ROUNDDOWN($K472*BZ$5/100,0)&lt;-BZ$6,-BZ$6-SUM(BZ$10:BZ471),-ROUNDDOWN($K472*BZ$5/100,0)),0)</f>
        <v>0</v>
      </c>
      <c r="CA472" s="38">
        <f>IF(AND(W472="○",$A472&gt;=CA$8,$A472&lt;=CA$9),IF(SUM(CA$10:CA471)-ROUNDDOWN($K472*CA$5/100,0)&lt;-CA$6,-CA$6-SUM(CA$10:CA471),-ROUNDDOWN($K472*CA$5/100,0)),0)</f>
        <v>0</v>
      </c>
      <c r="CB472" s="38"/>
      <c r="CC472" s="38"/>
      <c r="CD472" s="38"/>
      <c r="CE472" s="38"/>
      <c r="CF472" s="38"/>
      <c r="CG472" s="65">
        <f t="shared" si="325"/>
        <v>0</v>
      </c>
      <c r="CH472" s="71">
        <f t="shared" si="326"/>
        <v>0</v>
      </c>
      <c r="CI472" s="1">
        <f t="shared" si="19"/>
        <v>0</v>
      </c>
      <c r="CJ472" s="1"/>
      <c r="CK472" s="72"/>
      <c r="CL472" s="72"/>
      <c r="CM472" s="2"/>
      <c r="CN472" s="2"/>
      <c r="CO472" s="73">
        <f t="shared" si="20"/>
        <v>0</v>
      </c>
      <c r="CP472" s="5">
        <f t="shared" si="21"/>
        <v>0</v>
      </c>
      <c r="CQ472" s="1"/>
      <c r="CR472" s="1">
        <f t="shared" si="22"/>
        <v>0</v>
      </c>
      <c r="CS472" s="1"/>
      <c r="CT472" s="1" t="e">
        <f>INDEX([2]マスタ!$A:$A,MATCH(D472,[2]マスタ!$C:$C,0))</f>
        <v>#N/A</v>
      </c>
      <c r="CU472" s="1" t="str">
        <f t="shared" ca="1" si="23"/>
        <v>20260620_0-0</v>
      </c>
    </row>
    <row r="473" spans="1:99" x14ac:dyDescent="0.4">
      <c r="A473" s="61"/>
      <c r="B473" s="62"/>
      <c r="C473" s="62"/>
      <c r="D473" s="62"/>
      <c r="E473" s="74"/>
      <c r="F473" s="62"/>
      <c r="G473" s="62">
        <v>1</v>
      </c>
      <c r="H473" s="64">
        <f t="shared" si="4"/>
        <v>0</v>
      </c>
      <c r="I473" s="64"/>
      <c r="J473" s="64"/>
      <c r="K473" s="65">
        <f t="shared" si="317"/>
        <v>0</v>
      </c>
      <c r="L473" s="65">
        <f t="shared" si="6"/>
        <v>0</v>
      </c>
      <c r="M473" s="65">
        <f t="shared" si="7"/>
        <v>0</v>
      </c>
      <c r="N473" s="65">
        <f t="shared" si="8"/>
        <v>0</v>
      </c>
      <c r="O473" s="66" t="str">
        <f t="shared" si="9"/>
        <v>✕</v>
      </c>
      <c r="P473" s="67" t="str">
        <f t="shared" si="10"/>
        <v>○</v>
      </c>
      <c r="Q473" s="67" t="str">
        <f t="shared" si="318"/>
        <v>✕</v>
      </c>
      <c r="R473" s="67" t="str">
        <f t="shared" si="12"/>
        <v>✕</v>
      </c>
      <c r="S473" s="68">
        <v>0</v>
      </c>
      <c r="T473" s="69" t="s">
        <v>85</v>
      </c>
      <c r="U473" s="69" t="s">
        <v>85</v>
      </c>
      <c r="V473" s="69" t="s">
        <v>85</v>
      </c>
      <c r="W473" s="69" t="s">
        <v>85</v>
      </c>
      <c r="X473" s="69" t="s">
        <v>84</v>
      </c>
      <c r="Y473" s="69" t="s">
        <v>85</v>
      </c>
      <c r="Z473" s="69" t="s">
        <v>85</v>
      </c>
      <c r="AA473" s="69" t="s">
        <v>85</v>
      </c>
      <c r="AB473" s="69" t="s">
        <v>85</v>
      </c>
      <c r="AC473" s="69" t="s">
        <v>85</v>
      </c>
      <c r="AD473" s="38" t="str">
        <f>+IF(ISERROR(VLOOKUP($B473,AD$10:AD472,1,0)),IF(AND($N473&gt;=1000,$A473&gt;=AO$8,$A473&lt;=AO$9),$B473,""),"")</f>
        <v/>
      </c>
      <c r="AE473" s="38" t="str">
        <f>+IF(ISERROR(VLOOKUP($B473,AE$10:AE472,1,0)),IF(AND($N473&gt;=1000,$A473&gt;=AP$8,$A473&lt;=AP$9),$B473,""),"")</f>
        <v/>
      </c>
      <c r="AF473" s="38" t="str">
        <f>+IF(ISERROR(VLOOKUP($B473,AF$10:AF472,1,0)),IF(AND($N473&gt;=1000,$A473&gt;=AQ$8,$A473&lt;=AQ$9),$B473,""),"")</f>
        <v/>
      </c>
      <c r="AG473" s="38" t="str">
        <f>+IF(ISERROR(VLOOKUP($B473,AG$10:AG472,1,0)),IF(AND($N473&gt;=1000,$A473&gt;=AR$8,$A473&lt;=AR$9),$B473,""),"")</f>
        <v/>
      </c>
      <c r="AH473" s="38"/>
      <c r="AI473" s="70">
        <v>0</v>
      </c>
      <c r="AJ473" s="38">
        <f>IF(AND(AJ$7="○",$A473&gt;=AJ$8,$A473&lt;=AJ$9),IF(SUM(AJ$10:AJ472)-ROUNDDOWN($K473*AJ$5/100,0)&lt;-AJ$6,-AJ$6-SUM(AJ$10:AJ472),-ROUNDDOWN($K473*AJ$5/100,0)),0)</f>
        <v>0</v>
      </c>
      <c r="AK473" s="38">
        <f>IF(AND(AK$7="○",$A473&gt;=AK$8,$A473&lt;=AK$9),IF(SUM(AK$10:AK472)-ROUNDDOWN($L473*AK$5/100,0)&lt;-AK$6,-AK$6-SUM(AK$10:AK472),-ROUNDDOWN($L473*AK$5/100,0)),0)</f>
        <v>0</v>
      </c>
      <c r="AL473" s="38">
        <f>IF(AND(AL$7="○",$A473&gt;=AL$8,$A473&lt;=AL$9),IF(SUM(AL$10:AL472)-ROUNDDOWN($N473*AL$5/100,0)&lt;-AL$6,-AL$6-SUM(AL$10:AL472),-ROUNDDOWN($N473*AL$5/100,0)),0)</f>
        <v>0</v>
      </c>
      <c r="AM473" s="38">
        <f>IF(AND(AM$7="○",$A473&gt;=AM$8,$A473&lt;=AM$9),IF(SUM(AM$10:AM472)-ROUNDDOWN($L473*AM$5/100,0)&lt;-AM$6,-AM$6-SUM(AM$10:AM472),-ROUNDDOWN($L473*AM$5/100,0)),0)</f>
        <v>0</v>
      </c>
      <c r="AN473" s="38">
        <f>IF(AND(AN$7="○",$A473&gt;=AN$8,$A473&lt;=AN$9),IF(SUM(AN$10:AN472)-ROUNDDOWN($M473*AN$5/100,0)&lt;-AN$6,-AN$6-SUM(AN$10:AN472),-ROUNDDOWN($M473*AN$5/100,0)),0)</f>
        <v>0</v>
      </c>
      <c r="AO473" s="38">
        <f>IF(AND($A473&gt;=AO$8,$A473&lt;=AO$9),IF(SUM(AO$10:AO472)-ROUNDDOWN($K473*AO$5/100,0)&lt;-AO$6,-AO$6-SUM(AO$10:AO472),-ROUNDDOWN($K473*AO$5/100,0)),0)</f>
        <v>0</v>
      </c>
      <c r="AP473" s="38">
        <f>IF(AND($A473&gt;=AP$8,$A473&lt;=AP$9),IF(SUM(AP$10:AP472)-ROUNDDOWN($K473*AP$5/100,0)&lt;-AP$6,-AP$6-SUM(AP$10:AP472),-ROUNDDOWN($K473*AP$5/100,0)),0)</f>
        <v>0</v>
      </c>
      <c r="AQ473" s="38">
        <f>IF(AND($A473&gt;=AQ$8,$A473&lt;=AQ$9),IF(SUM(AQ$10:AQ472)-ROUNDDOWN($K473*AQ$5/100,0)&lt;-AQ$6,-AQ$6-SUM(AQ$10:AQ472),-ROUNDDOWN($K473*AQ$5/100,0)),0)</f>
        <v>0</v>
      </c>
      <c r="AR473" s="38">
        <f>IF(AND($A473&gt;=AR$8,$A473&lt;=AR$9),IF(SUM(AR$10:AR472)-ROUNDDOWN($K473*AR$5/100,0)&lt;-AR$6,-AR$6-SUM(AR$10:AR472),-ROUNDDOWN($K473*AR$5/100,0)),0)</f>
        <v>0</v>
      </c>
      <c r="AS473" s="38">
        <f>IF(SUMIFS(AS$10:AS472,$A$10:$A472,$A473)-ROUNDDOWN($K473*$S473/100,0)&lt;-$S473*1000,-$S473*1000-SUMIFS(AS$10:AS472,$A$10:$A472,$A473),-ROUNDDOWN($K473*$S473/100,0))</f>
        <v>0</v>
      </c>
      <c r="AT473" s="38">
        <f>IF(AND(X473="○",$A473&gt;=AT$8,$A473&lt;=AT$9,K473&gt;=3980),IF(SUM(AT$10:AT472)-ROUNDDOWN($K473*AT$5/100,0)&lt;-AT$6,-AT$6-SUM(AT$10:AT472),-ROUNDDOWN($K473*AT$5/100,0)),0)</f>
        <v>0</v>
      </c>
      <c r="AU473" s="38">
        <f>IF(O473="○",IF(SUM(AU$10:AU472)-ROUNDDOWN($K473*AU$5/100,0)&lt;-AU$6,-AU$6-SUM(AU$10:AU472),-ROUNDDOWN($K473*AU$5/100,0)),0)</f>
        <v>0</v>
      </c>
      <c r="AV473" s="38">
        <f>IF(P473="○",IF(SUM(AV$10:AV472)-ROUNDDOWN($K473*AV$5/100,0)&lt;-AV$6,-AV$6-SUM(AV$10:AV472),-ROUNDDOWN($K473*AV$5/100,0)),0)</f>
        <v>0</v>
      </c>
      <c r="AW473" s="38">
        <f>IF(Q473="○",IF(SUM(AW$10:AW472)-ROUNDDOWN($K473*AW$5/100,0)&lt;-AW$6,-AW$6-SUM(AW$10:AW472),-ROUNDDOWN($K473*AW$5/100,0)),0)</f>
        <v>0</v>
      </c>
      <c r="AX473" s="38">
        <f>IF(R473="○",IF(SUM(AX$10:AX472)-ROUNDDOWN($K473*AX$5/100,0)&lt;-AX$6,-AX$6-SUM(AX$10:AX472),-ROUNDDOWN($K473*AX$5/100,0)),0)</f>
        <v>0</v>
      </c>
      <c r="AY473" s="70">
        <v>0</v>
      </c>
      <c r="AZ473" s="65">
        <f t="shared" si="319"/>
        <v>0</v>
      </c>
      <c r="BA473" s="65">
        <f t="shared" si="320"/>
        <v>0</v>
      </c>
      <c r="BB473" s="70"/>
      <c r="BC473" s="65">
        <f t="shared" si="321"/>
        <v>0</v>
      </c>
      <c r="BD473" s="70">
        <v>0</v>
      </c>
      <c r="BE473" s="65">
        <f t="shared" si="322"/>
        <v>0</v>
      </c>
      <c r="BF473" s="70">
        <v>0</v>
      </c>
      <c r="BG473" s="65">
        <f t="shared" si="323"/>
        <v>0</v>
      </c>
      <c r="BH473" s="70">
        <v>0</v>
      </c>
      <c r="BI473" s="65">
        <f t="shared" si="324"/>
        <v>0</v>
      </c>
      <c r="BJ473" s="38">
        <f>IF(AND(BJ$7="○",$A473&gt;=BJ$8,$A473&lt;=BJ$9),IF(SUM(BJ$10:BJ472)-ROUNDDOWN($M473*BJ$5/100,0)&lt;-BJ$6,-BJ$6-SUM(BJ$10:BJ472),-ROUNDDOWN($M473*BJ$5/100,0)),0)</f>
        <v>0</v>
      </c>
      <c r="BK473" s="38">
        <f>IF(AND(BK$7="○",$A473&gt;=BK$8,$A473&lt;=BK$9),IF(SUM(BK$10:BK472)-ROUNDDOWN($L473*BK$5/100,0)&lt;-BK$6,-BK$6-SUM(BK$10:BK472),-ROUNDDOWN($L473*BK$5/100,0)),0)</f>
        <v>0</v>
      </c>
      <c r="BL473" s="38">
        <f>IF(AND(BL$7="○",$A473&gt;=BL$8,$A473&lt;=BL$9),IF(SUM(BL$10:BL472)-ROUNDDOWN($L473*BL$5/100,0)&lt;-BL$6,-BL$6-SUM(BL$10:BL472),-ROUNDDOWN($L473*BL$5/100,0)),0)</f>
        <v>0</v>
      </c>
      <c r="BM473" s="38">
        <f>IF(AND(BM$7="○",$A473&gt;=BM$8,$A473&lt;=BM$9),IF(SUM(BM$10:BM472)-ROUNDDOWN($M473*BM$5/100,0)&lt;-BM$6,-BM$6-SUM(BM$10:BM472),-ROUNDDOWN($M473*BM$5/100,0)),0)</f>
        <v>0</v>
      </c>
      <c r="BN473" s="38">
        <f>IF(AND(BN$7="○",$A473&gt;=BN$8,$A473&lt;=BN$9),IF(SUM(BN$10:BN472)-ROUNDDOWN($M473*BN$5/100,0)&lt;-BN$6,-BN$6-SUM(BN$10:BN472),-ROUNDDOWN($M473*BN$5/100,0)),0)</f>
        <v>0</v>
      </c>
      <c r="BO473" s="38">
        <f>IF(AND(BO$7="○",$A473&gt;=BO$8,$A473&lt;=BO$9),IF(SUM(BO$10:BO472)-ROUNDDOWN($M473*BO$5/100,0)&lt;-BO$6,-BO$6-SUM(BO$10:BO472),-ROUNDDOWN($M473*BO$5/100,0)),0)</f>
        <v>0</v>
      </c>
      <c r="BP473" s="38">
        <f>IF(AND(BP$7="○",$A473&gt;=BP$8,$A473&lt;=BP$9),IF(SUM(BP$10:BP472)-ROUNDDOWN($M473*BP$5/100,0)&lt;-BP$6,-BP$6-SUM(BP$10:BP472),-ROUNDDOWN($M473*BP$5/100,0)),0)</f>
        <v>0</v>
      </c>
      <c r="BQ473" s="38">
        <f>IF(AND(BQ$7="○",$A473&gt;=BQ$8,$A473&lt;=BQ$9),IF(SUM(BQ$10:BQ472)-ROUNDDOWN($L473*BQ$5/100,0)&lt;-BQ$6,-BQ$6-SUM(BQ$10:BQ472),-ROUNDDOWN($L473*BQ$5/100,0)),0)</f>
        <v>0</v>
      </c>
      <c r="BR473" s="38">
        <f>IF(AND(BR$7="○",$A473&gt;=BR$8,$A473&lt;=BR$9),IF(SUM(BR$10:BR472)-ROUNDDOWN($M473*BR$5/100,0)&lt;-BR$6,-BR$6-SUM(BR$10:BR472),-ROUNDDOWN($M473*BR$5/100,0)),0)</f>
        <v>0</v>
      </c>
      <c r="BS473" s="38">
        <f>IF(AND(BS$7="○",$A473&gt;=BS$8,$A473&lt;=BS$9),IF(SUM(BS$10:BS472)-ROUNDDOWN($M473*BS$5/100,0)&lt;-BS$6,-BS$6-SUM(BS$10:BS472),-ROUNDDOWN($M473*BS$5/100,0)),0)</f>
        <v>0</v>
      </c>
      <c r="BT473" s="38">
        <f>IF(AND(BT$7="○",$A473&gt;=BT$8,$A473&lt;=BT$9),IF(SUM(BT$10:BT472)-ROUNDDOWN($M473*BT$5/100,0)&lt;-BT$6,-BT$6-SUM(BT$10:BT472),-ROUNDDOWN($M473*BT$5/100,0)),0)</f>
        <v>0</v>
      </c>
      <c r="BU473" s="38">
        <f>IF(AND(BU$7="○",$A473&gt;=BU$8,$A473&lt;=BU$9),IF(SUM(BU$10:BU472)-ROUNDDOWN($M473*BU$5/100,0)&lt;-BU$6,-BU$6-SUM(BU$10:BU472),-ROUNDDOWN($M473*BU$5/100,0)),0)</f>
        <v>0</v>
      </c>
      <c r="BV473" s="38">
        <f>IF(AND(BV$7="○",$A473&gt;=BV$8,$A473&lt;=BV$9),IF(SUM(BV$10:BV472)-ROUNDDOWN($M473*BV$5/100,0)&lt;-BV$6,-BV$6-SUM(BV$10:BV472),-ROUNDDOWN($M473*BV$5/100,0)),0)</f>
        <v>0</v>
      </c>
      <c r="BW473" s="38">
        <f>IF(AND(BW$7="○",$A473&gt;=BW$8,$A473&lt;=BW$9),IF(SUM(BW$10:BW472)-ROUNDDOWN($M473*BW$5/100,0)&lt;-BW$6,-BW$6-SUM(BW$10:BW472),-ROUNDDOWN($M473*BW$5/100,0)),0)</f>
        <v>0</v>
      </c>
      <c r="BX473" s="38">
        <f>IF(AND(T473="○",$A473&gt;=BX$8,$A473&lt;=BX$9),IF(SUM(BX$10:BX472)-ROUNDDOWN($K473*BX$5/100,0)&lt;-BX$6,-BX$6-SUM(BX$10:BX472),-ROUNDDOWN($K473*BX$5/100,0)),0)</f>
        <v>0</v>
      </c>
      <c r="BY473" s="38">
        <f>IF(AND(U473="○",$A473&gt;=BY$8,$A473&lt;=BY$9),IF(SUM(BY$10:BY472)-ROUNDDOWN($K473*BY$5/100,0)&lt;-BY$6,-BY$6-SUM(BY$10:BY472),-ROUNDDOWN($K473*BY$5/100,0)),0)</f>
        <v>0</v>
      </c>
      <c r="BZ473" s="38">
        <f>IF(AND(V473="○",$A473&gt;=BZ$8,$A473&lt;=BZ$9),IF(SUM(BZ$10:BZ472)-ROUNDDOWN($K473*BZ$5/100,0)&lt;-BZ$6,-BZ$6-SUM(BZ$10:BZ472),-ROUNDDOWN($K473*BZ$5/100,0)),0)</f>
        <v>0</v>
      </c>
      <c r="CA473" s="38">
        <f>IF(AND(W473="○",$A473&gt;=CA$8,$A473&lt;=CA$9),IF(SUM(CA$10:CA472)-ROUNDDOWN($K473*CA$5/100,0)&lt;-CA$6,-CA$6-SUM(CA$10:CA472),-ROUNDDOWN($K473*CA$5/100,0)),0)</f>
        <v>0</v>
      </c>
      <c r="CB473" s="38"/>
      <c r="CC473" s="38"/>
      <c r="CD473" s="38"/>
      <c r="CE473" s="38"/>
      <c r="CF473" s="38"/>
      <c r="CG473" s="65">
        <f t="shared" si="325"/>
        <v>0</v>
      </c>
      <c r="CH473" s="71">
        <f t="shared" si="326"/>
        <v>0</v>
      </c>
      <c r="CI473" s="1">
        <f t="shared" si="19"/>
        <v>0</v>
      </c>
      <c r="CJ473" s="1"/>
      <c r="CK473" s="72"/>
      <c r="CL473" s="72"/>
      <c r="CM473" s="2"/>
      <c r="CN473" s="2"/>
      <c r="CO473" s="73">
        <f t="shared" si="20"/>
        <v>0</v>
      </c>
      <c r="CP473" s="5">
        <f t="shared" si="21"/>
        <v>0</v>
      </c>
      <c r="CQ473" s="1"/>
      <c r="CR473" s="1">
        <f t="shared" si="22"/>
        <v>0</v>
      </c>
      <c r="CS473" s="1"/>
      <c r="CT473" s="1" t="e">
        <f>INDEX([2]マスタ!$A:$A,MATCH(D473,[2]マスタ!$C:$C,0))</f>
        <v>#N/A</v>
      </c>
      <c r="CU473" s="1" t="str">
        <f t="shared" ca="1" si="23"/>
        <v>20260620_0-0</v>
      </c>
    </row>
    <row r="474" spans="1:99" x14ac:dyDescent="0.4">
      <c r="A474" s="61"/>
      <c r="B474" s="62"/>
      <c r="C474" s="62"/>
      <c r="D474" s="62"/>
      <c r="E474" s="74"/>
      <c r="F474" s="62"/>
      <c r="G474" s="62">
        <v>1</v>
      </c>
      <c r="H474" s="64">
        <f t="shared" si="4"/>
        <v>0</v>
      </c>
      <c r="I474" s="64"/>
      <c r="J474" s="64"/>
      <c r="K474" s="65">
        <f t="shared" si="317"/>
        <v>0</v>
      </c>
      <c r="L474" s="65">
        <f t="shared" si="6"/>
        <v>0</v>
      </c>
      <c r="M474" s="65">
        <f t="shared" si="7"/>
        <v>0</v>
      </c>
      <c r="N474" s="65">
        <f t="shared" si="8"/>
        <v>0</v>
      </c>
      <c r="O474" s="66" t="str">
        <f t="shared" si="9"/>
        <v>✕</v>
      </c>
      <c r="P474" s="67" t="str">
        <f t="shared" si="10"/>
        <v>○</v>
      </c>
      <c r="Q474" s="67" t="str">
        <f t="shared" si="318"/>
        <v>✕</v>
      </c>
      <c r="R474" s="67" t="str">
        <f t="shared" si="12"/>
        <v>✕</v>
      </c>
      <c r="S474" s="68">
        <v>0</v>
      </c>
      <c r="T474" s="69" t="s">
        <v>85</v>
      </c>
      <c r="U474" s="69" t="s">
        <v>85</v>
      </c>
      <c r="V474" s="69" t="s">
        <v>85</v>
      </c>
      <c r="W474" s="69" t="s">
        <v>85</v>
      </c>
      <c r="X474" s="69" t="s">
        <v>84</v>
      </c>
      <c r="Y474" s="69" t="s">
        <v>85</v>
      </c>
      <c r="Z474" s="69" t="s">
        <v>85</v>
      </c>
      <c r="AA474" s="69" t="s">
        <v>85</v>
      </c>
      <c r="AB474" s="69" t="s">
        <v>85</v>
      </c>
      <c r="AC474" s="69" t="s">
        <v>85</v>
      </c>
      <c r="AD474" s="38" t="str">
        <f>+IF(ISERROR(VLOOKUP($B474,AD$10:AD473,1,0)),IF(AND($N474&gt;=1000,$A474&gt;=AO$8,$A474&lt;=AO$9),$B474,""),"")</f>
        <v/>
      </c>
      <c r="AE474" s="38" t="str">
        <f>+IF(ISERROR(VLOOKUP($B474,AE$10:AE473,1,0)),IF(AND($N474&gt;=1000,$A474&gt;=AP$8,$A474&lt;=AP$9),$B474,""),"")</f>
        <v/>
      </c>
      <c r="AF474" s="38" t="str">
        <f>+IF(ISERROR(VLOOKUP($B474,AF$10:AF473,1,0)),IF(AND($N474&gt;=1000,$A474&gt;=AQ$8,$A474&lt;=AQ$9),$B474,""),"")</f>
        <v/>
      </c>
      <c r="AG474" s="38" t="str">
        <f>+IF(ISERROR(VLOOKUP($B474,AG$10:AG473,1,0)),IF(AND($N474&gt;=1000,$A474&gt;=AR$8,$A474&lt;=AR$9),$B474,""),"")</f>
        <v/>
      </c>
      <c r="AH474" s="38"/>
      <c r="AI474" s="70">
        <v>0</v>
      </c>
      <c r="AJ474" s="38">
        <f>IF(AND(AJ$7="○",$A474&gt;=AJ$8,$A474&lt;=AJ$9),IF(SUM(AJ$10:AJ473)-ROUNDDOWN($K474*AJ$5/100,0)&lt;-AJ$6,-AJ$6-SUM(AJ$10:AJ473),-ROUNDDOWN($K474*AJ$5/100,0)),0)</f>
        <v>0</v>
      </c>
      <c r="AK474" s="38">
        <f>IF(AND(AK$7="○",$A474&gt;=AK$8,$A474&lt;=AK$9),IF(SUM(AK$10:AK473)-ROUNDDOWN($L474*AK$5/100,0)&lt;-AK$6,-AK$6-SUM(AK$10:AK473),-ROUNDDOWN($L474*AK$5/100,0)),0)</f>
        <v>0</v>
      </c>
      <c r="AL474" s="38">
        <f>IF(AND(AL$7="○",$A474&gt;=AL$8,$A474&lt;=AL$9),IF(SUM(AL$10:AL473)-ROUNDDOWN($N474*AL$5/100,0)&lt;-AL$6,-AL$6-SUM(AL$10:AL473),-ROUNDDOWN($N474*AL$5/100,0)),0)</f>
        <v>0</v>
      </c>
      <c r="AM474" s="38">
        <f>IF(AND(AM$7="○",$A474&gt;=AM$8,$A474&lt;=AM$9),IF(SUM(AM$10:AM473)-ROUNDDOWN($L474*AM$5/100,0)&lt;-AM$6,-AM$6-SUM(AM$10:AM473),-ROUNDDOWN($L474*AM$5/100,0)),0)</f>
        <v>0</v>
      </c>
      <c r="AN474" s="38">
        <f>IF(AND(AN$7="○",$A474&gt;=AN$8,$A474&lt;=AN$9),IF(SUM(AN$10:AN473)-ROUNDDOWN($M474*AN$5/100,0)&lt;-AN$6,-AN$6-SUM(AN$10:AN473),-ROUNDDOWN($M474*AN$5/100,0)),0)</f>
        <v>0</v>
      </c>
      <c r="AO474" s="38">
        <f>IF(AND($A474&gt;=AO$8,$A474&lt;=AO$9),IF(SUM(AO$10:AO473)-ROUNDDOWN($K474*AO$5/100,0)&lt;-AO$6,-AO$6-SUM(AO$10:AO473),-ROUNDDOWN($K474*AO$5/100,0)),0)</f>
        <v>0</v>
      </c>
      <c r="AP474" s="38">
        <f>IF(AND($A474&gt;=AP$8,$A474&lt;=AP$9),IF(SUM(AP$10:AP473)-ROUNDDOWN($K474*AP$5/100,0)&lt;-AP$6,-AP$6-SUM(AP$10:AP473),-ROUNDDOWN($K474*AP$5/100,0)),0)</f>
        <v>0</v>
      </c>
      <c r="AQ474" s="38">
        <f>IF(AND($A474&gt;=AQ$8,$A474&lt;=AQ$9),IF(SUM(AQ$10:AQ473)-ROUNDDOWN($K474*AQ$5/100,0)&lt;-AQ$6,-AQ$6-SUM(AQ$10:AQ473),-ROUNDDOWN($K474*AQ$5/100,0)),0)</f>
        <v>0</v>
      </c>
      <c r="AR474" s="38">
        <f>IF(AND($A474&gt;=AR$8,$A474&lt;=AR$9),IF(SUM(AR$10:AR473)-ROUNDDOWN($K474*AR$5/100,0)&lt;-AR$6,-AR$6-SUM(AR$10:AR473),-ROUNDDOWN($K474*AR$5/100,0)),0)</f>
        <v>0</v>
      </c>
      <c r="AS474" s="38">
        <f>IF(SUMIFS(AS$10:AS473,$A$10:$A473,$A474)-ROUNDDOWN($K474*$S474/100,0)&lt;-$S474*1000,-$S474*1000-SUMIFS(AS$10:AS473,$A$10:$A473,$A474),-ROUNDDOWN($K474*$S474/100,0))</f>
        <v>0</v>
      </c>
      <c r="AT474" s="38">
        <f>IF(AND(X474="○",$A474&gt;=AT$8,$A474&lt;=AT$9,K474&gt;=3980),IF(SUM(AT$10:AT473)-ROUNDDOWN($K474*AT$5/100,0)&lt;-AT$6,-AT$6-SUM(AT$10:AT473),-ROUNDDOWN($K474*AT$5/100,0)),0)</f>
        <v>0</v>
      </c>
      <c r="AU474" s="38">
        <f>IF(O474="○",IF(SUM(AU$10:AU473)-ROUNDDOWN($K474*AU$5/100,0)&lt;-AU$6,-AU$6-SUM(AU$10:AU473),-ROUNDDOWN($K474*AU$5/100,0)),0)</f>
        <v>0</v>
      </c>
      <c r="AV474" s="38">
        <f>IF(P474="○",IF(SUM(AV$10:AV473)-ROUNDDOWN($K474*AV$5/100,0)&lt;-AV$6,-AV$6-SUM(AV$10:AV473),-ROUNDDOWN($K474*AV$5/100,0)),0)</f>
        <v>0</v>
      </c>
      <c r="AW474" s="38">
        <f>IF(Q474="○",IF(SUM(AW$10:AW473)-ROUNDDOWN($K474*AW$5/100,0)&lt;-AW$6,-AW$6-SUM(AW$10:AW473),-ROUNDDOWN($K474*AW$5/100,0)),0)</f>
        <v>0</v>
      </c>
      <c r="AX474" s="38">
        <f>IF(R474="○",IF(SUM(AX$10:AX473)-ROUNDDOWN($K474*AX$5/100,0)&lt;-AX$6,-AX$6-SUM(AX$10:AX473),-ROUNDDOWN($K474*AX$5/100,0)),0)</f>
        <v>0</v>
      </c>
      <c r="AY474" s="70">
        <v>0</v>
      </c>
      <c r="AZ474" s="65">
        <f t="shared" si="319"/>
        <v>0</v>
      </c>
      <c r="BA474" s="65">
        <f t="shared" si="320"/>
        <v>0</v>
      </c>
      <c r="BB474" s="70"/>
      <c r="BC474" s="65">
        <f t="shared" si="321"/>
        <v>0</v>
      </c>
      <c r="BD474" s="70">
        <v>0</v>
      </c>
      <c r="BE474" s="65">
        <f t="shared" si="322"/>
        <v>0</v>
      </c>
      <c r="BF474" s="70">
        <v>0</v>
      </c>
      <c r="BG474" s="65">
        <f t="shared" si="323"/>
        <v>0</v>
      </c>
      <c r="BH474" s="70">
        <v>0</v>
      </c>
      <c r="BI474" s="65">
        <f t="shared" si="324"/>
        <v>0</v>
      </c>
      <c r="BJ474" s="38">
        <f>IF(AND(BJ$7="○",$A474&gt;=BJ$8,$A474&lt;=BJ$9),IF(SUM(BJ$10:BJ473)-ROUNDDOWN($M474*BJ$5/100,0)&lt;-BJ$6,-BJ$6-SUM(BJ$10:BJ473),-ROUNDDOWN($M474*BJ$5/100,0)),0)</f>
        <v>0</v>
      </c>
      <c r="BK474" s="38">
        <f>IF(AND(BK$7="○",$A474&gt;=BK$8,$A474&lt;=BK$9),IF(SUM(BK$10:BK473)-ROUNDDOWN($L474*BK$5/100,0)&lt;-BK$6,-BK$6-SUM(BK$10:BK473),-ROUNDDOWN($L474*BK$5/100,0)),0)</f>
        <v>0</v>
      </c>
      <c r="BL474" s="38">
        <f>IF(AND(BL$7="○",$A474&gt;=BL$8,$A474&lt;=BL$9),IF(SUM(BL$10:BL473)-ROUNDDOWN($L474*BL$5/100,0)&lt;-BL$6,-BL$6-SUM(BL$10:BL473),-ROUNDDOWN($L474*BL$5/100,0)),0)</f>
        <v>0</v>
      </c>
      <c r="BM474" s="38">
        <f>IF(AND(BM$7="○",$A474&gt;=BM$8,$A474&lt;=BM$9),IF(SUM(BM$10:BM473)-ROUNDDOWN($M474*BM$5/100,0)&lt;-BM$6,-BM$6-SUM(BM$10:BM473),-ROUNDDOWN($M474*BM$5/100,0)),0)</f>
        <v>0</v>
      </c>
      <c r="BN474" s="38">
        <f>IF(AND(BN$7="○",$A474&gt;=BN$8,$A474&lt;=BN$9),IF(SUM(BN$10:BN473)-ROUNDDOWN($M474*BN$5/100,0)&lt;-BN$6,-BN$6-SUM(BN$10:BN473),-ROUNDDOWN($M474*BN$5/100,0)),0)</f>
        <v>0</v>
      </c>
      <c r="BO474" s="38">
        <f>IF(AND(BO$7="○",$A474&gt;=BO$8,$A474&lt;=BO$9),IF(SUM(BO$10:BO473)-ROUNDDOWN($M474*BO$5/100,0)&lt;-BO$6,-BO$6-SUM(BO$10:BO473),-ROUNDDOWN($M474*BO$5/100,0)),0)</f>
        <v>0</v>
      </c>
      <c r="BP474" s="38">
        <f>IF(AND(BP$7="○",$A474&gt;=BP$8,$A474&lt;=BP$9),IF(SUM(BP$10:BP473)-ROUNDDOWN($M474*BP$5/100,0)&lt;-BP$6,-BP$6-SUM(BP$10:BP473),-ROUNDDOWN($M474*BP$5/100,0)),0)</f>
        <v>0</v>
      </c>
      <c r="BQ474" s="38">
        <f>IF(AND(BQ$7="○",$A474&gt;=BQ$8,$A474&lt;=BQ$9),IF(SUM(BQ$10:BQ473)-ROUNDDOWN($L474*BQ$5/100,0)&lt;-BQ$6,-BQ$6-SUM(BQ$10:BQ473),-ROUNDDOWN($L474*BQ$5/100,0)),0)</f>
        <v>0</v>
      </c>
      <c r="BR474" s="38">
        <f>IF(AND(BR$7="○",$A474&gt;=BR$8,$A474&lt;=BR$9),IF(SUM(BR$10:BR473)-ROUNDDOWN($M474*BR$5/100,0)&lt;-BR$6,-BR$6-SUM(BR$10:BR473),-ROUNDDOWN($M474*BR$5/100,0)),0)</f>
        <v>0</v>
      </c>
      <c r="BS474" s="38">
        <f>IF(AND(BS$7="○",$A474&gt;=BS$8,$A474&lt;=BS$9),IF(SUM(BS$10:BS473)-ROUNDDOWN($M474*BS$5/100,0)&lt;-BS$6,-BS$6-SUM(BS$10:BS473),-ROUNDDOWN($M474*BS$5/100,0)),0)</f>
        <v>0</v>
      </c>
      <c r="BT474" s="38">
        <f>IF(AND(BT$7="○",$A474&gt;=BT$8,$A474&lt;=BT$9),IF(SUM(BT$10:BT473)-ROUNDDOWN($M474*BT$5/100,0)&lt;-BT$6,-BT$6-SUM(BT$10:BT473),-ROUNDDOWN($M474*BT$5/100,0)),0)</f>
        <v>0</v>
      </c>
      <c r="BU474" s="38">
        <f>IF(AND(BU$7="○",$A474&gt;=BU$8,$A474&lt;=BU$9),IF(SUM(BU$10:BU473)-ROUNDDOWN($M474*BU$5/100,0)&lt;-BU$6,-BU$6-SUM(BU$10:BU473),-ROUNDDOWN($M474*BU$5/100,0)),0)</f>
        <v>0</v>
      </c>
      <c r="BV474" s="38">
        <f>IF(AND(BV$7="○",$A474&gt;=BV$8,$A474&lt;=BV$9),IF(SUM(BV$10:BV473)-ROUNDDOWN($M474*BV$5/100,0)&lt;-BV$6,-BV$6-SUM(BV$10:BV473),-ROUNDDOWN($M474*BV$5/100,0)),0)</f>
        <v>0</v>
      </c>
      <c r="BW474" s="38">
        <f>IF(AND(BW$7="○",$A474&gt;=BW$8,$A474&lt;=BW$9),IF(SUM(BW$10:BW473)-ROUNDDOWN($M474*BW$5/100,0)&lt;-BW$6,-BW$6-SUM(BW$10:BW473),-ROUNDDOWN($M474*BW$5/100,0)),0)</f>
        <v>0</v>
      </c>
      <c r="BX474" s="38">
        <f>IF(AND(T474="○",$A474&gt;=BX$8,$A474&lt;=BX$9),IF(SUM(BX$10:BX473)-ROUNDDOWN($K474*BX$5/100,0)&lt;-BX$6,-BX$6-SUM(BX$10:BX473),-ROUNDDOWN($K474*BX$5/100,0)),0)</f>
        <v>0</v>
      </c>
      <c r="BY474" s="38">
        <f>IF(AND(U474="○",$A474&gt;=BY$8,$A474&lt;=BY$9),IF(SUM(BY$10:BY473)-ROUNDDOWN($K474*BY$5/100,0)&lt;-BY$6,-BY$6-SUM(BY$10:BY473),-ROUNDDOWN($K474*BY$5/100,0)),0)</f>
        <v>0</v>
      </c>
      <c r="BZ474" s="38">
        <f>IF(AND(V474="○",$A474&gt;=BZ$8,$A474&lt;=BZ$9),IF(SUM(BZ$10:BZ473)-ROUNDDOWN($K474*BZ$5/100,0)&lt;-BZ$6,-BZ$6-SUM(BZ$10:BZ473),-ROUNDDOWN($K474*BZ$5/100,0)),0)</f>
        <v>0</v>
      </c>
      <c r="CA474" s="38">
        <f>IF(AND(W474="○",$A474&gt;=CA$8,$A474&lt;=CA$9),IF(SUM(CA$10:CA473)-ROUNDDOWN($K474*CA$5/100,0)&lt;-CA$6,-CA$6-SUM(CA$10:CA473),-ROUNDDOWN($K474*CA$5/100,0)),0)</f>
        <v>0</v>
      </c>
      <c r="CB474" s="38"/>
      <c r="CC474" s="38"/>
      <c r="CD474" s="38"/>
      <c r="CE474" s="38"/>
      <c r="CF474" s="38"/>
      <c r="CG474" s="65">
        <f t="shared" si="325"/>
        <v>0</v>
      </c>
      <c r="CH474" s="71">
        <f t="shared" si="326"/>
        <v>0</v>
      </c>
      <c r="CI474" s="1">
        <f t="shared" si="19"/>
        <v>0</v>
      </c>
      <c r="CJ474" s="1"/>
      <c r="CK474" s="72"/>
      <c r="CL474" s="72"/>
      <c r="CM474" s="2"/>
      <c r="CN474" s="2"/>
      <c r="CO474" s="73">
        <f t="shared" si="20"/>
        <v>0</v>
      </c>
      <c r="CP474" s="5">
        <f t="shared" si="21"/>
        <v>0</v>
      </c>
      <c r="CQ474" s="1"/>
      <c r="CR474" s="1">
        <f t="shared" si="22"/>
        <v>0</v>
      </c>
      <c r="CS474" s="1"/>
      <c r="CT474" s="1" t="e">
        <f>INDEX([2]マスタ!$A:$A,MATCH(D474,[2]マスタ!$C:$C,0))</f>
        <v>#N/A</v>
      </c>
      <c r="CU474" s="1" t="str">
        <f t="shared" ca="1" si="23"/>
        <v>20260620_0-0</v>
      </c>
    </row>
    <row r="475" spans="1:99" x14ac:dyDescent="0.4">
      <c r="A475" s="61"/>
      <c r="B475" s="62"/>
      <c r="C475" s="62"/>
      <c r="D475" s="62"/>
      <c r="E475" s="74"/>
      <c r="F475" s="62"/>
      <c r="G475" s="62">
        <v>1</v>
      </c>
      <c r="H475" s="64">
        <f t="shared" si="4"/>
        <v>0</v>
      </c>
      <c r="I475" s="64"/>
      <c r="J475" s="64"/>
      <c r="K475" s="65">
        <f t="shared" si="317"/>
        <v>0</v>
      </c>
      <c r="L475" s="65">
        <f t="shared" si="6"/>
        <v>0</v>
      </c>
      <c r="M475" s="65">
        <f t="shared" si="7"/>
        <v>0</v>
      </c>
      <c r="N475" s="65">
        <f t="shared" si="8"/>
        <v>0</v>
      </c>
      <c r="O475" s="66" t="str">
        <f t="shared" si="9"/>
        <v>✕</v>
      </c>
      <c r="P475" s="67" t="str">
        <f t="shared" si="10"/>
        <v>○</v>
      </c>
      <c r="Q475" s="67" t="str">
        <f t="shared" si="318"/>
        <v>✕</v>
      </c>
      <c r="R475" s="67" t="str">
        <f t="shared" si="12"/>
        <v>✕</v>
      </c>
      <c r="S475" s="68">
        <v>0</v>
      </c>
      <c r="T475" s="69" t="s">
        <v>85</v>
      </c>
      <c r="U475" s="69" t="s">
        <v>85</v>
      </c>
      <c r="V475" s="69" t="s">
        <v>85</v>
      </c>
      <c r="W475" s="69" t="s">
        <v>85</v>
      </c>
      <c r="X475" s="69" t="s">
        <v>84</v>
      </c>
      <c r="Y475" s="69" t="s">
        <v>85</v>
      </c>
      <c r="Z475" s="69" t="s">
        <v>85</v>
      </c>
      <c r="AA475" s="69" t="s">
        <v>85</v>
      </c>
      <c r="AB475" s="69" t="s">
        <v>85</v>
      </c>
      <c r="AC475" s="69" t="s">
        <v>85</v>
      </c>
      <c r="AD475" s="38" t="str">
        <f>+IF(ISERROR(VLOOKUP($B475,AD$10:AD474,1,0)),IF(AND($N475&gt;=1000,$A475&gt;=AO$8,$A475&lt;=AO$9),$B475,""),"")</f>
        <v/>
      </c>
      <c r="AE475" s="38" t="str">
        <f>+IF(ISERROR(VLOOKUP($B475,AE$10:AE474,1,0)),IF(AND($N475&gt;=1000,$A475&gt;=AP$8,$A475&lt;=AP$9),$B475,""),"")</f>
        <v/>
      </c>
      <c r="AF475" s="38" t="str">
        <f>+IF(ISERROR(VLOOKUP($B475,AF$10:AF474,1,0)),IF(AND($N475&gt;=1000,$A475&gt;=AQ$8,$A475&lt;=AQ$9),$B475,""),"")</f>
        <v/>
      </c>
      <c r="AG475" s="38" t="str">
        <f>+IF(ISERROR(VLOOKUP($B475,AG$10:AG474,1,0)),IF(AND($N475&gt;=1000,$A475&gt;=AR$8,$A475&lt;=AR$9),$B475,""),"")</f>
        <v/>
      </c>
      <c r="AH475" s="38"/>
      <c r="AI475" s="70">
        <v>0</v>
      </c>
      <c r="AJ475" s="38">
        <f>IF(AND(AJ$7="○",$A475&gt;=AJ$8,$A475&lt;=AJ$9),IF(SUM(AJ$10:AJ474)-ROUNDDOWN($K475*AJ$5/100,0)&lt;-AJ$6,-AJ$6-SUM(AJ$10:AJ474),-ROUNDDOWN($K475*AJ$5/100,0)),0)</f>
        <v>0</v>
      </c>
      <c r="AK475" s="38">
        <f>IF(AND(AK$7="○",$A475&gt;=AK$8,$A475&lt;=AK$9),IF(SUM(AK$10:AK474)-ROUNDDOWN($L475*AK$5/100,0)&lt;-AK$6,-AK$6-SUM(AK$10:AK474),-ROUNDDOWN($L475*AK$5/100,0)),0)</f>
        <v>0</v>
      </c>
      <c r="AL475" s="38">
        <f>IF(AND(AL$7="○",$A475&gt;=AL$8,$A475&lt;=AL$9),IF(SUM(AL$10:AL474)-ROUNDDOWN($N475*AL$5/100,0)&lt;-AL$6,-AL$6-SUM(AL$10:AL474),-ROUNDDOWN($N475*AL$5/100,0)),0)</f>
        <v>0</v>
      </c>
      <c r="AM475" s="38">
        <f>IF(AND(AM$7="○",$A475&gt;=AM$8,$A475&lt;=AM$9),IF(SUM(AM$10:AM474)-ROUNDDOWN($L475*AM$5/100,0)&lt;-AM$6,-AM$6-SUM(AM$10:AM474),-ROUNDDOWN($L475*AM$5/100,0)),0)</f>
        <v>0</v>
      </c>
      <c r="AN475" s="38">
        <f>IF(AND(AN$7="○",$A475&gt;=AN$8,$A475&lt;=AN$9),IF(SUM(AN$10:AN474)-ROUNDDOWN($M475*AN$5/100,0)&lt;-AN$6,-AN$6-SUM(AN$10:AN474),-ROUNDDOWN($M475*AN$5/100,0)),0)</f>
        <v>0</v>
      </c>
      <c r="AO475" s="38">
        <f>IF(AND($A475&gt;=AO$8,$A475&lt;=AO$9),IF(SUM(AO$10:AO474)-ROUNDDOWN($K475*AO$5/100,0)&lt;-AO$6,-AO$6-SUM(AO$10:AO474),-ROUNDDOWN($K475*AO$5/100,0)),0)</f>
        <v>0</v>
      </c>
      <c r="AP475" s="38">
        <f>IF(AND($A475&gt;=AP$8,$A475&lt;=AP$9),IF(SUM(AP$10:AP474)-ROUNDDOWN($K475*AP$5/100,0)&lt;-AP$6,-AP$6-SUM(AP$10:AP474),-ROUNDDOWN($K475*AP$5/100,0)),0)</f>
        <v>0</v>
      </c>
      <c r="AQ475" s="38">
        <f>IF(AND($A475&gt;=AQ$8,$A475&lt;=AQ$9),IF(SUM(AQ$10:AQ474)-ROUNDDOWN($K475*AQ$5/100,0)&lt;-AQ$6,-AQ$6-SUM(AQ$10:AQ474),-ROUNDDOWN($K475*AQ$5/100,0)),0)</f>
        <v>0</v>
      </c>
      <c r="AR475" s="38">
        <f>IF(AND($A475&gt;=AR$8,$A475&lt;=AR$9),IF(SUM(AR$10:AR474)-ROUNDDOWN($K475*AR$5/100,0)&lt;-AR$6,-AR$6-SUM(AR$10:AR474),-ROUNDDOWN($K475*AR$5/100,0)),0)</f>
        <v>0</v>
      </c>
      <c r="AS475" s="38">
        <f>IF(SUMIFS(AS$10:AS474,$A$10:$A474,$A475)-ROUNDDOWN($K475*$S475/100,0)&lt;-$S475*1000,-$S475*1000-SUMIFS(AS$10:AS474,$A$10:$A474,$A475),-ROUNDDOWN($K475*$S475/100,0))</f>
        <v>0</v>
      </c>
      <c r="AT475" s="38">
        <f>IF(AND(X475="○",$A475&gt;=AT$8,$A475&lt;=AT$9,K475&gt;=3980),IF(SUM(AT$10:AT474)-ROUNDDOWN($K475*AT$5/100,0)&lt;-AT$6,-AT$6-SUM(AT$10:AT474),-ROUNDDOWN($K475*AT$5/100,0)),0)</f>
        <v>0</v>
      </c>
      <c r="AU475" s="38">
        <f>IF(O475="○",IF(SUM(AU$10:AU474)-ROUNDDOWN($K475*AU$5/100,0)&lt;-AU$6,-AU$6-SUM(AU$10:AU474),-ROUNDDOWN($K475*AU$5/100,0)),0)</f>
        <v>0</v>
      </c>
      <c r="AV475" s="38">
        <f>IF(P475="○",IF(SUM(AV$10:AV474)-ROUNDDOWN($K475*AV$5/100,0)&lt;-AV$6,-AV$6-SUM(AV$10:AV474),-ROUNDDOWN($K475*AV$5/100,0)),0)</f>
        <v>0</v>
      </c>
      <c r="AW475" s="38">
        <f>IF(Q475="○",IF(SUM(AW$10:AW474)-ROUNDDOWN($K475*AW$5/100,0)&lt;-AW$6,-AW$6-SUM(AW$10:AW474),-ROUNDDOWN($K475*AW$5/100,0)),0)</f>
        <v>0</v>
      </c>
      <c r="AX475" s="38">
        <f>IF(R475="○",IF(SUM(AX$10:AX474)-ROUNDDOWN($K475*AX$5/100,0)&lt;-AX$6,-AX$6-SUM(AX$10:AX474),-ROUNDDOWN($K475*AX$5/100,0)),0)</f>
        <v>0</v>
      </c>
      <c r="AY475" s="70">
        <v>0</v>
      </c>
      <c r="AZ475" s="65">
        <f t="shared" si="319"/>
        <v>0</v>
      </c>
      <c r="BA475" s="65">
        <f t="shared" si="320"/>
        <v>0</v>
      </c>
      <c r="BB475" s="70"/>
      <c r="BC475" s="65">
        <f t="shared" si="321"/>
        <v>0</v>
      </c>
      <c r="BD475" s="70">
        <v>0</v>
      </c>
      <c r="BE475" s="65">
        <f t="shared" si="322"/>
        <v>0</v>
      </c>
      <c r="BF475" s="70">
        <v>0</v>
      </c>
      <c r="BG475" s="65">
        <f t="shared" si="323"/>
        <v>0</v>
      </c>
      <c r="BH475" s="70">
        <v>0</v>
      </c>
      <c r="BI475" s="65">
        <f t="shared" si="324"/>
        <v>0</v>
      </c>
      <c r="BJ475" s="38">
        <f>IF(AND(BJ$7="○",$A475&gt;=BJ$8,$A475&lt;=BJ$9),IF(SUM(BJ$10:BJ474)-ROUNDDOWN($M475*BJ$5/100,0)&lt;-BJ$6,-BJ$6-SUM(BJ$10:BJ474),-ROUNDDOWN($M475*BJ$5/100,0)),0)</f>
        <v>0</v>
      </c>
      <c r="BK475" s="38">
        <f>IF(AND(BK$7="○",$A475&gt;=BK$8,$A475&lt;=BK$9),IF(SUM(BK$10:BK474)-ROUNDDOWN($L475*BK$5/100,0)&lt;-BK$6,-BK$6-SUM(BK$10:BK474),-ROUNDDOWN($L475*BK$5/100,0)),0)</f>
        <v>0</v>
      </c>
      <c r="BL475" s="38">
        <f>IF(AND(BL$7="○",$A475&gt;=BL$8,$A475&lt;=BL$9),IF(SUM(BL$10:BL474)-ROUNDDOWN($L475*BL$5/100,0)&lt;-BL$6,-BL$6-SUM(BL$10:BL474),-ROUNDDOWN($L475*BL$5/100,0)),0)</f>
        <v>0</v>
      </c>
      <c r="BM475" s="38">
        <f>IF(AND(BM$7="○",$A475&gt;=BM$8,$A475&lt;=BM$9),IF(SUM(BM$10:BM474)-ROUNDDOWN($M475*BM$5/100,0)&lt;-BM$6,-BM$6-SUM(BM$10:BM474),-ROUNDDOWN($M475*BM$5/100,0)),0)</f>
        <v>0</v>
      </c>
      <c r="BN475" s="38">
        <f>IF(AND(BN$7="○",$A475&gt;=BN$8,$A475&lt;=BN$9),IF(SUM(BN$10:BN474)-ROUNDDOWN($M475*BN$5/100,0)&lt;-BN$6,-BN$6-SUM(BN$10:BN474),-ROUNDDOWN($M475*BN$5/100,0)),0)</f>
        <v>0</v>
      </c>
      <c r="BO475" s="38">
        <f>IF(AND(BO$7="○",$A475&gt;=BO$8,$A475&lt;=BO$9),IF(SUM(BO$10:BO474)-ROUNDDOWN($M475*BO$5/100,0)&lt;-BO$6,-BO$6-SUM(BO$10:BO474),-ROUNDDOWN($M475*BO$5/100,0)),0)</f>
        <v>0</v>
      </c>
      <c r="BP475" s="38">
        <f>IF(AND(BP$7="○",$A475&gt;=BP$8,$A475&lt;=BP$9),IF(SUM(BP$10:BP474)-ROUNDDOWN($M475*BP$5/100,0)&lt;-BP$6,-BP$6-SUM(BP$10:BP474),-ROUNDDOWN($M475*BP$5/100,0)),0)</f>
        <v>0</v>
      </c>
      <c r="BQ475" s="38">
        <f>IF(AND(BQ$7="○",$A475&gt;=BQ$8,$A475&lt;=BQ$9),IF(SUM(BQ$10:BQ474)-ROUNDDOWN($L475*BQ$5/100,0)&lt;-BQ$6,-BQ$6-SUM(BQ$10:BQ474),-ROUNDDOWN($L475*BQ$5/100,0)),0)</f>
        <v>0</v>
      </c>
      <c r="BR475" s="38">
        <f>IF(AND(BR$7="○",$A475&gt;=BR$8,$A475&lt;=BR$9),IF(SUM(BR$10:BR474)-ROUNDDOWN($M475*BR$5/100,0)&lt;-BR$6,-BR$6-SUM(BR$10:BR474),-ROUNDDOWN($M475*BR$5/100,0)),0)</f>
        <v>0</v>
      </c>
      <c r="BS475" s="38">
        <f>IF(AND(BS$7="○",$A475&gt;=BS$8,$A475&lt;=BS$9),IF(SUM(BS$10:BS474)-ROUNDDOWN($M475*BS$5/100,0)&lt;-BS$6,-BS$6-SUM(BS$10:BS474),-ROUNDDOWN($M475*BS$5/100,0)),0)</f>
        <v>0</v>
      </c>
      <c r="BT475" s="38">
        <f>IF(AND(BT$7="○",$A475&gt;=BT$8,$A475&lt;=BT$9),IF(SUM(BT$10:BT474)-ROUNDDOWN($M475*BT$5/100,0)&lt;-BT$6,-BT$6-SUM(BT$10:BT474),-ROUNDDOWN($M475*BT$5/100,0)),0)</f>
        <v>0</v>
      </c>
      <c r="BU475" s="38">
        <f>IF(AND(BU$7="○",$A475&gt;=BU$8,$A475&lt;=BU$9),IF(SUM(BU$10:BU474)-ROUNDDOWN($M475*BU$5/100,0)&lt;-BU$6,-BU$6-SUM(BU$10:BU474),-ROUNDDOWN($M475*BU$5/100,0)),0)</f>
        <v>0</v>
      </c>
      <c r="BV475" s="38">
        <f>IF(AND(BV$7="○",$A475&gt;=BV$8,$A475&lt;=BV$9),IF(SUM(BV$10:BV474)-ROUNDDOWN($M475*BV$5/100,0)&lt;-BV$6,-BV$6-SUM(BV$10:BV474),-ROUNDDOWN($M475*BV$5/100,0)),0)</f>
        <v>0</v>
      </c>
      <c r="BW475" s="38">
        <f>IF(AND(BW$7="○",$A475&gt;=BW$8,$A475&lt;=BW$9),IF(SUM(BW$10:BW474)-ROUNDDOWN($M475*BW$5/100,0)&lt;-BW$6,-BW$6-SUM(BW$10:BW474),-ROUNDDOWN($M475*BW$5/100,0)),0)</f>
        <v>0</v>
      </c>
      <c r="BX475" s="38">
        <f>IF(AND(T475="○",$A475&gt;=BX$8,$A475&lt;=BX$9),IF(SUM(BX$10:BX474)-ROUNDDOWN($K475*BX$5/100,0)&lt;-BX$6,-BX$6-SUM(BX$10:BX474),-ROUNDDOWN($K475*BX$5/100,0)),0)</f>
        <v>0</v>
      </c>
      <c r="BY475" s="38">
        <f>IF(AND(U475="○",$A475&gt;=BY$8,$A475&lt;=BY$9),IF(SUM(BY$10:BY474)-ROUNDDOWN($K475*BY$5/100,0)&lt;-BY$6,-BY$6-SUM(BY$10:BY474),-ROUNDDOWN($K475*BY$5/100,0)),0)</f>
        <v>0</v>
      </c>
      <c r="BZ475" s="38">
        <f>IF(AND(V475="○",$A475&gt;=BZ$8,$A475&lt;=BZ$9),IF(SUM(BZ$10:BZ474)-ROUNDDOWN($K475*BZ$5/100,0)&lt;-BZ$6,-BZ$6-SUM(BZ$10:BZ474),-ROUNDDOWN($K475*BZ$5/100,0)),0)</f>
        <v>0</v>
      </c>
      <c r="CA475" s="38">
        <f>IF(AND(W475="○",$A475&gt;=CA$8,$A475&lt;=CA$9),IF(SUM(CA$10:CA474)-ROUNDDOWN($K475*CA$5/100,0)&lt;-CA$6,-CA$6-SUM(CA$10:CA474),-ROUNDDOWN($K475*CA$5/100,0)),0)</f>
        <v>0</v>
      </c>
      <c r="CB475" s="38"/>
      <c r="CC475" s="38"/>
      <c r="CD475" s="38"/>
      <c r="CE475" s="38"/>
      <c r="CF475" s="38"/>
      <c r="CG475" s="65">
        <f t="shared" si="325"/>
        <v>0</v>
      </c>
      <c r="CH475" s="71">
        <f t="shared" si="326"/>
        <v>0</v>
      </c>
      <c r="CI475" s="1">
        <f t="shared" si="19"/>
        <v>0</v>
      </c>
      <c r="CJ475" s="1"/>
      <c r="CK475" s="72"/>
      <c r="CL475" s="72"/>
      <c r="CM475" s="2"/>
      <c r="CN475" s="2"/>
      <c r="CO475" s="73">
        <f t="shared" si="20"/>
        <v>0</v>
      </c>
      <c r="CP475" s="5">
        <f t="shared" si="21"/>
        <v>0</v>
      </c>
      <c r="CQ475" s="1"/>
      <c r="CR475" s="1">
        <f t="shared" si="22"/>
        <v>0</v>
      </c>
      <c r="CS475" s="1"/>
      <c r="CT475" s="1" t="e">
        <f>INDEX([2]マスタ!$A:$A,MATCH(D475,[2]マスタ!$C:$C,0))</f>
        <v>#N/A</v>
      </c>
      <c r="CU475" s="1" t="str">
        <f t="shared" ca="1" si="23"/>
        <v>20260620_0-0</v>
      </c>
    </row>
    <row r="476" spans="1:99" x14ac:dyDescent="0.4">
      <c r="A476" s="61"/>
      <c r="B476" s="62"/>
      <c r="C476" s="62"/>
      <c r="D476" s="62"/>
      <c r="E476" s="74"/>
      <c r="F476" s="62"/>
      <c r="G476" s="62">
        <v>1</v>
      </c>
      <c r="H476" s="64">
        <f t="shared" si="4"/>
        <v>0</v>
      </c>
      <c r="I476" s="64"/>
      <c r="J476" s="64"/>
      <c r="K476" s="65">
        <f t="shared" si="317"/>
        <v>0</v>
      </c>
      <c r="L476" s="65">
        <f t="shared" si="6"/>
        <v>0</v>
      </c>
      <c r="M476" s="65">
        <f t="shared" si="7"/>
        <v>0</v>
      </c>
      <c r="N476" s="65">
        <f t="shared" si="8"/>
        <v>0</v>
      </c>
      <c r="O476" s="66" t="str">
        <f t="shared" si="9"/>
        <v>✕</v>
      </c>
      <c r="P476" s="67" t="str">
        <f t="shared" si="10"/>
        <v>○</v>
      </c>
      <c r="Q476" s="67" t="str">
        <f t="shared" si="318"/>
        <v>✕</v>
      </c>
      <c r="R476" s="67" t="str">
        <f t="shared" si="12"/>
        <v>✕</v>
      </c>
      <c r="S476" s="68">
        <v>0</v>
      </c>
      <c r="T476" s="69" t="s">
        <v>85</v>
      </c>
      <c r="U476" s="69" t="s">
        <v>85</v>
      </c>
      <c r="V476" s="69" t="s">
        <v>85</v>
      </c>
      <c r="W476" s="69" t="s">
        <v>85</v>
      </c>
      <c r="X476" s="69" t="s">
        <v>84</v>
      </c>
      <c r="Y476" s="69" t="s">
        <v>85</v>
      </c>
      <c r="Z476" s="69" t="s">
        <v>85</v>
      </c>
      <c r="AA476" s="69" t="s">
        <v>85</v>
      </c>
      <c r="AB476" s="69" t="s">
        <v>85</v>
      </c>
      <c r="AC476" s="69" t="s">
        <v>85</v>
      </c>
      <c r="AD476" s="38" t="str">
        <f>+IF(ISERROR(VLOOKUP($B476,AD$10:AD475,1,0)),IF(AND($N476&gt;=1000,$A476&gt;=AO$8,$A476&lt;=AO$9),$B476,""),"")</f>
        <v/>
      </c>
      <c r="AE476" s="38" t="str">
        <f>+IF(ISERROR(VLOOKUP($B476,AE$10:AE475,1,0)),IF(AND($N476&gt;=1000,$A476&gt;=AP$8,$A476&lt;=AP$9),$B476,""),"")</f>
        <v/>
      </c>
      <c r="AF476" s="38" t="str">
        <f>+IF(ISERROR(VLOOKUP($B476,AF$10:AF475,1,0)),IF(AND($N476&gt;=1000,$A476&gt;=AQ$8,$A476&lt;=AQ$9),$B476,""),"")</f>
        <v/>
      </c>
      <c r="AG476" s="38" t="str">
        <f>+IF(ISERROR(VLOOKUP($B476,AG$10:AG475,1,0)),IF(AND($N476&gt;=1000,$A476&gt;=AR$8,$A476&lt;=AR$9),$B476,""),"")</f>
        <v/>
      </c>
      <c r="AH476" s="38"/>
      <c r="AI476" s="70">
        <v>0</v>
      </c>
      <c r="AJ476" s="38">
        <f>IF(AND(AJ$7="○",$A476&gt;=AJ$8,$A476&lt;=AJ$9),IF(SUM(AJ$10:AJ475)-ROUNDDOWN($K476*AJ$5/100,0)&lt;-AJ$6,-AJ$6-SUM(AJ$10:AJ475),-ROUNDDOWN($K476*AJ$5/100,0)),0)</f>
        <v>0</v>
      </c>
      <c r="AK476" s="38">
        <f>IF(AND(AK$7="○",$A476&gt;=AK$8,$A476&lt;=AK$9),IF(SUM(AK$10:AK475)-ROUNDDOWN($L476*AK$5/100,0)&lt;-AK$6,-AK$6-SUM(AK$10:AK475),-ROUNDDOWN($L476*AK$5/100,0)),0)</f>
        <v>0</v>
      </c>
      <c r="AL476" s="38">
        <f>IF(AND(AL$7="○",$A476&gt;=AL$8,$A476&lt;=AL$9),IF(SUM(AL$10:AL475)-ROUNDDOWN($N476*AL$5/100,0)&lt;-AL$6,-AL$6-SUM(AL$10:AL475),-ROUNDDOWN($N476*AL$5/100,0)),0)</f>
        <v>0</v>
      </c>
      <c r="AM476" s="38">
        <f>IF(AND(AM$7="○",$A476&gt;=AM$8,$A476&lt;=AM$9),IF(SUM(AM$10:AM475)-ROUNDDOWN($L476*AM$5/100,0)&lt;-AM$6,-AM$6-SUM(AM$10:AM475),-ROUNDDOWN($L476*AM$5/100,0)),0)</f>
        <v>0</v>
      </c>
      <c r="AN476" s="38">
        <f>IF(AND(AN$7="○",$A476&gt;=AN$8,$A476&lt;=AN$9),IF(SUM(AN$10:AN475)-ROUNDDOWN($M476*AN$5/100,0)&lt;-AN$6,-AN$6-SUM(AN$10:AN475),-ROUNDDOWN($M476*AN$5/100,0)),0)</f>
        <v>0</v>
      </c>
      <c r="AO476" s="38">
        <f>IF(AND($A476&gt;=AO$8,$A476&lt;=AO$9),IF(SUM(AO$10:AO475)-ROUNDDOWN($K476*AO$5/100,0)&lt;-AO$6,-AO$6-SUM(AO$10:AO475),-ROUNDDOWN($K476*AO$5/100,0)),0)</f>
        <v>0</v>
      </c>
      <c r="AP476" s="38">
        <f>IF(AND($A476&gt;=AP$8,$A476&lt;=AP$9),IF(SUM(AP$10:AP475)-ROUNDDOWN($K476*AP$5/100,0)&lt;-AP$6,-AP$6-SUM(AP$10:AP475),-ROUNDDOWN($K476*AP$5/100,0)),0)</f>
        <v>0</v>
      </c>
      <c r="AQ476" s="38">
        <f>IF(AND($A476&gt;=AQ$8,$A476&lt;=AQ$9),IF(SUM(AQ$10:AQ475)-ROUNDDOWN($K476*AQ$5/100,0)&lt;-AQ$6,-AQ$6-SUM(AQ$10:AQ475),-ROUNDDOWN($K476*AQ$5/100,0)),0)</f>
        <v>0</v>
      </c>
      <c r="AR476" s="38">
        <f>IF(AND($A476&gt;=AR$8,$A476&lt;=AR$9),IF(SUM(AR$10:AR475)-ROUNDDOWN($K476*AR$5/100,0)&lt;-AR$6,-AR$6-SUM(AR$10:AR475),-ROUNDDOWN($K476*AR$5/100,0)),0)</f>
        <v>0</v>
      </c>
      <c r="AS476" s="38">
        <f>IF(SUMIFS(AS$10:AS475,$A$10:$A475,$A476)-ROUNDDOWN($K476*$S476/100,0)&lt;-$S476*1000,-$S476*1000-SUMIFS(AS$10:AS475,$A$10:$A475,$A476),-ROUNDDOWN($K476*$S476/100,0))</f>
        <v>0</v>
      </c>
      <c r="AT476" s="38">
        <f>IF(AND(X476="○",$A476&gt;=AT$8,$A476&lt;=AT$9,K476&gt;=3980),IF(SUM(AT$10:AT475)-ROUNDDOWN($K476*AT$5/100,0)&lt;-AT$6,-AT$6-SUM(AT$10:AT475),-ROUNDDOWN($K476*AT$5/100,0)),0)</f>
        <v>0</v>
      </c>
      <c r="AU476" s="38">
        <f>IF(O476="○",IF(SUM(AU$10:AU475)-ROUNDDOWN($K476*AU$5/100,0)&lt;-AU$6,-AU$6-SUM(AU$10:AU475),-ROUNDDOWN($K476*AU$5/100,0)),0)</f>
        <v>0</v>
      </c>
      <c r="AV476" s="38">
        <f>IF(P476="○",IF(SUM(AV$10:AV475)-ROUNDDOWN($K476*AV$5/100,0)&lt;-AV$6,-AV$6-SUM(AV$10:AV475),-ROUNDDOWN($K476*AV$5/100,0)),0)</f>
        <v>0</v>
      </c>
      <c r="AW476" s="38">
        <f>IF(Q476="○",IF(SUM(AW$10:AW475)-ROUNDDOWN($K476*AW$5/100,0)&lt;-AW$6,-AW$6-SUM(AW$10:AW475),-ROUNDDOWN($K476*AW$5/100,0)),0)</f>
        <v>0</v>
      </c>
      <c r="AX476" s="38">
        <f>IF(R476="○",IF(SUM(AX$10:AX475)-ROUNDDOWN($K476*AX$5/100,0)&lt;-AX$6,-AX$6-SUM(AX$10:AX475),-ROUNDDOWN($K476*AX$5/100,0)),0)</f>
        <v>0</v>
      </c>
      <c r="AY476" s="70">
        <v>0</v>
      </c>
      <c r="AZ476" s="65">
        <f t="shared" si="319"/>
        <v>0</v>
      </c>
      <c r="BA476" s="65">
        <f t="shared" si="320"/>
        <v>0</v>
      </c>
      <c r="BB476" s="70"/>
      <c r="BC476" s="65">
        <f t="shared" si="321"/>
        <v>0</v>
      </c>
      <c r="BD476" s="70">
        <v>0</v>
      </c>
      <c r="BE476" s="65">
        <f t="shared" si="322"/>
        <v>0</v>
      </c>
      <c r="BF476" s="70">
        <v>0</v>
      </c>
      <c r="BG476" s="65">
        <f t="shared" si="323"/>
        <v>0</v>
      </c>
      <c r="BH476" s="70">
        <v>0</v>
      </c>
      <c r="BI476" s="65">
        <f t="shared" si="324"/>
        <v>0</v>
      </c>
      <c r="BJ476" s="38">
        <f>IF(AND(BJ$7="○",$A476&gt;=BJ$8,$A476&lt;=BJ$9),IF(SUM(BJ$10:BJ475)-ROUNDDOWN($M476*BJ$5/100,0)&lt;-BJ$6,-BJ$6-SUM(BJ$10:BJ475),-ROUNDDOWN($M476*BJ$5/100,0)),0)</f>
        <v>0</v>
      </c>
      <c r="BK476" s="38">
        <f>IF(AND(BK$7="○",$A476&gt;=BK$8,$A476&lt;=BK$9),IF(SUM(BK$10:BK475)-ROUNDDOWN($L476*BK$5/100,0)&lt;-BK$6,-BK$6-SUM(BK$10:BK475),-ROUNDDOWN($L476*BK$5/100,0)),0)</f>
        <v>0</v>
      </c>
      <c r="BL476" s="38">
        <f>IF(AND(BL$7="○",$A476&gt;=BL$8,$A476&lt;=BL$9),IF(SUM(BL$10:BL475)-ROUNDDOWN($L476*BL$5/100,0)&lt;-BL$6,-BL$6-SUM(BL$10:BL475),-ROUNDDOWN($L476*BL$5/100,0)),0)</f>
        <v>0</v>
      </c>
      <c r="BM476" s="38">
        <f>IF(AND(BM$7="○",$A476&gt;=BM$8,$A476&lt;=BM$9),IF(SUM(BM$10:BM475)-ROUNDDOWN($M476*BM$5/100,0)&lt;-BM$6,-BM$6-SUM(BM$10:BM475),-ROUNDDOWN($M476*BM$5/100,0)),0)</f>
        <v>0</v>
      </c>
      <c r="BN476" s="38">
        <f>IF(AND(BN$7="○",$A476&gt;=BN$8,$A476&lt;=BN$9),IF(SUM(BN$10:BN475)-ROUNDDOWN($M476*BN$5/100,0)&lt;-BN$6,-BN$6-SUM(BN$10:BN475),-ROUNDDOWN($M476*BN$5/100,0)),0)</f>
        <v>0</v>
      </c>
      <c r="BO476" s="38">
        <f>IF(AND(BO$7="○",$A476&gt;=BO$8,$A476&lt;=BO$9),IF(SUM(BO$10:BO475)-ROUNDDOWN($M476*BO$5/100,0)&lt;-BO$6,-BO$6-SUM(BO$10:BO475),-ROUNDDOWN($M476*BO$5/100,0)),0)</f>
        <v>0</v>
      </c>
      <c r="BP476" s="38">
        <f>IF(AND(BP$7="○",$A476&gt;=BP$8,$A476&lt;=BP$9),IF(SUM(BP$10:BP475)-ROUNDDOWN($M476*BP$5/100,0)&lt;-BP$6,-BP$6-SUM(BP$10:BP475),-ROUNDDOWN($M476*BP$5/100,0)),0)</f>
        <v>0</v>
      </c>
      <c r="BQ476" s="38">
        <f>IF(AND(BQ$7="○",$A476&gt;=BQ$8,$A476&lt;=BQ$9),IF(SUM(BQ$10:BQ475)-ROUNDDOWN($L476*BQ$5/100,0)&lt;-BQ$6,-BQ$6-SUM(BQ$10:BQ475),-ROUNDDOWN($L476*BQ$5/100,0)),0)</f>
        <v>0</v>
      </c>
      <c r="BR476" s="38">
        <f>IF(AND(BR$7="○",$A476&gt;=BR$8,$A476&lt;=BR$9),IF(SUM(BR$10:BR475)-ROUNDDOWN($M476*BR$5/100,0)&lt;-BR$6,-BR$6-SUM(BR$10:BR475),-ROUNDDOWN($M476*BR$5/100,0)),0)</f>
        <v>0</v>
      </c>
      <c r="BS476" s="38">
        <f>IF(AND(BS$7="○",$A476&gt;=BS$8,$A476&lt;=BS$9),IF(SUM(BS$10:BS475)-ROUNDDOWN($M476*BS$5/100,0)&lt;-BS$6,-BS$6-SUM(BS$10:BS475),-ROUNDDOWN($M476*BS$5/100,0)),0)</f>
        <v>0</v>
      </c>
      <c r="BT476" s="38">
        <f>IF(AND(BT$7="○",$A476&gt;=BT$8,$A476&lt;=BT$9),IF(SUM(BT$10:BT475)-ROUNDDOWN($M476*BT$5/100,0)&lt;-BT$6,-BT$6-SUM(BT$10:BT475),-ROUNDDOWN($M476*BT$5/100,0)),0)</f>
        <v>0</v>
      </c>
      <c r="BU476" s="38">
        <f>IF(AND(BU$7="○",$A476&gt;=BU$8,$A476&lt;=BU$9),IF(SUM(BU$10:BU475)-ROUNDDOWN($M476*BU$5/100,0)&lt;-BU$6,-BU$6-SUM(BU$10:BU475),-ROUNDDOWN($M476*BU$5/100,0)),0)</f>
        <v>0</v>
      </c>
      <c r="BV476" s="38">
        <f>IF(AND(BV$7="○",$A476&gt;=BV$8,$A476&lt;=BV$9),IF(SUM(BV$10:BV475)-ROUNDDOWN($M476*BV$5/100,0)&lt;-BV$6,-BV$6-SUM(BV$10:BV475),-ROUNDDOWN($M476*BV$5/100,0)),0)</f>
        <v>0</v>
      </c>
      <c r="BW476" s="38">
        <f>IF(AND(BW$7="○",$A476&gt;=BW$8,$A476&lt;=BW$9),IF(SUM(BW$10:BW475)-ROUNDDOWN($M476*BW$5/100,0)&lt;-BW$6,-BW$6-SUM(BW$10:BW475),-ROUNDDOWN($M476*BW$5/100,0)),0)</f>
        <v>0</v>
      </c>
      <c r="BX476" s="38">
        <f>IF(AND(T476="○",$A476&gt;=BX$8,$A476&lt;=BX$9),IF(SUM(BX$10:BX475)-ROUNDDOWN($K476*BX$5/100,0)&lt;-BX$6,-BX$6-SUM(BX$10:BX475),-ROUNDDOWN($K476*BX$5/100,0)),0)</f>
        <v>0</v>
      </c>
      <c r="BY476" s="38">
        <f>IF(AND(U476="○",$A476&gt;=BY$8,$A476&lt;=BY$9),IF(SUM(BY$10:BY475)-ROUNDDOWN($K476*BY$5/100,0)&lt;-BY$6,-BY$6-SUM(BY$10:BY475),-ROUNDDOWN($K476*BY$5/100,0)),0)</f>
        <v>0</v>
      </c>
      <c r="BZ476" s="38">
        <f>IF(AND(V476="○",$A476&gt;=BZ$8,$A476&lt;=BZ$9),IF(SUM(BZ$10:BZ475)-ROUNDDOWN($K476*BZ$5/100,0)&lt;-BZ$6,-BZ$6-SUM(BZ$10:BZ475),-ROUNDDOWN($K476*BZ$5/100,0)),0)</f>
        <v>0</v>
      </c>
      <c r="CA476" s="38">
        <f>IF(AND(W476="○",$A476&gt;=CA$8,$A476&lt;=CA$9),IF(SUM(CA$10:CA475)-ROUNDDOWN($K476*CA$5/100,0)&lt;-CA$6,-CA$6-SUM(CA$10:CA475),-ROUNDDOWN($K476*CA$5/100,0)),0)</f>
        <v>0</v>
      </c>
      <c r="CB476" s="38"/>
      <c r="CC476" s="38"/>
      <c r="CD476" s="38"/>
      <c r="CE476" s="38"/>
      <c r="CF476" s="38"/>
      <c r="CG476" s="65">
        <f t="shared" si="325"/>
        <v>0</v>
      </c>
      <c r="CH476" s="71">
        <f t="shared" si="326"/>
        <v>0</v>
      </c>
      <c r="CI476" s="1">
        <f t="shared" si="19"/>
        <v>0</v>
      </c>
      <c r="CJ476" s="1"/>
      <c r="CK476" s="72"/>
      <c r="CL476" s="72"/>
      <c r="CM476" s="2"/>
      <c r="CN476" s="2"/>
      <c r="CO476" s="73">
        <f t="shared" si="20"/>
        <v>0</v>
      </c>
      <c r="CP476" s="5">
        <f t="shared" si="21"/>
        <v>0</v>
      </c>
      <c r="CQ476" s="1"/>
      <c r="CR476" s="1">
        <f t="shared" si="22"/>
        <v>0</v>
      </c>
      <c r="CS476" s="1"/>
      <c r="CT476" s="1" t="e">
        <f>INDEX([2]マスタ!$A:$A,MATCH(D476,[2]マスタ!$C:$C,0))</f>
        <v>#N/A</v>
      </c>
      <c r="CU476" s="1" t="str">
        <f t="shared" ca="1" si="23"/>
        <v>20260620_0-0</v>
      </c>
    </row>
    <row r="477" spans="1:99" x14ac:dyDescent="0.4">
      <c r="A477" s="61"/>
      <c r="B477" s="62"/>
      <c r="C477" s="62"/>
      <c r="D477" s="62"/>
      <c r="E477" s="74"/>
      <c r="F477" s="62"/>
      <c r="G477" s="62">
        <v>1</v>
      </c>
      <c r="H477" s="64">
        <f t="shared" si="4"/>
        <v>0</v>
      </c>
      <c r="I477" s="64"/>
      <c r="J477" s="64"/>
      <c r="K477" s="65">
        <f t="shared" si="317"/>
        <v>0</v>
      </c>
      <c r="L477" s="65">
        <f t="shared" si="6"/>
        <v>0</v>
      </c>
      <c r="M477" s="65">
        <f t="shared" si="7"/>
        <v>0</v>
      </c>
      <c r="N477" s="65">
        <f t="shared" si="8"/>
        <v>0</v>
      </c>
      <c r="O477" s="66" t="str">
        <f t="shared" si="9"/>
        <v>✕</v>
      </c>
      <c r="P477" s="67" t="str">
        <f t="shared" si="10"/>
        <v>○</v>
      </c>
      <c r="Q477" s="67" t="str">
        <f t="shared" si="318"/>
        <v>✕</v>
      </c>
      <c r="R477" s="67" t="str">
        <f t="shared" si="12"/>
        <v>✕</v>
      </c>
      <c r="S477" s="68">
        <v>0</v>
      </c>
      <c r="T477" s="69" t="s">
        <v>85</v>
      </c>
      <c r="U477" s="69" t="s">
        <v>85</v>
      </c>
      <c r="V477" s="69" t="s">
        <v>85</v>
      </c>
      <c r="W477" s="69" t="s">
        <v>85</v>
      </c>
      <c r="X477" s="69" t="s">
        <v>84</v>
      </c>
      <c r="Y477" s="69" t="s">
        <v>85</v>
      </c>
      <c r="Z477" s="69" t="s">
        <v>85</v>
      </c>
      <c r="AA477" s="69" t="s">
        <v>85</v>
      </c>
      <c r="AB477" s="69" t="s">
        <v>85</v>
      </c>
      <c r="AC477" s="69" t="s">
        <v>85</v>
      </c>
      <c r="AD477" s="38" t="str">
        <f>+IF(ISERROR(VLOOKUP($B477,AD$10:AD476,1,0)),IF(AND($N477&gt;=1000,$A477&gt;=AO$8,$A477&lt;=AO$9),$B477,""),"")</f>
        <v/>
      </c>
      <c r="AE477" s="38" t="str">
        <f>+IF(ISERROR(VLOOKUP($B477,AE$10:AE476,1,0)),IF(AND($N477&gt;=1000,$A477&gt;=AP$8,$A477&lt;=AP$9),$B477,""),"")</f>
        <v/>
      </c>
      <c r="AF477" s="38" t="str">
        <f>+IF(ISERROR(VLOOKUP($B477,AF$10:AF476,1,0)),IF(AND($N477&gt;=1000,$A477&gt;=AQ$8,$A477&lt;=AQ$9),$B477,""),"")</f>
        <v/>
      </c>
      <c r="AG477" s="38" t="str">
        <f>+IF(ISERROR(VLOOKUP($B477,AG$10:AG476,1,0)),IF(AND($N477&gt;=1000,$A477&gt;=AR$8,$A477&lt;=AR$9),$B477,""),"")</f>
        <v/>
      </c>
      <c r="AH477" s="38"/>
      <c r="AI477" s="70">
        <v>0</v>
      </c>
      <c r="AJ477" s="38">
        <f>IF(AND(AJ$7="○",$A477&gt;=AJ$8,$A477&lt;=AJ$9),IF(SUM(AJ$10:AJ476)-ROUNDDOWN($K477*AJ$5/100,0)&lt;-AJ$6,-AJ$6-SUM(AJ$10:AJ476),-ROUNDDOWN($K477*AJ$5/100,0)),0)</f>
        <v>0</v>
      </c>
      <c r="AK477" s="38">
        <f>IF(AND(AK$7="○",$A477&gt;=AK$8,$A477&lt;=AK$9),IF(SUM(AK$10:AK476)-ROUNDDOWN($L477*AK$5/100,0)&lt;-AK$6,-AK$6-SUM(AK$10:AK476),-ROUNDDOWN($L477*AK$5/100,0)),0)</f>
        <v>0</v>
      </c>
      <c r="AL477" s="38">
        <f>IF(AND(AL$7="○",$A477&gt;=AL$8,$A477&lt;=AL$9),IF(SUM(AL$10:AL476)-ROUNDDOWN($N477*AL$5/100,0)&lt;-AL$6,-AL$6-SUM(AL$10:AL476),-ROUNDDOWN($N477*AL$5/100,0)),0)</f>
        <v>0</v>
      </c>
      <c r="AM477" s="38">
        <f>IF(AND(AM$7="○",$A477&gt;=AM$8,$A477&lt;=AM$9),IF(SUM(AM$10:AM476)-ROUNDDOWN($L477*AM$5/100,0)&lt;-AM$6,-AM$6-SUM(AM$10:AM476),-ROUNDDOWN($L477*AM$5/100,0)),0)</f>
        <v>0</v>
      </c>
      <c r="AN477" s="38">
        <f>IF(AND(AN$7="○",$A477&gt;=AN$8,$A477&lt;=AN$9),IF(SUM(AN$10:AN476)-ROUNDDOWN($M477*AN$5/100,0)&lt;-AN$6,-AN$6-SUM(AN$10:AN476),-ROUNDDOWN($M477*AN$5/100,0)),0)</f>
        <v>0</v>
      </c>
      <c r="AO477" s="38">
        <f>IF(AND($A477&gt;=AO$8,$A477&lt;=AO$9),IF(SUM(AO$10:AO476)-ROUNDDOWN($K477*AO$5/100,0)&lt;-AO$6,-AO$6-SUM(AO$10:AO476),-ROUNDDOWN($K477*AO$5/100,0)),0)</f>
        <v>0</v>
      </c>
      <c r="AP477" s="38">
        <f>IF(AND($A477&gt;=AP$8,$A477&lt;=AP$9),IF(SUM(AP$10:AP476)-ROUNDDOWN($K477*AP$5/100,0)&lt;-AP$6,-AP$6-SUM(AP$10:AP476),-ROUNDDOWN($K477*AP$5/100,0)),0)</f>
        <v>0</v>
      </c>
      <c r="AQ477" s="38">
        <f>IF(AND($A477&gt;=AQ$8,$A477&lt;=AQ$9),IF(SUM(AQ$10:AQ476)-ROUNDDOWN($K477*AQ$5/100,0)&lt;-AQ$6,-AQ$6-SUM(AQ$10:AQ476),-ROUNDDOWN($K477*AQ$5/100,0)),0)</f>
        <v>0</v>
      </c>
      <c r="AR477" s="38">
        <f>IF(AND($A477&gt;=AR$8,$A477&lt;=AR$9),IF(SUM(AR$10:AR476)-ROUNDDOWN($K477*AR$5/100,0)&lt;-AR$6,-AR$6-SUM(AR$10:AR476),-ROUNDDOWN($K477*AR$5/100,0)),0)</f>
        <v>0</v>
      </c>
      <c r="AS477" s="38">
        <f>IF(SUMIFS(AS$10:AS476,$A$10:$A476,$A477)-ROUNDDOWN($K477*$S477/100,0)&lt;-$S477*1000,-$S477*1000-SUMIFS(AS$10:AS476,$A$10:$A476,$A477),-ROUNDDOWN($K477*$S477/100,0))</f>
        <v>0</v>
      </c>
      <c r="AT477" s="38">
        <f>IF(AND(X477="○",$A477&gt;=AT$8,$A477&lt;=AT$9,K477&gt;=3980),IF(SUM(AT$10:AT476)-ROUNDDOWN($K477*AT$5/100,0)&lt;-AT$6,-AT$6-SUM(AT$10:AT476),-ROUNDDOWN($K477*AT$5/100,0)),0)</f>
        <v>0</v>
      </c>
      <c r="AU477" s="38">
        <f>IF(O477="○",IF(SUM(AU$10:AU476)-ROUNDDOWN($K477*AU$5/100,0)&lt;-AU$6,-AU$6-SUM(AU$10:AU476),-ROUNDDOWN($K477*AU$5/100,0)),0)</f>
        <v>0</v>
      </c>
      <c r="AV477" s="38">
        <f>IF(P477="○",IF(SUM(AV$10:AV476)-ROUNDDOWN($K477*AV$5/100,0)&lt;-AV$6,-AV$6-SUM(AV$10:AV476),-ROUNDDOWN($K477*AV$5/100,0)),0)</f>
        <v>0</v>
      </c>
      <c r="AW477" s="38">
        <f>IF(Q477="○",IF(SUM(AW$10:AW476)-ROUNDDOWN($K477*AW$5/100,0)&lt;-AW$6,-AW$6-SUM(AW$10:AW476),-ROUNDDOWN($K477*AW$5/100,0)),0)</f>
        <v>0</v>
      </c>
      <c r="AX477" s="38">
        <f>IF(R477="○",IF(SUM(AX$10:AX476)-ROUNDDOWN($K477*AX$5/100,0)&lt;-AX$6,-AX$6-SUM(AX$10:AX476),-ROUNDDOWN($K477*AX$5/100,0)),0)</f>
        <v>0</v>
      </c>
      <c r="AY477" s="70">
        <v>0</v>
      </c>
      <c r="AZ477" s="65">
        <f t="shared" si="319"/>
        <v>0</v>
      </c>
      <c r="BA477" s="65">
        <f t="shared" si="320"/>
        <v>0</v>
      </c>
      <c r="BB477" s="70"/>
      <c r="BC477" s="65">
        <f t="shared" si="321"/>
        <v>0</v>
      </c>
      <c r="BD477" s="70">
        <v>0</v>
      </c>
      <c r="BE477" s="65">
        <f t="shared" si="322"/>
        <v>0</v>
      </c>
      <c r="BF477" s="70">
        <v>0</v>
      </c>
      <c r="BG477" s="65">
        <f t="shared" si="323"/>
        <v>0</v>
      </c>
      <c r="BH477" s="70">
        <v>0</v>
      </c>
      <c r="BI477" s="65">
        <f t="shared" si="324"/>
        <v>0</v>
      </c>
      <c r="BJ477" s="38">
        <f>IF(AND(BJ$7="○",$A477&gt;=BJ$8,$A477&lt;=BJ$9),IF(SUM(BJ$10:BJ476)-ROUNDDOWN($M477*BJ$5/100,0)&lt;-BJ$6,-BJ$6-SUM(BJ$10:BJ476),-ROUNDDOWN($M477*BJ$5/100,0)),0)</f>
        <v>0</v>
      </c>
      <c r="BK477" s="38">
        <f>IF(AND(BK$7="○",$A477&gt;=BK$8,$A477&lt;=BK$9),IF(SUM(BK$10:BK476)-ROUNDDOWN($L477*BK$5/100,0)&lt;-BK$6,-BK$6-SUM(BK$10:BK476),-ROUNDDOWN($L477*BK$5/100,0)),0)</f>
        <v>0</v>
      </c>
      <c r="BL477" s="38">
        <f>IF(AND(BL$7="○",$A477&gt;=BL$8,$A477&lt;=BL$9),IF(SUM(BL$10:BL476)-ROUNDDOWN($L477*BL$5/100,0)&lt;-BL$6,-BL$6-SUM(BL$10:BL476),-ROUNDDOWN($L477*BL$5/100,0)),0)</f>
        <v>0</v>
      </c>
      <c r="BM477" s="38">
        <f>IF(AND(BM$7="○",$A477&gt;=BM$8,$A477&lt;=BM$9),IF(SUM(BM$10:BM476)-ROUNDDOWN($M477*BM$5/100,0)&lt;-BM$6,-BM$6-SUM(BM$10:BM476),-ROUNDDOWN($M477*BM$5/100,0)),0)</f>
        <v>0</v>
      </c>
      <c r="BN477" s="38">
        <f>IF(AND(BN$7="○",$A477&gt;=BN$8,$A477&lt;=BN$9),IF(SUM(BN$10:BN476)-ROUNDDOWN($M477*BN$5/100,0)&lt;-BN$6,-BN$6-SUM(BN$10:BN476),-ROUNDDOWN($M477*BN$5/100,0)),0)</f>
        <v>0</v>
      </c>
      <c r="BO477" s="38">
        <f>IF(AND(BO$7="○",$A477&gt;=BO$8,$A477&lt;=BO$9),IF(SUM(BO$10:BO476)-ROUNDDOWN($M477*BO$5/100,0)&lt;-BO$6,-BO$6-SUM(BO$10:BO476),-ROUNDDOWN($M477*BO$5/100,0)),0)</f>
        <v>0</v>
      </c>
      <c r="BP477" s="38">
        <f>IF(AND(BP$7="○",$A477&gt;=BP$8,$A477&lt;=BP$9),IF(SUM(BP$10:BP476)-ROUNDDOWN($M477*BP$5/100,0)&lt;-BP$6,-BP$6-SUM(BP$10:BP476),-ROUNDDOWN($M477*BP$5/100,0)),0)</f>
        <v>0</v>
      </c>
      <c r="BQ477" s="38">
        <f>IF(AND(BQ$7="○",$A477&gt;=BQ$8,$A477&lt;=BQ$9),IF(SUM(BQ$10:BQ476)-ROUNDDOWN($L477*BQ$5/100,0)&lt;-BQ$6,-BQ$6-SUM(BQ$10:BQ476),-ROUNDDOWN($L477*BQ$5/100,0)),0)</f>
        <v>0</v>
      </c>
      <c r="BR477" s="38">
        <f>IF(AND(BR$7="○",$A477&gt;=BR$8,$A477&lt;=BR$9),IF(SUM(BR$10:BR476)-ROUNDDOWN($M477*BR$5/100,0)&lt;-BR$6,-BR$6-SUM(BR$10:BR476),-ROUNDDOWN($M477*BR$5/100,0)),0)</f>
        <v>0</v>
      </c>
      <c r="BS477" s="38">
        <f>IF(AND(BS$7="○",$A477&gt;=BS$8,$A477&lt;=BS$9),IF(SUM(BS$10:BS476)-ROUNDDOWN($M477*BS$5/100,0)&lt;-BS$6,-BS$6-SUM(BS$10:BS476),-ROUNDDOWN($M477*BS$5/100,0)),0)</f>
        <v>0</v>
      </c>
      <c r="BT477" s="38">
        <f>IF(AND(BT$7="○",$A477&gt;=BT$8,$A477&lt;=BT$9),IF(SUM(BT$10:BT476)-ROUNDDOWN($M477*BT$5/100,0)&lt;-BT$6,-BT$6-SUM(BT$10:BT476),-ROUNDDOWN($M477*BT$5/100,0)),0)</f>
        <v>0</v>
      </c>
      <c r="BU477" s="38">
        <f>IF(AND(BU$7="○",$A477&gt;=BU$8,$A477&lt;=BU$9),IF(SUM(BU$10:BU476)-ROUNDDOWN($M477*BU$5/100,0)&lt;-BU$6,-BU$6-SUM(BU$10:BU476),-ROUNDDOWN($M477*BU$5/100,0)),0)</f>
        <v>0</v>
      </c>
      <c r="BV477" s="38">
        <f>IF(AND(BV$7="○",$A477&gt;=BV$8,$A477&lt;=BV$9),IF(SUM(BV$10:BV476)-ROUNDDOWN($M477*BV$5/100,0)&lt;-BV$6,-BV$6-SUM(BV$10:BV476),-ROUNDDOWN($M477*BV$5/100,0)),0)</f>
        <v>0</v>
      </c>
      <c r="BW477" s="38">
        <f>IF(AND(BW$7="○",$A477&gt;=BW$8,$A477&lt;=BW$9),IF(SUM(BW$10:BW476)-ROUNDDOWN($M477*BW$5/100,0)&lt;-BW$6,-BW$6-SUM(BW$10:BW476),-ROUNDDOWN($M477*BW$5/100,0)),0)</f>
        <v>0</v>
      </c>
      <c r="BX477" s="38">
        <f>IF(AND(T477="○",$A477&gt;=BX$8,$A477&lt;=BX$9),IF(SUM(BX$10:BX476)-ROUNDDOWN($K477*BX$5/100,0)&lt;-BX$6,-BX$6-SUM(BX$10:BX476),-ROUNDDOWN($K477*BX$5/100,0)),0)</f>
        <v>0</v>
      </c>
      <c r="BY477" s="38">
        <f>IF(AND(U477="○",$A477&gt;=BY$8,$A477&lt;=BY$9),IF(SUM(BY$10:BY476)-ROUNDDOWN($K477*BY$5/100,0)&lt;-BY$6,-BY$6-SUM(BY$10:BY476),-ROUNDDOWN($K477*BY$5/100,0)),0)</f>
        <v>0</v>
      </c>
      <c r="BZ477" s="38">
        <f>IF(AND(V477="○",$A477&gt;=BZ$8,$A477&lt;=BZ$9),IF(SUM(BZ$10:BZ476)-ROUNDDOWN($K477*BZ$5/100,0)&lt;-BZ$6,-BZ$6-SUM(BZ$10:BZ476),-ROUNDDOWN($K477*BZ$5/100,0)),0)</f>
        <v>0</v>
      </c>
      <c r="CA477" s="38">
        <f>IF(AND(W477="○",$A477&gt;=CA$8,$A477&lt;=CA$9),IF(SUM(CA$10:CA476)-ROUNDDOWN($K477*CA$5/100,0)&lt;-CA$6,-CA$6-SUM(CA$10:CA476),-ROUNDDOWN($K477*CA$5/100,0)),0)</f>
        <v>0</v>
      </c>
      <c r="CB477" s="38"/>
      <c r="CC477" s="38"/>
      <c r="CD477" s="38"/>
      <c r="CE477" s="38"/>
      <c r="CF477" s="38"/>
      <c r="CG477" s="65">
        <f t="shared" si="325"/>
        <v>0</v>
      </c>
      <c r="CH477" s="71">
        <f t="shared" si="326"/>
        <v>0</v>
      </c>
      <c r="CI477" s="1">
        <f t="shared" si="19"/>
        <v>0</v>
      </c>
      <c r="CJ477" s="1"/>
      <c r="CK477" s="72"/>
      <c r="CL477" s="72"/>
      <c r="CM477" s="2"/>
      <c r="CN477" s="2"/>
      <c r="CO477" s="73">
        <f t="shared" si="20"/>
        <v>0</v>
      </c>
      <c r="CP477" s="5">
        <f t="shared" si="21"/>
        <v>0</v>
      </c>
      <c r="CQ477" s="1"/>
      <c r="CR477" s="1">
        <f t="shared" si="22"/>
        <v>0</v>
      </c>
      <c r="CS477" s="1"/>
      <c r="CT477" s="1" t="e">
        <f>INDEX([2]マスタ!$A:$A,MATCH(D477,[2]マスタ!$C:$C,0))</f>
        <v>#N/A</v>
      </c>
      <c r="CU477" s="1" t="str">
        <f t="shared" ca="1" si="23"/>
        <v>20260620_0-0</v>
      </c>
    </row>
    <row r="478" spans="1:99" x14ac:dyDescent="0.4">
      <c r="A478" s="61"/>
      <c r="B478" s="62"/>
      <c r="C478" s="62"/>
      <c r="D478" s="62"/>
      <c r="E478" s="74"/>
      <c r="F478" s="62"/>
      <c r="G478" s="62">
        <v>1</v>
      </c>
      <c r="H478" s="64">
        <f t="shared" si="4"/>
        <v>0</v>
      </c>
      <c r="I478" s="64"/>
      <c r="J478" s="64"/>
      <c r="K478" s="65">
        <f t="shared" ref="K478:K481" si="327">+ROUNDDOWN((H478+I478+J478)/100,0)*100</f>
        <v>0</v>
      </c>
      <c r="L478" s="65">
        <f t="shared" si="6"/>
        <v>0</v>
      </c>
      <c r="M478" s="65">
        <f t="shared" si="7"/>
        <v>0</v>
      </c>
      <c r="N478" s="65">
        <f t="shared" si="8"/>
        <v>0</v>
      </c>
      <c r="O478" s="66" t="str">
        <f t="shared" si="9"/>
        <v>✕</v>
      </c>
      <c r="P478" s="67" t="str">
        <f t="shared" si="10"/>
        <v>○</v>
      </c>
      <c r="Q478" s="67" t="str">
        <f t="shared" ref="Q478:Q481" si="328">+IF((TEXT(A478,"DD")+0)=1,"○","✕")</f>
        <v>✕</v>
      </c>
      <c r="R478" s="67" t="str">
        <f t="shared" si="12"/>
        <v>✕</v>
      </c>
      <c r="S478" s="68">
        <v>0</v>
      </c>
      <c r="T478" s="69" t="s">
        <v>85</v>
      </c>
      <c r="U478" s="69" t="s">
        <v>85</v>
      </c>
      <c r="V478" s="69" t="s">
        <v>85</v>
      </c>
      <c r="W478" s="69" t="s">
        <v>85</v>
      </c>
      <c r="X478" s="69" t="s">
        <v>84</v>
      </c>
      <c r="Y478" s="69" t="s">
        <v>85</v>
      </c>
      <c r="Z478" s="69" t="s">
        <v>85</v>
      </c>
      <c r="AA478" s="69" t="s">
        <v>85</v>
      </c>
      <c r="AB478" s="69" t="s">
        <v>85</v>
      </c>
      <c r="AC478" s="69" t="s">
        <v>85</v>
      </c>
      <c r="AD478" s="38" t="str">
        <f>+IF(ISERROR(VLOOKUP($B478,AD$10:AD470,1,0)),IF(AND($N478&gt;=1000,$A478&gt;=AO$8,$A478&lt;=AO$9),$B478,""),"")</f>
        <v/>
      </c>
      <c r="AE478" s="38" t="str">
        <f>+IF(ISERROR(VLOOKUP($B478,AE$10:AE470,1,0)),IF(AND($N478&gt;=1000,$A478&gt;=AP$8,$A478&lt;=AP$9),$B478,""),"")</f>
        <v/>
      </c>
      <c r="AF478" s="38" t="str">
        <f>+IF(ISERROR(VLOOKUP($B478,AF$10:AF470,1,0)),IF(AND($N478&gt;=1000,$A478&gt;=AQ$8,$A478&lt;=AQ$9),$B478,""),"")</f>
        <v/>
      </c>
      <c r="AG478" s="38" t="str">
        <f>+IF(ISERROR(VLOOKUP($B478,AG$10:AG470,1,0)),IF(AND($N478&gt;=1000,$A478&gt;=AR$8,$A478&lt;=AR$9),$B478,""),"")</f>
        <v/>
      </c>
      <c r="AH478" s="38"/>
      <c r="AI478" s="70">
        <v>0</v>
      </c>
      <c r="AJ478" s="38">
        <f>IF(AND(AJ$7="○",$A478&gt;=AJ$8,$A478&lt;=AJ$9),IF(SUM(AJ$10:AJ477)-ROUNDDOWN($K478*AJ$5/100,0)&lt;-AJ$6,-AJ$6-SUM(AJ$10:AJ477),-ROUNDDOWN($K478*AJ$5/100,0)),0)</f>
        <v>0</v>
      </c>
      <c r="AK478" s="38">
        <f>IF(AND(AK$7="○",$A478&gt;=AK$8,$A478&lt;=AK$9),IF(SUM(AK$10:AK477)-ROUNDDOWN($L478*AK$5/100,0)&lt;-AK$6,-AK$6-SUM(AK$10:AK477),-ROUNDDOWN($L478*AK$5/100,0)),0)</f>
        <v>0</v>
      </c>
      <c r="AL478" s="38">
        <f>IF(AND(AL$7="○",$A478&gt;=AL$8,$A478&lt;=AL$9),IF(SUM(AL$10:AL477)-ROUNDDOWN($N478*AL$5/100,0)&lt;-AL$6,-AL$6-SUM(AL$10:AL477),-ROUNDDOWN($N478*AL$5/100,0)),0)</f>
        <v>0</v>
      </c>
      <c r="AM478" s="38">
        <f>IF(AND(AM$7="○",$A478&gt;=AM$8,$A478&lt;=AM$9),IF(SUM(AM$10:AM477)-ROUNDDOWN($L478*AM$5/100,0)&lt;-AM$6,-AM$6-SUM(AM$10:AM477),-ROUNDDOWN($L478*AM$5/100,0)),0)</f>
        <v>0</v>
      </c>
      <c r="AN478" s="38">
        <f>IF(AND(AN$7="○",$A478&gt;=AN$8,$A478&lt;=AN$9),IF(SUM(AN$10:AN477)-ROUNDDOWN($M478*AN$5/100,0)&lt;-AN$6,-AN$6-SUM(AN$10:AN477),-ROUNDDOWN($M478*AN$5/100,0)),0)</f>
        <v>0</v>
      </c>
      <c r="AO478" s="38">
        <f>IF(AND($A478&gt;=AO$8,$A478&lt;=AO$9),IF(SUM(AO$10:AO477)-ROUNDDOWN($K478*AO$5/100,0)&lt;-AO$6,-AO$6-SUM(AO$10:AO477),-ROUNDDOWN($K478*AO$5/100,0)),0)</f>
        <v>0</v>
      </c>
      <c r="AP478" s="38">
        <f>IF(AND($A478&gt;=AP$8,$A478&lt;=AP$9),IF(SUM(AP$10:AP477)-ROUNDDOWN($K478*AP$5/100,0)&lt;-AP$6,-AP$6-SUM(AP$10:AP477),-ROUNDDOWN($K478*AP$5/100,0)),0)</f>
        <v>0</v>
      </c>
      <c r="AQ478" s="38">
        <f>IF(AND($A478&gt;=AQ$8,$A478&lt;=AQ$9),IF(SUM(AQ$10:AQ477)-ROUNDDOWN($K478*AQ$5/100,0)&lt;-AQ$6,-AQ$6-SUM(AQ$10:AQ477),-ROUNDDOWN($K478*AQ$5/100,0)),0)</f>
        <v>0</v>
      </c>
      <c r="AR478" s="38">
        <f>IF(AND($A478&gt;=AR$8,$A478&lt;=AR$9),IF(SUM(AR$10:AR477)-ROUNDDOWN($K478*AR$5/100,0)&lt;-AR$6,-AR$6-SUM(AR$10:AR477),-ROUNDDOWN($K478*AR$5/100,0)),0)</f>
        <v>0</v>
      </c>
      <c r="AS478" s="38">
        <f>IF(SUMIFS(AS$10:AS477,$A$10:$A477,$A478)-ROUNDDOWN($K478*$S478/100,0)&lt;-$S478*1000,-$S478*1000-SUMIFS(AS$10:AS477,$A$10:$A477,$A478),-ROUNDDOWN($K478*$S478/100,0))</f>
        <v>0</v>
      </c>
      <c r="AT478" s="38">
        <f>IF(AND(X478="○",$A478&gt;=AT$8,$A478&lt;=AT$9,K478&gt;=3980),IF(SUM(AT$10:AT477)-ROUNDDOWN($K478*AT$5/100,0)&lt;-AT$6,-AT$6-SUM(AT$10:AT477),-ROUNDDOWN($K478*AT$5/100,0)),0)</f>
        <v>0</v>
      </c>
      <c r="AU478" s="38">
        <f>IF(O478="○",IF(SUM(AU$10:AU477)-ROUNDDOWN($K478*AU$5/100,0)&lt;-AU$6,-AU$6-SUM(AU$10:AU477),-ROUNDDOWN($K478*AU$5/100,0)),0)</f>
        <v>0</v>
      </c>
      <c r="AV478" s="38">
        <f>IF(P478="○",IF(SUM(AV$10:AV477)-ROUNDDOWN($K478*AV$5/100,0)&lt;-AV$6,-AV$6-SUM(AV$10:AV477),-ROUNDDOWN($K478*AV$5/100,0)),0)</f>
        <v>0</v>
      </c>
      <c r="AW478" s="38">
        <f>IF(Q478="○",IF(SUM(AW$10:AW477)-ROUNDDOWN($K478*AW$5/100,0)&lt;-AW$6,-AW$6-SUM(AW$10:AW477),-ROUNDDOWN($K478*AW$5/100,0)),0)</f>
        <v>0</v>
      </c>
      <c r="AX478" s="38">
        <f>IF(R478="○",IF(SUM(AX$10:AX477)-ROUNDDOWN($K478*AX$5/100,0)&lt;-AX$6,-AX$6-SUM(AX$10:AX477),-ROUNDDOWN($K478*AX$5/100,0)),0)</f>
        <v>0</v>
      </c>
      <c r="AY478" s="70">
        <v>0</v>
      </c>
      <c r="AZ478" s="65">
        <f t="shared" si="319"/>
        <v>0</v>
      </c>
      <c r="BA478" s="65">
        <f t="shared" si="320"/>
        <v>0</v>
      </c>
      <c r="BB478" s="70"/>
      <c r="BC478" s="65">
        <f t="shared" si="321"/>
        <v>0</v>
      </c>
      <c r="BD478" s="70">
        <v>0</v>
      </c>
      <c r="BE478" s="65">
        <f t="shared" si="322"/>
        <v>0</v>
      </c>
      <c r="BF478" s="70">
        <v>0</v>
      </c>
      <c r="BG478" s="65">
        <f t="shared" si="323"/>
        <v>0</v>
      </c>
      <c r="BH478" s="70">
        <v>0</v>
      </c>
      <c r="BI478" s="65">
        <f t="shared" si="324"/>
        <v>0</v>
      </c>
      <c r="BJ478" s="38">
        <f>IF(AND(BJ$7="○",$A478&gt;=BJ$8,$A478&lt;=BJ$9),IF(SUM(BJ$10:BJ477)-ROUNDDOWN($M478*BJ$5/100,0)&lt;-BJ$6,-BJ$6-SUM(BJ$10:BJ477),-ROUNDDOWN($M478*BJ$5/100,0)),0)</f>
        <v>0</v>
      </c>
      <c r="BK478" s="38">
        <f>IF(AND(BK$7="○",$A478&gt;=BK$8,$A478&lt;=BK$9),IF(SUM(BK$10:BK477)-ROUNDDOWN($L478*BK$5/100,0)&lt;-BK$6,-BK$6-SUM(BK$10:BK477),-ROUNDDOWN($L478*BK$5/100,0)),0)</f>
        <v>0</v>
      </c>
      <c r="BL478" s="38">
        <f>IF(AND(BL$7="○",$A478&gt;=BL$8,$A478&lt;=BL$9),IF(SUM(BL$10:BL477)-ROUNDDOWN($L478*BL$5/100,0)&lt;-BL$6,-BL$6-SUM(BL$10:BL477),-ROUNDDOWN($L478*BL$5/100,0)),0)</f>
        <v>0</v>
      </c>
      <c r="BM478" s="38">
        <f>IF(AND(BM$7="○",$A478&gt;=BM$8,$A478&lt;=BM$9),IF(SUM(BM$10:BM477)-ROUNDDOWN($M478*BM$5/100,0)&lt;-BM$6,-BM$6-SUM(BM$10:BM477),-ROUNDDOWN($M478*BM$5/100,0)),0)</f>
        <v>0</v>
      </c>
      <c r="BN478" s="38">
        <f>IF(AND(BN$7="○",$A478&gt;=BN$8,$A478&lt;=BN$9),IF(SUM(BN$10:BN477)-ROUNDDOWN($M478*BN$5/100,0)&lt;-BN$6,-BN$6-SUM(BN$10:BN477),-ROUNDDOWN($M478*BN$5/100,0)),0)</f>
        <v>0</v>
      </c>
      <c r="BO478" s="38">
        <f>IF(AND(BO$7="○",$A478&gt;=BO$8,$A478&lt;=BO$9),IF(SUM(BO$10:BO477)-ROUNDDOWN($M478*BO$5/100,0)&lt;-BO$6,-BO$6-SUM(BO$10:BO477),-ROUNDDOWN($M478*BO$5/100,0)),0)</f>
        <v>0</v>
      </c>
      <c r="BP478" s="38">
        <f>IF(AND(BP$7="○",$A478&gt;=BP$8,$A478&lt;=BP$9),IF(SUM(BP$10:BP477)-ROUNDDOWN($M478*BP$5/100,0)&lt;-BP$6,-BP$6-SUM(BP$10:BP477),-ROUNDDOWN($M478*BP$5/100,0)),0)</f>
        <v>0</v>
      </c>
      <c r="BQ478" s="38">
        <f>IF(AND(BQ$7="○",$A478&gt;=BQ$8,$A478&lt;=BQ$9),IF(SUM(BQ$10:BQ477)-ROUNDDOWN($L478*BQ$5/100,0)&lt;-BQ$6,-BQ$6-SUM(BQ$10:BQ477),-ROUNDDOWN($L478*BQ$5/100,0)),0)</f>
        <v>0</v>
      </c>
      <c r="BR478" s="38">
        <f>IF(AND(BR$7="○",$A478&gt;=BR$8,$A478&lt;=BR$9),IF(SUM(BR$10:BR477)-ROUNDDOWN($M478*BR$5/100,0)&lt;-BR$6,-BR$6-SUM(BR$10:BR477),-ROUNDDOWN($M478*BR$5/100,0)),0)</f>
        <v>0</v>
      </c>
      <c r="BS478" s="38">
        <f>IF(AND(BS$7="○",$A478&gt;=BS$8,$A478&lt;=BS$9),IF(SUM(BS$10:BS477)-ROUNDDOWN($M478*BS$5/100,0)&lt;-BS$6,-BS$6-SUM(BS$10:BS477),-ROUNDDOWN($M478*BS$5/100,0)),0)</f>
        <v>0</v>
      </c>
      <c r="BT478" s="38">
        <f>IF(AND(BT$7="○",$A478&gt;=BT$8,$A478&lt;=BT$9),IF(SUM(BT$10:BT477)-ROUNDDOWN($M478*BT$5/100,0)&lt;-BT$6,-BT$6-SUM(BT$10:BT477),-ROUNDDOWN($M478*BT$5/100,0)),0)</f>
        <v>0</v>
      </c>
      <c r="BU478" s="38">
        <f>IF(AND(BU$7="○",$A478&gt;=BU$8,$A478&lt;=BU$9),IF(SUM(BU$10:BU477)-ROUNDDOWN($M478*BU$5/100,0)&lt;-BU$6,-BU$6-SUM(BU$10:BU477),-ROUNDDOWN($M478*BU$5/100,0)),0)</f>
        <v>0</v>
      </c>
      <c r="BV478" s="38">
        <f>IF(AND(BV$7="○",$A478&gt;=BV$8,$A478&lt;=BV$9),IF(SUM(BV$10:BV477)-ROUNDDOWN($M478*BV$5/100,0)&lt;-BV$6,-BV$6-SUM(BV$10:BV477),-ROUNDDOWN($M478*BV$5/100,0)),0)</f>
        <v>0</v>
      </c>
      <c r="BW478" s="38">
        <f>IF(AND(BW$7="○",$A478&gt;=BW$8,$A478&lt;=BW$9),IF(SUM(BW$10:BW477)-ROUNDDOWN($M478*BW$5/100,0)&lt;-BW$6,-BW$6-SUM(BW$10:BW477),-ROUNDDOWN($M478*BW$5/100,0)),0)</f>
        <v>0</v>
      </c>
      <c r="BX478" s="38">
        <f>IF(AND(T478="○",$A478&gt;=BX$8,$A478&lt;=BX$9),IF(SUM(BX$10:BX477)-ROUNDDOWN($K478*BX$5/100,0)&lt;-BX$6,-BX$6-SUM(BX$10:BX477),-ROUNDDOWN($K478*BX$5/100,0)),0)</f>
        <v>0</v>
      </c>
      <c r="BY478" s="38">
        <f>IF(AND(U478="○",$A478&gt;=BY$8,$A478&lt;=BY$9),IF(SUM(BY$10:BY477)-ROUNDDOWN($K478*BY$5/100,0)&lt;-BY$6,-BY$6-SUM(BY$10:BY477),-ROUNDDOWN($K478*BY$5/100,0)),0)</f>
        <v>0</v>
      </c>
      <c r="BZ478" s="38">
        <f>IF(AND(V478="○",$A478&gt;=BZ$8,$A478&lt;=BZ$9),IF(SUM(BZ$10:BZ477)-ROUNDDOWN($K478*BZ$5/100,0)&lt;-BZ$6,-BZ$6-SUM(BZ$10:BZ477),-ROUNDDOWN($K478*BZ$5/100,0)),0)</f>
        <v>0</v>
      </c>
      <c r="CA478" s="38">
        <f>IF(AND(W478="○",$A478&gt;=CA$8,$A478&lt;=CA$9),IF(SUM(CA$10:CA477)-ROUNDDOWN($K478*CA$5/100,0)&lt;-CA$6,-CA$6-SUM(CA$10:CA477),-ROUNDDOWN($K478*CA$5/100,0)),0)</f>
        <v>0</v>
      </c>
      <c r="CB478" s="38"/>
      <c r="CC478" s="38"/>
      <c r="CD478" s="38"/>
      <c r="CE478" s="38"/>
      <c r="CF478" s="38"/>
      <c r="CG478" s="65">
        <f t="shared" si="325"/>
        <v>0</v>
      </c>
      <c r="CH478" s="71">
        <f t="shared" si="326"/>
        <v>0</v>
      </c>
      <c r="CI478" s="1">
        <f t="shared" si="19"/>
        <v>0</v>
      </c>
      <c r="CJ478" s="1"/>
      <c r="CK478" s="75"/>
      <c r="CL478" s="75"/>
      <c r="CM478" s="2"/>
      <c r="CN478" s="2"/>
      <c r="CO478" s="73">
        <f t="shared" si="20"/>
        <v>0</v>
      </c>
      <c r="CP478" s="5">
        <f t="shared" si="21"/>
        <v>0</v>
      </c>
      <c r="CQ478" s="1"/>
      <c r="CR478" s="1">
        <f t="shared" si="22"/>
        <v>0</v>
      </c>
      <c r="CS478" s="1"/>
      <c r="CT478" s="1" t="e">
        <f>INDEX([2]マスタ!$A:$A,MATCH(D478,[2]マスタ!$C:$C,0))</f>
        <v>#N/A</v>
      </c>
      <c r="CU478" s="1" t="str">
        <f t="shared" ca="1" si="23"/>
        <v>20260620_0-0</v>
      </c>
    </row>
    <row r="479" spans="1:99" x14ac:dyDescent="0.4">
      <c r="A479" s="61"/>
      <c r="B479" s="62"/>
      <c r="C479" s="62"/>
      <c r="D479" s="62"/>
      <c r="E479" s="74"/>
      <c r="F479" s="62"/>
      <c r="G479" s="62">
        <v>1</v>
      </c>
      <c r="H479" s="64">
        <f t="shared" si="4"/>
        <v>0</v>
      </c>
      <c r="I479" s="64"/>
      <c r="J479" s="64"/>
      <c r="K479" s="65">
        <f t="shared" si="327"/>
        <v>0</v>
      </c>
      <c r="L479" s="65">
        <f t="shared" si="6"/>
        <v>0</v>
      </c>
      <c r="M479" s="65">
        <f t="shared" si="7"/>
        <v>0</v>
      </c>
      <c r="N479" s="65">
        <f t="shared" si="8"/>
        <v>0</v>
      </c>
      <c r="O479" s="66" t="str">
        <f t="shared" si="9"/>
        <v>✕</v>
      </c>
      <c r="P479" s="67" t="str">
        <f t="shared" si="10"/>
        <v>○</v>
      </c>
      <c r="Q479" s="67" t="str">
        <f t="shared" si="328"/>
        <v>✕</v>
      </c>
      <c r="R479" s="67" t="str">
        <f t="shared" si="12"/>
        <v>✕</v>
      </c>
      <c r="S479" s="68">
        <v>0</v>
      </c>
      <c r="T479" s="69" t="s">
        <v>85</v>
      </c>
      <c r="U479" s="69" t="s">
        <v>85</v>
      </c>
      <c r="V479" s="69" t="s">
        <v>85</v>
      </c>
      <c r="W479" s="69" t="s">
        <v>85</v>
      </c>
      <c r="X479" s="69" t="s">
        <v>84</v>
      </c>
      <c r="Y479" s="69" t="s">
        <v>85</v>
      </c>
      <c r="Z479" s="69" t="s">
        <v>85</v>
      </c>
      <c r="AA479" s="69" t="s">
        <v>85</v>
      </c>
      <c r="AB479" s="69" t="s">
        <v>85</v>
      </c>
      <c r="AC479" s="69" t="s">
        <v>85</v>
      </c>
      <c r="AD479" s="38" t="str">
        <f>+IF(ISERROR(VLOOKUP($B479,AD$10:AD478,1,0)),IF(AND($N479&gt;=1000,$A479&gt;=AO$8,$A479&lt;=AO$9),$B479,""),"")</f>
        <v/>
      </c>
      <c r="AE479" s="38" t="str">
        <f>+IF(ISERROR(VLOOKUP($B479,AE$10:AE478,1,0)),IF(AND($N479&gt;=1000,$A479&gt;=AP$8,$A479&lt;=AP$9),$B479,""),"")</f>
        <v/>
      </c>
      <c r="AF479" s="38" t="str">
        <f>+IF(ISERROR(VLOOKUP($B479,AF$10:AF478,1,0)),IF(AND($N479&gt;=1000,$A479&gt;=AQ$8,$A479&lt;=AQ$9),$B479,""),"")</f>
        <v/>
      </c>
      <c r="AG479" s="38" t="str">
        <f>+IF(ISERROR(VLOOKUP($B479,AG$10:AG478,1,0)),IF(AND($N479&gt;=1000,$A479&gt;=AR$8,$A479&lt;=AR$9),$B479,""),"")</f>
        <v/>
      </c>
      <c r="AH479" s="38"/>
      <c r="AI479" s="70">
        <v>0</v>
      </c>
      <c r="AJ479" s="38">
        <f>IF(AND(AJ$7="○",$A479&gt;=AJ$8,$A479&lt;=AJ$9),IF(SUM(AJ$10:AJ478)-ROUNDDOWN($K479*AJ$5/100,0)&lt;-AJ$6,-AJ$6-SUM(AJ$10:AJ478),-ROUNDDOWN($K479*AJ$5/100,0)),0)</f>
        <v>0</v>
      </c>
      <c r="AK479" s="38">
        <f>IF(AND(AK$7="○",$A479&gt;=AK$8,$A479&lt;=AK$9),IF(SUM(AK$10:AK478)-ROUNDDOWN($L479*AK$5/100,0)&lt;-AK$6,-AK$6-SUM(AK$10:AK478),-ROUNDDOWN($L479*AK$5/100,0)),0)</f>
        <v>0</v>
      </c>
      <c r="AL479" s="38">
        <f>IF(AND(AL$7="○",$A479&gt;=AL$8,$A479&lt;=AL$9),IF(SUM(AL$10:AL478)-ROUNDDOWN($N479*AL$5/100,0)&lt;-AL$6,-AL$6-SUM(AL$10:AL478),-ROUNDDOWN($N479*AL$5/100,0)),0)</f>
        <v>0</v>
      </c>
      <c r="AM479" s="38">
        <f>IF(AND(AM$7="○",$A479&gt;=AM$8,$A479&lt;=AM$9),IF(SUM(AM$10:AM478)-ROUNDDOWN($L479*AM$5/100,0)&lt;-AM$6,-AM$6-SUM(AM$10:AM478),-ROUNDDOWN($L479*AM$5/100,0)),0)</f>
        <v>0</v>
      </c>
      <c r="AN479" s="38">
        <f>IF(AND(AN$7="○",$A479&gt;=AN$8,$A479&lt;=AN$9),IF(SUM(AN$10:AN478)-ROUNDDOWN($M479*AN$5/100,0)&lt;-AN$6,-AN$6-SUM(AN$10:AN478),-ROUNDDOWN($M479*AN$5/100,0)),0)</f>
        <v>0</v>
      </c>
      <c r="AO479" s="38">
        <f>IF(AND($A479&gt;=AO$8,$A479&lt;=AO$9),IF(SUM(AO$10:AO478)-ROUNDDOWN($K479*AO$5/100,0)&lt;-AO$6,-AO$6-SUM(AO$10:AO478),-ROUNDDOWN($K479*AO$5/100,0)),0)</f>
        <v>0</v>
      </c>
      <c r="AP479" s="38">
        <f>IF(AND($A479&gt;=AP$8,$A479&lt;=AP$9),IF(SUM(AP$10:AP478)-ROUNDDOWN($K479*AP$5/100,0)&lt;-AP$6,-AP$6-SUM(AP$10:AP478),-ROUNDDOWN($K479*AP$5/100,0)),0)</f>
        <v>0</v>
      </c>
      <c r="AQ479" s="38">
        <f>IF(AND($A479&gt;=AQ$8,$A479&lt;=AQ$9),IF(SUM(AQ$10:AQ478)-ROUNDDOWN($K479*AQ$5/100,0)&lt;-AQ$6,-AQ$6-SUM(AQ$10:AQ478),-ROUNDDOWN($K479*AQ$5/100,0)),0)</f>
        <v>0</v>
      </c>
      <c r="AR479" s="38">
        <f>IF(AND($A479&gt;=AR$8,$A479&lt;=AR$9),IF(SUM(AR$10:AR478)-ROUNDDOWN($K479*AR$5/100,0)&lt;-AR$6,-AR$6-SUM(AR$10:AR478),-ROUNDDOWN($K479*AR$5/100,0)),0)</f>
        <v>0</v>
      </c>
      <c r="AS479" s="38">
        <f>IF(SUMIFS(AS$10:AS478,$A$10:$A478,$A479)-ROUNDDOWN($K479*$S479/100,0)&lt;-$S479*1000,-$S479*1000-SUMIFS(AS$10:AS478,$A$10:$A478,$A479),-ROUNDDOWN($K479*$S479/100,0))</f>
        <v>0</v>
      </c>
      <c r="AT479" s="38">
        <f>IF(AND(X479="○",$A479&gt;=AT$8,$A479&lt;=AT$9,K479&gt;=3980),IF(SUM(AT$10:AT478)-ROUNDDOWN($K479*AT$5/100,0)&lt;-AT$6,-AT$6-SUM(AT$10:AT478),-ROUNDDOWN($K479*AT$5/100,0)),0)</f>
        <v>0</v>
      </c>
      <c r="AU479" s="38">
        <f>IF(O479="○",IF(SUM(AU$10:AU478)-ROUNDDOWN($K479*AU$5/100,0)&lt;-AU$6,-AU$6-SUM(AU$10:AU478),-ROUNDDOWN($K479*AU$5/100,0)),0)</f>
        <v>0</v>
      </c>
      <c r="AV479" s="38">
        <f>IF(P479="○",IF(SUM(AV$10:AV478)-ROUNDDOWN($K479*AV$5/100,0)&lt;-AV$6,-AV$6-SUM(AV$10:AV478),-ROUNDDOWN($K479*AV$5/100,0)),0)</f>
        <v>0</v>
      </c>
      <c r="AW479" s="38">
        <f>IF(Q479="○",IF(SUM(AW$10:AW478)-ROUNDDOWN($K479*AW$5/100,0)&lt;-AW$6,-AW$6-SUM(AW$10:AW478),-ROUNDDOWN($K479*AW$5/100,0)),0)</f>
        <v>0</v>
      </c>
      <c r="AX479" s="38">
        <f>IF(R479="○",IF(SUM(AX$10:AX478)-ROUNDDOWN($K479*AX$5/100,0)&lt;-AX$6,-AX$6-SUM(AX$10:AX478),-ROUNDDOWN($K479*AX$5/100,0)),0)</f>
        <v>0</v>
      </c>
      <c r="AY479" s="70">
        <v>0</v>
      </c>
      <c r="AZ479" s="65">
        <f t="shared" si="319"/>
        <v>0</v>
      </c>
      <c r="BA479" s="65">
        <f t="shared" si="320"/>
        <v>0</v>
      </c>
      <c r="BB479" s="70"/>
      <c r="BC479" s="65">
        <f t="shared" si="321"/>
        <v>0</v>
      </c>
      <c r="BD479" s="70">
        <v>0</v>
      </c>
      <c r="BE479" s="65">
        <f t="shared" si="322"/>
        <v>0</v>
      </c>
      <c r="BF479" s="70">
        <v>0</v>
      </c>
      <c r="BG479" s="65">
        <f t="shared" si="323"/>
        <v>0</v>
      </c>
      <c r="BH479" s="70">
        <v>0</v>
      </c>
      <c r="BI479" s="65">
        <f t="shared" si="324"/>
        <v>0</v>
      </c>
      <c r="BJ479" s="38">
        <f>IF(AND(BJ$7="○",$A479&gt;=BJ$8,$A479&lt;=BJ$9),IF(SUM(BJ$10:BJ478)-ROUNDDOWN($M479*BJ$5/100,0)&lt;-BJ$6,-BJ$6-SUM(BJ$10:BJ478),-ROUNDDOWN($M479*BJ$5/100,0)),0)</f>
        <v>0</v>
      </c>
      <c r="BK479" s="38">
        <f>IF(AND(BK$7="○",$A479&gt;=BK$8,$A479&lt;=BK$9),IF(SUM(BK$10:BK478)-ROUNDDOWN($L479*BK$5/100,0)&lt;-BK$6,-BK$6-SUM(BK$10:BK478),-ROUNDDOWN($L479*BK$5/100,0)),0)</f>
        <v>0</v>
      </c>
      <c r="BL479" s="38">
        <f>IF(AND(BL$7="○",$A479&gt;=BL$8,$A479&lt;=BL$9),IF(SUM(BL$10:BL478)-ROUNDDOWN($L479*BL$5/100,0)&lt;-BL$6,-BL$6-SUM(BL$10:BL478),-ROUNDDOWN($L479*BL$5/100,0)),0)</f>
        <v>0</v>
      </c>
      <c r="BM479" s="38">
        <f>IF(AND(BM$7="○",$A479&gt;=BM$8,$A479&lt;=BM$9),IF(SUM(BM$10:BM478)-ROUNDDOWN($M479*BM$5/100,0)&lt;-BM$6,-BM$6-SUM(BM$10:BM478),-ROUNDDOWN($M479*BM$5/100,0)),0)</f>
        <v>0</v>
      </c>
      <c r="BN479" s="38">
        <f>IF(AND(BN$7="○",$A479&gt;=BN$8,$A479&lt;=BN$9),IF(SUM(BN$10:BN478)-ROUNDDOWN($M479*BN$5/100,0)&lt;-BN$6,-BN$6-SUM(BN$10:BN478),-ROUNDDOWN($M479*BN$5/100,0)),0)</f>
        <v>0</v>
      </c>
      <c r="BO479" s="38">
        <f>IF(AND(BO$7="○",$A479&gt;=BO$8,$A479&lt;=BO$9),IF(SUM(BO$10:BO478)-ROUNDDOWN($M479*BO$5/100,0)&lt;-BO$6,-BO$6-SUM(BO$10:BO478),-ROUNDDOWN($M479*BO$5/100,0)),0)</f>
        <v>0</v>
      </c>
      <c r="BP479" s="38">
        <f>IF(AND(BP$7="○",$A479&gt;=BP$8,$A479&lt;=BP$9),IF(SUM(BP$10:BP478)-ROUNDDOWN($M479*BP$5/100,0)&lt;-BP$6,-BP$6-SUM(BP$10:BP478),-ROUNDDOWN($M479*BP$5/100,0)),0)</f>
        <v>0</v>
      </c>
      <c r="BQ479" s="38">
        <f>IF(AND(BQ$7="○",$A479&gt;=BQ$8,$A479&lt;=BQ$9),IF(SUM(BQ$10:BQ478)-ROUNDDOWN($L479*BQ$5/100,0)&lt;-BQ$6,-BQ$6-SUM(BQ$10:BQ478),-ROUNDDOWN($L479*BQ$5/100,0)),0)</f>
        <v>0</v>
      </c>
      <c r="BR479" s="38">
        <f>IF(AND(BR$7="○",$A479&gt;=BR$8,$A479&lt;=BR$9),IF(SUM(BR$10:BR478)-ROUNDDOWN($M479*BR$5/100,0)&lt;-BR$6,-BR$6-SUM(BR$10:BR478),-ROUNDDOWN($M479*BR$5/100,0)),0)</f>
        <v>0</v>
      </c>
      <c r="BS479" s="38">
        <f>IF(AND(BS$7="○",$A479&gt;=BS$8,$A479&lt;=BS$9),IF(SUM(BS$10:BS478)-ROUNDDOWN($M479*BS$5/100,0)&lt;-BS$6,-BS$6-SUM(BS$10:BS478),-ROUNDDOWN($M479*BS$5/100,0)),0)</f>
        <v>0</v>
      </c>
      <c r="BT479" s="38">
        <f>IF(AND(BT$7="○",$A479&gt;=BT$8,$A479&lt;=BT$9),IF(SUM(BT$10:BT478)-ROUNDDOWN($M479*BT$5/100,0)&lt;-BT$6,-BT$6-SUM(BT$10:BT478),-ROUNDDOWN($M479*BT$5/100,0)),0)</f>
        <v>0</v>
      </c>
      <c r="BU479" s="38">
        <f>IF(AND(BU$7="○",$A479&gt;=BU$8,$A479&lt;=BU$9),IF(SUM(BU$10:BU478)-ROUNDDOWN($M479*BU$5/100,0)&lt;-BU$6,-BU$6-SUM(BU$10:BU478),-ROUNDDOWN($M479*BU$5/100,0)),0)</f>
        <v>0</v>
      </c>
      <c r="BV479" s="38">
        <f>IF(AND(BV$7="○",$A479&gt;=BV$8,$A479&lt;=BV$9),IF(SUM(BV$10:BV478)-ROUNDDOWN($M479*BV$5/100,0)&lt;-BV$6,-BV$6-SUM(BV$10:BV478),-ROUNDDOWN($M479*BV$5/100,0)),0)</f>
        <v>0</v>
      </c>
      <c r="BW479" s="38">
        <f>IF(AND(BW$7="○",$A479&gt;=BW$8,$A479&lt;=BW$9),IF(SUM(BW$10:BW478)-ROUNDDOWN($M479*BW$5/100,0)&lt;-BW$6,-BW$6-SUM(BW$10:BW478),-ROUNDDOWN($M479*BW$5/100,0)),0)</f>
        <v>0</v>
      </c>
      <c r="BX479" s="38">
        <f>IF(AND(T479="○",$A479&gt;=BX$8,$A479&lt;=BX$9),IF(SUM(BX$10:BX478)-ROUNDDOWN($K479*BX$5/100,0)&lt;-BX$6,-BX$6-SUM(BX$10:BX478),-ROUNDDOWN($K479*BX$5/100,0)),0)</f>
        <v>0</v>
      </c>
      <c r="BY479" s="38">
        <f>IF(AND(U479="○",$A479&gt;=BY$8,$A479&lt;=BY$9),IF(SUM(BY$10:BY478)-ROUNDDOWN($K479*BY$5/100,0)&lt;-BY$6,-BY$6-SUM(BY$10:BY478),-ROUNDDOWN($K479*BY$5/100,0)),0)</f>
        <v>0</v>
      </c>
      <c r="BZ479" s="38">
        <f>IF(AND(V479="○",$A479&gt;=BZ$8,$A479&lt;=BZ$9),IF(SUM(BZ$10:BZ478)-ROUNDDOWN($K479*BZ$5/100,0)&lt;-BZ$6,-BZ$6-SUM(BZ$10:BZ478),-ROUNDDOWN($K479*BZ$5/100,0)),0)</f>
        <v>0</v>
      </c>
      <c r="CA479" s="38">
        <f>IF(AND(W479="○",$A479&gt;=CA$8,$A479&lt;=CA$9),IF(SUM(CA$10:CA478)-ROUNDDOWN($K479*CA$5/100,0)&lt;-CA$6,-CA$6-SUM(CA$10:CA478),-ROUNDDOWN($K479*CA$5/100,0)),0)</f>
        <v>0</v>
      </c>
      <c r="CB479" s="38"/>
      <c r="CC479" s="38"/>
      <c r="CD479" s="38"/>
      <c r="CE479" s="38"/>
      <c r="CF479" s="38"/>
      <c r="CG479" s="65">
        <f t="shared" si="325"/>
        <v>0</v>
      </c>
      <c r="CH479" s="71">
        <f t="shared" si="326"/>
        <v>0</v>
      </c>
      <c r="CI479" s="1">
        <f t="shared" si="19"/>
        <v>0</v>
      </c>
      <c r="CJ479" s="1"/>
      <c r="CK479" s="75"/>
      <c r="CL479" s="75"/>
      <c r="CM479" s="2"/>
      <c r="CN479" s="2"/>
      <c r="CO479" s="73">
        <f t="shared" si="20"/>
        <v>0</v>
      </c>
      <c r="CP479" s="5">
        <f t="shared" si="21"/>
        <v>0</v>
      </c>
      <c r="CQ479" s="1"/>
      <c r="CR479" s="1">
        <f t="shared" si="22"/>
        <v>0</v>
      </c>
      <c r="CS479" s="1"/>
      <c r="CT479" s="1" t="e">
        <f>INDEX([2]マスタ!$A:$A,MATCH(D479,[2]マスタ!$C:$C,0))</f>
        <v>#N/A</v>
      </c>
      <c r="CU479" s="1" t="str">
        <f t="shared" ca="1" si="23"/>
        <v>20260620_0-0</v>
      </c>
    </row>
    <row r="480" spans="1:99" x14ac:dyDescent="0.4">
      <c r="A480" s="61"/>
      <c r="B480" s="62"/>
      <c r="C480" s="62"/>
      <c r="D480" s="62"/>
      <c r="E480" s="74"/>
      <c r="F480" s="62"/>
      <c r="G480" s="62">
        <v>1</v>
      </c>
      <c r="H480" s="64">
        <f t="shared" si="4"/>
        <v>0</v>
      </c>
      <c r="I480" s="64"/>
      <c r="J480" s="64"/>
      <c r="K480" s="65">
        <f t="shared" si="327"/>
        <v>0</v>
      </c>
      <c r="L480" s="65">
        <f t="shared" si="6"/>
        <v>0</v>
      </c>
      <c r="M480" s="65">
        <f t="shared" si="7"/>
        <v>0</v>
      </c>
      <c r="N480" s="65">
        <f t="shared" si="8"/>
        <v>0</v>
      </c>
      <c r="O480" s="66" t="str">
        <f t="shared" si="9"/>
        <v>✕</v>
      </c>
      <c r="P480" s="67" t="str">
        <f t="shared" si="10"/>
        <v>○</v>
      </c>
      <c r="Q480" s="67" t="str">
        <f t="shared" si="328"/>
        <v>✕</v>
      </c>
      <c r="R480" s="67" t="str">
        <f t="shared" si="12"/>
        <v>✕</v>
      </c>
      <c r="S480" s="68">
        <v>0</v>
      </c>
      <c r="T480" s="69" t="s">
        <v>85</v>
      </c>
      <c r="U480" s="69" t="s">
        <v>85</v>
      </c>
      <c r="V480" s="69" t="s">
        <v>85</v>
      </c>
      <c r="W480" s="69" t="s">
        <v>85</v>
      </c>
      <c r="X480" s="69" t="s">
        <v>84</v>
      </c>
      <c r="Y480" s="69" t="s">
        <v>85</v>
      </c>
      <c r="Z480" s="69" t="s">
        <v>85</v>
      </c>
      <c r="AA480" s="69" t="s">
        <v>85</v>
      </c>
      <c r="AB480" s="69" t="s">
        <v>85</v>
      </c>
      <c r="AC480" s="69" t="s">
        <v>85</v>
      </c>
      <c r="AD480" s="38" t="str">
        <f>+IF(ISERROR(VLOOKUP($B480,AD$10:AD479,1,0)),IF(AND($N480&gt;=1000,$A480&gt;=AO$8,$A480&lt;=AO$9),$B480,""),"")</f>
        <v/>
      </c>
      <c r="AE480" s="38" t="str">
        <f>+IF(ISERROR(VLOOKUP($B480,AE$10:AE479,1,0)),IF(AND($N480&gt;=1000,$A480&gt;=AP$8,$A480&lt;=AP$9),$B480,""),"")</f>
        <v/>
      </c>
      <c r="AF480" s="38" t="str">
        <f>+IF(ISERROR(VLOOKUP($B480,AF$10:AF479,1,0)),IF(AND($N480&gt;=1000,$A480&gt;=AQ$8,$A480&lt;=AQ$9),$B480,""),"")</f>
        <v/>
      </c>
      <c r="AG480" s="38" t="str">
        <f>+IF(ISERROR(VLOOKUP($B480,AG$10:AG479,1,0)),IF(AND($N480&gt;=1000,$A480&gt;=AR$8,$A480&lt;=AR$9),$B480,""),"")</f>
        <v/>
      </c>
      <c r="AH480" s="38"/>
      <c r="AI480" s="70">
        <v>0</v>
      </c>
      <c r="AJ480" s="38">
        <f>IF(AND(AJ$7="○",$A480&gt;=AJ$8,$A480&lt;=AJ$9),IF(SUM(AJ$10:AJ479)-ROUNDDOWN($K480*AJ$5/100,0)&lt;-AJ$6,-AJ$6-SUM(AJ$10:AJ479),-ROUNDDOWN($K480*AJ$5/100,0)),0)</f>
        <v>0</v>
      </c>
      <c r="AK480" s="38">
        <f>IF(AND(AK$7="○",$A480&gt;=AK$8,$A480&lt;=AK$9),IF(SUM(AK$10:AK479)-ROUNDDOWN($L480*AK$5/100,0)&lt;-AK$6,-AK$6-SUM(AK$10:AK479),-ROUNDDOWN($L480*AK$5/100,0)),0)</f>
        <v>0</v>
      </c>
      <c r="AL480" s="38">
        <f>IF(AND(AL$7="○",$A480&gt;=AL$8,$A480&lt;=AL$9),IF(SUM(AL$10:AL479)-ROUNDDOWN($N480*AL$5/100,0)&lt;-AL$6,-AL$6-SUM(AL$10:AL479),-ROUNDDOWN($N480*AL$5/100,0)),0)</f>
        <v>0</v>
      </c>
      <c r="AM480" s="38">
        <f>IF(AND(AM$7="○",$A480&gt;=AM$8,$A480&lt;=AM$9),IF(SUM(AM$10:AM479)-ROUNDDOWN($L480*AM$5/100,0)&lt;-AM$6,-AM$6-SUM(AM$10:AM479),-ROUNDDOWN($L480*AM$5/100,0)),0)</f>
        <v>0</v>
      </c>
      <c r="AN480" s="38">
        <f>IF(AND(AN$7="○",$A480&gt;=AN$8,$A480&lt;=AN$9),IF(SUM(AN$10:AN479)-ROUNDDOWN($M480*AN$5/100,0)&lt;-AN$6,-AN$6-SUM(AN$10:AN479),-ROUNDDOWN($M480*AN$5/100,0)),0)</f>
        <v>0</v>
      </c>
      <c r="AO480" s="38">
        <f>IF(AND($A480&gt;=AO$8,$A480&lt;=AO$9),IF(SUM(AO$10:AO479)-ROUNDDOWN($K480*AO$5/100,0)&lt;-AO$6,-AO$6-SUM(AO$10:AO479),-ROUNDDOWN($K480*AO$5/100,0)),0)</f>
        <v>0</v>
      </c>
      <c r="AP480" s="38">
        <f>IF(AND($A480&gt;=AP$8,$A480&lt;=AP$9),IF(SUM(AP$10:AP479)-ROUNDDOWN($K480*AP$5/100,0)&lt;-AP$6,-AP$6-SUM(AP$10:AP479),-ROUNDDOWN($K480*AP$5/100,0)),0)</f>
        <v>0</v>
      </c>
      <c r="AQ480" s="38">
        <f>IF(AND($A480&gt;=AQ$8,$A480&lt;=AQ$9),IF(SUM(AQ$10:AQ479)-ROUNDDOWN($K480*AQ$5/100,0)&lt;-AQ$6,-AQ$6-SUM(AQ$10:AQ479),-ROUNDDOWN($K480*AQ$5/100,0)),0)</f>
        <v>0</v>
      </c>
      <c r="AR480" s="38">
        <f>IF(AND($A480&gt;=AR$8,$A480&lt;=AR$9),IF(SUM(AR$10:AR479)-ROUNDDOWN($K480*AR$5/100,0)&lt;-AR$6,-AR$6-SUM(AR$10:AR479),-ROUNDDOWN($K480*AR$5/100,0)),0)</f>
        <v>0</v>
      </c>
      <c r="AS480" s="38">
        <f>IF(SUMIFS(AS$10:AS479,$A$10:$A479,$A480)-ROUNDDOWN($K480*$S480/100,0)&lt;-$S480*1000,-$S480*1000-SUMIFS(AS$10:AS479,$A$10:$A479,$A480),-ROUNDDOWN($K480*$S480/100,0))</f>
        <v>0</v>
      </c>
      <c r="AT480" s="38">
        <f>IF(AND(X480="○",$A480&gt;=AT$8,$A480&lt;=AT$9,K480&gt;=3980),IF(SUM(AT$10:AT479)-ROUNDDOWN($K480*AT$5/100,0)&lt;-AT$6,-AT$6-SUM(AT$10:AT479),-ROUNDDOWN($K480*AT$5/100,0)),0)</f>
        <v>0</v>
      </c>
      <c r="AU480" s="38">
        <f>IF(O480="○",IF(SUM(AU$10:AU479)-ROUNDDOWN($K480*AU$5/100,0)&lt;-AU$6,-AU$6-SUM(AU$10:AU479),-ROUNDDOWN($K480*AU$5/100,0)),0)</f>
        <v>0</v>
      </c>
      <c r="AV480" s="38">
        <f>IF(P480="○",IF(SUM(AV$10:AV479)-ROUNDDOWN($K480*AV$5/100,0)&lt;-AV$6,-AV$6-SUM(AV$10:AV479),-ROUNDDOWN($K480*AV$5/100,0)),0)</f>
        <v>0</v>
      </c>
      <c r="AW480" s="38">
        <f>IF(Q480="○",IF(SUM(AW$10:AW479)-ROUNDDOWN($K480*AW$5/100,0)&lt;-AW$6,-AW$6-SUM(AW$10:AW479),-ROUNDDOWN($K480*AW$5/100,0)),0)</f>
        <v>0</v>
      </c>
      <c r="AX480" s="38">
        <f>IF(R480="○",IF(SUM(AX$10:AX479)-ROUNDDOWN($K480*AX$5/100,0)&lt;-AX$6,-AX$6-SUM(AX$10:AX479),-ROUNDDOWN($K480*AX$5/100,0)),0)</f>
        <v>0</v>
      </c>
      <c r="AY480" s="70">
        <v>0</v>
      </c>
      <c r="AZ480" s="65">
        <f t="shared" si="319"/>
        <v>0</v>
      </c>
      <c r="BA480" s="65">
        <f t="shared" si="320"/>
        <v>0</v>
      </c>
      <c r="BB480" s="70"/>
      <c r="BC480" s="65">
        <f t="shared" si="321"/>
        <v>0</v>
      </c>
      <c r="BD480" s="70">
        <v>0</v>
      </c>
      <c r="BE480" s="65">
        <f t="shared" si="322"/>
        <v>0</v>
      </c>
      <c r="BF480" s="70">
        <v>0</v>
      </c>
      <c r="BG480" s="65">
        <f t="shared" si="323"/>
        <v>0</v>
      </c>
      <c r="BH480" s="70">
        <v>0</v>
      </c>
      <c r="BI480" s="65">
        <f t="shared" si="324"/>
        <v>0</v>
      </c>
      <c r="BJ480" s="38">
        <f>IF(AND(BJ$7="○",$A480&gt;=BJ$8,$A480&lt;=BJ$9),IF(SUM(BJ$10:BJ479)-ROUNDDOWN($M480*BJ$5/100,0)&lt;-BJ$6,-BJ$6-SUM(BJ$10:BJ479),-ROUNDDOWN($M480*BJ$5/100,0)),0)</f>
        <v>0</v>
      </c>
      <c r="BK480" s="38">
        <f>IF(AND(BK$7="○",$A480&gt;=BK$8,$A480&lt;=BK$9),IF(SUM(BK$10:BK479)-ROUNDDOWN($L480*BK$5/100,0)&lt;-BK$6,-BK$6-SUM(BK$10:BK479),-ROUNDDOWN($L480*BK$5/100,0)),0)</f>
        <v>0</v>
      </c>
      <c r="BL480" s="38">
        <f>IF(AND(BL$7="○",$A480&gt;=BL$8,$A480&lt;=BL$9),IF(SUM(BL$10:BL479)-ROUNDDOWN($L480*BL$5/100,0)&lt;-BL$6,-BL$6-SUM(BL$10:BL479),-ROUNDDOWN($L480*BL$5/100,0)),0)</f>
        <v>0</v>
      </c>
      <c r="BM480" s="38">
        <f>IF(AND(BM$7="○",$A480&gt;=BM$8,$A480&lt;=BM$9),IF(SUM(BM$10:BM479)-ROUNDDOWN($M480*BM$5/100,0)&lt;-BM$6,-BM$6-SUM(BM$10:BM479),-ROUNDDOWN($M480*BM$5/100,0)),0)</f>
        <v>0</v>
      </c>
      <c r="BN480" s="38">
        <f>IF(AND(BN$7="○",$A480&gt;=BN$8,$A480&lt;=BN$9),IF(SUM(BN$10:BN479)-ROUNDDOWN($M480*BN$5/100,0)&lt;-BN$6,-BN$6-SUM(BN$10:BN479),-ROUNDDOWN($M480*BN$5/100,0)),0)</f>
        <v>0</v>
      </c>
      <c r="BO480" s="38">
        <f>IF(AND(BO$7="○",$A480&gt;=BO$8,$A480&lt;=BO$9),IF(SUM(BO$10:BO479)-ROUNDDOWN($M480*BO$5/100,0)&lt;-BO$6,-BO$6-SUM(BO$10:BO479),-ROUNDDOWN($M480*BO$5/100,0)),0)</f>
        <v>0</v>
      </c>
      <c r="BP480" s="38">
        <f>IF(AND(BP$7="○",$A480&gt;=BP$8,$A480&lt;=BP$9),IF(SUM(BP$10:BP479)-ROUNDDOWN($M480*BP$5/100,0)&lt;-BP$6,-BP$6-SUM(BP$10:BP479),-ROUNDDOWN($M480*BP$5/100,0)),0)</f>
        <v>0</v>
      </c>
      <c r="BQ480" s="38">
        <f>IF(AND(BQ$7="○",$A480&gt;=BQ$8,$A480&lt;=BQ$9),IF(SUM(BQ$10:BQ479)-ROUNDDOWN($L480*BQ$5/100,0)&lt;-BQ$6,-BQ$6-SUM(BQ$10:BQ479),-ROUNDDOWN($L480*BQ$5/100,0)),0)</f>
        <v>0</v>
      </c>
      <c r="BR480" s="38">
        <f>IF(AND(BR$7="○",$A480&gt;=BR$8,$A480&lt;=BR$9),IF(SUM(BR$10:BR479)-ROUNDDOWN($M480*BR$5/100,0)&lt;-BR$6,-BR$6-SUM(BR$10:BR479),-ROUNDDOWN($M480*BR$5/100,0)),0)</f>
        <v>0</v>
      </c>
      <c r="BS480" s="38">
        <f>IF(AND(BS$7="○",$A480&gt;=BS$8,$A480&lt;=BS$9),IF(SUM(BS$10:BS479)-ROUNDDOWN($M480*BS$5/100,0)&lt;-BS$6,-BS$6-SUM(BS$10:BS479),-ROUNDDOWN($M480*BS$5/100,0)),0)</f>
        <v>0</v>
      </c>
      <c r="BT480" s="38">
        <f>IF(AND(BT$7="○",$A480&gt;=BT$8,$A480&lt;=BT$9),IF(SUM(BT$10:BT479)-ROUNDDOWN($M480*BT$5/100,0)&lt;-BT$6,-BT$6-SUM(BT$10:BT479),-ROUNDDOWN($M480*BT$5/100,0)),0)</f>
        <v>0</v>
      </c>
      <c r="BU480" s="38">
        <f>IF(AND(BU$7="○",$A480&gt;=BU$8,$A480&lt;=BU$9),IF(SUM(BU$10:BU479)-ROUNDDOWN($M480*BU$5/100,0)&lt;-BU$6,-BU$6-SUM(BU$10:BU479),-ROUNDDOWN($M480*BU$5/100,0)),0)</f>
        <v>0</v>
      </c>
      <c r="BV480" s="38">
        <f>IF(AND(BV$7="○",$A480&gt;=BV$8,$A480&lt;=BV$9),IF(SUM(BV$10:BV479)-ROUNDDOWN($M480*BV$5/100,0)&lt;-BV$6,-BV$6-SUM(BV$10:BV479),-ROUNDDOWN($M480*BV$5/100,0)),0)</f>
        <v>0</v>
      </c>
      <c r="BW480" s="38">
        <f>IF(AND(BW$7="○",$A480&gt;=BW$8,$A480&lt;=BW$9),IF(SUM(BW$10:BW479)-ROUNDDOWN($M480*BW$5/100,0)&lt;-BW$6,-BW$6-SUM(BW$10:BW479),-ROUNDDOWN($M480*BW$5/100,0)),0)</f>
        <v>0</v>
      </c>
      <c r="BX480" s="38">
        <f>IF(AND(T480="○",$A480&gt;=BX$8,$A480&lt;=BX$9),IF(SUM(BX$10:BX479)-ROUNDDOWN($K480*BX$5/100,0)&lt;-BX$6,-BX$6-SUM(BX$10:BX479),-ROUNDDOWN($K480*BX$5/100,0)),0)</f>
        <v>0</v>
      </c>
      <c r="BY480" s="38">
        <f>IF(AND(U480="○",$A480&gt;=BY$8,$A480&lt;=BY$9),IF(SUM(BY$10:BY479)-ROUNDDOWN($K480*BY$5/100,0)&lt;-BY$6,-BY$6-SUM(BY$10:BY479),-ROUNDDOWN($K480*BY$5/100,0)),0)</f>
        <v>0</v>
      </c>
      <c r="BZ480" s="38">
        <f>IF(AND(V480="○",$A480&gt;=BZ$8,$A480&lt;=BZ$9),IF(SUM(BZ$10:BZ479)-ROUNDDOWN($K480*BZ$5/100,0)&lt;-BZ$6,-BZ$6-SUM(BZ$10:BZ479),-ROUNDDOWN($K480*BZ$5/100,0)),0)</f>
        <v>0</v>
      </c>
      <c r="CA480" s="38">
        <f>IF(AND(W480="○",$A480&gt;=CA$8,$A480&lt;=CA$9),IF(SUM(CA$10:CA479)-ROUNDDOWN($K480*CA$5/100,0)&lt;-CA$6,-CA$6-SUM(CA$10:CA479),-ROUNDDOWN($K480*CA$5/100,0)),0)</f>
        <v>0</v>
      </c>
      <c r="CB480" s="38"/>
      <c r="CC480" s="38"/>
      <c r="CD480" s="38"/>
      <c r="CE480" s="38"/>
      <c r="CF480" s="38"/>
      <c r="CG480" s="65">
        <f t="shared" si="325"/>
        <v>0</v>
      </c>
      <c r="CH480" s="71">
        <f t="shared" si="326"/>
        <v>0</v>
      </c>
      <c r="CI480" s="1">
        <f t="shared" si="19"/>
        <v>0</v>
      </c>
      <c r="CJ480" s="1"/>
      <c r="CK480" s="75"/>
      <c r="CL480" s="75"/>
      <c r="CM480" s="2"/>
      <c r="CN480" s="2"/>
      <c r="CO480" s="73">
        <f t="shared" si="20"/>
        <v>0</v>
      </c>
      <c r="CP480" s="5">
        <f t="shared" si="21"/>
        <v>0</v>
      </c>
      <c r="CQ480" s="1"/>
      <c r="CR480" s="1">
        <f t="shared" si="22"/>
        <v>0</v>
      </c>
      <c r="CS480" s="1"/>
      <c r="CT480" s="1" t="e">
        <f>INDEX([2]マスタ!$A:$A,MATCH(D480,[2]マスタ!$C:$C,0))</f>
        <v>#N/A</v>
      </c>
      <c r="CU480" s="1" t="str">
        <f t="shared" ca="1" si="23"/>
        <v>20260620_0-0</v>
      </c>
    </row>
    <row r="481" spans="1:99" x14ac:dyDescent="0.4">
      <c r="A481" s="61"/>
      <c r="B481" s="62"/>
      <c r="C481" s="62"/>
      <c r="D481" s="62"/>
      <c r="E481" s="74"/>
      <c r="F481" s="62"/>
      <c r="G481" s="62">
        <v>1</v>
      </c>
      <c r="H481" s="64">
        <f t="shared" si="4"/>
        <v>0</v>
      </c>
      <c r="I481" s="64"/>
      <c r="J481" s="64"/>
      <c r="K481" s="65">
        <f t="shared" si="327"/>
        <v>0</v>
      </c>
      <c r="L481" s="65">
        <f t="shared" si="6"/>
        <v>0</v>
      </c>
      <c r="M481" s="65">
        <f t="shared" si="7"/>
        <v>0</v>
      </c>
      <c r="N481" s="65">
        <f t="shared" si="8"/>
        <v>0</v>
      </c>
      <c r="O481" s="66" t="str">
        <f t="shared" si="9"/>
        <v>✕</v>
      </c>
      <c r="P481" s="67" t="str">
        <f t="shared" si="10"/>
        <v>○</v>
      </c>
      <c r="Q481" s="67" t="str">
        <f t="shared" si="328"/>
        <v>✕</v>
      </c>
      <c r="R481" s="67" t="str">
        <f t="shared" si="12"/>
        <v>✕</v>
      </c>
      <c r="S481" s="68">
        <v>0</v>
      </c>
      <c r="T481" s="69" t="s">
        <v>85</v>
      </c>
      <c r="U481" s="69" t="s">
        <v>85</v>
      </c>
      <c r="V481" s="69" t="s">
        <v>85</v>
      </c>
      <c r="W481" s="69" t="s">
        <v>85</v>
      </c>
      <c r="X481" s="69" t="s">
        <v>84</v>
      </c>
      <c r="Y481" s="69" t="s">
        <v>85</v>
      </c>
      <c r="Z481" s="69" t="s">
        <v>85</v>
      </c>
      <c r="AA481" s="69" t="s">
        <v>85</v>
      </c>
      <c r="AB481" s="69" t="s">
        <v>85</v>
      </c>
      <c r="AC481" s="69" t="s">
        <v>85</v>
      </c>
      <c r="AD481" s="38" t="str">
        <f>+IF(ISERROR(VLOOKUP($B481,AD$10:AD480,1,0)),IF(AND($N481&gt;=1000,$A481&gt;=AO$8,$A481&lt;=AO$9),$B481,""),"")</f>
        <v/>
      </c>
      <c r="AE481" s="38" t="str">
        <f>+IF(ISERROR(VLOOKUP($B481,AE$10:AE480,1,0)),IF(AND($N481&gt;=1000,$A481&gt;=AP$8,$A481&lt;=AP$9),$B481,""),"")</f>
        <v/>
      </c>
      <c r="AF481" s="38" t="str">
        <f>+IF(ISERROR(VLOOKUP($B481,AF$10:AF480,1,0)),IF(AND($N481&gt;=1000,$A481&gt;=AQ$8,$A481&lt;=AQ$9),$B481,""),"")</f>
        <v/>
      </c>
      <c r="AG481" s="38" t="str">
        <f>+IF(ISERROR(VLOOKUP($B481,AG$10:AG480,1,0)),IF(AND($N481&gt;=1000,$A481&gt;=AR$8,$A481&lt;=AR$9),$B481,""),"")</f>
        <v/>
      </c>
      <c r="AH481" s="38"/>
      <c r="AI481" s="70">
        <v>0</v>
      </c>
      <c r="AJ481" s="38">
        <f>IF(AND(AJ$7="○",$A481&gt;=AJ$8,$A481&lt;=AJ$9),IF(SUM(AJ$10:AJ480)-ROUNDDOWN($K481*AJ$5/100,0)&lt;-AJ$6,-AJ$6-SUM(AJ$10:AJ480),-ROUNDDOWN($K481*AJ$5/100,0)),0)</f>
        <v>0</v>
      </c>
      <c r="AK481" s="38">
        <f>IF(AND(AK$7="○",$A481&gt;=AK$8,$A481&lt;=AK$9),IF(SUM(AK$10:AK480)-ROUNDDOWN($L481*AK$5/100,0)&lt;-AK$6,-AK$6-SUM(AK$10:AK480),-ROUNDDOWN($L481*AK$5/100,0)),0)</f>
        <v>0</v>
      </c>
      <c r="AL481" s="38">
        <f>IF(AND(AL$7="○",$A481&gt;=AL$8,$A481&lt;=AL$9),IF(SUM(AL$10:AL480)-ROUNDDOWN($N481*AL$5/100,0)&lt;-AL$6,-AL$6-SUM(AL$10:AL480),-ROUNDDOWN($N481*AL$5/100,0)),0)</f>
        <v>0</v>
      </c>
      <c r="AM481" s="38">
        <f>IF(AND(AM$7="○",$A481&gt;=AM$8,$A481&lt;=AM$9),IF(SUM(AM$10:AM480)-ROUNDDOWN($L481*AM$5/100,0)&lt;-AM$6,-AM$6-SUM(AM$10:AM480),-ROUNDDOWN($L481*AM$5/100,0)),0)</f>
        <v>0</v>
      </c>
      <c r="AN481" s="38">
        <f>IF(AND(AN$7="○",$A481&gt;=AN$8,$A481&lt;=AN$9),IF(SUM(AN$10:AN480)-ROUNDDOWN($M481*AN$5/100,0)&lt;-AN$6,-AN$6-SUM(AN$10:AN480),-ROUNDDOWN($M481*AN$5/100,0)),0)</f>
        <v>0</v>
      </c>
      <c r="AO481" s="38">
        <f>IF(AND($A481&gt;=AO$8,$A481&lt;=AO$9),IF(SUM(AO$10:AO480)-ROUNDDOWN($K481*AO$5/100,0)&lt;-AO$6,-AO$6-SUM(AO$10:AO480),-ROUNDDOWN($K481*AO$5/100,0)),0)</f>
        <v>0</v>
      </c>
      <c r="AP481" s="38">
        <f>IF(AND($A481&gt;=AP$8,$A481&lt;=AP$9),IF(SUM(AP$10:AP480)-ROUNDDOWN($K481*AP$5/100,0)&lt;-AP$6,-AP$6-SUM(AP$10:AP480),-ROUNDDOWN($K481*AP$5/100,0)),0)</f>
        <v>0</v>
      </c>
      <c r="AQ481" s="38">
        <f>IF(AND($A481&gt;=AQ$8,$A481&lt;=AQ$9),IF(SUM(AQ$10:AQ480)-ROUNDDOWN($K481*AQ$5/100,0)&lt;-AQ$6,-AQ$6-SUM(AQ$10:AQ480),-ROUNDDOWN($K481*AQ$5/100,0)),0)</f>
        <v>0</v>
      </c>
      <c r="AR481" s="38">
        <f>IF(AND($A481&gt;=AR$8,$A481&lt;=AR$9),IF(SUM(AR$10:AR480)-ROUNDDOWN($K481*AR$5/100,0)&lt;-AR$6,-AR$6-SUM(AR$10:AR480),-ROUNDDOWN($K481*AR$5/100,0)),0)</f>
        <v>0</v>
      </c>
      <c r="AS481" s="38">
        <f>IF(SUMIFS(AS$10:AS480,$A$10:$A480,$A481)-ROUNDDOWN($K481*$S481/100,0)&lt;-$S481*1000,-$S481*1000-SUMIFS(AS$10:AS480,$A$10:$A480,$A481),-ROUNDDOWN($K481*$S481/100,0))</f>
        <v>0</v>
      </c>
      <c r="AT481" s="38">
        <f>IF(AND(X481="○",$A481&gt;=AT$8,$A481&lt;=AT$9,K481&gt;=3980),IF(SUM(AT$10:AT480)-ROUNDDOWN($K481*AT$5/100,0)&lt;-AT$6,-AT$6-SUM(AT$10:AT480),-ROUNDDOWN($K481*AT$5/100,0)),0)</f>
        <v>0</v>
      </c>
      <c r="AU481" s="38">
        <f>IF(O481="○",IF(SUM(AU$10:AU480)-ROUNDDOWN($K481*AU$5/100,0)&lt;-AU$6,-AU$6-SUM(AU$10:AU480),-ROUNDDOWN($K481*AU$5/100,0)),0)</f>
        <v>0</v>
      </c>
      <c r="AV481" s="38">
        <f>IF(P481="○",IF(SUM(AV$10:AV480)-ROUNDDOWN($K481*AV$5/100,0)&lt;-AV$6,-AV$6-SUM(AV$10:AV480),-ROUNDDOWN($K481*AV$5/100,0)),0)</f>
        <v>0</v>
      </c>
      <c r="AW481" s="38">
        <f>IF(Q481="○",IF(SUM(AW$10:AW480)-ROUNDDOWN($K481*AW$5/100,0)&lt;-AW$6,-AW$6-SUM(AW$10:AW480),-ROUNDDOWN($K481*AW$5/100,0)),0)</f>
        <v>0</v>
      </c>
      <c r="AX481" s="38">
        <f>IF(R481="○",IF(SUM(AX$10:AX480)-ROUNDDOWN($K481*AX$5/100,0)&lt;-AX$6,-AX$6-SUM(AX$10:AX480),-ROUNDDOWN($K481*AX$5/100,0)),0)</f>
        <v>0</v>
      </c>
      <c r="AY481" s="70">
        <v>0</v>
      </c>
      <c r="AZ481" s="65">
        <f t="shared" si="319"/>
        <v>0</v>
      </c>
      <c r="BA481" s="65">
        <f t="shared" si="320"/>
        <v>0</v>
      </c>
      <c r="BB481" s="70"/>
      <c r="BC481" s="65">
        <f t="shared" si="321"/>
        <v>0</v>
      </c>
      <c r="BD481" s="70">
        <v>0</v>
      </c>
      <c r="BE481" s="65">
        <f t="shared" si="322"/>
        <v>0</v>
      </c>
      <c r="BF481" s="70">
        <v>0</v>
      </c>
      <c r="BG481" s="65">
        <f t="shared" si="323"/>
        <v>0</v>
      </c>
      <c r="BH481" s="70">
        <v>0</v>
      </c>
      <c r="BI481" s="65">
        <f t="shared" si="324"/>
        <v>0</v>
      </c>
      <c r="BJ481" s="38">
        <f>IF(AND(BJ$7="○",$A481&gt;=BJ$8,$A481&lt;=BJ$9),IF(SUM(BJ$10:BJ480)-ROUNDDOWN($M481*BJ$5/100,0)&lt;-BJ$6,-BJ$6-SUM(BJ$10:BJ480),-ROUNDDOWN($M481*BJ$5/100,0)),0)</f>
        <v>0</v>
      </c>
      <c r="BK481" s="38">
        <f>IF(AND(BK$7="○",$A481&gt;=BK$8,$A481&lt;=BK$9),IF(SUM(BK$10:BK480)-ROUNDDOWN($L481*BK$5/100,0)&lt;-BK$6,-BK$6-SUM(BK$10:BK480),-ROUNDDOWN($L481*BK$5/100,0)),0)</f>
        <v>0</v>
      </c>
      <c r="BL481" s="38">
        <f>IF(AND(BL$7="○",$A481&gt;=BL$8,$A481&lt;=BL$9),IF(SUM(BL$10:BL480)-ROUNDDOWN($L481*BL$5/100,0)&lt;-BL$6,-BL$6-SUM(BL$10:BL480),-ROUNDDOWN($L481*BL$5/100,0)),0)</f>
        <v>0</v>
      </c>
      <c r="BM481" s="38">
        <f>IF(AND(BM$7="○",$A481&gt;=BM$8,$A481&lt;=BM$9),IF(SUM(BM$10:BM480)-ROUNDDOWN($M481*BM$5/100,0)&lt;-BM$6,-BM$6-SUM(BM$10:BM480),-ROUNDDOWN($M481*BM$5/100,0)),0)</f>
        <v>0</v>
      </c>
      <c r="BN481" s="38">
        <f>IF(AND(BN$7="○",$A481&gt;=BN$8,$A481&lt;=BN$9),IF(SUM(BN$10:BN480)-ROUNDDOWN($M481*BN$5/100,0)&lt;-BN$6,-BN$6-SUM(BN$10:BN480),-ROUNDDOWN($M481*BN$5/100,0)),0)</f>
        <v>0</v>
      </c>
      <c r="BO481" s="38">
        <f>IF(AND(BO$7="○",$A481&gt;=BO$8,$A481&lt;=BO$9),IF(SUM(BO$10:BO480)-ROUNDDOWN($M481*BO$5/100,0)&lt;-BO$6,-BO$6-SUM(BO$10:BO480),-ROUNDDOWN($M481*BO$5/100,0)),0)</f>
        <v>0</v>
      </c>
      <c r="BP481" s="38">
        <f>IF(AND(BP$7="○",$A481&gt;=BP$8,$A481&lt;=BP$9),IF(SUM(BP$10:BP480)-ROUNDDOWN($M481*BP$5/100,0)&lt;-BP$6,-BP$6-SUM(BP$10:BP480),-ROUNDDOWN($M481*BP$5/100,0)),0)</f>
        <v>0</v>
      </c>
      <c r="BQ481" s="38">
        <f>IF(AND(BQ$7="○",$A481&gt;=BQ$8,$A481&lt;=BQ$9),IF(SUM(BQ$10:BQ480)-ROUNDDOWN($L481*BQ$5/100,0)&lt;-BQ$6,-BQ$6-SUM(BQ$10:BQ480),-ROUNDDOWN($L481*BQ$5/100,0)),0)</f>
        <v>0</v>
      </c>
      <c r="BR481" s="38">
        <f>IF(AND(BR$7="○",$A481&gt;=BR$8,$A481&lt;=BR$9),IF(SUM(BR$10:BR480)-ROUNDDOWN($M481*BR$5/100,0)&lt;-BR$6,-BR$6-SUM(BR$10:BR480),-ROUNDDOWN($M481*BR$5/100,0)),0)</f>
        <v>0</v>
      </c>
      <c r="BS481" s="38">
        <f>IF(AND(BS$7="○",$A481&gt;=BS$8,$A481&lt;=BS$9),IF(SUM(BS$10:BS480)-ROUNDDOWN($M481*BS$5/100,0)&lt;-BS$6,-BS$6-SUM(BS$10:BS480),-ROUNDDOWN($M481*BS$5/100,0)),0)</f>
        <v>0</v>
      </c>
      <c r="BT481" s="38">
        <f>IF(AND(BT$7="○",$A481&gt;=BT$8,$A481&lt;=BT$9),IF(SUM(BT$10:BT480)-ROUNDDOWN($M481*BT$5/100,0)&lt;-BT$6,-BT$6-SUM(BT$10:BT480),-ROUNDDOWN($M481*BT$5/100,0)),0)</f>
        <v>0</v>
      </c>
      <c r="BU481" s="38">
        <f>IF(AND(BU$7="○",$A481&gt;=BU$8,$A481&lt;=BU$9),IF(SUM(BU$10:BU480)-ROUNDDOWN($M481*BU$5/100,0)&lt;-BU$6,-BU$6-SUM(BU$10:BU480),-ROUNDDOWN($M481*BU$5/100,0)),0)</f>
        <v>0</v>
      </c>
      <c r="BV481" s="38">
        <f>IF(AND(BV$7="○",$A481&gt;=BV$8,$A481&lt;=BV$9),IF(SUM(BV$10:BV480)-ROUNDDOWN($M481*BV$5/100,0)&lt;-BV$6,-BV$6-SUM(BV$10:BV480),-ROUNDDOWN($M481*BV$5/100,0)),0)</f>
        <v>0</v>
      </c>
      <c r="BW481" s="38">
        <f>IF(AND(BW$7="○",$A481&gt;=BW$8,$A481&lt;=BW$9),IF(SUM(BW$10:BW480)-ROUNDDOWN($M481*BW$5/100,0)&lt;-BW$6,-BW$6-SUM(BW$10:BW480),-ROUNDDOWN($M481*BW$5/100,0)),0)</f>
        <v>0</v>
      </c>
      <c r="BX481" s="38">
        <f>IF(AND(T481="○",$A481&gt;=BX$8,$A481&lt;=BX$9),IF(SUM(BX$10:BX480)-ROUNDDOWN($K481*BX$5/100,0)&lt;-BX$6,-BX$6-SUM(BX$10:BX480),-ROUNDDOWN($K481*BX$5/100,0)),0)</f>
        <v>0</v>
      </c>
      <c r="BY481" s="38">
        <f>IF(AND(U481="○",$A481&gt;=BY$8,$A481&lt;=BY$9),IF(SUM(BY$10:BY480)-ROUNDDOWN($K481*BY$5/100,0)&lt;-BY$6,-BY$6-SUM(BY$10:BY480),-ROUNDDOWN($K481*BY$5/100,0)),0)</f>
        <v>0</v>
      </c>
      <c r="BZ481" s="38">
        <f>IF(AND(V481="○",$A481&gt;=BZ$8,$A481&lt;=BZ$9),IF(SUM(BZ$10:BZ480)-ROUNDDOWN($K481*BZ$5/100,0)&lt;-BZ$6,-BZ$6-SUM(BZ$10:BZ480),-ROUNDDOWN($K481*BZ$5/100,0)),0)</f>
        <v>0</v>
      </c>
      <c r="CA481" s="38">
        <f>IF(AND(W481="○",$A481&gt;=CA$8,$A481&lt;=CA$9),IF(SUM(CA$10:CA480)-ROUNDDOWN($K481*CA$5/100,0)&lt;-CA$6,-CA$6-SUM(CA$10:CA480),-ROUNDDOWN($K481*CA$5/100,0)),0)</f>
        <v>0</v>
      </c>
      <c r="CB481" s="38"/>
      <c r="CC481" s="38"/>
      <c r="CD481" s="38"/>
      <c r="CE481" s="38"/>
      <c r="CF481" s="38"/>
      <c r="CG481" s="65">
        <f t="shared" si="325"/>
        <v>0</v>
      </c>
      <c r="CH481" s="71">
        <f t="shared" si="326"/>
        <v>0</v>
      </c>
      <c r="CI481" s="1">
        <f t="shared" si="19"/>
        <v>0</v>
      </c>
      <c r="CJ481" s="1"/>
      <c r="CK481" s="75"/>
      <c r="CL481" s="75"/>
      <c r="CM481" s="2"/>
      <c r="CN481" s="2"/>
      <c r="CO481" s="73">
        <f t="shared" si="20"/>
        <v>0</v>
      </c>
      <c r="CP481" s="5">
        <f t="shared" si="21"/>
        <v>0</v>
      </c>
      <c r="CQ481" s="1"/>
      <c r="CR481" s="1">
        <f t="shared" si="22"/>
        <v>0</v>
      </c>
      <c r="CS481" s="1"/>
      <c r="CT481" s="1" t="e">
        <f>INDEX([2]マスタ!$A:$A,MATCH(D481,[2]マスタ!$C:$C,0))</f>
        <v>#N/A</v>
      </c>
      <c r="CU481" s="1" t="str">
        <f t="shared" ca="1" si="23"/>
        <v>20260620_0-0</v>
      </c>
    </row>
    <row r="482" spans="1:99" x14ac:dyDescent="0.4">
      <c r="A482" s="61"/>
      <c r="B482" s="62"/>
      <c r="C482" s="62"/>
      <c r="D482" s="62"/>
      <c r="E482" s="74"/>
      <c r="F482" s="62"/>
      <c r="G482" s="62">
        <v>1</v>
      </c>
      <c r="H482" s="64">
        <f t="shared" si="4"/>
        <v>0</v>
      </c>
      <c r="I482" s="64"/>
      <c r="J482" s="64"/>
      <c r="K482" s="65">
        <f>+ROUNDDOWN((H482+I482)/100,0)*100</f>
        <v>0</v>
      </c>
      <c r="L482" s="65">
        <f t="shared" si="6"/>
        <v>0</v>
      </c>
      <c r="M482" s="65">
        <f t="shared" si="7"/>
        <v>0</v>
      </c>
      <c r="N482" s="65">
        <f t="shared" si="8"/>
        <v>0</v>
      </c>
      <c r="O482" s="66" t="str">
        <f t="shared" si="9"/>
        <v>✕</v>
      </c>
      <c r="P482" s="67" t="str">
        <f t="shared" si="10"/>
        <v>○</v>
      </c>
      <c r="Q482" s="67" t="str">
        <f>+IF((TEXT($A482,"DD")+0)=1,"○","✕")</f>
        <v>✕</v>
      </c>
      <c r="R482" s="67" t="str">
        <f t="shared" si="12"/>
        <v>✕</v>
      </c>
      <c r="S482" s="68">
        <v>0</v>
      </c>
      <c r="T482" s="69" t="s">
        <v>85</v>
      </c>
      <c r="U482" s="69" t="s">
        <v>85</v>
      </c>
      <c r="V482" s="69" t="s">
        <v>85</v>
      </c>
      <c r="W482" s="69" t="s">
        <v>85</v>
      </c>
      <c r="X482" s="69" t="s">
        <v>84</v>
      </c>
      <c r="Y482" s="69" t="s">
        <v>85</v>
      </c>
      <c r="Z482" s="69" t="s">
        <v>85</v>
      </c>
      <c r="AA482" s="69" t="s">
        <v>85</v>
      </c>
      <c r="AB482" s="69" t="s">
        <v>85</v>
      </c>
      <c r="AC482" s="69" t="s">
        <v>85</v>
      </c>
      <c r="AD482" s="38" t="str">
        <f>+IF(ISERROR(VLOOKUP($B482,AD$10:AD481,1,0)),IF(AND($N482&gt;=1000,$A482&gt;=AO$8,$A482&lt;=AO$9),$B482,""),"")</f>
        <v/>
      </c>
      <c r="AE482" s="38" t="str">
        <f>+IF(ISERROR(VLOOKUP($B482,AE$10:AE481,1,0)),IF(AND($N482&gt;=1000,$A482&gt;=AP$8,$A482&lt;=AP$9),$B482,""),"")</f>
        <v/>
      </c>
      <c r="AF482" s="38" t="str">
        <f>+IF(ISERROR(VLOOKUP($B482,AF$10:AF481,1,0)),IF(AND($N482&gt;=1000,$A482&gt;=AQ$8,$A482&lt;=AQ$9),$B482,""),"")</f>
        <v/>
      </c>
      <c r="AG482" s="38" t="str">
        <f>+IF(ISERROR(VLOOKUP($B482,AG$10:AG481,1,0)),IF(AND($N482&gt;=1000,$A482&gt;=AR$8,$A482&lt;=AR$9),$B482,""),"")</f>
        <v/>
      </c>
      <c r="AH482" s="38"/>
      <c r="AI482" s="70">
        <v>0</v>
      </c>
      <c r="AJ482" s="38">
        <f>IF(AND(AJ$7="○",$A482&gt;=AJ$8,$A482&lt;=AJ$9),IF(SUM(AJ$10:AJ481)-ROUNDDOWN($K482*AJ$5/100,0)&lt;-AJ$6,-AJ$6-SUM(AJ$10:AJ481),-ROUNDDOWN($K482*AJ$5/100,0)),0)</f>
        <v>0</v>
      </c>
      <c r="AK482" s="38">
        <f>IF(AND(AK$7="○",$A482&gt;=AK$8,$A482&lt;=AK$9),IF(SUM(AK$10:AK481)-ROUNDDOWN($L482*AK$5/100,0)&lt;-AK$6,-AK$6-SUM(AK$10:AK481),-ROUNDDOWN($L482*AK$5/100,0)),0)</f>
        <v>0</v>
      </c>
      <c r="AL482" s="38">
        <f>IF(AND(AL$7="○",$A482&gt;=AL$8,$A482&lt;=AL$9),IF(SUM(AL$10:AL481)-ROUNDDOWN($N482*AL$5/100,0)&lt;-AL$6,-AL$6-SUM(AL$10:AL481),-ROUNDDOWN($N482*AL$5/100,0)),0)</f>
        <v>0</v>
      </c>
      <c r="AM482" s="38">
        <f>IF(AND(AM$7="○",$A482&gt;=AM$8,$A482&lt;=AM$9),IF(SUM(AM$10:AM481)-ROUNDDOWN($L482*AM$5/100,0)&lt;-AM$6,-AM$6-SUM(AM$10:AM481),-ROUNDDOWN($L482*AM$5/100,0)),0)</f>
        <v>0</v>
      </c>
      <c r="AN482" s="38">
        <f>IF(AND(AN$7="○",$A482&gt;=AN$8,$A482&lt;=AN$9),IF(SUM(AN$10:AN481)-ROUNDDOWN($M482*AN$5/100,0)&lt;-AN$6,-AN$6-SUM(AN$10:AN481),-ROUNDDOWN($M482*AN$5/100,0)),0)</f>
        <v>0</v>
      </c>
      <c r="AO482" s="38">
        <f>IF(AND($A482&gt;=AO$8,$A482&lt;=AO$9),IF(SUM(AO$10:AO481)-ROUNDDOWN($K482*AO$5/100,0)&lt;-AO$6,-AO$6-SUM(AO$10:AO481),-ROUNDDOWN($K482*AO$5/100,0)),0)</f>
        <v>0</v>
      </c>
      <c r="AP482" s="38">
        <f>IF(AND($A482&gt;=AP$8,$A482&lt;=AP$9),IF(SUM(AP$10:AP481)-ROUNDDOWN($K482*AP$5/100,0)&lt;-AP$6,-AP$6-SUM(AP$10:AP481),-ROUNDDOWN($K482*AP$5/100,0)),0)</f>
        <v>0</v>
      </c>
      <c r="AQ482" s="38">
        <f>IF(AND($A482&gt;=AQ$8,$A482&lt;=AQ$9),IF(SUM(AQ$10:AQ481)-ROUNDDOWN($K482*AQ$5/100,0)&lt;-AQ$6,-AQ$6-SUM(AQ$10:AQ481),-ROUNDDOWN($K482*AQ$5/100,0)),0)</f>
        <v>0</v>
      </c>
      <c r="AR482" s="38">
        <f>IF(AND($A482&gt;=AR$8,$A482&lt;=AR$9),IF(SUM(AR$10:AR481)-ROUNDDOWN($K482*AR$5/100,0)&lt;-AR$6,-AR$6-SUM(AR$10:AR481),-ROUNDDOWN($K482*AR$5/100,0)),0)</f>
        <v>0</v>
      </c>
      <c r="AS482" s="38">
        <f>IF(SUMIFS(AS$10:AS481,$A$10:$A481,$A482)-ROUNDDOWN($K482*$S482/100,0)&lt;-$S482*1000,-$S482*1000-SUMIFS(AS$10:AS481,$A$10:$A481,$A482),-ROUNDDOWN($K482*$S482/100,0))</f>
        <v>0</v>
      </c>
      <c r="AT482" s="38">
        <f>IF(AND(X482="○",$A482&gt;=AT$8,$A482&lt;=AT$9,K482&gt;=3980),IF(SUM(AT$10:AT481)-ROUNDDOWN($K482*AT$5/100,0)&lt;-AT$6,-AT$6-SUM(AT$10:AT481),-ROUNDDOWN($K482*AT$5/100,0)),0)</f>
        <v>0</v>
      </c>
      <c r="AU482" s="38">
        <f>IF(O482="○",IF(SUM(AU$10:AU481)-ROUNDDOWN($K482*AU$5/100,0)&lt;-AU$6,-AU$6-SUM(AU$10:AU481),-ROUNDDOWN($K482*AU$5/100,0)),0)</f>
        <v>0</v>
      </c>
      <c r="AV482" s="38">
        <f>IF(P482="○",IF(SUM(AV$10:AV481)-ROUNDDOWN($K482*AV$5/100,0)&lt;-AV$6,-AV$6-SUM(AV$10:AV481),-ROUNDDOWN($K482*AV$5/100,0)),0)</f>
        <v>0</v>
      </c>
      <c r="AW482" s="38">
        <f>IF(Q482="○",IF(SUM(AW$10:AW481)-ROUNDDOWN($K482*AW$5/100,0)&lt;-AW$6,-AW$6-SUM(AW$10:AW481),-ROUNDDOWN($K482*AW$5/100,0)),0)</f>
        <v>0</v>
      </c>
      <c r="AX482" s="38">
        <f>IF(R482="○",IF(SUM(AX$10:AX481)-ROUNDDOWN($K482*AX$5/100,0)&lt;-AX$6,-AX$6-SUM(AX$10:AX481),-ROUNDDOWN($K482*AX$5/100,0)),0)</f>
        <v>0</v>
      </c>
      <c r="AY482" s="70">
        <v>0</v>
      </c>
      <c r="AZ482" s="65">
        <f t="shared" si="319"/>
        <v>0</v>
      </c>
      <c r="BA482" s="65">
        <f t="shared" si="320"/>
        <v>0</v>
      </c>
      <c r="BB482" s="70"/>
      <c r="BC482" s="65">
        <f t="shared" si="321"/>
        <v>0</v>
      </c>
      <c r="BD482" s="70">
        <v>0</v>
      </c>
      <c r="BE482" s="65">
        <f t="shared" si="322"/>
        <v>0</v>
      </c>
      <c r="BF482" s="70">
        <v>0</v>
      </c>
      <c r="BG482" s="65">
        <f t="shared" si="323"/>
        <v>0</v>
      </c>
      <c r="BH482" s="70">
        <v>0</v>
      </c>
      <c r="BI482" s="65">
        <f t="shared" si="324"/>
        <v>0</v>
      </c>
      <c r="BJ482" s="38">
        <f>IF(AND(BJ$7="○",$A482&gt;=BJ$8,$A482&lt;=BJ$9),IF(SUM(BJ$10:BJ481)-ROUNDDOWN($M482*BJ$5/100,0)&lt;-BJ$6,-BJ$6-SUM(BJ$10:BJ481),-ROUNDDOWN($M482*BJ$5/100,0)),0)</f>
        <v>0</v>
      </c>
      <c r="BK482" s="38">
        <f>IF(AND(BK$7="○",$A482&gt;=BK$8,$A482&lt;=BK$9),IF(SUM(BK$10:BK481)-ROUNDDOWN($L482*BK$5/100,0)&lt;-BK$6,-BK$6-SUM(BK$10:BK481),-ROUNDDOWN($L482*BK$5/100,0)),0)</f>
        <v>0</v>
      </c>
      <c r="BL482" s="38">
        <f>IF(AND(BL$7="○",$A482&gt;=BL$8,$A482&lt;=BL$9),IF(SUM(BL$10:BL481)-ROUNDDOWN($L482*BL$5/100,0)&lt;-BL$6,-BL$6-SUM(BL$10:BL481),-ROUNDDOWN($L482*BL$5/100,0)),0)</f>
        <v>0</v>
      </c>
      <c r="BM482" s="38">
        <f>IF(AND(BM$7="○",$A482&gt;=BM$8,$A482&lt;=BM$9),IF(SUM(BM$10:BM481)-ROUNDDOWN($M482*BM$5/100,0)&lt;-BM$6,-BM$6-SUM(BM$10:BM481),-ROUNDDOWN($M482*BM$5/100,0)),0)</f>
        <v>0</v>
      </c>
      <c r="BN482" s="38">
        <f>IF(AND(BN$7="○",$A482&gt;=BN$8,$A482&lt;=BN$9),IF(SUM(BN$10:BN481)-ROUNDDOWN($M482*BN$5/100,0)&lt;-BN$6,-BN$6-SUM(BN$10:BN481),-ROUNDDOWN($M482*BN$5/100,0)),0)</f>
        <v>0</v>
      </c>
      <c r="BO482" s="38">
        <f>IF(AND(BO$7="○",$A482&gt;=BO$8,$A482&lt;=BO$9),IF(SUM(BO$10:BO481)-ROUNDDOWN($M482*BO$5/100,0)&lt;-BO$6,-BO$6-SUM(BO$10:BO481),-ROUNDDOWN($M482*BO$5/100,0)),0)</f>
        <v>0</v>
      </c>
      <c r="BP482" s="38">
        <f>IF(AND(BP$7="○",$A482&gt;=BP$8,$A482&lt;=BP$9),IF(SUM(BP$10:BP481)-ROUNDDOWN($M482*BP$5/100,0)&lt;-BP$6,-BP$6-SUM(BP$10:BP481),-ROUNDDOWN($M482*BP$5/100,0)),0)</f>
        <v>0</v>
      </c>
      <c r="BQ482" s="38">
        <f>IF(AND(BQ$7="○",$A482&gt;=BQ$8,$A482&lt;=BQ$9),IF(SUM(BQ$10:BQ481)-ROUNDDOWN($L482*BQ$5/100,0)&lt;-BQ$6,-BQ$6-SUM(BQ$10:BQ481),-ROUNDDOWN($L482*BQ$5/100,0)),0)</f>
        <v>0</v>
      </c>
      <c r="BR482" s="38">
        <f>IF(AND(BR$7="○",$A482&gt;=BR$8,$A482&lt;=BR$9),IF(SUM(BR$10:BR481)-ROUNDDOWN($M482*BR$5/100,0)&lt;-BR$6,-BR$6-SUM(BR$10:BR481),-ROUNDDOWN($M482*BR$5/100,0)),0)</f>
        <v>0</v>
      </c>
      <c r="BS482" s="38">
        <f>IF(AND(BS$7="○",$A482&gt;=BS$8,$A482&lt;=BS$9),IF(SUM(BS$10:BS481)-ROUNDDOWN($M482*BS$5/100,0)&lt;-BS$6,-BS$6-SUM(BS$10:BS481),-ROUNDDOWN($M482*BS$5/100,0)),0)</f>
        <v>0</v>
      </c>
      <c r="BT482" s="38">
        <f>IF(AND(BT$7="○",$A482&gt;=BT$8,$A482&lt;=BT$9),IF(SUM(BT$10:BT481)-ROUNDDOWN($M482*BT$5/100,0)&lt;-BT$6,-BT$6-SUM(BT$10:BT481),-ROUNDDOWN($M482*BT$5/100,0)),0)</f>
        <v>0</v>
      </c>
      <c r="BU482" s="38">
        <f>IF(AND(BU$7="○",$A482&gt;=BU$8,$A482&lt;=BU$9),IF(SUM(BU$10:BU481)-ROUNDDOWN($M482*BU$5/100,0)&lt;-BU$6,-BU$6-SUM(BU$10:BU481),-ROUNDDOWN($M482*BU$5/100,0)),0)</f>
        <v>0</v>
      </c>
      <c r="BV482" s="38">
        <f>IF(AND(BV$7="○",$A482&gt;=BV$8,$A482&lt;=BV$9),IF(SUM(BV$10:BV481)-ROUNDDOWN($M482*BV$5/100,0)&lt;-BV$6,-BV$6-SUM(BV$10:BV481),-ROUNDDOWN($M482*BV$5/100,0)),0)</f>
        <v>0</v>
      </c>
      <c r="BW482" s="38">
        <f>IF(AND(BW$7="○",$A482&gt;=BW$8,$A482&lt;=BW$9),IF(SUM(BW$10:BW481)-ROUNDDOWN($M482*BW$5/100,0)&lt;-BW$6,-BW$6-SUM(BW$10:BW481),-ROUNDDOWN($M482*BW$5/100,0)),0)</f>
        <v>0</v>
      </c>
      <c r="BX482" s="38">
        <f>IF(AND(T482="○",$A482&gt;=BX$8,$A482&lt;=BX$9),IF(SUM(BX$10:BX481)-ROUNDDOWN($K482*BX$5/100,0)&lt;-BX$6,-BX$6-SUM(BX$10:BX481),-ROUNDDOWN($K482*BX$5/100,0)),0)</f>
        <v>0</v>
      </c>
      <c r="BY482" s="38">
        <f>IF(AND(U482="○",$A482&gt;=BY$8,$A482&lt;=BY$9),IF(SUM(BY$10:BY481)-ROUNDDOWN($K482*BY$5/100,0)&lt;-BY$6,-BY$6-SUM(BY$10:BY481),-ROUNDDOWN($K482*BY$5/100,0)),0)</f>
        <v>0</v>
      </c>
      <c r="BZ482" s="38">
        <f>IF(AND(V482="○",$A482&gt;=BZ$8,$A482&lt;=BZ$9),IF(SUM(BZ$10:BZ481)-ROUNDDOWN($K482*BZ$5/100,0)&lt;-BZ$6,-BZ$6-SUM(BZ$10:BZ481),-ROUNDDOWN($K482*BZ$5/100,0)),0)</f>
        <v>0</v>
      </c>
      <c r="CA482" s="38">
        <f>IF(AND(W482="○",$A482&gt;=CA$8,$A482&lt;=CA$9),IF(SUM(CA$10:CA481)-ROUNDDOWN($K482*CA$5/100,0)&lt;-CA$6,-CA$6-SUM(CA$10:CA481),-ROUNDDOWN($K482*CA$5/100,0)),0)</f>
        <v>0</v>
      </c>
      <c r="CB482" s="38"/>
      <c r="CC482" s="38"/>
      <c r="CD482" s="38"/>
      <c r="CE482" s="38"/>
      <c r="CF482" s="38"/>
      <c r="CG482" s="65">
        <f t="shared" si="325"/>
        <v>0</v>
      </c>
      <c r="CH482" s="71">
        <f t="shared" si="326"/>
        <v>0</v>
      </c>
      <c r="CI482" s="1">
        <f t="shared" si="19"/>
        <v>0</v>
      </c>
      <c r="CJ482" s="1"/>
      <c r="CK482" s="75"/>
      <c r="CL482" s="75"/>
      <c r="CM482" s="2"/>
      <c r="CN482" s="2"/>
      <c r="CO482" s="73">
        <f t="shared" si="20"/>
        <v>0</v>
      </c>
      <c r="CP482" s="5">
        <f t="shared" si="21"/>
        <v>0</v>
      </c>
      <c r="CQ482" s="1"/>
      <c r="CR482" s="1">
        <f t="shared" si="22"/>
        <v>0</v>
      </c>
      <c r="CS482" s="1"/>
      <c r="CT482" s="1" t="e">
        <f>INDEX([2]マスタ!$A:$A,MATCH(D482,[2]マスタ!$C:$C,0))</f>
        <v>#N/A</v>
      </c>
      <c r="CU482" s="1" t="str">
        <f t="shared" ca="1" si="23"/>
        <v>20260620_0-0</v>
      </c>
    </row>
    <row r="483" spans="1:99" x14ac:dyDescent="0.4">
      <c r="A483" s="61"/>
      <c r="B483" s="62"/>
      <c r="C483" s="62"/>
      <c r="D483" s="62"/>
      <c r="E483" s="63"/>
      <c r="F483" s="62"/>
      <c r="G483" s="62">
        <v>1</v>
      </c>
      <c r="H483" s="64">
        <f t="shared" si="4"/>
        <v>0</v>
      </c>
      <c r="I483" s="64"/>
      <c r="J483" s="64"/>
      <c r="K483" s="65">
        <f>+ROUNDDOWN((H483+I483)/100,0)*100</f>
        <v>0</v>
      </c>
      <c r="L483" s="65">
        <f t="shared" si="6"/>
        <v>0</v>
      </c>
      <c r="M483" s="65">
        <f t="shared" si="7"/>
        <v>0</v>
      </c>
      <c r="N483" s="65">
        <f t="shared" si="8"/>
        <v>0</v>
      </c>
      <c r="O483" s="66" t="str">
        <f t="shared" si="9"/>
        <v>✕</v>
      </c>
      <c r="P483" s="67" t="str">
        <f t="shared" si="10"/>
        <v>○</v>
      </c>
      <c r="Q483" s="67" t="str">
        <f>+IF((TEXT($A483,"DD")+0)=1,"○","✕")</f>
        <v>✕</v>
      </c>
      <c r="R483" s="67" t="str">
        <f t="shared" si="12"/>
        <v>✕</v>
      </c>
      <c r="S483" s="68">
        <v>0</v>
      </c>
      <c r="T483" s="69" t="s">
        <v>85</v>
      </c>
      <c r="U483" s="69" t="s">
        <v>85</v>
      </c>
      <c r="V483" s="69" t="s">
        <v>85</v>
      </c>
      <c r="W483" s="69" t="s">
        <v>85</v>
      </c>
      <c r="X483" s="69" t="s">
        <v>84</v>
      </c>
      <c r="Y483" s="69" t="s">
        <v>85</v>
      </c>
      <c r="Z483" s="69" t="s">
        <v>85</v>
      </c>
      <c r="AA483" s="69" t="s">
        <v>85</v>
      </c>
      <c r="AB483" s="69" t="s">
        <v>85</v>
      </c>
      <c r="AC483" s="69" t="s">
        <v>85</v>
      </c>
      <c r="AD483" s="38" t="str">
        <f>+IF(ISERROR(VLOOKUP($B483,AD$10:AD482,1,0)),IF(AND($N483&gt;=1000,$A483&gt;=AO$8,$A483&lt;=AO$9),$B483,""),"")</f>
        <v/>
      </c>
      <c r="AE483" s="38" t="str">
        <f>+IF(ISERROR(VLOOKUP($B483,AE$10:AE482,1,0)),IF(AND($N483&gt;=1000,$A483&gt;=AP$8,$A483&lt;=AP$9),$B483,""),"")</f>
        <v/>
      </c>
      <c r="AF483" s="38" t="str">
        <f>+IF(ISERROR(VLOOKUP($B483,AF$10:AF482,1,0)),IF(AND($N483&gt;=1000,$A483&gt;=AQ$8,$A483&lt;=AQ$9),$B483,""),"")</f>
        <v/>
      </c>
      <c r="AG483" s="38" t="str">
        <f>+IF(ISERROR(VLOOKUP($B483,AG$10:AG482,1,0)),IF(AND($N483&gt;=1000,$A483&gt;=AR$8,$A483&lt;=AR$9),$B483,""),"")</f>
        <v/>
      </c>
      <c r="AH483" s="38"/>
      <c r="AI483" s="70">
        <v>0</v>
      </c>
      <c r="AJ483" s="38">
        <f>IF(AND(AJ$7="○",$A483&gt;=AJ$8,$A483&lt;=AJ$9),IF(SUM(AJ$10:AJ482)-ROUNDDOWN($K483*AJ$5/100,0)&lt;-AJ$6,-AJ$6-SUM(AJ$10:AJ482),-ROUNDDOWN($K483*AJ$5/100,0)),0)</f>
        <v>0</v>
      </c>
      <c r="AK483" s="38">
        <f>IF(AND(AK$7="○",$A483&gt;=AK$8,$A483&lt;=AK$9),IF(SUM(AK$10:AK482)-ROUNDDOWN($L483*AK$5/100,0)&lt;-AK$6,-AK$6-SUM(AK$10:AK482),-ROUNDDOWN($L483*AK$5/100,0)),0)</f>
        <v>0</v>
      </c>
      <c r="AL483" s="38">
        <f>IF(AND(AL$7="○",$A483&gt;=AL$8,$A483&lt;=AL$9),IF(SUM(AL$10:AL482)-ROUNDDOWN($N483*AL$5/100,0)&lt;-AL$6,-AL$6-SUM(AL$10:AL482),-ROUNDDOWN($N483*AL$5/100,0)),0)</f>
        <v>0</v>
      </c>
      <c r="AM483" s="38">
        <f>IF(AND(AM$7="○",$A483&gt;=AM$8,$A483&lt;=AM$9),IF(SUM(AM$10:AM482)-ROUNDDOWN($L483*AM$5/100,0)&lt;-AM$6,-AM$6-SUM(AM$10:AM482),-ROUNDDOWN($L483*AM$5/100,0)),0)</f>
        <v>0</v>
      </c>
      <c r="AN483" s="38">
        <f>IF(AND(AN$7="○",$A483&gt;=AN$8,$A483&lt;=AN$9),IF(SUM(AN$10:AN482)-ROUNDDOWN($M483*AN$5/100,0)&lt;-AN$6,-AN$6-SUM(AN$10:AN482),-ROUNDDOWN($M483*AN$5/100,0)),0)</f>
        <v>0</v>
      </c>
      <c r="AO483" s="38">
        <f>IF(AND($A483&gt;=AO$8,$A483&lt;=AO$9),IF(SUM(AO$10:AO482)-ROUNDDOWN($K483*AO$5/100,0)&lt;-AO$6,-AO$6-SUM(AO$10:AO482),-ROUNDDOWN($K483*AO$5/100,0)),0)</f>
        <v>0</v>
      </c>
      <c r="AP483" s="38">
        <f>IF(AND($A483&gt;=AP$8,$A483&lt;=AP$9),IF(SUM(AP$10:AP482)-ROUNDDOWN($K483*AP$5/100,0)&lt;-AP$6,-AP$6-SUM(AP$10:AP482),-ROUNDDOWN($K483*AP$5/100,0)),0)</f>
        <v>0</v>
      </c>
      <c r="AQ483" s="38">
        <f>IF(AND($A483&gt;=AQ$8,$A483&lt;=AQ$9),IF(SUM(AQ$10:AQ482)-ROUNDDOWN($K483*AQ$5/100,0)&lt;-AQ$6,-AQ$6-SUM(AQ$10:AQ482),-ROUNDDOWN($K483*AQ$5/100,0)),0)</f>
        <v>0</v>
      </c>
      <c r="AR483" s="38">
        <f>IF(AND($A483&gt;=AR$8,$A483&lt;=AR$9),IF(SUM(AR$10:AR482)-ROUNDDOWN($K483*AR$5/100,0)&lt;-AR$6,-AR$6-SUM(AR$10:AR482),-ROUNDDOWN($K483*AR$5/100,0)),0)</f>
        <v>0</v>
      </c>
      <c r="AS483" s="38">
        <f>IF(SUMIFS(AS$10:AS482,$A$10:$A482,$A483)-ROUNDDOWN($K483*$S483/100,0)&lt;-$S483*1000,-$S483*1000-SUMIFS(AS$10:AS482,$A$10:$A482,$A483),-ROUNDDOWN($K483*$S483/100,0))</f>
        <v>0</v>
      </c>
      <c r="AT483" s="38">
        <f>IF(AND(X483="○",$A483&gt;=AT$8,$A483&lt;=AT$9,K483&gt;=3980),IF(SUM(AT$10:AT482)-ROUNDDOWN($K483*AT$5/100,0)&lt;-AT$6,-AT$6-SUM(AT$10:AT482),-ROUNDDOWN($K483*AT$5/100,0)),0)</f>
        <v>0</v>
      </c>
      <c r="AU483" s="38">
        <f>IF(O483="○",IF(SUM(AU$10:AU482)-ROUNDDOWN($K483*AU$5/100,0)&lt;-AU$6,-AU$6-SUM(AU$10:AU482),-ROUNDDOWN($K483*AU$5/100,0)),0)</f>
        <v>0</v>
      </c>
      <c r="AV483" s="38">
        <f>IF(P483="○",IF(SUM(AV$10:AV482)-ROUNDDOWN($K483*AV$5/100,0)&lt;-AV$6,-AV$6-SUM(AV$10:AV482),-ROUNDDOWN($K483*AV$5/100,0)),0)</f>
        <v>0</v>
      </c>
      <c r="AW483" s="38">
        <f>IF(Q483="○",IF(SUM(AW$10:AW482)-ROUNDDOWN($K483*AW$5/100,0)&lt;-AW$6,-AW$6-SUM(AW$10:AW482),-ROUNDDOWN($K483*AW$5/100,0)),0)</f>
        <v>0</v>
      </c>
      <c r="AX483" s="38">
        <f>IF(R483="○",IF(SUM(AX$10:AX482)-ROUNDDOWN($K483*AX$5/100,0)&lt;-AX$6,-AX$6-SUM(AX$10:AX482),-ROUNDDOWN($K483*AX$5/100,0)),0)</f>
        <v>0</v>
      </c>
      <c r="AY483" s="70">
        <v>0</v>
      </c>
      <c r="AZ483" s="65">
        <f t="shared" si="319"/>
        <v>0</v>
      </c>
      <c r="BA483" s="65">
        <f t="shared" si="320"/>
        <v>0</v>
      </c>
      <c r="BB483" s="70"/>
      <c r="BC483" s="65">
        <f t="shared" si="321"/>
        <v>0</v>
      </c>
      <c r="BD483" s="70">
        <v>0</v>
      </c>
      <c r="BE483" s="65">
        <f t="shared" si="322"/>
        <v>0</v>
      </c>
      <c r="BF483" s="70">
        <v>0</v>
      </c>
      <c r="BG483" s="65">
        <f t="shared" si="323"/>
        <v>0</v>
      </c>
      <c r="BH483" s="70">
        <v>0</v>
      </c>
      <c r="BI483" s="65">
        <f t="shared" si="324"/>
        <v>0</v>
      </c>
      <c r="BJ483" s="38">
        <f>IF(AND(BJ$7="○",$A483&gt;=BJ$8,$A483&lt;=BJ$9),IF(SUM(BJ$10:BJ482)-ROUNDDOWN($M483*BJ$5/100,0)&lt;-BJ$6,-BJ$6-SUM(BJ$10:BJ482),-ROUNDDOWN($M483*BJ$5/100,0)),0)</f>
        <v>0</v>
      </c>
      <c r="BK483" s="38">
        <f>IF(AND(BK$7="○",$A483&gt;=BK$8,$A483&lt;=BK$9),IF(SUM(BK$10:BK482)-ROUNDDOWN($L483*BK$5/100,0)&lt;-BK$6,-BK$6-SUM(BK$10:BK482),-ROUNDDOWN($L483*BK$5/100,0)),0)</f>
        <v>0</v>
      </c>
      <c r="BL483" s="38">
        <f>IF(AND(BL$7="○",$A483&gt;=BL$8,$A483&lt;=BL$9),IF(SUM(BL$10:BL482)-ROUNDDOWN($L483*BL$5/100,0)&lt;-BL$6,-BL$6-SUM(BL$10:BL482),-ROUNDDOWN($L483*BL$5/100,0)),0)</f>
        <v>0</v>
      </c>
      <c r="BM483" s="38">
        <f>IF(AND(BM$7="○",$A483&gt;=BM$8,$A483&lt;=BM$9),IF(SUM(BM$10:BM482)-ROUNDDOWN($M483*BM$5/100,0)&lt;-BM$6,-BM$6-SUM(BM$10:BM482),-ROUNDDOWN($M483*BM$5/100,0)),0)</f>
        <v>0</v>
      </c>
      <c r="BN483" s="38">
        <f>IF(AND(BN$7="○",$A483&gt;=BN$8,$A483&lt;=BN$9),IF(SUM(BN$10:BN482)-ROUNDDOWN($M483*BN$5/100,0)&lt;-BN$6,-BN$6-SUM(BN$10:BN482),-ROUNDDOWN($M483*BN$5/100,0)),0)</f>
        <v>0</v>
      </c>
      <c r="BO483" s="38">
        <f>IF(AND(BO$7="○",$A483&gt;=BO$8,$A483&lt;=BO$9),IF(SUM(BO$10:BO482)-ROUNDDOWN($M483*BO$5/100,0)&lt;-BO$6,-BO$6-SUM(BO$10:BO482),-ROUNDDOWN($M483*BO$5/100,0)),0)</f>
        <v>0</v>
      </c>
      <c r="BP483" s="38">
        <f>IF(AND(BP$7="○",$A483&gt;=BP$8,$A483&lt;=BP$9),IF(SUM(BP$10:BP482)-ROUNDDOWN($M483*BP$5/100,0)&lt;-BP$6,-BP$6-SUM(BP$10:BP482),-ROUNDDOWN($M483*BP$5/100,0)),0)</f>
        <v>0</v>
      </c>
      <c r="BQ483" s="38">
        <f>IF(AND(BQ$7="○",$A483&gt;=BQ$8,$A483&lt;=BQ$9),IF(SUM(BQ$10:BQ482)-ROUNDDOWN($L483*BQ$5/100,0)&lt;-BQ$6,-BQ$6-SUM(BQ$10:BQ482),-ROUNDDOWN($L483*BQ$5/100,0)),0)</f>
        <v>0</v>
      </c>
      <c r="BR483" s="38">
        <f>IF(AND(BR$7="○",$A483&gt;=BR$8,$A483&lt;=BR$9),IF(SUM(BR$10:BR482)-ROUNDDOWN($M483*BR$5/100,0)&lt;-BR$6,-BR$6-SUM(BR$10:BR482),-ROUNDDOWN($M483*BR$5/100,0)),0)</f>
        <v>0</v>
      </c>
      <c r="BS483" s="38">
        <f>IF(AND(BS$7="○",$A483&gt;=BS$8,$A483&lt;=BS$9),IF(SUM(BS$10:BS482)-ROUNDDOWN($M483*BS$5/100,0)&lt;-BS$6,-BS$6-SUM(BS$10:BS482),-ROUNDDOWN($M483*BS$5/100,0)),0)</f>
        <v>0</v>
      </c>
      <c r="BT483" s="38">
        <f>IF(AND(BT$7="○",$A483&gt;=BT$8,$A483&lt;=BT$9),IF(SUM(BT$10:BT482)-ROUNDDOWN($M483*BT$5/100,0)&lt;-BT$6,-BT$6-SUM(BT$10:BT482),-ROUNDDOWN($M483*BT$5/100,0)),0)</f>
        <v>0</v>
      </c>
      <c r="BU483" s="38">
        <f>IF(AND(BU$7="○",$A483&gt;=BU$8,$A483&lt;=BU$9),IF(SUM(BU$10:BU482)-ROUNDDOWN($M483*BU$5/100,0)&lt;-BU$6,-BU$6-SUM(BU$10:BU482),-ROUNDDOWN($M483*BU$5/100,0)),0)</f>
        <v>0</v>
      </c>
      <c r="BV483" s="38">
        <f>IF(AND(BV$7="○",$A483&gt;=BV$8,$A483&lt;=BV$9),IF(SUM(BV$10:BV482)-ROUNDDOWN($M483*BV$5/100,0)&lt;-BV$6,-BV$6-SUM(BV$10:BV482),-ROUNDDOWN($M483*BV$5/100,0)),0)</f>
        <v>0</v>
      </c>
      <c r="BW483" s="38">
        <f>IF(AND(BW$7="○",$A483&gt;=BW$8,$A483&lt;=BW$9),IF(SUM(BW$10:BW482)-ROUNDDOWN($M483*BW$5/100,0)&lt;-BW$6,-BW$6-SUM(BW$10:BW482),-ROUNDDOWN($M483*BW$5/100,0)),0)</f>
        <v>0</v>
      </c>
      <c r="BX483" s="38">
        <f>IF(AND(T483="○",$A483&gt;=BX$8,$A483&lt;=BX$9),IF(SUM(BX$10:BX482)-ROUNDDOWN($K483*BX$5/100,0)&lt;-BX$6,-BX$6-SUM(BX$10:BX482),-ROUNDDOWN($K483*BX$5/100,0)),0)</f>
        <v>0</v>
      </c>
      <c r="BY483" s="38">
        <f>IF(AND(U483="○",$A483&gt;=BY$8,$A483&lt;=BY$9),IF(SUM(BY$10:BY482)-ROUNDDOWN($K483*BY$5/100,0)&lt;-BY$6,-BY$6-SUM(BY$10:BY482),-ROUNDDOWN($K483*BY$5/100,0)),0)</f>
        <v>0</v>
      </c>
      <c r="BZ483" s="38">
        <f>IF(AND(V483="○",$A483&gt;=BZ$8,$A483&lt;=BZ$9),IF(SUM(BZ$10:BZ482)-ROUNDDOWN($K483*BZ$5/100,0)&lt;-BZ$6,-BZ$6-SUM(BZ$10:BZ482),-ROUNDDOWN($K483*BZ$5/100,0)),0)</f>
        <v>0</v>
      </c>
      <c r="CA483" s="38">
        <f>IF(AND(W483="○",$A483&gt;=CA$8,$A483&lt;=CA$9),IF(SUM(CA$10:CA482)-ROUNDDOWN($K483*CA$5/100,0)&lt;-CA$6,-CA$6-SUM(CA$10:CA482),-ROUNDDOWN($K483*CA$5/100,0)),0)</f>
        <v>0</v>
      </c>
      <c r="CB483" s="38"/>
      <c r="CC483" s="38"/>
      <c r="CD483" s="38"/>
      <c r="CE483" s="38"/>
      <c r="CF483" s="38"/>
      <c r="CG483" s="65">
        <f t="shared" si="325"/>
        <v>0</v>
      </c>
      <c r="CH483" s="71">
        <f t="shared" si="326"/>
        <v>0</v>
      </c>
      <c r="CI483" s="1">
        <f t="shared" si="19"/>
        <v>0</v>
      </c>
      <c r="CJ483" s="1"/>
      <c r="CK483" s="72"/>
      <c r="CL483" s="72"/>
      <c r="CM483" s="2"/>
      <c r="CN483" s="2"/>
      <c r="CO483" s="73">
        <f t="shared" si="20"/>
        <v>0</v>
      </c>
      <c r="CP483" s="5">
        <f t="shared" si="21"/>
        <v>0</v>
      </c>
      <c r="CQ483" s="1"/>
      <c r="CR483" s="1">
        <f t="shared" si="22"/>
        <v>0</v>
      </c>
      <c r="CS483" s="1"/>
      <c r="CT483" s="1" t="e">
        <f>INDEX([2]マスタ!$A:$A,MATCH(D483,[2]マスタ!$C:$C,0))</f>
        <v>#N/A</v>
      </c>
      <c r="CU483" s="1" t="str">
        <f t="shared" ca="1" si="23"/>
        <v>20260620_0-0</v>
      </c>
    </row>
    <row r="484" spans="1:99" x14ac:dyDescent="0.4">
      <c r="A484" s="61"/>
      <c r="B484" s="62"/>
      <c r="C484" s="62"/>
      <c r="D484" s="62"/>
      <c r="E484" s="77"/>
      <c r="F484" s="62"/>
      <c r="G484" s="62">
        <v>1</v>
      </c>
      <c r="H484" s="64">
        <f t="shared" si="4"/>
        <v>0</v>
      </c>
      <c r="I484" s="64"/>
      <c r="J484" s="64"/>
      <c r="K484" s="65">
        <f>+ROUNDDOWN((H484+I484)/100,0)*100</f>
        <v>0</v>
      </c>
      <c r="L484" s="65">
        <f t="shared" si="6"/>
        <v>0</v>
      </c>
      <c r="M484" s="65">
        <f t="shared" si="7"/>
        <v>0</v>
      </c>
      <c r="N484" s="65">
        <f t="shared" si="8"/>
        <v>0</v>
      </c>
      <c r="O484" s="66" t="str">
        <f t="shared" si="9"/>
        <v>✕</v>
      </c>
      <c r="P484" s="67" t="str">
        <f t="shared" si="10"/>
        <v>○</v>
      </c>
      <c r="Q484" s="67" t="str">
        <f>+IF((TEXT($A484,"DD")+0)=1,"○","✕")</f>
        <v>✕</v>
      </c>
      <c r="R484" s="67" t="str">
        <f t="shared" si="12"/>
        <v>✕</v>
      </c>
      <c r="S484" s="68">
        <v>0</v>
      </c>
      <c r="T484" s="69" t="s">
        <v>85</v>
      </c>
      <c r="U484" s="69" t="s">
        <v>85</v>
      </c>
      <c r="V484" s="69" t="s">
        <v>85</v>
      </c>
      <c r="W484" s="69" t="s">
        <v>85</v>
      </c>
      <c r="X484" s="69" t="s">
        <v>84</v>
      </c>
      <c r="Y484" s="69" t="s">
        <v>85</v>
      </c>
      <c r="Z484" s="69" t="s">
        <v>85</v>
      </c>
      <c r="AA484" s="69" t="s">
        <v>85</v>
      </c>
      <c r="AB484" s="69" t="s">
        <v>85</v>
      </c>
      <c r="AC484" s="69" t="s">
        <v>85</v>
      </c>
      <c r="AD484" s="38" t="str">
        <f>+IF(ISERROR(VLOOKUP($B484,AD$10:AD483,1,0)),IF(AND($N484&gt;=1000,$A484&gt;=AO$8,$A484&lt;=AO$9),$B484,""),"")</f>
        <v/>
      </c>
      <c r="AE484" s="38" t="str">
        <f>+IF(ISERROR(VLOOKUP($B484,AE$10:AE483,1,0)),IF(AND($N484&gt;=1000,$A484&gt;=AP$8,$A484&lt;=AP$9),$B484,""),"")</f>
        <v/>
      </c>
      <c r="AF484" s="38" t="str">
        <f>+IF(ISERROR(VLOOKUP($B484,AF$10:AF483,1,0)),IF(AND($N484&gt;=1000,$A484&gt;=AQ$8,$A484&lt;=AQ$9),$B484,""),"")</f>
        <v/>
      </c>
      <c r="AG484" s="38" t="str">
        <f>+IF(ISERROR(VLOOKUP($B484,AG$10:AG483,1,0)),IF(AND($N484&gt;=1000,$A484&gt;=AR$8,$A484&lt;=AR$9),$B484,""),"")</f>
        <v/>
      </c>
      <c r="AH484" s="38"/>
      <c r="AI484" s="70">
        <v>0</v>
      </c>
      <c r="AJ484" s="38">
        <f>IF(AND(AJ$7="○",$A484&gt;=AJ$8,$A484&lt;=AJ$9),IF(SUM(AJ$10:AJ483)-ROUNDDOWN($K484*AJ$5/100,0)&lt;-AJ$6,-AJ$6-SUM(AJ$10:AJ483),-ROUNDDOWN($K484*AJ$5/100,0)),0)</f>
        <v>0</v>
      </c>
      <c r="AK484" s="38">
        <f>IF(AND(AK$7="○",$A484&gt;=AK$8,$A484&lt;=AK$9),IF(SUM(AK$10:AK483)-ROUNDDOWN($L484*AK$5/100,0)&lt;-AK$6,-AK$6-SUM(AK$10:AK483),-ROUNDDOWN($L484*AK$5/100,0)),0)</f>
        <v>0</v>
      </c>
      <c r="AL484" s="38">
        <f>IF(AND(AL$7="○",$A484&gt;=AL$8,$A484&lt;=AL$9),IF(SUM(AL$10:AL483)-ROUNDDOWN($N484*AL$5/100,0)&lt;-AL$6,-AL$6-SUM(AL$10:AL483),-ROUNDDOWN($N484*AL$5/100,0)),0)</f>
        <v>0</v>
      </c>
      <c r="AM484" s="38">
        <f>IF(AND(AM$7="○",$A484&gt;=AM$8,$A484&lt;=AM$9),IF(SUM(AM$10:AM483)-ROUNDDOWN($L484*AM$5/100,0)&lt;-AM$6,-AM$6-SUM(AM$10:AM483),-ROUNDDOWN($L484*AM$5/100,0)),0)</f>
        <v>0</v>
      </c>
      <c r="AN484" s="38">
        <f>IF(AND(AN$7="○",$A484&gt;=AN$8,$A484&lt;=AN$9),IF(SUM(AN$10:AN483)-ROUNDDOWN($M484*AN$5/100,0)&lt;-AN$6,-AN$6-SUM(AN$10:AN483),-ROUNDDOWN($M484*AN$5/100,0)),0)</f>
        <v>0</v>
      </c>
      <c r="AO484" s="38">
        <f>IF(AND($A484&gt;=AO$8,$A484&lt;=AO$9),IF(SUM(AO$10:AO483)-ROUNDDOWN($K484*AO$5/100,0)&lt;-AO$6,-AO$6-SUM(AO$10:AO483),-ROUNDDOWN($K484*AO$5/100,0)),0)</f>
        <v>0</v>
      </c>
      <c r="AP484" s="38">
        <f>IF(AND($A484&gt;=AP$8,$A484&lt;=AP$9),IF(SUM(AP$10:AP483)-ROUNDDOWN($K484*AP$5/100,0)&lt;-AP$6,-AP$6-SUM(AP$10:AP483),-ROUNDDOWN($K484*AP$5/100,0)),0)</f>
        <v>0</v>
      </c>
      <c r="AQ484" s="38">
        <f>IF(AND($A484&gt;=AQ$8,$A484&lt;=AQ$9),IF(SUM(AQ$10:AQ483)-ROUNDDOWN($K484*AQ$5/100,0)&lt;-AQ$6,-AQ$6-SUM(AQ$10:AQ483),-ROUNDDOWN($K484*AQ$5/100,0)),0)</f>
        <v>0</v>
      </c>
      <c r="AR484" s="38">
        <f>IF(AND($A484&gt;=AR$8,$A484&lt;=AR$9),IF(SUM(AR$10:AR483)-ROUNDDOWN($K484*AR$5/100,0)&lt;-AR$6,-AR$6-SUM(AR$10:AR483),-ROUNDDOWN($K484*AR$5/100,0)),0)</f>
        <v>0</v>
      </c>
      <c r="AS484" s="38">
        <f>IF(SUMIFS(AS$10:AS483,$A$10:$A483,$A484)-ROUNDDOWN($K484*$S484/100,0)&lt;-$S484*1000,-$S484*1000-SUMIFS(AS$10:AS483,$A$10:$A483,$A484),-ROUNDDOWN($K484*$S484/100,0))</f>
        <v>0</v>
      </c>
      <c r="AT484" s="38">
        <f>IF(AND(X484="○",$A484&gt;=AT$8,$A484&lt;=AT$9,K484&gt;=3980),IF(SUM(AT$10:AT483)-ROUNDDOWN($K484*AT$5/100,0)&lt;-AT$6,-AT$6-SUM(AT$10:AT483),-ROUNDDOWN($K484*AT$5/100,0)),0)</f>
        <v>0</v>
      </c>
      <c r="AU484" s="38">
        <f>IF(O484="○",IF(SUM(AU$10:AU483)-ROUNDDOWN($K484*AU$5/100,0)&lt;-AU$6,-AU$6-SUM(AU$10:AU483),-ROUNDDOWN($K484*AU$5/100,0)),0)</f>
        <v>0</v>
      </c>
      <c r="AV484" s="38">
        <f>IF(P484="○",IF(SUM(AV$10:AV483)-ROUNDDOWN($K484*AV$5/100,0)&lt;-AV$6,-AV$6-SUM(AV$10:AV483),-ROUNDDOWN($K484*AV$5/100,0)),0)</f>
        <v>0</v>
      </c>
      <c r="AW484" s="38">
        <f>IF(Q484="○",IF(SUM(AW$10:AW483)-ROUNDDOWN($K484*AW$5/100,0)&lt;-AW$6,-AW$6-SUM(AW$10:AW483),-ROUNDDOWN($K484*AW$5/100,0)),0)</f>
        <v>0</v>
      </c>
      <c r="AX484" s="38">
        <f>IF(R484="○",IF(SUM(AX$10:AX483)-ROUNDDOWN($K484*AX$5/100,0)&lt;-AX$6,-AX$6-SUM(AX$10:AX483),-ROUNDDOWN($K484*AX$5/100,0)),0)</f>
        <v>0</v>
      </c>
      <c r="AY484" s="70">
        <v>0</v>
      </c>
      <c r="AZ484" s="65">
        <f t="shared" si="319"/>
        <v>0</v>
      </c>
      <c r="BA484" s="65">
        <f t="shared" si="320"/>
        <v>0</v>
      </c>
      <c r="BB484" s="70"/>
      <c r="BC484" s="65">
        <f t="shared" si="321"/>
        <v>0</v>
      </c>
      <c r="BD484" s="70">
        <v>0</v>
      </c>
      <c r="BE484" s="65">
        <f t="shared" si="322"/>
        <v>0</v>
      </c>
      <c r="BF484" s="70">
        <v>0</v>
      </c>
      <c r="BG484" s="65">
        <f t="shared" si="323"/>
        <v>0</v>
      </c>
      <c r="BH484" s="70">
        <v>0</v>
      </c>
      <c r="BI484" s="65">
        <f t="shared" si="324"/>
        <v>0</v>
      </c>
      <c r="BJ484" s="38">
        <f>IF(AND(BJ$7="○",$A484&gt;=BJ$8,$A484&lt;=BJ$9),IF(SUM(BJ$10:BJ483)-ROUNDDOWN($M484*BJ$5/100,0)&lt;-BJ$6,-BJ$6-SUM(BJ$10:BJ483),-ROUNDDOWN($M484*BJ$5/100,0)),0)</f>
        <v>0</v>
      </c>
      <c r="BK484" s="38">
        <f>IF(AND(BK$7="○",$A484&gt;=BK$8,$A484&lt;=BK$9),IF(SUM(BK$10:BK483)-ROUNDDOWN($L484*BK$5/100,0)&lt;-BK$6,-BK$6-SUM(BK$10:BK483),-ROUNDDOWN($L484*BK$5/100,0)),0)</f>
        <v>0</v>
      </c>
      <c r="BL484" s="38">
        <f>IF(AND(BL$7="○",$A484&gt;=BL$8,$A484&lt;=BL$9),IF(SUM(BL$10:BL483)-ROUNDDOWN($L484*BL$5/100,0)&lt;-BL$6,-BL$6-SUM(BL$10:BL483),-ROUNDDOWN($L484*BL$5/100,0)),0)</f>
        <v>0</v>
      </c>
      <c r="BM484" s="38">
        <f>IF(AND(BM$7="○",$A484&gt;=BM$8,$A484&lt;=BM$9),IF(SUM(BM$10:BM483)-ROUNDDOWN($M484*BM$5/100,0)&lt;-BM$6,-BM$6-SUM(BM$10:BM483),-ROUNDDOWN($M484*BM$5/100,0)),0)</f>
        <v>0</v>
      </c>
      <c r="BN484" s="38">
        <f>IF(AND(BN$7="○",$A484&gt;=BN$8,$A484&lt;=BN$9),IF(SUM(BN$10:BN483)-ROUNDDOWN($M484*BN$5/100,0)&lt;-BN$6,-BN$6-SUM(BN$10:BN483),-ROUNDDOWN($M484*BN$5/100,0)),0)</f>
        <v>0</v>
      </c>
      <c r="BO484" s="38">
        <f>IF(AND(BO$7="○",$A484&gt;=BO$8,$A484&lt;=BO$9),IF(SUM(BO$10:BO483)-ROUNDDOWN($M484*BO$5/100,0)&lt;-BO$6,-BO$6-SUM(BO$10:BO483),-ROUNDDOWN($M484*BO$5/100,0)),0)</f>
        <v>0</v>
      </c>
      <c r="BP484" s="38">
        <f>IF(AND(BP$7="○",$A484&gt;=BP$8,$A484&lt;=BP$9),IF(SUM(BP$10:BP483)-ROUNDDOWN($M484*BP$5/100,0)&lt;-BP$6,-BP$6-SUM(BP$10:BP483),-ROUNDDOWN($M484*BP$5/100,0)),0)</f>
        <v>0</v>
      </c>
      <c r="BQ484" s="38">
        <f>IF(AND(BQ$7="○",$A484&gt;=BQ$8,$A484&lt;=BQ$9),IF(SUM(BQ$10:BQ483)-ROUNDDOWN($L484*BQ$5/100,0)&lt;-BQ$6,-BQ$6-SUM(BQ$10:BQ483),-ROUNDDOWN($L484*BQ$5/100,0)),0)</f>
        <v>0</v>
      </c>
      <c r="BR484" s="38">
        <f>IF(AND(BR$7="○",$A484&gt;=BR$8,$A484&lt;=BR$9),IF(SUM(BR$10:BR483)-ROUNDDOWN($M484*BR$5/100,0)&lt;-BR$6,-BR$6-SUM(BR$10:BR483),-ROUNDDOWN($M484*BR$5/100,0)),0)</f>
        <v>0</v>
      </c>
      <c r="BS484" s="38">
        <f>IF(AND(BS$7="○",$A484&gt;=BS$8,$A484&lt;=BS$9),IF(SUM(BS$10:BS483)-ROUNDDOWN($M484*BS$5/100,0)&lt;-BS$6,-BS$6-SUM(BS$10:BS483),-ROUNDDOWN($M484*BS$5/100,0)),0)</f>
        <v>0</v>
      </c>
      <c r="BT484" s="38">
        <f>IF(AND(BT$7="○",$A484&gt;=BT$8,$A484&lt;=BT$9),IF(SUM(BT$10:BT483)-ROUNDDOWN($M484*BT$5/100,0)&lt;-BT$6,-BT$6-SUM(BT$10:BT483),-ROUNDDOWN($M484*BT$5/100,0)),0)</f>
        <v>0</v>
      </c>
      <c r="BU484" s="38">
        <f>IF(AND(BU$7="○",$A484&gt;=BU$8,$A484&lt;=BU$9),IF(SUM(BU$10:BU483)-ROUNDDOWN($M484*BU$5/100,0)&lt;-BU$6,-BU$6-SUM(BU$10:BU483),-ROUNDDOWN($M484*BU$5/100,0)),0)</f>
        <v>0</v>
      </c>
      <c r="BV484" s="38">
        <f>IF(AND(BV$7="○",$A484&gt;=BV$8,$A484&lt;=BV$9),IF(SUM(BV$10:BV483)-ROUNDDOWN($M484*BV$5/100,0)&lt;-BV$6,-BV$6-SUM(BV$10:BV483),-ROUNDDOWN($M484*BV$5/100,0)),0)</f>
        <v>0</v>
      </c>
      <c r="BW484" s="38">
        <f>IF(AND(BW$7="○",$A484&gt;=BW$8,$A484&lt;=BW$9),IF(SUM(BW$10:BW483)-ROUNDDOWN($M484*BW$5/100,0)&lt;-BW$6,-BW$6-SUM(BW$10:BW483),-ROUNDDOWN($M484*BW$5/100,0)),0)</f>
        <v>0</v>
      </c>
      <c r="BX484" s="38">
        <f>IF(AND(T484="○",$A484&gt;=BX$8,$A484&lt;=BX$9),IF(SUM(BX$10:BX483)-ROUNDDOWN($K484*BX$5/100,0)&lt;-BX$6,-BX$6-SUM(BX$10:BX483),-ROUNDDOWN($K484*BX$5/100,0)),0)</f>
        <v>0</v>
      </c>
      <c r="BY484" s="38">
        <f>IF(AND(U484="○",$A484&gt;=BY$8,$A484&lt;=BY$9),IF(SUM(BY$10:BY483)-ROUNDDOWN($K484*BY$5/100,0)&lt;-BY$6,-BY$6-SUM(BY$10:BY483),-ROUNDDOWN($K484*BY$5/100,0)),0)</f>
        <v>0</v>
      </c>
      <c r="BZ484" s="38">
        <f>IF(AND(V484="○",$A484&gt;=BZ$8,$A484&lt;=BZ$9),IF(SUM(BZ$10:BZ483)-ROUNDDOWN($K484*BZ$5/100,0)&lt;-BZ$6,-BZ$6-SUM(BZ$10:BZ483),-ROUNDDOWN($K484*BZ$5/100,0)),0)</f>
        <v>0</v>
      </c>
      <c r="CA484" s="38">
        <f>IF(AND(W484="○",$A484&gt;=CA$8,$A484&lt;=CA$9),IF(SUM(CA$10:CA483)-ROUNDDOWN($K484*CA$5/100,0)&lt;-CA$6,-CA$6-SUM(CA$10:CA483),-ROUNDDOWN($K484*CA$5/100,0)),0)</f>
        <v>0</v>
      </c>
      <c r="CB484" s="38"/>
      <c r="CC484" s="38"/>
      <c r="CD484" s="38"/>
      <c r="CE484" s="38"/>
      <c r="CF484" s="38"/>
      <c r="CG484" s="65">
        <f t="shared" si="325"/>
        <v>0</v>
      </c>
      <c r="CH484" s="71">
        <f t="shared" si="326"/>
        <v>0</v>
      </c>
      <c r="CI484" s="1">
        <f t="shared" si="19"/>
        <v>0</v>
      </c>
      <c r="CJ484" s="1"/>
      <c r="CK484" s="79"/>
      <c r="CL484" s="79"/>
      <c r="CM484" s="2"/>
      <c r="CN484" s="2"/>
      <c r="CO484" s="73">
        <f t="shared" si="20"/>
        <v>0</v>
      </c>
      <c r="CP484" s="5">
        <f t="shared" si="21"/>
        <v>0</v>
      </c>
      <c r="CQ484" s="1"/>
      <c r="CR484" s="1">
        <f t="shared" si="22"/>
        <v>0</v>
      </c>
      <c r="CS484" s="1"/>
      <c r="CT484" s="1" t="e">
        <f>INDEX([2]マスタ!$A:$A,MATCH(D484,[2]マスタ!$C:$C,0))</f>
        <v>#N/A</v>
      </c>
      <c r="CU484" s="1" t="str">
        <f t="shared" ca="1" si="23"/>
        <v>20260620_0-0</v>
      </c>
    </row>
    <row r="485" spans="1:99" x14ac:dyDescent="0.4">
      <c r="A485" s="61"/>
      <c r="B485" s="62"/>
      <c r="C485" s="62"/>
      <c r="D485" s="62"/>
      <c r="E485" s="63"/>
      <c r="F485" s="62"/>
      <c r="G485" s="62">
        <v>1</v>
      </c>
      <c r="H485" s="64">
        <f t="shared" si="4"/>
        <v>0</v>
      </c>
      <c r="I485" s="64"/>
      <c r="J485" s="64"/>
      <c r="K485" s="65">
        <f>+ROUNDDOWN((H485+I485)/100,0)*100</f>
        <v>0</v>
      </c>
      <c r="L485" s="65">
        <f t="shared" si="6"/>
        <v>0</v>
      </c>
      <c r="M485" s="65">
        <f t="shared" si="7"/>
        <v>0</v>
      </c>
      <c r="N485" s="65">
        <f t="shared" si="8"/>
        <v>0</v>
      </c>
      <c r="O485" s="66" t="str">
        <f t="shared" si="9"/>
        <v>✕</v>
      </c>
      <c r="P485" s="67" t="str">
        <f t="shared" si="10"/>
        <v>○</v>
      </c>
      <c r="Q485" s="67" t="str">
        <f>+IF((TEXT($A485,"DD")+0)=1,"○","✕")</f>
        <v>✕</v>
      </c>
      <c r="R485" s="67" t="str">
        <f t="shared" si="12"/>
        <v>✕</v>
      </c>
      <c r="S485" s="68">
        <v>0</v>
      </c>
      <c r="T485" s="69" t="s">
        <v>85</v>
      </c>
      <c r="U485" s="69" t="s">
        <v>85</v>
      </c>
      <c r="V485" s="69" t="s">
        <v>85</v>
      </c>
      <c r="W485" s="69" t="s">
        <v>85</v>
      </c>
      <c r="X485" s="69" t="s">
        <v>84</v>
      </c>
      <c r="Y485" s="69" t="s">
        <v>85</v>
      </c>
      <c r="Z485" s="69" t="s">
        <v>85</v>
      </c>
      <c r="AA485" s="69" t="s">
        <v>85</v>
      </c>
      <c r="AB485" s="69" t="s">
        <v>85</v>
      </c>
      <c r="AC485" s="69" t="s">
        <v>85</v>
      </c>
      <c r="AD485" s="38" t="str">
        <f>+IF(ISERROR(VLOOKUP($B485,AD$10:AD484,1,0)),IF(AND($N485&gt;=1000,$A485&gt;=AO$8,$A485&lt;=AO$9),$B485,""),"")</f>
        <v/>
      </c>
      <c r="AE485" s="38" t="str">
        <f>+IF(ISERROR(VLOOKUP($B485,AE$10:AE484,1,0)),IF(AND($N485&gt;=1000,$A485&gt;=AP$8,$A485&lt;=AP$9),$B485,""),"")</f>
        <v/>
      </c>
      <c r="AF485" s="38" t="str">
        <f>+IF(ISERROR(VLOOKUP($B485,AF$10:AF484,1,0)),IF(AND($N485&gt;=1000,$A485&gt;=AQ$8,$A485&lt;=AQ$9),$B485,""),"")</f>
        <v/>
      </c>
      <c r="AG485" s="38" t="str">
        <f>+IF(ISERROR(VLOOKUP($B485,AG$10:AG484,1,0)),IF(AND($N485&gt;=1000,$A485&gt;=AR$8,$A485&lt;=AR$9),$B485,""),"")</f>
        <v/>
      </c>
      <c r="AH485" s="38"/>
      <c r="AI485" s="70">
        <v>0</v>
      </c>
      <c r="AJ485" s="38">
        <f>IF(AND(AJ$7="○",$A485&gt;=AJ$8,$A485&lt;=AJ$9),IF(SUM(AJ$10:AJ484)-ROUNDDOWN($K485*AJ$5/100,0)&lt;-AJ$6,-AJ$6-SUM(AJ$10:AJ484),-ROUNDDOWN($K485*AJ$5/100,0)),0)</f>
        <v>0</v>
      </c>
      <c r="AK485" s="38">
        <f>IF(AND(AK$7="○",$A485&gt;=AK$8,$A485&lt;=AK$9),IF(SUM(AK$10:AK484)-ROUNDDOWN($L485*AK$5/100,0)&lt;-AK$6,-AK$6-SUM(AK$10:AK484),-ROUNDDOWN($L485*AK$5/100,0)),0)</f>
        <v>0</v>
      </c>
      <c r="AL485" s="38">
        <f>IF(AND(AL$7="○",$A485&gt;=AL$8,$A485&lt;=AL$9),IF(SUM(AL$10:AL484)-ROUNDDOWN($N485*AL$5/100,0)&lt;-AL$6,-AL$6-SUM(AL$10:AL484),-ROUNDDOWN($N485*AL$5/100,0)),0)</f>
        <v>0</v>
      </c>
      <c r="AM485" s="38">
        <f>IF(AND(AM$7="○",$A485&gt;=AM$8,$A485&lt;=AM$9),IF(SUM(AM$10:AM484)-ROUNDDOWN($L485*AM$5/100,0)&lt;-AM$6,-AM$6-SUM(AM$10:AM484),-ROUNDDOWN($L485*AM$5/100,0)),0)</f>
        <v>0</v>
      </c>
      <c r="AN485" s="38">
        <f>IF(AND(AN$7="○",$A485&gt;=AN$8,$A485&lt;=AN$9),IF(SUM(AN$10:AN484)-ROUNDDOWN($M485*AN$5/100,0)&lt;-AN$6,-AN$6-SUM(AN$10:AN484),-ROUNDDOWN($M485*AN$5/100,0)),0)</f>
        <v>0</v>
      </c>
      <c r="AO485" s="38">
        <f>IF(AND($A485&gt;=AO$8,$A485&lt;=AO$9),IF(SUM(AO$10:AO484)-ROUNDDOWN($K485*AO$5/100,0)&lt;-AO$6,-AO$6-SUM(AO$10:AO484),-ROUNDDOWN($K485*AO$5/100,0)),0)</f>
        <v>0</v>
      </c>
      <c r="AP485" s="38">
        <f>IF(AND($A485&gt;=AP$8,$A485&lt;=AP$9),IF(SUM(AP$10:AP484)-ROUNDDOWN($K485*AP$5/100,0)&lt;-AP$6,-AP$6-SUM(AP$10:AP484),-ROUNDDOWN($K485*AP$5/100,0)),0)</f>
        <v>0</v>
      </c>
      <c r="AQ485" s="38">
        <f>IF(AND($A485&gt;=AQ$8,$A485&lt;=AQ$9),IF(SUM(AQ$10:AQ484)-ROUNDDOWN($K485*AQ$5/100,0)&lt;-AQ$6,-AQ$6-SUM(AQ$10:AQ484),-ROUNDDOWN($K485*AQ$5/100,0)),0)</f>
        <v>0</v>
      </c>
      <c r="AR485" s="38">
        <f>IF(AND($A485&gt;=AR$8,$A485&lt;=AR$9),IF(SUM(AR$10:AR484)-ROUNDDOWN($K485*AR$5/100,0)&lt;-AR$6,-AR$6-SUM(AR$10:AR484),-ROUNDDOWN($K485*AR$5/100,0)),0)</f>
        <v>0</v>
      </c>
      <c r="AS485" s="38">
        <f>IF(SUMIFS(AS$10:AS484,$A$10:$A484,$A485)-ROUNDDOWN($K485*$S485/100,0)&lt;-$S485*1000,-$S485*1000-SUMIFS(AS$10:AS484,$A$10:$A484,$A485),-ROUNDDOWN($K485*$S485/100,0))</f>
        <v>0</v>
      </c>
      <c r="AT485" s="38">
        <f>IF(AND(X485="○",$A485&gt;=AT$8,$A485&lt;=AT$9,K485&gt;=3980),IF(SUM(AT$10:AT484)-ROUNDDOWN($K485*AT$5/100,0)&lt;-AT$6,-AT$6-SUM(AT$10:AT484),-ROUNDDOWN($K485*AT$5/100,0)),0)</f>
        <v>0</v>
      </c>
      <c r="AU485" s="38">
        <f>IF(O485="○",IF(SUM(AU$10:AU484)-ROUNDDOWN($K485*AU$5/100,0)&lt;-AU$6,-AU$6-SUM(AU$10:AU484),-ROUNDDOWN($K485*AU$5/100,0)),0)</f>
        <v>0</v>
      </c>
      <c r="AV485" s="38">
        <f>IF(P485="○",IF(SUM(AV$10:AV484)-ROUNDDOWN($K485*AV$5/100,0)&lt;-AV$6,-AV$6-SUM(AV$10:AV484),-ROUNDDOWN($K485*AV$5/100,0)),0)</f>
        <v>0</v>
      </c>
      <c r="AW485" s="38">
        <f>IF(Q485="○",IF(SUM(AW$10:AW484)-ROUNDDOWN($K485*AW$5/100,0)&lt;-AW$6,-AW$6-SUM(AW$10:AW484),-ROUNDDOWN($K485*AW$5/100,0)),0)</f>
        <v>0</v>
      </c>
      <c r="AX485" s="38">
        <f>IF(R485="○",IF(SUM(AX$10:AX484)-ROUNDDOWN($K485*AX$5/100,0)&lt;-AX$6,-AX$6-SUM(AX$10:AX484),-ROUNDDOWN($K485*AX$5/100,0)),0)</f>
        <v>0</v>
      </c>
      <c r="AY485" s="70">
        <v>0</v>
      </c>
      <c r="AZ485" s="65">
        <f t="shared" si="319"/>
        <v>0</v>
      </c>
      <c r="BA485" s="65">
        <f t="shared" si="320"/>
        <v>0</v>
      </c>
      <c r="BB485" s="70"/>
      <c r="BC485" s="65">
        <f t="shared" si="321"/>
        <v>0</v>
      </c>
      <c r="BD485" s="70">
        <v>0</v>
      </c>
      <c r="BE485" s="65">
        <f t="shared" si="322"/>
        <v>0</v>
      </c>
      <c r="BF485" s="70">
        <v>0</v>
      </c>
      <c r="BG485" s="65">
        <f t="shared" si="323"/>
        <v>0</v>
      </c>
      <c r="BH485" s="70">
        <v>0</v>
      </c>
      <c r="BI485" s="65">
        <f t="shared" si="324"/>
        <v>0</v>
      </c>
      <c r="BJ485" s="38">
        <f>IF(AND(BJ$7="○",$A485&gt;=BJ$8,$A485&lt;=BJ$9),IF(SUM(BJ$10:BJ484)-ROUNDDOWN($M485*BJ$5/100,0)&lt;-BJ$6,-BJ$6-SUM(BJ$10:BJ484),-ROUNDDOWN($M485*BJ$5/100,0)),0)</f>
        <v>0</v>
      </c>
      <c r="BK485" s="38">
        <f>IF(AND(BK$7="○",$A485&gt;=BK$8,$A485&lt;=BK$9),IF(SUM(BK$10:BK484)-ROUNDDOWN($L485*BK$5/100,0)&lt;-BK$6,-BK$6-SUM(BK$10:BK484),-ROUNDDOWN($L485*BK$5/100,0)),0)</f>
        <v>0</v>
      </c>
      <c r="BL485" s="38">
        <f>IF(AND(BL$7="○",$A485&gt;=BL$8,$A485&lt;=BL$9),IF(SUM(BL$10:BL484)-ROUNDDOWN($L485*BL$5/100,0)&lt;-BL$6,-BL$6-SUM(BL$10:BL484),-ROUNDDOWN($L485*BL$5/100,0)),0)</f>
        <v>0</v>
      </c>
      <c r="BM485" s="38">
        <f>IF(AND(BM$7="○",$A485&gt;=BM$8,$A485&lt;=BM$9),IF(SUM(BM$10:BM484)-ROUNDDOWN($M485*BM$5/100,0)&lt;-BM$6,-BM$6-SUM(BM$10:BM484),-ROUNDDOWN($M485*BM$5/100,0)),0)</f>
        <v>0</v>
      </c>
      <c r="BN485" s="38">
        <f>IF(AND(BN$7="○",$A485&gt;=BN$8,$A485&lt;=BN$9),IF(SUM(BN$10:BN484)-ROUNDDOWN($M485*BN$5/100,0)&lt;-BN$6,-BN$6-SUM(BN$10:BN484),-ROUNDDOWN($M485*BN$5/100,0)),0)</f>
        <v>0</v>
      </c>
      <c r="BO485" s="38">
        <f>IF(AND(BO$7="○",$A485&gt;=BO$8,$A485&lt;=BO$9),IF(SUM(BO$10:BO484)-ROUNDDOWN($M485*BO$5/100,0)&lt;-BO$6,-BO$6-SUM(BO$10:BO484),-ROUNDDOWN($M485*BO$5/100,0)),0)</f>
        <v>0</v>
      </c>
      <c r="BP485" s="38">
        <f>IF(AND(BP$7="○",$A485&gt;=BP$8,$A485&lt;=BP$9),IF(SUM(BP$10:BP484)-ROUNDDOWN($M485*BP$5/100,0)&lt;-BP$6,-BP$6-SUM(BP$10:BP484),-ROUNDDOWN($M485*BP$5/100,0)),0)</f>
        <v>0</v>
      </c>
      <c r="BQ485" s="38">
        <f>IF(AND(BQ$7="○",$A485&gt;=BQ$8,$A485&lt;=BQ$9),IF(SUM(BQ$10:BQ484)-ROUNDDOWN($L485*BQ$5/100,0)&lt;-BQ$6,-BQ$6-SUM(BQ$10:BQ484),-ROUNDDOWN($L485*BQ$5/100,0)),0)</f>
        <v>0</v>
      </c>
      <c r="BR485" s="38">
        <f>IF(AND(BR$7="○",$A485&gt;=BR$8,$A485&lt;=BR$9),IF(SUM(BR$10:BR484)-ROUNDDOWN($M485*BR$5/100,0)&lt;-BR$6,-BR$6-SUM(BR$10:BR484),-ROUNDDOWN($M485*BR$5/100,0)),0)</f>
        <v>0</v>
      </c>
      <c r="BS485" s="38">
        <f>IF(AND(BS$7="○",$A485&gt;=BS$8,$A485&lt;=BS$9),IF(SUM(BS$10:BS484)-ROUNDDOWN($M485*BS$5/100,0)&lt;-BS$6,-BS$6-SUM(BS$10:BS484),-ROUNDDOWN($M485*BS$5/100,0)),0)</f>
        <v>0</v>
      </c>
      <c r="BT485" s="38">
        <f>IF(AND(BT$7="○",$A485&gt;=BT$8,$A485&lt;=BT$9),IF(SUM(BT$10:BT484)-ROUNDDOWN($M485*BT$5/100,0)&lt;-BT$6,-BT$6-SUM(BT$10:BT484),-ROUNDDOWN($M485*BT$5/100,0)),0)</f>
        <v>0</v>
      </c>
      <c r="BU485" s="38">
        <f>IF(AND(BU$7="○",$A485&gt;=BU$8,$A485&lt;=BU$9),IF(SUM(BU$10:BU484)-ROUNDDOWN($M485*BU$5/100,0)&lt;-BU$6,-BU$6-SUM(BU$10:BU484),-ROUNDDOWN($M485*BU$5/100,0)),0)</f>
        <v>0</v>
      </c>
      <c r="BV485" s="38">
        <f>IF(AND(BV$7="○",$A485&gt;=BV$8,$A485&lt;=BV$9),IF(SUM(BV$10:BV484)-ROUNDDOWN($M485*BV$5/100,0)&lt;-BV$6,-BV$6-SUM(BV$10:BV484),-ROUNDDOWN($M485*BV$5/100,0)),0)</f>
        <v>0</v>
      </c>
      <c r="BW485" s="38">
        <f>IF(AND(BW$7="○",$A485&gt;=BW$8,$A485&lt;=BW$9),IF(SUM(BW$10:BW484)-ROUNDDOWN($M485*BW$5/100,0)&lt;-BW$6,-BW$6-SUM(BW$10:BW484),-ROUNDDOWN($M485*BW$5/100,0)),0)</f>
        <v>0</v>
      </c>
      <c r="BX485" s="38">
        <f>IF(AND(T485="○",$A485&gt;=BX$8,$A485&lt;=BX$9),IF(SUM(BX$10:BX484)-ROUNDDOWN($K485*BX$5/100,0)&lt;-BX$6,-BX$6-SUM(BX$10:BX484),-ROUNDDOWN($K485*BX$5/100,0)),0)</f>
        <v>0</v>
      </c>
      <c r="BY485" s="38">
        <f>IF(AND(U485="○",$A485&gt;=BY$8,$A485&lt;=BY$9),IF(SUM(BY$10:BY484)-ROUNDDOWN($K485*BY$5/100,0)&lt;-BY$6,-BY$6-SUM(BY$10:BY484),-ROUNDDOWN($K485*BY$5/100,0)),0)</f>
        <v>0</v>
      </c>
      <c r="BZ485" s="38">
        <f>IF(AND(V485="○",$A485&gt;=BZ$8,$A485&lt;=BZ$9),IF(SUM(BZ$10:BZ484)-ROUNDDOWN($K485*BZ$5/100,0)&lt;-BZ$6,-BZ$6-SUM(BZ$10:BZ484),-ROUNDDOWN($K485*BZ$5/100,0)),0)</f>
        <v>0</v>
      </c>
      <c r="CA485" s="38">
        <f>IF(AND(W485="○",$A485&gt;=CA$8,$A485&lt;=CA$9),IF(SUM(CA$10:CA484)-ROUNDDOWN($K485*CA$5/100,0)&lt;-CA$6,-CA$6-SUM(CA$10:CA484),-ROUNDDOWN($K485*CA$5/100,0)),0)</f>
        <v>0</v>
      </c>
      <c r="CB485" s="38"/>
      <c r="CC485" s="38"/>
      <c r="CD485" s="38"/>
      <c r="CE485" s="38"/>
      <c r="CF485" s="38"/>
      <c r="CG485" s="65">
        <f t="shared" si="325"/>
        <v>0</v>
      </c>
      <c r="CH485" s="71">
        <f t="shared" si="326"/>
        <v>0</v>
      </c>
      <c r="CI485" s="1">
        <f t="shared" si="19"/>
        <v>0</v>
      </c>
      <c r="CJ485" s="1"/>
      <c r="CK485" s="79"/>
      <c r="CL485" s="79"/>
      <c r="CM485" s="2"/>
      <c r="CN485" s="2"/>
      <c r="CO485" s="73">
        <f t="shared" si="20"/>
        <v>0</v>
      </c>
      <c r="CP485" s="5">
        <f t="shared" si="21"/>
        <v>0</v>
      </c>
      <c r="CQ485" s="1"/>
      <c r="CR485" s="1">
        <f t="shared" si="22"/>
        <v>0</v>
      </c>
      <c r="CS485" s="1"/>
      <c r="CT485" s="1" t="e">
        <f>INDEX([2]マスタ!$A:$A,MATCH(D485,[2]マスタ!$C:$C,0))</f>
        <v>#N/A</v>
      </c>
      <c r="CU485" s="1" t="str">
        <f t="shared" ca="1" si="23"/>
        <v>20260620_0-0</v>
      </c>
    </row>
    <row r="486" spans="1:99" x14ac:dyDescent="0.4">
      <c r="A486" s="61"/>
      <c r="B486" s="62"/>
      <c r="C486" s="62"/>
      <c r="D486" s="62"/>
      <c r="E486" s="63"/>
      <c r="F486" s="62"/>
      <c r="G486" s="62">
        <v>1</v>
      </c>
      <c r="H486" s="64">
        <f t="shared" si="4"/>
        <v>0</v>
      </c>
      <c r="I486" s="64"/>
      <c r="J486" s="64"/>
      <c r="K486" s="65">
        <f t="shared" ref="K486:K495" si="329">+ROUNDDOWN((H486+I486+J486)/100,0)*100</f>
        <v>0</v>
      </c>
      <c r="L486" s="65">
        <f t="shared" si="6"/>
        <v>0</v>
      </c>
      <c r="M486" s="65">
        <f t="shared" si="7"/>
        <v>0</v>
      </c>
      <c r="N486" s="65">
        <f t="shared" si="8"/>
        <v>0</v>
      </c>
      <c r="O486" s="66" t="str">
        <f t="shared" si="9"/>
        <v>✕</v>
      </c>
      <c r="P486" s="67" t="str">
        <f t="shared" si="10"/>
        <v>○</v>
      </c>
      <c r="Q486" s="67" t="str">
        <f t="shared" ref="Q486:Q495" si="330">+IF((TEXT(A486,"DD")+0)=1,"○","✕")</f>
        <v>✕</v>
      </c>
      <c r="R486" s="67" t="str">
        <f t="shared" si="12"/>
        <v>✕</v>
      </c>
      <c r="S486" s="68">
        <v>0</v>
      </c>
      <c r="T486" s="69" t="s">
        <v>85</v>
      </c>
      <c r="U486" s="69" t="s">
        <v>85</v>
      </c>
      <c r="V486" s="69" t="s">
        <v>85</v>
      </c>
      <c r="W486" s="69" t="s">
        <v>85</v>
      </c>
      <c r="X486" s="69" t="s">
        <v>84</v>
      </c>
      <c r="Y486" s="69" t="s">
        <v>85</v>
      </c>
      <c r="Z486" s="69" t="s">
        <v>85</v>
      </c>
      <c r="AA486" s="69" t="s">
        <v>85</v>
      </c>
      <c r="AB486" s="69" t="s">
        <v>85</v>
      </c>
      <c r="AC486" s="69" t="s">
        <v>85</v>
      </c>
      <c r="AD486" s="38" t="str">
        <f>+IF(ISERROR(VLOOKUP($B486,AD$10:AD485,1,0)),IF(AND($N486&gt;=1000,$A486&gt;=AO$8,$A486&lt;=AO$9),$B486,""),"")</f>
        <v/>
      </c>
      <c r="AE486" s="38" t="str">
        <f>+IF(ISERROR(VLOOKUP($B486,AE$10:AE485,1,0)),IF(AND($N486&gt;=1000,$A486&gt;=AP$8,$A486&lt;=AP$9),$B486,""),"")</f>
        <v/>
      </c>
      <c r="AF486" s="38" t="str">
        <f>+IF(ISERROR(VLOOKUP($B486,AF$10:AF485,1,0)),IF(AND($N486&gt;=1000,$A486&gt;=AQ$8,$A486&lt;=AQ$9),$B486,""),"")</f>
        <v/>
      </c>
      <c r="AG486" s="38" t="str">
        <f>+IF(ISERROR(VLOOKUP($B486,AG$10:AG485,1,0)),IF(AND($N486&gt;=1000,$A486&gt;=AR$8,$A486&lt;=AR$9),$B486,""),"")</f>
        <v/>
      </c>
      <c r="AH486" s="38"/>
      <c r="AI486" s="70">
        <v>0</v>
      </c>
      <c r="AJ486" s="38">
        <f>IF(AND(AJ$7="○",$A486&gt;=AJ$8,$A486&lt;=AJ$9),IF(SUM(AJ$10:AJ485)-ROUNDDOWN($K486*AJ$5/100,0)&lt;-AJ$6,-AJ$6-SUM(AJ$10:AJ485),-ROUNDDOWN($K486*AJ$5/100,0)),0)</f>
        <v>0</v>
      </c>
      <c r="AK486" s="38">
        <f>IF(AND(AK$7="○",$A486&gt;=AK$8,$A486&lt;=AK$9),IF(SUM(AK$10:AK485)-ROUNDDOWN($L486*AK$5/100,0)&lt;-AK$6,-AK$6-SUM(AK$10:AK485),-ROUNDDOWN($L486*AK$5/100,0)),0)</f>
        <v>0</v>
      </c>
      <c r="AL486" s="38">
        <f>IF(AND(AL$7="○",$A486&gt;=AL$8,$A486&lt;=AL$9),IF(SUM(AL$10:AL485)-ROUNDDOWN($N486*AL$5/100,0)&lt;-AL$6,-AL$6-SUM(AL$10:AL485),-ROUNDDOWN($N486*AL$5/100,0)),0)</f>
        <v>0</v>
      </c>
      <c r="AM486" s="38">
        <f>IF(AND(AM$7="○",$A486&gt;=AM$8,$A486&lt;=AM$9),IF(SUM(AM$10:AM485)-ROUNDDOWN($L486*AM$5/100,0)&lt;-AM$6,-AM$6-SUM(AM$10:AM485),-ROUNDDOWN($L486*AM$5/100,0)),0)</f>
        <v>0</v>
      </c>
      <c r="AN486" s="38">
        <f>IF(AND(AN$7="○",$A486&gt;=AN$8,$A486&lt;=AN$9),IF(SUM(AN$10:AN485)-ROUNDDOWN($M486*AN$5/100,0)&lt;-AN$6,-AN$6-SUM(AN$10:AN485),-ROUNDDOWN($M486*AN$5/100,0)),0)</f>
        <v>0</v>
      </c>
      <c r="AO486" s="38">
        <f>IF(AND($A486&gt;=AO$8,$A486&lt;=AO$9),IF(SUM(AO$10:AO485)-ROUNDDOWN($K486*AO$5/100,0)&lt;-AO$6,-AO$6-SUM(AO$10:AO485),-ROUNDDOWN($K486*AO$5/100,0)),0)</f>
        <v>0</v>
      </c>
      <c r="AP486" s="38">
        <f>IF(AND($A486&gt;=AP$8,$A486&lt;=AP$9),IF(SUM(AP$10:AP485)-ROUNDDOWN($K486*AP$5/100,0)&lt;-AP$6,-AP$6-SUM(AP$10:AP485),-ROUNDDOWN($K486*AP$5/100,0)),0)</f>
        <v>0</v>
      </c>
      <c r="AQ486" s="38">
        <f>IF(AND($A486&gt;=AQ$8,$A486&lt;=AQ$9),IF(SUM(AQ$10:AQ485)-ROUNDDOWN($K486*AQ$5/100,0)&lt;-AQ$6,-AQ$6-SUM(AQ$10:AQ485),-ROUNDDOWN($K486*AQ$5/100,0)),0)</f>
        <v>0</v>
      </c>
      <c r="AR486" s="38">
        <f>IF(AND($A486&gt;=AR$8,$A486&lt;=AR$9),IF(SUM(AR$10:AR485)-ROUNDDOWN($K486*AR$5/100,0)&lt;-AR$6,-AR$6-SUM(AR$10:AR485),-ROUNDDOWN($K486*AR$5/100,0)),0)</f>
        <v>0</v>
      </c>
      <c r="AS486" s="38">
        <f>IF(SUMIFS(AS$10:AS485,$A$10:$A485,$A486)-ROUNDDOWN($K486*$S486/100,0)&lt;-$S486*1000,-$S486*1000-SUMIFS(AS$10:AS485,$A$10:$A485,$A486),-ROUNDDOWN($K486*$S486/100,0))</f>
        <v>0</v>
      </c>
      <c r="AT486" s="38">
        <f>IF(AND(X486="○",$A486&gt;=AT$8,$A486&lt;=AT$9,K486&gt;=3980),IF(SUM(AT$10:AT485)-ROUNDDOWN($K486*AT$5/100,0)&lt;-AT$6,-AT$6-SUM(AT$10:AT485),-ROUNDDOWN($K486*AT$5/100,0)),0)</f>
        <v>0</v>
      </c>
      <c r="AU486" s="38">
        <f>IF(O486="○",IF(SUM(AU$10:AU485)-ROUNDDOWN($K486*AU$5/100,0)&lt;-AU$6,-AU$6-SUM(AU$10:AU485),-ROUNDDOWN($K486*AU$5/100,0)),0)</f>
        <v>0</v>
      </c>
      <c r="AV486" s="38">
        <f>IF(P486="○",IF(SUM(AV$10:AV485)-ROUNDDOWN($K486*AV$5/100,0)&lt;-AV$6,-AV$6-SUM(AV$10:AV485),-ROUNDDOWN($K486*AV$5/100,0)),0)</f>
        <v>0</v>
      </c>
      <c r="AW486" s="38">
        <f>IF(Q486="○",IF(SUM(AW$10:AW485)-ROUNDDOWN($K486*AW$5/100,0)&lt;-AW$6,-AW$6-SUM(AW$10:AW485),-ROUNDDOWN($K486*AW$5/100,0)),0)</f>
        <v>0</v>
      </c>
      <c r="AX486" s="38">
        <f>IF(R486="○",IF(SUM(AX$10:AX485)-ROUNDDOWN($K486*AX$5/100,0)&lt;-AX$6,-AX$6-SUM(AX$10:AX485),-ROUNDDOWN($K486*AX$5/100,0)),0)</f>
        <v>0</v>
      </c>
      <c r="AY486" s="70">
        <v>0</v>
      </c>
      <c r="AZ486" s="65">
        <f t="shared" si="319"/>
        <v>0</v>
      </c>
      <c r="BA486" s="65">
        <f t="shared" si="320"/>
        <v>0</v>
      </c>
      <c r="BB486" s="70"/>
      <c r="BC486" s="65">
        <f t="shared" si="321"/>
        <v>0</v>
      </c>
      <c r="BD486" s="70">
        <v>0</v>
      </c>
      <c r="BE486" s="65">
        <f t="shared" si="322"/>
        <v>0</v>
      </c>
      <c r="BF486" s="70">
        <v>0</v>
      </c>
      <c r="BG486" s="65">
        <f t="shared" si="323"/>
        <v>0</v>
      </c>
      <c r="BH486" s="70">
        <v>0</v>
      </c>
      <c r="BI486" s="65">
        <f t="shared" si="324"/>
        <v>0</v>
      </c>
      <c r="BJ486" s="38">
        <f>IF(AND(BJ$7="○",$A486&gt;=BJ$8,$A486&lt;=BJ$9),IF(SUM(BJ$10:BJ485)-ROUNDDOWN($M486*BJ$5/100,0)&lt;-BJ$6,-BJ$6-SUM(BJ$10:BJ485),-ROUNDDOWN($M486*BJ$5/100,0)),0)</f>
        <v>0</v>
      </c>
      <c r="BK486" s="38">
        <f>IF(AND(BK$7="○",$A486&gt;=BK$8,$A486&lt;=BK$9),IF(SUM(BK$10:BK485)-ROUNDDOWN($L486*BK$5/100,0)&lt;-BK$6,-BK$6-SUM(BK$10:BK485),-ROUNDDOWN($L486*BK$5/100,0)),0)</f>
        <v>0</v>
      </c>
      <c r="BL486" s="38">
        <f>IF(AND(BL$7="○",$A486&gt;=BL$8,$A486&lt;=BL$9),IF(SUM(BL$10:BL485)-ROUNDDOWN($L486*BL$5/100,0)&lt;-BL$6,-BL$6-SUM(BL$10:BL485),-ROUNDDOWN($L486*BL$5/100,0)),0)</f>
        <v>0</v>
      </c>
      <c r="BM486" s="38">
        <f>IF(AND(BM$7="○",$A486&gt;=BM$8,$A486&lt;=BM$9),IF(SUM(BM$10:BM485)-ROUNDDOWN($M486*BM$5/100,0)&lt;-BM$6,-BM$6-SUM(BM$10:BM485),-ROUNDDOWN($M486*BM$5/100,0)),0)</f>
        <v>0</v>
      </c>
      <c r="BN486" s="38">
        <f>IF(AND(BN$7="○",$A486&gt;=BN$8,$A486&lt;=BN$9),IF(SUM(BN$10:BN485)-ROUNDDOWN($M486*BN$5/100,0)&lt;-BN$6,-BN$6-SUM(BN$10:BN485),-ROUNDDOWN($M486*BN$5/100,0)),0)</f>
        <v>0</v>
      </c>
      <c r="BO486" s="38">
        <f>IF(AND(BO$7="○",$A486&gt;=BO$8,$A486&lt;=BO$9),IF(SUM(BO$10:BO485)-ROUNDDOWN($M486*BO$5/100,0)&lt;-BO$6,-BO$6-SUM(BO$10:BO485),-ROUNDDOWN($M486*BO$5/100,0)),0)</f>
        <v>0</v>
      </c>
      <c r="BP486" s="38">
        <f>IF(AND(BP$7="○",$A486&gt;=BP$8,$A486&lt;=BP$9),IF(SUM(BP$10:BP485)-ROUNDDOWN($M486*BP$5/100,0)&lt;-BP$6,-BP$6-SUM(BP$10:BP485),-ROUNDDOWN($M486*BP$5/100,0)),0)</f>
        <v>0</v>
      </c>
      <c r="BQ486" s="38">
        <f>IF(AND(BQ$7="○",$A486&gt;=BQ$8,$A486&lt;=BQ$9),IF(SUM(BQ$10:BQ485)-ROUNDDOWN($L486*BQ$5/100,0)&lt;-BQ$6,-BQ$6-SUM(BQ$10:BQ485),-ROUNDDOWN($L486*BQ$5/100,0)),0)</f>
        <v>0</v>
      </c>
      <c r="BR486" s="38">
        <f>IF(AND(BR$7="○",$A486&gt;=BR$8,$A486&lt;=BR$9),IF(SUM(BR$10:BR485)-ROUNDDOWN($M486*BR$5/100,0)&lt;-BR$6,-BR$6-SUM(BR$10:BR485),-ROUNDDOWN($M486*BR$5/100,0)),0)</f>
        <v>0</v>
      </c>
      <c r="BS486" s="38">
        <f>IF(AND(BS$7="○",$A486&gt;=BS$8,$A486&lt;=BS$9),IF(SUM(BS$10:BS485)-ROUNDDOWN($M486*BS$5/100,0)&lt;-BS$6,-BS$6-SUM(BS$10:BS485),-ROUNDDOWN($M486*BS$5/100,0)),0)</f>
        <v>0</v>
      </c>
      <c r="BT486" s="38">
        <f>IF(AND(BT$7="○",$A486&gt;=BT$8,$A486&lt;=BT$9),IF(SUM(BT$10:BT485)-ROUNDDOWN($M486*BT$5/100,0)&lt;-BT$6,-BT$6-SUM(BT$10:BT485),-ROUNDDOWN($M486*BT$5/100,0)),0)</f>
        <v>0</v>
      </c>
      <c r="BU486" s="38">
        <f>IF(AND(BU$7="○",$A486&gt;=BU$8,$A486&lt;=BU$9),IF(SUM(BU$10:BU485)-ROUNDDOWN($M486*BU$5/100,0)&lt;-BU$6,-BU$6-SUM(BU$10:BU485),-ROUNDDOWN($M486*BU$5/100,0)),0)</f>
        <v>0</v>
      </c>
      <c r="BV486" s="38">
        <f>IF(AND(BV$7="○",$A486&gt;=BV$8,$A486&lt;=BV$9),IF(SUM(BV$10:BV485)-ROUNDDOWN($M486*BV$5/100,0)&lt;-BV$6,-BV$6-SUM(BV$10:BV485),-ROUNDDOWN($M486*BV$5/100,0)),0)</f>
        <v>0</v>
      </c>
      <c r="BW486" s="38">
        <f>IF(AND(BW$7="○",$A486&gt;=BW$8,$A486&lt;=BW$9),IF(SUM(BW$10:BW485)-ROUNDDOWN($M486*BW$5/100,0)&lt;-BW$6,-BW$6-SUM(BW$10:BW485),-ROUNDDOWN($M486*BW$5/100,0)),0)</f>
        <v>0</v>
      </c>
      <c r="BX486" s="38">
        <f>IF(AND(T486="○",$A486&gt;=BX$8,$A486&lt;=BX$9),IF(SUM(BX$10:BX485)-ROUNDDOWN($K486*BX$5/100,0)&lt;-BX$6,-BX$6-SUM(BX$10:BX485),-ROUNDDOWN($K486*BX$5/100,0)),0)</f>
        <v>0</v>
      </c>
      <c r="BY486" s="38">
        <f>IF(AND(U486="○",$A486&gt;=BY$8,$A486&lt;=BY$9),IF(SUM(BY$10:BY485)-ROUNDDOWN($K486*BY$5/100,0)&lt;-BY$6,-BY$6-SUM(BY$10:BY485),-ROUNDDOWN($K486*BY$5/100,0)),0)</f>
        <v>0</v>
      </c>
      <c r="BZ486" s="38">
        <f>IF(AND(V486="○",$A486&gt;=BZ$8,$A486&lt;=BZ$9),IF(SUM(BZ$10:BZ485)-ROUNDDOWN($K486*BZ$5/100,0)&lt;-BZ$6,-BZ$6-SUM(BZ$10:BZ485),-ROUNDDOWN($K486*BZ$5/100,0)),0)</f>
        <v>0</v>
      </c>
      <c r="CA486" s="38">
        <f>IF(AND(W486="○",$A486&gt;=CA$8,$A486&lt;=CA$9),IF(SUM(CA$10:CA485)-ROUNDDOWN($K486*CA$5/100,0)&lt;-CA$6,-CA$6-SUM(CA$10:CA485),-ROUNDDOWN($K486*CA$5/100,0)),0)</f>
        <v>0</v>
      </c>
      <c r="CB486" s="38"/>
      <c r="CC486" s="38"/>
      <c r="CD486" s="38"/>
      <c r="CE486" s="38"/>
      <c r="CF486" s="38"/>
      <c r="CG486" s="65">
        <f t="shared" si="325"/>
        <v>0</v>
      </c>
      <c r="CH486" s="71">
        <f t="shared" si="326"/>
        <v>0</v>
      </c>
      <c r="CI486" s="1">
        <f t="shared" si="19"/>
        <v>0</v>
      </c>
      <c r="CJ486" s="1"/>
      <c r="CK486" s="72"/>
      <c r="CL486" s="72"/>
      <c r="CM486" s="2"/>
      <c r="CN486" s="2"/>
      <c r="CO486" s="73">
        <f t="shared" si="20"/>
        <v>0</v>
      </c>
      <c r="CP486" s="5">
        <f t="shared" si="21"/>
        <v>0</v>
      </c>
      <c r="CQ486" s="1"/>
      <c r="CR486" s="1">
        <f t="shared" si="22"/>
        <v>0</v>
      </c>
      <c r="CS486" s="1"/>
      <c r="CT486" s="1" t="e">
        <f>INDEX([2]マスタ!$A:$A,MATCH(D486,[2]マスタ!$C:$C,0))</f>
        <v>#N/A</v>
      </c>
      <c r="CU486" s="1" t="str">
        <f t="shared" ca="1" si="23"/>
        <v>20260620_0-0</v>
      </c>
    </row>
    <row r="487" spans="1:99" x14ac:dyDescent="0.4">
      <c r="A487" s="61"/>
      <c r="B487" s="62"/>
      <c r="C487" s="62"/>
      <c r="D487" s="62"/>
      <c r="E487" s="63"/>
      <c r="F487" s="62"/>
      <c r="G487" s="62">
        <v>1</v>
      </c>
      <c r="H487" s="64">
        <f t="shared" si="4"/>
        <v>0</v>
      </c>
      <c r="I487" s="64"/>
      <c r="J487" s="64"/>
      <c r="K487" s="65">
        <f t="shared" si="329"/>
        <v>0</v>
      </c>
      <c r="L487" s="65">
        <f t="shared" si="6"/>
        <v>0</v>
      </c>
      <c r="M487" s="65">
        <f t="shared" si="7"/>
        <v>0</v>
      </c>
      <c r="N487" s="65">
        <f t="shared" si="8"/>
        <v>0</v>
      </c>
      <c r="O487" s="66" t="str">
        <f t="shared" si="9"/>
        <v>✕</v>
      </c>
      <c r="P487" s="67" t="str">
        <f t="shared" si="10"/>
        <v>○</v>
      </c>
      <c r="Q487" s="67" t="str">
        <f t="shared" si="330"/>
        <v>✕</v>
      </c>
      <c r="R487" s="67" t="str">
        <f t="shared" si="12"/>
        <v>✕</v>
      </c>
      <c r="S487" s="68">
        <v>0</v>
      </c>
      <c r="T487" s="69" t="s">
        <v>85</v>
      </c>
      <c r="U487" s="69" t="s">
        <v>85</v>
      </c>
      <c r="V487" s="69" t="s">
        <v>85</v>
      </c>
      <c r="W487" s="69" t="s">
        <v>85</v>
      </c>
      <c r="X487" s="69" t="s">
        <v>84</v>
      </c>
      <c r="Y487" s="69" t="s">
        <v>85</v>
      </c>
      <c r="Z487" s="69" t="s">
        <v>85</v>
      </c>
      <c r="AA487" s="69" t="s">
        <v>85</v>
      </c>
      <c r="AB487" s="69" t="s">
        <v>85</v>
      </c>
      <c r="AC487" s="69" t="s">
        <v>85</v>
      </c>
      <c r="AD487" s="38" t="str">
        <f>+IF(ISERROR(VLOOKUP($B487,AD$10:AD486,1,0)),IF(AND($N487&gt;=1000,$A487&gt;=AO$8,$A487&lt;=AO$9),$B487,""),"")</f>
        <v/>
      </c>
      <c r="AE487" s="38" t="str">
        <f>+IF(ISERROR(VLOOKUP($B487,AE$10:AE486,1,0)),IF(AND($N487&gt;=1000,$A487&gt;=AP$8,$A487&lt;=AP$9),$B487,""),"")</f>
        <v/>
      </c>
      <c r="AF487" s="38" t="str">
        <f>+IF(ISERROR(VLOOKUP($B487,AF$10:AF486,1,0)),IF(AND($N487&gt;=1000,$A487&gt;=AQ$8,$A487&lt;=AQ$9),$B487,""),"")</f>
        <v/>
      </c>
      <c r="AG487" s="38" t="str">
        <f>+IF(ISERROR(VLOOKUP($B487,AG$10:AG486,1,0)),IF(AND($N487&gt;=1000,$A487&gt;=AR$8,$A487&lt;=AR$9),$B487,""),"")</f>
        <v/>
      </c>
      <c r="AH487" s="38"/>
      <c r="AI487" s="70">
        <v>0</v>
      </c>
      <c r="AJ487" s="38">
        <f>IF(AND(AJ$7="○",$A487&gt;=AJ$8,$A487&lt;=AJ$9),IF(SUM(AJ$10:AJ486)-ROUNDDOWN($K487*AJ$5/100,0)&lt;-AJ$6,-AJ$6-SUM(AJ$10:AJ486),-ROUNDDOWN($K487*AJ$5/100,0)),0)</f>
        <v>0</v>
      </c>
      <c r="AK487" s="38">
        <f>IF(AND(AK$7="○",$A487&gt;=AK$8,$A487&lt;=AK$9),IF(SUM(AK$10:AK486)-ROUNDDOWN($L487*AK$5/100,0)&lt;-AK$6,-AK$6-SUM(AK$10:AK486),-ROUNDDOWN($L487*AK$5/100,0)),0)</f>
        <v>0</v>
      </c>
      <c r="AL487" s="38">
        <f>IF(AND(AL$7="○",$A487&gt;=AL$8,$A487&lt;=AL$9),IF(SUM(AL$10:AL486)-ROUNDDOWN($N487*AL$5/100,0)&lt;-AL$6,-AL$6-SUM(AL$10:AL486),-ROUNDDOWN($N487*AL$5/100,0)),0)</f>
        <v>0</v>
      </c>
      <c r="AM487" s="38">
        <f>IF(AND(AM$7="○",$A487&gt;=AM$8,$A487&lt;=AM$9),IF(SUM(AM$10:AM486)-ROUNDDOWN($L487*AM$5/100,0)&lt;-AM$6,-AM$6-SUM(AM$10:AM486),-ROUNDDOWN($L487*AM$5/100,0)),0)</f>
        <v>0</v>
      </c>
      <c r="AN487" s="38">
        <f>IF(AND(AN$7="○",$A487&gt;=AN$8,$A487&lt;=AN$9),IF(SUM(AN$10:AN486)-ROUNDDOWN($M487*AN$5/100,0)&lt;-AN$6,-AN$6-SUM(AN$10:AN486),-ROUNDDOWN($M487*AN$5/100,0)),0)</f>
        <v>0</v>
      </c>
      <c r="AO487" s="38">
        <f>IF(AND($A487&gt;=AO$8,$A487&lt;=AO$9),IF(SUM(AO$10:AO486)-ROUNDDOWN($K487*AO$5/100,0)&lt;-AO$6,-AO$6-SUM(AO$10:AO486),-ROUNDDOWN($K487*AO$5/100,0)),0)</f>
        <v>0</v>
      </c>
      <c r="AP487" s="38">
        <f>IF(AND($A487&gt;=AP$8,$A487&lt;=AP$9),IF(SUM(AP$10:AP486)-ROUNDDOWN($K487*AP$5/100,0)&lt;-AP$6,-AP$6-SUM(AP$10:AP486),-ROUNDDOWN($K487*AP$5/100,0)),0)</f>
        <v>0</v>
      </c>
      <c r="AQ487" s="38">
        <f>IF(AND($A487&gt;=AQ$8,$A487&lt;=AQ$9),IF(SUM(AQ$10:AQ486)-ROUNDDOWN($K487*AQ$5/100,0)&lt;-AQ$6,-AQ$6-SUM(AQ$10:AQ486),-ROUNDDOWN($K487*AQ$5/100,0)),0)</f>
        <v>0</v>
      </c>
      <c r="AR487" s="38">
        <f>IF(AND($A487&gt;=AR$8,$A487&lt;=AR$9),IF(SUM(AR$10:AR486)-ROUNDDOWN($K487*AR$5/100,0)&lt;-AR$6,-AR$6-SUM(AR$10:AR486),-ROUNDDOWN($K487*AR$5/100,0)),0)</f>
        <v>0</v>
      </c>
      <c r="AS487" s="38">
        <f>IF(SUMIFS(AS$10:AS486,$A$10:$A486,$A487)-ROUNDDOWN($K487*$S487/100,0)&lt;-$S487*1000,-$S487*1000-SUMIFS(AS$10:AS486,$A$10:$A486,$A487),-ROUNDDOWN($K487*$S487/100,0))</f>
        <v>0</v>
      </c>
      <c r="AT487" s="38">
        <f>IF(AND(X487="○",$A487&gt;=AT$8,$A487&lt;=AT$9,K487&gt;=3980),IF(SUM(AT$10:AT486)-ROUNDDOWN($K487*AT$5/100,0)&lt;-AT$6,-AT$6-SUM(AT$10:AT486),-ROUNDDOWN($K487*AT$5/100,0)),0)</f>
        <v>0</v>
      </c>
      <c r="AU487" s="38">
        <f>IF(O487="○",IF(SUM(AU$10:AU486)-ROUNDDOWN($K487*AU$5/100,0)&lt;-AU$6,-AU$6-SUM(AU$10:AU486),-ROUNDDOWN($K487*AU$5/100,0)),0)</f>
        <v>0</v>
      </c>
      <c r="AV487" s="38">
        <f>IF(P487="○",IF(SUM(AV$10:AV486)-ROUNDDOWN($K487*AV$5/100,0)&lt;-AV$6,-AV$6-SUM(AV$10:AV486),-ROUNDDOWN($K487*AV$5/100,0)),0)</f>
        <v>0</v>
      </c>
      <c r="AW487" s="38">
        <f>IF(Q487="○",IF(SUM(AW$10:AW486)-ROUNDDOWN($K487*AW$5/100,0)&lt;-AW$6,-AW$6-SUM(AW$10:AW486),-ROUNDDOWN($K487*AW$5/100,0)),0)</f>
        <v>0</v>
      </c>
      <c r="AX487" s="38">
        <f>IF(R487="○",IF(SUM(AX$10:AX486)-ROUNDDOWN($K487*AX$5/100,0)&lt;-AX$6,-AX$6-SUM(AX$10:AX486),-ROUNDDOWN($K487*AX$5/100,0)),0)</f>
        <v>0</v>
      </c>
      <c r="AY487" s="70">
        <v>0</v>
      </c>
      <c r="AZ487" s="65">
        <f t="shared" si="319"/>
        <v>0</v>
      </c>
      <c r="BA487" s="65">
        <f t="shared" si="320"/>
        <v>0</v>
      </c>
      <c r="BB487" s="70"/>
      <c r="BC487" s="65">
        <f t="shared" si="321"/>
        <v>0</v>
      </c>
      <c r="BD487" s="70">
        <v>0</v>
      </c>
      <c r="BE487" s="65">
        <f t="shared" si="322"/>
        <v>0</v>
      </c>
      <c r="BF487" s="70">
        <v>0</v>
      </c>
      <c r="BG487" s="65">
        <f t="shared" si="323"/>
        <v>0</v>
      </c>
      <c r="BH487" s="70">
        <v>0</v>
      </c>
      <c r="BI487" s="65">
        <f t="shared" si="324"/>
        <v>0</v>
      </c>
      <c r="BJ487" s="38">
        <f>IF(AND(BJ$7="○",$A487&gt;=BJ$8,$A487&lt;=BJ$9),IF(SUM(BJ$10:BJ486)-ROUNDDOWN($M487*BJ$5/100,0)&lt;-BJ$6,-BJ$6-SUM(BJ$10:BJ486),-ROUNDDOWN($M487*BJ$5/100,0)),0)</f>
        <v>0</v>
      </c>
      <c r="BK487" s="38">
        <f>IF(AND(BK$7="○",$A487&gt;=BK$8,$A487&lt;=BK$9),IF(SUM(BK$10:BK486)-ROUNDDOWN($L487*BK$5/100,0)&lt;-BK$6,-BK$6-SUM(BK$10:BK486),-ROUNDDOWN($L487*BK$5/100,0)),0)</f>
        <v>0</v>
      </c>
      <c r="BL487" s="38">
        <f>IF(AND(BL$7="○",$A487&gt;=BL$8,$A487&lt;=BL$9),IF(SUM(BL$10:BL486)-ROUNDDOWN($L487*BL$5/100,0)&lt;-BL$6,-BL$6-SUM(BL$10:BL486),-ROUNDDOWN($L487*BL$5/100,0)),0)</f>
        <v>0</v>
      </c>
      <c r="BM487" s="38">
        <f>IF(AND(BM$7="○",$A487&gt;=BM$8,$A487&lt;=BM$9),IF(SUM(BM$10:BM486)-ROUNDDOWN($M487*BM$5/100,0)&lt;-BM$6,-BM$6-SUM(BM$10:BM486),-ROUNDDOWN($M487*BM$5/100,0)),0)</f>
        <v>0</v>
      </c>
      <c r="BN487" s="38">
        <f>IF(AND(BN$7="○",$A487&gt;=BN$8,$A487&lt;=BN$9),IF(SUM(BN$10:BN486)-ROUNDDOWN($M487*BN$5/100,0)&lt;-BN$6,-BN$6-SUM(BN$10:BN486),-ROUNDDOWN($M487*BN$5/100,0)),0)</f>
        <v>0</v>
      </c>
      <c r="BO487" s="38">
        <f>IF(AND(BO$7="○",$A487&gt;=BO$8,$A487&lt;=BO$9),IF(SUM(BO$10:BO486)-ROUNDDOWN($M487*BO$5/100,0)&lt;-BO$6,-BO$6-SUM(BO$10:BO486),-ROUNDDOWN($M487*BO$5/100,0)),0)</f>
        <v>0</v>
      </c>
      <c r="BP487" s="38">
        <f>IF(AND(BP$7="○",$A487&gt;=BP$8,$A487&lt;=BP$9),IF(SUM(BP$10:BP486)-ROUNDDOWN($M487*BP$5/100,0)&lt;-BP$6,-BP$6-SUM(BP$10:BP486),-ROUNDDOWN($M487*BP$5/100,0)),0)</f>
        <v>0</v>
      </c>
      <c r="BQ487" s="38">
        <f>IF(AND(BQ$7="○",$A487&gt;=BQ$8,$A487&lt;=BQ$9),IF(SUM(BQ$10:BQ486)-ROUNDDOWN($L487*BQ$5/100,0)&lt;-BQ$6,-BQ$6-SUM(BQ$10:BQ486),-ROUNDDOWN($L487*BQ$5/100,0)),0)</f>
        <v>0</v>
      </c>
      <c r="BR487" s="38">
        <f>IF(AND(BR$7="○",$A487&gt;=BR$8,$A487&lt;=BR$9),IF(SUM(BR$10:BR486)-ROUNDDOWN($M487*BR$5/100,0)&lt;-BR$6,-BR$6-SUM(BR$10:BR486),-ROUNDDOWN($M487*BR$5/100,0)),0)</f>
        <v>0</v>
      </c>
      <c r="BS487" s="38">
        <f>IF(AND(BS$7="○",$A487&gt;=BS$8,$A487&lt;=BS$9),IF(SUM(BS$10:BS486)-ROUNDDOWN($M487*BS$5/100,0)&lt;-BS$6,-BS$6-SUM(BS$10:BS486),-ROUNDDOWN($M487*BS$5/100,0)),0)</f>
        <v>0</v>
      </c>
      <c r="BT487" s="38">
        <f>IF(AND(BT$7="○",$A487&gt;=BT$8,$A487&lt;=BT$9),IF(SUM(BT$10:BT486)-ROUNDDOWN($M487*BT$5/100,0)&lt;-BT$6,-BT$6-SUM(BT$10:BT486),-ROUNDDOWN($M487*BT$5/100,0)),0)</f>
        <v>0</v>
      </c>
      <c r="BU487" s="38">
        <f>IF(AND(BU$7="○",$A487&gt;=BU$8,$A487&lt;=BU$9),IF(SUM(BU$10:BU486)-ROUNDDOWN($M487*BU$5/100,0)&lt;-BU$6,-BU$6-SUM(BU$10:BU486),-ROUNDDOWN($M487*BU$5/100,0)),0)</f>
        <v>0</v>
      </c>
      <c r="BV487" s="38">
        <f>IF(AND(BV$7="○",$A487&gt;=BV$8,$A487&lt;=BV$9),IF(SUM(BV$10:BV486)-ROUNDDOWN($M487*BV$5/100,0)&lt;-BV$6,-BV$6-SUM(BV$10:BV486),-ROUNDDOWN($M487*BV$5/100,0)),0)</f>
        <v>0</v>
      </c>
      <c r="BW487" s="38">
        <f>IF(AND(BW$7="○",$A487&gt;=BW$8,$A487&lt;=BW$9),IF(SUM(BW$10:BW486)-ROUNDDOWN($M487*BW$5/100,0)&lt;-BW$6,-BW$6-SUM(BW$10:BW486),-ROUNDDOWN($M487*BW$5/100,0)),0)</f>
        <v>0</v>
      </c>
      <c r="BX487" s="38">
        <f>IF(AND(T487="○",$A487&gt;=BX$8,$A487&lt;=BX$9),IF(SUM(BX$10:BX486)-ROUNDDOWN($K487*BX$5/100,0)&lt;-BX$6,-BX$6-SUM(BX$10:BX486),-ROUNDDOWN($K487*BX$5/100,0)),0)</f>
        <v>0</v>
      </c>
      <c r="BY487" s="38">
        <f>IF(AND(U487="○",$A487&gt;=BY$8,$A487&lt;=BY$9),IF(SUM(BY$10:BY486)-ROUNDDOWN($K487*BY$5/100,0)&lt;-BY$6,-BY$6-SUM(BY$10:BY486),-ROUNDDOWN($K487*BY$5/100,0)),0)</f>
        <v>0</v>
      </c>
      <c r="BZ487" s="38">
        <f>IF(AND(V487="○",$A487&gt;=BZ$8,$A487&lt;=BZ$9),IF(SUM(BZ$10:BZ486)-ROUNDDOWN($K487*BZ$5/100,0)&lt;-BZ$6,-BZ$6-SUM(BZ$10:BZ486),-ROUNDDOWN($K487*BZ$5/100,0)),0)</f>
        <v>0</v>
      </c>
      <c r="CA487" s="38">
        <f>IF(AND(W487="○",$A487&gt;=CA$8,$A487&lt;=CA$9),IF(SUM(CA$10:CA486)-ROUNDDOWN($K487*CA$5/100,0)&lt;-CA$6,-CA$6-SUM(CA$10:CA486),-ROUNDDOWN($K487*CA$5/100,0)),0)</f>
        <v>0</v>
      </c>
      <c r="CB487" s="38"/>
      <c r="CC487" s="38"/>
      <c r="CD487" s="38"/>
      <c r="CE487" s="38"/>
      <c r="CF487" s="38"/>
      <c r="CG487" s="65">
        <f t="shared" si="325"/>
        <v>0</v>
      </c>
      <c r="CH487" s="71">
        <f t="shared" si="326"/>
        <v>0</v>
      </c>
      <c r="CI487" s="1">
        <f t="shared" si="19"/>
        <v>0</v>
      </c>
      <c r="CJ487" s="1"/>
      <c r="CK487" s="72"/>
      <c r="CL487" s="72"/>
      <c r="CM487" s="2"/>
      <c r="CN487" s="2"/>
      <c r="CO487" s="73">
        <f t="shared" si="20"/>
        <v>0</v>
      </c>
      <c r="CP487" s="5">
        <f t="shared" si="21"/>
        <v>0</v>
      </c>
      <c r="CQ487" s="1"/>
      <c r="CR487" s="1">
        <f t="shared" si="22"/>
        <v>0</v>
      </c>
      <c r="CS487" s="1"/>
      <c r="CT487" s="1" t="e">
        <f>INDEX([2]マスタ!$A:$A,MATCH(D487,[2]マスタ!$C:$C,0))</f>
        <v>#N/A</v>
      </c>
      <c r="CU487" s="1" t="str">
        <f t="shared" ca="1" si="23"/>
        <v>20260620_0-0</v>
      </c>
    </row>
    <row r="488" spans="1:99" x14ac:dyDescent="0.4">
      <c r="A488" s="61"/>
      <c r="B488" s="62"/>
      <c r="C488" s="62"/>
      <c r="D488" s="63"/>
      <c r="E488" s="63"/>
      <c r="F488" s="62"/>
      <c r="G488" s="62">
        <v>1</v>
      </c>
      <c r="H488" s="64">
        <f t="shared" si="4"/>
        <v>0</v>
      </c>
      <c r="I488" s="64"/>
      <c r="J488" s="64"/>
      <c r="K488" s="65">
        <f t="shared" si="329"/>
        <v>0</v>
      </c>
      <c r="L488" s="65">
        <f t="shared" si="6"/>
        <v>0</v>
      </c>
      <c r="M488" s="65">
        <f t="shared" si="7"/>
        <v>0</v>
      </c>
      <c r="N488" s="65">
        <f t="shared" si="8"/>
        <v>0</v>
      </c>
      <c r="O488" s="66" t="str">
        <f t="shared" si="9"/>
        <v>✕</v>
      </c>
      <c r="P488" s="67" t="str">
        <f t="shared" si="10"/>
        <v>○</v>
      </c>
      <c r="Q488" s="67" t="str">
        <f t="shared" si="330"/>
        <v>✕</v>
      </c>
      <c r="R488" s="67" t="str">
        <f t="shared" si="12"/>
        <v>✕</v>
      </c>
      <c r="S488" s="68">
        <v>0</v>
      </c>
      <c r="T488" s="69" t="s">
        <v>85</v>
      </c>
      <c r="U488" s="69" t="s">
        <v>85</v>
      </c>
      <c r="V488" s="69" t="s">
        <v>85</v>
      </c>
      <c r="W488" s="69" t="s">
        <v>85</v>
      </c>
      <c r="X488" s="69" t="s">
        <v>84</v>
      </c>
      <c r="Y488" s="69" t="s">
        <v>85</v>
      </c>
      <c r="Z488" s="69" t="s">
        <v>85</v>
      </c>
      <c r="AA488" s="69" t="s">
        <v>85</v>
      </c>
      <c r="AB488" s="69" t="s">
        <v>85</v>
      </c>
      <c r="AC488" s="69" t="s">
        <v>85</v>
      </c>
      <c r="AD488" s="38" t="str">
        <f>+IF(ISERROR(VLOOKUP($B488,AD$10:AD487,1,0)),IF(AND($N488&gt;=1000,$A488&gt;=AO$8,$A488&lt;=AO$9),$B488,""),"")</f>
        <v/>
      </c>
      <c r="AE488" s="38" t="str">
        <f>+IF(ISERROR(VLOOKUP($B488,AE$10:AE487,1,0)),IF(AND($N488&gt;=1000,$A488&gt;=AP$8,$A488&lt;=AP$9),$B488,""),"")</f>
        <v/>
      </c>
      <c r="AF488" s="38" t="str">
        <f>+IF(ISERROR(VLOOKUP($B488,AF$10:AF487,1,0)),IF(AND($N488&gt;=1000,$A488&gt;=AQ$8,$A488&lt;=AQ$9),$B488,""),"")</f>
        <v/>
      </c>
      <c r="AG488" s="38" t="str">
        <f>+IF(ISERROR(VLOOKUP($B488,AG$10:AG487,1,0)),IF(AND($N488&gt;=1000,$A488&gt;=AR$8,$A488&lt;=AR$9),$B488,""),"")</f>
        <v/>
      </c>
      <c r="AH488" s="38"/>
      <c r="AI488" s="70">
        <v>0</v>
      </c>
      <c r="AJ488" s="38">
        <f>IF(AND(AJ$7="○",$A488&gt;=AJ$8,$A488&lt;=AJ$9),IF(SUM(AJ$10:AJ487)-ROUNDDOWN($K488*AJ$5/100,0)&lt;-AJ$6,-AJ$6-SUM(AJ$10:AJ487),-ROUNDDOWN($K488*AJ$5/100,0)),0)</f>
        <v>0</v>
      </c>
      <c r="AK488" s="38">
        <f>IF(AND(AK$7="○",$A488&gt;=AK$8,$A488&lt;=AK$9),IF(SUM(AK$10:AK487)-ROUNDDOWN($L488*AK$5/100,0)&lt;-AK$6,-AK$6-SUM(AK$10:AK487),-ROUNDDOWN($L488*AK$5/100,0)),0)</f>
        <v>0</v>
      </c>
      <c r="AL488" s="38">
        <f>IF(AND(AL$7="○",$A488&gt;=AL$8,$A488&lt;=AL$9),IF(SUM(AL$10:AL487)-ROUNDDOWN($N488*AL$5/100,0)&lt;-AL$6,-AL$6-SUM(AL$10:AL487),-ROUNDDOWN($N488*AL$5/100,0)),0)</f>
        <v>0</v>
      </c>
      <c r="AM488" s="38">
        <f>IF(AND(AM$7="○",$A488&gt;=AM$8,$A488&lt;=AM$9),IF(SUM(AM$10:AM487)-ROUNDDOWN($L488*AM$5/100,0)&lt;-AM$6,-AM$6-SUM(AM$10:AM487),-ROUNDDOWN($L488*AM$5/100,0)),0)</f>
        <v>0</v>
      </c>
      <c r="AN488" s="38">
        <f>IF(AND(AN$7="○",$A488&gt;=AN$8,$A488&lt;=AN$9),IF(SUM(AN$10:AN487)-ROUNDDOWN($M488*AN$5/100,0)&lt;-AN$6,-AN$6-SUM(AN$10:AN487),-ROUNDDOWN($M488*AN$5/100,0)),0)</f>
        <v>0</v>
      </c>
      <c r="AO488" s="38">
        <f>IF(AND($A488&gt;=AO$8,$A488&lt;=AO$9),IF(SUM(AO$10:AO487)-ROUNDDOWN($K488*AO$5/100,0)&lt;-AO$6,-AO$6-SUM(AO$10:AO487),-ROUNDDOWN($K488*AO$5/100,0)),0)</f>
        <v>0</v>
      </c>
      <c r="AP488" s="38">
        <f>IF(AND($A488&gt;=AP$8,$A488&lt;=AP$9),IF(SUM(AP$10:AP487)-ROUNDDOWN($K488*AP$5/100,0)&lt;-AP$6,-AP$6-SUM(AP$10:AP487),-ROUNDDOWN($K488*AP$5/100,0)),0)</f>
        <v>0</v>
      </c>
      <c r="AQ488" s="38">
        <f>IF(AND($A488&gt;=AQ$8,$A488&lt;=AQ$9),IF(SUM(AQ$10:AQ487)-ROUNDDOWN($K488*AQ$5/100,0)&lt;-AQ$6,-AQ$6-SUM(AQ$10:AQ487),-ROUNDDOWN($K488*AQ$5/100,0)),0)</f>
        <v>0</v>
      </c>
      <c r="AR488" s="38">
        <f>IF(AND($A488&gt;=AR$8,$A488&lt;=AR$9),IF(SUM(AR$10:AR487)-ROUNDDOWN($K488*AR$5/100,0)&lt;-AR$6,-AR$6-SUM(AR$10:AR487),-ROUNDDOWN($K488*AR$5/100,0)),0)</f>
        <v>0</v>
      </c>
      <c r="AS488" s="38">
        <f>IF(SUMIFS(AS$10:AS487,$A$10:$A487,$A488)-ROUNDDOWN($K488*$S488/100,0)&lt;-$S488*1000,-$S488*1000-SUMIFS(AS$10:AS487,$A$10:$A487,$A488),-ROUNDDOWN($K488*$S488/100,0))</f>
        <v>0</v>
      </c>
      <c r="AT488" s="38">
        <f>IF(AND(X488="○",$A488&gt;=AT$8,$A488&lt;=AT$9,K488&gt;=3980),IF(SUM(AT$10:AT487)-ROUNDDOWN($K488*AT$5/100,0)&lt;-AT$6,-AT$6-SUM(AT$10:AT487),-ROUNDDOWN($K488*AT$5/100,0)),0)</f>
        <v>0</v>
      </c>
      <c r="AU488" s="38">
        <f>IF(O488="○",IF(SUM(AU$10:AU487)-ROUNDDOWN($K488*AU$5/100,0)&lt;-AU$6,-AU$6-SUM(AU$10:AU487),-ROUNDDOWN($K488*AU$5/100,0)),0)</f>
        <v>0</v>
      </c>
      <c r="AV488" s="38">
        <f>IF(P488="○",IF(SUM(AV$10:AV487)-ROUNDDOWN($K488*AV$5/100,0)&lt;-AV$6,-AV$6-SUM(AV$10:AV487),-ROUNDDOWN($K488*AV$5/100,0)),0)</f>
        <v>0</v>
      </c>
      <c r="AW488" s="38">
        <f>IF(Q488="○",IF(SUM(AW$10:AW487)-ROUNDDOWN($K488*AW$5/100,0)&lt;-AW$6,-AW$6-SUM(AW$10:AW487),-ROUNDDOWN($K488*AW$5/100,0)),0)</f>
        <v>0</v>
      </c>
      <c r="AX488" s="38">
        <f>IF(R488="○",IF(SUM(AX$10:AX487)-ROUNDDOWN($K488*AX$5/100,0)&lt;-AX$6,-AX$6-SUM(AX$10:AX487),-ROUNDDOWN($K488*AX$5/100,0)),0)</f>
        <v>0</v>
      </c>
      <c r="AY488" s="70">
        <v>0</v>
      </c>
      <c r="AZ488" s="65">
        <f t="shared" si="319"/>
        <v>0</v>
      </c>
      <c r="BA488" s="65">
        <f t="shared" si="320"/>
        <v>0</v>
      </c>
      <c r="BB488" s="70"/>
      <c r="BC488" s="65">
        <f t="shared" si="321"/>
        <v>0</v>
      </c>
      <c r="BD488" s="70">
        <v>0</v>
      </c>
      <c r="BE488" s="65">
        <f t="shared" si="322"/>
        <v>0</v>
      </c>
      <c r="BF488" s="70">
        <v>0</v>
      </c>
      <c r="BG488" s="65">
        <f t="shared" si="323"/>
        <v>0</v>
      </c>
      <c r="BH488" s="70">
        <v>0</v>
      </c>
      <c r="BI488" s="65">
        <f t="shared" si="324"/>
        <v>0</v>
      </c>
      <c r="BJ488" s="38">
        <f>IF(AND(BJ$7="○",$A488&gt;=BJ$8,$A488&lt;=BJ$9),IF(SUM(BJ$10:BJ487)-ROUNDDOWN($M488*BJ$5/100,0)&lt;-BJ$6,-BJ$6-SUM(BJ$10:BJ487),-ROUNDDOWN($M488*BJ$5/100,0)),0)</f>
        <v>0</v>
      </c>
      <c r="BK488" s="38">
        <f>IF(AND(BK$7="○",$A488&gt;=BK$8,$A488&lt;=BK$9),IF(SUM(BK$10:BK487)-ROUNDDOWN($L488*BK$5/100,0)&lt;-BK$6,-BK$6-SUM(BK$10:BK487),-ROUNDDOWN($L488*BK$5/100,0)),0)</f>
        <v>0</v>
      </c>
      <c r="BL488" s="38">
        <f>IF(AND(BL$7="○",$A488&gt;=BL$8,$A488&lt;=BL$9),IF(SUM(BL$10:BL487)-ROUNDDOWN($L488*BL$5/100,0)&lt;-BL$6,-BL$6-SUM(BL$10:BL487),-ROUNDDOWN($L488*BL$5/100,0)),0)</f>
        <v>0</v>
      </c>
      <c r="BM488" s="38">
        <f>IF(AND(BM$7="○",$A488&gt;=BM$8,$A488&lt;=BM$9),IF(SUM(BM$10:BM487)-ROUNDDOWN($M488*BM$5/100,0)&lt;-BM$6,-BM$6-SUM(BM$10:BM487),-ROUNDDOWN($M488*BM$5/100,0)),0)</f>
        <v>0</v>
      </c>
      <c r="BN488" s="38">
        <f>IF(AND(BN$7="○",$A488&gt;=BN$8,$A488&lt;=BN$9),IF(SUM(BN$10:BN487)-ROUNDDOWN($M488*BN$5/100,0)&lt;-BN$6,-BN$6-SUM(BN$10:BN487),-ROUNDDOWN($M488*BN$5/100,0)),0)</f>
        <v>0</v>
      </c>
      <c r="BO488" s="38">
        <f>IF(AND(BO$7="○",$A488&gt;=BO$8,$A488&lt;=BO$9),IF(SUM(BO$10:BO487)-ROUNDDOWN($M488*BO$5/100,0)&lt;-BO$6,-BO$6-SUM(BO$10:BO487),-ROUNDDOWN($M488*BO$5/100,0)),0)</f>
        <v>0</v>
      </c>
      <c r="BP488" s="38">
        <f>IF(AND(BP$7="○",$A488&gt;=BP$8,$A488&lt;=BP$9),IF(SUM(BP$10:BP487)-ROUNDDOWN($M488*BP$5/100,0)&lt;-BP$6,-BP$6-SUM(BP$10:BP487),-ROUNDDOWN($M488*BP$5/100,0)),0)</f>
        <v>0</v>
      </c>
      <c r="BQ488" s="38">
        <f>IF(AND(BQ$7="○",$A488&gt;=BQ$8,$A488&lt;=BQ$9),IF(SUM(BQ$10:BQ487)-ROUNDDOWN($L488*BQ$5/100,0)&lt;-BQ$6,-BQ$6-SUM(BQ$10:BQ487),-ROUNDDOWN($L488*BQ$5/100,0)),0)</f>
        <v>0</v>
      </c>
      <c r="BR488" s="38">
        <f>IF(AND(BR$7="○",$A488&gt;=BR$8,$A488&lt;=BR$9),IF(SUM(BR$10:BR487)-ROUNDDOWN($M488*BR$5/100,0)&lt;-BR$6,-BR$6-SUM(BR$10:BR487),-ROUNDDOWN($M488*BR$5/100,0)),0)</f>
        <v>0</v>
      </c>
      <c r="BS488" s="38">
        <f>IF(AND(BS$7="○",$A488&gt;=BS$8,$A488&lt;=BS$9),IF(SUM(BS$10:BS487)-ROUNDDOWN($M488*BS$5/100,0)&lt;-BS$6,-BS$6-SUM(BS$10:BS487),-ROUNDDOWN($M488*BS$5/100,0)),0)</f>
        <v>0</v>
      </c>
      <c r="BT488" s="38">
        <f>IF(AND(BT$7="○",$A488&gt;=BT$8,$A488&lt;=BT$9),IF(SUM(BT$10:BT487)-ROUNDDOWN($M488*BT$5/100,0)&lt;-BT$6,-BT$6-SUM(BT$10:BT487),-ROUNDDOWN($M488*BT$5/100,0)),0)</f>
        <v>0</v>
      </c>
      <c r="BU488" s="38">
        <f>IF(AND(BU$7="○",$A488&gt;=BU$8,$A488&lt;=BU$9),IF(SUM(BU$10:BU487)-ROUNDDOWN($M488*BU$5/100,0)&lt;-BU$6,-BU$6-SUM(BU$10:BU487),-ROUNDDOWN($M488*BU$5/100,0)),0)</f>
        <v>0</v>
      </c>
      <c r="BV488" s="38">
        <f>IF(AND(BV$7="○",$A488&gt;=BV$8,$A488&lt;=BV$9),IF(SUM(BV$10:BV487)-ROUNDDOWN($M488*BV$5/100,0)&lt;-BV$6,-BV$6-SUM(BV$10:BV487),-ROUNDDOWN($M488*BV$5/100,0)),0)</f>
        <v>0</v>
      </c>
      <c r="BW488" s="38">
        <f>IF(AND(BW$7="○",$A488&gt;=BW$8,$A488&lt;=BW$9),IF(SUM(BW$10:BW487)-ROUNDDOWN($M488*BW$5/100,0)&lt;-BW$6,-BW$6-SUM(BW$10:BW487),-ROUNDDOWN($M488*BW$5/100,0)),0)</f>
        <v>0</v>
      </c>
      <c r="BX488" s="38">
        <f>IF(AND(T488="○",$A488&gt;=BX$8,$A488&lt;=BX$9),IF(SUM(BX$10:BX487)-ROUNDDOWN($K488*BX$5/100,0)&lt;-BX$6,-BX$6-SUM(BX$10:BX487),-ROUNDDOWN($K488*BX$5/100,0)),0)</f>
        <v>0</v>
      </c>
      <c r="BY488" s="38">
        <f>IF(AND(U488="○",$A488&gt;=BY$8,$A488&lt;=BY$9),IF(SUM(BY$10:BY487)-ROUNDDOWN($K488*BY$5/100,0)&lt;-BY$6,-BY$6-SUM(BY$10:BY487),-ROUNDDOWN($K488*BY$5/100,0)),0)</f>
        <v>0</v>
      </c>
      <c r="BZ488" s="38">
        <f>IF(AND(V488="○",$A488&gt;=BZ$8,$A488&lt;=BZ$9),IF(SUM(BZ$10:BZ487)-ROUNDDOWN($K488*BZ$5/100,0)&lt;-BZ$6,-BZ$6-SUM(BZ$10:BZ487),-ROUNDDOWN($K488*BZ$5/100,0)),0)</f>
        <v>0</v>
      </c>
      <c r="CA488" s="38">
        <f>IF(AND(W488="○",$A488&gt;=CA$8,$A488&lt;=CA$9),IF(SUM(CA$10:CA487)-ROUNDDOWN($K488*CA$5/100,0)&lt;-CA$6,-CA$6-SUM(CA$10:CA487),-ROUNDDOWN($K488*CA$5/100,0)),0)</f>
        <v>0</v>
      </c>
      <c r="CB488" s="38"/>
      <c r="CC488" s="38"/>
      <c r="CD488" s="38"/>
      <c r="CE488" s="38"/>
      <c r="CF488" s="38"/>
      <c r="CG488" s="65">
        <f t="shared" si="325"/>
        <v>0</v>
      </c>
      <c r="CH488" s="71">
        <f t="shared" si="326"/>
        <v>0</v>
      </c>
      <c r="CI488" s="1">
        <f t="shared" si="19"/>
        <v>0</v>
      </c>
      <c r="CJ488" s="1"/>
      <c r="CK488" s="2"/>
      <c r="CL488" s="2"/>
      <c r="CM488" s="2"/>
      <c r="CN488" s="2"/>
      <c r="CO488" s="73">
        <f t="shared" si="20"/>
        <v>0</v>
      </c>
      <c r="CP488" s="5">
        <f t="shared" si="21"/>
        <v>0</v>
      </c>
      <c r="CQ488" s="1"/>
      <c r="CR488" s="1">
        <f t="shared" si="22"/>
        <v>0</v>
      </c>
      <c r="CS488" s="1"/>
      <c r="CT488" s="1" t="e">
        <f>INDEX([2]マスタ!$A:$A,MATCH(D488,[2]マスタ!$C:$C,0))</f>
        <v>#N/A</v>
      </c>
      <c r="CU488" s="1" t="str">
        <f t="shared" ca="1" si="23"/>
        <v>20260620_0-0</v>
      </c>
    </row>
    <row r="489" spans="1:99" x14ac:dyDescent="0.4">
      <c r="A489" s="61"/>
      <c r="B489" s="62"/>
      <c r="C489" s="62"/>
      <c r="D489" s="62"/>
      <c r="E489" s="63"/>
      <c r="F489" s="62"/>
      <c r="G489" s="62">
        <v>1</v>
      </c>
      <c r="H489" s="64">
        <f t="shared" si="4"/>
        <v>0</v>
      </c>
      <c r="I489" s="64"/>
      <c r="J489" s="78"/>
      <c r="K489" s="65">
        <f t="shared" si="329"/>
        <v>0</v>
      </c>
      <c r="L489" s="65">
        <f t="shared" si="6"/>
        <v>0</v>
      </c>
      <c r="M489" s="65">
        <f t="shared" si="7"/>
        <v>0</v>
      </c>
      <c r="N489" s="65">
        <f t="shared" si="8"/>
        <v>0</v>
      </c>
      <c r="O489" s="66" t="str">
        <f t="shared" si="9"/>
        <v>✕</v>
      </c>
      <c r="P489" s="67" t="str">
        <f t="shared" si="10"/>
        <v>○</v>
      </c>
      <c r="Q489" s="67" t="str">
        <f t="shared" si="330"/>
        <v>✕</v>
      </c>
      <c r="R489" s="67" t="str">
        <f t="shared" si="12"/>
        <v>✕</v>
      </c>
      <c r="S489" s="68">
        <v>0</v>
      </c>
      <c r="T489" s="69" t="s">
        <v>85</v>
      </c>
      <c r="U489" s="69" t="s">
        <v>85</v>
      </c>
      <c r="V489" s="69" t="s">
        <v>85</v>
      </c>
      <c r="W489" s="69" t="s">
        <v>85</v>
      </c>
      <c r="X489" s="69" t="s">
        <v>84</v>
      </c>
      <c r="Y489" s="69" t="s">
        <v>85</v>
      </c>
      <c r="Z489" s="69" t="s">
        <v>85</v>
      </c>
      <c r="AA489" s="69" t="s">
        <v>85</v>
      </c>
      <c r="AB489" s="69" t="s">
        <v>85</v>
      </c>
      <c r="AC489" s="69" t="s">
        <v>85</v>
      </c>
      <c r="AD489" s="38" t="str">
        <f>+IF(ISERROR(VLOOKUP($B489,AD$10:AD488,1,0)),IF(AND($N489&gt;=1000,$A489&gt;=AO$8,$A489&lt;=AO$9),$B489,""),"")</f>
        <v/>
      </c>
      <c r="AE489" s="38" t="str">
        <f>+IF(ISERROR(VLOOKUP($B489,AE$10:AE488,1,0)),IF(AND($N489&gt;=1000,$A489&gt;=AP$8,$A489&lt;=AP$9),$B489,""),"")</f>
        <v/>
      </c>
      <c r="AF489" s="38" t="str">
        <f>+IF(ISERROR(VLOOKUP($B489,AF$10:AF488,1,0)),IF(AND($N489&gt;=1000,$A489&gt;=AQ$8,$A489&lt;=AQ$9),$B489,""),"")</f>
        <v/>
      </c>
      <c r="AG489" s="38" t="str">
        <f>+IF(ISERROR(VLOOKUP($B489,AG$10:AG488,1,0)),IF(AND($N489&gt;=1000,$A489&gt;=AR$8,$A489&lt;=AR$9),$B489,""),"")</f>
        <v/>
      </c>
      <c r="AH489" s="38"/>
      <c r="AI489" s="70">
        <v>0</v>
      </c>
      <c r="AJ489" s="38">
        <f>IF(AND(AJ$7="○",$A489&gt;=AJ$8,$A489&lt;=AJ$9),IF(SUM(AJ$10:AJ488)-ROUNDDOWN($K489*AJ$5/100,0)&lt;-AJ$6,-AJ$6-SUM(AJ$10:AJ488),-ROUNDDOWN($K489*AJ$5/100,0)),0)</f>
        <v>0</v>
      </c>
      <c r="AK489" s="38">
        <f>IF(AND(AK$7="○",$A489&gt;=AK$8,$A489&lt;=AK$9),IF(SUM(AK$10:AK488)-ROUNDDOWN($L489*AK$5/100,0)&lt;-AK$6,-AK$6-SUM(AK$10:AK488),-ROUNDDOWN($L489*AK$5/100,0)),0)</f>
        <v>0</v>
      </c>
      <c r="AL489" s="38">
        <f>IF(AND(AL$7="○",$A489&gt;=AL$8,$A489&lt;=AL$9),IF(SUM(AL$10:AL488)-ROUNDDOWN($N489*AL$5/100,0)&lt;-AL$6,-AL$6-SUM(AL$10:AL488),-ROUNDDOWN($N489*AL$5/100,0)),0)</f>
        <v>0</v>
      </c>
      <c r="AM489" s="38">
        <f>IF(AND(AM$7="○",$A489&gt;=AM$8,$A489&lt;=AM$9),IF(SUM(AM$10:AM488)-ROUNDDOWN($L489*AM$5/100,0)&lt;-AM$6,-AM$6-SUM(AM$10:AM488),-ROUNDDOWN($L489*AM$5/100,0)),0)</f>
        <v>0</v>
      </c>
      <c r="AN489" s="38">
        <f>IF(AND(AN$7="○",$A489&gt;=AN$8,$A489&lt;=AN$9),IF(SUM(AN$10:AN488)-ROUNDDOWN($M489*AN$5/100,0)&lt;-AN$6,-AN$6-SUM(AN$10:AN488),-ROUNDDOWN($M489*AN$5/100,0)),0)</f>
        <v>0</v>
      </c>
      <c r="AO489" s="38">
        <f>IF(AND($A489&gt;=AO$8,$A489&lt;=AO$9),IF(SUM(AO$10:AO488)-ROUNDDOWN($K489*AO$5/100,0)&lt;-AO$6,-AO$6-SUM(AO$10:AO488),-ROUNDDOWN($K489*AO$5/100,0)),0)</f>
        <v>0</v>
      </c>
      <c r="AP489" s="38">
        <f>IF(AND($A489&gt;=AP$8,$A489&lt;=AP$9),IF(SUM(AP$10:AP488)-ROUNDDOWN($K489*AP$5/100,0)&lt;-AP$6,-AP$6-SUM(AP$10:AP488),-ROUNDDOWN($K489*AP$5/100,0)),0)</f>
        <v>0</v>
      </c>
      <c r="AQ489" s="38">
        <f>IF(AND($A489&gt;=AQ$8,$A489&lt;=AQ$9),IF(SUM(AQ$10:AQ488)-ROUNDDOWN($K489*AQ$5/100,0)&lt;-AQ$6,-AQ$6-SUM(AQ$10:AQ488),-ROUNDDOWN($K489*AQ$5/100,0)),0)</f>
        <v>0</v>
      </c>
      <c r="AR489" s="38">
        <f>IF(AND($A489&gt;=AR$8,$A489&lt;=AR$9),IF(SUM(AR$10:AR488)-ROUNDDOWN($K489*AR$5/100,0)&lt;-AR$6,-AR$6-SUM(AR$10:AR488),-ROUNDDOWN($K489*AR$5/100,0)),0)</f>
        <v>0</v>
      </c>
      <c r="AS489" s="38">
        <f>IF(SUMIFS(AS$10:AS488,$A$10:$A488,$A489)-ROUNDDOWN($K489*$S489/100,0)&lt;-$S489*1000,-$S489*1000-SUMIFS(AS$10:AS488,$A$10:$A488,$A489),-ROUNDDOWN($K489*$S489/100,0))</f>
        <v>0</v>
      </c>
      <c r="AT489" s="38">
        <f>IF(AND(X489="○",$A489&gt;=AT$8,$A489&lt;=AT$9,K489&gt;=3980),IF(SUM(AT$10:AT488)-ROUNDDOWN($K489*AT$5/100,0)&lt;-AT$6,-AT$6-SUM(AT$10:AT488),-ROUNDDOWN($K489*AT$5/100,0)),0)</f>
        <v>0</v>
      </c>
      <c r="AU489" s="38">
        <f>IF(O489="○",IF(SUM(AU$10:AU488)-ROUNDDOWN($K489*AU$5/100,0)&lt;-AU$6,-AU$6-SUM(AU$10:AU488),-ROUNDDOWN($K489*AU$5/100,0)),0)</f>
        <v>0</v>
      </c>
      <c r="AV489" s="38">
        <f>IF(P489="○",IF(SUM(AV$10:AV488)-ROUNDDOWN($K489*AV$5/100,0)&lt;-AV$6,-AV$6-SUM(AV$10:AV488),-ROUNDDOWN($K489*AV$5/100,0)),0)</f>
        <v>0</v>
      </c>
      <c r="AW489" s="38">
        <f>IF(Q489="○",IF(SUM(AW$10:AW488)-ROUNDDOWN($K489*AW$5/100,0)&lt;-AW$6,-AW$6-SUM(AW$10:AW488),-ROUNDDOWN($K489*AW$5/100,0)),0)</f>
        <v>0</v>
      </c>
      <c r="AX489" s="38">
        <f>IF(R489="○",IF(SUM(AX$10:AX488)-ROUNDDOWN($K489*AX$5/100,0)&lt;-AX$6,-AX$6-SUM(AX$10:AX488),-ROUNDDOWN($K489*AX$5/100,0)),0)</f>
        <v>0</v>
      </c>
      <c r="AY489" s="70">
        <v>0</v>
      </c>
      <c r="AZ489" s="65">
        <f t="shared" si="319"/>
        <v>0</v>
      </c>
      <c r="BA489" s="65">
        <f t="shared" si="320"/>
        <v>0</v>
      </c>
      <c r="BB489" s="70"/>
      <c r="BC489" s="65">
        <f t="shared" si="321"/>
        <v>0</v>
      </c>
      <c r="BD489" s="70">
        <v>0</v>
      </c>
      <c r="BE489" s="65">
        <f t="shared" si="322"/>
        <v>0</v>
      </c>
      <c r="BF489" s="70">
        <v>0</v>
      </c>
      <c r="BG489" s="65">
        <f t="shared" si="323"/>
        <v>0</v>
      </c>
      <c r="BH489" s="70">
        <v>0</v>
      </c>
      <c r="BI489" s="65">
        <f t="shared" si="324"/>
        <v>0</v>
      </c>
      <c r="BJ489" s="38">
        <f>IF(AND(BJ$7="○",$A489&gt;=BJ$8,$A489&lt;=BJ$9),IF(SUM(BJ$10:BJ488)-ROUNDDOWN($M489*BJ$5/100,0)&lt;-BJ$6,-BJ$6-SUM(BJ$10:BJ488),-ROUNDDOWN($M489*BJ$5/100,0)),0)</f>
        <v>0</v>
      </c>
      <c r="BK489" s="38">
        <f>IF(AND(BK$7="○",$A489&gt;=BK$8,$A489&lt;=BK$9),IF(SUM(BK$10:BK488)-ROUNDDOWN($L489*BK$5/100,0)&lt;-BK$6,-BK$6-SUM(BK$10:BK488),-ROUNDDOWN($L489*BK$5/100,0)),0)</f>
        <v>0</v>
      </c>
      <c r="BL489" s="38">
        <f>IF(AND(BL$7="○",$A489&gt;=BL$8,$A489&lt;=BL$9),IF(SUM(BL$10:BL488)-ROUNDDOWN($L489*BL$5/100,0)&lt;-BL$6,-BL$6-SUM(BL$10:BL488),-ROUNDDOWN($L489*BL$5/100,0)),0)</f>
        <v>0</v>
      </c>
      <c r="BM489" s="38">
        <f>IF(AND(BM$7="○",$A489&gt;=BM$8,$A489&lt;=BM$9),IF(SUM(BM$10:BM488)-ROUNDDOWN($M489*BM$5/100,0)&lt;-BM$6,-BM$6-SUM(BM$10:BM488),-ROUNDDOWN($M489*BM$5/100,0)),0)</f>
        <v>0</v>
      </c>
      <c r="BN489" s="38">
        <f>IF(AND(BN$7="○",$A489&gt;=BN$8,$A489&lt;=BN$9),IF(SUM(BN$10:BN488)-ROUNDDOWN($M489*BN$5/100,0)&lt;-BN$6,-BN$6-SUM(BN$10:BN488),-ROUNDDOWN($M489*BN$5/100,0)),0)</f>
        <v>0</v>
      </c>
      <c r="BO489" s="38">
        <f>IF(AND(BO$7="○",$A489&gt;=BO$8,$A489&lt;=BO$9),IF(SUM(BO$10:BO488)-ROUNDDOWN($M489*BO$5/100,0)&lt;-BO$6,-BO$6-SUM(BO$10:BO488),-ROUNDDOWN($M489*BO$5/100,0)),0)</f>
        <v>0</v>
      </c>
      <c r="BP489" s="38">
        <f>IF(AND(BP$7="○",$A489&gt;=BP$8,$A489&lt;=BP$9),IF(SUM(BP$10:BP488)-ROUNDDOWN($M489*BP$5/100,0)&lt;-BP$6,-BP$6-SUM(BP$10:BP488),-ROUNDDOWN($M489*BP$5/100,0)),0)</f>
        <v>0</v>
      </c>
      <c r="BQ489" s="38">
        <f>IF(AND(BQ$7="○",$A489&gt;=BQ$8,$A489&lt;=BQ$9),IF(SUM(BQ$10:BQ488)-ROUNDDOWN($L489*BQ$5/100,0)&lt;-BQ$6,-BQ$6-SUM(BQ$10:BQ488),-ROUNDDOWN($L489*BQ$5/100,0)),0)</f>
        <v>0</v>
      </c>
      <c r="BR489" s="38">
        <f>IF(AND(BR$7="○",$A489&gt;=BR$8,$A489&lt;=BR$9),IF(SUM(BR$10:BR488)-ROUNDDOWN($M489*BR$5/100,0)&lt;-BR$6,-BR$6-SUM(BR$10:BR488),-ROUNDDOWN($M489*BR$5/100,0)),0)</f>
        <v>0</v>
      </c>
      <c r="BS489" s="38">
        <f>IF(AND(BS$7="○",$A489&gt;=BS$8,$A489&lt;=BS$9),IF(SUM(BS$10:BS488)-ROUNDDOWN($M489*BS$5/100,0)&lt;-BS$6,-BS$6-SUM(BS$10:BS488),-ROUNDDOWN($M489*BS$5/100,0)),0)</f>
        <v>0</v>
      </c>
      <c r="BT489" s="38">
        <f>IF(AND(BT$7="○",$A489&gt;=BT$8,$A489&lt;=BT$9),IF(SUM(BT$10:BT488)-ROUNDDOWN($M489*BT$5/100,0)&lt;-BT$6,-BT$6-SUM(BT$10:BT488),-ROUNDDOWN($M489*BT$5/100,0)),0)</f>
        <v>0</v>
      </c>
      <c r="BU489" s="38">
        <f>IF(AND(BU$7="○",$A489&gt;=BU$8,$A489&lt;=BU$9),IF(SUM(BU$10:BU488)-ROUNDDOWN($M489*BU$5/100,0)&lt;-BU$6,-BU$6-SUM(BU$10:BU488),-ROUNDDOWN($M489*BU$5/100,0)),0)</f>
        <v>0</v>
      </c>
      <c r="BV489" s="38">
        <f>IF(AND(BV$7="○",$A489&gt;=BV$8,$A489&lt;=BV$9),IF(SUM(BV$10:BV488)-ROUNDDOWN($M489*BV$5/100,0)&lt;-BV$6,-BV$6-SUM(BV$10:BV488),-ROUNDDOWN($M489*BV$5/100,0)),0)</f>
        <v>0</v>
      </c>
      <c r="BW489" s="38">
        <f>IF(AND(BW$7="○",$A489&gt;=BW$8,$A489&lt;=BW$9),IF(SUM(BW$10:BW488)-ROUNDDOWN($M489*BW$5/100,0)&lt;-BW$6,-BW$6-SUM(BW$10:BW488),-ROUNDDOWN($M489*BW$5/100,0)),0)</f>
        <v>0</v>
      </c>
      <c r="BX489" s="38">
        <f>IF(AND(T489="○",$A489&gt;=BX$8,$A489&lt;=BX$9),IF(SUM(BX$10:BX488)-ROUNDDOWN($K489*BX$5/100,0)&lt;-BX$6,-BX$6-SUM(BX$10:BX488),-ROUNDDOWN($K489*BX$5/100,0)),0)</f>
        <v>0</v>
      </c>
      <c r="BY489" s="38">
        <f>IF(AND(U489="○",$A489&gt;=BY$8,$A489&lt;=BY$9),IF(SUM(BY$10:BY488)-ROUNDDOWN($K489*BY$5/100,0)&lt;-BY$6,-BY$6-SUM(BY$10:BY488),-ROUNDDOWN($K489*BY$5/100,0)),0)</f>
        <v>0</v>
      </c>
      <c r="BZ489" s="38">
        <f>IF(AND(V489="○",$A489&gt;=BZ$8,$A489&lt;=BZ$9),IF(SUM(BZ$10:BZ488)-ROUNDDOWN($K489*BZ$5/100,0)&lt;-BZ$6,-BZ$6-SUM(BZ$10:BZ488),-ROUNDDOWN($K489*BZ$5/100,0)),0)</f>
        <v>0</v>
      </c>
      <c r="CA489" s="38">
        <f>IF(AND(W489="○",$A489&gt;=CA$8,$A489&lt;=CA$9),IF(SUM(CA$10:CA488)-ROUNDDOWN($K489*CA$5/100,0)&lt;-CA$6,-CA$6-SUM(CA$10:CA488),-ROUNDDOWN($K489*CA$5/100,0)),0)</f>
        <v>0</v>
      </c>
      <c r="CB489" s="38"/>
      <c r="CC489" s="38"/>
      <c r="CD489" s="38"/>
      <c r="CE489" s="38"/>
      <c r="CF489" s="38"/>
      <c r="CG489" s="65">
        <f t="shared" si="325"/>
        <v>0</v>
      </c>
      <c r="CH489" s="71">
        <f t="shared" si="326"/>
        <v>0</v>
      </c>
      <c r="CI489" s="1">
        <f t="shared" si="19"/>
        <v>0</v>
      </c>
      <c r="CJ489" s="1"/>
      <c r="CK489" s="79"/>
      <c r="CL489" s="79"/>
      <c r="CM489" s="2"/>
      <c r="CN489" s="2"/>
      <c r="CO489" s="73">
        <f t="shared" si="20"/>
        <v>0</v>
      </c>
      <c r="CP489" s="5">
        <f t="shared" si="21"/>
        <v>0</v>
      </c>
      <c r="CQ489" s="1"/>
      <c r="CR489" s="1">
        <f t="shared" si="22"/>
        <v>0</v>
      </c>
      <c r="CS489" s="1"/>
      <c r="CT489" s="1" t="e">
        <f>INDEX([2]マスタ!$A:$A,MATCH(D489,[2]マスタ!$C:$C,0))</f>
        <v>#N/A</v>
      </c>
      <c r="CU489" s="1" t="str">
        <f t="shared" ca="1" si="23"/>
        <v>20260620_0-0</v>
      </c>
    </row>
    <row r="490" spans="1:99" x14ac:dyDescent="0.4">
      <c r="A490" s="61"/>
      <c r="B490" s="62"/>
      <c r="C490" s="62"/>
      <c r="D490" s="62"/>
      <c r="E490" s="63"/>
      <c r="F490" s="62"/>
      <c r="G490" s="62">
        <v>1</v>
      </c>
      <c r="H490" s="64">
        <f t="shared" si="4"/>
        <v>0</v>
      </c>
      <c r="I490" s="64"/>
      <c r="J490" s="64"/>
      <c r="K490" s="65">
        <f t="shared" si="329"/>
        <v>0</v>
      </c>
      <c r="L490" s="65">
        <f t="shared" si="6"/>
        <v>0</v>
      </c>
      <c r="M490" s="65">
        <f t="shared" si="7"/>
        <v>0</v>
      </c>
      <c r="N490" s="65">
        <f t="shared" si="8"/>
        <v>0</v>
      </c>
      <c r="O490" s="66" t="str">
        <f t="shared" si="9"/>
        <v>✕</v>
      </c>
      <c r="P490" s="67" t="str">
        <f t="shared" si="10"/>
        <v>○</v>
      </c>
      <c r="Q490" s="67" t="str">
        <f t="shared" si="330"/>
        <v>✕</v>
      </c>
      <c r="R490" s="67" t="str">
        <f t="shared" si="12"/>
        <v>✕</v>
      </c>
      <c r="S490" s="68">
        <v>0</v>
      </c>
      <c r="T490" s="69" t="s">
        <v>85</v>
      </c>
      <c r="U490" s="69" t="s">
        <v>85</v>
      </c>
      <c r="V490" s="69" t="s">
        <v>85</v>
      </c>
      <c r="W490" s="69" t="s">
        <v>85</v>
      </c>
      <c r="X490" s="69" t="s">
        <v>84</v>
      </c>
      <c r="Y490" s="69" t="s">
        <v>85</v>
      </c>
      <c r="Z490" s="69" t="s">
        <v>85</v>
      </c>
      <c r="AA490" s="69" t="s">
        <v>85</v>
      </c>
      <c r="AB490" s="69" t="s">
        <v>85</v>
      </c>
      <c r="AC490" s="69" t="s">
        <v>85</v>
      </c>
      <c r="AD490" s="38" t="str">
        <f>+IF(ISERROR(VLOOKUP($B490,AD$10:AD489,1,0)),IF(AND($N490&gt;=1000,$A490&gt;=AO$8,$A490&lt;=AO$9),$B490,""),"")</f>
        <v/>
      </c>
      <c r="AE490" s="38" t="str">
        <f>+IF(ISERROR(VLOOKUP($B490,AE$10:AE489,1,0)),IF(AND($N490&gt;=1000,$A490&gt;=AP$8,$A490&lt;=AP$9),$B490,""),"")</f>
        <v/>
      </c>
      <c r="AF490" s="38" t="str">
        <f>+IF(ISERROR(VLOOKUP($B490,AF$10:AF489,1,0)),IF(AND($N490&gt;=1000,$A490&gt;=AQ$8,$A490&lt;=AQ$9),$B490,""),"")</f>
        <v/>
      </c>
      <c r="AG490" s="38" t="str">
        <f>+IF(ISERROR(VLOOKUP($B490,AG$10:AG489,1,0)),IF(AND($N490&gt;=1000,$A490&gt;=AR$8,$A490&lt;=AR$9),$B490,""),"")</f>
        <v/>
      </c>
      <c r="AH490" s="38"/>
      <c r="AI490" s="70">
        <v>0</v>
      </c>
      <c r="AJ490" s="38">
        <f>IF(AND(AJ$7="○",$A490&gt;=AJ$8,$A490&lt;=AJ$9),IF(SUM(AJ$10:AJ489)-ROUNDDOWN($K490*AJ$5/100,0)&lt;-AJ$6,-AJ$6-SUM(AJ$10:AJ489),-ROUNDDOWN($K490*AJ$5/100,0)),0)</f>
        <v>0</v>
      </c>
      <c r="AK490" s="38">
        <f>IF(AND(AK$7="○",$A490&gt;=AK$8,$A490&lt;=AK$9),IF(SUM(AK$10:AK489)-ROUNDDOWN($L490*AK$5/100,0)&lt;-AK$6,-AK$6-SUM(AK$10:AK489),-ROUNDDOWN($L490*AK$5/100,0)),0)</f>
        <v>0</v>
      </c>
      <c r="AL490" s="38">
        <f>IF(AND(AL$7="○",$A490&gt;=AL$8,$A490&lt;=AL$9),IF(SUM(AL$10:AL489)-ROUNDDOWN($N490*AL$5/100,0)&lt;-AL$6,-AL$6-SUM(AL$10:AL489),-ROUNDDOWN($N490*AL$5/100,0)),0)</f>
        <v>0</v>
      </c>
      <c r="AM490" s="38">
        <f>IF(AND(AM$7="○",$A490&gt;=AM$8,$A490&lt;=AM$9),IF(SUM(AM$10:AM489)-ROUNDDOWN($L490*AM$5/100,0)&lt;-AM$6,-AM$6-SUM(AM$10:AM489),-ROUNDDOWN($L490*AM$5/100,0)),0)</f>
        <v>0</v>
      </c>
      <c r="AN490" s="38">
        <f>IF(AND(AN$7="○",$A490&gt;=AN$8,$A490&lt;=AN$9),IF(SUM(AN$10:AN489)-ROUNDDOWN($M490*AN$5/100,0)&lt;-AN$6,-AN$6-SUM(AN$10:AN489),-ROUNDDOWN($M490*AN$5/100,0)),0)</f>
        <v>0</v>
      </c>
      <c r="AO490" s="38">
        <f>IF(AND($A490&gt;=AO$8,$A490&lt;=AO$9),IF(SUM(AO$10:AO489)-ROUNDDOWN($K490*AO$5/100,0)&lt;-AO$6,-AO$6-SUM(AO$10:AO489),-ROUNDDOWN($K490*AO$5/100,0)),0)</f>
        <v>0</v>
      </c>
      <c r="AP490" s="38">
        <f>IF(AND($A490&gt;=AP$8,$A490&lt;=AP$9),IF(SUM(AP$10:AP489)-ROUNDDOWN($K490*AP$5/100,0)&lt;-AP$6,-AP$6-SUM(AP$10:AP489),-ROUNDDOWN($K490*AP$5/100,0)),0)</f>
        <v>0</v>
      </c>
      <c r="AQ490" s="38">
        <f>IF(AND($A490&gt;=AQ$8,$A490&lt;=AQ$9),IF(SUM(AQ$10:AQ489)-ROUNDDOWN($K490*AQ$5/100,0)&lt;-AQ$6,-AQ$6-SUM(AQ$10:AQ489),-ROUNDDOWN($K490*AQ$5/100,0)),0)</f>
        <v>0</v>
      </c>
      <c r="AR490" s="38">
        <f>IF(AND($A490&gt;=AR$8,$A490&lt;=AR$9),IF(SUM(AR$10:AR489)-ROUNDDOWN($K490*AR$5/100,0)&lt;-AR$6,-AR$6-SUM(AR$10:AR489),-ROUNDDOWN($K490*AR$5/100,0)),0)</f>
        <v>0</v>
      </c>
      <c r="AS490" s="38">
        <f>IF(SUMIFS(AS$10:AS489,$A$10:$A489,$A490)-ROUNDDOWN($K490*$S490/100,0)&lt;-$S490*1000,-$S490*1000-SUMIFS(AS$10:AS489,$A$10:$A489,$A490),-ROUNDDOWN($K490*$S490/100,0))</f>
        <v>0</v>
      </c>
      <c r="AT490" s="38">
        <f>IF(AND(X490="○",$A490&gt;=AT$8,$A490&lt;=AT$9,K490&gt;=3980),IF(SUM(AT$10:AT489)-ROUNDDOWN($K490*AT$5/100,0)&lt;-AT$6,-AT$6-SUM(AT$10:AT489),-ROUNDDOWN($K490*AT$5/100,0)),0)</f>
        <v>0</v>
      </c>
      <c r="AU490" s="38">
        <f>IF(O490="○",IF(SUM(AU$10:AU489)-ROUNDDOWN($K490*AU$5/100,0)&lt;-AU$6,-AU$6-SUM(AU$10:AU489),-ROUNDDOWN($K490*AU$5/100,0)),0)</f>
        <v>0</v>
      </c>
      <c r="AV490" s="38">
        <f>IF(P490="○",IF(SUM(AV$10:AV489)-ROUNDDOWN($K490*AV$5/100,0)&lt;-AV$6,-AV$6-SUM(AV$10:AV489),-ROUNDDOWN($K490*AV$5/100,0)),0)</f>
        <v>0</v>
      </c>
      <c r="AW490" s="38">
        <f>IF(Q490="○",IF(SUM(AW$10:AW489)-ROUNDDOWN($K490*AW$5/100,0)&lt;-AW$6,-AW$6-SUM(AW$10:AW489),-ROUNDDOWN($K490*AW$5/100,0)),0)</f>
        <v>0</v>
      </c>
      <c r="AX490" s="38">
        <f>IF(R490="○",IF(SUM(AX$10:AX489)-ROUNDDOWN($K490*AX$5/100,0)&lt;-AX$6,-AX$6-SUM(AX$10:AX489),-ROUNDDOWN($K490*AX$5/100,0)),0)</f>
        <v>0</v>
      </c>
      <c r="AY490" s="70">
        <v>0</v>
      </c>
      <c r="AZ490" s="65">
        <f t="shared" si="319"/>
        <v>0</v>
      </c>
      <c r="BA490" s="65">
        <f t="shared" si="320"/>
        <v>0</v>
      </c>
      <c r="BB490" s="70"/>
      <c r="BC490" s="65">
        <f t="shared" si="321"/>
        <v>0</v>
      </c>
      <c r="BD490" s="70">
        <v>0</v>
      </c>
      <c r="BE490" s="65">
        <f t="shared" si="322"/>
        <v>0</v>
      </c>
      <c r="BF490" s="70">
        <v>0</v>
      </c>
      <c r="BG490" s="65">
        <f t="shared" si="323"/>
        <v>0</v>
      </c>
      <c r="BH490" s="70">
        <v>0</v>
      </c>
      <c r="BI490" s="65">
        <f t="shared" si="324"/>
        <v>0</v>
      </c>
      <c r="BJ490" s="38">
        <f>IF(AND(BJ$7="○",$A490&gt;=BJ$8,$A490&lt;=BJ$9),IF(SUM(BJ$10:BJ489)-ROUNDDOWN($M490*BJ$5/100,0)&lt;-BJ$6,-BJ$6-SUM(BJ$10:BJ489),-ROUNDDOWN($M490*BJ$5/100,0)),0)</f>
        <v>0</v>
      </c>
      <c r="BK490" s="38">
        <f>IF(AND(BK$7="○",$A490&gt;=BK$8,$A490&lt;=BK$9),IF(SUM(BK$10:BK489)-ROUNDDOWN($L490*BK$5/100,0)&lt;-BK$6,-BK$6-SUM(BK$10:BK489),-ROUNDDOWN($L490*BK$5/100,0)),0)</f>
        <v>0</v>
      </c>
      <c r="BL490" s="38">
        <f>IF(AND(BL$7="○",$A490&gt;=BL$8,$A490&lt;=BL$9),IF(SUM(BL$10:BL489)-ROUNDDOWN($L490*BL$5/100,0)&lt;-BL$6,-BL$6-SUM(BL$10:BL489),-ROUNDDOWN($L490*BL$5/100,0)),0)</f>
        <v>0</v>
      </c>
      <c r="BM490" s="38">
        <f>IF(AND(BM$7="○",$A490&gt;=BM$8,$A490&lt;=BM$9),IF(SUM(BM$10:BM489)-ROUNDDOWN($M490*BM$5/100,0)&lt;-BM$6,-BM$6-SUM(BM$10:BM489),-ROUNDDOWN($M490*BM$5/100,0)),0)</f>
        <v>0</v>
      </c>
      <c r="BN490" s="38">
        <f>IF(AND(BN$7="○",$A490&gt;=BN$8,$A490&lt;=BN$9),IF(SUM(BN$10:BN489)-ROUNDDOWN($M490*BN$5/100,0)&lt;-BN$6,-BN$6-SUM(BN$10:BN489),-ROUNDDOWN($M490*BN$5/100,0)),0)</f>
        <v>0</v>
      </c>
      <c r="BO490" s="38">
        <f>IF(AND(BO$7="○",$A490&gt;=BO$8,$A490&lt;=BO$9),IF(SUM(BO$10:BO489)-ROUNDDOWN($M490*BO$5/100,0)&lt;-BO$6,-BO$6-SUM(BO$10:BO489),-ROUNDDOWN($M490*BO$5/100,0)),0)</f>
        <v>0</v>
      </c>
      <c r="BP490" s="38">
        <f>IF(AND(BP$7="○",$A490&gt;=BP$8,$A490&lt;=BP$9),IF(SUM(BP$10:BP489)-ROUNDDOWN($M490*BP$5/100,0)&lt;-BP$6,-BP$6-SUM(BP$10:BP489),-ROUNDDOWN($M490*BP$5/100,0)),0)</f>
        <v>0</v>
      </c>
      <c r="BQ490" s="38">
        <f>IF(AND(BQ$7="○",$A490&gt;=BQ$8,$A490&lt;=BQ$9),IF(SUM(BQ$10:BQ489)-ROUNDDOWN($L490*BQ$5/100,0)&lt;-BQ$6,-BQ$6-SUM(BQ$10:BQ489),-ROUNDDOWN($L490*BQ$5/100,0)),0)</f>
        <v>0</v>
      </c>
      <c r="BR490" s="38">
        <f>IF(AND(BR$7="○",$A490&gt;=BR$8,$A490&lt;=BR$9),IF(SUM(BR$10:BR489)-ROUNDDOWN($M490*BR$5/100,0)&lt;-BR$6,-BR$6-SUM(BR$10:BR489),-ROUNDDOWN($M490*BR$5/100,0)),0)</f>
        <v>0</v>
      </c>
      <c r="BS490" s="38">
        <f>IF(AND(BS$7="○",$A490&gt;=BS$8,$A490&lt;=BS$9),IF(SUM(BS$10:BS489)-ROUNDDOWN($M490*BS$5/100,0)&lt;-BS$6,-BS$6-SUM(BS$10:BS489),-ROUNDDOWN($M490*BS$5/100,0)),0)</f>
        <v>0</v>
      </c>
      <c r="BT490" s="38">
        <f>IF(AND(BT$7="○",$A490&gt;=BT$8,$A490&lt;=BT$9),IF(SUM(BT$10:BT489)-ROUNDDOWN($M490*BT$5/100,0)&lt;-BT$6,-BT$6-SUM(BT$10:BT489),-ROUNDDOWN($M490*BT$5/100,0)),0)</f>
        <v>0</v>
      </c>
      <c r="BU490" s="38">
        <f>IF(AND(BU$7="○",$A490&gt;=BU$8,$A490&lt;=BU$9),IF(SUM(BU$10:BU489)-ROUNDDOWN($M490*BU$5/100,0)&lt;-BU$6,-BU$6-SUM(BU$10:BU489),-ROUNDDOWN($M490*BU$5/100,0)),0)</f>
        <v>0</v>
      </c>
      <c r="BV490" s="38">
        <f>IF(AND(BV$7="○",$A490&gt;=BV$8,$A490&lt;=BV$9),IF(SUM(BV$10:BV489)-ROUNDDOWN($M490*BV$5/100,0)&lt;-BV$6,-BV$6-SUM(BV$10:BV489),-ROUNDDOWN($M490*BV$5/100,0)),0)</f>
        <v>0</v>
      </c>
      <c r="BW490" s="38">
        <f>IF(AND(BW$7="○",$A490&gt;=BW$8,$A490&lt;=BW$9),IF(SUM(BW$10:BW489)-ROUNDDOWN($M490*BW$5/100,0)&lt;-BW$6,-BW$6-SUM(BW$10:BW489),-ROUNDDOWN($M490*BW$5/100,0)),0)</f>
        <v>0</v>
      </c>
      <c r="BX490" s="38">
        <f>IF(AND(T490="○",$A490&gt;=BX$8,$A490&lt;=BX$9),IF(SUM(BX$10:BX489)-ROUNDDOWN($K490*BX$5/100,0)&lt;-BX$6,-BX$6-SUM(BX$10:BX489),-ROUNDDOWN($K490*BX$5/100,0)),0)</f>
        <v>0</v>
      </c>
      <c r="BY490" s="38">
        <f>IF(AND(U490="○",$A490&gt;=BY$8,$A490&lt;=BY$9),IF(SUM(BY$10:BY489)-ROUNDDOWN($K490*BY$5/100,0)&lt;-BY$6,-BY$6-SUM(BY$10:BY489),-ROUNDDOWN($K490*BY$5/100,0)),0)</f>
        <v>0</v>
      </c>
      <c r="BZ490" s="38">
        <f>IF(AND(V490="○",$A490&gt;=BZ$8,$A490&lt;=BZ$9),IF(SUM(BZ$10:BZ489)-ROUNDDOWN($K490*BZ$5/100,0)&lt;-BZ$6,-BZ$6-SUM(BZ$10:BZ489),-ROUNDDOWN($K490*BZ$5/100,0)),0)</f>
        <v>0</v>
      </c>
      <c r="CA490" s="38">
        <f>IF(AND(W490="○",$A490&gt;=CA$8,$A490&lt;=CA$9),IF(SUM(CA$10:CA489)-ROUNDDOWN($K490*CA$5/100,0)&lt;-CA$6,-CA$6-SUM(CA$10:CA489),-ROUNDDOWN($K490*CA$5/100,0)),0)</f>
        <v>0</v>
      </c>
      <c r="CB490" s="38"/>
      <c r="CC490" s="38"/>
      <c r="CD490" s="38"/>
      <c r="CE490" s="38"/>
      <c r="CF490" s="38"/>
      <c r="CG490" s="65">
        <f t="shared" si="325"/>
        <v>0</v>
      </c>
      <c r="CH490" s="71">
        <f t="shared" si="326"/>
        <v>0</v>
      </c>
      <c r="CI490" s="1">
        <f t="shared" si="19"/>
        <v>0</v>
      </c>
      <c r="CJ490" s="1"/>
      <c r="CK490" s="72"/>
      <c r="CL490" s="72"/>
      <c r="CM490" s="2"/>
      <c r="CN490" s="2"/>
      <c r="CO490" s="73">
        <f t="shared" si="20"/>
        <v>0</v>
      </c>
      <c r="CP490" s="5">
        <f t="shared" si="21"/>
        <v>0</v>
      </c>
      <c r="CQ490" s="1"/>
      <c r="CR490" s="1">
        <f t="shared" si="22"/>
        <v>0</v>
      </c>
      <c r="CS490" s="1"/>
      <c r="CT490" s="1" t="e">
        <f>INDEX([2]マスタ!$A:$A,MATCH(D490,[2]マスタ!$C:$C,0))</f>
        <v>#N/A</v>
      </c>
      <c r="CU490" s="1" t="str">
        <f t="shared" ca="1" si="23"/>
        <v>20260620_0-0</v>
      </c>
    </row>
    <row r="491" spans="1:99" x14ac:dyDescent="0.4">
      <c r="A491" s="61"/>
      <c r="B491" s="62"/>
      <c r="C491" s="62"/>
      <c r="D491" s="62"/>
      <c r="E491" s="63"/>
      <c r="F491" s="62"/>
      <c r="G491" s="62">
        <v>1</v>
      </c>
      <c r="H491" s="64">
        <f t="shared" si="4"/>
        <v>0</v>
      </c>
      <c r="I491" s="64"/>
      <c r="J491" s="64"/>
      <c r="K491" s="65">
        <f t="shared" si="329"/>
        <v>0</v>
      </c>
      <c r="L491" s="65">
        <f t="shared" si="6"/>
        <v>0</v>
      </c>
      <c r="M491" s="65">
        <f t="shared" si="7"/>
        <v>0</v>
      </c>
      <c r="N491" s="65">
        <f t="shared" si="8"/>
        <v>0</v>
      </c>
      <c r="O491" s="66" t="str">
        <f t="shared" si="9"/>
        <v>✕</v>
      </c>
      <c r="P491" s="67" t="str">
        <f t="shared" si="10"/>
        <v>○</v>
      </c>
      <c r="Q491" s="67" t="str">
        <f t="shared" si="330"/>
        <v>✕</v>
      </c>
      <c r="R491" s="67" t="str">
        <f t="shared" si="12"/>
        <v>✕</v>
      </c>
      <c r="S491" s="68">
        <v>0</v>
      </c>
      <c r="T491" s="69" t="s">
        <v>85</v>
      </c>
      <c r="U491" s="69" t="s">
        <v>85</v>
      </c>
      <c r="V491" s="69" t="s">
        <v>85</v>
      </c>
      <c r="W491" s="69" t="s">
        <v>85</v>
      </c>
      <c r="X491" s="69" t="s">
        <v>84</v>
      </c>
      <c r="Y491" s="69" t="s">
        <v>85</v>
      </c>
      <c r="Z491" s="69" t="s">
        <v>85</v>
      </c>
      <c r="AA491" s="69" t="s">
        <v>85</v>
      </c>
      <c r="AB491" s="69" t="s">
        <v>85</v>
      </c>
      <c r="AC491" s="69" t="s">
        <v>85</v>
      </c>
      <c r="AD491" s="38" t="str">
        <f>+IF(ISERROR(VLOOKUP($B491,AD$10:AD490,1,0)),IF(AND($N491&gt;=1000,$A491&gt;=AO$8,$A491&lt;=AO$9),$B491,""),"")</f>
        <v/>
      </c>
      <c r="AE491" s="38" t="str">
        <f>+IF(ISERROR(VLOOKUP($B491,AE$10:AE490,1,0)),IF(AND($N491&gt;=1000,$A491&gt;=AP$8,$A491&lt;=AP$9),$B491,""),"")</f>
        <v/>
      </c>
      <c r="AF491" s="38" t="str">
        <f>+IF(ISERROR(VLOOKUP($B491,AF$10:AF490,1,0)),IF(AND($N491&gt;=1000,$A491&gt;=AQ$8,$A491&lt;=AQ$9),$B491,""),"")</f>
        <v/>
      </c>
      <c r="AG491" s="38" t="str">
        <f>+IF(ISERROR(VLOOKUP($B491,AG$10:AG490,1,0)),IF(AND($N491&gt;=1000,$A491&gt;=AR$8,$A491&lt;=AR$9),$B491,""),"")</f>
        <v/>
      </c>
      <c r="AH491" s="38"/>
      <c r="AI491" s="70">
        <v>0</v>
      </c>
      <c r="AJ491" s="38">
        <f>IF(AND(AJ$7="○",$A491&gt;=AJ$8,$A491&lt;=AJ$9),IF(SUM(AJ$10:AJ490)-ROUNDDOWN($K491*AJ$5/100,0)&lt;-AJ$6,-AJ$6-SUM(AJ$10:AJ490),-ROUNDDOWN($K491*AJ$5/100,0)),0)</f>
        <v>0</v>
      </c>
      <c r="AK491" s="38">
        <f>IF(AND(AK$7="○",$A491&gt;=AK$8,$A491&lt;=AK$9),IF(SUM(AK$10:AK490)-ROUNDDOWN($L491*AK$5/100,0)&lt;-AK$6,-AK$6-SUM(AK$10:AK490),-ROUNDDOWN($L491*AK$5/100,0)),0)</f>
        <v>0</v>
      </c>
      <c r="AL491" s="38">
        <f>IF(AND(AL$7="○",$A491&gt;=AL$8,$A491&lt;=AL$9),IF(SUM(AL$10:AL490)-ROUNDDOWN($N491*AL$5/100,0)&lt;-AL$6,-AL$6-SUM(AL$10:AL490),-ROUNDDOWN($N491*AL$5/100,0)),0)</f>
        <v>0</v>
      </c>
      <c r="AM491" s="38">
        <f>IF(AND(AM$7="○",$A491&gt;=AM$8,$A491&lt;=AM$9),IF(SUM(AM$10:AM490)-ROUNDDOWN($L491*AM$5/100,0)&lt;-AM$6,-AM$6-SUM(AM$10:AM490),-ROUNDDOWN($L491*AM$5/100,0)),0)</f>
        <v>0</v>
      </c>
      <c r="AN491" s="38">
        <f>IF(AND(AN$7="○",$A491&gt;=AN$8,$A491&lt;=AN$9),IF(SUM(AN$10:AN490)-ROUNDDOWN($M491*AN$5/100,0)&lt;-AN$6,-AN$6-SUM(AN$10:AN490),-ROUNDDOWN($M491*AN$5/100,0)),0)</f>
        <v>0</v>
      </c>
      <c r="AO491" s="38">
        <f>IF(AND($A491&gt;=AO$8,$A491&lt;=AO$9),IF(SUM(AO$10:AO490)-ROUNDDOWN($K491*AO$5/100,0)&lt;-AO$6,-AO$6-SUM(AO$10:AO490),-ROUNDDOWN($K491*AO$5/100,0)),0)</f>
        <v>0</v>
      </c>
      <c r="AP491" s="38">
        <f>IF(AND($A491&gt;=AP$8,$A491&lt;=AP$9),IF(SUM(AP$10:AP490)-ROUNDDOWN($K491*AP$5/100,0)&lt;-AP$6,-AP$6-SUM(AP$10:AP490),-ROUNDDOWN($K491*AP$5/100,0)),0)</f>
        <v>0</v>
      </c>
      <c r="AQ491" s="38">
        <f>IF(AND($A491&gt;=AQ$8,$A491&lt;=AQ$9),IF(SUM(AQ$10:AQ490)-ROUNDDOWN($K491*AQ$5/100,0)&lt;-AQ$6,-AQ$6-SUM(AQ$10:AQ490),-ROUNDDOWN($K491*AQ$5/100,0)),0)</f>
        <v>0</v>
      </c>
      <c r="AR491" s="38">
        <f>IF(AND($A491&gt;=AR$8,$A491&lt;=AR$9),IF(SUM(AR$10:AR490)-ROUNDDOWN($K491*AR$5/100,0)&lt;-AR$6,-AR$6-SUM(AR$10:AR490),-ROUNDDOWN($K491*AR$5/100,0)),0)</f>
        <v>0</v>
      </c>
      <c r="AS491" s="38">
        <f>IF(SUMIFS(AS$10:AS490,$A$10:$A490,$A491)-ROUNDDOWN($K491*$S491/100,0)&lt;-$S491*1000,-$S491*1000-SUMIFS(AS$10:AS490,$A$10:$A490,$A491),-ROUNDDOWN($K491*$S491/100,0))</f>
        <v>0</v>
      </c>
      <c r="AT491" s="38">
        <f>IF(AND(X491="○",$A491&gt;=AT$8,$A491&lt;=AT$9,K491&gt;=3980),IF(SUM(AT$10:AT490)-ROUNDDOWN($K491*AT$5/100,0)&lt;-AT$6,-AT$6-SUM(AT$10:AT490),-ROUNDDOWN($K491*AT$5/100,0)),0)</f>
        <v>0</v>
      </c>
      <c r="AU491" s="38">
        <f>IF(O491="○",IF(SUM(AU$10:AU490)-ROUNDDOWN($K491*AU$5/100,0)&lt;-AU$6,-AU$6-SUM(AU$10:AU490),-ROUNDDOWN($K491*AU$5/100,0)),0)</f>
        <v>0</v>
      </c>
      <c r="AV491" s="38">
        <f>IF(P491="○",IF(SUM(AV$10:AV490)-ROUNDDOWN($K491*AV$5/100,0)&lt;-AV$6,-AV$6-SUM(AV$10:AV490),-ROUNDDOWN($K491*AV$5/100,0)),0)</f>
        <v>0</v>
      </c>
      <c r="AW491" s="38">
        <f>IF(Q491="○",IF(SUM(AW$10:AW490)-ROUNDDOWN($K491*AW$5/100,0)&lt;-AW$6,-AW$6-SUM(AW$10:AW490),-ROUNDDOWN($K491*AW$5/100,0)),0)</f>
        <v>0</v>
      </c>
      <c r="AX491" s="38">
        <f>IF(R491="○",IF(SUM(AX$10:AX490)-ROUNDDOWN($K491*AX$5/100,0)&lt;-AX$6,-AX$6-SUM(AX$10:AX490),-ROUNDDOWN($K491*AX$5/100,0)),0)</f>
        <v>0</v>
      </c>
      <c r="AY491" s="70">
        <v>0</v>
      </c>
      <c r="AZ491" s="65">
        <f t="shared" si="319"/>
        <v>0</v>
      </c>
      <c r="BA491" s="65">
        <f t="shared" si="320"/>
        <v>0</v>
      </c>
      <c r="BB491" s="70"/>
      <c r="BC491" s="65">
        <f t="shared" si="321"/>
        <v>0</v>
      </c>
      <c r="BD491" s="70">
        <v>0</v>
      </c>
      <c r="BE491" s="65">
        <f t="shared" si="322"/>
        <v>0</v>
      </c>
      <c r="BF491" s="70">
        <v>0</v>
      </c>
      <c r="BG491" s="65">
        <f t="shared" si="323"/>
        <v>0</v>
      </c>
      <c r="BH491" s="70">
        <v>0</v>
      </c>
      <c r="BI491" s="65">
        <f t="shared" si="324"/>
        <v>0</v>
      </c>
      <c r="BJ491" s="38">
        <f>IF(AND(BJ$7="○",$A491&gt;=BJ$8,$A491&lt;=BJ$9),IF(SUM(BJ$10:BJ490)-ROUNDDOWN($M491*BJ$5/100,0)&lt;-BJ$6,-BJ$6-SUM(BJ$10:BJ490),-ROUNDDOWN($M491*BJ$5/100,0)),0)</f>
        <v>0</v>
      </c>
      <c r="BK491" s="38">
        <f>IF(AND(BK$7="○",$A491&gt;=BK$8,$A491&lt;=BK$9),IF(SUM(BK$10:BK490)-ROUNDDOWN($L491*BK$5/100,0)&lt;-BK$6,-BK$6-SUM(BK$10:BK490),-ROUNDDOWN($L491*BK$5/100,0)),0)</f>
        <v>0</v>
      </c>
      <c r="BL491" s="38">
        <f>IF(AND(BL$7="○",$A491&gt;=BL$8,$A491&lt;=BL$9),IF(SUM(BL$10:BL490)-ROUNDDOWN($L491*BL$5/100,0)&lt;-BL$6,-BL$6-SUM(BL$10:BL490),-ROUNDDOWN($L491*BL$5/100,0)),0)</f>
        <v>0</v>
      </c>
      <c r="BM491" s="38">
        <f>IF(AND(BM$7="○",$A491&gt;=BM$8,$A491&lt;=BM$9),IF(SUM(BM$10:BM490)-ROUNDDOWN($M491*BM$5/100,0)&lt;-BM$6,-BM$6-SUM(BM$10:BM490),-ROUNDDOWN($M491*BM$5/100,0)),0)</f>
        <v>0</v>
      </c>
      <c r="BN491" s="38">
        <f>IF(AND(BN$7="○",$A491&gt;=BN$8,$A491&lt;=BN$9),IF(SUM(BN$10:BN490)-ROUNDDOWN($M491*BN$5/100,0)&lt;-BN$6,-BN$6-SUM(BN$10:BN490),-ROUNDDOWN($M491*BN$5/100,0)),0)</f>
        <v>0</v>
      </c>
      <c r="BO491" s="38">
        <f>IF(AND(BO$7="○",$A491&gt;=BO$8,$A491&lt;=BO$9),IF(SUM(BO$10:BO490)-ROUNDDOWN($M491*BO$5/100,0)&lt;-BO$6,-BO$6-SUM(BO$10:BO490),-ROUNDDOWN($M491*BO$5/100,0)),0)</f>
        <v>0</v>
      </c>
      <c r="BP491" s="38">
        <f>IF(AND(BP$7="○",$A491&gt;=BP$8,$A491&lt;=BP$9),IF(SUM(BP$10:BP490)-ROUNDDOWN($M491*BP$5/100,0)&lt;-BP$6,-BP$6-SUM(BP$10:BP490),-ROUNDDOWN($M491*BP$5/100,0)),0)</f>
        <v>0</v>
      </c>
      <c r="BQ491" s="38">
        <f>IF(AND(BQ$7="○",$A491&gt;=BQ$8,$A491&lt;=BQ$9),IF(SUM(BQ$10:BQ490)-ROUNDDOWN($L491*BQ$5/100,0)&lt;-BQ$6,-BQ$6-SUM(BQ$10:BQ490),-ROUNDDOWN($L491*BQ$5/100,0)),0)</f>
        <v>0</v>
      </c>
      <c r="BR491" s="38">
        <f>IF(AND(BR$7="○",$A491&gt;=BR$8,$A491&lt;=BR$9),IF(SUM(BR$10:BR490)-ROUNDDOWN($M491*BR$5/100,0)&lt;-BR$6,-BR$6-SUM(BR$10:BR490),-ROUNDDOWN($M491*BR$5/100,0)),0)</f>
        <v>0</v>
      </c>
      <c r="BS491" s="38">
        <f>IF(AND(BS$7="○",$A491&gt;=BS$8,$A491&lt;=BS$9),IF(SUM(BS$10:BS490)-ROUNDDOWN($M491*BS$5/100,0)&lt;-BS$6,-BS$6-SUM(BS$10:BS490),-ROUNDDOWN($M491*BS$5/100,0)),0)</f>
        <v>0</v>
      </c>
      <c r="BT491" s="38">
        <f>IF(AND(BT$7="○",$A491&gt;=BT$8,$A491&lt;=BT$9),IF(SUM(BT$10:BT490)-ROUNDDOWN($M491*BT$5/100,0)&lt;-BT$6,-BT$6-SUM(BT$10:BT490),-ROUNDDOWN($M491*BT$5/100,0)),0)</f>
        <v>0</v>
      </c>
      <c r="BU491" s="38">
        <f>IF(AND(BU$7="○",$A491&gt;=BU$8,$A491&lt;=BU$9),IF(SUM(BU$10:BU490)-ROUNDDOWN($M491*BU$5/100,0)&lt;-BU$6,-BU$6-SUM(BU$10:BU490),-ROUNDDOWN($M491*BU$5/100,0)),0)</f>
        <v>0</v>
      </c>
      <c r="BV491" s="38">
        <f>IF(AND(BV$7="○",$A491&gt;=BV$8,$A491&lt;=BV$9),IF(SUM(BV$10:BV490)-ROUNDDOWN($M491*BV$5/100,0)&lt;-BV$6,-BV$6-SUM(BV$10:BV490),-ROUNDDOWN($M491*BV$5/100,0)),0)</f>
        <v>0</v>
      </c>
      <c r="BW491" s="38">
        <f>IF(AND(BW$7="○",$A491&gt;=BW$8,$A491&lt;=BW$9),IF(SUM(BW$10:BW490)-ROUNDDOWN($M491*BW$5/100,0)&lt;-BW$6,-BW$6-SUM(BW$10:BW490),-ROUNDDOWN($M491*BW$5/100,0)),0)</f>
        <v>0</v>
      </c>
      <c r="BX491" s="38">
        <f>IF(AND(T491="○",$A491&gt;=BX$8,$A491&lt;=BX$9),IF(SUM(BX$10:BX490)-ROUNDDOWN($K491*BX$5/100,0)&lt;-BX$6,-BX$6-SUM(BX$10:BX490),-ROUNDDOWN($K491*BX$5/100,0)),0)</f>
        <v>0</v>
      </c>
      <c r="BY491" s="38">
        <f>IF(AND(U491="○",$A491&gt;=BY$8,$A491&lt;=BY$9),IF(SUM(BY$10:BY490)-ROUNDDOWN($K491*BY$5/100,0)&lt;-BY$6,-BY$6-SUM(BY$10:BY490),-ROUNDDOWN($K491*BY$5/100,0)),0)</f>
        <v>0</v>
      </c>
      <c r="BZ491" s="38">
        <f>IF(AND(V491="○",$A491&gt;=BZ$8,$A491&lt;=BZ$9),IF(SUM(BZ$10:BZ490)-ROUNDDOWN($K491*BZ$5/100,0)&lt;-BZ$6,-BZ$6-SUM(BZ$10:BZ490),-ROUNDDOWN($K491*BZ$5/100,0)),0)</f>
        <v>0</v>
      </c>
      <c r="CA491" s="38">
        <f>IF(AND(W491="○",$A491&gt;=CA$8,$A491&lt;=CA$9),IF(SUM(CA$10:CA490)-ROUNDDOWN($K491*CA$5/100,0)&lt;-CA$6,-CA$6-SUM(CA$10:CA490),-ROUNDDOWN($K491*CA$5/100,0)),0)</f>
        <v>0</v>
      </c>
      <c r="CB491" s="38"/>
      <c r="CC491" s="38"/>
      <c r="CD491" s="38"/>
      <c r="CE491" s="38"/>
      <c r="CF491" s="38"/>
      <c r="CG491" s="65">
        <f t="shared" si="325"/>
        <v>0</v>
      </c>
      <c r="CH491" s="71">
        <f t="shared" si="326"/>
        <v>0</v>
      </c>
      <c r="CI491" s="1">
        <f t="shared" si="19"/>
        <v>0</v>
      </c>
      <c r="CJ491" s="1"/>
      <c r="CK491" s="2"/>
      <c r="CL491" s="2"/>
      <c r="CM491" s="2"/>
      <c r="CN491" s="2"/>
      <c r="CO491" s="73">
        <f t="shared" si="20"/>
        <v>0</v>
      </c>
      <c r="CP491" s="5">
        <f t="shared" si="21"/>
        <v>0</v>
      </c>
      <c r="CQ491" s="1"/>
      <c r="CR491" s="1">
        <f t="shared" si="22"/>
        <v>0</v>
      </c>
      <c r="CS491" s="1"/>
      <c r="CT491" s="1" t="e">
        <f>INDEX([2]マスタ!$A:$A,MATCH(D491,[2]マスタ!$C:$C,0))</f>
        <v>#N/A</v>
      </c>
      <c r="CU491" s="1" t="str">
        <f t="shared" ca="1" si="23"/>
        <v>20260620_0-0</v>
      </c>
    </row>
    <row r="492" spans="1:99" x14ac:dyDescent="0.4">
      <c r="A492" s="61"/>
      <c r="B492" s="62"/>
      <c r="C492" s="62"/>
      <c r="D492" s="62"/>
      <c r="E492" s="63"/>
      <c r="F492" s="62"/>
      <c r="G492" s="62">
        <v>1</v>
      </c>
      <c r="H492" s="64">
        <f t="shared" si="4"/>
        <v>0</v>
      </c>
      <c r="I492" s="64"/>
      <c r="J492" s="78"/>
      <c r="K492" s="65">
        <f t="shared" si="329"/>
        <v>0</v>
      </c>
      <c r="L492" s="65">
        <f t="shared" si="6"/>
        <v>0</v>
      </c>
      <c r="M492" s="65">
        <f t="shared" si="7"/>
        <v>0</v>
      </c>
      <c r="N492" s="65">
        <f t="shared" si="8"/>
        <v>0</v>
      </c>
      <c r="O492" s="66" t="str">
        <f t="shared" si="9"/>
        <v>✕</v>
      </c>
      <c r="P492" s="67" t="str">
        <f t="shared" si="10"/>
        <v>○</v>
      </c>
      <c r="Q492" s="67" t="str">
        <f t="shared" si="330"/>
        <v>✕</v>
      </c>
      <c r="R492" s="67" t="str">
        <f t="shared" si="12"/>
        <v>✕</v>
      </c>
      <c r="S492" s="68">
        <v>0</v>
      </c>
      <c r="T492" s="69" t="s">
        <v>85</v>
      </c>
      <c r="U492" s="69" t="s">
        <v>85</v>
      </c>
      <c r="V492" s="69" t="s">
        <v>85</v>
      </c>
      <c r="W492" s="69" t="s">
        <v>85</v>
      </c>
      <c r="X492" s="69" t="s">
        <v>84</v>
      </c>
      <c r="Y492" s="69" t="s">
        <v>85</v>
      </c>
      <c r="Z492" s="69" t="s">
        <v>85</v>
      </c>
      <c r="AA492" s="69" t="s">
        <v>85</v>
      </c>
      <c r="AB492" s="69" t="s">
        <v>85</v>
      </c>
      <c r="AC492" s="69" t="s">
        <v>85</v>
      </c>
      <c r="AD492" s="38" t="str">
        <f>+IF(ISERROR(VLOOKUP($B492,AD$10:AD491,1,0)),IF(AND($N492&gt;=1000,$A492&gt;=AO$8,$A492&lt;=AO$9),$B492,""),"")</f>
        <v/>
      </c>
      <c r="AE492" s="38" t="str">
        <f>+IF(ISERROR(VLOOKUP($B492,AE$10:AE491,1,0)),IF(AND($N492&gt;=1000,$A492&gt;=AP$8,$A492&lt;=AP$9),$B492,""),"")</f>
        <v/>
      </c>
      <c r="AF492" s="38" t="str">
        <f>+IF(ISERROR(VLOOKUP($B492,AF$10:AF491,1,0)),IF(AND($N492&gt;=1000,$A492&gt;=AQ$8,$A492&lt;=AQ$9),$B492,""),"")</f>
        <v/>
      </c>
      <c r="AG492" s="38" t="str">
        <f>+IF(ISERROR(VLOOKUP($B492,AG$10:AG491,1,0)),IF(AND($N492&gt;=1000,$A492&gt;=AR$8,$A492&lt;=AR$9),$B492,""),"")</f>
        <v/>
      </c>
      <c r="AH492" s="38"/>
      <c r="AI492" s="70">
        <v>0</v>
      </c>
      <c r="AJ492" s="38">
        <f>IF(AND(AJ$7="○",$A492&gt;=AJ$8,$A492&lt;=AJ$9),IF(SUM(AJ$10:AJ491)-ROUNDDOWN($K492*AJ$5/100,0)&lt;-AJ$6,-AJ$6-SUM(AJ$10:AJ491),-ROUNDDOWN($K492*AJ$5/100,0)),0)</f>
        <v>0</v>
      </c>
      <c r="AK492" s="38">
        <f>IF(AND(AK$7="○",$A492&gt;=AK$8,$A492&lt;=AK$9),IF(SUM(AK$10:AK491)-ROUNDDOWN($L492*AK$5/100,0)&lt;-AK$6,-AK$6-SUM(AK$10:AK491),-ROUNDDOWN($L492*AK$5/100,0)),0)</f>
        <v>0</v>
      </c>
      <c r="AL492" s="38">
        <f>IF(AND(AL$7="○",$A492&gt;=AL$8,$A492&lt;=AL$9),IF(SUM(AL$10:AL491)-ROUNDDOWN($N492*AL$5/100,0)&lt;-AL$6,-AL$6-SUM(AL$10:AL491),-ROUNDDOWN($N492*AL$5/100,0)),0)</f>
        <v>0</v>
      </c>
      <c r="AM492" s="38">
        <f>IF(AND(AM$7="○",$A492&gt;=AM$8,$A492&lt;=AM$9),IF(SUM(AM$10:AM491)-ROUNDDOWN($L492*AM$5/100,0)&lt;-AM$6,-AM$6-SUM(AM$10:AM491),-ROUNDDOWN($L492*AM$5/100,0)),0)</f>
        <v>0</v>
      </c>
      <c r="AN492" s="38">
        <f>IF(AND(AN$7="○",$A492&gt;=AN$8,$A492&lt;=AN$9),IF(SUM(AN$10:AN491)-ROUNDDOWN($M492*AN$5/100,0)&lt;-AN$6,-AN$6-SUM(AN$10:AN491),-ROUNDDOWN($M492*AN$5/100,0)),0)</f>
        <v>0</v>
      </c>
      <c r="AO492" s="38">
        <f>IF(AND($A492&gt;=AO$8,$A492&lt;=AO$9),IF(SUM(AO$10:AO491)-ROUNDDOWN($K492*AO$5/100,0)&lt;-AO$6,-AO$6-SUM(AO$10:AO491),-ROUNDDOWN($K492*AO$5/100,0)),0)</f>
        <v>0</v>
      </c>
      <c r="AP492" s="38">
        <f>IF(AND($A492&gt;=AP$8,$A492&lt;=AP$9),IF(SUM(AP$10:AP491)-ROUNDDOWN($K492*AP$5/100,0)&lt;-AP$6,-AP$6-SUM(AP$10:AP491),-ROUNDDOWN($K492*AP$5/100,0)),0)</f>
        <v>0</v>
      </c>
      <c r="AQ492" s="38">
        <f>IF(AND($A492&gt;=AQ$8,$A492&lt;=AQ$9),IF(SUM(AQ$10:AQ491)-ROUNDDOWN($K492*AQ$5/100,0)&lt;-AQ$6,-AQ$6-SUM(AQ$10:AQ491),-ROUNDDOWN($K492*AQ$5/100,0)),0)</f>
        <v>0</v>
      </c>
      <c r="AR492" s="38">
        <f>IF(AND($A492&gt;=AR$8,$A492&lt;=AR$9),IF(SUM(AR$10:AR491)-ROUNDDOWN($K492*AR$5/100,0)&lt;-AR$6,-AR$6-SUM(AR$10:AR491),-ROUNDDOWN($K492*AR$5/100,0)),0)</f>
        <v>0</v>
      </c>
      <c r="AS492" s="38">
        <f>IF(SUMIFS(AS$10:AS491,$A$10:$A491,$A492)-ROUNDDOWN($K492*$S492/100,0)&lt;-$S492*1000,-$S492*1000-SUMIFS(AS$10:AS491,$A$10:$A491,$A492),-ROUNDDOWN($K492*$S492/100,0))</f>
        <v>0</v>
      </c>
      <c r="AT492" s="38">
        <f>IF(AND(X492="○",$A492&gt;=AT$8,$A492&lt;=AT$9,K492&gt;=3980),IF(SUM(AT$10:AT491)-ROUNDDOWN($K492*AT$5/100,0)&lt;-AT$6,-AT$6-SUM(AT$10:AT491),-ROUNDDOWN($K492*AT$5/100,0)),0)</f>
        <v>0</v>
      </c>
      <c r="AU492" s="38">
        <f>IF(O492="○",IF(SUM(AU$10:AU491)-ROUNDDOWN($K492*AU$5/100,0)&lt;-AU$6,-AU$6-SUM(AU$10:AU491),-ROUNDDOWN($K492*AU$5/100,0)),0)</f>
        <v>0</v>
      </c>
      <c r="AV492" s="38">
        <f>IF(P492="○",IF(SUM(AV$10:AV491)-ROUNDDOWN($K492*AV$5/100,0)&lt;-AV$6,-AV$6-SUM(AV$10:AV491),-ROUNDDOWN($K492*AV$5/100,0)),0)</f>
        <v>0</v>
      </c>
      <c r="AW492" s="38">
        <f>IF(Q492="○",IF(SUM(AW$10:AW491)-ROUNDDOWN($K492*AW$5/100,0)&lt;-AW$6,-AW$6-SUM(AW$10:AW491),-ROUNDDOWN($K492*AW$5/100,0)),0)</f>
        <v>0</v>
      </c>
      <c r="AX492" s="38">
        <f>IF(R492="○",IF(SUM(AX$10:AX491)-ROUNDDOWN($K492*AX$5/100,0)&lt;-AX$6,-AX$6-SUM(AX$10:AX491),-ROUNDDOWN($K492*AX$5/100,0)),0)</f>
        <v>0</v>
      </c>
      <c r="AY492" s="70">
        <v>0</v>
      </c>
      <c r="AZ492" s="65">
        <f t="shared" si="319"/>
        <v>0</v>
      </c>
      <c r="BA492" s="65">
        <f t="shared" si="320"/>
        <v>0</v>
      </c>
      <c r="BB492" s="70"/>
      <c r="BC492" s="65">
        <f t="shared" si="321"/>
        <v>0</v>
      </c>
      <c r="BD492" s="70">
        <v>0</v>
      </c>
      <c r="BE492" s="65">
        <f t="shared" si="322"/>
        <v>0</v>
      </c>
      <c r="BF492" s="70">
        <v>0</v>
      </c>
      <c r="BG492" s="65">
        <f t="shared" si="323"/>
        <v>0</v>
      </c>
      <c r="BH492" s="70">
        <v>0</v>
      </c>
      <c r="BI492" s="65">
        <f t="shared" si="324"/>
        <v>0</v>
      </c>
      <c r="BJ492" s="38">
        <f>IF(AND(BJ$7="○",$A492&gt;=BJ$8,$A492&lt;=BJ$9),IF(SUM(BJ$10:BJ491)-ROUNDDOWN($M492*BJ$5/100,0)&lt;-BJ$6,-BJ$6-SUM(BJ$10:BJ491),-ROUNDDOWN($M492*BJ$5/100,0)),0)</f>
        <v>0</v>
      </c>
      <c r="BK492" s="38">
        <f>IF(AND(BK$7="○",$A492&gt;=BK$8,$A492&lt;=BK$9),IF(SUM(BK$10:BK491)-ROUNDDOWN($L492*BK$5/100,0)&lt;-BK$6,-BK$6-SUM(BK$10:BK491),-ROUNDDOWN($L492*BK$5/100,0)),0)</f>
        <v>0</v>
      </c>
      <c r="BL492" s="38">
        <f>IF(AND(BL$7="○",$A492&gt;=BL$8,$A492&lt;=BL$9),IF(SUM(BL$10:BL491)-ROUNDDOWN($L492*BL$5/100,0)&lt;-BL$6,-BL$6-SUM(BL$10:BL491),-ROUNDDOWN($L492*BL$5/100,0)),0)</f>
        <v>0</v>
      </c>
      <c r="BM492" s="38">
        <f>IF(AND(BM$7="○",$A492&gt;=BM$8,$A492&lt;=BM$9),IF(SUM(BM$10:BM491)-ROUNDDOWN($M492*BM$5/100,0)&lt;-BM$6,-BM$6-SUM(BM$10:BM491),-ROUNDDOWN($M492*BM$5/100,0)),0)</f>
        <v>0</v>
      </c>
      <c r="BN492" s="38">
        <f>IF(AND(BN$7="○",$A492&gt;=BN$8,$A492&lt;=BN$9),IF(SUM(BN$10:BN491)-ROUNDDOWN($M492*BN$5/100,0)&lt;-BN$6,-BN$6-SUM(BN$10:BN491),-ROUNDDOWN($M492*BN$5/100,0)),0)</f>
        <v>0</v>
      </c>
      <c r="BO492" s="38">
        <f>IF(AND(BO$7="○",$A492&gt;=BO$8,$A492&lt;=BO$9),IF(SUM(BO$10:BO491)-ROUNDDOWN($M492*BO$5/100,0)&lt;-BO$6,-BO$6-SUM(BO$10:BO491),-ROUNDDOWN($M492*BO$5/100,0)),0)</f>
        <v>0</v>
      </c>
      <c r="BP492" s="38">
        <f>IF(AND(BP$7="○",$A492&gt;=BP$8,$A492&lt;=BP$9),IF(SUM(BP$10:BP491)-ROUNDDOWN($M492*BP$5/100,0)&lt;-BP$6,-BP$6-SUM(BP$10:BP491),-ROUNDDOWN($M492*BP$5/100,0)),0)</f>
        <v>0</v>
      </c>
      <c r="BQ492" s="38">
        <f>IF(AND(BQ$7="○",$A492&gt;=BQ$8,$A492&lt;=BQ$9),IF(SUM(BQ$10:BQ491)-ROUNDDOWN($L492*BQ$5/100,0)&lt;-BQ$6,-BQ$6-SUM(BQ$10:BQ491),-ROUNDDOWN($L492*BQ$5/100,0)),0)</f>
        <v>0</v>
      </c>
      <c r="BR492" s="38">
        <f>IF(AND(BR$7="○",$A492&gt;=BR$8,$A492&lt;=BR$9),IF(SUM(BR$10:BR491)-ROUNDDOWN($M492*BR$5/100,0)&lt;-BR$6,-BR$6-SUM(BR$10:BR491),-ROUNDDOWN($M492*BR$5/100,0)),0)</f>
        <v>0</v>
      </c>
      <c r="BS492" s="38">
        <f>IF(AND(BS$7="○",$A492&gt;=BS$8,$A492&lt;=BS$9),IF(SUM(BS$10:BS491)-ROUNDDOWN($M492*BS$5/100,0)&lt;-BS$6,-BS$6-SUM(BS$10:BS491),-ROUNDDOWN($M492*BS$5/100,0)),0)</f>
        <v>0</v>
      </c>
      <c r="BT492" s="38">
        <f>IF(AND(BT$7="○",$A492&gt;=BT$8,$A492&lt;=BT$9),IF(SUM(BT$10:BT491)-ROUNDDOWN($M492*BT$5/100,0)&lt;-BT$6,-BT$6-SUM(BT$10:BT491),-ROUNDDOWN($M492*BT$5/100,0)),0)</f>
        <v>0</v>
      </c>
      <c r="BU492" s="38">
        <f>IF(AND(BU$7="○",$A492&gt;=BU$8,$A492&lt;=BU$9),IF(SUM(BU$10:BU491)-ROUNDDOWN($M492*BU$5/100,0)&lt;-BU$6,-BU$6-SUM(BU$10:BU491),-ROUNDDOWN($M492*BU$5/100,0)),0)</f>
        <v>0</v>
      </c>
      <c r="BV492" s="38">
        <f>IF(AND(BV$7="○",$A492&gt;=BV$8,$A492&lt;=BV$9),IF(SUM(BV$10:BV491)-ROUNDDOWN($M492*BV$5/100,0)&lt;-BV$6,-BV$6-SUM(BV$10:BV491),-ROUNDDOWN($M492*BV$5/100,0)),0)</f>
        <v>0</v>
      </c>
      <c r="BW492" s="38">
        <f>IF(AND(BW$7="○",$A492&gt;=BW$8,$A492&lt;=BW$9),IF(SUM(BW$10:BW491)-ROUNDDOWN($M492*BW$5/100,0)&lt;-BW$6,-BW$6-SUM(BW$10:BW491),-ROUNDDOWN($M492*BW$5/100,0)),0)</f>
        <v>0</v>
      </c>
      <c r="BX492" s="38">
        <f>IF(AND(T492="○",$A492&gt;=BX$8,$A492&lt;=BX$9),IF(SUM(BX$10:BX491)-ROUNDDOWN($K492*BX$5/100,0)&lt;-BX$6,-BX$6-SUM(BX$10:BX491),-ROUNDDOWN($K492*BX$5/100,0)),0)</f>
        <v>0</v>
      </c>
      <c r="BY492" s="38">
        <f>IF(AND(U492="○",$A492&gt;=BY$8,$A492&lt;=BY$9),IF(SUM(BY$10:BY491)-ROUNDDOWN($K492*BY$5/100,0)&lt;-BY$6,-BY$6-SUM(BY$10:BY491),-ROUNDDOWN($K492*BY$5/100,0)),0)</f>
        <v>0</v>
      </c>
      <c r="BZ492" s="38">
        <f>IF(AND(V492="○",$A492&gt;=BZ$8,$A492&lt;=BZ$9),IF(SUM(BZ$10:BZ491)-ROUNDDOWN($K492*BZ$5/100,0)&lt;-BZ$6,-BZ$6-SUM(BZ$10:BZ491),-ROUNDDOWN($K492*BZ$5/100,0)),0)</f>
        <v>0</v>
      </c>
      <c r="CA492" s="38">
        <f>IF(AND(W492="○",$A492&gt;=CA$8,$A492&lt;=CA$9),IF(SUM(CA$10:CA491)-ROUNDDOWN($K492*CA$5/100,0)&lt;-CA$6,-CA$6-SUM(CA$10:CA491),-ROUNDDOWN($K492*CA$5/100,0)),0)</f>
        <v>0</v>
      </c>
      <c r="CB492" s="38"/>
      <c r="CC492" s="38"/>
      <c r="CD492" s="38"/>
      <c r="CE492" s="38"/>
      <c r="CF492" s="38"/>
      <c r="CG492" s="65">
        <f t="shared" si="325"/>
        <v>0</v>
      </c>
      <c r="CH492" s="71">
        <f t="shared" si="326"/>
        <v>0</v>
      </c>
      <c r="CI492" s="1">
        <f t="shared" si="19"/>
        <v>0</v>
      </c>
      <c r="CJ492" s="1"/>
      <c r="CK492" s="79"/>
      <c r="CL492" s="79"/>
      <c r="CM492" s="2"/>
      <c r="CN492" s="2"/>
      <c r="CO492" s="73">
        <f t="shared" si="20"/>
        <v>0</v>
      </c>
      <c r="CP492" s="5">
        <f t="shared" si="21"/>
        <v>0</v>
      </c>
      <c r="CQ492" s="1"/>
      <c r="CR492" s="1">
        <f t="shared" si="22"/>
        <v>0</v>
      </c>
      <c r="CS492" s="1"/>
      <c r="CT492" s="1" t="e">
        <f>INDEX([2]マスタ!$A:$A,MATCH(D492,[2]マスタ!$C:$C,0))</f>
        <v>#N/A</v>
      </c>
      <c r="CU492" s="1" t="str">
        <f t="shared" ca="1" si="23"/>
        <v>20260620_0-0</v>
      </c>
    </row>
    <row r="493" spans="1:99" x14ac:dyDescent="0.4">
      <c r="A493" s="61"/>
      <c r="B493" s="62"/>
      <c r="C493" s="62"/>
      <c r="D493" s="62"/>
      <c r="E493" s="63"/>
      <c r="F493" s="62"/>
      <c r="G493" s="62">
        <v>1</v>
      </c>
      <c r="H493" s="64">
        <f t="shared" si="4"/>
        <v>0</v>
      </c>
      <c r="I493" s="64"/>
      <c r="J493" s="78"/>
      <c r="K493" s="65">
        <f t="shared" si="329"/>
        <v>0</v>
      </c>
      <c r="L493" s="65">
        <f t="shared" si="6"/>
        <v>0</v>
      </c>
      <c r="M493" s="65">
        <f t="shared" si="7"/>
        <v>0</v>
      </c>
      <c r="N493" s="65">
        <f t="shared" si="8"/>
        <v>0</v>
      </c>
      <c r="O493" s="66" t="str">
        <f t="shared" si="9"/>
        <v>✕</v>
      </c>
      <c r="P493" s="67" t="str">
        <f t="shared" si="10"/>
        <v>○</v>
      </c>
      <c r="Q493" s="67" t="str">
        <f t="shared" si="330"/>
        <v>✕</v>
      </c>
      <c r="R493" s="67" t="str">
        <f t="shared" si="12"/>
        <v>✕</v>
      </c>
      <c r="S493" s="68">
        <v>0</v>
      </c>
      <c r="T493" s="69" t="s">
        <v>85</v>
      </c>
      <c r="U493" s="69" t="s">
        <v>85</v>
      </c>
      <c r="V493" s="69" t="s">
        <v>85</v>
      </c>
      <c r="W493" s="69" t="s">
        <v>85</v>
      </c>
      <c r="X493" s="69" t="s">
        <v>84</v>
      </c>
      <c r="Y493" s="69" t="s">
        <v>85</v>
      </c>
      <c r="Z493" s="69" t="s">
        <v>85</v>
      </c>
      <c r="AA493" s="69" t="s">
        <v>85</v>
      </c>
      <c r="AB493" s="69" t="s">
        <v>85</v>
      </c>
      <c r="AC493" s="69" t="s">
        <v>85</v>
      </c>
      <c r="AD493" s="38" t="str">
        <f>+IF(ISERROR(VLOOKUP($B493,AD$10:AD492,1,0)),IF(AND($N493&gt;=1000,$A493&gt;=AO$8,$A493&lt;=AO$9),$B493,""),"")</f>
        <v/>
      </c>
      <c r="AE493" s="38" t="str">
        <f>+IF(ISERROR(VLOOKUP($B493,AE$10:AE492,1,0)),IF(AND($N493&gt;=1000,$A493&gt;=AP$8,$A493&lt;=AP$9),$B493,""),"")</f>
        <v/>
      </c>
      <c r="AF493" s="38" t="str">
        <f>+IF(ISERROR(VLOOKUP($B493,AF$10:AF492,1,0)),IF(AND($N493&gt;=1000,$A493&gt;=AQ$8,$A493&lt;=AQ$9),$B493,""),"")</f>
        <v/>
      </c>
      <c r="AG493" s="38" t="str">
        <f>+IF(ISERROR(VLOOKUP($B493,AG$10:AG492,1,0)),IF(AND($N493&gt;=1000,$A493&gt;=AR$8,$A493&lt;=AR$9),$B493,""),"")</f>
        <v/>
      </c>
      <c r="AH493" s="38"/>
      <c r="AI493" s="70">
        <v>0</v>
      </c>
      <c r="AJ493" s="38">
        <f>IF(AND(AJ$7="○",$A493&gt;=AJ$8,$A493&lt;=AJ$9),IF(SUM(AJ$10:AJ492)-ROUNDDOWN($K493*AJ$5/100,0)&lt;-AJ$6,-AJ$6-SUM(AJ$10:AJ492),-ROUNDDOWN($K493*AJ$5/100,0)),0)</f>
        <v>0</v>
      </c>
      <c r="AK493" s="38">
        <f>IF(AND(AK$7="○",$A493&gt;=AK$8,$A493&lt;=AK$9),IF(SUM(AK$10:AK492)-ROUNDDOWN($L493*AK$5/100,0)&lt;-AK$6,-AK$6-SUM(AK$10:AK492),-ROUNDDOWN($L493*AK$5/100,0)),0)</f>
        <v>0</v>
      </c>
      <c r="AL493" s="38">
        <f>IF(AND(AL$7="○",$A493&gt;=AL$8,$A493&lt;=AL$9),IF(SUM(AL$10:AL492)-ROUNDDOWN($N493*AL$5/100,0)&lt;-AL$6,-AL$6-SUM(AL$10:AL492),-ROUNDDOWN($N493*AL$5/100,0)),0)</f>
        <v>0</v>
      </c>
      <c r="AM493" s="38">
        <f>IF(AND(AM$7="○",$A493&gt;=AM$8,$A493&lt;=AM$9),IF(SUM(AM$10:AM492)-ROUNDDOWN($L493*AM$5/100,0)&lt;-AM$6,-AM$6-SUM(AM$10:AM492),-ROUNDDOWN($L493*AM$5/100,0)),0)</f>
        <v>0</v>
      </c>
      <c r="AN493" s="38">
        <f>IF(AND(AN$7="○",$A493&gt;=AN$8,$A493&lt;=AN$9),IF(SUM(AN$10:AN492)-ROUNDDOWN($M493*AN$5/100,0)&lt;-AN$6,-AN$6-SUM(AN$10:AN492),-ROUNDDOWN($M493*AN$5/100,0)),0)</f>
        <v>0</v>
      </c>
      <c r="AO493" s="38">
        <f>IF(AND($A493&gt;=AO$8,$A493&lt;=AO$9),IF(SUM(AO$10:AO492)-ROUNDDOWN($K493*AO$5/100,0)&lt;-AO$6,-AO$6-SUM(AO$10:AO492),-ROUNDDOWN($K493*AO$5/100,0)),0)</f>
        <v>0</v>
      </c>
      <c r="AP493" s="38">
        <f>IF(AND($A493&gt;=AP$8,$A493&lt;=AP$9),IF(SUM(AP$10:AP492)-ROUNDDOWN($K493*AP$5/100,0)&lt;-AP$6,-AP$6-SUM(AP$10:AP492),-ROUNDDOWN($K493*AP$5/100,0)),0)</f>
        <v>0</v>
      </c>
      <c r="AQ493" s="38">
        <f>IF(AND($A493&gt;=AQ$8,$A493&lt;=AQ$9),IF(SUM(AQ$10:AQ492)-ROUNDDOWN($K493*AQ$5/100,0)&lt;-AQ$6,-AQ$6-SUM(AQ$10:AQ492),-ROUNDDOWN($K493*AQ$5/100,0)),0)</f>
        <v>0</v>
      </c>
      <c r="AR493" s="38">
        <f>IF(AND($A493&gt;=AR$8,$A493&lt;=AR$9),IF(SUM(AR$10:AR492)-ROUNDDOWN($K493*AR$5/100,0)&lt;-AR$6,-AR$6-SUM(AR$10:AR492),-ROUNDDOWN($K493*AR$5/100,0)),0)</f>
        <v>0</v>
      </c>
      <c r="AS493" s="38">
        <f>IF(SUMIFS(AS$10:AS492,$A$10:$A492,$A493)-ROUNDDOWN($K493*$S493/100,0)&lt;-$S493*1000,-$S493*1000-SUMIFS(AS$10:AS492,$A$10:$A492,$A493),-ROUNDDOWN($K493*$S493/100,0))</f>
        <v>0</v>
      </c>
      <c r="AT493" s="38">
        <f>IF(AND(X493="○",$A493&gt;=AT$8,$A493&lt;=AT$9,K493&gt;=3980),IF(SUM(AT$10:AT492)-ROUNDDOWN($K493*AT$5/100,0)&lt;-AT$6,-AT$6-SUM(AT$10:AT492),-ROUNDDOWN($K493*AT$5/100,0)),0)</f>
        <v>0</v>
      </c>
      <c r="AU493" s="38">
        <f>IF(O493="○",IF(SUM(AU$10:AU492)-ROUNDDOWN($K493*AU$5/100,0)&lt;-AU$6,-AU$6-SUM(AU$10:AU492),-ROUNDDOWN($K493*AU$5/100,0)),0)</f>
        <v>0</v>
      </c>
      <c r="AV493" s="38">
        <f>IF(P493="○",IF(SUM(AV$10:AV492)-ROUNDDOWN($K493*AV$5/100,0)&lt;-AV$6,-AV$6-SUM(AV$10:AV492),-ROUNDDOWN($K493*AV$5/100,0)),0)</f>
        <v>0</v>
      </c>
      <c r="AW493" s="38">
        <f>IF(Q493="○",IF(SUM(AW$10:AW492)-ROUNDDOWN($K493*AW$5/100,0)&lt;-AW$6,-AW$6-SUM(AW$10:AW492),-ROUNDDOWN($K493*AW$5/100,0)),0)</f>
        <v>0</v>
      </c>
      <c r="AX493" s="38">
        <f>IF(R493="○",IF(SUM(AX$10:AX492)-ROUNDDOWN($K493*AX$5/100,0)&lt;-AX$6,-AX$6-SUM(AX$10:AX492),-ROUNDDOWN($K493*AX$5/100,0)),0)</f>
        <v>0</v>
      </c>
      <c r="AY493" s="70">
        <v>0</v>
      </c>
      <c r="AZ493" s="65">
        <f t="shared" si="319"/>
        <v>0</v>
      </c>
      <c r="BA493" s="65">
        <f t="shared" si="320"/>
        <v>0</v>
      </c>
      <c r="BB493" s="70"/>
      <c r="BC493" s="65">
        <f t="shared" si="321"/>
        <v>0</v>
      </c>
      <c r="BD493" s="70">
        <v>0</v>
      </c>
      <c r="BE493" s="65">
        <f t="shared" si="322"/>
        <v>0</v>
      </c>
      <c r="BF493" s="70">
        <v>0</v>
      </c>
      <c r="BG493" s="65">
        <f t="shared" si="323"/>
        <v>0</v>
      </c>
      <c r="BH493" s="70">
        <v>0</v>
      </c>
      <c r="BI493" s="65">
        <f t="shared" si="324"/>
        <v>0</v>
      </c>
      <c r="BJ493" s="38">
        <f>IF(AND(BJ$7="○",$A493&gt;=BJ$8,$A493&lt;=BJ$9),IF(SUM(BJ$10:BJ492)-ROUNDDOWN($M493*BJ$5/100,0)&lt;-BJ$6,-BJ$6-SUM(BJ$10:BJ492),-ROUNDDOWN($M493*BJ$5/100,0)),0)</f>
        <v>0</v>
      </c>
      <c r="BK493" s="38">
        <f>IF(AND(BK$7="○",$A493&gt;=BK$8,$A493&lt;=BK$9),IF(SUM(BK$10:BK492)-ROUNDDOWN($L493*BK$5/100,0)&lt;-BK$6,-BK$6-SUM(BK$10:BK492),-ROUNDDOWN($L493*BK$5/100,0)),0)</f>
        <v>0</v>
      </c>
      <c r="BL493" s="38">
        <f>IF(AND(BL$7="○",$A493&gt;=BL$8,$A493&lt;=BL$9),IF(SUM(BL$10:BL492)-ROUNDDOWN($L493*BL$5/100,0)&lt;-BL$6,-BL$6-SUM(BL$10:BL492),-ROUNDDOWN($L493*BL$5/100,0)),0)</f>
        <v>0</v>
      </c>
      <c r="BM493" s="38">
        <f>IF(AND(BM$7="○",$A493&gt;=BM$8,$A493&lt;=BM$9),IF(SUM(BM$10:BM492)-ROUNDDOWN($M493*BM$5/100,0)&lt;-BM$6,-BM$6-SUM(BM$10:BM492),-ROUNDDOWN($M493*BM$5/100,0)),0)</f>
        <v>0</v>
      </c>
      <c r="BN493" s="38">
        <f>IF(AND(BN$7="○",$A493&gt;=BN$8,$A493&lt;=BN$9),IF(SUM(BN$10:BN492)-ROUNDDOWN($M493*BN$5/100,0)&lt;-BN$6,-BN$6-SUM(BN$10:BN492),-ROUNDDOWN($M493*BN$5/100,0)),0)</f>
        <v>0</v>
      </c>
      <c r="BO493" s="38">
        <f>IF(AND(BO$7="○",$A493&gt;=BO$8,$A493&lt;=BO$9),IF(SUM(BO$10:BO492)-ROUNDDOWN($M493*BO$5/100,0)&lt;-BO$6,-BO$6-SUM(BO$10:BO492),-ROUNDDOWN($M493*BO$5/100,0)),0)</f>
        <v>0</v>
      </c>
      <c r="BP493" s="38">
        <f>IF(AND(BP$7="○",$A493&gt;=BP$8,$A493&lt;=BP$9),IF(SUM(BP$10:BP492)-ROUNDDOWN($M493*BP$5/100,0)&lt;-BP$6,-BP$6-SUM(BP$10:BP492),-ROUNDDOWN($M493*BP$5/100,0)),0)</f>
        <v>0</v>
      </c>
      <c r="BQ493" s="38">
        <f>IF(AND(BQ$7="○",$A493&gt;=BQ$8,$A493&lt;=BQ$9),IF(SUM(BQ$10:BQ492)-ROUNDDOWN($L493*BQ$5/100,0)&lt;-BQ$6,-BQ$6-SUM(BQ$10:BQ492),-ROUNDDOWN($L493*BQ$5/100,0)),0)</f>
        <v>0</v>
      </c>
      <c r="BR493" s="38">
        <f>IF(AND(BR$7="○",$A493&gt;=BR$8,$A493&lt;=BR$9),IF(SUM(BR$10:BR492)-ROUNDDOWN($M493*BR$5/100,0)&lt;-BR$6,-BR$6-SUM(BR$10:BR492),-ROUNDDOWN($M493*BR$5/100,0)),0)</f>
        <v>0</v>
      </c>
      <c r="BS493" s="38">
        <f>IF(AND(BS$7="○",$A493&gt;=BS$8,$A493&lt;=BS$9),IF(SUM(BS$10:BS492)-ROUNDDOWN($M493*BS$5/100,0)&lt;-BS$6,-BS$6-SUM(BS$10:BS492),-ROUNDDOWN($M493*BS$5/100,0)),0)</f>
        <v>0</v>
      </c>
      <c r="BT493" s="38">
        <f>IF(AND(BT$7="○",$A493&gt;=BT$8,$A493&lt;=BT$9),IF(SUM(BT$10:BT492)-ROUNDDOWN($M493*BT$5/100,0)&lt;-BT$6,-BT$6-SUM(BT$10:BT492),-ROUNDDOWN($M493*BT$5/100,0)),0)</f>
        <v>0</v>
      </c>
      <c r="BU493" s="38">
        <f>IF(AND(BU$7="○",$A493&gt;=BU$8,$A493&lt;=BU$9),IF(SUM(BU$10:BU492)-ROUNDDOWN($M493*BU$5/100,0)&lt;-BU$6,-BU$6-SUM(BU$10:BU492),-ROUNDDOWN($M493*BU$5/100,0)),0)</f>
        <v>0</v>
      </c>
      <c r="BV493" s="38">
        <f>IF(AND(BV$7="○",$A493&gt;=BV$8,$A493&lt;=BV$9),IF(SUM(BV$10:BV492)-ROUNDDOWN($M493*BV$5/100,0)&lt;-BV$6,-BV$6-SUM(BV$10:BV492),-ROUNDDOWN($M493*BV$5/100,0)),0)</f>
        <v>0</v>
      </c>
      <c r="BW493" s="38">
        <f>IF(AND(BW$7="○",$A493&gt;=BW$8,$A493&lt;=BW$9),IF(SUM(BW$10:BW492)-ROUNDDOWN($M493*BW$5/100,0)&lt;-BW$6,-BW$6-SUM(BW$10:BW492),-ROUNDDOWN($M493*BW$5/100,0)),0)</f>
        <v>0</v>
      </c>
      <c r="BX493" s="38">
        <f>IF(AND(T493="○",$A493&gt;=BX$8,$A493&lt;=BX$9),IF(SUM(BX$10:BX492)-ROUNDDOWN($K493*BX$5/100,0)&lt;-BX$6,-BX$6-SUM(BX$10:BX492),-ROUNDDOWN($K493*BX$5/100,0)),0)</f>
        <v>0</v>
      </c>
      <c r="BY493" s="38">
        <f>IF(AND(U493="○",$A493&gt;=BY$8,$A493&lt;=BY$9),IF(SUM(BY$10:BY492)-ROUNDDOWN($K493*BY$5/100,0)&lt;-BY$6,-BY$6-SUM(BY$10:BY492),-ROUNDDOWN($K493*BY$5/100,0)),0)</f>
        <v>0</v>
      </c>
      <c r="BZ493" s="38">
        <f>IF(AND(V493="○",$A493&gt;=BZ$8,$A493&lt;=BZ$9),IF(SUM(BZ$10:BZ492)-ROUNDDOWN($K493*BZ$5/100,0)&lt;-BZ$6,-BZ$6-SUM(BZ$10:BZ492),-ROUNDDOWN($K493*BZ$5/100,0)),0)</f>
        <v>0</v>
      </c>
      <c r="CA493" s="38">
        <f>IF(AND(W493="○",$A493&gt;=CA$8,$A493&lt;=CA$9),IF(SUM(CA$10:CA492)-ROUNDDOWN($K493*CA$5/100,0)&lt;-CA$6,-CA$6-SUM(CA$10:CA492),-ROUNDDOWN($K493*CA$5/100,0)),0)</f>
        <v>0</v>
      </c>
      <c r="CB493" s="38"/>
      <c r="CC493" s="38"/>
      <c r="CD493" s="38"/>
      <c r="CE493" s="38"/>
      <c r="CF493" s="38"/>
      <c r="CG493" s="65">
        <f t="shared" si="325"/>
        <v>0</v>
      </c>
      <c r="CH493" s="71">
        <f t="shared" si="326"/>
        <v>0</v>
      </c>
      <c r="CI493" s="1">
        <f t="shared" si="19"/>
        <v>0</v>
      </c>
      <c r="CJ493" s="1"/>
      <c r="CK493" s="79"/>
      <c r="CL493" s="79"/>
      <c r="CM493" s="2"/>
      <c r="CN493" s="2"/>
      <c r="CO493" s="73">
        <f t="shared" si="20"/>
        <v>0</v>
      </c>
      <c r="CP493" s="5">
        <f t="shared" si="21"/>
        <v>0</v>
      </c>
      <c r="CQ493" s="1"/>
      <c r="CR493" s="1">
        <f t="shared" si="22"/>
        <v>0</v>
      </c>
      <c r="CS493" s="1"/>
      <c r="CT493" s="1" t="e">
        <f>INDEX([2]マスタ!$A:$A,MATCH(D493,[2]マスタ!$C:$C,0))</f>
        <v>#N/A</v>
      </c>
      <c r="CU493" s="1" t="str">
        <f t="shared" ca="1" si="23"/>
        <v>20260620_0-0</v>
      </c>
    </row>
    <row r="494" spans="1:99" x14ac:dyDescent="0.4">
      <c r="A494" s="61"/>
      <c r="B494" s="62"/>
      <c r="C494" s="62"/>
      <c r="D494" s="62"/>
      <c r="E494" s="77"/>
      <c r="F494" s="62"/>
      <c r="G494" s="62">
        <v>1</v>
      </c>
      <c r="H494" s="64">
        <f t="shared" si="4"/>
        <v>0</v>
      </c>
      <c r="I494" s="64"/>
      <c r="J494" s="64"/>
      <c r="K494" s="65">
        <f t="shared" si="329"/>
        <v>0</v>
      </c>
      <c r="L494" s="65">
        <f t="shared" si="6"/>
        <v>0</v>
      </c>
      <c r="M494" s="65">
        <f t="shared" si="7"/>
        <v>0</v>
      </c>
      <c r="N494" s="65">
        <f t="shared" si="8"/>
        <v>0</v>
      </c>
      <c r="O494" s="66" t="str">
        <f t="shared" si="9"/>
        <v>✕</v>
      </c>
      <c r="P494" s="67" t="str">
        <f t="shared" si="10"/>
        <v>○</v>
      </c>
      <c r="Q494" s="67" t="str">
        <f t="shared" si="330"/>
        <v>✕</v>
      </c>
      <c r="R494" s="67" t="str">
        <f t="shared" si="12"/>
        <v>✕</v>
      </c>
      <c r="S494" s="68">
        <v>0</v>
      </c>
      <c r="T494" s="69" t="s">
        <v>85</v>
      </c>
      <c r="U494" s="69" t="s">
        <v>85</v>
      </c>
      <c r="V494" s="69" t="s">
        <v>85</v>
      </c>
      <c r="W494" s="69" t="s">
        <v>85</v>
      </c>
      <c r="X494" s="69" t="s">
        <v>84</v>
      </c>
      <c r="Y494" s="69" t="s">
        <v>85</v>
      </c>
      <c r="Z494" s="69" t="s">
        <v>85</v>
      </c>
      <c r="AA494" s="69" t="s">
        <v>85</v>
      </c>
      <c r="AB494" s="69" t="s">
        <v>85</v>
      </c>
      <c r="AC494" s="69" t="s">
        <v>85</v>
      </c>
      <c r="AD494" s="38" t="str">
        <f>+IF(ISERROR(VLOOKUP($B494,AD$10:AD493,1,0)),IF(AND($N494&gt;=1000,$A494&gt;=AO$8,$A494&lt;=AO$9),$B494,""),"")</f>
        <v/>
      </c>
      <c r="AE494" s="38" t="str">
        <f>+IF(ISERROR(VLOOKUP($B494,AE$10:AE493,1,0)),IF(AND($N494&gt;=1000,$A494&gt;=AP$8,$A494&lt;=AP$9),$B494,""),"")</f>
        <v/>
      </c>
      <c r="AF494" s="38" t="str">
        <f>+IF(ISERROR(VLOOKUP($B494,AF$10:AF493,1,0)),IF(AND($N494&gt;=1000,$A494&gt;=AQ$8,$A494&lt;=AQ$9),$B494,""),"")</f>
        <v/>
      </c>
      <c r="AG494" s="38" t="str">
        <f>+IF(ISERROR(VLOOKUP($B494,AG$10:AG493,1,0)),IF(AND($N494&gt;=1000,$A494&gt;=AR$8,$A494&lt;=AR$9),$B494,""),"")</f>
        <v/>
      </c>
      <c r="AH494" s="38"/>
      <c r="AI494" s="70">
        <v>0</v>
      </c>
      <c r="AJ494" s="38">
        <f>IF(AND(AJ$7="○",$A494&gt;=AJ$8,$A494&lt;=AJ$9),IF(SUM(AJ$10:AJ493)-ROUNDDOWN($K494*AJ$5/100,0)&lt;-AJ$6,-AJ$6-SUM(AJ$10:AJ493),-ROUNDDOWN($K494*AJ$5/100,0)),0)</f>
        <v>0</v>
      </c>
      <c r="AK494" s="38">
        <f>IF(AND(AK$7="○",$A494&gt;=AK$8,$A494&lt;=AK$9),IF(SUM(AK$10:AK493)-ROUNDDOWN($L494*AK$5/100,0)&lt;-AK$6,-AK$6-SUM(AK$10:AK493),-ROUNDDOWN($L494*AK$5/100,0)),0)</f>
        <v>0</v>
      </c>
      <c r="AL494" s="38">
        <f>IF(AND(AL$7="○",$A494&gt;=AL$8,$A494&lt;=AL$9),IF(SUM(AL$10:AL493)-ROUNDDOWN($N494*AL$5/100,0)&lt;-AL$6,-AL$6-SUM(AL$10:AL493),-ROUNDDOWN($N494*AL$5/100,0)),0)</f>
        <v>0</v>
      </c>
      <c r="AM494" s="38">
        <f>IF(AND(AM$7="○",$A494&gt;=AM$8,$A494&lt;=AM$9),IF(SUM(AM$10:AM493)-ROUNDDOWN($L494*AM$5/100,0)&lt;-AM$6,-AM$6-SUM(AM$10:AM493),-ROUNDDOWN($L494*AM$5/100,0)),0)</f>
        <v>0</v>
      </c>
      <c r="AN494" s="38">
        <f>IF(AND(AN$7="○",$A494&gt;=AN$8,$A494&lt;=AN$9),IF(SUM(AN$10:AN493)-ROUNDDOWN($M494*AN$5/100,0)&lt;-AN$6,-AN$6-SUM(AN$10:AN493),-ROUNDDOWN($M494*AN$5/100,0)),0)</f>
        <v>0</v>
      </c>
      <c r="AO494" s="38">
        <f>IF(AND($A494&gt;=AO$8,$A494&lt;=AO$9),IF(SUM(AO$10:AO493)-ROUNDDOWN($K494*AO$5/100,0)&lt;-AO$6,-AO$6-SUM(AO$10:AO493),-ROUNDDOWN($K494*AO$5/100,0)),0)</f>
        <v>0</v>
      </c>
      <c r="AP494" s="38">
        <f>IF(AND($A494&gt;=AP$8,$A494&lt;=AP$9),IF(SUM(AP$10:AP493)-ROUNDDOWN($K494*AP$5/100,0)&lt;-AP$6,-AP$6-SUM(AP$10:AP493),-ROUNDDOWN($K494*AP$5/100,0)),0)</f>
        <v>0</v>
      </c>
      <c r="AQ494" s="38">
        <f>IF(AND($A494&gt;=AQ$8,$A494&lt;=AQ$9),IF(SUM(AQ$10:AQ493)-ROUNDDOWN($K494*AQ$5/100,0)&lt;-AQ$6,-AQ$6-SUM(AQ$10:AQ493),-ROUNDDOWN($K494*AQ$5/100,0)),0)</f>
        <v>0</v>
      </c>
      <c r="AR494" s="38">
        <f>IF(AND($A494&gt;=AR$8,$A494&lt;=AR$9),IF(SUM(AR$10:AR493)-ROUNDDOWN($K494*AR$5/100,0)&lt;-AR$6,-AR$6-SUM(AR$10:AR493),-ROUNDDOWN($K494*AR$5/100,0)),0)</f>
        <v>0</v>
      </c>
      <c r="AS494" s="38">
        <f>IF(SUMIFS(AS$10:AS493,$A$10:$A493,$A494)-ROUNDDOWN($K494*$S494/100,0)&lt;-$S494*1000,-$S494*1000-SUMIFS(AS$10:AS493,$A$10:$A493,$A494),-ROUNDDOWN($K494*$S494/100,0))</f>
        <v>0</v>
      </c>
      <c r="AT494" s="38">
        <f>IF(AND(X494="○",$A494&gt;=AT$8,$A494&lt;=AT$9,K494&gt;=3980),IF(SUM(AT$10:AT493)-ROUNDDOWN($K494*AT$5/100,0)&lt;-AT$6,-AT$6-SUM(AT$10:AT493),-ROUNDDOWN($K494*AT$5/100,0)),0)</f>
        <v>0</v>
      </c>
      <c r="AU494" s="38">
        <f>IF(O494="○",IF(SUM(AU$10:AU493)-ROUNDDOWN($K494*AU$5/100,0)&lt;-AU$6,-AU$6-SUM(AU$10:AU493),-ROUNDDOWN($K494*AU$5/100,0)),0)</f>
        <v>0</v>
      </c>
      <c r="AV494" s="38">
        <f>IF(P494="○",IF(SUM(AV$10:AV493)-ROUNDDOWN($K494*AV$5/100,0)&lt;-AV$6,-AV$6-SUM(AV$10:AV493),-ROUNDDOWN($K494*AV$5/100,0)),0)</f>
        <v>0</v>
      </c>
      <c r="AW494" s="38">
        <f>IF(Q494="○",IF(SUM(AW$10:AW493)-ROUNDDOWN($K494*AW$5/100,0)&lt;-AW$6,-AW$6-SUM(AW$10:AW493),-ROUNDDOWN($K494*AW$5/100,0)),0)</f>
        <v>0</v>
      </c>
      <c r="AX494" s="38">
        <f>IF(R494="○",IF(SUM(AX$10:AX493)-ROUNDDOWN($K494*AX$5/100,0)&lt;-AX$6,-AX$6-SUM(AX$10:AX493),-ROUNDDOWN($K494*AX$5/100,0)),0)</f>
        <v>0</v>
      </c>
      <c r="AY494" s="70">
        <v>0</v>
      </c>
      <c r="AZ494" s="65">
        <f t="shared" si="319"/>
        <v>0</v>
      </c>
      <c r="BA494" s="65">
        <f t="shared" si="320"/>
        <v>0</v>
      </c>
      <c r="BB494" s="70"/>
      <c r="BC494" s="65">
        <f t="shared" si="321"/>
        <v>0</v>
      </c>
      <c r="BD494" s="70">
        <v>0</v>
      </c>
      <c r="BE494" s="65">
        <f t="shared" si="322"/>
        <v>0</v>
      </c>
      <c r="BF494" s="70">
        <v>0</v>
      </c>
      <c r="BG494" s="65">
        <f t="shared" si="323"/>
        <v>0</v>
      </c>
      <c r="BH494" s="70">
        <v>0</v>
      </c>
      <c r="BI494" s="65">
        <f t="shared" si="324"/>
        <v>0</v>
      </c>
      <c r="BJ494" s="38">
        <f>IF(AND(BJ$7="○",$A494&gt;=BJ$8,$A494&lt;=BJ$9),IF(SUM(BJ$10:BJ493)-ROUNDDOWN($M494*BJ$5/100,0)&lt;-BJ$6,-BJ$6-SUM(BJ$10:BJ493),-ROUNDDOWN($M494*BJ$5/100,0)),0)</f>
        <v>0</v>
      </c>
      <c r="BK494" s="38">
        <f>IF(AND(BK$7="○",$A494&gt;=BK$8,$A494&lt;=BK$9),IF(SUM(BK$10:BK493)-ROUNDDOWN($L494*BK$5/100,0)&lt;-BK$6,-BK$6-SUM(BK$10:BK493),-ROUNDDOWN($L494*BK$5/100,0)),0)</f>
        <v>0</v>
      </c>
      <c r="BL494" s="38">
        <f>IF(AND(BL$7="○",$A494&gt;=BL$8,$A494&lt;=BL$9),IF(SUM(BL$10:BL493)-ROUNDDOWN($L494*BL$5/100,0)&lt;-BL$6,-BL$6-SUM(BL$10:BL493),-ROUNDDOWN($L494*BL$5/100,0)),0)</f>
        <v>0</v>
      </c>
      <c r="BM494" s="38">
        <f>IF(AND(BM$7="○",$A494&gt;=BM$8,$A494&lt;=BM$9),IF(SUM(BM$10:BM493)-ROUNDDOWN($M494*BM$5/100,0)&lt;-BM$6,-BM$6-SUM(BM$10:BM493),-ROUNDDOWN($M494*BM$5/100,0)),0)</f>
        <v>0</v>
      </c>
      <c r="BN494" s="38">
        <f>IF(AND(BN$7="○",$A494&gt;=BN$8,$A494&lt;=BN$9),IF(SUM(BN$10:BN493)-ROUNDDOWN($M494*BN$5/100,0)&lt;-BN$6,-BN$6-SUM(BN$10:BN493),-ROUNDDOWN($M494*BN$5/100,0)),0)</f>
        <v>0</v>
      </c>
      <c r="BO494" s="38">
        <f>IF(AND(BO$7="○",$A494&gt;=BO$8,$A494&lt;=BO$9),IF(SUM(BO$10:BO493)-ROUNDDOWN($M494*BO$5/100,0)&lt;-BO$6,-BO$6-SUM(BO$10:BO493),-ROUNDDOWN($M494*BO$5/100,0)),0)</f>
        <v>0</v>
      </c>
      <c r="BP494" s="38">
        <f>IF(AND(BP$7="○",$A494&gt;=BP$8,$A494&lt;=BP$9),IF(SUM(BP$10:BP493)-ROUNDDOWN($M494*BP$5/100,0)&lt;-BP$6,-BP$6-SUM(BP$10:BP493),-ROUNDDOWN($M494*BP$5/100,0)),0)</f>
        <v>0</v>
      </c>
      <c r="BQ494" s="38">
        <f>IF(AND(BQ$7="○",$A494&gt;=BQ$8,$A494&lt;=BQ$9),IF(SUM(BQ$10:BQ493)-ROUNDDOWN($L494*BQ$5/100,0)&lt;-BQ$6,-BQ$6-SUM(BQ$10:BQ493),-ROUNDDOWN($L494*BQ$5/100,0)),0)</f>
        <v>0</v>
      </c>
      <c r="BR494" s="38">
        <f>IF(AND(BR$7="○",$A494&gt;=BR$8,$A494&lt;=BR$9),IF(SUM(BR$10:BR493)-ROUNDDOWN($M494*BR$5/100,0)&lt;-BR$6,-BR$6-SUM(BR$10:BR493),-ROUNDDOWN($M494*BR$5/100,0)),0)</f>
        <v>0</v>
      </c>
      <c r="BS494" s="38">
        <f>IF(AND(BS$7="○",$A494&gt;=BS$8,$A494&lt;=BS$9),IF(SUM(BS$10:BS493)-ROUNDDOWN($M494*BS$5/100,0)&lt;-BS$6,-BS$6-SUM(BS$10:BS493),-ROUNDDOWN($M494*BS$5/100,0)),0)</f>
        <v>0</v>
      </c>
      <c r="BT494" s="38">
        <f>IF(AND(BT$7="○",$A494&gt;=BT$8,$A494&lt;=BT$9),IF(SUM(BT$10:BT493)-ROUNDDOWN($M494*BT$5/100,0)&lt;-BT$6,-BT$6-SUM(BT$10:BT493),-ROUNDDOWN($M494*BT$5/100,0)),0)</f>
        <v>0</v>
      </c>
      <c r="BU494" s="38">
        <f>IF(AND(BU$7="○",$A494&gt;=BU$8,$A494&lt;=BU$9),IF(SUM(BU$10:BU493)-ROUNDDOWN($M494*BU$5/100,0)&lt;-BU$6,-BU$6-SUM(BU$10:BU493),-ROUNDDOWN($M494*BU$5/100,0)),0)</f>
        <v>0</v>
      </c>
      <c r="BV494" s="38">
        <f>IF(AND(BV$7="○",$A494&gt;=BV$8,$A494&lt;=BV$9),IF(SUM(BV$10:BV493)-ROUNDDOWN($M494*BV$5/100,0)&lt;-BV$6,-BV$6-SUM(BV$10:BV493),-ROUNDDOWN($M494*BV$5/100,0)),0)</f>
        <v>0</v>
      </c>
      <c r="BW494" s="38">
        <f>IF(AND(BW$7="○",$A494&gt;=BW$8,$A494&lt;=BW$9),IF(SUM(BW$10:BW493)-ROUNDDOWN($M494*BW$5/100,0)&lt;-BW$6,-BW$6-SUM(BW$10:BW493),-ROUNDDOWN($M494*BW$5/100,0)),0)</f>
        <v>0</v>
      </c>
      <c r="BX494" s="38">
        <f>IF(AND(T494="○",$A494&gt;=BX$8,$A494&lt;=BX$9),IF(SUM(BX$10:BX493)-ROUNDDOWN($K494*BX$5/100,0)&lt;-BX$6,-BX$6-SUM(BX$10:BX493),-ROUNDDOWN($K494*BX$5/100,0)),0)</f>
        <v>0</v>
      </c>
      <c r="BY494" s="38">
        <f>IF(AND(U494="○",$A494&gt;=BY$8,$A494&lt;=BY$9),IF(SUM(BY$10:BY493)-ROUNDDOWN($K494*BY$5/100,0)&lt;-BY$6,-BY$6-SUM(BY$10:BY493),-ROUNDDOWN($K494*BY$5/100,0)),0)</f>
        <v>0</v>
      </c>
      <c r="BZ494" s="38">
        <f>IF(AND(V494="○",$A494&gt;=BZ$8,$A494&lt;=BZ$9),IF(SUM(BZ$10:BZ493)-ROUNDDOWN($K494*BZ$5/100,0)&lt;-BZ$6,-BZ$6-SUM(BZ$10:BZ493),-ROUNDDOWN($K494*BZ$5/100,0)),0)</f>
        <v>0</v>
      </c>
      <c r="CA494" s="38">
        <f>IF(AND(W494="○",$A494&gt;=CA$8,$A494&lt;=CA$9),IF(SUM(CA$10:CA493)-ROUNDDOWN($K494*CA$5/100,0)&lt;-CA$6,-CA$6-SUM(CA$10:CA493),-ROUNDDOWN($K494*CA$5/100,0)),0)</f>
        <v>0</v>
      </c>
      <c r="CB494" s="38"/>
      <c r="CC494" s="38"/>
      <c r="CD494" s="38"/>
      <c r="CE494" s="38"/>
      <c r="CF494" s="38"/>
      <c r="CG494" s="65">
        <f t="shared" si="325"/>
        <v>0</v>
      </c>
      <c r="CH494" s="71">
        <f t="shared" si="326"/>
        <v>0</v>
      </c>
      <c r="CI494" s="1">
        <f t="shared" si="19"/>
        <v>0</v>
      </c>
      <c r="CJ494" s="1"/>
      <c r="CK494" s="79"/>
      <c r="CL494" s="79"/>
      <c r="CM494" s="2"/>
      <c r="CN494" s="2"/>
      <c r="CO494" s="73">
        <f t="shared" si="20"/>
        <v>0</v>
      </c>
      <c r="CP494" s="5">
        <f t="shared" si="21"/>
        <v>0</v>
      </c>
      <c r="CQ494" s="1"/>
      <c r="CR494" s="1">
        <f t="shared" si="22"/>
        <v>0</v>
      </c>
      <c r="CS494" s="1"/>
      <c r="CT494" s="1" t="e">
        <f>INDEX([2]マスタ!$A:$A,MATCH(D494,[2]マスタ!$C:$C,0))</f>
        <v>#N/A</v>
      </c>
      <c r="CU494" s="1" t="str">
        <f t="shared" ca="1" si="23"/>
        <v>20260620_0-0</v>
      </c>
    </row>
    <row r="495" spans="1:99" x14ac:dyDescent="0.4">
      <c r="A495" s="61"/>
      <c r="B495" s="62"/>
      <c r="C495" s="62"/>
      <c r="D495" s="62"/>
      <c r="E495" s="63"/>
      <c r="F495" s="62"/>
      <c r="G495" s="62">
        <v>1</v>
      </c>
      <c r="H495" s="64">
        <f t="shared" si="4"/>
        <v>0</v>
      </c>
      <c r="I495" s="64"/>
      <c r="J495" s="64"/>
      <c r="K495" s="65">
        <f t="shared" si="329"/>
        <v>0</v>
      </c>
      <c r="L495" s="65">
        <f t="shared" si="6"/>
        <v>0</v>
      </c>
      <c r="M495" s="65">
        <f t="shared" si="7"/>
        <v>0</v>
      </c>
      <c r="N495" s="65">
        <f t="shared" si="8"/>
        <v>0</v>
      </c>
      <c r="O495" s="66" t="str">
        <f t="shared" si="9"/>
        <v>✕</v>
      </c>
      <c r="P495" s="67" t="str">
        <f t="shared" si="10"/>
        <v>○</v>
      </c>
      <c r="Q495" s="67" t="str">
        <f t="shared" si="330"/>
        <v>✕</v>
      </c>
      <c r="R495" s="67" t="str">
        <f t="shared" si="12"/>
        <v>✕</v>
      </c>
      <c r="S495" s="68">
        <v>0</v>
      </c>
      <c r="T495" s="69" t="s">
        <v>85</v>
      </c>
      <c r="U495" s="69" t="s">
        <v>85</v>
      </c>
      <c r="V495" s="69" t="s">
        <v>85</v>
      </c>
      <c r="W495" s="69" t="s">
        <v>85</v>
      </c>
      <c r="X495" s="69" t="s">
        <v>84</v>
      </c>
      <c r="Y495" s="69" t="s">
        <v>85</v>
      </c>
      <c r="Z495" s="69" t="s">
        <v>85</v>
      </c>
      <c r="AA495" s="69" t="s">
        <v>85</v>
      </c>
      <c r="AB495" s="69" t="s">
        <v>85</v>
      </c>
      <c r="AC495" s="69" t="s">
        <v>85</v>
      </c>
      <c r="AD495" s="38" t="str">
        <f>+IF(ISERROR(VLOOKUP($B495,AD$10:AD494,1,0)),IF(AND($N495&gt;=1000,$A495&gt;=AO$8,$A495&lt;=AO$9),$B495,""),"")</f>
        <v/>
      </c>
      <c r="AE495" s="38" t="str">
        <f>+IF(ISERROR(VLOOKUP($B495,AE$10:AE494,1,0)),IF(AND($N495&gt;=1000,$A495&gt;=AP$8,$A495&lt;=AP$9),$B495,""),"")</f>
        <v/>
      </c>
      <c r="AF495" s="38" t="str">
        <f>+IF(ISERROR(VLOOKUP($B495,AF$10:AF494,1,0)),IF(AND($N495&gt;=1000,$A495&gt;=AQ$8,$A495&lt;=AQ$9),$B495,""),"")</f>
        <v/>
      </c>
      <c r="AG495" s="38" t="str">
        <f>+IF(ISERROR(VLOOKUP($B495,AG$10:AG494,1,0)),IF(AND($N495&gt;=1000,$A495&gt;=AR$8,$A495&lt;=AR$9),$B495,""),"")</f>
        <v/>
      </c>
      <c r="AH495" s="38"/>
      <c r="AI495" s="70">
        <v>0</v>
      </c>
      <c r="AJ495" s="38">
        <f>IF(AND(AJ$7="○",$A495&gt;=AJ$8,$A495&lt;=AJ$9),IF(SUM(AJ$10:AJ494)-ROUNDDOWN($K495*AJ$5/100,0)&lt;-AJ$6,-AJ$6-SUM(AJ$10:AJ494),-ROUNDDOWN($K495*AJ$5/100,0)),0)</f>
        <v>0</v>
      </c>
      <c r="AK495" s="38">
        <f>IF(AND(AK$7="○",$A495&gt;=AK$8,$A495&lt;=AK$9),IF(SUM(AK$10:AK494)-ROUNDDOWN($L495*AK$5/100,0)&lt;-AK$6,-AK$6-SUM(AK$10:AK494),-ROUNDDOWN($L495*AK$5/100,0)),0)</f>
        <v>0</v>
      </c>
      <c r="AL495" s="38">
        <f>IF(AND(AL$7="○",$A495&gt;=AL$8,$A495&lt;=AL$9),IF(SUM(AL$10:AL494)-ROUNDDOWN($N495*AL$5/100,0)&lt;-AL$6,-AL$6-SUM(AL$10:AL494),-ROUNDDOWN($N495*AL$5/100,0)),0)</f>
        <v>0</v>
      </c>
      <c r="AM495" s="38">
        <f>IF(AND(AM$7="○",$A495&gt;=AM$8,$A495&lt;=AM$9),IF(SUM(AM$10:AM494)-ROUNDDOWN($L495*AM$5/100,0)&lt;-AM$6,-AM$6-SUM(AM$10:AM494),-ROUNDDOWN($L495*AM$5/100,0)),0)</f>
        <v>0</v>
      </c>
      <c r="AN495" s="38">
        <f>IF(AND(AN$7="○",$A495&gt;=AN$8,$A495&lt;=AN$9),IF(SUM(AN$10:AN494)-ROUNDDOWN($M495*AN$5/100,0)&lt;-AN$6,-AN$6-SUM(AN$10:AN494),-ROUNDDOWN($M495*AN$5/100,0)),0)</f>
        <v>0</v>
      </c>
      <c r="AO495" s="38">
        <f>IF(AND($A495&gt;=AO$8,$A495&lt;=AO$9),IF(SUM(AO$10:AO494)-ROUNDDOWN($K495*AO$5/100,0)&lt;-AO$6,-AO$6-SUM(AO$10:AO494),-ROUNDDOWN($K495*AO$5/100,0)),0)</f>
        <v>0</v>
      </c>
      <c r="AP495" s="38">
        <f>IF(AND($A495&gt;=AP$8,$A495&lt;=AP$9),IF(SUM(AP$10:AP494)-ROUNDDOWN($K495*AP$5/100,0)&lt;-AP$6,-AP$6-SUM(AP$10:AP494),-ROUNDDOWN($K495*AP$5/100,0)),0)</f>
        <v>0</v>
      </c>
      <c r="AQ495" s="38">
        <f>IF(AND($A495&gt;=AQ$8,$A495&lt;=AQ$9),IF(SUM(AQ$10:AQ494)-ROUNDDOWN($K495*AQ$5/100,0)&lt;-AQ$6,-AQ$6-SUM(AQ$10:AQ494),-ROUNDDOWN($K495*AQ$5/100,0)),0)</f>
        <v>0</v>
      </c>
      <c r="AR495" s="38">
        <f>IF(AND($A495&gt;=AR$8,$A495&lt;=AR$9),IF(SUM(AR$10:AR494)-ROUNDDOWN($K495*AR$5/100,0)&lt;-AR$6,-AR$6-SUM(AR$10:AR494),-ROUNDDOWN($K495*AR$5/100,0)),0)</f>
        <v>0</v>
      </c>
      <c r="AS495" s="38">
        <f>IF(SUMIFS(AS$10:AS494,$A$10:$A494,$A495)-ROUNDDOWN($K495*$S495/100,0)&lt;-$S495*1000,-$S495*1000-SUMIFS(AS$10:AS494,$A$10:$A494,$A495),-ROUNDDOWN($K495*$S495/100,0))</f>
        <v>0</v>
      </c>
      <c r="AT495" s="38">
        <f>IF(AND(X495="○",$A495&gt;=AT$8,$A495&lt;=AT$9,K495&gt;=3980),IF(SUM(AT$10:AT494)-ROUNDDOWN($K495*AT$5/100,0)&lt;-AT$6,-AT$6-SUM(AT$10:AT494),-ROUNDDOWN($K495*AT$5/100,0)),0)</f>
        <v>0</v>
      </c>
      <c r="AU495" s="38">
        <f>IF(O495="○",IF(SUM(AU$10:AU494)-ROUNDDOWN($K495*AU$5/100,0)&lt;-AU$6,-AU$6-SUM(AU$10:AU494),-ROUNDDOWN($K495*AU$5/100,0)),0)</f>
        <v>0</v>
      </c>
      <c r="AV495" s="38">
        <f>IF(P495="○",IF(SUM(AV$10:AV494)-ROUNDDOWN($K495*AV$5/100,0)&lt;-AV$6,-AV$6-SUM(AV$10:AV494),-ROUNDDOWN($K495*AV$5/100,0)),0)</f>
        <v>0</v>
      </c>
      <c r="AW495" s="38">
        <f>IF(Q495="○",IF(SUM(AW$10:AW494)-ROUNDDOWN($K495*AW$5/100,0)&lt;-AW$6,-AW$6-SUM(AW$10:AW494),-ROUNDDOWN($K495*AW$5/100,0)),0)</f>
        <v>0</v>
      </c>
      <c r="AX495" s="38">
        <f>IF(R495="○",IF(SUM(AX$10:AX494)-ROUNDDOWN($K495*AX$5/100,0)&lt;-AX$6,-AX$6-SUM(AX$10:AX494),-ROUNDDOWN($K495*AX$5/100,0)),0)</f>
        <v>0</v>
      </c>
      <c r="AY495" s="70">
        <v>0</v>
      </c>
      <c r="AZ495" s="65">
        <f t="shared" si="319"/>
        <v>0</v>
      </c>
      <c r="BA495" s="65">
        <f t="shared" si="320"/>
        <v>0</v>
      </c>
      <c r="BB495" s="70"/>
      <c r="BC495" s="65">
        <f t="shared" si="321"/>
        <v>0</v>
      </c>
      <c r="BD495" s="70">
        <v>0</v>
      </c>
      <c r="BE495" s="65">
        <f t="shared" si="322"/>
        <v>0</v>
      </c>
      <c r="BF495" s="70">
        <v>0</v>
      </c>
      <c r="BG495" s="65">
        <f t="shared" si="323"/>
        <v>0</v>
      </c>
      <c r="BH495" s="70">
        <v>0</v>
      </c>
      <c r="BI495" s="65">
        <f t="shared" si="324"/>
        <v>0</v>
      </c>
      <c r="BJ495" s="38">
        <f>IF(AND(BJ$7="○",$A495&gt;=BJ$8,$A495&lt;=BJ$9),IF(SUM(BJ$10:BJ494)-ROUNDDOWN($M495*BJ$5/100,0)&lt;-BJ$6,-BJ$6-SUM(BJ$10:BJ494),-ROUNDDOWN($M495*BJ$5/100,0)),0)</f>
        <v>0</v>
      </c>
      <c r="BK495" s="38">
        <f>IF(AND(BK$7="○",$A495&gt;=BK$8,$A495&lt;=BK$9),IF(SUM(BK$10:BK494)-ROUNDDOWN($L495*BK$5/100,0)&lt;-BK$6,-BK$6-SUM(BK$10:BK494),-ROUNDDOWN($L495*BK$5/100,0)),0)</f>
        <v>0</v>
      </c>
      <c r="BL495" s="38">
        <f>IF(AND(BL$7="○",$A495&gt;=BL$8,$A495&lt;=BL$9),IF(SUM(BL$10:BL494)-ROUNDDOWN($L495*BL$5/100,0)&lt;-BL$6,-BL$6-SUM(BL$10:BL494),-ROUNDDOWN($L495*BL$5/100,0)),0)</f>
        <v>0</v>
      </c>
      <c r="BM495" s="38">
        <f>IF(AND(BM$7="○",$A495&gt;=BM$8,$A495&lt;=BM$9),IF(SUM(BM$10:BM494)-ROUNDDOWN($M495*BM$5/100,0)&lt;-BM$6,-BM$6-SUM(BM$10:BM494),-ROUNDDOWN($M495*BM$5/100,0)),0)</f>
        <v>0</v>
      </c>
      <c r="BN495" s="38">
        <f>IF(AND(BN$7="○",$A495&gt;=BN$8,$A495&lt;=BN$9),IF(SUM(BN$10:BN494)-ROUNDDOWN($M495*BN$5/100,0)&lt;-BN$6,-BN$6-SUM(BN$10:BN494),-ROUNDDOWN($M495*BN$5/100,0)),0)</f>
        <v>0</v>
      </c>
      <c r="BO495" s="38">
        <f>IF(AND(BO$7="○",$A495&gt;=BO$8,$A495&lt;=BO$9),IF(SUM(BO$10:BO494)-ROUNDDOWN($M495*BO$5/100,0)&lt;-BO$6,-BO$6-SUM(BO$10:BO494),-ROUNDDOWN($M495*BO$5/100,0)),0)</f>
        <v>0</v>
      </c>
      <c r="BP495" s="38">
        <f>IF(AND(BP$7="○",$A495&gt;=BP$8,$A495&lt;=BP$9),IF(SUM(BP$10:BP494)-ROUNDDOWN($M495*BP$5/100,0)&lt;-BP$6,-BP$6-SUM(BP$10:BP494),-ROUNDDOWN($M495*BP$5/100,0)),0)</f>
        <v>0</v>
      </c>
      <c r="BQ495" s="38">
        <f>IF(AND(BQ$7="○",$A495&gt;=BQ$8,$A495&lt;=BQ$9),IF(SUM(BQ$10:BQ494)-ROUNDDOWN($L495*BQ$5/100,0)&lt;-BQ$6,-BQ$6-SUM(BQ$10:BQ494),-ROUNDDOWN($L495*BQ$5/100,0)),0)</f>
        <v>0</v>
      </c>
      <c r="BR495" s="38">
        <f>IF(AND(BR$7="○",$A495&gt;=BR$8,$A495&lt;=BR$9),IF(SUM(BR$10:BR494)-ROUNDDOWN($M495*BR$5/100,0)&lt;-BR$6,-BR$6-SUM(BR$10:BR494),-ROUNDDOWN($M495*BR$5/100,0)),0)</f>
        <v>0</v>
      </c>
      <c r="BS495" s="38">
        <f>IF(AND(BS$7="○",$A495&gt;=BS$8,$A495&lt;=BS$9),IF(SUM(BS$10:BS494)-ROUNDDOWN($M495*BS$5/100,0)&lt;-BS$6,-BS$6-SUM(BS$10:BS494),-ROUNDDOWN($M495*BS$5/100,0)),0)</f>
        <v>0</v>
      </c>
      <c r="BT495" s="38">
        <f>IF(AND(BT$7="○",$A495&gt;=BT$8,$A495&lt;=BT$9),IF(SUM(BT$10:BT494)-ROUNDDOWN($M495*BT$5/100,0)&lt;-BT$6,-BT$6-SUM(BT$10:BT494),-ROUNDDOWN($M495*BT$5/100,0)),0)</f>
        <v>0</v>
      </c>
      <c r="BU495" s="38">
        <f>IF(AND(BU$7="○",$A495&gt;=BU$8,$A495&lt;=BU$9),IF(SUM(BU$10:BU494)-ROUNDDOWN($M495*BU$5/100,0)&lt;-BU$6,-BU$6-SUM(BU$10:BU494),-ROUNDDOWN($M495*BU$5/100,0)),0)</f>
        <v>0</v>
      </c>
      <c r="BV495" s="38">
        <f>IF(AND(BV$7="○",$A495&gt;=BV$8,$A495&lt;=BV$9),IF(SUM(BV$10:BV494)-ROUNDDOWN($M495*BV$5/100,0)&lt;-BV$6,-BV$6-SUM(BV$10:BV494),-ROUNDDOWN($M495*BV$5/100,0)),0)</f>
        <v>0</v>
      </c>
      <c r="BW495" s="38">
        <f>IF(AND(BW$7="○",$A495&gt;=BW$8,$A495&lt;=BW$9),IF(SUM(BW$10:BW494)-ROUNDDOWN($M495*BW$5/100,0)&lt;-BW$6,-BW$6-SUM(BW$10:BW494),-ROUNDDOWN($M495*BW$5/100,0)),0)</f>
        <v>0</v>
      </c>
      <c r="BX495" s="38">
        <f>IF(AND(T495="○",$A495&gt;=BX$8,$A495&lt;=BX$9),IF(SUM(BX$10:BX494)-ROUNDDOWN($K495*BX$5/100,0)&lt;-BX$6,-BX$6-SUM(BX$10:BX494),-ROUNDDOWN($K495*BX$5/100,0)),0)</f>
        <v>0</v>
      </c>
      <c r="BY495" s="38">
        <f>IF(AND(U495="○",$A495&gt;=BY$8,$A495&lt;=BY$9),IF(SUM(BY$10:BY494)-ROUNDDOWN($K495*BY$5/100,0)&lt;-BY$6,-BY$6-SUM(BY$10:BY494),-ROUNDDOWN($K495*BY$5/100,0)),0)</f>
        <v>0</v>
      </c>
      <c r="BZ495" s="38">
        <f>IF(AND(V495="○",$A495&gt;=BZ$8,$A495&lt;=BZ$9),IF(SUM(BZ$10:BZ494)-ROUNDDOWN($K495*BZ$5/100,0)&lt;-BZ$6,-BZ$6-SUM(BZ$10:BZ494),-ROUNDDOWN($K495*BZ$5/100,0)),0)</f>
        <v>0</v>
      </c>
      <c r="CA495" s="38">
        <f>IF(AND(W495="○",$A495&gt;=CA$8,$A495&lt;=CA$9),IF(SUM(CA$10:CA494)-ROUNDDOWN($K495*CA$5/100,0)&lt;-CA$6,-CA$6-SUM(CA$10:CA494),-ROUNDDOWN($K495*CA$5/100,0)),0)</f>
        <v>0</v>
      </c>
      <c r="CB495" s="38"/>
      <c r="CC495" s="38"/>
      <c r="CD495" s="38"/>
      <c r="CE495" s="38"/>
      <c r="CF495" s="38"/>
      <c r="CG495" s="65">
        <f t="shared" si="325"/>
        <v>0</v>
      </c>
      <c r="CH495" s="71">
        <f t="shared" si="326"/>
        <v>0</v>
      </c>
      <c r="CI495" s="1">
        <f t="shared" si="19"/>
        <v>0</v>
      </c>
      <c r="CJ495" s="1"/>
      <c r="CK495" s="2"/>
      <c r="CL495" s="2"/>
      <c r="CM495" s="2"/>
      <c r="CN495" s="2"/>
      <c r="CO495" s="73">
        <f t="shared" si="20"/>
        <v>0</v>
      </c>
      <c r="CP495" s="5">
        <f t="shared" si="21"/>
        <v>0</v>
      </c>
      <c r="CQ495" s="1"/>
      <c r="CR495" s="1">
        <f t="shared" si="22"/>
        <v>0</v>
      </c>
      <c r="CS495" s="1"/>
      <c r="CT495" s="1" t="e">
        <f>INDEX([2]マスタ!$A:$A,MATCH(D495,[2]マスタ!$C:$C,0))</f>
        <v>#N/A</v>
      </c>
      <c r="CU495" s="1" t="str">
        <f t="shared" ca="1" si="23"/>
        <v>20260620_0-0</v>
      </c>
    </row>
    <row r="496" spans="1:99" x14ac:dyDescent="0.4">
      <c r="A496" s="61"/>
      <c r="B496" s="62"/>
      <c r="C496" s="62"/>
      <c r="D496" s="62"/>
      <c r="E496" s="74"/>
      <c r="F496" s="62"/>
      <c r="G496" s="62">
        <v>1</v>
      </c>
      <c r="H496" s="64">
        <f t="shared" ref="H496:H525" si="331">+F496*G496</f>
        <v>0</v>
      </c>
      <c r="I496" s="64"/>
      <c r="J496" s="64"/>
      <c r="K496" s="65">
        <f t="shared" ref="K496:K507" si="332">+ROUNDDOWN((H496+I496)/100,0)*100</f>
        <v>0</v>
      </c>
      <c r="L496" s="65">
        <f t="shared" ref="L496:L525" si="333">+ROUNDDOWN((H496+I496)/1.1/100,0)*100</f>
        <v>0</v>
      </c>
      <c r="M496" s="65">
        <f t="shared" ref="M496:M525" si="334">+ROUNDDOWN((H496+I496)/1.1/200,0)*200</f>
        <v>0</v>
      </c>
      <c r="N496" s="65">
        <f t="shared" ref="N496:N525" si="335">+H496+I496+J496</f>
        <v>0</v>
      </c>
      <c r="O496" s="66" t="str">
        <f t="shared" si="9"/>
        <v>✕</v>
      </c>
      <c r="P496" s="67" t="str">
        <f t="shared" si="10"/>
        <v>○</v>
      </c>
      <c r="Q496" s="67" t="str">
        <f t="shared" ref="Q496:Q507" si="336">+IF((TEXT($A496,"DD")+0)=1,"○","✕")</f>
        <v>✕</v>
      </c>
      <c r="R496" s="67" t="str">
        <f t="shared" si="12"/>
        <v>✕</v>
      </c>
      <c r="S496" s="68">
        <v>0</v>
      </c>
      <c r="T496" s="69" t="s">
        <v>85</v>
      </c>
      <c r="U496" s="69" t="s">
        <v>85</v>
      </c>
      <c r="V496" s="69" t="s">
        <v>85</v>
      </c>
      <c r="W496" s="69" t="s">
        <v>85</v>
      </c>
      <c r="X496" s="69" t="s">
        <v>84</v>
      </c>
      <c r="Y496" s="69" t="s">
        <v>85</v>
      </c>
      <c r="Z496" s="69" t="s">
        <v>85</v>
      </c>
      <c r="AA496" s="69" t="s">
        <v>85</v>
      </c>
      <c r="AB496" s="69" t="s">
        <v>85</v>
      </c>
      <c r="AC496" s="69" t="s">
        <v>85</v>
      </c>
      <c r="AD496" s="38" t="str">
        <f>+IF(ISERROR(VLOOKUP($B496,#REF!,1,0)),IF(AND($N496&gt;=1000,$A496&gt;=AO$8,$A496&lt;=AO$9),$B496,""),"")</f>
        <v/>
      </c>
      <c r="AE496" s="38" t="str">
        <f>+IF(ISERROR(VLOOKUP($B496,#REF!,1,0)),IF(AND($N496&gt;=1000,$A496&gt;=AP$8,$A496&lt;=AP$9),$B496,""),"")</f>
        <v/>
      </c>
      <c r="AF496" s="38" t="str">
        <f>+IF(ISERROR(VLOOKUP($B496,#REF!,1,0)),IF(AND($N496&gt;=1000,$A496&gt;=AQ$8,$A496&lt;=AQ$9),$B496,""),"")</f>
        <v/>
      </c>
      <c r="AG496" s="38" t="str">
        <f>+IF(ISERROR(VLOOKUP($B496,#REF!,1,0)),IF(AND($N496&gt;=1000,$A496&gt;=AR$8,$A496&lt;=AR$9),$B496,""),"")</f>
        <v/>
      </c>
      <c r="AH496" s="38"/>
      <c r="AI496" s="70">
        <v>0</v>
      </c>
      <c r="AJ496" s="38">
        <f>IF(AND(AJ$7="○",$A496&gt;=AJ$8,$A496&lt;=AJ$9),IF(SUM(AJ$10:AJ495)-ROUNDDOWN($K496*AJ$5/100,0)&lt;-AJ$6,-AJ$6-SUM(AJ$10:AJ495),-ROUNDDOWN($K496*AJ$5/100,0)),0)</f>
        <v>0</v>
      </c>
      <c r="AK496" s="38">
        <f>IF(AND(AK$7="○",$A496&gt;=AK$8,$A496&lt;=AK$9),IF(SUM(AK$10:AK495)-ROUNDDOWN($L496*AK$5/100,0)&lt;-AK$6,-AK$6-SUM(AK$10:AK495),-ROUNDDOWN($L496*AK$5/100,0)),0)</f>
        <v>0</v>
      </c>
      <c r="AL496" s="38">
        <f>IF(AND(AL$7="○",$A496&gt;=AL$8,$A496&lt;=AL$9),IF(SUM(AL$10:AL495)-ROUNDDOWN($N496*AL$5/100,0)&lt;-AL$6,-AL$6-SUM(AL$10:AL495),-ROUNDDOWN($N496*AL$5/100,0)),0)</f>
        <v>0</v>
      </c>
      <c r="AM496" s="38">
        <f>IF(AND(AM$7="○",$A496&gt;=AM$8,$A496&lt;=AM$9),IF(SUM(AM$10:AM495)-ROUNDDOWN($L496*AM$5/100,0)&lt;-AM$6,-AM$6-SUM(AM$10:AM495),-ROUNDDOWN($L496*AM$5/100,0)),0)</f>
        <v>0</v>
      </c>
      <c r="AN496" s="38">
        <f>IF(AND(AN$7="○",$A496&gt;=AN$8,$A496&lt;=AN$9),IF(SUM(AN$10:AN495)-ROUNDDOWN($M496*AN$5/100,0)&lt;-AN$6,-AN$6-SUM(AN$10:AN495),-ROUNDDOWN($M496*AN$5/100,0)),0)</f>
        <v>0</v>
      </c>
      <c r="AO496" s="38">
        <f>IF(AND($A496&gt;=AO$8,$A496&lt;=AO$9),IF(SUM(AO$10:AO495)-ROUNDDOWN($K496*AO$5/100,0)&lt;-AO$6,-AO$6-SUM(AO$10:AO495),-ROUNDDOWN($K496*AO$5/100,0)),0)</f>
        <v>0</v>
      </c>
      <c r="AP496" s="38">
        <f>IF(AND($A496&gt;=AP$8,$A496&lt;=AP$9),IF(SUM(AP$10:AP495)-ROUNDDOWN($K496*AP$5/100,0)&lt;-AP$6,-AP$6-SUM(AP$10:AP495),-ROUNDDOWN($K496*AP$5/100,0)),0)</f>
        <v>0</v>
      </c>
      <c r="AQ496" s="38">
        <f>IF(AND($A496&gt;=AQ$8,$A496&lt;=AQ$9),IF(SUM(AQ$10:AQ495)-ROUNDDOWN($K496*AQ$5/100,0)&lt;-AQ$6,-AQ$6-SUM(AQ$10:AQ495),-ROUNDDOWN($K496*AQ$5/100,0)),0)</f>
        <v>0</v>
      </c>
      <c r="AR496" s="38">
        <f>IF(AND($A496&gt;=AR$8,$A496&lt;=AR$9),IF(SUM(AR$10:AR495)-ROUNDDOWN($K496*AR$5/100,0)&lt;-AR$6,-AR$6-SUM(AR$10:AR495),-ROUNDDOWN($K496*AR$5/100,0)),0)</f>
        <v>0</v>
      </c>
      <c r="AS496" s="38">
        <f>IF(SUMIFS(AS$10:AS495,$A$10:$A495,$A496)-ROUNDDOWN($K496*$S496/100,0)&lt;-$S496*1000,-$S496*1000-SUMIFS(AS$10:AS495,$A$10:$A495,$A496),-ROUNDDOWN($K496*$S496/100,0))</f>
        <v>0</v>
      </c>
      <c r="AT496" s="38">
        <f>IF(AND(X496="○",$A496&gt;=AT$8,$A496&lt;=AT$9,K496&gt;=3980),IF(SUM(AT$10:AT495)-ROUNDDOWN($K496*AT$5/100,0)&lt;-AT$6,-AT$6-SUM(AT$10:AT495),-ROUNDDOWN($K496*AT$5/100,0)),0)</f>
        <v>0</v>
      </c>
      <c r="AU496" s="38">
        <f>IF(O496="○",IF(SUM(AU$10:AU495)-ROUNDDOWN($K496*AU$5/100,0)&lt;-AU$6,-AU$6-SUM(AU$10:AU495),-ROUNDDOWN($K496*AU$5/100,0)),0)</f>
        <v>0</v>
      </c>
      <c r="AV496" s="38">
        <f>IF(P496="○",IF(SUM(AV$10:AV495)-ROUNDDOWN($K496*AV$5/100,0)&lt;-AV$6,-AV$6-SUM(AV$10:AV495),-ROUNDDOWN($K496*AV$5/100,0)),0)</f>
        <v>0</v>
      </c>
      <c r="AW496" s="38">
        <f>IF(Q496="○",IF(SUM(AW$10:AW495)-ROUNDDOWN($K496*AW$5/100,0)&lt;-AW$6,-AW$6-SUM(AW$10:AW495),-ROUNDDOWN($K496*AW$5/100,0)),0)</f>
        <v>0</v>
      </c>
      <c r="AX496" s="38">
        <f>IF(R496="○",IF(SUM(AX$10:AX495)-ROUNDDOWN($K496*AX$5/100,0)&lt;-AX$6,-AX$6-SUM(AX$10:AX495),-ROUNDDOWN($K496*AX$5/100,0)),0)</f>
        <v>0</v>
      </c>
      <c r="AY496" s="70">
        <v>0</v>
      </c>
      <c r="AZ496" s="65">
        <f t="shared" si="319"/>
        <v>0</v>
      </c>
      <c r="BA496" s="65">
        <f t="shared" si="320"/>
        <v>0</v>
      </c>
      <c r="BB496" s="70"/>
      <c r="BC496" s="65">
        <f t="shared" si="321"/>
        <v>0</v>
      </c>
      <c r="BD496" s="70">
        <v>0</v>
      </c>
      <c r="BE496" s="65">
        <f t="shared" si="322"/>
        <v>0</v>
      </c>
      <c r="BF496" s="70">
        <v>0</v>
      </c>
      <c r="BG496" s="65">
        <f t="shared" si="323"/>
        <v>0</v>
      </c>
      <c r="BH496" s="70">
        <v>0</v>
      </c>
      <c r="BI496" s="65">
        <f t="shared" si="324"/>
        <v>0</v>
      </c>
      <c r="BJ496" s="38">
        <f>IF(AND(BJ$7="○",$A496&gt;=BJ$8,$A496&lt;=BJ$9),IF(SUM(BJ$10:BJ495)-ROUNDDOWN($M496*BJ$5/100,0)&lt;-BJ$6,-BJ$6-SUM(BJ$10:BJ495),-ROUNDDOWN($M496*BJ$5/100,0)),0)</f>
        <v>0</v>
      </c>
      <c r="BK496" s="38">
        <f>IF(AND(BK$7="○",$A496&gt;=BK$8,$A496&lt;=BK$9),IF(SUM(BK$10:BK495)-ROUNDDOWN($L496*BK$5/100,0)&lt;-BK$6,-BK$6-SUM(BK$10:BK495),-ROUNDDOWN($L496*BK$5/100,0)),0)</f>
        <v>0</v>
      </c>
      <c r="BL496" s="38">
        <f>IF(AND(BL$7="○",$A496&gt;=BL$8,$A496&lt;=BL$9),IF(SUM(BL$10:BL495)-ROUNDDOWN($L496*BL$5/100,0)&lt;-BL$6,-BL$6-SUM(BL$10:BL495),-ROUNDDOWN($L496*BL$5/100,0)),0)</f>
        <v>0</v>
      </c>
      <c r="BM496" s="38">
        <f>IF(AND(BM$7="○",$A496&gt;=BM$8,$A496&lt;=BM$9),IF(SUM(BM$10:BM495)-ROUNDDOWN($M496*BM$5/100,0)&lt;-BM$6,-BM$6-SUM(BM$10:BM495),-ROUNDDOWN($M496*BM$5/100,0)),0)</f>
        <v>0</v>
      </c>
      <c r="BN496" s="38">
        <f>IF(AND(BN$7="○",$A496&gt;=BN$8,$A496&lt;=BN$9),IF(SUM(BN$10:BN495)-ROUNDDOWN($M496*BN$5/100,0)&lt;-BN$6,-BN$6-SUM(BN$10:BN495),-ROUNDDOWN($M496*BN$5/100,0)),0)</f>
        <v>0</v>
      </c>
      <c r="BO496" s="38">
        <f>IF(AND(BO$7="○",$A496&gt;=BO$8,$A496&lt;=BO$9),IF(SUM(BO$10:BO495)-ROUNDDOWN($M496*BO$5/100,0)&lt;-BO$6,-BO$6-SUM(BO$10:BO495),-ROUNDDOWN($M496*BO$5/100,0)),0)</f>
        <v>0</v>
      </c>
      <c r="BP496" s="38">
        <f>IF(AND(BP$7="○",$A496&gt;=BP$8,$A496&lt;=BP$9),IF(SUM(BP$10:BP495)-ROUNDDOWN($M496*BP$5/100,0)&lt;-BP$6,-BP$6-SUM(BP$10:BP495),-ROUNDDOWN($M496*BP$5/100,0)),0)</f>
        <v>0</v>
      </c>
      <c r="BQ496" s="38">
        <f>IF(AND(BQ$7="○",$A496&gt;=BQ$8,$A496&lt;=BQ$9),IF(SUM(BQ$10:BQ495)-ROUNDDOWN($L496*BQ$5/100,0)&lt;-BQ$6,-BQ$6-SUM(BQ$10:BQ495),-ROUNDDOWN($L496*BQ$5/100,0)),0)</f>
        <v>0</v>
      </c>
      <c r="BR496" s="38">
        <f>IF(AND(BR$7="○",$A496&gt;=BR$8,$A496&lt;=BR$9),IF(SUM(BR$10:BR495)-ROUNDDOWN($M496*BR$5/100,0)&lt;-BR$6,-BR$6-SUM(BR$10:BR495),-ROUNDDOWN($M496*BR$5/100,0)),0)</f>
        <v>0</v>
      </c>
      <c r="BS496" s="38">
        <f>IF(AND(BS$7="○",$A496&gt;=BS$8,$A496&lt;=BS$9),IF(SUM(BS$10:BS495)-ROUNDDOWN($M496*BS$5/100,0)&lt;-BS$6,-BS$6-SUM(BS$10:BS495),-ROUNDDOWN($M496*BS$5/100,0)),0)</f>
        <v>0</v>
      </c>
      <c r="BT496" s="38">
        <f>IF(AND(BT$7="○",$A496&gt;=BT$8,$A496&lt;=BT$9),IF(SUM(BT$10:BT495)-ROUNDDOWN($M496*BT$5/100,0)&lt;-BT$6,-BT$6-SUM(BT$10:BT495),-ROUNDDOWN($M496*BT$5/100,0)),0)</f>
        <v>0</v>
      </c>
      <c r="BU496" s="38">
        <f>IF(AND(BU$7="○",$A496&gt;=BU$8,$A496&lt;=BU$9),IF(SUM(BU$10:BU495)-ROUNDDOWN($M496*BU$5/100,0)&lt;-BU$6,-BU$6-SUM(BU$10:BU495),-ROUNDDOWN($M496*BU$5/100,0)),0)</f>
        <v>0</v>
      </c>
      <c r="BV496" s="38">
        <f>IF(AND(BV$7="○",$A496&gt;=BV$8,$A496&lt;=BV$9),IF(SUM(BV$10:BV495)-ROUNDDOWN($M496*BV$5/100,0)&lt;-BV$6,-BV$6-SUM(BV$10:BV495),-ROUNDDOWN($M496*BV$5/100,0)),0)</f>
        <v>0</v>
      </c>
      <c r="BW496" s="38">
        <f>IF(AND(BW$7="○",$A496&gt;=BW$8,$A496&lt;=BW$9),IF(SUM(BW$10:BW495)-ROUNDDOWN($M496*BW$5/100,0)&lt;-BW$6,-BW$6-SUM(BW$10:BW495),-ROUNDDOWN($M496*BW$5/100,0)),0)</f>
        <v>0</v>
      </c>
      <c r="BX496" s="38">
        <f>IF(AND(T496="○",$A496&gt;=BX$8,$A496&lt;=BX$9),IF(SUM(BX$10:BX495)-ROUNDDOWN($K496*BX$5/100,0)&lt;-BX$6,-BX$6-SUM(BX$10:BX495),-ROUNDDOWN($K496*BX$5/100,0)),0)</f>
        <v>0</v>
      </c>
      <c r="BY496" s="38">
        <f>IF(AND(U496="○",$A496&gt;=BY$8,$A496&lt;=BY$9),IF(SUM(BY$10:BY495)-ROUNDDOWN($K496*BY$5/100,0)&lt;-BY$6,-BY$6-SUM(BY$10:BY495),-ROUNDDOWN($K496*BY$5/100,0)),0)</f>
        <v>0</v>
      </c>
      <c r="BZ496" s="38">
        <f>IF(AND(V496="○",$A496&gt;=BZ$8,$A496&lt;=BZ$9),IF(SUM(BZ$10:BZ495)-ROUNDDOWN($K496*BZ$5/100,0)&lt;-BZ$6,-BZ$6-SUM(BZ$10:BZ495),-ROUNDDOWN($K496*BZ$5/100,0)),0)</f>
        <v>0</v>
      </c>
      <c r="CA496" s="38">
        <f>IF(AND(W496="○",$A496&gt;=CA$8,$A496&lt;=CA$9),IF(SUM(CA$10:CA495)-ROUNDDOWN($K496*CA$5/100,0)&lt;-CA$6,-CA$6-SUM(CA$10:CA495),-ROUNDDOWN($K496*CA$5/100,0)),0)</f>
        <v>0</v>
      </c>
      <c r="CB496" s="38"/>
      <c r="CC496" s="38"/>
      <c r="CD496" s="38"/>
      <c r="CE496" s="38"/>
      <c r="CF496" s="38"/>
      <c r="CG496" s="65">
        <f t="shared" si="325"/>
        <v>0</v>
      </c>
      <c r="CH496" s="71">
        <f t="shared" si="326"/>
        <v>0</v>
      </c>
      <c r="CI496" s="1">
        <f t="shared" ref="CI496:CI525" si="337">IFERROR(ROUNDDOWN((CH496/G496),0),0)</f>
        <v>0</v>
      </c>
      <c r="CJ496" s="1"/>
      <c r="CK496" s="72"/>
      <c r="CL496" s="72"/>
      <c r="CM496" s="2"/>
      <c r="CN496" s="2"/>
      <c r="CO496" s="73">
        <f t="shared" ref="CO496:CO525" si="338">IFERROR(CN496-CI496,0)</f>
        <v>0</v>
      </c>
      <c r="CP496" s="5">
        <f t="shared" ref="CP496:CP525" si="339">IFERROR(CN496/CI496,0)</f>
        <v>0</v>
      </c>
      <c r="CQ496" s="1"/>
      <c r="CR496" s="1">
        <f t="shared" ref="CR496:CR525" si="340">+CO496*G496</f>
        <v>0</v>
      </c>
      <c r="CS496" s="1"/>
      <c r="CT496" s="1" t="e">
        <f>INDEX([2]マスタ!$A:$A,MATCH(D496,[2]マスタ!$C:$C,0))</f>
        <v>#N/A</v>
      </c>
      <c r="CU496" s="1" t="str">
        <f t="shared" ref="CU496:CU525" ca="1" si="341">IFERROR(TEXT(TODAY(),"yyyymmdd")&amp;"_"&amp;ROUNDDOWN(H496+I496,0)&amp;"-"&amp;ROUNDDOWN(CI496,0),"")</f>
        <v>20260620_0-0</v>
      </c>
    </row>
    <row r="497" spans="1:99" x14ac:dyDescent="0.4">
      <c r="A497" s="61"/>
      <c r="B497" s="62"/>
      <c r="C497" s="62"/>
      <c r="D497" s="62"/>
      <c r="E497" s="76"/>
      <c r="F497" s="62"/>
      <c r="G497" s="62">
        <v>1</v>
      </c>
      <c r="H497" s="64">
        <f t="shared" si="331"/>
        <v>0</v>
      </c>
      <c r="I497" s="64"/>
      <c r="J497" s="64"/>
      <c r="K497" s="65">
        <f t="shared" si="332"/>
        <v>0</v>
      </c>
      <c r="L497" s="65">
        <f t="shared" si="333"/>
        <v>0</v>
      </c>
      <c r="M497" s="65">
        <f t="shared" si="334"/>
        <v>0</v>
      </c>
      <c r="N497" s="65">
        <f t="shared" si="335"/>
        <v>0</v>
      </c>
      <c r="O497" s="66" t="str">
        <f t="shared" si="9"/>
        <v>✕</v>
      </c>
      <c r="P497" s="67" t="str">
        <f t="shared" si="10"/>
        <v>○</v>
      </c>
      <c r="Q497" s="67" t="str">
        <f t="shared" si="336"/>
        <v>✕</v>
      </c>
      <c r="R497" s="67" t="str">
        <f t="shared" si="12"/>
        <v>✕</v>
      </c>
      <c r="S497" s="68">
        <v>0</v>
      </c>
      <c r="T497" s="69" t="s">
        <v>85</v>
      </c>
      <c r="U497" s="69" t="s">
        <v>85</v>
      </c>
      <c r="V497" s="69" t="s">
        <v>85</v>
      </c>
      <c r="W497" s="69" t="s">
        <v>85</v>
      </c>
      <c r="X497" s="69" t="s">
        <v>84</v>
      </c>
      <c r="Y497" s="69" t="s">
        <v>85</v>
      </c>
      <c r="Z497" s="69" t="s">
        <v>85</v>
      </c>
      <c r="AA497" s="69" t="s">
        <v>85</v>
      </c>
      <c r="AB497" s="69" t="s">
        <v>85</v>
      </c>
      <c r="AC497" s="69" t="s">
        <v>85</v>
      </c>
      <c r="AD497" s="38" t="str">
        <f>+IF(ISERROR(VLOOKUP($B497,AD$10:AD496,1,0)),IF(AND($N497&gt;=1000,$A497&gt;=AO$8,$A497&lt;=AO$9),$B497,""),"")</f>
        <v/>
      </c>
      <c r="AE497" s="38" t="str">
        <f>+IF(ISERROR(VLOOKUP($B497,AE$10:AE496,1,0)),IF(AND($N497&gt;=1000,$A497&gt;=AP$8,$A497&lt;=AP$9),$B497,""),"")</f>
        <v/>
      </c>
      <c r="AF497" s="38" t="str">
        <f>+IF(ISERROR(VLOOKUP($B497,AF$10:AF496,1,0)),IF(AND($N497&gt;=1000,$A497&gt;=AQ$8,$A497&lt;=AQ$9),$B497,""),"")</f>
        <v/>
      </c>
      <c r="AG497" s="38" t="str">
        <f>+IF(ISERROR(VLOOKUP($B497,AG$10:AG496,1,0)),IF(AND($N497&gt;=1000,$A497&gt;=AR$8,$A497&lt;=AR$9),$B497,""),"")</f>
        <v/>
      </c>
      <c r="AH497" s="38"/>
      <c r="AI497" s="70">
        <v>0</v>
      </c>
      <c r="AJ497" s="38">
        <f>IF(AND(AJ$7="○",$A497&gt;=AJ$8,$A497&lt;=AJ$9),IF(SUM(AJ$10:AJ496)-ROUNDDOWN($K497*AJ$5/100,0)&lt;-AJ$6,-AJ$6-SUM(AJ$10:AJ496),-ROUNDDOWN($K497*AJ$5/100,0)),0)</f>
        <v>0</v>
      </c>
      <c r="AK497" s="38">
        <f>IF(AND(AK$7="○",$A497&gt;=AK$8,$A497&lt;=AK$9),IF(SUM(AK$10:AK496)-ROUNDDOWN($L497*AK$5/100,0)&lt;-AK$6,-AK$6-SUM(AK$10:AK496),-ROUNDDOWN($L497*AK$5/100,0)),0)</f>
        <v>0</v>
      </c>
      <c r="AL497" s="38">
        <f>IF(AND(AL$7="○",$A497&gt;=AL$8,$A497&lt;=AL$9),IF(SUM(AL$10:AL496)-ROUNDDOWN($N497*AL$5/100,0)&lt;-AL$6,-AL$6-SUM(AL$10:AL496),-ROUNDDOWN($N497*AL$5/100,0)),0)</f>
        <v>0</v>
      </c>
      <c r="AM497" s="38">
        <f>IF(AND(AM$7="○",$A497&gt;=AM$8,$A497&lt;=AM$9),IF(SUM(AM$10:AM496)-ROUNDDOWN($L497*AM$5/100,0)&lt;-AM$6,-AM$6-SUM(AM$10:AM496),-ROUNDDOWN($L497*AM$5/100,0)),0)</f>
        <v>0</v>
      </c>
      <c r="AN497" s="38">
        <f>IF(AND(AN$7="○",$A497&gt;=AN$8,$A497&lt;=AN$9),IF(SUM(AN$10:AN496)-ROUNDDOWN($M497*AN$5/100,0)&lt;-AN$6,-AN$6-SUM(AN$10:AN496),-ROUNDDOWN($M497*AN$5/100,0)),0)</f>
        <v>0</v>
      </c>
      <c r="AO497" s="38">
        <f>IF(AND($A497&gt;=AO$8,$A497&lt;=AO$9),IF(SUM(AO$10:AO496)-ROUNDDOWN($K497*AO$5/100,0)&lt;-AO$6,-AO$6-SUM(AO$10:AO496),-ROUNDDOWN($K497*AO$5/100,0)),0)</f>
        <v>0</v>
      </c>
      <c r="AP497" s="38">
        <f>IF(AND($A497&gt;=AP$8,$A497&lt;=AP$9),IF(SUM(AP$10:AP496)-ROUNDDOWN($K497*AP$5/100,0)&lt;-AP$6,-AP$6-SUM(AP$10:AP496),-ROUNDDOWN($K497*AP$5/100,0)),0)</f>
        <v>0</v>
      </c>
      <c r="AQ497" s="38">
        <f>IF(AND($A497&gt;=AQ$8,$A497&lt;=AQ$9),IF(SUM(AQ$10:AQ496)-ROUNDDOWN($K497*AQ$5/100,0)&lt;-AQ$6,-AQ$6-SUM(AQ$10:AQ496),-ROUNDDOWN($K497*AQ$5/100,0)),0)</f>
        <v>0</v>
      </c>
      <c r="AR497" s="38">
        <f>IF(AND($A497&gt;=AR$8,$A497&lt;=AR$9),IF(SUM(AR$10:AR496)-ROUNDDOWN($K497*AR$5/100,0)&lt;-AR$6,-AR$6-SUM(AR$10:AR496),-ROUNDDOWN($K497*AR$5/100,0)),0)</f>
        <v>0</v>
      </c>
      <c r="AS497" s="38">
        <f>IF(SUMIFS(AS$10:AS496,$A$10:$A496,$A497)-ROUNDDOWN($K497*$S497/100,0)&lt;-$S497*1000,-$S497*1000-SUMIFS(AS$10:AS496,$A$10:$A496,$A497),-ROUNDDOWN($K497*$S497/100,0))</f>
        <v>0</v>
      </c>
      <c r="AT497" s="38">
        <f>IF(AND(X497="○",$A497&gt;=AT$8,$A497&lt;=AT$9,K497&gt;=3980),IF(SUM(AT$10:AT496)-ROUNDDOWN($K497*AT$5/100,0)&lt;-AT$6,-AT$6-SUM(AT$10:AT496),-ROUNDDOWN($K497*AT$5/100,0)),0)</f>
        <v>0</v>
      </c>
      <c r="AU497" s="38">
        <f>IF(O497="○",IF(SUM(AU$10:AU496)-ROUNDDOWN($K497*AU$5/100,0)&lt;-AU$6,-AU$6-SUM(AU$10:AU496),-ROUNDDOWN($K497*AU$5/100,0)),0)</f>
        <v>0</v>
      </c>
      <c r="AV497" s="38">
        <f>IF(P497="○",IF(SUM(AV$10:AV496)-ROUNDDOWN($K497*AV$5/100,0)&lt;-AV$6,-AV$6-SUM(AV$10:AV496),-ROUNDDOWN($K497*AV$5/100,0)),0)</f>
        <v>0</v>
      </c>
      <c r="AW497" s="38">
        <f>IF(Q497="○",IF(SUM(AW$10:AW496)-ROUNDDOWN($K497*AW$5/100,0)&lt;-AW$6,-AW$6-SUM(AW$10:AW496),-ROUNDDOWN($K497*AW$5/100,0)),0)</f>
        <v>0</v>
      </c>
      <c r="AX497" s="38">
        <f>IF(R497="○",IF(SUM(AX$10:AX496)-ROUNDDOWN($K497*AX$5/100,0)&lt;-AX$6,-AX$6-SUM(AX$10:AX496),-ROUNDDOWN($K497*AX$5/100,0)),0)</f>
        <v>0</v>
      </c>
      <c r="AY497" s="70">
        <v>0</v>
      </c>
      <c r="AZ497" s="65">
        <f t="shared" si="319"/>
        <v>0</v>
      </c>
      <c r="BA497" s="65">
        <f t="shared" si="320"/>
        <v>0</v>
      </c>
      <c r="BB497" s="70"/>
      <c r="BC497" s="65">
        <f t="shared" si="321"/>
        <v>0</v>
      </c>
      <c r="BD497" s="70">
        <v>0</v>
      </c>
      <c r="BE497" s="65">
        <f t="shared" si="322"/>
        <v>0</v>
      </c>
      <c r="BF497" s="70">
        <v>0</v>
      </c>
      <c r="BG497" s="65">
        <f t="shared" si="323"/>
        <v>0</v>
      </c>
      <c r="BH497" s="70">
        <v>0</v>
      </c>
      <c r="BI497" s="65">
        <f t="shared" si="324"/>
        <v>0</v>
      </c>
      <c r="BJ497" s="38">
        <f>IF(AND(BJ$7="○",$A497&gt;=BJ$8,$A497&lt;=BJ$9),IF(SUM(BJ$10:BJ496)-ROUNDDOWN($M497*BJ$5/100,0)&lt;-BJ$6,-BJ$6-SUM(BJ$10:BJ496),-ROUNDDOWN($M497*BJ$5/100,0)),0)</f>
        <v>0</v>
      </c>
      <c r="BK497" s="38">
        <f>IF(AND(BK$7="○",$A497&gt;=BK$8,$A497&lt;=BK$9),IF(SUM(BK$10:BK496)-ROUNDDOWN($L497*BK$5/100,0)&lt;-BK$6,-BK$6-SUM(BK$10:BK496),-ROUNDDOWN($L497*BK$5/100,0)),0)</f>
        <v>0</v>
      </c>
      <c r="BL497" s="38">
        <f>IF(AND(BL$7="○",$A497&gt;=BL$8,$A497&lt;=BL$9),IF(SUM(BL$10:BL496)-ROUNDDOWN($L497*BL$5/100,0)&lt;-BL$6,-BL$6-SUM(BL$10:BL496),-ROUNDDOWN($L497*BL$5/100,0)),0)</f>
        <v>0</v>
      </c>
      <c r="BM497" s="38">
        <f>IF(AND(BM$7="○",$A497&gt;=BM$8,$A497&lt;=BM$9),IF(SUM(BM$10:BM496)-ROUNDDOWN($M497*BM$5/100,0)&lt;-BM$6,-BM$6-SUM(BM$10:BM496),-ROUNDDOWN($M497*BM$5/100,0)),0)</f>
        <v>0</v>
      </c>
      <c r="BN497" s="38">
        <f>IF(AND(BN$7="○",$A497&gt;=BN$8,$A497&lt;=BN$9),IF(SUM(BN$10:BN496)-ROUNDDOWN($M497*BN$5/100,0)&lt;-BN$6,-BN$6-SUM(BN$10:BN496),-ROUNDDOWN($M497*BN$5/100,0)),0)</f>
        <v>0</v>
      </c>
      <c r="BO497" s="38">
        <f>IF(AND(BO$7="○",$A497&gt;=BO$8,$A497&lt;=BO$9),IF(SUM(BO$10:BO496)-ROUNDDOWN($M497*BO$5/100,0)&lt;-BO$6,-BO$6-SUM(BO$10:BO496),-ROUNDDOWN($M497*BO$5/100,0)),0)</f>
        <v>0</v>
      </c>
      <c r="BP497" s="38">
        <f>IF(AND(BP$7="○",$A497&gt;=BP$8,$A497&lt;=BP$9),IF(SUM(BP$10:BP496)-ROUNDDOWN($M497*BP$5/100,0)&lt;-BP$6,-BP$6-SUM(BP$10:BP496),-ROUNDDOWN($M497*BP$5/100,0)),0)</f>
        <v>0</v>
      </c>
      <c r="BQ497" s="38">
        <f>IF(AND(BQ$7="○",$A497&gt;=BQ$8,$A497&lt;=BQ$9),IF(SUM(BQ$10:BQ496)-ROUNDDOWN($L497*BQ$5/100,0)&lt;-BQ$6,-BQ$6-SUM(BQ$10:BQ496),-ROUNDDOWN($L497*BQ$5/100,0)),0)</f>
        <v>0</v>
      </c>
      <c r="BR497" s="38">
        <f>IF(AND(BR$7="○",$A497&gt;=BR$8,$A497&lt;=BR$9),IF(SUM(BR$10:BR496)-ROUNDDOWN($M497*BR$5/100,0)&lt;-BR$6,-BR$6-SUM(BR$10:BR496),-ROUNDDOWN($M497*BR$5/100,0)),0)</f>
        <v>0</v>
      </c>
      <c r="BS497" s="38">
        <f>IF(AND(BS$7="○",$A497&gt;=BS$8,$A497&lt;=BS$9),IF(SUM(BS$10:BS496)-ROUNDDOWN($M497*BS$5/100,0)&lt;-BS$6,-BS$6-SUM(BS$10:BS496),-ROUNDDOWN($M497*BS$5/100,0)),0)</f>
        <v>0</v>
      </c>
      <c r="BT497" s="38">
        <f>IF(AND(BT$7="○",$A497&gt;=BT$8,$A497&lt;=BT$9),IF(SUM(BT$10:BT496)-ROUNDDOWN($M497*BT$5/100,0)&lt;-BT$6,-BT$6-SUM(BT$10:BT496),-ROUNDDOWN($M497*BT$5/100,0)),0)</f>
        <v>0</v>
      </c>
      <c r="BU497" s="38">
        <f>IF(AND(BU$7="○",$A497&gt;=BU$8,$A497&lt;=BU$9),IF(SUM(BU$10:BU496)-ROUNDDOWN($M497*BU$5/100,0)&lt;-BU$6,-BU$6-SUM(BU$10:BU496),-ROUNDDOWN($M497*BU$5/100,0)),0)</f>
        <v>0</v>
      </c>
      <c r="BV497" s="38">
        <f>IF(AND(BV$7="○",$A497&gt;=BV$8,$A497&lt;=BV$9),IF(SUM(BV$10:BV496)-ROUNDDOWN($M497*BV$5/100,0)&lt;-BV$6,-BV$6-SUM(BV$10:BV496),-ROUNDDOWN($M497*BV$5/100,0)),0)</f>
        <v>0</v>
      </c>
      <c r="BW497" s="38">
        <f>IF(AND(BW$7="○",$A497&gt;=BW$8,$A497&lt;=BW$9),IF(SUM(BW$10:BW496)-ROUNDDOWN($M497*BW$5/100,0)&lt;-BW$6,-BW$6-SUM(BW$10:BW496),-ROUNDDOWN($M497*BW$5/100,0)),0)</f>
        <v>0</v>
      </c>
      <c r="BX497" s="38">
        <f>IF(AND(T497="○",$A497&gt;=BX$8,$A497&lt;=BX$9),IF(SUM(BX$10:BX496)-ROUNDDOWN($K497*BX$5/100,0)&lt;-BX$6,-BX$6-SUM(BX$10:BX496),-ROUNDDOWN($K497*BX$5/100,0)),0)</f>
        <v>0</v>
      </c>
      <c r="BY497" s="38">
        <f>IF(AND(U497="○",$A497&gt;=BY$8,$A497&lt;=BY$9),IF(SUM(BY$10:BY496)-ROUNDDOWN($K497*BY$5/100,0)&lt;-BY$6,-BY$6-SUM(BY$10:BY496),-ROUNDDOWN($K497*BY$5/100,0)),0)</f>
        <v>0</v>
      </c>
      <c r="BZ497" s="38">
        <f>IF(AND(V497="○",$A497&gt;=BZ$8,$A497&lt;=BZ$9),IF(SUM(BZ$10:BZ496)-ROUNDDOWN($K497*BZ$5/100,0)&lt;-BZ$6,-BZ$6-SUM(BZ$10:BZ496),-ROUNDDOWN($K497*BZ$5/100,0)),0)</f>
        <v>0</v>
      </c>
      <c r="CA497" s="38">
        <f>IF(AND(W497="○",$A497&gt;=CA$8,$A497&lt;=CA$9),IF(SUM(CA$10:CA496)-ROUNDDOWN($K497*CA$5/100,0)&lt;-CA$6,-CA$6-SUM(CA$10:CA496),-ROUNDDOWN($K497*CA$5/100,0)),0)</f>
        <v>0</v>
      </c>
      <c r="CB497" s="38"/>
      <c r="CC497" s="38"/>
      <c r="CD497" s="38"/>
      <c r="CE497" s="38"/>
      <c r="CF497" s="38"/>
      <c r="CG497" s="65">
        <f t="shared" si="325"/>
        <v>0</v>
      </c>
      <c r="CH497" s="71">
        <f t="shared" si="326"/>
        <v>0</v>
      </c>
      <c r="CI497" s="1">
        <f t="shared" si="337"/>
        <v>0</v>
      </c>
      <c r="CJ497" s="1"/>
      <c r="CK497" s="72"/>
      <c r="CL497" s="72"/>
      <c r="CM497" s="2"/>
      <c r="CN497" s="2"/>
      <c r="CO497" s="73">
        <f t="shared" si="338"/>
        <v>0</v>
      </c>
      <c r="CP497" s="5">
        <f t="shared" si="339"/>
        <v>0</v>
      </c>
      <c r="CQ497" s="1"/>
      <c r="CR497" s="1">
        <f t="shared" si="340"/>
        <v>0</v>
      </c>
      <c r="CS497" s="1"/>
      <c r="CT497" s="1" t="e">
        <f>INDEX([2]マスタ!$A:$A,MATCH(D497,[2]マスタ!$C:$C,0))</f>
        <v>#N/A</v>
      </c>
      <c r="CU497" s="1" t="str">
        <f t="shared" ca="1" si="341"/>
        <v>20260620_0-0</v>
      </c>
    </row>
    <row r="498" spans="1:99" x14ac:dyDescent="0.4">
      <c r="A498" s="61"/>
      <c r="B498" s="62"/>
      <c r="C498" s="62"/>
      <c r="D498" s="62"/>
      <c r="E498" s="63"/>
      <c r="F498" s="62"/>
      <c r="G498" s="62">
        <v>1</v>
      </c>
      <c r="H498" s="64">
        <f t="shared" si="331"/>
        <v>0</v>
      </c>
      <c r="I498" s="64"/>
      <c r="J498" s="64"/>
      <c r="K498" s="65">
        <f t="shared" si="332"/>
        <v>0</v>
      </c>
      <c r="L498" s="65">
        <f t="shared" si="333"/>
        <v>0</v>
      </c>
      <c r="M498" s="65">
        <f t="shared" si="334"/>
        <v>0</v>
      </c>
      <c r="N498" s="65">
        <f t="shared" si="335"/>
        <v>0</v>
      </c>
      <c r="O498" s="66" t="str">
        <f t="shared" si="9"/>
        <v>✕</v>
      </c>
      <c r="P498" s="67" t="str">
        <f t="shared" si="10"/>
        <v>○</v>
      </c>
      <c r="Q498" s="67" t="str">
        <f t="shared" si="336"/>
        <v>✕</v>
      </c>
      <c r="R498" s="67" t="str">
        <f t="shared" si="12"/>
        <v>✕</v>
      </c>
      <c r="S498" s="68">
        <v>0</v>
      </c>
      <c r="T498" s="69" t="s">
        <v>85</v>
      </c>
      <c r="U498" s="69" t="s">
        <v>85</v>
      </c>
      <c r="V498" s="69" t="s">
        <v>85</v>
      </c>
      <c r="W498" s="69" t="s">
        <v>85</v>
      </c>
      <c r="X498" s="69" t="s">
        <v>84</v>
      </c>
      <c r="Y498" s="69" t="s">
        <v>85</v>
      </c>
      <c r="Z498" s="69" t="s">
        <v>85</v>
      </c>
      <c r="AA498" s="69" t="s">
        <v>85</v>
      </c>
      <c r="AB498" s="69" t="s">
        <v>85</v>
      </c>
      <c r="AC498" s="69" t="s">
        <v>85</v>
      </c>
      <c r="AD498" s="38" t="str">
        <f>+IF(ISERROR(VLOOKUP($B498,AD$10:AD497,1,0)),IF(AND($N498&gt;=1000,$A498&gt;=AO$8,$A498&lt;=AO$9),$B498,""),"")</f>
        <v/>
      </c>
      <c r="AE498" s="38" t="str">
        <f>+IF(ISERROR(VLOOKUP($B498,AE$10:AE497,1,0)),IF(AND($N498&gt;=1000,$A498&gt;=AP$8,$A498&lt;=AP$9),$B498,""),"")</f>
        <v/>
      </c>
      <c r="AF498" s="38" t="str">
        <f>+IF(ISERROR(VLOOKUP($B498,AF$10:AF497,1,0)),IF(AND($N498&gt;=1000,$A498&gt;=AQ$8,$A498&lt;=AQ$9),$B498,""),"")</f>
        <v/>
      </c>
      <c r="AG498" s="38" t="str">
        <f>+IF(ISERROR(VLOOKUP($B498,AG$10:AG497,1,0)),IF(AND($N498&gt;=1000,$A498&gt;=AR$8,$A498&lt;=AR$9),$B498,""),"")</f>
        <v/>
      </c>
      <c r="AH498" s="38"/>
      <c r="AI498" s="70">
        <v>0</v>
      </c>
      <c r="AJ498" s="38">
        <f>IF(AND(AJ$7="○",$A498&gt;=AJ$8,$A498&lt;=AJ$9),IF(SUM(AJ$10:AJ497)-ROUNDDOWN($K498*AJ$5/100,0)&lt;-AJ$6,-AJ$6-SUM(AJ$10:AJ497),-ROUNDDOWN($K498*AJ$5/100,0)),0)</f>
        <v>0</v>
      </c>
      <c r="AK498" s="38">
        <f>IF(AND(AK$7="○",$A498&gt;=AK$8,$A498&lt;=AK$9),IF(SUM(AK$10:AK497)-ROUNDDOWN($L498*AK$5/100,0)&lt;-AK$6,-AK$6-SUM(AK$10:AK497),-ROUNDDOWN($L498*AK$5/100,0)),0)</f>
        <v>0</v>
      </c>
      <c r="AL498" s="38">
        <f>IF(AND(AL$7="○",$A498&gt;=AL$8,$A498&lt;=AL$9),IF(SUM(AL$10:AL497)-ROUNDDOWN($N498*AL$5/100,0)&lt;-AL$6,-AL$6-SUM(AL$10:AL497),-ROUNDDOWN($N498*AL$5/100,0)),0)</f>
        <v>0</v>
      </c>
      <c r="AM498" s="38">
        <f>IF(AND(AM$7="○",$A498&gt;=AM$8,$A498&lt;=AM$9),IF(SUM(AM$10:AM497)-ROUNDDOWN($L498*AM$5/100,0)&lt;-AM$6,-AM$6-SUM(AM$10:AM497),-ROUNDDOWN($L498*AM$5/100,0)),0)</f>
        <v>0</v>
      </c>
      <c r="AN498" s="38">
        <f>IF(AND(AN$7="○",$A498&gt;=AN$8,$A498&lt;=AN$9),IF(SUM(AN$10:AN497)-ROUNDDOWN($M498*AN$5/100,0)&lt;-AN$6,-AN$6-SUM(AN$10:AN497),-ROUNDDOWN($M498*AN$5/100,0)),0)</f>
        <v>0</v>
      </c>
      <c r="AO498" s="38">
        <f>IF(AND($A498&gt;=AO$8,$A498&lt;=AO$9),IF(SUM(AO$10:AO497)-ROUNDDOWN($K498*AO$5/100,0)&lt;-AO$6,-AO$6-SUM(AO$10:AO497),-ROUNDDOWN($K498*AO$5/100,0)),0)</f>
        <v>0</v>
      </c>
      <c r="AP498" s="38">
        <f>IF(AND($A498&gt;=AP$8,$A498&lt;=AP$9),IF(SUM(AP$10:AP497)-ROUNDDOWN($K498*AP$5/100,0)&lt;-AP$6,-AP$6-SUM(AP$10:AP497),-ROUNDDOWN($K498*AP$5/100,0)),0)</f>
        <v>0</v>
      </c>
      <c r="AQ498" s="38">
        <f>IF(AND($A498&gt;=AQ$8,$A498&lt;=AQ$9),IF(SUM(AQ$10:AQ497)-ROUNDDOWN($K498*AQ$5/100,0)&lt;-AQ$6,-AQ$6-SUM(AQ$10:AQ497),-ROUNDDOWN($K498*AQ$5/100,0)),0)</f>
        <v>0</v>
      </c>
      <c r="AR498" s="38">
        <f>IF(AND($A498&gt;=AR$8,$A498&lt;=AR$9),IF(SUM(AR$10:AR497)-ROUNDDOWN($K498*AR$5/100,0)&lt;-AR$6,-AR$6-SUM(AR$10:AR497),-ROUNDDOWN($K498*AR$5/100,0)),0)</f>
        <v>0</v>
      </c>
      <c r="AS498" s="38">
        <f>IF(SUMIFS(AS$10:AS497,$A$10:$A497,$A498)-ROUNDDOWN($K498*$S498/100,0)&lt;-$S498*1000,-$S498*1000-SUMIFS(AS$10:AS497,$A$10:$A497,$A498),-ROUNDDOWN($K498*$S498/100,0))</f>
        <v>0</v>
      </c>
      <c r="AT498" s="38">
        <f>IF(AND(X498="○",$A498&gt;=AT$8,$A498&lt;=AT$9,K498&gt;=3980),IF(SUM(AT$10:AT497)-ROUNDDOWN($K498*AT$5/100,0)&lt;-AT$6,-AT$6-SUM(AT$10:AT497),-ROUNDDOWN($K498*AT$5/100,0)),0)</f>
        <v>0</v>
      </c>
      <c r="AU498" s="38">
        <f>IF(O498="○",IF(SUM(AU$10:AU497)-ROUNDDOWN($K498*AU$5/100,0)&lt;-AU$6,-AU$6-SUM(AU$10:AU497),-ROUNDDOWN($K498*AU$5/100,0)),0)</f>
        <v>0</v>
      </c>
      <c r="AV498" s="38">
        <f>IF(P498="○",IF(SUM(AV$10:AV497)-ROUNDDOWN($K498*AV$5/100,0)&lt;-AV$6,-AV$6-SUM(AV$10:AV497),-ROUNDDOWN($K498*AV$5/100,0)),0)</f>
        <v>0</v>
      </c>
      <c r="AW498" s="38">
        <f>IF(Q498="○",IF(SUM(AW$10:AW497)-ROUNDDOWN($K498*AW$5/100,0)&lt;-AW$6,-AW$6-SUM(AW$10:AW497),-ROUNDDOWN($K498*AW$5/100,0)),0)</f>
        <v>0</v>
      </c>
      <c r="AX498" s="38">
        <f>IF(R498="○",IF(SUM(AX$10:AX497)-ROUNDDOWN($K498*AX$5/100,0)&lt;-AX$6,-AX$6-SUM(AX$10:AX497),-ROUNDDOWN($K498*AX$5/100,0)),0)</f>
        <v>0</v>
      </c>
      <c r="AY498" s="70">
        <v>0</v>
      </c>
      <c r="AZ498" s="65">
        <f t="shared" si="319"/>
        <v>0</v>
      </c>
      <c r="BA498" s="65">
        <f t="shared" si="320"/>
        <v>0</v>
      </c>
      <c r="BB498" s="70"/>
      <c r="BC498" s="65">
        <f t="shared" si="321"/>
        <v>0</v>
      </c>
      <c r="BD498" s="70">
        <v>0</v>
      </c>
      <c r="BE498" s="65">
        <f t="shared" si="322"/>
        <v>0</v>
      </c>
      <c r="BF498" s="70">
        <v>0</v>
      </c>
      <c r="BG498" s="65">
        <f t="shared" si="323"/>
        <v>0</v>
      </c>
      <c r="BH498" s="70">
        <v>0</v>
      </c>
      <c r="BI498" s="65">
        <f t="shared" si="324"/>
        <v>0</v>
      </c>
      <c r="BJ498" s="38">
        <f>IF(AND(BJ$7="○",$A498&gt;=BJ$8,$A498&lt;=BJ$9),IF(SUM(BJ$10:BJ497)-ROUNDDOWN($M498*BJ$5/100,0)&lt;-BJ$6,-BJ$6-SUM(BJ$10:BJ497),-ROUNDDOWN($M498*BJ$5/100,0)),0)</f>
        <v>0</v>
      </c>
      <c r="BK498" s="38">
        <f>IF(AND(BK$7="○",$A498&gt;=BK$8,$A498&lt;=BK$9),IF(SUM(BK$10:BK497)-ROUNDDOWN($L498*BK$5/100,0)&lt;-BK$6,-BK$6-SUM(BK$10:BK497),-ROUNDDOWN($L498*BK$5/100,0)),0)</f>
        <v>0</v>
      </c>
      <c r="BL498" s="38">
        <f>IF(AND(BL$7="○",$A498&gt;=BL$8,$A498&lt;=BL$9),IF(SUM(BL$10:BL497)-ROUNDDOWN($L498*BL$5/100,0)&lt;-BL$6,-BL$6-SUM(BL$10:BL497),-ROUNDDOWN($L498*BL$5/100,0)),0)</f>
        <v>0</v>
      </c>
      <c r="BM498" s="38">
        <f>IF(AND(BM$7="○",$A498&gt;=BM$8,$A498&lt;=BM$9),IF(SUM(BM$10:BM497)-ROUNDDOWN($M498*BM$5/100,0)&lt;-BM$6,-BM$6-SUM(BM$10:BM497),-ROUNDDOWN($M498*BM$5/100,0)),0)</f>
        <v>0</v>
      </c>
      <c r="BN498" s="38">
        <f>IF(AND(BN$7="○",$A498&gt;=BN$8,$A498&lt;=BN$9),IF(SUM(BN$10:BN497)-ROUNDDOWN($M498*BN$5/100,0)&lt;-BN$6,-BN$6-SUM(BN$10:BN497),-ROUNDDOWN($M498*BN$5/100,0)),0)</f>
        <v>0</v>
      </c>
      <c r="BO498" s="38">
        <f>IF(AND(BO$7="○",$A498&gt;=BO$8,$A498&lt;=BO$9),IF(SUM(BO$10:BO497)-ROUNDDOWN($M498*BO$5/100,0)&lt;-BO$6,-BO$6-SUM(BO$10:BO497),-ROUNDDOWN($M498*BO$5/100,0)),0)</f>
        <v>0</v>
      </c>
      <c r="BP498" s="38">
        <f>IF(AND(BP$7="○",$A498&gt;=BP$8,$A498&lt;=BP$9),IF(SUM(BP$10:BP497)-ROUNDDOWN($M498*BP$5/100,0)&lt;-BP$6,-BP$6-SUM(BP$10:BP497),-ROUNDDOWN($M498*BP$5/100,0)),0)</f>
        <v>0</v>
      </c>
      <c r="BQ498" s="38">
        <f>IF(AND(BQ$7="○",$A498&gt;=BQ$8,$A498&lt;=BQ$9),IF(SUM(BQ$10:BQ497)-ROUNDDOWN($L498*BQ$5/100,0)&lt;-BQ$6,-BQ$6-SUM(BQ$10:BQ497),-ROUNDDOWN($L498*BQ$5/100,0)),0)</f>
        <v>0</v>
      </c>
      <c r="BR498" s="38">
        <f>IF(AND(BR$7="○",$A498&gt;=BR$8,$A498&lt;=BR$9),IF(SUM(BR$10:BR497)-ROUNDDOWN($M498*BR$5/100,0)&lt;-BR$6,-BR$6-SUM(BR$10:BR497),-ROUNDDOWN($M498*BR$5/100,0)),0)</f>
        <v>0</v>
      </c>
      <c r="BS498" s="38">
        <f>IF(AND(BS$7="○",$A498&gt;=BS$8,$A498&lt;=BS$9),IF(SUM(BS$10:BS497)-ROUNDDOWN($M498*BS$5/100,0)&lt;-BS$6,-BS$6-SUM(BS$10:BS497),-ROUNDDOWN($M498*BS$5/100,0)),0)</f>
        <v>0</v>
      </c>
      <c r="BT498" s="38">
        <f>IF(AND(BT$7="○",$A498&gt;=BT$8,$A498&lt;=BT$9),IF(SUM(BT$10:BT497)-ROUNDDOWN($M498*BT$5/100,0)&lt;-BT$6,-BT$6-SUM(BT$10:BT497),-ROUNDDOWN($M498*BT$5/100,0)),0)</f>
        <v>0</v>
      </c>
      <c r="BU498" s="38">
        <f>IF(AND(BU$7="○",$A498&gt;=BU$8,$A498&lt;=BU$9),IF(SUM(BU$10:BU497)-ROUNDDOWN($M498*BU$5/100,0)&lt;-BU$6,-BU$6-SUM(BU$10:BU497),-ROUNDDOWN($M498*BU$5/100,0)),0)</f>
        <v>0</v>
      </c>
      <c r="BV498" s="38">
        <f>IF(AND(BV$7="○",$A498&gt;=BV$8,$A498&lt;=BV$9),IF(SUM(BV$10:BV497)-ROUNDDOWN($M498*BV$5/100,0)&lt;-BV$6,-BV$6-SUM(BV$10:BV497),-ROUNDDOWN($M498*BV$5/100,0)),0)</f>
        <v>0</v>
      </c>
      <c r="BW498" s="38">
        <f>IF(AND(BW$7="○",$A498&gt;=BW$8,$A498&lt;=BW$9),IF(SUM(BW$10:BW497)-ROUNDDOWN($M498*BW$5/100,0)&lt;-BW$6,-BW$6-SUM(BW$10:BW497),-ROUNDDOWN($M498*BW$5/100,0)),0)</f>
        <v>0</v>
      </c>
      <c r="BX498" s="38">
        <f>IF(AND(T498="○",$A498&gt;=BX$8,$A498&lt;=BX$9),IF(SUM(BX$10:BX497)-ROUNDDOWN($K498*BX$5/100,0)&lt;-BX$6,-BX$6-SUM(BX$10:BX497),-ROUNDDOWN($K498*BX$5/100,0)),0)</f>
        <v>0</v>
      </c>
      <c r="BY498" s="38">
        <f>IF(AND(U498="○",$A498&gt;=BY$8,$A498&lt;=BY$9),IF(SUM(BY$10:BY497)-ROUNDDOWN($K498*BY$5/100,0)&lt;-BY$6,-BY$6-SUM(BY$10:BY497),-ROUNDDOWN($K498*BY$5/100,0)),0)</f>
        <v>0</v>
      </c>
      <c r="BZ498" s="38">
        <f>IF(AND(V498="○",$A498&gt;=BZ$8,$A498&lt;=BZ$9),IF(SUM(BZ$10:BZ497)-ROUNDDOWN($K498*BZ$5/100,0)&lt;-BZ$6,-BZ$6-SUM(BZ$10:BZ497),-ROUNDDOWN($K498*BZ$5/100,0)),0)</f>
        <v>0</v>
      </c>
      <c r="CA498" s="38">
        <f>IF(AND(W498="○",$A498&gt;=CA$8,$A498&lt;=CA$9),IF(SUM(CA$10:CA497)-ROUNDDOWN($K498*CA$5/100,0)&lt;-CA$6,-CA$6-SUM(CA$10:CA497),-ROUNDDOWN($K498*CA$5/100,0)),0)</f>
        <v>0</v>
      </c>
      <c r="CB498" s="38"/>
      <c r="CC498" s="38"/>
      <c r="CD498" s="38"/>
      <c r="CE498" s="38"/>
      <c r="CF498" s="38"/>
      <c r="CG498" s="65">
        <f t="shared" si="325"/>
        <v>0</v>
      </c>
      <c r="CH498" s="71">
        <f t="shared" si="326"/>
        <v>0</v>
      </c>
      <c r="CI498" s="1">
        <f t="shared" si="337"/>
        <v>0</v>
      </c>
      <c r="CJ498" s="1"/>
      <c r="CK498" s="72"/>
      <c r="CL498" s="72"/>
      <c r="CM498" s="2"/>
      <c r="CN498" s="2"/>
      <c r="CO498" s="73">
        <f t="shared" si="338"/>
        <v>0</v>
      </c>
      <c r="CP498" s="5">
        <f t="shared" si="339"/>
        <v>0</v>
      </c>
      <c r="CQ498" s="1"/>
      <c r="CR498" s="1">
        <f t="shared" si="340"/>
        <v>0</v>
      </c>
      <c r="CS498" s="1"/>
      <c r="CT498" s="1" t="e">
        <f>INDEX([2]マスタ!$A:$A,MATCH(D498,[2]マスタ!$C:$C,0))</f>
        <v>#N/A</v>
      </c>
      <c r="CU498" s="1" t="str">
        <f t="shared" ca="1" si="341"/>
        <v>20260620_0-0</v>
      </c>
    </row>
    <row r="499" spans="1:99" x14ac:dyDescent="0.4">
      <c r="A499" s="61"/>
      <c r="B499" s="62"/>
      <c r="C499" s="62"/>
      <c r="D499" s="62"/>
      <c r="E499" s="74"/>
      <c r="F499" s="62"/>
      <c r="G499" s="62">
        <v>1</v>
      </c>
      <c r="H499" s="64">
        <f t="shared" si="331"/>
        <v>0</v>
      </c>
      <c r="I499" s="64"/>
      <c r="J499" s="64"/>
      <c r="K499" s="65">
        <f t="shared" si="332"/>
        <v>0</v>
      </c>
      <c r="L499" s="65">
        <f t="shared" si="333"/>
        <v>0</v>
      </c>
      <c r="M499" s="65">
        <f t="shared" si="334"/>
        <v>0</v>
      </c>
      <c r="N499" s="65">
        <f t="shared" si="335"/>
        <v>0</v>
      </c>
      <c r="O499" s="66" t="str">
        <f t="shared" si="9"/>
        <v>✕</v>
      </c>
      <c r="P499" s="67" t="str">
        <f t="shared" si="10"/>
        <v>○</v>
      </c>
      <c r="Q499" s="67" t="str">
        <f t="shared" si="336"/>
        <v>✕</v>
      </c>
      <c r="R499" s="67" t="str">
        <f t="shared" si="12"/>
        <v>✕</v>
      </c>
      <c r="S499" s="68">
        <v>0</v>
      </c>
      <c r="T499" s="69" t="s">
        <v>85</v>
      </c>
      <c r="U499" s="69" t="s">
        <v>85</v>
      </c>
      <c r="V499" s="69" t="s">
        <v>85</v>
      </c>
      <c r="W499" s="69" t="s">
        <v>85</v>
      </c>
      <c r="X499" s="69" t="s">
        <v>84</v>
      </c>
      <c r="Y499" s="69" t="s">
        <v>85</v>
      </c>
      <c r="Z499" s="69" t="s">
        <v>85</v>
      </c>
      <c r="AA499" s="69" t="s">
        <v>85</v>
      </c>
      <c r="AB499" s="69" t="s">
        <v>85</v>
      </c>
      <c r="AC499" s="69" t="s">
        <v>85</v>
      </c>
      <c r="AD499" s="38" t="str">
        <f>+IF(ISERROR(VLOOKUP($B499,AD$10:AD498,1,0)),IF(AND($N499&gt;=1000,$A499&gt;=AO$8,$A499&lt;=AO$9),$B499,""),"")</f>
        <v/>
      </c>
      <c r="AE499" s="38" t="str">
        <f>+IF(ISERROR(VLOOKUP($B499,AE$10:AE498,1,0)),IF(AND($N499&gt;=1000,$A499&gt;=AP$8,$A499&lt;=AP$9),$B499,""),"")</f>
        <v/>
      </c>
      <c r="AF499" s="38" t="str">
        <f>+IF(ISERROR(VLOOKUP($B499,AF$10:AF498,1,0)),IF(AND($N499&gt;=1000,$A499&gt;=AQ$8,$A499&lt;=AQ$9),$B499,""),"")</f>
        <v/>
      </c>
      <c r="AG499" s="38" t="str">
        <f>+IF(ISERROR(VLOOKUP($B499,AG$10:AG498,1,0)),IF(AND($N499&gt;=1000,$A499&gt;=AR$8,$A499&lt;=AR$9),$B499,""),"")</f>
        <v/>
      </c>
      <c r="AH499" s="38"/>
      <c r="AI499" s="70">
        <v>0</v>
      </c>
      <c r="AJ499" s="38">
        <f>IF(AND(AJ$7="○",$A499&gt;=AJ$8,$A499&lt;=AJ$9),IF(SUM(AJ$10:AJ498)-ROUNDDOWN($K499*AJ$5/100,0)&lt;-AJ$6,-AJ$6-SUM(AJ$10:AJ498),-ROUNDDOWN($K499*AJ$5/100,0)),0)</f>
        <v>0</v>
      </c>
      <c r="AK499" s="38">
        <f>IF(AND(AK$7="○",$A499&gt;=AK$8,$A499&lt;=AK$9),IF(SUM(AK$10:AK498)-ROUNDDOWN($L499*AK$5/100,0)&lt;-AK$6,-AK$6-SUM(AK$10:AK498),-ROUNDDOWN($L499*AK$5/100,0)),0)</f>
        <v>0</v>
      </c>
      <c r="AL499" s="38">
        <f>IF(AND(AL$7="○",$A499&gt;=AL$8,$A499&lt;=AL$9),IF(SUM(AL$10:AL498)-ROUNDDOWN($N499*AL$5/100,0)&lt;-AL$6,-AL$6-SUM(AL$10:AL498),-ROUNDDOWN($N499*AL$5/100,0)),0)</f>
        <v>0</v>
      </c>
      <c r="AM499" s="38">
        <f>IF(AND(AM$7="○",$A499&gt;=AM$8,$A499&lt;=AM$9),IF(SUM(AM$10:AM498)-ROUNDDOWN($L499*AM$5/100,0)&lt;-AM$6,-AM$6-SUM(AM$10:AM498),-ROUNDDOWN($L499*AM$5/100,0)),0)</f>
        <v>0</v>
      </c>
      <c r="AN499" s="38">
        <f>IF(AND(AN$7="○",$A499&gt;=AN$8,$A499&lt;=AN$9),IF(SUM(AN$10:AN498)-ROUNDDOWN($M499*AN$5/100,0)&lt;-AN$6,-AN$6-SUM(AN$10:AN498),-ROUNDDOWN($M499*AN$5/100,0)),0)</f>
        <v>0</v>
      </c>
      <c r="AO499" s="38">
        <f>IF(AND($A499&gt;=AO$8,$A499&lt;=AO$9),IF(SUM(AO$10:AO498)-ROUNDDOWN($K499*AO$5/100,0)&lt;-AO$6,-AO$6-SUM(AO$10:AO498),-ROUNDDOWN($K499*AO$5/100,0)),0)</f>
        <v>0</v>
      </c>
      <c r="AP499" s="38">
        <f>IF(AND($A499&gt;=AP$8,$A499&lt;=AP$9),IF(SUM(AP$10:AP498)-ROUNDDOWN($K499*AP$5/100,0)&lt;-AP$6,-AP$6-SUM(AP$10:AP498),-ROUNDDOWN($K499*AP$5/100,0)),0)</f>
        <v>0</v>
      </c>
      <c r="AQ499" s="38">
        <f>IF(AND($A499&gt;=AQ$8,$A499&lt;=AQ$9),IF(SUM(AQ$10:AQ498)-ROUNDDOWN($K499*AQ$5/100,0)&lt;-AQ$6,-AQ$6-SUM(AQ$10:AQ498),-ROUNDDOWN($K499*AQ$5/100,0)),0)</f>
        <v>0</v>
      </c>
      <c r="AR499" s="38">
        <f>IF(AND($A499&gt;=AR$8,$A499&lt;=AR$9),IF(SUM(AR$10:AR498)-ROUNDDOWN($K499*AR$5/100,0)&lt;-AR$6,-AR$6-SUM(AR$10:AR498),-ROUNDDOWN($K499*AR$5/100,0)),0)</f>
        <v>0</v>
      </c>
      <c r="AS499" s="38">
        <f>IF(SUMIFS(AS$10:AS498,$A$10:$A498,$A499)-ROUNDDOWN($K499*$S499/100,0)&lt;-$S499*1000,-$S499*1000-SUMIFS(AS$10:AS498,$A$10:$A498,$A499),-ROUNDDOWN($K499*$S499/100,0))</f>
        <v>0</v>
      </c>
      <c r="AT499" s="38">
        <f>IF(AND(X499="○",$A499&gt;=AT$8,$A499&lt;=AT$9,K499&gt;=3980),IF(SUM(AT$10:AT498)-ROUNDDOWN($K499*AT$5/100,0)&lt;-AT$6,-AT$6-SUM(AT$10:AT498),-ROUNDDOWN($K499*AT$5/100,0)),0)</f>
        <v>0</v>
      </c>
      <c r="AU499" s="38">
        <f>IF(O499="○",IF(SUM(AU$10:AU498)-ROUNDDOWN($K499*AU$5/100,0)&lt;-AU$6,-AU$6-SUM(AU$10:AU498),-ROUNDDOWN($K499*AU$5/100,0)),0)</f>
        <v>0</v>
      </c>
      <c r="AV499" s="38">
        <f>IF(P499="○",IF(SUM(AV$10:AV498)-ROUNDDOWN($K499*AV$5/100,0)&lt;-AV$6,-AV$6-SUM(AV$10:AV498),-ROUNDDOWN($K499*AV$5/100,0)),0)</f>
        <v>0</v>
      </c>
      <c r="AW499" s="38">
        <f>IF(Q499="○",IF(SUM(AW$10:AW498)-ROUNDDOWN($K499*AW$5/100,0)&lt;-AW$6,-AW$6-SUM(AW$10:AW498),-ROUNDDOWN($K499*AW$5/100,0)),0)</f>
        <v>0</v>
      </c>
      <c r="AX499" s="38">
        <f>IF(R499="○",IF(SUM(AX$10:AX498)-ROUNDDOWN($K499*AX$5/100,0)&lt;-AX$6,-AX$6-SUM(AX$10:AX498),-ROUNDDOWN($K499*AX$5/100,0)),0)</f>
        <v>0</v>
      </c>
      <c r="AY499" s="70">
        <v>0</v>
      </c>
      <c r="AZ499" s="65">
        <f t="shared" si="319"/>
        <v>0</v>
      </c>
      <c r="BA499" s="65">
        <f t="shared" si="320"/>
        <v>0</v>
      </c>
      <c r="BB499" s="70"/>
      <c r="BC499" s="65">
        <f t="shared" si="321"/>
        <v>0</v>
      </c>
      <c r="BD499" s="70">
        <v>0</v>
      </c>
      <c r="BE499" s="65">
        <f t="shared" si="322"/>
        <v>0</v>
      </c>
      <c r="BF499" s="70">
        <v>0</v>
      </c>
      <c r="BG499" s="65">
        <f t="shared" si="323"/>
        <v>0</v>
      </c>
      <c r="BH499" s="70">
        <v>0</v>
      </c>
      <c r="BI499" s="65">
        <f t="shared" si="324"/>
        <v>0</v>
      </c>
      <c r="BJ499" s="38">
        <f>IF(AND(BJ$7="○",$A499&gt;=BJ$8,$A499&lt;=BJ$9),IF(SUM(BJ$10:BJ498)-ROUNDDOWN($M499*BJ$5/100,0)&lt;-BJ$6,-BJ$6-SUM(BJ$10:BJ498),-ROUNDDOWN($M499*BJ$5/100,0)),0)</f>
        <v>0</v>
      </c>
      <c r="BK499" s="38">
        <f>IF(AND(BK$7="○",$A499&gt;=BK$8,$A499&lt;=BK$9),IF(SUM(BK$10:BK498)-ROUNDDOWN($L499*BK$5/100,0)&lt;-BK$6,-BK$6-SUM(BK$10:BK498),-ROUNDDOWN($L499*BK$5/100,0)),0)</f>
        <v>0</v>
      </c>
      <c r="BL499" s="38">
        <f>IF(AND(BL$7="○",$A499&gt;=BL$8,$A499&lt;=BL$9),IF(SUM(BL$10:BL498)-ROUNDDOWN($L499*BL$5/100,0)&lt;-BL$6,-BL$6-SUM(BL$10:BL498),-ROUNDDOWN($L499*BL$5/100,0)),0)</f>
        <v>0</v>
      </c>
      <c r="BM499" s="38">
        <f>IF(AND(BM$7="○",$A499&gt;=BM$8,$A499&lt;=BM$9),IF(SUM(BM$10:BM498)-ROUNDDOWN($M499*BM$5/100,0)&lt;-BM$6,-BM$6-SUM(BM$10:BM498),-ROUNDDOWN($M499*BM$5/100,0)),0)</f>
        <v>0</v>
      </c>
      <c r="BN499" s="38">
        <f>IF(AND(BN$7="○",$A499&gt;=BN$8,$A499&lt;=BN$9),IF(SUM(BN$10:BN498)-ROUNDDOWN($M499*BN$5/100,0)&lt;-BN$6,-BN$6-SUM(BN$10:BN498),-ROUNDDOWN($M499*BN$5/100,0)),0)</f>
        <v>0</v>
      </c>
      <c r="BO499" s="38">
        <f>IF(AND(BO$7="○",$A499&gt;=BO$8,$A499&lt;=BO$9),IF(SUM(BO$10:BO498)-ROUNDDOWN($M499*BO$5/100,0)&lt;-BO$6,-BO$6-SUM(BO$10:BO498),-ROUNDDOWN($M499*BO$5/100,0)),0)</f>
        <v>0</v>
      </c>
      <c r="BP499" s="38">
        <f>IF(AND(BP$7="○",$A499&gt;=BP$8,$A499&lt;=BP$9),IF(SUM(BP$10:BP498)-ROUNDDOWN($M499*BP$5/100,0)&lt;-BP$6,-BP$6-SUM(BP$10:BP498),-ROUNDDOWN($M499*BP$5/100,0)),0)</f>
        <v>0</v>
      </c>
      <c r="BQ499" s="38">
        <f>IF(AND(BQ$7="○",$A499&gt;=BQ$8,$A499&lt;=BQ$9),IF(SUM(BQ$10:BQ498)-ROUNDDOWN($L499*BQ$5/100,0)&lt;-BQ$6,-BQ$6-SUM(BQ$10:BQ498),-ROUNDDOWN($L499*BQ$5/100,0)),0)</f>
        <v>0</v>
      </c>
      <c r="BR499" s="38">
        <f>IF(AND(BR$7="○",$A499&gt;=BR$8,$A499&lt;=BR$9),IF(SUM(BR$10:BR498)-ROUNDDOWN($M499*BR$5/100,0)&lt;-BR$6,-BR$6-SUM(BR$10:BR498),-ROUNDDOWN($M499*BR$5/100,0)),0)</f>
        <v>0</v>
      </c>
      <c r="BS499" s="38">
        <f>IF(AND(BS$7="○",$A499&gt;=BS$8,$A499&lt;=BS$9),IF(SUM(BS$10:BS498)-ROUNDDOWN($M499*BS$5/100,0)&lt;-BS$6,-BS$6-SUM(BS$10:BS498),-ROUNDDOWN($M499*BS$5/100,0)),0)</f>
        <v>0</v>
      </c>
      <c r="BT499" s="38">
        <f>IF(AND(BT$7="○",$A499&gt;=BT$8,$A499&lt;=BT$9),IF(SUM(BT$10:BT498)-ROUNDDOWN($M499*BT$5/100,0)&lt;-BT$6,-BT$6-SUM(BT$10:BT498),-ROUNDDOWN($M499*BT$5/100,0)),0)</f>
        <v>0</v>
      </c>
      <c r="BU499" s="38">
        <f>IF(AND(BU$7="○",$A499&gt;=BU$8,$A499&lt;=BU$9),IF(SUM(BU$10:BU498)-ROUNDDOWN($M499*BU$5/100,0)&lt;-BU$6,-BU$6-SUM(BU$10:BU498),-ROUNDDOWN($M499*BU$5/100,0)),0)</f>
        <v>0</v>
      </c>
      <c r="BV499" s="38">
        <f>IF(AND(BV$7="○",$A499&gt;=BV$8,$A499&lt;=BV$9),IF(SUM(BV$10:BV498)-ROUNDDOWN($M499*BV$5/100,0)&lt;-BV$6,-BV$6-SUM(BV$10:BV498),-ROUNDDOWN($M499*BV$5/100,0)),0)</f>
        <v>0</v>
      </c>
      <c r="BW499" s="38">
        <f>IF(AND(BW$7="○",$A499&gt;=BW$8,$A499&lt;=BW$9),IF(SUM(BW$10:BW498)-ROUNDDOWN($M499*BW$5/100,0)&lt;-BW$6,-BW$6-SUM(BW$10:BW498),-ROUNDDOWN($M499*BW$5/100,0)),0)</f>
        <v>0</v>
      </c>
      <c r="BX499" s="38">
        <f>IF(AND(T499="○",$A499&gt;=BX$8,$A499&lt;=BX$9),IF(SUM(BX$10:BX498)-ROUNDDOWN($K499*BX$5/100,0)&lt;-BX$6,-BX$6-SUM(BX$10:BX498),-ROUNDDOWN($K499*BX$5/100,0)),0)</f>
        <v>0</v>
      </c>
      <c r="BY499" s="38">
        <f>IF(AND(U499="○",$A499&gt;=BY$8,$A499&lt;=BY$9),IF(SUM(BY$10:BY498)-ROUNDDOWN($K499*BY$5/100,0)&lt;-BY$6,-BY$6-SUM(BY$10:BY498),-ROUNDDOWN($K499*BY$5/100,0)),0)</f>
        <v>0</v>
      </c>
      <c r="BZ499" s="38">
        <f>IF(AND(V499="○",$A499&gt;=BZ$8,$A499&lt;=BZ$9),IF(SUM(BZ$10:BZ498)-ROUNDDOWN($K499*BZ$5/100,0)&lt;-BZ$6,-BZ$6-SUM(BZ$10:BZ498),-ROUNDDOWN($K499*BZ$5/100,0)),0)</f>
        <v>0</v>
      </c>
      <c r="CA499" s="38">
        <f>IF(AND(W499="○",$A499&gt;=CA$8,$A499&lt;=CA$9),IF(SUM(CA$10:CA498)-ROUNDDOWN($K499*CA$5/100,0)&lt;-CA$6,-CA$6-SUM(CA$10:CA498),-ROUNDDOWN($K499*CA$5/100,0)),0)</f>
        <v>0</v>
      </c>
      <c r="CB499" s="38"/>
      <c r="CC499" s="38"/>
      <c r="CD499" s="38"/>
      <c r="CE499" s="38"/>
      <c r="CF499" s="38"/>
      <c r="CG499" s="65">
        <f t="shared" si="325"/>
        <v>0</v>
      </c>
      <c r="CH499" s="71">
        <f t="shared" si="326"/>
        <v>0</v>
      </c>
      <c r="CI499" s="1">
        <f t="shared" si="337"/>
        <v>0</v>
      </c>
      <c r="CJ499" s="1"/>
      <c r="CK499" s="72"/>
      <c r="CL499" s="72"/>
      <c r="CM499" s="2"/>
      <c r="CN499" s="2"/>
      <c r="CO499" s="73">
        <f t="shared" si="338"/>
        <v>0</v>
      </c>
      <c r="CP499" s="5">
        <f t="shared" si="339"/>
        <v>0</v>
      </c>
      <c r="CQ499" s="1"/>
      <c r="CR499" s="1">
        <f t="shared" si="340"/>
        <v>0</v>
      </c>
      <c r="CS499" s="1"/>
      <c r="CT499" s="1" t="e">
        <f>INDEX([2]マスタ!$A:$A,MATCH(D499,[2]マスタ!$C:$C,0))</f>
        <v>#N/A</v>
      </c>
      <c r="CU499" s="1" t="str">
        <f t="shared" ca="1" si="341"/>
        <v>20260620_0-0</v>
      </c>
    </row>
    <row r="500" spans="1:99" x14ac:dyDescent="0.4">
      <c r="A500" s="61"/>
      <c r="B500" s="62"/>
      <c r="C500" s="62"/>
      <c r="D500" s="62"/>
      <c r="E500" s="74"/>
      <c r="F500" s="62"/>
      <c r="G500" s="62">
        <v>1</v>
      </c>
      <c r="H500" s="64">
        <f t="shared" si="331"/>
        <v>0</v>
      </c>
      <c r="I500" s="64"/>
      <c r="J500" s="64"/>
      <c r="K500" s="65">
        <f t="shared" si="332"/>
        <v>0</v>
      </c>
      <c r="L500" s="65">
        <f t="shared" si="333"/>
        <v>0</v>
      </c>
      <c r="M500" s="65">
        <f t="shared" si="334"/>
        <v>0</v>
      </c>
      <c r="N500" s="65">
        <f t="shared" si="335"/>
        <v>0</v>
      </c>
      <c r="O500" s="66" t="str">
        <f t="shared" si="9"/>
        <v>✕</v>
      </c>
      <c r="P500" s="67" t="str">
        <f t="shared" si="10"/>
        <v>○</v>
      </c>
      <c r="Q500" s="67" t="str">
        <f t="shared" si="336"/>
        <v>✕</v>
      </c>
      <c r="R500" s="67" t="str">
        <f t="shared" si="12"/>
        <v>✕</v>
      </c>
      <c r="S500" s="68">
        <v>0</v>
      </c>
      <c r="T500" s="69" t="s">
        <v>85</v>
      </c>
      <c r="U500" s="69" t="s">
        <v>85</v>
      </c>
      <c r="V500" s="69" t="s">
        <v>85</v>
      </c>
      <c r="W500" s="69" t="s">
        <v>85</v>
      </c>
      <c r="X500" s="69" t="s">
        <v>84</v>
      </c>
      <c r="Y500" s="69" t="s">
        <v>85</v>
      </c>
      <c r="Z500" s="69" t="s">
        <v>85</v>
      </c>
      <c r="AA500" s="69" t="s">
        <v>85</v>
      </c>
      <c r="AB500" s="69" t="s">
        <v>85</v>
      </c>
      <c r="AC500" s="69" t="s">
        <v>85</v>
      </c>
      <c r="AD500" s="38" t="str">
        <f>+IF(ISERROR(VLOOKUP($B500,AD$10:AD499,1,0)),IF(AND($N500&gt;=1000,$A500&gt;=AO$8,$A500&lt;=AO$9),$B500,""),"")</f>
        <v/>
      </c>
      <c r="AE500" s="38" t="str">
        <f>+IF(ISERROR(VLOOKUP($B500,AE$10:AE499,1,0)),IF(AND($N500&gt;=1000,$A500&gt;=AP$8,$A500&lt;=AP$9),$B500,""),"")</f>
        <v/>
      </c>
      <c r="AF500" s="38" t="str">
        <f>+IF(ISERROR(VLOOKUP($B500,AF$10:AF499,1,0)),IF(AND($N500&gt;=1000,$A500&gt;=AQ$8,$A500&lt;=AQ$9),$B500,""),"")</f>
        <v/>
      </c>
      <c r="AG500" s="38" t="str">
        <f>+IF(ISERROR(VLOOKUP($B500,AG$10:AG499,1,0)),IF(AND($N500&gt;=1000,$A500&gt;=AR$8,$A500&lt;=AR$9),$B500,""),"")</f>
        <v/>
      </c>
      <c r="AH500" s="38"/>
      <c r="AI500" s="70">
        <v>0</v>
      </c>
      <c r="AJ500" s="38">
        <f>IF(AND(AJ$7="○",$A500&gt;=AJ$8,$A500&lt;=AJ$9),IF(SUM(AJ$10:AJ499)-ROUNDDOWN($K500*AJ$5/100,0)&lt;-AJ$6,-AJ$6-SUM(AJ$10:AJ499),-ROUNDDOWN($K500*AJ$5/100,0)),0)</f>
        <v>0</v>
      </c>
      <c r="AK500" s="38">
        <f>IF(AND(AK$7="○",$A500&gt;=AK$8,$A500&lt;=AK$9),IF(SUM(AK$10:AK499)-ROUNDDOWN($L500*AK$5/100,0)&lt;-AK$6,-AK$6-SUM(AK$10:AK499),-ROUNDDOWN($L500*AK$5/100,0)),0)</f>
        <v>0</v>
      </c>
      <c r="AL500" s="38">
        <f>IF(AND(AL$7="○",$A500&gt;=AL$8,$A500&lt;=AL$9),IF(SUM(AL$10:AL499)-ROUNDDOWN($N500*AL$5/100,0)&lt;-AL$6,-AL$6-SUM(AL$10:AL499),-ROUNDDOWN($N500*AL$5/100,0)),0)</f>
        <v>0</v>
      </c>
      <c r="AM500" s="38">
        <f>IF(AND(AM$7="○",$A500&gt;=AM$8,$A500&lt;=AM$9),IF(SUM(AM$10:AM499)-ROUNDDOWN($L500*AM$5/100,0)&lt;-AM$6,-AM$6-SUM(AM$10:AM499),-ROUNDDOWN($L500*AM$5/100,0)),0)</f>
        <v>0</v>
      </c>
      <c r="AN500" s="38">
        <f>IF(AND(AN$7="○",$A500&gt;=AN$8,$A500&lt;=AN$9),IF(SUM(AN$10:AN499)-ROUNDDOWN($M500*AN$5/100,0)&lt;-AN$6,-AN$6-SUM(AN$10:AN499),-ROUNDDOWN($M500*AN$5/100,0)),0)</f>
        <v>0</v>
      </c>
      <c r="AO500" s="38">
        <f>IF(AND($A500&gt;=AO$8,$A500&lt;=AO$9),IF(SUM(AO$10:AO499)-ROUNDDOWN($K500*AO$5/100,0)&lt;-AO$6,-AO$6-SUM(AO$10:AO499),-ROUNDDOWN($K500*AO$5/100,0)),0)</f>
        <v>0</v>
      </c>
      <c r="AP500" s="38">
        <f>IF(AND($A500&gt;=AP$8,$A500&lt;=AP$9),IF(SUM(AP$10:AP499)-ROUNDDOWN($K500*AP$5/100,0)&lt;-AP$6,-AP$6-SUM(AP$10:AP499),-ROUNDDOWN($K500*AP$5/100,0)),0)</f>
        <v>0</v>
      </c>
      <c r="AQ500" s="38">
        <f>IF(AND($A500&gt;=AQ$8,$A500&lt;=AQ$9),IF(SUM(AQ$10:AQ499)-ROUNDDOWN($K500*AQ$5/100,0)&lt;-AQ$6,-AQ$6-SUM(AQ$10:AQ499),-ROUNDDOWN($K500*AQ$5/100,0)),0)</f>
        <v>0</v>
      </c>
      <c r="AR500" s="38">
        <f>IF(AND($A500&gt;=AR$8,$A500&lt;=AR$9),IF(SUM(AR$10:AR499)-ROUNDDOWN($K500*AR$5/100,0)&lt;-AR$6,-AR$6-SUM(AR$10:AR499),-ROUNDDOWN($K500*AR$5/100,0)),0)</f>
        <v>0</v>
      </c>
      <c r="AS500" s="38">
        <f>IF(SUMIFS(AS$10:AS499,$A$10:$A499,$A500)-ROUNDDOWN($K500*$S500/100,0)&lt;-$S500*1000,-$S500*1000-SUMIFS(AS$10:AS499,$A$10:$A499,$A500),-ROUNDDOWN($K500*$S500/100,0))</f>
        <v>0</v>
      </c>
      <c r="AT500" s="38">
        <f>IF(AND(X500="○",$A500&gt;=AT$8,$A500&lt;=AT$9,K500&gt;=3980),IF(SUM(AT$10:AT499)-ROUNDDOWN($K500*AT$5/100,0)&lt;-AT$6,-AT$6-SUM(AT$10:AT499),-ROUNDDOWN($K500*AT$5/100,0)),0)</f>
        <v>0</v>
      </c>
      <c r="AU500" s="38">
        <f>IF(O500="○",IF(SUM(AU$10:AU499)-ROUNDDOWN($K500*AU$5/100,0)&lt;-AU$6,-AU$6-SUM(AU$10:AU499),-ROUNDDOWN($K500*AU$5/100,0)),0)</f>
        <v>0</v>
      </c>
      <c r="AV500" s="38">
        <f>IF(P500="○",IF(SUM(AV$10:AV499)-ROUNDDOWN($K500*AV$5/100,0)&lt;-AV$6,-AV$6-SUM(AV$10:AV499),-ROUNDDOWN($K500*AV$5/100,0)),0)</f>
        <v>0</v>
      </c>
      <c r="AW500" s="38">
        <f>IF(Q500="○",IF(SUM(AW$10:AW499)-ROUNDDOWN($K500*AW$5/100,0)&lt;-AW$6,-AW$6-SUM(AW$10:AW499),-ROUNDDOWN($K500*AW$5/100,0)),0)</f>
        <v>0</v>
      </c>
      <c r="AX500" s="38">
        <f>IF(R500="○",IF(SUM(AX$10:AX499)-ROUNDDOWN($K500*AX$5/100,0)&lt;-AX$6,-AX$6-SUM(AX$10:AX499),-ROUNDDOWN($K500*AX$5/100,0)),0)</f>
        <v>0</v>
      </c>
      <c r="AY500" s="70">
        <v>0</v>
      </c>
      <c r="AZ500" s="65">
        <f t="shared" si="319"/>
        <v>0</v>
      </c>
      <c r="BA500" s="65">
        <f t="shared" si="320"/>
        <v>0</v>
      </c>
      <c r="BB500" s="70"/>
      <c r="BC500" s="65">
        <f t="shared" si="321"/>
        <v>0</v>
      </c>
      <c r="BD500" s="70">
        <v>0</v>
      </c>
      <c r="BE500" s="65">
        <f t="shared" si="322"/>
        <v>0</v>
      </c>
      <c r="BF500" s="70">
        <v>0</v>
      </c>
      <c r="BG500" s="65">
        <f t="shared" si="323"/>
        <v>0</v>
      </c>
      <c r="BH500" s="70">
        <v>0</v>
      </c>
      <c r="BI500" s="65">
        <f t="shared" si="324"/>
        <v>0</v>
      </c>
      <c r="BJ500" s="38">
        <f>IF(AND(BJ$7="○",$A500&gt;=BJ$8,$A500&lt;=BJ$9),IF(SUM(BJ$10:BJ499)-ROUNDDOWN($M500*BJ$5/100,0)&lt;-BJ$6,-BJ$6-SUM(BJ$10:BJ499),-ROUNDDOWN($M500*BJ$5/100,0)),0)</f>
        <v>0</v>
      </c>
      <c r="BK500" s="38">
        <f>IF(AND(BK$7="○",$A500&gt;=BK$8,$A500&lt;=BK$9),IF(SUM(BK$10:BK499)-ROUNDDOWN($L500*BK$5/100,0)&lt;-BK$6,-BK$6-SUM(BK$10:BK499),-ROUNDDOWN($L500*BK$5/100,0)),0)</f>
        <v>0</v>
      </c>
      <c r="BL500" s="38">
        <f>IF(AND(BL$7="○",$A500&gt;=BL$8,$A500&lt;=BL$9),IF(SUM(BL$10:BL499)-ROUNDDOWN($L500*BL$5/100,0)&lt;-BL$6,-BL$6-SUM(BL$10:BL499),-ROUNDDOWN($L500*BL$5/100,0)),0)</f>
        <v>0</v>
      </c>
      <c r="BM500" s="38">
        <f>IF(AND(BM$7="○",$A500&gt;=BM$8,$A500&lt;=BM$9),IF(SUM(BM$10:BM499)-ROUNDDOWN($M500*BM$5/100,0)&lt;-BM$6,-BM$6-SUM(BM$10:BM499),-ROUNDDOWN($M500*BM$5/100,0)),0)</f>
        <v>0</v>
      </c>
      <c r="BN500" s="38">
        <f>IF(AND(BN$7="○",$A500&gt;=BN$8,$A500&lt;=BN$9),IF(SUM(BN$10:BN499)-ROUNDDOWN($M500*BN$5/100,0)&lt;-BN$6,-BN$6-SUM(BN$10:BN499),-ROUNDDOWN($M500*BN$5/100,0)),0)</f>
        <v>0</v>
      </c>
      <c r="BO500" s="38">
        <f>IF(AND(BO$7="○",$A500&gt;=BO$8,$A500&lt;=BO$9),IF(SUM(BO$10:BO499)-ROUNDDOWN($M500*BO$5/100,0)&lt;-BO$6,-BO$6-SUM(BO$10:BO499),-ROUNDDOWN($M500*BO$5/100,0)),0)</f>
        <v>0</v>
      </c>
      <c r="BP500" s="38">
        <f>IF(AND(BP$7="○",$A500&gt;=BP$8,$A500&lt;=BP$9),IF(SUM(BP$10:BP499)-ROUNDDOWN($M500*BP$5/100,0)&lt;-BP$6,-BP$6-SUM(BP$10:BP499),-ROUNDDOWN($M500*BP$5/100,0)),0)</f>
        <v>0</v>
      </c>
      <c r="BQ500" s="38">
        <f>IF(AND(BQ$7="○",$A500&gt;=BQ$8,$A500&lt;=BQ$9),IF(SUM(BQ$10:BQ499)-ROUNDDOWN($L500*BQ$5/100,0)&lt;-BQ$6,-BQ$6-SUM(BQ$10:BQ499),-ROUNDDOWN($L500*BQ$5/100,0)),0)</f>
        <v>0</v>
      </c>
      <c r="BR500" s="38">
        <f>IF(AND(BR$7="○",$A500&gt;=BR$8,$A500&lt;=BR$9),IF(SUM(BR$10:BR499)-ROUNDDOWN($M500*BR$5/100,0)&lt;-BR$6,-BR$6-SUM(BR$10:BR499),-ROUNDDOWN($M500*BR$5/100,0)),0)</f>
        <v>0</v>
      </c>
      <c r="BS500" s="38">
        <f>IF(AND(BS$7="○",$A500&gt;=BS$8,$A500&lt;=BS$9),IF(SUM(BS$10:BS499)-ROUNDDOWN($M500*BS$5/100,0)&lt;-BS$6,-BS$6-SUM(BS$10:BS499),-ROUNDDOWN($M500*BS$5/100,0)),0)</f>
        <v>0</v>
      </c>
      <c r="BT500" s="38">
        <f>IF(AND(BT$7="○",$A500&gt;=BT$8,$A500&lt;=BT$9),IF(SUM(BT$10:BT499)-ROUNDDOWN($M500*BT$5/100,0)&lt;-BT$6,-BT$6-SUM(BT$10:BT499),-ROUNDDOWN($M500*BT$5/100,0)),0)</f>
        <v>0</v>
      </c>
      <c r="BU500" s="38">
        <f>IF(AND(BU$7="○",$A500&gt;=BU$8,$A500&lt;=BU$9),IF(SUM(BU$10:BU499)-ROUNDDOWN($M500*BU$5/100,0)&lt;-BU$6,-BU$6-SUM(BU$10:BU499),-ROUNDDOWN($M500*BU$5/100,0)),0)</f>
        <v>0</v>
      </c>
      <c r="BV500" s="38">
        <f>IF(AND(BV$7="○",$A500&gt;=BV$8,$A500&lt;=BV$9),IF(SUM(BV$10:BV499)-ROUNDDOWN($M500*BV$5/100,0)&lt;-BV$6,-BV$6-SUM(BV$10:BV499),-ROUNDDOWN($M500*BV$5/100,0)),0)</f>
        <v>0</v>
      </c>
      <c r="BW500" s="38">
        <f>IF(AND(BW$7="○",$A500&gt;=BW$8,$A500&lt;=BW$9),IF(SUM(BW$10:BW499)-ROUNDDOWN($M500*BW$5/100,0)&lt;-BW$6,-BW$6-SUM(BW$10:BW499),-ROUNDDOWN($M500*BW$5/100,0)),0)</f>
        <v>0</v>
      </c>
      <c r="BX500" s="38">
        <f>IF(AND(T500="○",$A500&gt;=BX$8,$A500&lt;=BX$9),IF(SUM(BX$10:BX499)-ROUNDDOWN($K500*BX$5/100,0)&lt;-BX$6,-BX$6-SUM(BX$10:BX499),-ROUNDDOWN($K500*BX$5/100,0)),0)</f>
        <v>0</v>
      </c>
      <c r="BY500" s="38">
        <f>IF(AND(U500="○",$A500&gt;=BY$8,$A500&lt;=BY$9),IF(SUM(BY$10:BY499)-ROUNDDOWN($K500*BY$5/100,0)&lt;-BY$6,-BY$6-SUM(BY$10:BY499),-ROUNDDOWN($K500*BY$5/100,0)),0)</f>
        <v>0</v>
      </c>
      <c r="BZ500" s="38">
        <f>IF(AND(V500="○",$A500&gt;=BZ$8,$A500&lt;=BZ$9),IF(SUM(BZ$10:BZ499)-ROUNDDOWN($K500*BZ$5/100,0)&lt;-BZ$6,-BZ$6-SUM(BZ$10:BZ499),-ROUNDDOWN($K500*BZ$5/100,0)),0)</f>
        <v>0</v>
      </c>
      <c r="CA500" s="38">
        <f>IF(AND(W500="○",$A500&gt;=CA$8,$A500&lt;=CA$9),IF(SUM(CA$10:CA499)-ROUNDDOWN($K500*CA$5/100,0)&lt;-CA$6,-CA$6-SUM(CA$10:CA499),-ROUNDDOWN($K500*CA$5/100,0)),0)</f>
        <v>0</v>
      </c>
      <c r="CB500" s="38"/>
      <c r="CC500" s="38"/>
      <c r="CD500" s="38"/>
      <c r="CE500" s="38"/>
      <c r="CF500" s="38"/>
      <c r="CG500" s="65">
        <f t="shared" si="325"/>
        <v>0</v>
      </c>
      <c r="CH500" s="71">
        <f t="shared" si="326"/>
        <v>0</v>
      </c>
      <c r="CI500" s="1">
        <f t="shared" si="337"/>
        <v>0</v>
      </c>
      <c r="CJ500" s="1"/>
      <c r="CK500" s="72"/>
      <c r="CL500" s="72"/>
      <c r="CM500" s="2"/>
      <c r="CN500" s="2"/>
      <c r="CO500" s="73">
        <f t="shared" si="338"/>
        <v>0</v>
      </c>
      <c r="CP500" s="5">
        <f t="shared" si="339"/>
        <v>0</v>
      </c>
      <c r="CQ500" s="1"/>
      <c r="CR500" s="1">
        <f t="shared" si="340"/>
        <v>0</v>
      </c>
      <c r="CS500" s="1"/>
      <c r="CT500" s="1" t="e">
        <f>INDEX([2]マスタ!$A:$A,MATCH(D500,[2]マスタ!$C:$C,0))</f>
        <v>#N/A</v>
      </c>
      <c r="CU500" s="1" t="str">
        <f t="shared" ca="1" si="341"/>
        <v>20260620_0-0</v>
      </c>
    </row>
    <row r="501" spans="1:99" x14ac:dyDescent="0.4">
      <c r="A501" s="61"/>
      <c r="B501" s="62"/>
      <c r="C501" s="62"/>
      <c r="D501" s="62"/>
      <c r="E501" s="74"/>
      <c r="F501" s="62"/>
      <c r="G501" s="62">
        <v>1</v>
      </c>
      <c r="H501" s="64">
        <f t="shared" si="331"/>
        <v>0</v>
      </c>
      <c r="I501" s="64"/>
      <c r="J501" s="64"/>
      <c r="K501" s="65">
        <f t="shared" si="332"/>
        <v>0</v>
      </c>
      <c r="L501" s="65">
        <f t="shared" si="333"/>
        <v>0</v>
      </c>
      <c r="M501" s="65">
        <f t="shared" si="334"/>
        <v>0</v>
      </c>
      <c r="N501" s="65">
        <f t="shared" si="335"/>
        <v>0</v>
      </c>
      <c r="O501" s="66" t="str">
        <f t="shared" si="9"/>
        <v>✕</v>
      </c>
      <c r="P501" s="67" t="str">
        <f t="shared" si="10"/>
        <v>○</v>
      </c>
      <c r="Q501" s="67" t="str">
        <f t="shared" si="336"/>
        <v>✕</v>
      </c>
      <c r="R501" s="67" t="str">
        <f t="shared" si="12"/>
        <v>✕</v>
      </c>
      <c r="S501" s="68">
        <v>0</v>
      </c>
      <c r="T501" s="69" t="s">
        <v>85</v>
      </c>
      <c r="U501" s="69" t="s">
        <v>85</v>
      </c>
      <c r="V501" s="69" t="s">
        <v>85</v>
      </c>
      <c r="W501" s="69" t="s">
        <v>85</v>
      </c>
      <c r="X501" s="69" t="s">
        <v>84</v>
      </c>
      <c r="Y501" s="69" t="s">
        <v>85</v>
      </c>
      <c r="Z501" s="69" t="s">
        <v>85</v>
      </c>
      <c r="AA501" s="69" t="s">
        <v>85</v>
      </c>
      <c r="AB501" s="69" t="s">
        <v>85</v>
      </c>
      <c r="AC501" s="69" t="s">
        <v>85</v>
      </c>
      <c r="AD501" s="38" t="str">
        <f>+IF(ISERROR(VLOOKUP($B501,AD$10:AD500,1,0)),IF(AND($N501&gt;=1000,$A501&gt;=AO$8,$A501&lt;=AO$9),$B501,""),"")</f>
        <v/>
      </c>
      <c r="AE501" s="38" t="str">
        <f>+IF(ISERROR(VLOOKUP($B501,AE$10:AE500,1,0)),IF(AND($N501&gt;=1000,$A501&gt;=AP$8,$A501&lt;=AP$9),$B501,""),"")</f>
        <v/>
      </c>
      <c r="AF501" s="38" t="str">
        <f>+IF(ISERROR(VLOOKUP($B501,AF$10:AF500,1,0)),IF(AND($N501&gt;=1000,$A501&gt;=AQ$8,$A501&lt;=AQ$9),$B501,""),"")</f>
        <v/>
      </c>
      <c r="AG501" s="38" t="str">
        <f>+IF(ISERROR(VLOOKUP($B501,AG$10:AG500,1,0)),IF(AND($N501&gt;=1000,$A501&gt;=AR$8,$A501&lt;=AR$9),$B501,""),"")</f>
        <v/>
      </c>
      <c r="AH501" s="38"/>
      <c r="AI501" s="70">
        <v>0</v>
      </c>
      <c r="AJ501" s="38">
        <f>IF(AND(AJ$7="○",$A501&gt;=AJ$8,$A501&lt;=AJ$9),IF(SUM(AJ$10:AJ500)-ROUNDDOWN($K501*AJ$5/100,0)&lt;-AJ$6,-AJ$6-SUM(AJ$10:AJ500),-ROUNDDOWN($K501*AJ$5/100,0)),0)</f>
        <v>0</v>
      </c>
      <c r="AK501" s="38">
        <f>IF(AND(AK$7="○",$A501&gt;=AK$8,$A501&lt;=AK$9),IF(SUM(AK$10:AK500)-ROUNDDOWN($L501*AK$5/100,0)&lt;-AK$6,-AK$6-SUM(AK$10:AK500),-ROUNDDOWN($L501*AK$5/100,0)),0)</f>
        <v>0</v>
      </c>
      <c r="AL501" s="38">
        <f>IF(AND(AL$7="○",$A501&gt;=AL$8,$A501&lt;=AL$9),IF(SUM(AL$10:AL500)-ROUNDDOWN($N501*AL$5/100,0)&lt;-AL$6,-AL$6-SUM(AL$10:AL500),-ROUNDDOWN($N501*AL$5/100,0)),0)</f>
        <v>0</v>
      </c>
      <c r="AM501" s="38">
        <f>IF(AND(AM$7="○",$A501&gt;=AM$8,$A501&lt;=AM$9),IF(SUM(AM$10:AM500)-ROUNDDOWN($L501*AM$5/100,0)&lt;-AM$6,-AM$6-SUM(AM$10:AM500),-ROUNDDOWN($L501*AM$5/100,0)),0)</f>
        <v>0</v>
      </c>
      <c r="AN501" s="38">
        <f>IF(AND(AN$7="○",$A501&gt;=AN$8,$A501&lt;=AN$9),IF(SUM(AN$10:AN500)-ROUNDDOWN($M501*AN$5/100,0)&lt;-AN$6,-AN$6-SUM(AN$10:AN500),-ROUNDDOWN($M501*AN$5/100,0)),0)</f>
        <v>0</v>
      </c>
      <c r="AO501" s="38">
        <f>IF(AND($A501&gt;=AO$8,$A501&lt;=AO$9),IF(SUM(AO$10:AO500)-ROUNDDOWN($K501*AO$5/100,0)&lt;-AO$6,-AO$6-SUM(AO$10:AO500),-ROUNDDOWN($K501*AO$5/100,0)),0)</f>
        <v>0</v>
      </c>
      <c r="AP501" s="38">
        <f>IF(AND($A501&gt;=AP$8,$A501&lt;=AP$9),IF(SUM(AP$10:AP500)-ROUNDDOWN($K501*AP$5/100,0)&lt;-AP$6,-AP$6-SUM(AP$10:AP500),-ROUNDDOWN($K501*AP$5/100,0)),0)</f>
        <v>0</v>
      </c>
      <c r="AQ501" s="38">
        <f>IF(AND($A501&gt;=AQ$8,$A501&lt;=AQ$9),IF(SUM(AQ$10:AQ500)-ROUNDDOWN($K501*AQ$5/100,0)&lt;-AQ$6,-AQ$6-SUM(AQ$10:AQ500),-ROUNDDOWN($K501*AQ$5/100,0)),0)</f>
        <v>0</v>
      </c>
      <c r="AR501" s="38">
        <f>IF(AND($A501&gt;=AR$8,$A501&lt;=AR$9),IF(SUM(AR$10:AR500)-ROUNDDOWN($K501*AR$5/100,0)&lt;-AR$6,-AR$6-SUM(AR$10:AR500),-ROUNDDOWN($K501*AR$5/100,0)),0)</f>
        <v>0</v>
      </c>
      <c r="AS501" s="38">
        <f>IF(SUMIFS(AS$10:AS500,$A$10:$A500,$A501)-ROUNDDOWN($K501*$S501/100,0)&lt;-$S501*1000,-$S501*1000-SUMIFS(AS$10:AS500,$A$10:$A500,$A501),-ROUNDDOWN($K501*$S501/100,0))</f>
        <v>0</v>
      </c>
      <c r="AT501" s="38">
        <f>IF(AND(X501="○",$A501&gt;=AT$8,$A501&lt;=AT$9,K501&gt;=3980),IF(SUM(AT$10:AT500)-ROUNDDOWN($K501*AT$5/100,0)&lt;-AT$6,-AT$6-SUM(AT$10:AT500),-ROUNDDOWN($K501*AT$5/100,0)),0)</f>
        <v>0</v>
      </c>
      <c r="AU501" s="38">
        <f>IF(O501="○",IF(SUM(AU$10:AU500)-ROUNDDOWN($K501*AU$5/100,0)&lt;-AU$6,-AU$6-SUM(AU$10:AU500),-ROUNDDOWN($K501*AU$5/100,0)),0)</f>
        <v>0</v>
      </c>
      <c r="AV501" s="38">
        <f>IF(P501="○",IF(SUM(AV$10:AV500)-ROUNDDOWN($K501*AV$5/100,0)&lt;-AV$6,-AV$6-SUM(AV$10:AV500),-ROUNDDOWN($K501*AV$5/100,0)),0)</f>
        <v>0</v>
      </c>
      <c r="AW501" s="38">
        <f>IF(Q501="○",IF(SUM(AW$10:AW500)-ROUNDDOWN($K501*AW$5/100,0)&lt;-AW$6,-AW$6-SUM(AW$10:AW500),-ROUNDDOWN($K501*AW$5/100,0)),0)</f>
        <v>0</v>
      </c>
      <c r="AX501" s="38">
        <f>IF(R501="○",IF(SUM(AX$10:AX500)-ROUNDDOWN($K501*AX$5/100,0)&lt;-AX$6,-AX$6-SUM(AX$10:AX500),-ROUNDDOWN($K501*AX$5/100,0)),0)</f>
        <v>0</v>
      </c>
      <c r="AY501" s="70">
        <v>0</v>
      </c>
      <c r="AZ501" s="65">
        <f t="shared" si="319"/>
        <v>0</v>
      </c>
      <c r="BA501" s="65">
        <f t="shared" si="320"/>
        <v>0</v>
      </c>
      <c r="BB501" s="70"/>
      <c r="BC501" s="65">
        <f t="shared" si="321"/>
        <v>0</v>
      </c>
      <c r="BD501" s="70">
        <v>0</v>
      </c>
      <c r="BE501" s="65">
        <f t="shared" si="322"/>
        <v>0</v>
      </c>
      <c r="BF501" s="70">
        <v>0</v>
      </c>
      <c r="BG501" s="65">
        <f t="shared" si="323"/>
        <v>0</v>
      </c>
      <c r="BH501" s="70">
        <v>0</v>
      </c>
      <c r="BI501" s="65">
        <f t="shared" si="324"/>
        <v>0</v>
      </c>
      <c r="BJ501" s="38">
        <f>IF(AND(BJ$7="○",$A501&gt;=BJ$8,$A501&lt;=BJ$9),IF(SUM(BJ$10:BJ500)-ROUNDDOWN($M501*BJ$5/100,0)&lt;-BJ$6,-BJ$6-SUM(BJ$10:BJ500),-ROUNDDOWN($M501*BJ$5/100,0)),0)</f>
        <v>0</v>
      </c>
      <c r="BK501" s="38">
        <f>IF(AND(BK$7="○",$A501&gt;=BK$8,$A501&lt;=BK$9),IF(SUM(BK$10:BK500)-ROUNDDOWN($L501*BK$5/100,0)&lt;-BK$6,-BK$6-SUM(BK$10:BK500),-ROUNDDOWN($L501*BK$5/100,0)),0)</f>
        <v>0</v>
      </c>
      <c r="BL501" s="38">
        <f>IF(AND(BL$7="○",$A501&gt;=BL$8,$A501&lt;=BL$9),IF(SUM(BL$10:BL500)-ROUNDDOWN($L501*BL$5/100,0)&lt;-BL$6,-BL$6-SUM(BL$10:BL500),-ROUNDDOWN($L501*BL$5/100,0)),0)</f>
        <v>0</v>
      </c>
      <c r="BM501" s="38">
        <f>IF(AND(BM$7="○",$A501&gt;=BM$8,$A501&lt;=BM$9),IF(SUM(BM$10:BM500)-ROUNDDOWN($M501*BM$5/100,0)&lt;-BM$6,-BM$6-SUM(BM$10:BM500),-ROUNDDOWN($M501*BM$5/100,0)),0)</f>
        <v>0</v>
      </c>
      <c r="BN501" s="38">
        <f>IF(AND(BN$7="○",$A501&gt;=BN$8,$A501&lt;=BN$9),IF(SUM(BN$10:BN500)-ROUNDDOWN($M501*BN$5/100,0)&lt;-BN$6,-BN$6-SUM(BN$10:BN500),-ROUNDDOWN($M501*BN$5/100,0)),0)</f>
        <v>0</v>
      </c>
      <c r="BO501" s="38">
        <f>IF(AND(BO$7="○",$A501&gt;=BO$8,$A501&lt;=BO$9),IF(SUM(BO$10:BO500)-ROUNDDOWN($M501*BO$5/100,0)&lt;-BO$6,-BO$6-SUM(BO$10:BO500),-ROUNDDOWN($M501*BO$5/100,0)),0)</f>
        <v>0</v>
      </c>
      <c r="BP501" s="38">
        <f>IF(AND(BP$7="○",$A501&gt;=BP$8,$A501&lt;=BP$9),IF(SUM(BP$10:BP500)-ROUNDDOWN($M501*BP$5/100,0)&lt;-BP$6,-BP$6-SUM(BP$10:BP500),-ROUNDDOWN($M501*BP$5/100,0)),0)</f>
        <v>0</v>
      </c>
      <c r="BQ501" s="38">
        <f>IF(AND(BQ$7="○",$A501&gt;=BQ$8,$A501&lt;=BQ$9),IF(SUM(BQ$10:BQ500)-ROUNDDOWN($L501*BQ$5/100,0)&lt;-BQ$6,-BQ$6-SUM(BQ$10:BQ500),-ROUNDDOWN($L501*BQ$5/100,0)),0)</f>
        <v>0</v>
      </c>
      <c r="BR501" s="38">
        <f>IF(AND(BR$7="○",$A501&gt;=BR$8,$A501&lt;=BR$9),IF(SUM(BR$10:BR500)-ROUNDDOWN($M501*BR$5/100,0)&lt;-BR$6,-BR$6-SUM(BR$10:BR500),-ROUNDDOWN($M501*BR$5/100,0)),0)</f>
        <v>0</v>
      </c>
      <c r="BS501" s="38">
        <f>IF(AND(BS$7="○",$A501&gt;=BS$8,$A501&lt;=BS$9),IF(SUM(BS$10:BS500)-ROUNDDOWN($M501*BS$5/100,0)&lt;-BS$6,-BS$6-SUM(BS$10:BS500),-ROUNDDOWN($M501*BS$5/100,0)),0)</f>
        <v>0</v>
      </c>
      <c r="BT501" s="38">
        <f>IF(AND(BT$7="○",$A501&gt;=BT$8,$A501&lt;=BT$9),IF(SUM(BT$10:BT500)-ROUNDDOWN($M501*BT$5/100,0)&lt;-BT$6,-BT$6-SUM(BT$10:BT500),-ROUNDDOWN($M501*BT$5/100,0)),0)</f>
        <v>0</v>
      </c>
      <c r="BU501" s="38">
        <f>IF(AND(BU$7="○",$A501&gt;=BU$8,$A501&lt;=BU$9),IF(SUM(BU$10:BU500)-ROUNDDOWN($M501*BU$5/100,0)&lt;-BU$6,-BU$6-SUM(BU$10:BU500),-ROUNDDOWN($M501*BU$5/100,0)),0)</f>
        <v>0</v>
      </c>
      <c r="BV501" s="38">
        <f>IF(AND(BV$7="○",$A501&gt;=BV$8,$A501&lt;=BV$9),IF(SUM(BV$10:BV500)-ROUNDDOWN($M501*BV$5/100,0)&lt;-BV$6,-BV$6-SUM(BV$10:BV500),-ROUNDDOWN($M501*BV$5/100,0)),0)</f>
        <v>0</v>
      </c>
      <c r="BW501" s="38">
        <f>IF(AND(BW$7="○",$A501&gt;=BW$8,$A501&lt;=BW$9),IF(SUM(BW$10:BW500)-ROUNDDOWN($M501*BW$5/100,0)&lt;-BW$6,-BW$6-SUM(BW$10:BW500),-ROUNDDOWN($M501*BW$5/100,0)),0)</f>
        <v>0</v>
      </c>
      <c r="BX501" s="38">
        <f>IF(AND(T501="○",$A501&gt;=BX$8,$A501&lt;=BX$9),IF(SUM(BX$10:BX500)-ROUNDDOWN($K501*BX$5/100,0)&lt;-BX$6,-BX$6-SUM(BX$10:BX500),-ROUNDDOWN($K501*BX$5/100,0)),0)</f>
        <v>0</v>
      </c>
      <c r="BY501" s="38">
        <f>IF(AND(U501="○",$A501&gt;=BY$8,$A501&lt;=BY$9),IF(SUM(BY$10:BY500)-ROUNDDOWN($K501*BY$5/100,0)&lt;-BY$6,-BY$6-SUM(BY$10:BY500),-ROUNDDOWN($K501*BY$5/100,0)),0)</f>
        <v>0</v>
      </c>
      <c r="BZ501" s="38">
        <f>IF(AND(V501="○",$A501&gt;=BZ$8,$A501&lt;=BZ$9),IF(SUM(BZ$10:BZ500)-ROUNDDOWN($K501*BZ$5/100,0)&lt;-BZ$6,-BZ$6-SUM(BZ$10:BZ500),-ROUNDDOWN($K501*BZ$5/100,0)),0)</f>
        <v>0</v>
      </c>
      <c r="CA501" s="38">
        <f>IF(AND(W501="○",$A501&gt;=CA$8,$A501&lt;=CA$9),IF(SUM(CA$10:CA500)-ROUNDDOWN($K501*CA$5/100,0)&lt;-CA$6,-CA$6-SUM(CA$10:CA500),-ROUNDDOWN($K501*CA$5/100,0)),0)</f>
        <v>0</v>
      </c>
      <c r="CB501" s="38"/>
      <c r="CC501" s="38"/>
      <c r="CD501" s="38"/>
      <c r="CE501" s="38"/>
      <c r="CF501" s="38"/>
      <c r="CG501" s="65">
        <f t="shared" si="325"/>
        <v>0</v>
      </c>
      <c r="CH501" s="71">
        <f t="shared" si="326"/>
        <v>0</v>
      </c>
      <c r="CI501" s="1">
        <f t="shared" si="337"/>
        <v>0</v>
      </c>
      <c r="CJ501" s="1"/>
      <c r="CK501" s="72"/>
      <c r="CL501" s="72"/>
      <c r="CM501" s="2"/>
      <c r="CN501" s="2"/>
      <c r="CO501" s="73">
        <f t="shared" si="338"/>
        <v>0</v>
      </c>
      <c r="CP501" s="5">
        <f t="shared" si="339"/>
        <v>0</v>
      </c>
      <c r="CQ501" s="1"/>
      <c r="CR501" s="1">
        <f t="shared" si="340"/>
        <v>0</v>
      </c>
      <c r="CS501" s="1"/>
      <c r="CT501" s="1" t="e">
        <f>INDEX([2]マスタ!$A:$A,MATCH(D501,[2]マスタ!$C:$C,0))</f>
        <v>#N/A</v>
      </c>
      <c r="CU501" s="1" t="str">
        <f t="shared" ca="1" si="341"/>
        <v>20260620_0-0</v>
      </c>
    </row>
    <row r="502" spans="1:99" x14ac:dyDescent="0.4">
      <c r="A502" s="61"/>
      <c r="B502" s="62"/>
      <c r="C502" s="62"/>
      <c r="D502" s="62"/>
      <c r="E502" s="74"/>
      <c r="F502" s="62"/>
      <c r="G502" s="62">
        <v>1</v>
      </c>
      <c r="H502" s="64">
        <f t="shared" si="331"/>
        <v>0</v>
      </c>
      <c r="I502" s="64"/>
      <c r="J502" s="64"/>
      <c r="K502" s="65">
        <f t="shared" si="332"/>
        <v>0</v>
      </c>
      <c r="L502" s="65">
        <f t="shared" si="333"/>
        <v>0</v>
      </c>
      <c r="M502" s="65">
        <f t="shared" si="334"/>
        <v>0</v>
      </c>
      <c r="N502" s="65">
        <f t="shared" si="335"/>
        <v>0</v>
      </c>
      <c r="O502" s="66" t="str">
        <f t="shared" si="9"/>
        <v>✕</v>
      </c>
      <c r="P502" s="67" t="str">
        <f t="shared" si="10"/>
        <v>○</v>
      </c>
      <c r="Q502" s="67" t="str">
        <f t="shared" si="336"/>
        <v>✕</v>
      </c>
      <c r="R502" s="67" t="str">
        <f t="shared" si="12"/>
        <v>✕</v>
      </c>
      <c r="S502" s="68">
        <v>0</v>
      </c>
      <c r="T502" s="69" t="s">
        <v>85</v>
      </c>
      <c r="U502" s="69" t="s">
        <v>85</v>
      </c>
      <c r="V502" s="69" t="s">
        <v>85</v>
      </c>
      <c r="W502" s="69" t="s">
        <v>85</v>
      </c>
      <c r="X502" s="69" t="s">
        <v>84</v>
      </c>
      <c r="Y502" s="69" t="s">
        <v>85</v>
      </c>
      <c r="Z502" s="69" t="s">
        <v>85</v>
      </c>
      <c r="AA502" s="69" t="s">
        <v>85</v>
      </c>
      <c r="AB502" s="69" t="s">
        <v>85</v>
      </c>
      <c r="AC502" s="69" t="s">
        <v>85</v>
      </c>
      <c r="AD502" s="38" t="str">
        <f>+IF(ISERROR(VLOOKUP($B502,AD$10:AD501,1,0)),IF(AND($N502&gt;=1000,$A502&gt;=AO$8,$A502&lt;=AO$9),$B502,""),"")</f>
        <v/>
      </c>
      <c r="AE502" s="38" t="str">
        <f>+IF(ISERROR(VLOOKUP($B502,AE$10:AE501,1,0)),IF(AND($N502&gt;=1000,$A502&gt;=AP$8,$A502&lt;=AP$9),$B502,""),"")</f>
        <v/>
      </c>
      <c r="AF502" s="38" t="str">
        <f>+IF(ISERROR(VLOOKUP($B502,AF$10:AF501,1,0)),IF(AND($N502&gt;=1000,$A502&gt;=AQ$8,$A502&lt;=AQ$9),$B502,""),"")</f>
        <v/>
      </c>
      <c r="AG502" s="38" t="str">
        <f>+IF(ISERROR(VLOOKUP($B502,AG$10:AG501,1,0)),IF(AND($N502&gt;=1000,$A502&gt;=AR$8,$A502&lt;=AR$9),$B502,""),"")</f>
        <v/>
      </c>
      <c r="AH502" s="38"/>
      <c r="AI502" s="70">
        <v>0</v>
      </c>
      <c r="AJ502" s="38">
        <f>IF(AND(AJ$7="○",$A502&gt;=AJ$8,$A502&lt;=AJ$9),IF(SUM(AJ$10:AJ501)-ROUNDDOWN($K502*AJ$5/100,0)&lt;-AJ$6,-AJ$6-SUM(AJ$10:AJ501),-ROUNDDOWN($K502*AJ$5/100,0)),0)</f>
        <v>0</v>
      </c>
      <c r="AK502" s="38">
        <f>IF(AND(AK$7="○",$A502&gt;=AK$8,$A502&lt;=AK$9),IF(SUM(AK$10:AK501)-ROUNDDOWN($L502*AK$5/100,0)&lt;-AK$6,-AK$6-SUM(AK$10:AK501),-ROUNDDOWN($L502*AK$5/100,0)),0)</f>
        <v>0</v>
      </c>
      <c r="AL502" s="38">
        <f>IF(AND(AL$7="○",$A502&gt;=AL$8,$A502&lt;=AL$9),IF(SUM(AL$10:AL501)-ROUNDDOWN($N502*AL$5/100,0)&lt;-AL$6,-AL$6-SUM(AL$10:AL501),-ROUNDDOWN($N502*AL$5/100,0)),0)</f>
        <v>0</v>
      </c>
      <c r="AM502" s="38">
        <f>IF(AND(AM$7="○",$A502&gt;=AM$8,$A502&lt;=AM$9),IF(SUM(AM$10:AM501)-ROUNDDOWN($L502*AM$5/100,0)&lt;-AM$6,-AM$6-SUM(AM$10:AM501),-ROUNDDOWN($L502*AM$5/100,0)),0)</f>
        <v>0</v>
      </c>
      <c r="AN502" s="38">
        <f>IF(AND(AN$7="○",$A502&gt;=AN$8,$A502&lt;=AN$9),IF(SUM(AN$10:AN501)-ROUNDDOWN($M502*AN$5/100,0)&lt;-AN$6,-AN$6-SUM(AN$10:AN501),-ROUNDDOWN($M502*AN$5/100,0)),0)</f>
        <v>0</v>
      </c>
      <c r="AO502" s="38">
        <f>IF(AND($A502&gt;=AO$8,$A502&lt;=AO$9),IF(SUM(AO$10:AO501)-ROUNDDOWN($K502*AO$5/100,0)&lt;-AO$6,-AO$6-SUM(AO$10:AO501),-ROUNDDOWN($K502*AO$5/100,0)),0)</f>
        <v>0</v>
      </c>
      <c r="AP502" s="38">
        <f>IF(AND($A502&gt;=AP$8,$A502&lt;=AP$9),IF(SUM(AP$10:AP501)-ROUNDDOWN($K502*AP$5/100,0)&lt;-AP$6,-AP$6-SUM(AP$10:AP501),-ROUNDDOWN($K502*AP$5/100,0)),0)</f>
        <v>0</v>
      </c>
      <c r="AQ502" s="38">
        <f>IF(AND($A502&gt;=AQ$8,$A502&lt;=AQ$9),IF(SUM(AQ$10:AQ501)-ROUNDDOWN($K502*AQ$5/100,0)&lt;-AQ$6,-AQ$6-SUM(AQ$10:AQ501),-ROUNDDOWN($K502*AQ$5/100,0)),0)</f>
        <v>0</v>
      </c>
      <c r="AR502" s="38">
        <f>IF(AND($A502&gt;=AR$8,$A502&lt;=AR$9),IF(SUM(AR$10:AR501)-ROUNDDOWN($K502*AR$5/100,0)&lt;-AR$6,-AR$6-SUM(AR$10:AR501),-ROUNDDOWN($K502*AR$5/100,0)),0)</f>
        <v>0</v>
      </c>
      <c r="AS502" s="38">
        <f>IF(SUMIFS(AS$10:AS501,$A$10:$A501,$A502)-ROUNDDOWN($K502*$S502/100,0)&lt;-$S502*1000,-$S502*1000-SUMIFS(AS$10:AS501,$A$10:$A501,$A502),-ROUNDDOWN($K502*$S502/100,0))</f>
        <v>0</v>
      </c>
      <c r="AT502" s="38">
        <f>IF(AND(X502="○",$A502&gt;=AT$8,$A502&lt;=AT$9,K502&gt;=3980),IF(SUM(AT$10:AT501)-ROUNDDOWN($K502*AT$5/100,0)&lt;-AT$6,-AT$6-SUM(AT$10:AT501),-ROUNDDOWN($K502*AT$5/100,0)),0)</f>
        <v>0</v>
      </c>
      <c r="AU502" s="38">
        <f>IF(O502="○",IF(SUM(AU$10:AU501)-ROUNDDOWN($K502*AU$5/100,0)&lt;-AU$6,-AU$6-SUM(AU$10:AU501),-ROUNDDOWN($K502*AU$5/100,0)),0)</f>
        <v>0</v>
      </c>
      <c r="AV502" s="38">
        <f>IF(P502="○",IF(SUM(AV$10:AV501)-ROUNDDOWN($K502*AV$5/100,0)&lt;-AV$6,-AV$6-SUM(AV$10:AV501),-ROUNDDOWN($K502*AV$5/100,0)),0)</f>
        <v>0</v>
      </c>
      <c r="AW502" s="38">
        <f>IF(Q502="○",IF(SUM(AW$10:AW501)-ROUNDDOWN($K502*AW$5/100,0)&lt;-AW$6,-AW$6-SUM(AW$10:AW501),-ROUNDDOWN($K502*AW$5/100,0)),0)</f>
        <v>0</v>
      </c>
      <c r="AX502" s="38">
        <f>IF(R502="○",IF(SUM(AX$10:AX501)-ROUNDDOWN($K502*AX$5/100,0)&lt;-AX$6,-AX$6-SUM(AX$10:AX501),-ROUNDDOWN($K502*AX$5/100,0)),0)</f>
        <v>0</v>
      </c>
      <c r="AY502" s="70">
        <v>0</v>
      </c>
      <c r="AZ502" s="65">
        <f t="shared" si="319"/>
        <v>0</v>
      </c>
      <c r="BA502" s="65">
        <f t="shared" si="320"/>
        <v>0</v>
      </c>
      <c r="BB502" s="70"/>
      <c r="BC502" s="65">
        <f t="shared" si="321"/>
        <v>0</v>
      </c>
      <c r="BD502" s="70">
        <v>0</v>
      </c>
      <c r="BE502" s="65">
        <f t="shared" si="322"/>
        <v>0</v>
      </c>
      <c r="BF502" s="70">
        <v>0</v>
      </c>
      <c r="BG502" s="65">
        <f t="shared" si="323"/>
        <v>0</v>
      </c>
      <c r="BH502" s="70">
        <v>0</v>
      </c>
      <c r="BI502" s="65">
        <f t="shared" si="324"/>
        <v>0</v>
      </c>
      <c r="BJ502" s="38">
        <f>IF(AND(BJ$7="○",$A502&gt;=BJ$8,$A502&lt;=BJ$9),IF(SUM(BJ$10:BJ501)-ROUNDDOWN($M502*BJ$5/100,0)&lt;-BJ$6,-BJ$6-SUM(BJ$10:BJ501),-ROUNDDOWN($M502*BJ$5/100,0)),0)</f>
        <v>0</v>
      </c>
      <c r="BK502" s="38">
        <f>IF(AND(BK$7="○",$A502&gt;=BK$8,$A502&lt;=BK$9),IF(SUM(BK$10:BK501)-ROUNDDOWN($L502*BK$5/100,0)&lt;-BK$6,-BK$6-SUM(BK$10:BK501),-ROUNDDOWN($L502*BK$5/100,0)),0)</f>
        <v>0</v>
      </c>
      <c r="BL502" s="38">
        <f>IF(AND(BL$7="○",$A502&gt;=BL$8,$A502&lt;=BL$9),IF(SUM(BL$10:BL501)-ROUNDDOWN($L502*BL$5/100,0)&lt;-BL$6,-BL$6-SUM(BL$10:BL501),-ROUNDDOWN($L502*BL$5/100,0)),0)</f>
        <v>0</v>
      </c>
      <c r="BM502" s="38">
        <f>IF(AND(BM$7="○",$A502&gt;=BM$8,$A502&lt;=BM$9),IF(SUM(BM$10:BM501)-ROUNDDOWN($M502*BM$5/100,0)&lt;-BM$6,-BM$6-SUM(BM$10:BM501),-ROUNDDOWN($M502*BM$5/100,0)),0)</f>
        <v>0</v>
      </c>
      <c r="BN502" s="38">
        <f>IF(AND(BN$7="○",$A502&gt;=BN$8,$A502&lt;=BN$9),IF(SUM(BN$10:BN501)-ROUNDDOWN($M502*BN$5/100,0)&lt;-BN$6,-BN$6-SUM(BN$10:BN501),-ROUNDDOWN($M502*BN$5/100,0)),0)</f>
        <v>0</v>
      </c>
      <c r="BO502" s="38">
        <f>IF(AND(BO$7="○",$A502&gt;=BO$8,$A502&lt;=BO$9),IF(SUM(BO$10:BO501)-ROUNDDOWN($M502*BO$5/100,0)&lt;-BO$6,-BO$6-SUM(BO$10:BO501),-ROUNDDOWN($M502*BO$5/100,0)),0)</f>
        <v>0</v>
      </c>
      <c r="BP502" s="38">
        <f>IF(AND(BP$7="○",$A502&gt;=BP$8,$A502&lt;=BP$9),IF(SUM(BP$10:BP501)-ROUNDDOWN($M502*BP$5/100,0)&lt;-BP$6,-BP$6-SUM(BP$10:BP501),-ROUNDDOWN($M502*BP$5/100,0)),0)</f>
        <v>0</v>
      </c>
      <c r="BQ502" s="38">
        <f>IF(AND(BQ$7="○",$A502&gt;=BQ$8,$A502&lt;=BQ$9),IF(SUM(BQ$10:BQ501)-ROUNDDOWN($L502*BQ$5/100,0)&lt;-BQ$6,-BQ$6-SUM(BQ$10:BQ501),-ROUNDDOWN($L502*BQ$5/100,0)),0)</f>
        <v>0</v>
      </c>
      <c r="BR502" s="38">
        <f>IF(AND(BR$7="○",$A502&gt;=BR$8,$A502&lt;=BR$9),IF(SUM(BR$10:BR501)-ROUNDDOWN($M502*BR$5/100,0)&lt;-BR$6,-BR$6-SUM(BR$10:BR501),-ROUNDDOWN($M502*BR$5/100,0)),0)</f>
        <v>0</v>
      </c>
      <c r="BS502" s="38">
        <f>IF(AND(BS$7="○",$A502&gt;=BS$8,$A502&lt;=BS$9),IF(SUM(BS$10:BS501)-ROUNDDOWN($M502*BS$5/100,0)&lt;-BS$6,-BS$6-SUM(BS$10:BS501),-ROUNDDOWN($M502*BS$5/100,0)),0)</f>
        <v>0</v>
      </c>
      <c r="BT502" s="38">
        <f>IF(AND(BT$7="○",$A502&gt;=BT$8,$A502&lt;=BT$9),IF(SUM(BT$10:BT501)-ROUNDDOWN($M502*BT$5/100,0)&lt;-BT$6,-BT$6-SUM(BT$10:BT501),-ROUNDDOWN($M502*BT$5/100,0)),0)</f>
        <v>0</v>
      </c>
      <c r="BU502" s="38">
        <f>IF(AND(BU$7="○",$A502&gt;=BU$8,$A502&lt;=BU$9),IF(SUM(BU$10:BU501)-ROUNDDOWN($M502*BU$5/100,0)&lt;-BU$6,-BU$6-SUM(BU$10:BU501),-ROUNDDOWN($M502*BU$5/100,0)),0)</f>
        <v>0</v>
      </c>
      <c r="BV502" s="38">
        <f>IF(AND(BV$7="○",$A502&gt;=BV$8,$A502&lt;=BV$9),IF(SUM(BV$10:BV501)-ROUNDDOWN($M502*BV$5/100,0)&lt;-BV$6,-BV$6-SUM(BV$10:BV501),-ROUNDDOWN($M502*BV$5/100,0)),0)</f>
        <v>0</v>
      </c>
      <c r="BW502" s="38">
        <f>IF(AND(BW$7="○",$A502&gt;=BW$8,$A502&lt;=BW$9),IF(SUM(BW$10:BW501)-ROUNDDOWN($M502*BW$5/100,0)&lt;-BW$6,-BW$6-SUM(BW$10:BW501),-ROUNDDOWN($M502*BW$5/100,0)),0)</f>
        <v>0</v>
      </c>
      <c r="BX502" s="38">
        <f>IF(AND(T502="○",$A502&gt;=BX$8,$A502&lt;=BX$9),IF(SUM(BX$10:BX501)-ROUNDDOWN($K502*BX$5/100,0)&lt;-BX$6,-BX$6-SUM(BX$10:BX501),-ROUNDDOWN($K502*BX$5/100,0)),0)</f>
        <v>0</v>
      </c>
      <c r="BY502" s="38">
        <f>IF(AND(U502="○",$A502&gt;=BY$8,$A502&lt;=BY$9),IF(SUM(BY$10:BY501)-ROUNDDOWN($K502*BY$5/100,0)&lt;-BY$6,-BY$6-SUM(BY$10:BY501),-ROUNDDOWN($K502*BY$5/100,0)),0)</f>
        <v>0</v>
      </c>
      <c r="BZ502" s="38">
        <f>IF(AND(V502="○",$A502&gt;=BZ$8,$A502&lt;=BZ$9),IF(SUM(BZ$10:BZ501)-ROUNDDOWN($K502*BZ$5/100,0)&lt;-BZ$6,-BZ$6-SUM(BZ$10:BZ501),-ROUNDDOWN($K502*BZ$5/100,0)),0)</f>
        <v>0</v>
      </c>
      <c r="CA502" s="38">
        <f>IF(AND(W502="○",$A502&gt;=CA$8,$A502&lt;=CA$9),IF(SUM(CA$10:CA501)-ROUNDDOWN($K502*CA$5/100,0)&lt;-CA$6,-CA$6-SUM(CA$10:CA501),-ROUNDDOWN($K502*CA$5/100,0)),0)</f>
        <v>0</v>
      </c>
      <c r="CB502" s="38"/>
      <c r="CC502" s="38"/>
      <c r="CD502" s="38"/>
      <c r="CE502" s="38"/>
      <c r="CF502" s="38"/>
      <c r="CG502" s="65">
        <f t="shared" si="325"/>
        <v>0</v>
      </c>
      <c r="CH502" s="71">
        <f t="shared" si="326"/>
        <v>0</v>
      </c>
      <c r="CI502" s="1">
        <f t="shared" si="337"/>
        <v>0</v>
      </c>
      <c r="CJ502" s="1"/>
      <c r="CK502" s="72"/>
      <c r="CL502" s="72"/>
      <c r="CM502" s="2"/>
      <c r="CN502" s="2"/>
      <c r="CO502" s="73">
        <f t="shared" si="338"/>
        <v>0</v>
      </c>
      <c r="CP502" s="5">
        <f t="shared" si="339"/>
        <v>0</v>
      </c>
      <c r="CQ502" s="1"/>
      <c r="CR502" s="1">
        <f t="shared" si="340"/>
        <v>0</v>
      </c>
      <c r="CS502" s="1"/>
      <c r="CT502" s="1" t="e">
        <f>INDEX([2]マスタ!$A:$A,MATCH(D502,[2]マスタ!$C:$C,0))</f>
        <v>#N/A</v>
      </c>
      <c r="CU502" s="1" t="str">
        <f t="shared" ca="1" si="341"/>
        <v>20260620_0-0</v>
      </c>
    </row>
    <row r="503" spans="1:99" x14ac:dyDescent="0.4">
      <c r="A503" s="61"/>
      <c r="B503" s="62"/>
      <c r="C503" s="62"/>
      <c r="D503" s="62"/>
      <c r="E503" s="74"/>
      <c r="F503" s="62"/>
      <c r="G503" s="62">
        <v>1</v>
      </c>
      <c r="H503" s="64">
        <f t="shared" si="331"/>
        <v>0</v>
      </c>
      <c r="I503" s="64"/>
      <c r="J503" s="64"/>
      <c r="K503" s="65">
        <f t="shared" si="332"/>
        <v>0</v>
      </c>
      <c r="L503" s="65">
        <f t="shared" si="333"/>
        <v>0</v>
      </c>
      <c r="M503" s="65">
        <f t="shared" si="334"/>
        <v>0</v>
      </c>
      <c r="N503" s="65">
        <f t="shared" si="335"/>
        <v>0</v>
      </c>
      <c r="O503" s="66" t="str">
        <f t="shared" si="9"/>
        <v>✕</v>
      </c>
      <c r="P503" s="67" t="str">
        <f t="shared" si="10"/>
        <v>○</v>
      </c>
      <c r="Q503" s="67" t="str">
        <f t="shared" si="336"/>
        <v>✕</v>
      </c>
      <c r="R503" s="67" t="str">
        <f t="shared" si="12"/>
        <v>✕</v>
      </c>
      <c r="S503" s="68">
        <v>0</v>
      </c>
      <c r="T503" s="69" t="s">
        <v>85</v>
      </c>
      <c r="U503" s="69" t="s">
        <v>85</v>
      </c>
      <c r="V503" s="69" t="s">
        <v>85</v>
      </c>
      <c r="W503" s="69" t="s">
        <v>85</v>
      </c>
      <c r="X503" s="69" t="s">
        <v>84</v>
      </c>
      <c r="Y503" s="69" t="s">
        <v>85</v>
      </c>
      <c r="Z503" s="69" t="s">
        <v>85</v>
      </c>
      <c r="AA503" s="69" t="s">
        <v>85</v>
      </c>
      <c r="AB503" s="69" t="s">
        <v>85</v>
      </c>
      <c r="AC503" s="69" t="s">
        <v>85</v>
      </c>
      <c r="AD503" s="38" t="str">
        <f>+IF(ISERROR(VLOOKUP($B503,AD$10:AD502,1,0)),IF(AND($N503&gt;=1000,$A503&gt;=AO$8,$A503&lt;=AO$9),$B503,""),"")</f>
        <v/>
      </c>
      <c r="AE503" s="38" t="str">
        <f>+IF(ISERROR(VLOOKUP($B503,AE$10:AE502,1,0)),IF(AND($N503&gt;=1000,$A503&gt;=AP$8,$A503&lt;=AP$9),$B503,""),"")</f>
        <v/>
      </c>
      <c r="AF503" s="38" t="str">
        <f>+IF(ISERROR(VLOOKUP($B503,AF$10:AF502,1,0)),IF(AND($N503&gt;=1000,$A503&gt;=AQ$8,$A503&lt;=AQ$9),$B503,""),"")</f>
        <v/>
      </c>
      <c r="AG503" s="38" t="str">
        <f>+IF(ISERROR(VLOOKUP($B503,AG$10:AG502,1,0)),IF(AND($N503&gt;=1000,$A503&gt;=AR$8,$A503&lt;=AR$9),$B503,""),"")</f>
        <v/>
      </c>
      <c r="AH503" s="38"/>
      <c r="AI503" s="70">
        <v>0</v>
      </c>
      <c r="AJ503" s="38">
        <f>IF(AND(AJ$7="○",$A503&gt;=AJ$8,$A503&lt;=AJ$9),IF(SUM(AJ$10:AJ502)-ROUNDDOWN($K503*AJ$5/100,0)&lt;-AJ$6,-AJ$6-SUM(AJ$10:AJ502),-ROUNDDOWN($K503*AJ$5/100,0)),0)</f>
        <v>0</v>
      </c>
      <c r="AK503" s="38">
        <f>IF(AND(AK$7="○",$A503&gt;=AK$8,$A503&lt;=AK$9),IF(SUM(AK$10:AK502)-ROUNDDOWN($L503*AK$5/100,0)&lt;-AK$6,-AK$6-SUM(AK$10:AK502),-ROUNDDOWN($L503*AK$5/100,0)),0)</f>
        <v>0</v>
      </c>
      <c r="AL503" s="38">
        <f>IF(AND(AL$7="○",$A503&gt;=AL$8,$A503&lt;=AL$9),IF(SUM(AL$10:AL502)-ROUNDDOWN($N503*AL$5/100,0)&lt;-AL$6,-AL$6-SUM(AL$10:AL502),-ROUNDDOWN($N503*AL$5/100,0)),0)</f>
        <v>0</v>
      </c>
      <c r="AM503" s="38">
        <f>IF(AND(AM$7="○",$A503&gt;=AM$8,$A503&lt;=AM$9),IF(SUM(AM$10:AM502)-ROUNDDOWN($L503*AM$5/100,0)&lt;-AM$6,-AM$6-SUM(AM$10:AM502),-ROUNDDOWN($L503*AM$5/100,0)),0)</f>
        <v>0</v>
      </c>
      <c r="AN503" s="38">
        <f>IF(AND(AN$7="○",$A503&gt;=AN$8,$A503&lt;=AN$9),IF(SUM(AN$10:AN502)-ROUNDDOWN($M503*AN$5/100,0)&lt;-AN$6,-AN$6-SUM(AN$10:AN502),-ROUNDDOWN($M503*AN$5/100,0)),0)</f>
        <v>0</v>
      </c>
      <c r="AO503" s="38">
        <f>IF(AND($A503&gt;=AO$8,$A503&lt;=AO$9),IF(SUM(AO$10:AO502)-ROUNDDOWN($K503*AO$5/100,0)&lt;-AO$6,-AO$6-SUM(AO$10:AO502),-ROUNDDOWN($K503*AO$5/100,0)),0)</f>
        <v>0</v>
      </c>
      <c r="AP503" s="38">
        <f>IF(AND($A503&gt;=AP$8,$A503&lt;=AP$9),IF(SUM(AP$10:AP502)-ROUNDDOWN($K503*AP$5/100,0)&lt;-AP$6,-AP$6-SUM(AP$10:AP502),-ROUNDDOWN($K503*AP$5/100,0)),0)</f>
        <v>0</v>
      </c>
      <c r="AQ503" s="38">
        <f>IF(AND($A503&gt;=AQ$8,$A503&lt;=AQ$9),IF(SUM(AQ$10:AQ502)-ROUNDDOWN($K503*AQ$5/100,0)&lt;-AQ$6,-AQ$6-SUM(AQ$10:AQ502),-ROUNDDOWN($K503*AQ$5/100,0)),0)</f>
        <v>0</v>
      </c>
      <c r="AR503" s="38">
        <f>IF(AND($A503&gt;=AR$8,$A503&lt;=AR$9),IF(SUM(AR$10:AR502)-ROUNDDOWN($K503*AR$5/100,0)&lt;-AR$6,-AR$6-SUM(AR$10:AR502),-ROUNDDOWN($K503*AR$5/100,0)),0)</f>
        <v>0</v>
      </c>
      <c r="AS503" s="38">
        <f>IF(SUMIFS(AS$10:AS502,$A$10:$A502,$A503)-ROUNDDOWN($K503*$S503/100,0)&lt;-$S503*1000,-$S503*1000-SUMIFS(AS$10:AS502,$A$10:$A502,$A503),-ROUNDDOWN($K503*$S503/100,0))</f>
        <v>0</v>
      </c>
      <c r="AT503" s="38">
        <f>IF(AND(X503="○",$A503&gt;=AT$8,$A503&lt;=AT$9,K503&gt;=3980),IF(SUM(AT$10:AT502)-ROUNDDOWN($K503*AT$5/100,0)&lt;-AT$6,-AT$6-SUM(AT$10:AT502),-ROUNDDOWN($K503*AT$5/100,0)),0)</f>
        <v>0</v>
      </c>
      <c r="AU503" s="38">
        <f>IF(O503="○",IF(SUM(AU$10:AU502)-ROUNDDOWN($K503*AU$5/100,0)&lt;-AU$6,-AU$6-SUM(AU$10:AU502),-ROUNDDOWN($K503*AU$5/100,0)),0)</f>
        <v>0</v>
      </c>
      <c r="AV503" s="38">
        <f>IF(P503="○",IF(SUM(AV$10:AV502)-ROUNDDOWN($K503*AV$5/100,0)&lt;-AV$6,-AV$6-SUM(AV$10:AV502),-ROUNDDOWN($K503*AV$5/100,0)),0)</f>
        <v>0</v>
      </c>
      <c r="AW503" s="38">
        <f>IF(Q503="○",IF(SUM(AW$10:AW502)-ROUNDDOWN($K503*AW$5/100,0)&lt;-AW$6,-AW$6-SUM(AW$10:AW502),-ROUNDDOWN($K503*AW$5/100,0)),0)</f>
        <v>0</v>
      </c>
      <c r="AX503" s="38">
        <f>IF(R503="○",IF(SUM(AX$10:AX502)-ROUNDDOWN($K503*AX$5/100,0)&lt;-AX$6,-AX$6-SUM(AX$10:AX502),-ROUNDDOWN($K503*AX$5/100,0)),0)</f>
        <v>0</v>
      </c>
      <c r="AY503" s="70">
        <v>0</v>
      </c>
      <c r="AZ503" s="65">
        <f t="shared" si="319"/>
        <v>0</v>
      </c>
      <c r="BA503" s="65">
        <f t="shared" si="320"/>
        <v>0</v>
      </c>
      <c r="BB503" s="70"/>
      <c r="BC503" s="65">
        <f t="shared" si="321"/>
        <v>0</v>
      </c>
      <c r="BD503" s="70">
        <v>0</v>
      </c>
      <c r="BE503" s="65">
        <f t="shared" si="322"/>
        <v>0</v>
      </c>
      <c r="BF503" s="70">
        <v>0</v>
      </c>
      <c r="BG503" s="65">
        <f t="shared" si="323"/>
        <v>0</v>
      </c>
      <c r="BH503" s="70">
        <v>0</v>
      </c>
      <c r="BI503" s="65">
        <f t="shared" si="324"/>
        <v>0</v>
      </c>
      <c r="BJ503" s="38">
        <f>IF(AND(BJ$7="○",$A503&gt;=BJ$8,$A503&lt;=BJ$9),IF(SUM(BJ$10:BJ502)-ROUNDDOWN($M503*BJ$5/100,0)&lt;-BJ$6,-BJ$6-SUM(BJ$10:BJ502),-ROUNDDOWN($M503*BJ$5/100,0)),0)</f>
        <v>0</v>
      </c>
      <c r="BK503" s="38">
        <f>IF(AND(BK$7="○",$A503&gt;=BK$8,$A503&lt;=BK$9),IF(SUM(BK$10:BK502)-ROUNDDOWN($L503*BK$5/100,0)&lt;-BK$6,-BK$6-SUM(BK$10:BK502),-ROUNDDOWN($L503*BK$5/100,0)),0)</f>
        <v>0</v>
      </c>
      <c r="BL503" s="38">
        <f>IF(AND(BL$7="○",$A503&gt;=BL$8,$A503&lt;=BL$9),IF(SUM(BL$10:BL502)-ROUNDDOWN($L503*BL$5/100,0)&lt;-BL$6,-BL$6-SUM(BL$10:BL502),-ROUNDDOWN($L503*BL$5/100,0)),0)</f>
        <v>0</v>
      </c>
      <c r="BM503" s="38">
        <f>IF(AND(BM$7="○",$A503&gt;=BM$8,$A503&lt;=BM$9),IF(SUM(BM$10:BM502)-ROUNDDOWN($M503*BM$5/100,0)&lt;-BM$6,-BM$6-SUM(BM$10:BM502),-ROUNDDOWN($M503*BM$5/100,0)),0)</f>
        <v>0</v>
      </c>
      <c r="BN503" s="38">
        <f>IF(AND(BN$7="○",$A503&gt;=BN$8,$A503&lt;=BN$9),IF(SUM(BN$10:BN502)-ROUNDDOWN($M503*BN$5/100,0)&lt;-BN$6,-BN$6-SUM(BN$10:BN502),-ROUNDDOWN($M503*BN$5/100,0)),0)</f>
        <v>0</v>
      </c>
      <c r="BO503" s="38">
        <f>IF(AND(BO$7="○",$A503&gt;=BO$8,$A503&lt;=BO$9),IF(SUM(BO$10:BO502)-ROUNDDOWN($M503*BO$5/100,0)&lt;-BO$6,-BO$6-SUM(BO$10:BO502),-ROUNDDOWN($M503*BO$5/100,0)),0)</f>
        <v>0</v>
      </c>
      <c r="BP503" s="38">
        <f>IF(AND(BP$7="○",$A503&gt;=BP$8,$A503&lt;=BP$9),IF(SUM(BP$10:BP502)-ROUNDDOWN($M503*BP$5/100,0)&lt;-BP$6,-BP$6-SUM(BP$10:BP502),-ROUNDDOWN($M503*BP$5/100,0)),0)</f>
        <v>0</v>
      </c>
      <c r="BQ503" s="38">
        <f>IF(AND(BQ$7="○",$A503&gt;=BQ$8,$A503&lt;=BQ$9),IF(SUM(BQ$10:BQ502)-ROUNDDOWN($L503*BQ$5/100,0)&lt;-BQ$6,-BQ$6-SUM(BQ$10:BQ502),-ROUNDDOWN($L503*BQ$5/100,0)),0)</f>
        <v>0</v>
      </c>
      <c r="BR503" s="38">
        <f>IF(AND(BR$7="○",$A503&gt;=BR$8,$A503&lt;=BR$9),IF(SUM(BR$10:BR502)-ROUNDDOWN($M503*BR$5/100,0)&lt;-BR$6,-BR$6-SUM(BR$10:BR502),-ROUNDDOWN($M503*BR$5/100,0)),0)</f>
        <v>0</v>
      </c>
      <c r="BS503" s="38">
        <f>IF(AND(BS$7="○",$A503&gt;=BS$8,$A503&lt;=BS$9),IF(SUM(BS$10:BS502)-ROUNDDOWN($M503*BS$5/100,0)&lt;-BS$6,-BS$6-SUM(BS$10:BS502),-ROUNDDOWN($M503*BS$5/100,0)),0)</f>
        <v>0</v>
      </c>
      <c r="BT503" s="38">
        <f>IF(AND(BT$7="○",$A503&gt;=BT$8,$A503&lt;=BT$9),IF(SUM(BT$10:BT502)-ROUNDDOWN($M503*BT$5/100,0)&lt;-BT$6,-BT$6-SUM(BT$10:BT502),-ROUNDDOWN($M503*BT$5/100,0)),0)</f>
        <v>0</v>
      </c>
      <c r="BU503" s="38">
        <f>IF(AND(BU$7="○",$A503&gt;=BU$8,$A503&lt;=BU$9),IF(SUM(BU$10:BU502)-ROUNDDOWN($M503*BU$5/100,0)&lt;-BU$6,-BU$6-SUM(BU$10:BU502),-ROUNDDOWN($M503*BU$5/100,0)),0)</f>
        <v>0</v>
      </c>
      <c r="BV503" s="38">
        <f>IF(AND(BV$7="○",$A503&gt;=BV$8,$A503&lt;=BV$9),IF(SUM(BV$10:BV502)-ROUNDDOWN($M503*BV$5/100,0)&lt;-BV$6,-BV$6-SUM(BV$10:BV502),-ROUNDDOWN($M503*BV$5/100,0)),0)</f>
        <v>0</v>
      </c>
      <c r="BW503" s="38">
        <f>IF(AND(BW$7="○",$A503&gt;=BW$8,$A503&lt;=BW$9),IF(SUM(BW$10:BW502)-ROUNDDOWN($M503*BW$5/100,0)&lt;-BW$6,-BW$6-SUM(BW$10:BW502),-ROUNDDOWN($M503*BW$5/100,0)),0)</f>
        <v>0</v>
      </c>
      <c r="BX503" s="38">
        <f>IF(AND(T503="○",$A503&gt;=BX$8,$A503&lt;=BX$9),IF(SUM(BX$10:BX502)-ROUNDDOWN($K503*BX$5/100,0)&lt;-BX$6,-BX$6-SUM(BX$10:BX502),-ROUNDDOWN($K503*BX$5/100,0)),0)</f>
        <v>0</v>
      </c>
      <c r="BY503" s="38">
        <f>IF(AND(U503="○",$A503&gt;=BY$8,$A503&lt;=BY$9),IF(SUM(BY$10:BY502)-ROUNDDOWN($K503*BY$5/100,0)&lt;-BY$6,-BY$6-SUM(BY$10:BY502),-ROUNDDOWN($K503*BY$5/100,0)),0)</f>
        <v>0</v>
      </c>
      <c r="BZ503" s="38">
        <f>IF(AND(V503="○",$A503&gt;=BZ$8,$A503&lt;=BZ$9),IF(SUM(BZ$10:BZ502)-ROUNDDOWN($K503*BZ$5/100,0)&lt;-BZ$6,-BZ$6-SUM(BZ$10:BZ502),-ROUNDDOWN($K503*BZ$5/100,0)),0)</f>
        <v>0</v>
      </c>
      <c r="CA503" s="38">
        <f>IF(AND(W503="○",$A503&gt;=CA$8,$A503&lt;=CA$9),IF(SUM(CA$10:CA502)-ROUNDDOWN($K503*CA$5/100,0)&lt;-CA$6,-CA$6-SUM(CA$10:CA502),-ROUNDDOWN($K503*CA$5/100,0)),0)</f>
        <v>0</v>
      </c>
      <c r="CB503" s="38"/>
      <c r="CC503" s="38"/>
      <c r="CD503" s="38"/>
      <c r="CE503" s="38"/>
      <c r="CF503" s="38"/>
      <c r="CG503" s="65">
        <f t="shared" si="325"/>
        <v>0</v>
      </c>
      <c r="CH503" s="71">
        <f t="shared" si="326"/>
        <v>0</v>
      </c>
      <c r="CI503" s="1">
        <f t="shared" si="337"/>
        <v>0</v>
      </c>
      <c r="CJ503" s="1"/>
      <c r="CK503" s="72"/>
      <c r="CL503" s="72"/>
      <c r="CM503" s="2"/>
      <c r="CN503" s="2"/>
      <c r="CO503" s="73">
        <f t="shared" si="338"/>
        <v>0</v>
      </c>
      <c r="CP503" s="5">
        <f t="shared" si="339"/>
        <v>0</v>
      </c>
      <c r="CQ503" s="1"/>
      <c r="CR503" s="1">
        <f t="shared" si="340"/>
        <v>0</v>
      </c>
      <c r="CS503" s="1"/>
      <c r="CT503" s="1" t="e">
        <f>INDEX([2]マスタ!$A:$A,MATCH(D503,[2]マスタ!$C:$C,0))</f>
        <v>#N/A</v>
      </c>
      <c r="CU503" s="1" t="str">
        <f t="shared" ca="1" si="341"/>
        <v>20260620_0-0</v>
      </c>
    </row>
    <row r="504" spans="1:99" x14ac:dyDescent="0.4">
      <c r="A504" s="61"/>
      <c r="B504" s="62"/>
      <c r="C504" s="62"/>
      <c r="D504" s="62"/>
      <c r="E504" s="74"/>
      <c r="F504" s="62"/>
      <c r="G504" s="62">
        <v>1</v>
      </c>
      <c r="H504" s="64">
        <f t="shared" si="331"/>
        <v>0</v>
      </c>
      <c r="I504" s="64"/>
      <c r="J504" s="64"/>
      <c r="K504" s="65">
        <f t="shared" si="332"/>
        <v>0</v>
      </c>
      <c r="L504" s="65">
        <f t="shared" si="333"/>
        <v>0</v>
      </c>
      <c r="M504" s="65">
        <f t="shared" si="334"/>
        <v>0</v>
      </c>
      <c r="N504" s="65">
        <f t="shared" si="335"/>
        <v>0</v>
      </c>
      <c r="O504" s="66" t="str">
        <f t="shared" si="9"/>
        <v>✕</v>
      </c>
      <c r="P504" s="67" t="str">
        <f t="shared" si="10"/>
        <v>○</v>
      </c>
      <c r="Q504" s="67" t="str">
        <f t="shared" si="336"/>
        <v>✕</v>
      </c>
      <c r="R504" s="67" t="str">
        <f t="shared" si="12"/>
        <v>✕</v>
      </c>
      <c r="S504" s="68">
        <v>0</v>
      </c>
      <c r="T504" s="69" t="s">
        <v>85</v>
      </c>
      <c r="U504" s="69" t="s">
        <v>85</v>
      </c>
      <c r="V504" s="69" t="s">
        <v>85</v>
      </c>
      <c r="W504" s="69" t="s">
        <v>85</v>
      </c>
      <c r="X504" s="69" t="s">
        <v>84</v>
      </c>
      <c r="Y504" s="69" t="s">
        <v>85</v>
      </c>
      <c r="Z504" s="69" t="s">
        <v>85</v>
      </c>
      <c r="AA504" s="69" t="s">
        <v>85</v>
      </c>
      <c r="AB504" s="69" t="s">
        <v>85</v>
      </c>
      <c r="AC504" s="69" t="s">
        <v>85</v>
      </c>
      <c r="AD504" s="38" t="str">
        <f>+IF(ISERROR(VLOOKUP($B504,AD$10:AD503,1,0)),IF(AND($N504&gt;=1000,$A504&gt;=AO$8,$A504&lt;=AO$9),$B504,""),"")</f>
        <v/>
      </c>
      <c r="AE504" s="38" t="str">
        <f>+IF(ISERROR(VLOOKUP($B504,AE$10:AE503,1,0)),IF(AND($N504&gt;=1000,$A504&gt;=AP$8,$A504&lt;=AP$9),$B504,""),"")</f>
        <v/>
      </c>
      <c r="AF504" s="38" t="str">
        <f>+IF(ISERROR(VLOOKUP($B504,AF$10:AF503,1,0)),IF(AND($N504&gt;=1000,$A504&gt;=AQ$8,$A504&lt;=AQ$9),$B504,""),"")</f>
        <v/>
      </c>
      <c r="AG504" s="38" t="str">
        <f>+IF(ISERROR(VLOOKUP($B504,AG$10:AG503,1,0)),IF(AND($N504&gt;=1000,$A504&gt;=AR$8,$A504&lt;=AR$9),$B504,""),"")</f>
        <v/>
      </c>
      <c r="AH504" s="38"/>
      <c r="AI504" s="70">
        <v>0</v>
      </c>
      <c r="AJ504" s="38">
        <f>IF(AND(AJ$7="○",$A504&gt;=AJ$8,$A504&lt;=AJ$9),IF(SUM(AJ$10:AJ503)-ROUNDDOWN($K504*AJ$5/100,0)&lt;-AJ$6,-AJ$6-SUM(AJ$10:AJ503),-ROUNDDOWN($K504*AJ$5/100,0)),0)</f>
        <v>0</v>
      </c>
      <c r="AK504" s="38">
        <f>IF(AND(AK$7="○",$A504&gt;=AK$8,$A504&lt;=AK$9),IF(SUM(AK$10:AK503)-ROUNDDOWN($L504*AK$5/100,0)&lt;-AK$6,-AK$6-SUM(AK$10:AK503),-ROUNDDOWN($L504*AK$5/100,0)),0)</f>
        <v>0</v>
      </c>
      <c r="AL504" s="38">
        <f>IF(AND(AL$7="○",$A504&gt;=AL$8,$A504&lt;=AL$9),IF(SUM(AL$10:AL503)-ROUNDDOWN($N504*AL$5/100,0)&lt;-AL$6,-AL$6-SUM(AL$10:AL503),-ROUNDDOWN($N504*AL$5/100,0)),0)</f>
        <v>0</v>
      </c>
      <c r="AM504" s="38">
        <f>IF(AND(AM$7="○",$A504&gt;=AM$8,$A504&lt;=AM$9),IF(SUM(AM$10:AM503)-ROUNDDOWN($L504*AM$5/100,0)&lt;-AM$6,-AM$6-SUM(AM$10:AM503),-ROUNDDOWN($L504*AM$5/100,0)),0)</f>
        <v>0</v>
      </c>
      <c r="AN504" s="38">
        <f>IF(AND(AN$7="○",$A504&gt;=AN$8,$A504&lt;=AN$9),IF(SUM(AN$10:AN503)-ROUNDDOWN($M504*AN$5/100,0)&lt;-AN$6,-AN$6-SUM(AN$10:AN503),-ROUNDDOWN($M504*AN$5/100,0)),0)</f>
        <v>0</v>
      </c>
      <c r="AO504" s="38">
        <f>IF(AND($A504&gt;=AO$8,$A504&lt;=AO$9),IF(SUM(AO$10:AO503)-ROUNDDOWN($K504*AO$5/100,0)&lt;-AO$6,-AO$6-SUM(AO$10:AO503),-ROUNDDOWN($K504*AO$5/100,0)),0)</f>
        <v>0</v>
      </c>
      <c r="AP504" s="38">
        <f>IF(AND($A504&gt;=AP$8,$A504&lt;=AP$9),IF(SUM(AP$10:AP503)-ROUNDDOWN($K504*AP$5/100,0)&lt;-AP$6,-AP$6-SUM(AP$10:AP503),-ROUNDDOWN($K504*AP$5/100,0)),0)</f>
        <v>0</v>
      </c>
      <c r="AQ504" s="38">
        <f>IF(AND($A504&gt;=AQ$8,$A504&lt;=AQ$9),IF(SUM(AQ$10:AQ503)-ROUNDDOWN($K504*AQ$5/100,0)&lt;-AQ$6,-AQ$6-SUM(AQ$10:AQ503),-ROUNDDOWN($K504*AQ$5/100,0)),0)</f>
        <v>0</v>
      </c>
      <c r="AR504" s="38">
        <f>IF(AND($A504&gt;=AR$8,$A504&lt;=AR$9),IF(SUM(AR$10:AR503)-ROUNDDOWN($K504*AR$5/100,0)&lt;-AR$6,-AR$6-SUM(AR$10:AR503),-ROUNDDOWN($K504*AR$5/100,0)),0)</f>
        <v>0</v>
      </c>
      <c r="AS504" s="38">
        <f>IF(SUMIFS(AS$10:AS503,$A$10:$A503,$A504)-ROUNDDOWN($K504*$S504/100,0)&lt;-$S504*1000,-$S504*1000-SUMIFS(AS$10:AS503,$A$10:$A503,$A504),-ROUNDDOWN($K504*$S504/100,0))</f>
        <v>0</v>
      </c>
      <c r="AT504" s="38">
        <f>IF(AND(X504="○",$A504&gt;=AT$8,$A504&lt;=AT$9,K504&gt;=3980),IF(SUM(AT$10:AT503)-ROUNDDOWN($K504*AT$5/100,0)&lt;-AT$6,-AT$6-SUM(AT$10:AT503),-ROUNDDOWN($K504*AT$5/100,0)),0)</f>
        <v>0</v>
      </c>
      <c r="AU504" s="38">
        <f>IF(O504="○",IF(SUM(AU$10:AU503)-ROUNDDOWN($K504*AU$5/100,0)&lt;-AU$6,-AU$6-SUM(AU$10:AU503),-ROUNDDOWN($K504*AU$5/100,0)),0)</f>
        <v>0</v>
      </c>
      <c r="AV504" s="38">
        <f>IF(P504="○",IF(SUM(AV$10:AV503)-ROUNDDOWN($K504*AV$5/100,0)&lt;-AV$6,-AV$6-SUM(AV$10:AV503),-ROUNDDOWN($K504*AV$5/100,0)),0)</f>
        <v>0</v>
      </c>
      <c r="AW504" s="38">
        <f>IF(Q504="○",IF(SUM(AW$10:AW503)-ROUNDDOWN($K504*AW$5/100,0)&lt;-AW$6,-AW$6-SUM(AW$10:AW503),-ROUNDDOWN($K504*AW$5/100,0)),0)</f>
        <v>0</v>
      </c>
      <c r="AX504" s="38">
        <f>IF(R504="○",IF(SUM(AX$10:AX503)-ROUNDDOWN($K504*AX$5/100,0)&lt;-AX$6,-AX$6-SUM(AX$10:AX503),-ROUNDDOWN($K504*AX$5/100,0)),0)</f>
        <v>0</v>
      </c>
      <c r="AY504" s="70">
        <v>0</v>
      </c>
      <c r="AZ504" s="65">
        <f t="shared" si="319"/>
        <v>0</v>
      </c>
      <c r="BA504" s="65">
        <f t="shared" si="320"/>
        <v>0</v>
      </c>
      <c r="BB504" s="70"/>
      <c r="BC504" s="65">
        <f t="shared" si="321"/>
        <v>0</v>
      </c>
      <c r="BD504" s="70">
        <v>0</v>
      </c>
      <c r="BE504" s="65">
        <f t="shared" si="322"/>
        <v>0</v>
      </c>
      <c r="BF504" s="70">
        <v>0</v>
      </c>
      <c r="BG504" s="65">
        <f t="shared" si="323"/>
        <v>0</v>
      </c>
      <c r="BH504" s="70">
        <v>0</v>
      </c>
      <c r="BI504" s="65">
        <f t="shared" si="324"/>
        <v>0</v>
      </c>
      <c r="BJ504" s="38">
        <f>IF(AND(BJ$7="○",$A504&gt;=BJ$8,$A504&lt;=BJ$9),IF(SUM(BJ$10:BJ503)-ROUNDDOWN($M504*BJ$5/100,0)&lt;-BJ$6,-BJ$6-SUM(BJ$10:BJ503),-ROUNDDOWN($M504*BJ$5/100,0)),0)</f>
        <v>0</v>
      </c>
      <c r="BK504" s="38">
        <f>IF(AND(BK$7="○",$A504&gt;=BK$8,$A504&lt;=BK$9),IF(SUM(BK$10:BK503)-ROUNDDOWN($L504*BK$5/100,0)&lt;-BK$6,-BK$6-SUM(BK$10:BK503),-ROUNDDOWN($L504*BK$5/100,0)),0)</f>
        <v>0</v>
      </c>
      <c r="BL504" s="38">
        <f>IF(AND(BL$7="○",$A504&gt;=BL$8,$A504&lt;=BL$9),IF(SUM(BL$10:BL503)-ROUNDDOWN($L504*BL$5/100,0)&lt;-BL$6,-BL$6-SUM(BL$10:BL503),-ROUNDDOWN($L504*BL$5/100,0)),0)</f>
        <v>0</v>
      </c>
      <c r="BM504" s="38">
        <f>IF(AND(BM$7="○",$A504&gt;=BM$8,$A504&lt;=BM$9),IF(SUM(BM$10:BM503)-ROUNDDOWN($M504*BM$5/100,0)&lt;-BM$6,-BM$6-SUM(BM$10:BM503),-ROUNDDOWN($M504*BM$5/100,0)),0)</f>
        <v>0</v>
      </c>
      <c r="BN504" s="38">
        <f>IF(AND(BN$7="○",$A504&gt;=BN$8,$A504&lt;=BN$9),IF(SUM(BN$10:BN503)-ROUNDDOWN($M504*BN$5/100,0)&lt;-BN$6,-BN$6-SUM(BN$10:BN503),-ROUNDDOWN($M504*BN$5/100,0)),0)</f>
        <v>0</v>
      </c>
      <c r="BO504" s="38">
        <f>IF(AND(BO$7="○",$A504&gt;=BO$8,$A504&lt;=BO$9),IF(SUM(BO$10:BO503)-ROUNDDOWN($M504*BO$5/100,0)&lt;-BO$6,-BO$6-SUM(BO$10:BO503),-ROUNDDOWN($M504*BO$5/100,0)),0)</f>
        <v>0</v>
      </c>
      <c r="BP504" s="38">
        <f>IF(AND(BP$7="○",$A504&gt;=BP$8,$A504&lt;=BP$9),IF(SUM(BP$10:BP503)-ROUNDDOWN($M504*BP$5/100,0)&lt;-BP$6,-BP$6-SUM(BP$10:BP503),-ROUNDDOWN($M504*BP$5/100,0)),0)</f>
        <v>0</v>
      </c>
      <c r="BQ504" s="38">
        <f>IF(AND(BQ$7="○",$A504&gt;=BQ$8,$A504&lt;=BQ$9),IF(SUM(BQ$10:BQ503)-ROUNDDOWN($L504*BQ$5/100,0)&lt;-BQ$6,-BQ$6-SUM(BQ$10:BQ503),-ROUNDDOWN($L504*BQ$5/100,0)),0)</f>
        <v>0</v>
      </c>
      <c r="BR504" s="38">
        <f>IF(AND(BR$7="○",$A504&gt;=BR$8,$A504&lt;=BR$9),IF(SUM(BR$10:BR503)-ROUNDDOWN($M504*BR$5/100,0)&lt;-BR$6,-BR$6-SUM(BR$10:BR503),-ROUNDDOWN($M504*BR$5/100,0)),0)</f>
        <v>0</v>
      </c>
      <c r="BS504" s="38">
        <f>IF(AND(BS$7="○",$A504&gt;=BS$8,$A504&lt;=BS$9),IF(SUM(BS$10:BS503)-ROUNDDOWN($M504*BS$5/100,0)&lt;-BS$6,-BS$6-SUM(BS$10:BS503),-ROUNDDOWN($M504*BS$5/100,0)),0)</f>
        <v>0</v>
      </c>
      <c r="BT504" s="38">
        <f>IF(AND(BT$7="○",$A504&gt;=BT$8,$A504&lt;=BT$9),IF(SUM(BT$10:BT503)-ROUNDDOWN($M504*BT$5/100,0)&lt;-BT$6,-BT$6-SUM(BT$10:BT503),-ROUNDDOWN($M504*BT$5/100,0)),0)</f>
        <v>0</v>
      </c>
      <c r="BU504" s="38">
        <f>IF(AND(BU$7="○",$A504&gt;=BU$8,$A504&lt;=BU$9),IF(SUM(BU$10:BU503)-ROUNDDOWN($M504*BU$5/100,0)&lt;-BU$6,-BU$6-SUM(BU$10:BU503),-ROUNDDOWN($M504*BU$5/100,0)),0)</f>
        <v>0</v>
      </c>
      <c r="BV504" s="38">
        <f>IF(AND(BV$7="○",$A504&gt;=BV$8,$A504&lt;=BV$9),IF(SUM(BV$10:BV503)-ROUNDDOWN($M504*BV$5/100,0)&lt;-BV$6,-BV$6-SUM(BV$10:BV503),-ROUNDDOWN($M504*BV$5/100,0)),0)</f>
        <v>0</v>
      </c>
      <c r="BW504" s="38">
        <f>IF(AND(BW$7="○",$A504&gt;=BW$8,$A504&lt;=BW$9),IF(SUM(BW$10:BW503)-ROUNDDOWN($M504*BW$5/100,0)&lt;-BW$6,-BW$6-SUM(BW$10:BW503),-ROUNDDOWN($M504*BW$5/100,0)),0)</f>
        <v>0</v>
      </c>
      <c r="BX504" s="38">
        <f>IF(AND(T504="○",$A504&gt;=BX$8,$A504&lt;=BX$9),IF(SUM(BX$10:BX503)-ROUNDDOWN($K504*BX$5/100,0)&lt;-BX$6,-BX$6-SUM(BX$10:BX503),-ROUNDDOWN($K504*BX$5/100,0)),0)</f>
        <v>0</v>
      </c>
      <c r="BY504" s="38">
        <f>IF(AND(U504="○",$A504&gt;=BY$8,$A504&lt;=BY$9),IF(SUM(BY$10:BY503)-ROUNDDOWN($K504*BY$5/100,0)&lt;-BY$6,-BY$6-SUM(BY$10:BY503),-ROUNDDOWN($K504*BY$5/100,0)),0)</f>
        <v>0</v>
      </c>
      <c r="BZ504" s="38">
        <f>IF(AND(V504="○",$A504&gt;=BZ$8,$A504&lt;=BZ$9),IF(SUM(BZ$10:BZ503)-ROUNDDOWN($K504*BZ$5/100,0)&lt;-BZ$6,-BZ$6-SUM(BZ$10:BZ503),-ROUNDDOWN($K504*BZ$5/100,0)),0)</f>
        <v>0</v>
      </c>
      <c r="CA504" s="38">
        <f>IF(AND(W504="○",$A504&gt;=CA$8,$A504&lt;=CA$9),IF(SUM(CA$10:CA503)-ROUNDDOWN($K504*CA$5/100,0)&lt;-CA$6,-CA$6-SUM(CA$10:CA503),-ROUNDDOWN($K504*CA$5/100,0)),0)</f>
        <v>0</v>
      </c>
      <c r="CB504" s="38"/>
      <c r="CC504" s="38"/>
      <c r="CD504" s="38"/>
      <c r="CE504" s="38"/>
      <c r="CF504" s="38"/>
      <c r="CG504" s="65">
        <f t="shared" si="325"/>
        <v>0</v>
      </c>
      <c r="CH504" s="71">
        <f t="shared" si="326"/>
        <v>0</v>
      </c>
      <c r="CI504" s="1">
        <f t="shared" si="337"/>
        <v>0</v>
      </c>
      <c r="CJ504" s="1"/>
      <c r="CK504" s="72"/>
      <c r="CL504" s="72"/>
      <c r="CM504" s="2"/>
      <c r="CN504" s="2"/>
      <c r="CO504" s="73">
        <f t="shared" si="338"/>
        <v>0</v>
      </c>
      <c r="CP504" s="5">
        <f t="shared" si="339"/>
        <v>0</v>
      </c>
      <c r="CQ504" s="1"/>
      <c r="CR504" s="1">
        <f t="shared" si="340"/>
        <v>0</v>
      </c>
      <c r="CS504" s="1"/>
      <c r="CT504" s="1" t="e">
        <f>INDEX([2]マスタ!$A:$A,MATCH(D504,[2]マスタ!$C:$C,0))</f>
        <v>#N/A</v>
      </c>
      <c r="CU504" s="1" t="str">
        <f t="shared" ca="1" si="341"/>
        <v>20260620_0-0</v>
      </c>
    </row>
    <row r="505" spans="1:99" x14ac:dyDescent="0.4">
      <c r="A505" s="61"/>
      <c r="B505" s="62"/>
      <c r="C505" s="62"/>
      <c r="D505" s="62"/>
      <c r="E505" s="74"/>
      <c r="F505" s="62"/>
      <c r="G505" s="62">
        <v>1</v>
      </c>
      <c r="H505" s="64">
        <f t="shared" si="331"/>
        <v>0</v>
      </c>
      <c r="I505" s="64"/>
      <c r="J505" s="64"/>
      <c r="K505" s="65">
        <f t="shared" si="332"/>
        <v>0</v>
      </c>
      <c r="L505" s="65">
        <f t="shared" si="333"/>
        <v>0</v>
      </c>
      <c r="M505" s="65">
        <f t="shared" si="334"/>
        <v>0</v>
      </c>
      <c r="N505" s="65">
        <f t="shared" si="335"/>
        <v>0</v>
      </c>
      <c r="O505" s="66" t="str">
        <f t="shared" si="9"/>
        <v>✕</v>
      </c>
      <c r="P505" s="67" t="str">
        <f t="shared" si="10"/>
        <v>○</v>
      </c>
      <c r="Q505" s="67" t="str">
        <f t="shared" si="336"/>
        <v>✕</v>
      </c>
      <c r="R505" s="67" t="str">
        <f t="shared" si="12"/>
        <v>✕</v>
      </c>
      <c r="S505" s="68">
        <v>0</v>
      </c>
      <c r="T505" s="69" t="s">
        <v>85</v>
      </c>
      <c r="U505" s="69" t="s">
        <v>85</v>
      </c>
      <c r="V505" s="69" t="s">
        <v>85</v>
      </c>
      <c r="W505" s="69" t="s">
        <v>85</v>
      </c>
      <c r="X505" s="69" t="s">
        <v>84</v>
      </c>
      <c r="Y505" s="69" t="s">
        <v>85</v>
      </c>
      <c r="Z505" s="69" t="s">
        <v>85</v>
      </c>
      <c r="AA505" s="69" t="s">
        <v>85</v>
      </c>
      <c r="AB505" s="69" t="s">
        <v>85</v>
      </c>
      <c r="AC505" s="69" t="s">
        <v>85</v>
      </c>
      <c r="AD505" s="38" t="str">
        <f>+IF(ISERROR(VLOOKUP($B505,AD$10:AD504,1,0)),IF(AND($N505&gt;=1000,$A505&gt;=AO$8,$A505&lt;=AO$9),$B505,""),"")</f>
        <v/>
      </c>
      <c r="AE505" s="38" t="str">
        <f>+IF(ISERROR(VLOOKUP($B505,AE$10:AE504,1,0)),IF(AND($N505&gt;=1000,$A505&gt;=AP$8,$A505&lt;=AP$9),$B505,""),"")</f>
        <v/>
      </c>
      <c r="AF505" s="38" t="str">
        <f>+IF(ISERROR(VLOOKUP($B505,AF$10:AF504,1,0)),IF(AND($N505&gt;=1000,$A505&gt;=AQ$8,$A505&lt;=AQ$9),$B505,""),"")</f>
        <v/>
      </c>
      <c r="AG505" s="38" t="str">
        <f>+IF(ISERROR(VLOOKUP($B505,AG$10:AG504,1,0)),IF(AND($N505&gt;=1000,$A505&gt;=AR$8,$A505&lt;=AR$9),$B505,""),"")</f>
        <v/>
      </c>
      <c r="AH505" s="38"/>
      <c r="AI505" s="70">
        <v>0</v>
      </c>
      <c r="AJ505" s="38">
        <f>IF(AND(AJ$7="○",$A505&gt;=AJ$8,$A505&lt;=AJ$9),IF(SUM(AJ$10:AJ504)-ROUNDDOWN($K505*AJ$5/100,0)&lt;-AJ$6,-AJ$6-SUM(AJ$10:AJ504),-ROUNDDOWN($K505*AJ$5/100,0)),0)</f>
        <v>0</v>
      </c>
      <c r="AK505" s="38">
        <f>IF(AND(AK$7="○",$A505&gt;=AK$8,$A505&lt;=AK$9),IF(SUM(AK$10:AK504)-ROUNDDOWN($L505*AK$5/100,0)&lt;-AK$6,-AK$6-SUM(AK$10:AK504),-ROUNDDOWN($L505*AK$5/100,0)),0)</f>
        <v>0</v>
      </c>
      <c r="AL505" s="38">
        <f>IF(AND(AL$7="○",$A505&gt;=AL$8,$A505&lt;=AL$9),IF(SUM(AL$10:AL504)-ROUNDDOWN($N505*AL$5/100,0)&lt;-AL$6,-AL$6-SUM(AL$10:AL504),-ROUNDDOWN($N505*AL$5/100,0)),0)</f>
        <v>0</v>
      </c>
      <c r="AM505" s="38">
        <f>IF(AND(AM$7="○",$A505&gt;=AM$8,$A505&lt;=AM$9),IF(SUM(AM$10:AM504)-ROUNDDOWN($L505*AM$5/100,0)&lt;-AM$6,-AM$6-SUM(AM$10:AM504),-ROUNDDOWN($L505*AM$5/100,0)),0)</f>
        <v>0</v>
      </c>
      <c r="AN505" s="38">
        <f>IF(AND(AN$7="○",$A505&gt;=AN$8,$A505&lt;=AN$9),IF(SUM(AN$10:AN504)-ROUNDDOWN($M505*AN$5/100,0)&lt;-AN$6,-AN$6-SUM(AN$10:AN504),-ROUNDDOWN($M505*AN$5/100,0)),0)</f>
        <v>0</v>
      </c>
      <c r="AO505" s="38">
        <f>IF(AND($A505&gt;=AO$8,$A505&lt;=AO$9),IF(SUM(AO$10:AO504)-ROUNDDOWN($K505*AO$5/100,0)&lt;-AO$6,-AO$6-SUM(AO$10:AO504),-ROUNDDOWN($K505*AO$5/100,0)),0)</f>
        <v>0</v>
      </c>
      <c r="AP505" s="38">
        <f>IF(AND($A505&gt;=AP$8,$A505&lt;=AP$9),IF(SUM(AP$10:AP504)-ROUNDDOWN($K505*AP$5/100,0)&lt;-AP$6,-AP$6-SUM(AP$10:AP504),-ROUNDDOWN($K505*AP$5/100,0)),0)</f>
        <v>0</v>
      </c>
      <c r="AQ505" s="38">
        <f>IF(AND($A505&gt;=AQ$8,$A505&lt;=AQ$9),IF(SUM(AQ$10:AQ504)-ROUNDDOWN($K505*AQ$5/100,0)&lt;-AQ$6,-AQ$6-SUM(AQ$10:AQ504),-ROUNDDOWN($K505*AQ$5/100,0)),0)</f>
        <v>0</v>
      </c>
      <c r="AR505" s="38">
        <f>IF(AND($A505&gt;=AR$8,$A505&lt;=AR$9),IF(SUM(AR$10:AR504)-ROUNDDOWN($K505*AR$5/100,0)&lt;-AR$6,-AR$6-SUM(AR$10:AR504),-ROUNDDOWN($K505*AR$5/100,0)),0)</f>
        <v>0</v>
      </c>
      <c r="AS505" s="38">
        <f>IF(SUMIFS(AS$10:AS504,$A$10:$A504,$A505)-ROUNDDOWN($K505*$S505/100,0)&lt;-$S505*1000,-$S505*1000-SUMIFS(AS$10:AS504,$A$10:$A504,$A505),-ROUNDDOWN($K505*$S505/100,0))</f>
        <v>0</v>
      </c>
      <c r="AT505" s="38">
        <f>IF(AND(X505="○",$A505&gt;=AT$8,$A505&lt;=AT$9,K505&gt;=3980),IF(SUM(AT$10:AT504)-ROUNDDOWN($K505*AT$5/100,0)&lt;-AT$6,-AT$6-SUM(AT$10:AT504),-ROUNDDOWN($K505*AT$5/100,0)),0)</f>
        <v>0</v>
      </c>
      <c r="AU505" s="38">
        <f>IF(O505="○",IF(SUM(AU$10:AU504)-ROUNDDOWN($K505*AU$5/100,0)&lt;-AU$6,-AU$6-SUM(AU$10:AU504),-ROUNDDOWN($K505*AU$5/100,0)),0)</f>
        <v>0</v>
      </c>
      <c r="AV505" s="38">
        <f>IF(P505="○",IF(SUM(AV$10:AV504)-ROUNDDOWN($K505*AV$5/100,0)&lt;-AV$6,-AV$6-SUM(AV$10:AV504),-ROUNDDOWN($K505*AV$5/100,0)),0)</f>
        <v>0</v>
      </c>
      <c r="AW505" s="38">
        <f>IF(Q505="○",IF(SUM(AW$10:AW504)-ROUNDDOWN($K505*AW$5/100,0)&lt;-AW$6,-AW$6-SUM(AW$10:AW504),-ROUNDDOWN($K505*AW$5/100,0)),0)</f>
        <v>0</v>
      </c>
      <c r="AX505" s="38">
        <f>IF(R505="○",IF(SUM(AX$10:AX504)-ROUNDDOWN($K505*AX$5/100,0)&lt;-AX$6,-AX$6-SUM(AX$10:AX504),-ROUNDDOWN($K505*AX$5/100,0)),0)</f>
        <v>0</v>
      </c>
      <c r="AY505" s="70">
        <v>0</v>
      </c>
      <c r="AZ505" s="65">
        <f t="shared" si="319"/>
        <v>0</v>
      </c>
      <c r="BA505" s="65">
        <f t="shared" si="320"/>
        <v>0</v>
      </c>
      <c r="BB505" s="70"/>
      <c r="BC505" s="65">
        <f t="shared" si="321"/>
        <v>0</v>
      </c>
      <c r="BD505" s="70">
        <v>0</v>
      </c>
      <c r="BE505" s="65">
        <f t="shared" si="322"/>
        <v>0</v>
      </c>
      <c r="BF505" s="70">
        <v>0</v>
      </c>
      <c r="BG505" s="65">
        <f t="shared" si="323"/>
        <v>0</v>
      </c>
      <c r="BH505" s="70">
        <v>0</v>
      </c>
      <c r="BI505" s="65">
        <f t="shared" si="324"/>
        <v>0</v>
      </c>
      <c r="BJ505" s="38">
        <f>IF(AND(BJ$7="○",$A505&gt;=BJ$8,$A505&lt;=BJ$9),IF(SUM(BJ$10:BJ504)-ROUNDDOWN($M505*BJ$5/100,0)&lt;-BJ$6,-BJ$6-SUM(BJ$10:BJ504),-ROUNDDOWN($M505*BJ$5/100,0)),0)</f>
        <v>0</v>
      </c>
      <c r="BK505" s="38">
        <f>IF(AND(BK$7="○",$A505&gt;=BK$8,$A505&lt;=BK$9),IF(SUM(BK$10:BK504)-ROUNDDOWN($L505*BK$5/100,0)&lt;-BK$6,-BK$6-SUM(BK$10:BK504),-ROUNDDOWN($L505*BK$5/100,0)),0)</f>
        <v>0</v>
      </c>
      <c r="BL505" s="38">
        <f>IF(AND(BL$7="○",$A505&gt;=BL$8,$A505&lt;=BL$9),IF(SUM(BL$10:BL504)-ROUNDDOWN($L505*BL$5/100,0)&lt;-BL$6,-BL$6-SUM(BL$10:BL504),-ROUNDDOWN($L505*BL$5/100,0)),0)</f>
        <v>0</v>
      </c>
      <c r="BM505" s="38">
        <f>IF(AND(BM$7="○",$A505&gt;=BM$8,$A505&lt;=BM$9),IF(SUM(BM$10:BM504)-ROUNDDOWN($M505*BM$5/100,0)&lt;-BM$6,-BM$6-SUM(BM$10:BM504),-ROUNDDOWN($M505*BM$5/100,0)),0)</f>
        <v>0</v>
      </c>
      <c r="BN505" s="38">
        <f>IF(AND(BN$7="○",$A505&gt;=BN$8,$A505&lt;=BN$9),IF(SUM(BN$10:BN504)-ROUNDDOWN($M505*BN$5/100,0)&lt;-BN$6,-BN$6-SUM(BN$10:BN504),-ROUNDDOWN($M505*BN$5/100,0)),0)</f>
        <v>0</v>
      </c>
      <c r="BO505" s="38">
        <f>IF(AND(BO$7="○",$A505&gt;=BO$8,$A505&lt;=BO$9),IF(SUM(BO$10:BO504)-ROUNDDOWN($M505*BO$5/100,0)&lt;-BO$6,-BO$6-SUM(BO$10:BO504),-ROUNDDOWN($M505*BO$5/100,0)),0)</f>
        <v>0</v>
      </c>
      <c r="BP505" s="38">
        <f>IF(AND(BP$7="○",$A505&gt;=BP$8,$A505&lt;=BP$9),IF(SUM(BP$10:BP504)-ROUNDDOWN($M505*BP$5/100,0)&lt;-BP$6,-BP$6-SUM(BP$10:BP504),-ROUNDDOWN($M505*BP$5/100,0)),0)</f>
        <v>0</v>
      </c>
      <c r="BQ505" s="38">
        <f>IF(AND(BQ$7="○",$A505&gt;=BQ$8,$A505&lt;=BQ$9),IF(SUM(BQ$10:BQ504)-ROUNDDOWN($L505*BQ$5/100,0)&lt;-BQ$6,-BQ$6-SUM(BQ$10:BQ504),-ROUNDDOWN($L505*BQ$5/100,0)),0)</f>
        <v>0</v>
      </c>
      <c r="BR505" s="38">
        <f>IF(AND(BR$7="○",$A505&gt;=BR$8,$A505&lt;=BR$9),IF(SUM(BR$10:BR504)-ROUNDDOWN($M505*BR$5/100,0)&lt;-BR$6,-BR$6-SUM(BR$10:BR504),-ROUNDDOWN($M505*BR$5/100,0)),0)</f>
        <v>0</v>
      </c>
      <c r="BS505" s="38">
        <f>IF(AND(BS$7="○",$A505&gt;=BS$8,$A505&lt;=BS$9),IF(SUM(BS$10:BS504)-ROUNDDOWN($M505*BS$5/100,0)&lt;-BS$6,-BS$6-SUM(BS$10:BS504),-ROUNDDOWN($M505*BS$5/100,0)),0)</f>
        <v>0</v>
      </c>
      <c r="BT505" s="38">
        <f>IF(AND(BT$7="○",$A505&gt;=BT$8,$A505&lt;=BT$9),IF(SUM(BT$10:BT504)-ROUNDDOWN($M505*BT$5/100,0)&lt;-BT$6,-BT$6-SUM(BT$10:BT504),-ROUNDDOWN($M505*BT$5/100,0)),0)</f>
        <v>0</v>
      </c>
      <c r="BU505" s="38">
        <f>IF(AND(BU$7="○",$A505&gt;=BU$8,$A505&lt;=BU$9),IF(SUM(BU$10:BU504)-ROUNDDOWN($M505*BU$5/100,0)&lt;-BU$6,-BU$6-SUM(BU$10:BU504),-ROUNDDOWN($M505*BU$5/100,0)),0)</f>
        <v>0</v>
      </c>
      <c r="BV505" s="38">
        <f>IF(AND(BV$7="○",$A505&gt;=BV$8,$A505&lt;=BV$9),IF(SUM(BV$10:BV504)-ROUNDDOWN($M505*BV$5/100,0)&lt;-BV$6,-BV$6-SUM(BV$10:BV504),-ROUNDDOWN($M505*BV$5/100,0)),0)</f>
        <v>0</v>
      </c>
      <c r="BW505" s="38">
        <f>IF(AND(BW$7="○",$A505&gt;=BW$8,$A505&lt;=BW$9),IF(SUM(BW$10:BW504)-ROUNDDOWN($M505*BW$5/100,0)&lt;-BW$6,-BW$6-SUM(BW$10:BW504),-ROUNDDOWN($M505*BW$5/100,0)),0)</f>
        <v>0</v>
      </c>
      <c r="BX505" s="38">
        <f>IF(AND(T505="○",$A505&gt;=BX$8,$A505&lt;=BX$9),IF(SUM(BX$10:BX504)-ROUNDDOWN($K505*BX$5/100,0)&lt;-BX$6,-BX$6-SUM(BX$10:BX504),-ROUNDDOWN($K505*BX$5/100,0)),0)</f>
        <v>0</v>
      </c>
      <c r="BY505" s="38">
        <f>IF(AND(U505="○",$A505&gt;=BY$8,$A505&lt;=BY$9),IF(SUM(BY$10:BY504)-ROUNDDOWN($K505*BY$5/100,0)&lt;-BY$6,-BY$6-SUM(BY$10:BY504),-ROUNDDOWN($K505*BY$5/100,0)),0)</f>
        <v>0</v>
      </c>
      <c r="BZ505" s="38">
        <f>IF(AND(V505="○",$A505&gt;=BZ$8,$A505&lt;=BZ$9),IF(SUM(BZ$10:BZ504)-ROUNDDOWN($K505*BZ$5/100,0)&lt;-BZ$6,-BZ$6-SUM(BZ$10:BZ504),-ROUNDDOWN($K505*BZ$5/100,0)),0)</f>
        <v>0</v>
      </c>
      <c r="CA505" s="38">
        <f>IF(AND(W505="○",$A505&gt;=CA$8,$A505&lt;=CA$9),IF(SUM(CA$10:CA504)-ROUNDDOWN($K505*CA$5/100,0)&lt;-CA$6,-CA$6-SUM(CA$10:CA504),-ROUNDDOWN($K505*CA$5/100,0)),0)</f>
        <v>0</v>
      </c>
      <c r="CB505" s="38"/>
      <c r="CC505" s="38"/>
      <c r="CD505" s="38"/>
      <c r="CE505" s="38"/>
      <c r="CF505" s="38"/>
      <c r="CG505" s="65">
        <f t="shared" si="325"/>
        <v>0</v>
      </c>
      <c r="CH505" s="71">
        <f t="shared" si="326"/>
        <v>0</v>
      </c>
      <c r="CI505" s="1">
        <f t="shared" si="337"/>
        <v>0</v>
      </c>
      <c r="CJ505" s="1"/>
      <c r="CK505" s="72"/>
      <c r="CL505" s="72"/>
      <c r="CM505" s="2"/>
      <c r="CN505" s="2"/>
      <c r="CO505" s="73">
        <f t="shared" si="338"/>
        <v>0</v>
      </c>
      <c r="CP505" s="5">
        <f t="shared" si="339"/>
        <v>0</v>
      </c>
      <c r="CQ505" s="1"/>
      <c r="CR505" s="1">
        <f t="shared" si="340"/>
        <v>0</v>
      </c>
      <c r="CS505" s="1"/>
      <c r="CT505" s="1" t="e">
        <f>INDEX([2]マスタ!$A:$A,MATCH(D505,[2]マスタ!$C:$C,0))</f>
        <v>#N/A</v>
      </c>
      <c r="CU505" s="1" t="str">
        <f t="shared" ca="1" si="341"/>
        <v>20260620_0-0</v>
      </c>
    </row>
    <row r="506" spans="1:99" x14ac:dyDescent="0.4">
      <c r="A506" s="61"/>
      <c r="B506" s="62"/>
      <c r="C506" s="62"/>
      <c r="D506" s="62"/>
      <c r="E506" s="74"/>
      <c r="F506" s="62"/>
      <c r="G506" s="62">
        <v>1</v>
      </c>
      <c r="H506" s="64">
        <f t="shared" si="331"/>
        <v>0</v>
      </c>
      <c r="I506" s="64"/>
      <c r="J506" s="64"/>
      <c r="K506" s="65">
        <f t="shared" si="332"/>
        <v>0</v>
      </c>
      <c r="L506" s="65">
        <f t="shared" si="333"/>
        <v>0</v>
      </c>
      <c r="M506" s="65">
        <f t="shared" si="334"/>
        <v>0</v>
      </c>
      <c r="N506" s="65">
        <f t="shared" si="335"/>
        <v>0</v>
      </c>
      <c r="O506" s="66" t="str">
        <f t="shared" si="9"/>
        <v>✕</v>
      </c>
      <c r="P506" s="67" t="str">
        <f t="shared" si="10"/>
        <v>○</v>
      </c>
      <c r="Q506" s="67" t="str">
        <f t="shared" si="336"/>
        <v>✕</v>
      </c>
      <c r="R506" s="67" t="str">
        <f t="shared" si="12"/>
        <v>✕</v>
      </c>
      <c r="S506" s="68">
        <v>0</v>
      </c>
      <c r="T506" s="69" t="s">
        <v>85</v>
      </c>
      <c r="U506" s="69" t="s">
        <v>85</v>
      </c>
      <c r="V506" s="69" t="s">
        <v>85</v>
      </c>
      <c r="W506" s="69" t="s">
        <v>85</v>
      </c>
      <c r="X506" s="69" t="s">
        <v>84</v>
      </c>
      <c r="Y506" s="69" t="s">
        <v>85</v>
      </c>
      <c r="Z506" s="69" t="s">
        <v>85</v>
      </c>
      <c r="AA506" s="69" t="s">
        <v>85</v>
      </c>
      <c r="AB506" s="69" t="s">
        <v>85</v>
      </c>
      <c r="AC506" s="69" t="s">
        <v>85</v>
      </c>
      <c r="AD506" s="38" t="str">
        <f>+IF(ISERROR(VLOOKUP($B506,AD$10:AD505,1,0)),IF(AND($N506&gt;=1000,$A506&gt;=AO$8,$A506&lt;=AO$9),$B506,""),"")</f>
        <v/>
      </c>
      <c r="AE506" s="38" t="str">
        <f>+IF(ISERROR(VLOOKUP($B506,AE$10:AE505,1,0)),IF(AND($N506&gt;=1000,$A506&gt;=AP$8,$A506&lt;=AP$9),$B506,""),"")</f>
        <v/>
      </c>
      <c r="AF506" s="38" t="str">
        <f>+IF(ISERROR(VLOOKUP($B506,AF$10:AF505,1,0)),IF(AND($N506&gt;=1000,$A506&gt;=AQ$8,$A506&lt;=AQ$9),$B506,""),"")</f>
        <v/>
      </c>
      <c r="AG506" s="38" t="str">
        <f>+IF(ISERROR(VLOOKUP($B506,AG$10:AG505,1,0)),IF(AND($N506&gt;=1000,$A506&gt;=AR$8,$A506&lt;=AR$9),$B506,""),"")</f>
        <v/>
      </c>
      <c r="AH506" s="38"/>
      <c r="AI506" s="70">
        <v>0</v>
      </c>
      <c r="AJ506" s="38">
        <f>IF(AND(AJ$7="○",$A506&gt;=AJ$8,$A506&lt;=AJ$9),IF(SUM(AJ$10:AJ505)-ROUNDDOWN($K506*AJ$5/100,0)&lt;-AJ$6,-AJ$6-SUM(AJ$10:AJ505),-ROUNDDOWN($K506*AJ$5/100,0)),0)</f>
        <v>0</v>
      </c>
      <c r="AK506" s="38">
        <f>IF(AND(AK$7="○",$A506&gt;=AK$8,$A506&lt;=AK$9),IF(SUM(AK$10:AK505)-ROUNDDOWN($L506*AK$5/100,0)&lt;-AK$6,-AK$6-SUM(AK$10:AK505),-ROUNDDOWN($L506*AK$5/100,0)),0)</f>
        <v>0</v>
      </c>
      <c r="AL506" s="38">
        <f>IF(AND(AL$7="○",$A506&gt;=AL$8,$A506&lt;=AL$9),IF(SUM(AL$10:AL505)-ROUNDDOWN($N506*AL$5/100,0)&lt;-AL$6,-AL$6-SUM(AL$10:AL505),-ROUNDDOWN($N506*AL$5/100,0)),0)</f>
        <v>0</v>
      </c>
      <c r="AM506" s="38">
        <f>IF(AND(AM$7="○",$A506&gt;=AM$8,$A506&lt;=AM$9),IF(SUM(AM$10:AM505)-ROUNDDOWN($L506*AM$5/100,0)&lt;-AM$6,-AM$6-SUM(AM$10:AM505),-ROUNDDOWN($L506*AM$5/100,0)),0)</f>
        <v>0</v>
      </c>
      <c r="AN506" s="38">
        <f>IF(AND(AN$7="○",$A506&gt;=AN$8,$A506&lt;=AN$9),IF(SUM(AN$10:AN505)-ROUNDDOWN($M506*AN$5/100,0)&lt;-AN$6,-AN$6-SUM(AN$10:AN505),-ROUNDDOWN($M506*AN$5/100,0)),0)</f>
        <v>0</v>
      </c>
      <c r="AO506" s="38">
        <f>IF(AND($A506&gt;=AO$8,$A506&lt;=AO$9),IF(SUM(AO$10:AO505)-ROUNDDOWN($K506*AO$5/100,0)&lt;-AO$6,-AO$6-SUM(AO$10:AO505),-ROUNDDOWN($K506*AO$5/100,0)),0)</f>
        <v>0</v>
      </c>
      <c r="AP506" s="38">
        <f>IF(AND($A506&gt;=AP$8,$A506&lt;=AP$9),IF(SUM(AP$10:AP505)-ROUNDDOWN($K506*AP$5/100,0)&lt;-AP$6,-AP$6-SUM(AP$10:AP505),-ROUNDDOWN($K506*AP$5/100,0)),0)</f>
        <v>0</v>
      </c>
      <c r="AQ506" s="38">
        <f>IF(AND($A506&gt;=AQ$8,$A506&lt;=AQ$9),IF(SUM(AQ$10:AQ505)-ROUNDDOWN($K506*AQ$5/100,0)&lt;-AQ$6,-AQ$6-SUM(AQ$10:AQ505),-ROUNDDOWN($K506*AQ$5/100,0)),0)</f>
        <v>0</v>
      </c>
      <c r="AR506" s="38">
        <f>IF(AND($A506&gt;=AR$8,$A506&lt;=AR$9),IF(SUM(AR$10:AR505)-ROUNDDOWN($K506*AR$5/100,0)&lt;-AR$6,-AR$6-SUM(AR$10:AR505),-ROUNDDOWN($K506*AR$5/100,0)),0)</f>
        <v>0</v>
      </c>
      <c r="AS506" s="38">
        <f>IF(SUMIFS(AS$10:AS505,$A$10:$A505,$A506)-ROUNDDOWN($K506*$S506/100,0)&lt;-$S506*1000,-$S506*1000-SUMIFS(AS$10:AS505,$A$10:$A505,$A506),-ROUNDDOWN($K506*$S506/100,0))</f>
        <v>0</v>
      </c>
      <c r="AT506" s="38">
        <f>IF(AND(X506="○",$A506&gt;=AT$8,$A506&lt;=AT$9,K506&gt;=3980),IF(SUM(AT$10:AT505)-ROUNDDOWN($K506*AT$5/100,0)&lt;-AT$6,-AT$6-SUM(AT$10:AT505),-ROUNDDOWN($K506*AT$5/100,0)),0)</f>
        <v>0</v>
      </c>
      <c r="AU506" s="38">
        <f>IF(O506="○",IF(SUM(AU$10:AU505)-ROUNDDOWN($K506*AU$5/100,0)&lt;-AU$6,-AU$6-SUM(AU$10:AU505),-ROUNDDOWN($K506*AU$5/100,0)),0)</f>
        <v>0</v>
      </c>
      <c r="AV506" s="38">
        <f>IF(P506="○",IF(SUM(AV$10:AV505)-ROUNDDOWN($K506*AV$5/100,0)&lt;-AV$6,-AV$6-SUM(AV$10:AV505),-ROUNDDOWN($K506*AV$5/100,0)),0)</f>
        <v>0</v>
      </c>
      <c r="AW506" s="38">
        <f>IF(Q506="○",IF(SUM(AW$10:AW505)-ROUNDDOWN($K506*AW$5/100,0)&lt;-AW$6,-AW$6-SUM(AW$10:AW505),-ROUNDDOWN($K506*AW$5/100,0)),0)</f>
        <v>0</v>
      </c>
      <c r="AX506" s="38">
        <f>IF(R506="○",IF(SUM(AX$10:AX505)-ROUNDDOWN($K506*AX$5/100,0)&lt;-AX$6,-AX$6-SUM(AX$10:AX505),-ROUNDDOWN($K506*AX$5/100,0)),0)</f>
        <v>0</v>
      </c>
      <c r="AY506" s="70">
        <v>0</v>
      </c>
      <c r="AZ506" s="65">
        <f t="shared" si="319"/>
        <v>0</v>
      </c>
      <c r="BA506" s="65">
        <f t="shared" si="320"/>
        <v>0</v>
      </c>
      <c r="BB506" s="70"/>
      <c r="BC506" s="65">
        <f t="shared" si="321"/>
        <v>0</v>
      </c>
      <c r="BD506" s="70">
        <v>0</v>
      </c>
      <c r="BE506" s="65">
        <f t="shared" si="322"/>
        <v>0</v>
      </c>
      <c r="BF506" s="70">
        <v>0</v>
      </c>
      <c r="BG506" s="65">
        <f t="shared" si="323"/>
        <v>0</v>
      </c>
      <c r="BH506" s="70">
        <v>0</v>
      </c>
      <c r="BI506" s="65">
        <f t="shared" si="324"/>
        <v>0</v>
      </c>
      <c r="BJ506" s="38">
        <f>IF(AND(BJ$7="○",$A506&gt;=BJ$8,$A506&lt;=BJ$9),IF(SUM(BJ$10:BJ505)-ROUNDDOWN($M506*BJ$5/100,0)&lt;-BJ$6,-BJ$6-SUM(BJ$10:BJ505),-ROUNDDOWN($M506*BJ$5/100,0)),0)</f>
        <v>0</v>
      </c>
      <c r="BK506" s="38">
        <f>IF(AND(BK$7="○",$A506&gt;=BK$8,$A506&lt;=BK$9),IF(SUM(BK$10:BK505)-ROUNDDOWN($L506*BK$5/100,0)&lt;-BK$6,-BK$6-SUM(BK$10:BK505),-ROUNDDOWN($L506*BK$5/100,0)),0)</f>
        <v>0</v>
      </c>
      <c r="BL506" s="38">
        <f>IF(AND(BL$7="○",$A506&gt;=BL$8,$A506&lt;=BL$9),IF(SUM(BL$10:BL505)-ROUNDDOWN($L506*BL$5/100,0)&lt;-BL$6,-BL$6-SUM(BL$10:BL505),-ROUNDDOWN($L506*BL$5/100,0)),0)</f>
        <v>0</v>
      </c>
      <c r="BM506" s="38">
        <f>IF(AND(BM$7="○",$A506&gt;=BM$8,$A506&lt;=BM$9),IF(SUM(BM$10:BM505)-ROUNDDOWN($M506*BM$5/100,0)&lt;-BM$6,-BM$6-SUM(BM$10:BM505),-ROUNDDOWN($M506*BM$5/100,0)),0)</f>
        <v>0</v>
      </c>
      <c r="BN506" s="38">
        <f>IF(AND(BN$7="○",$A506&gt;=BN$8,$A506&lt;=BN$9),IF(SUM(BN$10:BN505)-ROUNDDOWN($M506*BN$5/100,0)&lt;-BN$6,-BN$6-SUM(BN$10:BN505),-ROUNDDOWN($M506*BN$5/100,0)),0)</f>
        <v>0</v>
      </c>
      <c r="BO506" s="38">
        <f>IF(AND(BO$7="○",$A506&gt;=BO$8,$A506&lt;=BO$9),IF(SUM(BO$10:BO505)-ROUNDDOWN($M506*BO$5/100,0)&lt;-BO$6,-BO$6-SUM(BO$10:BO505),-ROUNDDOWN($M506*BO$5/100,0)),0)</f>
        <v>0</v>
      </c>
      <c r="BP506" s="38">
        <f>IF(AND(BP$7="○",$A506&gt;=BP$8,$A506&lt;=BP$9),IF(SUM(BP$10:BP505)-ROUNDDOWN($M506*BP$5/100,0)&lt;-BP$6,-BP$6-SUM(BP$10:BP505),-ROUNDDOWN($M506*BP$5/100,0)),0)</f>
        <v>0</v>
      </c>
      <c r="BQ506" s="38">
        <f>IF(AND(BQ$7="○",$A506&gt;=BQ$8,$A506&lt;=BQ$9),IF(SUM(BQ$10:BQ505)-ROUNDDOWN($L506*BQ$5/100,0)&lt;-BQ$6,-BQ$6-SUM(BQ$10:BQ505),-ROUNDDOWN($L506*BQ$5/100,0)),0)</f>
        <v>0</v>
      </c>
      <c r="BR506" s="38">
        <f>IF(AND(BR$7="○",$A506&gt;=BR$8,$A506&lt;=BR$9),IF(SUM(BR$10:BR505)-ROUNDDOWN($M506*BR$5/100,0)&lt;-BR$6,-BR$6-SUM(BR$10:BR505),-ROUNDDOWN($M506*BR$5/100,0)),0)</f>
        <v>0</v>
      </c>
      <c r="BS506" s="38">
        <f>IF(AND(BS$7="○",$A506&gt;=BS$8,$A506&lt;=BS$9),IF(SUM(BS$10:BS505)-ROUNDDOWN($M506*BS$5/100,0)&lt;-BS$6,-BS$6-SUM(BS$10:BS505),-ROUNDDOWN($M506*BS$5/100,0)),0)</f>
        <v>0</v>
      </c>
      <c r="BT506" s="38">
        <f>IF(AND(BT$7="○",$A506&gt;=BT$8,$A506&lt;=BT$9),IF(SUM(BT$10:BT505)-ROUNDDOWN($M506*BT$5/100,0)&lt;-BT$6,-BT$6-SUM(BT$10:BT505),-ROUNDDOWN($M506*BT$5/100,0)),0)</f>
        <v>0</v>
      </c>
      <c r="BU506" s="38">
        <f>IF(AND(BU$7="○",$A506&gt;=BU$8,$A506&lt;=BU$9),IF(SUM(BU$10:BU505)-ROUNDDOWN($M506*BU$5/100,0)&lt;-BU$6,-BU$6-SUM(BU$10:BU505),-ROUNDDOWN($M506*BU$5/100,0)),0)</f>
        <v>0</v>
      </c>
      <c r="BV506" s="38">
        <f>IF(AND(BV$7="○",$A506&gt;=BV$8,$A506&lt;=BV$9),IF(SUM(BV$10:BV505)-ROUNDDOWN($M506*BV$5/100,0)&lt;-BV$6,-BV$6-SUM(BV$10:BV505),-ROUNDDOWN($M506*BV$5/100,0)),0)</f>
        <v>0</v>
      </c>
      <c r="BW506" s="38">
        <f>IF(AND(BW$7="○",$A506&gt;=BW$8,$A506&lt;=BW$9),IF(SUM(BW$10:BW505)-ROUNDDOWN($M506*BW$5/100,0)&lt;-BW$6,-BW$6-SUM(BW$10:BW505),-ROUNDDOWN($M506*BW$5/100,0)),0)</f>
        <v>0</v>
      </c>
      <c r="BX506" s="38">
        <f>IF(AND(T506="○",$A506&gt;=BX$8,$A506&lt;=BX$9),IF(SUM(BX$10:BX505)-ROUNDDOWN($K506*BX$5/100,0)&lt;-BX$6,-BX$6-SUM(BX$10:BX505),-ROUNDDOWN($K506*BX$5/100,0)),0)</f>
        <v>0</v>
      </c>
      <c r="BY506" s="38">
        <f>IF(AND(U506="○",$A506&gt;=BY$8,$A506&lt;=BY$9),IF(SUM(BY$10:BY505)-ROUNDDOWN($K506*BY$5/100,0)&lt;-BY$6,-BY$6-SUM(BY$10:BY505),-ROUNDDOWN($K506*BY$5/100,0)),0)</f>
        <v>0</v>
      </c>
      <c r="BZ506" s="38">
        <f>IF(AND(V506="○",$A506&gt;=BZ$8,$A506&lt;=BZ$9),IF(SUM(BZ$10:BZ505)-ROUNDDOWN($K506*BZ$5/100,0)&lt;-BZ$6,-BZ$6-SUM(BZ$10:BZ505),-ROUNDDOWN($K506*BZ$5/100,0)),0)</f>
        <v>0</v>
      </c>
      <c r="CA506" s="38">
        <f>IF(AND(W506="○",$A506&gt;=CA$8,$A506&lt;=CA$9),IF(SUM(CA$10:CA505)-ROUNDDOWN($K506*CA$5/100,0)&lt;-CA$6,-CA$6-SUM(CA$10:CA505),-ROUNDDOWN($K506*CA$5/100,0)),0)</f>
        <v>0</v>
      </c>
      <c r="CB506" s="38"/>
      <c r="CC506" s="38"/>
      <c r="CD506" s="38"/>
      <c r="CE506" s="38"/>
      <c r="CF506" s="38"/>
      <c r="CG506" s="65">
        <f t="shared" si="325"/>
        <v>0</v>
      </c>
      <c r="CH506" s="71">
        <f t="shared" si="326"/>
        <v>0</v>
      </c>
      <c r="CI506" s="1">
        <f t="shared" si="337"/>
        <v>0</v>
      </c>
      <c r="CJ506" s="1"/>
      <c r="CK506" s="72"/>
      <c r="CL506" s="72"/>
      <c r="CM506" s="2"/>
      <c r="CN506" s="2"/>
      <c r="CO506" s="73">
        <f t="shared" si="338"/>
        <v>0</v>
      </c>
      <c r="CP506" s="5">
        <f t="shared" si="339"/>
        <v>0</v>
      </c>
      <c r="CQ506" s="1"/>
      <c r="CR506" s="1">
        <f t="shared" si="340"/>
        <v>0</v>
      </c>
      <c r="CS506" s="1"/>
      <c r="CT506" s="1" t="e">
        <f>INDEX([2]マスタ!$A:$A,MATCH(D506,[2]マスタ!$C:$C,0))</f>
        <v>#N/A</v>
      </c>
      <c r="CU506" s="1" t="str">
        <f t="shared" ca="1" si="341"/>
        <v>20260620_0-0</v>
      </c>
    </row>
    <row r="507" spans="1:99" x14ac:dyDescent="0.4">
      <c r="A507" s="61"/>
      <c r="B507" s="62"/>
      <c r="C507" s="62"/>
      <c r="D507" s="62"/>
      <c r="E507" s="74"/>
      <c r="F507" s="62"/>
      <c r="G507" s="62">
        <v>1</v>
      </c>
      <c r="H507" s="64">
        <f t="shared" si="331"/>
        <v>0</v>
      </c>
      <c r="I507" s="64"/>
      <c r="J507" s="64"/>
      <c r="K507" s="65">
        <f t="shared" si="332"/>
        <v>0</v>
      </c>
      <c r="L507" s="65">
        <f t="shared" si="333"/>
        <v>0</v>
      </c>
      <c r="M507" s="65">
        <f t="shared" si="334"/>
        <v>0</v>
      </c>
      <c r="N507" s="65">
        <f t="shared" si="335"/>
        <v>0</v>
      </c>
      <c r="O507" s="66" t="str">
        <f t="shared" si="9"/>
        <v>✕</v>
      </c>
      <c r="P507" s="67" t="str">
        <f t="shared" si="10"/>
        <v>○</v>
      </c>
      <c r="Q507" s="67" t="str">
        <f t="shared" si="336"/>
        <v>✕</v>
      </c>
      <c r="R507" s="67" t="str">
        <f t="shared" si="12"/>
        <v>✕</v>
      </c>
      <c r="S507" s="68">
        <v>0</v>
      </c>
      <c r="T507" s="69" t="s">
        <v>85</v>
      </c>
      <c r="U507" s="69" t="s">
        <v>85</v>
      </c>
      <c r="V507" s="69" t="s">
        <v>85</v>
      </c>
      <c r="W507" s="69" t="s">
        <v>85</v>
      </c>
      <c r="X507" s="69" t="s">
        <v>84</v>
      </c>
      <c r="Y507" s="69" t="s">
        <v>85</v>
      </c>
      <c r="Z507" s="69" t="s">
        <v>85</v>
      </c>
      <c r="AA507" s="69" t="s">
        <v>85</v>
      </c>
      <c r="AB507" s="69" t="s">
        <v>85</v>
      </c>
      <c r="AC507" s="69" t="s">
        <v>85</v>
      </c>
      <c r="AD507" s="38" t="str">
        <f>+IF(ISERROR(VLOOKUP($B507,AD$10:AD506,1,0)),IF(AND($N507&gt;=1000,$A507&gt;=AO$8,$A507&lt;=AO$9),$B507,""),"")</f>
        <v/>
      </c>
      <c r="AE507" s="38" t="str">
        <f>+IF(ISERROR(VLOOKUP($B507,AE$10:AE506,1,0)),IF(AND($N507&gt;=1000,$A507&gt;=AP$8,$A507&lt;=AP$9),$B507,""),"")</f>
        <v/>
      </c>
      <c r="AF507" s="38" t="str">
        <f>+IF(ISERROR(VLOOKUP($B507,AF$10:AF506,1,0)),IF(AND($N507&gt;=1000,$A507&gt;=AQ$8,$A507&lt;=AQ$9),$B507,""),"")</f>
        <v/>
      </c>
      <c r="AG507" s="38" t="str">
        <f>+IF(ISERROR(VLOOKUP($B507,AG$10:AG506,1,0)),IF(AND($N507&gt;=1000,$A507&gt;=AR$8,$A507&lt;=AR$9),$B507,""),"")</f>
        <v/>
      </c>
      <c r="AH507" s="38"/>
      <c r="AI507" s="70">
        <v>0</v>
      </c>
      <c r="AJ507" s="38">
        <f>IF(AND(AJ$7="○",$A507&gt;=AJ$8,$A507&lt;=AJ$9),IF(SUM(AJ$10:AJ506)-ROUNDDOWN($K507*AJ$5/100,0)&lt;-AJ$6,-AJ$6-SUM(AJ$10:AJ506),-ROUNDDOWN($K507*AJ$5/100,0)),0)</f>
        <v>0</v>
      </c>
      <c r="AK507" s="38">
        <f>IF(AND(AK$7="○",$A507&gt;=AK$8,$A507&lt;=AK$9),IF(SUM(AK$10:AK506)-ROUNDDOWN($L507*AK$5/100,0)&lt;-AK$6,-AK$6-SUM(AK$10:AK506),-ROUNDDOWN($L507*AK$5/100,0)),0)</f>
        <v>0</v>
      </c>
      <c r="AL507" s="38">
        <f>IF(AND(AL$7="○",$A507&gt;=AL$8,$A507&lt;=AL$9),IF(SUM(AL$10:AL506)-ROUNDDOWN($N507*AL$5/100,0)&lt;-AL$6,-AL$6-SUM(AL$10:AL506),-ROUNDDOWN($N507*AL$5/100,0)),0)</f>
        <v>0</v>
      </c>
      <c r="AM507" s="38">
        <f>IF(AND(AM$7="○",$A507&gt;=AM$8,$A507&lt;=AM$9),IF(SUM(AM$10:AM506)-ROUNDDOWN($L507*AM$5/100,0)&lt;-AM$6,-AM$6-SUM(AM$10:AM506),-ROUNDDOWN($L507*AM$5/100,0)),0)</f>
        <v>0</v>
      </c>
      <c r="AN507" s="38">
        <f>IF(AND(AN$7="○",$A507&gt;=AN$8,$A507&lt;=AN$9),IF(SUM(AN$10:AN506)-ROUNDDOWN($M507*AN$5/100,0)&lt;-AN$6,-AN$6-SUM(AN$10:AN506),-ROUNDDOWN($M507*AN$5/100,0)),0)</f>
        <v>0</v>
      </c>
      <c r="AO507" s="38">
        <f>IF(AND($A507&gt;=AO$8,$A507&lt;=AO$9),IF(SUM(AO$10:AO506)-ROUNDDOWN($K507*AO$5/100,0)&lt;-AO$6,-AO$6-SUM(AO$10:AO506),-ROUNDDOWN($K507*AO$5/100,0)),0)</f>
        <v>0</v>
      </c>
      <c r="AP507" s="38">
        <f>IF(AND($A507&gt;=AP$8,$A507&lt;=AP$9),IF(SUM(AP$10:AP506)-ROUNDDOWN($K507*AP$5/100,0)&lt;-AP$6,-AP$6-SUM(AP$10:AP506),-ROUNDDOWN($K507*AP$5/100,0)),0)</f>
        <v>0</v>
      </c>
      <c r="AQ507" s="38">
        <f>IF(AND($A507&gt;=AQ$8,$A507&lt;=AQ$9),IF(SUM(AQ$10:AQ506)-ROUNDDOWN($K507*AQ$5/100,0)&lt;-AQ$6,-AQ$6-SUM(AQ$10:AQ506),-ROUNDDOWN($K507*AQ$5/100,0)),0)</f>
        <v>0</v>
      </c>
      <c r="AR507" s="38">
        <f>IF(AND($A507&gt;=AR$8,$A507&lt;=AR$9),IF(SUM(AR$10:AR506)-ROUNDDOWN($K507*AR$5/100,0)&lt;-AR$6,-AR$6-SUM(AR$10:AR506),-ROUNDDOWN($K507*AR$5/100,0)),0)</f>
        <v>0</v>
      </c>
      <c r="AS507" s="38">
        <f>IF(SUMIFS(AS$10:AS506,$A$10:$A506,$A507)-ROUNDDOWN($K507*$S507/100,0)&lt;-$S507*1000,-$S507*1000-SUMIFS(AS$10:AS506,$A$10:$A506,$A507),-ROUNDDOWN($K507*$S507/100,0))</f>
        <v>0</v>
      </c>
      <c r="AT507" s="38">
        <f>IF(AND(X507="○",$A507&gt;=AT$8,$A507&lt;=AT$9,K507&gt;=3980),IF(SUM(AT$10:AT506)-ROUNDDOWN($K507*AT$5/100,0)&lt;-AT$6,-AT$6-SUM(AT$10:AT506),-ROUNDDOWN($K507*AT$5/100,0)),0)</f>
        <v>0</v>
      </c>
      <c r="AU507" s="38">
        <f>IF(O507="○",IF(SUM(AU$10:AU506)-ROUNDDOWN($K507*AU$5/100,0)&lt;-AU$6,-AU$6-SUM(AU$10:AU506),-ROUNDDOWN($K507*AU$5/100,0)),0)</f>
        <v>0</v>
      </c>
      <c r="AV507" s="38">
        <f>IF(P507="○",IF(SUM(AV$10:AV506)-ROUNDDOWN($K507*AV$5/100,0)&lt;-AV$6,-AV$6-SUM(AV$10:AV506),-ROUNDDOWN($K507*AV$5/100,0)),0)</f>
        <v>0</v>
      </c>
      <c r="AW507" s="38">
        <f>IF(Q507="○",IF(SUM(AW$10:AW506)-ROUNDDOWN($K507*AW$5/100,0)&lt;-AW$6,-AW$6-SUM(AW$10:AW506),-ROUNDDOWN($K507*AW$5/100,0)),0)</f>
        <v>0</v>
      </c>
      <c r="AX507" s="38">
        <f>IF(R507="○",IF(SUM(AX$10:AX506)-ROUNDDOWN($K507*AX$5/100,0)&lt;-AX$6,-AX$6-SUM(AX$10:AX506),-ROUNDDOWN($K507*AX$5/100,0)),0)</f>
        <v>0</v>
      </c>
      <c r="AY507" s="70">
        <v>0</v>
      </c>
      <c r="AZ507" s="65">
        <f t="shared" si="319"/>
        <v>0</v>
      </c>
      <c r="BA507" s="65">
        <f t="shared" si="320"/>
        <v>0</v>
      </c>
      <c r="BB507" s="70"/>
      <c r="BC507" s="65">
        <f t="shared" si="321"/>
        <v>0</v>
      </c>
      <c r="BD507" s="70">
        <v>0</v>
      </c>
      <c r="BE507" s="65">
        <f t="shared" si="322"/>
        <v>0</v>
      </c>
      <c r="BF507" s="70">
        <v>0</v>
      </c>
      <c r="BG507" s="65">
        <f t="shared" si="323"/>
        <v>0</v>
      </c>
      <c r="BH507" s="70">
        <v>0</v>
      </c>
      <c r="BI507" s="65">
        <f t="shared" si="324"/>
        <v>0</v>
      </c>
      <c r="BJ507" s="38">
        <f>IF(AND(BJ$7="○",$A507&gt;=BJ$8,$A507&lt;=BJ$9),IF(SUM(BJ$10:BJ506)-ROUNDDOWN($M507*BJ$5/100,0)&lt;-BJ$6,-BJ$6-SUM(BJ$10:BJ506),-ROUNDDOWN($M507*BJ$5/100,0)),0)</f>
        <v>0</v>
      </c>
      <c r="BK507" s="38">
        <f>IF(AND(BK$7="○",$A507&gt;=BK$8,$A507&lt;=BK$9),IF(SUM(BK$10:BK506)-ROUNDDOWN($L507*BK$5/100,0)&lt;-BK$6,-BK$6-SUM(BK$10:BK506),-ROUNDDOWN($L507*BK$5/100,0)),0)</f>
        <v>0</v>
      </c>
      <c r="BL507" s="38">
        <f>IF(AND(BL$7="○",$A507&gt;=BL$8,$A507&lt;=BL$9),IF(SUM(BL$10:BL506)-ROUNDDOWN($L507*BL$5/100,0)&lt;-BL$6,-BL$6-SUM(BL$10:BL506),-ROUNDDOWN($L507*BL$5/100,0)),0)</f>
        <v>0</v>
      </c>
      <c r="BM507" s="38">
        <f>IF(AND(BM$7="○",$A507&gt;=BM$8,$A507&lt;=BM$9),IF(SUM(BM$10:BM506)-ROUNDDOWN($M507*BM$5/100,0)&lt;-BM$6,-BM$6-SUM(BM$10:BM506),-ROUNDDOWN($M507*BM$5/100,0)),0)</f>
        <v>0</v>
      </c>
      <c r="BN507" s="38">
        <f>IF(AND(BN$7="○",$A507&gt;=BN$8,$A507&lt;=BN$9),IF(SUM(BN$10:BN506)-ROUNDDOWN($M507*BN$5/100,0)&lt;-BN$6,-BN$6-SUM(BN$10:BN506),-ROUNDDOWN($M507*BN$5/100,0)),0)</f>
        <v>0</v>
      </c>
      <c r="BO507" s="38">
        <f>IF(AND(BO$7="○",$A507&gt;=BO$8,$A507&lt;=BO$9),IF(SUM(BO$10:BO506)-ROUNDDOWN($M507*BO$5/100,0)&lt;-BO$6,-BO$6-SUM(BO$10:BO506),-ROUNDDOWN($M507*BO$5/100,0)),0)</f>
        <v>0</v>
      </c>
      <c r="BP507" s="38">
        <f>IF(AND(BP$7="○",$A507&gt;=BP$8,$A507&lt;=BP$9),IF(SUM(BP$10:BP506)-ROUNDDOWN($M507*BP$5/100,0)&lt;-BP$6,-BP$6-SUM(BP$10:BP506),-ROUNDDOWN($M507*BP$5/100,0)),0)</f>
        <v>0</v>
      </c>
      <c r="BQ507" s="38">
        <f>IF(AND(BQ$7="○",$A507&gt;=BQ$8,$A507&lt;=BQ$9),IF(SUM(BQ$10:BQ506)-ROUNDDOWN($L507*BQ$5/100,0)&lt;-BQ$6,-BQ$6-SUM(BQ$10:BQ506),-ROUNDDOWN($L507*BQ$5/100,0)),0)</f>
        <v>0</v>
      </c>
      <c r="BR507" s="38">
        <f>IF(AND(BR$7="○",$A507&gt;=BR$8,$A507&lt;=BR$9),IF(SUM(BR$10:BR506)-ROUNDDOWN($M507*BR$5/100,0)&lt;-BR$6,-BR$6-SUM(BR$10:BR506),-ROUNDDOWN($M507*BR$5/100,0)),0)</f>
        <v>0</v>
      </c>
      <c r="BS507" s="38">
        <f>IF(AND(BS$7="○",$A507&gt;=BS$8,$A507&lt;=BS$9),IF(SUM(BS$10:BS506)-ROUNDDOWN($M507*BS$5/100,0)&lt;-BS$6,-BS$6-SUM(BS$10:BS506),-ROUNDDOWN($M507*BS$5/100,0)),0)</f>
        <v>0</v>
      </c>
      <c r="BT507" s="38">
        <f>IF(AND(BT$7="○",$A507&gt;=BT$8,$A507&lt;=BT$9),IF(SUM(BT$10:BT506)-ROUNDDOWN($M507*BT$5/100,0)&lt;-BT$6,-BT$6-SUM(BT$10:BT506),-ROUNDDOWN($M507*BT$5/100,0)),0)</f>
        <v>0</v>
      </c>
      <c r="BU507" s="38">
        <f>IF(AND(BU$7="○",$A507&gt;=BU$8,$A507&lt;=BU$9),IF(SUM(BU$10:BU506)-ROUNDDOWN($M507*BU$5/100,0)&lt;-BU$6,-BU$6-SUM(BU$10:BU506),-ROUNDDOWN($M507*BU$5/100,0)),0)</f>
        <v>0</v>
      </c>
      <c r="BV507" s="38">
        <f>IF(AND(BV$7="○",$A507&gt;=BV$8,$A507&lt;=BV$9),IF(SUM(BV$10:BV506)-ROUNDDOWN($M507*BV$5/100,0)&lt;-BV$6,-BV$6-SUM(BV$10:BV506),-ROUNDDOWN($M507*BV$5/100,0)),0)</f>
        <v>0</v>
      </c>
      <c r="BW507" s="38">
        <f>IF(AND(BW$7="○",$A507&gt;=BW$8,$A507&lt;=BW$9),IF(SUM(BW$10:BW506)-ROUNDDOWN($M507*BW$5/100,0)&lt;-BW$6,-BW$6-SUM(BW$10:BW506),-ROUNDDOWN($M507*BW$5/100,0)),0)</f>
        <v>0</v>
      </c>
      <c r="BX507" s="38">
        <f>IF(AND(T507="○",$A507&gt;=BX$8,$A507&lt;=BX$9),IF(SUM(BX$10:BX506)-ROUNDDOWN($K507*BX$5/100,0)&lt;-BX$6,-BX$6-SUM(BX$10:BX506),-ROUNDDOWN($K507*BX$5/100,0)),0)</f>
        <v>0</v>
      </c>
      <c r="BY507" s="38">
        <f>IF(AND(U507="○",$A507&gt;=BY$8,$A507&lt;=BY$9),IF(SUM(BY$10:BY506)-ROUNDDOWN($K507*BY$5/100,0)&lt;-BY$6,-BY$6-SUM(BY$10:BY506),-ROUNDDOWN($K507*BY$5/100,0)),0)</f>
        <v>0</v>
      </c>
      <c r="BZ507" s="38">
        <f>IF(AND(V507="○",$A507&gt;=BZ$8,$A507&lt;=BZ$9),IF(SUM(BZ$10:BZ506)-ROUNDDOWN($K507*BZ$5/100,0)&lt;-BZ$6,-BZ$6-SUM(BZ$10:BZ506),-ROUNDDOWN($K507*BZ$5/100,0)),0)</f>
        <v>0</v>
      </c>
      <c r="CA507" s="38">
        <f>IF(AND(W507="○",$A507&gt;=CA$8,$A507&lt;=CA$9),IF(SUM(CA$10:CA506)-ROUNDDOWN($K507*CA$5/100,0)&lt;-CA$6,-CA$6-SUM(CA$10:CA506),-ROUNDDOWN($K507*CA$5/100,0)),0)</f>
        <v>0</v>
      </c>
      <c r="CB507" s="38"/>
      <c r="CC507" s="38"/>
      <c r="CD507" s="38"/>
      <c r="CE507" s="38"/>
      <c r="CF507" s="38"/>
      <c r="CG507" s="65">
        <f t="shared" si="325"/>
        <v>0</v>
      </c>
      <c r="CH507" s="71">
        <f t="shared" si="326"/>
        <v>0</v>
      </c>
      <c r="CI507" s="1">
        <f t="shared" si="337"/>
        <v>0</v>
      </c>
      <c r="CJ507" s="1"/>
      <c r="CK507" s="72"/>
      <c r="CL507" s="72"/>
      <c r="CM507" s="2"/>
      <c r="CN507" s="2"/>
      <c r="CO507" s="73">
        <f t="shared" si="338"/>
        <v>0</v>
      </c>
      <c r="CP507" s="5">
        <f t="shared" si="339"/>
        <v>0</v>
      </c>
      <c r="CQ507" s="1"/>
      <c r="CR507" s="1">
        <f t="shared" si="340"/>
        <v>0</v>
      </c>
      <c r="CS507" s="1"/>
      <c r="CT507" s="1" t="e">
        <f>INDEX([2]マスタ!$A:$A,MATCH(D507,[2]マスタ!$C:$C,0))</f>
        <v>#N/A</v>
      </c>
      <c r="CU507" s="1" t="str">
        <f t="shared" ca="1" si="341"/>
        <v>20260620_0-0</v>
      </c>
    </row>
    <row r="508" spans="1:99" x14ac:dyDescent="0.4">
      <c r="A508" s="61"/>
      <c r="B508" s="62"/>
      <c r="C508" s="62"/>
      <c r="D508" s="62"/>
      <c r="E508" s="74"/>
      <c r="F508" s="62"/>
      <c r="G508" s="62">
        <v>1</v>
      </c>
      <c r="H508" s="64">
        <f t="shared" si="331"/>
        <v>0</v>
      </c>
      <c r="I508" s="64"/>
      <c r="J508" s="64"/>
      <c r="K508" s="65">
        <f t="shared" ref="K508:K511" si="342">+ROUNDDOWN((H508+I508+J508)/100,0)*100</f>
        <v>0</v>
      </c>
      <c r="L508" s="65">
        <f t="shared" si="333"/>
        <v>0</v>
      </c>
      <c r="M508" s="65">
        <f t="shared" si="334"/>
        <v>0</v>
      </c>
      <c r="N508" s="65">
        <f t="shared" si="335"/>
        <v>0</v>
      </c>
      <c r="O508" s="66" t="str">
        <f t="shared" si="9"/>
        <v>✕</v>
      </c>
      <c r="P508" s="67" t="str">
        <f t="shared" si="10"/>
        <v>○</v>
      </c>
      <c r="Q508" s="67" t="str">
        <f t="shared" ref="Q508:Q511" si="343">+IF((TEXT(A508,"DD")+0)=1,"○","✕")</f>
        <v>✕</v>
      </c>
      <c r="R508" s="67" t="str">
        <f t="shared" si="12"/>
        <v>✕</v>
      </c>
      <c r="S508" s="68">
        <v>0</v>
      </c>
      <c r="T508" s="69" t="s">
        <v>85</v>
      </c>
      <c r="U508" s="69" t="s">
        <v>85</v>
      </c>
      <c r="V508" s="69" t="s">
        <v>85</v>
      </c>
      <c r="W508" s="69" t="s">
        <v>85</v>
      </c>
      <c r="X508" s="69" t="s">
        <v>84</v>
      </c>
      <c r="Y508" s="69" t="s">
        <v>85</v>
      </c>
      <c r="Z508" s="69" t="s">
        <v>85</v>
      </c>
      <c r="AA508" s="69" t="s">
        <v>85</v>
      </c>
      <c r="AB508" s="69" t="s">
        <v>85</v>
      </c>
      <c r="AC508" s="69" t="s">
        <v>85</v>
      </c>
      <c r="AD508" s="38" t="str">
        <f>+IF(ISERROR(VLOOKUP($B508,AD$10:AD500,1,0)),IF(AND($N508&gt;=1000,$A508&gt;=AO$8,$A508&lt;=AO$9),$B508,""),"")</f>
        <v/>
      </c>
      <c r="AE508" s="38" t="str">
        <f>+IF(ISERROR(VLOOKUP($B508,AE$10:AE500,1,0)),IF(AND($N508&gt;=1000,$A508&gt;=AP$8,$A508&lt;=AP$9),$B508,""),"")</f>
        <v/>
      </c>
      <c r="AF508" s="38" t="str">
        <f>+IF(ISERROR(VLOOKUP($B508,AF$10:AF500,1,0)),IF(AND($N508&gt;=1000,$A508&gt;=AQ$8,$A508&lt;=AQ$9),$B508,""),"")</f>
        <v/>
      </c>
      <c r="AG508" s="38" t="str">
        <f>+IF(ISERROR(VLOOKUP($B508,AG$10:AG500,1,0)),IF(AND($N508&gt;=1000,$A508&gt;=AR$8,$A508&lt;=AR$9),$B508,""),"")</f>
        <v/>
      </c>
      <c r="AH508" s="38"/>
      <c r="AI508" s="70">
        <v>0</v>
      </c>
      <c r="AJ508" s="38">
        <f>IF(AND(AJ$7="○",$A508&gt;=AJ$8,$A508&lt;=AJ$9),IF(SUM(AJ$10:AJ507)-ROUNDDOWN($K508*AJ$5/100,0)&lt;-AJ$6,-AJ$6-SUM(AJ$10:AJ507),-ROUNDDOWN($K508*AJ$5/100,0)),0)</f>
        <v>0</v>
      </c>
      <c r="AK508" s="38">
        <f>IF(AND(AK$7="○",$A508&gt;=AK$8,$A508&lt;=AK$9),IF(SUM(AK$10:AK507)-ROUNDDOWN($L508*AK$5/100,0)&lt;-AK$6,-AK$6-SUM(AK$10:AK507),-ROUNDDOWN($L508*AK$5/100,0)),0)</f>
        <v>0</v>
      </c>
      <c r="AL508" s="38">
        <f>IF(AND(AL$7="○",$A508&gt;=AL$8,$A508&lt;=AL$9),IF(SUM(AL$10:AL507)-ROUNDDOWN($N508*AL$5/100,0)&lt;-AL$6,-AL$6-SUM(AL$10:AL507),-ROUNDDOWN($N508*AL$5/100,0)),0)</f>
        <v>0</v>
      </c>
      <c r="AM508" s="38">
        <f>IF(AND(AM$7="○",$A508&gt;=AM$8,$A508&lt;=AM$9),IF(SUM(AM$10:AM507)-ROUNDDOWN($L508*AM$5/100,0)&lt;-AM$6,-AM$6-SUM(AM$10:AM507),-ROUNDDOWN($L508*AM$5/100,0)),0)</f>
        <v>0</v>
      </c>
      <c r="AN508" s="38">
        <f>IF(AND(AN$7="○",$A508&gt;=AN$8,$A508&lt;=AN$9),IF(SUM(AN$10:AN507)-ROUNDDOWN($M508*AN$5/100,0)&lt;-AN$6,-AN$6-SUM(AN$10:AN507),-ROUNDDOWN($M508*AN$5/100,0)),0)</f>
        <v>0</v>
      </c>
      <c r="AO508" s="38">
        <f>IF(AND($A508&gt;=AO$8,$A508&lt;=AO$9),IF(SUM(AO$10:AO507)-ROUNDDOWN($K508*AO$5/100,0)&lt;-AO$6,-AO$6-SUM(AO$10:AO507),-ROUNDDOWN($K508*AO$5/100,0)),0)</f>
        <v>0</v>
      </c>
      <c r="AP508" s="38">
        <f>IF(AND($A508&gt;=AP$8,$A508&lt;=AP$9),IF(SUM(AP$10:AP507)-ROUNDDOWN($K508*AP$5/100,0)&lt;-AP$6,-AP$6-SUM(AP$10:AP507),-ROUNDDOWN($K508*AP$5/100,0)),0)</f>
        <v>0</v>
      </c>
      <c r="AQ508" s="38">
        <f>IF(AND($A508&gt;=AQ$8,$A508&lt;=AQ$9),IF(SUM(AQ$10:AQ507)-ROUNDDOWN($K508*AQ$5/100,0)&lt;-AQ$6,-AQ$6-SUM(AQ$10:AQ507),-ROUNDDOWN($K508*AQ$5/100,0)),0)</f>
        <v>0</v>
      </c>
      <c r="AR508" s="38">
        <f>IF(AND($A508&gt;=AR$8,$A508&lt;=AR$9),IF(SUM(AR$10:AR507)-ROUNDDOWN($K508*AR$5/100,0)&lt;-AR$6,-AR$6-SUM(AR$10:AR507),-ROUNDDOWN($K508*AR$5/100,0)),0)</f>
        <v>0</v>
      </c>
      <c r="AS508" s="38">
        <f>IF(SUMIFS(AS$10:AS507,$A$10:$A507,$A508)-ROUNDDOWN($K508*$S508/100,0)&lt;-$S508*1000,-$S508*1000-SUMIFS(AS$10:AS507,$A$10:$A507,$A508),-ROUNDDOWN($K508*$S508/100,0))</f>
        <v>0</v>
      </c>
      <c r="AT508" s="38">
        <f>IF(AND(X508="○",$A508&gt;=AT$8,$A508&lt;=AT$9,K508&gt;=3980),IF(SUM(AT$10:AT507)-ROUNDDOWN($K508*AT$5/100,0)&lt;-AT$6,-AT$6-SUM(AT$10:AT507),-ROUNDDOWN($K508*AT$5/100,0)),0)</f>
        <v>0</v>
      </c>
      <c r="AU508" s="38">
        <f>IF(O508="○",IF(SUM(AU$10:AU507)-ROUNDDOWN($K508*AU$5/100,0)&lt;-AU$6,-AU$6-SUM(AU$10:AU507),-ROUNDDOWN($K508*AU$5/100,0)),0)</f>
        <v>0</v>
      </c>
      <c r="AV508" s="38">
        <f>IF(P508="○",IF(SUM(AV$10:AV507)-ROUNDDOWN($K508*AV$5/100,0)&lt;-AV$6,-AV$6-SUM(AV$10:AV507),-ROUNDDOWN($K508*AV$5/100,0)),0)</f>
        <v>0</v>
      </c>
      <c r="AW508" s="38">
        <f>IF(Q508="○",IF(SUM(AW$10:AW507)-ROUNDDOWN($K508*AW$5/100,0)&lt;-AW$6,-AW$6-SUM(AW$10:AW507),-ROUNDDOWN($K508*AW$5/100,0)),0)</f>
        <v>0</v>
      </c>
      <c r="AX508" s="38">
        <f>IF(R508="○",IF(SUM(AX$10:AX507)-ROUNDDOWN($K508*AX$5/100,0)&lt;-AX$6,-AX$6-SUM(AX$10:AX507),-ROUNDDOWN($K508*AX$5/100,0)),0)</f>
        <v>0</v>
      </c>
      <c r="AY508" s="70">
        <v>0</v>
      </c>
      <c r="AZ508" s="65">
        <f t="shared" si="319"/>
        <v>0</v>
      </c>
      <c r="BA508" s="65">
        <f t="shared" si="320"/>
        <v>0</v>
      </c>
      <c r="BB508" s="70"/>
      <c r="BC508" s="65">
        <f t="shared" si="321"/>
        <v>0</v>
      </c>
      <c r="BD508" s="70">
        <v>0</v>
      </c>
      <c r="BE508" s="65">
        <f t="shared" si="322"/>
        <v>0</v>
      </c>
      <c r="BF508" s="70">
        <v>0</v>
      </c>
      <c r="BG508" s="65">
        <f t="shared" si="323"/>
        <v>0</v>
      </c>
      <c r="BH508" s="70">
        <v>0</v>
      </c>
      <c r="BI508" s="65">
        <f t="shared" si="324"/>
        <v>0</v>
      </c>
      <c r="BJ508" s="38">
        <f>IF(AND(BJ$7="○",$A508&gt;=BJ$8,$A508&lt;=BJ$9),IF(SUM(BJ$10:BJ507)-ROUNDDOWN($M508*BJ$5/100,0)&lt;-BJ$6,-BJ$6-SUM(BJ$10:BJ507),-ROUNDDOWN($M508*BJ$5/100,0)),0)</f>
        <v>0</v>
      </c>
      <c r="BK508" s="38">
        <f>IF(AND(BK$7="○",$A508&gt;=BK$8,$A508&lt;=BK$9),IF(SUM(BK$10:BK507)-ROUNDDOWN($L508*BK$5/100,0)&lt;-BK$6,-BK$6-SUM(BK$10:BK507),-ROUNDDOWN($L508*BK$5/100,0)),0)</f>
        <v>0</v>
      </c>
      <c r="BL508" s="38">
        <f>IF(AND(BL$7="○",$A508&gt;=BL$8,$A508&lt;=BL$9),IF(SUM(BL$10:BL507)-ROUNDDOWN($L508*BL$5/100,0)&lt;-BL$6,-BL$6-SUM(BL$10:BL507),-ROUNDDOWN($L508*BL$5/100,0)),0)</f>
        <v>0</v>
      </c>
      <c r="BM508" s="38">
        <f>IF(AND(BM$7="○",$A508&gt;=BM$8,$A508&lt;=BM$9),IF(SUM(BM$10:BM507)-ROUNDDOWN($M508*BM$5/100,0)&lt;-BM$6,-BM$6-SUM(BM$10:BM507),-ROUNDDOWN($M508*BM$5/100,0)),0)</f>
        <v>0</v>
      </c>
      <c r="BN508" s="38">
        <f>IF(AND(BN$7="○",$A508&gt;=BN$8,$A508&lt;=BN$9),IF(SUM(BN$10:BN507)-ROUNDDOWN($M508*BN$5/100,0)&lt;-BN$6,-BN$6-SUM(BN$10:BN507),-ROUNDDOWN($M508*BN$5/100,0)),0)</f>
        <v>0</v>
      </c>
      <c r="BO508" s="38">
        <f>IF(AND(BO$7="○",$A508&gt;=BO$8,$A508&lt;=BO$9),IF(SUM(BO$10:BO507)-ROUNDDOWN($M508*BO$5/100,0)&lt;-BO$6,-BO$6-SUM(BO$10:BO507),-ROUNDDOWN($M508*BO$5/100,0)),0)</f>
        <v>0</v>
      </c>
      <c r="BP508" s="38">
        <f>IF(AND(BP$7="○",$A508&gt;=BP$8,$A508&lt;=BP$9),IF(SUM(BP$10:BP507)-ROUNDDOWN($M508*BP$5/100,0)&lt;-BP$6,-BP$6-SUM(BP$10:BP507),-ROUNDDOWN($M508*BP$5/100,0)),0)</f>
        <v>0</v>
      </c>
      <c r="BQ508" s="38">
        <f>IF(AND(BQ$7="○",$A508&gt;=BQ$8,$A508&lt;=BQ$9),IF(SUM(BQ$10:BQ507)-ROUNDDOWN($L508*BQ$5/100,0)&lt;-BQ$6,-BQ$6-SUM(BQ$10:BQ507),-ROUNDDOWN($L508*BQ$5/100,0)),0)</f>
        <v>0</v>
      </c>
      <c r="BR508" s="38">
        <f>IF(AND(BR$7="○",$A508&gt;=BR$8,$A508&lt;=BR$9),IF(SUM(BR$10:BR507)-ROUNDDOWN($M508*BR$5/100,0)&lt;-BR$6,-BR$6-SUM(BR$10:BR507),-ROUNDDOWN($M508*BR$5/100,0)),0)</f>
        <v>0</v>
      </c>
      <c r="BS508" s="38">
        <f>IF(AND(BS$7="○",$A508&gt;=BS$8,$A508&lt;=BS$9),IF(SUM(BS$10:BS507)-ROUNDDOWN($M508*BS$5/100,0)&lt;-BS$6,-BS$6-SUM(BS$10:BS507),-ROUNDDOWN($M508*BS$5/100,0)),0)</f>
        <v>0</v>
      </c>
      <c r="BT508" s="38">
        <f>IF(AND(BT$7="○",$A508&gt;=BT$8,$A508&lt;=BT$9),IF(SUM(BT$10:BT507)-ROUNDDOWN($M508*BT$5/100,0)&lt;-BT$6,-BT$6-SUM(BT$10:BT507),-ROUNDDOWN($M508*BT$5/100,0)),0)</f>
        <v>0</v>
      </c>
      <c r="BU508" s="38">
        <f>IF(AND(BU$7="○",$A508&gt;=BU$8,$A508&lt;=BU$9),IF(SUM(BU$10:BU507)-ROUNDDOWN($M508*BU$5/100,0)&lt;-BU$6,-BU$6-SUM(BU$10:BU507),-ROUNDDOWN($M508*BU$5/100,0)),0)</f>
        <v>0</v>
      </c>
      <c r="BV508" s="38">
        <f>IF(AND(BV$7="○",$A508&gt;=BV$8,$A508&lt;=BV$9),IF(SUM(BV$10:BV507)-ROUNDDOWN($M508*BV$5/100,0)&lt;-BV$6,-BV$6-SUM(BV$10:BV507),-ROUNDDOWN($M508*BV$5/100,0)),0)</f>
        <v>0</v>
      </c>
      <c r="BW508" s="38">
        <f>IF(AND(BW$7="○",$A508&gt;=BW$8,$A508&lt;=BW$9),IF(SUM(BW$10:BW507)-ROUNDDOWN($M508*BW$5/100,0)&lt;-BW$6,-BW$6-SUM(BW$10:BW507),-ROUNDDOWN($M508*BW$5/100,0)),0)</f>
        <v>0</v>
      </c>
      <c r="BX508" s="38">
        <f>IF(AND(T508="○",$A508&gt;=BX$8,$A508&lt;=BX$9),IF(SUM(BX$10:BX507)-ROUNDDOWN($K508*BX$5/100,0)&lt;-BX$6,-BX$6-SUM(BX$10:BX507),-ROUNDDOWN($K508*BX$5/100,0)),0)</f>
        <v>0</v>
      </c>
      <c r="BY508" s="38">
        <f>IF(AND(U508="○",$A508&gt;=BY$8,$A508&lt;=BY$9),IF(SUM(BY$10:BY507)-ROUNDDOWN($K508*BY$5/100,0)&lt;-BY$6,-BY$6-SUM(BY$10:BY507),-ROUNDDOWN($K508*BY$5/100,0)),0)</f>
        <v>0</v>
      </c>
      <c r="BZ508" s="38">
        <f>IF(AND(V508="○",$A508&gt;=BZ$8,$A508&lt;=BZ$9),IF(SUM(BZ$10:BZ507)-ROUNDDOWN($K508*BZ$5/100,0)&lt;-BZ$6,-BZ$6-SUM(BZ$10:BZ507),-ROUNDDOWN($K508*BZ$5/100,0)),0)</f>
        <v>0</v>
      </c>
      <c r="CA508" s="38">
        <f>IF(AND(W508="○",$A508&gt;=CA$8,$A508&lt;=CA$9),IF(SUM(CA$10:CA507)-ROUNDDOWN($K508*CA$5/100,0)&lt;-CA$6,-CA$6-SUM(CA$10:CA507),-ROUNDDOWN($K508*CA$5/100,0)),0)</f>
        <v>0</v>
      </c>
      <c r="CB508" s="38"/>
      <c r="CC508" s="38"/>
      <c r="CD508" s="38"/>
      <c r="CE508" s="38"/>
      <c r="CF508" s="38"/>
      <c r="CG508" s="65">
        <f t="shared" si="325"/>
        <v>0</v>
      </c>
      <c r="CH508" s="71">
        <f t="shared" si="326"/>
        <v>0</v>
      </c>
      <c r="CI508" s="1">
        <f t="shared" si="337"/>
        <v>0</v>
      </c>
      <c r="CJ508" s="1"/>
      <c r="CK508" s="75"/>
      <c r="CL508" s="75"/>
      <c r="CM508" s="2"/>
      <c r="CN508" s="2"/>
      <c r="CO508" s="73">
        <f t="shared" si="338"/>
        <v>0</v>
      </c>
      <c r="CP508" s="5">
        <f t="shared" si="339"/>
        <v>0</v>
      </c>
      <c r="CQ508" s="1"/>
      <c r="CR508" s="1">
        <f t="shared" si="340"/>
        <v>0</v>
      </c>
      <c r="CS508" s="1"/>
      <c r="CT508" s="1" t="e">
        <f>INDEX([2]マスタ!$A:$A,MATCH(D508,[2]マスタ!$C:$C,0))</f>
        <v>#N/A</v>
      </c>
      <c r="CU508" s="1" t="str">
        <f t="shared" ca="1" si="341"/>
        <v>20260620_0-0</v>
      </c>
    </row>
    <row r="509" spans="1:99" x14ac:dyDescent="0.4">
      <c r="A509" s="61"/>
      <c r="B509" s="62"/>
      <c r="C509" s="62"/>
      <c r="D509" s="62"/>
      <c r="E509" s="74"/>
      <c r="F509" s="62"/>
      <c r="G509" s="62">
        <v>1</v>
      </c>
      <c r="H509" s="64">
        <f t="shared" si="331"/>
        <v>0</v>
      </c>
      <c r="I509" s="64"/>
      <c r="J509" s="64"/>
      <c r="K509" s="65">
        <f t="shared" si="342"/>
        <v>0</v>
      </c>
      <c r="L509" s="65">
        <f t="shared" si="333"/>
        <v>0</v>
      </c>
      <c r="M509" s="65">
        <f t="shared" si="334"/>
        <v>0</v>
      </c>
      <c r="N509" s="65">
        <f t="shared" si="335"/>
        <v>0</v>
      </c>
      <c r="O509" s="66" t="str">
        <f t="shared" si="9"/>
        <v>✕</v>
      </c>
      <c r="P509" s="67" t="str">
        <f t="shared" si="10"/>
        <v>○</v>
      </c>
      <c r="Q509" s="67" t="str">
        <f t="shared" si="343"/>
        <v>✕</v>
      </c>
      <c r="R509" s="67" t="str">
        <f t="shared" si="12"/>
        <v>✕</v>
      </c>
      <c r="S509" s="68">
        <v>0</v>
      </c>
      <c r="T509" s="69" t="s">
        <v>85</v>
      </c>
      <c r="U509" s="69" t="s">
        <v>85</v>
      </c>
      <c r="V509" s="69" t="s">
        <v>85</v>
      </c>
      <c r="W509" s="69" t="s">
        <v>85</v>
      </c>
      <c r="X509" s="69" t="s">
        <v>84</v>
      </c>
      <c r="Y509" s="69" t="s">
        <v>85</v>
      </c>
      <c r="Z509" s="69" t="s">
        <v>85</v>
      </c>
      <c r="AA509" s="69" t="s">
        <v>85</v>
      </c>
      <c r="AB509" s="69" t="s">
        <v>85</v>
      </c>
      <c r="AC509" s="69" t="s">
        <v>85</v>
      </c>
      <c r="AD509" s="38" t="str">
        <f>+IF(ISERROR(VLOOKUP($B509,AD$10:AD508,1,0)),IF(AND($N509&gt;=1000,$A509&gt;=AO$8,$A509&lt;=AO$9),$B509,""),"")</f>
        <v/>
      </c>
      <c r="AE509" s="38" t="str">
        <f>+IF(ISERROR(VLOOKUP($B509,AE$10:AE508,1,0)),IF(AND($N509&gt;=1000,$A509&gt;=AP$8,$A509&lt;=AP$9),$B509,""),"")</f>
        <v/>
      </c>
      <c r="AF509" s="38" t="str">
        <f>+IF(ISERROR(VLOOKUP($B509,AF$10:AF508,1,0)),IF(AND($N509&gt;=1000,$A509&gt;=AQ$8,$A509&lt;=AQ$9),$B509,""),"")</f>
        <v/>
      </c>
      <c r="AG509" s="38" t="str">
        <f>+IF(ISERROR(VLOOKUP($B509,AG$10:AG508,1,0)),IF(AND($N509&gt;=1000,$A509&gt;=AR$8,$A509&lt;=AR$9),$B509,""),"")</f>
        <v/>
      </c>
      <c r="AH509" s="38"/>
      <c r="AI509" s="70">
        <v>0</v>
      </c>
      <c r="AJ509" s="38">
        <f>IF(AND(AJ$7="○",$A509&gt;=AJ$8,$A509&lt;=AJ$9),IF(SUM(AJ$10:AJ508)-ROUNDDOWN($K509*AJ$5/100,0)&lt;-AJ$6,-AJ$6-SUM(AJ$10:AJ508),-ROUNDDOWN($K509*AJ$5/100,0)),0)</f>
        <v>0</v>
      </c>
      <c r="AK509" s="38">
        <f>IF(AND(AK$7="○",$A509&gt;=AK$8,$A509&lt;=AK$9),IF(SUM(AK$10:AK508)-ROUNDDOWN($L509*AK$5/100,0)&lt;-AK$6,-AK$6-SUM(AK$10:AK508),-ROUNDDOWN($L509*AK$5/100,0)),0)</f>
        <v>0</v>
      </c>
      <c r="AL509" s="38">
        <f>IF(AND(AL$7="○",$A509&gt;=AL$8,$A509&lt;=AL$9),IF(SUM(AL$10:AL508)-ROUNDDOWN($N509*AL$5/100,0)&lt;-AL$6,-AL$6-SUM(AL$10:AL508),-ROUNDDOWN($N509*AL$5/100,0)),0)</f>
        <v>0</v>
      </c>
      <c r="AM509" s="38">
        <f>IF(AND(AM$7="○",$A509&gt;=AM$8,$A509&lt;=AM$9),IF(SUM(AM$10:AM508)-ROUNDDOWN($L509*AM$5/100,0)&lt;-AM$6,-AM$6-SUM(AM$10:AM508),-ROUNDDOWN($L509*AM$5/100,0)),0)</f>
        <v>0</v>
      </c>
      <c r="AN509" s="38">
        <f>IF(AND(AN$7="○",$A509&gt;=AN$8,$A509&lt;=AN$9),IF(SUM(AN$10:AN508)-ROUNDDOWN($M509*AN$5/100,0)&lt;-AN$6,-AN$6-SUM(AN$10:AN508),-ROUNDDOWN($M509*AN$5/100,0)),0)</f>
        <v>0</v>
      </c>
      <c r="AO509" s="38">
        <f>IF(AND($A509&gt;=AO$8,$A509&lt;=AO$9),IF(SUM(AO$10:AO508)-ROUNDDOWN($K509*AO$5/100,0)&lt;-AO$6,-AO$6-SUM(AO$10:AO508),-ROUNDDOWN($K509*AO$5/100,0)),0)</f>
        <v>0</v>
      </c>
      <c r="AP509" s="38">
        <f>IF(AND($A509&gt;=AP$8,$A509&lt;=AP$9),IF(SUM(AP$10:AP508)-ROUNDDOWN($K509*AP$5/100,0)&lt;-AP$6,-AP$6-SUM(AP$10:AP508),-ROUNDDOWN($K509*AP$5/100,0)),0)</f>
        <v>0</v>
      </c>
      <c r="AQ509" s="38">
        <f>IF(AND($A509&gt;=AQ$8,$A509&lt;=AQ$9),IF(SUM(AQ$10:AQ508)-ROUNDDOWN($K509*AQ$5/100,0)&lt;-AQ$6,-AQ$6-SUM(AQ$10:AQ508),-ROUNDDOWN($K509*AQ$5/100,0)),0)</f>
        <v>0</v>
      </c>
      <c r="AR509" s="38">
        <f>IF(AND($A509&gt;=AR$8,$A509&lt;=AR$9),IF(SUM(AR$10:AR508)-ROUNDDOWN($K509*AR$5/100,0)&lt;-AR$6,-AR$6-SUM(AR$10:AR508),-ROUNDDOWN($K509*AR$5/100,0)),0)</f>
        <v>0</v>
      </c>
      <c r="AS509" s="38">
        <f>IF(SUMIFS(AS$10:AS508,$A$10:$A508,$A509)-ROUNDDOWN($K509*$S509/100,0)&lt;-$S509*1000,-$S509*1000-SUMIFS(AS$10:AS508,$A$10:$A508,$A509),-ROUNDDOWN($K509*$S509/100,0))</f>
        <v>0</v>
      </c>
      <c r="AT509" s="38">
        <f>IF(AND(X509="○",$A509&gt;=AT$8,$A509&lt;=AT$9,K509&gt;=3980),IF(SUM(AT$10:AT508)-ROUNDDOWN($K509*AT$5/100,0)&lt;-AT$6,-AT$6-SUM(AT$10:AT508),-ROUNDDOWN($K509*AT$5/100,0)),0)</f>
        <v>0</v>
      </c>
      <c r="AU509" s="38">
        <f>IF(O509="○",IF(SUM(AU$10:AU508)-ROUNDDOWN($K509*AU$5/100,0)&lt;-AU$6,-AU$6-SUM(AU$10:AU508),-ROUNDDOWN($K509*AU$5/100,0)),0)</f>
        <v>0</v>
      </c>
      <c r="AV509" s="38">
        <f>IF(P509="○",IF(SUM(AV$10:AV508)-ROUNDDOWN($K509*AV$5/100,0)&lt;-AV$6,-AV$6-SUM(AV$10:AV508),-ROUNDDOWN($K509*AV$5/100,0)),0)</f>
        <v>0</v>
      </c>
      <c r="AW509" s="38">
        <f>IF(Q509="○",IF(SUM(AW$10:AW508)-ROUNDDOWN($K509*AW$5/100,0)&lt;-AW$6,-AW$6-SUM(AW$10:AW508),-ROUNDDOWN($K509*AW$5/100,0)),0)</f>
        <v>0</v>
      </c>
      <c r="AX509" s="38">
        <f>IF(R509="○",IF(SUM(AX$10:AX508)-ROUNDDOWN($K509*AX$5/100,0)&lt;-AX$6,-AX$6-SUM(AX$10:AX508),-ROUNDDOWN($K509*AX$5/100,0)),0)</f>
        <v>0</v>
      </c>
      <c r="AY509" s="70">
        <v>0</v>
      </c>
      <c r="AZ509" s="65">
        <f t="shared" si="319"/>
        <v>0</v>
      </c>
      <c r="BA509" s="65">
        <f t="shared" si="320"/>
        <v>0</v>
      </c>
      <c r="BB509" s="70"/>
      <c r="BC509" s="65">
        <f t="shared" si="321"/>
        <v>0</v>
      </c>
      <c r="BD509" s="70">
        <v>0</v>
      </c>
      <c r="BE509" s="65">
        <f t="shared" si="322"/>
        <v>0</v>
      </c>
      <c r="BF509" s="70">
        <v>0</v>
      </c>
      <c r="BG509" s="65">
        <f t="shared" si="323"/>
        <v>0</v>
      </c>
      <c r="BH509" s="70">
        <v>0</v>
      </c>
      <c r="BI509" s="65">
        <f t="shared" si="324"/>
        <v>0</v>
      </c>
      <c r="BJ509" s="38">
        <f>IF(AND(BJ$7="○",$A509&gt;=BJ$8,$A509&lt;=BJ$9),IF(SUM(BJ$10:BJ508)-ROUNDDOWN($M509*BJ$5/100,0)&lt;-BJ$6,-BJ$6-SUM(BJ$10:BJ508),-ROUNDDOWN($M509*BJ$5/100,0)),0)</f>
        <v>0</v>
      </c>
      <c r="BK509" s="38">
        <f>IF(AND(BK$7="○",$A509&gt;=BK$8,$A509&lt;=BK$9),IF(SUM(BK$10:BK508)-ROUNDDOWN($L509*BK$5/100,0)&lt;-BK$6,-BK$6-SUM(BK$10:BK508),-ROUNDDOWN($L509*BK$5/100,0)),0)</f>
        <v>0</v>
      </c>
      <c r="BL509" s="38">
        <f>IF(AND(BL$7="○",$A509&gt;=BL$8,$A509&lt;=BL$9),IF(SUM(BL$10:BL508)-ROUNDDOWN($L509*BL$5/100,0)&lt;-BL$6,-BL$6-SUM(BL$10:BL508),-ROUNDDOWN($L509*BL$5/100,0)),0)</f>
        <v>0</v>
      </c>
      <c r="BM509" s="38">
        <f>IF(AND(BM$7="○",$A509&gt;=BM$8,$A509&lt;=BM$9),IF(SUM(BM$10:BM508)-ROUNDDOWN($M509*BM$5/100,0)&lt;-BM$6,-BM$6-SUM(BM$10:BM508),-ROUNDDOWN($M509*BM$5/100,0)),0)</f>
        <v>0</v>
      </c>
      <c r="BN509" s="38">
        <f>IF(AND(BN$7="○",$A509&gt;=BN$8,$A509&lt;=BN$9),IF(SUM(BN$10:BN508)-ROUNDDOWN($M509*BN$5/100,0)&lt;-BN$6,-BN$6-SUM(BN$10:BN508),-ROUNDDOWN($M509*BN$5/100,0)),0)</f>
        <v>0</v>
      </c>
      <c r="BO509" s="38">
        <f>IF(AND(BO$7="○",$A509&gt;=BO$8,$A509&lt;=BO$9),IF(SUM(BO$10:BO508)-ROUNDDOWN($M509*BO$5/100,0)&lt;-BO$6,-BO$6-SUM(BO$10:BO508),-ROUNDDOWN($M509*BO$5/100,0)),0)</f>
        <v>0</v>
      </c>
      <c r="BP509" s="38">
        <f>IF(AND(BP$7="○",$A509&gt;=BP$8,$A509&lt;=BP$9),IF(SUM(BP$10:BP508)-ROUNDDOWN($M509*BP$5/100,0)&lt;-BP$6,-BP$6-SUM(BP$10:BP508),-ROUNDDOWN($M509*BP$5/100,0)),0)</f>
        <v>0</v>
      </c>
      <c r="BQ509" s="38">
        <f>IF(AND(BQ$7="○",$A509&gt;=BQ$8,$A509&lt;=BQ$9),IF(SUM(BQ$10:BQ508)-ROUNDDOWN($L509*BQ$5/100,0)&lt;-BQ$6,-BQ$6-SUM(BQ$10:BQ508),-ROUNDDOWN($L509*BQ$5/100,0)),0)</f>
        <v>0</v>
      </c>
      <c r="BR509" s="38">
        <f>IF(AND(BR$7="○",$A509&gt;=BR$8,$A509&lt;=BR$9),IF(SUM(BR$10:BR508)-ROUNDDOWN($M509*BR$5/100,0)&lt;-BR$6,-BR$6-SUM(BR$10:BR508),-ROUNDDOWN($M509*BR$5/100,0)),0)</f>
        <v>0</v>
      </c>
      <c r="BS509" s="38">
        <f>IF(AND(BS$7="○",$A509&gt;=BS$8,$A509&lt;=BS$9),IF(SUM(BS$10:BS508)-ROUNDDOWN($M509*BS$5/100,0)&lt;-BS$6,-BS$6-SUM(BS$10:BS508),-ROUNDDOWN($M509*BS$5/100,0)),0)</f>
        <v>0</v>
      </c>
      <c r="BT509" s="38">
        <f>IF(AND(BT$7="○",$A509&gt;=BT$8,$A509&lt;=BT$9),IF(SUM(BT$10:BT508)-ROUNDDOWN($M509*BT$5/100,0)&lt;-BT$6,-BT$6-SUM(BT$10:BT508),-ROUNDDOWN($M509*BT$5/100,0)),0)</f>
        <v>0</v>
      </c>
      <c r="BU509" s="38">
        <f>IF(AND(BU$7="○",$A509&gt;=BU$8,$A509&lt;=BU$9),IF(SUM(BU$10:BU508)-ROUNDDOWN($M509*BU$5/100,0)&lt;-BU$6,-BU$6-SUM(BU$10:BU508),-ROUNDDOWN($M509*BU$5/100,0)),0)</f>
        <v>0</v>
      </c>
      <c r="BV509" s="38">
        <f>IF(AND(BV$7="○",$A509&gt;=BV$8,$A509&lt;=BV$9),IF(SUM(BV$10:BV508)-ROUNDDOWN($M509*BV$5/100,0)&lt;-BV$6,-BV$6-SUM(BV$10:BV508),-ROUNDDOWN($M509*BV$5/100,0)),0)</f>
        <v>0</v>
      </c>
      <c r="BW509" s="38">
        <f>IF(AND(BW$7="○",$A509&gt;=BW$8,$A509&lt;=BW$9),IF(SUM(BW$10:BW508)-ROUNDDOWN($M509*BW$5/100,0)&lt;-BW$6,-BW$6-SUM(BW$10:BW508),-ROUNDDOWN($M509*BW$5/100,0)),0)</f>
        <v>0</v>
      </c>
      <c r="BX509" s="38">
        <f>IF(AND(T509="○",$A509&gt;=BX$8,$A509&lt;=BX$9),IF(SUM(BX$10:BX508)-ROUNDDOWN($K509*BX$5/100,0)&lt;-BX$6,-BX$6-SUM(BX$10:BX508),-ROUNDDOWN($K509*BX$5/100,0)),0)</f>
        <v>0</v>
      </c>
      <c r="BY509" s="38">
        <f>IF(AND(U509="○",$A509&gt;=BY$8,$A509&lt;=BY$9),IF(SUM(BY$10:BY508)-ROUNDDOWN($K509*BY$5/100,0)&lt;-BY$6,-BY$6-SUM(BY$10:BY508),-ROUNDDOWN($K509*BY$5/100,0)),0)</f>
        <v>0</v>
      </c>
      <c r="BZ509" s="38">
        <f>IF(AND(V509="○",$A509&gt;=BZ$8,$A509&lt;=BZ$9),IF(SUM(BZ$10:BZ508)-ROUNDDOWN($K509*BZ$5/100,0)&lt;-BZ$6,-BZ$6-SUM(BZ$10:BZ508),-ROUNDDOWN($K509*BZ$5/100,0)),0)</f>
        <v>0</v>
      </c>
      <c r="CA509" s="38">
        <f>IF(AND(W509="○",$A509&gt;=CA$8,$A509&lt;=CA$9),IF(SUM(CA$10:CA508)-ROUNDDOWN($K509*CA$5/100,0)&lt;-CA$6,-CA$6-SUM(CA$10:CA508),-ROUNDDOWN($K509*CA$5/100,0)),0)</f>
        <v>0</v>
      </c>
      <c r="CB509" s="38"/>
      <c r="CC509" s="38"/>
      <c r="CD509" s="38"/>
      <c r="CE509" s="38"/>
      <c r="CF509" s="38"/>
      <c r="CG509" s="65">
        <f t="shared" si="325"/>
        <v>0</v>
      </c>
      <c r="CH509" s="71">
        <f t="shared" si="326"/>
        <v>0</v>
      </c>
      <c r="CI509" s="1">
        <f t="shared" si="337"/>
        <v>0</v>
      </c>
      <c r="CJ509" s="1"/>
      <c r="CK509" s="75"/>
      <c r="CL509" s="75"/>
      <c r="CM509" s="2"/>
      <c r="CN509" s="2"/>
      <c r="CO509" s="73">
        <f t="shared" si="338"/>
        <v>0</v>
      </c>
      <c r="CP509" s="5">
        <f t="shared" si="339"/>
        <v>0</v>
      </c>
      <c r="CQ509" s="1"/>
      <c r="CR509" s="1">
        <f t="shared" si="340"/>
        <v>0</v>
      </c>
      <c r="CS509" s="1"/>
      <c r="CT509" s="1" t="e">
        <f>INDEX([2]マスタ!$A:$A,MATCH(D509,[2]マスタ!$C:$C,0))</f>
        <v>#N/A</v>
      </c>
      <c r="CU509" s="1" t="str">
        <f t="shared" ca="1" si="341"/>
        <v>20260620_0-0</v>
      </c>
    </row>
    <row r="510" spans="1:99" x14ac:dyDescent="0.4">
      <c r="A510" s="61"/>
      <c r="B510" s="62"/>
      <c r="C510" s="62"/>
      <c r="D510" s="62"/>
      <c r="E510" s="74"/>
      <c r="F510" s="62"/>
      <c r="G510" s="62">
        <v>1</v>
      </c>
      <c r="H510" s="64">
        <f t="shared" si="331"/>
        <v>0</v>
      </c>
      <c r="I510" s="64"/>
      <c r="J510" s="64"/>
      <c r="K510" s="65">
        <f t="shared" si="342"/>
        <v>0</v>
      </c>
      <c r="L510" s="65">
        <f t="shared" si="333"/>
        <v>0</v>
      </c>
      <c r="M510" s="65">
        <f t="shared" si="334"/>
        <v>0</v>
      </c>
      <c r="N510" s="65">
        <f t="shared" si="335"/>
        <v>0</v>
      </c>
      <c r="O510" s="66" t="str">
        <f t="shared" si="9"/>
        <v>✕</v>
      </c>
      <c r="P510" s="67" t="str">
        <f t="shared" si="10"/>
        <v>○</v>
      </c>
      <c r="Q510" s="67" t="str">
        <f t="shared" si="343"/>
        <v>✕</v>
      </c>
      <c r="R510" s="67" t="str">
        <f t="shared" si="12"/>
        <v>✕</v>
      </c>
      <c r="S510" s="68">
        <v>0</v>
      </c>
      <c r="T510" s="69" t="s">
        <v>85</v>
      </c>
      <c r="U510" s="69" t="s">
        <v>85</v>
      </c>
      <c r="V510" s="69" t="s">
        <v>85</v>
      </c>
      <c r="W510" s="69" t="s">
        <v>85</v>
      </c>
      <c r="X510" s="69" t="s">
        <v>84</v>
      </c>
      <c r="Y510" s="69" t="s">
        <v>85</v>
      </c>
      <c r="Z510" s="69" t="s">
        <v>85</v>
      </c>
      <c r="AA510" s="69" t="s">
        <v>85</v>
      </c>
      <c r="AB510" s="69" t="s">
        <v>85</v>
      </c>
      <c r="AC510" s="69" t="s">
        <v>85</v>
      </c>
      <c r="AD510" s="38" t="str">
        <f>+IF(ISERROR(VLOOKUP($B510,AD$10:AD509,1,0)),IF(AND($N510&gt;=1000,$A510&gt;=AO$8,$A510&lt;=AO$9),$B510,""),"")</f>
        <v/>
      </c>
      <c r="AE510" s="38" t="str">
        <f>+IF(ISERROR(VLOOKUP($B510,AE$10:AE509,1,0)),IF(AND($N510&gt;=1000,$A510&gt;=AP$8,$A510&lt;=AP$9),$B510,""),"")</f>
        <v/>
      </c>
      <c r="AF510" s="38" t="str">
        <f>+IF(ISERROR(VLOOKUP($B510,AF$10:AF509,1,0)),IF(AND($N510&gt;=1000,$A510&gt;=AQ$8,$A510&lt;=AQ$9),$B510,""),"")</f>
        <v/>
      </c>
      <c r="AG510" s="38" t="str">
        <f>+IF(ISERROR(VLOOKUP($B510,AG$10:AG509,1,0)),IF(AND($N510&gt;=1000,$A510&gt;=AR$8,$A510&lt;=AR$9),$B510,""),"")</f>
        <v/>
      </c>
      <c r="AH510" s="38"/>
      <c r="AI510" s="70">
        <v>0</v>
      </c>
      <c r="AJ510" s="38">
        <f>IF(AND(AJ$7="○",$A510&gt;=AJ$8,$A510&lt;=AJ$9),IF(SUM(AJ$10:AJ509)-ROUNDDOWN($K510*AJ$5/100,0)&lt;-AJ$6,-AJ$6-SUM(AJ$10:AJ509),-ROUNDDOWN($K510*AJ$5/100,0)),0)</f>
        <v>0</v>
      </c>
      <c r="AK510" s="38">
        <f>IF(AND(AK$7="○",$A510&gt;=AK$8,$A510&lt;=AK$9),IF(SUM(AK$10:AK509)-ROUNDDOWN($L510*AK$5/100,0)&lt;-AK$6,-AK$6-SUM(AK$10:AK509),-ROUNDDOWN($L510*AK$5/100,0)),0)</f>
        <v>0</v>
      </c>
      <c r="AL510" s="38">
        <f>IF(AND(AL$7="○",$A510&gt;=AL$8,$A510&lt;=AL$9),IF(SUM(AL$10:AL509)-ROUNDDOWN($N510*AL$5/100,0)&lt;-AL$6,-AL$6-SUM(AL$10:AL509),-ROUNDDOWN($N510*AL$5/100,0)),0)</f>
        <v>0</v>
      </c>
      <c r="AM510" s="38">
        <f>IF(AND(AM$7="○",$A510&gt;=AM$8,$A510&lt;=AM$9),IF(SUM(AM$10:AM509)-ROUNDDOWN($L510*AM$5/100,0)&lt;-AM$6,-AM$6-SUM(AM$10:AM509),-ROUNDDOWN($L510*AM$5/100,0)),0)</f>
        <v>0</v>
      </c>
      <c r="AN510" s="38">
        <f>IF(AND(AN$7="○",$A510&gt;=AN$8,$A510&lt;=AN$9),IF(SUM(AN$10:AN509)-ROUNDDOWN($M510*AN$5/100,0)&lt;-AN$6,-AN$6-SUM(AN$10:AN509),-ROUNDDOWN($M510*AN$5/100,0)),0)</f>
        <v>0</v>
      </c>
      <c r="AO510" s="38">
        <f>IF(AND($A510&gt;=AO$8,$A510&lt;=AO$9),IF(SUM(AO$10:AO509)-ROUNDDOWN($K510*AO$5/100,0)&lt;-AO$6,-AO$6-SUM(AO$10:AO509),-ROUNDDOWN($K510*AO$5/100,0)),0)</f>
        <v>0</v>
      </c>
      <c r="AP510" s="38">
        <f>IF(AND($A510&gt;=AP$8,$A510&lt;=AP$9),IF(SUM(AP$10:AP509)-ROUNDDOWN($K510*AP$5/100,0)&lt;-AP$6,-AP$6-SUM(AP$10:AP509),-ROUNDDOWN($K510*AP$5/100,0)),0)</f>
        <v>0</v>
      </c>
      <c r="AQ510" s="38">
        <f>IF(AND($A510&gt;=AQ$8,$A510&lt;=AQ$9),IF(SUM(AQ$10:AQ509)-ROUNDDOWN($K510*AQ$5/100,0)&lt;-AQ$6,-AQ$6-SUM(AQ$10:AQ509),-ROUNDDOWN($K510*AQ$5/100,0)),0)</f>
        <v>0</v>
      </c>
      <c r="AR510" s="38">
        <f>IF(AND($A510&gt;=AR$8,$A510&lt;=AR$9),IF(SUM(AR$10:AR509)-ROUNDDOWN($K510*AR$5/100,0)&lt;-AR$6,-AR$6-SUM(AR$10:AR509),-ROUNDDOWN($K510*AR$5/100,0)),0)</f>
        <v>0</v>
      </c>
      <c r="AS510" s="38">
        <f>IF(SUMIFS(AS$10:AS509,$A$10:$A509,$A510)-ROUNDDOWN($K510*$S510/100,0)&lt;-$S510*1000,-$S510*1000-SUMIFS(AS$10:AS509,$A$10:$A509,$A510),-ROUNDDOWN($K510*$S510/100,0))</f>
        <v>0</v>
      </c>
      <c r="AT510" s="38">
        <f>IF(AND(X510="○",$A510&gt;=AT$8,$A510&lt;=AT$9,K510&gt;=3980),IF(SUM(AT$10:AT509)-ROUNDDOWN($K510*AT$5/100,0)&lt;-AT$6,-AT$6-SUM(AT$10:AT509),-ROUNDDOWN($K510*AT$5/100,0)),0)</f>
        <v>0</v>
      </c>
      <c r="AU510" s="38">
        <f>IF(O510="○",IF(SUM(AU$10:AU509)-ROUNDDOWN($K510*AU$5/100,0)&lt;-AU$6,-AU$6-SUM(AU$10:AU509),-ROUNDDOWN($K510*AU$5/100,0)),0)</f>
        <v>0</v>
      </c>
      <c r="AV510" s="38">
        <f>IF(P510="○",IF(SUM(AV$10:AV509)-ROUNDDOWN($K510*AV$5/100,0)&lt;-AV$6,-AV$6-SUM(AV$10:AV509),-ROUNDDOWN($K510*AV$5/100,0)),0)</f>
        <v>0</v>
      </c>
      <c r="AW510" s="38">
        <f>IF(Q510="○",IF(SUM(AW$10:AW509)-ROUNDDOWN($K510*AW$5/100,0)&lt;-AW$6,-AW$6-SUM(AW$10:AW509),-ROUNDDOWN($K510*AW$5/100,0)),0)</f>
        <v>0</v>
      </c>
      <c r="AX510" s="38">
        <f>IF(R510="○",IF(SUM(AX$10:AX509)-ROUNDDOWN($K510*AX$5/100,0)&lt;-AX$6,-AX$6-SUM(AX$10:AX509),-ROUNDDOWN($K510*AX$5/100,0)),0)</f>
        <v>0</v>
      </c>
      <c r="AY510" s="70">
        <v>0</v>
      </c>
      <c r="AZ510" s="65">
        <f t="shared" si="319"/>
        <v>0</v>
      </c>
      <c r="BA510" s="65">
        <f t="shared" si="320"/>
        <v>0</v>
      </c>
      <c r="BB510" s="70"/>
      <c r="BC510" s="65">
        <f t="shared" si="321"/>
        <v>0</v>
      </c>
      <c r="BD510" s="70">
        <v>0</v>
      </c>
      <c r="BE510" s="65">
        <f t="shared" si="322"/>
        <v>0</v>
      </c>
      <c r="BF510" s="70">
        <v>0</v>
      </c>
      <c r="BG510" s="65">
        <f t="shared" si="323"/>
        <v>0</v>
      </c>
      <c r="BH510" s="70">
        <v>0</v>
      </c>
      <c r="BI510" s="65">
        <f t="shared" si="324"/>
        <v>0</v>
      </c>
      <c r="BJ510" s="38">
        <f>IF(AND(BJ$7="○",$A510&gt;=BJ$8,$A510&lt;=BJ$9),IF(SUM(BJ$10:BJ509)-ROUNDDOWN($M510*BJ$5/100,0)&lt;-BJ$6,-BJ$6-SUM(BJ$10:BJ509),-ROUNDDOWN($M510*BJ$5/100,0)),0)</f>
        <v>0</v>
      </c>
      <c r="BK510" s="38">
        <f>IF(AND(BK$7="○",$A510&gt;=BK$8,$A510&lt;=BK$9),IF(SUM(BK$10:BK509)-ROUNDDOWN($L510*BK$5/100,0)&lt;-BK$6,-BK$6-SUM(BK$10:BK509),-ROUNDDOWN($L510*BK$5/100,0)),0)</f>
        <v>0</v>
      </c>
      <c r="BL510" s="38">
        <f>IF(AND(BL$7="○",$A510&gt;=BL$8,$A510&lt;=BL$9),IF(SUM(BL$10:BL509)-ROUNDDOWN($L510*BL$5/100,0)&lt;-BL$6,-BL$6-SUM(BL$10:BL509),-ROUNDDOWN($L510*BL$5/100,0)),0)</f>
        <v>0</v>
      </c>
      <c r="BM510" s="38">
        <f>IF(AND(BM$7="○",$A510&gt;=BM$8,$A510&lt;=BM$9),IF(SUM(BM$10:BM509)-ROUNDDOWN($M510*BM$5/100,0)&lt;-BM$6,-BM$6-SUM(BM$10:BM509),-ROUNDDOWN($M510*BM$5/100,0)),0)</f>
        <v>0</v>
      </c>
      <c r="BN510" s="38">
        <f>IF(AND(BN$7="○",$A510&gt;=BN$8,$A510&lt;=BN$9),IF(SUM(BN$10:BN509)-ROUNDDOWN($M510*BN$5/100,0)&lt;-BN$6,-BN$6-SUM(BN$10:BN509),-ROUNDDOWN($M510*BN$5/100,0)),0)</f>
        <v>0</v>
      </c>
      <c r="BO510" s="38">
        <f>IF(AND(BO$7="○",$A510&gt;=BO$8,$A510&lt;=BO$9),IF(SUM(BO$10:BO509)-ROUNDDOWN($M510*BO$5/100,0)&lt;-BO$6,-BO$6-SUM(BO$10:BO509),-ROUNDDOWN($M510*BO$5/100,0)),0)</f>
        <v>0</v>
      </c>
      <c r="BP510" s="38">
        <f>IF(AND(BP$7="○",$A510&gt;=BP$8,$A510&lt;=BP$9),IF(SUM(BP$10:BP509)-ROUNDDOWN($M510*BP$5/100,0)&lt;-BP$6,-BP$6-SUM(BP$10:BP509),-ROUNDDOWN($M510*BP$5/100,0)),0)</f>
        <v>0</v>
      </c>
      <c r="BQ510" s="38">
        <f>IF(AND(BQ$7="○",$A510&gt;=BQ$8,$A510&lt;=BQ$9),IF(SUM(BQ$10:BQ509)-ROUNDDOWN($L510*BQ$5/100,0)&lt;-BQ$6,-BQ$6-SUM(BQ$10:BQ509),-ROUNDDOWN($L510*BQ$5/100,0)),0)</f>
        <v>0</v>
      </c>
      <c r="BR510" s="38">
        <f>IF(AND(BR$7="○",$A510&gt;=BR$8,$A510&lt;=BR$9),IF(SUM(BR$10:BR509)-ROUNDDOWN($M510*BR$5/100,0)&lt;-BR$6,-BR$6-SUM(BR$10:BR509),-ROUNDDOWN($M510*BR$5/100,0)),0)</f>
        <v>0</v>
      </c>
      <c r="BS510" s="38">
        <f>IF(AND(BS$7="○",$A510&gt;=BS$8,$A510&lt;=BS$9),IF(SUM(BS$10:BS509)-ROUNDDOWN($M510*BS$5/100,0)&lt;-BS$6,-BS$6-SUM(BS$10:BS509),-ROUNDDOWN($M510*BS$5/100,0)),0)</f>
        <v>0</v>
      </c>
      <c r="BT510" s="38">
        <f>IF(AND(BT$7="○",$A510&gt;=BT$8,$A510&lt;=BT$9),IF(SUM(BT$10:BT509)-ROUNDDOWN($M510*BT$5/100,0)&lt;-BT$6,-BT$6-SUM(BT$10:BT509),-ROUNDDOWN($M510*BT$5/100,0)),0)</f>
        <v>0</v>
      </c>
      <c r="BU510" s="38">
        <f>IF(AND(BU$7="○",$A510&gt;=BU$8,$A510&lt;=BU$9),IF(SUM(BU$10:BU509)-ROUNDDOWN($M510*BU$5/100,0)&lt;-BU$6,-BU$6-SUM(BU$10:BU509),-ROUNDDOWN($M510*BU$5/100,0)),0)</f>
        <v>0</v>
      </c>
      <c r="BV510" s="38">
        <f>IF(AND(BV$7="○",$A510&gt;=BV$8,$A510&lt;=BV$9),IF(SUM(BV$10:BV509)-ROUNDDOWN($M510*BV$5/100,0)&lt;-BV$6,-BV$6-SUM(BV$10:BV509),-ROUNDDOWN($M510*BV$5/100,0)),0)</f>
        <v>0</v>
      </c>
      <c r="BW510" s="38">
        <f>IF(AND(BW$7="○",$A510&gt;=BW$8,$A510&lt;=BW$9),IF(SUM(BW$10:BW509)-ROUNDDOWN($M510*BW$5/100,0)&lt;-BW$6,-BW$6-SUM(BW$10:BW509),-ROUNDDOWN($M510*BW$5/100,0)),0)</f>
        <v>0</v>
      </c>
      <c r="BX510" s="38">
        <f>IF(AND(T510="○",$A510&gt;=BX$8,$A510&lt;=BX$9),IF(SUM(BX$10:BX509)-ROUNDDOWN($K510*BX$5/100,0)&lt;-BX$6,-BX$6-SUM(BX$10:BX509),-ROUNDDOWN($K510*BX$5/100,0)),0)</f>
        <v>0</v>
      </c>
      <c r="BY510" s="38">
        <f>IF(AND(U510="○",$A510&gt;=BY$8,$A510&lt;=BY$9),IF(SUM(BY$10:BY509)-ROUNDDOWN($K510*BY$5/100,0)&lt;-BY$6,-BY$6-SUM(BY$10:BY509),-ROUNDDOWN($K510*BY$5/100,0)),0)</f>
        <v>0</v>
      </c>
      <c r="BZ510" s="38">
        <f>IF(AND(V510="○",$A510&gt;=BZ$8,$A510&lt;=BZ$9),IF(SUM(BZ$10:BZ509)-ROUNDDOWN($K510*BZ$5/100,0)&lt;-BZ$6,-BZ$6-SUM(BZ$10:BZ509),-ROUNDDOWN($K510*BZ$5/100,0)),0)</f>
        <v>0</v>
      </c>
      <c r="CA510" s="38">
        <f>IF(AND(W510="○",$A510&gt;=CA$8,$A510&lt;=CA$9),IF(SUM(CA$10:CA509)-ROUNDDOWN($K510*CA$5/100,0)&lt;-CA$6,-CA$6-SUM(CA$10:CA509),-ROUNDDOWN($K510*CA$5/100,0)),0)</f>
        <v>0</v>
      </c>
      <c r="CB510" s="38"/>
      <c r="CC510" s="38"/>
      <c r="CD510" s="38"/>
      <c r="CE510" s="38"/>
      <c r="CF510" s="38"/>
      <c r="CG510" s="65">
        <f t="shared" si="325"/>
        <v>0</v>
      </c>
      <c r="CH510" s="71">
        <f t="shared" si="326"/>
        <v>0</v>
      </c>
      <c r="CI510" s="1">
        <f t="shared" si="337"/>
        <v>0</v>
      </c>
      <c r="CJ510" s="1"/>
      <c r="CK510" s="75"/>
      <c r="CL510" s="75"/>
      <c r="CM510" s="2"/>
      <c r="CN510" s="2"/>
      <c r="CO510" s="73">
        <f t="shared" si="338"/>
        <v>0</v>
      </c>
      <c r="CP510" s="5">
        <f t="shared" si="339"/>
        <v>0</v>
      </c>
      <c r="CQ510" s="1"/>
      <c r="CR510" s="1">
        <f t="shared" si="340"/>
        <v>0</v>
      </c>
      <c r="CS510" s="1"/>
      <c r="CT510" s="1" t="e">
        <f>INDEX([2]マスタ!$A:$A,MATCH(D510,[2]マスタ!$C:$C,0))</f>
        <v>#N/A</v>
      </c>
      <c r="CU510" s="1" t="str">
        <f t="shared" ca="1" si="341"/>
        <v>20260620_0-0</v>
      </c>
    </row>
    <row r="511" spans="1:99" x14ac:dyDescent="0.4">
      <c r="A511" s="61"/>
      <c r="B511" s="62"/>
      <c r="C511" s="62"/>
      <c r="D511" s="62"/>
      <c r="E511" s="74"/>
      <c r="F511" s="62"/>
      <c r="G511" s="62">
        <v>1</v>
      </c>
      <c r="H511" s="64">
        <f t="shared" si="331"/>
        <v>0</v>
      </c>
      <c r="I511" s="64"/>
      <c r="J511" s="64"/>
      <c r="K511" s="65">
        <f t="shared" si="342"/>
        <v>0</v>
      </c>
      <c r="L511" s="65">
        <f t="shared" si="333"/>
        <v>0</v>
      </c>
      <c r="M511" s="65">
        <f t="shared" si="334"/>
        <v>0</v>
      </c>
      <c r="N511" s="65">
        <f t="shared" si="335"/>
        <v>0</v>
      </c>
      <c r="O511" s="66" t="str">
        <f t="shared" si="9"/>
        <v>✕</v>
      </c>
      <c r="P511" s="67" t="str">
        <f t="shared" si="10"/>
        <v>○</v>
      </c>
      <c r="Q511" s="67" t="str">
        <f t="shared" si="343"/>
        <v>✕</v>
      </c>
      <c r="R511" s="67" t="str">
        <f t="shared" si="12"/>
        <v>✕</v>
      </c>
      <c r="S511" s="68">
        <v>0</v>
      </c>
      <c r="T511" s="69" t="s">
        <v>85</v>
      </c>
      <c r="U511" s="69" t="s">
        <v>85</v>
      </c>
      <c r="V511" s="69" t="s">
        <v>85</v>
      </c>
      <c r="W511" s="69" t="s">
        <v>85</v>
      </c>
      <c r="X511" s="69" t="s">
        <v>84</v>
      </c>
      <c r="Y511" s="69" t="s">
        <v>85</v>
      </c>
      <c r="Z511" s="69" t="s">
        <v>85</v>
      </c>
      <c r="AA511" s="69" t="s">
        <v>85</v>
      </c>
      <c r="AB511" s="69" t="s">
        <v>85</v>
      </c>
      <c r="AC511" s="69" t="s">
        <v>85</v>
      </c>
      <c r="AD511" s="38" t="str">
        <f>+IF(ISERROR(VLOOKUP($B511,AD$10:AD510,1,0)),IF(AND($N511&gt;=1000,$A511&gt;=AO$8,$A511&lt;=AO$9),$B511,""),"")</f>
        <v/>
      </c>
      <c r="AE511" s="38" t="str">
        <f>+IF(ISERROR(VLOOKUP($B511,AE$10:AE510,1,0)),IF(AND($N511&gt;=1000,$A511&gt;=AP$8,$A511&lt;=AP$9),$B511,""),"")</f>
        <v/>
      </c>
      <c r="AF511" s="38" t="str">
        <f>+IF(ISERROR(VLOOKUP($B511,AF$10:AF510,1,0)),IF(AND($N511&gt;=1000,$A511&gt;=AQ$8,$A511&lt;=AQ$9),$B511,""),"")</f>
        <v/>
      </c>
      <c r="AG511" s="38" t="str">
        <f>+IF(ISERROR(VLOOKUP($B511,AG$10:AG510,1,0)),IF(AND($N511&gt;=1000,$A511&gt;=AR$8,$A511&lt;=AR$9),$B511,""),"")</f>
        <v/>
      </c>
      <c r="AH511" s="38"/>
      <c r="AI511" s="70">
        <v>0</v>
      </c>
      <c r="AJ511" s="38">
        <f>IF(AND(AJ$7="○",$A511&gt;=AJ$8,$A511&lt;=AJ$9),IF(SUM(AJ$10:AJ510)-ROUNDDOWN($K511*AJ$5/100,0)&lt;-AJ$6,-AJ$6-SUM(AJ$10:AJ510),-ROUNDDOWN($K511*AJ$5/100,0)),0)</f>
        <v>0</v>
      </c>
      <c r="AK511" s="38">
        <f>IF(AND(AK$7="○",$A511&gt;=AK$8,$A511&lt;=AK$9),IF(SUM(AK$10:AK510)-ROUNDDOWN($L511*AK$5/100,0)&lt;-AK$6,-AK$6-SUM(AK$10:AK510),-ROUNDDOWN($L511*AK$5/100,0)),0)</f>
        <v>0</v>
      </c>
      <c r="AL511" s="38">
        <f>IF(AND(AL$7="○",$A511&gt;=AL$8,$A511&lt;=AL$9),IF(SUM(AL$10:AL510)-ROUNDDOWN($N511*AL$5/100,0)&lt;-AL$6,-AL$6-SUM(AL$10:AL510),-ROUNDDOWN($N511*AL$5/100,0)),0)</f>
        <v>0</v>
      </c>
      <c r="AM511" s="38">
        <f>IF(AND(AM$7="○",$A511&gt;=AM$8,$A511&lt;=AM$9),IF(SUM(AM$10:AM510)-ROUNDDOWN($L511*AM$5/100,0)&lt;-AM$6,-AM$6-SUM(AM$10:AM510),-ROUNDDOWN($L511*AM$5/100,0)),0)</f>
        <v>0</v>
      </c>
      <c r="AN511" s="38">
        <f>IF(AND(AN$7="○",$A511&gt;=AN$8,$A511&lt;=AN$9),IF(SUM(AN$10:AN510)-ROUNDDOWN($M511*AN$5/100,0)&lt;-AN$6,-AN$6-SUM(AN$10:AN510),-ROUNDDOWN($M511*AN$5/100,0)),0)</f>
        <v>0</v>
      </c>
      <c r="AO511" s="38">
        <f>IF(AND($A511&gt;=AO$8,$A511&lt;=AO$9),IF(SUM(AO$10:AO510)-ROUNDDOWN($K511*AO$5/100,0)&lt;-AO$6,-AO$6-SUM(AO$10:AO510),-ROUNDDOWN($K511*AO$5/100,0)),0)</f>
        <v>0</v>
      </c>
      <c r="AP511" s="38">
        <f>IF(AND($A511&gt;=AP$8,$A511&lt;=AP$9),IF(SUM(AP$10:AP510)-ROUNDDOWN($K511*AP$5/100,0)&lt;-AP$6,-AP$6-SUM(AP$10:AP510),-ROUNDDOWN($K511*AP$5/100,0)),0)</f>
        <v>0</v>
      </c>
      <c r="AQ511" s="38">
        <f>IF(AND($A511&gt;=AQ$8,$A511&lt;=AQ$9),IF(SUM(AQ$10:AQ510)-ROUNDDOWN($K511*AQ$5/100,0)&lt;-AQ$6,-AQ$6-SUM(AQ$10:AQ510),-ROUNDDOWN($K511*AQ$5/100,0)),0)</f>
        <v>0</v>
      </c>
      <c r="AR511" s="38">
        <f>IF(AND($A511&gt;=AR$8,$A511&lt;=AR$9),IF(SUM(AR$10:AR510)-ROUNDDOWN($K511*AR$5/100,0)&lt;-AR$6,-AR$6-SUM(AR$10:AR510),-ROUNDDOWN($K511*AR$5/100,0)),0)</f>
        <v>0</v>
      </c>
      <c r="AS511" s="38">
        <f>IF(SUMIFS(AS$10:AS510,$A$10:$A510,$A511)-ROUNDDOWN($K511*$S511/100,0)&lt;-$S511*1000,-$S511*1000-SUMIFS(AS$10:AS510,$A$10:$A510,$A511),-ROUNDDOWN($K511*$S511/100,0))</f>
        <v>0</v>
      </c>
      <c r="AT511" s="38">
        <f>IF(AND(X511="○",$A511&gt;=AT$8,$A511&lt;=AT$9,K511&gt;=3980),IF(SUM(AT$10:AT510)-ROUNDDOWN($K511*AT$5/100,0)&lt;-AT$6,-AT$6-SUM(AT$10:AT510),-ROUNDDOWN($K511*AT$5/100,0)),0)</f>
        <v>0</v>
      </c>
      <c r="AU511" s="38">
        <f>IF(O511="○",IF(SUM(AU$10:AU510)-ROUNDDOWN($K511*AU$5/100,0)&lt;-AU$6,-AU$6-SUM(AU$10:AU510),-ROUNDDOWN($K511*AU$5/100,0)),0)</f>
        <v>0</v>
      </c>
      <c r="AV511" s="38">
        <f>IF(P511="○",IF(SUM(AV$10:AV510)-ROUNDDOWN($K511*AV$5/100,0)&lt;-AV$6,-AV$6-SUM(AV$10:AV510),-ROUNDDOWN($K511*AV$5/100,0)),0)</f>
        <v>0</v>
      </c>
      <c r="AW511" s="38">
        <f>IF(Q511="○",IF(SUM(AW$10:AW510)-ROUNDDOWN($K511*AW$5/100,0)&lt;-AW$6,-AW$6-SUM(AW$10:AW510),-ROUNDDOWN($K511*AW$5/100,0)),0)</f>
        <v>0</v>
      </c>
      <c r="AX511" s="38">
        <f>IF(R511="○",IF(SUM(AX$10:AX510)-ROUNDDOWN($K511*AX$5/100,0)&lt;-AX$6,-AX$6-SUM(AX$10:AX510),-ROUNDDOWN($K511*AX$5/100,0)),0)</f>
        <v>0</v>
      </c>
      <c r="AY511" s="70">
        <v>0</v>
      </c>
      <c r="AZ511" s="65">
        <f t="shared" si="319"/>
        <v>0</v>
      </c>
      <c r="BA511" s="65">
        <f t="shared" si="320"/>
        <v>0</v>
      </c>
      <c r="BB511" s="70"/>
      <c r="BC511" s="65">
        <f t="shared" si="321"/>
        <v>0</v>
      </c>
      <c r="BD511" s="70">
        <v>0</v>
      </c>
      <c r="BE511" s="65">
        <f t="shared" si="322"/>
        <v>0</v>
      </c>
      <c r="BF511" s="70">
        <v>0</v>
      </c>
      <c r="BG511" s="65">
        <f t="shared" si="323"/>
        <v>0</v>
      </c>
      <c r="BH511" s="70">
        <v>0</v>
      </c>
      <c r="BI511" s="65">
        <f t="shared" si="324"/>
        <v>0</v>
      </c>
      <c r="BJ511" s="38">
        <f>IF(AND(BJ$7="○",$A511&gt;=BJ$8,$A511&lt;=BJ$9),IF(SUM(BJ$10:BJ510)-ROUNDDOWN($M511*BJ$5/100,0)&lt;-BJ$6,-BJ$6-SUM(BJ$10:BJ510),-ROUNDDOWN($M511*BJ$5/100,0)),0)</f>
        <v>0</v>
      </c>
      <c r="BK511" s="38">
        <f>IF(AND(BK$7="○",$A511&gt;=BK$8,$A511&lt;=BK$9),IF(SUM(BK$10:BK510)-ROUNDDOWN($L511*BK$5/100,0)&lt;-BK$6,-BK$6-SUM(BK$10:BK510),-ROUNDDOWN($L511*BK$5/100,0)),0)</f>
        <v>0</v>
      </c>
      <c r="BL511" s="38">
        <f>IF(AND(BL$7="○",$A511&gt;=BL$8,$A511&lt;=BL$9),IF(SUM(BL$10:BL510)-ROUNDDOWN($L511*BL$5/100,0)&lt;-BL$6,-BL$6-SUM(BL$10:BL510),-ROUNDDOWN($L511*BL$5/100,0)),0)</f>
        <v>0</v>
      </c>
      <c r="BM511" s="38">
        <f>IF(AND(BM$7="○",$A511&gt;=BM$8,$A511&lt;=BM$9),IF(SUM(BM$10:BM510)-ROUNDDOWN($M511*BM$5/100,0)&lt;-BM$6,-BM$6-SUM(BM$10:BM510),-ROUNDDOWN($M511*BM$5/100,0)),0)</f>
        <v>0</v>
      </c>
      <c r="BN511" s="38">
        <f>IF(AND(BN$7="○",$A511&gt;=BN$8,$A511&lt;=BN$9),IF(SUM(BN$10:BN510)-ROUNDDOWN($M511*BN$5/100,0)&lt;-BN$6,-BN$6-SUM(BN$10:BN510),-ROUNDDOWN($M511*BN$5/100,0)),0)</f>
        <v>0</v>
      </c>
      <c r="BO511" s="38">
        <f>IF(AND(BO$7="○",$A511&gt;=BO$8,$A511&lt;=BO$9),IF(SUM(BO$10:BO510)-ROUNDDOWN($M511*BO$5/100,0)&lt;-BO$6,-BO$6-SUM(BO$10:BO510),-ROUNDDOWN($M511*BO$5/100,0)),0)</f>
        <v>0</v>
      </c>
      <c r="BP511" s="38">
        <f>IF(AND(BP$7="○",$A511&gt;=BP$8,$A511&lt;=BP$9),IF(SUM(BP$10:BP510)-ROUNDDOWN($M511*BP$5/100,0)&lt;-BP$6,-BP$6-SUM(BP$10:BP510),-ROUNDDOWN($M511*BP$5/100,0)),0)</f>
        <v>0</v>
      </c>
      <c r="BQ511" s="38">
        <f>IF(AND(BQ$7="○",$A511&gt;=BQ$8,$A511&lt;=BQ$9),IF(SUM(BQ$10:BQ510)-ROUNDDOWN($L511*BQ$5/100,0)&lt;-BQ$6,-BQ$6-SUM(BQ$10:BQ510),-ROUNDDOWN($L511*BQ$5/100,0)),0)</f>
        <v>0</v>
      </c>
      <c r="BR511" s="38">
        <f>IF(AND(BR$7="○",$A511&gt;=BR$8,$A511&lt;=BR$9),IF(SUM(BR$10:BR510)-ROUNDDOWN($M511*BR$5/100,0)&lt;-BR$6,-BR$6-SUM(BR$10:BR510),-ROUNDDOWN($M511*BR$5/100,0)),0)</f>
        <v>0</v>
      </c>
      <c r="BS511" s="38">
        <f>IF(AND(BS$7="○",$A511&gt;=BS$8,$A511&lt;=BS$9),IF(SUM(BS$10:BS510)-ROUNDDOWN($M511*BS$5/100,0)&lt;-BS$6,-BS$6-SUM(BS$10:BS510),-ROUNDDOWN($M511*BS$5/100,0)),0)</f>
        <v>0</v>
      </c>
      <c r="BT511" s="38">
        <f>IF(AND(BT$7="○",$A511&gt;=BT$8,$A511&lt;=BT$9),IF(SUM(BT$10:BT510)-ROUNDDOWN($M511*BT$5/100,0)&lt;-BT$6,-BT$6-SUM(BT$10:BT510),-ROUNDDOWN($M511*BT$5/100,0)),0)</f>
        <v>0</v>
      </c>
      <c r="BU511" s="38">
        <f>IF(AND(BU$7="○",$A511&gt;=BU$8,$A511&lt;=BU$9),IF(SUM(BU$10:BU510)-ROUNDDOWN($M511*BU$5/100,0)&lt;-BU$6,-BU$6-SUM(BU$10:BU510),-ROUNDDOWN($M511*BU$5/100,0)),0)</f>
        <v>0</v>
      </c>
      <c r="BV511" s="38">
        <f>IF(AND(BV$7="○",$A511&gt;=BV$8,$A511&lt;=BV$9),IF(SUM(BV$10:BV510)-ROUNDDOWN($M511*BV$5/100,0)&lt;-BV$6,-BV$6-SUM(BV$10:BV510),-ROUNDDOWN($M511*BV$5/100,0)),0)</f>
        <v>0</v>
      </c>
      <c r="BW511" s="38">
        <f>IF(AND(BW$7="○",$A511&gt;=BW$8,$A511&lt;=BW$9),IF(SUM(BW$10:BW510)-ROUNDDOWN($M511*BW$5/100,0)&lt;-BW$6,-BW$6-SUM(BW$10:BW510),-ROUNDDOWN($M511*BW$5/100,0)),0)</f>
        <v>0</v>
      </c>
      <c r="BX511" s="38">
        <f>IF(AND(T511="○",$A511&gt;=BX$8,$A511&lt;=BX$9),IF(SUM(BX$10:BX510)-ROUNDDOWN($K511*BX$5/100,0)&lt;-BX$6,-BX$6-SUM(BX$10:BX510),-ROUNDDOWN($K511*BX$5/100,0)),0)</f>
        <v>0</v>
      </c>
      <c r="BY511" s="38">
        <f>IF(AND(U511="○",$A511&gt;=BY$8,$A511&lt;=BY$9),IF(SUM(BY$10:BY510)-ROUNDDOWN($K511*BY$5/100,0)&lt;-BY$6,-BY$6-SUM(BY$10:BY510),-ROUNDDOWN($K511*BY$5/100,0)),0)</f>
        <v>0</v>
      </c>
      <c r="BZ511" s="38">
        <f>IF(AND(V511="○",$A511&gt;=BZ$8,$A511&lt;=BZ$9),IF(SUM(BZ$10:BZ510)-ROUNDDOWN($K511*BZ$5/100,0)&lt;-BZ$6,-BZ$6-SUM(BZ$10:BZ510),-ROUNDDOWN($K511*BZ$5/100,0)),0)</f>
        <v>0</v>
      </c>
      <c r="CA511" s="38">
        <f>IF(AND(W511="○",$A511&gt;=CA$8,$A511&lt;=CA$9),IF(SUM(CA$10:CA510)-ROUNDDOWN($K511*CA$5/100,0)&lt;-CA$6,-CA$6-SUM(CA$10:CA510),-ROUNDDOWN($K511*CA$5/100,0)),0)</f>
        <v>0</v>
      </c>
      <c r="CB511" s="38"/>
      <c r="CC511" s="38"/>
      <c r="CD511" s="38"/>
      <c r="CE511" s="38"/>
      <c r="CF511" s="38"/>
      <c r="CG511" s="65">
        <f t="shared" si="325"/>
        <v>0</v>
      </c>
      <c r="CH511" s="71">
        <f t="shared" si="326"/>
        <v>0</v>
      </c>
      <c r="CI511" s="1">
        <f t="shared" si="337"/>
        <v>0</v>
      </c>
      <c r="CJ511" s="1"/>
      <c r="CK511" s="75"/>
      <c r="CL511" s="75"/>
      <c r="CM511" s="2"/>
      <c r="CN511" s="2"/>
      <c r="CO511" s="73">
        <f t="shared" si="338"/>
        <v>0</v>
      </c>
      <c r="CP511" s="5">
        <f t="shared" si="339"/>
        <v>0</v>
      </c>
      <c r="CQ511" s="1"/>
      <c r="CR511" s="1">
        <f t="shared" si="340"/>
        <v>0</v>
      </c>
      <c r="CS511" s="1"/>
      <c r="CT511" s="1" t="e">
        <f>INDEX([2]マスタ!$A:$A,MATCH(D511,[2]マスタ!$C:$C,0))</f>
        <v>#N/A</v>
      </c>
      <c r="CU511" s="1" t="str">
        <f t="shared" ca="1" si="341"/>
        <v>20260620_0-0</v>
      </c>
    </row>
    <row r="512" spans="1:99" x14ac:dyDescent="0.4">
      <c r="A512" s="61"/>
      <c r="B512" s="62"/>
      <c r="C512" s="62"/>
      <c r="D512" s="62"/>
      <c r="E512" s="74"/>
      <c r="F512" s="62"/>
      <c r="G512" s="62">
        <v>1</v>
      </c>
      <c r="H512" s="64">
        <f t="shared" si="331"/>
        <v>0</v>
      </c>
      <c r="I512" s="64"/>
      <c r="J512" s="64"/>
      <c r="K512" s="65">
        <f>+ROUNDDOWN((H512+I512)/100,0)*100</f>
        <v>0</v>
      </c>
      <c r="L512" s="65">
        <f t="shared" si="333"/>
        <v>0</v>
      </c>
      <c r="M512" s="65">
        <f t="shared" si="334"/>
        <v>0</v>
      </c>
      <c r="N512" s="65">
        <f t="shared" si="335"/>
        <v>0</v>
      </c>
      <c r="O512" s="66" t="str">
        <f t="shared" si="9"/>
        <v>✕</v>
      </c>
      <c r="P512" s="67" t="str">
        <f t="shared" si="10"/>
        <v>○</v>
      </c>
      <c r="Q512" s="67" t="str">
        <f>+IF((TEXT($A512,"DD")+0)=1,"○","✕")</f>
        <v>✕</v>
      </c>
      <c r="R512" s="67" t="str">
        <f t="shared" si="12"/>
        <v>✕</v>
      </c>
      <c r="S512" s="68">
        <v>0</v>
      </c>
      <c r="T512" s="69" t="s">
        <v>85</v>
      </c>
      <c r="U512" s="69" t="s">
        <v>85</v>
      </c>
      <c r="V512" s="69" t="s">
        <v>85</v>
      </c>
      <c r="W512" s="69" t="s">
        <v>85</v>
      </c>
      <c r="X512" s="69" t="s">
        <v>84</v>
      </c>
      <c r="Y512" s="69" t="s">
        <v>85</v>
      </c>
      <c r="Z512" s="69" t="s">
        <v>85</v>
      </c>
      <c r="AA512" s="69" t="s">
        <v>85</v>
      </c>
      <c r="AB512" s="69" t="s">
        <v>85</v>
      </c>
      <c r="AC512" s="69" t="s">
        <v>85</v>
      </c>
      <c r="AD512" s="38" t="str">
        <f>+IF(ISERROR(VLOOKUP($B512,AD$10:AD511,1,0)),IF(AND($N512&gt;=1000,$A512&gt;=AO$8,$A512&lt;=AO$9),$B512,""),"")</f>
        <v/>
      </c>
      <c r="AE512" s="38" t="str">
        <f>+IF(ISERROR(VLOOKUP($B512,AE$10:AE511,1,0)),IF(AND($N512&gt;=1000,$A512&gt;=AP$8,$A512&lt;=AP$9),$B512,""),"")</f>
        <v/>
      </c>
      <c r="AF512" s="38" t="str">
        <f>+IF(ISERROR(VLOOKUP($B512,AF$10:AF511,1,0)),IF(AND($N512&gt;=1000,$A512&gt;=AQ$8,$A512&lt;=AQ$9),$B512,""),"")</f>
        <v/>
      </c>
      <c r="AG512" s="38" t="str">
        <f>+IF(ISERROR(VLOOKUP($B512,AG$10:AG511,1,0)),IF(AND($N512&gt;=1000,$A512&gt;=AR$8,$A512&lt;=AR$9),$B512,""),"")</f>
        <v/>
      </c>
      <c r="AH512" s="38"/>
      <c r="AI512" s="70">
        <v>0</v>
      </c>
      <c r="AJ512" s="38">
        <f>IF(AND(AJ$7="○",$A512&gt;=AJ$8,$A512&lt;=AJ$9),IF(SUM(AJ$10:AJ511)-ROUNDDOWN($K512*AJ$5/100,0)&lt;-AJ$6,-AJ$6-SUM(AJ$10:AJ511),-ROUNDDOWN($K512*AJ$5/100,0)),0)</f>
        <v>0</v>
      </c>
      <c r="AK512" s="38">
        <f>IF(AND(AK$7="○",$A512&gt;=AK$8,$A512&lt;=AK$9),IF(SUM(AK$10:AK511)-ROUNDDOWN($L512*AK$5/100,0)&lt;-AK$6,-AK$6-SUM(AK$10:AK511),-ROUNDDOWN($L512*AK$5/100,0)),0)</f>
        <v>0</v>
      </c>
      <c r="AL512" s="38">
        <f>IF(AND(AL$7="○",$A512&gt;=AL$8,$A512&lt;=AL$9),IF(SUM(AL$10:AL511)-ROUNDDOWN($N512*AL$5/100,0)&lt;-AL$6,-AL$6-SUM(AL$10:AL511),-ROUNDDOWN($N512*AL$5/100,0)),0)</f>
        <v>0</v>
      </c>
      <c r="AM512" s="38">
        <f>IF(AND(AM$7="○",$A512&gt;=AM$8,$A512&lt;=AM$9),IF(SUM(AM$10:AM511)-ROUNDDOWN($L512*AM$5/100,0)&lt;-AM$6,-AM$6-SUM(AM$10:AM511),-ROUNDDOWN($L512*AM$5/100,0)),0)</f>
        <v>0</v>
      </c>
      <c r="AN512" s="38">
        <f>IF(AND(AN$7="○",$A512&gt;=AN$8,$A512&lt;=AN$9),IF(SUM(AN$10:AN511)-ROUNDDOWN($M512*AN$5/100,0)&lt;-AN$6,-AN$6-SUM(AN$10:AN511),-ROUNDDOWN($M512*AN$5/100,0)),0)</f>
        <v>0</v>
      </c>
      <c r="AO512" s="38">
        <f>IF(AND($A512&gt;=AO$8,$A512&lt;=AO$9),IF(SUM(AO$10:AO511)-ROUNDDOWN($K512*AO$5/100,0)&lt;-AO$6,-AO$6-SUM(AO$10:AO511),-ROUNDDOWN($K512*AO$5/100,0)),0)</f>
        <v>0</v>
      </c>
      <c r="AP512" s="38">
        <f>IF(AND($A512&gt;=AP$8,$A512&lt;=AP$9),IF(SUM(AP$10:AP511)-ROUNDDOWN($K512*AP$5/100,0)&lt;-AP$6,-AP$6-SUM(AP$10:AP511),-ROUNDDOWN($K512*AP$5/100,0)),0)</f>
        <v>0</v>
      </c>
      <c r="AQ512" s="38">
        <f>IF(AND($A512&gt;=AQ$8,$A512&lt;=AQ$9),IF(SUM(AQ$10:AQ511)-ROUNDDOWN($K512*AQ$5/100,0)&lt;-AQ$6,-AQ$6-SUM(AQ$10:AQ511),-ROUNDDOWN($K512*AQ$5/100,0)),0)</f>
        <v>0</v>
      </c>
      <c r="AR512" s="38">
        <f>IF(AND($A512&gt;=AR$8,$A512&lt;=AR$9),IF(SUM(AR$10:AR511)-ROUNDDOWN($K512*AR$5/100,0)&lt;-AR$6,-AR$6-SUM(AR$10:AR511),-ROUNDDOWN($K512*AR$5/100,0)),0)</f>
        <v>0</v>
      </c>
      <c r="AS512" s="38">
        <f>IF(SUMIFS(AS$10:AS511,$A$10:$A511,$A512)-ROUNDDOWN($K512*$S512/100,0)&lt;-$S512*1000,-$S512*1000-SUMIFS(AS$10:AS511,$A$10:$A511,$A512),-ROUNDDOWN($K512*$S512/100,0))</f>
        <v>0</v>
      </c>
      <c r="AT512" s="38">
        <f>IF(AND(X512="○",$A512&gt;=AT$8,$A512&lt;=AT$9,K512&gt;=3980),IF(SUM(AT$10:AT511)-ROUNDDOWN($K512*AT$5/100,0)&lt;-AT$6,-AT$6-SUM(AT$10:AT511),-ROUNDDOWN($K512*AT$5/100,0)),0)</f>
        <v>0</v>
      </c>
      <c r="AU512" s="38">
        <f>IF(O512="○",IF(SUM(AU$10:AU511)-ROUNDDOWN($K512*AU$5/100,0)&lt;-AU$6,-AU$6-SUM(AU$10:AU511),-ROUNDDOWN($K512*AU$5/100,0)),0)</f>
        <v>0</v>
      </c>
      <c r="AV512" s="38">
        <f>IF(P512="○",IF(SUM(AV$10:AV511)-ROUNDDOWN($K512*AV$5/100,0)&lt;-AV$6,-AV$6-SUM(AV$10:AV511),-ROUNDDOWN($K512*AV$5/100,0)),0)</f>
        <v>0</v>
      </c>
      <c r="AW512" s="38">
        <f>IF(Q512="○",IF(SUM(AW$10:AW511)-ROUNDDOWN($K512*AW$5/100,0)&lt;-AW$6,-AW$6-SUM(AW$10:AW511),-ROUNDDOWN($K512*AW$5/100,0)),0)</f>
        <v>0</v>
      </c>
      <c r="AX512" s="38">
        <f>IF(R512="○",IF(SUM(AX$10:AX511)-ROUNDDOWN($K512*AX$5/100,0)&lt;-AX$6,-AX$6-SUM(AX$10:AX511),-ROUNDDOWN($K512*AX$5/100,0)),0)</f>
        <v>0</v>
      </c>
      <c r="AY512" s="70">
        <v>0</v>
      </c>
      <c r="AZ512" s="65">
        <f t="shared" si="319"/>
        <v>0</v>
      </c>
      <c r="BA512" s="65">
        <f t="shared" si="320"/>
        <v>0</v>
      </c>
      <c r="BB512" s="70"/>
      <c r="BC512" s="65">
        <f t="shared" si="321"/>
        <v>0</v>
      </c>
      <c r="BD512" s="70">
        <v>0</v>
      </c>
      <c r="BE512" s="65">
        <f t="shared" si="322"/>
        <v>0</v>
      </c>
      <c r="BF512" s="70">
        <v>0</v>
      </c>
      <c r="BG512" s="65">
        <f t="shared" si="323"/>
        <v>0</v>
      </c>
      <c r="BH512" s="70">
        <v>0</v>
      </c>
      <c r="BI512" s="65">
        <f t="shared" si="324"/>
        <v>0</v>
      </c>
      <c r="BJ512" s="38">
        <f>IF(AND(BJ$7="○",$A512&gt;=BJ$8,$A512&lt;=BJ$9),IF(SUM(BJ$10:BJ511)-ROUNDDOWN($M512*BJ$5/100,0)&lt;-BJ$6,-BJ$6-SUM(BJ$10:BJ511),-ROUNDDOWN($M512*BJ$5/100,0)),0)</f>
        <v>0</v>
      </c>
      <c r="BK512" s="38">
        <f>IF(AND(BK$7="○",$A512&gt;=BK$8,$A512&lt;=BK$9),IF(SUM(BK$10:BK511)-ROUNDDOWN($L512*BK$5/100,0)&lt;-BK$6,-BK$6-SUM(BK$10:BK511),-ROUNDDOWN($L512*BK$5/100,0)),0)</f>
        <v>0</v>
      </c>
      <c r="BL512" s="38">
        <f>IF(AND(BL$7="○",$A512&gt;=BL$8,$A512&lt;=BL$9),IF(SUM(BL$10:BL511)-ROUNDDOWN($L512*BL$5/100,0)&lt;-BL$6,-BL$6-SUM(BL$10:BL511),-ROUNDDOWN($L512*BL$5/100,0)),0)</f>
        <v>0</v>
      </c>
      <c r="BM512" s="38">
        <f>IF(AND(BM$7="○",$A512&gt;=BM$8,$A512&lt;=BM$9),IF(SUM(BM$10:BM511)-ROUNDDOWN($M512*BM$5/100,0)&lt;-BM$6,-BM$6-SUM(BM$10:BM511),-ROUNDDOWN($M512*BM$5/100,0)),0)</f>
        <v>0</v>
      </c>
      <c r="BN512" s="38">
        <f>IF(AND(BN$7="○",$A512&gt;=BN$8,$A512&lt;=BN$9),IF(SUM(BN$10:BN511)-ROUNDDOWN($M512*BN$5/100,0)&lt;-BN$6,-BN$6-SUM(BN$10:BN511),-ROUNDDOWN($M512*BN$5/100,0)),0)</f>
        <v>0</v>
      </c>
      <c r="BO512" s="38">
        <f>IF(AND(BO$7="○",$A512&gt;=BO$8,$A512&lt;=BO$9),IF(SUM(BO$10:BO511)-ROUNDDOWN($M512*BO$5/100,0)&lt;-BO$6,-BO$6-SUM(BO$10:BO511),-ROUNDDOWN($M512*BO$5/100,0)),0)</f>
        <v>0</v>
      </c>
      <c r="BP512" s="38">
        <f>IF(AND(BP$7="○",$A512&gt;=BP$8,$A512&lt;=BP$9),IF(SUM(BP$10:BP511)-ROUNDDOWN($M512*BP$5/100,0)&lt;-BP$6,-BP$6-SUM(BP$10:BP511),-ROUNDDOWN($M512*BP$5/100,0)),0)</f>
        <v>0</v>
      </c>
      <c r="BQ512" s="38">
        <f>IF(AND(BQ$7="○",$A512&gt;=BQ$8,$A512&lt;=BQ$9),IF(SUM(BQ$10:BQ511)-ROUNDDOWN($L512*BQ$5/100,0)&lt;-BQ$6,-BQ$6-SUM(BQ$10:BQ511),-ROUNDDOWN($L512*BQ$5/100,0)),0)</f>
        <v>0</v>
      </c>
      <c r="BR512" s="38">
        <f>IF(AND(BR$7="○",$A512&gt;=BR$8,$A512&lt;=BR$9),IF(SUM(BR$10:BR511)-ROUNDDOWN($M512*BR$5/100,0)&lt;-BR$6,-BR$6-SUM(BR$10:BR511),-ROUNDDOWN($M512*BR$5/100,0)),0)</f>
        <v>0</v>
      </c>
      <c r="BS512" s="38">
        <f>IF(AND(BS$7="○",$A512&gt;=BS$8,$A512&lt;=BS$9),IF(SUM(BS$10:BS511)-ROUNDDOWN($M512*BS$5/100,0)&lt;-BS$6,-BS$6-SUM(BS$10:BS511),-ROUNDDOWN($M512*BS$5/100,0)),0)</f>
        <v>0</v>
      </c>
      <c r="BT512" s="38">
        <f>IF(AND(BT$7="○",$A512&gt;=BT$8,$A512&lt;=BT$9),IF(SUM(BT$10:BT511)-ROUNDDOWN($M512*BT$5/100,0)&lt;-BT$6,-BT$6-SUM(BT$10:BT511),-ROUNDDOWN($M512*BT$5/100,0)),0)</f>
        <v>0</v>
      </c>
      <c r="BU512" s="38">
        <f>IF(AND(BU$7="○",$A512&gt;=BU$8,$A512&lt;=BU$9),IF(SUM(BU$10:BU511)-ROUNDDOWN($M512*BU$5/100,0)&lt;-BU$6,-BU$6-SUM(BU$10:BU511),-ROUNDDOWN($M512*BU$5/100,0)),0)</f>
        <v>0</v>
      </c>
      <c r="BV512" s="38">
        <f>IF(AND(BV$7="○",$A512&gt;=BV$8,$A512&lt;=BV$9),IF(SUM(BV$10:BV511)-ROUNDDOWN($M512*BV$5/100,0)&lt;-BV$6,-BV$6-SUM(BV$10:BV511),-ROUNDDOWN($M512*BV$5/100,0)),0)</f>
        <v>0</v>
      </c>
      <c r="BW512" s="38">
        <f>IF(AND(BW$7="○",$A512&gt;=BW$8,$A512&lt;=BW$9),IF(SUM(BW$10:BW511)-ROUNDDOWN($M512*BW$5/100,0)&lt;-BW$6,-BW$6-SUM(BW$10:BW511),-ROUNDDOWN($M512*BW$5/100,0)),0)</f>
        <v>0</v>
      </c>
      <c r="BX512" s="38">
        <f>IF(AND(T512="○",$A512&gt;=BX$8,$A512&lt;=BX$9),IF(SUM(BX$10:BX511)-ROUNDDOWN($K512*BX$5/100,0)&lt;-BX$6,-BX$6-SUM(BX$10:BX511),-ROUNDDOWN($K512*BX$5/100,0)),0)</f>
        <v>0</v>
      </c>
      <c r="BY512" s="38">
        <f>IF(AND(U512="○",$A512&gt;=BY$8,$A512&lt;=BY$9),IF(SUM(BY$10:BY511)-ROUNDDOWN($K512*BY$5/100,0)&lt;-BY$6,-BY$6-SUM(BY$10:BY511),-ROUNDDOWN($K512*BY$5/100,0)),0)</f>
        <v>0</v>
      </c>
      <c r="BZ512" s="38">
        <f>IF(AND(V512="○",$A512&gt;=BZ$8,$A512&lt;=BZ$9),IF(SUM(BZ$10:BZ511)-ROUNDDOWN($K512*BZ$5/100,0)&lt;-BZ$6,-BZ$6-SUM(BZ$10:BZ511),-ROUNDDOWN($K512*BZ$5/100,0)),0)</f>
        <v>0</v>
      </c>
      <c r="CA512" s="38">
        <f>IF(AND(W512="○",$A512&gt;=CA$8,$A512&lt;=CA$9),IF(SUM(CA$10:CA511)-ROUNDDOWN($K512*CA$5/100,0)&lt;-CA$6,-CA$6-SUM(CA$10:CA511),-ROUNDDOWN($K512*CA$5/100,0)),0)</f>
        <v>0</v>
      </c>
      <c r="CB512" s="38"/>
      <c r="CC512" s="38"/>
      <c r="CD512" s="38"/>
      <c r="CE512" s="38"/>
      <c r="CF512" s="38"/>
      <c r="CG512" s="65">
        <f t="shared" si="325"/>
        <v>0</v>
      </c>
      <c r="CH512" s="71">
        <f t="shared" si="326"/>
        <v>0</v>
      </c>
      <c r="CI512" s="1">
        <f t="shared" si="337"/>
        <v>0</v>
      </c>
      <c r="CJ512" s="1"/>
      <c r="CK512" s="75"/>
      <c r="CL512" s="75"/>
      <c r="CM512" s="2"/>
      <c r="CN512" s="2"/>
      <c r="CO512" s="73">
        <f t="shared" si="338"/>
        <v>0</v>
      </c>
      <c r="CP512" s="5">
        <f t="shared" si="339"/>
        <v>0</v>
      </c>
      <c r="CQ512" s="1"/>
      <c r="CR512" s="1">
        <f t="shared" si="340"/>
        <v>0</v>
      </c>
      <c r="CS512" s="1"/>
      <c r="CT512" s="1" t="e">
        <f>INDEX([2]マスタ!$A:$A,MATCH(D512,[2]マスタ!$C:$C,0))</f>
        <v>#N/A</v>
      </c>
      <c r="CU512" s="1" t="str">
        <f t="shared" ca="1" si="341"/>
        <v>20260620_0-0</v>
      </c>
    </row>
    <row r="513" spans="1:99" x14ac:dyDescent="0.4">
      <c r="A513" s="61"/>
      <c r="B513" s="62"/>
      <c r="C513" s="62"/>
      <c r="D513" s="62"/>
      <c r="E513" s="63"/>
      <c r="F513" s="62"/>
      <c r="G513" s="62">
        <v>1</v>
      </c>
      <c r="H513" s="64">
        <f t="shared" si="331"/>
        <v>0</v>
      </c>
      <c r="I513" s="64"/>
      <c r="J513" s="64"/>
      <c r="K513" s="65">
        <f>+ROUNDDOWN((H513+I513)/100,0)*100</f>
        <v>0</v>
      </c>
      <c r="L513" s="65">
        <f t="shared" si="333"/>
        <v>0</v>
      </c>
      <c r="M513" s="65">
        <f t="shared" si="334"/>
        <v>0</v>
      </c>
      <c r="N513" s="65">
        <f t="shared" si="335"/>
        <v>0</v>
      </c>
      <c r="O513" s="66" t="str">
        <f t="shared" si="9"/>
        <v>✕</v>
      </c>
      <c r="P513" s="67" t="str">
        <f t="shared" si="10"/>
        <v>○</v>
      </c>
      <c r="Q513" s="67" t="str">
        <f>+IF((TEXT($A513,"DD")+0)=1,"○","✕")</f>
        <v>✕</v>
      </c>
      <c r="R513" s="67" t="str">
        <f t="shared" si="12"/>
        <v>✕</v>
      </c>
      <c r="S513" s="68">
        <v>0</v>
      </c>
      <c r="T513" s="69" t="s">
        <v>85</v>
      </c>
      <c r="U513" s="69" t="s">
        <v>85</v>
      </c>
      <c r="V513" s="69" t="s">
        <v>85</v>
      </c>
      <c r="W513" s="69" t="s">
        <v>85</v>
      </c>
      <c r="X513" s="69" t="s">
        <v>84</v>
      </c>
      <c r="Y513" s="69" t="s">
        <v>85</v>
      </c>
      <c r="Z513" s="69" t="s">
        <v>85</v>
      </c>
      <c r="AA513" s="69" t="s">
        <v>85</v>
      </c>
      <c r="AB513" s="69" t="s">
        <v>85</v>
      </c>
      <c r="AC513" s="69" t="s">
        <v>85</v>
      </c>
      <c r="AD513" s="38" t="str">
        <f>+IF(ISERROR(VLOOKUP($B513,AD$10:AD512,1,0)),IF(AND($N513&gt;=1000,$A513&gt;=AO$8,$A513&lt;=AO$9),$B513,""),"")</f>
        <v/>
      </c>
      <c r="AE513" s="38" t="str">
        <f>+IF(ISERROR(VLOOKUP($B513,AE$10:AE512,1,0)),IF(AND($N513&gt;=1000,$A513&gt;=AP$8,$A513&lt;=AP$9),$B513,""),"")</f>
        <v/>
      </c>
      <c r="AF513" s="38" t="str">
        <f>+IF(ISERROR(VLOOKUP($B513,AF$10:AF512,1,0)),IF(AND($N513&gt;=1000,$A513&gt;=AQ$8,$A513&lt;=AQ$9),$B513,""),"")</f>
        <v/>
      </c>
      <c r="AG513" s="38" t="str">
        <f>+IF(ISERROR(VLOOKUP($B513,AG$10:AG512,1,0)),IF(AND($N513&gt;=1000,$A513&gt;=AR$8,$A513&lt;=AR$9),$B513,""),"")</f>
        <v/>
      </c>
      <c r="AH513" s="38"/>
      <c r="AI513" s="70">
        <v>0</v>
      </c>
      <c r="AJ513" s="38">
        <f>IF(AND(AJ$7="○",$A513&gt;=AJ$8,$A513&lt;=AJ$9),IF(SUM(AJ$10:AJ512)-ROUNDDOWN($K513*AJ$5/100,0)&lt;-AJ$6,-AJ$6-SUM(AJ$10:AJ512),-ROUNDDOWN($K513*AJ$5/100,0)),0)</f>
        <v>0</v>
      </c>
      <c r="AK513" s="38">
        <f>IF(AND(AK$7="○",$A513&gt;=AK$8,$A513&lt;=AK$9),IF(SUM(AK$10:AK512)-ROUNDDOWN($L513*AK$5/100,0)&lt;-AK$6,-AK$6-SUM(AK$10:AK512),-ROUNDDOWN($L513*AK$5/100,0)),0)</f>
        <v>0</v>
      </c>
      <c r="AL513" s="38">
        <f>IF(AND(AL$7="○",$A513&gt;=AL$8,$A513&lt;=AL$9),IF(SUM(AL$10:AL512)-ROUNDDOWN($N513*AL$5/100,0)&lt;-AL$6,-AL$6-SUM(AL$10:AL512),-ROUNDDOWN($N513*AL$5/100,0)),0)</f>
        <v>0</v>
      </c>
      <c r="AM513" s="38">
        <f>IF(AND(AM$7="○",$A513&gt;=AM$8,$A513&lt;=AM$9),IF(SUM(AM$10:AM512)-ROUNDDOWN($L513*AM$5/100,0)&lt;-AM$6,-AM$6-SUM(AM$10:AM512),-ROUNDDOWN($L513*AM$5/100,0)),0)</f>
        <v>0</v>
      </c>
      <c r="AN513" s="38">
        <f>IF(AND(AN$7="○",$A513&gt;=AN$8,$A513&lt;=AN$9),IF(SUM(AN$10:AN512)-ROUNDDOWN($M513*AN$5/100,0)&lt;-AN$6,-AN$6-SUM(AN$10:AN512),-ROUNDDOWN($M513*AN$5/100,0)),0)</f>
        <v>0</v>
      </c>
      <c r="AO513" s="38">
        <f>IF(AND($A513&gt;=AO$8,$A513&lt;=AO$9),IF(SUM(AO$10:AO512)-ROUNDDOWN($K513*AO$5/100,0)&lt;-AO$6,-AO$6-SUM(AO$10:AO512),-ROUNDDOWN($K513*AO$5/100,0)),0)</f>
        <v>0</v>
      </c>
      <c r="AP513" s="38">
        <f>IF(AND($A513&gt;=AP$8,$A513&lt;=AP$9),IF(SUM(AP$10:AP512)-ROUNDDOWN($K513*AP$5/100,0)&lt;-AP$6,-AP$6-SUM(AP$10:AP512),-ROUNDDOWN($K513*AP$5/100,0)),0)</f>
        <v>0</v>
      </c>
      <c r="AQ513" s="38">
        <f>IF(AND($A513&gt;=AQ$8,$A513&lt;=AQ$9),IF(SUM(AQ$10:AQ512)-ROUNDDOWN($K513*AQ$5/100,0)&lt;-AQ$6,-AQ$6-SUM(AQ$10:AQ512),-ROUNDDOWN($K513*AQ$5/100,0)),0)</f>
        <v>0</v>
      </c>
      <c r="AR513" s="38">
        <f>IF(AND($A513&gt;=AR$8,$A513&lt;=AR$9),IF(SUM(AR$10:AR512)-ROUNDDOWN($K513*AR$5/100,0)&lt;-AR$6,-AR$6-SUM(AR$10:AR512),-ROUNDDOWN($K513*AR$5/100,0)),0)</f>
        <v>0</v>
      </c>
      <c r="AS513" s="38">
        <f>IF(SUMIFS(AS$10:AS512,$A$10:$A512,$A513)-ROUNDDOWN($K513*$S513/100,0)&lt;-$S513*1000,-$S513*1000-SUMIFS(AS$10:AS512,$A$10:$A512,$A513),-ROUNDDOWN($K513*$S513/100,0))</f>
        <v>0</v>
      </c>
      <c r="AT513" s="38">
        <f>IF(AND(X513="○",$A513&gt;=AT$8,$A513&lt;=AT$9,K513&gt;=3980),IF(SUM(AT$10:AT512)-ROUNDDOWN($K513*AT$5/100,0)&lt;-AT$6,-AT$6-SUM(AT$10:AT512),-ROUNDDOWN($K513*AT$5/100,0)),0)</f>
        <v>0</v>
      </c>
      <c r="AU513" s="38">
        <f>IF(O513="○",IF(SUM(AU$10:AU512)-ROUNDDOWN($K513*AU$5/100,0)&lt;-AU$6,-AU$6-SUM(AU$10:AU512),-ROUNDDOWN($K513*AU$5/100,0)),0)</f>
        <v>0</v>
      </c>
      <c r="AV513" s="38">
        <f>IF(P513="○",IF(SUM(AV$10:AV512)-ROUNDDOWN($K513*AV$5/100,0)&lt;-AV$6,-AV$6-SUM(AV$10:AV512),-ROUNDDOWN($K513*AV$5/100,0)),0)</f>
        <v>0</v>
      </c>
      <c r="AW513" s="38">
        <f>IF(Q513="○",IF(SUM(AW$10:AW512)-ROUNDDOWN($K513*AW$5/100,0)&lt;-AW$6,-AW$6-SUM(AW$10:AW512),-ROUNDDOWN($K513*AW$5/100,0)),0)</f>
        <v>0</v>
      </c>
      <c r="AX513" s="38">
        <f>IF(R513="○",IF(SUM(AX$10:AX512)-ROUNDDOWN($K513*AX$5/100,0)&lt;-AX$6,-AX$6-SUM(AX$10:AX512),-ROUNDDOWN($K513*AX$5/100,0)),0)</f>
        <v>0</v>
      </c>
      <c r="AY513" s="70">
        <v>0</v>
      </c>
      <c r="AZ513" s="65">
        <f t="shared" si="319"/>
        <v>0</v>
      </c>
      <c r="BA513" s="65">
        <f t="shared" si="320"/>
        <v>0</v>
      </c>
      <c r="BB513" s="70"/>
      <c r="BC513" s="65">
        <f t="shared" si="321"/>
        <v>0</v>
      </c>
      <c r="BD513" s="70">
        <v>0</v>
      </c>
      <c r="BE513" s="65">
        <f t="shared" si="322"/>
        <v>0</v>
      </c>
      <c r="BF513" s="70">
        <v>0</v>
      </c>
      <c r="BG513" s="65">
        <f t="shared" si="323"/>
        <v>0</v>
      </c>
      <c r="BH513" s="70">
        <v>0</v>
      </c>
      <c r="BI513" s="65">
        <f t="shared" si="324"/>
        <v>0</v>
      </c>
      <c r="BJ513" s="38">
        <f>IF(AND(BJ$7="○",$A513&gt;=BJ$8,$A513&lt;=BJ$9),IF(SUM(BJ$10:BJ512)-ROUNDDOWN($M513*BJ$5/100,0)&lt;-BJ$6,-BJ$6-SUM(BJ$10:BJ512),-ROUNDDOWN($M513*BJ$5/100,0)),0)</f>
        <v>0</v>
      </c>
      <c r="BK513" s="38">
        <f>IF(AND(BK$7="○",$A513&gt;=BK$8,$A513&lt;=BK$9),IF(SUM(BK$10:BK512)-ROUNDDOWN($L513*BK$5/100,0)&lt;-BK$6,-BK$6-SUM(BK$10:BK512),-ROUNDDOWN($L513*BK$5/100,0)),0)</f>
        <v>0</v>
      </c>
      <c r="BL513" s="38">
        <f>IF(AND(BL$7="○",$A513&gt;=BL$8,$A513&lt;=BL$9),IF(SUM(BL$10:BL512)-ROUNDDOWN($L513*BL$5/100,0)&lt;-BL$6,-BL$6-SUM(BL$10:BL512),-ROUNDDOWN($L513*BL$5/100,0)),0)</f>
        <v>0</v>
      </c>
      <c r="BM513" s="38">
        <f>IF(AND(BM$7="○",$A513&gt;=BM$8,$A513&lt;=BM$9),IF(SUM(BM$10:BM512)-ROUNDDOWN($M513*BM$5/100,0)&lt;-BM$6,-BM$6-SUM(BM$10:BM512),-ROUNDDOWN($M513*BM$5/100,0)),0)</f>
        <v>0</v>
      </c>
      <c r="BN513" s="38">
        <f>IF(AND(BN$7="○",$A513&gt;=BN$8,$A513&lt;=BN$9),IF(SUM(BN$10:BN512)-ROUNDDOWN($M513*BN$5/100,0)&lt;-BN$6,-BN$6-SUM(BN$10:BN512),-ROUNDDOWN($M513*BN$5/100,0)),0)</f>
        <v>0</v>
      </c>
      <c r="BO513" s="38">
        <f>IF(AND(BO$7="○",$A513&gt;=BO$8,$A513&lt;=BO$9),IF(SUM(BO$10:BO512)-ROUNDDOWN($M513*BO$5/100,0)&lt;-BO$6,-BO$6-SUM(BO$10:BO512),-ROUNDDOWN($M513*BO$5/100,0)),0)</f>
        <v>0</v>
      </c>
      <c r="BP513" s="38">
        <f>IF(AND(BP$7="○",$A513&gt;=BP$8,$A513&lt;=BP$9),IF(SUM(BP$10:BP512)-ROUNDDOWN($M513*BP$5/100,0)&lt;-BP$6,-BP$6-SUM(BP$10:BP512),-ROUNDDOWN($M513*BP$5/100,0)),0)</f>
        <v>0</v>
      </c>
      <c r="BQ513" s="38">
        <f>IF(AND(BQ$7="○",$A513&gt;=BQ$8,$A513&lt;=BQ$9),IF(SUM(BQ$10:BQ512)-ROUNDDOWN($L513*BQ$5/100,0)&lt;-BQ$6,-BQ$6-SUM(BQ$10:BQ512),-ROUNDDOWN($L513*BQ$5/100,0)),0)</f>
        <v>0</v>
      </c>
      <c r="BR513" s="38">
        <f>IF(AND(BR$7="○",$A513&gt;=BR$8,$A513&lt;=BR$9),IF(SUM(BR$10:BR512)-ROUNDDOWN($M513*BR$5/100,0)&lt;-BR$6,-BR$6-SUM(BR$10:BR512),-ROUNDDOWN($M513*BR$5/100,0)),0)</f>
        <v>0</v>
      </c>
      <c r="BS513" s="38">
        <f>IF(AND(BS$7="○",$A513&gt;=BS$8,$A513&lt;=BS$9),IF(SUM(BS$10:BS512)-ROUNDDOWN($M513*BS$5/100,0)&lt;-BS$6,-BS$6-SUM(BS$10:BS512),-ROUNDDOWN($M513*BS$5/100,0)),0)</f>
        <v>0</v>
      </c>
      <c r="BT513" s="38">
        <f>IF(AND(BT$7="○",$A513&gt;=BT$8,$A513&lt;=BT$9),IF(SUM(BT$10:BT512)-ROUNDDOWN($M513*BT$5/100,0)&lt;-BT$6,-BT$6-SUM(BT$10:BT512),-ROUNDDOWN($M513*BT$5/100,0)),0)</f>
        <v>0</v>
      </c>
      <c r="BU513" s="38">
        <f>IF(AND(BU$7="○",$A513&gt;=BU$8,$A513&lt;=BU$9),IF(SUM(BU$10:BU512)-ROUNDDOWN($M513*BU$5/100,0)&lt;-BU$6,-BU$6-SUM(BU$10:BU512),-ROUNDDOWN($M513*BU$5/100,0)),0)</f>
        <v>0</v>
      </c>
      <c r="BV513" s="38">
        <f>IF(AND(BV$7="○",$A513&gt;=BV$8,$A513&lt;=BV$9),IF(SUM(BV$10:BV512)-ROUNDDOWN($M513*BV$5/100,0)&lt;-BV$6,-BV$6-SUM(BV$10:BV512),-ROUNDDOWN($M513*BV$5/100,0)),0)</f>
        <v>0</v>
      </c>
      <c r="BW513" s="38">
        <f>IF(AND(BW$7="○",$A513&gt;=BW$8,$A513&lt;=BW$9),IF(SUM(BW$10:BW512)-ROUNDDOWN($M513*BW$5/100,0)&lt;-BW$6,-BW$6-SUM(BW$10:BW512),-ROUNDDOWN($M513*BW$5/100,0)),0)</f>
        <v>0</v>
      </c>
      <c r="BX513" s="38">
        <f>IF(AND(T513="○",$A513&gt;=BX$8,$A513&lt;=BX$9),IF(SUM(BX$10:BX512)-ROUNDDOWN($K513*BX$5/100,0)&lt;-BX$6,-BX$6-SUM(BX$10:BX512),-ROUNDDOWN($K513*BX$5/100,0)),0)</f>
        <v>0</v>
      </c>
      <c r="BY513" s="38">
        <f>IF(AND(U513="○",$A513&gt;=BY$8,$A513&lt;=BY$9),IF(SUM(BY$10:BY512)-ROUNDDOWN($K513*BY$5/100,0)&lt;-BY$6,-BY$6-SUM(BY$10:BY512),-ROUNDDOWN($K513*BY$5/100,0)),0)</f>
        <v>0</v>
      </c>
      <c r="BZ513" s="38">
        <f>IF(AND(V513="○",$A513&gt;=BZ$8,$A513&lt;=BZ$9),IF(SUM(BZ$10:BZ512)-ROUNDDOWN($K513*BZ$5/100,0)&lt;-BZ$6,-BZ$6-SUM(BZ$10:BZ512),-ROUNDDOWN($K513*BZ$5/100,0)),0)</f>
        <v>0</v>
      </c>
      <c r="CA513" s="38">
        <f>IF(AND(W513="○",$A513&gt;=CA$8,$A513&lt;=CA$9),IF(SUM(CA$10:CA512)-ROUNDDOWN($K513*CA$5/100,0)&lt;-CA$6,-CA$6-SUM(CA$10:CA512),-ROUNDDOWN($K513*CA$5/100,0)),0)</f>
        <v>0</v>
      </c>
      <c r="CB513" s="38"/>
      <c r="CC513" s="38"/>
      <c r="CD513" s="38"/>
      <c r="CE513" s="38"/>
      <c r="CF513" s="38"/>
      <c r="CG513" s="65">
        <f t="shared" si="325"/>
        <v>0</v>
      </c>
      <c r="CH513" s="71">
        <f t="shared" si="326"/>
        <v>0</v>
      </c>
      <c r="CI513" s="1">
        <f t="shared" si="337"/>
        <v>0</v>
      </c>
      <c r="CJ513" s="1"/>
      <c r="CK513" s="72"/>
      <c r="CL513" s="72"/>
      <c r="CM513" s="2"/>
      <c r="CN513" s="2"/>
      <c r="CO513" s="73">
        <f t="shared" si="338"/>
        <v>0</v>
      </c>
      <c r="CP513" s="5">
        <f t="shared" si="339"/>
        <v>0</v>
      </c>
      <c r="CQ513" s="1"/>
      <c r="CR513" s="1">
        <f t="shared" si="340"/>
        <v>0</v>
      </c>
      <c r="CS513" s="1"/>
      <c r="CT513" s="1" t="e">
        <f>INDEX([2]マスタ!$A:$A,MATCH(D513,[2]マスタ!$C:$C,0))</f>
        <v>#N/A</v>
      </c>
      <c r="CU513" s="1" t="str">
        <f t="shared" ca="1" si="341"/>
        <v>20260620_0-0</v>
      </c>
    </row>
    <row r="514" spans="1:99" x14ac:dyDescent="0.4">
      <c r="A514" s="61"/>
      <c r="B514" s="62"/>
      <c r="C514" s="62"/>
      <c r="D514" s="62"/>
      <c r="E514" s="77"/>
      <c r="F514" s="62"/>
      <c r="G514" s="62">
        <v>1</v>
      </c>
      <c r="H514" s="64">
        <f t="shared" si="331"/>
        <v>0</v>
      </c>
      <c r="I514" s="64"/>
      <c r="J514" s="64"/>
      <c r="K514" s="65">
        <f>+ROUNDDOWN((H514+I514)/100,0)*100</f>
        <v>0</v>
      </c>
      <c r="L514" s="65">
        <f t="shared" si="333"/>
        <v>0</v>
      </c>
      <c r="M514" s="65">
        <f t="shared" si="334"/>
        <v>0</v>
      </c>
      <c r="N514" s="65">
        <f t="shared" si="335"/>
        <v>0</v>
      </c>
      <c r="O514" s="66" t="str">
        <f t="shared" si="9"/>
        <v>✕</v>
      </c>
      <c r="P514" s="67" t="str">
        <f t="shared" si="10"/>
        <v>○</v>
      </c>
      <c r="Q514" s="67" t="str">
        <f>+IF((TEXT($A514,"DD")+0)=1,"○","✕")</f>
        <v>✕</v>
      </c>
      <c r="R514" s="67" t="str">
        <f t="shared" si="12"/>
        <v>✕</v>
      </c>
      <c r="S514" s="68">
        <v>0</v>
      </c>
      <c r="T514" s="69" t="s">
        <v>85</v>
      </c>
      <c r="U514" s="69" t="s">
        <v>85</v>
      </c>
      <c r="V514" s="69" t="s">
        <v>85</v>
      </c>
      <c r="W514" s="69" t="s">
        <v>85</v>
      </c>
      <c r="X514" s="69" t="s">
        <v>84</v>
      </c>
      <c r="Y514" s="69" t="s">
        <v>85</v>
      </c>
      <c r="Z514" s="69" t="s">
        <v>85</v>
      </c>
      <c r="AA514" s="69" t="s">
        <v>85</v>
      </c>
      <c r="AB514" s="69" t="s">
        <v>85</v>
      </c>
      <c r="AC514" s="69" t="s">
        <v>85</v>
      </c>
      <c r="AD514" s="38" t="str">
        <f>+IF(ISERROR(VLOOKUP($B514,AD$10:AD513,1,0)),IF(AND($N514&gt;=1000,$A514&gt;=AO$8,$A514&lt;=AO$9),$B514,""),"")</f>
        <v/>
      </c>
      <c r="AE514" s="38" t="str">
        <f>+IF(ISERROR(VLOOKUP($B514,AE$10:AE513,1,0)),IF(AND($N514&gt;=1000,$A514&gt;=AP$8,$A514&lt;=AP$9),$B514,""),"")</f>
        <v/>
      </c>
      <c r="AF514" s="38" t="str">
        <f>+IF(ISERROR(VLOOKUP($B514,AF$10:AF513,1,0)),IF(AND($N514&gt;=1000,$A514&gt;=AQ$8,$A514&lt;=AQ$9),$B514,""),"")</f>
        <v/>
      </c>
      <c r="AG514" s="38" t="str">
        <f>+IF(ISERROR(VLOOKUP($B514,AG$10:AG513,1,0)),IF(AND($N514&gt;=1000,$A514&gt;=AR$8,$A514&lt;=AR$9),$B514,""),"")</f>
        <v/>
      </c>
      <c r="AH514" s="38"/>
      <c r="AI514" s="70">
        <v>0</v>
      </c>
      <c r="AJ514" s="38">
        <f>IF(AND(AJ$7="○",$A514&gt;=AJ$8,$A514&lt;=AJ$9),IF(SUM(AJ$10:AJ513)-ROUNDDOWN($K514*AJ$5/100,0)&lt;-AJ$6,-AJ$6-SUM(AJ$10:AJ513),-ROUNDDOWN($K514*AJ$5/100,0)),0)</f>
        <v>0</v>
      </c>
      <c r="AK514" s="38">
        <f>IF(AND(AK$7="○",$A514&gt;=AK$8,$A514&lt;=AK$9),IF(SUM(AK$10:AK513)-ROUNDDOWN($L514*AK$5/100,0)&lt;-AK$6,-AK$6-SUM(AK$10:AK513),-ROUNDDOWN($L514*AK$5/100,0)),0)</f>
        <v>0</v>
      </c>
      <c r="AL514" s="38">
        <f>IF(AND(AL$7="○",$A514&gt;=AL$8,$A514&lt;=AL$9),IF(SUM(AL$10:AL513)-ROUNDDOWN($N514*AL$5/100,0)&lt;-AL$6,-AL$6-SUM(AL$10:AL513),-ROUNDDOWN($N514*AL$5/100,0)),0)</f>
        <v>0</v>
      </c>
      <c r="AM514" s="38">
        <f>IF(AND(AM$7="○",$A514&gt;=AM$8,$A514&lt;=AM$9),IF(SUM(AM$10:AM513)-ROUNDDOWN($L514*AM$5/100,0)&lt;-AM$6,-AM$6-SUM(AM$10:AM513),-ROUNDDOWN($L514*AM$5/100,0)),0)</f>
        <v>0</v>
      </c>
      <c r="AN514" s="38">
        <f>IF(AND(AN$7="○",$A514&gt;=AN$8,$A514&lt;=AN$9),IF(SUM(AN$10:AN513)-ROUNDDOWN($M514*AN$5/100,0)&lt;-AN$6,-AN$6-SUM(AN$10:AN513),-ROUNDDOWN($M514*AN$5/100,0)),0)</f>
        <v>0</v>
      </c>
      <c r="AO514" s="38">
        <f>IF(AND($A514&gt;=AO$8,$A514&lt;=AO$9),IF(SUM(AO$10:AO513)-ROUNDDOWN($K514*AO$5/100,0)&lt;-AO$6,-AO$6-SUM(AO$10:AO513),-ROUNDDOWN($K514*AO$5/100,0)),0)</f>
        <v>0</v>
      </c>
      <c r="AP514" s="38">
        <f>IF(AND($A514&gt;=AP$8,$A514&lt;=AP$9),IF(SUM(AP$10:AP513)-ROUNDDOWN($K514*AP$5/100,0)&lt;-AP$6,-AP$6-SUM(AP$10:AP513),-ROUNDDOWN($K514*AP$5/100,0)),0)</f>
        <v>0</v>
      </c>
      <c r="AQ514" s="38">
        <f>IF(AND($A514&gt;=AQ$8,$A514&lt;=AQ$9),IF(SUM(AQ$10:AQ513)-ROUNDDOWN($K514*AQ$5/100,0)&lt;-AQ$6,-AQ$6-SUM(AQ$10:AQ513),-ROUNDDOWN($K514*AQ$5/100,0)),0)</f>
        <v>0</v>
      </c>
      <c r="AR514" s="38">
        <f>IF(AND($A514&gt;=AR$8,$A514&lt;=AR$9),IF(SUM(AR$10:AR513)-ROUNDDOWN($K514*AR$5/100,0)&lt;-AR$6,-AR$6-SUM(AR$10:AR513),-ROUNDDOWN($K514*AR$5/100,0)),0)</f>
        <v>0</v>
      </c>
      <c r="AS514" s="38">
        <f>IF(SUMIFS(AS$10:AS513,$A$10:$A513,$A514)-ROUNDDOWN($K514*$S514/100,0)&lt;-$S514*1000,-$S514*1000-SUMIFS(AS$10:AS513,$A$10:$A513,$A514),-ROUNDDOWN($K514*$S514/100,0))</f>
        <v>0</v>
      </c>
      <c r="AT514" s="38">
        <f>IF(AND(X514="○",$A514&gt;=AT$8,$A514&lt;=AT$9,K514&gt;=3980),IF(SUM(AT$10:AT513)-ROUNDDOWN($K514*AT$5/100,0)&lt;-AT$6,-AT$6-SUM(AT$10:AT513),-ROUNDDOWN($K514*AT$5/100,0)),0)</f>
        <v>0</v>
      </c>
      <c r="AU514" s="38">
        <f>IF(O514="○",IF(SUM(AU$10:AU513)-ROUNDDOWN($K514*AU$5/100,0)&lt;-AU$6,-AU$6-SUM(AU$10:AU513),-ROUNDDOWN($K514*AU$5/100,0)),0)</f>
        <v>0</v>
      </c>
      <c r="AV514" s="38">
        <f>IF(P514="○",IF(SUM(AV$10:AV513)-ROUNDDOWN($K514*AV$5/100,0)&lt;-AV$6,-AV$6-SUM(AV$10:AV513),-ROUNDDOWN($K514*AV$5/100,0)),0)</f>
        <v>0</v>
      </c>
      <c r="AW514" s="38">
        <f>IF(Q514="○",IF(SUM(AW$10:AW513)-ROUNDDOWN($K514*AW$5/100,0)&lt;-AW$6,-AW$6-SUM(AW$10:AW513),-ROUNDDOWN($K514*AW$5/100,0)),0)</f>
        <v>0</v>
      </c>
      <c r="AX514" s="38">
        <f>IF(R514="○",IF(SUM(AX$10:AX513)-ROUNDDOWN($K514*AX$5/100,0)&lt;-AX$6,-AX$6-SUM(AX$10:AX513),-ROUNDDOWN($K514*AX$5/100,0)),0)</f>
        <v>0</v>
      </c>
      <c r="AY514" s="70">
        <v>0</v>
      </c>
      <c r="AZ514" s="65">
        <f t="shared" si="319"/>
        <v>0</v>
      </c>
      <c r="BA514" s="65">
        <f t="shared" si="320"/>
        <v>0</v>
      </c>
      <c r="BB514" s="70"/>
      <c r="BC514" s="65">
        <f t="shared" si="321"/>
        <v>0</v>
      </c>
      <c r="BD514" s="70">
        <v>0</v>
      </c>
      <c r="BE514" s="65">
        <f t="shared" si="322"/>
        <v>0</v>
      </c>
      <c r="BF514" s="70">
        <v>0</v>
      </c>
      <c r="BG514" s="65">
        <f t="shared" si="323"/>
        <v>0</v>
      </c>
      <c r="BH514" s="70">
        <v>0</v>
      </c>
      <c r="BI514" s="65">
        <f t="shared" si="324"/>
        <v>0</v>
      </c>
      <c r="BJ514" s="38">
        <f>IF(AND(BJ$7="○",$A514&gt;=BJ$8,$A514&lt;=BJ$9),IF(SUM(BJ$10:BJ513)-ROUNDDOWN($M514*BJ$5/100,0)&lt;-BJ$6,-BJ$6-SUM(BJ$10:BJ513),-ROUNDDOWN($M514*BJ$5/100,0)),0)</f>
        <v>0</v>
      </c>
      <c r="BK514" s="38">
        <f>IF(AND(BK$7="○",$A514&gt;=BK$8,$A514&lt;=BK$9),IF(SUM(BK$10:BK513)-ROUNDDOWN($L514*BK$5/100,0)&lt;-BK$6,-BK$6-SUM(BK$10:BK513),-ROUNDDOWN($L514*BK$5/100,0)),0)</f>
        <v>0</v>
      </c>
      <c r="BL514" s="38">
        <f>IF(AND(BL$7="○",$A514&gt;=BL$8,$A514&lt;=BL$9),IF(SUM(BL$10:BL513)-ROUNDDOWN($L514*BL$5/100,0)&lt;-BL$6,-BL$6-SUM(BL$10:BL513),-ROUNDDOWN($L514*BL$5/100,0)),0)</f>
        <v>0</v>
      </c>
      <c r="BM514" s="38">
        <f>IF(AND(BM$7="○",$A514&gt;=BM$8,$A514&lt;=BM$9),IF(SUM(BM$10:BM513)-ROUNDDOWN($M514*BM$5/100,0)&lt;-BM$6,-BM$6-SUM(BM$10:BM513),-ROUNDDOWN($M514*BM$5/100,0)),0)</f>
        <v>0</v>
      </c>
      <c r="BN514" s="38">
        <f>IF(AND(BN$7="○",$A514&gt;=BN$8,$A514&lt;=BN$9),IF(SUM(BN$10:BN513)-ROUNDDOWN($M514*BN$5/100,0)&lt;-BN$6,-BN$6-SUM(BN$10:BN513),-ROUNDDOWN($M514*BN$5/100,0)),0)</f>
        <v>0</v>
      </c>
      <c r="BO514" s="38">
        <f>IF(AND(BO$7="○",$A514&gt;=BO$8,$A514&lt;=BO$9),IF(SUM(BO$10:BO513)-ROUNDDOWN($M514*BO$5/100,0)&lt;-BO$6,-BO$6-SUM(BO$10:BO513),-ROUNDDOWN($M514*BO$5/100,0)),0)</f>
        <v>0</v>
      </c>
      <c r="BP514" s="38">
        <f>IF(AND(BP$7="○",$A514&gt;=BP$8,$A514&lt;=BP$9),IF(SUM(BP$10:BP513)-ROUNDDOWN($M514*BP$5/100,0)&lt;-BP$6,-BP$6-SUM(BP$10:BP513),-ROUNDDOWN($M514*BP$5/100,0)),0)</f>
        <v>0</v>
      </c>
      <c r="BQ514" s="38">
        <f>IF(AND(BQ$7="○",$A514&gt;=BQ$8,$A514&lt;=BQ$9),IF(SUM(BQ$10:BQ513)-ROUNDDOWN($L514*BQ$5/100,0)&lt;-BQ$6,-BQ$6-SUM(BQ$10:BQ513),-ROUNDDOWN($L514*BQ$5/100,0)),0)</f>
        <v>0</v>
      </c>
      <c r="BR514" s="38">
        <f>IF(AND(BR$7="○",$A514&gt;=BR$8,$A514&lt;=BR$9),IF(SUM(BR$10:BR513)-ROUNDDOWN($M514*BR$5/100,0)&lt;-BR$6,-BR$6-SUM(BR$10:BR513),-ROUNDDOWN($M514*BR$5/100,0)),0)</f>
        <v>0</v>
      </c>
      <c r="BS514" s="38">
        <f>IF(AND(BS$7="○",$A514&gt;=BS$8,$A514&lt;=BS$9),IF(SUM(BS$10:BS513)-ROUNDDOWN($M514*BS$5/100,0)&lt;-BS$6,-BS$6-SUM(BS$10:BS513),-ROUNDDOWN($M514*BS$5/100,0)),0)</f>
        <v>0</v>
      </c>
      <c r="BT514" s="38">
        <f>IF(AND(BT$7="○",$A514&gt;=BT$8,$A514&lt;=BT$9),IF(SUM(BT$10:BT513)-ROUNDDOWN($M514*BT$5/100,0)&lt;-BT$6,-BT$6-SUM(BT$10:BT513),-ROUNDDOWN($M514*BT$5/100,0)),0)</f>
        <v>0</v>
      </c>
      <c r="BU514" s="38">
        <f>IF(AND(BU$7="○",$A514&gt;=BU$8,$A514&lt;=BU$9),IF(SUM(BU$10:BU513)-ROUNDDOWN($M514*BU$5/100,0)&lt;-BU$6,-BU$6-SUM(BU$10:BU513),-ROUNDDOWN($M514*BU$5/100,0)),0)</f>
        <v>0</v>
      </c>
      <c r="BV514" s="38">
        <f>IF(AND(BV$7="○",$A514&gt;=BV$8,$A514&lt;=BV$9),IF(SUM(BV$10:BV513)-ROUNDDOWN($M514*BV$5/100,0)&lt;-BV$6,-BV$6-SUM(BV$10:BV513),-ROUNDDOWN($M514*BV$5/100,0)),0)</f>
        <v>0</v>
      </c>
      <c r="BW514" s="38">
        <f>IF(AND(BW$7="○",$A514&gt;=BW$8,$A514&lt;=BW$9),IF(SUM(BW$10:BW513)-ROUNDDOWN($M514*BW$5/100,0)&lt;-BW$6,-BW$6-SUM(BW$10:BW513),-ROUNDDOWN($M514*BW$5/100,0)),0)</f>
        <v>0</v>
      </c>
      <c r="BX514" s="38">
        <f>IF(AND(T514="○",$A514&gt;=BX$8,$A514&lt;=BX$9),IF(SUM(BX$10:BX513)-ROUNDDOWN($K514*BX$5/100,0)&lt;-BX$6,-BX$6-SUM(BX$10:BX513),-ROUNDDOWN($K514*BX$5/100,0)),0)</f>
        <v>0</v>
      </c>
      <c r="BY514" s="38">
        <f>IF(AND(U514="○",$A514&gt;=BY$8,$A514&lt;=BY$9),IF(SUM(BY$10:BY513)-ROUNDDOWN($K514*BY$5/100,0)&lt;-BY$6,-BY$6-SUM(BY$10:BY513),-ROUNDDOWN($K514*BY$5/100,0)),0)</f>
        <v>0</v>
      </c>
      <c r="BZ514" s="38">
        <f>IF(AND(V514="○",$A514&gt;=BZ$8,$A514&lt;=BZ$9),IF(SUM(BZ$10:BZ513)-ROUNDDOWN($K514*BZ$5/100,0)&lt;-BZ$6,-BZ$6-SUM(BZ$10:BZ513),-ROUNDDOWN($K514*BZ$5/100,0)),0)</f>
        <v>0</v>
      </c>
      <c r="CA514" s="38">
        <f>IF(AND(W514="○",$A514&gt;=CA$8,$A514&lt;=CA$9),IF(SUM(CA$10:CA513)-ROUNDDOWN($K514*CA$5/100,0)&lt;-CA$6,-CA$6-SUM(CA$10:CA513),-ROUNDDOWN($K514*CA$5/100,0)),0)</f>
        <v>0</v>
      </c>
      <c r="CB514" s="38"/>
      <c r="CC514" s="38"/>
      <c r="CD514" s="38"/>
      <c r="CE514" s="38"/>
      <c r="CF514" s="38"/>
      <c r="CG514" s="65">
        <f t="shared" si="325"/>
        <v>0</v>
      </c>
      <c r="CH514" s="71">
        <f t="shared" si="326"/>
        <v>0</v>
      </c>
      <c r="CI514" s="1">
        <f t="shared" si="337"/>
        <v>0</v>
      </c>
      <c r="CJ514" s="1"/>
      <c r="CK514" s="79"/>
      <c r="CL514" s="79"/>
      <c r="CM514" s="2"/>
      <c r="CN514" s="2"/>
      <c r="CO514" s="73">
        <f t="shared" si="338"/>
        <v>0</v>
      </c>
      <c r="CP514" s="5">
        <f t="shared" si="339"/>
        <v>0</v>
      </c>
      <c r="CQ514" s="1"/>
      <c r="CR514" s="1">
        <f t="shared" si="340"/>
        <v>0</v>
      </c>
      <c r="CS514" s="1"/>
      <c r="CT514" s="1" t="e">
        <f>INDEX([2]マスタ!$A:$A,MATCH(D514,[2]マスタ!$C:$C,0))</f>
        <v>#N/A</v>
      </c>
      <c r="CU514" s="1" t="str">
        <f t="shared" ca="1" si="341"/>
        <v>20260620_0-0</v>
      </c>
    </row>
    <row r="515" spans="1:99" x14ac:dyDescent="0.4">
      <c r="A515" s="61"/>
      <c r="B515" s="62"/>
      <c r="C515" s="62"/>
      <c r="D515" s="62"/>
      <c r="E515" s="63"/>
      <c r="F515" s="62"/>
      <c r="G515" s="62">
        <v>1</v>
      </c>
      <c r="H515" s="64">
        <f t="shared" si="331"/>
        <v>0</v>
      </c>
      <c r="I515" s="64"/>
      <c r="J515" s="64"/>
      <c r="K515" s="65">
        <f>+ROUNDDOWN((H515+I515)/100,0)*100</f>
        <v>0</v>
      </c>
      <c r="L515" s="65">
        <f t="shared" si="333"/>
        <v>0</v>
      </c>
      <c r="M515" s="65">
        <f t="shared" si="334"/>
        <v>0</v>
      </c>
      <c r="N515" s="65">
        <f t="shared" si="335"/>
        <v>0</v>
      </c>
      <c r="O515" s="66" t="str">
        <f t="shared" si="9"/>
        <v>✕</v>
      </c>
      <c r="P515" s="67" t="str">
        <f t="shared" si="10"/>
        <v>○</v>
      </c>
      <c r="Q515" s="67" t="str">
        <f>+IF((TEXT($A515,"DD")+0)=1,"○","✕")</f>
        <v>✕</v>
      </c>
      <c r="R515" s="67" t="str">
        <f t="shared" si="12"/>
        <v>✕</v>
      </c>
      <c r="S515" s="68">
        <v>0</v>
      </c>
      <c r="T515" s="69" t="s">
        <v>85</v>
      </c>
      <c r="U515" s="69" t="s">
        <v>85</v>
      </c>
      <c r="V515" s="69" t="s">
        <v>85</v>
      </c>
      <c r="W515" s="69" t="s">
        <v>85</v>
      </c>
      <c r="X515" s="69" t="s">
        <v>84</v>
      </c>
      <c r="Y515" s="69" t="s">
        <v>85</v>
      </c>
      <c r="Z515" s="69" t="s">
        <v>85</v>
      </c>
      <c r="AA515" s="69" t="s">
        <v>85</v>
      </c>
      <c r="AB515" s="69" t="s">
        <v>85</v>
      </c>
      <c r="AC515" s="69" t="s">
        <v>85</v>
      </c>
      <c r="AD515" s="38" t="str">
        <f>+IF(ISERROR(VLOOKUP($B515,AD$10:AD514,1,0)),IF(AND($N515&gt;=1000,$A515&gt;=AO$8,$A515&lt;=AO$9),$B515,""),"")</f>
        <v/>
      </c>
      <c r="AE515" s="38" t="str">
        <f>+IF(ISERROR(VLOOKUP($B515,AE$10:AE514,1,0)),IF(AND($N515&gt;=1000,$A515&gt;=AP$8,$A515&lt;=AP$9),$B515,""),"")</f>
        <v/>
      </c>
      <c r="AF515" s="38" t="str">
        <f>+IF(ISERROR(VLOOKUP($B515,AF$10:AF514,1,0)),IF(AND($N515&gt;=1000,$A515&gt;=AQ$8,$A515&lt;=AQ$9),$B515,""),"")</f>
        <v/>
      </c>
      <c r="AG515" s="38" t="str">
        <f>+IF(ISERROR(VLOOKUP($B515,AG$10:AG514,1,0)),IF(AND($N515&gt;=1000,$A515&gt;=AR$8,$A515&lt;=AR$9),$B515,""),"")</f>
        <v/>
      </c>
      <c r="AH515" s="38"/>
      <c r="AI515" s="70">
        <v>0</v>
      </c>
      <c r="AJ515" s="38">
        <f>IF(AND(AJ$7="○",$A515&gt;=AJ$8,$A515&lt;=AJ$9),IF(SUM(AJ$10:AJ514)-ROUNDDOWN($K515*AJ$5/100,0)&lt;-AJ$6,-AJ$6-SUM(AJ$10:AJ514),-ROUNDDOWN($K515*AJ$5/100,0)),0)</f>
        <v>0</v>
      </c>
      <c r="AK515" s="38">
        <f>IF(AND(AK$7="○",$A515&gt;=AK$8,$A515&lt;=AK$9),IF(SUM(AK$10:AK514)-ROUNDDOWN($L515*AK$5/100,0)&lt;-AK$6,-AK$6-SUM(AK$10:AK514),-ROUNDDOWN($L515*AK$5/100,0)),0)</f>
        <v>0</v>
      </c>
      <c r="AL515" s="38">
        <f>IF(AND(AL$7="○",$A515&gt;=AL$8,$A515&lt;=AL$9),IF(SUM(AL$10:AL514)-ROUNDDOWN($N515*AL$5/100,0)&lt;-AL$6,-AL$6-SUM(AL$10:AL514),-ROUNDDOWN($N515*AL$5/100,0)),0)</f>
        <v>0</v>
      </c>
      <c r="AM515" s="38">
        <f>IF(AND(AM$7="○",$A515&gt;=AM$8,$A515&lt;=AM$9),IF(SUM(AM$10:AM514)-ROUNDDOWN($L515*AM$5/100,0)&lt;-AM$6,-AM$6-SUM(AM$10:AM514),-ROUNDDOWN($L515*AM$5/100,0)),0)</f>
        <v>0</v>
      </c>
      <c r="AN515" s="38">
        <f>IF(AND(AN$7="○",$A515&gt;=AN$8,$A515&lt;=AN$9),IF(SUM(AN$10:AN514)-ROUNDDOWN($M515*AN$5/100,0)&lt;-AN$6,-AN$6-SUM(AN$10:AN514),-ROUNDDOWN($M515*AN$5/100,0)),0)</f>
        <v>0</v>
      </c>
      <c r="AO515" s="38">
        <f>IF(AND($A515&gt;=AO$8,$A515&lt;=AO$9),IF(SUM(AO$10:AO514)-ROUNDDOWN($K515*AO$5/100,0)&lt;-AO$6,-AO$6-SUM(AO$10:AO514),-ROUNDDOWN($K515*AO$5/100,0)),0)</f>
        <v>0</v>
      </c>
      <c r="AP515" s="38">
        <f>IF(AND($A515&gt;=AP$8,$A515&lt;=AP$9),IF(SUM(AP$10:AP514)-ROUNDDOWN($K515*AP$5/100,0)&lt;-AP$6,-AP$6-SUM(AP$10:AP514),-ROUNDDOWN($K515*AP$5/100,0)),0)</f>
        <v>0</v>
      </c>
      <c r="AQ515" s="38">
        <f>IF(AND($A515&gt;=AQ$8,$A515&lt;=AQ$9),IF(SUM(AQ$10:AQ514)-ROUNDDOWN($K515*AQ$5/100,0)&lt;-AQ$6,-AQ$6-SUM(AQ$10:AQ514),-ROUNDDOWN($K515*AQ$5/100,0)),0)</f>
        <v>0</v>
      </c>
      <c r="AR515" s="38">
        <f>IF(AND($A515&gt;=AR$8,$A515&lt;=AR$9),IF(SUM(AR$10:AR514)-ROUNDDOWN($K515*AR$5/100,0)&lt;-AR$6,-AR$6-SUM(AR$10:AR514),-ROUNDDOWN($K515*AR$5/100,0)),0)</f>
        <v>0</v>
      </c>
      <c r="AS515" s="38">
        <f>IF(SUMIFS(AS$10:AS514,$A$10:$A514,$A515)-ROUNDDOWN($K515*$S515/100,0)&lt;-$S515*1000,-$S515*1000-SUMIFS(AS$10:AS514,$A$10:$A514,$A515),-ROUNDDOWN($K515*$S515/100,0))</f>
        <v>0</v>
      </c>
      <c r="AT515" s="38">
        <f>IF(AND(X515="○",$A515&gt;=AT$8,$A515&lt;=AT$9,K515&gt;=3980),IF(SUM(AT$10:AT514)-ROUNDDOWN($K515*AT$5/100,0)&lt;-AT$6,-AT$6-SUM(AT$10:AT514),-ROUNDDOWN($K515*AT$5/100,0)),0)</f>
        <v>0</v>
      </c>
      <c r="AU515" s="38">
        <f>IF(O515="○",IF(SUM(AU$10:AU514)-ROUNDDOWN($K515*AU$5/100,0)&lt;-AU$6,-AU$6-SUM(AU$10:AU514),-ROUNDDOWN($K515*AU$5/100,0)),0)</f>
        <v>0</v>
      </c>
      <c r="AV515" s="38">
        <f>IF(P515="○",IF(SUM(AV$10:AV514)-ROUNDDOWN($K515*AV$5/100,0)&lt;-AV$6,-AV$6-SUM(AV$10:AV514),-ROUNDDOWN($K515*AV$5/100,0)),0)</f>
        <v>0</v>
      </c>
      <c r="AW515" s="38">
        <f>IF(Q515="○",IF(SUM(AW$10:AW514)-ROUNDDOWN($K515*AW$5/100,0)&lt;-AW$6,-AW$6-SUM(AW$10:AW514),-ROUNDDOWN($K515*AW$5/100,0)),0)</f>
        <v>0</v>
      </c>
      <c r="AX515" s="38">
        <f>IF(R515="○",IF(SUM(AX$10:AX514)-ROUNDDOWN($K515*AX$5/100,0)&lt;-AX$6,-AX$6-SUM(AX$10:AX514),-ROUNDDOWN($K515*AX$5/100,0)),0)</f>
        <v>0</v>
      </c>
      <c r="AY515" s="70">
        <v>0</v>
      </c>
      <c r="AZ515" s="65">
        <f t="shared" si="319"/>
        <v>0</v>
      </c>
      <c r="BA515" s="65">
        <f t="shared" si="320"/>
        <v>0</v>
      </c>
      <c r="BB515" s="70"/>
      <c r="BC515" s="65">
        <f t="shared" si="321"/>
        <v>0</v>
      </c>
      <c r="BD515" s="70">
        <v>0</v>
      </c>
      <c r="BE515" s="65">
        <f t="shared" si="322"/>
        <v>0</v>
      </c>
      <c r="BF515" s="70">
        <v>0</v>
      </c>
      <c r="BG515" s="65">
        <f t="shared" si="323"/>
        <v>0</v>
      </c>
      <c r="BH515" s="70">
        <v>0</v>
      </c>
      <c r="BI515" s="65">
        <f t="shared" si="324"/>
        <v>0</v>
      </c>
      <c r="BJ515" s="38">
        <f>IF(AND(BJ$7="○",$A515&gt;=BJ$8,$A515&lt;=BJ$9),IF(SUM(BJ$10:BJ514)-ROUNDDOWN($M515*BJ$5/100,0)&lt;-BJ$6,-BJ$6-SUM(BJ$10:BJ514),-ROUNDDOWN($M515*BJ$5/100,0)),0)</f>
        <v>0</v>
      </c>
      <c r="BK515" s="38">
        <f>IF(AND(BK$7="○",$A515&gt;=BK$8,$A515&lt;=BK$9),IF(SUM(BK$10:BK514)-ROUNDDOWN($L515*BK$5/100,0)&lt;-BK$6,-BK$6-SUM(BK$10:BK514),-ROUNDDOWN($L515*BK$5/100,0)),0)</f>
        <v>0</v>
      </c>
      <c r="BL515" s="38">
        <f>IF(AND(BL$7="○",$A515&gt;=BL$8,$A515&lt;=BL$9),IF(SUM(BL$10:BL514)-ROUNDDOWN($L515*BL$5/100,0)&lt;-BL$6,-BL$6-SUM(BL$10:BL514),-ROUNDDOWN($L515*BL$5/100,0)),0)</f>
        <v>0</v>
      </c>
      <c r="BM515" s="38">
        <f>IF(AND(BM$7="○",$A515&gt;=BM$8,$A515&lt;=BM$9),IF(SUM(BM$10:BM514)-ROUNDDOWN($M515*BM$5/100,0)&lt;-BM$6,-BM$6-SUM(BM$10:BM514),-ROUNDDOWN($M515*BM$5/100,0)),0)</f>
        <v>0</v>
      </c>
      <c r="BN515" s="38">
        <f>IF(AND(BN$7="○",$A515&gt;=BN$8,$A515&lt;=BN$9),IF(SUM(BN$10:BN514)-ROUNDDOWN($M515*BN$5/100,0)&lt;-BN$6,-BN$6-SUM(BN$10:BN514),-ROUNDDOWN($M515*BN$5/100,0)),0)</f>
        <v>0</v>
      </c>
      <c r="BO515" s="38">
        <f>IF(AND(BO$7="○",$A515&gt;=BO$8,$A515&lt;=BO$9),IF(SUM(BO$10:BO514)-ROUNDDOWN($M515*BO$5/100,0)&lt;-BO$6,-BO$6-SUM(BO$10:BO514),-ROUNDDOWN($M515*BO$5/100,0)),0)</f>
        <v>0</v>
      </c>
      <c r="BP515" s="38">
        <f>IF(AND(BP$7="○",$A515&gt;=BP$8,$A515&lt;=BP$9),IF(SUM(BP$10:BP514)-ROUNDDOWN($M515*BP$5/100,0)&lt;-BP$6,-BP$6-SUM(BP$10:BP514),-ROUNDDOWN($M515*BP$5/100,0)),0)</f>
        <v>0</v>
      </c>
      <c r="BQ515" s="38">
        <f>IF(AND(BQ$7="○",$A515&gt;=BQ$8,$A515&lt;=BQ$9),IF(SUM(BQ$10:BQ514)-ROUNDDOWN($L515*BQ$5/100,0)&lt;-BQ$6,-BQ$6-SUM(BQ$10:BQ514),-ROUNDDOWN($L515*BQ$5/100,0)),0)</f>
        <v>0</v>
      </c>
      <c r="BR515" s="38">
        <f>IF(AND(BR$7="○",$A515&gt;=BR$8,$A515&lt;=BR$9),IF(SUM(BR$10:BR514)-ROUNDDOWN($M515*BR$5/100,0)&lt;-BR$6,-BR$6-SUM(BR$10:BR514),-ROUNDDOWN($M515*BR$5/100,0)),0)</f>
        <v>0</v>
      </c>
      <c r="BS515" s="38">
        <f>IF(AND(BS$7="○",$A515&gt;=BS$8,$A515&lt;=BS$9),IF(SUM(BS$10:BS514)-ROUNDDOWN($M515*BS$5/100,0)&lt;-BS$6,-BS$6-SUM(BS$10:BS514),-ROUNDDOWN($M515*BS$5/100,0)),0)</f>
        <v>0</v>
      </c>
      <c r="BT515" s="38">
        <f>IF(AND(BT$7="○",$A515&gt;=BT$8,$A515&lt;=BT$9),IF(SUM(BT$10:BT514)-ROUNDDOWN($M515*BT$5/100,0)&lt;-BT$6,-BT$6-SUM(BT$10:BT514),-ROUNDDOWN($M515*BT$5/100,0)),0)</f>
        <v>0</v>
      </c>
      <c r="BU515" s="38">
        <f>IF(AND(BU$7="○",$A515&gt;=BU$8,$A515&lt;=BU$9),IF(SUM(BU$10:BU514)-ROUNDDOWN($M515*BU$5/100,0)&lt;-BU$6,-BU$6-SUM(BU$10:BU514),-ROUNDDOWN($M515*BU$5/100,0)),0)</f>
        <v>0</v>
      </c>
      <c r="BV515" s="38">
        <f>IF(AND(BV$7="○",$A515&gt;=BV$8,$A515&lt;=BV$9),IF(SUM(BV$10:BV514)-ROUNDDOWN($M515*BV$5/100,0)&lt;-BV$6,-BV$6-SUM(BV$10:BV514),-ROUNDDOWN($M515*BV$5/100,0)),0)</f>
        <v>0</v>
      </c>
      <c r="BW515" s="38">
        <f>IF(AND(BW$7="○",$A515&gt;=BW$8,$A515&lt;=BW$9),IF(SUM(BW$10:BW514)-ROUNDDOWN($M515*BW$5/100,0)&lt;-BW$6,-BW$6-SUM(BW$10:BW514),-ROUNDDOWN($M515*BW$5/100,0)),0)</f>
        <v>0</v>
      </c>
      <c r="BX515" s="38">
        <f>IF(AND(T515="○",$A515&gt;=BX$8,$A515&lt;=BX$9),IF(SUM(BX$10:BX514)-ROUNDDOWN($K515*BX$5/100,0)&lt;-BX$6,-BX$6-SUM(BX$10:BX514),-ROUNDDOWN($K515*BX$5/100,0)),0)</f>
        <v>0</v>
      </c>
      <c r="BY515" s="38">
        <f>IF(AND(U515="○",$A515&gt;=BY$8,$A515&lt;=BY$9),IF(SUM(BY$10:BY514)-ROUNDDOWN($K515*BY$5/100,0)&lt;-BY$6,-BY$6-SUM(BY$10:BY514),-ROUNDDOWN($K515*BY$5/100,0)),0)</f>
        <v>0</v>
      </c>
      <c r="BZ515" s="38">
        <f>IF(AND(V515="○",$A515&gt;=BZ$8,$A515&lt;=BZ$9),IF(SUM(BZ$10:BZ514)-ROUNDDOWN($K515*BZ$5/100,0)&lt;-BZ$6,-BZ$6-SUM(BZ$10:BZ514),-ROUNDDOWN($K515*BZ$5/100,0)),0)</f>
        <v>0</v>
      </c>
      <c r="CA515" s="38">
        <f>IF(AND(W515="○",$A515&gt;=CA$8,$A515&lt;=CA$9),IF(SUM(CA$10:CA514)-ROUNDDOWN($K515*CA$5/100,0)&lt;-CA$6,-CA$6-SUM(CA$10:CA514),-ROUNDDOWN($K515*CA$5/100,0)),0)</f>
        <v>0</v>
      </c>
      <c r="CB515" s="38"/>
      <c r="CC515" s="38"/>
      <c r="CD515" s="38"/>
      <c r="CE515" s="38"/>
      <c r="CF515" s="38"/>
      <c r="CG515" s="65">
        <f t="shared" si="325"/>
        <v>0</v>
      </c>
      <c r="CH515" s="71">
        <f t="shared" si="326"/>
        <v>0</v>
      </c>
      <c r="CI515" s="1">
        <f t="shared" si="337"/>
        <v>0</v>
      </c>
      <c r="CJ515" s="1"/>
      <c r="CK515" s="79"/>
      <c r="CL515" s="79"/>
      <c r="CM515" s="2"/>
      <c r="CN515" s="2"/>
      <c r="CO515" s="73">
        <f t="shared" si="338"/>
        <v>0</v>
      </c>
      <c r="CP515" s="5">
        <f t="shared" si="339"/>
        <v>0</v>
      </c>
      <c r="CQ515" s="1"/>
      <c r="CR515" s="1">
        <f t="shared" si="340"/>
        <v>0</v>
      </c>
      <c r="CS515" s="1"/>
      <c r="CT515" s="1" t="e">
        <f>INDEX([2]マスタ!$A:$A,MATCH(D515,[2]マスタ!$C:$C,0))</f>
        <v>#N/A</v>
      </c>
      <c r="CU515" s="1" t="str">
        <f t="shared" ca="1" si="341"/>
        <v>20260620_0-0</v>
      </c>
    </row>
    <row r="516" spans="1:99" x14ac:dyDescent="0.4">
      <c r="A516" s="61"/>
      <c r="B516" s="62"/>
      <c r="C516" s="62"/>
      <c r="D516" s="62"/>
      <c r="E516" s="63"/>
      <c r="F516" s="62"/>
      <c r="G516" s="62">
        <v>1</v>
      </c>
      <c r="H516" s="64">
        <f t="shared" si="331"/>
        <v>0</v>
      </c>
      <c r="I516" s="64"/>
      <c r="J516" s="64"/>
      <c r="K516" s="65">
        <f t="shared" ref="K516:K525" si="344">+ROUNDDOWN((H516+I516+J516)/100,0)*100</f>
        <v>0</v>
      </c>
      <c r="L516" s="65">
        <f t="shared" si="333"/>
        <v>0</v>
      </c>
      <c r="M516" s="65">
        <f t="shared" si="334"/>
        <v>0</v>
      </c>
      <c r="N516" s="65">
        <f t="shared" si="335"/>
        <v>0</v>
      </c>
      <c r="O516" s="66" t="str">
        <f t="shared" si="9"/>
        <v>✕</v>
      </c>
      <c r="P516" s="67" t="str">
        <f t="shared" si="10"/>
        <v>○</v>
      </c>
      <c r="Q516" s="67" t="str">
        <f t="shared" ref="Q516:Q525" si="345">+IF((TEXT(A516,"DD")+0)=1,"○","✕")</f>
        <v>✕</v>
      </c>
      <c r="R516" s="67" t="str">
        <f t="shared" si="12"/>
        <v>✕</v>
      </c>
      <c r="S516" s="68">
        <v>0</v>
      </c>
      <c r="T516" s="69" t="s">
        <v>85</v>
      </c>
      <c r="U516" s="69" t="s">
        <v>85</v>
      </c>
      <c r="V516" s="69" t="s">
        <v>85</v>
      </c>
      <c r="W516" s="69" t="s">
        <v>85</v>
      </c>
      <c r="X516" s="69" t="s">
        <v>84</v>
      </c>
      <c r="Y516" s="69" t="s">
        <v>85</v>
      </c>
      <c r="Z516" s="69" t="s">
        <v>85</v>
      </c>
      <c r="AA516" s="69" t="s">
        <v>85</v>
      </c>
      <c r="AB516" s="69" t="s">
        <v>85</v>
      </c>
      <c r="AC516" s="69" t="s">
        <v>85</v>
      </c>
      <c r="AD516" s="38" t="str">
        <f>+IF(ISERROR(VLOOKUP($B516,AD$10:AD515,1,0)),IF(AND($N516&gt;=1000,$A516&gt;=AO$8,$A516&lt;=AO$9),$B516,""),"")</f>
        <v/>
      </c>
      <c r="AE516" s="38" t="str">
        <f>+IF(ISERROR(VLOOKUP($B516,AE$10:AE515,1,0)),IF(AND($N516&gt;=1000,$A516&gt;=AP$8,$A516&lt;=AP$9),$B516,""),"")</f>
        <v/>
      </c>
      <c r="AF516" s="38" t="str">
        <f>+IF(ISERROR(VLOOKUP($B516,AF$10:AF515,1,0)),IF(AND($N516&gt;=1000,$A516&gt;=AQ$8,$A516&lt;=AQ$9),$B516,""),"")</f>
        <v/>
      </c>
      <c r="AG516" s="38" t="str">
        <f>+IF(ISERROR(VLOOKUP($B516,AG$10:AG515,1,0)),IF(AND($N516&gt;=1000,$A516&gt;=AR$8,$A516&lt;=AR$9),$B516,""),"")</f>
        <v/>
      </c>
      <c r="AH516" s="38"/>
      <c r="AI516" s="70">
        <v>0</v>
      </c>
      <c r="AJ516" s="38">
        <f>IF(AND(AJ$7="○",$A516&gt;=AJ$8,$A516&lt;=AJ$9),IF(SUM(AJ$10:AJ515)-ROUNDDOWN($K516*AJ$5/100,0)&lt;-AJ$6,-AJ$6-SUM(AJ$10:AJ515),-ROUNDDOWN($K516*AJ$5/100,0)),0)</f>
        <v>0</v>
      </c>
      <c r="AK516" s="38">
        <f>IF(AND(AK$7="○",$A516&gt;=AK$8,$A516&lt;=AK$9),IF(SUM(AK$10:AK515)-ROUNDDOWN($L516*AK$5/100,0)&lt;-AK$6,-AK$6-SUM(AK$10:AK515),-ROUNDDOWN($L516*AK$5/100,0)),0)</f>
        <v>0</v>
      </c>
      <c r="AL516" s="38">
        <f>IF(AND(AL$7="○",$A516&gt;=AL$8,$A516&lt;=AL$9),IF(SUM(AL$10:AL515)-ROUNDDOWN($N516*AL$5/100,0)&lt;-AL$6,-AL$6-SUM(AL$10:AL515),-ROUNDDOWN($N516*AL$5/100,0)),0)</f>
        <v>0</v>
      </c>
      <c r="AM516" s="38">
        <f>IF(AND(AM$7="○",$A516&gt;=AM$8,$A516&lt;=AM$9),IF(SUM(AM$10:AM515)-ROUNDDOWN($L516*AM$5/100,0)&lt;-AM$6,-AM$6-SUM(AM$10:AM515),-ROUNDDOWN($L516*AM$5/100,0)),0)</f>
        <v>0</v>
      </c>
      <c r="AN516" s="38">
        <f>IF(AND(AN$7="○",$A516&gt;=AN$8,$A516&lt;=AN$9),IF(SUM(AN$10:AN515)-ROUNDDOWN($M516*AN$5/100,0)&lt;-AN$6,-AN$6-SUM(AN$10:AN515),-ROUNDDOWN($M516*AN$5/100,0)),0)</f>
        <v>0</v>
      </c>
      <c r="AO516" s="38">
        <f>IF(AND($A516&gt;=AO$8,$A516&lt;=AO$9),IF(SUM(AO$10:AO515)-ROUNDDOWN($K516*AO$5/100,0)&lt;-AO$6,-AO$6-SUM(AO$10:AO515),-ROUNDDOWN($K516*AO$5/100,0)),0)</f>
        <v>0</v>
      </c>
      <c r="AP516" s="38">
        <f>IF(AND($A516&gt;=AP$8,$A516&lt;=AP$9),IF(SUM(AP$10:AP515)-ROUNDDOWN($K516*AP$5/100,0)&lt;-AP$6,-AP$6-SUM(AP$10:AP515),-ROUNDDOWN($K516*AP$5/100,0)),0)</f>
        <v>0</v>
      </c>
      <c r="AQ516" s="38">
        <f>IF(AND($A516&gt;=AQ$8,$A516&lt;=AQ$9),IF(SUM(AQ$10:AQ515)-ROUNDDOWN($K516*AQ$5/100,0)&lt;-AQ$6,-AQ$6-SUM(AQ$10:AQ515),-ROUNDDOWN($K516*AQ$5/100,0)),0)</f>
        <v>0</v>
      </c>
      <c r="AR516" s="38">
        <f>IF(AND($A516&gt;=AR$8,$A516&lt;=AR$9),IF(SUM(AR$10:AR515)-ROUNDDOWN($K516*AR$5/100,0)&lt;-AR$6,-AR$6-SUM(AR$10:AR515),-ROUNDDOWN($K516*AR$5/100,0)),0)</f>
        <v>0</v>
      </c>
      <c r="AS516" s="38">
        <f>IF(SUMIFS(AS$10:AS515,$A$10:$A515,$A516)-ROUNDDOWN($K516*$S516/100,0)&lt;-$S516*1000,-$S516*1000-SUMIFS(AS$10:AS515,$A$10:$A515,$A516),-ROUNDDOWN($K516*$S516/100,0))</f>
        <v>0</v>
      </c>
      <c r="AT516" s="38">
        <f>IF(AND(X516="○",$A516&gt;=AT$8,$A516&lt;=AT$9,K516&gt;=3980),IF(SUM(AT$10:AT515)-ROUNDDOWN($K516*AT$5/100,0)&lt;-AT$6,-AT$6-SUM(AT$10:AT515),-ROUNDDOWN($K516*AT$5/100,0)),0)</f>
        <v>0</v>
      </c>
      <c r="AU516" s="38">
        <f>IF(O516="○",IF(SUM(AU$10:AU515)-ROUNDDOWN($K516*AU$5/100,0)&lt;-AU$6,-AU$6-SUM(AU$10:AU515),-ROUNDDOWN($K516*AU$5/100,0)),0)</f>
        <v>0</v>
      </c>
      <c r="AV516" s="38">
        <f>IF(P516="○",IF(SUM(AV$10:AV515)-ROUNDDOWN($K516*AV$5/100,0)&lt;-AV$6,-AV$6-SUM(AV$10:AV515),-ROUNDDOWN($K516*AV$5/100,0)),0)</f>
        <v>0</v>
      </c>
      <c r="AW516" s="38">
        <f>IF(Q516="○",IF(SUM(AW$10:AW515)-ROUNDDOWN($K516*AW$5/100,0)&lt;-AW$6,-AW$6-SUM(AW$10:AW515),-ROUNDDOWN($K516*AW$5/100,0)),0)</f>
        <v>0</v>
      </c>
      <c r="AX516" s="38">
        <f>IF(R516="○",IF(SUM(AX$10:AX515)-ROUNDDOWN($K516*AX$5/100,0)&lt;-AX$6,-AX$6-SUM(AX$10:AX515),-ROUNDDOWN($K516*AX$5/100,0)),0)</f>
        <v>0</v>
      </c>
      <c r="AY516" s="70">
        <v>0</v>
      </c>
      <c r="AZ516" s="65">
        <f t="shared" si="319"/>
        <v>0</v>
      </c>
      <c r="BA516" s="65">
        <f t="shared" si="320"/>
        <v>0</v>
      </c>
      <c r="BB516" s="70"/>
      <c r="BC516" s="65">
        <f t="shared" si="321"/>
        <v>0</v>
      </c>
      <c r="BD516" s="70">
        <v>0</v>
      </c>
      <c r="BE516" s="65">
        <f t="shared" si="322"/>
        <v>0</v>
      </c>
      <c r="BF516" s="70">
        <v>0</v>
      </c>
      <c r="BG516" s="65">
        <f t="shared" si="323"/>
        <v>0</v>
      </c>
      <c r="BH516" s="70">
        <v>0</v>
      </c>
      <c r="BI516" s="65">
        <f t="shared" si="324"/>
        <v>0</v>
      </c>
      <c r="BJ516" s="38">
        <f>IF(AND(BJ$7="○",$A516&gt;=BJ$8,$A516&lt;=BJ$9),IF(SUM(BJ$10:BJ515)-ROUNDDOWN($M516*BJ$5/100,0)&lt;-BJ$6,-BJ$6-SUM(BJ$10:BJ515),-ROUNDDOWN($M516*BJ$5/100,0)),0)</f>
        <v>0</v>
      </c>
      <c r="BK516" s="38">
        <f>IF(AND(BK$7="○",$A516&gt;=BK$8,$A516&lt;=BK$9),IF(SUM(BK$10:BK515)-ROUNDDOWN($L516*BK$5/100,0)&lt;-BK$6,-BK$6-SUM(BK$10:BK515),-ROUNDDOWN($L516*BK$5/100,0)),0)</f>
        <v>0</v>
      </c>
      <c r="BL516" s="38">
        <f>IF(AND(BL$7="○",$A516&gt;=BL$8,$A516&lt;=BL$9),IF(SUM(BL$10:BL515)-ROUNDDOWN($L516*BL$5/100,0)&lt;-BL$6,-BL$6-SUM(BL$10:BL515),-ROUNDDOWN($L516*BL$5/100,0)),0)</f>
        <v>0</v>
      </c>
      <c r="BM516" s="38">
        <f>IF(AND(BM$7="○",$A516&gt;=BM$8,$A516&lt;=BM$9),IF(SUM(BM$10:BM515)-ROUNDDOWN($M516*BM$5/100,0)&lt;-BM$6,-BM$6-SUM(BM$10:BM515),-ROUNDDOWN($M516*BM$5/100,0)),0)</f>
        <v>0</v>
      </c>
      <c r="BN516" s="38">
        <f>IF(AND(BN$7="○",$A516&gt;=BN$8,$A516&lt;=BN$9),IF(SUM(BN$10:BN515)-ROUNDDOWN($M516*BN$5/100,0)&lt;-BN$6,-BN$6-SUM(BN$10:BN515),-ROUNDDOWN($M516*BN$5/100,0)),0)</f>
        <v>0</v>
      </c>
      <c r="BO516" s="38">
        <f>IF(AND(BO$7="○",$A516&gt;=BO$8,$A516&lt;=BO$9),IF(SUM(BO$10:BO515)-ROUNDDOWN($M516*BO$5/100,0)&lt;-BO$6,-BO$6-SUM(BO$10:BO515),-ROUNDDOWN($M516*BO$5/100,0)),0)</f>
        <v>0</v>
      </c>
      <c r="BP516" s="38">
        <f>IF(AND(BP$7="○",$A516&gt;=BP$8,$A516&lt;=BP$9),IF(SUM(BP$10:BP515)-ROUNDDOWN($M516*BP$5/100,0)&lt;-BP$6,-BP$6-SUM(BP$10:BP515),-ROUNDDOWN($M516*BP$5/100,0)),0)</f>
        <v>0</v>
      </c>
      <c r="BQ516" s="38">
        <f>IF(AND(BQ$7="○",$A516&gt;=BQ$8,$A516&lt;=BQ$9),IF(SUM(BQ$10:BQ515)-ROUNDDOWN($L516*BQ$5/100,0)&lt;-BQ$6,-BQ$6-SUM(BQ$10:BQ515),-ROUNDDOWN($L516*BQ$5/100,0)),0)</f>
        <v>0</v>
      </c>
      <c r="BR516" s="38">
        <f>IF(AND(BR$7="○",$A516&gt;=BR$8,$A516&lt;=BR$9),IF(SUM(BR$10:BR515)-ROUNDDOWN($M516*BR$5/100,0)&lt;-BR$6,-BR$6-SUM(BR$10:BR515),-ROUNDDOWN($M516*BR$5/100,0)),0)</f>
        <v>0</v>
      </c>
      <c r="BS516" s="38">
        <f>IF(AND(BS$7="○",$A516&gt;=BS$8,$A516&lt;=BS$9),IF(SUM(BS$10:BS515)-ROUNDDOWN($M516*BS$5/100,0)&lt;-BS$6,-BS$6-SUM(BS$10:BS515),-ROUNDDOWN($M516*BS$5/100,0)),0)</f>
        <v>0</v>
      </c>
      <c r="BT516" s="38">
        <f>IF(AND(BT$7="○",$A516&gt;=BT$8,$A516&lt;=BT$9),IF(SUM(BT$10:BT515)-ROUNDDOWN($M516*BT$5/100,0)&lt;-BT$6,-BT$6-SUM(BT$10:BT515),-ROUNDDOWN($M516*BT$5/100,0)),0)</f>
        <v>0</v>
      </c>
      <c r="BU516" s="38">
        <f>IF(AND(BU$7="○",$A516&gt;=BU$8,$A516&lt;=BU$9),IF(SUM(BU$10:BU515)-ROUNDDOWN($M516*BU$5/100,0)&lt;-BU$6,-BU$6-SUM(BU$10:BU515),-ROUNDDOWN($M516*BU$5/100,0)),0)</f>
        <v>0</v>
      </c>
      <c r="BV516" s="38">
        <f>IF(AND(BV$7="○",$A516&gt;=BV$8,$A516&lt;=BV$9),IF(SUM(BV$10:BV515)-ROUNDDOWN($M516*BV$5/100,0)&lt;-BV$6,-BV$6-SUM(BV$10:BV515),-ROUNDDOWN($M516*BV$5/100,0)),0)</f>
        <v>0</v>
      </c>
      <c r="BW516" s="38">
        <f>IF(AND(BW$7="○",$A516&gt;=BW$8,$A516&lt;=BW$9),IF(SUM(BW$10:BW515)-ROUNDDOWN($M516*BW$5/100,0)&lt;-BW$6,-BW$6-SUM(BW$10:BW515),-ROUNDDOWN($M516*BW$5/100,0)),0)</f>
        <v>0</v>
      </c>
      <c r="BX516" s="38">
        <f>IF(AND(T516="○",$A516&gt;=BX$8,$A516&lt;=BX$9),IF(SUM(BX$10:BX515)-ROUNDDOWN($K516*BX$5/100,0)&lt;-BX$6,-BX$6-SUM(BX$10:BX515),-ROUNDDOWN($K516*BX$5/100,0)),0)</f>
        <v>0</v>
      </c>
      <c r="BY516" s="38">
        <f>IF(AND(U516="○",$A516&gt;=BY$8,$A516&lt;=BY$9),IF(SUM(BY$10:BY515)-ROUNDDOWN($K516*BY$5/100,0)&lt;-BY$6,-BY$6-SUM(BY$10:BY515),-ROUNDDOWN($K516*BY$5/100,0)),0)</f>
        <v>0</v>
      </c>
      <c r="BZ516" s="38">
        <f>IF(AND(V516="○",$A516&gt;=BZ$8,$A516&lt;=BZ$9),IF(SUM(BZ$10:BZ515)-ROUNDDOWN($K516*BZ$5/100,0)&lt;-BZ$6,-BZ$6-SUM(BZ$10:BZ515),-ROUNDDOWN($K516*BZ$5/100,0)),0)</f>
        <v>0</v>
      </c>
      <c r="CA516" s="38">
        <f>IF(AND(W516="○",$A516&gt;=CA$8,$A516&lt;=CA$9),IF(SUM(CA$10:CA515)-ROUNDDOWN($K516*CA$5/100,0)&lt;-CA$6,-CA$6-SUM(CA$10:CA515),-ROUNDDOWN($K516*CA$5/100,0)),0)</f>
        <v>0</v>
      </c>
      <c r="CB516" s="38"/>
      <c r="CC516" s="38"/>
      <c r="CD516" s="38"/>
      <c r="CE516" s="38"/>
      <c r="CF516" s="38"/>
      <c r="CG516" s="65">
        <f t="shared" si="325"/>
        <v>0</v>
      </c>
      <c r="CH516" s="71">
        <f t="shared" si="326"/>
        <v>0</v>
      </c>
      <c r="CI516" s="1">
        <f t="shared" si="337"/>
        <v>0</v>
      </c>
      <c r="CJ516" s="1"/>
      <c r="CK516" s="72"/>
      <c r="CL516" s="72"/>
      <c r="CM516" s="2"/>
      <c r="CN516" s="2"/>
      <c r="CO516" s="73">
        <f t="shared" si="338"/>
        <v>0</v>
      </c>
      <c r="CP516" s="5">
        <f t="shared" si="339"/>
        <v>0</v>
      </c>
      <c r="CQ516" s="1"/>
      <c r="CR516" s="1">
        <f t="shared" si="340"/>
        <v>0</v>
      </c>
      <c r="CS516" s="1"/>
      <c r="CT516" s="1" t="e">
        <f>INDEX([2]マスタ!$A:$A,MATCH(D516,[2]マスタ!$C:$C,0))</f>
        <v>#N/A</v>
      </c>
      <c r="CU516" s="1" t="str">
        <f t="shared" ca="1" si="341"/>
        <v>20260620_0-0</v>
      </c>
    </row>
    <row r="517" spans="1:99" x14ac:dyDescent="0.4">
      <c r="A517" s="61"/>
      <c r="B517" s="62"/>
      <c r="C517" s="62"/>
      <c r="D517" s="62"/>
      <c r="E517" s="63"/>
      <c r="F517" s="62"/>
      <c r="G517" s="62">
        <v>1</v>
      </c>
      <c r="H517" s="64">
        <f t="shared" si="331"/>
        <v>0</v>
      </c>
      <c r="I517" s="64"/>
      <c r="J517" s="64"/>
      <c r="K517" s="65">
        <f t="shared" si="344"/>
        <v>0</v>
      </c>
      <c r="L517" s="65">
        <f t="shared" si="333"/>
        <v>0</v>
      </c>
      <c r="M517" s="65">
        <f t="shared" si="334"/>
        <v>0</v>
      </c>
      <c r="N517" s="65">
        <f t="shared" si="335"/>
        <v>0</v>
      </c>
      <c r="O517" s="66" t="str">
        <f t="shared" si="9"/>
        <v>✕</v>
      </c>
      <c r="P517" s="67" t="str">
        <f t="shared" si="10"/>
        <v>○</v>
      </c>
      <c r="Q517" s="67" t="str">
        <f t="shared" si="345"/>
        <v>✕</v>
      </c>
      <c r="R517" s="67" t="str">
        <f t="shared" si="12"/>
        <v>✕</v>
      </c>
      <c r="S517" s="68">
        <v>0</v>
      </c>
      <c r="T517" s="69" t="s">
        <v>85</v>
      </c>
      <c r="U517" s="69" t="s">
        <v>85</v>
      </c>
      <c r="V517" s="69" t="s">
        <v>85</v>
      </c>
      <c r="W517" s="69" t="s">
        <v>85</v>
      </c>
      <c r="X517" s="69" t="s">
        <v>84</v>
      </c>
      <c r="Y517" s="69" t="s">
        <v>85</v>
      </c>
      <c r="Z517" s="69" t="s">
        <v>85</v>
      </c>
      <c r="AA517" s="69" t="s">
        <v>85</v>
      </c>
      <c r="AB517" s="69" t="s">
        <v>85</v>
      </c>
      <c r="AC517" s="69" t="s">
        <v>85</v>
      </c>
      <c r="AD517" s="38" t="str">
        <f>+IF(ISERROR(VLOOKUP($B517,AD$10:AD516,1,0)),IF(AND($N517&gt;=1000,$A517&gt;=AO$8,$A517&lt;=AO$9),$B517,""),"")</f>
        <v/>
      </c>
      <c r="AE517" s="38" t="str">
        <f>+IF(ISERROR(VLOOKUP($B517,AE$10:AE516,1,0)),IF(AND($N517&gt;=1000,$A517&gt;=AP$8,$A517&lt;=AP$9),$B517,""),"")</f>
        <v/>
      </c>
      <c r="AF517" s="38" t="str">
        <f>+IF(ISERROR(VLOOKUP($B517,AF$10:AF516,1,0)),IF(AND($N517&gt;=1000,$A517&gt;=AQ$8,$A517&lt;=AQ$9),$B517,""),"")</f>
        <v/>
      </c>
      <c r="AG517" s="38" t="str">
        <f>+IF(ISERROR(VLOOKUP($B517,AG$10:AG516,1,0)),IF(AND($N517&gt;=1000,$A517&gt;=AR$8,$A517&lt;=AR$9),$B517,""),"")</f>
        <v/>
      </c>
      <c r="AH517" s="38"/>
      <c r="AI517" s="70">
        <v>0</v>
      </c>
      <c r="AJ517" s="38">
        <f>IF(AND(AJ$7="○",$A517&gt;=AJ$8,$A517&lt;=AJ$9),IF(SUM(AJ$10:AJ516)-ROUNDDOWN($K517*AJ$5/100,0)&lt;-AJ$6,-AJ$6-SUM(AJ$10:AJ516),-ROUNDDOWN($K517*AJ$5/100,0)),0)</f>
        <v>0</v>
      </c>
      <c r="AK517" s="38">
        <f>IF(AND(AK$7="○",$A517&gt;=AK$8,$A517&lt;=AK$9),IF(SUM(AK$10:AK516)-ROUNDDOWN($L517*AK$5/100,0)&lt;-AK$6,-AK$6-SUM(AK$10:AK516),-ROUNDDOWN($L517*AK$5/100,0)),0)</f>
        <v>0</v>
      </c>
      <c r="AL517" s="38">
        <f>IF(AND(AL$7="○",$A517&gt;=AL$8,$A517&lt;=AL$9),IF(SUM(AL$10:AL516)-ROUNDDOWN($N517*AL$5/100,0)&lt;-AL$6,-AL$6-SUM(AL$10:AL516),-ROUNDDOWN($N517*AL$5/100,0)),0)</f>
        <v>0</v>
      </c>
      <c r="AM517" s="38">
        <f>IF(AND(AM$7="○",$A517&gt;=AM$8,$A517&lt;=AM$9),IF(SUM(AM$10:AM516)-ROUNDDOWN($L517*AM$5/100,0)&lt;-AM$6,-AM$6-SUM(AM$10:AM516),-ROUNDDOWN($L517*AM$5/100,0)),0)</f>
        <v>0</v>
      </c>
      <c r="AN517" s="38">
        <f>IF(AND(AN$7="○",$A517&gt;=AN$8,$A517&lt;=AN$9),IF(SUM(AN$10:AN516)-ROUNDDOWN($M517*AN$5/100,0)&lt;-AN$6,-AN$6-SUM(AN$10:AN516),-ROUNDDOWN($M517*AN$5/100,0)),0)</f>
        <v>0</v>
      </c>
      <c r="AO517" s="38">
        <f>IF(AND($A517&gt;=AO$8,$A517&lt;=AO$9),IF(SUM(AO$10:AO516)-ROUNDDOWN($K517*AO$5/100,0)&lt;-AO$6,-AO$6-SUM(AO$10:AO516),-ROUNDDOWN($K517*AO$5/100,0)),0)</f>
        <v>0</v>
      </c>
      <c r="AP517" s="38">
        <f>IF(AND($A517&gt;=AP$8,$A517&lt;=AP$9),IF(SUM(AP$10:AP516)-ROUNDDOWN($K517*AP$5/100,0)&lt;-AP$6,-AP$6-SUM(AP$10:AP516),-ROUNDDOWN($K517*AP$5/100,0)),0)</f>
        <v>0</v>
      </c>
      <c r="AQ517" s="38">
        <f>IF(AND($A517&gt;=AQ$8,$A517&lt;=AQ$9),IF(SUM(AQ$10:AQ516)-ROUNDDOWN($K517*AQ$5/100,0)&lt;-AQ$6,-AQ$6-SUM(AQ$10:AQ516),-ROUNDDOWN($K517*AQ$5/100,0)),0)</f>
        <v>0</v>
      </c>
      <c r="AR517" s="38">
        <f>IF(AND($A517&gt;=AR$8,$A517&lt;=AR$9),IF(SUM(AR$10:AR516)-ROUNDDOWN($K517*AR$5/100,0)&lt;-AR$6,-AR$6-SUM(AR$10:AR516),-ROUNDDOWN($K517*AR$5/100,0)),0)</f>
        <v>0</v>
      </c>
      <c r="AS517" s="38">
        <f>IF(SUMIFS(AS$10:AS516,$A$10:$A516,$A517)-ROUNDDOWN($K517*$S517/100,0)&lt;-$S517*1000,-$S517*1000-SUMIFS(AS$10:AS516,$A$10:$A516,$A517),-ROUNDDOWN($K517*$S517/100,0))</f>
        <v>0</v>
      </c>
      <c r="AT517" s="38">
        <f>IF(AND(X517="○",$A517&gt;=AT$8,$A517&lt;=AT$9,K517&gt;=3980),IF(SUM(AT$10:AT516)-ROUNDDOWN($K517*AT$5/100,0)&lt;-AT$6,-AT$6-SUM(AT$10:AT516),-ROUNDDOWN($K517*AT$5/100,0)),0)</f>
        <v>0</v>
      </c>
      <c r="AU517" s="38">
        <f>IF(O517="○",IF(SUM(AU$10:AU516)-ROUNDDOWN($K517*AU$5/100,0)&lt;-AU$6,-AU$6-SUM(AU$10:AU516),-ROUNDDOWN($K517*AU$5/100,0)),0)</f>
        <v>0</v>
      </c>
      <c r="AV517" s="38">
        <f>IF(P517="○",IF(SUM(AV$10:AV516)-ROUNDDOWN($K517*AV$5/100,0)&lt;-AV$6,-AV$6-SUM(AV$10:AV516),-ROUNDDOWN($K517*AV$5/100,0)),0)</f>
        <v>0</v>
      </c>
      <c r="AW517" s="38">
        <f>IF(Q517="○",IF(SUM(AW$10:AW516)-ROUNDDOWN($K517*AW$5/100,0)&lt;-AW$6,-AW$6-SUM(AW$10:AW516),-ROUNDDOWN($K517*AW$5/100,0)),0)</f>
        <v>0</v>
      </c>
      <c r="AX517" s="38">
        <f>IF(R517="○",IF(SUM(AX$10:AX516)-ROUNDDOWN($K517*AX$5/100,0)&lt;-AX$6,-AX$6-SUM(AX$10:AX516),-ROUNDDOWN($K517*AX$5/100,0)),0)</f>
        <v>0</v>
      </c>
      <c r="AY517" s="70">
        <v>0</v>
      </c>
      <c r="AZ517" s="65">
        <f t="shared" si="319"/>
        <v>0</v>
      </c>
      <c r="BA517" s="65">
        <f t="shared" si="320"/>
        <v>0</v>
      </c>
      <c r="BB517" s="70"/>
      <c r="BC517" s="65">
        <f t="shared" si="321"/>
        <v>0</v>
      </c>
      <c r="BD517" s="70">
        <v>0</v>
      </c>
      <c r="BE517" s="65">
        <f t="shared" si="322"/>
        <v>0</v>
      </c>
      <c r="BF517" s="70">
        <v>0</v>
      </c>
      <c r="BG517" s="65">
        <f t="shared" si="323"/>
        <v>0</v>
      </c>
      <c r="BH517" s="70">
        <v>0</v>
      </c>
      <c r="BI517" s="65">
        <f t="shared" si="324"/>
        <v>0</v>
      </c>
      <c r="BJ517" s="38">
        <f>IF(AND(BJ$7="○",$A517&gt;=BJ$8,$A517&lt;=BJ$9),IF(SUM(BJ$10:BJ516)-ROUNDDOWN($M517*BJ$5/100,0)&lt;-BJ$6,-BJ$6-SUM(BJ$10:BJ516),-ROUNDDOWN($M517*BJ$5/100,0)),0)</f>
        <v>0</v>
      </c>
      <c r="BK517" s="38">
        <f>IF(AND(BK$7="○",$A517&gt;=BK$8,$A517&lt;=BK$9),IF(SUM(BK$10:BK516)-ROUNDDOWN($L517*BK$5/100,0)&lt;-BK$6,-BK$6-SUM(BK$10:BK516),-ROUNDDOWN($L517*BK$5/100,0)),0)</f>
        <v>0</v>
      </c>
      <c r="BL517" s="38">
        <f>IF(AND(BL$7="○",$A517&gt;=BL$8,$A517&lt;=BL$9),IF(SUM(BL$10:BL516)-ROUNDDOWN($L517*BL$5/100,0)&lt;-BL$6,-BL$6-SUM(BL$10:BL516),-ROUNDDOWN($L517*BL$5/100,0)),0)</f>
        <v>0</v>
      </c>
      <c r="BM517" s="38">
        <f>IF(AND(BM$7="○",$A517&gt;=BM$8,$A517&lt;=BM$9),IF(SUM(BM$10:BM516)-ROUNDDOWN($M517*BM$5/100,0)&lt;-BM$6,-BM$6-SUM(BM$10:BM516),-ROUNDDOWN($M517*BM$5/100,0)),0)</f>
        <v>0</v>
      </c>
      <c r="BN517" s="38">
        <f>IF(AND(BN$7="○",$A517&gt;=BN$8,$A517&lt;=BN$9),IF(SUM(BN$10:BN516)-ROUNDDOWN($M517*BN$5/100,0)&lt;-BN$6,-BN$6-SUM(BN$10:BN516),-ROUNDDOWN($M517*BN$5/100,0)),0)</f>
        <v>0</v>
      </c>
      <c r="BO517" s="38">
        <f>IF(AND(BO$7="○",$A517&gt;=BO$8,$A517&lt;=BO$9),IF(SUM(BO$10:BO516)-ROUNDDOWN($M517*BO$5/100,0)&lt;-BO$6,-BO$6-SUM(BO$10:BO516),-ROUNDDOWN($M517*BO$5/100,0)),0)</f>
        <v>0</v>
      </c>
      <c r="BP517" s="38">
        <f>IF(AND(BP$7="○",$A517&gt;=BP$8,$A517&lt;=BP$9),IF(SUM(BP$10:BP516)-ROUNDDOWN($M517*BP$5/100,0)&lt;-BP$6,-BP$6-SUM(BP$10:BP516),-ROUNDDOWN($M517*BP$5/100,0)),0)</f>
        <v>0</v>
      </c>
      <c r="BQ517" s="38">
        <f>IF(AND(BQ$7="○",$A517&gt;=BQ$8,$A517&lt;=BQ$9),IF(SUM(BQ$10:BQ516)-ROUNDDOWN($L517*BQ$5/100,0)&lt;-BQ$6,-BQ$6-SUM(BQ$10:BQ516),-ROUNDDOWN($L517*BQ$5/100,0)),0)</f>
        <v>0</v>
      </c>
      <c r="BR517" s="38">
        <f>IF(AND(BR$7="○",$A517&gt;=BR$8,$A517&lt;=BR$9),IF(SUM(BR$10:BR516)-ROUNDDOWN($M517*BR$5/100,0)&lt;-BR$6,-BR$6-SUM(BR$10:BR516),-ROUNDDOWN($M517*BR$5/100,0)),0)</f>
        <v>0</v>
      </c>
      <c r="BS517" s="38">
        <f>IF(AND(BS$7="○",$A517&gt;=BS$8,$A517&lt;=BS$9),IF(SUM(BS$10:BS516)-ROUNDDOWN($M517*BS$5/100,0)&lt;-BS$6,-BS$6-SUM(BS$10:BS516),-ROUNDDOWN($M517*BS$5/100,0)),0)</f>
        <v>0</v>
      </c>
      <c r="BT517" s="38">
        <f>IF(AND(BT$7="○",$A517&gt;=BT$8,$A517&lt;=BT$9),IF(SUM(BT$10:BT516)-ROUNDDOWN($M517*BT$5/100,0)&lt;-BT$6,-BT$6-SUM(BT$10:BT516),-ROUNDDOWN($M517*BT$5/100,0)),0)</f>
        <v>0</v>
      </c>
      <c r="BU517" s="38">
        <f>IF(AND(BU$7="○",$A517&gt;=BU$8,$A517&lt;=BU$9),IF(SUM(BU$10:BU516)-ROUNDDOWN($M517*BU$5/100,0)&lt;-BU$6,-BU$6-SUM(BU$10:BU516),-ROUNDDOWN($M517*BU$5/100,0)),0)</f>
        <v>0</v>
      </c>
      <c r="BV517" s="38">
        <f>IF(AND(BV$7="○",$A517&gt;=BV$8,$A517&lt;=BV$9),IF(SUM(BV$10:BV516)-ROUNDDOWN($M517*BV$5/100,0)&lt;-BV$6,-BV$6-SUM(BV$10:BV516),-ROUNDDOWN($M517*BV$5/100,0)),0)</f>
        <v>0</v>
      </c>
      <c r="BW517" s="38">
        <f>IF(AND(BW$7="○",$A517&gt;=BW$8,$A517&lt;=BW$9),IF(SUM(BW$10:BW516)-ROUNDDOWN($M517*BW$5/100,0)&lt;-BW$6,-BW$6-SUM(BW$10:BW516),-ROUNDDOWN($M517*BW$5/100,0)),0)</f>
        <v>0</v>
      </c>
      <c r="BX517" s="38">
        <f>IF(AND(T517="○",$A517&gt;=BX$8,$A517&lt;=BX$9),IF(SUM(BX$10:BX516)-ROUNDDOWN($K517*BX$5/100,0)&lt;-BX$6,-BX$6-SUM(BX$10:BX516),-ROUNDDOWN($K517*BX$5/100,0)),0)</f>
        <v>0</v>
      </c>
      <c r="BY517" s="38">
        <f>IF(AND(U517="○",$A517&gt;=BY$8,$A517&lt;=BY$9),IF(SUM(BY$10:BY516)-ROUNDDOWN($K517*BY$5/100,0)&lt;-BY$6,-BY$6-SUM(BY$10:BY516),-ROUNDDOWN($K517*BY$5/100,0)),0)</f>
        <v>0</v>
      </c>
      <c r="BZ517" s="38">
        <f>IF(AND(V517="○",$A517&gt;=BZ$8,$A517&lt;=BZ$9),IF(SUM(BZ$10:BZ516)-ROUNDDOWN($K517*BZ$5/100,0)&lt;-BZ$6,-BZ$6-SUM(BZ$10:BZ516),-ROUNDDOWN($K517*BZ$5/100,0)),0)</f>
        <v>0</v>
      </c>
      <c r="CA517" s="38">
        <f>IF(AND(W517="○",$A517&gt;=CA$8,$A517&lt;=CA$9),IF(SUM(CA$10:CA516)-ROUNDDOWN($K517*CA$5/100,0)&lt;-CA$6,-CA$6-SUM(CA$10:CA516),-ROUNDDOWN($K517*CA$5/100,0)),0)</f>
        <v>0</v>
      </c>
      <c r="CB517" s="38"/>
      <c r="CC517" s="38"/>
      <c r="CD517" s="38"/>
      <c r="CE517" s="38"/>
      <c r="CF517" s="38"/>
      <c r="CG517" s="65">
        <f t="shared" si="325"/>
        <v>0</v>
      </c>
      <c r="CH517" s="71">
        <f t="shared" si="326"/>
        <v>0</v>
      </c>
      <c r="CI517" s="1">
        <f t="shared" si="337"/>
        <v>0</v>
      </c>
      <c r="CJ517" s="1"/>
      <c r="CK517" s="72"/>
      <c r="CL517" s="72"/>
      <c r="CM517" s="2"/>
      <c r="CN517" s="2"/>
      <c r="CO517" s="73">
        <f t="shared" si="338"/>
        <v>0</v>
      </c>
      <c r="CP517" s="5">
        <f t="shared" si="339"/>
        <v>0</v>
      </c>
      <c r="CQ517" s="1"/>
      <c r="CR517" s="1">
        <f t="shared" si="340"/>
        <v>0</v>
      </c>
      <c r="CS517" s="1"/>
      <c r="CT517" s="1" t="e">
        <f>INDEX([2]マスタ!$A:$A,MATCH(D517,[2]マスタ!$C:$C,0))</f>
        <v>#N/A</v>
      </c>
      <c r="CU517" s="1" t="str">
        <f t="shared" ca="1" si="341"/>
        <v>20260620_0-0</v>
      </c>
    </row>
    <row r="518" spans="1:99" x14ac:dyDescent="0.4">
      <c r="A518" s="61"/>
      <c r="B518" s="62"/>
      <c r="C518" s="62"/>
      <c r="D518" s="63"/>
      <c r="E518" s="63"/>
      <c r="F518" s="62"/>
      <c r="G518" s="62">
        <v>1</v>
      </c>
      <c r="H518" s="64">
        <f t="shared" si="331"/>
        <v>0</v>
      </c>
      <c r="I518" s="64"/>
      <c r="J518" s="64"/>
      <c r="K518" s="65">
        <f t="shared" si="344"/>
        <v>0</v>
      </c>
      <c r="L518" s="65">
        <f t="shared" si="333"/>
        <v>0</v>
      </c>
      <c r="M518" s="65">
        <f t="shared" si="334"/>
        <v>0</v>
      </c>
      <c r="N518" s="65">
        <f t="shared" si="335"/>
        <v>0</v>
      </c>
      <c r="O518" s="66" t="str">
        <f t="shared" si="9"/>
        <v>✕</v>
      </c>
      <c r="P518" s="67" t="str">
        <f t="shared" si="10"/>
        <v>○</v>
      </c>
      <c r="Q518" s="67" t="str">
        <f t="shared" si="345"/>
        <v>✕</v>
      </c>
      <c r="R518" s="67" t="str">
        <f t="shared" si="12"/>
        <v>✕</v>
      </c>
      <c r="S518" s="68">
        <v>0</v>
      </c>
      <c r="T518" s="69" t="s">
        <v>85</v>
      </c>
      <c r="U518" s="69" t="s">
        <v>85</v>
      </c>
      <c r="V518" s="69" t="s">
        <v>85</v>
      </c>
      <c r="W518" s="69" t="s">
        <v>85</v>
      </c>
      <c r="X518" s="69" t="s">
        <v>84</v>
      </c>
      <c r="Y518" s="69" t="s">
        <v>85</v>
      </c>
      <c r="Z518" s="69" t="s">
        <v>85</v>
      </c>
      <c r="AA518" s="69" t="s">
        <v>85</v>
      </c>
      <c r="AB518" s="69" t="s">
        <v>85</v>
      </c>
      <c r="AC518" s="69" t="s">
        <v>85</v>
      </c>
      <c r="AD518" s="38" t="str">
        <f>+IF(ISERROR(VLOOKUP($B518,AD$10:AD517,1,0)),IF(AND($N518&gt;=1000,$A518&gt;=AO$8,$A518&lt;=AO$9),$B518,""),"")</f>
        <v/>
      </c>
      <c r="AE518" s="38" t="str">
        <f>+IF(ISERROR(VLOOKUP($B518,AE$10:AE517,1,0)),IF(AND($N518&gt;=1000,$A518&gt;=AP$8,$A518&lt;=AP$9),$B518,""),"")</f>
        <v/>
      </c>
      <c r="AF518" s="38" t="str">
        <f>+IF(ISERROR(VLOOKUP($B518,AF$10:AF517,1,0)),IF(AND($N518&gt;=1000,$A518&gt;=AQ$8,$A518&lt;=AQ$9),$B518,""),"")</f>
        <v/>
      </c>
      <c r="AG518" s="38" t="str">
        <f>+IF(ISERROR(VLOOKUP($B518,AG$10:AG517,1,0)),IF(AND($N518&gt;=1000,$A518&gt;=AR$8,$A518&lt;=AR$9),$B518,""),"")</f>
        <v/>
      </c>
      <c r="AH518" s="38"/>
      <c r="AI518" s="70">
        <v>0</v>
      </c>
      <c r="AJ518" s="38">
        <f>IF(AND(AJ$7="○",$A518&gt;=AJ$8,$A518&lt;=AJ$9),IF(SUM(AJ$10:AJ517)-ROUNDDOWN($K518*AJ$5/100,0)&lt;-AJ$6,-AJ$6-SUM(AJ$10:AJ517),-ROUNDDOWN($K518*AJ$5/100,0)),0)</f>
        <v>0</v>
      </c>
      <c r="AK518" s="38">
        <f>IF(AND(AK$7="○",$A518&gt;=AK$8,$A518&lt;=AK$9),IF(SUM(AK$10:AK517)-ROUNDDOWN($L518*AK$5/100,0)&lt;-AK$6,-AK$6-SUM(AK$10:AK517),-ROUNDDOWN($L518*AK$5/100,0)),0)</f>
        <v>0</v>
      </c>
      <c r="AL518" s="38">
        <f>IF(AND(AL$7="○",$A518&gt;=AL$8,$A518&lt;=AL$9),IF(SUM(AL$10:AL517)-ROUNDDOWN($N518*AL$5/100,0)&lt;-AL$6,-AL$6-SUM(AL$10:AL517),-ROUNDDOWN($N518*AL$5/100,0)),0)</f>
        <v>0</v>
      </c>
      <c r="AM518" s="38">
        <f>IF(AND(AM$7="○",$A518&gt;=AM$8,$A518&lt;=AM$9),IF(SUM(AM$10:AM517)-ROUNDDOWN($L518*AM$5/100,0)&lt;-AM$6,-AM$6-SUM(AM$10:AM517),-ROUNDDOWN($L518*AM$5/100,0)),0)</f>
        <v>0</v>
      </c>
      <c r="AN518" s="38">
        <f>IF(AND(AN$7="○",$A518&gt;=AN$8,$A518&lt;=AN$9),IF(SUM(AN$10:AN517)-ROUNDDOWN($M518*AN$5/100,0)&lt;-AN$6,-AN$6-SUM(AN$10:AN517),-ROUNDDOWN($M518*AN$5/100,0)),0)</f>
        <v>0</v>
      </c>
      <c r="AO518" s="38">
        <f>IF(AND($A518&gt;=AO$8,$A518&lt;=AO$9),IF(SUM(AO$10:AO517)-ROUNDDOWN($K518*AO$5/100,0)&lt;-AO$6,-AO$6-SUM(AO$10:AO517),-ROUNDDOWN($K518*AO$5/100,0)),0)</f>
        <v>0</v>
      </c>
      <c r="AP518" s="38">
        <f>IF(AND($A518&gt;=AP$8,$A518&lt;=AP$9),IF(SUM(AP$10:AP517)-ROUNDDOWN($K518*AP$5/100,0)&lt;-AP$6,-AP$6-SUM(AP$10:AP517),-ROUNDDOWN($K518*AP$5/100,0)),0)</f>
        <v>0</v>
      </c>
      <c r="AQ518" s="38">
        <f>IF(AND($A518&gt;=AQ$8,$A518&lt;=AQ$9),IF(SUM(AQ$10:AQ517)-ROUNDDOWN($K518*AQ$5/100,0)&lt;-AQ$6,-AQ$6-SUM(AQ$10:AQ517),-ROUNDDOWN($K518*AQ$5/100,0)),0)</f>
        <v>0</v>
      </c>
      <c r="AR518" s="38">
        <f>IF(AND($A518&gt;=AR$8,$A518&lt;=AR$9),IF(SUM(AR$10:AR517)-ROUNDDOWN($K518*AR$5/100,0)&lt;-AR$6,-AR$6-SUM(AR$10:AR517),-ROUNDDOWN($K518*AR$5/100,0)),0)</f>
        <v>0</v>
      </c>
      <c r="AS518" s="38">
        <f>IF(SUMIFS(AS$10:AS517,$A$10:$A517,$A518)-ROUNDDOWN($K518*$S518/100,0)&lt;-$S518*1000,-$S518*1000-SUMIFS(AS$10:AS517,$A$10:$A517,$A518),-ROUNDDOWN($K518*$S518/100,0))</f>
        <v>0</v>
      </c>
      <c r="AT518" s="38">
        <f>IF(AND(X518="○",$A518&gt;=AT$8,$A518&lt;=AT$9,K518&gt;=3980),IF(SUM(AT$10:AT517)-ROUNDDOWN($K518*AT$5/100,0)&lt;-AT$6,-AT$6-SUM(AT$10:AT517),-ROUNDDOWN($K518*AT$5/100,0)),0)</f>
        <v>0</v>
      </c>
      <c r="AU518" s="38">
        <f>IF(O518="○",IF(SUM(AU$10:AU517)-ROUNDDOWN($K518*AU$5/100,0)&lt;-AU$6,-AU$6-SUM(AU$10:AU517),-ROUNDDOWN($K518*AU$5/100,0)),0)</f>
        <v>0</v>
      </c>
      <c r="AV518" s="38">
        <f>IF(P518="○",IF(SUM(AV$10:AV517)-ROUNDDOWN($K518*AV$5/100,0)&lt;-AV$6,-AV$6-SUM(AV$10:AV517),-ROUNDDOWN($K518*AV$5/100,0)),0)</f>
        <v>0</v>
      </c>
      <c r="AW518" s="38">
        <f>IF(Q518="○",IF(SUM(AW$10:AW517)-ROUNDDOWN($K518*AW$5/100,0)&lt;-AW$6,-AW$6-SUM(AW$10:AW517),-ROUNDDOWN($K518*AW$5/100,0)),0)</f>
        <v>0</v>
      </c>
      <c r="AX518" s="38">
        <f>IF(R518="○",IF(SUM(AX$10:AX517)-ROUNDDOWN($K518*AX$5/100,0)&lt;-AX$6,-AX$6-SUM(AX$10:AX517),-ROUNDDOWN($K518*AX$5/100,0)),0)</f>
        <v>0</v>
      </c>
      <c r="AY518" s="70">
        <v>0</v>
      </c>
      <c r="AZ518" s="65">
        <f t="shared" si="319"/>
        <v>0</v>
      </c>
      <c r="BA518" s="65">
        <f t="shared" si="320"/>
        <v>0</v>
      </c>
      <c r="BB518" s="70"/>
      <c r="BC518" s="65">
        <f t="shared" si="321"/>
        <v>0</v>
      </c>
      <c r="BD518" s="70">
        <v>0</v>
      </c>
      <c r="BE518" s="65">
        <f t="shared" si="322"/>
        <v>0</v>
      </c>
      <c r="BF518" s="70">
        <v>0</v>
      </c>
      <c r="BG518" s="65">
        <f t="shared" si="323"/>
        <v>0</v>
      </c>
      <c r="BH518" s="70">
        <v>0</v>
      </c>
      <c r="BI518" s="65">
        <f t="shared" si="324"/>
        <v>0</v>
      </c>
      <c r="BJ518" s="38">
        <f>IF(AND(BJ$7="○",$A518&gt;=BJ$8,$A518&lt;=BJ$9),IF(SUM(BJ$10:BJ517)-ROUNDDOWN($M518*BJ$5/100,0)&lt;-BJ$6,-BJ$6-SUM(BJ$10:BJ517),-ROUNDDOWN($M518*BJ$5/100,0)),0)</f>
        <v>0</v>
      </c>
      <c r="BK518" s="38">
        <f>IF(AND(BK$7="○",$A518&gt;=BK$8,$A518&lt;=BK$9),IF(SUM(BK$10:BK517)-ROUNDDOWN($L518*BK$5/100,0)&lt;-BK$6,-BK$6-SUM(BK$10:BK517),-ROUNDDOWN($L518*BK$5/100,0)),0)</f>
        <v>0</v>
      </c>
      <c r="BL518" s="38">
        <f>IF(AND(BL$7="○",$A518&gt;=BL$8,$A518&lt;=BL$9),IF(SUM(BL$10:BL517)-ROUNDDOWN($L518*BL$5/100,0)&lt;-BL$6,-BL$6-SUM(BL$10:BL517),-ROUNDDOWN($L518*BL$5/100,0)),0)</f>
        <v>0</v>
      </c>
      <c r="BM518" s="38">
        <f>IF(AND(BM$7="○",$A518&gt;=BM$8,$A518&lt;=BM$9),IF(SUM(BM$10:BM517)-ROUNDDOWN($M518*BM$5/100,0)&lt;-BM$6,-BM$6-SUM(BM$10:BM517),-ROUNDDOWN($M518*BM$5/100,0)),0)</f>
        <v>0</v>
      </c>
      <c r="BN518" s="38">
        <f>IF(AND(BN$7="○",$A518&gt;=BN$8,$A518&lt;=BN$9),IF(SUM(BN$10:BN517)-ROUNDDOWN($M518*BN$5/100,0)&lt;-BN$6,-BN$6-SUM(BN$10:BN517),-ROUNDDOWN($M518*BN$5/100,0)),0)</f>
        <v>0</v>
      </c>
      <c r="BO518" s="38">
        <f>IF(AND(BO$7="○",$A518&gt;=BO$8,$A518&lt;=BO$9),IF(SUM(BO$10:BO517)-ROUNDDOWN($M518*BO$5/100,0)&lt;-BO$6,-BO$6-SUM(BO$10:BO517),-ROUNDDOWN($M518*BO$5/100,0)),0)</f>
        <v>0</v>
      </c>
      <c r="BP518" s="38">
        <f>IF(AND(BP$7="○",$A518&gt;=BP$8,$A518&lt;=BP$9),IF(SUM(BP$10:BP517)-ROUNDDOWN($M518*BP$5/100,0)&lt;-BP$6,-BP$6-SUM(BP$10:BP517),-ROUNDDOWN($M518*BP$5/100,0)),0)</f>
        <v>0</v>
      </c>
      <c r="BQ518" s="38">
        <f>IF(AND(BQ$7="○",$A518&gt;=BQ$8,$A518&lt;=BQ$9),IF(SUM(BQ$10:BQ517)-ROUNDDOWN($L518*BQ$5/100,0)&lt;-BQ$6,-BQ$6-SUM(BQ$10:BQ517),-ROUNDDOWN($L518*BQ$5/100,0)),0)</f>
        <v>0</v>
      </c>
      <c r="BR518" s="38">
        <f>IF(AND(BR$7="○",$A518&gt;=BR$8,$A518&lt;=BR$9),IF(SUM(BR$10:BR517)-ROUNDDOWN($M518*BR$5/100,0)&lt;-BR$6,-BR$6-SUM(BR$10:BR517),-ROUNDDOWN($M518*BR$5/100,0)),0)</f>
        <v>0</v>
      </c>
      <c r="BS518" s="38">
        <f>IF(AND(BS$7="○",$A518&gt;=BS$8,$A518&lt;=BS$9),IF(SUM(BS$10:BS517)-ROUNDDOWN($M518*BS$5/100,0)&lt;-BS$6,-BS$6-SUM(BS$10:BS517),-ROUNDDOWN($M518*BS$5/100,0)),0)</f>
        <v>0</v>
      </c>
      <c r="BT518" s="38">
        <f>IF(AND(BT$7="○",$A518&gt;=BT$8,$A518&lt;=BT$9),IF(SUM(BT$10:BT517)-ROUNDDOWN($M518*BT$5/100,0)&lt;-BT$6,-BT$6-SUM(BT$10:BT517),-ROUNDDOWN($M518*BT$5/100,0)),0)</f>
        <v>0</v>
      </c>
      <c r="BU518" s="38">
        <f>IF(AND(BU$7="○",$A518&gt;=BU$8,$A518&lt;=BU$9),IF(SUM(BU$10:BU517)-ROUNDDOWN($M518*BU$5/100,0)&lt;-BU$6,-BU$6-SUM(BU$10:BU517),-ROUNDDOWN($M518*BU$5/100,0)),0)</f>
        <v>0</v>
      </c>
      <c r="BV518" s="38">
        <f>IF(AND(BV$7="○",$A518&gt;=BV$8,$A518&lt;=BV$9),IF(SUM(BV$10:BV517)-ROUNDDOWN($M518*BV$5/100,0)&lt;-BV$6,-BV$6-SUM(BV$10:BV517),-ROUNDDOWN($M518*BV$5/100,0)),0)</f>
        <v>0</v>
      </c>
      <c r="BW518" s="38">
        <f>IF(AND(BW$7="○",$A518&gt;=BW$8,$A518&lt;=BW$9),IF(SUM(BW$10:BW517)-ROUNDDOWN($M518*BW$5/100,0)&lt;-BW$6,-BW$6-SUM(BW$10:BW517),-ROUNDDOWN($M518*BW$5/100,0)),0)</f>
        <v>0</v>
      </c>
      <c r="BX518" s="38">
        <f>IF(AND(T518="○",$A518&gt;=BX$8,$A518&lt;=BX$9),IF(SUM(BX$10:BX517)-ROUNDDOWN($K518*BX$5/100,0)&lt;-BX$6,-BX$6-SUM(BX$10:BX517),-ROUNDDOWN($K518*BX$5/100,0)),0)</f>
        <v>0</v>
      </c>
      <c r="BY518" s="38">
        <f>IF(AND(U518="○",$A518&gt;=BY$8,$A518&lt;=BY$9),IF(SUM(BY$10:BY517)-ROUNDDOWN($K518*BY$5/100,0)&lt;-BY$6,-BY$6-SUM(BY$10:BY517),-ROUNDDOWN($K518*BY$5/100,0)),0)</f>
        <v>0</v>
      </c>
      <c r="BZ518" s="38">
        <f>IF(AND(V518="○",$A518&gt;=BZ$8,$A518&lt;=BZ$9),IF(SUM(BZ$10:BZ517)-ROUNDDOWN($K518*BZ$5/100,0)&lt;-BZ$6,-BZ$6-SUM(BZ$10:BZ517),-ROUNDDOWN($K518*BZ$5/100,0)),0)</f>
        <v>0</v>
      </c>
      <c r="CA518" s="38">
        <f>IF(AND(W518="○",$A518&gt;=CA$8,$A518&lt;=CA$9),IF(SUM(CA$10:CA517)-ROUNDDOWN($K518*CA$5/100,0)&lt;-CA$6,-CA$6-SUM(CA$10:CA517),-ROUNDDOWN($K518*CA$5/100,0)),0)</f>
        <v>0</v>
      </c>
      <c r="CB518" s="38"/>
      <c r="CC518" s="38"/>
      <c r="CD518" s="38"/>
      <c r="CE518" s="38"/>
      <c r="CF518" s="38"/>
      <c r="CG518" s="65">
        <f t="shared" si="325"/>
        <v>0</v>
      </c>
      <c r="CH518" s="71">
        <f t="shared" si="326"/>
        <v>0</v>
      </c>
      <c r="CI518" s="1">
        <f t="shared" si="337"/>
        <v>0</v>
      </c>
      <c r="CJ518" s="1"/>
      <c r="CK518" s="2"/>
      <c r="CL518" s="2"/>
      <c r="CM518" s="2"/>
      <c r="CN518" s="2"/>
      <c r="CO518" s="73">
        <f t="shared" si="338"/>
        <v>0</v>
      </c>
      <c r="CP518" s="5">
        <f t="shared" si="339"/>
        <v>0</v>
      </c>
      <c r="CQ518" s="1"/>
      <c r="CR518" s="1">
        <f t="shared" si="340"/>
        <v>0</v>
      </c>
      <c r="CS518" s="1"/>
      <c r="CT518" s="1" t="e">
        <f>INDEX([2]マスタ!$A:$A,MATCH(D518,[2]マスタ!$C:$C,0))</f>
        <v>#N/A</v>
      </c>
      <c r="CU518" s="1" t="str">
        <f t="shared" ca="1" si="341"/>
        <v>20260620_0-0</v>
      </c>
    </row>
    <row r="519" spans="1:99" x14ac:dyDescent="0.4">
      <c r="A519" s="61"/>
      <c r="B519" s="62"/>
      <c r="C519" s="62"/>
      <c r="D519" s="62"/>
      <c r="E519" s="63"/>
      <c r="F519" s="62"/>
      <c r="G519" s="62">
        <v>1</v>
      </c>
      <c r="H519" s="64">
        <f t="shared" si="331"/>
        <v>0</v>
      </c>
      <c r="I519" s="64"/>
      <c r="J519" s="78"/>
      <c r="K519" s="65">
        <f t="shared" si="344"/>
        <v>0</v>
      </c>
      <c r="L519" s="65">
        <f t="shared" si="333"/>
        <v>0</v>
      </c>
      <c r="M519" s="65">
        <f t="shared" si="334"/>
        <v>0</v>
      </c>
      <c r="N519" s="65">
        <f t="shared" si="335"/>
        <v>0</v>
      </c>
      <c r="O519" s="66" t="str">
        <f t="shared" si="9"/>
        <v>✕</v>
      </c>
      <c r="P519" s="67" t="str">
        <f t="shared" si="10"/>
        <v>○</v>
      </c>
      <c r="Q519" s="67" t="str">
        <f t="shared" si="345"/>
        <v>✕</v>
      </c>
      <c r="R519" s="67" t="str">
        <f t="shared" si="12"/>
        <v>✕</v>
      </c>
      <c r="S519" s="68">
        <v>0</v>
      </c>
      <c r="T519" s="69" t="s">
        <v>85</v>
      </c>
      <c r="U519" s="69" t="s">
        <v>85</v>
      </c>
      <c r="V519" s="69" t="s">
        <v>85</v>
      </c>
      <c r="W519" s="69" t="s">
        <v>85</v>
      </c>
      <c r="X519" s="69" t="s">
        <v>84</v>
      </c>
      <c r="Y519" s="69" t="s">
        <v>85</v>
      </c>
      <c r="Z519" s="69" t="s">
        <v>85</v>
      </c>
      <c r="AA519" s="69" t="s">
        <v>85</v>
      </c>
      <c r="AB519" s="69" t="s">
        <v>85</v>
      </c>
      <c r="AC519" s="69" t="s">
        <v>85</v>
      </c>
      <c r="AD519" s="38" t="str">
        <f>+IF(ISERROR(VLOOKUP($B519,AD$10:AD518,1,0)),IF(AND($N519&gt;=1000,$A519&gt;=AO$8,$A519&lt;=AO$9),$B519,""),"")</f>
        <v/>
      </c>
      <c r="AE519" s="38" t="str">
        <f>+IF(ISERROR(VLOOKUP($B519,AE$10:AE518,1,0)),IF(AND($N519&gt;=1000,$A519&gt;=AP$8,$A519&lt;=AP$9),$B519,""),"")</f>
        <v/>
      </c>
      <c r="AF519" s="38" t="str">
        <f>+IF(ISERROR(VLOOKUP($B519,AF$10:AF518,1,0)),IF(AND($N519&gt;=1000,$A519&gt;=AQ$8,$A519&lt;=AQ$9),$B519,""),"")</f>
        <v/>
      </c>
      <c r="AG519" s="38" t="str">
        <f>+IF(ISERROR(VLOOKUP($B519,AG$10:AG518,1,0)),IF(AND($N519&gt;=1000,$A519&gt;=AR$8,$A519&lt;=AR$9),$B519,""),"")</f>
        <v/>
      </c>
      <c r="AH519" s="38"/>
      <c r="AI519" s="70">
        <v>0</v>
      </c>
      <c r="AJ519" s="38">
        <f>IF(AND(AJ$7="○",$A519&gt;=AJ$8,$A519&lt;=AJ$9),IF(SUM(AJ$10:AJ518)-ROUNDDOWN($K519*AJ$5/100,0)&lt;-AJ$6,-AJ$6-SUM(AJ$10:AJ518),-ROUNDDOWN($K519*AJ$5/100,0)),0)</f>
        <v>0</v>
      </c>
      <c r="AK519" s="38">
        <f>IF(AND(AK$7="○",$A519&gt;=AK$8,$A519&lt;=AK$9),IF(SUM(AK$10:AK518)-ROUNDDOWN($L519*AK$5/100,0)&lt;-AK$6,-AK$6-SUM(AK$10:AK518),-ROUNDDOWN($L519*AK$5/100,0)),0)</f>
        <v>0</v>
      </c>
      <c r="AL519" s="38">
        <f>IF(AND(AL$7="○",$A519&gt;=AL$8,$A519&lt;=AL$9),IF(SUM(AL$10:AL518)-ROUNDDOWN($N519*AL$5/100,0)&lt;-AL$6,-AL$6-SUM(AL$10:AL518),-ROUNDDOWN($N519*AL$5/100,0)),0)</f>
        <v>0</v>
      </c>
      <c r="AM519" s="38">
        <f>IF(AND(AM$7="○",$A519&gt;=AM$8,$A519&lt;=AM$9),IF(SUM(AM$10:AM518)-ROUNDDOWN($L519*AM$5/100,0)&lt;-AM$6,-AM$6-SUM(AM$10:AM518),-ROUNDDOWN($L519*AM$5/100,0)),0)</f>
        <v>0</v>
      </c>
      <c r="AN519" s="38">
        <f>IF(AND(AN$7="○",$A519&gt;=AN$8,$A519&lt;=AN$9),IF(SUM(AN$10:AN518)-ROUNDDOWN($M519*AN$5/100,0)&lt;-AN$6,-AN$6-SUM(AN$10:AN518),-ROUNDDOWN($M519*AN$5/100,0)),0)</f>
        <v>0</v>
      </c>
      <c r="AO519" s="38">
        <f>IF(AND($A519&gt;=AO$8,$A519&lt;=AO$9),IF(SUM(AO$10:AO518)-ROUNDDOWN($K519*AO$5/100,0)&lt;-AO$6,-AO$6-SUM(AO$10:AO518),-ROUNDDOWN($K519*AO$5/100,0)),0)</f>
        <v>0</v>
      </c>
      <c r="AP519" s="38">
        <f>IF(AND($A519&gt;=AP$8,$A519&lt;=AP$9),IF(SUM(AP$10:AP518)-ROUNDDOWN($K519*AP$5/100,0)&lt;-AP$6,-AP$6-SUM(AP$10:AP518),-ROUNDDOWN($K519*AP$5/100,0)),0)</f>
        <v>0</v>
      </c>
      <c r="AQ519" s="38">
        <f>IF(AND($A519&gt;=AQ$8,$A519&lt;=AQ$9),IF(SUM(AQ$10:AQ518)-ROUNDDOWN($K519*AQ$5/100,0)&lt;-AQ$6,-AQ$6-SUM(AQ$10:AQ518),-ROUNDDOWN($K519*AQ$5/100,0)),0)</f>
        <v>0</v>
      </c>
      <c r="AR519" s="38">
        <f>IF(AND($A519&gt;=AR$8,$A519&lt;=AR$9),IF(SUM(AR$10:AR518)-ROUNDDOWN($K519*AR$5/100,0)&lt;-AR$6,-AR$6-SUM(AR$10:AR518),-ROUNDDOWN($K519*AR$5/100,0)),0)</f>
        <v>0</v>
      </c>
      <c r="AS519" s="38">
        <f>IF(SUMIFS(AS$10:AS518,$A$10:$A518,$A519)-ROUNDDOWN($K519*$S519/100,0)&lt;-$S519*1000,-$S519*1000-SUMIFS(AS$10:AS518,$A$10:$A518,$A519),-ROUNDDOWN($K519*$S519/100,0))</f>
        <v>0</v>
      </c>
      <c r="AT519" s="38">
        <f>IF(AND(X519="○",$A519&gt;=AT$8,$A519&lt;=AT$9,K519&gt;=3980),IF(SUM(AT$10:AT518)-ROUNDDOWN($K519*AT$5/100,0)&lt;-AT$6,-AT$6-SUM(AT$10:AT518),-ROUNDDOWN($K519*AT$5/100,0)),0)</f>
        <v>0</v>
      </c>
      <c r="AU519" s="38">
        <f>IF(O519="○",IF(SUM(AU$10:AU518)-ROUNDDOWN($K519*AU$5/100,0)&lt;-AU$6,-AU$6-SUM(AU$10:AU518),-ROUNDDOWN($K519*AU$5/100,0)),0)</f>
        <v>0</v>
      </c>
      <c r="AV519" s="38">
        <f>IF(P519="○",IF(SUM(AV$10:AV518)-ROUNDDOWN($K519*AV$5/100,0)&lt;-AV$6,-AV$6-SUM(AV$10:AV518),-ROUNDDOWN($K519*AV$5/100,0)),0)</f>
        <v>0</v>
      </c>
      <c r="AW519" s="38">
        <f>IF(Q519="○",IF(SUM(AW$10:AW518)-ROUNDDOWN($K519*AW$5/100,0)&lt;-AW$6,-AW$6-SUM(AW$10:AW518),-ROUNDDOWN($K519*AW$5/100,0)),0)</f>
        <v>0</v>
      </c>
      <c r="AX519" s="38">
        <f>IF(R519="○",IF(SUM(AX$10:AX518)-ROUNDDOWN($K519*AX$5/100,0)&lt;-AX$6,-AX$6-SUM(AX$10:AX518),-ROUNDDOWN($K519*AX$5/100,0)),0)</f>
        <v>0</v>
      </c>
      <c r="AY519" s="70">
        <v>0</v>
      </c>
      <c r="AZ519" s="65">
        <f t="shared" si="319"/>
        <v>0</v>
      </c>
      <c r="BA519" s="65">
        <f t="shared" si="320"/>
        <v>0</v>
      </c>
      <c r="BB519" s="70"/>
      <c r="BC519" s="65">
        <f t="shared" si="321"/>
        <v>0</v>
      </c>
      <c r="BD519" s="70">
        <v>0</v>
      </c>
      <c r="BE519" s="65">
        <f t="shared" si="322"/>
        <v>0</v>
      </c>
      <c r="BF519" s="70">
        <v>0</v>
      </c>
      <c r="BG519" s="65">
        <f t="shared" si="323"/>
        <v>0</v>
      </c>
      <c r="BH519" s="70">
        <v>0</v>
      </c>
      <c r="BI519" s="65">
        <f t="shared" si="324"/>
        <v>0</v>
      </c>
      <c r="BJ519" s="38">
        <f>IF(AND(BJ$7="○",$A519&gt;=BJ$8,$A519&lt;=BJ$9),IF(SUM(BJ$10:BJ518)-ROUNDDOWN($M519*BJ$5/100,0)&lt;-BJ$6,-BJ$6-SUM(BJ$10:BJ518),-ROUNDDOWN($M519*BJ$5/100,0)),0)</f>
        <v>0</v>
      </c>
      <c r="BK519" s="38">
        <f>IF(AND(BK$7="○",$A519&gt;=BK$8,$A519&lt;=BK$9),IF(SUM(BK$10:BK518)-ROUNDDOWN($L519*BK$5/100,0)&lt;-BK$6,-BK$6-SUM(BK$10:BK518),-ROUNDDOWN($L519*BK$5/100,0)),0)</f>
        <v>0</v>
      </c>
      <c r="BL519" s="38">
        <f>IF(AND(BL$7="○",$A519&gt;=BL$8,$A519&lt;=BL$9),IF(SUM(BL$10:BL518)-ROUNDDOWN($L519*BL$5/100,0)&lt;-BL$6,-BL$6-SUM(BL$10:BL518),-ROUNDDOWN($L519*BL$5/100,0)),0)</f>
        <v>0</v>
      </c>
      <c r="BM519" s="38">
        <f>IF(AND(BM$7="○",$A519&gt;=BM$8,$A519&lt;=BM$9),IF(SUM(BM$10:BM518)-ROUNDDOWN($M519*BM$5/100,0)&lt;-BM$6,-BM$6-SUM(BM$10:BM518),-ROUNDDOWN($M519*BM$5/100,0)),0)</f>
        <v>0</v>
      </c>
      <c r="BN519" s="38">
        <f>IF(AND(BN$7="○",$A519&gt;=BN$8,$A519&lt;=BN$9),IF(SUM(BN$10:BN518)-ROUNDDOWN($M519*BN$5/100,0)&lt;-BN$6,-BN$6-SUM(BN$10:BN518),-ROUNDDOWN($M519*BN$5/100,0)),0)</f>
        <v>0</v>
      </c>
      <c r="BO519" s="38">
        <f>IF(AND(BO$7="○",$A519&gt;=BO$8,$A519&lt;=BO$9),IF(SUM(BO$10:BO518)-ROUNDDOWN($M519*BO$5/100,0)&lt;-BO$6,-BO$6-SUM(BO$10:BO518),-ROUNDDOWN($M519*BO$5/100,0)),0)</f>
        <v>0</v>
      </c>
      <c r="BP519" s="38">
        <f>IF(AND(BP$7="○",$A519&gt;=BP$8,$A519&lt;=BP$9),IF(SUM(BP$10:BP518)-ROUNDDOWN($M519*BP$5/100,0)&lt;-BP$6,-BP$6-SUM(BP$10:BP518),-ROUNDDOWN($M519*BP$5/100,0)),0)</f>
        <v>0</v>
      </c>
      <c r="BQ519" s="38">
        <f>IF(AND(BQ$7="○",$A519&gt;=BQ$8,$A519&lt;=BQ$9),IF(SUM(BQ$10:BQ518)-ROUNDDOWN($L519*BQ$5/100,0)&lt;-BQ$6,-BQ$6-SUM(BQ$10:BQ518),-ROUNDDOWN($L519*BQ$5/100,0)),0)</f>
        <v>0</v>
      </c>
      <c r="BR519" s="38">
        <f>IF(AND(BR$7="○",$A519&gt;=BR$8,$A519&lt;=BR$9),IF(SUM(BR$10:BR518)-ROUNDDOWN($M519*BR$5/100,0)&lt;-BR$6,-BR$6-SUM(BR$10:BR518),-ROUNDDOWN($M519*BR$5/100,0)),0)</f>
        <v>0</v>
      </c>
      <c r="BS519" s="38">
        <f>IF(AND(BS$7="○",$A519&gt;=BS$8,$A519&lt;=BS$9),IF(SUM(BS$10:BS518)-ROUNDDOWN($M519*BS$5/100,0)&lt;-BS$6,-BS$6-SUM(BS$10:BS518),-ROUNDDOWN($M519*BS$5/100,0)),0)</f>
        <v>0</v>
      </c>
      <c r="BT519" s="38">
        <f>IF(AND(BT$7="○",$A519&gt;=BT$8,$A519&lt;=BT$9),IF(SUM(BT$10:BT518)-ROUNDDOWN($M519*BT$5/100,0)&lt;-BT$6,-BT$6-SUM(BT$10:BT518),-ROUNDDOWN($M519*BT$5/100,0)),0)</f>
        <v>0</v>
      </c>
      <c r="BU519" s="38">
        <f>IF(AND(BU$7="○",$A519&gt;=BU$8,$A519&lt;=BU$9),IF(SUM(BU$10:BU518)-ROUNDDOWN($M519*BU$5/100,0)&lt;-BU$6,-BU$6-SUM(BU$10:BU518),-ROUNDDOWN($M519*BU$5/100,0)),0)</f>
        <v>0</v>
      </c>
      <c r="BV519" s="38">
        <f>IF(AND(BV$7="○",$A519&gt;=BV$8,$A519&lt;=BV$9),IF(SUM(BV$10:BV518)-ROUNDDOWN($M519*BV$5/100,0)&lt;-BV$6,-BV$6-SUM(BV$10:BV518),-ROUNDDOWN($M519*BV$5/100,0)),0)</f>
        <v>0</v>
      </c>
      <c r="BW519" s="38">
        <f>IF(AND(BW$7="○",$A519&gt;=BW$8,$A519&lt;=BW$9),IF(SUM(BW$10:BW518)-ROUNDDOWN($M519*BW$5/100,0)&lt;-BW$6,-BW$6-SUM(BW$10:BW518),-ROUNDDOWN($M519*BW$5/100,0)),0)</f>
        <v>0</v>
      </c>
      <c r="BX519" s="38">
        <f>IF(AND(T519="○",$A519&gt;=BX$8,$A519&lt;=BX$9),IF(SUM(BX$10:BX518)-ROUNDDOWN($K519*BX$5/100,0)&lt;-BX$6,-BX$6-SUM(BX$10:BX518),-ROUNDDOWN($K519*BX$5/100,0)),0)</f>
        <v>0</v>
      </c>
      <c r="BY519" s="38">
        <f>IF(AND(U519="○",$A519&gt;=BY$8,$A519&lt;=BY$9),IF(SUM(BY$10:BY518)-ROUNDDOWN($K519*BY$5/100,0)&lt;-BY$6,-BY$6-SUM(BY$10:BY518),-ROUNDDOWN($K519*BY$5/100,0)),0)</f>
        <v>0</v>
      </c>
      <c r="BZ519" s="38">
        <f>IF(AND(V519="○",$A519&gt;=BZ$8,$A519&lt;=BZ$9),IF(SUM(BZ$10:BZ518)-ROUNDDOWN($K519*BZ$5/100,0)&lt;-BZ$6,-BZ$6-SUM(BZ$10:BZ518),-ROUNDDOWN($K519*BZ$5/100,0)),0)</f>
        <v>0</v>
      </c>
      <c r="CA519" s="38">
        <f>IF(AND(W519="○",$A519&gt;=CA$8,$A519&lt;=CA$9),IF(SUM(CA$10:CA518)-ROUNDDOWN($K519*CA$5/100,0)&lt;-CA$6,-CA$6-SUM(CA$10:CA518),-ROUNDDOWN($K519*CA$5/100,0)),0)</f>
        <v>0</v>
      </c>
      <c r="CB519" s="38"/>
      <c r="CC519" s="38"/>
      <c r="CD519" s="38"/>
      <c r="CE519" s="38"/>
      <c r="CF519" s="38"/>
      <c r="CG519" s="65">
        <f t="shared" si="325"/>
        <v>0</v>
      </c>
      <c r="CH519" s="71">
        <f t="shared" si="326"/>
        <v>0</v>
      </c>
      <c r="CI519" s="1">
        <f t="shared" si="337"/>
        <v>0</v>
      </c>
      <c r="CJ519" s="1"/>
      <c r="CK519" s="79"/>
      <c r="CL519" s="79"/>
      <c r="CM519" s="2"/>
      <c r="CN519" s="2"/>
      <c r="CO519" s="73">
        <f t="shared" si="338"/>
        <v>0</v>
      </c>
      <c r="CP519" s="5">
        <f t="shared" si="339"/>
        <v>0</v>
      </c>
      <c r="CQ519" s="1"/>
      <c r="CR519" s="1">
        <f t="shared" si="340"/>
        <v>0</v>
      </c>
      <c r="CS519" s="1"/>
      <c r="CT519" s="1" t="e">
        <f>INDEX([2]マスタ!$A:$A,MATCH(D519,[2]マスタ!$C:$C,0))</f>
        <v>#N/A</v>
      </c>
      <c r="CU519" s="1" t="str">
        <f t="shared" ca="1" si="341"/>
        <v>20260620_0-0</v>
      </c>
    </row>
    <row r="520" spans="1:99" x14ac:dyDescent="0.4">
      <c r="A520" s="61"/>
      <c r="B520" s="62"/>
      <c r="C520" s="62"/>
      <c r="D520" s="62"/>
      <c r="E520" s="63"/>
      <c r="F520" s="62"/>
      <c r="G520" s="62">
        <v>1</v>
      </c>
      <c r="H520" s="64">
        <f t="shared" si="331"/>
        <v>0</v>
      </c>
      <c r="I520" s="64"/>
      <c r="J520" s="64"/>
      <c r="K520" s="65">
        <f t="shared" si="344"/>
        <v>0</v>
      </c>
      <c r="L520" s="65">
        <f t="shared" si="333"/>
        <v>0</v>
      </c>
      <c r="M520" s="65">
        <f t="shared" si="334"/>
        <v>0</v>
      </c>
      <c r="N520" s="65">
        <f t="shared" si="335"/>
        <v>0</v>
      </c>
      <c r="O520" s="66" t="str">
        <f t="shared" si="9"/>
        <v>✕</v>
      </c>
      <c r="P520" s="67" t="str">
        <f t="shared" si="10"/>
        <v>○</v>
      </c>
      <c r="Q520" s="67" t="str">
        <f t="shared" si="345"/>
        <v>✕</v>
      </c>
      <c r="R520" s="67" t="str">
        <f t="shared" si="12"/>
        <v>✕</v>
      </c>
      <c r="S520" s="68">
        <v>0</v>
      </c>
      <c r="T520" s="69" t="s">
        <v>85</v>
      </c>
      <c r="U520" s="69" t="s">
        <v>85</v>
      </c>
      <c r="V520" s="69" t="s">
        <v>85</v>
      </c>
      <c r="W520" s="69" t="s">
        <v>85</v>
      </c>
      <c r="X520" s="69" t="s">
        <v>84</v>
      </c>
      <c r="Y520" s="69" t="s">
        <v>85</v>
      </c>
      <c r="Z520" s="69" t="s">
        <v>85</v>
      </c>
      <c r="AA520" s="69" t="s">
        <v>85</v>
      </c>
      <c r="AB520" s="69" t="s">
        <v>85</v>
      </c>
      <c r="AC520" s="69" t="s">
        <v>85</v>
      </c>
      <c r="AD520" s="38" t="str">
        <f>+IF(ISERROR(VLOOKUP($B520,AD$10:AD519,1,0)),IF(AND($N520&gt;=1000,$A520&gt;=AO$8,$A520&lt;=AO$9),$B520,""),"")</f>
        <v/>
      </c>
      <c r="AE520" s="38" t="str">
        <f>+IF(ISERROR(VLOOKUP($B520,AE$10:AE519,1,0)),IF(AND($N520&gt;=1000,$A520&gt;=AP$8,$A520&lt;=AP$9),$B520,""),"")</f>
        <v/>
      </c>
      <c r="AF520" s="38" t="str">
        <f>+IF(ISERROR(VLOOKUP($B520,AF$10:AF519,1,0)),IF(AND($N520&gt;=1000,$A520&gt;=AQ$8,$A520&lt;=AQ$9),$B520,""),"")</f>
        <v/>
      </c>
      <c r="AG520" s="38" t="str">
        <f>+IF(ISERROR(VLOOKUP($B520,AG$10:AG519,1,0)),IF(AND($N520&gt;=1000,$A520&gt;=AR$8,$A520&lt;=AR$9),$B520,""),"")</f>
        <v/>
      </c>
      <c r="AH520" s="38"/>
      <c r="AI520" s="70">
        <v>0</v>
      </c>
      <c r="AJ520" s="38">
        <f>IF(AND(AJ$7="○",$A520&gt;=AJ$8,$A520&lt;=AJ$9),IF(SUM(AJ$10:AJ519)-ROUNDDOWN($K520*AJ$5/100,0)&lt;-AJ$6,-AJ$6-SUM(AJ$10:AJ519),-ROUNDDOWN($K520*AJ$5/100,0)),0)</f>
        <v>0</v>
      </c>
      <c r="AK520" s="38">
        <f>IF(AND(AK$7="○",$A520&gt;=AK$8,$A520&lt;=AK$9),IF(SUM(AK$10:AK519)-ROUNDDOWN($L520*AK$5/100,0)&lt;-AK$6,-AK$6-SUM(AK$10:AK519),-ROUNDDOWN($L520*AK$5/100,0)),0)</f>
        <v>0</v>
      </c>
      <c r="AL520" s="38">
        <f>IF(AND(AL$7="○",$A520&gt;=AL$8,$A520&lt;=AL$9),IF(SUM(AL$10:AL519)-ROUNDDOWN($N520*AL$5/100,0)&lt;-AL$6,-AL$6-SUM(AL$10:AL519),-ROUNDDOWN($N520*AL$5/100,0)),0)</f>
        <v>0</v>
      </c>
      <c r="AM520" s="38">
        <f>IF(AND(AM$7="○",$A520&gt;=AM$8,$A520&lt;=AM$9),IF(SUM(AM$10:AM519)-ROUNDDOWN($L520*AM$5/100,0)&lt;-AM$6,-AM$6-SUM(AM$10:AM519),-ROUNDDOWN($L520*AM$5/100,0)),0)</f>
        <v>0</v>
      </c>
      <c r="AN520" s="38">
        <f>IF(AND(AN$7="○",$A520&gt;=AN$8,$A520&lt;=AN$9),IF(SUM(AN$10:AN519)-ROUNDDOWN($M520*AN$5/100,0)&lt;-AN$6,-AN$6-SUM(AN$10:AN519),-ROUNDDOWN($M520*AN$5/100,0)),0)</f>
        <v>0</v>
      </c>
      <c r="AO520" s="38">
        <f>IF(AND($A520&gt;=AO$8,$A520&lt;=AO$9),IF(SUM(AO$10:AO519)-ROUNDDOWN($K520*AO$5/100,0)&lt;-AO$6,-AO$6-SUM(AO$10:AO519),-ROUNDDOWN($K520*AO$5/100,0)),0)</f>
        <v>0</v>
      </c>
      <c r="AP520" s="38">
        <f>IF(AND($A520&gt;=AP$8,$A520&lt;=AP$9),IF(SUM(AP$10:AP519)-ROUNDDOWN($K520*AP$5/100,0)&lt;-AP$6,-AP$6-SUM(AP$10:AP519),-ROUNDDOWN($K520*AP$5/100,0)),0)</f>
        <v>0</v>
      </c>
      <c r="AQ520" s="38">
        <f>IF(AND($A520&gt;=AQ$8,$A520&lt;=AQ$9),IF(SUM(AQ$10:AQ519)-ROUNDDOWN($K520*AQ$5/100,0)&lt;-AQ$6,-AQ$6-SUM(AQ$10:AQ519),-ROUNDDOWN($K520*AQ$5/100,0)),0)</f>
        <v>0</v>
      </c>
      <c r="AR520" s="38">
        <f>IF(AND($A520&gt;=AR$8,$A520&lt;=AR$9),IF(SUM(AR$10:AR519)-ROUNDDOWN($K520*AR$5/100,0)&lt;-AR$6,-AR$6-SUM(AR$10:AR519),-ROUNDDOWN($K520*AR$5/100,0)),0)</f>
        <v>0</v>
      </c>
      <c r="AS520" s="38">
        <f>IF(SUMIFS(AS$10:AS519,$A$10:$A519,$A520)-ROUNDDOWN($K520*$S520/100,0)&lt;-$S520*1000,-$S520*1000-SUMIFS(AS$10:AS519,$A$10:$A519,$A520),-ROUNDDOWN($K520*$S520/100,0))</f>
        <v>0</v>
      </c>
      <c r="AT520" s="38">
        <f>IF(AND(X520="○",$A520&gt;=AT$8,$A520&lt;=AT$9,K520&gt;=3980),IF(SUM(AT$10:AT519)-ROUNDDOWN($K520*AT$5/100,0)&lt;-AT$6,-AT$6-SUM(AT$10:AT519),-ROUNDDOWN($K520*AT$5/100,0)),0)</f>
        <v>0</v>
      </c>
      <c r="AU520" s="38">
        <f>IF(O520="○",IF(SUM(AU$10:AU519)-ROUNDDOWN($K520*AU$5/100,0)&lt;-AU$6,-AU$6-SUM(AU$10:AU519),-ROUNDDOWN($K520*AU$5/100,0)),0)</f>
        <v>0</v>
      </c>
      <c r="AV520" s="38">
        <f>IF(P520="○",IF(SUM(AV$10:AV519)-ROUNDDOWN($K520*AV$5/100,0)&lt;-AV$6,-AV$6-SUM(AV$10:AV519),-ROUNDDOWN($K520*AV$5/100,0)),0)</f>
        <v>0</v>
      </c>
      <c r="AW520" s="38">
        <f>IF(Q520="○",IF(SUM(AW$10:AW519)-ROUNDDOWN($K520*AW$5/100,0)&lt;-AW$6,-AW$6-SUM(AW$10:AW519),-ROUNDDOWN($K520*AW$5/100,0)),0)</f>
        <v>0</v>
      </c>
      <c r="AX520" s="38">
        <f>IF(R520="○",IF(SUM(AX$10:AX519)-ROUNDDOWN($K520*AX$5/100,0)&lt;-AX$6,-AX$6-SUM(AX$10:AX519),-ROUNDDOWN($K520*AX$5/100,0)),0)</f>
        <v>0</v>
      </c>
      <c r="AY520" s="70">
        <v>0</v>
      </c>
      <c r="AZ520" s="65">
        <f t="shared" si="319"/>
        <v>0</v>
      </c>
      <c r="BA520" s="65">
        <f t="shared" si="320"/>
        <v>0</v>
      </c>
      <c r="BB520" s="70"/>
      <c r="BC520" s="65">
        <f t="shared" si="321"/>
        <v>0</v>
      </c>
      <c r="BD520" s="70">
        <v>0</v>
      </c>
      <c r="BE520" s="65">
        <f t="shared" si="322"/>
        <v>0</v>
      </c>
      <c r="BF520" s="70">
        <v>0</v>
      </c>
      <c r="BG520" s="65">
        <f t="shared" si="323"/>
        <v>0</v>
      </c>
      <c r="BH520" s="70">
        <v>0</v>
      </c>
      <c r="BI520" s="65">
        <f t="shared" si="324"/>
        <v>0</v>
      </c>
      <c r="BJ520" s="38">
        <f>IF(AND(BJ$7="○",$A520&gt;=BJ$8,$A520&lt;=BJ$9),IF(SUM(BJ$10:BJ519)-ROUNDDOWN($M520*BJ$5/100,0)&lt;-BJ$6,-BJ$6-SUM(BJ$10:BJ519),-ROUNDDOWN($M520*BJ$5/100,0)),0)</f>
        <v>0</v>
      </c>
      <c r="BK520" s="38">
        <f>IF(AND(BK$7="○",$A520&gt;=BK$8,$A520&lt;=BK$9),IF(SUM(BK$10:BK519)-ROUNDDOWN($L520*BK$5/100,0)&lt;-BK$6,-BK$6-SUM(BK$10:BK519),-ROUNDDOWN($L520*BK$5/100,0)),0)</f>
        <v>0</v>
      </c>
      <c r="BL520" s="38">
        <f>IF(AND(BL$7="○",$A520&gt;=BL$8,$A520&lt;=BL$9),IF(SUM(BL$10:BL519)-ROUNDDOWN($L520*BL$5/100,0)&lt;-BL$6,-BL$6-SUM(BL$10:BL519),-ROUNDDOWN($L520*BL$5/100,0)),0)</f>
        <v>0</v>
      </c>
      <c r="BM520" s="38">
        <f>IF(AND(BM$7="○",$A520&gt;=BM$8,$A520&lt;=BM$9),IF(SUM(BM$10:BM519)-ROUNDDOWN($M520*BM$5/100,0)&lt;-BM$6,-BM$6-SUM(BM$10:BM519),-ROUNDDOWN($M520*BM$5/100,0)),0)</f>
        <v>0</v>
      </c>
      <c r="BN520" s="38">
        <f>IF(AND(BN$7="○",$A520&gt;=BN$8,$A520&lt;=BN$9),IF(SUM(BN$10:BN519)-ROUNDDOWN($M520*BN$5/100,0)&lt;-BN$6,-BN$6-SUM(BN$10:BN519),-ROUNDDOWN($M520*BN$5/100,0)),0)</f>
        <v>0</v>
      </c>
      <c r="BO520" s="38">
        <f>IF(AND(BO$7="○",$A520&gt;=BO$8,$A520&lt;=BO$9),IF(SUM(BO$10:BO519)-ROUNDDOWN($M520*BO$5/100,0)&lt;-BO$6,-BO$6-SUM(BO$10:BO519),-ROUNDDOWN($M520*BO$5/100,0)),0)</f>
        <v>0</v>
      </c>
      <c r="BP520" s="38">
        <f>IF(AND(BP$7="○",$A520&gt;=BP$8,$A520&lt;=BP$9),IF(SUM(BP$10:BP519)-ROUNDDOWN($M520*BP$5/100,0)&lt;-BP$6,-BP$6-SUM(BP$10:BP519),-ROUNDDOWN($M520*BP$5/100,0)),0)</f>
        <v>0</v>
      </c>
      <c r="BQ520" s="38">
        <f>IF(AND(BQ$7="○",$A520&gt;=BQ$8,$A520&lt;=BQ$9),IF(SUM(BQ$10:BQ519)-ROUNDDOWN($L520*BQ$5/100,0)&lt;-BQ$6,-BQ$6-SUM(BQ$10:BQ519),-ROUNDDOWN($L520*BQ$5/100,0)),0)</f>
        <v>0</v>
      </c>
      <c r="BR520" s="38">
        <f>IF(AND(BR$7="○",$A520&gt;=BR$8,$A520&lt;=BR$9),IF(SUM(BR$10:BR519)-ROUNDDOWN($M520*BR$5/100,0)&lt;-BR$6,-BR$6-SUM(BR$10:BR519),-ROUNDDOWN($M520*BR$5/100,0)),0)</f>
        <v>0</v>
      </c>
      <c r="BS520" s="38">
        <f>IF(AND(BS$7="○",$A520&gt;=BS$8,$A520&lt;=BS$9),IF(SUM(BS$10:BS519)-ROUNDDOWN($M520*BS$5/100,0)&lt;-BS$6,-BS$6-SUM(BS$10:BS519),-ROUNDDOWN($M520*BS$5/100,0)),0)</f>
        <v>0</v>
      </c>
      <c r="BT520" s="38">
        <f>IF(AND(BT$7="○",$A520&gt;=BT$8,$A520&lt;=BT$9),IF(SUM(BT$10:BT519)-ROUNDDOWN($M520*BT$5/100,0)&lt;-BT$6,-BT$6-SUM(BT$10:BT519),-ROUNDDOWN($M520*BT$5/100,0)),0)</f>
        <v>0</v>
      </c>
      <c r="BU520" s="38">
        <f>IF(AND(BU$7="○",$A520&gt;=BU$8,$A520&lt;=BU$9),IF(SUM(BU$10:BU519)-ROUNDDOWN($M520*BU$5/100,0)&lt;-BU$6,-BU$6-SUM(BU$10:BU519),-ROUNDDOWN($M520*BU$5/100,0)),0)</f>
        <v>0</v>
      </c>
      <c r="BV520" s="38">
        <f>IF(AND(BV$7="○",$A520&gt;=BV$8,$A520&lt;=BV$9),IF(SUM(BV$10:BV519)-ROUNDDOWN($M520*BV$5/100,0)&lt;-BV$6,-BV$6-SUM(BV$10:BV519),-ROUNDDOWN($M520*BV$5/100,0)),0)</f>
        <v>0</v>
      </c>
      <c r="BW520" s="38">
        <f>IF(AND(BW$7="○",$A520&gt;=BW$8,$A520&lt;=BW$9),IF(SUM(BW$10:BW519)-ROUNDDOWN($M520*BW$5/100,0)&lt;-BW$6,-BW$6-SUM(BW$10:BW519),-ROUNDDOWN($M520*BW$5/100,0)),0)</f>
        <v>0</v>
      </c>
      <c r="BX520" s="38">
        <f>IF(AND(T520="○",$A520&gt;=BX$8,$A520&lt;=BX$9),IF(SUM(BX$10:BX519)-ROUNDDOWN($K520*BX$5/100,0)&lt;-BX$6,-BX$6-SUM(BX$10:BX519),-ROUNDDOWN($K520*BX$5/100,0)),0)</f>
        <v>0</v>
      </c>
      <c r="BY520" s="38">
        <f>IF(AND(U520="○",$A520&gt;=BY$8,$A520&lt;=BY$9),IF(SUM(BY$10:BY519)-ROUNDDOWN($K520*BY$5/100,0)&lt;-BY$6,-BY$6-SUM(BY$10:BY519),-ROUNDDOWN($K520*BY$5/100,0)),0)</f>
        <v>0</v>
      </c>
      <c r="BZ520" s="38">
        <f>IF(AND(V520="○",$A520&gt;=BZ$8,$A520&lt;=BZ$9),IF(SUM(BZ$10:BZ519)-ROUNDDOWN($K520*BZ$5/100,0)&lt;-BZ$6,-BZ$6-SUM(BZ$10:BZ519),-ROUNDDOWN($K520*BZ$5/100,0)),0)</f>
        <v>0</v>
      </c>
      <c r="CA520" s="38">
        <f>IF(AND(W520="○",$A520&gt;=CA$8,$A520&lt;=CA$9),IF(SUM(CA$10:CA519)-ROUNDDOWN($K520*CA$5/100,0)&lt;-CA$6,-CA$6-SUM(CA$10:CA519),-ROUNDDOWN($K520*CA$5/100,0)),0)</f>
        <v>0</v>
      </c>
      <c r="CB520" s="38"/>
      <c r="CC520" s="38"/>
      <c r="CD520" s="38"/>
      <c r="CE520" s="38"/>
      <c r="CF520" s="38"/>
      <c r="CG520" s="65">
        <f t="shared" si="325"/>
        <v>0</v>
      </c>
      <c r="CH520" s="71">
        <f t="shared" si="326"/>
        <v>0</v>
      </c>
      <c r="CI520" s="1">
        <f t="shared" si="337"/>
        <v>0</v>
      </c>
      <c r="CJ520" s="1"/>
      <c r="CK520" s="72"/>
      <c r="CL520" s="72"/>
      <c r="CM520" s="2"/>
      <c r="CN520" s="2"/>
      <c r="CO520" s="73">
        <f t="shared" si="338"/>
        <v>0</v>
      </c>
      <c r="CP520" s="5">
        <f t="shared" si="339"/>
        <v>0</v>
      </c>
      <c r="CQ520" s="1"/>
      <c r="CR520" s="1">
        <f t="shared" si="340"/>
        <v>0</v>
      </c>
      <c r="CS520" s="1"/>
      <c r="CT520" s="1" t="e">
        <f>INDEX([2]マスタ!$A:$A,MATCH(D520,[2]マスタ!$C:$C,0))</f>
        <v>#N/A</v>
      </c>
      <c r="CU520" s="1" t="str">
        <f t="shared" ca="1" si="341"/>
        <v>20260620_0-0</v>
      </c>
    </row>
    <row r="521" spans="1:99" x14ac:dyDescent="0.4">
      <c r="A521" s="61"/>
      <c r="B521" s="62"/>
      <c r="C521" s="62"/>
      <c r="D521" s="62"/>
      <c r="E521" s="63"/>
      <c r="F521" s="62"/>
      <c r="G521" s="62">
        <v>1</v>
      </c>
      <c r="H521" s="64">
        <f t="shared" si="331"/>
        <v>0</v>
      </c>
      <c r="I521" s="64"/>
      <c r="J521" s="64"/>
      <c r="K521" s="65">
        <f t="shared" si="344"/>
        <v>0</v>
      </c>
      <c r="L521" s="65">
        <f t="shared" si="333"/>
        <v>0</v>
      </c>
      <c r="M521" s="65">
        <f t="shared" si="334"/>
        <v>0</v>
      </c>
      <c r="N521" s="65">
        <f t="shared" si="335"/>
        <v>0</v>
      </c>
      <c r="O521" s="66" t="str">
        <f t="shared" si="9"/>
        <v>✕</v>
      </c>
      <c r="P521" s="67" t="str">
        <f t="shared" si="10"/>
        <v>○</v>
      </c>
      <c r="Q521" s="67" t="str">
        <f t="shared" si="345"/>
        <v>✕</v>
      </c>
      <c r="R521" s="67" t="str">
        <f t="shared" si="12"/>
        <v>✕</v>
      </c>
      <c r="S521" s="68">
        <v>0</v>
      </c>
      <c r="T521" s="69" t="s">
        <v>85</v>
      </c>
      <c r="U521" s="69" t="s">
        <v>85</v>
      </c>
      <c r="V521" s="69" t="s">
        <v>85</v>
      </c>
      <c r="W521" s="69" t="s">
        <v>85</v>
      </c>
      <c r="X521" s="69" t="s">
        <v>84</v>
      </c>
      <c r="Y521" s="69" t="s">
        <v>85</v>
      </c>
      <c r="Z521" s="69" t="s">
        <v>85</v>
      </c>
      <c r="AA521" s="69" t="s">
        <v>85</v>
      </c>
      <c r="AB521" s="69" t="s">
        <v>85</v>
      </c>
      <c r="AC521" s="69" t="s">
        <v>85</v>
      </c>
      <c r="AD521" s="38" t="str">
        <f>+IF(ISERROR(VLOOKUP($B521,AD$10:AD520,1,0)),IF(AND($N521&gt;=1000,$A521&gt;=AO$8,$A521&lt;=AO$9),$B521,""),"")</f>
        <v/>
      </c>
      <c r="AE521" s="38" t="str">
        <f>+IF(ISERROR(VLOOKUP($B521,AE$10:AE520,1,0)),IF(AND($N521&gt;=1000,$A521&gt;=AP$8,$A521&lt;=AP$9),$B521,""),"")</f>
        <v/>
      </c>
      <c r="AF521" s="38" t="str">
        <f>+IF(ISERROR(VLOOKUP($B521,AF$10:AF520,1,0)),IF(AND($N521&gt;=1000,$A521&gt;=AQ$8,$A521&lt;=AQ$9),$B521,""),"")</f>
        <v/>
      </c>
      <c r="AG521" s="38" t="str">
        <f>+IF(ISERROR(VLOOKUP($B521,AG$10:AG520,1,0)),IF(AND($N521&gt;=1000,$A521&gt;=AR$8,$A521&lt;=AR$9),$B521,""),"")</f>
        <v/>
      </c>
      <c r="AH521" s="38"/>
      <c r="AI521" s="70">
        <v>0</v>
      </c>
      <c r="AJ521" s="38">
        <f>IF(AND(AJ$7="○",$A521&gt;=AJ$8,$A521&lt;=AJ$9),IF(SUM(AJ$10:AJ520)-ROUNDDOWN($K521*AJ$5/100,0)&lt;-AJ$6,-AJ$6-SUM(AJ$10:AJ520),-ROUNDDOWN($K521*AJ$5/100,0)),0)</f>
        <v>0</v>
      </c>
      <c r="AK521" s="38">
        <f>IF(AND(AK$7="○",$A521&gt;=AK$8,$A521&lt;=AK$9),IF(SUM(AK$10:AK520)-ROUNDDOWN($L521*AK$5/100,0)&lt;-AK$6,-AK$6-SUM(AK$10:AK520),-ROUNDDOWN($L521*AK$5/100,0)),0)</f>
        <v>0</v>
      </c>
      <c r="AL521" s="38">
        <f>IF(AND(AL$7="○",$A521&gt;=AL$8,$A521&lt;=AL$9),IF(SUM(AL$10:AL520)-ROUNDDOWN($N521*AL$5/100,0)&lt;-AL$6,-AL$6-SUM(AL$10:AL520),-ROUNDDOWN($N521*AL$5/100,0)),0)</f>
        <v>0</v>
      </c>
      <c r="AM521" s="38">
        <f>IF(AND(AM$7="○",$A521&gt;=AM$8,$A521&lt;=AM$9),IF(SUM(AM$10:AM520)-ROUNDDOWN($L521*AM$5/100,0)&lt;-AM$6,-AM$6-SUM(AM$10:AM520),-ROUNDDOWN($L521*AM$5/100,0)),0)</f>
        <v>0</v>
      </c>
      <c r="AN521" s="38">
        <f>IF(AND(AN$7="○",$A521&gt;=AN$8,$A521&lt;=AN$9),IF(SUM(AN$10:AN520)-ROUNDDOWN($M521*AN$5/100,0)&lt;-AN$6,-AN$6-SUM(AN$10:AN520),-ROUNDDOWN($M521*AN$5/100,0)),0)</f>
        <v>0</v>
      </c>
      <c r="AO521" s="38">
        <f>IF(AND($A521&gt;=AO$8,$A521&lt;=AO$9),IF(SUM(AO$10:AO520)-ROUNDDOWN($K521*AO$5/100,0)&lt;-AO$6,-AO$6-SUM(AO$10:AO520),-ROUNDDOWN($K521*AO$5/100,0)),0)</f>
        <v>0</v>
      </c>
      <c r="AP521" s="38">
        <f>IF(AND($A521&gt;=AP$8,$A521&lt;=AP$9),IF(SUM(AP$10:AP520)-ROUNDDOWN($K521*AP$5/100,0)&lt;-AP$6,-AP$6-SUM(AP$10:AP520),-ROUNDDOWN($K521*AP$5/100,0)),0)</f>
        <v>0</v>
      </c>
      <c r="AQ521" s="38">
        <f>IF(AND($A521&gt;=AQ$8,$A521&lt;=AQ$9),IF(SUM(AQ$10:AQ520)-ROUNDDOWN($K521*AQ$5/100,0)&lt;-AQ$6,-AQ$6-SUM(AQ$10:AQ520),-ROUNDDOWN($K521*AQ$5/100,0)),0)</f>
        <v>0</v>
      </c>
      <c r="AR521" s="38">
        <f>IF(AND($A521&gt;=AR$8,$A521&lt;=AR$9),IF(SUM(AR$10:AR520)-ROUNDDOWN($K521*AR$5/100,0)&lt;-AR$6,-AR$6-SUM(AR$10:AR520),-ROUNDDOWN($K521*AR$5/100,0)),0)</f>
        <v>0</v>
      </c>
      <c r="AS521" s="38">
        <f>IF(SUMIFS(AS$10:AS520,$A$10:$A520,$A521)-ROUNDDOWN($K521*$S521/100,0)&lt;-$S521*1000,-$S521*1000-SUMIFS(AS$10:AS520,$A$10:$A520,$A521),-ROUNDDOWN($K521*$S521/100,0))</f>
        <v>0</v>
      </c>
      <c r="AT521" s="38">
        <f>IF(AND(X521="○",$A521&gt;=AT$8,$A521&lt;=AT$9,K521&gt;=3980),IF(SUM(AT$10:AT520)-ROUNDDOWN($K521*AT$5/100,0)&lt;-AT$6,-AT$6-SUM(AT$10:AT520),-ROUNDDOWN($K521*AT$5/100,0)),0)</f>
        <v>0</v>
      </c>
      <c r="AU521" s="38">
        <f>IF(O521="○",IF(SUM(AU$10:AU520)-ROUNDDOWN($K521*AU$5/100,0)&lt;-AU$6,-AU$6-SUM(AU$10:AU520),-ROUNDDOWN($K521*AU$5/100,0)),0)</f>
        <v>0</v>
      </c>
      <c r="AV521" s="38">
        <f>IF(P521="○",IF(SUM(AV$10:AV520)-ROUNDDOWN($K521*AV$5/100,0)&lt;-AV$6,-AV$6-SUM(AV$10:AV520),-ROUNDDOWN($K521*AV$5/100,0)),0)</f>
        <v>0</v>
      </c>
      <c r="AW521" s="38">
        <f>IF(Q521="○",IF(SUM(AW$10:AW520)-ROUNDDOWN($K521*AW$5/100,0)&lt;-AW$6,-AW$6-SUM(AW$10:AW520),-ROUNDDOWN($K521*AW$5/100,0)),0)</f>
        <v>0</v>
      </c>
      <c r="AX521" s="38">
        <f>IF(R521="○",IF(SUM(AX$10:AX520)-ROUNDDOWN($K521*AX$5/100,0)&lt;-AX$6,-AX$6-SUM(AX$10:AX520),-ROUNDDOWN($K521*AX$5/100,0)),0)</f>
        <v>0</v>
      </c>
      <c r="AY521" s="70">
        <v>0</v>
      </c>
      <c r="AZ521" s="65">
        <f t="shared" si="319"/>
        <v>0</v>
      </c>
      <c r="BA521" s="65">
        <f t="shared" si="320"/>
        <v>0</v>
      </c>
      <c r="BB521" s="70"/>
      <c r="BC521" s="65">
        <f t="shared" si="321"/>
        <v>0</v>
      </c>
      <c r="BD521" s="70">
        <v>0</v>
      </c>
      <c r="BE521" s="65">
        <f t="shared" si="322"/>
        <v>0</v>
      </c>
      <c r="BF521" s="70">
        <v>0</v>
      </c>
      <c r="BG521" s="65">
        <f t="shared" si="323"/>
        <v>0</v>
      </c>
      <c r="BH521" s="70">
        <v>0</v>
      </c>
      <c r="BI521" s="65">
        <f t="shared" si="324"/>
        <v>0</v>
      </c>
      <c r="BJ521" s="38">
        <f>IF(AND(BJ$7="○",$A521&gt;=BJ$8,$A521&lt;=BJ$9),IF(SUM(BJ$10:BJ520)-ROUNDDOWN($M521*BJ$5/100,0)&lt;-BJ$6,-BJ$6-SUM(BJ$10:BJ520),-ROUNDDOWN($M521*BJ$5/100,0)),0)</f>
        <v>0</v>
      </c>
      <c r="BK521" s="38">
        <f>IF(AND(BK$7="○",$A521&gt;=BK$8,$A521&lt;=BK$9),IF(SUM(BK$10:BK520)-ROUNDDOWN($L521*BK$5/100,0)&lt;-BK$6,-BK$6-SUM(BK$10:BK520),-ROUNDDOWN($L521*BK$5/100,0)),0)</f>
        <v>0</v>
      </c>
      <c r="BL521" s="38">
        <f>IF(AND(BL$7="○",$A521&gt;=BL$8,$A521&lt;=BL$9),IF(SUM(BL$10:BL520)-ROUNDDOWN($L521*BL$5/100,0)&lt;-BL$6,-BL$6-SUM(BL$10:BL520),-ROUNDDOWN($L521*BL$5/100,0)),0)</f>
        <v>0</v>
      </c>
      <c r="BM521" s="38">
        <f>IF(AND(BM$7="○",$A521&gt;=BM$8,$A521&lt;=BM$9),IF(SUM(BM$10:BM520)-ROUNDDOWN($M521*BM$5/100,0)&lt;-BM$6,-BM$6-SUM(BM$10:BM520),-ROUNDDOWN($M521*BM$5/100,0)),0)</f>
        <v>0</v>
      </c>
      <c r="BN521" s="38">
        <f>IF(AND(BN$7="○",$A521&gt;=BN$8,$A521&lt;=BN$9),IF(SUM(BN$10:BN520)-ROUNDDOWN($M521*BN$5/100,0)&lt;-BN$6,-BN$6-SUM(BN$10:BN520),-ROUNDDOWN($M521*BN$5/100,0)),0)</f>
        <v>0</v>
      </c>
      <c r="BO521" s="38">
        <f>IF(AND(BO$7="○",$A521&gt;=BO$8,$A521&lt;=BO$9),IF(SUM(BO$10:BO520)-ROUNDDOWN($M521*BO$5/100,0)&lt;-BO$6,-BO$6-SUM(BO$10:BO520),-ROUNDDOWN($M521*BO$5/100,0)),0)</f>
        <v>0</v>
      </c>
      <c r="BP521" s="38">
        <f>IF(AND(BP$7="○",$A521&gt;=BP$8,$A521&lt;=BP$9),IF(SUM(BP$10:BP520)-ROUNDDOWN($M521*BP$5/100,0)&lt;-BP$6,-BP$6-SUM(BP$10:BP520),-ROUNDDOWN($M521*BP$5/100,0)),0)</f>
        <v>0</v>
      </c>
      <c r="BQ521" s="38">
        <f>IF(AND(BQ$7="○",$A521&gt;=BQ$8,$A521&lt;=BQ$9),IF(SUM(BQ$10:BQ520)-ROUNDDOWN($L521*BQ$5/100,0)&lt;-BQ$6,-BQ$6-SUM(BQ$10:BQ520),-ROUNDDOWN($L521*BQ$5/100,0)),0)</f>
        <v>0</v>
      </c>
      <c r="BR521" s="38">
        <f>IF(AND(BR$7="○",$A521&gt;=BR$8,$A521&lt;=BR$9),IF(SUM(BR$10:BR520)-ROUNDDOWN($M521*BR$5/100,0)&lt;-BR$6,-BR$6-SUM(BR$10:BR520),-ROUNDDOWN($M521*BR$5/100,0)),0)</f>
        <v>0</v>
      </c>
      <c r="BS521" s="38">
        <f>IF(AND(BS$7="○",$A521&gt;=BS$8,$A521&lt;=BS$9),IF(SUM(BS$10:BS520)-ROUNDDOWN($M521*BS$5/100,0)&lt;-BS$6,-BS$6-SUM(BS$10:BS520),-ROUNDDOWN($M521*BS$5/100,0)),0)</f>
        <v>0</v>
      </c>
      <c r="BT521" s="38">
        <f>IF(AND(BT$7="○",$A521&gt;=BT$8,$A521&lt;=BT$9),IF(SUM(BT$10:BT520)-ROUNDDOWN($M521*BT$5/100,0)&lt;-BT$6,-BT$6-SUM(BT$10:BT520),-ROUNDDOWN($M521*BT$5/100,0)),0)</f>
        <v>0</v>
      </c>
      <c r="BU521" s="38">
        <f>IF(AND(BU$7="○",$A521&gt;=BU$8,$A521&lt;=BU$9),IF(SUM(BU$10:BU520)-ROUNDDOWN($M521*BU$5/100,0)&lt;-BU$6,-BU$6-SUM(BU$10:BU520),-ROUNDDOWN($M521*BU$5/100,0)),0)</f>
        <v>0</v>
      </c>
      <c r="BV521" s="38">
        <f>IF(AND(BV$7="○",$A521&gt;=BV$8,$A521&lt;=BV$9),IF(SUM(BV$10:BV520)-ROUNDDOWN($M521*BV$5/100,0)&lt;-BV$6,-BV$6-SUM(BV$10:BV520),-ROUNDDOWN($M521*BV$5/100,0)),0)</f>
        <v>0</v>
      </c>
      <c r="BW521" s="38">
        <f>IF(AND(BW$7="○",$A521&gt;=BW$8,$A521&lt;=BW$9),IF(SUM(BW$10:BW520)-ROUNDDOWN($M521*BW$5/100,0)&lt;-BW$6,-BW$6-SUM(BW$10:BW520),-ROUNDDOWN($M521*BW$5/100,0)),0)</f>
        <v>0</v>
      </c>
      <c r="BX521" s="38">
        <f>IF(AND(T521="○",$A521&gt;=BX$8,$A521&lt;=BX$9),IF(SUM(BX$10:BX520)-ROUNDDOWN($K521*BX$5/100,0)&lt;-BX$6,-BX$6-SUM(BX$10:BX520),-ROUNDDOWN($K521*BX$5/100,0)),0)</f>
        <v>0</v>
      </c>
      <c r="BY521" s="38">
        <f>IF(AND(U521="○",$A521&gt;=BY$8,$A521&lt;=BY$9),IF(SUM(BY$10:BY520)-ROUNDDOWN($K521*BY$5/100,0)&lt;-BY$6,-BY$6-SUM(BY$10:BY520),-ROUNDDOWN($K521*BY$5/100,0)),0)</f>
        <v>0</v>
      </c>
      <c r="BZ521" s="38">
        <f>IF(AND(V521="○",$A521&gt;=BZ$8,$A521&lt;=BZ$9),IF(SUM(BZ$10:BZ520)-ROUNDDOWN($K521*BZ$5/100,0)&lt;-BZ$6,-BZ$6-SUM(BZ$10:BZ520),-ROUNDDOWN($K521*BZ$5/100,0)),0)</f>
        <v>0</v>
      </c>
      <c r="CA521" s="38">
        <f>IF(AND(W521="○",$A521&gt;=CA$8,$A521&lt;=CA$9),IF(SUM(CA$10:CA520)-ROUNDDOWN($K521*CA$5/100,0)&lt;-CA$6,-CA$6-SUM(CA$10:CA520),-ROUNDDOWN($K521*CA$5/100,0)),0)</f>
        <v>0</v>
      </c>
      <c r="CB521" s="38"/>
      <c r="CC521" s="38"/>
      <c r="CD521" s="38"/>
      <c r="CE521" s="38"/>
      <c r="CF521" s="38"/>
      <c r="CG521" s="65">
        <f t="shared" si="325"/>
        <v>0</v>
      </c>
      <c r="CH521" s="71">
        <f t="shared" si="326"/>
        <v>0</v>
      </c>
      <c r="CI521" s="1">
        <f t="shared" si="337"/>
        <v>0</v>
      </c>
      <c r="CJ521" s="1"/>
      <c r="CK521" s="2"/>
      <c r="CL521" s="2"/>
      <c r="CM521" s="2"/>
      <c r="CN521" s="2"/>
      <c r="CO521" s="73">
        <f t="shared" si="338"/>
        <v>0</v>
      </c>
      <c r="CP521" s="5">
        <f t="shared" si="339"/>
        <v>0</v>
      </c>
      <c r="CQ521" s="1"/>
      <c r="CR521" s="1">
        <f t="shared" si="340"/>
        <v>0</v>
      </c>
      <c r="CS521" s="1"/>
      <c r="CT521" s="1" t="e">
        <f>INDEX([2]マスタ!$A:$A,MATCH(D521,[2]マスタ!$C:$C,0))</f>
        <v>#N/A</v>
      </c>
      <c r="CU521" s="1" t="str">
        <f t="shared" ca="1" si="341"/>
        <v>20260620_0-0</v>
      </c>
    </row>
    <row r="522" spans="1:99" x14ac:dyDescent="0.4">
      <c r="A522" s="61"/>
      <c r="B522" s="62"/>
      <c r="C522" s="62"/>
      <c r="D522" s="62"/>
      <c r="E522" s="63"/>
      <c r="F522" s="62"/>
      <c r="G522" s="62">
        <v>1</v>
      </c>
      <c r="H522" s="64">
        <f t="shared" si="331"/>
        <v>0</v>
      </c>
      <c r="I522" s="64"/>
      <c r="J522" s="78"/>
      <c r="K522" s="65">
        <f t="shared" si="344"/>
        <v>0</v>
      </c>
      <c r="L522" s="65">
        <f t="shared" si="333"/>
        <v>0</v>
      </c>
      <c r="M522" s="65">
        <f t="shared" si="334"/>
        <v>0</v>
      </c>
      <c r="N522" s="65">
        <f t="shared" si="335"/>
        <v>0</v>
      </c>
      <c r="O522" s="66" t="str">
        <f t="shared" si="9"/>
        <v>✕</v>
      </c>
      <c r="P522" s="67" t="str">
        <f t="shared" si="10"/>
        <v>○</v>
      </c>
      <c r="Q522" s="67" t="str">
        <f t="shared" si="345"/>
        <v>✕</v>
      </c>
      <c r="R522" s="67" t="str">
        <f t="shared" si="12"/>
        <v>✕</v>
      </c>
      <c r="S522" s="68">
        <v>0</v>
      </c>
      <c r="T522" s="69" t="s">
        <v>85</v>
      </c>
      <c r="U522" s="69" t="s">
        <v>85</v>
      </c>
      <c r="V522" s="69" t="s">
        <v>85</v>
      </c>
      <c r="W522" s="69" t="s">
        <v>85</v>
      </c>
      <c r="X522" s="69" t="s">
        <v>84</v>
      </c>
      <c r="Y522" s="69" t="s">
        <v>85</v>
      </c>
      <c r="Z522" s="69" t="s">
        <v>85</v>
      </c>
      <c r="AA522" s="69" t="s">
        <v>85</v>
      </c>
      <c r="AB522" s="69" t="s">
        <v>85</v>
      </c>
      <c r="AC522" s="69" t="s">
        <v>85</v>
      </c>
      <c r="AD522" s="38" t="str">
        <f>+IF(ISERROR(VLOOKUP($B522,AD$10:AD521,1,0)),IF(AND($N522&gt;=1000,$A522&gt;=AO$8,$A522&lt;=AO$9),$B522,""),"")</f>
        <v/>
      </c>
      <c r="AE522" s="38" t="str">
        <f>+IF(ISERROR(VLOOKUP($B522,AE$10:AE521,1,0)),IF(AND($N522&gt;=1000,$A522&gt;=AP$8,$A522&lt;=AP$9),$B522,""),"")</f>
        <v/>
      </c>
      <c r="AF522" s="38" t="str">
        <f>+IF(ISERROR(VLOOKUP($B522,AF$10:AF521,1,0)),IF(AND($N522&gt;=1000,$A522&gt;=AQ$8,$A522&lt;=AQ$9),$B522,""),"")</f>
        <v/>
      </c>
      <c r="AG522" s="38" t="str">
        <f>+IF(ISERROR(VLOOKUP($B522,AG$10:AG521,1,0)),IF(AND($N522&gt;=1000,$A522&gt;=AR$8,$A522&lt;=AR$9),$B522,""),"")</f>
        <v/>
      </c>
      <c r="AH522" s="38"/>
      <c r="AI522" s="70">
        <v>0</v>
      </c>
      <c r="AJ522" s="38">
        <f>IF(AND(AJ$7="○",$A522&gt;=AJ$8,$A522&lt;=AJ$9),IF(SUM(AJ$10:AJ521)-ROUNDDOWN($K522*AJ$5/100,0)&lt;-AJ$6,-AJ$6-SUM(AJ$10:AJ521),-ROUNDDOWN($K522*AJ$5/100,0)),0)</f>
        <v>0</v>
      </c>
      <c r="AK522" s="38">
        <f>IF(AND(AK$7="○",$A522&gt;=AK$8,$A522&lt;=AK$9),IF(SUM(AK$10:AK521)-ROUNDDOWN($L522*AK$5/100,0)&lt;-AK$6,-AK$6-SUM(AK$10:AK521),-ROUNDDOWN($L522*AK$5/100,0)),0)</f>
        <v>0</v>
      </c>
      <c r="AL522" s="38">
        <f>IF(AND(AL$7="○",$A522&gt;=AL$8,$A522&lt;=AL$9),IF(SUM(AL$10:AL521)-ROUNDDOWN($N522*AL$5/100,0)&lt;-AL$6,-AL$6-SUM(AL$10:AL521),-ROUNDDOWN($N522*AL$5/100,0)),0)</f>
        <v>0</v>
      </c>
      <c r="AM522" s="38">
        <f>IF(AND(AM$7="○",$A522&gt;=AM$8,$A522&lt;=AM$9),IF(SUM(AM$10:AM521)-ROUNDDOWN($L522*AM$5/100,0)&lt;-AM$6,-AM$6-SUM(AM$10:AM521),-ROUNDDOWN($L522*AM$5/100,0)),0)</f>
        <v>0</v>
      </c>
      <c r="AN522" s="38">
        <f>IF(AND(AN$7="○",$A522&gt;=AN$8,$A522&lt;=AN$9),IF(SUM(AN$10:AN521)-ROUNDDOWN($M522*AN$5/100,0)&lt;-AN$6,-AN$6-SUM(AN$10:AN521),-ROUNDDOWN($M522*AN$5/100,0)),0)</f>
        <v>0</v>
      </c>
      <c r="AO522" s="38">
        <f>IF(AND($A522&gt;=AO$8,$A522&lt;=AO$9),IF(SUM(AO$10:AO521)-ROUNDDOWN($K522*AO$5/100,0)&lt;-AO$6,-AO$6-SUM(AO$10:AO521),-ROUNDDOWN($K522*AO$5/100,0)),0)</f>
        <v>0</v>
      </c>
      <c r="AP522" s="38">
        <f>IF(AND($A522&gt;=AP$8,$A522&lt;=AP$9),IF(SUM(AP$10:AP521)-ROUNDDOWN($K522*AP$5/100,0)&lt;-AP$6,-AP$6-SUM(AP$10:AP521),-ROUNDDOWN($K522*AP$5/100,0)),0)</f>
        <v>0</v>
      </c>
      <c r="AQ522" s="38">
        <f>IF(AND($A522&gt;=AQ$8,$A522&lt;=AQ$9),IF(SUM(AQ$10:AQ521)-ROUNDDOWN($K522*AQ$5/100,0)&lt;-AQ$6,-AQ$6-SUM(AQ$10:AQ521),-ROUNDDOWN($K522*AQ$5/100,0)),0)</f>
        <v>0</v>
      </c>
      <c r="AR522" s="38">
        <f>IF(AND($A522&gt;=AR$8,$A522&lt;=AR$9),IF(SUM(AR$10:AR521)-ROUNDDOWN($K522*AR$5/100,0)&lt;-AR$6,-AR$6-SUM(AR$10:AR521),-ROUNDDOWN($K522*AR$5/100,0)),0)</f>
        <v>0</v>
      </c>
      <c r="AS522" s="38">
        <f>IF(SUMIFS(AS$10:AS521,$A$10:$A521,$A522)-ROUNDDOWN($K522*$S522/100,0)&lt;-$S522*1000,-$S522*1000-SUMIFS(AS$10:AS521,$A$10:$A521,$A522),-ROUNDDOWN($K522*$S522/100,0))</f>
        <v>0</v>
      </c>
      <c r="AT522" s="38">
        <f>IF(AND(X522="○",$A522&gt;=AT$8,$A522&lt;=AT$9,K522&gt;=3980),IF(SUM(AT$10:AT521)-ROUNDDOWN($K522*AT$5/100,0)&lt;-AT$6,-AT$6-SUM(AT$10:AT521),-ROUNDDOWN($K522*AT$5/100,0)),0)</f>
        <v>0</v>
      </c>
      <c r="AU522" s="38">
        <f>IF(O522="○",IF(SUM(AU$10:AU521)-ROUNDDOWN($K522*AU$5/100,0)&lt;-AU$6,-AU$6-SUM(AU$10:AU521),-ROUNDDOWN($K522*AU$5/100,0)),0)</f>
        <v>0</v>
      </c>
      <c r="AV522" s="38">
        <f>IF(P522="○",IF(SUM(AV$10:AV521)-ROUNDDOWN($K522*AV$5/100,0)&lt;-AV$6,-AV$6-SUM(AV$10:AV521),-ROUNDDOWN($K522*AV$5/100,0)),0)</f>
        <v>0</v>
      </c>
      <c r="AW522" s="38">
        <f>IF(Q522="○",IF(SUM(AW$10:AW521)-ROUNDDOWN($K522*AW$5/100,0)&lt;-AW$6,-AW$6-SUM(AW$10:AW521),-ROUNDDOWN($K522*AW$5/100,0)),0)</f>
        <v>0</v>
      </c>
      <c r="AX522" s="38">
        <f>IF(R522="○",IF(SUM(AX$10:AX521)-ROUNDDOWN($K522*AX$5/100,0)&lt;-AX$6,-AX$6-SUM(AX$10:AX521),-ROUNDDOWN($K522*AX$5/100,0)),0)</f>
        <v>0</v>
      </c>
      <c r="AY522" s="70">
        <v>0</v>
      </c>
      <c r="AZ522" s="65">
        <f t="shared" si="319"/>
        <v>0</v>
      </c>
      <c r="BA522" s="65">
        <f t="shared" si="320"/>
        <v>0</v>
      </c>
      <c r="BB522" s="70"/>
      <c r="BC522" s="65">
        <f t="shared" si="321"/>
        <v>0</v>
      </c>
      <c r="BD522" s="70">
        <v>0</v>
      </c>
      <c r="BE522" s="65">
        <f t="shared" si="322"/>
        <v>0</v>
      </c>
      <c r="BF522" s="70">
        <v>0</v>
      </c>
      <c r="BG522" s="65">
        <f t="shared" si="323"/>
        <v>0</v>
      </c>
      <c r="BH522" s="70">
        <v>0</v>
      </c>
      <c r="BI522" s="65">
        <f t="shared" si="324"/>
        <v>0</v>
      </c>
      <c r="BJ522" s="38">
        <f>IF(AND(BJ$7="○",$A522&gt;=BJ$8,$A522&lt;=BJ$9),IF(SUM(BJ$10:BJ521)-ROUNDDOWN($M522*BJ$5/100,0)&lt;-BJ$6,-BJ$6-SUM(BJ$10:BJ521),-ROUNDDOWN($M522*BJ$5/100,0)),0)</f>
        <v>0</v>
      </c>
      <c r="BK522" s="38">
        <f>IF(AND(BK$7="○",$A522&gt;=BK$8,$A522&lt;=BK$9),IF(SUM(BK$10:BK521)-ROUNDDOWN($L522*BK$5/100,0)&lt;-BK$6,-BK$6-SUM(BK$10:BK521),-ROUNDDOWN($L522*BK$5/100,0)),0)</f>
        <v>0</v>
      </c>
      <c r="BL522" s="38">
        <f>IF(AND(BL$7="○",$A522&gt;=BL$8,$A522&lt;=BL$9),IF(SUM(BL$10:BL521)-ROUNDDOWN($L522*BL$5/100,0)&lt;-BL$6,-BL$6-SUM(BL$10:BL521),-ROUNDDOWN($L522*BL$5/100,0)),0)</f>
        <v>0</v>
      </c>
      <c r="BM522" s="38">
        <f>IF(AND(BM$7="○",$A522&gt;=BM$8,$A522&lt;=BM$9),IF(SUM(BM$10:BM521)-ROUNDDOWN($M522*BM$5/100,0)&lt;-BM$6,-BM$6-SUM(BM$10:BM521),-ROUNDDOWN($M522*BM$5/100,0)),0)</f>
        <v>0</v>
      </c>
      <c r="BN522" s="38">
        <f>IF(AND(BN$7="○",$A522&gt;=BN$8,$A522&lt;=BN$9),IF(SUM(BN$10:BN521)-ROUNDDOWN($M522*BN$5/100,0)&lt;-BN$6,-BN$6-SUM(BN$10:BN521),-ROUNDDOWN($M522*BN$5/100,0)),0)</f>
        <v>0</v>
      </c>
      <c r="BO522" s="38">
        <f>IF(AND(BO$7="○",$A522&gt;=BO$8,$A522&lt;=BO$9),IF(SUM(BO$10:BO521)-ROUNDDOWN($M522*BO$5/100,0)&lt;-BO$6,-BO$6-SUM(BO$10:BO521),-ROUNDDOWN($M522*BO$5/100,0)),0)</f>
        <v>0</v>
      </c>
      <c r="BP522" s="38">
        <f>IF(AND(BP$7="○",$A522&gt;=BP$8,$A522&lt;=BP$9),IF(SUM(BP$10:BP521)-ROUNDDOWN($M522*BP$5/100,0)&lt;-BP$6,-BP$6-SUM(BP$10:BP521),-ROUNDDOWN($M522*BP$5/100,0)),0)</f>
        <v>0</v>
      </c>
      <c r="BQ522" s="38">
        <f>IF(AND(BQ$7="○",$A522&gt;=BQ$8,$A522&lt;=BQ$9),IF(SUM(BQ$10:BQ521)-ROUNDDOWN($L522*BQ$5/100,0)&lt;-BQ$6,-BQ$6-SUM(BQ$10:BQ521),-ROUNDDOWN($L522*BQ$5/100,0)),0)</f>
        <v>0</v>
      </c>
      <c r="BR522" s="38">
        <f>IF(AND(BR$7="○",$A522&gt;=BR$8,$A522&lt;=BR$9),IF(SUM(BR$10:BR521)-ROUNDDOWN($M522*BR$5/100,0)&lt;-BR$6,-BR$6-SUM(BR$10:BR521),-ROUNDDOWN($M522*BR$5/100,0)),0)</f>
        <v>0</v>
      </c>
      <c r="BS522" s="38">
        <f>IF(AND(BS$7="○",$A522&gt;=BS$8,$A522&lt;=BS$9),IF(SUM(BS$10:BS521)-ROUNDDOWN($M522*BS$5/100,0)&lt;-BS$6,-BS$6-SUM(BS$10:BS521),-ROUNDDOWN($M522*BS$5/100,0)),0)</f>
        <v>0</v>
      </c>
      <c r="BT522" s="38">
        <f>IF(AND(BT$7="○",$A522&gt;=BT$8,$A522&lt;=BT$9),IF(SUM(BT$10:BT521)-ROUNDDOWN($M522*BT$5/100,0)&lt;-BT$6,-BT$6-SUM(BT$10:BT521),-ROUNDDOWN($M522*BT$5/100,0)),0)</f>
        <v>0</v>
      </c>
      <c r="BU522" s="38">
        <f>IF(AND(BU$7="○",$A522&gt;=BU$8,$A522&lt;=BU$9),IF(SUM(BU$10:BU521)-ROUNDDOWN($M522*BU$5/100,0)&lt;-BU$6,-BU$6-SUM(BU$10:BU521),-ROUNDDOWN($M522*BU$5/100,0)),0)</f>
        <v>0</v>
      </c>
      <c r="BV522" s="38">
        <f>IF(AND(BV$7="○",$A522&gt;=BV$8,$A522&lt;=BV$9),IF(SUM(BV$10:BV521)-ROUNDDOWN($M522*BV$5/100,0)&lt;-BV$6,-BV$6-SUM(BV$10:BV521),-ROUNDDOWN($M522*BV$5/100,0)),0)</f>
        <v>0</v>
      </c>
      <c r="BW522" s="38">
        <f>IF(AND(BW$7="○",$A522&gt;=BW$8,$A522&lt;=BW$9),IF(SUM(BW$10:BW521)-ROUNDDOWN($M522*BW$5/100,0)&lt;-BW$6,-BW$6-SUM(BW$10:BW521),-ROUNDDOWN($M522*BW$5/100,0)),0)</f>
        <v>0</v>
      </c>
      <c r="BX522" s="38">
        <f>IF(AND(T522="○",$A522&gt;=BX$8,$A522&lt;=BX$9),IF(SUM(BX$10:BX521)-ROUNDDOWN($K522*BX$5/100,0)&lt;-BX$6,-BX$6-SUM(BX$10:BX521),-ROUNDDOWN($K522*BX$5/100,0)),0)</f>
        <v>0</v>
      </c>
      <c r="BY522" s="38">
        <f>IF(AND(U522="○",$A522&gt;=BY$8,$A522&lt;=BY$9),IF(SUM(BY$10:BY521)-ROUNDDOWN($K522*BY$5/100,0)&lt;-BY$6,-BY$6-SUM(BY$10:BY521),-ROUNDDOWN($K522*BY$5/100,0)),0)</f>
        <v>0</v>
      </c>
      <c r="BZ522" s="38">
        <f>IF(AND(V522="○",$A522&gt;=BZ$8,$A522&lt;=BZ$9),IF(SUM(BZ$10:BZ521)-ROUNDDOWN($K522*BZ$5/100,0)&lt;-BZ$6,-BZ$6-SUM(BZ$10:BZ521),-ROUNDDOWN($K522*BZ$5/100,0)),0)</f>
        <v>0</v>
      </c>
      <c r="CA522" s="38">
        <f>IF(AND(W522="○",$A522&gt;=CA$8,$A522&lt;=CA$9),IF(SUM(CA$10:CA521)-ROUNDDOWN($K522*CA$5/100,0)&lt;-CA$6,-CA$6-SUM(CA$10:CA521),-ROUNDDOWN($K522*CA$5/100,0)),0)</f>
        <v>0</v>
      </c>
      <c r="CB522" s="38"/>
      <c r="CC522" s="38"/>
      <c r="CD522" s="38"/>
      <c r="CE522" s="38"/>
      <c r="CF522" s="38"/>
      <c r="CG522" s="65">
        <f t="shared" si="325"/>
        <v>0</v>
      </c>
      <c r="CH522" s="71">
        <f t="shared" si="326"/>
        <v>0</v>
      </c>
      <c r="CI522" s="1">
        <f t="shared" si="337"/>
        <v>0</v>
      </c>
      <c r="CJ522" s="1"/>
      <c r="CK522" s="79"/>
      <c r="CL522" s="79"/>
      <c r="CM522" s="2"/>
      <c r="CN522" s="2"/>
      <c r="CO522" s="73">
        <f t="shared" si="338"/>
        <v>0</v>
      </c>
      <c r="CP522" s="5">
        <f t="shared" si="339"/>
        <v>0</v>
      </c>
      <c r="CQ522" s="1"/>
      <c r="CR522" s="1">
        <f t="shared" si="340"/>
        <v>0</v>
      </c>
      <c r="CS522" s="1"/>
      <c r="CT522" s="1" t="e">
        <f>INDEX([2]マスタ!$A:$A,MATCH(D522,[2]マスタ!$C:$C,0))</f>
        <v>#N/A</v>
      </c>
      <c r="CU522" s="1" t="str">
        <f t="shared" ca="1" si="341"/>
        <v>20260620_0-0</v>
      </c>
    </row>
    <row r="523" spans="1:99" x14ac:dyDescent="0.4">
      <c r="A523" s="61"/>
      <c r="B523" s="62"/>
      <c r="C523" s="62"/>
      <c r="D523" s="62"/>
      <c r="E523" s="63"/>
      <c r="F523" s="62"/>
      <c r="G523" s="62">
        <v>1</v>
      </c>
      <c r="H523" s="64">
        <f t="shared" si="331"/>
        <v>0</v>
      </c>
      <c r="I523" s="64"/>
      <c r="J523" s="78"/>
      <c r="K523" s="65">
        <f t="shared" si="344"/>
        <v>0</v>
      </c>
      <c r="L523" s="65">
        <f t="shared" si="333"/>
        <v>0</v>
      </c>
      <c r="M523" s="65">
        <f t="shared" si="334"/>
        <v>0</v>
      </c>
      <c r="N523" s="65">
        <f t="shared" si="335"/>
        <v>0</v>
      </c>
      <c r="O523" s="66" t="str">
        <f t="shared" si="9"/>
        <v>✕</v>
      </c>
      <c r="P523" s="67" t="str">
        <f t="shared" si="10"/>
        <v>○</v>
      </c>
      <c r="Q523" s="67" t="str">
        <f t="shared" si="345"/>
        <v>✕</v>
      </c>
      <c r="R523" s="67" t="str">
        <f t="shared" si="12"/>
        <v>✕</v>
      </c>
      <c r="S523" s="68">
        <v>0</v>
      </c>
      <c r="T523" s="69" t="s">
        <v>85</v>
      </c>
      <c r="U523" s="69" t="s">
        <v>85</v>
      </c>
      <c r="V523" s="69" t="s">
        <v>85</v>
      </c>
      <c r="W523" s="69" t="s">
        <v>85</v>
      </c>
      <c r="X523" s="69" t="s">
        <v>84</v>
      </c>
      <c r="Y523" s="69" t="s">
        <v>85</v>
      </c>
      <c r="Z523" s="69" t="s">
        <v>85</v>
      </c>
      <c r="AA523" s="69" t="s">
        <v>85</v>
      </c>
      <c r="AB523" s="69" t="s">
        <v>85</v>
      </c>
      <c r="AC523" s="69" t="s">
        <v>85</v>
      </c>
      <c r="AD523" s="38" t="str">
        <f>+IF(ISERROR(VLOOKUP($B523,AD$10:AD522,1,0)),IF(AND($N523&gt;=1000,$A523&gt;=AO$8,$A523&lt;=AO$9),$B523,""),"")</f>
        <v/>
      </c>
      <c r="AE523" s="38" t="str">
        <f>+IF(ISERROR(VLOOKUP($B523,AE$10:AE522,1,0)),IF(AND($N523&gt;=1000,$A523&gt;=AP$8,$A523&lt;=AP$9),$B523,""),"")</f>
        <v/>
      </c>
      <c r="AF523" s="38" t="str">
        <f>+IF(ISERROR(VLOOKUP($B523,AF$10:AF522,1,0)),IF(AND($N523&gt;=1000,$A523&gt;=AQ$8,$A523&lt;=AQ$9),$B523,""),"")</f>
        <v/>
      </c>
      <c r="AG523" s="38" t="str">
        <f>+IF(ISERROR(VLOOKUP($B523,AG$10:AG522,1,0)),IF(AND($N523&gt;=1000,$A523&gt;=AR$8,$A523&lt;=AR$9),$B523,""),"")</f>
        <v/>
      </c>
      <c r="AH523" s="38"/>
      <c r="AI523" s="70">
        <v>0</v>
      </c>
      <c r="AJ523" s="38">
        <f>IF(AND(AJ$7="○",$A523&gt;=AJ$8,$A523&lt;=AJ$9),IF(SUM(AJ$10:AJ522)-ROUNDDOWN($K523*AJ$5/100,0)&lt;-AJ$6,-AJ$6-SUM(AJ$10:AJ522),-ROUNDDOWN($K523*AJ$5/100,0)),0)</f>
        <v>0</v>
      </c>
      <c r="AK523" s="38">
        <f>IF(AND(AK$7="○",$A523&gt;=AK$8,$A523&lt;=AK$9),IF(SUM(AK$10:AK522)-ROUNDDOWN($L523*AK$5/100,0)&lt;-AK$6,-AK$6-SUM(AK$10:AK522),-ROUNDDOWN($L523*AK$5/100,0)),0)</f>
        <v>0</v>
      </c>
      <c r="AL523" s="38">
        <f>IF(AND(AL$7="○",$A523&gt;=AL$8,$A523&lt;=AL$9),IF(SUM(AL$10:AL522)-ROUNDDOWN($N523*AL$5/100,0)&lt;-AL$6,-AL$6-SUM(AL$10:AL522),-ROUNDDOWN($N523*AL$5/100,0)),0)</f>
        <v>0</v>
      </c>
      <c r="AM523" s="38">
        <f>IF(AND(AM$7="○",$A523&gt;=AM$8,$A523&lt;=AM$9),IF(SUM(AM$10:AM522)-ROUNDDOWN($L523*AM$5/100,0)&lt;-AM$6,-AM$6-SUM(AM$10:AM522),-ROUNDDOWN($L523*AM$5/100,0)),0)</f>
        <v>0</v>
      </c>
      <c r="AN523" s="38">
        <f>IF(AND(AN$7="○",$A523&gt;=AN$8,$A523&lt;=AN$9),IF(SUM(AN$10:AN522)-ROUNDDOWN($M523*AN$5/100,0)&lt;-AN$6,-AN$6-SUM(AN$10:AN522),-ROUNDDOWN($M523*AN$5/100,0)),0)</f>
        <v>0</v>
      </c>
      <c r="AO523" s="38">
        <f>IF(AND($A523&gt;=AO$8,$A523&lt;=AO$9),IF(SUM(AO$10:AO522)-ROUNDDOWN($K523*AO$5/100,0)&lt;-AO$6,-AO$6-SUM(AO$10:AO522),-ROUNDDOWN($K523*AO$5/100,0)),0)</f>
        <v>0</v>
      </c>
      <c r="AP523" s="38">
        <f>IF(AND($A523&gt;=AP$8,$A523&lt;=AP$9),IF(SUM(AP$10:AP522)-ROUNDDOWN($K523*AP$5/100,0)&lt;-AP$6,-AP$6-SUM(AP$10:AP522),-ROUNDDOWN($K523*AP$5/100,0)),0)</f>
        <v>0</v>
      </c>
      <c r="AQ523" s="38">
        <f>IF(AND($A523&gt;=AQ$8,$A523&lt;=AQ$9),IF(SUM(AQ$10:AQ522)-ROUNDDOWN($K523*AQ$5/100,0)&lt;-AQ$6,-AQ$6-SUM(AQ$10:AQ522),-ROUNDDOWN($K523*AQ$5/100,0)),0)</f>
        <v>0</v>
      </c>
      <c r="AR523" s="38">
        <f>IF(AND($A523&gt;=AR$8,$A523&lt;=AR$9),IF(SUM(AR$10:AR522)-ROUNDDOWN($K523*AR$5/100,0)&lt;-AR$6,-AR$6-SUM(AR$10:AR522),-ROUNDDOWN($K523*AR$5/100,0)),0)</f>
        <v>0</v>
      </c>
      <c r="AS523" s="38">
        <f>IF(SUMIFS(AS$10:AS522,$A$10:$A522,$A523)-ROUNDDOWN($K523*$S523/100,0)&lt;-$S523*1000,-$S523*1000-SUMIFS(AS$10:AS522,$A$10:$A522,$A523),-ROUNDDOWN($K523*$S523/100,0))</f>
        <v>0</v>
      </c>
      <c r="AT523" s="38">
        <f>IF(AND(X523="○",$A523&gt;=AT$8,$A523&lt;=AT$9,K523&gt;=3980),IF(SUM(AT$10:AT522)-ROUNDDOWN($K523*AT$5/100,0)&lt;-AT$6,-AT$6-SUM(AT$10:AT522),-ROUNDDOWN($K523*AT$5/100,0)),0)</f>
        <v>0</v>
      </c>
      <c r="AU523" s="38">
        <f>IF(O523="○",IF(SUM(AU$10:AU522)-ROUNDDOWN($K523*AU$5/100,0)&lt;-AU$6,-AU$6-SUM(AU$10:AU522),-ROUNDDOWN($K523*AU$5/100,0)),0)</f>
        <v>0</v>
      </c>
      <c r="AV523" s="38">
        <f>IF(P523="○",IF(SUM(AV$10:AV522)-ROUNDDOWN($K523*AV$5/100,0)&lt;-AV$6,-AV$6-SUM(AV$10:AV522),-ROUNDDOWN($K523*AV$5/100,0)),0)</f>
        <v>0</v>
      </c>
      <c r="AW523" s="38">
        <f>IF(Q523="○",IF(SUM(AW$10:AW522)-ROUNDDOWN($K523*AW$5/100,0)&lt;-AW$6,-AW$6-SUM(AW$10:AW522),-ROUNDDOWN($K523*AW$5/100,0)),0)</f>
        <v>0</v>
      </c>
      <c r="AX523" s="38">
        <f>IF(R523="○",IF(SUM(AX$10:AX522)-ROUNDDOWN($K523*AX$5/100,0)&lt;-AX$6,-AX$6-SUM(AX$10:AX522),-ROUNDDOWN($K523*AX$5/100,0)),0)</f>
        <v>0</v>
      </c>
      <c r="AY523" s="70">
        <v>0</v>
      </c>
      <c r="AZ523" s="65">
        <f t="shared" si="319"/>
        <v>0</v>
      </c>
      <c r="BA523" s="65">
        <f t="shared" si="320"/>
        <v>0</v>
      </c>
      <c r="BB523" s="70"/>
      <c r="BC523" s="65">
        <f t="shared" si="321"/>
        <v>0</v>
      </c>
      <c r="BD523" s="70">
        <v>0</v>
      </c>
      <c r="BE523" s="65">
        <f t="shared" si="322"/>
        <v>0</v>
      </c>
      <c r="BF523" s="70">
        <v>0</v>
      </c>
      <c r="BG523" s="65">
        <f t="shared" si="323"/>
        <v>0</v>
      </c>
      <c r="BH523" s="70">
        <v>0</v>
      </c>
      <c r="BI523" s="65">
        <f t="shared" si="324"/>
        <v>0</v>
      </c>
      <c r="BJ523" s="38">
        <f>IF(AND(BJ$7="○",$A523&gt;=BJ$8,$A523&lt;=BJ$9),IF(SUM(BJ$10:BJ522)-ROUNDDOWN($M523*BJ$5/100,0)&lt;-BJ$6,-BJ$6-SUM(BJ$10:BJ522),-ROUNDDOWN($M523*BJ$5/100,0)),0)</f>
        <v>0</v>
      </c>
      <c r="BK523" s="38">
        <f>IF(AND(BK$7="○",$A523&gt;=BK$8,$A523&lt;=BK$9),IF(SUM(BK$10:BK522)-ROUNDDOWN($L523*BK$5/100,0)&lt;-BK$6,-BK$6-SUM(BK$10:BK522),-ROUNDDOWN($L523*BK$5/100,0)),0)</f>
        <v>0</v>
      </c>
      <c r="BL523" s="38">
        <f>IF(AND(BL$7="○",$A523&gt;=BL$8,$A523&lt;=BL$9),IF(SUM(BL$10:BL522)-ROUNDDOWN($L523*BL$5/100,0)&lt;-BL$6,-BL$6-SUM(BL$10:BL522),-ROUNDDOWN($L523*BL$5/100,0)),0)</f>
        <v>0</v>
      </c>
      <c r="BM523" s="38">
        <f>IF(AND(BM$7="○",$A523&gt;=BM$8,$A523&lt;=BM$9),IF(SUM(BM$10:BM522)-ROUNDDOWN($M523*BM$5/100,0)&lt;-BM$6,-BM$6-SUM(BM$10:BM522),-ROUNDDOWN($M523*BM$5/100,0)),0)</f>
        <v>0</v>
      </c>
      <c r="BN523" s="38">
        <f>IF(AND(BN$7="○",$A523&gt;=BN$8,$A523&lt;=BN$9),IF(SUM(BN$10:BN522)-ROUNDDOWN($M523*BN$5/100,0)&lt;-BN$6,-BN$6-SUM(BN$10:BN522),-ROUNDDOWN($M523*BN$5/100,0)),0)</f>
        <v>0</v>
      </c>
      <c r="BO523" s="38">
        <f>IF(AND(BO$7="○",$A523&gt;=BO$8,$A523&lt;=BO$9),IF(SUM(BO$10:BO522)-ROUNDDOWN($M523*BO$5/100,0)&lt;-BO$6,-BO$6-SUM(BO$10:BO522),-ROUNDDOWN($M523*BO$5/100,0)),0)</f>
        <v>0</v>
      </c>
      <c r="BP523" s="38">
        <f>IF(AND(BP$7="○",$A523&gt;=BP$8,$A523&lt;=BP$9),IF(SUM(BP$10:BP522)-ROUNDDOWN($M523*BP$5/100,0)&lt;-BP$6,-BP$6-SUM(BP$10:BP522),-ROUNDDOWN($M523*BP$5/100,0)),0)</f>
        <v>0</v>
      </c>
      <c r="BQ523" s="38">
        <f>IF(AND(BQ$7="○",$A523&gt;=BQ$8,$A523&lt;=BQ$9),IF(SUM(BQ$10:BQ522)-ROUNDDOWN($L523*BQ$5/100,0)&lt;-BQ$6,-BQ$6-SUM(BQ$10:BQ522),-ROUNDDOWN($L523*BQ$5/100,0)),0)</f>
        <v>0</v>
      </c>
      <c r="BR523" s="38">
        <f>IF(AND(BR$7="○",$A523&gt;=BR$8,$A523&lt;=BR$9),IF(SUM(BR$10:BR522)-ROUNDDOWN($M523*BR$5/100,0)&lt;-BR$6,-BR$6-SUM(BR$10:BR522),-ROUNDDOWN($M523*BR$5/100,0)),0)</f>
        <v>0</v>
      </c>
      <c r="BS523" s="38">
        <f>IF(AND(BS$7="○",$A523&gt;=BS$8,$A523&lt;=BS$9),IF(SUM(BS$10:BS522)-ROUNDDOWN($M523*BS$5/100,0)&lt;-BS$6,-BS$6-SUM(BS$10:BS522),-ROUNDDOWN($M523*BS$5/100,0)),0)</f>
        <v>0</v>
      </c>
      <c r="BT523" s="38">
        <f>IF(AND(BT$7="○",$A523&gt;=BT$8,$A523&lt;=BT$9),IF(SUM(BT$10:BT522)-ROUNDDOWN($M523*BT$5/100,0)&lt;-BT$6,-BT$6-SUM(BT$10:BT522),-ROUNDDOWN($M523*BT$5/100,0)),0)</f>
        <v>0</v>
      </c>
      <c r="BU523" s="38">
        <f>IF(AND(BU$7="○",$A523&gt;=BU$8,$A523&lt;=BU$9),IF(SUM(BU$10:BU522)-ROUNDDOWN($M523*BU$5/100,0)&lt;-BU$6,-BU$6-SUM(BU$10:BU522),-ROUNDDOWN($M523*BU$5/100,0)),0)</f>
        <v>0</v>
      </c>
      <c r="BV523" s="38">
        <f>IF(AND(BV$7="○",$A523&gt;=BV$8,$A523&lt;=BV$9),IF(SUM(BV$10:BV522)-ROUNDDOWN($M523*BV$5/100,0)&lt;-BV$6,-BV$6-SUM(BV$10:BV522),-ROUNDDOWN($M523*BV$5/100,0)),0)</f>
        <v>0</v>
      </c>
      <c r="BW523" s="38">
        <f>IF(AND(BW$7="○",$A523&gt;=BW$8,$A523&lt;=BW$9),IF(SUM(BW$10:BW522)-ROUNDDOWN($M523*BW$5/100,0)&lt;-BW$6,-BW$6-SUM(BW$10:BW522),-ROUNDDOWN($M523*BW$5/100,0)),0)</f>
        <v>0</v>
      </c>
      <c r="BX523" s="38">
        <f>IF(AND(T523="○",$A523&gt;=BX$8,$A523&lt;=BX$9),IF(SUM(BX$10:BX522)-ROUNDDOWN($K523*BX$5/100,0)&lt;-BX$6,-BX$6-SUM(BX$10:BX522),-ROUNDDOWN($K523*BX$5/100,0)),0)</f>
        <v>0</v>
      </c>
      <c r="BY523" s="38">
        <f>IF(AND(U523="○",$A523&gt;=BY$8,$A523&lt;=BY$9),IF(SUM(BY$10:BY522)-ROUNDDOWN($K523*BY$5/100,0)&lt;-BY$6,-BY$6-SUM(BY$10:BY522),-ROUNDDOWN($K523*BY$5/100,0)),0)</f>
        <v>0</v>
      </c>
      <c r="BZ523" s="38">
        <f>IF(AND(V523="○",$A523&gt;=BZ$8,$A523&lt;=BZ$9),IF(SUM(BZ$10:BZ522)-ROUNDDOWN($K523*BZ$5/100,0)&lt;-BZ$6,-BZ$6-SUM(BZ$10:BZ522),-ROUNDDOWN($K523*BZ$5/100,0)),0)</f>
        <v>0</v>
      </c>
      <c r="CA523" s="38">
        <f>IF(AND(W523="○",$A523&gt;=CA$8,$A523&lt;=CA$9),IF(SUM(CA$10:CA522)-ROUNDDOWN($K523*CA$5/100,0)&lt;-CA$6,-CA$6-SUM(CA$10:CA522),-ROUNDDOWN($K523*CA$5/100,0)),0)</f>
        <v>0</v>
      </c>
      <c r="CB523" s="38"/>
      <c r="CC523" s="38"/>
      <c r="CD523" s="38"/>
      <c r="CE523" s="38"/>
      <c r="CF523" s="38"/>
      <c r="CG523" s="65">
        <f t="shared" si="325"/>
        <v>0</v>
      </c>
      <c r="CH523" s="71">
        <f t="shared" si="326"/>
        <v>0</v>
      </c>
      <c r="CI523" s="1">
        <f t="shared" si="337"/>
        <v>0</v>
      </c>
      <c r="CJ523" s="1"/>
      <c r="CK523" s="79"/>
      <c r="CL523" s="79"/>
      <c r="CM523" s="2"/>
      <c r="CN523" s="2"/>
      <c r="CO523" s="73">
        <f t="shared" si="338"/>
        <v>0</v>
      </c>
      <c r="CP523" s="5">
        <f t="shared" si="339"/>
        <v>0</v>
      </c>
      <c r="CQ523" s="1"/>
      <c r="CR523" s="1">
        <f t="shared" si="340"/>
        <v>0</v>
      </c>
      <c r="CS523" s="1"/>
      <c r="CT523" s="1" t="e">
        <f>INDEX([2]マスタ!$A:$A,MATCH(D523,[2]マスタ!$C:$C,0))</f>
        <v>#N/A</v>
      </c>
      <c r="CU523" s="1" t="str">
        <f t="shared" ca="1" si="341"/>
        <v>20260620_0-0</v>
      </c>
    </row>
    <row r="524" spans="1:99" x14ac:dyDescent="0.4">
      <c r="A524" s="61"/>
      <c r="B524" s="62"/>
      <c r="C524" s="62"/>
      <c r="D524" s="62"/>
      <c r="E524" s="77"/>
      <c r="F524" s="62"/>
      <c r="G524" s="62">
        <v>1</v>
      </c>
      <c r="H524" s="64">
        <f t="shared" si="331"/>
        <v>0</v>
      </c>
      <c r="I524" s="64"/>
      <c r="J524" s="64"/>
      <c r="K524" s="65">
        <f t="shared" si="344"/>
        <v>0</v>
      </c>
      <c r="L524" s="65">
        <f t="shared" si="333"/>
        <v>0</v>
      </c>
      <c r="M524" s="65">
        <f t="shared" si="334"/>
        <v>0</v>
      </c>
      <c r="N524" s="65">
        <f t="shared" si="335"/>
        <v>0</v>
      </c>
      <c r="O524" s="66" t="str">
        <f t="shared" si="9"/>
        <v>✕</v>
      </c>
      <c r="P524" s="67" t="str">
        <f t="shared" si="10"/>
        <v>○</v>
      </c>
      <c r="Q524" s="67" t="str">
        <f t="shared" si="345"/>
        <v>✕</v>
      </c>
      <c r="R524" s="67" t="str">
        <f t="shared" si="12"/>
        <v>✕</v>
      </c>
      <c r="S524" s="68">
        <v>0</v>
      </c>
      <c r="T524" s="69" t="s">
        <v>85</v>
      </c>
      <c r="U524" s="69" t="s">
        <v>85</v>
      </c>
      <c r="V524" s="69" t="s">
        <v>85</v>
      </c>
      <c r="W524" s="69" t="s">
        <v>85</v>
      </c>
      <c r="X524" s="69" t="s">
        <v>84</v>
      </c>
      <c r="Y524" s="69" t="s">
        <v>85</v>
      </c>
      <c r="Z524" s="69" t="s">
        <v>85</v>
      </c>
      <c r="AA524" s="69" t="s">
        <v>85</v>
      </c>
      <c r="AB524" s="69" t="s">
        <v>85</v>
      </c>
      <c r="AC524" s="69" t="s">
        <v>85</v>
      </c>
      <c r="AD524" s="38" t="str">
        <f>+IF(ISERROR(VLOOKUP($B524,AD$10:AD523,1,0)),IF(AND($N524&gt;=1000,$A524&gt;=AO$8,$A524&lt;=AO$9),$B524,""),"")</f>
        <v/>
      </c>
      <c r="AE524" s="38" t="str">
        <f>+IF(ISERROR(VLOOKUP($B524,AE$10:AE523,1,0)),IF(AND($N524&gt;=1000,$A524&gt;=AP$8,$A524&lt;=AP$9),$B524,""),"")</f>
        <v/>
      </c>
      <c r="AF524" s="38" t="str">
        <f>+IF(ISERROR(VLOOKUP($B524,AF$10:AF523,1,0)),IF(AND($N524&gt;=1000,$A524&gt;=AQ$8,$A524&lt;=AQ$9),$B524,""),"")</f>
        <v/>
      </c>
      <c r="AG524" s="38" t="str">
        <f>+IF(ISERROR(VLOOKUP($B524,AG$10:AG523,1,0)),IF(AND($N524&gt;=1000,$A524&gt;=AR$8,$A524&lt;=AR$9),$B524,""),"")</f>
        <v/>
      </c>
      <c r="AH524" s="38"/>
      <c r="AI524" s="70">
        <v>0</v>
      </c>
      <c r="AJ524" s="38">
        <f>IF(AND(AJ$7="○",$A524&gt;=AJ$8,$A524&lt;=AJ$9),IF(SUM(AJ$10:AJ523)-ROUNDDOWN($K524*AJ$5/100,0)&lt;-AJ$6,-AJ$6-SUM(AJ$10:AJ523),-ROUNDDOWN($K524*AJ$5/100,0)),0)</f>
        <v>0</v>
      </c>
      <c r="AK524" s="38">
        <f>IF(AND(AK$7="○",$A524&gt;=AK$8,$A524&lt;=AK$9),IF(SUM(AK$10:AK523)-ROUNDDOWN($L524*AK$5/100,0)&lt;-AK$6,-AK$6-SUM(AK$10:AK523),-ROUNDDOWN($L524*AK$5/100,0)),0)</f>
        <v>0</v>
      </c>
      <c r="AL524" s="38">
        <f>IF(AND(AL$7="○",$A524&gt;=AL$8,$A524&lt;=AL$9),IF(SUM(AL$10:AL523)-ROUNDDOWN($N524*AL$5/100,0)&lt;-AL$6,-AL$6-SUM(AL$10:AL523),-ROUNDDOWN($N524*AL$5/100,0)),0)</f>
        <v>0</v>
      </c>
      <c r="AM524" s="38">
        <f>IF(AND(AM$7="○",$A524&gt;=AM$8,$A524&lt;=AM$9),IF(SUM(AM$10:AM523)-ROUNDDOWN($L524*AM$5/100,0)&lt;-AM$6,-AM$6-SUM(AM$10:AM523),-ROUNDDOWN($L524*AM$5/100,0)),0)</f>
        <v>0</v>
      </c>
      <c r="AN524" s="38">
        <f>IF(AND(AN$7="○",$A524&gt;=AN$8,$A524&lt;=AN$9),IF(SUM(AN$10:AN523)-ROUNDDOWN($M524*AN$5/100,0)&lt;-AN$6,-AN$6-SUM(AN$10:AN523),-ROUNDDOWN($M524*AN$5/100,0)),0)</f>
        <v>0</v>
      </c>
      <c r="AO524" s="38">
        <f>IF(AND($A524&gt;=AO$8,$A524&lt;=AO$9),IF(SUM(AO$10:AO523)-ROUNDDOWN($K524*AO$5/100,0)&lt;-AO$6,-AO$6-SUM(AO$10:AO523),-ROUNDDOWN($K524*AO$5/100,0)),0)</f>
        <v>0</v>
      </c>
      <c r="AP524" s="38">
        <f>IF(AND($A524&gt;=AP$8,$A524&lt;=AP$9),IF(SUM(AP$10:AP523)-ROUNDDOWN($K524*AP$5/100,0)&lt;-AP$6,-AP$6-SUM(AP$10:AP523),-ROUNDDOWN($K524*AP$5/100,0)),0)</f>
        <v>0</v>
      </c>
      <c r="AQ524" s="38">
        <f>IF(AND($A524&gt;=AQ$8,$A524&lt;=AQ$9),IF(SUM(AQ$10:AQ523)-ROUNDDOWN($K524*AQ$5/100,0)&lt;-AQ$6,-AQ$6-SUM(AQ$10:AQ523),-ROUNDDOWN($K524*AQ$5/100,0)),0)</f>
        <v>0</v>
      </c>
      <c r="AR524" s="38">
        <f>IF(AND($A524&gt;=AR$8,$A524&lt;=AR$9),IF(SUM(AR$10:AR523)-ROUNDDOWN($K524*AR$5/100,0)&lt;-AR$6,-AR$6-SUM(AR$10:AR523),-ROUNDDOWN($K524*AR$5/100,0)),0)</f>
        <v>0</v>
      </c>
      <c r="AS524" s="38">
        <f>IF(SUMIFS(AS$10:AS523,$A$10:$A523,$A524)-ROUNDDOWN($K524*$S524/100,0)&lt;-$S524*1000,-$S524*1000-SUMIFS(AS$10:AS523,$A$10:$A523,$A524),-ROUNDDOWN($K524*$S524/100,0))</f>
        <v>0</v>
      </c>
      <c r="AT524" s="38">
        <f>IF(AND(X524="○",$A524&gt;=AT$8,$A524&lt;=AT$9,K524&gt;=3980),IF(SUM(AT$10:AT523)-ROUNDDOWN($K524*AT$5/100,0)&lt;-AT$6,-AT$6-SUM(AT$10:AT523),-ROUNDDOWN($K524*AT$5/100,0)),0)</f>
        <v>0</v>
      </c>
      <c r="AU524" s="38">
        <f>IF(O524="○",IF(SUM(AU$10:AU523)-ROUNDDOWN($K524*AU$5/100,0)&lt;-AU$6,-AU$6-SUM(AU$10:AU523),-ROUNDDOWN($K524*AU$5/100,0)),0)</f>
        <v>0</v>
      </c>
      <c r="AV524" s="38">
        <f>IF(P524="○",IF(SUM(AV$10:AV523)-ROUNDDOWN($K524*AV$5/100,0)&lt;-AV$6,-AV$6-SUM(AV$10:AV523),-ROUNDDOWN($K524*AV$5/100,0)),0)</f>
        <v>0</v>
      </c>
      <c r="AW524" s="38">
        <f>IF(Q524="○",IF(SUM(AW$10:AW523)-ROUNDDOWN($K524*AW$5/100,0)&lt;-AW$6,-AW$6-SUM(AW$10:AW523),-ROUNDDOWN($K524*AW$5/100,0)),0)</f>
        <v>0</v>
      </c>
      <c r="AX524" s="38">
        <f>IF(R524="○",IF(SUM(AX$10:AX523)-ROUNDDOWN($K524*AX$5/100,0)&lt;-AX$6,-AX$6-SUM(AX$10:AX523),-ROUNDDOWN($K524*AX$5/100,0)),0)</f>
        <v>0</v>
      </c>
      <c r="AY524" s="70">
        <v>0</v>
      </c>
      <c r="AZ524" s="65">
        <f t="shared" si="319"/>
        <v>0</v>
      </c>
      <c r="BA524" s="65">
        <f t="shared" si="320"/>
        <v>0</v>
      </c>
      <c r="BB524" s="70"/>
      <c r="BC524" s="65">
        <f t="shared" si="321"/>
        <v>0</v>
      </c>
      <c r="BD524" s="70">
        <v>0</v>
      </c>
      <c r="BE524" s="65">
        <f t="shared" si="322"/>
        <v>0</v>
      </c>
      <c r="BF524" s="70">
        <v>0</v>
      </c>
      <c r="BG524" s="65">
        <f t="shared" si="323"/>
        <v>0</v>
      </c>
      <c r="BH524" s="70">
        <v>0</v>
      </c>
      <c r="BI524" s="65">
        <f t="shared" si="324"/>
        <v>0</v>
      </c>
      <c r="BJ524" s="38">
        <f>IF(AND(BJ$7="○",$A524&gt;=BJ$8,$A524&lt;=BJ$9),IF(SUM(BJ$10:BJ523)-ROUNDDOWN($M524*BJ$5/100,0)&lt;-BJ$6,-BJ$6-SUM(BJ$10:BJ523),-ROUNDDOWN($M524*BJ$5/100,0)),0)</f>
        <v>0</v>
      </c>
      <c r="BK524" s="38">
        <f>IF(AND(BK$7="○",$A524&gt;=BK$8,$A524&lt;=BK$9),IF(SUM(BK$10:BK523)-ROUNDDOWN($L524*BK$5/100,0)&lt;-BK$6,-BK$6-SUM(BK$10:BK523),-ROUNDDOWN($L524*BK$5/100,0)),0)</f>
        <v>0</v>
      </c>
      <c r="BL524" s="38">
        <f>IF(AND(BL$7="○",$A524&gt;=BL$8,$A524&lt;=BL$9),IF(SUM(BL$10:BL523)-ROUNDDOWN($L524*BL$5/100,0)&lt;-BL$6,-BL$6-SUM(BL$10:BL523),-ROUNDDOWN($L524*BL$5/100,0)),0)</f>
        <v>0</v>
      </c>
      <c r="BM524" s="38">
        <f>IF(AND(BM$7="○",$A524&gt;=BM$8,$A524&lt;=BM$9),IF(SUM(BM$10:BM523)-ROUNDDOWN($M524*BM$5/100,0)&lt;-BM$6,-BM$6-SUM(BM$10:BM523),-ROUNDDOWN($M524*BM$5/100,0)),0)</f>
        <v>0</v>
      </c>
      <c r="BN524" s="38">
        <f>IF(AND(BN$7="○",$A524&gt;=BN$8,$A524&lt;=BN$9),IF(SUM(BN$10:BN523)-ROUNDDOWN($M524*BN$5/100,0)&lt;-BN$6,-BN$6-SUM(BN$10:BN523),-ROUNDDOWN($M524*BN$5/100,0)),0)</f>
        <v>0</v>
      </c>
      <c r="BO524" s="38">
        <f>IF(AND(BO$7="○",$A524&gt;=BO$8,$A524&lt;=BO$9),IF(SUM(BO$10:BO523)-ROUNDDOWN($M524*BO$5/100,0)&lt;-BO$6,-BO$6-SUM(BO$10:BO523),-ROUNDDOWN($M524*BO$5/100,0)),0)</f>
        <v>0</v>
      </c>
      <c r="BP524" s="38">
        <f>IF(AND(BP$7="○",$A524&gt;=BP$8,$A524&lt;=BP$9),IF(SUM(BP$10:BP523)-ROUNDDOWN($M524*BP$5/100,0)&lt;-BP$6,-BP$6-SUM(BP$10:BP523),-ROUNDDOWN($M524*BP$5/100,0)),0)</f>
        <v>0</v>
      </c>
      <c r="BQ524" s="38">
        <f>IF(AND(BQ$7="○",$A524&gt;=BQ$8,$A524&lt;=BQ$9),IF(SUM(BQ$10:BQ523)-ROUNDDOWN($L524*BQ$5/100,0)&lt;-BQ$6,-BQ$6-SUM(BQ$10:BQ523),-ROUNDDOWN($L524*BQ$5/100,0)),0)</f>
        <v>0</v>
      </c>
      <c r="BR524" s="38">
        <f>IF(AND(BR$7="○",$A524&gt;=BR$8,$A524&lt;=BR$9),IF(SUM(BR$10:BR523)-ROUNDDOWN($M524*BR$5/100,0)&lt;-BR$6,-BR$6-SUM(BR$10:BR523),-ROUNDDOWN($M524*BR$5/100,0)),0)</f>
        <v>0</v>
      </c>
      <c r="BS524" s="38">
        <f>IF(AND(BS$7="○",$A524&gt;=BS$8,$A524&lt;=BS$9),IF(SUM(BS$10:BS523)-ROUNDDOWN($M524*BS$5/100,0)&lt;-BS$6,-BS$6-SUM(BS$10:BS523),-ROUNDDOWN($M524*BS$5/100,0)),0)</f>
        <v>0</v>
      </c>
      <c r="BT524" s="38">
        <f>IF(AND(BT$7="○",$A524&gt;=BT$8,$A524&lt;=BT$9),IF(SUM(BT$10:BT523)-ROUNDDOWN($M524*BT$5/100,0)&lt;-BT$6,-BT$6-SUM(BT$10:BT523),-ROUNDDOWN($M524*BT$5/100,0)),0)</f>
        <v>0</v>
      </c>
      <c r="BU524" s="38">
        <f>IF(AND(BU$7="○",$A524&gt;=BU$8,$A524&lt;=BU$9),IF(SUM(BU$10:BU523)-ROUNDDOWN($M524*BU$5/100,0)&lt;-BU$6,-BU$6-SUM(BU$10:BU523),-ROUNDDOWN($M524*BU$5/100,0)),0)</f>
        <v>0</v>
      </c>
      <c r="BV524" s="38">
        <f>IF(AND(BV$7="○",$A524&gt;=BV$8,$A524&lt;=BV$9),IF(SUM(BV$10:BV523)-ROUNDDOWN($M524*BV$5/100,0)&lt;-BV$6,-BV$6-SUM(BV$10:BV523),-ROUNDDOWN($M524*BV$5/100,0)),0)</f>
        <v>0</v>
      </c>
      <c r="BW524" s="38">
        <f>IF(AND(BW$7="○",$A524&gt;=BW$8,$A524&lt;=BW$9),IF(SUM(BW$10:BW523)-ROUNDDOWN($M524*BW$5/100,0)&lt;-BW$6,-BW$6-SUM(BW$10:BW523),-ROUNDDOWN($M524*BW$5/100,0)),0)</f>
        <v>0</v>
      </c>
      <c r="BX524" s="38">
        <f>IF(AND(T524="○",$A524&gt;=BX$8,$A524&lt;=BX$9),IF(SUM(BX$10:BX523)-ROUNDDOWN($K524*BX$5/100,0)&lt;-BX$6,-BX$6-SUM(BX$10:BX523),-ROUNDDOWN($K524*BX$5/100,0)),0)</f>
        <v>0</v>
      </c>
      <c r="BY524" s="38">
        <f>IF(AND(U524="○",$A524&gt;=BY$8,$A524&lt;=BY$9),IF(SUM(BY$10:BY523)-ROUNDDOWN($K524*BY$5/100,0)&lt;-BY$6,-BY$6-SUM(BY$10:BY523),-ROUNDDOWN($K524*BY$5/100,0)),0)</f>
        <v>0</v>
      </c>
      <c r="BZ524" s="38">
        <f>IF(AND(V524="○",$A524&gt;=BZ$8,$A524&lt;=BZ$9),IF(SUM(BZ$10:BZ523)-ROUNDDOWN($K524*BZ$5/100,0)&lt;-BZ$6,-BZ$6-SUM(BZ$10:BZ523),-ROUNDDOWN($K524*BZ$5/100,0)),0)</f>
        <v>0</v>
      </c>
      <c r="CA524" s="38">
        <f>IF(AND(W524="○",$A524&gt;=CA$8,$A524&lt;=CA$9),IF(SUM(CA$10:CA523)-ROUNDDOWN($K524*CA$5/100,0)&lt;-CA$6,-CA$6-SUM(CA$10:CA523),-ROUNDDOWN($K524*CA$5/100,0)),0)</f>
        <v>0</v>
      </c>
      <c r="CB524" s="38"/>
      <c r="CC524" s="38"/>
      <c r="CD524" s="38"/>
      <c r="CE524" s="38"/>
      <c r="CF524" s="38"/>
      <c r="CG524" s="65">
        <f t="shared" si="325"/>
        <v>0</v>
      </c>
      <c r="CH524" s="71">
        <f t="shared" si="326"/>
        <v>0</v>
      </c>
      <c r="CI524" s="1">
        <f t="shared" si="337"/>
        <v>0</v>
      </c>
      <c r="CJ524" s="1"/>
      <c r="CK524" s="79"/>
      <c r="CL524" s="79"/>
      <c r="CM524" s="2"/>
      <c r="CN524" s="2"/>
      <c r="CO524" s="73">
        <f t="shared" si="338"/>
        <v>0</v>
      </c>
      <c r="CP524" s="5">
        <f t="shared" si="339"/>
        <v>0</v>
      </c>
      <c r="CQ524" s="1"/>
      <c r="CR524" s="1">
        <f t="shared" si="340"/>
        <v>0</v>
      </c>
      <c r="CS524" s="1"/>
      <c r="CT524" s="1" t="e">
        <f>INDEX([2]マスタ!$A:$A,MATCH(D524,[2]マスタ!$C:$C,0))</f>
        <v>#N/A</v>
      </c>
      <c r="CU524" s="1" t="str">
        <f t="shared" ca="1" si="341"/>
        <v>20260620_0-0</v>
      </c>
    </row>
    <row r="525" spans="1:99" x14ac:dyDescent="0.4">
      <c r="A525" s="61"/>
      <c r="B525" s="62"/>
      <c r="C525" s="62"/>
      <c r="D525" s="62"/>
      <c r="E525" s="63"/>
      <c r="F525" s="62"/>
      <c r="G525" s="62">
        <v>1</v>
      </c>
      <c r="H525" s="64">
        <f t="shared" si="331"/>
        <v>0</v>
      </c>
      <c r="I525" s="64"/>
      <c r="J525" s="64"/>
      <c r="K525" s="65">
        <f t="shared" si="344"/>
        <v>0</v>
      </c>
      <c r="L525" s="65">
        <f t="shared" si="333"/>
        <v>0</v>
      </c>
      <c r="M525" s="65">
        <f t="shared" si="334"/>
        <v>0</v>
      </c>
      <c r="N525" s="65">
        <f t="shared" si="335"/>
        <v>0</v>
      </c>
      <c r="O525" s="66" t="str">
        <f t="shared" si="9"/>
        <v>✕</v>
      </c>
      <c r="P525" s="67" t="str">
        <f t="shared" si="10"/>
        <v>○</v>
      </c>
      <c r="Q525" s="67" t="str">
        <f t="shared" si="345"/>
        <v>✕</v>
      </c>
      <c r="R525" s="67" t="str">
        <f t="shared" si="12"/>
        <v>✕</v>
      </c>
      <c r="S525" s="68">
        <v>0</v>
      </c>
      <c r="T525" s="69" t="s">
        <v>85</v>
      </c>
      <c r="U525" s="69" t="s">
        <v>85</v>
      </c>
      <c r="V525" s="69" t="s">
        <v>85</v>
      </c>
      <c r="W525" s="69" t="s">
        <v>85</v>
      </c>
      <c r="X525" s="69" t="s">
        <v>84</v>
      </c>
      <c r="Y525" s="69" t="s">
        <v>85</v>
      </c>
      <c r="Z525" s="69" t="s">
        <v>85</v>
      </c>
      <c r="AA525" s="69" t="s">
        <v>85</v>
      </c>
      <c r="AB525" s="69" t="s">
        <v>85</v>
      </c>
      <c r="AC525" s="69" t="s">
        <v>85</v>
      </c>
      <c r="AD525" s="38" t="str">
        <f>+IF(ISERROR(VLOOKUP($B525,AD$10:AD524,1,0)),IF(AND($N525&gt;=1000,$A525&gt;=AO$8,$A525&lt;=AO$9),$B525,""),"")</f>
        <v/>
      </c>
      <c r="AE525" s="38" t="str">
        <f>+IF(ISERROR(VLOOKUP($B525,AE$10:AE524,1,0)),IF(AND($N525&gt;=1000,$A525&gt;=AP$8,$A525&lt;=AP$9),$B525,""),"")</f>
        <v/>
      </c>
      <c r="AF525" s="38" t="str">
        <f>+IF(ISERROR(VLOOKUP($B525,AF$10:AF524,1,0)),IF(AND($N525&gt;=1000,$A525&gt;=AQ$8,$A525&lt;=AQ$9),$B525,""),"")</f>
        <v/>
      </c>
      <c r="AG525" s="38" t="str">
        <f>+IF(ISERROR(VLOOKUP($B525,AG$10:AG524,1,0)),IF(AND($N525&gt;=1000,$A525&gt;=AR$8,$A525&lt;=AR$9),$B525,""),"")</f>
        <v/>
      </c>
      <c r="AH525" s="38"/>
      <c r="AI525" s="70">
        <v>0</v>
      </c>
      <c r="AJ525" s="38">
        <f>IF(AND(AJ$7="○",$A525&gt;=AJ$8,$A525&lt;=AJ$9),IF(SUM(AJ$10:AJ524)-ROUNDDOWN($K525*AJ$5/100,0)&lt;-AJ$6,-AJ$6-SUM(AJ$10:AJ524),-ROUNDDOWN($K525*AJ$5/100,0)),0)</f>
        <v>0</v>
      </c>
      <c r="AK525" s="38">
        <f>IF(AND(AK$7="○",$A525&gt;=AK$8,$A525&lt;=AK$9),IF(SUM(AK$10:AK524)-ROUNDDOWN($L525*AK$5/100,0)&lt;-AK$6,-AK$6-SUM(AK$10:AK524),-ROUNDDOWN($L525*AK$5/100,0)),0)</f>
        <v>0</v>
      </c>
      <c r="AL525" s="38">
        <f>IF(AND(AL$7="○",$A525&gt;=AL$8,$A525&lt;=AL$9),IF(SUM(AL$10:AL524)-ROUNDDOWN($N525*AL$5/100,0)&lt;-AL$6,-AL$6-SUM(AL$10:AL524),-ROUNDDOWN($N525*AL$5/100,0)),0)</f>
        <v>0</v>
      </c>
      <c r="AM525" s="38">
        <f>IF(AND(AM$7="○",$A525&gt;=AM$8,$A525&lt;=AM$9),IF(SUM(AM$10:AM524)-ROUNDDOWN($L525*AM$5/100,0)&lt;-AM$6,-AM$6-SUM(AM$10:AM524),-ROUNDDOWN($L525*AM$5/100,0)),0)</f>
        <v>0</v>
      </c>
      <c r="AN525" s="38">
        <f>IF(AND(AN$7="○",$A525&gt;=AN$8,$A525&lt;=AN$9),IF(SUM(AN$10:AN524)-ROUNDDOWN($M525*AN$5/100,0)&lt;-AN$6,-AN$6-SUM(AN$10:AN524),-ROUNDDOWN($M525*AN$5/100,0)),0)</f>
        <v>0</v>
      </c>
      <c r="AO525" s="38">
        <f>IF(AND($A525&gt;=AO$8,$A525&lt;=AO$9),IF(SUM(AO$10:AO524)-ROUNDDOWN($K525*AO$5/100,0)&lt;-AO$6,-AO$6-SUM(AO$10:AO524),-ROUNDDOWN($K525*AO$5/100,0)),0)</f>
        <v>0</v>
      </c>
      <c r="AP525" s="38">
        <f>IF(AND($A525&gt;=AP$8,$A525&lt;=AP$9),IF(SUM(AP$10:AP524)-ROUNDDOWN($K525*AP$5/100,0)&lt;-AP$6,-AP$6-SUM(AP$10:AP524),-ROUNDDOWN($K525*AP$5/100,0)),0)</f>
        <v>0</v>
      </c>
      <c r="AQ525" s="38">
        <f>IF(AND($A525&gt;=AQ$8,$A525&lt;=AQ$9),IF(SUM(AQ$10:AQ524)-ROUNDDOWN($K525*AQ$5/100,0)&lt;-AQ$6,-AQ$6-SUM(AQ$10:AQ524),-ROUNDDOWN($K525*AQ$5/100,0)),0)</f>
        <v>0</v>
      </c>
      <c r="AR525" s="38">
        <f>IF(AND($A525&gt;=AR$8,$A525&lt;=AR$9),IF(SUM(AR$10:AR524)-ROUNDDOWN($K525*AR$5/100,0)&lt;-AR$6,-AR$6-SUM(AR$10:AR524),-ROUNDDOWN($K525*AR$5/100,0)),0)</f>
        <v>0</v>
      </c>
      <c r="AS525" s="38">
        <f>IF(SUMIFS(AS$10:AS524,$A$10:$A524,$A525)-ROUNDDOWN($K525*$S525/100,0)&lt;-$S525*1000,-$S525*1000-SUMIFS(AS$10:AS524,$A$10:$A524,$A525),-ROUNDDOWN($K525*$S525/100,0))</f>
        <v>0</v>
      </c>
      <c r="AT525" s="38">
        <f>IF(AND(X525="○",$A525&gt;=AT$8,$A525&lt;=AT$9,K525&gt;=3980),IF(SUM(AT$10:AT524)-ROUNDDOWN($K525*AT$5/100,0)&lt;-AT$6,-AT$6-SUM(AT$10:AT524),-ROUNDDOWN($K525*AT$5/100,0)),0)</f>
        <v>0</v>
      </c>
      <c r="AU525" s="38">
        <f>IF(O525="○",IF(SUM(AU$10:AU524)-ROUNDDOWN($K525*AU$5/100,0)&lt;-AU$6,-AU$6-SUM(AU$10:AU524),-ROUNDDOWN($K525*AU$5/100,0)),0)</f>
        <v>0</v>
      </c>
      <c r="AV525" s="38">
        <f>IF(P525="○",IF(SUM(AV$10:AV524)-ROUNDDOWN($K525*AV$5/100,0)&lt;-AV$6,-AV$6-SUM(AV$10:AV524),-ROUNDDOWN($K525*AV$5/100,0)),0)</f>
        <v>0</v>
      </c>
      <c r="AW525" s="38">
        <f>IF(Q525="○",IF(SUM(AW$10:AW524)-ROUNDDOWN($K525*AW$5/100,0)&lt;-AW$6,-AW$6-SUM(AW$10:AW524),-ROUNDDOWN($K525*AW$5/100,0)),0)</f>
        <v>0</v>
      </c>
      <c r="AX525" s="38">
        <f>IF(R525="○",IF(SUM(AX$10:AX524)-ROUNDDOWN($K525*AX$5/100,0)&lt;-AX$6,-AX$6-SUM(AX$10:AX524),-ROUNDDOWN($K525*AX$5/100,0)),0)</f>
        <v>0</v>
      </c>
      <c r="AY525" s="70">
        <v>0</v>
      </c>
      <c r="AZ525" s="65">
        <f t="shared" si="319"/>
        <v>0</v>
      </c>
      <c r="BA525" s="65">
        <f t="shared" si="320"/>
        <v>0</v>
      </c>
      <c r="BB525" s="70"/>
      <c r="BC525" s="65">
        <f t="shared" si="321"/>
        <v>0</v>
      </c>
      <c r="BD525" s="70">
        <v>0</v>
      </c>
      <c r="BE525" s="65">
        <f t="shared" si="322"/>
        <v>0</v>
      </c>
      <c r="BF525" s="70">
        <v>0</v>
      </c>
      <c r="BG525" s="65">
        <f t="shared" si="323"/>
        <v>0</v>
      </c>
      <c r="BH525" s="70">
        <v>0</v>
      </c>
      <c r="BI525" s="65">
        <f t="shared" si="324"/>
        <v>0</v>
      </c>
      <c r="BJ525" s="38">
        <f>IF(AND(BJ$7="○",$A525&gt;=BJ$8,$A525&lt;=BJ$9),IF(SUM(BJ$10:BJ524)-ROUNDDOWN($M525*BJ$5/100,0)&lt;-BJ$6,-BJ$6-SUM(BJ$10:BJ524),-ROUNDDOWN($M525*BJ$5/100,0)),0)</f>
        <v>0</v>
      </c>
      <c r="BK525" s="38">
        <f>IF(AND(BK$7="○",$A525&gt;=BK$8,$A525&lt;=BK$9),IF(SUM(BK$10:BK524)-ROUNDDOWN($L525*BK$5/100,0)&lt;-BK$6,-BK$6-SUM(BK$10:BK524),-ROUNDDOWN($L525*BK$5/100,0)),0)</f>
        <v>0</v>
      </c>
      <c r="BL525" s="38">
        <f>IF(AND(BL$7="○",$A525&gt;=BL$8,$A525&lt;=BL$9),IF(SUM(BL$10:BL524)-ROUNDDOWN($L525*BL$5/100,0)&lt;-BL$6,-BL$6-SUM(BL$10:BL524),-ROUNDDOWN($L525*BL$5/100,0)),0)</f>
        <v>0</v>
      </c>
      <c r="BM525" s="38">
        <f>IF(AND(BM$7="○",$A525&gt;=BM$8,$A525&lt;=BM$9),IF(SUM(BM$10:BM524)-ROUNDDOWN($M525*BM$5/100,0)&lt;-BM$6,-BM$6-SUM(BM$10:BM524),-ROUNDDOWN($M525*BM$5/100,0)),0)</f>
        <v>0</v>
      </c>
      <c r="BN525" s="38">
        <f>IF(AND(BN$7="○",$A525&gt;=BN$8,$A525&lt;=BN$9),IF(SUM(BN$10:BN524)-ROUNDDOWN($M525*BN$5/100,0)&lt;-BN$6,-BN$6-SUM(BN$10:BN524),-ROUNDDOWN($M525*BN$5/100,0)),0)</f>
        <v>0</v>
      </c>
      <c r="BO525" s="38">
        <f>IF(AND(BO$7="○",$A525&gt;=BO$8,$A525&lt;=BO$9),IF(SUM(BO$10:BO524)-ROUNDDOWN($M525*BO$5/100,0)&lt;-BO$6,-BO$6-SUM(BO$10:BO524),-ROUNDDOWN($M525*BO$5/100,0)),0)</f>
        <v>0</v>
      </c>
      <c r="BP525" s="38">
        <f>IF(AND(BP$7="○",$A525&gt;=BP$8,$A525&lt;=BP$9),IF(SUM(BP$10:BP524)-ROUNDDOWN($M525*BP$5/100,0)&lt;-BP$6,-BP$6-SUM(BP$10:BP524),-ROUNDDOWN($M525*BP$5/100,0)),0)</f>
        <v>0</v>
      </c>
      <c r="BQ525" s="38">
        <f>IF(AND(BQ$7="○",$A525&gt;=BQ$8,$A525&lt;=BQ$9),IF(SUM(BQ$10:BQ524)-ROUNDDOWN($L525*BQ$5/100,0)&lt;-BQ$6,-BQ$6-SUM(BQ$10:BQ524),-ROUNDDOWN($L525*BQ$5/100,0)),0)</f>
        <v>0</v>
      </c>
      <c r="BR525" s="38">
        <f>IF(AND(BR$7="○",$A525&gt;=BR$8,$A525&lt;=BR$9),IF(SUM(BR$10:BR524)-ROUNDDOWN($M525*BR$5/100,0)&lt;-BR$6,-BR$6-SUM(BR$10:BR524),-ROUNDDOWN($M525*BR$5/100,0)),0)</f>
        <v>0</v>
      </c>
      <c r="BS525" s="38">
        <f>IF(AND(BS$7="○",$A525&gt;=BS$8,$A525&lt;=BS$9),IF(SUM(BS$10:BS524)-ROUNDDOWN($M525*BS$5/100,0)&lt;-BS$6,-BS$6-SUM(BS$10:BS524),-ROUNDDOWN($M525*BS$5/100,0)),0)</f>
        <v>0</v>
      </c>
      <c r="BT525" s="38">
        <f>IF(AND(BT$7="○",$A525&gt;=BT$8,$A525&lt;=BT$9),IF(SUM(BT$10:BT524)-ROUNDDOWN($M525*BT$5/100,0)&lt;-BT$6,-BT$6-SUM(BT$10:BT524),-ROUNDDOWN($M525*BT$5/100,0)),0)</f>
        <v>0</v>
      </c>
      <c r="BU525" s="38">
        <f>IF(AND(BU$7="○",$A525&gt;=BU$8,$A525&lt;=BU$9),IF(SUM(BU$10:BU524)-ROUNDDOWN($M525*BU$5/100,0)&lt;-BU$6,-BU$6-SUM(BU$10:BU524),-ROUNDDOWN($M525*BU$5/100,0)),0)</f>
        <v>0</v>
      </c>
      <c r="BV525" s="38">
        <f>IF(AND(BV$7="○",$A525&gt;=BV$8,$A525&lt;=BV$9),IF(SUM(BV$10:BV524)-ROUNDDOWN($M525*BV$5/100,0)&lt;-BV$6,-BV$6-SUM(BV$10:BV524),-ROUNDDOWN($M525*BV$5/100,0)),0)</f>
        <v>0</v>
      </c>
      <c r="BW525" s="38">
        <f>IF(AND(BW$7="○",$A525&gt;=BW$8,$A525&lt;=BW$9),IF(SUM(BW$10:BW524)-ROUNDDOWN($M525*BW$5/100,0)&lt;-BW$6,-BW$6-SUM(BW$10:BW524),-ROUNDDOWN($M525*BW$5/100,0)),0)</f>
        <v>0</v>
      </c>
      <c r="BX525" s="38">
        <f>IF(AND(T525="○",$A525&gt;=BX$8,$A525&lt;=BX$9),IF(SUM(BX$10:BX524)-ROUNDDOWN($K525*BX$5/100,0)&lt;-BX$6,-BX$6-SUM(BX$10:BX524),-ROUNDDOWN($K525*BX$5/100,0)),0)</f>
        <v>0</v>
      </c>
      <c r="BY525" s="38">
        <f>IF(AND(U525="○",$A525&gt;=BY$8,$A525&lt;=BY$9),IF(SUM(BY$10:BY524)-ROUNDDOWN($K525*BY$5/100,0)&lt;-BY$6,-BY$6-SUM(BY$10:BY524),-ROUNDDOWN($K525*BY$5/100,0)),0)</f>
        <v>0</v>
      </c>
      <c r="BZ525" s="38">
        <f>IF(AND(V525="○",$A525&gt;=BZ$8,$A525&lt;=BZ$9),IF(SUM(BZ$10:BZ524)-ROUNDDOWN($K525*BZ$5/100,0)&lt;-BZ$6,-BZ$6-SUM(BZ$10:BZ524),-ROUNDDOWN($K525*BZ$5/100,0)),0)</f>
        <v>0</v>
      </c>
      <c r="CA525" s="38">
        <f>IF(AND(W525="○",$A525&gt;=CA$8,$A525&lt;=CA$9),IF(SUM(CA$10:CA524)-ROUNDDOWN($K525*CA$5/100,0)&lt;-CA$6,-CA$6-SUM(CA$10:CA524),-ROUNDDOWN($K525*CA$5/100,0)),0)</f>
        <v>0</v>
      </c>
      <c r="CB525" s="38"/>
      <c r="CC525" s="38"/>
      <c r="CD525" s="38"/>
      <c r="CE525" s="38"/>
      <c r="CF525" s="38"/>
      <c r="CG525" s="65">
        <f t="shared" si="325"/>
        <v>0</v>
      </c>
      <c r="CH525" s="71">
        <f t="shared" si="326"/>
        <v>0</v>
      </c>
      <c r="CI525" s="1">
        <f t="shared" si="337"/>
        <v>0</v>
      </c>
      <c r="CJ525" s="1"/>
      <c r="CK525" s="2"/>
      <c r="CL525" s="2"/>
      <c r="CM525" s="2"/>
      <c r="CN525" s="2"/>
      <c r="CO525" s="73">
        <f t="shared" si="338"/>
        <v>0</v>
      </c>
      <c r="CP525" s="5">
        <f t="shared" si="339"/>
        <v>0</v>
      </c>
      <c r="CQ525" s="1"/>
      <c r="CR525" s="1">
        <f t="shared" si="340"/>
        <v>0</v>
      </c>
      <c r="CS525" s="1"/>
      <c r="CT525" s="1" t="e">
        <f>INDEX([2]マスタ!$A:$A,MATCH(D525,[2]マスタ!$C:$C,0))</f>
        <v>#N/A</v>
      </c>
      <c r="CU525" s="1" t="str">
        <f t="shared" ca="1" si="341"/>
        <v>20260620_0-0</v>
      </c>
    </row>
    <row r="526" spans="1:99" x14ac:dyDescent="0.4">
      <c r="A526" s="61"/>
      <c r="B526" s="62"/>
      <c r="C526" s="62"/>
      <c r="D526" s="62"/>
      <c r="E526" s="74"/>
      <c r="F526" s="62"/>
      <c r="G526" s="62">
        <v>1</v>
      </c>
      <c r="H526" s="64">
        <f t="shared" si="4"/>
        <v>0</v>
      </c>
      <c r="I526" s="64"/>
      <c r="J526" s="64"/>
      <c r="K526" s="65">
        <f t="shared" ref="K526:K537" si="346">+ROUNDDOWN((H526+I526)/100,0)*100</f>
        <v>0</v>
      </c>
      <c r="L526" s="65">
        <f t="shared" si="6"/>
        <v>0</v>
      </c>
      <c r="M526" s="65">
        <f t="shared" si="7"/>
        <v>0</v>
      </c>
      <c r="N526" s="65">
        <f t="shared" si="8"/>
        <v>0</v>
      </c>
      <c r="O526" s="66" t="str">
        <f t="shared" si="9"/>
        <v>✕</v>
      </c>
      <c r="P526" s="67" t="str">
        <f t="shared" si="10"/>
        <v>○</v>
      </c>
      <c r="Q526" s="67" t="str">
        <f t="shared" ref="Q526:Q537" si="347">+IF((TEXT($A526,"DD")+0)=1,"○","✕")</f>
        <v>✕</v>
      </c>
      <c r="R526" s="67" t="str">
        <f t="shared" si="12"/>
        <v>✕</v>
      </c>
      <c r="S526" s="68">
        <v>0</v>
      </c>
      <c r="T526" s="69" t="s">
        <v>85</v>
      </c>
      <c r="U526" s="69" t="s">
        <v>85</v>
      </c>
      <c r="V526" s="69" t="s">
        <v>85</v>
      </c>
      <c r="W526" s="69" t="s">
        <v>85</v>
      </c>
      <c r="X526" s="69" t="s">
        <v>84</v>
      </c>
      <c r="Y526" s="69" t="s">
        <v>85</v>
      </c>
      <c r="Z526" s="69" t="s">
        <v>85</v>
      </c>
      <c r="AA526" s="69" t="s">
        <v>85</v>
      </c>
      <c r="AB526" s="69" t="s">
        <v>85</v>
      </c>
      <c r="AC526" s="69" t="s">
        <v>85</v>
      </c>
      <c r="AD526" s="38" t="str">
        <f>+IF(ISERROR(VLOOKUP($B526,#REF!,1,0)),IF(AND($N526&gt;=1000,$A526&gt;=AO$8,$A526&lt;=AO$9),$B526,""),"")</f>
        <v/>
      </c>
      <c r="AE526" s="38" t="str">
        <f>+IF(ISERROR(VLOOKUP($B526,#REF!,1,0)),IF(AND($N526&gt;=1000,$A526&gt;=AP$8,$A526&lt;=AP$9),$B526,""),"")</f>
        <v/>
      </c>
      <c r="AF526" s="38" t="str">
        <f>+IF(ISERROR(VLOOKUP($B526,#REF!,1,0)),IF(AND($N526&gt;=1000,$A526&gt;=AQ$8,$A526&lt;=AQ$9),$B526,""),"")</f>
        <v/>
      </c>
      <c r="AG526" s="38" t="str">
        <f>+IF(ISERROR(VLOOKUP($B526,#REF!,1,0)),IF(AND($N526&gt;=1000,$A526&gt;=AR$8,$A526&lt;=AR$9),$B526,""),"")</f>
        <v/>
      </c>
      <c r="AH526" s="38"/>
      <c r="AI526" s="70">
        <v>0</v>
      </c>
      <c r="AJ526" s="38">
        <f>IF(AND(AJ$7="○",$A526&gt;=AJ$8,$A526&lt;=AJ$9),IF(SUM(AJ$10:AJ525)-ROUNDDOWN($K526*AJ$5/100,0)&lt;-AJ$6,-AJ$6-SUM(AJ$10:AJ525),-ROUNDDOWN($K526*AJ$5/100,0)),0)</f>
        <v>0</v>
      </c>
      <c r="AK526" s="38">
        <f>IF(AND(AK$7="○",$A526&gt;=AK$8,$A526&lt;=AK$9),IF(SUM(AK$10:AK525)-ROUNDDOWN($L526*AK$5/100,0)&lt;-AK$6,-AK$6-SUM(AK$10:AK525),-ROUNDDOWN($L526*AK$5/100,0)),0)</f>
        <v>0</v>
      </c>
      <c r="AL526" s="38">
        <f>IF(AND(AL$7="○",$A526&gt;=AL$8,$A526&lt;=AL$9),IF(SUM(AL$10:AL525)-ROUNDDOWN($N526*AL$5/100,0)&lt;-AL$6,-AL$6-SUM(AL$10:AL525),-ROUNDDOWN($N526*AL$5/100,0)),0)</f>
        <v>0</v>
      </c>
      <c r="AM526" s="38">
        <f>IF(AND(AM$7="○",$A526&gt;=AM$8,$A526&lt;=AM$9),IF(SUM(AM$10:AM525)-ROUNDDOWN($L526*AM$5/100,0)&lt;-AM$6,-AM$6-SUM(AM$10:AM525),-ROUNDDOWN($L526*AM$5/100,0)),0)</f>
        <v>0</v>
      </c>
      <c r="AN526" s="38">
        <f>IF(AND(AN$7="○",$A526&gt;=AN$8,$A526&lt;=AN$9),IF(SUM(AN$10:AN525)-ROUNDDOWN($M526*AN$5/100,0)&lt;-AN$6,-AN$6-SUM(AN$10:AN525),-ROUNDDOWN($M526*AN$5/100,0)),0)</f>
        <v>0</v>
      </c>
      <c r="AO526" s="38">
        <f>IF(AND($A526&gt;=AO$8,$A526&lt;=AO$9),IF(SUM(AO$10:AO525)-ROUNDDOWN($K526*AO$5/100,0)&lt;-AO$6,-AO$6-SUM(AO$10:AO525),-ROUNDDOWN($K526*AO$5/100,0)),0)</f>
        <v>0</v>
      </c>
      <c r="AP526" s="38">
        <f>IF(AND($A526&gt;=AP$8,$A526&lt;=AP$9),IF(SUM(AP$10:AP525)-ROUNDDOWN($K526*AP$5/100,0)&lt;-AP$6,-AP$6-SUM(AP$10:AP525),-ROUNDDOWN($K526*AP$5/100,0)),0)</f>
        <v>0</v>
      </c>
      <c r="AQ526" s="38">
        <f>IF(AND($A526&gt;=AQ$8,$A526&lt;=AQ$9),IF(SUM(AQ$10:AQ525)-ROUNDDOWN($K526*AQ$5/100,0)&lt;-AQ$6,-AQ$6-SUM(AQ$10:AQ525),-ROUNDDOWN($K526*AQ$5/100,0)),0)</f>
        <v>0</v>
      </c>
      <c r="AR526" s="38">
        <f>IF(AND($A526&gt;=AR$8,$A526&lt;=AR$9),IF(SUM(AR$10:AR525)-ROUNDDOWN($K526*AR$5/100,0)&lt;-AR$6,-AR$6-SUM(AR$10:AR525),-ROUNDDOWN($K526*AR$5/100,0)),0)</f>
        <v>0</v>
      </c>
      <c r="AS526" s="38">
        <f>IF(SUMIFS(AS$10:AS525,$A$10:$A525,$A526)-ROUNDDOWN($K526*$S526/100,0)&lt;-$S526*1000,-$S526*1000-SUMIFS(AS$10:AS525,$A$10:$A525,$A526),-ROUNDDOWN($K526*$S526/100,0))</f>
        <v>0</v>
      </c>
      <c r="AT526" s="38">
        <f>IF(AND(X526="○",$A526&gt;=AT$8,$A526&lt;=AT$9,K526&gt;=3980),IF(SUM(AT$10:AT525)-ROUNDDOWN($K526*AT$5/100,0)&lt;-AT$6,-AT$6-SUM(AT$10:AT525),-ROUNDDOWN($K526*AT$5/100,0)),0)</f>
        <v>0</v>
      </c>
      <c r="AU526" s="38">
        <f>IF(O526="○",IF(SUM(AU$10:AU525)-ROUNDDOWN($K526*AU$5/100,0)&lt;-AU$6,-AU$6-SUM(AU$10:AU525),-ROUNDDOWN($K526*AU$5/100,0)),0)</f>
        <v>0</v>
      </c>
      <c r="AV526" s="38">
        <f>IF(P526="○",IF(SUM(AV$10:AV525)-ROUNDDOWN($K526*AV$5/100,0)&lt;-AV$6,-AV$6-SUM(AV$10:AV525),-ROUNDDOWN($K526*AV$5/100,0)),0)</f>
        <v>0</v>
      </c>
      <c r="AW526" s="38">
        <f>IF(Q526="○",IF(SUM(AW$10:AW525)-ROUNDDOWN($K526*AW$5/100,0)&lt;-AW$6,-AW$6-SUM(AW$10:AW525),-ROUNDDOWN($K526*AW$5/100,0)),0)</f>
        <v>0</v>
      </c>
      <c r="AX526" s="38">
        <f>IF(R526="○",IF(SUM(AX$10:AX525)-ROUNDDOWN($K526*AX$5/100,0)&lt;-AX$6,-AX$6-SUM(AX$10:AX525),-ROUNDDOWN($K526*AX$5/100,0)),0)</f>
        <v>0</v>
      </c>
      <c r="AY526" s="70">
        <v>0</v>
      </c>
      <c r="AZ526" s="65">
        <f t="shared" si="319"/>
        <v>0</v>
      </c>
      <c r="BA526" s="65">
        <f t="shared" si="320"/>
        <v>0</v>
      </c>
      <c r="BB526" s="70"/>
      <c r="BC526" s="65">
        <f t="shared" si="321"/>
        <v>0</v>
      </c>
      <c r="BD526" s="70">
        <v>0</v>
      </c>
      <c r="BE526" s="65">
        <f t="shared" si="322"/>
        <v>0</v>
      </c>
      <c r="BF526" s="70">
        <v>0</v>
      </c>
      <c r="BG526" s="65">
        <f t="shared" si="323"/>
        <v>0</v>
      </c>
      <c r="BH526" s="70">
        <v>0</v>
      </c>
      <c r="BI526" s="65">
        <f t="shared" si="324"/>
        <v>0</v>
      </c>
      <c r="BJ526" s="38">
        <f>IF(AND(BJ$7="○",$A526&gt;=BJ$8,$A526&lt;=BJ$9),IF(SUM(BJ$10:BJ525)-ROUNDDOWN($M526*BJ$5/100,0)&lt;-BJ$6,-BJ$6-SUM(BJ$10:BJ525),-ROUNDDOWN($M526*BJ$5/100,0)),0)</f>
        <v>0</v>
      </c>
      <c r="BK526" s="38">
        <f>IF(AND(BK$7="○",$A526&gt;=BK$8,$A526&lt;=BK$9),IF(SUM(BK$10:BK525)-ROUNDDOWN($L526*BK$5/100,0)&lt;-BK$6,-BK$6-SUM(BK$10:BK525),-ROUNDDOWN($L526*BK$5/100,0)),0)</f>
        <v>0</v>
      </c>
      <c r="BL526" s="38">
        <f>IF(AND(BL$7="○",$A526&gt;=BL$8,$A526&lt;=BL$9),IF(SUM(BL$10:BL525)-ROUNDDOWN($L526*BL$5/100,0)&lt;-BL$6,-BL$6-SUM(BL$10:BL525),-ROUNDDOWN($L526*BL$5/100,0)),0)</f>
        <v>0</v>
      </c>
      <c r="BM526" s="38">
        <f>IF(AND(BM$7="○",$A526&gt;=BM$8,$A526&lt;=BM$9),IF(SUM(BM$10:BM525)-ROUNDDOWN($M526*BM$5/100,0)&lt;-BM$6,-BM$6-SUM(BM$10:BM525),-ROUNDDOWN($M526*BM$5/100,0)),0)</f>
        <v>0</v>
      </c>
      <c r="BN526" s="38">
        <f>IF(AND(BN$7="○",$A526&gt;=BN$8,$A526&lt;=BN$9),IF(SUM(BN$10:BN525)-ROUNDDOWN($M526*BN$5/100,0)&lt;-BN$6,-BN$6-SUM(BN$10:BN525),-ROUNDDOWN($M526*BN$5/100,0)),0)</f>
        <v>0</v>
      </c>
      <c r="BO526" s="38">
        <f>IF(AND(BO$7="○",$A526&gt;=BO$8,$A526&lt;=BO$9),IF(SUM(BO$10:BO525)-ROUNDDOWN($M526*BO$5/100,0)&lt;-BO$6,-BO$6-SUM(BO$10:BO525),-ROUNDDOWN($M526*BO$5/100,0)),0)</f>
        <v>0</v>
      </c>
      <c r="BP526" s="38">
        <f>IF(AND(BP$7="○",$A526&gt;=BP$8,$A526&lt;=BP$9),IF(SUM(BP$10:BP525)-ROUNDDOWN($M526*BP$5/100,0)&lt;-BP$6,-BP$6-SUM(BP$10:BP525),-ROUNDDOWN($M526*BP$5/100,0)),0)</f>
        <v>0</v>
      </c>
      <c r="BQ526" s="38">
        <f>IF(AND(BQ$7="○",$A526&gt;=BQ$8,$A526&lt;=BQ$9),IF(SUM(BQ$10:BQ525)-ROUNDDOWN($L526*BQ$5/100,0)&lt;-BQ$6,-BQ$6-SUM(BQ$10:BQ525),-ROUNDDOWN($L526*BQ$5/100,0)),0)</f>
        <v>0</v>
      </c>
      <c r="BR526" s="38">
        <f>IF(AND(BR$7="○",$A526&gt;=BR$8,$A526&lt;=BR$9),IF(SUM(BR$10:BR525)-ROUNDDOWN($M526*BR$5/100,0)&lt;-BR$6,-BR$6-SUM(BR$10:BR525),-ROUNDDOWN($M526*BR$5/100,0)),0)</f>
        <v>0</v>
      </c>
      <c r="BS526" s="38">
        <f>IF(AND(BS$7="○",$A526&gt;=BS$8,$A526&lt;=BS$9),IF(SUM(BS$10:BS525)-ROUNDDOWN($M526*BS$5/100,0)&lt;-BS$6,-BS$6-SUM(BS$10:BS525),-ROUNDDOWN($M526*BS$5/100,0)),0)</f>
        <v>0</v>
      </c>
      <c r="BT526" s="38">
        <f>IF(AND(BT$7="○",$A526&gt;=BT$8,$A526&lt;=BT$9),IF(SUM(BT$10:BT525)-ROUNDDOWN($M526*BT$5/100,0)&lt;-BT$6,-BT$6-SUM(BT$10:BT525),-ROUNDDOWN($M526*BT$5/100,0)),0)</f>
        <v>0</v>
      </c>
      <c r="BU526" s="38">
        <f>IF(AND(BU$7="○",$A526&gt;=BU$8,$A526&lt;=BU$9),IF(SUM(BU$10:BU525)-ROUNDDOWN($M526*BU$5/100,0)&lt;-BU$6,-BU$6-SUM(BU$10:BU525),-ROUNDDOWN($M526*BU$5/100,0)),0)</f>
        <v>0</v>
      </c>
      <c r="BV526" s="38">
        <f>IF(AND(BV$7="○",$A526&gt;=BV$8,$A526&lt;=BV$9),IF(SUM(BV$10:BV525)-ROUNDDOWN($M526*BV$5/100,0)&lt;-BV$6,-BV$6-SUM(BV$10:BV525),-ROUNDDOWN($M526*BV$5/100,0)),0)</f>
        <v>0</v>
      </c>
      <c r="BW526" s="38">
        <f>IF(AND(BW$7="○",$A526&gt;=BW$8,$A526&lt;=BW$9),IF(SUM(BW$10:BW525)-ROUNDDOWN($M526*BW$5/100,0)&lt;-BW$6,-BW$6-SUM(BW$10:BW525),-ROUNDDOWN($M526*BW$5/100,0)),0)</f>
        <v>0</v>
      </c>
      <c r="BX526" s="38">
        <f>IF(AND(T526="○",$A526&gt;=BX$8,$A526&lt;=BX$9),IF(SUM(BX$10:BX525)-ROUNDDOWN($K526*BX$5/100,0)&lt;-BX$6,-BX$6-SUM(BX$10:BX525),-ROUNDDOWN($K526*BX$5/100,0)),0)</f>
        <v>0</v>
      </c>
      <c r="BY526" s="38">
        <f>IF(AND(U526="○",$A526&gt;=BY$8,$A526&lt;=BY$9),IF(SUM(BY$10:BY525)-ROUNDDOWN($K526*BY$5/100,0)&lt;-BY$6,-BY$6-SUM(BY$10:BY525),-ROUNDDOWN($K526*BY$5/100,0)),0)</f>
        <v>0</v>
      </c>
      <c r="BZ526" s="38">
        <f>IF(AND(V526="○",$A526&gt;=BZ$8,$A526&lt;=BZ$9),IF(SUM(BZ$10:BZ525)-ROUNDDOWN($K526*BZ$5/100,0)&lt;-BZ$6,-BZ$6-SUM(BZ$10:BZ525),-ROUNDDOWN($K526*BZ$5/100,0)),0)</f>
        <v>0</v>
      </c>
      <c r="CA526" s="38">
        <f>IF(AND(W526="○",$A526&gt;=CA$8,$A526&lt;=CA$9),IF(SUM(CA$10:CA525)-ROUNDDOWN($K526*CA$5/100,0)&lt;-CA$6,-CA$6-SUM(CA$10:CA525),-ROUNDDOWN($K526*CA$5/100,0)),0)</f>
        <v>0</v>
      </c>
      <c r="CB526" s="38"/>
      <c r="CC526" s="38"/>
      <c r="CD526" s="38"/>
      <c r="CE526" s="38"/>
      <c r="CF526" s="38"/>
      <c r="CG526" s="65">
        <f t="shared" si="325"/>
        <v>0</v>
      </c>
      <c r="CH526" s="71">
        <f t="shared" si="326"/>
        <v>0</v>
      </c>
      <c r="CI526" s="1">
        <f t="shared" si="19"/>
        <v>0</v>
      </c>
      <c r="CJ526" s="1"/>
      <c r="CK526" s="72"/>
      <c r="CL526" s="72"/>
      <c r="CM526" s="2"/>
      <c r="CN526" s="2"/>
      <c r="CO526" s="73">
        <f t="shared" si="20"/>
        <v>0</v>
      </c>
      <c r="CP526" s="5">
        <f t="shared" si="21"/>
        <v>0</v>
      </c>
      <c r="CQ526" s="1"/>
      <c r="CR526" s="1">
        <f t="shared" si="22"/>
        <v>0</v>
      </c>
      <c r="CS526" s="1"/>
      <c r="CT526" s="1" t="e">
        <f>INDEX([2]マスタ!$A:$A,MATCH(D526,[2]マスタ!$C:$C,0))</f>
        <v>#N/A</v>
      </c>
      <c r="CU526" s="1" t="str">
        <f t="shared" ca="1" si="23"/>
        <v>20260620_0-0</v>
      </c>
    </row>
    <row r="527" spans="1:99" x14ac:dyDescent="0.4">
      <c r="A527" s="61"/>
      <c r="B527" s="62"/>
      <c r="C527" s="62"/>
      <c r="D527" s="62"/>
      <c r="E527" s="76"/>
      <c r="F527" s="62"/>
      <c r="G527" s="62">
        <v>1</v>
      </c>
      <c r="H527" s="64">
        <f t="shared" si="4"/>
        <v>0</v>
      </c>
      <c r="I527" s="64"/>
      <c r="J527" s="64"/>
      <c r="K527" s="65">
        <f t="shared" si="346"/>
        <v>0</v>
      </c>
      <c r="L527" s="65">
        <f t="shared" si="6"/>
        <v>0</v>
      </c>
      <c r="M527" s="65">
        <f t="shared" si="7"/>
        <v>0</v>
      </c>
      <c r="N527" s="65">
        <f t="shared" si="8"/>
        <v>0</v>
      </c>
      <c r="O527" s="66" t="str">
        <f t="shared" si="9"/>
        <v>✕</v>
      </c>
      <c r="P527" s="67" t="str">
        <f t="shared" si="10"/>
        <v>○</v>
      </c>
      <c r="Q527" s="67" t="str">
        <f t="shared" si="347"/>
        <v>✕</v>
      </c>
      <c r="R527" s="67" t="str">
        <f t="shared" si="12"/>
        <v>✕</v>
      </c>
      <c r="S527" s="68">
        <v>0</v>
      </c>
      <c r="T527" s="69" t="s">
        <v>85</v>
      </c>
      <c r="U527" s="69" t="s">
        <v>85</v>
      </c>
      <c r="V527" s="69" t="s">
        <v>85</v>
      </c>
      <c r="W527" s="69" t="s">
        <v>85</v>
      </c>
      <c r="X527" s="69" t="s">
        <v>84</v>
      </c>
      <c r="Y527" s="69" t="s">
        <v>85</v>
      </c>
      <c r="Z527" s="69" t="s">
        <v>85</v>
      </c>
      <c r="AA527" s="69" t="s">
        <v>85</v>
      </c>
      <c r="AB527" s="69" t="s">
        <v>85</v>
      </c>
      <c r="AC527" s="69" t="s">
        <v>85</v>
      </c>
      <c r="AD527" s="38" t="str">
        <f>+IF(ISERROR(VLOOKUP($B527,AD$10:AD526,1,0)),IF(AND($N527&gt;=1000,$A527&gt;=AO$8,$A527&lt;=AO$9),$B527,""),"")</f>
        <v/>
      </c>
      <c r="AE527" s="38" t="str">
        <f>+IF(ISERROR(VLOOKUP($B527,AE$10:AE526,1,0)),IF(AND($N527&gt;=1000,$A527&gt;=AP$8,$A527&lt;=AP$9),$B527,""),"")</f>
        <v/>
      </c>
      <c r="AF527" s="38" t="str">
        <f>+IF(ISERROR(VLOOKUP($B527,AF$10:AF526,1,0)),IF(AND($N527&gt;=1000,$A527&gt;=AQ$8,$A527&lt;=AQ$9),$B527,""),"")</f>
        <v/>
      </c>
      <c r="AG527" s="38" t="str">
        <f>+IF(ISERROR(VLOOKUP($B527,AG$10:AG526,1,0)),IF(AND($N527&gt;=1000,$A527&gt;=AR$8,$A527&lt;=AR$9),$B527,""),"")</f>
        <v/>
      </c>
      <c r="AH527" s="38"/>
      <c r="AI527" s="70">
        <v>0</v>
      </c>
      <c r="AJ527" s="38">
        <f>IF(AND(AJ$7="○",$A527&gt;=AJ$8,$A527&lt;=AJ$9),IF(SUM(AJ$10:AJ526)-ROUNDDOWN($K527*AJ$5/100,0)&lt;-AJ$6,-AJ$6-SUM(AJ$10:AJ526),-ROUNDDOWN($K527*AJ$5/100,0)),0)</f>
        <v>0</v>
      </c>
      <c r="AK527" s="38">
        <f>IF(AND(AK$7="○",$A527&gt;=AK$8,$A527&lt;=AK$9),IF(SUM(AK$10:AK526)-ROUNDDOWN($L527*AK$5/100,0)&lt;-AK$6,-AK$6-SUM(AK$10:AK526),-ROUNDDOWN($L527*AK$5/100,0)),0)</f>
        <v>0</v>
      </c>
      <c r="AL527" s="38">
        <f>IF(AND(AL$7="○",$A527&gt;=AL$8,$A527&lt;=AL$9),IF(SUM(AL$10:AL526)-ROUNDDOWN($N527*AL$5/100,0)&lt;-AL$6,-AL$6-SUM(AL$10:AL526),-ROUNDDOWN($N527*AL$5/100,0)),0)</f>
        <v>0</v>
      </c>
      <c r="AM527" s="38">
        <f>IF(AND(AM$7="○",$A527&gt;=AM$8,$A527&lt;=AM$9),IF(SUM(AM$10:AM526)-ROUNDDOWN($L527*AM$5/100,0)&lt;-AM$6,-AM$6-SUM(AM$10:AM526),-ROUNDDOWN($L527*AM$5/100,0)),0)</f>
        <v>0</v>
      </c>
      <c r="AN527" s="38">
        <f>IF(AND(AN$7="○",$A527&gt;=AN$8,$A527&lt;=AN$9),IF(SUM(AN$10:AN526)-ROUNDDOWN($M527*AN$5/100,0)&lt;-AN$6,-AN$6-SUM(AN$10:AN526),-ROUNDDOWN($M527*AN$5/100,0)),0)</f>
        <v>0</v>
      </c>
      <c r="AO527" s="38">
        <f>IF(AND($A527&gt;=AO$8,$A527&lt;=AO$9),IF(SUM(AO$10:AO526)-ROUNDDOWN($K527*AO$5/100,0)&lt;-AO$6,-AO$6-SUM(AO$10:AO526),-ROUNDDOWN($K527*AO$5/100,0)),0)</f>
        <v>0</v>
      </c>
      <c r="AP527" s="38">
        <f>IF(AND($A527&gt;=AP$8,$A527&lt;=AP$9),IF(SUM(AP$10:AP526)-ROUNDDOWN($K527*AP$5/100,0)&lt;-AP$6,-AP$6-SUM(AP$10:AP526),-ROUNDDOWN($K527*AP$5/100,0)),0)</f>
        <v>0</v>
      </c>
      <c r="AQ527" s="38">
        <f>IF(AND($A527&gt;=AQ$8,$A527&lt;=AQ$9),IF(SUM(AQ$10:AQ526)-ROUNDDOWN($K527*AQ$5/100,0)&lt;-AQ$6,-AQ$6-SUM(AQ$10:AQ526),-ROUNDDOWN($K527*AQ$5/100,0)),0)</f>
        <v>0</v>
      </c>
      <c r="AR527" s="38">
        <f>IF(AND($A527&gt;=AR$8,$A527&lt;=AR$9),IF(SUM(AR$10:AR526)-ROUNDDOWN($K527*AR$5/100,0)&lt;-AR$6,-AR$6-SUM(AR$10:AR526),-ROUNDDOWN($K527*AR$5/100,0)),0)</f>
        <v>0</v>
      </c>
      <c r="AS527" s="38">
        <f>IF(SUMIFS(AS$10:AS526,$A$10:$A526,$A527)-ROUNDDOWN($K527*$S527/100,0)&lt;-$S527*1000,-$S527*1000-SUMIFS(AS$10:AS526,$A$10:$A526,$A527),-ROUNDDOWN($K527*$S527/100,0))</f>
        <v>0</v>
      </c>
      <c r="AT527" s="38">
        <f>IF(AND(X527="○",$A527&gt;=AT$8,$A527&lt;=AT$9,K527&gt;=3980),IF(SUM(AT$10:AT526)-ROUNDDOWN($K527*AT$5/100,0)&lt;-AT$6,-AT$6-SUM(AT$10:AT526),-ROUNDDOWN($K527*AT$5/100,0)),0)</f>
        <v>0</v>
      </c>
      <c r="AU527" s="38">
        <f>IF(O527="○",IF(SUM(AU$10:AU526)-ROUNDDOWN($K527*AU$5/100,0)&lt;-AU$6,-AU$6-SUM(AU$10:AU526),-ROUNDDOWN($K527*AU$5/100,0)),0)</f>
        <v>0</v>
      </c>
      <c r="AV527" s="38">
        <f>IF(P527="○",IF(SUM(AV$10:AV526)-ROUNDDOWN($K527*AV$5/100,0)&lt;-AV$6,-AV$6-SUM(AV$10:AV526),-ROUNDDOWN($K527*AV$5/100,0)),0)</f>
        <v>0</v>
      </c>
      <c r="AW527" s="38">
        <f>IF(Q527="○",IF(SUM(AW$10:AW526)-ROUNDDOWN($K527*AW$5/100,0)&lt;-AW$6,-AW$6-SUM(AW$10:AW526),-ROUNDDOWN($K527*AW$5/100,0)),0)</f>
        <v>0</v>
      </c>
      <c r="AX527" s="38">
        <f>IF(R527="○",IF(SUM(AX$10:AX526)-ROUNDDOWN($K527*AX$5/100,0)&lt;-AX$6,-AX$6-SUM(AX$10:AX526),-ROUNDDOWN($K527*AX$5/100,0)),0)</f>
        <v>0</v>
      </c>
      <c r="AY527" s="70">
        <v>0</v>
      </c>
      <c r="AZ527" s="65">
        <f t="shared" si="319"/>
        <v>0</v>
      </c>
      <c r="BA527" s="65">
        <f t="shared" si="320"/>
        <v>0</v>
      </c>
      <c r="BB527" s="70"/>
      <c r="BC527" s="65">
        <f t="shared" si="321"/>
        <v>0</v>
      </c>
      <c r="BD527" s="70">
        <v>0</v>
      </c>
      <c r="BE527" s="65">
        <f t="shared" si="322"/>
        <v>0</v>
      </c>
      <c r="BF527" s="70">
        <v>0</v>
      </c>
      <c r="BG527" s="65">
        <f t="shared" si="323"/>
        <v>0</v>
      </c>
      <c r="BH527" s="70">
        <v>0</v>
      </c>
      <c r="BI527" s="65">
        <f t="shared" si="324"/>
        <v>0</v>
      </c>
      <c r="BJ527" s="38">
        <f>IF(AND(BJ$7="○",$A527&gt;=BJ$8,$A527&lt;=BJ$9),IF(SUM(BJ$10:BJ526)-ROUNDDOWN($M527*BJ$5/100,0)&lt;-BJ$6,-BJ$6-SUM(BJ$10:BJ526),-ROUNDDOWN($M527*BJ$5/100,0)),0)</f>
        <v>0</v>
      </c>
      <c r="BK527" s="38">
        <f>IF(AND(BK$7="○",$A527&gt;=BK$8,$A527&lt;=BK$9),IF(SUM(BK$10:BK526)-ROUNDDOWN($L527*BK$5/100,0)&lt;-BK$6,-BK$6-SUM(BK$10:BK526),-ROUNDDOWN($L527*BK$5/100,0)),0)</f>
        <v>0</v>
      </c>
      <c r="BL527" s="38">
        <f>IF(AND(BL$7="○",$A527&gt;=BL$8,$A527&lt;=BL$9),IF(SUM(BL$10:BL526)-ROUNDDOWN($L527*BL$5/100,0)&lt;-BL$6,-BL$6-SUM(BL$10:BL526),-ROUNDDOWN($L527*BL$5/100,0)),0)</f>
        <v>0</v>
      </c>
      <c r="BM527" s="38">
        <f>IF(AND(BM$7="○",$A527&gt;=BM$8,$A527&lt;=BM$9),IF(SUM(BM$10:BM526)-ROUNDDOWN($M527*BM$5/100,0)&lt;-BM$6,-BM$6-SUM(BM$10:BM526),-ROUNDDOWN($M527*BM$5/100,0)),0)</f>
        <v>0</v>
      </c>
      <c r="BN527" s="38">
        <f>IF(AND(BN$7="○",$A527&gt;=BN$8,$A527&lt;=BN$9),IF(SUM(BN$10:BN526)-ROUNDDOWN($M527*BN$5/100,0)&lt;-BN$6,-BN$6-SUM(BN$10:BN526),-ROUNDDOWN($M527*BN$5/100,0)),0)</f>
        <v>0</v>
      </c>
      <c r="BO527" s="38">
        <f>IF(AND(BO$7="○",$A527&gt;=BO$8,$A527&lt;=BO$9),IF(SUM(BO$10:BO526)-ROUNDDOWN($M527*BO$5/100,0)&lt;-BO$6,-BO$6-SUM(BO$10:BO526),-ROUNDDOWN($M527*BO$5/100,0)),0)</f>
        <v>0</v>
      </c>
      <c r="BP527" s="38">
        <f>IF(AND(BP$7="○",$A527&gt;=BP$8,$A527&lt;=BP$9),IF(SUM(BP$10:BP526)-ROUNDDOWN($M527*BP$5/100,0)&lt;-BP$6,-BP$6-SUM(BP$10:BP526),-ROUNDDOWN($M527*BP$5/100,0)),0)</f>
        <v>0</v>
      </c>
      <c r="BQ527" s="38">
        <f>IF(AND(BQ$7="○",$A527&gt;=BQ$8,$A527&lt;=BQ$9),IF(SUM(BQ$10:BQ526)-ROUNDDOWN($L527*BQ$5/100,0)&lt;-BQ$6,-BQ$6-SUM(BQ$10:BQ526),-ROUNDDOWN($L527*BQ$5/100,0)),0)</f>
        <v>0</v>
      </c>
      <c r="BR527" s="38">
        <f>IF(AND(BR$7="○",$A527&gt;=BR$8,$A527&lt;=BR$9),IF(SUM(BR$10:BR526)-ROUNDDOWN($M527*BR$5/100,0)&lt;-BR$6,-BR$6-SUM(BR$10:BR526),-ROUNDDOWN($M527*BR$5/100,0)),0)</f>
        <v>0</v>
      </c>
      <c r="BS527" s="38">
        <f>IF(AND(BS$7="○",$A527&gt;=BS$8,$A527&lt;=BS$9),IF(SUM(BS$10:BS526)-ROUNDDOWN($M527*BS$5/100,0)&lt;-BS$6,-BS$6-SUM(BS$10:BS526),-ROUNDDOWN($M527*BS$5/100,0)),0)</f>
        <v>0</v>
      </c>
      <c r="BT527" s="38">
        <f>IF(AND(BT$7="○",$A527&gt;=BT$8,$A527&lt;=BT$9),IF(SUM(BT$10:BT526)-ROUNDDOWN($M527*BT$5/100,0)&lt;-BT$6,-BT$6-SUM(BT$10:BT526),-ROUNDDOWN($M527*BT$5/100,0)),0)</f>
        <v>0</v>
      </c>
      <c r="BU527" s="38">
        <f>IF(AND(BU$7="○",$A527&gt;=BU$8,$A527&lt;=BU$9),IF(SUM(BU$10:BU526)-ROUNDDOWN($M527*BU$5/100,0)&lt;-BU$6,-BU$6-SUM(BU$10:BU526),-ROUNDDOWN($M527*BU$5/100,0)),0)</f>
        <v>0</v>
      </c>
      <c r="BV527" s="38">
        <f>IF(AND(BV$7="○",$A527&gt;=BV$8,$A527&lt;=BV$9),IF(SUM(BV$10:BV526)-ROUNDDOWN($M527*BV$5/100,0)&lt;-BV$6,-BV$6-SUM(BV$10:BV526),-ROUNDDOWN($M527*BV$5/100,0)),0)</f>
        <v>0</v>
      </c>
      <c r="BW527" s="38">
        <f>IF(AND(BW$7="○",$A527&gt;=BW$8,$A527&lt;=BW$9),IF(SUM(BW$10:BW526)-ROUNDDOWN($M527*BW$5/100,0)&lt;-BW$6,-BW$6-SUM(BW$10:BW526),-ROUNDDOWN($M527*BW$5/100,0)),0)</f>
        <v>0</v>
      </c>
      <c r="BX527" s="38">
        <f>IF(AND(T527="○",$A527&gt;=BX$8,$A527&lt;=BX$9),IF(SUM(BX$10:BX526)-ROUNDDOWN($K527*BX$5/100,0)&lt;-BX$6,-BX$6-SUM(BX$10:BX526),-ROUNDDOWN($K527*BX$5/100,0)),0)</f>
        <v>0</v>
      </c>
      <c r="BY527" s="38">
        <f>IF(AND(U527="○",$A527&gt;=BY$8,$A527&lt;=BY$9),IF(SUM(BY$10:BY526)-ROUNDDOWN($K527*BY$5/100,0)&lt;-BY$6,-BY$6-SUM(BY$10:BY526),-ROUNDDOWN($K527*BY$5/100,0)),0)</f>
        <v>0</v>
      </c>
      <c r="BZ527" s="38">
        <f>IF(AND(V527="○",$A527&gt;=BZ$8,$A527&lt;=BZ$9),IF(SUM(BZ$10:BZ526)-ROUNDDOWN($K527*BZ$5/100,0)&lt;-BZ$6,-BZ$6-SUM(BZ$10:BZ526),-ROUNDDOWN($K527*BZ$5/100,0)),0)</f>
        <v>0</v>
      </c>
      <c r="CA527" s="38">
        <f>IF(AND(W527="○",$A527&gt;=CA$8,$A527&lt;=CA$9),IF(SUM(CA$10:CA526)-ROUNDDOWN($K527*CA$5/100,0)&lt;-CA$6,-CA$6-SUM(CA$10:CA526),-ROUNDDOWN($K527*CA$5/100,0)),0)</f>
        <v>0</v>
      </c>
      <c r="CB527" s="38"/>
      <c r="CC527" s="38"/>
      <c r="CD527" s="38"/>
      <c r="CE527" s="38"/>
      <c r="CF527" s="38"/>
      <c r="CG527" s="65">
        <f t="shared" si="325"/>
        <v>0</v>
      </c>
      <c r="CH527" s="71">
        <f t="shared" si="326"/>
        <v>0</v>
      </c>
      <c r="CI527" s="1">
        <f t="shared" si="19"/>
        <v>0</v>
      </c>
      <c r="CJ527" s="1"/>
      <c r="CK527" s="72"/>
      <c r="CL527" s="72"/>
      <c r="CM527" s="2"/>
      <c r="CN527" s="2"/>
      <c r="CO527" s="73">
        <f t="shared" si="20"/>
        <v>0</v>
      </c>
      <c r="CP527" s="5">
        <f t="shared" si="21"/>
        <v>0</v>
      </c>
      <c r="CQ527" s="1"/>
      <c r="CR527" s="1">
        <f t="shared" si="22"/>
        <v>0</v>
      </c>
      <c r="CS527" s="1"/>
      <c r="CT527" s="1" t="e">
        <f>INDEX([2]マスタ!$A:$A,MATCH(D527,[2]マスタ!$C:$C,0))</f>
        <v>#N/A</v>
      </c>
      <c r="CU527" s="1" t="str">
        <f t="shared" ca="1" si="23"/>
        <v>20260620_0-0</v>
      </c>
    </row>
    <row r="528" spans="1:99" x14ac:dyDescent="0.4">
      <c r="A528" s="61"/>
      <c r="B528" s="62"/>
      <c r="C528" s="62"/>
      <c r="D528" s="62"/>
      <c r="E528" s="63"/>
      <c r="F528" s="62"/>
      <c r="G528" s="62">
        <v>1</v>
      </c>
      <c r="H528" s="64">
        <f t="shared" si="4"/>
        <v>0</v>
      </c>
      <c r="I528" s="64"/>
      <c r="J528" s="64"/>
      <c r="K528" s="65">
        <f t="shared" si="346"/>
        <v>0</v>
      </c>
      <c r="L528" s="65">
        <f t="shared" si="6"/>
        <v>0</v>
      </c>
      <c r="M528" s="65">
        <f t="shared" si="7"/>
        <v>0</v>
      </c>
      <c r="N528" s="65">
        <f t="shared" si="8"/>
        <v>0</v>
      </c>
      <c r="O528" s="66" t="str">
        <f t="shared" si="9"/>
        <v>✕</v>
      </c>
      <c r="P528" s="67" t="str">
        <f t="shared" si="10"/>
        <v>○</v>
      </c>
      <c r="Q528" s="67" t="str">
        <f t="shared" si="347"/>
        <v>✕</v>
      </c>
      <c r="R528" s="67" t="str">
        <f t="shared" si="12"/>
        <v>✕</v>
      </c>
      <c r="S528" s="68">
        <v>0</v>
      </c>
      <c r="T528" s="69" t="s">
        <v>85</v>
      </c>
      <c r="U528" s="69" t="s">
        <v>85</v>
      </c>
      <c r="V528" s="69" t="s">
        <v>85</v>
      </c>
      <c r="W528" s="69" t="s">
        <v>85</v>
      </c>
      <c r="X528" s="69" t="s">
        <v>84</v>
      </c>
      <c r="Y528" s="69" t="s">
        <v>85</v>
      </c>
      <c r="Z528" s="69" t="s">
        <v>85</v>
      </c>
      <c r="AA528" s="69" t="s">
        <v>85</v>
      </c>
      <c r="AB528" s="69" t="s">
        <v>85</v>
      </c>
      <c r="AC528" s="69" t="s">
        <v>85</v>
      </c>
      <c r="AD528" s="38" t="str">
        <f>+IF(ISERROR(VLOOKUP($B528,AD$10:AD527,1,0)),IF(AND($N528&gt;=1000,$A528&gt;=AO$8,$A528&lt;=AO$9),$B528,""),"")</f>
        <v/>
      </c>
      <c r="AE528" s="38" t="str">
        <f>+IF(ISERROR(VLOOKUP($B528,AE$10:AE527,1,0)),IF(AND($N528&gt;=1000,$A528&gt;=AP$8,$A528&lt;=AP$9),$B528,""),"")</f>
        <v/>
      </c>
      <c r="AF528" s="38" t="str">
        <f>+IF(ISERROR(VLOOKUP($B528,AF$10:AF527,1,0)),IF(AND($N528&gt;=1000,$A528&gt;=AQ$8,$A528&lt;=AQ$9),$B528,""),"")</f>
        <v/>
      </c>
      <c r="AG528" s="38" t="str">
        <f>+IF(ISERROR(VLOOKUP($B528,AG$10:AG527,1,0)),IF(AND($N528&gt;=1000,$A528&gt;=AR$8,$A528&lt;=AR$9),$B528,""),"")</f>
        <v/>
      </c>
      <c r="AH528" s="38"/>
      <c r="AI528" s="70">
        <v>0</v>
      </c>
      <c r="AJ528" s="38">
        <f>IF(AND(AJ$7="○",$A528&gt;=AJ$8,$A528&lt;=AJ$9),IF(SUM(AJ$10:AJ527)-ROUNDDOWN($K528*AJ$5/100,0)&lt;-AJ$6,-AJ$6-SUM(AJ$10:AJ527),-ROUNDDOWN($K528*AJ$5/100,0)),0)</f>
        <v>0</v>
      </c>
      <c r="AK528" s="38">
        <f>IF(AND(AK$7="○",$A528&gt;=AK$8,$A528&lt;=AK$9),IF(SUM(AK$10:AK527)-ROUNDDOWN($L528*AK$5/100,0)&lt;-AK$6,-AK$6-SUM(AK$10:AK527),-ROUNDDOWN($L528*AK$5/100,0)),0)</f>
        <v>0</v>
      </c>
      <c r="AL528" s="38">
        <f>IF(AND(AL$7="○",$A528&gt;=AL$8,$A528&lt;=AL$9),IF(SUM(AL$10:AL527)-ROUNDDOWN($N528*AL$5/100,0)&lt;-AL$6,-AL$6-SUM(AL$10:AL527),-ROUNDDOWN($N528*AL$5/100,0)),0)</f>
        <v>0</v>
      </c>
      <c r="AM528" s="38">
        <f>IF(AND(AM$7="○",$A528&gt;=AM$8,$A528&lt;=AM$9),IF(SUM(AM$10:AM527)-ROUNDDOWN($L528*AM$5/100,0)&lt;-AM$6,-AM$6-SUM(AM$10:AM527),-ROUNDDOWN($L528*AM$5/100,0)),0)</f>
        <v>0</v>
      </c>
      <c r="AN528" s="38">
        <f>IF(AND(AN$7="○",$A528&gt;=AN$8,$A528&lt;=AN$9),IF(SUM(AN$10:AN527)-ROUNDDOWN($M528*AN$5/100,0)&lt;-AN$6,-AN$6-SUM(AN$10:AN527),-ROUNDDOWN($M528*AN$5/100,0)),0)</f>
        <v>0</v>
      </c>
      <c r="AO528" s="38">
        <f>IF(AND($A528&gt;=AO$8,$A528&lt;=AO$9),IF(SUM(AO$10:AO527)-ROUNDDOWN($K528*AO$5/100,0)&lt;-AO$6,-AO$6-SUM(AO$10:AO527),-ROUNDDOWN($K528*AO$5/100,0)),0)</f>
        <v>0</v>
      </c>
      <c r="AP528" s="38">
        <f>IF(AND($A528&gt;=AP$8,$A528&lt;=AP$9),IF(SUM(AP$10:AP527)-ROUNDDOWN($K528*AP$5/100,0)&lt;-AP$6,-AP$6-SUM(AP$10:AP527),-ROUNDDOWN($K528*AP$5/100,0)),0)</f>
        <v>0</v>
      </c>
      <c r="AQ528" s="38">
        <f>IF(AND($A528&gt;=AQ$8,$A528&lt;=AQ$9),IF(SUM(AQ$10:AQ527)-ROUNDDOWN($K528*AQ$5/100,0)&lt;-AQ$6,-AQ$6-SUM(AQ$10:AQ527),-ROUNDDOWN($K528*AQ$5/100,0)),0)</f>
        <v>0</v>
      </c>
      <c r="AR528" s="38">
        <f>IF(AND($A528&gt;=AR$8,$A528&lt;=AR$9),IF(SUM(AR$10:AR527)-ROUNDDOWN($K528*AR$5/100,0)&lt;-AR$6,-AR$6-SUM(AR$10:AR527),-ROUNDDOWN($K528*AR$5/100,0)),0)</f>
        <v>0</v>
      </c>
      <c r="AS528" s="38">
        <f>IF(SUMIFS(AS$10:AS527,$A$10:$A527,$A528)-ROUNDDOWN($K528*$S528/100,0)&lt;-$S528*1000,-$S528*1000-SUMIFS(AS$10:AS527,$A$10:$A527,$A528),-ROUNDDOWN($K528*$S528/100,0))</f>
        <v>0</v>
      </c>
      <c r="AT528" s="38">
        <f>IF(AND(X528="○",$A528&gt;=AT$8,$A528&lt;=AT$9,K528&gt;=3980),IF(SUM(AT$10:AT527)-ROUNDDOWN($K528*AT$5/100,0)&lt;-AT$6,-AT$6-SUM(AT$10:AT527),-ROUNDDOWN($K528*AT$5/100,0)),0)</f>
        <v>0</v>
      </c>
      <c r="AU528" s="38">
        <f>IF(O528="○",IF(SUM(AU$10:AU527)-ROUNDDOWN($K528*AU$5/100,0)&lt;-AU$6,-AU$6-SUM(AU$10:AU527),-ROUNDDOWN($K528*AU$5/100,0)),0)</f>
        <v>0</v>
      </c>
      <c r="AV528" s="38">
        <f>IF(P528="○",IF(SUM(AV$10:AV527)-ROUNDDOWN($K528*AV$5/100,0)&lt;-AV$6,-AV$6-SUM(AV$10:AV527),-ROUNDDOWN($K528*AV$5/100,0)),0)</f>
        <v>0</v>
      </c>
      <c r="AW528" s="38">
        <f>IF(Q528="○",IF(SUM(AW$10:AW527)-ROUNDDOWN($K528*AW$5/100,0)&lt;-AW$6,-AW$6-SUM(AW$10:AW527),-ROUNDDOWN($K528*AW$5/100,0)),0)</f>
        <v>0</v>
      </c>
      <c r="AX528" s="38">
        <f>IF(R528="○",IF(SUM(AX$10:AX527)-ROUNDDOWN($K528*AX$5/100,0)&lt;-AX$6,-AX$6-SUM(AX$10:AX527),-ROUNDDOWN($K528*AX$5/100,0)),0)</f>
        <v>0</v>
      </c>
      <c r="AY528" s="70">
        <v>0</v>
      </c>
      <c r="AZ528" s="65">
        <f t="shared" si="319"/>
        <v>0</v>
      </c>
      <c r="BA528" s="65">
        <f t="shared" si="320"/>
        <v>0</v>
      </c>
      <c r="BB528" s="70"/>
      <c r="BC528" s="65">
        <f t="shared" si="321"/>
        <v>0</v>
      </c>
      <c r="BD528" s="70">
        <v>0</v>
      </c>
      <c r="BE528" s="65">
        <f t="shared" si="322"/>
        <v>0</v>
      </c>
      <c r="BF528" s="70">
        <v>0</v>
      </c>
      <c r="BG528" s="65">
        <f t="shared" si="323"/>
        <v>0</v>
      </c>
      <c r="BH528" s="70">
        <v>0</v>
      </c>
      <c r="BI528" s="65">
        <f t="shared" si="324"/>
        <v>0</v>
      </c>
      <c r="BJ528" s="38">
        <f>IF(AND(BJ$7="○",$A528&gt;=BJ$8,$A528&lt;=BJ$9),IF(SUM(BJ$10:BJ527)-ROUNDDOWN($M528*BJ$5/100,0)&lt;-BJ$6,-BJ$6-SUM(BJ$10:BJ527),-ROUNDDOWN($M528*BJ$5/100,0)),0)</f>
        <v>0</v>
      </c>
      <c r="BK528" s="38">
        <f>IF(AND(BK$7="○",$A528&gt;=BK$8,$A528&lt;=BK$9),IF(SUM(BK$10:BK527)-ROUNDDOWN($L528*BK$5/100,0)&lt;-BK$6,-BK$6-SUM(BK$10:BK527),-ROUNDDOWN($L528*BK$5/100,0)),0)</f>
        <v>0</v>
      </c>
      <c r="BL528" s="38">
        <f>IF(AND(BL$7="○",$A528&gt;=BL$8,$A528&lt;=BL$9),IF(SUM(BL$10:BL527)-ROUNDDOWN($L528*BL$5/100,0)&lt;-BL$6,-BL$6-SUM(BL$10:BL527),-ROUNDDOWN($L528*BL$5/100,0)),0)</f>
        <v>0</v>
      </c>
      <c r="BM528" s="38">
        <f>IF(AND(BM$7="○",$A528&gt;=BM$8,$A528&lt;=BM$9),IF(SUM(BM$10:BM527)-ROUNDDOWN($M528*BM$5/100,0)&lt;-BM$6,-BM$6-SUM(BM$10:BM527),-ROUNDDOWN($M528*BM$5/100,0)),0)</f>
        <v>0</v>
      </c>
      <c r="BN528" s="38">
        <f>IF(AND(BN$7="○",$A528&gt;=BN$8,$A528&lt;=BN$9),IF(SUM(BN$10:BN527)-ROUNDDOWN($M528*BN$5/100,0)&lt;-BN$6,-BN$6-SUM(BN$10:BN527),-ROUNDDOWN($M528*BN$5/100,0)),0)</f>
        <v>0</v>
      </c>
      <c r="BO528" s="38">
        <f>IF(AND(BO$7="○",$A528&gt;=BO$8,$A528&lt;=BO$9),IF(SUM(BO$10:BO527)-ROUNDDOWN($M528*BO$5/100,0)&lt;-BO$6,-BO$6-SUM(BO$10:BO527),-ROUNDDOWN($M528*BO$5/100,0)),0)</f>
        <v>0</v>
      </c>
      <c r="BP528" s="38">
        <f>IF(AND(BP$7="○",$A528&gt;=BP$8,$A528&lt;=BP$9),IF(SUM(BP$10:BP527)-ROUNDDOWN($M528*BP$5/100,0)&lt;-BP$6,-BP$6-SUM(BP$10:BP527),-ROUNDDOWN($M528*BP$5/100,0)),0)</f>
        <v>0</v>
      </c>
      <c r="BQ528" s="38">
        <f>IF(AND(BQ$7="○",$A528&gt;=BQ$8,$A528&lt;=BQ$9),IF(SUM(BQ$10:BQ527)-ROUNDDOWN($L528*BQ$5/100,0)&lt;-BQ$6,-BQ$6-SUM(BQ$10:BQ527),-ROUNDDOWN($L528*BQ$5/100,0)),0)</f>
        <v>0</v>
      </c>
      <c r="BR528" s="38">
        <f>IF(AND(BR$7="○",$A528&gt;=BR$8,$A528&lt;=BR$9),IF(SUM(BR$10:BR527)-ROUNDDOWN($M528*BR$5/100,0)&lt;-BR$6,-BR$6-SUM(BR$10:BR527),-ROUNDDOWN($M528*BR$5/100,0)),0)</f>
        <v>0</v>
      </c>
      <c r="BS528" s="38">
        <f>IF(AND(BS$7="○",$A528&gt;=BS$8,$A528&lt;=BS$9),IF(SUM(BS$10:BS527)-ROUNDDOWN($M528*BS$5/100,0)&lt;-BS$6,-BS$6-SUM(BS$10:BS527),-ROUNDDOWN($M528*BS$5/100,0)),0)</f>
        <v>0</v>
      </c>
      <c r="BT528" s="38">
        <f>IF(AND(BT$7="○",$A528&gt;=BT$8,$A528&lt;=BT$9),IF(SUM(BT$10:BT527)-ROUNDDOWN($M528*BT$5/100,0)&lt;-BT$6,-BT$6-SUM(BT$10:BT527),-ROUNDDOWN($M528*BT$5/100,0)),0)</f>
        <v>0</v>
      </c>
      <c r="BU528" s="38">
        <f>IF(AND(BU$7="○",$A528&gt;=BU$8,$A528&lt;=BU$9),IF(SUM(BU$10:BU527)-ROUNDDOWN($M528*BU$5/100,0)&lt;-BU$6,-BU$6-SUM(BU$10:BU527),-ROUNDDOWN($M528*BU$5/100,0)),0)</f>
        <v>0</v>
      </c>
      <c r="BV528" s="38">
        <f>IF(AND(BV$7="○",$A528&gt;=BV$8,$A528&lt;=BV$9),IF(SUM(BV$10:BV527)-ROUNDDOWN($M528*BV$5/100,0)&lt;-BV$6,-BV$6-SUM(BV$10:BV527),-ROUNDDOWN($M528*BV$5/100,0)),0)</f>
        <v>0</v>
      </c>
      <c r="BW528" s="38">
        <f>IF(AND(BW$7="○",$A528&gt;=BW$8,$A528&lt;=BW$9),IF(SUM(BW$10:BW527)-ROUNDDOWN($M528*BW$5/100,0)&lt;-BW$6,-BW$6-SUM(BW$10:BW527),-ROUNDDOWN($M528*BW$5/100,0)),0)</f>
        <v>0</v>
      </c>
      <c r="BX528" s="38">
        <f>IF(AND(T528="○",$A528&gt;=BX$8,$A528&lt;=BX$9),IF(SUM(BX$10:BX527)-ROUNDDOWN($K528*BX$5/100,0)&lt;-BX$6,-BX$6-SUM(BX$10:BX527),-ROUNDDOWN($K528*BX$5/100,0)),0)</f>
        <v>0</v>
      </c>
      <c r="BY528" s="38">
        <f>IF(AND(U528="○",$A528&gt;=BY$8,$A528&lt;=BY$9),IF(SUM(BY$10:BY527)-ROUNDDOWN($K528*BY$5/100,0)&lt;-BY$6,-BY$6-SUM(BY$10:BY527),-ROUNDDOWN($K528*BY$5/100,0)),0)</f>
        <v>0</v>
      </c>
      <c r="BZ528" s="38">
        <f>IF(AND(V528="○",$A528&gt;=BZ$8,$A528&lt;=BZ$9),IF(SUM(BZ$10:BZ527)-ROUNDDOWN($K528*BZ$5/100,0)&lt;-BZ$6,-BZ$6-SUM(BZ$10:BZ527),-ROUNDDOWN($K528*BZ$5/100,0)),0)</f>
        <v>0</v>
      </c>
      <c r="CA528" s="38">
        <f>IF(AND(W528="○",$A528&gt;=CA$8,$A528&lt;=CA$9),IF(SUM(CA$10:CA527)-ROUNDDOWN($K528*CA$5/100,0)&lt;-CA$6,-CA$6-SUM(CA$10:CA527),-ROUNDDOWN($K528*CA$5/100,0)),0)</f>
        <v>0</v>
      </c>
      <c r="CB528" s="38"/>
      <c r="CC528" s="38"/>
      <c r="CD528" s="38"/>
      <c r="CE528" s="38"/>
      <c r="CF528" s="38"/>
      <c r="CG528" s="65">
        <f t="shared" si="325"/>
        <v>0</v>
      </c>
      <c r="CH528" s="71">
        <f t="shared" si="326"/>
        <v>0</v>
      </c>
      <c r="CI528" s="1">
        <f t="shared" si="19"/>
        <v>0</v>
      </c>
      <c r="CJ528" s="1"/>
      <c r="CK528" s="72"/>
      <c r="CL528" s="72"/>
      <c r="CM528" s="2"/>
      <c r="CN528" s="2"/>
      <c r="CO528" s="73">
        <f t="shared" si="20"/>
        <v>0</v>
      </c>
      <c r="CP528" s="5">
        <f t="shared" si="21"/>
        <v>0</v>
      </c>
      <c r="CQ528" s="1"/>
      <c r="CR528" s="1">
        <f t="shared" si="22"/>
        <v>0</v>
      </c>
      <c r="CS528" s="1"/>
      <c r="CT528" s="1" t="e">
        <f>INDEX([2]マスタ!$A:$A,MATCH(D528,[2]マスタ!$C:$C,0))</f>
        <v>#N/A</v>
      </c>
      <c r="CU528" s="1" t="str">
        <f t="shared" ca="1" si="23"/>
        <v>20260620_0-0</v>
      </c>
    </row>
    <row r="529" spans="1:99" x14ac:dyDescent="0.4">
      <c r="A529" s="61"/>
      <c r="B529" s="62"/>
      <c r="C529" s="62"/>
      <c r="D529" s="62"/>
      <c r="E529" s="74"/>
      <c r="F529" s="62"/>
      <c r="G529" s="62">
        <v>1</v>
      </c>
      <c r="H529" s="64">
        <f t="shared" si="4"/>
        <v>0</v>
      </c>
      <c r="I529" s="64"/>
      <c r="J529" s="64"/>
      <c r="K529" s="65">
        <f t="shared" si="346"/>
        <v>0</v>
      </c>
      <c r="L529" s="65">
        <f t="shared" si="6"/>
        <v>0</v>
      </c>
      <c r="M529" s="65">
        <f t="shared" si="7"/>
        <v>0</v>
      </c>
      <c r="N529" s="65">
        <f t="shared" si="8"/>
        <v>0</v>
      </c>
      <c r="O529" s="66" t="str">
        <f t="shared" si="9"/>
        <v>✕</v>
      </c>
      <c r="P529" s="67" t="str">
        <f t="shared" si="10"/>
        <v>○</v>
      </c>
      <c r="Q529" s="67" t="str">
        <f t="shared" si="347"/>
        <v>✕</v>
      </c>
      <c r="R529" s="67" t="str">
        <f t="shared" si="12"/>
        <v>✕</v>
      </c>
      <c r="S529" s="68">
        <v>0</v>
      </c>
      <c r="T529" s="69" t="s">
        <v>85</v>
      </c>
      <c r="U529" s="69" t="s">
        <v>85</v>
      </c>
      <c r="V529" s="69" t="s">
        <v>85</v>
      </c>
      <c r="W529" s="69" t="s">
        <v>85</v>
      </c>
      <c r="X529" s="69" t="s">
        <v>84</v>
      </c>
      <c r="Y529" s="69" t="s">
        <v>85</v>
      </c>
      <c r="Z529" s="69" t="s">
        <v>85</v>
      </c>
      <c r="AA529" s="69" t="s">
        <v>85</v>
      </c>
      <c r="AB529" s="69" t="s">
        <v>85</v>
      </c>
      <c r="AC529" s="69" t="s">
        <v>85</v>
      </c>
      <c r="AD529" s="38" t="str">
        <f>+IF(ISERROR(VLOOKUP($B529,AD$10:AD528,1,0)),IF(AND($N529&gt;=1000,$A529&gt;=AO$8,$A529&lt;=AO$9),$B529,""),"")</f>
        <v/>
      </c>
      <c r="AE529" s="38" t="str">
        <f>+IF(ISERROR(VLOOKUP($B529,AE$10:AE528,1,0)),IF(AND($N529&gt;=1000,$A529&gt;=AP$8,$A529&lt;=AP$9),$B529,""),"")</f>
        <v/>
      </c>
      <c r="AF529" s="38" t="str">
        <f>+IF(ISERROR(VLOOKUP($B529,AF$10:AF528,1,0)),IF(AND($N529&gt;=1000,$A529&gt;=AQ$8,$A529&lt;=AQ$9),$B529,""),"")</f>
        <v/>
      </c>
      <c r="AG529" s="38" t="str">
        <f>+IF(ISERROR(VLOOKUP($B529,AG$10:AG528,1,0)),IF(AND($N529&gt;=1000,$A529&gt;=AR$8,$A529&lt;=AR$9),$B529,""),"")</f>
        <v/>
      </c>
      <c r="AH529" s="38"/>
      <c r="AI529" s="70">
        <v>0</v>
      </c>
      <c r="AJ529" s="38">
        <f>IF(AND(AJ$7="○",$A529&gt;=AJ$8,$A529&lt;=AJ$9),IF(SUM(AJ$10:AJ528)-ROUNDDOWN($K529*AJ$5/100,0)&lt;-AJ$6,-AJ$6-SUM(AJ$10:AJ528),-ROUNDDOWN($K529*AJ$5/100,0)),0)</f>
        <v>0</v>
      </c>
      <c r="AK529" s="38">
        <f>IF(AND(AK$7="○",$A529&gt;=AK$8,$A529&lt;=AK$9),IF(SUM(AK$10:AK528)-ROUNDDOWN($L529*AK$5/100,0)&lt;-AK$6,-AK$6-SUM(AK$10:AK528),-ROUNDDOWN($L529*AK$5/100,0)),0)</f>
        <v>0</v>
      </c>
      <c r="AL529" s="38">
        <f>IF(AND(AL$7="○",$A529&gt;=AL$8,$A529&lt;=AL$9),IF(SUM(AL$10:AL528)-ROUNDDOWN($N529*AL$5/100,0)&lt;-AL$6,-AL$6-SUM(AL$10:AL528),-ROUNDDOWN($N529*AL$5/100,0)),0)</f>
        <v>0</v>
      </c>
      <c r="AM529" s="38">
        <f>IF(AND(AM$7="○",$A529&gt;=AM$8,$A529&lt;=AM$9),IF(SUM(AM$10:AM528)-ROUNDDOWN($L529*AM$5/100,0)&lt;-AM$6,-AM$6-SUM(AM$10:AM528),-ROUNDDOWN($L529*AM$5/100,0)),0)</f>
        <v>0</v>
      </c>
      <c r="AN529" s="38">
        <f>IF(AND(AN$7="○",$A529&gt;=AN$8,$A529&lt;=AN$9),IF(SUM(AN$10:AN528)-ROUNDDOWN($M529*AN$5/100,0)&lt;-AN$6,-AN$6-SUM(AN$10:AN528),-ROUNDDOWN($M529*AN$5/100,0)),0)</f>
        <v>0</v>
      </c>
      <c r="AO529" s="38">
        <f>IF(AND($A529&gt;=AO$8,$A529&lt;=AO$9),IF(SUM(AO$10:AO528)-ROUNDDOWN($K529*AO$5/100,0)&lt;-AO$6,-AO$6-SUM(AO$10:AO528),-ROUNDDOWN($K529*AO$5/100,0)),0)</f>
        <v>0</v>
      </c>
      <c r="AP529" s="38">
        <f>IF(AND($A529&gt;=AP$8,$A529&lt;=AP$9),IF(SUM(AP$10:AP528)-ROUNDDOWN($K529*AP$5/100,0)&lt;-AP$6,-AP$6-SUM(AP$10:AP528),-ROUNDDOWN($K529*AP$5/100,0)),0)</f>
        <v>0</v>
      </c>
      <c r="AQ529" s="38">
        <f>IF(AND($A529&gt;=AQ$8,$A529&lt;=AQ$9),IF(SUM(AQ$10:AQ528)-ROUNDDOWN($K529*AQ$5/100,0)&lt;-AQ$6,-AQ$6-SUM(AQ$10:AQ528),-ROUNDDOWN($K529*AQ$5/100,0)),0)</f>
        <v>0</v>
      </c>
      <c r="AR529" s="38">
        <f>IF(AND($A529&gt;=AR$8,$A529&lt;=AR$9),IF(SUM(AR$10:AR528)-ROUNDDOWN($K529*AR$5/100,0)&lt;-AR$6,-AR$6-SUM(AR$10:AR528),-ROUNDDOWN($K529*AR$5/100,0)),0)</f>
        <v>0</v>
      </c>
      <c r="AS529" s="38">
        <f>IF(SUMIFS(AS$10:AS528,$A$10:$A528,$A529)-ROUNDDOWN($K529*$S529/100,0)&lt;-$S529*1000,-$S529*1000-SUMIFS(AS$10:AS528,$A$10:$A528,$A529),-ROUNDDOWN($K529*$S529/100,0))</f>
        <v>0</v>
      </c>
      <c r="AT529" s="38">
        <f>IF(AND(X529="○",$A529&gt;=AT$8,$A529&lt;=AT$9,K529&gt;=3980),IF(SUM(AT$10:AT528)-ROUNDDOWN($K529*AT$5/100,0)&lt;-AT$6,-AT$6-SUM(AT$10:AT528),-ROUNDDOWN($K529*AT$5/100,0)),0)</f>
        <v>0</v>
      </c>
      <c r="AU529" s="38">
        <f>IF(O529="○",IF(SUM(AU$10:AU528)-ROUNDDOWN($K529*AU$5/100,0)&lt;-AU$6,-AU$6-SUM(AU$10:AU528),-ROUNDDOWN($K529*AU$5/100,0)),0)</f>
        <v>0</v>
      </c>
      <c r="AV529" s="38">
        <f>IF(P529="○",IF(SUM(AV$10:AV528)-ROUNDDOWN($K529*AV$5/100,0)&lt;-AV$6,-AV$6-SUM(AV$10:AV528),-ROUNDDOWN($K529*AV$5/100,0)),0)</f>
        <v>0</v>
      </c>
      <c r="AW529" s="38">
        <f>IF(Q529="○",IF(SUM(AW$10:AW528)-ROUNDDOWN($K529*AW$5/100,0)&lt;-AW$6,-AW$6-SUM(AW$10:AW528),-ROUNDDOWN($K529*AW$5/100,0)),0)</f>
        <v>0</v>
      </c>
      <c r="AX529" s="38">
        <f>IF(R529="○",IF(SUM(AX$10:AX528)-ROUNDDOWN($K529*AX$5/100,0)&lt;-AX$6,-AX$6-SUM(AX$10:AX528),-ROUNDDOWN($K529*AX$5/100,0)),0)</f>
        <v>0</v>
      </c>
      <c r="AY529" s="70">
        <v>0</v>
      </c>
      <c r="AZ529" s="65">
        <f t="shared" si="319"/>
        <v>0</v>
      </c>
      <c r="BA529" s="65">
        <f t="shared" si="320"/>
        <v>0</v>
      </c>
      <c r="BB529" s="70"/>
      <c r="BC529" s="65">
        <f t="shared" si="321"/>
        <v>0</v>
      </c>
      <c r="BD529" s="70">
        <v>0</v>
      </c>
      <c r="BE529" s="65">
        <f t="shared" si="322"/>
        <v>0</v>
      </c>
      <c r="BF529" s="70">
        <v>0</v>
      </c>
      <c r="BG529" s="65">
        <f t="shared" si="323"/>
        <v>0</v>
      </c>
      <c r="BH529" s="70">
        <v>0</v>
      </c>
      <c r="BI529" s="65">
        <f t="shared" si="324"/>
        <v>0</v>
      </c>
      <c r="BJ529" s="38">
        <f>IF(AND(BJ$7="○",$A529&gt;=BJ$8,$A529&lt;=BJ$9),IF(SUM(BJ$10:BJ528)-ROUNDDOWN($M529*BJ$5/100,0)&lt;-BJ$6,-BJ$6-SUM(BJ$10:BJ528),-ROUNDDOWN($M529*BJ$5/100,0)),0)</f>
        <v>0</v>
      </c>
      <c r="BK529" s="38">
        <f>IF(AND(BK$7="○",$A529&gt;=BK$8,$A529&lt;=BK$9),IF(SUM(BK$10:BK528)-ROUNDDOWN($L529*BK$5/100,0)&lt;-BK$6,-BK$6-SUM(BK$10:BK528),-ROUNDDOWN($L529*BK$5/100,0)),0)</f>
        <v>0</v>
      </c>
      <c r="BL529" s="38">
        <f>IF(AND(BL$7="○",$A529&gt;=BL$8,$A529&lt;=BL$9),IF(SUM(BL$10:BL528)-ROUNDDOWN($L529*BL$5/100,0)&lt;-BL$6,-BL$6-SUM(BL$10:BL528),-ROUNDDOWN($L529*BL$5/100,0)),0)</f>
        <v>0</v>
      </c>
      <c r="BM529" s="38">
        <f>IF(AND(BM$7="○",$A529&gt;=BM$8,$A529&lt;=BM$9),IF(SUM(BM$10:BM528)-ROUNDDOWN($M529*BM$5/100,0)&lt;-BM$6,-BM$6-SUM(BM$10:BM528),-ROUNDDOWN($M529*BM$5/100,0)),0)</f>
        <v>0</v>
      </c>
      <c r="BN529" s="38">
        <f>IF(AND(BN$7="○",$A529&gt;=BN$8,$A529&lt;=BN$9),IF(SUM(BN$10:BN528)-ROUNDDOWN($M529*BN$5/100,0)&lt;-BN$6,-BN$6-SUM(BN$10:BN528),-ROUNDDOWN($M529*BN$5/100,0)),0)</f>
        <v>0</v>
      </c>
      <c r="BO529" s="38">
        <f>IF(AND(BO$7="○",$A529&gt;=BO$8,$A529&lt;=BO$9),IF(SUM(BO$10:BO528)-ROUNDDOWN($M529*BO$5/100,0)&lt;-BO$6,-BO$6-SUM(BO$10:BO528),-ROUNDDOWN($M529*BO$5/100,0)),0)</f>
        <v>0</v>
      </c>
      <c r="BP529" s="38">
        <f>IF(AND(BP$7="○",$A529&gt;=BP$8,$A529&lt;=BP$9),IF(SUM(BP$10:BP528)-ROUNDDOWN($M529*BP$5/100,0)&lt;-BP$6,-BP$6-SUM(BP$10:BP528),-ROUNDDOWN($M529*BP$5/100,0)),0)</f>
        <v>0</v>
      </c>
      <c r="BQ529" s="38">
        <f>IF(AND(BQ$7="○",$A529&gt;=BQ$8,$A529&lt;=BQ$9),IF(SUM(BQ$10:BQ528)-ROUNDDOWN($L529*BQ$5/100,0)&lt;-BQ$6,-BQ$6-SUM(BQ$10:BQ528),-ROUNDDOWN($L529*BQ$5/100,0)),0)</f>
        <v>0</v>
      </c>
      <c r="BR529" s="38">
        <f>IF(AND(BR$7="○",$A529&gt;=BR$8,$A529&lt;=BR$9),IF(SUM(BR$10:BR528)-ROUNDDOWN($M529*BR$5/100,0)&lt;-BR$6,-BR$6-SUM(BR$10:BR528),-ROUNDDOWN($M529*BR$5/100,0)),0)</f>
        <v>0</v>
      </c>
      <c r="BS529" s="38">
        <f>IF(AND(BS$7="○",$A529&gt;=BS$8,$A529&lt;=BS$9),IF(SUM(BS$10:BS528)-ROUNDDOWN($M529*BS$5/100,0)&lt;-BS$6,-BS$6-SUM(BS$10:BS528),-ROUNDDOWN($M529*BS$5/100,0)),0)</f>
        <v>0</v>
      </c>
      <c r="BT529" s="38">
        <f>IF(AND(BT$7="○",$A529&gt;=BT$8,$A529&lt;=BT$9),IF(SUM(BT$10:BT528)-ROUNDDOWN($M529*BT$5/100,0)&lt;-BT$6,-BT$6-SUM(BT$10:BT528),-ROUNDDOWN($M529*BT$5/100,0)),0)</f>
        <v>0</v>
      </c>
      <c r="BU529" s="38">
        <f>IF(AND(BU$7="○",$A529&gt;=BU$8,$A529&lt;=BU$9),IF(SUM(BU$10:BU528)-ROUNDDOWN($M529*BU$5/100,0)&lt;-BU$6,-BU$6-SUM(BU$10:BU528),-ROUNDDOWN($M529*BU$5/100,0)),0)</f>
        <v>0</v>
      </c>
      <c r="BV529" s="38">
        <f>IF(AND(BV$7="○",$A529&gt;=BV$8,$A529&lt;=BV$9),IF(SUM(BV$10:BV528)-ROUNDDOWN($M529*BV$5/100,0)&lt;-BV$6,-BV$6-SUM(BV$10:BV528),-ROUNDDOWN($M529*BV$5/100,0)),0)</f>
        <v>0</v>
      </c>
      <c r="BW529" s="38">
        <f>IF(AND(BW$7="○",$A529&gt;=BW$8,$A529&lt;=BW$9),IF(SUM(BW$10:BW528)-ROUNDDOWN($M529*BW$5/100,0)&lt;-BW$6,-BW$6-SUM(BW$10:BW528),-ROUNDDOWN($M529*BW$5/100,0)),0)</f>
        <v>0</v>
      </c>
      <c r="BX529" s="38">
        <f>IF(AND(T529="○",$A529&gt;=BX$8,$A529&lt;=BX$9),IF(SUM(BX$10:BX528)-ROUNDDOWN($K529*BX$5/100,0)&lt;-BX$6,-BX$6-SUM(BX$10:BX528),-ROUNDDOWN($K529*BX$5/100,0)),0)</f>
        <v>0</v>
      </c>
      <c r="BY529" s="38">
        <f>IF(AND(U529="○",$A529&gt;=BY$8,$A529&lt;=BY$9),IF(SUM(BY$10:BY528)-ROUNDDOWN($K529*BY$5/100,0)&lt;-BY$6,-BY$6-SUM(BY$10:BY528),-ROUNDDOWN($K529*BY$5/100,0)),0)</f>
        <v>0</v>
      </c>
      <c r="BZ529" s="38">
        <f>IF(AND(V529="○",$A529&gt;=BZ$8,$A529&lt;=BZ$9),IF(SUM(BZ$10:BZ528)-ROUNDDOWN($K529*BZ$5/100,0)&lt;-BZ$6,-BZ$6-SUM(BZ$10:BZ528),-ROUNDDOWN($K529*BZ$5/100,0)),0)</f>
        <v>0</v>
      </c>
      <c r="CA529" s="38">
        <f>IF(AND(W529="○",$A529&gt;=CA$8,$A529&lt;=CA$9),IF(SUM(CA$10:CA528)-ROUNDDOWN($K529*CA$5/100,0)&lt;-CA$6,-CA$6-SUM(CA$10:CA528),-ROUNDDOWN($K529*CA$5/100,0)),0)</f>
        <v>0</v>
      </c>
      <c r="CB529" s="38"/>
      <c r="CC529" s="38"/>
      <c r="CD529" s="38"/>
      <c r="CE529" s="38"/>
      <c r="CF529" s="38"/>
      <c r="CG529" s="65">
        <f t="shared" si="325"/>
        <v>0</v>
      </c>
      <c r="CH529" s="71">
        <f t="shared" si="326"/>
        <v>0</v>
      </c>
      <c r="CI529" s="1">
        <f t="shared" si="19"/>
        <v>0</v>
      </c>
      <c r="CJ529" s="1"/>
      <c r="CK529" s="72"/>
      <c r="CL529" s="72"/>
      <c r="CM529" s="2"/>
      <c r="CN529" s="2"/>
      <c r="CO529" s="73">
        <f t="shared" si="20"/>
        <v>0</v>
      </c>
      <c r="CP529" s="5">
        <f t="shared" si="21"/>
        <v>0</v>
      </c>
      <c r="CQ529" s="1"/>
      <c r="CR529" s="1">
        <f t="shared" si="22"/>
        <v>0</v>
      </c>
      <c r="CS529" s="1"/>
      <c r="CT529" s="1" t="e">
        <f>INDEX([2]マスタ!$A:$A,MATCH(D529,[2]マスタ!$C:$C,0))</f>
        <v>#N/A</v>
      </c>
      <c r="CU529" s="1" t="str">
        <f t="shared" ca="1" si="23"/>
        <v>20260620_0-0</v>
      </c>
    </row>
    <row r="530" spans="1:99" x14ac:dyDescent="0.4">
      <c r="A530" s="61"/>
      <c r="B530" s="62"/>
      <c r="C530" s="62"/>
      <c r="D530" s="62"/>
      <c r="E530" s="74"/>
      <c r="F530" s="62"/>
      <c r="G530" s="62">
        <v>1</v>
      </c>
      <c r="H530" s="64">
        <f t="shared" si="4"/>
        <v>0</v>
      </c>
      <c r="I530" s="64"/>
      <c r="J530" s="64"/>
      <c r="K530" s="65">
        <f t="shared" si="346"/>
        <v>0</v>
      </c>
      <c r="L530" s="65">
        <f t="shared" si="6"/>
        <v>0</v>
      </c>
      <c r="M530" s="65">
        <f t="shared" si="7"/>
        <v>0</v>
      </c>
      <c r="N530" s="65">
        <f t="shared" si="8"/>
        <v>0</v>
      </c>
      <c r="O530" s="66" t="str">
        <f t="shared" si="9"/>
        <v>✕</v>
      </c>
      <c r="P530" s="67" t="str">
        <f t="shared" si="10"/>
        <v>○</v>
      </c>
      <c r="Q530" s="67" t="str">
        <f t="shared" si="347"/>
        <v>✕</v>
      </c>
      <c r="R530" s="67" t="str">
        <f t="shared" si="12"/>
        <v>✕</v>
      </c>
      <c r="S530" s="68">
        <v>0</v>
      </c>
      <c r="T530" s="69" t="s">
        <v>85</v>
      </c>
      <c r="U530" s="69" t="s">
        <v>85</v>
      </c>
      <c r="V530" s="69" t="s">
        <v>85</v>
      </c>
      <c r="W530" s="69" t="s">
        <v>85</v>
      </c>
      <c r="X530" s="69" t="s">
        <v>84</v>
      </c>
      <c r="Y530" s="69" t="s">
        <v>85</v>
      </c>
      <c r="Z530" s="69" t="s">
        <v>85</v>
      </c>
      <c r="AA530" s="69" t="s">
        <v>85</v>
      </c>
      <c r="AB530" s="69" t="s">
        <v>85</v>
      </c>
      <c r="AC530" s="69" t="s">
        <v>85</v>
      </c>
      <c r="AD530" s="38" t="str">
        <f>+IF(ISERROR(VLOOKUP($B530,AD$10:AD529,1,0)),IF(AND($N530&gt;=1000,$A530&gt;=AO$8,$A530&lt;=AO$9),$B530,""),"")</f>
        <v/>
      </c>
      <c r="AE530" s="38" t="str">
        <f>+IF(ISERROR(VLOOKUP($B530,AE$10:AE529,1,0)),IF(AND($N530&gt;=1000,$A530&gt;=AP$8,$A530&lt;=AP$9),$B530,""),"")</f>
        <v/>
      </c>
      <c r="AF530" s="38" t="str">
        <f>+IF(ISERROR(VLOOKUP($B530,AF$10:AF529,1,0)),IF(AND($N530&gt;=1000,$A530&gt;=AQ$8,$A530&lt;=AQ$9),$B530,""),"")</f>
        <v/>
      </c>
      <c r="AG530" s="38" t="str">
        <f>+IF(ISERROR(VLOOKUP($B530,AG$10:AG529,1,0)),IF(AND($N530&gt;=1000,$A530&gt;=AR$8,$A530&lt;=AR$9),$B530,""),"")</f>
        <v/>
      </c>
      <c r="AH530" s="38"/>
      <c r="AI530" s="70">
        <v>0</v>
      </c>
      <c r="AJ530" s="38">
        <f>IF(AND(AJ$7="○",$A530&gt;=AJ$8,$A530&lt;=AJ$9),IF(SUM(AJ$10:AJ529)-ROUNDDOWN($K530*AJ$5/100,0)&lt;-AJ$6,-AJ$6-SUM(AJ$10:AJ529),-ROUNDDOWN($K530*AJ$5/100,0)),0)</f>
        <v>0</v>
      </c>
      <c r="AK530" s="38">
        <f>IF(AND(AK$7="○",$A530&gt;=AK$8,$A530&lt;=AK$9),IF(SUM(AK$10:AK529)-ROUNDDOWN($L530*AK$5/100,0)&lt;-AK$6,-AK$6-SUM(AK$10:AK529),-ROUNDDOWN($L530*AK$5/100,0)),0)</f>
        <v>0</v>
      </c>
      <c r="AL530" s="38">
        <f>IF(AND(AL$7="○",$A530&gt;=AL$8,$A530&lt;=AL$9),IF(SUM(AL$10:AL529)-ROUNDDOWN($N530*AL$5/100,0)&lt;-AL$6,-AL$6-SUM(AL$10:AL529),-ROUNDDOWN($N530*AL$5/100,0)),0)</f>
        <v>0</v>
      </c>
      <c r="AM530" s="38">
        <f>IF(AND(AM$7="○",$A530&gt;=AM$8,$A530&lt;=AM$9),IF(SUM(AM$10:AM529)-ROUNDDOWN($L530*AM$5/100,0)&lt;-AM$6,-AM$6-SUM(AM$10:AM529),-ROUNDDOWN($L530*AM$5/100,0)),0)</f>
        <v>0</v>
      </c>
      <c r="AN530" s="38">
        <f>IF(AND(AN$7="○",$A530&gt;=AN$8,$A530&lt;=AN$9),IF(SUM(AN$10:AN529)-ROUNDDOWN($M530*AN$5/100,0)&lt;-AN$6,-AN$6-SUM(AN$10:AN529),-ROUNDDOWN($M530*AN$5/100,0)),0)</f>
        <v>0</v>
      </c>
      <c r="AO530" s="38">
        <f>IF(AND($A530&gt;=AO$8,$A530&lt;=AO$9),IF(SUM(AO$10:AO529)-ROUNDDOWN($K530*AO$5/100,0)&lt;-AO$6,-AO$6-SUM(AO$10:AO529),-ROUNDDOWN($K530*AO$5/100,0)),0)</f>
        <v>0</v>
      </c>
      <c r="AP530" s="38">
        <f>IF(AND($A530&gt;=AP$8,$A530&lt;=AP$9),IF(SUM(AP$10:AP529)-ROUNDDOWN($K530*AP$5/100,0)&lt;-AP$6,-AP$6-SUM(AP$10:AP529),-ROUNDDOWN($K530*AP$5/100,0)),0)</f>
        <v>0</v>
      </c>
      <c r="AQ530" s="38">
        <f>IF(AND($A530&gt;=AQ$8,$A530&lt;=AQ$9),IF(SUM(AQ$10:AQ529)-ROUNDDOWN($K530*AQ$5/100,0)&lt;-AQ$6,-AQ$6-SUM(AQ$10:AQ529),-ROUNDDOWN($K530*AQ$5/100,0)),0)</f>
        <v>0</v>
      </c>
      <c r="AR530" s="38">
        <f>IF(AND($A530&gt;=AR$8,$A530&lt;=AR$9),IF(SUM(AR$10:AR529)-ROUNDDOWN($K530*AR$5/100,0)&lt;-AR$6,-AR$6-SUM(AR$10:AR529),-ROUNDDOWN($K530*AR$5/100,0)),0)</f>
        <v>0</v>
      </c>
      <c r="AS530" s="38">
        <f>IF(SUMIFS(AS$10:AS529,$A$10:$A529,$A530)-ROUNDDOWN($K530*$S530/100,0)&lt;-$S530*1000,-$S530*1000-SUMIFS(AS$10:AS529,$A$10:$A529,$A530),-ROUNDDOWN($K530*$S530/100,0))</f>
        <v>0</v>
      </c>
      <c r="AT530" s="38">
        <f>IF(AND(X530="○",$A530&gt;=AT$8,$A530&lt;=AT$9,K530&gt;=3980),IF(SUM(AT$10:AT529)-ROUNDDOWN($K530*AT$5/100,0)&lt;-AT$6,-AT$6-SUM(AT$10:AT529),-ROUNDDOWN($K530*AT$5/100,0)),0)</f>
        <v>0</v>
      </c>
      <c r="AU530" s="38">
        <f>IF(O530="○",IF(SUM(AU$10:AU529)-ROUNDDOWN($K530*AU$5/100,0)&lt;-AU$6,-AU$6-SUM(AU$10:AU529),-ROUNDDOWN($K530*AU$5/100,0)),0)</f>
        <v>0</v>
      </c>
      <c r="AV530" s="38">
        <f>IF(P530="○",IF(SUM(AV$10:AV529)-ROUNDDOWN($K530*AV$5/100,0)&lt;-AV$6,-AV$6-SUM(AV$10:AV529),-ROUNDDOWN($K530*AV$5/100,0)),0)</f>
        <v>0</v>
      </c>
      <c r="AW530" s="38">
        <f>IF(Q530="○",IF(SUM(AW$10:AW529)-ROUNDDOWN($K530*AW$5/100,0)&lt;-AW$6,-AW$6-SUM(AW$10:AW529),-ROUNDDOWN($K530*AW$5/100,0)),0)</f>
        <v>0</v>
      </c>
      <c r="AX530" s="38">
        <f>IF(R530="○",IF(SUM(AX$10:AX529)-ROUNDDOWN($K530*AX$5/100,0)&lt;-AX$6,-AX$6-SUM(AX$10:AX529),-ROUNDDOWN($K530*AX$5/100,0)),0)</f>
        <v>0</v>
      </c>
      <c r="AY530" s="70">
        <v>0</v>
      </c>
      <c r="AZ530" s="65">
        <f t="shared" si="319"/>
        <v>0</v>
      </c>
      <c r="BA530" s="65">
        <f t="shared" si="320"/>
        <v>0</v>
      </c>
      <c r="BB530" s="70"/>
      <c r="BC530" s="65">
        <f t="shared" si="321"/>
        <v>0</v>
      </c>
      <c r="BD530" s="70">
        <v>0</v>
      </c>
      <c r="BE530" s="65">
        <f t="shared" si="322"/>
        <v>0</v>
      </c>
      <c r="BF530" s="70">
        <v>0</v>
      </c>
      <c r="BG530" s="65">
        <f t="shared" si="323"/>
        <v>0</v>
      </c>
      <c r="BH530" s="70">
        <v>0</v>
      </c>
      <c r="BI530" s="65">
        <f t="shared" si="324"/>
        <v>0</v>
      </c>
      <c r="BJ530" s="38">
        <f>IF(AND(BJ$7="○",$A530&gt;=BJ$8,$A530&lt;=BJ$9),IF(SUM(BJ$10:BJ529)-ROUNDDOWN($M530*BJ$5/100,0)&lt;-BJ$6,-BJ$6-SUM(BJ$10:BJ529),-ROUNDDOWN($M530*BJ$5/100,0)),0)</f>
        <v>0</v>
      </c>
      <c r="BK530" s="38">
        <f>IF(AND(BK$7="○",$A530&gt;=BK$8,$A530&lt;=BK$9),IF(SUM(BK$10:BK529)-ROUNDDOWN($L530*BK$5/100,0)&lt;-BK$6,-BK$6-SUM(BK$10:BK529),-ROUNDDOWN($L530*BK$5/100,0)),0)</f>
        <v>0</v>
      </c>
      <c r="BL530" s="38">
        <f>IF(AND(BL$7="○",$A530&gt;=BL$8,$A530&lt;=BL$9),IF(SUM(BL$10:BL529)-ROUNDDOWN($L530*BL$5/100,0)&lt;-BL$6,-BL$6-SUM(BL$10:BL529),-ROUNDDOWN($L530*BL$5/100,0)),0)</f>
        <v>0</v>
      </c>
      <c r="BM530" s="38">
        <f>IF(AND(BM$7="○",$A530&gt;=BM$8,$A530&lt;=BM$9),IF(SUM(BM$10:BM529)-ROUNDDOWN($M530*BM$5/100,0)&lt;-BM$6,-BM$6-SUM(BM$10:BM529),-ROUNDDOWN($M530*BM$5/100,0)),0)</f>
        <v>0</v>
      </c>
      <c r="BN530" s="38">
        <f>IF(AND(BN$7="○",$A530&gt;=BN$8,$A530&lt;=BN$9),IF(SUM(BN$10:BN529)-ROUNDDOWN($M530*BN$5/100,0)&lt;-BN$6,-BN$6-SUM(BN$10:BN529),-ROUNDDOWN($M530*BN$5/100,0)),0)</f>
        <v>0</v>
      </c>
      <c r="BO530" s="38">
        <f>IF(AND(BO$7="○",$A530&gt;=BO$8,$A530&lt;=BO$9),IF(SUM(BO$10:BO529)-ROUNDDOWN($M530*BO$5/100,0)&lt;-BO$6,-BO$6-SUM(BO$10:BO529),-ROUNDDOWN($M530*BO$5/100,0)),0)</f>
        <v>0</v>
      </c>
      <c r="BP530" s="38">
        <f>IF(AND(BP$7="○",$A530&gt;=BP$8,$A530&lt;=BP$9),IF(SUM(BP$10:BP529)-ROUNDDOWN($M530*BP$5/100,0)&lt;-BP$6,-BP$6-SUM(BP$10:BP529),-ROUNDDOWN($M530*BP$5/100,0)),0)</f>
        <v>0</v>
      </c>
      <c r="BQ530" s="38">
        <f>IF(AND(BQ$7="○",$A530&gt;=BQ$8,$A530&lt;=BQ$9),IF(SUM(BQ$10:BQ529)-ROUNDDOWN($L530*BQ$5/100,0)&lt;-BQ$6,-BQ$6-SUM(BQ$10:BQ529),-ROUNDDOWN($L530*BQ$5/100,0)),0)</f>
        <v>0</v>
      </c>
      <c r="BR530" s="38">
        <f>IF(AND(BR$7="○",$A530&gt;=BR$8,$A530&lt;=BR$9),IF(SUM(BR$10:BR529)-ROUNDDOWN($M530*BR$5/100,0)&lt;-BR$6,-BR$6-SUM(BR$10:BR529),-ROUNDDOWN($M530*BR$5/100,0)),0)</f>
        <v>0</v>
      </c>
      <c r="BS530" s="38">
        <f>IF(AND(BS$7="○",$A530&gt;=BS$8,$A530&lt;=BS$9),IF(SUM(BS$10:BS529)-ROUNDDOWN($M530*BS$5/100,0)&lt;-BS$6,-BS$6-SUM(BS$10:BS529),-ROUNDDOWN($M530*BS$5/100,0)),0)</f>
        <v>0</v>
      </c>
      <c r="BT530" s="38">
        <f>IF(AND(BT$7="○",$A530&gt;=BT$8,$A530&lt;=BT$9),IF(SUM(BT$10:BT529)-ROUNDDOWN($M530*BT$5/100,0)&lt;-BT$6,-BT$6-SUM(BT$10:BT529),-ROUNDDOWN($M530*BT$5/100,0)),0)</f>
        <v>0</v>
      </c>
      <c r="BU530" s="38">
        <f>IF(AND(BU$7="○",$A530&gt;=BU$8,$A530&lt;=BU$9),IF(SUM(BU$10:BU529)-ROUNDDOWN($M530*BU$5/100,0)&lt;-BU$6,-BU$6-SUM(BU$10:BU529),-ROUNDDOWN($M530*BU$5/100,0)),0)</f>
        <v>0</v>
      </c>
      <c r="BV530" s="38">
        <f>IF(AND(BV$7="○",$A530&gt;=BV$8,$A530&lt;=BV$9),IF(SUM(BV$10:BV529)-ROUNDDOWN($M530*BV$5/100,0)&lt;-BV$6,-BV$6-SUM(BV$10:BV529),-ROUNDDOWN($M530*BV$5/100,0)),0)</f>
        <v>0</v>
      </c>
      <c r="BW530" s="38">
        <f>IF(AND(BW$7="○",$A530&gt;=BW$8,$A530&lt;=BW$9),IF(SUM(BW$10:BW529)-ROUNDDOWN($M530*BW$5/100,0)&lt;-BW$6,-BW$6-SUM(BW$10:BW529),-ROUNDDOWN($M530*BW$5/100,0)),0)</f>
        <v>0</v>
      </c>
      <c r="BX530" s="38">
        <f>IF(AND(T530="○",$A530&gt;=BX$8,$A530&lt;=BX$9),IF(SUM(BX$10:BX529)-ROUNDDOWN($K530*BX$5/100,0)&lt;-BX$6,-BX$6-SUM(BX$10:BX529),-ROUNDDOWN($K530*BX$5/100,0)),0)</f>
        <v>0</v>
      </c>
      <c r="BY530" s="38">
        <f>IF(AND(U530="○",$A530&gt;=BY$8,$A530&lt;=BY$9),IF(SUM(BY$10:BY529)-ROUNDDOWN($K530*BY$5/100,0)&lt;-BY$6,-BY$6-SUM(BY$10:BY529),-ROUNDDOWN($K530*BY$5/100,0)),0)</f>
        <v>0</v>
      </c>
      <c r="BZ530" s="38">
        <f>IF(AND(V530="○",$A530&gt;=BZ$8,$A530&lt;=BZ$9),IF(SUM(BZ$10:BZ529)-ROUNDDOWN($K530*BZ$5/100,0)&lt;-BZ$6,-BZ$6-SUM(BZ$10:BZ529),-ROUNDDOWN($K530*BZ$5/100,0)),0)</f>
        <v>0</v>
      </c>
      <c r="CA530" s="38">
        <f>IF(AND(W530="○",$A530&gt;=CA$8,$A530&lt;=CA$9),IF(SUM(CA$10:CA529)-ROUNDDOWN($K530*CA$5/100,0)&lt;-CA$6,-CA$6-SUM(CA$10:CA529),-ROUNDDOWN($K530*CA$5/100,0)),0)</f>
        <v>0</v>
      </c>
      <c r="CB530" s="38"/>
      <c r="CC530" s="38"/>
      <c r="CD530" s="38"/>
      <c r="CE530" s="38"/>
      <c r="CF530" s="38"/>
      <c r="CG530" s="65">
        <f t="shared" si="325"/>
        <v>0</v>
      </c>
      <c r="CH530" s="71">
        <f t="shared" si="326"/>
        <v>0</v>
      </c>
      <c r="CI530" s="1">
        <f t="shared" si="19"/>
        <v>0</v>
      </c>
      <c r="CJ530" s="1"/>
      <c r="CK530" s="72"/>
      <c r="CL530" s="72"/>
      <c r="CM530" s="2"/>
      <c r="CN530" s="2"/>
      <c r="CO530" s="73">
        <f t="shared" si="20"/>
        <v>0</v>
      </c>
      <c r="CP530" s="5">
        <f t="shared" si="21"/>
        <v>0</v>
      </c>
      <c r="CQ530" s="1"/>
      <c r="CR530" s="1">
        <f t="shared" si="22"/>
        <v>0</v>
      </c>
      <c r="CS530" s="1"/>
      <c r="CT530" s="1" t="e">
        <f>INDEX([2]マスタ!$A:$A,MATCH(D530,[2]マスタ!$C:$C,0))</f>
        <v>#N/A</v>
      </c>
      <c r="CU530" s="1" t="str">
        <f t="shared" ca="1" si="23"/>
        <v>20260620_0-0</v>
      </c>
    </row>
    <row r="531" spans="1:99" x14ac:dyDescent="0.4">
      <c r="A531" s="61"/>
      <c r="B531" s="62"/>
      <c r="C531" s="62"/>
      <c r="D531" s="62"/>
      <c r="E531" s="74"/>
      <c r="F531" s="62"/>
      <c r="G531" s="62">
        <v>1</v>
      </c>
      <c r="H531" s="64">
        <f t="shared" si="4"/>
        <v>0</v>
      </c>
      <c r="I531" s="64"/>
      <c r="J531" s="64"/>
      <c r="K531" s="65">
        <f t="shared" si="346"/>
        <v>0</v>
      </c>
      <c r="L531" s="65">
        <f t="shared" si="6"/>
        <v>0</v>
      </c>
      <c r="M531" s="65">
        <f t="shared" si="7"/>
        <v>0</v>
      </c>
      <c r="N531" s="65">
        <f t="shared" si="8"/>
        <v>0</v>
      </c>
      <c r="O531" s="66" t="str">
        <f t="shared" si="9"/>
        <v>✕</v>
      </c>
      <c r="P531" s="67" t="str">
        <f t="shared" si="10"/>
        <v>○</v>
      </c>
      <c r="Q531" s="67" t="str">
        <f t="shared" si="347"/>
        <v>✕</v>
      </c>
      <c r="R531" s="67" t="str">
        <f t="shared" si="12"/>
        <v>✕</v>
      </c>
      <c r="S531" s="68">
        <v>0</v>
      </c>
      <c r="T531" s="69" t="s">
        <v>85</v>
      </c>
      <c r="U531" s="69" t="s">
        <v>85</v>
      </c>
      <c r="V531" s="69" t="s">
        <v>85</v>
      </c>
      <c r="W531" s="69" t="s">
        <v>85</v>
      </c>
      <c r="X531" s="69" t="s">
        <v>84</v>
      </c>
      <c r="Y531" s="69" t="s">
        <v>85</v>
      </c>
      <c r="Z531" s="69" t="s">
        <v>85</v>
      </c>
      <c r="AA531" s="69" t="s">
        <v>85</v>
      </c>
      <c r="AB531" s="69" t="s">
        <v>85</v>
      </c>
      <c r="AC531" s="69" t="s">
        <v>85</v>
      </c>
      <c r="AD531" s="38" t="str">
        <f>+IF(ISERROR(VLOOKUP($B531,AD$10:AD530,1,0)),IF(AND($N531&gt;=1000,$A531&gt;=AO$8,$A531&lt;=AO$9),$B531,""),"")</f>
        <v/>
      </c>
      <c r="AE531" s="38" t="str">
        <f>+IF(ISERROR(VLOOKUP($B531,AE$10:AE530,1,0)),IF(AND($N531&gt;=1000,$A531&gt;=AP$8,$A531&lt;=AP$9),$B531,""),"")</f>
        <v/>
      </c>
      <c r="AF531" s="38" t="str">
        <f>+IF(ISERROR(VLOOKUP($B531,AF$10:AF530,1,0)),IF(AND($N531&gt;=1000,$A531&gt;=AQ$8,$A531&lt;=AQ$9),$B531,""),"")</f>
        <v/>
      </c>
      <c r="AG531" s="38" t="str">
        <f>+IF(ISERROR(VLOOKUP($B531,AG$10:AG530,1,0)),IF(AND($N531&gt;=1000,$A531&gt;=AR$8,$A531&lt;=AR$9),$B531,""),"")</f>
        <v/>
      </c>
      <c r="AH531" s="38"/>
      <c r="AI531" s="70">
        <v>0</v>
      </c>
      <c r="AJ531" s="38">
        <f>IF(AND(AJ$7="○",$A531&gt;=AJ$8,$A531&lt;=AJ$9),IF(SUM(AJ$10:AJ530)-ROUNDDOWN($K531*AJ$5/100,0)&lt;-AJ$6,-AJ$6-SUM(AJ$10:AJ530),-ROUNDDOWN($K531*AJ$5/100,0)),0)</f>
        <v>0</v>
      </c>
      <c r="AK531" s="38">
        <f>IF(AND(AK$7="○",$A531&gt;=AK$8,$A531&lt;=AK$9),IF(SUM(AK$10:AK530)-ROUNDDOWN($L531*AK$5/100,0)&lt;-AK$6,-AK$6-SUM(AK$10:AK530),-ROUNDDOWN($L531*AK$5/100,0)),0)</f>
        <v>0</v>
      </c>
      <c r="AL531" s="38">
        <f>IF(AND(AL$7="○",$A531&gt;=AL$8,$A531&lt;=AL$9),IF(SUM(AL$10:AL530)-ROUNDDOWN($N531*AL$5/100,0)&lt;-AL$6,-AL$6-SUM(AL$10:AL530),-ROUNDDOWN($N531*AL$5/100,0)),0)</f>
        <v>0</v>
      </c>
      <c r="AM531" s="38">
        <f>IF(AND(AM$7="○",$A531&gt;=AM$8,$A531&lt;=AM$9),IF(SUM(AM$10:AM530)-ROUNDDOWN($L531*AM$5/100,0)&lt;-AM$6,-AM$6-SUM(AM$10:AM530),-ROUNDDOWN($L531*AM$5/100,0)),0)</f>
        <v>0</v>
      </c>
      <c r="AN531" s="38">
        <f>IF(AND(AN$7="○",$A531&gt;=AN$8,$A531&lt;=AN$9),IF(SUM(AN$10:AN530)-ROUNDDOWN($M531*AN$5/100,0)&lt;-AN$6,-AN$6-SUM(AN$10:AN530),-ROUNDDOWN($M531*AN$5/100,0)),0)</f>
        <v>0</v>
      </c>
      <c r="AO531" s="38">
        <f>IF(AND($A531&gt;=AO$8,$A531&lt;=AO$9),IF(SUM(AO$10:AO530)-ROUNDDOWN($K531*AO$5/100,0)&lt;-AO$6,-AO$6-SUM(AO$10:AO530),-ROUNDDOWN($K531*AO$5/100,0)),0)</f>
        <v>0</v>
      </c>
      <c r="AP531" s="38">
        <f>IF(AND($A531&gt;=AP$8,$A531&lt;=AP$9),IF(SUM(AP$10:AP530)-ROUNDDOWN($K531*AP$5/100,0)&lt;-AP$6,-AP$6-SUM(AP$10:AP530),-ROUNDDOWN($K531*AP$5/100,0)),0)</f>
        <v>0</v>
      </c>
      <c r="AQ531" s="38">
        <f>IF(AND($A531&gt;=AQ$8,$A531&lt;=AQ$9),IF(SUM(AQ$10:AQ530)-ROUNDDOWN($K531*AQ$5/100,0)&lt;-AQ$6,-AQ$6-SUM(AQ$10:AQ530),-ROUNDDOWN($K531*AQ$5/100,0)),0)</f>
        <v>0</v>
      </c>
      <c r="AR531" s="38">
        <f>IF(AND($A531&gt;=AR$8,$A531&lt;=AR$9),IF(SUM(AR$10:AR530)-ROUNDDOWN($K531*AR$5/100,0)&lt;-AR$6,-AR$6-SUM(AR$10:AR530),-ROUNDDOWN($K531*AR$5/100,0)),0)</f>
        <v>0</v>
      </c>
      <c r="AS531" s="38">
        <f>IF(SUMIFS(AS$10:AS530,$A$10:$A530,$A531)-ROUNDDOWN($K531*$S531/100,0)&lt;-$S531*1000,-$S531*1000-SUMIFS(AS$10:AS530,$A$10:$A530,$A531),-ROUNDDOWN($K531*$S531/100,0))</f>
        <v>0</v>
      </c>
      <c r="AT531" s="38">
        <f>IF(AND(X531="○",$A531&gt;=AT$8,$A531&lt;=AT$9,K531&gt;=3980),IF(SUM(AT$10:AT530)-ROUNDDOWN($K531*AT$5/100,0)&lt;-AT$6,-AT$6-SUM(AT$10:AT530),-ROUNDDOWN($K531*AT$5/100,0)),0)</f>
        <v>0</v>
      </c>
      <c r="AU531" s="38">
        <f>IF(O531="○",IF(SUM(AU$10:AU530)-ROUNDDOWN($K531*AU$5/100,0)&lt;-AU$6,-AU$6-SUM(AU$10:AU530),-ROUNDDOWN($K531*AU$5/100,0)),0)</f>
        <v>0</v>
      </c>
      <c r="AV531" s="38">
        <f>IF(P531="○",IF(SUM(AV$10:AV530)-ROUNDDOWN($K531*AV$5/100,0)&lt;-AV$6,-AV$6-SUM(AV$10:AV530),-ROUNDDOWN($K531*AV$5/100,0)),0)</f>
        <v>0</v>
      </c>
      <c r="AW531" s="38">
        <f>IF(Q531="○",IF(SUM(AW$10:AW530)-ROUNDDOWN($K531*AW$5/100,0)&lt;-AW$6,-AW$6-SUM(AW$10:AW530),-ROUNDDOWN($K531*AW$5/100,0)),0)</f>
        <v>0</v>
      </c>
      <c r="AX531" s="38">
        <f>IF(R531="○",IF(SUM(AX$10:AX530)-ROUNDDOWN($K531*AX$5/100,0)&lt;-AX$6,-AX$6-SUM(AX$10:AX530),-ROUNDDOWN($K531*AX$5/100,0)),0)</f>
        <v>0</v>
      </c>
      <c r="AY531" s="70">
        <v>0</v>
      </c>
      <c r="AZ531" s="65">
        <f t="shared" ref="AZ531:AZ594" si="348">-ROUNDDOWN($K531*AY531/100,0)</f>
        <v>0</v>
      </c>
      <c r="BA531" s="65">
        <f t="shared" ref="BA531:BA594" si="349">-ROUNDDOWN($K531*AI531/100,0)</f>
        <v>0</v>
      </c>
      <c r="BB531" s="70"/>
      <c r="BC531" s="65">
        <f t="shared" ref="BC531:BC594" si="350">-ROUNDDOWN($K531*BB531/100,0)</f>
        <v>0</v>
      </c>
      <c r="BD531" s="70">
        <v>0</v>
      </c>
      <c r="BE531" s="65">
        <f t="shared" ref="BE531:BE594" si="351">-ROUNDDOWN($K531*BD531/100,0)</f>
        <v>0</v>
      </c>
      <c r="BF531" s="70">
        <v>0</v>
      </c>
      <c r="BG531" s="65">
        <f t="shared" ref="BG531:BG594" si="352">-ROUNDDOWN($K531*BF531/100,0)</f>
        <v>0</v>
      </c>
      <c r="BH531" s="70">
        <v>0</v>
      </c>
      <c r="BI531" s="65">
        <f t="shared" ref="BI531:BI594" si="353">-ROUNDDOWN($K531*BH531/100,0)</f>
        <v>0</v>
      </c>
      <c r="BJ531" s="38">
        <f>IF(AND(BJ$7="○",$A531&gt;=BJ$8,$A531&lt;=BJ$9),IF(SUM(BJ$10:BJ530)-ROUNDDOWN($M531*BJ$5/100,0)&lt;-BJ$6,-BJ$6-SUM(BJ$10:BJ530),-ROUNDDOWN($M531*BJ$5/100,0)),0)</f>
        <v>0</v>
      </c>
      <c r="BK531" s="38">
        <f>IF(AND(BK$7="○",$A531&gt;=BK$8,$A531&lt;=BK$9),IF(SUM(BK$10:BK530)-ROUNDDOWN($L531*BK$5/100,0)&lt;-BK$6,-BK$6-SUM(BK$10:BK530),-ROUNDDOWN($L531*BK$5/100,0)),0)</f>
        <v>0</v>
      </c>
      <c r="BL531" s="38">
        <f>IF(AND(BL$7="○",$A531&gt;=BL$8,$A531&lt;=BL$9),IF(SUM(BL$10:BL530)-ROUNDDOWN($L531*BL$5/100,0)&lt;-BL$6,-BL$6-SUM(BL$10:BL530),-ROUNDDOWN($L531*BL$5/100,0)),0)</f>
        <v>0</v>
      </c>
      <c r="BM531" s="38">
        <f>IF(AND(BM$7="○",$A531&gt;=BM$8,$A531&lt;=BM$9),IF(SUM(BM$10:BM530)-ROUNDDOWN($M531*BM$5/100,0)&lt;-BM$6,-BM$6-SUM(BM$10:BM530),-ROUNDDOWN($M531*BM$5/100,0)),0)</f>
        <v>0</v>
      </c>
      <c r="BN531" s="38">
        <f>IF(AND(BN$7="○",$A531&gt;=BN$8,$A531&lt;=BN$9),IF(SUM(BN$10:BN530)-ROUNDDOWN($M531*BN$5/100,0)&lt;-BN$6,-BN$6-SUM(BN$10:BN530),-ROUNDDOWN($M531*BN$5/100,0)),0)</f>
        <v>0</v>
      </c>
      <c r="BO531" s="38">
        <f>IF(AND(BO$7="○",$A531&gt;=BO$8,$A531&lt;=BO$9),IF(SUM(BO$10:BO530)-ROUNDDOWN($M531*BO$5/100,0)&lt;-BO$6,-BO$6-SUM(BO$10:BO530),-ROUNDDOWN($M531*BO$5/100,0)),0)</f>
        <v>0</v>
      </c>
      <c r="BP531" s="38">
        <f>IF(AND(BP$7="○",$A531&gt;=BP$8,$A531&lt;=BP$9),IF(SUM(BP$10:BP530)-ROUNDDOWN($M531*BP$5/100,0)&lt;-BP$6,-BP$6-SUM(BP$10:BP530),-ROUNDDOWN($M531*BP$5/100,0)),0)</f>
        <v>0</v>
      </c>
      <c r="BQ531" s="38">
        <f>IF(AND(BQ$7="○",$A531&gt;=BQ$8,$A531&lt;=BQ$9),IF(SUM(BQ$10:BQ530)-ROUNDDOWN($L531*BQ$5/100,0)&lt;-BQ$6,-BQ$6-SUM(BQ$10:BQ530),-ROUNDDOWN($L531*BQ$5/100,0)),0)</f>
        <v>0</v>
      </c>
      <c r="BR531" s="38">
        <f>IF(AND(BR$7="○",$A531&gt;=BR$8,$A531&lt;=BR$9),IF(SUM(BR$10:BR530)-ROUNDDOWN($M531*BR$5/100,0)&lt;-BR$6,-BR$6-SUM(BR$10:BR530),-ROUNDDOWN($M531*BR$5/100,0)),0)</f>
        <v>0</v>
      </c>
      <c r="BS531" s="38">
        <f>IF(AND(BS$7="○",$A531&gt;=BS$8,$A531&lt;=BS$9),IF(SUM(BS$10:BS530)-ROUNDDOWN($M531*BS$5/100,0)&lt;-BS$6,-BS$6-SUM(BS$10:BS530),-ROUNDDOWN($M531*BS$5/100,0)),0)</f>
        <v>0</v>
      </c>
      <c r="BT531" s="38">
        <f>IF(AND(BT$7="○",$A531&gt;=BT$8,$A531&lt;=BT$9),IF(SUM(BT$10:BT530)-ROUNDDOWN($M531*BT$5/100,0)&lt;-BT$6,-BT$6-SUM(BT$10:BT530),-ROUNDDOWN($M531*BT$5/100,0)),0)</f>
        <v>0</v>
      </c>
      <c r="BU531" s="38">
        <f>IF(AND(BU$7="○",$A531&gt;=BU$8,$A531&lt;=BU$9),IF(SUM(BU$10:BU530)-ROUNDDOWN($M531*BU$5/100,0)&lt;-BU$6,-BU$6-SUM(BU$10:BU530),-ROUNDDOWN($M531*BU$5/100,0)),0)</f>
        <v>0</v>
      </c>
      <c r="BV531" s="38">
        <f>IF(AND(BV$7="○",$A531&gt;=BV$8,$A531&lt;=BV$9),IF(SUM(BV$10:BV530)-ROUNDDOWN($M531*BV$5/100,0)&lt;-BV$6,-BV$6-SUM(BV$10:BV530),-ROUNDDOWN($M531*BV$5/100,0)),0)</f>
        <v>0</v>
      </c>
      <c r="BW531" s="38">
        <f>IF(AND(BW$7="○",$A531&gt;=BW$8,$A531&lt;=BW$9),IF(SUM(BW$10:BW530)-ROUNDDOWN($M531*BW$5/100,0)&lt;-BW$6,-BW$6-SUM(BW$10:BW530),-ROUNDDOWN($M531*BW$5/100,0)),0)</f>
        <v>0</v>
      </c>
      <c r="BX531" s="38">
        <f>IF(AND(T531="○",$A531&gt;=BX$8,$A531&lt;=BX$9),IF(SUM(BX$10:BX530)-ROUNDDOWN($K531*BX$5/100,0)&lt;-BX$6,-BX$6-SUM(BX$10:BX530),-ROUNDDOWN($K531*BX$5/100,0)),0)</f>
        <v>0</v>
      </c>
      <c r="BY531" s="38">
        <f>IF(AND(U531="○",$A531&gt;=BY$8,$A531&lt;=BY$9),IF(SUM(BY$10:BY530)-ROUNDDOWN($K531*BY$5/100,0)&lt;-BY$6,-BY$6-SUM(BY$10:BY530),-ROUNDDOWN($K531*BY$5/100,0)),0)</f>
        <v>0</v>
      </c>
      <c r="BZ531" s="38">
        <f>IF(AND(V531="○",$A531&gt;=BZ$8,$A531&lt;=BZ$9),IF(SUM(BZ$10:BZ530)-ROUNDDOWN($K531*BZ$5/100,0)&lt;-BZ$6,-BZ$6-SUM(BZ$10:BZ530),-ROUNDDOWN($K531*BZ$5/100,0)),0)</f>
        <v>0</v>
      </c>
      <c r="CA531" s="38">
        <f>IF(AND(W531="○",$A531&gt;=CA$8,$A531&lt;=CA$9),IF(SUM(CA$10:CA530)-ROUNDDOWN($K531*CA$5/100,0)&lt;-CA$6,-CA$6-SUM(CA$10:CA530),-ROUNDDOWN($K531*CA$5/100,0)),0)</f>
        <v>0</v>
      </c>
      <c r="CB531" s="38"/>
      <c r="CC531" s="38"/>
      <c r="CD531" s="38"/>
      <c r="CE531" s="38"/>
      <c r="CF531" s="38"/>
      <c r="CG531" s="65">
        <f t="shared" ref="CG531:CG594" si="354">+SUM(AJ531:CF531,BC531,BE531,AZ531,BA531,BG531,BI531)</f>
        <v>0</v>
      </c>
      <c r="CH531" s="71">
        <f t="shared" ref="CH531:CH594" si="355">+CG531+N531</f>
        <v>0</v>
      </c>
      <c r="CI531" s="1">
        <f t="shared" si="19"/>
        <v>0</v>
      </c>
      <c r="CJ531" s="1"/>
      <c r="CK531" s="72"/>
      <c r="CL531" s="72"/>
      <c r="CM531" s="2"/>
      <c r="CN531" s="2"/>
      <c r="CO531" s="73">
        <f t="shared" si="20"/>
        <v>0</v>
      </c>
      <c r="CP531" s="5">
        <f t="shared" si="21"/>
        <v>0</v>
      </c>
      <c r="CQ531" s="1"/>
      <c r="CR531" s="1">
        <f t="shared" si="22"/>
        <v>0</v>
      </c>
      <c r="CS531" s="1"/>
      <c r="CT531" s="1" t="e">
        <f>INDEX([2]マスタ!$A:$A,MATCH(D531,[2]マスタ!$C:$C,0))</f>
        <v>#N/A</v>
      </c>
      <c r="CU531" s="1" t="str">
        <f t="shared" ca="1" si="23"/>
        <v>20260620_0-0</v>
      </c>
    </row>
    <row r="532" spans="1:99" x14ac:dyDescent="0.4">
      <c r="A532" s="61"/>
      <c r="B532" s="62"/>
      <c r="C532" s="62"/>
      <c r="D532" s="62"/>
      <c r="E532" s="74"/>
      <c r="F532" s="62"/>
      <c r="G532" s="62">
        <v>1</v>
      </c>
      <c r="H532" s="64">
        <f t="shared" si="4"/>
        <v>0</v>
      </c>
      <c r="I532" s="64"/>
      <c r="J532" s="64"/>
      <c r="K532" s="65">
        <f t="shared" si="346"/>
        <v>0</v>
      </c>
      <c r="L532" s="65">
        <f t="shared" si="6"/>
        <v>0</v>
      </c>
      <c r="M532" s="65">
        <f t="shared" si="7"/>
        <v>0</v>
      </c>
      <c r="N532" s="65">
        <f t="shared" si="8"/>
        <v>0</v>
      </c>
      <c r="O532" s="66" t="str">
        <f t="shared" si="9"/>
        <v>✕</v>
      </c>
      <c r="P532" s="67" t="str">
        <f t="shared" si="10"/>
        <v>○</v>
      </c>
      <c r="Q532" s="67" t="str">
        <f t="shared" si="347"/>
        <v>✕</v>
      </c>
      <c r="R532" s="67" t="str">
        <f t="shared" si="12"/>
        <v>✕</v>
      </c>
      <c r="S532" s="68">
        <v>0</v>
      </c>
      <c r="T532" s="69" t="s">
        <v>85</v>
      </c>
      <c r="U532" s="69" t="s">
        <v>85</v>
      </c>
      <c r="V532" s="69" t="s">
        <v>85</v>
      </c>
      <c r="W532" s="69" t="s">
        <v>85</v>
      </c>
      <c r="X532" s="69" t="s">
        <v>84</v>
      </c>
      <c r="Y532" s="69" t="s">
        <v>85</v>
      </c>
      <c r="Z532" s="69" t="s">
        <v>85</v>
      </c>
      <c r="AA532" s="69" t="s">
        <v>85</v>
      </c>
      <c r="AB532" s="69" t="s">
        <v>85</v>
      </c>
      <c r="AC532" s="69" t="s">
        <v>85</v>
      </c>
      <c r="AD532" s="38" t="str">
        <f>+IF(ISERROR(VLOOKUP($B532,AD$10:AD531,1,0)),IF(AND($N532&gt;=1000,$A532&gt;=AO$8,$A532&lt;=AO$9),$B532,""),"")</f>
        <v/>
      </c>
      <c r="AE532" s="38" t="str">
        <f>+IF(ISERROR(VLOOKUP($B532,AE$10:AE531,1,0)),IF(AND($N532&gt;=1000,$A532&gt;=AP$8,$A532&lt;=AP$9),$B532,""),"")</f>
        <v/>
      </c>
      <c r="AF532" s="38" t="str">
        <f>+IF(ISERROR(VLOOKUP($B532,AF$10:AF531,1,0)),IF(AND($N532&gt;=1000,$A532&gt;=AQ$8,$A532&lt;=AQ$9),$B532,""),"")</f>
        <v/>
      </c>
      <c r="AG532" s="38" t="str">
        <f>+IF(ISERROR(VLOOKUP($B532,AG$10:AG531,1,0)),IF(AND($N532&gt;=1000,$A532&gt;=AR$8,$A532&lt;=AR$9),$B532,""),"")</f>
        <v/>
      </c>
      <c r="AH532" s="38"/>
      <c r="AI532" s="70">
        <v>0</v>
      </c>
      <c r="AJ532" s="38">
        <f>IF(AND(AJ$7="○",$A532&gt;=AJ$8,$A532&lt;=AJ$9),IF(SUM(AJ$10:AJ531)-ROUNDDOWN($K532*AJ$5/100,0)&lt;-AJ$6,-AJ$6-SUM(AJ$10:AJ531),-ROUNDDOWN($K532*AJ$5/100,0)),0)</f>
        <v>0</v>
      </c>
      <c r="AK532" s="38">
        <f>IF(AND(AK$7="○",$A532&gt;=AK$8,$A532&lt;=AK$9),IF(SUM(AK$10:AK531)-ROUNDDOWN($L532*AK$5/100,0)&lt;-AK$6,-AK$6-SUM(AK$10:AK531),-ROUNDDOWN($L532*AK$5/100,0)),0)</f>
        <v>0</v>
      </c>
      <c r="AL532" s="38">
        <f>IF(AND(AL$7="○",$A532&gt;=AL$8,$A532&lt;=AL$9),IF(SUM(AL$10:AL531)-ROUNDDOWN($N532*AL$5/100,0)&lt;-AL$6,-AL$6-SUM(AL$10:AL531),-ROUNDDOWN($N532*AL$5/100,0)),0)</f>
        <v>0</v>
      </c>
      <c r="AM532" s="38">
        <f>IF(AND(AM$7="○",$A532&gt;=AM$8,$A532&lt;=AM$9),IF(SUM(AM$10:AM531)-ROUNDDOWN($L532*AM$5/100,0)&lt;-AM$6,-AM$6-SUM(AM$10:AM531),-ROUNDDOWN($L532*AM$5/100,0)),0)</f>
        <v>0</v>
      </c>
      <c r="AN532" s="38">
        <f>IF(AND(AN$7="○",$A532&gt;=AN$8,$A532&lt;=AN$9),IF(SUM(AN$10:AN531)-ROUNDDOWN($M532*AN$5/100,0)&lt;-AN$6,-AN$6-SUM(AN$10:AN531),-ROUNDDOWN($M532*AN$5/100,0)),0)</f>
        <v>0</v>
      </c>
      <c r="AO532" s="38">
        <f>IF(AND($A532&gt;=AO$8,$A532&lt;=AO$9),IF(SUM(AO$10:AO531)-ROUNDDOWN($K532*AO$5/100,0)&lt;-AO$6,-AO$6-SUM(AO$10:AO531),-ROUNDDOWN($K532*AO$5/100,0)),0)</f>
        <v>0</v>
      </c>
      <c r="AP532" s="38">
        <f>IF(AND($A532&gt;=AP$8,$A532&lt;=AP$9),IF(SUM(AP$10:AP531)-ROUNDDOWN($K532*AP$5/100,0)&lt;-AP$6,-AP$6-SUM(AP$10:AP531),-ROUNDDOWN($K532*AP$5/100,0)),0)</f>
        <v>0</v>
      </c>
      <c r="AQ532" s="38">
        <f>IF(AND($A532&gt;=AQ$8,$A532&lt;=AQ$9),IF(SUM(AQ$10:AQ531)-ROUNDDOWN($K532*AQ$5/100,0)&lt;-AQ$6,-AQ$6-SUM(AQ$10:AQ531),-ROUNDDOWN($K532*AQ$5/100,0)),0)</f>
        <v>0</v>
      </c>
      <c r="AR532" s="38">
        <f>IF(AND($A532&gt;=AR$8,$A532&lt;=AR$9),IF(SUM(AR$10:AR531)-ROUNDDOWN($K532*AR$5/100,0)&lt;-AR$6,-AR$6-SUM(AR$10:AR531),-ROUNDDOWN($K532*AR$5/100,0)),0)</f>
        <v>0</v>
      </c>
      <c r="AS532" s="38">
        <f>IF(SUMIFS(AS$10:AS531,$A$10:$A531,$A532)-ROUNDDOWN($K532*$S532/100,0)&lt;-$S532*1000,-$S532*1000-SUMIFS(AS$10:AS531,$A$10:$A531,$A532),-ROUNDDOWN($K532*$S532/100,0))</f>
        <v>0</v>
      </c>
      <c r="AT532" s="38">
        <f>IF(AND(X532="○",$A532&gt;=AT$8,$A532&lt;=AT$9,K532&gt;=3980),IF(SUM(AT$10:AT531)-ROUNDDOWN($K532*AT$5/100,0)&lt;-AT$6,-AT$6-SUM(AT$10:AT531),-ROUNDDOWN($K532*AT$5/100,0)),0)</f>
        <v>0</v>
      </c>
      <c r="AU532" s="38">
        <f>IF(O532="○",IF(SUM(AU$10:AU531)-ROUNDDOWN($K532*AU$5/100,0)&lt;-AU$6,-AU$6-SUM(AU$10:AU531),-ROUNDDOWN($K532*AU$5/100,0)),0)</f>
        <v>0</v>
      </c>
      <c r="AV532" s="38">
        <f>IF(P532="○",IF(SUM(AV$10:AV531)-ROUNDDOWN($K532*AV$5/100,0)&lt;-AV$6,-AV$6-SUM(AV$10:AV531),-ROUNDDOWN($K532*AV$5/100,0)),0)</f>
        <v>0</v>
      </c>
      <c r="AW532" s="38">
        <f>IF(Q532="○",IF(SUM(AW$10:AW531)-ROUNDDOWN($K532*AW$5/100,0)&lt;-AW$6,-AW$6-SUM(AW$10:AW531),-ROUNDDOWN($K532*AW$5/100,0)),0)</f>
        <v>0</v>
      </c>
      <c r="AX532" s="38">
        <f>IF(R532="○",IF(SUM(AX$10:AX531)-ROUNDDOWN($K532*AX$5/100,0)&lt;-AX$6,-AX$6-SUM(AX$10:AX531),-ROUNDDOWN($K532*AX$5/100,0)),0)</f>
        <v>0</v>
      </c>
      <c r="AY532" s="70">
        <v>0</v>
      </c>
      <c r="AZ532" s="65">
        <f t="shared" si="348"/>
        <v>0</v>
      </c>
      <c r="BA532" s="65">
        <f t="shared" si="349"/>
        <v>0</v>
      </c>
      <c r="BB532" s="70"/>
      <c r="BC532" s="65">
        <f t="shared" si="350"/>
        <v>0</v>
      </c>
      <c r="BD532" s="70">
        <v>0</v>
      </c>
      <c r="BE532" s="65">
        <f t="shared" si="351"/>
        <v>0</v>
      </c>
      <c r="BF532" s="70">
        <v>0</v>
      </c>
      <c r="BG532" s="65">
        <f t="shared" si="352"/>
        <v>0</v>
      </c>
      <c r="BH532" s="70">
        <v>0</v>
      </c>
      <c r="BI532" s="65">
        <f t="shared" si="353"/>
        <v>0</v>
      </c>
      <c r="BJ532" s="38">
        <f>IF(AND(BJ$7="○",$A532&gt;=BJ$8,$A532&lt;=BJ$9),IF(SUM(BJ$10:BJ531)-ROUNDDOWN($M532*BJ$5/100,0)&lt;-BJ$6,-BJ$6-SUM(BJ$10:BJ531),-ROUNDDOWN($M532*BJ$5/100,0)),0)</f>
        <v>0</v>
      </c>
      <c r="BK532" s="38">
        <f>IF(AND(BK$7="○",$A532&gt;=BK$8,$A532&lt;=BK$9),IF(SUM(BK$10:BK531)-ROUNDDOWN($L532*BK$5/100,0)&lt;-BK$6,-BK$6-SUM(BK$10:BK531),-ROUNDDOWN($L532*BK$5/100,0)),0)</f>
        <v>0</v>
      </c>
      <c r="BL532" s="38">
        <f>IF(AND(BL$7="○",$A532&gt;=BL$8,$A532&lt;=BL$9),IF(SUM(BL$10:BL531)-ROUNDDOWN($L532*BL$5/100,0)&lt;-BL$6,-BL$6-SUM(BL$10:BL531),-ROUNDDOWN($L532*BL$5/100,0)),0)</f>
        <v>0</v>
      </c>
      <c r="BM532" s="38">
        <f>IF(AND(BM$7="○",$A532&gt;=BM$8,$A532&lt;=BM$9),IF(SUM(BM$10:BM531)-ROUNDDOWN($M532*BM$5/100,0)&lt;-BM$6,-BM$6-SUM(BM$10:BM531),-ROUNDDOWN($M532*BM$5/100,0)),0)</f>
        <v>0</v>
      </c>
      <c r="BN532" s="38">
        <f>IF(AND(BN$7="○",$A532&gt;=BN$8,$A532&lt;=BN$9),IF(SUM(BN$10:BN531)-ROUNDDOWN($M532*BN$5/100,0)&lt;-BN$6,-BN$6-SUM(BN$10:BN531),-ROUNDDOWN($M532*BN$5/100,0)),0)</f>
        <v>0</v>
      </c>
      <c r="BO532" s="38">
        <f>IF(AND(BO$7="○",$A532&gt;=BO$8,$A532&lt;=BO$9),IF(SUM(BO$10:BO531)-ROUNDDOWN($M532*BO$5/100,0)&lt;-BO$6,-BO$6-SUM(BO$10:BO531),-ROUNDDOWN($M532*BO$5/100,0)),0)</f>
        <v>0</v>
      </c>
      <c r="BP532" s="38">
        <f>IF(AND(BP$7="○",$A532&gt;=BP$8,$A532&lt;=BP$9),IF(SUM(BP$10:BP531)-ROUNDDOWN($M532*BP$5/100,0)&lt;-BP$6,-BP$6-SUM(BP$10:BP531),-ROUNDDOWN($M532*BP$5/100,0)),0)</f>
        <v>0</v>
      </c>
      <c r="BQ532" s="38">
        <f>IF(AND(BQ$7="○",$A532&gt;=BQ$8,$A532&lt;=BQ$9),IF(SUM(BQ$10:BQ531)-ROUNDDOWN($L532*BQ$5/100,0)&lt;-BQ$6,-BQ$6-SUM(BQ$10:BQ531),-ROUNDDOWN($L532*BQ$5/100,0)),0)</f>
        <v>0</v>
      </c>
      <c r="BR532" s="38">
        <f>IF(AND(BR$7="○",$A532&gt;=BR$8,$A532&lt;=BR$9),IF(SUM(BR$10:BR531)-ROUNDDOWN($M532*BR$5/100,0)&lt;-BR$6,-BR$6-SUM(BR$10:BR531),-ROUNDDOWN($M532*BR$5/100,0)),0)</f>
        <v>0</v>
      </c>
      <c r="BS532" s="38">
        <f>IF(AND(BS$7="○",$A532&gt;=BS$8,$A532&lt;=BS$9),IF(SUM(BS$10:BS531)-ROUNDDOWN($M532*BS$5/100,0)&lt;-BS$6,-BS$6-SUM(BS$10:BS531),-ROUNDDOWN($M532*BS$5/100,0)),0)</f>
        <v>0</v>
      </c>
      <c r="BT532" s="38">
        <f>IF(AND(BT$7="○",$A532&gt;=BT$8,$A532&lt;=BT$9),IF(SUM(BT$10:BT531)-ROUNDDOWN($M532*BT$5/100,0)&lt;-BT$6,-BT$6-SUM(BT$10:BT531),-ROUNDDOWN($M532*BT$5/100,0)),0)</f>
        <v>0</v>
      </c>
      <c r="BU532" s="38">
        <f>IF(AND(BU$7="○",$A532&gt;=BU$8,$A532&lt;=BU$9),IF(SUM(BU$10:BU531)-ROUNDDOWN($M532*BU$5/100,0)&lt;-BU$6,-BU$6-SUM(BU$10:BU531),-ROUNDDOWN($M532*BU$5/100,0)),0)</f>
        <v>0</v>
      </c>
      <c r="BV532" s="38">
        <f>IF(AND(BV$7="○",$A532&gt;=BV$8,$A532&lt;=BV$9),IF(SUM(BV$10:BV531)-ROUNDDOWN($M532*BV$5/100,0)&lt;-BV$6,-BV$6-SUM(BV$10:BV531),-ROUNDDOWN($M532*BV$5/100,0)),0)</f>
        <v>0</v>
      </c>
      <c r="BW532" s="38">
        <f>IF(AND(BW$7="○",$A532&gt;=BW$8,$A532&lt;=BW$9),IF(SUM(BW$10:BW531)-ROUNDDOWN($M532*BW$5/100,0)&lt;-BW$6,-BW$6-SUM(BW$10:BW531),-ROUNDDOWN($M532*BW$5/100,0)),0)</f>
        <v>0</v>
      </c>
      <c r="BX532" s="38">
        <f>IF(AND(T532="○",$A532&gt;=BX$8,$A532&lt;=BX$9),IF(SUM(BX$10:BX531)-ROUNDDOWN($K532*BX$5/100,0)&lt;-BX$6,-BX$6-SUM(BX$10:BX531),-ROUNDDOWN($K532*BX$5/100,0)),0)</f>
        <v>0</v>
      </c>
      <c r="BY532" s="38">
        <f>IF(AND(U532="○",$A532&gt;=BY$8,$A532&lt;=BY$9),IF(SUM(BY$10:BY531)-ROUNDDOWN($K532*BY$5/100,0)&lt;-BY$6,-BY$6-SUM(BY$10:BY531),-ROUNDDOWN($K532*BY$5/100,0)),0)</f>
        <v>0</v>
      </c>
      <c r="BZ532" s="38">
        <f>IF(AND(V532="○",$A532&gt;=BZ$8,$A532&lt;=BZ$9),IF(SUM(BZ$10:BZ531)-ROUNDDOWN($K532*BZ$5/100,0)&lt;-BZ$6,-BZ$6-SUM(BZ$10:BZ531),-ROUNDDOWN($K532*BZ$5/100,0)),0)</f>
        <v>0</v>
      </c>
      <c r="CA532" s="38">
        <f>IF(AND(W532="○",$A532&gt;=CA$8,$A532&lt;=CA$9),IF(SUM(CA$10:CA531)-ROUNDDOWN($K532*CA$5/100,0)&lt;-CA$6,-CA$6-SUM(CA$10:CA531),-ROUNDDOWN($K532*CA$5/100,0)),0)</f>
        <v>0</v>
      </c>
      <c r="CB532" s="38"/>
      <c r="CC532" s="38"/>
      <c r="CD532" s="38"/>
      <c r="CE532" s="38"/>
      <c r="CF532" s="38"/>
      <c r="CG532" s="65">
        <f t="shared" si="354"/>
        <v>0</v>
      </c>
      <c r="CH532" s="71">
        <f t="shared" si="355"/>
        <v>0</v>
      </c>
      <c r="CI532" s="1">
        <f t="shared" si="19"/>
        <v>0</v>
      </c>
      <c r="CJ532" s="1"/>
      <c r="CK532" s="72"/>
      <c r="CL532" s="72"/>
      <c r="CM532" s="2"/>
      <c r="CN532" s="2"/>
      <c r="CO532" s="73">
        <f t="shared" si="20"/>
        <v>0</v>
      </c>
      <c r="CP532" s="5">
        <f t="shared" si="21"/>
        <v>0</v>
      </c>
      <c r="CQ532" s="1"/>
      <c r="CR532" s="1">
        <f t="shared" si="22"/>
        <v>0</v>
      </c>
      <c r="CS532" s="1"/>
      <c r="CT532" s="1" t="e">
        <f>INDEX([2]マスタ!$A:$A,MATCH(D532,[2]マスタ!$C:$C,0))</f>
        <v>#N/A</v>
      </c>
      <c r="CU532" s="1" t="str">
        <f t="shared" ca="1" si="23"/>
        <v>20260620_0-0</v>
      </c>
    </row>
    <row r="533" spans="1:99" x14ac:dyDescent="0.4">
      <c r="A533" s="61"/>
      <c r="B533" s="62"/>
      <c r="C533" s="62"/>
      <c r="D533" s="62"/>
      <c r="E533" s="74"/>
      <c r="F533" s="62"/>
      <c r="G533" s="62">
        <v>1</v>
      </c>
      <c r="H533" s="64">
        <f t="shared" si="4"/>
        <v>0</v>
      </c>
      <c r="I533" s="64"/>
      <c r="J533" s="64"/>
      <c r="K533" s="65">
        <f t="shared" si="346"/>
        <v>0</v>
      </c>
      <c r="L533" s="65">
        <f t="shared" si="6"/>
        <v>0</v>
      </c>
      <c r="M533" s="65">
        <f t="shared" si="7"/>
        <v>0</v>
      </c>
      <c r="N533" s="65">
        <f t="shared" si="8"/>
        <v>0</v>
      </c>
      <c r="O533" s="66" t="str">
        <f t="shared" si="9"/>
        <v>✕</v>
      </c>
      <c r="P533" s="67" t="str">
        <f t="shared" si="10"/>
        <v>○</v>
      </c>
      <c r="Q533" s="67" t="str">
        <f t="shared" si="347"/>
        <v>✕</v>
      </c>
      <c r="R533" s="67" t="str">
        <f t="shared" si="12"/>
        <v>✕</v>
      </c>
      <c r="S533" s="68">
        <v>0</v>
      </c>
      <c r="T533" s="69" t="s">
        <v>85</v>
      </c>
      <c r="U533" s="69" t="s">
        <v>85</v>
      </c>
      <c r="V533" s="69" t="s">
        <v>85</v>
      </c>
      <c r="W533" s="69" t="s">
        <v>85</v>
      </c>
      <c r="X533" s="69" t="s">
        <v>84</v>
      </c>
      <c r="Y533" s="69" t="s">
        <v>85</v>
      </c>
      <c r="Z533" s="69" t="s">
        <v>85</v>
      </c>
      <c r="AA533" s="69" t="s">
        <v>85</v>
      </c>
      <c r="AB533" s="69" t="s">
        <v>85</v>
      </c>
      <c r="AC533" s="69" t="s">
        <v>85</v>
      </c>
      <c r="AD533" s="38" t="str">
        <f>+IF(ISERROR(VLOOKUP($B533,AD$10:AD532,1,0)),IF(AND($N533&gt;=1000,$A533&gt;=AO$8,$A533&lt;=AO$9),$B533,""),"")</f>
        <v/>
      </c>
      <c r="AE533" s="38" t="str">
        <f>+IF(ISERROR(VLOOKUP($B533,AE$10:AE532,1,0)),IF(AND($N533&gt;=1000,$A533&gt;=AP$8,$A533&lt;=AP$9),$B533,""),"")</f>
        <v/>
      </c>
      <c r="AF533" s="38" t="str">
        <f>+IF(ISERROR(VLOOKUP($B533,AF$10:AF532,1,0)),IF(AND($N533&gt;=1000,$A533&gt;=AQ$8,$A533&lt;=AQ$9),$B533,""),"")</f>
        <v/>
      </c>
      <c r="AG533" s="38" t="str">
        <f>+IF(ISERROR(VLOOKUP($B533,AG$10:AG532,1,0)),IF(AND($N533&gt;=1000,$A533&gt;=AR$8,$A533&lt;=AR$9),$B533,""),"")</f>
        <v/>
      </c>
      <c r="AH533" s="38"/>
      <c r="AI533" s="70">
        <v>0</v>
      </c>
      <c r="AJ533" s="38">
        <f>IF(AND(AJ$7="○",$A533&gt;=AJ$8,$A533&lt;=AJ$9),IF(SUM(AJ$10:AJ532)-ROUNDDOWN($K533*AJ$5/100,0)&lt;-AJ$6,-AJ$6-SUM(AJ$10:AJ532),-ROUNDDOWN($K533*AJ$5/100,0)),0)</f>
        <v>0</v>
      </c>
      <c r="AK533" s="38">
        <f>IF(AND(AK$7="○",$A533&gt;=AK$8,$A533&lt;=AK$9),IF(SUM(AK$10:AK532)-ROUNDDOWN($L533*AK$5/100,0)&lt;-AK$6,-AK$6-SUM(AK$10:AK532),-ROUNDDOWN($L533*AK$5/100,0)),0)</f>
        <v>0</v>
      </c>
      <c r="AL533" s="38">
        <f>IF(AND(AL$7="○",$A533&gt;=AL$8,$A533&lt;=AL$9),IF(SUM(AL$10:AL532)-ROUNDDOWN($N533*AL$5/100,0)&lt;-AL$6,-AL$6-SUM(AL$10:AL532),-ROUNDDOWN($N533*AL$5/100,0)),0)</f>
        <v>0</v>
      </c>
      <c r="AM533" s="38">
        <f>IF(AND(AM$7="○",$A533&gt;=AM$8,$A533&lt;=AM$9),IF(SUM(AM$10:AM532)-ROUNDDOWN($L533*AM$5/100,0)&lt;-AM$6,-AM$6-SUM(AM$10:AM532),-ROUNDDOWN($L533*AM$5/100,0)),0)</f>
        <v>0</v>
      </c>
      <c r="AN533" s="38">
        <f>IF(AND(AN$7="○",$A533&gt;=AN$8,$A533&lt;=AN$9),IF(SUM(AN$10:AN532)-ROUNDDOWN($M533*AN$5/100,0)&lt;-AN$6,-AN$6-SUM(AN$10:AN532),-ROUNDDOWN($M533*AN$5/100,0)),0)</f>
        <v>0</v>
      </c>
      <c r="AO533" s="38">
        <f>IF(AND($A533&gt;=AO$8,$A533&lt;=AO$9),IF(SUM(AO$10:AO532)-ROUNDDOWN($K533*AO$5/100,0)&lt;-AO$6,-AO$6-SUM(AO$10:AO532),-ROUNDDOWN($K533*AO$5/100,0)),0)</f>
        <v>0</v>
      </c>
      <c r="AP533" s="38">
        <f>IF(AND($A533&gt;=AP$8,$A533&lt;=AP$9),IF(SUM(AP$10:AP532)-ROUNDDOWN($K533*AP$5/100,0)&lt;-AP$6,-AP$6-SUM(AP$10:AP532),-ROUNDDOWN($K533*AP$5/100,0)),0)</f>
        <v>0</v>
      </c>
      <c r="AQ533" s="38">
        <f>IF(AND($A533&gt;=AQ$8,$A533&lt;=AQ$9),IF(SUM(AQ$10:AQ532)-ROUNDDOWN($K533*AQ$5/100,0)&lt;-AQ$6,-AQ$6-SUM(AQ$10:AQ532),-ROUNDDOWN($K533*AQ$5/100,0)),0)</f>
        <v>0</v>
      </c>
      <c r="AR533" s="38">
        <f>IF(AND($A533&gt;=AR$8,$A533&lt;=AR$9),IF(SUM(AR$10:AR532)-ROUNDDOWN($K533*AR$5/100,0)&lt;-AR$6,-AR$6-SUM(AR$10:AR532),-ROUNDDOWN($K533*AR$5/100,0)),0)</f>
        <v>0</v>
      </c>
      <c r="AS533" s="38">
        <f>IF(SUMIFS(AS$10:AS532,$A$10:$A532,$A533)-ROUNDDOWN($K533*$S533/100,0)&lt;-$S533*1000,-$S533*1000-SUMIFS(AS$10:AS532,$A$10:$A532,$A533),-ROUNDDOWN($K533*$S533/100,0))</f>
        <v>0</v>
      </c>
      <c r="AT533" s="38">
        <f>IF(AND(X533="○",$A533&gt;=AT$8,$A533&lt;=AT$9,K533&gt;=3980),IF(SUM(AT$10:AT532)-ROUNDDOWN($K533*AT$5/100,0)&lt;-AT$6,-AT$6-SUM(AT$10:AT532),-ROUNDDOWN($K533*AT$5/100,0)),0)</f>
        <v>0</v>
      </c>
      <c r="AU533" s="38">
        <f>IF(O533="○",IF(SUM(AU$10:AU532)-ROUNDDOWN($K533*AU$5/100,0)&lt;-AU$6,-AU$6-SUM(AU$10:AU532),-ROUNDDOWN($K533*AU$5/100,0)),0)</f>
        <v>0</v>
      </c>
      <c r="AV533" s="38">
        <f>IF(P533="○",IF(SUM(AV$10:AV532)-ROUNDDOWN($K533*AV$5/100,0)&lt;-AV$6,-AV$6-SUM(AV$10:AV532),-ROUNDDOWN($K533*AV$5/100,0)),0)</f>
        <v>0</v>
      </c>
      <c r="AW533" s="38">
        <f>IF(Q533="○",IF(SUM(AW$10:AW532)-ROUNDDOWN($K533*AW$5/100,0)&lt;-AW$6,-AW$6-SUM(AW$10:AW532),-ROUNDDOWN($K533*AW$5/100,0)),0)</f>
        <v>0</v>
      </c>
      <c r="AX533" s="38">
        <f>IF(R533="○",IF(SUM(AX$10:AX532)-ROUNDDOWN($K533*AX$5/100,0)&lt;-AX$6,-AX$6-SUM(AX$10:AX532),-ROUNDDOWN($K533*AX$5/100,0)),0)</f>
        <v>0</v>
      </c>
      <c r="AY533" s="70">
        <v>0</v>
      </c>
      <c r="AZ533" s="65">
        <f t="shared" si="348"/>
        <v>0</v>
      </c>
      <c r="BA533" s="65">
        <f t="shared" si="349"/>
        <v>0</v>
      </c>
      <c r="BB533" s="70"/>
      <c r="BC533" s="65">
        <f t="shared" si="350"/>
        <v>0</v>
      </c>
      <c r="BD533" s="70">
        <v>0</v>
      </c>
      <c r="BE533" s="65">
        <f t="shared" si="351"/>
        <v>0</v>
      </c>
      <c r="BF533" s="70">
        <v>0</v>
      </c>
      <c r="BG533" s="65">
        <f t="shared" si="352"/>
        <v>0</v>
      </c>
      <c r="BH533" s="70">
        <v>0</v>
      </c>
      <c r="BI533" s="65">
        <f t="shared" si="353"/>
        <v>0</v>
      </c>
      <c r="BJ533" s="38">
        <f>IF(AND(BJ$7="○",$A533&gt;=BJ$8,$A533&lt;=BJ$9),IF(SUM(BJ$10:BJ532)-ROUNDDOWN($M533*BJ$5/100,0)&lt;-BJ$6,-BJ$6-SUM(BJ$10:BJ532),-ROUNDDOWN($M533*BJ$5/100,0)),0)</f>
        <v>0</v>
      </c>
      <c r="BK533" s="38">
        <f>IF(AND(BK$7="○",$A533&gt;=BK$8,$A533&lt;=BK$9),IF(SUM(BK$10:BK532)-ROUNDDOWN($L533*BK$5/100,0)&lt;-BK$6,-BK$6-SUM(BK$10:BK532),-ROUNDDOWN($L533*BK$5/100,0)),0)</f>
        <v>0</v>
      </c>
      <c r="BL533" s="38">
        <f>IF(AND(BL$7="○",$A533&gt;=BL$8,$A533&lt;=BL$9),IF(SUM(BL$10:BL532)-ROUNDDOWN($L533*BL$5/100,0)&lt;-BL$6,-BL$6-SUM(BL$10:BL532),-ROUNDDOWN($L533*BL$5/100,0)),0)</f>
        <v>0</v>
      </c>
      <c r="BM533" s="38">
        <f>IF(AND(BM$7="○",$A533&gt;=BM$8,$A533&lt;=BM$9),IF(SUM(BM$10:BM532)-ROUNDDOWN($M533*BM$5/100,0)&lt;-BM$6,-BM$6-SUM(BM$10:BM532),-ROUNDDOWN($M533*BM$5/100,0)),0)</f>
        <v>0</v>
      </c>
      <c r="BN533" s="38">
        <f>IF(AND(BN$7="○",$A533&gt;=BN$8,$A533&lt;=BN$9),IF(SUM(BN$10:BN532)-ROUNDDOWN($M533*BN$5/100,0)&lt;-BN$6,-BN$6-SUM(BN$10:BN532),-ROUNDDOWN($M533*BN$5/100,0)),0)</f>
        <v>0</v>
      </c>
      <c r="BO533" s="38">
        <f>IF(AND(BO$7="○",$A533&gt;=BO$8,$A533&lt;=BO$9),IF(SUM(BO$10:BO532)-ROUNDDOWN($M533*BO$5/100,0)&lt;-BO$6,-BO$6-SUM(BO$10:BO532),-ROUNDDOWN($M533*BO$5/100,0)),0)</f>
        <v>0</v>
      </c>
      <c r="BP533" s="38">
        <f>IF(AND(BP$7="○",$A533&gt;=BP$8,$A533&lt;=BP$9),IF(SUM(BP$10:BP532)-ROUNDDOWN($M533*BP$5/100,0)&lt;-BP$6,-BP$6-SUM(BP$10:BP532),-ROUNDDOWN($M533*BP$5/100,0)),0)</f>
        <v>0</v>
      </c>
      <c r="BQ533" s="38">
        <f>IF(AND(BQ$7="○",$A533&gt;=BQ$8,$A533&lt;=BQ$9),IF(SUM(BQ$10:BQ532)-ROUNDDOWN($L533*BQ$5/100,0)&lt;-BQ$6,-BQ$6-SUM(BQ$10:BQ532),-ROUNDDOWN($L533*BQ$5/100,0)),0)</f>
        <v>0</v>
      </c>
      <c r="BR533" s="38">
        <f>IF(AND(BR$7="○",$A533&gt;=BR$8,$A533&lt;=BR$9),IF(SUM(BR$10:BR532)-ROUNDDOWN($M533*BR$5/100,0)&lt;-BR$6,-BR$6-SUM(BR$10:BR532),-ROUNDDOWN($M533*BR$5/100,0)),0)</f>
        <v>0</v>
      </c>
      <c r="BS533" s="38">
        <f>IF(AND(BS$7="○",$A533&gt;=BS$8,$A533&lt;=BS$9),IF(SUM(BS$10:BS532)-ROUNDDOWN($M533*BS$5/100,0)&lt;-BS$6,-BS$6-SUM(BS$10:BS532),-ROUNDDOWN($M533*BS$5/100,0)),0)</f>
        <v>0</v>
      </c>
      <c r="BT533" s="38">
        <f>IF(AND(BT$7="○",$A533&gt;=BT$8,$A533&lt;=BT$9),IF(SUM(BT$10:BT532)-ROUNDDOWN($M533*BT$5/100,0)&lt;-BT$6,-BT$6-SUM(BT$10:BT532),-ROUNDDOWN($M533*BT$5/100,0)),0)</f>
        <v>0</v>
      </c>
      <c r="BU533" s="38">
        <f>IF(AND(BU$7="○",$A533&gt;=BU$8,$A533&lt;=BU$9),IF(SUM(BU$10:BU532)-ROUNDDOWN($M533*BU$5/100,0)&lt;-BU$6,-BU$6-SUM(BU$10:BU532),-ROUNDDOWN($M533*BU$5/100,0)),0)</f>
        <v>0</v>
      </c>
      <c r="BV533" s="38">
        <f>IF(AND(BV$7="○",$A533&gt;=BV$8,$A533&lt;=BV$9),IF(SUM(BV$10:BV532)-ROUNDDOWN($M533*BV$5/100,0)&lt;-BV$6,-BV$6-SUM(BV$10:BV532),-ROUNDDOWN($M533*BV$5/100,0)),0)</f>
        <v>0</v>
      </c>
      <c r="BW533" s="38">
        <f>IF(AND(BW$7="○",$A533&gt;=BW$8,$A533&lt;=BW$9),IF(SUM(BW$10:BW532)-ROUNDDOWN($M533*BW$5/100,0)&lt;-BW$6,-BW$6-SUM(BW$10:BW532),-ROUNDDOWN($M533*BW$5/100,0)),0)</f>
        <v>0</v>
      </c>
      <c r="BX533" s="38">
        <f>IF(AND(T533="○",$A533&gt;=BX$8,$A533&lt;=BX$9),IF(SUM(BX$10:BX532)-ROUNDDOWN($K533*BX$5/100,0)&lt;-BX$6,-BX$6-SUM(BX$10:BX532),-ROUNDDOWN($K533*BX$5/100,0)),0)</f>
        <v>0</v>
      </c>
      <c r="BY533" s="38">
        <f>IF(AND(U533="○",$A533&gt;=BY$8,$A533&lt;=BY$9),IF(SUM(BY$10:BY532)-ROUNDDOWN($K533*BY$5/100,0)&lt;-BY$6,-BY$6-SUM(BY$10:BY532),-ROUNDDOWN($K533*BY$5/100,0)),0)</f>
        <v>0</v>
      </c>
      <c r="BZ533" s="38">
        <f>IF(AND(V533="○",$A533&gt;=BZ$8,$A533&lt;=BZ$9),IF(SUM(BZ$10:BZ532)-ROUNDDOWN($K533*BZ$5/100,0)&lt;-BZ$6,-BZ$6-SUM(BZ$10:BZ532),-ROUNDDOWN($K533*BZ$5/100,0)),0)</f>
        <v>0</v>
      </c>
      <c r="CA533" s="38">
        <f>IF(AND(W533="○",$A533&gt;=CA$8,$A533&lt;=CA$9),IF(SUM(CA$10:CA532)-ROUNDDOWN($K533*CA$5/100,0)&lt;-CA$6,-CA$6-SUM(CA$10:CA532),-ROUNDDOWN($K533*CA$5/100,0)),0)</f>
        <v>0</v>
      </c>
      <c r="CB533" s="38"/>
      <c r="CC533" s="38"/>
      <c r="CD533" s="38"/>
      <c r="CE533" s="38"/>
      <c r="CF533" s="38"/>
      <c r="CG533" s="65">
        <f t="shared" si="354"/>
        <v>0</v>
      </c>
      <c r="CH533" s="71">
        <f t="shared" si="355"/>
        <v>0</v>
      </c>
      <c r="CI533" s="1">
        <f t="shared" si="19"/>
        <v>0</v>
      </c>
      <c r="CJ533" s="1"/>
      <c r="CK533" s="72"/>
      <c r="CL533" s="72"/>
      <c r="CM533" s="2"/>
      <c r="CN533" s="2"/>
      <c r="CO533" s="73">
        <f t="shared" si="20"/>
        <v>0</v>
      </c>
      <c r="CP533" s="5">
        <f t="shared" si="21"/>
        <v>0</v>
      </c>
      <c r="CQ533" s="1"/>
      <c r="CR533" s="1">
        <f t="shared" si="22"/>
        <v>0</v>
      </c>
      <c r="CS533" s="1"/>
      <c r="CT533" s="1" t="e">
        <f>INDEX([2]マスタ!$A:$A,MATCH(D533,[2]マスタ!$C:$C,0))</f>
        <v>#N/A</v>
      </c>
      <c r="CU533" s="1" t="str">
        <f t="shared" ca="1" si="23"/>
        <v>20260620_0-0</v>
      </c>
    </row>
    <row r="534" spans="1:99" x14ac:dyDescent="0.4">
      <c r="A534" s="61"/>
      <c r="B534" s="62"/>
      <c r="C534" s="62"/>
      <c r="D534" s="62"/>
      <c r="E534" s="74"/>
      <c r="F534" s="62"/>
      <c r="G534" s="62">
        <v>1</v>
      </c>
      <c r="H534" s="64">
        <f t="shared" si="4"/>
        <v>0</v>
      </c>
      <c r="I534" s="64"/>
      <c r="J534" s="64"/>
      <c r="K534" s="65">
        <f t="shared" si="346"/>
        <v>0</v>
      </c>
      <c r="L534" s="65">
        <f t="shared" si="6"/>
        <v>0</v>
      </c>
      <c r="M534" s="65">
        <f t="shared" si="7"/>
        <v>0</v>
      </c>
      <c r="N534" s="65">
        <f t="shared" si="8"/>
        <v>0</v>
      </c>
      <c r="O534" s="66" t="str">
        <f t="shared" si="9"/>
        <v>✕</v>
      </c>
      <c r="P534" s="67" t="str">
        <f t="shared" si="10"/>
        <v>○</v>
      </c>
      <c r="Q534" s="67" t="str">
        <f t="shared" si="347"/>
        <v>✕</v>
      </c>
      <c r="R534" s="67" t="str">
        <f t="shared" si="12"/>
        <v>✕</v>
      </c>
      <c r="S534" s="68">
        <v>0</v>
      </c>
      <c r="T534" s="69" t="s">
        <v>85</v>
      </c>
      <c r="U534" s="69" t="s">
        <v>85</v>
      </c>
      <c r="V534" s="69" t="s">
        <v>85</v>
      </c>
      <c r="W534" s="69" t="s">
        <v>85</v>
      </c>
      <c r="X534" s="69" t="s">
        <v>84</v>
      </c>
      <c r="Y534" s="69" t="s">
        <v>85</v>
      </c>
      <c r="Z534" s="69" t="s">
        <v>85</v>
      </c>
      <c r="AA534" s="69" t="s">
        <v>85</v>
      </c>
      <c r="AB534" s="69" t="s">
        <v>85</v>
      </c>
      <c r="AC534" s="69" t="s">
        <v>85</v>
      </c>
      <c r="AD534" s="38" t="str">
        <f>+IF(ISERROR(VLOOKUP($B534,AD$10:AD533,1,0)),IF(AND($N534&gt;=1000,$A534&gt;=AO$8,$A534&lt;=AO$9),$B534,""),"")</f>
        <v/>
      </c>
      <c r="AE534" s="38" t="str">
        <f>+IF(ISERROR(VLOOKUP($B534,AE$10:AE533,1,0)),IF(AND($N534&gt;=1000,$A534&gt;=AP$8,$A534&lt;=AP$9),$B534,""),"")</f>
        <v/>
      </c>
      <c r="AF534" s="38" t="str">
        <f>+IF(ISERROR(VLOOKUP($B534,AF$10:AF533,1,0)),IF(AND($N534&gt;=1000,$A534&gt;=AQ$8,$A534&lt;=AQ$9),$B534,""),"")</f>
        <v/>
      </c>
      <c r="AG534" s="38" t="str">
        <f>+IF(ISERROR(VLOOKUP($B534,AG$10:AG533,1,0)),IF(AND($N534&gt;=1000,$A534&gt;=AR$8,$A534&lt;=AR$9),$B534,""),"")</f>
        <v/>
      </c>
      <c r="AH534" s="38"/>
      <c r="AI534" s="70">
        <v>0</v>
      </c>
      <c r="AJ534" s="38">
        <f>IF(AND(AJ$7="○",$A534&gt;=AJ$8,$A534&lt;=AJ$9),IF(SUM(AJ$10:AJ533)-ROUNDDOWN($K534*AJ$5/100,0)&lt;-AJ$6,-AJ$6-SUM(AJ$10:AJ533),-ROUNDDOWN($K534*AJ$5/100,0)),0)</f>
        <v>0</v>
      </c>
      <c r="AK534" s="38">
        <f>IF(AND(AK$7="○",$A534&gt;=AK$8,$A534&lt;=AK$9),IF(SUM(AK$10:AK533)-ROUNDDOWN($L534*AK$5/100,0)&lt;-AK$6,-AK$6-SUM(AK$10:AK533),-ROUNDDOWN($L534*AK$5/100,0)),0)</f>
        <v>0</v>
      </c>
      <c r="AL534" s="38">
        <f>IF(AND(AL$7="○",$A534&gt;=AL$8,$A534&lt;=AL$9),IF(SUM(AL$10:AL533)-ROUNDDOWN($N534*AL$5/100,0)&lt;-AL$6,-AL$6-SUM(AL$10:AL533),-ROUNDDOWN($N534*AL$5/100,0)),0)</f>
        <v>0</v>
      </c>
      <c r="AM534" s="38">
        <f>IF(AND(AM$7="○",$A534&gt;=AM$8,$A534&lt;=AM$9),IF(SUM(AM$10:AM533)-ROUNDDOWN($L534*AM$5/100,0)&lt;-AM$6,-AM$6-SUM(AM$10:AM533),-ROUNDDOWN($L534*AM$5/100,0)),0)</f>
        <v>0</v>
      </c>
      <c r="AN534" s="38">
        <f>IF(AND(AN$7="○",$A534&gt;=AN$8,$A534&lt;=AN$9),IF(SUM(AN$10:AN533)-ROUNDDOWN($M534*AN$5/100,0)&lt;-AN$6,-AN$6-SUM(AN$10:AN533),-ROUNDDOWN($M534*AN$5/100,0)),0)</f>
        <v>0</v>
      </c>
      <c r="AO534" s="38">
        <f>IF(AND($A534&gt;=AO$8,$A534&lt;=AO$9),IF(SUM(AO$10:AO533)-ROUNDDOWN($K534*AO$5/100,0)&lt;-AO$6,-AO$6-SUM(AO$10:AO533),-ROUNDDOWN($K534*AO$5/100,0)),0)</f>
        <v>0</v>
      </c>
      <c r="AP534" s="38">
        <f>IF(AND($A534&gt;=AP$8,$A534&lt;=AP$9),IF(SUM(AP$10:AP533)-ROUNDDOWN($K534*AP$5/100,0)&lt;-AP$6,-AP$6-SUM(AP$10:AP533),-ROUNDDOWN($K534*AP$5/100,0)),0)</f>
        <v>0</v>
      </c>
      <c r="AQ534" s="38">
        <f>IF(AND($A534&gt;=AQ$8,$A534&lt;=AQ$9),IF(SUM(AQ$10:AQ533)-ROUNDDOWN($K534*AQ$5/100,0)&lt;-AQ$6,-AQ$6-SUM(AQ$10:AQ533),-ROUNDDOWN($K534*AQ$5/100,0)),0)</f>
        <v>0</v>
      </c>
      <c r="AR534" s="38">
        <f>IF(AND($A534&gt;=AR$8,$A534&lt;=AR$9),IF(SUM(AR$10:AR533)-ROUNDDOWN($K534*AR$5/100,0)&lt;-AR$6,-AR$6-SUM(AR$10:AR533),-ROUNDDOWN($K534*AR$5/100,0)),0)</f>
        <v>0</v>
      </c>
      <c r="AS534" s="38">
        <f>IF(SUMIFS(AS$10:AS533,$A$10:$A533,$A534)-ROUNDDOWN($K534*$S534/100,0)&lt;-$S534*1000,-$S534*1000-SUMIFS(AS$10:AS533,$A$10:$A533,$A534),-ROUNDDOWN($K534*$S534/100,0))</f>
        <v>0</v>
      </c>
      <c r="AT534" s="38">
        <f>IF(AND(X534="○",$A534&gt;=AT$8,$A534&lt;=AT$9,K534&gt;=3980),IF(SUM(AT$10:AT533)-ROUNDDOWN($K534*AT$5/100,0)&lt;-AT$6,-AT$6-SUM(AT$10:AT533),-ROUNDDOWN($K534*AT$5/100,0)),0)</f>
        <v>0</v>
      </c>
      <c r="AU534" s="38">
        <f>IF(O534="○",IF(SUM(AU$10:AU533)-ROUNDDOWN($K534*AU$5/100,0)&lt;-AU$6,-AU$6-SUM(AU$10:AU533),-ROUNDDOWN($K534*AU$5/100,0)),0)</f>
        <v>0</v>
      </c>
      <c r="AV534" s="38">
        <f>IF(P534="○",IF(SUM(AV$10:AV533)-ROUNDDOWN($K534*AV$5/100,0)&lt;-AV$6,-AV$6-SUM(AV$10:AV533),-ROUNDDOWN($K534*AV$5/100,0)),0)</f>
        <v>0</v>
      </c>
      <c r="AW534" s="38">
        <f>IF(Q534="○",IF(SUM(AW$10:AW533)-ROUNDDOWN($K534*AW$5/100,0)&lt;-AW$6,-AW$6-SUM(AW$10:AW533),-ROUNDDOWN($K534*AW$5/100,0)),0)</f>
        <v>0</v>
      </c>
      <c r="AX534" s="38">
        <f>IF(R534="○",IF(SUM(AX$10:AX533)-ROUNDDOWN($K534*AX$5/100,0)&lt;-AX$6,-AX$6-SUM(AX$10:AX533),-ROUNDDOWN($K534*AX$5/100,0)),0)</f>
        <v>0</v>
      </c>
      <c r="AY534" s="70">
        <v>0</v>
      </c>
      <c r="AZ534" s="65">
        <f t="shared" si="348"/>
        <v>0</v>
      </c>
      <c r="BA534" s="65">
        <f t="shared" si="349"/>
        <v>0</v>
      </c>
      <c r="BB534" s="70"/>
      <c r="BC534" s="65">
        <f t="shared" si="350"/>
        <v>0</v>
      </c>
      <c r="BD534" s="70">
        <v>0</v>
      </c>
      <c r="BE534" s="65">
        <f t="shared" si="351"/>
        <v>0</v>
      </c>
      <c r="BF534" s="70">
        <v>0</v>
      </c>
      <c r="BG534" s="65">
        <f t="shared" si="352"/>
        <v>0</v>
      </c>
      <c r="BH534" s="70">
        <v>0</v>
      </c>
      <c r="BI534" s="65">
        <f t="shared" si="353"/>
        <v>0</v>
      </c>
      <c r="BJ534" s="38">
        <f>IF(AND(BJ$7="○",$A534&gt;=BJ$8,$A534&lt;=BJ$9),IF(SUM(BJ$10:BJ533)-ROUNDDOWN($M534*BJ$5/100,0)&lt;-BJ$6,-BJ$6-SUM(BJ$10:BJ533),-ROUNDDOWN($M534*BJ$5/100,0)),0)</f>
        <v>0</v>
      </c>
      <c r="BK534" s="38">
        <f>IF(AND(BK$7="○",$A534&gt;=BK$8,$A534&lt;=BK$9),IF(SUM(BK$10:BK533)-ROUNDDOWN($L534*BK$5/100,0)&lt;-BK$6,-BK$6-SUM(BK$10:BK533),-ROUNDDOWN($L534*BK$5/100,0)),0)</f>
        <v>0</v>
      </c>
      <c r="BL534" s="38">
        <f>IF(AND(BL$7="○",$A534&gt;=BL$8,$A534&lt;=BL$9),IF(SUM(BL$10:BL533)-ROUNDDOWN($L534*BL$5/100,0)&lt;-BL$6,-BL$6-SUM(BL$10:BL533),-ROUNDDOWN($L534*BL$5/100,0)),0)</f>
        <v>0</v>
      </c>
      <c r="BM534" s="38">
        <f>IF(AND(BM$7="○",$A534&gt;=BM$8,$A534&lt;=BM$9),IF(SUM(BM$10:BM533)-ROUNDDOWN($M534*BM$5/100,0)&lt;-BM$6,-BM$6-SUM(BM$10:BM533),-ROUNDDOWN($M534*BM$5/100,0)),0)</f>
        <v>0</v>
      </c>
      <c r="BN534" s="38">
        <f>IF(AND(BN$7="○",$A534&gt;=BN$8,$A534&lt;=BN$9),IF(SUM(BN$10:BN533)-ROUNDDOWN($M534*BN$5/100,0)&lt;-BN$6,-BN$6-SUM(BN$10:BN533),-ROUNDDOWN($M534*BN$5/100,0)),0)</f>
        <v>0</v>
      </c>
      <c r="BO534" s="38">
        <f>IF(AND(BO$7="○",$A534&gt;=BO$8,$A534&lt;=BO$9),IF(SUM(BO$10:BO533)-ROUNDDOWN($M534*BO$5/100,0)&lt;-BO$6,-BO$6-SUM(BO$10:BO533),-ROUNDDOWN($M534*BO$5/100,0)),0)</f>
        <v>0</v>
      </c>
      <c r="BP534" s="38">
        <f>IF(AND(BP$7="○",$A534&gt;=BP$8,$A534&lt;=BP$9),IF(SUM(BP$10:BP533)-ROUNDDOWN($M534*BP$5/100,0)&lt;-BP$6,-BP$6-SUM(BP$10:BP533),-ROUNDDOWN($M534*BP$5/100,0)),0)</f>
        <v>0</v>
      </c>
      <c r="BQ534" s="38">
        <f>IF(AND(BQ$7="○",$A534&gt;=BQ$8,$A534&lt;=BQ$9),IF(SUM(BQ$10:BQ533)-ROUNDDOWN($L534*BQ$5/100,0)&lt;-BQ$6,-BQ$6-SUM(BQ$10:BQ533),-ROUNDDOWN($L534*BQ$5/100,0)),0)</f>
        <v>0</v>
      </c>
      <c r="BR534" s="38">
        <f>IF(AND(BR$7="○",$A534&gt;=BR$8,$A534&lt;=BR$9),IF(SUM(BR$10:BR533)-ROUNDDOWN($M534*BR$5/100,0)&lt;-BR$6,-BR$6-SUM(BR$10:BR533),-ROUNDDOWN($M534*BR$5/100,0)),0)</f>
        <v>0</v>
      </c>
      <c r="BS534" s="38">
        <f>IF(AND(BS$7="○",$A534&gt;=BS$8,$A534&lt;=BS$9),IF(SUM(BS$10:BS533)-ROUNDDOWN($M534*BS$5/100,0)&lt;-BS$6,-BS$6-SUM(BS$10:BS533),-ROUNDDOWN($M534*BS$5/100,0)),0)</f>
        <v>0</v>
      </c>
      <c r="BT534" s="38">
        <f>IF(AND(BT$7="○",$A534&gt;=BT$8,$A534&lt;=BT$9),IF(SUM(BT$10:BT533)-ROUNDDOWN($M534*BT$5/100,0)&lt;-BT$6,-BT$6-SUM(BT$10:BT533),-ROUNDDOWN($M534*BT$5/100,0)),0)</f>
        <v>0</v>
      </c>
      <c r="BU534" s="38">
        <f>IF(AND(BU$7="○",$A534&gt;=BU$8,$A534&lt;=BU$9),IF(SUM(BU$10:BU533)-ROUNDDOWN($M534*BU$5/100,0)&lt;-BU$6,-BU$6-SUM(BU$10:BU533),-ROUNDDOWN($M534*BU$5/100,0)),0)</f>
        <v>0</v>
      </c>
      <c r="BV534" s="38">
        <f>IF(AND(BV$7="○",$A534&gt;=BV$8,$A534&lt;=BV$9),IF(SUM(BV$10:BV533)-ROUNDDOWN($M534*BV$5/100,0)&lt;-BV$6,-BV$6-SUM(BV$10:BV533),-ROUNDDOWN($M534*BV$5/100,0)),0)</f>
        <v>0</v>
      </c>
      <c r="BW534" s="38">
        <f>IF(AND(BW$7="○",$A534&gt;=BW$8,$A534&lt;=BW$9),IF(SUM(BW$10:BW533)-ROUNDDOWN($M534*BW$5/100,0)&lt;-BW$6,-BW$6-SUM(BW$10:BW533),-ROUNDDOWN($M534*BW$5/100,0)),0)</f>
        <v>0</v>
      </c>
      <c r="BX534" s="38">
        <f>IF(AND(T534="○",$A534&gt;=BX$8,$A534&lt;=BX$9),IF(SUM(BX$10:BX533)-ROUNDDOWN($K534*BX$5/100,0)&lt;-BX$6,-BX$6-SUM(BX$10:BX533),-ROUNDDOWN($K534*BX$5/100,0)),0)</f>
        <v>0</v>
      </c>
      <c r="BY534" s="38">
        <f>IF(AND(U534="○",$A534&gt;=BY$8,$A534&lt;=BY$9),IF(SUM(BY$10:BY533)-ROUNDDOWN($K534*BY$5/100,0)&lt;-BY$6,-BY$6-SUM(BY$10:BY533),-ROUNDDOWN($K534*BY$5/100,0)),0)</f>
        <v>0</v>
      </c>
      <c r="BZ534" s="38">
        <f>IF(AND(V534="○",$A534&gt;=BZ$8,$A534&lt;=BZ$9),IF(SUM(BZ$10:BZ533)-ROUNDDOWN($K534*BZ$5/100,0)&lt;-BZ$6,-BZ$6-SUM(BZ$10:BZ533),-ROUNDDOWN($K534*BZ$5/100,0)),0)</f>
        <v>0</v>
      </c>
      <c r="CA534" s="38">
        <f>IF(AND(W534="○",$A534&gt;=CA$8,$A534&lt;=CA$9),IF(SUM(CA$10:CA533)-ROUNDDOWN($K534*CA$5/100,0)&lt;-CA$6,-CA$6-SUM(CA$10:CA533),-ROUNDDOWN($K534*CA$5/100,0)),0)</f>
        <v>0</v>
      </c>
      <c r="CB534" s="38"/>
      <c r="CC534" s="38"/>
      <c r="CD534" s="38"/>
      <c r="CE534" s="38"/>
      <c r="CF534" s="38"/>
      <c r="CG534" s="65">
        <f t="shared" si="354"/>
        <v>0</v>
      </c>
      <c r="CH534" s="71">
        <f t="shared" si="355"/>
        <v>0</v>
      </c>
      <c r="CI534" s="1">
        <f t="shared" si="19"/>
        <v>0</v>
      </c>
      <c r="CJ534" s="1"/>
      <c r="CK534" s="72"/>
      <c r="CL534" s="72"/>
      <c r="CM534" s="2"/>
      <c r="CN534" s="2"/>
      <c r="CO534" s="73">
        <f t="shared" si="20"/>
        <v>0</v>
      </c>
      <c r="CP534" s="5">
        <f t="shared" si="21"/>
        <v>0</v>
      </c>
      <c r="CQ534" s="1"/>
      <c r="CR534" s="1">
        <f t="shared" si="22"/>
        <v>0</v>
      </c>
      <c r="CS534" s="1"/>
      <c r="CT534" s="1" t="e">
        <f>INDEX([2]マスタ!$A:$A,MATCH(D534,[2]マスタ!$C:$C,0))</f>
        <v>#N/A</v>
      </c>
      <c r="CU534" s="1" t="str">
        <f t="shared" ca="1" si="23"/>
        <v>20260620_0-0</v>
      </c>
    </row>
    <row r="535" spans="1:99" x14ac:dyDescent="0.4">
      <c r="A535" s="61"/>
      <c r="B535" s="62"/>
      <c r="C535" s="62"/>
      <c r="D535" s="62"/>
      <c r="E535" s="74"/>
      <c r="F535" s="62"/>
      <c r="G535" s="62">
        <v>1</v>
      </c>
      <c r="H535" s="64">
        <f t="shared" si="4"/>
        <v>0</v>
      </c>
      <c r="I535" s="64"/>
      <c r="J535" s="64"/>
      <c r="K535" s="65">
        <f t="shared" si="346"/>
        <v>0</v>
      </c>
      <c r="L535" s="65">
        <f t="shared" si="6"/>
        <v>0</v>
      </c>
      <c r="M535" s="65">
        <f t="shared" si="7"/>
        <v>0</v>
      </c>
      <c r="N535" s="65">
        <f t="shared" si="8"/>
        <v>0</v>
      </c>
      <c r="O535" s="66" t="str">
        <f t="shared" si="9"/>
        <v>✕</v>
      </c>
      <c r="P535" s="67" t="str">
        <f t="shared" si="10"/>
        <v>○</v>
      </c>
      <c r="Q535" s="67" t="str">
        <f t="shared" si="347"/>
        <v>✕</v>
      </c>
      <c r="R535" s="67" t="str">
        <f t="shared" si="12"/>
        <v>✕</v>
      </c>
      <c r="S535" s="68">
        <v>0</v>
      </c>
      <c r="T535" s="69" t="s">
        <v>85</v>
      </c>
      <c r="U535" s="69" t="s">
        <v>85</v>
      </c>
      <c r="V535" s="69" t="s">
        <v>85</v>
      </c>
      <c r="W535" s="69" t="s">
        <v>85</v>
      </c>
      <c r="X535" s="69" t="s">
        <v>84</v>
      </c>
      <c r="Y535" s="69" t="s">
        <v>85</v>
      </c>
      <c r="Z535" s="69" t="s">
        <v>85</v>
      </c>
      <c r="AA535" s="69" t="s">
        <v>85</v>
      </c>
      <c r="AB535" s="69" t="s">
        <v>85</v>
      </c>
      <c r="AC535" s="69" t="s">
        <v>85</v>
      </c>
      <c r="AD535" s="38" t="str">
        <f>+IF(ISERROR(VLOOKUP($B535,AD$10:AD534,1,0)),IF(AND($N535&gt;=1000,$A535&gt;=AO$8,$A535&lt;=AO$9),$B535,""),"")</f>
        <v/>
      </c>
      <c r="AE535" s="38" t="str">
        <f>+IF(ISERROR(VLOOKUP($B535,AE$10:AE534,1,0)),IF(AND($N535&gt;=1000,$A535&gt;=AP$8,$A535&lt;=AP$9),$B535,""),"")</f>
        <v/>
      </c>
      <c r="AF535" s="38" t="str">
        <f>+IF(ISERROR(VLOOKUP($B535,AF$10:AF534,1,0)),IF(AND($N535&gt;=1000,$A535&gt;=AQ$8,$A535&lt;=AQ$9),$B535,""),"")</f>
        <v/>
      </c>
      <c r="AG535" s="38" t="str">
        <f>+IF(ISERROR(VLOOKUP($B535,AG$10:AG534,1,0)),IF(AND($N535&gt;=1000,$A535&gt;=AR$8,$A535&lt;=AR$9),$B535,""),"")</f>
        <v/>
      </c>
      <c r="AH535" s="38"/>
      <c r="AI535" s="70">
        <v>0</v>
      </c>
      <c r="AJ535" s="38">
        <f>IF(AND(AJ$7="○",$A535&gt;=AJ$8,$A535&lt;=AJ$9),IF(SUM(AJ$10:AJ534)-ROUNDDOWN($K535*AJ$5/100,0)&lt;-AJ$6,-AJ$6-SUM(AJ$10:AJ534),-ROUNDDOWN($K535*AJ$5/100,0)),0)</f>
        <v>0</v>
      </c>
      <c r="AK535" s="38">
        <f>IF(AND(AK$7="○",$A535&gt;=AK$8,$A535&lt;=AK$9),IF(SUM(AK$10:AK534)-ROUNDDOWN($L535*AK$5/100,0)&lt;-AK$6,-AK$6-SUM(AK$10:AK534),-ROUNDDOWN($L535*AK$5/100,0)),0)</f>
        <v>0</v>
      </c>
      <c r="AL535" s="38">
        <f>IF(AND(AL$7="○",$A535&gt;=AL$8,$A535&lt;=AL$9),IF(SUM(AL$10:AL534)-ROUNDDOWN($N535*AL$5/100,0)&lt;-AL$6,-AL$6-SUM(AL$10:AL534),-ROUNDDOWN($N535*AL$5/100,0)),0)</f>
        <v>0</v>
      </c>
      <c r="AM535" s="38">
        <f>IF(AND(AM$7="○",$A535&gt;=AM$8,$A535&lt;=AM$9),IF(SUM(AM$10:AM534)-ROUNDDOWN($L535*AM$5/100,0)&lt;-AM$6,-AM$6-SUM(AM$10:AM534),-ROUNDDOWN($L535*AM$5/100,0)),0)</f>
        <v>0</v>
      </c>
      <c r="AN535" s="38">
        <f>IF(AND(AN$7="○",$A535&gt;=AN$8,$A535&lt;=AN$9),IF(SUM(AN$10:AN534)-ROUNDDOWN($M535*AN$5/100,0)&lt;-AN$6,-AN$6-SUM(AN$10:AN534),-ROUNDDOWN($M535*AN$5/100,0)),0)</f>
        <v>0</v>
      </c>
      <c r="AO535" s="38">
        <f>IF(AND($A535&gt;=AO$8,$A535&lt;=AO$9),IF(SUM(AO$10:AO534)-ROUNDDOWN($K535*AO$5/100,0)&lt;-AO$6,-AO$6-SUM(AO$10:AO534),-ROUNDDOWN($K535*AO$5/100,0)),0)</f>
        <v>0</v>
      </c>
      <c r="AP535" s="38">
        <f>IF(AND($A535&gt;=AP$8,$A535&lt;=AP$9),IF(SUM(AP$10:AP534)-ROUNDDOWN($K535*AP$5/100,0)&lt;-AP$6,-AP$6-SUM(AP$10:AP534),-ROUNDDOWN($K535*AP$5/100,0)),0)</f>
        <v>0</v>
      </c>
      <c r="AQ535" s="38">
        <f>IF(AND($A535&gt;=AQ$8,$A535&lt;=AQ$9),IF(SUM(AQ$10:AQ534)-ROUNDDOWN($K535*AQ$5/100,0)&lt;-AQ$6,-AQ$6-SUM(AQ$10:AQ534),-ROUNDDOWN($K535*AQ$5/100,0)),0)</f>
        <v>0</v>
      </c>
      <c r="AR535" s="38">
        <f>IF(AND($A535&gt;=AR$8,$A535&lt;=AR$9),IF(SUM(AR$10:AR534)-ROUNDDOWN($K535*AR$5/100,0)&lt;-AR$6,-AR$6-SUM(AR$10:AR534),-ROUNDDOWN($K535*AR$5/100,0)),0)</f>
        <v>0</v>
      </c>
      <c r="AS535" s="38">
        <f>IF(SUMIFS(AS$10:AS534,$A$10:$A534,$A535)-ROUNDDOWN($K535*$S535/100,0)&lt;-$S535*1000,-$S535*1000-SUMIFS(AS$10:AS534,$A$10:$A534,$A535),-ROUNDDOWN($K535*$S535/100,0))</f>
        <v>0</v>
      </c>
      <c r="AT535" s="38">
        <f>IF(AND(X535="○",$A535&gt;=AT$8,$A535&lt;=AT$9,K535&gt;=3980),IF(SUM(AT$10:AT534)-ROUNDDOWN($K535*AT$5/100,0)&lt;-AT$6,-AT$6-SUM(AT$10:AT534),-ROUNDDOWN($K535*AT$5/100,0)),0)</f>
        <v>0</v>
      </c>
      <c r="AU535" s="38">
        <f>IF(O535="○",IF(SUM(AU$10:AU534)-ROUNDDOWN($K535*AU$5/100,0)&lt;-AU$6,-AU$6-SUM(AU$10:AU534),-ROUNDDOWN($K535*AU$5/100,0)),0)</f>
        <v>0</v>
      </c>
      <c r="AV535" s="38">
        <f>IF(P535="○",IF(SUM(AV$10:AV534)-ROUNDDOWN($K535*AV$5/100,0)&lt;-AV$6,-AV$6-SUM(AV$10:AV534),-ROUNDDOWN($K535*AV$5/100,0)),0)</f>
        <v>0</v>
      </c>
      <c r="AW535" s="38">
        <f>IF(Q535="○",IF(SUM(AW$10:AW534)-ROUNDDOWN($K535*AW$5/100,0)&lt;-AW$6,-AW$6-SUM(AW$10:AW534),-ROUNDDOWN($K535*AW$5/100,0)),0)</f>
        <v>0</v>
      </c>
      <c r="AX535" s="38">
        <f>IF(R535="○",IF(SUM(AX$10:AX534)-ROUNDDOWN($K535*AX$5/100,0)&lt;-AX$6,-AX$6-SUM(AX$10:AX534),-ROUNDDOWN($K535*AX$5/100,0)),0)</f>
        <v>0</v>
      </c>
      <c r="AY535" s="70">
        <v>0</v>
      </c>
      <c r="AZ535" s="65">
        <f t="shared" si="348"/>
        <v>0</v>
      </c>
      <c r="BA535" s="65">
        <f t="shared" si="349"/>
        <v>0</v>
      </c>
      <c r="BB535" s="70"/>
      <c r="BC535" s="65">
        <f t="shared" si="350"/>
        <v>0</v>
      </c>
      <c r="BD535" s="70">
        <v>0</v>
      </c>
      <c r="BE535" s="65">
        <f t="shared" si="351"/>
        <v>0</v>
      </c>
      <c r="BF535" s="70">
        <v>0</v>
      </c>
      <c r="BG535" s="65">
        <f t="shared" si="352"/>
        <v>0</v>
      </c>
      <c r="BH535" s="70">
        <v>0</v>
      </c>
      <c r="BI535" s="65">
        <f t="shared" si="353"/>
        <v>0</v>
      </c>
      <c r="BJ535" s="38">
        <f>IF(AND(BJ$7="○",$A535&gt;=BJ$8,$A535&lt;=BJ$9),IF(SUM(BJ$10:BJ534)-ROUNDDOWN($M535*BJ$5/100,0)&lt;-BJ$6,-BJ$6-SUM(BJ$10:BJ534),-ROUNDDOWN($M535*BJ$5/100,0)),0)</f>
        <v>0</v>
      </c>
      <c r="BK535" s="38">
        <f>IF(AND(BK$7="○",$A535&gt;=BK$8,$A535&lt;=BK$9),IF(SUM(BK$10:BK534)-ROUNDDOWN($L535*BK$5/100,0)&lt;-BK$6,-BK$6-SUM(BK$10:BK534),-ROUNDDOWN($L535*BK$5/100,0)),0)</f>
        <v>0</v>
      </c>
      <c r="BL535" s="38">
        <f>IF(AND(BL$7="○",$A535&gt;=BL$8,$A535&lt;=BL$9),IF(SUM(BL$10:BL534)-ROUNDDOWN($L535*BL$5/100,0)&lt;-BL$6,-BL$6-SUM(BL$10:BL534),-ROUNDDOWN($L535*BL$5/100,0)),0)</f>
        <v>0</v>
      </c>
      <c r="BM535" s="38">
        <f>IF(AND(BM$7="○",$A535&gt;=BM$8,$A535&lt;=BM$9),IF(SUM(BM$10:BM534)-ROUNDDOWN($M535*BM$5/100,0)&lt;-BM$6,-BM$6-SUM(BM$10:BM534),-ROUNDDOWN($M535*BM$5/100,0)),0)</f>
        <v>0</v>
      </c>
      <c r="BN535" s="38">
        <f>IF(AND(BN$7="○",$A535&gt;=BN$8,$A535&lt;=BN$9),IF(SUM(BN$10:BN534)-ROUNDDOWN($M535*BN$5/100,0)&lt;-BN$6,-BN$6-SUM(BN$10:BN534),-ROUNDDOWN($M535*BN$5/100,0)),0)</f>
        <v>0</v>
      </c>
      <c r="BO535" s="38">
        <f>IF(AND(BO$7="○",$A535&gt;=BO$8,$A535&lt;=BO$9),IF(SUM(BO$10:BO534)-ROUNDDOWN($M535*BO$5/100,0)&lt;-BO$6,-BO$6-SUM(BO$10:BO534),-ROUNDDOWN($M535*BO$5/100,0)),0)</f>
        <v>0</v>
      </c>
      <c r="BP535" s="38">
        <f>IF(AND(BP$7="○",$A535&gt;=BP$8,$A535&lt;=BP$9),IF(SUM(BP$10:BP534)-ROUNDDOWN($M535*BP$5/100,0)&lt;-BP$6,-BP$6-SUM(BP$10:BP534),-ROUNDDOWN($M535*BP$5/100,0)),0)</f>
        <v>0</v>
      </c>
      <c r="BQ535" s="38">
        <f>IF(AND(BQ$7="○",$A535&gt;=BQ$8,$A535&lt;=BQ$9),IF(SUM(BQ$10:BQ534)-ROUNDDOWN($L535*BQ$5/100,0)&lt;-BQ$6,-BQ$6-SUM(BQ$10:BQ534),-ROUNDDOWN($L535*BQ$5/100,0)),0)</f>
        <v>0</v>
      </c>
      <c r="BR535" s="38">
        <f>IF(AND(BR$7="○",$A535&gt;=BR$8,$A535&lt;=BR$9),IF(SUM(BR$10:BR534)-ROUNDDOWN($M535*BR$5/100,0)&lt;-BR$6,-BR$6-SUM(BR$10:BR534),-ROUNDDOWN($M535*BR$5/100,0)),0)</f>
        <v>0</v>
      </c>
      <c r="BS535" s="38">
        <f>IF(AND(BS$7="○",$A535&gt;=BS$8,$A535&lt;=BS$9),IF(SUM(BS$10:BS534)-ROUNDDOWN($M535*BS$5/100,0)&lt;-BS$6,-BS$6-SUM(BS$10:BS534),-ROUNDDOWN($M535*BS$5/100,0)),0)</f>
        <v>0</v>
      </c>
      <c r="BT535" s="38">
        <f>IF(AND(BT$7="○",$A535&gt;=BT$8,$A535&lt;=BT$9),IF(SUM(BT$10:BT534)-ROUNDDOWN($M535*BT$5/100,0)&lt;-BT$6,-BT$6-SUM(BT$10:BT534),-ROUNDDOWN($M535*BT$5/100,0)),0)</f>
        <v>0</v>
      </c>
      <c r="BU535" s="38">
        <f>IF(AND(BU$7="○",$A535&gt;=BU$8,$A535&lt;=BU$9),IF(SUM(BU$10:BU534)-ROUNDDOWN($M535*BU$5/100,0)&lt;-BU$6,-BU$6-SUM(BU$10:BU534),-ROUNDDOWN($M535*BU$5/100,0)),0)</f>
        <v>0</v>
      </c>
      <c r="BV535" s="38">
        <f>IF(AND(BV$7="○",$A535&gt;=BV$8,$A535&lt;=BV$9),IF(SUM(BV$10:BV534)-ROUNDDOWN($M535*BV$5/100,0)&lt;-BV$6,-BV$6-SUM(BV$10:BV534),-ROUNDDOWN($M535*BV$5/100,0)),0)</f>
        <v>0</v>
      </c>
      <c r="BW535" s="38">
        <f>IF(AND(BW$7="○",$A535&gt;=BW$8,$A535&lt;=BW$9),IF(SUM(BW$10:BW534)-ROUNDDOWN($M535*BW$5/100,0)&lt;-BW$6,-BW$6-SUM(BW$10:BW534),-ROUNDDOWN($M535*BW$5/100,0)),0)</f>
        <v>0</v>
      </c>
      <c r="BX535" s="38">
        <f>IF(AND(T535="○",$A535&gt;=BX$8,$A535&lt;=BX$9),IF(SUM(BX$10:BX534)-ROUNDDOWN($K535*BX$5/100,0)&lt;-BX$6,-BX$6-SUM(BX$10:BX534),-ROUNDDOWN($K535*BX$5/100,0)),0)</f>
        <v>0</v>
      </c>
      <c r="BY535" s="38">
        <f>IF(AND(U535="○",$A535&gt;=BY$8,$A535&lt;=BY$9),IF(SUM(BY$10:BY534)-ROUNDDOWN($K535*BY$5/100,0)&lt;-BY$6,-BY$6-SUM(BY$10:BY534),-ROUNDDOWN($K535*BY$5/100,0)),0)</f>
        <v>0</v>
      </c>
      <c r="BZ535" s="38">
        <f>IF(AND(V535="○",$A535&gt;=BZ$8,$A535&lt;=BZ$9),IF(SUM(BZ$10:BZ534)-ROUNDDOWN($K535*BZ$5/100,0)&lt;-BZ$6,-BZ$6-SUM(BZ$10:BZ534),-ROUNDDOWN($K535*BZ$5/100,0)),0)</f>
        <v>0</v>
      </c>
      <c r="CA535" s="38">
        <f>IF(AND(W535="○",$A535&gt;=CA$8,$A535&lt;=CA$9),IF(SUM(CA$10:CA534)-ROUNDDOWN($K535*CA$5/100,0)&lt;-CA$6,-CA$6-SUM(CA$10:CA534),-ROUNDDOWN($K535*CA$5/100,0)),0)</f>
        <v>0</v>
      </c>
      <c r="CB535" s="38"/>
      <c r="CC535" s="38"/>
      <c r="CD535" s="38"/>
      <c r="CE535" s="38"/>
      <c r="CF535" s="38"/>
      <c r="CG535" s="65">
        <f t="shared" si="354"/>
        <v>0</v>
      </c>
      <c r="CH535" s="71">
        <f t="shared" si="355"/>
        <v>0</v>
      </c>
      <c r="CI535" s="1">
        <f t="shared" si="19"/>
        <v>0</v>
      </c>
      <c r="CJ535" s="1"/>
      <c r="CK535" s="72"/>
      <c r="CL535" s="72"/>
      <c r="CM535" s="2"/>
      <c r="CN535" s="2"/>
      <c r="CO535" s="73">
        <f t="shared" si="20"/>
        <v>0</v>
      </c>
      <c r="CP535" s="5">
        <f t="shared" si="21"/>
        <v>0</v>
      </c>
      <c r="CQ535" s="1"/>
      <c r="CR535" s="1">
        <f t="shared" si="22"/>
        <v>0</v>
      </c>
      <c r="CS535" s="1"/>
      <c r="CT535" s="1" t="e">
        <f>INDEX([2]マスタ!$A:$A,MATCH(D535,[2]マスタ!$C:$C,0))</f>
        <v>#N/A</v>
      </c>
      <c r="CU535" s="1" t="str">
        <f t="shared" ca="1" si="23"/>
        <v>20260620_0-0</v>
      </c>
    </row>
    <row r="536" spans="1:99" x14ac:dyDescent="0.4">
      <c r="A536" s="61"/>
      <c r="B536" s="62"/>
      <c r="C536" s="62"/>
      <c r="D536" s="62"/>
      <c r="E536" s="74"/>
      <c r="F536" s="62"/>
      <c r="G536" s="62">
        <v>1</v>
      </c>
      <c r="H536" s="64">
        <f t="shared" si="4"/>
        <v>0</v>
      </c>
      <c r="I536" s="64"/>
      <c r="J536" s="64"/>
      <c r="K536" s="65">
        <f t="shared" si="346"/>
        <v>0</v>
      </c>
      <c r="L536" s="65">
        <f t="shared" si="6"/>
        <v>0</v>
      </c>
      <c r="M536" s="65">
        <f t="shared" si="7"/>
        <v>0</v>
      </c>
      <c r="N536" s="65">
        <f t="shared" si="8"/>
        <v>0</v>
      </c>
      <c r="O536" s="66" t="str">
        <f t="shared" si="9"/>
        <v>✕</v>
      </c>
      <c r="P536" s="67" t="str">
        <f t="shared" si="10"/>
        <v>○</v>
      </c>
      <c r="Q536" s="67" t="str">
        <f t="shared" si="347"/>
        <v>✕</v>
      </c>
      <c r="R536" s="67" t="str">
        <f t="shared" si="12"/>
        <v>✕</v>
      </c>
      <c r="S536" s="68">
        <v>0</v>
      </c>
      <c r="T536" s="69" t="s">
        <v>85</v>
      </c>
      <c r="U536" s="69" t="s">
        <v>85</v>
      </c>
      <c r="V536" s="69" t="s">
        <v>85</v>
      </c>
      <c r="W536" s="69" t="s">
        <v>85</v>
      </c>
      <c r="X536" s="69" t="s">
        <v>84</v>
      </c>
      <c r="Y536" s="69" t="s">
        <v>85</v>
      </c>
      <c r="Z536" s="69" t="s">
        <v>85</v>
      </c>
      <c r="AA536" s="69" t="s">
        <v>85</v>
      </c>
      <c r="AB536" s="69" t="s">
        <v>85</v>
      </c>
      <c r="AC536" s="69" t="s">
        <v>85</v>
      </c>
      <c r="AD536" s="38" t="str">
        <f>+IF(ISERROR(VLOOKUP($B536,AD$10:AD535,1,0)),IF(AND($N536&gt;=1000,$A536&gt;=AO$8,$A536&lt;=AO$9),$B536,""),"")</f>
        <v/>
      </c>
      <c r="AE536" s="38" t="str">
        <f>+IF(ISERROR(VLOOKUP($B536,AE$10:AE535,1,0)),IF(AND($N536&gt;=1000,$A536&gt;=AP$8,$A536&lt;=AP$9),$B536,""),"")</f>
        <v/>
      </c>
      <c r="AF536" s="38" t="str">
        <f>+IF(ISERROR(VLOOKUP($B536,AF$10:AF535,1,0)),IF(AND($N536&gt;=1000,$A536&gt;=AQ$8,$A536&lt;=AQ$9),$B536,""),"")</f>
        <v/>
      </c>
      <c r="AG536" s="38" t="str">
        <f>+IF(ISERROR(VLOOKUP($B536,AG$10:AG535,1,0)),IF(AND($N536&gt;=1000,$A536&gt;=AR$8,$A536&lt;=AR$9),$B536,""),"")</f>
        <v/>
      </c>
      <c r="AH536" s="38"/>
      <c r="AI536" s="70">
        <v>0</v>
      </c>
      <c r="AJ536" s="38">
        <f>IF(AND(AJ$7="○",$A536&gt;=AJ$8,$A536&lt;=AJ$9),IF(SUM(AJ$10:AJ535)-ROUNDDOWN($K536*AJ$5/100,0)&lt;-AJ$6,-AJ$6-SUM(AJ$10:AJ535),-ROUNDDOWN($K536*AJ$5/100,0)),0)</f>
        <v>0</v>
      </c>
      <c r="AK536" s="38">
        <f>IF(AND(AK$7="○",$A536&gt;=AK$8,$A536&lt;=AK$9),IF(SUM(AK$10:AK535)-ROUNDDOWN($L536*AK$5/100,0)&lt;-AK$6,-AK$6-SUM(AK$10:AK535),-ROUNDDOWN($L536*AK$5/100,0)),0)</f>
        <v>0</v>
      </c>
      <c r="AL536" s="38">
        <f>IF(AND(AL$7="○",$A536&gt;=AL$8,$A536&lt;=AL$9),IF(SUM(AL$10:AL535)-ROUNDDOWN($N536*AL$5/100,0)&lt;-AL$6,-AL$6-SUM(AL$10:AL535),-ROUNDDOWN($N536*AL$5/100,0)),0)</f>
        <v>0</v>
      </c>
      <c r="AM536" s="38">
        <f>IF(AND(AM$7="○",$A536&gt;=AM$8,$A536&lt;=AM$9),IF(SUM(AM$10:AM535)-ROUNDDOWN($L536*AM$5/100,0)&lt;-AM$6,-AM$6-SUM(AM$10:AM535),-ROUNDDOWN($L536*AM$5/100,0)),0)</f>
        <v>0</v>
      </c>
      <c r="AN536" s="38">
        <f>IF(AND(AN$7="○",$A536&gt;=AN$8,$A536&lt;=AN$9),IF(SUM(AN$10:AN535)-ROUNDDOWN($M536*AN$5/100,0)&lt;-AN$6,-AN$6-SUM(AN$10:AN535),-ROUNDDOWN($M536*AN$5/100,0)),0)</f>
        <v>0</v>
      </c>
      <c r="AO536" s="38">
        <f>IF(AND($A536&gt;=AO$8,$A536&lt;=AO$9),IF(SUM(AO$10:AO535)-ROUNDDOWN($K536*AO$5/100,0)&lt;-AO$6,-AO$6-SUM(AO$10:AO535),-ROUNDDOWN($K536*AO$5/100,0)),0)</f>
        <v>0</v>
      </c>
      <c r="AP536" s="38">
        <f>IF(AND($A536&gt;=AP$8,$A536&lt;=AP$9),IF(SUM(AP$10:AP535)-ROUNDDOWN($K536*AP$5/100,0)&lt;-AP$6,-AP$6-SUM(AP$10:AP535),-ROUNDDOWN($K536*AP$5/100,0)),0)</f>
        <v>0</v>
      </c>
      <c r="AQ536" s="38">
        <f>IF(AND($A536&gt;=AQ$8,$A536&lt;=AQ$9),IF(SUM(AQ$10:AQ535)-ROUNDDOWN($K536*AQ$5/100,0)&lt;-AQ$6,-AQ$6-SUM(AQ$10:AQ535),-ROUNDDOWN($K536*AQ$5/100,0)),0)</f>
        <v>0</v>
      </c>
      <c r="AR536" s="38">
        <f>IF(AND($A536&gt;=AR$8,$A536&lt;=AR$9),IF(SUM(AR$10:AR535)-ROUNDDOWN($K536*AR$5/100,0)&lt;-AR$6,-AR$6-SUM(AR$10:AR535),-ROUNDDOWN($K536*AR$5/100,0)),0)</f>
        <v>0</v>
      </c>
      <c r="AS536" s="38">
        <f>IF(SUMIFS(AS$10:AS535,$A$10:$A535,$A536)-ROUNDDOWN($K536*$S536/100,0)&lt;-$S536*1000,-$S536*1000-SUMIFS(AS$10:AS535,$A$10:$A535,$A536),-ROUNDDOWN($K536*$S536/100,0))</f>
        <v>0</v>
      </c>
      <c r="AT536" s="38">
        <f>IF(AND(X536="○",$A536&gt;=AT$8,$A536&lt;=AT$9,K536&gt;=3980),IF(SUM(AT$10:AT535)-ROUNDDOWN($K536*AT$5/100,0)&lt;-AT$6,-AT$6-SUM(AT$10:AT535),-ROUNDDOWN($K536*AT$5/100,0)),0)</f>
        <v>0</v>
      </c>
      <c r="AU536" s="38">
        <f>IF(O536="○",IF(SUM(AU$10:AU535)-ROUNDDOWN($K536*AU$5/100,0)&lt;-AU$6,-AU$6-SUM(AU$10:AU535),-ROUNDDOWN($K536*AU$5/100,0)),0)</f>
        <v>0</v>
      </c>
      <c r="AV536" s="38">
        <f>IF(P536="○",IF(SUM(AV$10:AV535)-ROUNDDOWN($K536*AV$5/100,0)&lt;-AV$6,-AV$6-SUM(AV$10:AV535),-ROUNDDOWN($K536*AV$5/100,0)),0)</f>
        <v>0</v>
      </c>
      <c r="AW536" s="38">
        <f>IF(Q536="○",IF(SUM(AW$10:AW535)-ROUNDDOWN($K536*AW$5/100,0)&lt;-AW$6,-AW$6-SUM(AW$10:AW535),-ROUNDDOWN($K536*AW$5/100,0)),0)</f>
        <v>0</v>
      </c>
      <c r="AX536" s="38">
        <f>IF(R536="○",IF(SUM(AX$10:AX535)-ROUNDDOWN($K536*AX$5/100,0)&lt;-AX$6,-AX$6-SUM(AX$10:AX535),-ROUNDDOWN($K536*AX$5/100,0)),0)</f>
        <v>0</v>
      </c>
      <c r="AY536" s="70">
        <v>0</v>
      </c>
      <c r="AZ536" s="65">
        <f t="shared" si="348"/>
        <v>0</v>
      </c>
      <c r="BA536" s="65">
        <f t="shared" si="349"/>
        <v>0</v>
      </c>
      <c r="BB536" s="70"/>
      <c r="BC536" s="65">
        <f t="shared" si="350"/>
        <v>0</v>
      </c>
      <c r="BD536" s="70">
        <v>0</v>
      </c>
      <c r="BE536" s="65">
        <f t="shared" si="351"/>
        <v>0</v>
      </c>
      <c r="BF536" s="70">
        <v>0</v>
      </c>
      <c r="BG536" s="65">
        <f t="shared" si="352"/>
        <v>0</v>
      </c>
      <c r="BH536" s="70">
        <v>0</v>
      </c>
      <c r="BI536" s="65">
        <f t="shared" si="353"/>
        <v>0</v>
      </c>
      <c r="BJ536" s="38">
        <f>IF(AND(BJ$7="○",$A536&gt;=BJ$8,$A536&lt;=BJ$9),IF(SUM(BJ$10:BJ535)-ROUNDDOWN($M536*BJ$5/100,0)&lt;-BJ$6,-BJ$6-SUM(BJ$10:BJ535),-ROUNDDOWN($M536*BJ$5/100,0)),0)</f>
        <v>0</v>
      </c>
      <c r="BK536" s="38">
        <f>IF(AND(BK$7="○",$A536&gt;=BK$8,$A536&lt;=BK$9),IF(SUM(BK$10:BK535)-ROUNDDOWN($L536*BK$5/100,0)&lt;-BK$6,-BK$6-SUM(BK$10:BK535),-ROUNDDOWN($L536*BK$5/100,0)),0)</f>
        <v>0</v>
      </c>
      <c r="BL536" s="38">
        <f>IF(AND(BL$7="○",$A536&gt;=BL$8,$A536&lt;=BL$9),IF(SUM(BL$10:BL535)-ROUNDDOWN($L536*BL$5/100,0)&lt;-BL$6,-BL$6-SUM(BL$10:BL535),-ROUNDDOWN($L536*BL$5/100,0)),0)</f>
        <v>0</v>
      </c>
      <c r="BM536" s="38">
        <f>IF(AND(BM$7="○",$A536&gt;=BM$8,$A536&lt;=BM$9),IF(SUM(BM$10:BM535)-ROUNDDOWN($M536*BM$5/100,0)&lt;-BM$6,-BM$6-SUM(BM$10:BM535),-ROUNDDOWN($M536*BM$5/100,0)),0)</f>
        <v>0</v>
      </c>
      <c r="BN536" s="38">
        <f>IF(AND(BN$7="○",$A536&gt;=BN$8,$A536&lt;=BN$9),IF(SUM(BN$10:BN535)-ROUNDDOWN($M536*BN$5/100,0)&lt;-BN$6,-BN$6-SUM(BN$10:BN535),-ROUNDDOWN($M536*BN$5/100,0)),0)</f>
        <v>0</v>
      </c>
      <c r="BO536" s="38">
        <f>IF(AND(BO$7="○",$A536&gt;=BO$8,$A536&lt;=BO$9),IF(SUM(BO$10:BO535)-ROUNDDOWN($M536*BO$5/100,0)&lt;-BO$6,-BO$6-SUM(BO$10:BO535),-ROUNDDOWN($M536*BO$5/100,0)),0)</f>
        <v>0</v>
      </c>
      <c r="BP536" s="38">
        <f>IF(AND(BP$7="○",$A536&gt;=BP$8,$A536&lt;=BP$9),IF(SUM(BP$10:BP535)-ROUNDDOWN($M536*BP$5/100,0)&lt;-BP$6,-BP$6-SUM(BP$10:BP535),-ROUNDDOWN($M536*BP$5/100,0)),0)</f>
        <v>0</v>
      </c>
      <c r="BQ536" s="38">
        <f>IF(AND(BQ$7="○",$A536&gt;=BQ$8,$A536&lt;=BQ$9),IF(SUM(BQ$10:BQ535)-ROUNDDOWN($L536*BQ$5/100,0)&lt;-BQ$6,-BQ$6-SUM(BQ$10:BQ535),-ROUNDDOWN($L536*BQ$5/100,0)),0)</f>
        <v>0</v>
      </c>
      <c r="BR536" s="38">
        <f>IF(AND(BR$7="○",$A536&gt;=BR$8,$A536&lt;=BR$9),IF(SUM(BR$10:BR535)-ROUNDDOWN($M536*BR$5/100,0)&lt;-BR$6,-BR$6-SUM(BR$10:BR535),-ROUNDDOWN($M536*BR$5/100,0)),0)</f>
        <v>0</v>
      </c>
      <c r="BS536" s="38">
        <f>IF(AND(BS$7="○",$A536&gt;=BS$8,$A536&lt;=BS$9),IF(SUM(BS$10:BS535)-ROUNDDOWN($M536*BS$5/100,0)&lt;-BS$6,-BS$6-SUM(BS$10:BS535),-ROUNDDOWN($M536*BS$5/100,0)),0)</f>
        <v>0</v>
      </c>
      <c r="BT536" s="38">
        <f>IF(AND(BT$7="○",$A536&gt;=BT$8,$A536&lt;=BT$9),IF(SUM(BT$10:BT535)-ROUNDDOWN($M536*BT$5/100,0)&lt;-BT$6,-BT$6-SUM(BT$10:BT535),-ROUNDDOWN($M536*BT$5/100,0)),0)</f>
        <v>0</v>
      </c>
      <c r="BU536" s="38">
        <f>IF(AND(BU$7="○",$A536&gt;=BU$8,$A536&lt;=BU$9),IF(SUM(BU$10:BU535)-ROUNDDOWN($M536*BU$5/100,0)&lt;-BU$6,-BU$6-SUM(BU$10:BU535),-ROUNDDOWN($M536*BU$5/100,0)),0)</f>
        <v>0</v>
      </c>
      <c r="BV536" s="38">
        <f>IF(AND(BV$7="○",$A536&gt;=BV$8,$A536&lt;=BV$9),IF(SUM(BV$10:BV535)-ROUNDDOWN($M536*BV$5/100,0)&lt;-BV$6,-BV$6-SUM(BV$10:BV535),-ROUNDDOWN($M536*BV$5/100,0)),0)</f>
        <v>0</v>
      </c>
      <c r="BW536" s="38">
        <f>IF(AND(BW$7="○",$A536&gt;=BW$8,$A536&lt;=BW$9),IF(SUM(BW$10:BW535)-ROUNDDOWN($M536*BW$5/100,0)&lt;-BW$6,-BW$6-SUM(BW$10:BW535),-ROUNDDOWN($M536*BW$5/100,0)),0)</f>
        <v>0</v>
      </c>
      <c r="BX536" s="38">
        <f>IF(AND(T536="○",$A536&gt;=BX$8,$A536&lt;=BX$9),IF(SUM(BX$10:BX535)-ROUNDDOWN($K536*BX$5/100,0)&lt;-BX$6,-BX$6-SUM(BX$10:BX535),-ROUNDDOWN($K536*BX$5/100,0)),0)</f>
        <v>0</v>
      </c>
      <c r="BY536" s="38">
        <f>IF(AND(U536="○",$A536&gt;=BY$8,$A536&lt;=BY$9),IF(SUM(BY$10:BY535)-ROUNDDOWN($K536*BY$5/100,0)&lt;-BY$6,-BY$6-SUM(BY$10:BY535),-ROUNDDOWN($K536*BY$5/100,0)),0)</f>
        <v>0</v>
      </c>
      <c r="BZ536" s="38">
        <f>IF(AND(V536="○",$A536&gt;=BZ$8,$A536&lt;=BZ$9),IF(SUM(BZ$10:BZ535)-ROUNDDOWN($K536*BZ$5/100,0)&lt;-BZ$6,-BZ$6-SUM(BZ$10:BZ535),-ROUNDDOWN($K536*BZ$5/100,0)),0)</f>
        <v>0</v>
      </c>
      <c r="CA536" s="38">
        <f>IF(AND(W536="○",$A536&gt;=CA$8,$A536&lt;=CA$9),IF(SUM(CA$10:CA535)-ROUNDDOWN($K536*CA$5/100,0)&lt;-CA$6,-CA$6-SUM(CA$10:CA535),-ROUNDDOWN($K536*CA$5/100,0)),0)</f>
        <v>0</v>
      </c>
      <c r="CB536" s="38"/>
      <c r="CC536" s="38"/>
      <c r="CD536" s="38"/>
      <c r="CE536" s="38"/>
      <c r="CF536" s="38"/>
      <c r="CG536" s="65">
        <f t="shared" si="354"/>
        <v>0</v>
      </c>
      <c r="CH536" s="71">
        <f t="shared" si="355"/>
        <v>0</v>
      </c>
      <c r="CI536" s="1">
        <f t="shared" si="19"/>
        <v>0</v>
      </c>
      <c r="CJ536" s="1"/>
      <c r="CK536" s="72"/>
      <c r="CL536" s="72"/>
      <c r="CM536" s="2"/>
      <c r="CN536" s="2"/>
      <c r="CO536" s="73">
        <f t="shared" si="20"/>
        <v>0</v>
      </c>
      <c r="CP536" s="5">
        <f t="shared" si="21"/>
        <v>0</v>
      </c>
      <c r="CQ536" s="1"/>
      <c r="CR536" s="1">
        <f t="shared" si="22"/>
        <v>0</v>
      </c>
      <c r="CS536" s="1"/>
      <c r="CT536" s="1" t="e">
        <f>INDEX([2]マスタ!$A:$A,MATCH(D536,[2]マスタ!$C:$C,0))</f>
        <v>#N/A</v>
      </c>
      <c r="CU536" s="1" t="str">
        <f t="shared" ca="1" si="23"/>
        <v>20260620_0-0</v>
      </c>
    </row>
    <row r="537" spans="1:99" x14ac:dyDescent="0.4">
      <c r="A537" s="61"/>
      <c r="B537" s="62"/>
      <c r="C537" s="62"/>
      <c r="D537" s="62"/>
      <c r="E537" s="74"/>
      <c r="F537" s="62"/>
      <c r="G537" s="62">
        <v>1</v>
      </c>
      <c r="H537" s="64">
        <f t="shared" si="4"/>
        <v>0</v>
      </c>
      <c r="I537" s="64"/>
      <c r="J537" s="64"/>
      <c r="K537" s="65">
        <f t="shared" si="346"/>
        <v>0</v>
      </c>
      <c r="L537" s="65">
        <f t="shared" si="6"/>
        <v>0</v>
      </c>
      <c r="M537" s="65">
        <f t="shared" si="7"/>
        <v>0</v>
      </c>
      <c r="N537" s="65">
        <f t="shared" si="8"/>
        <v>0</v>
      </c>
      <c r="O537" s="66" t="str">
        <f t="shared" si="9"/>
        <v>✕</v>
      </c>
      <c r="P537" s="67" t="str">
        <f t="shared" si="10"/>
        <v>○</v>
      </c>
      <c r="Q537" s="67" t="str">
        <f t="shared" si="347"/>
        <v>✕</v>
      </c>
      <c r="R537" s="67" t="str">
        <f t="shared" si="12"/>
        <v>✕</v>
      </c>
      <c r="S537" s="68">
        <v>0</v>
      </c>
      <c r="T537" s="69" t="s">
        <v>85</v>
      </c>
      <c r="U537" s="69" t="s">
        <v>85</v>
      </c>
      <c r="V537" s="69" t="s">
        <v>85</v>
      </c>
      <c r="W537" s="69" t="s">
        <v>85</v>
      </c>
      <c r="X537" s="69" t="s">
        <v>84</v>
      </c>
      <c r="Y537" s="69" t="s">
        <v>85</v>
      </c>
      <c r="Z537" s="69" t="s">
        <v>85</v>
      </c>
      <c r="AA537" s="69" t="s">
        <v>85</v>
      </c>
      <c r="AB537" s="69" t="s">
        <v>85</v>
      </c>
      <c r="AC537" s="69" t="s">
        <v>85</v>
      </c>
      <c r="AD537" s="38" t="str">
        <f>+IF(ISERROR(VLOOKUP($B537,AD$10:AD536,1,0)),IF(AND($N537&gt;=1000,$A537&gt;=AO$8,$A537&lt;=AO$9),$B537,""),"")</f>
        <v/>
      </c>
      <c r="AE537" s="38" t="str">
        <f>+IF(ISERROR(VLOOKUP($B537,AE$10:AE536,1,0)),IF(AND($N537&gt;=1000,$A537&gt;=AP$8,$A537&lt;=AP$9),$B537,""),"")</f>
        <v/>
      </c>
      <c r="AF537" s="38" t="str">
        <f>+IF(ISERROR(VLOOKUP($B537,AF$10:AF536,1,0)),IF(AND($N537&gt;=1000,$A537&gt;=AQ$8,$A537&lt;=AQ$9),$B537,""),"")</f>
        <v/>
      </c>
      <c r="AG537" s="38" t="str">
        <f>+IF(ISERROR(VLOOKUP($B537,AG$10:AG536,1,0)),IF(AND($N537&gt;=1000,$A537&gt;=AR$8,$A537&lt;=AR$9),$B537,""),"")</f>
        <v/>
      </c>
      <c r="AH537" s="38"/>
      <c r="AI537" s="70">
        <v>0</v>
      </c>
      <c r="AJ537" s="38">
        <f>IF(AND(AJ$7="○",$A537&gt;=AJ$8,$A537&lt;=AJ$9),IF(SUM(AJ$10:AJ536)-ROUNDDOWN($K537*AJ$5/100,0)&lt;-AJ$6,-AJ$6-SUM(AJ$10:AJ536),-ROUNDDOWN($K537*AJ$5/100,0)),0)</f>
        <v>0</v>
      </c>
      <c r="AK537" s="38">
        <f>IF(AND(AK$7="○",$A537&gt;=AK$8,$A537&lt;=AK$9),IF(SUM(AK$10:AK536)-ROUNDDOWN($L537*AK$5/100,0)&lt;-AK$6,-AK$6-SUM(AK$10:AK536),-ROUNDDOWN($L537*AK$5/100,0)),0)</f>
        <v>0</v>
      </c>
      <c r="AL537" s="38">
        <f>IF(AND(AL$7="○",$A537&gt;=AL$8,$A537&lt;=AL$9),IF(SUM(AL$10:AL536)-ROUNDDOWN($N537*AL$5/100,0)&lt;-AL$6,-AL$6-SUM(AL$10:AL536),-ROUNDDOWN($N537*AL$5/100,0)),0)</f>
        <v>0</v>
      </c>
      <c r="AM537" s="38">
        <f>IF(AND(AM$7="○",$A537&gt;=AM$8,$A537&lt;=AM$9),IF(SUM(AM$10:AM536)-ROUNDDOWN($L537*AM$5/100,0)&lt;-AM$6,-AM$6-SUM(AM$10:AM536),-ROUNDDOWN($L537*AM$5/100,0)),0)</f>
        <v>0</v>
      </c>
      <c r="AN537" s="38">
        <f>IF(AND(AN$7="○",$A537&gt;=AN$8,$A537&lt;=AN$9),IF(SUM(AN$10:AN536)-ROUNDDOWN($M537*AN$5/100,0)&lt;-AN$6,-AN$6-SUM(AN$10:AN536),-ROUNDDOWN($M537*AN$5/100,0)),0)</f>
        <v>0</v>
      </c>
      <c r="AO537" s="38">
        <f>IF(AND($A537&gt;=AO$8,$A537&lt;=AO$9),IF(SUM(AO$10:AO536)-ROUNDDOWN($K537*AO$5/100,0)&lt;-AO$6,-AO$6-SUM(AO$10:AO536),-ROUNDDOWN($K537*AO$5/100,0)),0)</f>
        <v>0</v>
      </c>
      <c r="AP537" s="38">
        <f>IF(AND($A537&gt;=AP$8,$A537&lt;=AP$9),IF(SUM(AP$10:AP536)-ROUNDDOWN($K537*AP$5/100,0)&lt;-AP$6,-AP$6-SUM(AP$10:AP536),-ROUNDDOWN($K537*AP$5/100,0)),0)</f>
        <v>0</v>
      </c>
      <c r="AQ537" s="38">
        <f>IF(AND($A537&gt;=AQ$8,$A537&lt;=AQ$9),IF(SUM(AQ$10:AQ536)-ROUNDDOWN($K537*AQ$5/100,0)&lt;-AQ$6,-AQ$6-SUM(AQ$10:AQ536),-ROUNDDOWN($K537*AQ$5/100,0)),0)</f>
        <v>0</v>
      </c>
      <c r="AR537" s="38">
        <f>IF(AND($A537&gt;=AR$8,$A537&lt;=AR$9),IF(SUM(AR$10:AR536)-ROUNDDOWN($K537*AR$5/100,0)&lt;-AR$6,-AR$6-SUM(AR$10:AR536),-ROUNDDOWN($K537*AR$5/100,0)),0)</f>
        <v>0</v>
      </c>
      <c r="AS537" s="38">
        <f>IF(SUMIFS(AS$10:AS536,$A$10:$A536,$A537)-ROUNDDOWN($K537*$S537/100,0)&lt;-$S537*1000,-$S537*1000-SUMIFS(AS$10:AS536,$A$10:$A536,$A537),-ROUNDDOWN($K537*$S537/100,0))</f>
        <v>0</v>
      </c>
      <c r="AT537" s="38">
        <f>IF(AND(X537="○",$A537&gt;=AT$8,$A537&lt;=AT$9,K537&gt;=3980),IF(SUM(AT$10:AT536)-ROUNDDOWN($K537*AT$5/100,0)&lt;-AT$6,-AT$6-SUM(AT$10:AT536),-ROUNDDOWN($K537*AT$5/100,0)),0)</f>
        <v>0</v>
      </c>
      <c r="AU537" s="38">
        <f>IF(O537="○",IF(SUM(AU$10:AU536)-ROUNDDOWN($K537*AU$5/100,0)&lt;-AU$6,-AU$6-SUM(AU$10:AU536),-ROUNDDOWN($K537*AU$5/100,0)),0)</f>
        <v>0</v>
      </c>
      <c r="AV537" s="38">
        <f>IF(P537="○",IF(SUM(AV$10:AV536)-ROUNDDOWN($K537*AV$5/100,0)&lt;-AV$6,-AV$6-SUM(AV$10:AV536),-ROUNDDOWN($K537*AV$5/100,0)),0)</f>
        <v>0</v>
      </c>
      <c r="AW537" s="38">
        <f>IF(Q537="○",IF(SUM(AW$10:AW536)-ROUNDDOWN($K537*AW$5/100,0)&lt;-AW$6,-AW$6-SUM(AW$10:AW536),-ROUNDDOWN($K537*AW$5/100,0)),0)</f>
        <v>0</v>
      </c>
      <c r="AX537" s="38">
        <f>IF(R537="○",IF(SUM(AX$10:AX536)-ROUNDDOWN($K537*AX$5/100,0)&lt;-AX$6,-AX$6-SUM(AX$10:AX536),-ROUNDDOWN($K537*AX$5/100,0)),0)</f>
        <v>0</v>
      </c>
      <c r="AY537" s="70">
        <v>0</v>
      </c>
      <c r="AZ537" s="65">
        <f t="shared" si="348"/>
        <v>0</v>
      </c>
      <c r="BA537" s="65">
        <f t="shared" si="349"/>
        <v>0</v>
      </c>
      <c r="BB537" s="70"/>
      <c r="BC537" s="65">
        <f t="shared" si="350"/>
        <v>0</v>
      </c>
      <c r="BD537" s="70">
        <v>0</v>
      </c>
      <c r="BE537" s="65">
        <f t="shared" si="351"/>
        <v>0</v>
      </c>
      <c r="BF537" s="70">
        <v>0</v>
      </c>
      <c r="BG537" s="65">
        <f t="shared" si="352"/>
        <v>0</v>
      </c>
      <c r="BH537" s="70">
        <v>0</v>
      </c>
      <c r="BI537" s="65">
        <f t="shared" si="353"/>
        <v>0</v>
      </c>
      <c r="BJ537" s="38">
        <f>IF(AND(BJ$7="○",$A537&gt;=BJ$8,$A537&lt;=BJ$9),IF(SUM(BJ$10:BJ536)-ROUNDDOWN($M537*BJ$5/100,0)&lt;-BJ$6,-BJ$6-SUM(BJ$10:BJ536),-ROUNDDOWN($M537*BJ$5/100,0)),0)</f>
        <v>0</v>
      </c>
      <c r="BK537" s="38">
        <f>IF(AND(BK$7="○",$A537&gt;=BK$8,$A537&lt;=BK$9),IF(SUM(BK$10:BK536)-ROUNDDOWN($L537*BK$5/100,0)&lt;-BK$6,-BK$6-SUM(BK$10:BK536),-ROUNDDOWN($L537*BK$5/100,0)),0)</f>
        <v>0</v>
      </c>
      <c r="BL537" s="38">
        <f>IF(AND(BL$7="○",$A537&gt;=BL$8,$A537&lt;=BL$9),IF(SUM(BL$10:BL536)-ROUNDDOWN($L537*BL$5/100,0)&lt;-BL$6,-BL$6-SUM(BL$10:BL536),-ROUNDDOWN($L537*BL$5/100,0)),0)</f>
        <v>0</v>
      </c>
      <c r="BM537" s="38">
        <f>IF(AND(BM$7="○",$A537&gt;=BM$8,$A537&lt;=BM$9),IF(SUM(BM$10:BM536)-ROUNDDOWN($M537*BM$5/100,0)&lt;-BM$6,-BM$6-SUM(BM$10:BM536),-ROUNDDOWN($M537*BM$5/100,0)),0)</f>
        <v>0</v>
      </c>
      <c r="BN537" s="38">
        <f>IF(AND(BN$7="○",$A537&gt;=BN$8,$A537&lt;=BN$9),IF(SUM(BN$10:BN536)-ROUNDDOWN($M537*BN$5/100,0)&lt;-BN$6,-BN$6-SUM(BN$10:BN536),-ROUNDDOWN($M537*BN$5/100,0)),0)</f>
        <v>0</v>
      </c>
      <c r="BO537" s="38">
        <f>IF(AND(BO$7="○",$A537&gt;=BO$8,$A537&lt;=BO$9),IF(SUM(BO$10:BO536)-ROUNDDOWN($M537*BO$5/100,0)&lt;-BO$6,-BO$6-SUM(BO$10:BO536),-ROUNDDOWN($M537*BO$5/100,0)),0)</f>
        <v>0</v>
      </c>
      <c r="BP537" s="38">
        <f>IF(AND(BP$7="○",$A537&gt;=BP$8,$A537&lt;=BP$9),IF(SUM(BP$10:BP536)-ROUNDDOWN($M537*BP$5/100,0)&lt;-BP$6,-BP$6-SUM(BP$10:BP536),-ROUNDDOWN($M537*BP$5/100,0)),0)</f>
        <v>0</v>
      </c>
      <c r="BQ537" s="38">
        <f>IF(AND(BQ$7="○",$A537&gt;=BQ$8,$A537&lt;=BQ$9),IF(SUM(BQ$10:BQ536)-ROUNDDOWN($L537*BQ$5/100,0)&lt;-BQ$6,-BQ$6-SUM(BQ$10:BQ536),-ROUNDDOWN($L537*BQ$5/100,0)),0)</f>
        <v>0</v>
      </c>
      <c r="BR537" s="38">
        <f>IF(AND(BR$7="○",$A537&gt;=BR$8,$A537&lt;=BR$9),IF(SUM(BR$10:BR536)-ROUNDDOWN($M537*BR$5/100,0)&lt;-BR$6,-BR$6-SUM(BR$10:BR536),-ROUNDDOWN($M537*BR$5/100,0)),0)</f>
        <v>0</v>
      </c>
      <c r="BS537" s="38">
        <f>IF(AND(BS$7="○",$A537&gt;=BS$8,$A537&lt;=BS$9),IF(SUM(BS$10:BS536)-ROUNDDOWN($M537*BS$5/100,0)&lt;-BS$6,-BS$6-SUM(BS$10:BS536),-ROUNDDOWN($M537*BS$5/100,0)),0)</f>
        <v>0</v>
      </c>
      <c r="BT537" s="38">
        <f>IF(AND(BT$7="○",$A537&gt;=BT$8,$A537&lt;=BT$9),IF(SUM(BT$10:BT536)-ROUNDDOWN($M537*BT$5/100,0)&lt;-BT$6,-BT$6-SUM(BT$10:BT536),-ROUNDDOWN($M537*BT$5/100,0)),0)</f>
        <v>0</v>
      </c>
      <c r="BU537" s="38">
        <f>IF(AND(BU$7="○",$A537&gt;=BU$8,$A537&lt;=BU$9),IF(SUM(BU$10:BU536)-ROUNDDOWN($M537*BU$5/100,0)&lt;-BU$6,-BU$6-SUM(BU$10:BU536),-ROUNDDOWN($M537*BU$5/100,0)),0)</f>
        <v>0</v>
      </c>
      <c r="BV537" s="38">
        <f>IF(AND(BV$7="○",$A537&gt;=BV$8,$A537&lt;=BV$9),IF(SUM(BV$10:BV536)-ROUNDDOWN($M537*BV$5/100,0)&lt;-BV$6,-BV$6-SUM(BV$10:BV536),-ROUNDDOWN($M537*BV$5/100,0)),0)</f>
        <v>0</v>
      </c>
      <c r="BW537" s="38">
        <f>IF(AND(BW$7="○",$A537&gt;=BW$8,$A537&lt;=BW$9),IF(SUM(BW$10:BW536)-ROUNDDOWN($M537*BW$5/100,0)&lt;-BW$6,-BW$6-SUM(BW$10:BW536),-ROUNDDOWN($M537*BW$5/100,0)),0)</f>
        <v>0</v>
      </c>
      <c r="BX537" s="38">
        <f>IF(AND(T537="○",$A537&gt;=BX$8,$A537&lt;=BX$9),IF(SUM(BX$10:BX536)-ROUNDDOWN($K537*BX$5/100,0)&lt;-BX$6,-BX$6-SUM(BX$10:BX536),-ROUNDDOWN($K537*BX$5/100,0)),0)</f>
        <v>0</v>
      </c>
      <c r="BY537" s="38">
        <f>IF(AND(U537="○",$A537&gt;=BY$8,$A537&lt;=BY$9),IF(SUM(BY$10:BY536)-ROUNDDOWN($K537*BY$5/100,0)&lt;-BY$6,-BY$6-SUM(BY$10:BY536),-ROUNDDOWN($K537*BY$5/100,0)),0)</f>
        <v>0</v>
      </c>
      <c r="BZ537" s="38">
        <f>IF(AND(V537="○",$A537&gt;=BZ$8,$A537&lt;=BZ$9),IF(SUM(BZ$10:BZ536)-ROUNDDOWN($K537*BZ$5/100,0)&lt;-BZ$6,-BZ$6-SUM(BZ$10:BZ536),-ROUNDDOWN($K537*BZ$5/100,0)),0)</f>
        <v>0</v>
      </c>
      <c r="CA537" s="38">
        <f>IF(AND(W537="○",$A537&gt;=CA$8,$A537&lt;=CA$9),IF(SUM(CA$10:CA536)-ROUNDDOWN($K537*CA$5/100,0)&lt;-CA$6,-CA$6-SUM(CA$10:CA536),-ROUNDDOWN($K537*CA$5/100,0)),0)</f>
        <v>0</v>
      </c>
      <c r="CB537" s="38"/>
      <c r="CC537" s="38"/>
      <c r="CD537" s="38"/>
      <c r="CE537" s="38"/>
      <c r="CF537" s="38"/>
      <c r="CG537" s="65">
        <f t="shared" si="354"/>
        <v>0</v>
      </c>
      <c r="CH537" s="71">
        <f t="shared" si="355"/>
        <v>0</v>
      </c>
      <c r="CI537" s="1">
        <f t="shared" si="19"/>
        <v>0</v>
      </c>
      <c r="CJ537" s="1"/>
      <c r="CK537" s="72"/>
      <c r="CL537" s="72"/>
      <c r="CM537" s="2"/>
      <c r="CN537" s="2"/>
      <c r="CO537" s="73">
        <f t="shared" si="20"/>
        <v>0</v>
      </c>
      <c r="CP537" s="5">
        <f t="shared" si="21"/>
        <v>0</v>
      </c>
      <c r="CQ537" s="1"/>
      <c r="CR537" s="1">
        <f t="shared" si="22"/>
        <v>0</v>
      </c>
      <c r="CS537" s="1"/>
      <c r="CT537" s="1" t="e">
        <f>INDEX([2]マスタ!$A:$A,MATCH(D537,[2]マスタ!$C:$C,0))</f>
        <v>#N/A</v>
      </c>
      <c r="CU537" s="1" t="str">
        <f t="shared" ca="1" si="23"/>
        <v>20260620_0-0</v>
      </c>
    </row>
    <row r="538" spans="1:99" x14ac:dyDescent="0.4">
      <c r="A538" s="61"/>
      <c r="B538" s="62"/>
      <c r="C538" s="62"/>
      <c r="D538" s="62"/>
      <c r="E538" s="74"/>
      <c r="F538" s="62"/>
      <c r="G538" s="62">
        <v>1</v>
      </c>
      <c r="H538" s="64">
        <f t="shared" si="4"/>
        <v>0</v>
      </c>
      <c r="I538" s="64"/>
      <c r="J538" s="64"/>
      <c r="K538" s="65">
        <f t="shared" ref="K538:K541" si="356">+ROUNDDOWN((H538+I538+J538)/100,0)*100</f>
        <v>0</v>
      </c>
      <c r="L538" s="65">
        <f t="shared" si="6"/>
        <v>0</v>
      </c>
      <c r="M538" s="65">
        <f t="shared" si="7"/>
        <v>0</v>
      </c>
      <c r="N538" s="65">
        <f t="shared" si="8"/>
        <v>0</v>
      </c>
      <c r="O538" s="66" t="str">
        <f t="shared" si="9"/>
        <v>✕</v>
      </c>
      <c r="P538" s="67" t="str">
        <f t="shared" si="10"/>
        <v>○</v>
      </c>
      <c r="Q538" s="67" t="str">
        <f t="shared" ref="Q538:Q541" si="357">+IF((TEXT(A538,"DD")+0)=1,"○","✕")</f>
        <v>✕</v>
      </c>
      <c r="R538" s="67" t="str">
        <f t="shared" si="12"/>
        <v>✕</v>
      </c>
      <c r="S538" s="68">
        <v>0</v>
      </c>
      <c r="T538" s="69" t="s">
        <v>85</v>
      </c>
      <c r="U538" s="69" t="s">
        <v>85</v>
      </c>
      <c r="V538" s="69" t="s">
        <v>85</v>
      </c>
      <c r="W538" s="69" t="s">
        <v>85</v>
      </c>
      <c r="X538" s="69" t="s">
        <v>84</v>
      </c>
      <c r="Y538" s="69" t="s">
        <v>85</v>
      </c>
      <c r="Z538" s="69" t="s">
        <v>85</v>
      </c>
      <c r="AA538" s="69" t="s">
        <v>85</v>
      </c>
      <c r="AB538" s="69" t="s">
        <v>85</v>
      </c>
      <c r="AC538" s="69" t="s">
        <v>85</v>
      </c>
      <c r="AD538" s="38" t="str">
        <f>+IF(ISERROR(VLOOKUP($B538,AD$10:AD530,1,0)),IF(AND($N538&gt;=1000,$A538&gt;=AO$8,$A538&lt;=AO$9),$B538,""),"")</f>
        <v/>
      </c>
      <c r="AE538" s="38" t="str">
        <f>+IF(ISERROR(VLOOKUP($B538,AE$10:AE530,1,0)),IF(AND($N538&gt;=1000,$A538&gt;=AP$8,$A538&lt;=AP$9),$B538,""),"")</f>
        <v/>
      </c>
      <c r="AF538" s="38" t="str">
        <f>+IF(ISERROR(VLOOKUP($B538,AF$10:AF530,1,0)),IF(AND($N538&gt;=1000,$A538&gt;=AQ$8,$A538&lt;=AQ$9),$B538,""),"")</f>
        <v/>
      </c>
      <c r="AG538" s="38" t="str">
        <f>+IF(ISERROR(VLOOKUP($B538,AG$10:AG530,1,0)),IF(AND($N538&gt;=1000,$A538&gt;=AR$8,$A538&lt;=AR$9),$B538,""),"")</f>
        <v/>
      </c>
      <c r="AH538" s="38"/>
      <c r="AI538" s="70">
        <v>0</v>
      </c>
      <c r="AJ538" s="38">
        <f>IF(AND(AJ$7="○",$A538&gt;=AJ$8,$A538&lt;=AJ$9),IF(SUM(AJ$10:AJ537)-ROUNDDOWN($K538*AJ$5/100,0)&lt;-AJ$6,-AJ$6-SUM(AJ$10:AJ537),-ROUNDDOWN($K538*AJ$5/100,0)),0)</f>
        <v>0</v>
      </c>
      <c r="AK538" s="38">
        <f>IF(AND(AK$7="○",$A538&gt;=AK$8,$A538&lt;=AK$9),IF(SUM(AK$10:AK537)-ROUNDDOWN($L538*AK$5/100,0)&lt;-AK$6,-AK$6-SUM(AK$10:AK537),-ROUNDDOWN($L538*AK$5/100,0)),0)</f>
        <v>0</v>
      </c>
      <c r="AL538" s="38">
        <f>IF(AND(AL$7="○",$A538&gt;=AL$8,$A538&lt;=AL$9),IF(SUM(AL$10:AL537)-ROUNDDOWN($N538*AL$5/100,0)&lt;-AL$6,-AL$6-SUM(AL$10:AL537),-ROUNDDOWN($N538*AL$5/100,0)),0)</f>
        <v>0</v>
      </c>
      <c r="AM538" s="38">
        <f>IF(AND(AM$7="○",$A538&gt;=AM$8,$A538&lt;=AM$9),IF(SUM(AM$10:AM537)-ROUNDDOWN($L538*AM$5/100,0)&lt;-AM$6,-AM$6-SUM(AM$10:AM537),-ROUNDDOWN($L538*AM$5/100,0)),0)</f>
        <v>0</v>
      </c>
      <c r="AN538" s="38">
        <f>IF(AND(AN$7="○",$A538&gt;=AN$8,$A538&lt;=AN$9),IF(SUM(AN$10:AN537)-ROUNDDOWN($M538*AN$5/100,0)&lt;-AN$6,-AN$6-SUM(AN$10:AN537),-ROUNDDOWN($M538*AN$5/100,0)),0)</f>
        <v>0</v>
      </c>
      <c r="AO538" s="38">
        <f>IF(AND($A538&gt;=AO$8,$A538&lt;=AO$9),IF(SUM(AO$10:AO537)-ROUNDDOWN($K538*AO$5/100,0)&lt;-AO$6,-AO$6-SUM(AO$10:AO537),-ROUNDDOWN($K538*AO$5/100,0)),0)</f>
        <v>0</v>
      </c>
      <c r="AP538" s="38">
        <f>IF(AND($A538&gt;=AP$8,$A538&lt;=AP$9),IF(SUM(AP$10:AP537)-ROUNDDOWN($K538*AP$5/100,0)&lt;-AP$6,-AP$6-SUM(AP$10:AP537),-ROUNDDOWN($K538*AP$5/100,0)),0)</f>
        <v>0</v>
      </c>
      <c r="AQ538" s="38">
        <f>IF(AND($A538&gt;=AQ$8,$A538&lt;=AQ$9),IF(SUM(AQ$10:AQ537)-ROUNDDOWN($K538*AQ$5/100,0)&lt;-AQ$6,-AQ$6-SUM(AQ$10:AQ537),-ROUNDDOWN($K538*AQ$5/100,0)),0)</f>
        <v>0</v>
      </c>
      <c r="AR538" s="38">
        <f>IF(AND($A538&gt;=AR$8,$A538&lt;=AR$9),IF(SUM(AR$10:AR537)-ROUNDDOWN($K538*AR$5/100,0)&lt;-AR$6,-AR$6-SUM(AR$10:AR537),-ROUNDDOWN($K538*AR$5/100,0)),0)</f>
        <v>0</v>
      </c>
      <c r="AS538" s="38">
        <f>IF(SUMIFS(AS$10:AS537,$A$10:$A537,$A538)-ROUNDDOWN($K538*$S538/100,0)&lt;-$S538*1000,-$S538*1000-SUMIFS(AS$10:AS537,$A$10:$A537,$A538),-ROUNDDOWN($K538*$S538/100,0))</f>
        <v>0</v>
      </c>
      <c r="AT538" s="38">
        <f>IF(AND(X538="○",$A538&gt;=AT$8,$A538&lt;=AT$9,K538&gt;=3980),IF(SUM(AT$10:AT537)-ROUNDDOWN($K538*AT$5/100,0)&lt;-AT$6,-AT$6-SUM(AT$10:AT537),-ROUNDDOWN($K538*AT$5/100,0)),0)</f>
        <v>0</v>
      </c>
      <c r="AU538" s="38">
        <f>IF(O538="○",IF(SUM(AU$10:AU537)-ROUNDDOWN($K538*AU$5/100,0)&lt;-AU$6,-AU$6-SUM(AU$10:AU537),-ROUNDDOWN($K538*AU$5/100,0)),0)</f>
        <v>0</v>
      </c>
      <c r="AV538" s="38">
        <f>IF(P538="○",IF(SUM(AV$10:AV537)-ROUNDDOWN($K538*AV$5/100,0)&lt;-AV$6,-AV$6-SUM(AV$10:AV537),-ROUNDDOWN($K538*AV$5/100,0)),0)</f>
        <v>0</v>
      </c>
      <c r="AW538" s="38">
        <f>IF(Q538="○",IF(SUM(AW$10:AW537)-ROUNDDOWN($K538*AW$5/100,0)&lt;-AW$6,-AW$6-SUM(AW$10:AW537),-ROUNDDOWN($K538*AW$5/100,0)),0)</f>
        <v>0</v>
      </c>
      <c r="AX538" s="38">
        <f>IF(R538="○",IF(SUM(AX$10:AX537)-ROUNDDOWN($K538*AX$5/100,0)&lt;-AX$6,-AX$6-SUM(AX$10:AX537),-ROUNDDOWN($K538*AX$5/100,0)),0)</f>
        <v>0</v>
      </c>
      <c r="AY538" s="70">
        <v>0</v>
      </c>
      <c r="AZ538" s="65">
        <f t="shared" si="348"/>
        <v>0</v>
      </c>
      <c r="BA538" s="65">
        <f t="shared" si="349"/>
        <v>0</v>
      </c>
      <c r="BB538" s="70"/>
      <c r="BC538" s="65">
        <f t="shared" si="350"/>
        <v>0</v>
      </c>
      <c r="BD538" s="70">
        <v>0</v>
      </c>
      <c r="BE538" s="65">
        <f t="shared" si="351"/>
        <v>0</v>
      </c>
      <c r="BF538" s="70">
        <v>0</v>
      </c>
      <c r="BG538" s="65">
        <f t="shared" si="352"/>
        <v>0</v>
      </c>
      <c r="BH538" s="70">
        <v>0</v>
      </c>
      <c r="BI538" s="65">
        <f t="shared" si="353"/>
        <v>0</v>
      </c>
      <c r="BJ538" s="38">
        <f>IF(AND(BJ$7="○",$A538&gt;=BJ$8,$A538&lt;=BJ$9),IF(SUM(BJ$10:BJ537)-ROUNDDOWN($M538*BJ$5/100,0)&lt;-BJ$6,-BJ$6-SUM(BJ$10:BJ537),-ROUNDDOWN($M538*BJ$5/100,0)),0)</f>
        <v>0</v>
      </c>
      <c r="BK538" s="38">
        <f>IF(AND(BK$7="○",$A538&gt;=BK$8,$A538&lt;=BK$9),IF(SUM(BK$10:BK537)-ROUNDDOWN($L538*BK$5/100,0)&lt;-BK$6,-BK$6-SUM(BK$10:BK537),-ROUNDDOWN($L538*BK$5/100,0)),0)</f>
        <v>0</v>
      </c>
      <c r="BL538" s="38">
        <f>IF(AND(BL$7="○",$A538&gt;=BL$8,$A538&lt;=BL$9),IF(SUM(BL$10:BL537)-ROUNDDOWN($L538*BL$5/100,0)&lt;-BL$6,-BL$6-SUM(BL$10:BL537),-ROUNDDOWN($L538*BL$5/100,0)),0)</f>
        <v>0</v>
      </c>
      <c r="BM538" s="38">
        <f>IF(AND(BM$7="○",$A538&gt;=BM$8,$A538&lt;=BM$9),IF(SUM(BM$10:BM537)-ROUNDDOWN($M538*BM$5/100,0)&lt;-BM$6,-BM$6-SUM(BM$10:BM537),-ROUNDDOWN($M538*BM$5/100,0)),0)</f>
        <v>0</v>
      </c>
      <c r="BN538" s="38">
        <f>IF(AND(BN$7="○",$A538&gt;=BN$8,$A538&lt;=BN$9),IF(SUM(BN$10:BN537)-ROUNDDOWN($M538*BN$5/100,0)&lt;-BN$6,-BN$6-SUM(BN$10:BN537),-ROUNDDOWN($M538*BN$5/100,0)),0)</f>
        <v>0</v>
      </c>
      <c r="BO538" s="38">
        <f>IF(AND(BO$7="○",$A538&gt;=BO$8,$A538&lt;=BO$9),IF(SUM(BO$10:BO537)-ROUNDDOWN($M538*BO$5/100,0)&lt;-BO$6,-BO$6-SUM(BO$10:BO537),-ROUNDDOWN($M538*BO$5/100,0)),0)</f>
        <v>0</v>
      </c>
      <c r="BP538" s="38">
        <f>IF(AND(BP$7="○",$A538&gt;=BP$8,$A538&lt;=BP$9),IF(SUM(BP$10:BP537)-ROUNDDOWN($M538*BP$5/100,0)&lt;-BP$6,-BP$6-SUM(BP$10:BP537),-ROUNDDOWN($M538*BP$5/100,0)),0)</f>
        <v>0</v>
      </c>
      <c r="BQ538" s="38">
        <f>IF(AND(BQ$7="○",$A538&gt;=BQ$8,$A538&lt;=BQ$9),IF(SUM(BQ$10:BQ537)-ROUNDDOWN($L538*BQ$5/100,0)&lt;-BQ$6,-BQ$6-SUM(BQ$10:BQ537),-ROUNDDOWN($L538*BQ$5/100,0)),0)</f>
        <v>0</v>
      </c>
      <c r="BR538" s="38">
        <f>IF(AND(BR$7="○",$A538&gt;=BR$8,$A538&lt;=BR$9),IF(SUM(BR$10:BR537)-ROUNDDOWN($M538*BR$5/100,0)&lt;-BR$6,-BR$6-SUM(BR$10:BR537),-ROUNDDOWN($M538*BR$5/100,0)),0)</f>
        <v>0</v>
      </c>
      <c r="BS538" s="38">
        <f>IF(AND(BS$7="○",$A538&gt;=BS$8,$A538&lt;=BS$9),IF(SUM(BS$10:BS537)-ROUNDDOWN($M538*BS$5/100,0)&lt;-BS$6,-BS$6-SUM(BS$10:BS537),-ROUNDDOWN($M538*BS$5/100,0)),0)</f>
        <v>0</v>
      </c>
      <c r="BT538" s="38">
        <f>IF(AND(BT$7="○",$A538&gt;=BT$8,$A538&lt;=BT$9),IF(SUM(BT$10:BT537)-ROUNDDOWN($M538*BT$5/100,0)&lt;-BT$6,-BT$6-SUM(BT$10:BT537),-ROUNDDOWN($M538*BT$5/100,0)),0)</f>
        <v>0</v>
      </c>
      <c r="BU538" s="38">
        <f>IF(AND(BU$7="○",$A538&gt;=BU$8,$A538&lt;=BU$9),IF(SUM(BU$10:BU537)-ROUNDDOWN($M538*BU$5/100,0)&lt;-BU$6,-BU$6-SUM(BU$10:BU537),-ROUNDDOWN($M538*BU$5/100,0)),0)</f>
        <v>0</v>
      </c>
      <c r="BV538" s="38">
        <f>IF(AND(BV$7="○",$A538&gt;=BV$8,$A538&lt;=BV$9),IF(SUM(BV$10:BV537)-ROUNDDOWN($M538*BV$5/100,0)&lt;-BV$6,-BV$6-SUM(BV$10:BV537),-ROUNDDOWN($M538*BV$5/100,0)),0)</f>
        <v>0</v>
      </c>
      <c r="BW538" s="38">
        <f>IF(AND(BW$7="○",$A538&gt;=BW$8,$A538&lt;=BW$9),IF(SUM(BW$10:BW537)-ROUNDDOWN($M538*BW$5/100,0)&lt;-BW$6,-BW$6-SUM(BW$10:BW537),-ROUNDDOWN($M538*BW$5/100,0)),0)</f>
        <v>0</v>
      </c>
      <c r="BX538" s="38">
        <f>IF(AND(T538="○",$A538&gt;=BX$8,$A538&lt;=BX$9),IF(SUM(BX$10:BX537)-ROUNDDOWN($K538*BX$5/100,0)&lt;-BX$6,-BX$6-SUM(BX$10:BX537),-ROUNDDOWN($K538*BX$5/100,0)),0)</f>
        <v>0</v>
      </c>
      <c r="BY538" s="38">
        <f>IF(AND(U538="○",$A538&gt;=BY$8,$A538&lt;=BY$9),IF(SUM(BY$10:BY537)-ROUNDDOWN($K538*BY$5/100,0)&lt;-BY$6,-BY$6-SUM(BY$10:BY537),-ROUNDDOWN($K538*BY$5/100,0)),0)</f>
        <v>0</v>
      </c>
      <c r="BZ538" s="38">
        <f>IF(AND(V538="○",$A538&gt;=BZ$8,$A538&lt;=BZ$9),IF(SUM(BZ$10:BZ537)-ROUNDDOWN($K538*BZ$5/100,0)&lt;-BZ$6,-BZ$6-SUM(BZ$10:BZ537),-ROUNDDOWN($K538*BZ$5/100,0)),0)</f>
        <v>0</v>
      </c>
      <c r="CA538" s="38">
        <f>IF(AND(W538="○",$A538&gt;=CA$8,$A538&lt;=CA$9),IF(SUM(CA$10:CA537)-ROUNDDOWN($K538*CA$5/100,0)&lt;-CA$6,-CA$6-SUM(CA$10:CA537),-ROUNDDOWN($K538*CA$5/100,0)),0)</f>
        <v>0</v>
      </c>
      <c r="CB538" s="38"/>
      <c r="CC538" s="38"/>
      <c r="CD538" s="38"/>
      <c r="CE538" s="38"/>
      <c r="CF538" s="38"/>
      <c r="CG538" s="65">
        <f t="shared" si="354"/>
        <v>0</v>
      </c>
      <c r="CH538" s="71">
        <f t="shared" si="355"/>
        <v>0</v>
      </c>
      <c r="CI538" s="1">
        <f t="shared" si="19"/>
        <v>0</v>
      </c>
      <c r="CJ538" s="1"/>
      <c r="CK538" s="75"/>
      <c r="CL538" s="75"/>
      <c r="CM538" s="2"/>
      <c r="CN538" s="2"/>
      <c r="CO538" s="73">
        <f t="shared" si="20"/>
        <v>0</v>
      </c>
      <c r="CP538" s="5">
        <f t="shared" si="21"/>
        <v>0</v>
      </c>
      <c r="CQ538" s="1"/>
      <c r="CR538" s="1">
        <f t="shared" si="22"/>
        <v>0</v>
      </c>
      <c r="CS538" s="1"/>
      <c r="CT538" s="1" t="e">
        <f>INDEX([2]マスタ!$A:$A,MATCH(D538,[2]マスタ!$C:$C,0))</f>
        <v>#N/A</v>
      </c>
      <c r="CU538" s="1" t="str">
        <f t="shared" ca="1" si="23"/>
        <v>20260620_0-0</v>
      </c>
    </row>
    <row r="539" spans="1:99" x14ac:dyDescent="0.4">
      <c r="A539" s="61"/>
      <c r="B539" s="62"/>
      <c r="C539" s="62"/>
      <c r="D539" s="62"/>
      <c r="E539" s="74"/>
      <c r="F539" s="62"/>
      <c r="G539" s="62">
        <v>1</v>
      </c>
      <c r="H539" s="64">
        <f t="shared" si="4"/>
        <v>0</v>
      </c>
      <c r="I539" s="64"/>
      <c r="J539" s="64"/>
      <c r="K539" s="65">
        <f t="shared" si="356"/>
        <v>0</v>
      </c>
      <c r="L539" s="65">
        <f t="shared" si="6"/>
        <v>0</v>
      </c>
      <c r="M539" s="65">
        <f t="shared" si="7"/>
        <v>0</v>
      </c>
      <c r="N539" s="65">
        <f t="shared" si="8"/>
        <v>0</v>
      </c>
      <c r="O539" s="66" t="str">
        <f t="shared" si="9"/>
        <v>✕</v>
      </c>
      <c r="P539" s="67" t="str">
        <f t="shared" si="10"/>
        <v>○</v>
      </c>
      <c r="Q539" s="67" t="str">
        <f t="shared" si="357"/>
        <v>✕</v>
      </c>
      <c r="R539" s="67" t="str">
        <f t="shared" si="12"/>
        <v>✕</v>
      </c>
      <c r="S539" s="68">
        <v>0</v>
      </c>
      <c r="T539" s="69" t="s">
        <v>85</v>
      </c>
      <c r="U539" s="69" t="s">
        <v>85</v>
      </c>
      <c r="V539" s="69" t="s">
        <v>85</v>
      </c>
      <c r="W539" s="69" t="s">
        <v>85</v>
      </c>
      <c r="X539" s="69" t="s">
        <v>84</v>
      </c>
      <c r="Y539" s="69" t="s">
        <v>85</v>
      </c>
      <c r="Z539" s="69" t="s">
        <v>85</v>
      </c>
      <c r="AA539" s="69" t="s">
        <v>85</v>
      </c>
      <c r="AB539" s="69" t="s">
        <v>85</v>
      </c>
      <c r="AC539" s="69" t="s">
        <v>85</v>
      </c>
      <c r="AD539" s="38" t="str">
        <f>+IF(ISERROR(VLOOKUP($B539,AD$10:AD538,1,0)),IF(AND($N539&gt;=1000,$A539&gt;=AO$8,$A539&lt;=AO$9),$B539,""),"")</f>
        <v/>
      </c>
      <c r="AE539" s="38" t="str">
        <f>+IF(ISERROR(VLOOKUP($B539,AE$10:AE538,1,0)),IF(AND($N539&gt;=1000,$A539&gt;=AP$8,$A539&lt;=AP$9),$B539,""),"")</f>
        <v/>
      </c>
      <c r="AF539" s="38" t="str">
        <f>+IF(ISERROR(VLOOKUP($B539,AF$10:AF538,1,0)),IF(AND($N539&gt;=1000,$A539&gt;=AQ$8,$A539&lt;=AQ$9),$B539,""),"")</f>
        <v/>
      </c>
      <c r="AG539" s="38" t="str">
        <f>+IF(ISERROR(VLOOKUP($B539,AG$10:AG538,1,0)),IF(AND($N539&gt;=1000,$A539&gt;=AR$8,$A539&lt;=AR$9),$B539,""),"")</f>
        <v/>
      </c>
      <c r="AH539" s="38"/>
      <c r="AI539" s="70">
        <v>0</v>
      </c>
      <c r="AJ539" s="38">
        <f>IF(AND(AJ$7="○",$A539&gt;=AJ$8,$A539&lt;=AJ$9),IF(SUM(AJ$10:AJ538)-ROUNDDOWN($K539*AJ$5/100,0)&lt;-AJ$6,-AJ$6-SUM(AJ$10:AJ538),-ROUNDDOWN($K539*AJ$5/100,0)),0)</f>
        <v>0</v>
      </c>
      <c r="AK539" s="38">
        <f>IF(AND(AK$7="○",$A539&gt;=AK$8,$A539&lt;=AK$9),IF(SUM(AK$10:AK538)-ROUNDDOWN($L539*AK$5/100,0)&lt;-AK$6,-AK$6-SUM(AK$10:AK538),-ROUNDDOWN($L539*AK$5/100,0)),0)</f>
        <v>0</v>
      </c>
      <c r="AL539" s="38">
        <f>IF(AND(AL$7="○",$A539&gt;=AL$8,$A539&lt;=AL$9),IF(SUM(AL$10:AL538)-ROUNDDOWN($N539*AL$5/100,0)&lt;-AL$6,-AL$6-SUM(AL$10:AL538),-ROUNDDOWN($N539*AL$5/100,0)),0)</f>
        <v>0</v>
      </c>
      <c r="AM539" s="38">
        <f>IF(AND(AM$7="○",$A539&gt;=AM$8,$A539&lt;=AM$9),IF(SUM(AM$10:AM538)-ROUNDDOWN($L539*AM$5/100,0)&lt;-AM$6,-AM$6-SUM(AM$10:AM538),-ROUNDDOWN($L539*AM$5/100,0)),0)</f>
        <v>0</v>
      </c>
      <c r="AN539" s="38">
        <f>IF(AND(AN$7="○",$A539&gt;=AN$8,$A539&lt;=AN$9),IF(SUM(AN$10:AN538)-ROUNDDOWN($M539*AN$5/100,0)&lt;-AN$6,-AN$6-SUM(AN$10:AN538),-ROUNDDOWN($M539*AN$5/100,0)),0)</f>
        <v>0</v>
      </c>
      <c r="AO539" s="38">
        <f>IF(AND($A539&gt;=AO$8,$A539&lt;=AO$9),IF(SUM(AO$10:AO538)-ROUNDDOWN($K539*AO$5/100,0)&lt;-AO$6,-AO$6-SUM(AO$10:AO538),-ROUNDDOWN($K539*AO$5/100,0)),0)</f>
        <v>0</v>
      </c>
      <c r="AP539" s="38">
        <f>IF(AND($A539&gt;=AP$8,$A539&lt;=AP$9),IF(SUM(AP$10:AP538)-ROUNDDOWN($K539*AP$5/100,0)&lt;-AP$6,-AP$6-SUM(AP$10:AP538),-ROUNDDOWN($K539*AP$5/100,0)),0)</f>
        <v>0</v>
      </c>
      <c r="AQ539" s="38">
        <f>IF(AND($A539&gt;=AQ$8,$A539&lt;=AQ$9),IF(SUM(AQ$10:AQ538)-ROUNDDOWN($K539*AQ$5/100,0)&lt;-AQ$6,-AQ$6-SUM(AQ$10:AQ538),-ROUNDDOWN($K539*AQ$5/100,0)),0)</f>
        <v>0</v>
      </c>
      <c r="AR539" s="38">
        <f>IF(AND($A539&gt;=AR$8,$A539&lt;=AR$9),IF(SUM(AR$10:AR538)-ROUNDDOWN($K539*AR$5/100,0)&lt;-AR$6,-AR$6-SUM(AR$10:AR538),-ROUNDDOWN($K539*AR$5/100,0)),0)</f>
        <v>0</v>
      </c>
      <c r="AS539" s="38">
        <f>IF(SUMIFS(AS$10:AS538,$A$10:$A538,$A539)-ROUNDDOWN($K539*$S539/100,0)&lt;-$S539*1000,-$S539*1000-SUMIFS(AS$10:AS538,$A$10:$A538,$A539),-ROUNDDOWN($K539*$S539/100,0))</f>
        <v>0</v>
      </c>
      <c r="AT539" s="38">
        <f>IF(AND(X539="○",$A539&gt;=AT$8,$A539&lt;=AT$9,K539&gt;=3980),IF(SUM(AT$10:AT538)-ROUNDDOWN($K539*AT$5/100,0)&lt;-AT$6,-AT$6-SUM(AT$10:AT538),-ROUNDDOWN($K539*AT$5/100,0)),0)</f>
        <v>0</v>
      </c>
      <c r="AU539" s="38">
        <f>IF(O539="○",IF(SUM(AU$10:AU538)-ROUNDDOWN($K539*AU$5/100,0)&lt;-AU$6,-AU$6-SUM(AU$10:AU538),-ROUNDDOWN($K539*AU$5/100,0)),0)</f>
        <v>0</v>
      </c>
      <c r="AV539" s="38">
        <f>IF(P539="○",IF(SUM(AV$10:AV538)-ROUNDDOWN($K539*AV$5/100,0)&lt;-AV$6,-AV$6-SUM(AV$10:AV538),-ROUNDDOWN($K539*AV$5/100,0)),0)</f>
        <v>0</v>
      </c>
      <c r="AW539" s="38">
        <f>IF(Q539="○",IF(SUM(AW$10:AW538)-ROUNDDOWN($K539*AW$5/100,0)&lt;-AW$6,-AW$6-SUM(AW$10:AW538),-ROUNDDOWN($K539*AW$5/100,0)),0)</f>
        <v>0</v>
      </c>
      <c r="AX539" s="38">
        <f>IF(R539="○",IF(SUM(AX$10:AX538)-ROUNDDOWN($K539*AX$5/100,0)&lt;-AX$6,-AX$6-SUM(AX$10:AX538),-ROUNDDOWN($K539*AX$5/100,0)),0)</f>
        <v>0</v>
      </c>
      <c r="AY539" s="70">
        <v>0</v>
      </c>
      <c r="AZ539" s="65">
        <f t="shared" si="348"/>
        <v>0</v>
      </c>
      <c r="BA539" s="65">
        <f t="shared" si="349"/>
        <v>0</v>
      </c>
      <c r="BB539" s="70"/>
      <c r="BC539" s="65">
        <f t="shared" si="350"/>
        <v>0</v>
      </c>
      <c r="BD539" s="70">
        <v>0</v>
      </c>
      <c r="BE539" s="65">
        <f t="shared" si="351"/>
        <v>0</v>
      </c>
      <c r="BF539" s="70">
        <v>0</v>
      </c>
      <c r="BG539" s="65">
        <f t="shared" si="352"/>
        <v>0</v>
      </c>
      <c r="BH539" s="70">
        <v>0</v>
      </c>
      <c r="BI539" s="65">
        <f t="shared" si="353"/>
        <v>0</v>
      </c>
      <c r="BJ539" s="38">
        <f>IF(AND(BJ$7="○",$A539&gt;=BJ$8,$A539&lt;=BJ$9),IF(SUM(BJ$10:BJ538)-ROUNDDOWN($M539*BJ$5/100,0)&lt;-BJ$6,-BJ$6-SUM(BJ$10:BJ538),-ROUNDDOWN($M539*BJ$5/100,0)),0)</f>
        <v>0</v>
      </c>
      <c r="BK539" s="38">
        <f>IF(AND(BK$7="○",$A539&gt;=BK$8,$A539&lt;=BK$9),IF(SUM(BK$10:BK538)-ROUNDDOWN($L539*BK$5/100,0)&lt;-BK$6,-BK$6-SUM(BK$10:BK538),-ROUNDDOWN($L539*BK$5/100,0)),0)</f>
        <v>0</v>
      </c>
      <c r="BL539" s="38">
        <f>IF(AND(BL$7="○",$A539&gt;=BL$8,$A539&lt;=BL$9),IF(SUM(BL$10:BL538)-ROUNDDOWN($L539*BL$5/100,0)&lt;-BL$6,-BL$6-SUM(BL$10:BL538),-ROUNDDOWN($L539*BL$5/100,0)),0)</f>
        <v>0</v>
      </c>
      <c r="BM539" s="38">
        <f>IF(AND(BM$7="○",$A539&gt;=BM$8,$A539&lt;=BM$9),IF(SUM(BM$10:BM538)-ROUNDDOWN($M539*BM$5/100,0)&lt;-BM$6,-BM$6-SUM(BM$10:BM538),-ROUNDDOWN($M539*BM$5/100,0)),0)</f>
        <v>0</v>
      </c>
      <c r="BN539" s="38">
        <f>IF(AND(BN$7="○",$A539&gt;=BN$8,$A539&lt;=BN$9),IF(SUM(BN$10:BN538)-ROUNDDOWN($M539*BN$5/100,0)&lt;-BN$6,-BN$6-SUM(BN$10:BN538),-ROUNDDOWN($M539*BN$5/100,0)),0)</f>
        <v>0</v>
      </c>
      <c r="BO539" s="38">
        <f>IF(AND(BO$7="○",$A539&gt;=BO$8,$A539&lt;=BO$9),IF(SUM(BO$10:BO538)-ROUNDDOWN($M539*BO$5/100,0)&lt;-BO$6,-BO$6-SUM(BO$10:BO538),-ROUNDDOWN($M539*BO$5/100,0)),0)</f>
        <v>0</v>
      </c>
      <c r="BP539" s="38">
        <f>IF(AND(BP$7="○",$A539&gt;=BP$8,$A539&lt;=BP$9),IF(SUM(BP$10:BP538)-ROUNDDOWN($M539*BP$5/100,0)&lt;-BP$6,-BP$6-SUM(BP$10:BP538),-ROUNDDOWN($M539*BP$5/100,0)),0)</f>
        <v>0</v>
      </c>
      <c r="BQ539" s="38">
        <f>IF(AND(BQ$7="○",$A539&gt;=BQ$8,$A539&lt;=BQ$9),IF(SUM(BQ$10:BQ538)-ROUNDDOWN($L539*BQ$5/100,0)&lt;-BQ$6,-BQ$6-SUM(BQ$10:BQ538),-ROUNDDOWN($L539*BQ$5/100,0)),0)</f>
        <v>0</v>
      </c>
      <c r="BR539" s="38">
        <f>IF(AND(BR$7="○",$A539&gt;=BR$8,$A539&lt;=BR$9),IF(SUM(BR$10:BR538)-ROUNDDOWN($M539*BR$5/100,0)&lt;-BR$6,-BR$6-SUM(BR$10:BR538),-ROUNDDOWN($M539*BR$5/100,0)),0)</f>
        <v>0</v>
      </c>
      <c r="BS539" s="38">
        <f>IF(AND(BS$7="○",$A539&gt;=BS$8,$A539&lt;=BS$9),IF(SUM(BS$10:BS538)-ROUNDDOWN($M539*BS$5/100,0)&lt;-BS$6,-BS$6-SUM(BS$10:BS538),-ROUNDDOWN($M539*BS$5/100,0)),0)</f>
        <v>0</v>
      </c>
      <c r="BT539" s="38">
        <f>IF(AND(BT$7="○",$A539&gt;=BT$8,$A539&lt;=BT$9),IF(SUM(BT$10:BT538)-ROUNDDOWN($M539*BT$5/100,0)&lt;-BT$6,-BT$6-SUM(BT$10:BT538),-ROUNDDOWN($M539*BT$5/100,0)),0)</f>
        <v>0</v>
      </c>
      <c r="BU539" s="38">
        <f>IF(AND(BU$7="○",$A539&gt;=BU$8,$A539&lt;=BU$9),IF(SUM(BU$10:BU538)-ROUNDDOWN($M539*BU$5/100,0)&lt;-BU$6,-BU$6-SUM(BU$10:BU538),-ROUNDDOWN($M539*BU$5/100,0)),0)</f>
        <v>0</v>
      </c>
      <c r="BV539" s="38">
        <f>IF(AND(BV$7="○",$A539&gt;=BV$8,$A539&lt;=BV$9),IF(SUM(BV$10:BV538)-ROUNDDOWN($M539*BV$5/100,0)&lt;-BV$6,-BV$6-SUM(BV$10:BV538),-ROUNDDOWN($M539*BV$5/100,0)),0)</f>
        <v>0</v>
      </c>
      <c r="BW539" s="38">
        <f>IF(AND(BW$7="○",$A539&gt;=BW$8,$A539&lt;=BW$9),IF(SUM(BW$10:BW538)-ROUNDDOWN($M539*BW$5/100,0)&lt;-BW$6,-BW$6-SUM(BW$10:BW538),-ROUNDDOWN($M539*BW$5/100,0)),0)</f>
        <v>0</v>
      </c>
      <c r="BX539" s="38">
        <f>IF(AND(T539="○",$A539&gt;=BX$8,$A539&lt;=BX$9),IF(SUM(BX$10:BX538)-ROUNDDOWN($K539*BX$5/100,0)&lt;-BX$6,-BX$6-SUM(BX$10:BX538),-ROUNDDOWN($K539*BX$5/100,0)),0)</f>
        <v>0</v>
      </c>
      <c r="BY539" s="38">
        <f>IF(AND(U539="○",$A539&gt;=BY$8,$A539&lt;=BY$9),IF(SUM(BY$10:BY538)-ROUNDDOWN($K539*BY$5/100,0)&lt;-BY$6,-BY$6-SUM(BY$10:BY538),-ROUNDDOWN($K539*BY$5/100,0)),0)</f>
        <v>0</v>
      </c>
      <c r="BZ539" s="38">
        <f>IF(AND(V539="○",$A539&gt;=BZ$8,$A539&lt;=BZ$9),IF(SUM(BZ$10:BZ538)-ROUNDDOWN($K539*BZ$5/100,0)&lt;-BZ$6,-BZ$6-SUM(BZ$10:BZ538),-ROUNDDOWN($K539*BZ$5/100,0)),0)</f>
        <v>0</v>
      </c>
      <c r="CA539" s="38">
        <f>IF(AND(W539="○",$A539&gt;=CA$8,$A539&lt;=CA$9),IF(SUM(CA$10:CA538)-ROUNDDOWN($K539*CA$5/100,0)&lt;-CA$6,-CA$6-SUM(CA$10:CA538),-ROUNDDOWN($K539*CA$5/100,0)),0)</f>
        <v>0</v>
      </c>
      <c r="CB539" s="38"/>
      <c r="CC539" s="38"/>
      <c r="CD539" s="38"/>
      <c r="CE539" s="38"/>
      <c r="CF539" s="38"/>
      <c r="CG539" s="65">
        <f t="shared" si="354"/>
        <v>0</v>
      </c>
      <c r="CH539" s="71">
        <f t="shared" si="355"/>
        <v>0</v>
      </c>
      <c r="CI539" s="1">
        <f t="shared" si="19"/>
        <v>0</v>
      </c>
      <c r="CJ539" s="1"/>
      <c r="CK539" s="75"/>
      <c r="CL539" s="75"/>
      <c r="CM539" s="2"/>
      <c r="CN539" s="2"/>
      <c r="CO539" s="73">
        <f t="shared" si="20"/>
        <v>0</v>
      </c>
      <c r="CP539" s="5">
        <f t="shared" si="21"/>
        <v>0</v>
      </c>
      <c r="CQ539" s="1"/>
      <c r="CR539" s="1">
        <f t="shared" si="22"/>
        <v>0</v>
      </c>
      <c r="CS539" s="1"/>
      <c r="CT539" s="1" t="e">
        <f>INDEX([2]マスタ!$A:$A,MATCH(D539,[2]マスタ!$C:$C,0))</f>
        <v>#N/A</v>
      </c>
      <c r="CU539" s="1" t="str">
        <f t="shared" ca="1" si="23"/>
        <v>20260620_0-0</v>
      </c>
    </row>
    <row r="540" spans="1:99" x14ac:dyDescent="0.4">
      <c r="A540" s="61"/>
      <c r="B540" s="62"/>
      <c r="C540" s="62"/>
      <c r="D540" s="62"/>
      <c r="E540" s="74"/>
      <c r="F540" s="62"/>
      <c r="G540" s="62">
        <v>1</v>
      </c>
      <c r="H540" s="64">
        <f t="shared" si="4"/>
        <v>0</v>
      </c>
      <c r="I540" s="64"/>
      <c r="J540" s="64"/>
      <c r="K540" s="65">
        <f t="shared" si="356"/>
        <v>0</v>
      </c>
      <c r="L540" s="65">
        <f t="shared" si="6"/>
        <v>0</v>
      </c>
      <c r="M540" s="65">
        <f t="shared" si="7"/>
        <v>0</v>
      </c>
      <c r="N540" s="65">
        <f t="shared" si="8"/>
        <v>0</v>
      </c>
      <c r="O540" s="66" t="str">
        <f t="shared" si="9"/>
        <v>✕</v>
      </c>
      <c r="P540" s="67" t="str">
        <f t="shared" si="10"/>
        <v>○</v>
      </c>
      <c r="Q540" s="67" t="str">
        <f t="shared" si="357"/>
        <v>✕</v>
      </c>
      <c r="R540" s="67" t="str">
        <f t="shared" si="12"/>
        <v>✕</v>
      </c>
      <c r="S540" s="68">
        <v>0</v>
      </c>
      <c r="T540" s="69" t="s">
        <v>85</v>
      </c>
      <c r="U540" s="69" t="s">
        <v>85</v>
      </c>
      <c r="V540" s="69" t="s">
        <v>85</v>
      </c>
      <c r="W540" s="69" t="s">
        <v>85</v>
      </c>
      <c r="X540" s="69" t="s">
        <v>84</v>
      </c>
      <c r="Y540" s="69" t="s">
        <v>85</v>
      </c>
      <c r="Z540" s="69" t="s">
        <v>85</v>
      </c>
      <c r="AA540" s="69" t="s">
        <v>85</v>
      </c>
      <c r="AB540" s="69" t="s">
        <v>85</v>
      </c>
      <c r="AC540" s="69" t="s">
        <v>85</v>
      </c>
      <c r="AD540" s="38" t="str">
        <f>+IF(ISERROR(VLOOKUP($B540,AD$10:AD539,1,0)),IF(AND($N540&gt;=1000,$A540&gt;=AO$8,$A540&lt;=AO$9),$B540,""),"")</f>
        <v/>
      </c>
      <c r="AE540" s="38" t="str">
        <f>+IF(ISERROR(VLOOKUP($B540,AE$10:AE539,1,0)),IF(AND($N540&gt;=1000,$A540&gt;=AP$8,$A540&lt;=AP$9),$B540,""),"")</f>
        <v/>
      </c>
      <c r="AF540" s="38" t="str">
        <f>+IF(ISERROR(VLOOKUP($B540,AF$10:AF539,1,0)),IF(AND($N540&gt;=1000,$A540&gt;=AQ$8,$A540&lt;=AQ$9),$B540,""),"")</f>
        <v/>
      </c>
      <c r="AG540" s="38" t="str">
        <f>+IF(ISERROR(VLOOKUP($B540,AG$10:AG539,1,0)),IF(AND($N540&gt;=1000,$A540&gt;=AR$8,$A540&lt;=AR$9),$B540,""),"")</f>
        <v/>
      </c>
      <c r="AH540" s="38"/>
      <c r="AI540" s="70">
        <v>0</v>
      </c>
      <c r="AJ540" s="38">
        <f>IF(AND(AJ$7="○",$A540&gt;=AJ$8,$A540&lt;=AJ$9),IF(SUM(AJ$10:AJ539)-ROUNDDOWN($K540*AJ$5/100,0)&lt;-AJ$6,-AJ$6-SUM(AJ$10:AJ539),-ROUNDDOWN($K540*AJ$5/100,0)),0)</f>
        <v>0</v>
      </c>
      <c r="AK540" s="38">
        <f>IF(AND(AK$7="○",$A540&gt;=AK$8,$A540&lt;=AK$9),IF(SUM(AK$10:AK539)-ROUNDDOWN($L540*AK$5/100,0)&lt;-AK$6,-AK$6-SUM(AK$10:AK539),-ROUNDDOWN($L540*AK$5/100,0)),0)</f>
        <v>0</v>
      </c>
      <c r="AL540" s="38">
        <f>IF(AND(AL$7="○",$A540&gt;=AL$8,$A540&lt;=AL$9),IF(SUM(AL$10:AL539)-ROUNDDOWN($N540*AL$5/100,0)&lt;-AL$6,-AL$6-SUM(AL$10:AL539),-ROUNDDOWN($N540*AL$5/100,0)),0)</f>
        <v>0</v>
      </c>
      <c r="AM540" s="38">
        <f>IF(AND(AM$7="○",$A540&gt;=AM$8,$A540&lt;=AM$9),IF(SUM(AM$10:AM539)-ROUNDDOWN($L540*AM$5/100,0)&lt;-AM$6,-AM$6-SUM(AM$10:AM539),-ROUNDDOWN($L540*AM$5/100,0)),0)</f>
        <v>0</v>
      </c>
      <c r="AN540" s="38">
        <f>IF(AND(AN$7="○",$A540&gt;=AN$8,$A540&lt;=AN$9),IF(SUM(AN$10:AN539)-ROUNDDOWN($M540*AN$5/100,0)&lt;-AN$6,-AN$6-SUM(AN$10:AN539),-ROUNDDOWN($M540*AN$5/100,0)),0)</f>
        <v>0</v>
      </c>
      <c r="AO540" s="38">
        <f>IF(AND($A540&gt;=AO$8,$A540&lt;=AO$9),IF(SUM(AO$10:AO539)-ROUNDDOWN($K540*AO$5/100,0)&lt;-AO$6,-AO$6-SUM(AO$10:AO539),-ROUNDDOWN($K540*AO$5/100,0)),0)</f>
        <v>0</v>
      </c>
      <c r="AP540" s="38">
        <f>IF(AND($A540&gt;=AP$8,$A540&lt;=AP$9),IF(SUM(AP$10:AP539)-ROUNDDOWN($K540*AP$5/100,0)&lt;-AP$6,-AP$6-SUM(AP$10:AP539),-ROUNDDOWN($K540*AP$5/100,0)),0)</f>
        <v>0</v>
      </c>
      <c r="AQ540" s="38">
        <f>IF(AND($A540&gt;=AQ$8,$A540&lt;=AQ$9),IF(SUM(AQ$10:AQ539)-ROUNDDOWN($K540*AQ$5/100,0)&lt;-AQ$6,-AQ$6-SUM(AQ$10:AQ539),-ROUNDDOWN($K540*AQ$5/100,0)),0)</f>
        <v>0</v>
      </c>
      <c r="AR540" s="38">
        <f>IF(AND($A540&gt;=AR$8,$A540&lt;=AR$9),IF(SUM(AR$10:AR539)-ROUNDDOWN($K540*AR$5/100,0)&lt;-AR$6,-AR$6-SUM(AR$10:AR539),-ROUNDDOWN($K540*AR$5/100,0)),0)</f>
        <v>0</v>
      </c>
      <c r="AS540" s="38">
        <f>IF(SUMIFS(AS$10:AS539,$A$10:$A539,$A540)-ROUNDDOWN($K540*$S540/100,0)&lt;-$S540*1000,-$S540*1000-SUMIFS(AS$10:AS539,$A$10:$A539,$A540),-ROUNDDOWN($K540*$S540/100,0))</f>
        <v>0</v>
      </c>
      <c r="AT540" s="38">
        <f>IF(AND(X540="○",$A540&gt;=AT$8,$A540&lt;=AT$9,K540&gt;=3980),IF(SUM(AT$10:AT539)-ROUNDDOWN($K540*AT$5/100,0)&lt;-AT$6,-AT$6-SUM(AT$10:AT539),-ROUNDDOWN($K540*AT$5/100,0)),0)</f>
        <v>0</v>
      </c>
      <c r="AU540" s="38">
        <f>IF(O540="○",IF(SUM(AU$10:AU539)-ROUNDDOWN($K540*AU$5/100,0)&lt;-AU$6,-AU$6-SUM(AU$10:AU539),-ROUNDDOWN($K540*AU$5/100,0)),0)</f>
        <v>0</v>
      </c>
      <c r="AV540" s="38">
        <f>IF(P540="○",IF(SUM(AV$10:AV539)-ROUNDDOWN($K540*AV$5/100,0)&lt;-AV$6,-AV$6-SUM(AV$10:AV539),-ROUNDDOWN($K540*AV$5/100,0)),0)</f>
        <v>0</v>
      </c>
      <c r="AW540" s="38">
        <f>IF(Q540="○",IF(SUM(AW$10:AW539)-ROUNDDOWN($K540*AW$5/100,0)&lt;-AW$6,-AW$6-SUM(AW$10:AW539),-ROUNDDOWN($K540*AW$5/100,0)),0)</f>
        <v>0</v>
      </c>
      <c r="AX540" s="38">
        <f>IF(R540="○",IF(SUM(AX$10:AX539)-ROUNDDOWN($K540*AX$5/100,0)&lt;-AX$6,-AX$6-SUM(AX$10:AX539),-ROUNDDOWN($K540*AX$5/100,0)),0)</f>
        <v>0</v>
      </c>
      <c r="AY540" s="70">
        <v>0</v>
      </c>
      <c r="AZ540" s="65">
        <f t="shared" si="348"/>
        <v>0</v>
      </c>
      <c r="BA540" s="65">
        <f t="shared" si="349"/>
        <v>0</v>
      </c>
      <c r="BB540" s="70"/>
      <c r="BC540" s="65">
        <f t="shared" si="350"/>
        <v>0</v>
      </c>
      <c r="BD540" s="70">
        <v>0</v>
      </c>
      <c r="BE540" s="65">
        <f t="shared" si="351"/>
        <v>0</v>
      </c>
      <c r="BF540" s="70">
        <v>0</v>
      </c>
      <c r="BG540" s="65">
        <f t="shared" si="352"/>
        <v>0</v>
      </c>
      <c r="BH540" s="70">
        <v>0</v>
      </c>
      <c r="BI540" s="65">
        <f t="shared" si="353"/>
        <v>0</v>
      </c>
      <c r="BJ540" s="38">
        <f>IF(AND(BJ$7="○",$A540&gt;=BJ$8,$A540&lt;=BJ$9),IF(SUM(BJ$10:BJ539)-ROUNDDOWN($M540*BJ$5/100,0)&lt;-BJ$6,-BJ$6-SUM(BJ$10:BJ539),-ROUNDDOWN($M540*BJ$5/100,0)),0)</f>
        <v>0</v>
      </c>
      <c r="BK540" s="38">
        <f>IF(AND(BK$7="○",$A540&gt;=BK$8,$A540&lt;=BK$9),IF(SUM(BK$10:BK539)-ROUNDDOWN($L540*BK$5/100,0)&lt;-BK$6,-BK$6-SUM(BK$10:BK539),-ROUNDDOWN($L540*BK$5/100,0)),0)</f>
        <v>0</v>
      </c>
      <c r="BL540" s="38">
        <f>IF(AND(BL$7="○",$A540&gt;=BL$8,$A540&lt;=BL$9),IF(SUM(BL$10:BL539)-ROUNDDOWN($L540*BL$5/100,0)&lt;-BL$6,-BL$6-SUM(BL$10:BL539),-ROUNDDOWN($L540*BL$5/100,0)),0)</f>
        <v>0</v>
      </c>
      <c r="BM540" s="38">
        <f>IF(AND(BM$7="○",$A540&gt;=BM$8,$A540&lt;=BM$9),IF(SUM(BM$10:BM539)-ROUNDDOWN($M540*BM$5/100,0)&lt;-BM$6,-BM$6-SUM(BM$10:BM539),-ROUNDDOWN($M540*BM$5/100,0)),0)</f>
        <v>0</v>
      </c>
      <c r="BN540" s="38">
        <f>IF(AND(BN$7="○",$A540&gt;=BN$8,$A540&lt;=BN$9),IF(SUM(BN$10:BN539)-ROUNDDOWN($M540*BN$5/100,0)&lt;-BN$6,-BN$6-SUM(BN$10:BN539),-ROUNDDOWN($M540*BN$5/100,0)),0)</f>
        <v>0</v>
      </c>
      <c r="BO540" s="38">
        <f>IF(AND(BO$7="○",$A540&gt;=BO$8,$A540&lt;=BO$9),IF(SUM(BO$10:BO539)-ROUNDDOWN($M540*BO$5/100,0)&lt;-BO$6,-BO$6-SUM(BO$10:BO539),-ROUNDDOWN($M540*BO$5/100,0)),0)</f>
        <v>0</v>
      </c>
      <c r="BP540" s="38">
        <f>IF(AND(BP$7="○",$A540&gt;=BP$8,$A540&lt;=BP$9),IF(SUM(BP$10:BP539)-ROUNDDOWN($M540*BP$5/100,0)&lt;-BP$6,-BP$6-SUM(BP$10:BP539),-ROUNDDOWN($M540*BP$5/100,0)),0)</f>
        <v>0</v>
      </c>
      <c r="BQ540" s="38">
        <f>IF(AND(BQ$7="○",$A540&gt;=BQ$8,$A540&lt;=BQ$9),IF(SUM(BQ$10:BQ539)-ROUNDDOWN($L540*BQ$5/100,0)&lt;-BQ$6,-BQ$6-SUM(BQ$10:BQ539),-ROUNDDOWN($L540*BQ$5/100,0)),0)</f>
        <v>0</v>
      </c>
      <c r="BR540" s="38">
        <f>IF(AND(BR$7="○",$A540&gt;=BR$8,$A540&lt;=BR$9),IF(SUM(BR$10:BR539)-ROUNDDOWN($M540*BR$5/100,0)&lt;-BR$6,-BR$6-SUM(BR$10:BR539),-ROUNDDOWN($M540*BR$5/100,0)),0)</f>
        <v>0</v>
      </c>
      <c r="BS540" s="38">
        <f>IF(AND(BS$7="○",$A540&gt;=BS$8,$A540&lt;=BS$9),IF(SUM(BS$10:BS539)-ROUNDDOWN($M540*BS$5/100,0)&lt;-BS$6,-BS$6-SUM(BS$10:BS539),-ROUNDDOWN($M540*BS$5/100,0)),0)</f>
        <v>0</v>
      </c>
      <c r="BT540" s="38">
        <f>IF(AND(BT$7="○",$A540&gt;=BT$8,$A540&lt;=BT$9),IF(SUM(BT$10:BT539)-ROUNDDOWN($M540*BT$5/100,0)&lt;-BT$6,-BT$6-SUM(BT$10:BT539),-ROUNDDOWN($M540*BT$5/100,0)),0)</f>
        <v>0</v>
      </c>
      <c r="BU540" s="38">
        <f>IF(AND(BU$7="○",$A540&gt;=BU$8,$A540&lt;=BU$9),IF(SUM(BU$10:BU539)-ROUNDDOWN($M540*BU$5/100,0)&lt;-BU$6,-BU$6-SUM(BU$10:BU539),-ROUNDDOWN($M540*BU$5/100,0)),0)</f>
        <v>0</v>
      </c>
      <c r="BV540" s="38">
        <f>IF(AND(BV$7="○",$A540&gt;=BV$8,$A540&lt;=BV$9),IF(SUM(BV$10:BV539)-ROUNDDOWN($M540*BV$5/100,0)&lt;-BV$6,-BV$6-SUM(BV$10:BV539),-ROUNDDOWN($M540*BV$5/100,0)),0)</f>
        <v>0</v>
      </c>
      <c r="BW540" s="38">
        <f>IF(AND(BW$7="○",$A540&gt;=BW$8,$A540&lt;=BW$9),IF(SUM(BW$10:BW539)-ROUNDDOWN($M540*BW$5/100,0)&lt;-BW$6,-BW$6-SUM(BW$10:BW539),-ROUNDDOWN($M540*BW$5/100,0)),0)</f>
        <v>0</v>
      </c>
      <c r="BX540" s="38">
        <f>IF(AND(T540="○",$A540&gt;=BX$8,$A540&lt;=BX$9),IF(SUM(BX$10:BX539)-ROUNDDOWN($K540*BX$5/100,0)&lt;-BX$6,-BX$6-SUM(BX$10:BX539),-ROUNDDOWN($K540*BX$5/100,0)),0)</f>
        <v>0</v>
      </c>
      <c r="BY540" s="38">
        <f>IF(AND(U540="○",$A540&gt;=BY$8,$A540&lt;=BY$9),IF(SUM(BY$10:BY539)-ROUNDDOWN($K540*BY$5/100,0)&lt;-BY$6,-BY$6-SUM(BY$10:BY539),-ROUNDDOWN($K540*BY$5/100,0)),0)</f>
        <v>0</v>
      </c>
      <c r="BZ540" s="38">
        <f>IF(AND(V540="○",$A540&gt;=BZ$8,$A540&lt;=BZ$9),IF(SUM(BZ$10:BZ539)-ROUNDDOWN($K540*BZ$5/100,0)&lt;-BZ$6,-BZ$6-SUM(BZ$10:BZ539),-ROUNDDOWN($K540*BZ$5/100,0)),0)</f>
        <v>0</v>
      </c>
      <c r="CA540" s="38">
        <f>IF(AND(W540="○",$A540&gt;=CA$8,$A540&lt;=CA$9),IF(SUM(CA$10:CA539)-ROUNDDOWN($K540*CA$5/100,0)&lt;-CA$6,-CA$6-SUM(CA$10:CA539),-ROUNDDOWN($K540*CA$5/100,0)),0)</f>
        <v>0</v>
      </c>
      <c r="CB540" s="38"/>
      <c r="CC540" s="38"/>
      <c r="CD540" s="38"/>
      <c r="CE540" s="38"/>
      <c r="CF540" s="38"/>
      <c r="CG540" s="65">
        <f t="shared" si="354"/>
        <v>0</v>
      </c>
      <c r="CH540" s="71">
        <f t="shared" si="355"/>
        <v>0</v>
      </c>
      <c r="CI540" s="1">
        <f t="shared" si="19"/>
        <v>0</v>
      </c>
      <c r="CJ540" s="1"/>
      <c r="CK540" s="75"/>
      <c r="CL540" s="75"/>
      <c r="CM540" s="2"/>
      <c r="CN540" s="2"/>
      <c r="CO540" s="73">
        <f t="shared" si="20"/>
        <v>0</v>
      </c>
      <c r="CP540" s="5">
        <f t="shared" si="21"/>
        <v>0</v>
      </c>
      <c r="CQ540" s="1"/>
      <c r="CR540" s="1">
        <f t="shared" si="22"/>
        <v>0</v>
      </c>
      <c r="CS540" s="1"/>
      <c r="CT540" s="1" t="e">
        <f>INDEX([2]マスタ!$A:$A,MATCH(D540,[2]マスタ!$C:$C,0))</f>
        <v>#N/A</v>
      </c>
      <c r="CU540" s="1" t="str">
        <f t="shared" ca="1" si="23"/>
        <v>20260620_0-0</v>
      </c>
    </row>
    <row r="541" spans="1:99" x14ac:dyDescent="0.4">
      <c r="A541" s="61"/>
      <c r="B541" s="62"/>
      <c r="C541" s="62"/>
      <c r="D541" s="62"/>
      <c r="E541" s="74"/>
      <c r="F541" s="62"/>
      <c r="G541" s="62">
        <v>1</v>
      </c>
      <c r="H541" s="64">
        <f t="shared" si="4"/>
        <v>0</v>
      </c>
      <c r="I541" s="64"/>
      <c r="J541" s="64"/>
      <c r="K541" s="65">
        <f t="shared" si="356"/>
        <v>0</v>
      </c>
      <c r="L541" s="65">
        <f t="shared" si="6"/>
        <v>0</v>
      </c>
      <c r="M541" s="65">
        <f t="shared" si="7"/>
        <v>0</v>
      </c>
      <c r="N541" s="65">
        <f t="shared" si="8"/>
        <v>0</v>
      </c>
      <c r="O541" s="66" t="str">
        <f t="shared" si="9"/>
        <v>✕</v>
      </c>
      <c r="P541" s="67" t="str">
        <f t="shared" si="10"/>
        <v>○</v>
      </c>
      <c r="Q541" s="67" t="str">
        <f t="shared" si="357"/>
        <v>✕</v>
      </c>
      <c r="R541" s="67" t="str">
        <f t="shared" si="12"/>
        <v>✕</v>
      </c>
      <c r="S541" s="68">
        <v>0</v>
      </c>
      <c r="T541" s="69" t="s">
        <v>85</v>
      </c>
      <c r="U541" s="69" t="s">
        <v>85</v>
      </c>
      <c r="V541" s="69" t="s">
        <v>85</v>
      </c>
      <c r="W541" s="69" t="s">
        <v>85</v>
      </c>
      <c r="X541" s="69" t="s">
        <v>84</v>
      </c>
      <c r="Y541" s="69" t="s">
        <v>85</v>
      </c>
      <c r="Z541" s="69" t="s">
        <v>85</v>
      </c>
      <c r="AA541" s="69" t="s">
        <v>85</v>
      </c>
      <c r="AB541" s="69" t="s">
        <v>85</v>
      </c>
      <c r="AC541" s="69" t="s">
        <v>85</v>
      </c>
      <c r="AD541" s="38" t="str">
        <f>+IF(ISERROR(VLOOKUP($B541,AD$10:AD540,1,0)),IF(AND($N541&gt;=1000,$A541&gt;=AO$8,$A541&lt;=AO$9),$B541,""),"")</f>
        <v/>
      </c>
      <c r="AE541" s="38" t="str">
        <f>+IF(ISERROR(VLOOKUP($B541,AE$10:AE540,1,0)),IF(AND($N541&gt;=1000,$A541&gt;=AP$8,$A541&lt;=AP$9),$B541,""),"")</f>
        <v/>
      </c>
      <c r="AF541" s="38" t="str">
        <f>+IF(ISERROR(VLOOKUP($B541,AF$10:AF540,1,0)),IF(AND($N541&gt;=1000,$A541&gt;=AQ$8,$A541&lt;=AQ$9),$B541,""),"")</f>
        <v/>
      </c>
      <c r="AG541" s="38" t="str">
        <f>+IF(ISERROR(VLOOKUP($B541,AG$10:AG540,1,0)),IF(AND($N541&gt;=1000,$A541&gt;=AR$8,$A541&lt;=AR$9),$B541,""),"")</f>
        <v/>
      </c>
      <c r="AH541" s="38"/>
      <c r="AI541" s="70">
        <v>0</v>
      </c>
      <c r="AJ541" s="38">
        <f>IF(AND(AJ$7="○",$A541&gt;=AJ$8,$A541&lt;=AJ$9),IF(SUM(AJ$10:AJ540)-ROUNDDOWN($K541*AJ$5/100,0)&lt;-AJ$6,-AJ$6-SUM(AJ$10:AJ540),-ROUNDDOWN($K541*AJ$5/100,0)),0)</f>
        <v>0</v>
      </c>
      <c r="AK541" s="38">
        <f>IF(AND(AK$7="○",$A541&gt;=AK$8,$A541&lt;=AK$9),IF(SUM(AK$10:AK540)-ROUNDDOWN($L541*AK$5/100,0)&lt;-AK$6,-AK$6-SUM(AK$10:AK540),-ROUNDDOWN($L541*AK$5/100,0)),0)</f>
        <v>0</v>
      </c>
      <c r="AL541" s="38">
        <f>IF(AND(AL$7="○",$A541&gt;=AL$8,$A541&lt;=AL$9),IF(SUM(AL$10:AL540)-ROUNDDOWN($N541*AL$5/100,0)&lt;-AL$6,-AL$6-SUM(AL$10:AL540),-ROUNDDOWN($N541*AL$5/100,0)),0)</f>
        <v>0</v>
      </c>
      <c r="AM541" s="38">
        <f>IF(AND(AM$7="○",$A541&gt;=AM$8,$A541&lt;=AM$9),IF(SUM(AM$10:AM540)-ROUNDDOWN($L541*AM$5/100,0)&lt;-AM$6,-AM$6-SUM(AM$10:AM540),-ROUNDDOWN($L541*AM$5/100,0)),0)</f>
        <v>0</v>
      </c>
      <c r="AN541" s="38">
        <f>IF(AND(AN$7="○",$A541&gt;=AN$8,$A541&lt;=AN$9),IF(SUM(AN$10:AN540)-ROUNDDOWN($M541*AN$5/100,0)&lt;-AN$6,-AN$6-SUM(AN$10:AN540),-ROUNDDOWN($M541*AN$5/100,0)),0)</f>
        <v>0</v>
      </c>
      <c r="AO541" s="38">
        <f>IF(AND($A541&gt;=AO$8,$A541&lt;=AO$9),IF(SUM(AO$10:AO540)-ROUNDDOWN($K541*AO$5/100,0)&lt;-AO$6,-AO$6-SUM(AO$10:AO540),-ROUNDDOWN($K541*AO$5/100,0)),0)</f>
        <v>0</v>
      </c>
      <c r="AP541" s="38">
        <f>IF(AND($A541&gt;=AP$8,$A541&lt;=AP$9),IF(SUM(AP$10:AP540)-ROUNDDOWN($K541*AP$5/100,0)&lt;-AP$6,-AP$6-SUM(AP$10:AP540),-ROUNDDOWN($K541*AP$5/100,0)),0)</f>
        <v>0</v>
      </c>
      <c r="AQ541" s="38">
        <f>IF(AND($A541&gt;=AQ$8,$A541&lt;=AQ$9),IF(SUM(AQ$10:AQ540)-ROUNDDOWN($K541*AQ$5/100,0)&lt;-AQ$6,-AQ$6-SUM(AQ$10:AQ540),-ROUNDDOWN($K541*AQ$5/100,0)),0)</f>
        <v>0</v>
      </c>
      <c r="AR541" s="38">
        <f>IF(AND($A541&gt;=AR$8,$A541&lt;=AR$9),IF(SUM(AR$10:AR540)-ROUNDDOWN($K541*AR$5/100,0)&lt;-AR$6,-AR$6-SUM(AR$10:AR540),-ROUNDDOWN($K541*AR$5/100,0)),0)</f>
        <v>0</v>
      </c>
      <c r="AS541" s="38">
        <f>IF(SUMIFS(AS$10:AS540,$A$10:$A540,$A541)-ROUNDDOWN($K541*$S541/100,0)&lt;-$S541*1000,-$S541*1000-SUMIFS(AS$10:AS540,$A$10:$A540,$A541),-ROUNDDOWN($K541*$S541/100,0))</f>
        <v>0</v>
      </c>
      <c r="AT541" s="38">
        <f>IF(AND(X541="○",$A541&gt;=AT$8,$A541&lt;=AT$9,K541&gt;=3980),IF(SUM(AT$10:AT540)-ROUNDDOWN($K541*AT$5/100,0)&lt;-AT$6,-AT$6-SUM(AT$10:AT540),-ROUNDDOWN($K541*AT$5/100,0)),0)</f>
        <v>0</v>
      </c>
      <c r="AU541" s="38">
        <f>IF(O541="○",IF(SUM(AU$10:AU540)-ROUNDDOWN($K541*AU$5/100,0)&lt;-AU$6,-AU$6-SUM(AU$10:AU540),-ROUNDDOWN($K541*AU$5/100,0)),0)</f>
        <v>0</v>
      </c>
      <c r="AV541" s="38">
        <f>IF(P541="○",IF(SUM(AV$10:AV540)-ROUNDDOWN($K541*AV$5/100,0)&lt;-AV$6,-AV$6-SUM(AV$10:AV540),-ROUNDDOWN($K541*AV$5/100,0)),0)</f>
        <v>0</v>
      </c>
      <c r="AW541" s="38">
        <f>IF(Q541="○",IF(SUM(AW$10:AW540)-ROUNDDOWN($K541*AW$5/100,0)&lt;-AW$6,-AW$6-SUM(AW$10:AW540),-ROUNDDOWN($K541*AW$5/100,0)),0)</f>
        <v>0</v>
      </c>
      <c r="AX541" s="38">
        <f>IF(R541="○",IF(SUM(AX$10:AX540)-ROUNDDOWN($K541*AX$5/100,0)&lt;-AX$6,-AX$6-SUM(AX$10:AX540),-ROUNDDOWN($K541*AX$5/100,0)),0)</f>
        <v>0</v>
      </c>
      <c r="AY541" s="70">
        <v>0</v>
      </c>
      <c r="AZ541" s="65">
        <f t="shared" si="348"/>
        <v>0</v>
      </c>
      <c r="BA541" s="65">
        <f t="shared" si="349"/>
        <v>0</v>
      </c>
      <c r="BB541" s="70"/>
      <c r="BC541" s="65">
        <f t="shared" si="350"/>
        <v>0</v>
      </c>
      <c r="BD541" s="70">
        <v>0</v>
      </c>
      <c r="BE541" s="65">
        <f t="shared" si="351"/>
        <v>0</v>
      </c>
      <c r="BF541" s="70">
        <v>0</v>
      </c>
      <c r="BG541" s="65">
        <f t="shared" si="352"/>
        <v>0</v>
      </c>
      <c r="BH541" s="70">
        <v>0</v>
      </c>
      <c r="BI541" s="65">
        <f t="shared" si="353"/>
        <v>0</v>
      </c>
      <c r="BJ541" s="38">
        <f>IF(AND(BJ$7="○",$A541&gt;=BJ$8,$A541&lt;=BJ$9),IF(SUM(BJ$10:BJ540)-ROUNDDOWN($M541*BJ$5/100,0)&lt;-BJ$6,-BJ$6-SUM(BJ$10:BJ540),-ROUNDDOWN($M541*BJ$5/100,0)),0)</f>
        <v>0</v>
      </c>
      <c r="BK541" s="38">
        <f>IF(AND(BK$7="○",$A541&gt;=BK$8,$A541&lt;=BK$9),IF(SUM(BK$10:BK540)-ROUNDDOWN($L541*BK$5/100,0)&lt;-BK$6,-BK$6-SUM(BK$10:BK540),-ROUNDDOWN($L541*BK$5/100,0)),0)</f>
        <v>0</v>
      </c>
      <c r="BL541" s="38">
        <f>IF(AND(BL$7="○",$A541&gt;=BL$8,$A541&lt;=BL$9),IF(SUM(BL$10:BL540)-ROUNDDOWN($L541*BL$5/100,0)&lt;-BL$6,-BL$6-SUM(BL$10:BL540),-ROUNDDOWN($L541*BL$5/100,0)),0)</f>
        <v>0</v>
      </c>
      <c r="BM541" s="38">
        <f>IF(AND(BM$7="○",$A541&gt;=BM$8,$A541&lt;=BM$9),IF(SUM(BM$10:BM540)-ROUNDDOWN($M541*BM$5/100,0)&lt;-BM$6,-BM$6-SUM(BM$10:BM540),-ROUNDDOWN($M541*BM$5/100,0)),0)</f>
        <v>0</v>
      </c>
      <c r="BN541" s="38">
        <f>IF(AND(BN$7="○",$A541&gt;=BN$8,$A541&lt;=BN$9),IF(SUM(BN$10:BN540)-ROUNDDOWN($M541*BN$5/100,0)&lt;-BN$6,-BN$6-SUM(BN$10:BN540),-ROUNDDOWN($M541*BN$5/100,0)),0)</f>
        <v>0</v>
      </c>
      <c r="BO541" s="38">
        <f>IF(AND(BO$7="○",$A541&gt;=BO$8,$A541&lt;=BO$9),IF(SUM(BO$10:BO540)-ROUNDDOWN($M541*BO$5/100,0)&lt;-BO$6,-BO$6-SUM(BO$10:BO540),-ROUNDDOWN($M541*BO$5/100,0)),0)</f>
        <v>0</v>
      </c>
      <c r="BP541" s="38">
        <f>IF(AND(BP$7="○",$A541&gt;=BP$8,$A541&lt;=BP$9),IF(SUM(BP$10:BP540)-ROUNDDOWN($M541*BP$5/100,0)&lt;-BP$6,-BP$6-SUM(BP$10:BP540),-ROUNDDOWN($M541*BP$5/100,0)),0)</f>
        <v>0</v>
      </c>
      <c r="BQ541" s="38">
        <f>IF(AND(BQ$7="○",$A541&gt;=BQ$8,$A541&lt;=BQ$9),IF(SUM(BQ$10:BQ540)-ROUNDDOWN($L541*BQ$5/100,0)&lt;-BQ$6,-BQ$6-SUM(BQ$10:BQ540),-ROUNDDOWN($L541*BQ$5/100,0)),0)</f>
        <v>0</v>
      </c>
      <c r="BR541" s="38">
        <f>IF(AND(BR$7="○",$A541&gt;=BR$8,$A541&lt;=BR$9),IF(SUM(BR$10:BR540)-ROUNDDOWN($M541*BR$5/100,0)&lt;-BR$6,-BR$6-SUM(BR$10:BR540),-ROUNDDOWN($M541*BR$5/100,0)),0)</f>
        <v>0</v>
      </c>
      <c r="BS541" s="38">
        <f>IF(AND(BS$7="○",$A541&gt;=BS$8,$A541&lt;=BS$9),IF(SUM(BS$10:BS540)-ROUNDDOWN($M541*BS$5/100,0)&lt;-BS$6,-BS$6-SUM(BS$10:BS540),-ROUNDDOWN($M541*BS$5/100,0)),0)</f>
        <v>0</v>
      </c>
      <c r="BT541" s="38">
        <f>IF(AND(BT$7="○",$A541&gt;=BT$8,$A541&lt;=BT$9),IF(SUM(BT$10:BT540)-ROUNDDOWN($M541*BT$5/100,0)&lt;-BT$6,-BT$6-SUM(BT$10:BT540),-ROUNDDOWN($M541*BT$5/100,0)),0)</f>
        <v>0</v>
      </c>
      <c r="BU541" s="38">
        <f>IF(AND(BU$7="○",$A541&gt;=BU$8,$A541&lt;=BU$9),IF(SUM(BU$10:BU540)-ROUNDDOWN($M541*BU$5/100,0)&lt;-BU$6,-BU$6-SUM(BU$10:BU540),-ROUNDDOWN($M541*BU$5/100,0)),0)</f>
        <v>0</v>
      </c>
      <c r="BV541" s="38">
        <f>IF(AND(BV$7="○",$A541&gt;=BV$8,$A541&lt;=BV$9),IF(SUM(BV$10:BV540)-ROUNDDOWN($M541*BV$5/100,0)&lt;-BV$6,-BV$6-SUM(BV$10:BV540),-ROUNDDOWN($M541*BV$5/100,0)),0)</f>
        <v>0</v>
      </c>
      <c r="BW541" s="38">
        <f>IF(AND(BW$7="○",$A541&gt;=BW$8,$A541&lt;=BW$9),IF(SUM(BW$10:BW540)-ROUNDDOWN($M541*BW$5/100,0)&lt;-BW$6,-BW$6-SUM(BW$10:BW540),-ROUNDDOWN($M541*BW$5/100,0)),0)</f>
        <v>0</v>
      </c>
      <c r="BX541" s="38">
        <f>IF(AND(T541="○",$A541&gt;=BX$8,$A541&lt;=BX$9),IF(SUM(BX$10:BX540)-ROUNDDOWN($K541*BX$5/100,0)&lt;-BX$6,-BX$6-SUM(BX$10:BX540),-ROUNDDOWN($K541*BX$5/100,0)),0)</f>
        <v>0</v>
      </c>
      <c r="BY541" s="38">
        <f>IF(AND(U541="○",$A541&gt;=BY$8,$A541&lt;=BY$9),IF(SUM(BY$10:BY540)-ROUNDDOWN($K541*BY$5/100,0)&lt;-BY$6,-BY$6-SUM(BY$10:BY540),-ROUNDDOWN($K541*BY$5/100,0)),0)</f>
        <v>0</v>
      </c>
      <c r="BZ541" s="38">
        <f>IF(AND(V541="○",$A541&gt;=BZ$8,$A541&lt;=BZ$9),IF(SUM(BZ$10:BZ540)-ROUNDDOWN($K541*BZ$5/100,0)&lt;-BZ$6,-BZ$6-SUM(BZ$10:BZ540),-ROUNDDOWN($K541*BZ$5/100,0)),0)</f>
        <v>0</v>
      </c>
      <c r="CA541" s="38">
        <f>IF(AND(W541="○",$A541&gt;=CA$8,$A541&lt;=CA$9),IF(SUM(CA$10:CA540)-ROUNDDOWN($K541*CA$5/100,0)&lt;-CA$6,-CA$6-SUM(CA$10:CA540),-ROUNDDOWN($K541*CA$5/100,0)),0)</f>
        <v>0</v>
      </c>
      <c r="CB541" s="38"/>
      <c r="CC541" s="38"/>
      <c r="CD541" s="38"/>
      <c r="CE541" s="38"/>
      <c r="CF541" s="38"/>
      <c r="CG541" s="65">
        <f t="shared" si="354"/>
        <v>0</v>
      </c>
      <c r="CH541" s="71">
        <f t="shared" si="355"/>
        <v>0</v>
      </c>
      <c r="CI541" s="1">
        <f t="shared" si="19"/>
        <v>0</v>
      </c>
      <c r="CJ541" s="1"/>
      <c r="CK541" s="75"/>
      <c r="CL541" s="75"/>
      <c r="CM541" s="2"/>
      <c r="CN541" s="2"/>
      <c r="CO541" s="73">
        <f t="shared" si="20"/>
        <v>0</v>
      </c>
      <c r="CP541" s="5">
        <f t="shared" si="21"/>
        <v>0</v>
      </c>
      <c r="CQ541" s="1"/>
      <c r="CR541" s="1">
        <f t="shared" si="22"/>
        <v>0</v>
      </c>
      <c r="CS541" s="1"/>
      <c r="CT541" s="1" t="e">
        <f>INDEX([2]マスタ!$A:$A,MATCH(D541,[2]マスタ!$C:$C,0))</f>
        <v>#N/A</v>
      </c>
      <c r="CU541" s="1" t="str">
        <f t="shared" ca="1" si="23"/>
        <v>20260620_0-0</v>
      </c>
    </row>
    <row r="542" spans="1:99" x14ac:dyDescent="0.4">
      <c r="A542" s="61"/>
      <c r="B542" s="62"/>
      <c r="C542" s="62"/>
      <c r="D542" s="62"/>
      <c r="E542" s="74"/>
      <c r="F542" s="62"/>
      <c r="G542" s="62">
        <v>1</v>
      </c>
      <c r="H542" s="64">
        <f t="shared" si="4"/>
        <v>0</v>
      </c>
      <c r="I542" s="64"/>
      <c r="J542" s="64"/>
      <c r="K542" s="65">
        <f>+ROUNDDOWN((H542+I542)/100,0)*100</f>
        <v>0</v>
      </c>
      <c r="L542" s="65">
        <f t="shared" si="6"/>
        <v>0</v>
      </c>
      <c r="M542" s="65">
        <f t="shared" si="7"/>
        <v>0</v>
      </c>
      <c r="N542" s="65">
        <f t="shared" si="8"/>
        <v>0</v>
      </c>
      <c r="O542" s="66" t="str">
        <f t="shared" si="9"/>
        <v>✕</v>
      </c>
      <c r="P542" s="67" t="str">
        <f t="shared" si="10"/>
        <v>○</v>
      </c>
      <c r="Q542" s="67" t="str">
        <f>+IF((TEXT($A542,"DD")+0)=1,"○","✕")</f>
        <v>✕</v>
      </c>
      <c r="R542" s="67" t="str">
        <f t="shared" si="12"/>
        <v>✕</v>
      </c>
      <c r="S542" s="68">
        <v>0</v>
      </c>
      <c r="T542" s="69" t="s">
        <v>85</v>
      </c>
      <c r="U542" s="69" t="s">
        <v>85</v>
      </c>
      <c r="V542" s="69" t="s">
        <v>85</v>
      </c>
      <c r="W542" s="69" t="s">
        <v>85</v>
      </c>
      <c r="X542" s="69" t="s">
        <v>84</v>
      </c>
      <c r="Y542" s="69" t="s">
        <v>85</v>
      </c>
      <c r="Z542" s="69" t="s">
        <v>85</v>
      </c>
      <c r="AA542" s="69" t="s">
        <v>85</v>
      </c>
      <c r="AB542" s="69" t="s">
        <v>85</v>
      </c>
      <c r="AC542" s="69" t="s">
        <v>85</v>
      </c>
      <c r="AD542" s="38" t="str">
        <f>+IF(ISERROR(VLOOKUP($B542,AD$10:AD541,1,0)),IF(AND($N542&gt;=1000,$A542&gt;=AO$8,$A542&lt;=AO$9),$B542,""),"")</f>
        <v/>
      </c>
      <c r="AE542" s="38" t="str">
        <f>+IF(ISERROR(VLOOKUP($B542,AE$10:AE541,1,0)),IF(AND($N542&gt;=1000,$A542&gt;=AP$8,$A542&lt;=AP$9),$B542,""),"")</f>
        <v/>
      </c>
      <c r="AF542" s="38" t="str">
        <f>+IF(ISERROR(VLOOKUP($B542,AF$10:AF541,1,0)),IF(AND($N542&gt;=1000,$A542&gt;=AQ$8,$A542&lt;=AQ$9),$B542,""),"")</f>
        <v/>
      </c>
      <c r="AG542" s="38" t="str">
        <f>+IF(ISERROR(VLOOKUP($B542,AG$10:AG541,1,0)),IF(AND($N542&gt;=1000,$A542&gt;=AR$8,$A542&lt;=AR$9),$B542,""),"")</f>
        <v/>
      </c>
      <c r="AH542" s="38"/>
      <c r="AI542" s="70">
        <v>0</v>
      </c>
      <c r="AJ542" s="38">
        <f>IF(AND(AJ$7="○",$A542&gt;=AJ$8,$A542&lt;=AJ$9),IF(SUM(AJ$10:AJ541)-ROUNDDOWN($K542*AJ$5/100,0)&lt;-AJ$6,-AJ$6-SUM(AJ$10:AJ541),-ROUNDDOWN($K542*AJ$5/100,0)),0)</f>
        <v>0</v>
      </c>
      <c r="AK542" s="38">
        <f>IF(AND(AK$7="○",$A542&gt;=AK$8,$A542&lt;=AK$9),IF(SUM(AK$10:AK541)-ROUNDDOWN($L542*AK$5/100,0)&lt;-AK$6,-AK$6-SUM(AK$10:AK541),-ROUNDDOWN($L542*AK$5/100,0)),0)</f>
        <v>0</v>
      </c>
      <c r="AL542" s="38">
        <f>IF(AND(AL$7="○",$A542&gt;=AL$8,$A542&lt;=AL$9),IF(SUM(AL$10:AL541)-ROUNDDOWN($N542*AL$5/100,0)&lt;-AL$6,-AL$6-SUM(AL$10:AL541),-ROUNDDOWN($N542*AL$5/100,0)),0)</f>
        <v>0</v>
      </c>
      <c r="AM542" s="38">
        <f>IF(AND(AM$7="○",$A542&gt;=AM$8,$A542&lt;=AM$9),IF(SUM(AM$10:AM541)-ROUNDDOWN($L542*AM$5/100,0)&lt;-AM$6,-AM$6-SUM(AM$10:AM541),-ROUNDDOWN($L542*AM$5/100,0)),0)</f>
        <v>0</v>
      </c>
      <c r="AN542" s="38">
        <f>IF(AND(AN$7="○",$A542&gt;=AN$8,$A542&lt;=AN$9),IF(SUM(AN$10:AN541)-ROUNDDOWN($M542*AN$5/100,0)&lt;-AN$6,-AN$6-SUM(AN$10:AN541),-ROUNDDOWN($M542*AN$5/100,0)),0)</f>
        <v>0</v>
      </c>
      <c r="AO542" s="38">
        <f>IF(AND($A542&gt;=AO$8,$A542&lt;=AO$9),IF(SUM(AO$10:AO541)-ROUNDDOWN($K542*AO$5/100,0)&lt;-AO$6,-AO$6-SUM(AO$10:AO541),-ROUNDDOWN($K542*AO$5/100,0)),0)</f>
        <v>0</v>
      </c>
      <c r="AP542" s="38">
        <f>IF(AND($A542&gt;=AP$8,$A542&lt;=AP$9),IF(SUM(AP$10:AP541)-ROUNDDOWN($K542*AP$5/100,0)&lt;-AP$6,-AP$6-SUM(AP$10:AP541),-ROUNDDOWN($K542*AP$5/100,0)),0)</f>
        <v>0</v>
      </c>
      <c r="AQ542" s="38">
        <f>IF(AND($A542&gt;=AQ$8,$A542&lt;=AQ$9),IF(SUM(AQ$10:AQ541)-ROUNDDOWN($K542*AQ$5/100,0)&lt;-AQ$6,-AQ$6-SUM(AQ$10:AQ541),-ROUNDDOWN($K542*AQ$5/100,0)),0)</f>
        <v>0</v>
      </c>
      <c r="AR542" s="38">
        <f>IF(AND($A542&gt;=AR$8,$A542&lt;=AR$9),IF(SUM(AR$10:AR541)-ROUNDDOWN($K542*AR$5/100,0)&lt;-AR$6,-AR$6-SUM(AR$10:AR541),-ROUNDDOWN($K542*AR$5/100,0)),0)</f>
        <v>0</v>
      </c>
      <c r="AS542" s="38">
        <f>IF(SUMIFS(AS$10:AS541,$A$10:$A541,$A542)-ROUNDDOWN($K542*$S542/100,0)&lt;-$S542*1000,-$S542*1000-SUMIFS(AS$10:AS541,$A$10:$A541,$A542),-ROUNDDOWN($K542*$S542/100,0))</f>
        <v>0</v>
      </c>
      <c r="AT542" s="38">
        <f>IF(AND(X542="○",$A542&gt;=AT$8,$A542&lt;=AT$9,K542&gt;=3980),IF(SUM(AT$10:AT541)-ROUNDDOWN($K542*AT$5/100,0)&lt;-AT$6,-AT$6-SUM(AT$10:AT541),-ROUNDDOWN($K542*AT$5/100,0)),0)</f>
        <v>0</v>
      </c>
      <c r="AU542" s="38">
        <f>IF(O542="○",IF(SUM(AU$10:AU541)-ROUNDDOWN($K542*AU$5/100,0)&lt;-AU$6,-AU$6-SUM(AU$10:AU541),-ROUNDDOWN($K542*AU$5/100,0)),0)</f>
        <v>0</v>
      </c>
      <c r="AV542" s="38">
        <f>IF(P542="○",IF(SUM(AV$10:AV541)-ROUNDDOWN($K542*AV$5/100,0)&lt;-AV$6,-AV$6-SUM(AV$10:AV541),-ROUNDDOWN($K542*AV$5/100,0)),0)</f>
        <v>0</v>
      </c>
      <c r="AW542" s="38">
        <f>IF(Q542="○",IF(SUM(AW$10:AW541)-ROUNDDOWN($K542*AW$5/100,0)&lt;-AW$6,-AW$6-SUM(AW$10:AW541),-ROUNDDOWN($K542*AW$5/100,0)),0)</f>
        <v>0</v>
      </c>
      <c r="AX542" s="38">
        <f>IF(R542="○",IF(SUM(AX$10:AX541)-ROUNDDOWN($K542*AX$5/100,0)&lt;-AX$6,-AX$6-SUM(AX$10:AX541),-ROUNDDOWN($K542*AX$5/100,0)),0)</f>
        <v>0</v>
      </c>
      <c r="AY542" s="70">
        <v>0</v>
      </c>
      <c r="AZ542" s="65">
        <f t="shared" si="348"/>
        <v>0</v>
      </c>
      <c r="BA542" s="65">
        <f t="shared" si="349"/>
        <v>0</v>
      </c>
      <c r="BB542" s="70"/>
      <c r="BC542" s="65">
        <f t="shared" si="350"/>
        <v>0</v>
      </c>
      <c r="BD542" s="70">
        <v>0</v>
      </c>
      <c r="BE542" s="65">
        <f t="shared" si="351"/>
        <v>0</v>
      </c>
      <c r="BF542" s="70">
        <v>0</v>
      </c>
      <c r="BG542" s="65">
        <f t="shared" si="352"/>
        <v>0</v>
      </c>
      <c r="BH542" s="70">
        <v>0</v>
      </c>
      <c r="BI542" s="65">
        <f t="shared" si="353"/>
        <v>0</v>
      </c>
      <c r="BJ542" s="38">
        <f>IF(AND(BJ$7="○",$A542&gt;=BJ$8,$A542&lt;=BJ$9),IF(SUM(BJ$10:BJ541)-ROUNDDOWN($M542*BJ$5/100,0)&lt;-BJ$6,-BJ$6-SUM(BJ$10:BJ541),-ROUNDDOWN($M542*BJ$5/100,0)),0)</f>
        <v>0</v>
      </c>
      <c r="BK542" s="38">
        <f>IF(AND(BK$7="○",$A542&gt;=BK$8,$A542&lt;=BK$9),IF(SUM(BK$10:BK541)-ROUNDDOWN($L542*BK$5/100,0)&lt;-BK$6,-BK$6-SUM(BK$10:BK541),-ROUNDDOWN($L542*BK$5/100,0)),0)</f>
        <v>0</v>
      </c>
      <c r="BL542" s="38">
        <f>IF(AND(BL$7="○",$A542&gt;=BL$8,$A542&lt;=BL$9),IF(SUM(BL$10:BL541)-ROUNDDOWN($L542*BL$5/100,0)&lt;-BL$6,-BL$6-SUM(BL$10:BL541),-ROUNDDOWN($L542*BL$5/100,0)),0)</f>
        <v>0</v>
      </c>
      <c r="BM542" s="38">
        <f>IF(AND(BM$7="○",$A542&gt;=BM$8,$A542&lt;=BM$9),IF(SUM(BM$10:BM541)-ROUNDDOWN($M542*BM$5/100,0)&lt;-BM$6,-BM$6-SUM(BM$10:BM541),-ROUNDDOWN($M542*BM$5/100,0)),0)</f>
        <v>0</v>
      </c>
      <c r="BN542" s="38">
        <f>IF(AND(BN$7="○",$A542&gt;=BN$8,$A542&lt;=BN$9),IF(SUM(BN$10:BN541)-ROUNDDOWN($M542*BN$5/100,0)&lt;-BN$6,-BN$6-SUM(BN$10:BN541),-ROUNDDOWN($M542*BN$5/100,0)),0)</f>
        <v>0</v>
      </c>
      <c r="BO542" s="38">
        <f>IF(AND(BO$7="○",$A542&gt;=BO$8,$A542&lt;=BO$9),IF(SUM(BO$10:BO541)-ROUNDDOWN($M542*BO$5/100,0)&lt;-BO$6,-BO$6-SUM(BO$10:BO541),-ROUNDDOWN($M542*BO$5/100,0)),0)</f>
        <v>0</v>
      </c>
      <c r="BP542" s="38">
        <f>IF(AND(BP$7="○",$A542&gt;=BP$8,$A542&lt;=BP$9),IF(SUM(BP$10:BP541)-ROUNDDOWN($M542*BP$5/100,0)&lt;-BP$6,-BP$6-SUM(BP$10:BP541),-ROUNDDOWN($M542*BP$5/100,0)),0)</f>
        <v>0</v>
      </c>
      <c r="BQ542" s="38">
        <f>IF(AND(BQ$7="○",$A542&gt;=BQ$8,$A542&lt;=BQ$9),IF(SUM(BQ$10:BQ541)-ROUNDDOWN($L542*BQ$5/100,0)&lt;-BQ$6,-BQ$6-SUM(BQ$10:BQ541),-ROUNDDOWN($L542*BQ$5/100,0)),0)</f>
        <v>0</v>
      </c>
      <c r="BR542" s="38">
        <f>IF(AND(BR$7="○",$A542&gt;=BR$8,$A542&lt;=BR$9),IF(SUM(BR$10:BR541)-ROUNDDOWN($M542*BR$5/100,0)&lt;-BR$6,-BR$6-SUM(BR$10:BR541),-ROUNDDOWN($M542*BR$5/100,0)),0)</f>
        <v>0</v>
      </c>
      <c r="BS542" s="38">
        <f>IF(AND(BS$7="○",$A542&gt;=BS$8,$A542&lt;=BS$9),IF(SUM(BS$10:BS541)-ROUNDDOWN($M542*BS$5/100,0)&lt;-BS$6,-BS$6-SUM(BS$10:BS541),-ROUNDDOWN($M542*BS$5/100,0)),0)</f>
        <v>0</v>
      </c>
      <c r="BT542" s="38">
        <f>IF(AND(BT$7="○",$A542&gt;=BT$8,$A542&lt;=BT$9),IF(SUM(BT$10:BT541)-ROUNDDOWN($M542*BT$5/100,0)&lt;-BT$6,-BT$6-SUM(BT$10:BT541),-ROUNDDOWN($M542*BT$5/100,0)),0)</f>
        <v>0</v>
      </c>
      <c r="BU542" s="38">
        <f>IF(AND(BU$7="○",$A542&gt;=BU$8,$A542&lt;=BU$9),IF(SUM(BU$10:BU541)-ROUNDDOWN($M542*BU$5/100,0)&lt;-BU$6,-BU$6-SUM(BU$10:BU541),-ROUNDDOWN($M542*BU$5/100,0)),0)</f>
        <v>0</v>
      </c>
      <c r="BV542" s="38">
        <f>IF(AND(BV$7="○",$A542&gt;=BV$8,$A542&lt;=BV$9),IF(SUM(BV$10:BV541)-ROUNDDOWN($M542*BV$5/100,0)&lt;-BV$6,-BV$6-SUM(BV$10:BV541),-ROUNDDOWN($M542*BV$5/100,0)),0)</f>
        <v>0</v>
      </c>
      <c r="BW542" s="38">
        <f>IF(AND(BW$7="○",$A542&gt;=BW$8,$A542&lt;=BW$9),IF(SUM(BW$10:BW541)-ROUNDDOWN($M542*BW$5/100,0)&lt;-BW$6,-BW$6-SUM(BW$10:BW541),-ROUNDDOWN($M542*BW$5/100,0)),0)</f>
        <v>0</v>
      </c>
      <c r="BX542" s="38">
        <f>IF(AND(T542="○",$A542&gt;=BX$8,$A542&lt;=BX$9),IF(SUM(BX$10:BX541)-ROUNDDOWN($K542*BX$5/100,0)&lt;-BX$6,-BX$6-SUM(BX$10:BX541),-ROUNDDOWN($K542*BX$5/100,0)),0)</f>
        <v>0</v>
      </c>
      <c r="BY542" s="38">
        <f>IF(AND(U542="○",$A542&gt;=BY$8,$A542&lt;=BY$9),IF(SUM(BY$10:BY541)-ROUNDDOWN($K542*BY$5/100,0)&lt;-BY$6,-BY$6-SUM(BY$10:BY541),-ROUNDDOWN($K542*BY$5/100,0)),0)</f>
        <v>0</v>
      </c>
      <c r="BZ542" s="38">
        <f>IF(AND(V542="○",$A542&gt;=BZ$8,$A542&lt;=BZ$9),IF(SUM(BZ$10:BZ541)-ROUNDDOWN($K542*BZ$5/100,0)&lt;-BZ$6,-BZ$6-SUM(BZ$10:BZ541),-ROUNDDOWN($K542*BZ$5/100,0)),0)</f>
        <v>0</v>
      </c>
      <c r="CA542" s="38">
        <f>IF(AND(W542="○",$A542&gt;=CA$8,$A542&lt;=CA$9),IF(SUM(CA$10:CA541)-ROUNDDOWN($K542*CA$5/100,0)&lt;-CA$6,-CA$6-SUM(CA$10:CA541),-ROUNDDOWN($K542*CA$5/100,0)),0)</f>
        <v>0</v>
      </c>
      <c r="CB542" s="38"/>
      <c r="CC542" s="38"/>
      <c r="CD542" s="38"/>
      <c r="CE542" s="38"/>
      <c r="CF542" s="38"/>
      <c r="CG542" s="65">
        <f t="shared" si="354"/>
        <v>0</v>
      </c>
      <c r="CH542" s="71">
        <f t="shared" si="355"/>
        <v>0</v>
      </c>
      <c r="CI542" s="1">
        <f t="shared" si="19"/>
        <v>0</v>
      </c>
      <c r="CJ542" s="1"/>
      <c r="CK542" s="75"/>
      <c r="CL542" s="75"/>
      <c r="CM542" s="2"/>
      <c r="CN542" s="2"/>
      <c r="CO542" s="73">
        <f t="shared" si="20"/>
        <v>0</v>
      </c>
      <c r="CP542" s="5">
        <f t="shared" si="21"/>
        <v>0</v>
      </c>
      <c r="CQ542" s="1"/>
      <c r="CR542" s="1">
        <f t="shared" si="22"/>
        <v>0</v>
      </c>
      <c r="CS542" s="1"/>
      <c r="CT542" s="1" t="e">
        <f>INDEX([2]マスタ!$A:$A,MATCH(D542,[2]マスタ!$C:$C,0))</f>
        <v>#N/A</v>
      </c>
      <c r="CU542" s="1" t="str">
        <f t="shared" ca="1" si="23"/>
        <v>20260620_0-0</v>
      </c>
    </row>
    <row r="543" spans="1:99" x14ac:dyDescent="0.4">
      <c r="A543" s="61"/>
      <c r="B543" s="62"/>
      <c r="C543" s="62"/>
      <c r="D543" s="62"/>
      <c r="E543" s="63"/>
      <c r="F543" s="62"/>
      <c r="G543" s="62">
        <v>1</v>
      </c>
      <c r="H543" s="64">
        <f t="shared" si="4"/>
        <v>0</v>
      </c>
      <c r="I543" s="64"/>
      <c r="J543" s="64"/>
      <c r="K543" s="65">
        <f>+ROUNDDOWN((H543+I543)/100,0)*100</f>
        <v>0</v>
      </c>
      <c r="L543" s="65">
        <f t="shared" si="6"/>
        <v>0</v>
      </c>
      <c r="M543" s="65">
        <f t="shared" si="7"/>
        <v>0</v>
      </c>
      <c r="N543" s="65">
        <f t="shared" si="8"/>
        <v>0</v>
      </c>
      <c r="O543" s="66" t="str">
        <f t="shared" si="9"/>
        <v>✕</v>
      </c>
      <c r="P543" s="67" t="str">
        <f t="shared" si="10"/>
        <v>○</v>
      </c>
      <c r="Q543" s="67" t="str">
        <f>+IF((TEXT($A543,"DD")+0)=1,"○","✕")</f>
        <v>✕</v>
      </c>
      <c r="R543" s="67" t="str">
        <f t="shared" si="12"/>
        <v>✕</v>
      </c>
      <c r="S543" s="68">
        <v>0</v>
      </c>
      <c r="T543" s="69" t="s">
        <v>85</v>
      </c>
      <c r="U543" s="69" t="s">
        <v>85</v>
      </c>
      <c r="V543" s="69" t="s">
        <v>85</v>
      </c>
      <c r="W543" s="69" t="s">
        <v>85</v>
      </c>
      <c r="X543" s="69" t="s">
        <v>84</v>
      </c>
      <c r="Y543" s="69" t="s">
        <v>85</v>
      </c>
      <c r="Z543" s="69" t="s">
        <v>85</v>
      </c>
      <c r="AA543" s="69" t="s">
        <v>85</v>
      </c>
      <c r="AB543" s="69" t="s">
        <v>85</v>
      </c>
      <c r="AC543" s="69" t="s">
        <v>85</v>
      </c>
      <c r="AD543" s="38" t="str">
        <f>+IF(ISERROR(VLOOKUP($B543,AD$10:AD542,1,0)),IF(AND($N543&gt;=1000,$A543&gt;=AO$8,$A543&lt;=AO$9),$B543,""),"")</f>
        <v/>
      </c>
      <c r="AE543" s="38" t="str">
        <f>+IF(ISERROR(VLOOKUP($B543,AE$10:AE542,1,0)),IF(AND($N543&gt;=1000,$A543&gt;=AP$8,$A543&lt;=AP$9),$B543,""),"")</f>
        <v/>
      </c>
      <c r="AF543" s="38" t="str">
        <f>+IF(ISERROR(VLOOKUP($B543,AF$10:AF542,1,0)),IF(AND($N543&gt;=1000,$A543&gt;=AQ$8,$A543&lt;=AQ$9),$B543,""),"")</f>
        <v/>
      </c>
      <c r="AG543" s="38" t="str">
        <f>+IF(ISERROR(VLOOKUP($B543,AG$10:AG542,1,0)),IF(AND($N543&gt;=1000,$A543&gt;=AR$8,$A543&lt;=AR$9),$B543,""),"")</f>
        <v/>
      </c>
      <c r="AH543" s="38"/>
      <c r="AI543" s="70">
        <v>0</v>
      </c>
      <c r="AJ543" s="38">
        <f>IF(AND(AJ$7="○",$A543&gt;=AJ$8,$A543&lt;=AJ$9),IF(SUM(AJ$10:AJ542)-ROUNDDOWN($K543*AJ$5/100,0)&lt;-AJ$6,-AJ$6-SUM(AJ$10:AJ542),-ROUNDDOWN($K543*AJ$5/100,0)),0)</f>
        <v>0</v>
      </c>
      <c r="AK543" s="38">
        <f>IF(AND(AK$7="○",$A543&gt;=AK$8,$A543&lt;=AK$9),IF(SUM(AK$10:AK542)-ROUNDDOWN($L543*AK$5/100,0)&lt;-AK$6,-AK$6-SUM(AK$10:AK542),-ROUNDDOWN($L543*AK$5/100,0)),0)</f>
        <v>0</v>
      </c>
      <c r="AL543" s="38">
        <f>IF(AND(AL$7="○",$A543&gt;=AL$8,$A543&lt;=AL$9),IF(SUM(AL$10:AL542)-ROUNDDOWN($N543*AL$5/100,0)&lt;-AL$6,-AL$6-SUM(AL$10:AL542),-ROUNDDOWN($N543*AL$5/100,0)),0)</f>
        <v>0</v>
      </c>
      <c r="AM543" s="38">
        <f>IF(AND(AM$7="○",$A543&gt;=AM$8,$A543&lt;=AM$9),IF(SUM(AM$10:AM542)-ROUNDDOWN($L543*AM$5/100,0)&lt;-AM$6,-AM$6-SUM(AM$10:AM542),-ROUNDDOWN($L543*AM$5/100,0)),0)</f>
        <v>0</v>
      </c>
      <c r="AN543" s="38">
        <f>IF(AND(AN$7="○",$A543&gt;=AN$8,$A543&lt;=AN$9),IF(SUM(AN$10:AN542)-ROUNDDOWN($M543*AN$5/100,0)&lt;-AN$6,-AN$6-SUM(AN$10:AN542),-ROUNDDOWN($M543*AN$5/100,0)),0)</f>
        <v>0</v>
      </c>
      <c r="AO543" s="38">
        <f>IF(AND($A543&gt;=AO$8,$A543&lt;=AO$9),IF(SUM(AO$10:AO542)-ROUNDDOWN($K543*AO$5/100,0)&lt;-AO$6,-AO$6-SUM(AO$10:AO542),-ROUNDDOWN($K543*AO$5/100,0)),0)</f>
        <v>0</v>
      </c>
      <c r="AP543" s="38">
        <f>IF(AND($A543&gt;=AP$8,$A543&lt;=AP$9),IF(SUM(AP$10:AP542)-ROUNDDOWN($K543*AP$5/100,0)&lt;-AP$6,-AP$6-SUM(AP$10:AP542),-ROUNDDOWN($K543*AP$5/100,0)),0)</f>
        <v>0</v>
      </c>
      <c r="AQ543" s="38">
        <f>IF(AND($A543&gt;=AQ$8,$A543&lt;=AQ$9),IF(SUM(AQ$10:AQ542)-ROUNDDOWN($K543*AQ$5/100,0)&lt;-AQ$6,-AQ$6-SUM(AQ$10:AQ542),-ROUNDDOWN($K543*AQ$5/100,0)),0)</f>
        <v>0</v>
      </c>
      <c r="AR543" s="38">
        <f>IF(AND($A543&gt;=AR$8,$A543&lt;=AR$9),IF(SUM(AR$10:AR542)-ROUNDDOWN($K543*AR$5/100,0)&lt;-AR$6,-AR$6-SUM(AR$10:AR542),-ROUNDDOWN($K543*AR$5/100,0)),0)</f>
        <v>0</v>
      </c>
      <c r="AS543" s="38">
        <f>IF(SUMIFS(AS$10:AS542,$A$10:$A542,$A543)-ROUNDDOWN($K543*$S543/100,0)&lt;-$S543*1000,-$S543*1000-SUMIFS(AS$10:AS542,$A$10:$A542,$A543),-ROUNDDOWN($K543*$S543/100,0))</f>
        <v>0</v>
      </c>
      <c r="AT543" s="38">
        <f>IF(AND(X543="○",$A543&gt;=AT$8,$A543&lt;=AT$9,K543&gt;=3980),IF(SUM(AT$10:AT542)-ROUNDDOWN($K543*AT$5/100,0)&lt;-AT$6,-AT$6-SUM(AT$10:AT542),-ROUNDDOWN($K543*AT$5/100,0)),0)</f>
        <v>0</v>
      </c>
      <c r="AU543" s="38">
        <f>IF(O543="○",IF(SUM(AU$10:AU542)-ROUNDDOWN($K543*AU$5/100,0)&lt;-AU$6,-AU$6-SUM(AU$10:AU542),-ROUNDDOWN($K543*AU$5/100,0)),0)</f>
        <v>0</v>
      </c>
      <c r="AV543" s="38">
        <f>IF(P543="○",IF(SUM(AV$10:AV542)-ROUNDDOWN($K543*AV$5/100,0)&lt;-AV$6,-AV$6-SUM(AV$10:AV542),-ROUNDDOWN($K543*AV$5/100,0)),0)</f>
        <v>0</v>
      </c>
      <c r="AW543" s="38">
        <f>IF(Q543="○",IF(SUM(AW$10:AW542)-ROUNDDOWN($K543*AW$5/100,0)&lt;-AW$6,-AW$6-SUM(AW$10:AW542),-ROUNDDOWN($K543*AW$5/100,0)),0)</f>
        <v>0</v>
      </c>
      <c r="AX543" s="38">
        <f>IF(R543="○",IF(SUM(AX$10:AX542)-ROUNDDOWN($K543*AX$5/100,0)&lt;-AX$6,-AX$6-SUM(AX$10:AX542),-ROUNDDOWN($K543*AX$5/100,0)),0)</f>
        <v>0</v>
      </c>
      <c r="AY543" s="70">
        <v>0</v>
      </c>
      <c r="AZ543" s="65">
        <f t="shared" si="348"/>
        <v>0</v>
      </c>
      <c r="BA543" s="65">
        <f t="shared" si="349"/>
        <v>0</v>
      </c>
      <c r="BB543" s="70"/>
      <c r="BC543" s="65">
        <f t="shared" si="350"/>
        <v>0</v>
      </c>
      <c r="BD543" s="70">
        <v>0</v>
      </c>
      <c r="BE543" s="65">
        <f t="shared" si="351"/>
        <v>0</v>
      </c>
      <c r="BF543" s="70">
        <v>0</v>
      </c>
      <c r="BG543" s="65">
        <f t="shared" si="352"/>
        <v>0</v>
      </c>
      <c r="BH543" s="70">
        <v>0</v>
      </c>
      <c r="BI543" s="65">
        <f t="shared" si="353"/>
        <v>0</v>
      </c>
      <c r="BJ543" s="38">
        <f>IF(AND(BJ$7="○",$A543&gt;=BJ$8,$A543&lt;=BJ$9),IF(SUM(BJ$10:BJ542)-ROUNDDOWN($M543*BJ$5/100,0)&lt;-BJ$6,-BJ$6-SUM(BJ$10:BJ542),-ROUNDDOWN($M543*BJ$5/100,0)),0)</f>
        <v>0</v>
      </c>
      <c r="BK543" s="38">
        <f>IF(AND(BK$7="○",$A543&gt;=BK$8,$A543&lt;=BK$9),IF(SUM(BK$10:BK542)-ROUNDDOWN($L543*BK$5/100,0)&lt;-BK$6,-BK$6-SUM(BK$10:BK542),-ROUNDDOWN($L543*BK$5/100,0)),0)</f>
        <v>0</v>
      </c>
      <c r="BL543" s="38">
        <f>IF(AND(BL$7="○",$A543&gt;=BL$8,$A543&lt;=BL$9),IF(SUM(BL$10:BL542)-ROUNDDOWN($L543*BL$5/100,0)&lt;-BL$6,-BL$6-SUM(BL$10:BL542),-ROUNDDOWN($L543*BL$5/100,0)),0)</f>
        <v>0</v>
      </c>
      <c r="BM543" s="38">
        <f>IF(AND(BM$7="○",$A543&gt;=BM$8,$A543&lt;=BM$9),IF(SUM(BM$10:BM542)-ROUNDDOWN($M543*BM$5/100,0)&lt;-BM$6,-BM$6-SUM(BM$10:BM542),-ROUNDDOWN($M543*BM$5/100,0)),0)</f>
        <v>0</v>
      </c>
      <c r="BN543" s="38">
        <f>IF(AND(BN$7="○",$A543&gt;=BN$8,$A543&lt;=BN$9),IF(SUM(BN$10:BN542)-ROUNDDOWN($M543*BN$5/100,0)&lt;-BN$6,-BN$6-SUM(BN$10:BN542),-ROUNDDOWN($M543*BN$5/100,0)),0)</f>
        <v>0</v>
      </c>
      <c r="BO543" s="38">
        <f>IF(AND(BO$7="○",$A543&gt;=BO$8,$A543&lt;=BO$9),IF(SUM(BO$10:BO542)-ROUNDDOWN($M543*BO$5/100,0)&lt;-BO$6,-BO$6-SUM(BO$10:BO542),-ROUNDDOWN($M543*BO$5/100,0)),0)</f>
        <v>0</v>
      </c>
      <c r="BP543" s="38">
        <f>IF(AND(BP$7="○",$A543&gt;=BP$8,$A543&lt;=BP$9),IF(SUM(BP$10:BP542)-ROUNDDOWN($M543*BP$5/100,0)&lt;-BP$6,-BP$6-SUM(BP$10:BP542),-ROUNDDOWN($M543*BP$5/100,0)),0)</f>
        <v>0</v>
      </c>
      <c r="BQ543" s="38">
        <f>IF(AND(BQ$7="○",$A543&gt;=BQ$8,$A543&lt;=BQ$9),IF(SUM(BQ$10:BQ542)-ROUNDDOWN($L543*BQ$5/100,0)&lt;-BQ$6,-BQ$6-SUM(BQ$10:BQ542),-ROUNDDOWN($L543*BQ$5/100,0)),0)</f>
        <v>0</v>
      </c>
      <c r="BR543" s="38">
        <f>IF(AND(BR$7="○",$A543&gt;=BR$8,$A543&lt;=BR$9),IF(SUM(BR$10:BR542)-ROUNDDOWN($M543*BR$5/100,0)&lt;-BR$6,-BR$6-SUM(BR$10:BR542),-ROUNDDOWN($M543*BR$5/100,0)),0)</f>
        <v>0</v>
      </c>
      <c r="BS543" s="38">
        <f>IF(AND(BS$7="○",$A543&gt;=BS$8,$A543&lt;=BS$9),IF(SUM(BS$10:BS542)-ROUNDDOWN($M543*BS$5/100,0)&lt;-BS$6,-BS$6-SUM(BS$10:BS542),-ROUNDDOWN($M543*BS$5/100,0)),0)</f>
        <v>0</v>
      </c>
      <c r="BT543" s="38">
        <f>IF(AND(BT$7="○",$A543&gt;=BT$8,$A543&lt;=BT$9),IF(SUM(BT$10:BT542)-ROUNDDOWN($M543*BT$5/100,0)&lt;-BT$6,-BT$6-SUM(BT$10:BT542),-ROUNDDOWN($M543*BT$5/100,0)),0)</f>
        <v>0</v>
      </c>
      <c r="BU543" s="38">
        <f>IF(AND(BU$7="○",$A543&gt;=BU$8,$A543&lt;=BU$9),IF(SUM(BU$10:BU542)-ROUNDDOWN($M543*BU$5/100,0)&lt;-BU$6,-BU$6-SUM(BU$10:BU542),-ROUNDDOWN($M543*BU$5/100,0)),0)</f>
        <v>0</v>
      </c>
      <c r="BV543" s="38">
        <f>IF(AND(BV$7="○",$A543&gt;=BV$8,$A543&lt;=BV$9),IF(SUM(BV$10:BV542)-ROUNDDOWN($M543*BV$5/100,0)&lt;-BV$6,-BV$6-SUM(BV$10:BV542),-ROUNDDOWN($M543*BV$5/100,0)),0)</f>
        <v>0</v>
      </c>
      <c r="BW543" s="38">
        <f>IF(AND(BW$7="○",$A543&gt;=BW$8,$A543&lt;=BW$9),IF(SUM(BW$10:BW542)-ROUNDDOWN($M543*BW$5/100,0)&lt;-BW$6,-BW$6-SUM(BW$10:BW542),-ROUNDDOWN($M543*BW$5/100,0)),0)</f>
        <v>0</v>
      </c>
      <c r="BX543" s="38">
        <f>IF(AND(T543="○",$A543&gt;=BX$8,$A543&lt;=BX$9),IF(SUM(BX$10:BX542)-ROUNDDOWN($K543*BX$5/100,0)&lt;-BX$6,-BX$6-SUM(BX$10:BX542),-ROUNDDOWN($K543*BX$5/100,0)),0)</f>
        <v>0</v>
      </c>
      <c r="BY543" s="38">
        <f>IF(AND(U543="○",$A543&gt;=BY$8,$A543&lt;=BY$9),IF(SUM(BY$10:BY542)-ROUNDDOWN($K543*BY$5/100,0)&lt;-BY$6,-BY$6-SUM(BY$10:BY542),-ROUNDDOWN($K543*BY$5/100,0)),0)</f>
        <v>0</v>
      </c>
      <c r="BZ543" s="38">
        <f>IF(AND(V543="○",$A543&gt;=BZ$8,$A543&lt;=BZ$9),IF(SUM(BZ$10:BZ542)-ROUNDDOWN($K543*BZ$5/100,0)&lt;-BZ$6,-BZ$6-SUM(BZ$10:BZ542),-ROUNDDOWN($K543*BZ$5/100,0)),0)</f>
        <v>0</v>
      </c>
      <c r="CA543" s="38">
        <f>IF(AND(W543="○",$A543&gt;=CA$8,$A543&lt;=CA$9),IF(SUM(CA$10:CA542)-ROUNDDOWN($K543*CA$5/100,0)&lt;-CA$6,-CA$6-SUM(CA$10:CA542),-ROUNDDOWN($K543*CA$5/100,0)),0)</f>
        <v>0</v>
      </c>
      <c r="CB543" s="38"/>
      <c r="CC543" s="38"/>
      <c r="CD543" s="38"/>
      <c r="CE543" s="38"/>
      <c r="CF543" s="38"/>
      <c r="CG543" s="65">
        <f t="shared" si="354"/>
        <v>0</v>
      </c>
      <c r="CH543" s="71">
        <f t="shared" si="355"/>
        <v>0</v>
      </c>
      <c r="CI543" s="1">
        <f t="shared" si="19"/>
        <v>0</v>
      </c>
      <c r="CJ543" s="1"/>
      <c r="CK543" s="72"/>
      <c r="CL543" s="72"/>
      <c r="CM543" s="2"/>
      <c r="CN543" s="2"/>
      <c r="CO543" s="73">
        <f t="shared" si="20"/>
        <v>0</v>
      </c>
      <c r="CP543" s="5">
        <f t="shared" si="21"/>
        <v>0</v>
      </c>
      <c r="CQ543" s="1"/>
      <c r="CR543" s="1">
        <f t="shared" si="22"/>
        <v>0</v>
      </c>
      <c r="CS543" s="1"/>
      <c r="CT543" s="1" t="e">
        <f>INDEX([2]マスタ!$A:$A,MATCH(D543,[2]マスタ!$C:$C,0))</f>
        <v>#N/A</v>
      </c>
      <c r="CU543" s="1" t="str">
        <f t="shared" ca="1" si="23"/>
        <v>20260620_0-0</v>
      </c>
    </row>
    <row r="544" spans="1:99" x14ac:dyDescent="0.4">
      <c r="A544" s="61"/>
      <c r="B544" s="62"/>
      <c r="C544" s="62"/>
      <c r="D544" s="62"/>
      <c r="E544" s="77"/>
      <c r="F544" s="62"/>
      <c r="G544" s="62">
        <v>1</v>
      </c>
      <c r="H544" s="64">
        <f t="shared" si="4"/>
        <v>0</v>
      </c>
      <c r="I544" s="64"/>
      <c r="J544" s="64"/>
      <c r="K544" s="65">
        <f>+ROUNDDOWN((H544+I544)/100,0)*100</f>
        <v>0</v>
      </c>
      <c r="L544" s="65">
        <f t="shared" si="6"/>
        <v>0</v>
      </c>
      <c r="M544" s="65">
        <f t="shared" si="7"/>
        <v>0</v>
      </c>
      <c r="N544" s="65">
        <f t="shared" si="8"/>
        <v>0</v>
      </c>
      <c r="O544" s="66" t="str">
        <f t="shared" si="9"/>
        <v>✕</v>
      </c>
      <c r="P544" s="67" t="str">
        <f t="shared" si="10"/>
        <v>○</v>
      </c>
      <c r="Q544" s="67" t="str">
        <f>+IF((TEXT($A544,"DD")+0)=1,"○","✕")</f>
        <v>✕</v>
      </c>
      <c r="R544" s="67" t="str">
        <f t="shared" si="12"/>
        <v>✕</v>
      </c>
      <c r="S544" s="68">
        <v>0</v>
      </c>
      <c r="T544" s="69" t="s">
        <v>85</v>
      </c>
      <c r="U544" s="69" t="s">
        <v>85</v>
      </c>
      <c r="V544" s="69" t="s">
        <v>85</v>
      </c>
      <c r="W544" s="69" t="s">
        <v>85</v>
      </c>
      <c r="X544" s="69" t="s">
        <v>84</v>
      </c>
      <c r="Y544" s="69" t="s">
        <v>85</v>
      </c>
      <c r="Z544" s="69" t="s">
        <v>85</v>
      </c>
      <c r="AA544" s="69" t="s">
        <v>85</v>
      </c>
      <c r="AB544" s="69" t="s">
        <v>85</v>
      </c>
      <c r="AC544" s="69" t="s">
        <v>85</v>
      </c>
      <c r="AD544" s="38" t="str">
        <f>+IF(ISERROR(VLOOKUP($B544,AD$10:AD543,1,0)),IF(AND($N544&gt;=1000,$A544&gt;=AO$8,$A544&lt;=AO$9),$B544,""),"")</f>
        <v/>
      </c>
      <c r="AE544" s="38" t="str">
        <f>+IF(ISERROR(VLOOKUP($B544,AE$10:AE543,1,0)),IF(AND($N544&gt;=1000,$A544&gt;=AP$8,$A544&lt;=AP$9),$B544,""),"")</f>
        <v/>
      </c>
      <c r="AF544" s="38" t="str">
        <f>+IF(ISERROR(VLOOKUP($B544,AF$10:AF543,1,0)),IF(AND($N544&gt;=1000,$A544&gt;=AQ$8,$A544&lt;=AQ$9),$B544,""),"")</f>
        <v/>
      </c>
      <c r="AG544" s="38" t="str">
        <f>+IF(ISERROR(VLOOKUP($B544,AG$10:AG543,1,0)),IF(AND($N544&gt;=1000,$A544&gt;=AR$8,$A544&lt;=AR$9),$B544,""),"")</f>
        <v/>
      </c>
      <c r="AH544" s="38"/>
      <c r="AI544" s="70">
        <v>0</v>
      </c>
      <c r="AJ544" s="38">
        <f>IF(AND(AJ$7="○",$A544&gt;=AJ$8,$A544&lt;=AJ$9),IF(SUM(AJ$10:AJ543)-ROUNDDOWN($K544*AJ$5/100,0)&lt;-AJ$6,-AJ$6-SUM(AJ$10:AJ543),-ROUNDDOWN($K544*AJ$5/100,0)),0)</f>
        <v>0</v>
      </c>
      <c r="AK544" s="38">
        <f>IF(AND(AK$7="○",$A544&gt;=AK$8,$A544&lt;=AK$9),IF(SUM(AK$10:AK543)-ROUNDDOWN($L544*AK$5/100,0)&lt;-AK$6,-AK$6-SUM(AK$10:AK543),-ROUNDDOWN($L544*AK$5/100,0)),0)</f>
        <v>0</v>
      </c>
      <c r="AL544" s="38">
        <f>IF(AND(AL$7="○",$A544&gt;=AL$8,$A544&lt;=AL$9),IF(SUM(AL$10:AL543)-ROUNDDOWN($N544*AL$5/100,0)&lt;-AL$6,-AL$6-SUM(AL$10:AL543),-ROUNDDOWN($N544*AL$5/100,0)),0)</f>
        <v>0</v>
      </c>
      <c r="AM544" s="38">
        <f>IF(AND(AM$7="○",$A544&gt;=AM$8,$A544&lt;=AM$9),IF(SUM(AM$10:AM543)-ROUNDDOWN($L544*AM$5/100,0)&lt;-AM$6,-AM$6-SUM(AM$10:AM543),-ROUNDDOWN($L544*AM$5/100,0)),0)</f>
        <v>0</v>
      </c>
      <c r="AN544" s="38">
        <f>IF(AND(AN$7="○",$A544&gt;=AN$8,$A544&lt;=AN$9),IF(SUM(AN$10:AN543)-ROUNDDOWN($M544*AN$5/100,0)&lt;-AN$6,-AN$6-SUM(AN$10:AN543),-ROUNDDOWN($M544*AN$5/100,0)),0)</f>
        <v>0</v>
      </c>
      <c r="AO544" s="38">
        <f>IF(AND($A544&gt;=AO$8,$A544&lt;=AO$9),IF(SUM(AO$10:AO543)-ROUNDDOWN($K544*AO$5/100,0)&lt;-AO$6,-AO$6-SUM(AO$10:AO543),-ROUNDDOWN($K544*AO$5/100,0)),0)</f>
        <v>0</v>
      </c>
      <c r="AP544" s="38">
        <f>IF(AND($A544&gt;=AP$8,$A544&lt;=AP$9),IF(SUM(AP$10:AP543)-ROUNDDOWN($K544*AP$5/100,0)&lt;-AP$6,-AP$6-SUM(AP$10:AP543),-ROUNDDOWN($K544*AP$5/100,0)),0)</f>
        <v>0</v>
      </c>
      <c r="AQ544" s="38">
        <f>IF(AND($A544&gt;=AQ$8,$A544&lt;=AQ$9),IF(SUM(AQ$10:AQ543)-ROUNDDOWN($K544*AQ$5/100,0)&lt;-AQ$6,-AQ$6-SUM(AQ$10:AQ543),-ROUNDDOWN($K544*AQ$5/100,0)),0)</f>
        <v>0</v>
      </c>
      <c r="AR544" s="38">
        <f>IF(AND($A544&gt;=AR$8,$A544&lt;=AR$9),IF(SUM(AR$10:AR543)-ROUNDDOWN($K544*AR$5/100,0)&lt;-AR$6,-AR$6-SUM(AR$10:AR543),-ROUNDDOWN($K544*AR$5/100,0)),0)</f>
        <v>0</v>
      </c>
      <c r="AS544" s="38">
        <f>IF(SUMIFS(AS$10:AS543,$A$10:$A543,$A544)-ROUNDDOWN($K544*$S544/100,0)&lt;-$S544*1000,-$S544*1000-SUMIFS(AS$10:AS543,$A$10:$A543,$A544),-ROUNDDOWN($K544*$S544/100,0))</f>
        <v>0</v>
      </c>
      <c r="AT544" s="38">
        <f>IF(AND(X544="○",$A544&gt;=AT$8,$A544&lt;=AT$9,K544&gt;=3980),IF(SUM(AT$10:AT543)-ROUNDDOWN($K544*AT$5/100,0)&lt;-AT$6,-AT$6-SUM(AT$10:AT543),-ROUNDDOWN($K544*AT$5/100,0)),0)</f>
        <v>0</v>
      </c>
      <c r="AU544" s="38">
        <f>IF(O544="○",IF(SUM(AU$10:AU543)-ROUNDDOWN($K544*AU$5/100,0)&lt;-AU$6,-AU$6-SUM(AU$10:AU543),-ROUNDDOWN($K544*AU$5/100,0)),0)</f>
        <v>0</v>
      </c>
      <c r="AV544" s="38">
        <f>IF(P544="○",IF(SUM(AV$10:AV543)-ROUNDDOWN($K544*AV$5/100,0)&lt;-AV$6,-AV$6-SUM(AV$10:AV543),-ROUNDDOWN($K544*AV$5/100,0)),0)</f>
        <v>0</v>
      </c>
      <c r="AW544" s="38">
        <f>IF(Q544="○",IF(SUM(AW$10:AW543)-ROUNDDOWN($K544*AW$5/100,0)&lt;-AW$6,-AW$6-SUM(AW$10:AW543),-ROUNDDOWN($K544*AW$5/100,0)),0)</f>
        <v>0</v>
      </c>
      <c r="AX544" s="38">
        <f>IF(R544="○",IF(SUM(AX$10:AX543)-ROUNDDOWN($K544*AX$5/100,0)&lt;-AX$6,-AX$6-SUM(AX$10:AX543),-ROUNDDOWN($K544*AX$5/100,0)),0)</f>
        <v>0</v>
      </c>
      <c r="AY544" s="70">
        <v>0</v>
      </c>
      <c r="AZ544" s="65">
        <f t="shared" si="348"/>
        <v>0</v>
      </c>
      <c r="BA544" s="65">
        <f t="shared" si="349"/>
        <v>0</v>
      </c>
      <c r="BB544" s="70"/>
      <c r="BC544" s="65">
        <f t="shared" si="350"/>
        <v>0</v>
      </c>
      <c r="BD544" s="70">
        <v>0</v>
      </c>
      <c r="BE544" s="65">
        <f t="shared" si="351"/>
        <v>0</v>
      </c>
      <c r="BF544" s="70">
        <v>0</v>
      </c>
      <c r="BG544" s="65">
        <f t="shared" si="352"/>
        <v>0</v>
      </c>
      <c r="BH544" s="70">
        <v>0</v>
      </c>
      <c r="BI544" s="65">
        <f t="shared" si="353"/>
        <v>0</v>
      </c>
      <c r="BJ544" s="38">
        <f>IF(AND(BJ$7="○",$A544&gt;=BJ$8,$A544&lt;=BJ$9),IF(SUM(BJ$10:BJ543)-ROUNDDOWN($M544*BJ$5/100,0)&lt;-BJ$6,-BJ$6-SUM(BJ$10:BJ543),-ROUNDDOWN($M544*BJ$5/100,0)),0)</f>
        <v>0</v>
      </c>
      <c r="BK544" s="38">
        <f>IF(AND(BK$7="○",$A544&gt;=BK$8,$A544&lt;=BK$9),IF(SUM(BK$10:BK543)-ROUNDDOWN($L544*BK$5/100,0)&lt;-BK$6,-BK$6-SUM(BK$10:BK543),-ROUNDDOWN($L544*BK$5/100,0)),0)</f>
        <v>0</v>
      </c>
      <c r="BL544" s="38">
        <f>IF(AND(BL$7="○",$A544&gt;=BL$8,$A544&lt;=BL$9),IF(SUM(BL$10:BL543)-ROUNDDOWN($L544*BL$5/100,0)&lt;-BL$6,-BL$6-SUM(BL$10:BL543),-ROUNDDOWN($L544*BL$5/100,0)),0)</f>
        <v>0</v>
      </c>
      <c r="BM544" s="38">
        <f>IF(AND(BM$7="○",$A544&gt;=BM$8,$A544&lt;=BM$9),IF(SUM(BM$10:BM543)-ROUNDDOWN($M544*BM$5/100,0)&lt;-BM$6,-BM$6-SUM(BM$10:BM543),-ROUNDDOWN($M544*BM$5/100,0)),0)</f>
        <v>0</v>
      </c>
      <c r="BN544" s="38">
        <f>IF(AND(BN$7="○",$A544&gt;=BN$8,$A544&lt;=BN$9),IF(SUM(BN$10:BN543)-ROUNDDOWN($M544*BN$5/100,0)&lt;-BN$6,-BN$6-SUM(BN$10:BN543),-ROUNDDOWN($M544*BN$5/100,0)),0)</f>
        <v>0</v>
      </c>
      <c r="BO544" s="38">
        <f>IF(AND(BO$7="○",$A544&gt;=BO$8,$A544&lt;=BO$9),IF(SUM(BO$10:BO543)-ROUNDDOWN($M544*BO$5/100,0)&lt;-BO$6,-BO$6-SUM(BO$10:BO543),-ROUNDDOWN($M544*BO$5/100,0)),0)</f>
        <v>0</v>
      </c>
      <c r="BP544" s="38">
        <f>IF(AND(BP$7="○",$A544&gt;=BP$8,$A544&lt;=BP$9),IF(SUM(BP$10:BP543)-ROUNDDOWN($M544*BP$5/100,0)&lt;-BP$6,-BP$6-SUM(BP$10:BP543),-ROUNDDOWN($M544*BP$5/100,0)),0)</f>
        <v>0</v>
      </c>
      <c r="BQ544" s="38">
        <f>IF(AND(BQ$7="○",$A544&gt;=BQ$8,$A544&lt;=BQ$9),IF(SUM(BQ$10:BQ543)-ROUNDDOWN($L544*BQ$5/100,0)&lt;-BQ$6,-BQ$6-SUM(BQ$10:BQ543),-ROUNDDOWN($L544*BQ$5/100,0)),0)</f>
        <v>0</v>
      </c>
      <c r="BR544" s="38">
        <f>IF(AND(BR$7="○",$A544&gt;=BR$8,$A544&lt;=BR$9),IF(SUM(BR$10:BR543)-ROUNDDOWN($M544*BR$5/100,0)&lt;-BR$6,-BR$6-SUM(BR$10:BR543),-ROUNDDOWN($M544*BR$5/100,0)),0)</f>
        <v>0</v>
      </c>
      <c r="BS544" s="38">
        <f>IF(AND(BS$7="○",$A544&gt;=BS$8,$A544&lt;=BS$9),IF(SUM(BS$10:BS543)-ROUNDDOWN($M544*BS$5/100,0)&lt;-BS$6,-BS$6-SUM(BS$10:BS543),-ROUNDDOWN($M544*BS$5/100,0)),0)</f>
        <v>0</v>
      </c>
      <c r="BT544" s="38">
        <f>IF(AND(BT$7="○",$A544&gt;=BT$8,$A544&lt;=BT$9),IF(SUM(BT$10:BT543)-ROUNDDOWN($M544*BT$5/100,0)&lt;-BT$6,-BT$6-SUM(BT$10:BT543),-ROUNDDOWN($M544*BT$5/100,0)),0)</f>
        <v>0</v>
      </c>
      <c r="BU544" s="38">
        <f>IF(AND(BU$7="○",$A544&gt;=BU$8,$A544&lt;=BU$9),IF(SUM(BU$10:BU543)-ROUNDDOWN($M544*BU$5/100,0)&lt;-BU$6,-BU$6-SUM(BU$10:BU543),-ROUNDDOWN($M544*BU$5/100,0)),0)</f>
        <v>0</v>
      </c>
      <c r="BV544" s="38">
        <f>IF(AND(BV$7="○",$A544&gt;=BV$8,$A544&lt;=BV$9),IF(SUM(BV$10:BV543)-ROUNDDOWN($M544*BV$5/100,0)&lt;-BV$6,-BV$6-SUM(BV$10:BV543),-ROUNDDOWN($M544*BV$5/100,0)),0)</f>
        <v>0</v>
      </c>
      <c r="BW544" s="38">
        <f>IF(AND(BW$7="○",$A544&gt;=BW$8,$A544&lt;=BW$9),IF(SUM(BW$10:BW543)-ROUNDDOWN($M544*BW$5/100,0)&lt;-BW$6,-BW$6-SUM(BW$10:BW543),-ROUNDDOWN($M544*BW$5/100,0)),0)</f>
        <v>0</v>
      </c>
      <c r="BX544" s="38">
        <f>IF(AND(T544="○",$A544&gt;=BX$8,$A544&lt;=BX$9),IF(SUM(BX$10:BX543)-ROUNDDOWN($K544*BX$5/100,0)&lt;-BX$6,-BX$6-SUM(BX$10:BX543),-ROUNDDOWN($K544*BX$5/100,0)),0)</f>
        <v>0</v>
      </c>
      <c r="BY544" s="38">
        <f>IF(AND(U544="○",$A544&gt;=BY$8,$A544&lt;=BY$9),IF(SUM(BY$10:BY543)-ROUNDDOWN($K544*BY$5/100,0)&lt;-BY$6,-BY$6-SUM(BY$10:BY543),-ROUNDDOWN($K544*BY$5/100,0)),0)</f>
        <v>0</v>
      </c>
      <c r="BZ544" s="38">
        <f>IF(AND(V544="○",$A544&gt;=BZ$8,$A544&lt;=BZ$9),IF(SUM(BZ$10:BZ543)-ROUNDDOWN($K544*BZ$5/100,0)&lt;-BZ$6,-BZ$6-SUM(BZ$10:BZ543),-ROUNDDOWN($K544*BZ$5/100,0)),0)</f>
        <v>0</v>
      </c>
      <c r="CA544" s="38">
        <f>IF(AND(W544="○",$A544&gt;=CA$8,$A544&lt;=CA$9),IF(SUM(CA$10:CA543)-ROUNDDOWN($K544*CA$5/100,0)&lt;-CA$6,-CA$6-SUM(CA$10:CA543),-ROUNDDOWN($K544*CA$5/100,0)),0)</f>
        <v>0</v>
      </c>
      <c r="CB544" s="38"/>
      <c r="CC544" s="38"/>
      <c r="CD544" s="38"/>
      <c r="CE544" s="38"/>
      <c r="CF544" s="38"/>
      <c r="CG544" s="65">
        <f t="shared" si="354"/>
        <v>0</v>
      </c>
      <c r="CH544" s="71">
        <f t="shared" si="355"/>
        <v>0</v>
      </c>
      <c r="CI544" s="1">
        <f t="shared" si="19"/>
        <v>0</v>
      </c>
      <c r="CJ544" s="1"/>
      <c r="CK544" s="79"/>
      <c r="CL544" s="79"/>
      <c r="CM544" s="2"/>
      <c r="CN544" s="2"/>
      <c r="CO544" s="73">
        <f t="shared" si="20"/>
        <v>0</v>
      </c>
      <c r="CP544" s="5">
        <f t="shared" si="21"/>
        <v>0</v>
      </c>
      <c r="CQ544" s="1"/>
      <c r="CR544" s="1">
        <f t="shared" si="22"/>
        <v>0</v>
      </c>
      <c r="CS544" s="1"/>
      <c r="CT544" s="1" t="e">
        <f>INDEX([2]マスタ!$A:$A,MATCH(D544,[2]マスタ!$C:$C,0))</f>
        <v>#N/A</v>
      </c>
      <c r="CU544" s="1" t="str">
        <f t="shared" ca="1" si="23"/>
        <v>20260620_0-0</v>
      </c>
    </row>
    <row r="545" spans="1:99" x14ac:dyDescent="0.4">
      <c r="A545" s="61"/>
      <c r="B545" s="62"/>
      <c r="C545" s="62"/>
      <c r="D545" s="62"/>
      <c r="E545" s="63"/>
      <c r="F545" s="62"/>
      <c r="G545" s="62">
        <v>1</v>
      </c>
      <c r="H545" s="64">
        <f t="shared" si="4"/>
        <v>0</v>
      </c>
      <c r="I545" s="64"/>
      <c r="J545" s="64"/>
      <c r="K545" s="65">
        <f>+ROUNDDOWN((H545+I545)/100,0)*100</f>
        <v>0</v>
      </c>
      <c r="L545" s="65">
        <f t="shared" si="6"/>
        <v>0</v>
      </c>
      <c r="M545" s="65">
        <f t="shared" si="7"/>
        <v>0</v>
      </c>
      <c r="N545" s="65">
        <f t="shared" si="8"/>
        <v>0</v>
      </c>
      <c r="O545" s="66" t="str">
        <f t="shared" si="9"/>
        <v>✕</v>
      </c>
      <c r="P545" s="67" t="str">
        <f t="shared" si="10"/>
        <v>○</v>
      </c>
      <c r="Q545" s="67" t="str">
        <f>+IF((TEXT($A545,"DD")+0)=1,"○","✕")</f>
        <v>✕</v>
      </c>
      <c r="R545" s="67" t="str">
        <f t="shared" si="12"/>
        <v>✕</v>
      </c>
      <c r="S545" s="68">
        <v>0</v>
      </c>
      <c r="T545" s="69" t="s">
        <v>85</v>
      </c>
      <c r="U545" s="69" t="s">
        <v>85</v>
      </c>
      <c r="V545" s="69" t="s">
        <v>85</v>
      </c>
      <c r="W545" s="69" t="s">
        <v>85</v>
      </c>
      <c r="X545" s="69" t="s">
        <v>84</v>
      </c>
      <c r="Y545" s="69" t="s">
        <v>85</v>
      </c>
      <c r="Z545" s="69" t="s">
        <v>85</v>
      </c>
      <c r="AA545" s="69" t="s">
        <v>85</v>
      </c>
      <c r="AB545" s="69" t="s">
        <v>85</v>
      </c>
      <c r="AC545" s="69" t="s">
        <v>85</v>
      </c>
      <c r="AD545" s="38" t="str">
        <f>+IF(ISERROR(VLOOKUP($B545,AD$10:AD544,1,0)),IF(AND($N545&gt;=1000,$A545&gt;=AO$8,$A545&lt;=AO$9),$B545,""),"")</f>
        <v/>
      </c>
      <c r="AE545" s="38" t="str">
        <f>+IF(ISERROR(VLOOKUP($B545,AE$10:AE544,1,0)),IF(AND($N545&gt;=1000,$A545&gt;=AP$8,$A545&lt;=AP$9),$B545,""),"")</f>
        <v/>
      </c>
      <c r="AF545" s="38" t="str">
        <f>+IF(ISERROR(VLOOKUP($B545,AF$10:AF544,1,0)),IF(AND($N545&gt;=1000,$A545&gt;=AQ$8,$A545&lt;=AQ$9),$B545,""),"")</f>
        <v/>
      </c>
      <c r="AG545" s="38" t="str">
        <f>+IF(ISERROR(VLOOKUP($B545,AG$10:AG544,1,0)),IF(AND($N545&gt;=1000,$A545&gt;=AR$8,$A545&lt;=AR$9),$B545,""),"")</f>
        <v/>
      </c>
      <c r="AH545" s="38"/>
      <c r="AI545" s="70">
        <v>0</v>
      </c>
      <c r="AJ545" s="38">
        <f>IF(AND(AJ$7="○",$A545&gt;=AJ$8,$A545&lt;=AJ$9),IF(SUM(AJ$10:AJ544)-ROUNDDOWN($K545*AJ$5/100,0)&lt;-AJ$6,-AJ$6-SUM(AJ$10:AJ544),-ROUNDDOWN($K545*AJ$5/100,0)),0)</f>
        <v>0</v>
      </c>
      <c r="AK545" s="38">
        <f>IF(AND(AK$7="○",$A545&gt;=AK$8,$A545&lt;=AK$9),IF(SUM(AK$10:AK544)-ROUNDDOWN($L545*AK$5/100,0)&lt;-AK$6,-AK$6-SUM(AK$10:AK544),-ROUNDDOWN($L545*AK$5/100,0)),0)</f>
        <v>0</v>
      </c>
      <c r="AL545" s="38">
        <f>IF(AND(AL$7="○",$A545&gt;=AL$8,$A545&lt;=AL$9),IF(SUM(AL$10:AL544)-ROUNDDOWN($N545*AL$5/100,0)&lt;-AL$6,-AL$6-SUM(AL$10:AL544),-ROUNDDOWN($N545*AL$5/100,0)),0)</f>
        <v>0</v>
      </c>
      <c r="AM545" s="38">
        <f>IF(AND(AM$7="○",$A545&gt;=AM$8,$A545&lt;=AM$9),IF(SUM(AM$10:AM544)-ROUNDDOWN($L545*AM$5/100,0)&lt;-AM$6,-AM$6-SUM(AM$10:AM544),-ROUNDDOWN($L545*AM$5/100,0)),0)</f>
        <v>0</v>
      </c>
      <c r="AN545" s="38">
        <f>IF(AND(AN$7="○",$A545&gt;=AN$8,$A545&lt;=AN$9),IF(SUM(AN$10:AN544)-ROUNDDOWN($M545*AN$5/100,0)&lt;-AN$6,-AN$6-SUM(AN$10:AN544),-ROUNDDOWN($M545*AN$5/100,0)),0)</f>
        <v>0</v>
      </c>
      <c r="AO545" s="38">
        <f>IF(AND($A545&gt;=AO$8,$A545&lt;=AO$9),IF(SUM(AO$10:AO544)-ROUNDDOWN($K545*AO$5/100,0)&lt;-AO$6,-AO$6-SUM(AO$10:AO544),-ROUNDDOWN($K545*AO$5/100,0)),0)</f>
        <v>0</v>
      </c>
      <c r="AP545" s="38">
        <f>IF(AND($A545&gt;=AP$8,$A545&lt;=AP$9),IF(SUM(AP$10:AP544)-ROUNDDOWN($K545*AP$5/100,0)&lt;-AP$6,-AP$6-SUM(AP$10:AP544),-ROUNDDOWN($K545*AP$5/100,0)),0)</f>
        <v>0</v>
      </c>
      <c r="AQ545" s="38">
        <f>IF(AND($A545&gt;=AQ$8,$A545&lt;=AQ$9),IF(SUM(AQ$10:AQ544)-ROUNDDOWN($K545*AQ$5/100,0)&lt;-AQ$6,-AQ$6-SUM(AQ$10:AQ544),-ROUNDDOWN($K545*AQ$5/100,0)),0)</f>
        <v>0</v>
      </c>
      <c r="AR545" s="38">
        <f>IF(AND($A545&gt;=AR$8,$A545&lt;=AR$9),IF(SUM(AR$10:AR544)-ROUNDDOWN($K545*AR$5/100,0)&lt;-AR$6,-AR$6-SUM(AR$10:AR544),-ROUNDDOWN($K545*AR$5/100,0)),0)</f>
        <v>0</v>
      </c>
      <c r="AS545" s="38">
        <f>IF(SUMIFS(AS$10:AS544,$A$10:$A544,$A545)-ROUNDDOWN($K545*$S545/100,0)&lt;-$S545*1000,-$S545*1000-SUMIFS(AS$10:AS544,$A$10:$A544,$A545),-ROUNDDOWN($K545*$S545/100,0))</f>
        <v>0</v>
      </c>
      <c r="AT545" s="38">
        <f>IF(AND(X545="○",$A545&gt;=AT$8,$A545&lt;=AT$9,K545&gt;=3980),IF(SUM(AT$10:AT544)-ROUNDDOWN($K545*AT$5/100,0)&lt;-AT$6,-AT$6-SUM(AT$10:AT544),-ROUNDDOWN($K545*AT$5/100,0)),0)</f>
        <v>0</v>
      </c>
      <c r="AU545" s="38">
        <f>IF(O545="○",IF(SUM(AU$10:AU544)-ROUNDDOWN($K545*AU$5/100,0)&lt;-AU$6,-AU$6-SUM(AU$10:AU544),-ROUNDDOWN($K545*AU$5/100,0)),0)</f>
        <v>0</v>
      </c>
      <c r="AV545" s="38">
        <f>IF(P545="○",IF(SUM(AV$10:AV544)-ROUNDDOWN($K545*AV$5/100,0)&lt;-AV$6,-AV$6-SUM(AV$10:AV544),-ROUNDDOWN($K545*AV$5/100,0)),0)</f>
        <v>0</v>
      </c>
      <c r="AW545" s="38">
        <f>IF(Q545="○",IF(SUM(AW$10:AW544)-ROUNDDOWN($K545*AW$5/100,0)&lt;-AW$6,-AW$6-SUM(AW$10:AW544),-ROUNDDOWN($K545*AW$5/100,0)),0)</f>
        <v>0</v>
      </c>
      <c r="AX545" s="38">
        <f>IF(R545="○",IF(SUM(AX$10:AX544)-ROUNDDOWN($K545*AX$5/100,0)&lt;-AX$6,-AX$6-SUM(AX$10:AX544),-ROUNDDOWN($K545*AX$5/100,0)),0)</f>
        <v>0</v>
      </c>
      <c r="AY545" s="70">
        <v>0</v>
      </c>
      <c r="AZ545" s="65">
        <f t="shared" si="348"/>
        <v>0</v>
      </c>
      <c r="BA545" s="65">
        <f t="shared" si="349"/>
        <v>0</v>
      </c>
      <c r="BB545" s="70"/>
      <c r="BC545" s="65">
        <f t="shared" si="350"/>
        <v>0</v>
      </c>
      <c r="BD545" s="70">
        <v>0</v>
      </c>
      <c r="BE545" s="65">
        <f t="shared" si="351"/>
        <v>0</v>
      </c>
      <c r="BF545" s="70">
        <v>0</v>
      </c>
      <c r="BG545" s="65">
        <f t="shared" si="352"/>
        <v>0</v>
      </c>
      <c r="BH545" s="70">
        <v>0</v>
      </c>
      <c r="BI545" s="65">
        <f t="shared" si="353"/>
        <v>0</v>
      </c>
      <c r="BJ545" s="38">
        <f>IF(AND(BJ$7="○",$A545&gt;=BJ$8,$A545&lt;=BJ$9),IF(SUM(BJ$10:BJ544)-ROUNDDOWN($M545*BJ$5/100,0)&lt;-BJ$6,-BJ$6-SUM(BJ$10:BJ544),-ROUNDDOWN($M545*BJ$5/100,0)),0)</f>
        <v>0</v>
      </c>
      <c r="BK545" s="38">
        <f>IF(AND(BK$7="○",$A545&gt;=BK$8,$A545&lt;=BK$9),IF(SUM(BK$10:BK544)-ROUNDDOWN($L545*BK$5/100,0)&lt;-BK$6,-BK$6-SUM(BK$10:BK544),-ROUNDDOWN($L545*BK$5/100,0)),0)</f>
        <v>0</v>
      </c>
      <c r="BL545" s="38">
        <f>IF(AND(BL$7="○",$A545&gt;=BL$8,$A545&lt;=BL$9),IF(SUM(BL$10:BL544)-ROUNDDOWN($L545*BL$5/100,0)&lt;-BL$6,-BL$6-SUM(BL$10:BL544),-ROUNDDOWN($L545*BL$5/100,0)),0)</f>
        <v>0</v>
      </c>
      <c r="BM545" s="38">
        <f>IF(AND(BM$7="○",$A545&gt;=BM$8,$A545&lt;=BM$9),IF(SUM(BM$10:BM544)-ROUNDDOWN($M545*BM$5/100,0)&lt;-BM$6,-BM$6-SUM(BM$10:BM544),-ROUNDDOWN($M545*BM$5/100,0)),0)</f>
        <v>0</v>
      </c>
      <c r="BN545" s="38">
        <f>IF(AND(BN$7="○",$A545&gt;=BN$8,$A545&lt;=BN$9),IF(SUM(BN$10:BN544)-ROUNDDOWN($M545*BN$5/100,0)&lt;-BN$6,-BN$6-SUM(BN$10:BN544),-ROUNDDOWN($M545*BN$5/100,0)),0)</f>
        <v>0</v>
      </c>
      <c r="BO545" s="38">
        <f>IF(AND(BO$7="○",$A545&gt;=BO$8,$A545&lt;=BO$9),IF(SUM(BO$10:BO544)-ROUNDDOWN($M545*BO$5/100,0)&lt;-BO$6,-BO$6-SUM(BO$10:BO544),-ROUNDDOWN($M545*BO$5/100,0)),0)</f>
        <v>0</v>
      </c>
      <c r="BP545" s="38">
        <f>IF(AND(BP$7="○",$A545&gt;=BP$8,$A545&lt;=BP$9),IF(SUM(BP$10:BP544)-ROUNDDOWN($M545*BP$5/100,0)&lt;-BP$6,-BP$6-SUM(BP$10:BP544),-ROUNDDOWN($M545*BP$5/100,0)),0)</f>
        <v>0</v>
      </c>
      <c r="BQ545" s="38">
        <f>IF(AND(BQ$7="○",$A545&gt;=BQ$8,$A545&lt;=BQ$9),IF(SUM(BQ$10:BQ544)-ROUNDDOWN($L545*BQ$5/100,0)&lt;-BQ$6,-BQ$6-SUM(BQ$10:BQ544),-ROUNDDOWN($L545*BQ$5/100,0)),0)</f>
        <v>0</v>
      </c>
      <c r="BR545" s="38">
        <f>IF(AND(BR$7="○",$A545&gt;=BR$8,$A545&lt;=BR$9),IF(SUM(BR$10:BR544)-ROUNDDOWN($M545*BR$5/100,0)&lt;-BR$6,-BR$6-SUM(BR$10:BR544),-ROUNDDOWN($M545*BR$5/100,0)),0)</f>
        <v>0</v>
      </c>
      <c r="BS545" s="38">
        <f>IF(AND(BS$7="○",$A545&gt;=BS$8,$A545&lt;=BS$9),IF(SUM(BS$10:BS544)-ROUNDDOWN($M545*BS$5/100,0)&lt;-BS$6,-BS$6-SUM(BS$10:BS544),-ROUNDDOWN($M545*BS$5/100,0)),0)</f>
        <v>0</v>
      </c>
      <c r="BT545" s="38">
        <f>IF(AND(BT$7="○",$A545&gt;=BT$8,$A545&lt;=BT$9),IF(SUM(BT$10:BT544)-ROUNDDOWN($M545*BT$5/100,0)&lt;-BT$6,-BT$6-SUM(BT$10:BT544),-ROUNDDOWN($M545*BT$5/100,0)),0)</f>
        <v>0</v>
      </c>
      <c r="BU545" s="38">
        <f>IF(AND(BU$7="○",$A545&gt;=BU$8,$A545&lt;=BU$9),IF(SUM(BU$10:BU544)-ROUNDDOWN($M545*BU$5/100,0)&lt;-BU$6,-BU$6-SUM(BU$10:BU544),-ROUNDDOWN($M545*BU$5/100,0)),0)</f>
        <v>0</v>
      </c>
      <c r="BV545" s="38">
        <f>IF(AND(BV$7="○",$A545&gt;=BV$8,$A545&lt;=BV$9),IF(SUM(BV$10:BV544)-ROUNDDOWN($M545*BV$5/100,0)&lt;-BV$6,-BV$6-SUM(BV$10:BV544),-ROUNDDOWN($M545*BV$5/100,0)),0)</f>
        <v>0</v>
      </c>
      <c r="BW545" s="38">
        <f>IF(AND(BW$7="○",$A545&gt;=BW$8,$A545&lt;=BW$9),IF(SUM(BW$10:BW544)-ROUNDDOWN($M545*BW$5/100,0)&lt;-BW$6,-BW$6-SUM(BW$10:BW544),-ROUNDDOWN($M545*BW$5/100,0)),0)</f>
        <v>0</v>
      </c>
      <c r="BX545" s="38">
        <f>IF(AND(T545="○",$A545&gt;=BX$8,$A545&lt;=BX$9),IF(SUM(BX$10:BX544)-ROUNDDOWN($K545*BX$5/100,0)&lt;-BX$6,-BX$6-SUM(BX$10:BX544),-ROUNDDOWN($K545*BX$5/100,0)),0)</f>
        <v>0</v>
      </c>
      <c r="BY545" s="38">
        <f>IF(AND(U545="○",$A545&gt;=BY$8,$A545&lt;=BY$9),IF(SUM(BY$10:BY544)-ROUNDDOWN($K545*BY$5/100,0)&lt;-BY$6,-BY$6-SUM(BY$10:BY544),-ROUNDDOWN($K545*BY$5/100,0)),0)</f>
        <v>0</v>
      </c>
      <c r="BZ545" s="38">
        <f>IF(AND(V545="○",$A545&gt;=BZ$8,$A545&lt;=BZ$9),IF(SUM(BZ$10:BZ544)-ROUNDDOWN($K545*BZ$5/100,0)&lt;-BZ$6,-BZ$6-SUM(BZ$10:BZ544),-ROUNDDOWN($K545*BZ$5/100,0)),0)</f>
        <v>0</v>
      </c>
      <c r="CA545" s="38">
        <f>IF(AND(W545="○",$A545&gt;=CA$8,$A545&lt;=CA$9),IF(SUM(CA$10:CA544)-ROUNDDOWN($K545*CA$5/100,0)&lt;-CA$6,-CA$6-SUM(CA$10:CA544),-ROUNDDOWN($K545*CA$5/100,0)),0)</f>
        <v>0</v>
      </c>
      <c r="CB545" s="38"/>
      <c r="CC545" s="38"/>
      <c r="CD545" s="38"/>
      <c r="CE545" s="38"/>
      <c r="CF545" s="38"/>
      <c r="CG545" s="65">
        <f t="shared" si="354"/>
        <v>0</v>
      </c>
      <c r="CH545" s="71">
        <f t="shared" si="355"/>
        <v>0</v>
      </c>
      <c r="CI545" s="1">
        <f t="shared" si="19"/>
        <v>0</v>
      </c>
      <c r="CJ545" s="1"/>
      <c r="CK545" s="79"/>
      <c r="CL545" s="79"/>
      <c r="CM545" s="2"/>
      <c r="CN545" s="2"/>
      <c r="CO545" s="73">
        <f t="shared" si="20"/>
        <v>0</v>
      </c>
      <c r="CP545" s="5">
        <f t="shared" si="21"/>
        <v>0</v>
      </c>
      <c r="CQ545" s="1"/>
      <c r="CR545" s="1">
        <f t="shared" si="22"/>
        <v>0</v>
      </c>
      <c r="CS545" s="1"/>
      <c r="CT545" s="1" t="e">
        <f>INDEX([2]マスタ!$A:$A,MATCH(D545,[2]マスタ!$C:$C,0))</f>
        <v>#N/A</v>
      </c>
      <c r="CU545" s="1" t="str">
        <f t="shared" ca="1" si="23"/>
        <v>20260620_0-0</v>
      </c>
    </row>
    <row r="546" spans="1:99" x14ac:dyDescent="0.4">
      <c r="A546" s="61"/>
      <c r="B546" s="62"/>
      <c r="C546" s="62"/>
      <c r="D546" s="62"/>
      <c r="E546" s="63"/>
      <c r="F546" s="62"/>
      <c r="G546" s="62">
        <v>1</v>
      </c>
      <c r="H546" s="64">
        <f t="shared" si="4"/>
        <v>0</v>
      </c>
      <c r="I546" s="64"/>
      <c r="J546" s="64"/>
      <c r="K546" s="65">
        <f t="shared" ref="K546:K555" si="358">+ROUNDDOWN((H546+I546+J546)/100,0)*100</f>
        <v>0</v>
      </c>
      <c r="L546" s="65">
        <f t="shared" si="6"/>
        <v>0</v>
      </c>
      <c r="M546" s="65">
        <f t="shared" si="7"/>
        <v>0</v>
      </c>
      <c r="N546" s="65">
        <f t="shared" si="8"/>
        <v>0</v>
      </c>
      <c r="O546" s="66" t="str">
        <f t="shared" si="9"/>
        <v>✕</v>
      </c>
      <c r="P546" s="67" t="str">
        <f t="shared" si="10"/>
        <v>○</v>
      </c>
      <c r="Q546" s="67" t="str">
        <f t="shared" ref="Q546:Q555" si="359">+IF((TEXT(A546,"DD")+0)=1,"○","✕")</f>
        <v>✕</v>
      </c>
      <c r="R546" s="67" t="str">
        <f t="shared" si="12"/>
        <v>✕</v>
      </c>
      <c r="S546" s="68">
        <v>0</v>
      </c>
      <c r="T546" s="69" t="s">
        <v>85</v>
      </c>
      <c r="U546" s="69" t="s">
        <v>85</v>
      </c>
      <c r="V546" s="69" t="s">
        <v>85</v>
      </c>
      <c r="W546" s="69" t="s">
        <v>85</v>
      </c>
      <c r="X546" s="69" t="s">
        <v>84</v>
      </c>
      <c r="Y546" s="69" t="s">
        <v>85</v>
      </c>
      <c r="Z546" s="69" t="s">
        <v>85</v>
      </c>
      <c r="AA546" s="69" t="s">
        <v>85</v>
      </c>
      <c r="AB546" s="69" t="s">
        <v>85</v>
      </c>
      <c r="AC546" s="69" t="s">
        <v>85</v>
      </c>
      <c r="AD546" s="38" t="str">
        <f>+IF(ISERROR(VLOOKUP($B546,AD$10:AD545,1,0)),IF(AND($N546&gt;=1000,$A546&gt;=AO$8,$A546&lt;=AO$9),$B546,""),"")</f>
        <v/>
      </c>
      <c r="AE546" s="38" t="str">
        <f>+IF(ISERROR(VLOOKUP($B546,AE$10:AE545,1,0)),IF(AND($N546&gt;=1000,$A546&gt;=AP$8,$A546&lt;=AP$9),$B546,""),"")</f>
        <v/>
      </c>
      <c r="AF546" s="38" t="str">
        <f>+IF(ISERROR(VLOOKUP($B546,AF$10:AF545,1,0)),IF(AND($N546&gt;=1000,$A546&gt;=AQ$8,$A546&lt;=AQ$9),$B546,""),"")</f>
        <v/>
      </c>
      <c r="AG546" s="38" t="str">
        <f>+IF(ISERROR(VLOOKUP($B546,AG$10:AG545,1,0)),IF(AND($N546&gt;=1000,$A546&gt;=AR$8,$A546&lt;=AR$9),$B546,""),"")</f>
        <v/>
      </c>
      <c r="AH546" s="38"/>
      <c r="AI546" s="70">
        <v>0</v>
      </c>
      <c r="AJ546" s="38">
        <f>IF(AND(AJ$7="○",$A546&gt;=AJ$8,$A546&lt;=AJ$9),IF(SUM(AJ$10:AJ545)-ROUNDDOWN($K546*AJ$5/100,0)&lt;-AJ$6,-AJ$6-SUM(AJ$10:AJ545),-ROUNDDOWN($K546*AJ$5/100,0)),0)</f>
        <v>0</v>
      </c>
      <c r="AK546" s="38">
        <f>IF(AND(AK$7="○",$A546&gt;=AK$8,$A546&lt;=AK$9),IF(SUM(AK$10:AK545)-ROUNDDOWN($L546*AK$5/100,0)&lt;-AK$6,-AK$6-SUM(AK$10:AK545),-ROUNDDOWN($L546*AK$5/100,0)),0)</f>
        <v>0</v>
      </c>
      <c r="AL546" s="38">
        <f>IF(AND(AL$7="○",$A546&gt;=AL$8,$A546&lt;=AL$9),IF(SUM(AL$10:AL545)-ROUNDDOWN($N546*AL$5/100,0)&lt;-AL$6,-AL$6-SUM(AL$10:AL545),-ROUNDDOWN($N546*AL$5/100,0)),0)</f>
        <v>0</v>
      </c>
      <c r="AM546" s="38">
        <f>IF(AND(AM$7="○",$A546&gt;=AM$8,$A546&lt;=AM$9),IF(SUM(AM$10:AM545)-ROUNDDOWN($L546*AM$5/100,0)&lt;-AM$6,-AM$6-SUM(AM$10:AM545),-ROUNDDOWN($L546*AM$5/100,0)),0)</f>
        <v>0</v>
      </c>
      <c r="AN546" s="38">
        <f>IF(AND(AN$7="○",$A546&gt;=AN$8,$A546&lt;=AN$9),IF(SUM(AN$10:AN545)-ROUNDDOWN($M546*AN$5/100,0)&lt;-AN$6,-AN$6-SUM(AN$10:AN545),-ROUNDDOWN($M546*AN$5/100,0)),0)</f>
        <v>0</v>
      </c>
      <c r="AO546" s="38">
        <f>IF(AND($A546&gt;=AO$8,$A546&lt;=AO$9),IF(SUM(AO$10:AO545)-ROUNDDOWN($K546*AO$5/100,0)&lt;-AO$6,-AO$6-SUM(AO$10:AO545),-ROUNDDOWN($K546*AO$5/100,0)),0)</f>
        <v>0</v>
      </c>
      <c r="AP546" s="38">
        <f>IF(AND($A546&gt;=AP$8,$A546&lt;=AP$9),IF(SUM(AP$10:AP545)-ROUNDDOWN($K546*AP$5/100,0)&lt;-AP$6,-AP$6-SUM(AP$10:AP545),-ROUNDDOWN($K546*AP$5/100,0)),0)</f>
        <v>0</v>
      </c>
      <c r="AQ546" s="38">
        <f>IF(AND($A546&gt;=AQ$8,$A546&lt;=AQ$9),IF(SUM(AQ$10:AQ545)-ROUNDDOWN($K546*AQ$5/100,0)&lt;-AQ$6,-AQ$6-SUM(AQ$10:AQ545),-ROUNDDOWN($K546*AQ$5/100,0)),0)</f>
        <v>0</v>
      </c>
      <c r="AR546" s="38">
        <f>IF(AND($A546&gt;=AR$8,$A546&lt;=AR$9),IF(SUM(AR$10:AR545)-ROUNDDOWN($K546*AR$5/100,0)&lt;-AR$6,-AR$6-SUM(AR$10:AR545),-ROUNDDOWN($K546*AR$5/100,0)),0)</f>
        <v>0</v>
      </c>
      <c r="AS546" s="38">
        <f>IF(SUMIFS(AS$10:AS545,$A$10:$A545,$A546)-ROUNDDOWN($K546*$S546/100,0)&lt;-$S546*1000,-$S546*1000-SUMIFS(AS$10:AS545,$A$10:$A545,$A546),-ROUNDDOWN($K546*$S546/100,0))</f>
        <v>0</v>
      </c>
      <c r="AT546" s="38">
        <f>IF(AND(X546="○",$A546&gt;=AT$8,$A546&lt;=AT$9,K546&gt;=3980),IF(SUM(AT$10:AT545)-ROUNDDOWN($K546*AT$5/100,0)&lt;-AT$6,-AT$6-SUM(AT$10:AT545),-ROUNDDOWN($K546*AT$5/100,0)),0)</f>
        <v>0</v>
      </c>
      <c r="AU546" s="38">
        <f>IF(O546="○",IF(SUM(AU$10:AU545)-ROUNDDOWN($K546*AU$5/100,0)&lt;-AU$6,-AU$6-SUM(AU$10:AU545),-ROUNDDOWN($K546*AU$5/100,0)),0)</f>
        <v>0</v>
      </c>
      <c r="AV546" s="38">
        <f>IF(P546="○",IF(SUM(AV$10:AV545)-ROUNDDOWN($K546*AV$5/100,0)&lt;-AV$6,-AV$6-SUM(AV$10:AV545),-ROUNDDOWN($K546*AV$5/100,0)),0)</f>
        <v>0</v>
      </c>
      <c r="AW546" s="38">
        <f>IF(Q546="○",IF(SUM(AW$10:AW545)-ROUNDDOWN($K546*AW$5/100,0)&lt;-AW$6,-AW$6-SUM(AW$10:AW545),-ROUNDDOWN($K546*AW$5/100,0)),0)</f>
        <v>0</v>
      </c>
      <c r="AX546" s="38">
        <f>IF(R546="○",IF(SUM(AX$10:AX545)-ROUNDDOWN($K546*AX$5/100,0)&lt;-AX$6,-AX$6-SUM(AX$10:AX545),-ROUNDDOWN($K546*AX$5/100,0)),0)</f>
        <v>0</v>
      </c>
      <c r="AY546" s="70">
        <v>0</v>
      </c>
      <c r="AZ546" s="65">
        <f t="shared" si="348"/>
        <v>0</v>
      </c>
      <c r="BA546" s="65">
        <f t="shared" si="349"/>
        <v>0</v>
      </c>
      <c r="BB546" s="70"/>
      <c r="BC546" s="65">
        <f t="shared" si="350"/>
        <v>0</v>
      </c>
      <c r="BD546" s="70">
        <v>0</v>
      </c>
      <c r="BE546" s="65">
        <f t="shared" si="351"/>
        <v>0</v>
      </c>
      <c r="BF546" s="70">
        <v>0</v>
      </c>
      <c r="BG546" s="65">
        <f t="shared" si="352"/>
        <v>0</v>
      </c>
      <c r="BH546" s="70">
        <v>0</v>
      </c>
      <c r="BI546" s="65">
        <f t="shared" si="353"/>
        <v>0</v>
      </c>
      <c r="BJ546" s="38">
        <f>IF(AND(BJ$7="○",$A546&gt;=BJ$8,$A546&lt;=BJ$9),IF(SUM(BJ$10:BJ545)-ROUNDDOWN($M546*BJ$5/100,0)&lt;-BJ$6,-BJ$6-SUM(BJ$10:BJ545),-ROUNDDOWN($M546*BJ$5/100,0)),0)</f>
        <v>0</v>
      </c>
      <c r="BK546" s="38">
        <f>IF(AND(BK$7="○",$A546&gt;=BK$8,$A546&lt;=BK$9),IF(SUM(BK$10:BK545)-ROUNDDOWN($L546*BK$5/100,0)&lt;-BK$6,-BK$6-SUM(BK$10:BK545),-ROUNDDOWN($L546*BK$5/100,0)),0)</f>
        <v>0</v>
      </c>
      <c r="BL546" s="38">
        <f>IF(AND(BL$7="○",$A546&gt;=BL$8,$A546&lt;=BL$9),IF(SUM(BL$10:BL545)-ROUNDDOWN($L546*BL$5/100,0)&lt;-BL$6,-BL$6-SUM(BL$10:BL545),-ROUNDDOWN($L546*BL$5/100,0)),0)</f>
        <v>0</v>
      </c>
      <c r="BM546" s="38">
        <f>IF(AND(BM$7="○",$A546&gt;=BM$8,$A546&lt;=BM$9),IF(SUM(BM$10:BM545)-ROUNDDOWN($M546*BM$5/100,0)&lt;-BM$6,-BM$6-SUM(BM$10:BM545),-ROUNDDOWN($M546*BM$5/100,0)),0)</f>
        <v>0</v>
      </c>
      <c r="BN546" s="38">
        <f>IF(AND(BN$7="○",$A546&gt;=BN$8,$A546&lt;=BN$9),IF(SUM(BN$10:BN545)-ROUNDDOWN($M546*BN$5/100,0)&lt;-BN$6,-BN$6-SUM(BN$10:BN545),-ROUNDDOWN($M546*BN$5/100,0)),0)</f>
        <v>0</v>
      </c>
      <c r="BO546" s="38">
        <f>IF(AND(BO$7="○",$A546&gt;=BO$8,$A546&lt;=BO$9),IF(SUM(BO$10:BO545)-ROUNDDOWN($M546*BO$5/100,0)&lt;-BO$6,-BO$6-SUM(BO$10:BO545),-ROUNDDOWN($M546*BO$5/100,0)),0)</f>
        <v>0</v>
      </c>
      <c r="BP546" s="38">
        <f>IF(AND(BP$7="○",$A546&gt;=BP$8,$A546&lt;=BP$9),IF(SUM(BP$10:BP545)-ROUNDDOWN($M546*BP$5/100,0)&lt;-BP$6,-BP$6-SUM(BP$10:BP545),-ROUNDDOWN($M546*BP$5/100,0)),0)</f>
        <v>0</v>
      </c>
      <c r="BQ546" s="38">
        <f>IF(AND(BQ$7="○",$A546&gt;=BQ$8,$A546&lt;=BQ$9),IF(SUM(BQ$10:BQ545)-ROUNDDOWN($L546*BQ$5/100,0)&lt;-BQ$6,-BQ$6-SUM(BQ$10:BQ545),-ROUNDDOWN($L546*BQ$5/100,0)),0)</f>
        <v>0</v>
      </c>
      <c r="BR546" s="38">
        <f>IF(AND(BR$7="○",$A546&gt;=BR$8,$A546&lt;=BR$9),IF(SUM(BR$10:BR545)-ROUNDDOWN($M546*BR$5/100,0)&lt;-BR$6,-BR$6-SUM(BR$10:BR545),-ROUNDDOWN($M546*BR$5/100,0)),0)</f>
        <v>0</v>
      </c>
      <c r="BS546" s="38">
        <f>IF(AND(BS$7="○",$A546&gt;=BS$8,$A546&lt;=BS$9),IF(SUM(BS$10:BS545)-ROUNDDOWN($M546*BS$5/100,0)&lt;-BS$6,-BS$6-SUM(BS$10:BS545),-ROUNDDOWN($M546*BS$5/100,0)),0)</f>
        <v>0</v>
      </c>
      <c r="BT546" s="38">
        <f>IF(AND(BT$7="○",$A546&gt;=BT$8,$A546&lt;=BT$9),IF(SUM(BT$10:BT545)-ROUNDDOWN($M546*BT$5/100,0)&lt;-BT$6,-BT$6-SUM(BT$10:BT545),-ROUNDDOWN($M546*BT$5/100,0)),0)</f>
        <v>0</v>
      </c>
      <c r="BU546" s="38">
        <f>IF(AND(BU$7="○",$A546&gt;=BU$8,$A546&lt;=BU$9),IF(SUM(BU$10:BU545)-ROUNDDOWN($M546*BU$5/100,0)&lt;-BU$6,-BU$6-SUM(BU$10:BU545),-ROUNDDOWN($M546*BU$5/100,0)),0)</f>
        <v>0</v>
      </c>
      <c r="BV546" s="38">
        <f>IF(AND(BV$7="○",$A546&gt;=BV$8,$A546&lt;=BV$9),IF(SUM(BV$10:BV545)-ROUNDDOWN($M546*BV$5/100,0)&lt;-BV$6,-BV$6-SUM(BV$10:BV545),-ROUNDDOWN($M546*BV$5/100,0)),0)</f>
        <v>0</v>
      </c>
      <c r="BW546" s="38">
        <f>IF(AND(BW$7="○",$A546&gt;=BW$8,$A546&lt;=BW$9),IF(SUM(BW$10:BW545)-ROUNDDOWN($M546*BW$5/100,0)&lt;-BW$6,-BW$6-SUM(BW$10:BW545),-ROUNDDOWN($M546*BW$5/100,0)),0)</f>
        <v>0</v>
      </c>
      <c r="BX546" s="38">
        <f>IF(AND(T546="○",$A546&gt;=BX$8,$A546&lt;=BX$9),IF(SUM(BX$10:BX545)-ROUNDDOWN($K546*BX$5/100,0)&lt;-BX$6,-BX$6-SUM(BX$10:BX545),-ROUNDDOWN($K546*BX$5/100,0)),0)</f>
        <v>0</v>
      </c>
      <c r="BY546" s="38">
        <f>IF(AND(U546="○",$A546&gt;=BY$8,$A546&lt;=BY$9),IF(SUM(BY$10:BY545)-ROUNDDOWN($K546*BY$5/100,0)&lt;-BY$6,-BY$6-SUM(BY$10:BY545),-ROUNDDOWN($K546*BY$5/100,0)),0)</f>
        <v>0</v>
      </c>
      <c r="BZ546" s="38">
        <f>IF(AND(V546="○",$A546&gt;=BZ$8,$A546&lt;=BZ$9),IF(SUM(BZ$10:BZ545)-ROUNDDOWN($K546*BZ$5/100,0)&lt;-BZ$6,-BZ$6-SUM(BZ$10:BZ545),-ROUNDDOWN($K546*BZ$5/100,0)),0)</f>
        <v>0</v>
      </c>
      <c r="CA546" s="38">
        <f>IF(AND(W546="○",$A546&gt;=CA$8,$A546&lt;=CA$9),IF(SUM(CA$10:CA545)-ROUNDDOWN($K546*CA$5/100,0)&lt;-CA$6,-CA$6-SUM(CA$10:CA545),-ROUNDDOWN($K546*CA$5/100,0)),0)</f>
        <v>0</v>
      </c>
      <c r="CB546" s="38"/>
      <c r="CC546" s="38"/>
      <c r="CD546" s="38"/>
      <c r="CE546" s="38"/>
      <c r="CF546" s="38"/>
      <c r="CG546" s="65">
        <f t="shared" si="354"/>
        <v>0</v>
      </c>
      <c r="CH546" s="71">
        <f t="shared" si="355"/>
        <v>0</v>
      </c>
      <c r="CI546" s="1">
        <f t="shared" si="19"/>
        <v>0</v>
      </c>
      <c r="CJ546" s="1"/>
      <c r="CK546" s="72"/>
      <c r="CL546" s="72"/>
      <c r="CM546" s="2"/>
      <c r="CN546" s="2"/>
      <c r="CO546" s="73">
        <f t="shared" si="20"/>
        <v>0</v>
      </c>
      <c r="CP546" s="5">
        <f t="shared" si="21"/>
        <v>0</v>
      </c>
      <c r="CQ546" s="1"/>
      <c r="CR546" s="1">
        <f t="shared" si="22"/>
        <v>0</v>
      </c>
      <c r="CS546" s="1"/>
      <c r="CT546" s="1" t="e">
        <f>INDEX([2]マスタ!$A:$A,MATCH(D546,[2]マスタ!$C:$C,0))</f>
        <v>#N/A</v>
      </c>
      <c r="CU546" s="1" t="str">
        <f t="shared" ca="1" si="23"/>
        <v>20260620_0-0</v>
      </c>
    </row>
    <row r="547" spans="1:99" x14ac:dyDescent="0.4">
      <c r="A547" s="61"/>
      <c r="B547" s="62"/>
      <c r="C547" s="62"/>
      <c r="D547" s="62"/>
      <c r="E547" s="63"/>
      <c r="F547" s="62"/>
      <c r="G547" s="62">
        <v>1</v>
      </c>
      <c r="H547" s="64">
        <f t="shared" si="4"/>
        <v>0</v>
      </c>
      <c r="I547" s="64"/>
      <c r="J547" s="64"/>
      <c r="K547" s="65">
        <f t="shared" si="358"/>
        <v>0</v>
      </c>
      <c r="L547" s="65">
        <f t="shared" si="6"/>
        <v>0</v>
      </c>
      <c r="M547" s="65">
        <f t="shared" si="7"/>
        <v>0</v>
      </c>
      <c r="N547" s="65">
        <f t="shared" si="8"/>
        <v>0</v>
      </c>
      <c r="O547" s="66" t="str">
        <f t="shared" si="9"/>
        <v>✕</v>
      </c>
      <c r="P547" s="67" t="str">
        <f t="shared" si="10"/>
        <v>○</v>
      </c>
      <c r="Q547" s="67" t="str">
        <f t="shared" si="359"/>
        <v>✕</v>
      </c>
      <c r="R547" s="67" t="str">
        <f t="shared" si="12"/>
        <v>✕</v>
      </c>
      <c r="S547" s="68">
        <v>0</v>
      </c>
      <c r="T547" s="69" t="s">
        <v>85</v>
      </c>
      <c r="U547" s="69" t="s">
        <v>85</v>
      </c>
      <c r="V547" s="69" t="s">
        <v>85</v>
      </c>
      <c r="W547" s="69" t="s">
        <v>85</v>
      </c>
      <c r="X547" s="69" t="s">
        <v>84</v>
      </c>
      <c r="Y547" s="69" t="s">
        <v>85</v>
      </c>
      <c r="Z547" s="69" t="s">
        <v>85</v>
      </c>
      <c r="AA547" s="69" t="s">
        <v>85</v>
      </c>
      <c r="AB547" s="69" t="s">
        <v>85</v>
      </c>
      <c r="AC547" s="69" t="s">
        <v>85</v>
      </c>
      <c r="AD547" s="38" t="str">
        <f>+IF(ISERROR(VLOOKUP($B547,AD$10:AD546,1,0)),IF(AND($N547&gt;=1000,$A547&gt;=AO$8,$A547&lt;=AO$9),$B547,""),"")</f>
        <v/>
      </c>
      <c r="AE547" s="38" t="str">
        <f>+IF(ISERROR(VLOOKUP($B547,AE$10:AE546,1,0)),IF(AND($N547&gt;=1000,$A547&gt;=AP$8,$A547&lt;=AP$9),$B547,""),"")</f>
        <v/>
      </c>
      <c r="AF547" s="38" t="str">
        <f>+IF(ISERROR(VLOOKUP($B547,AF$10:AF546,1,0)),IF(AND($N547&gt;=1000,$A547&gt;=AQ$8,$A547&lt;=AQ$9),$B547,""),"")</f>
        <v/>
      </c>
      <c r="AG547" s="38" t="str">
        <f>+IF(ISERROR(VLOOKUP($B547,AG$10:AG546,1,0)),IF(AND($N547&gt;=1000,$A547&gt;=AR$8,$A547&lt;=AR$9),$B547,""),"")</f>
        <v/>
      </c>
      <c r="AH547" s="38"/>
      <c r="AI547" s="70">
        <v>0</v>
      </c>
      <c r="AJ547" s="38">
        <f>IF(AND(AJ$7="○",$A547&gt;=AJ$8,$A547&lt;=AJ$9),IF(SUM(AJ$10:AJ546)-ROUNDDOWN($K547*AJ$5/100,0)&lt;-AJ$6,-AJ$6-SUM(AJ$10:AJ546),-ROUNDDOWN($K547*AJ$5/100,0)),0)</f>
        <v>0</v>
      </c>
      <c r="AK547" s="38">
        <f>IF(AND(AK$7="○",$A547&gt;=AK$8,$A547&lt;=AK$9),IF(SUM(AK$10:AK546)-ROUNDDOWN($L547*AK$5/100,0)&lt;-AK$6,-AK$6-SUM(AK$10:AK546),-ROUNDDOWN($L547*AK$5/100,0)),0)</f>
        <v>0</v>
      </c>
      <c r="AL547" s="38">
        <f>IF(AND(AL$7="○",$A547&gt;=AL$8,$A547&lt;=AL$9),IF(SUM(AL$10:AL546)-ROUNDDOWN($N547*AL$5/100,0)&lt;-AL$6,-AL$6-SUM(AL$10:AL546),-ROUNDDOWN($N547*AL$5/100,0)),0)</f>
        <v>0</v>
      </c>
      <c r="AM547" s="38">
        <f>IF(AND(AM$7="○",$A547&gt;=AM$8,$A547&lt;=AM$9),IF(SUM(AM$10:AM546)-ROUNDDOWN($L547*AM$5/100,0)&lt;-AM$6,-AM$6-SUM(AM$10:AM546),-ROUNDDOWN($L547*AM$5/100,0)),0)</f>
        <v>0</v>
      </c>
      <c r="AN547" s="38">
        <f>IF(AND(AN$7="○",$A547&gt;=AN$8,$A547&lt;=AN$9),IF(SUM(AN$10:AN546)-ROUNDDOWN($M547*AN$5/100,0)&lt;-AN$6,-AN$6-SUM(AN$10:AN546),-ROUNDDOWN($M547*AN$5/100,0)),0)</f>
        <v>0</v>
      </c>
      <c r="AO547" s="38">
        <f>IF(AND($A547&gt;=AO$8,$A547&lt;=AO$9),IF(SUM(AO$10:AO546)-ROUNDDOWN($K547*AO$5/100,0)&lt;-AO$6,-AO$6-SUM(AO$10:AO546),-ROUNDDOWN($K547*AO$5/100,0)),0)</f>
        <v>0</v>
      </c>
      <c r="AP547" s="38">
        <f>IF(AND($A547&gt;=AP$8,$A547&lt;=AP$9),IF(SUM(AP$10:AP546)-ROUNDDOWN($K547*AP$5/100,0)&lt;-AP$6,-AP$6-SUM(AP$10:AP546),-ROUNDDOWN($K547*AP$5/100,0)),0)</f>
        <v>0</v>
      </c>
      <c r="AQ547" s="38">
        <f>IF(AND($A547&gt;=AQ$8,$A547&lt;=AQ$9),IF(SUM(AQ$10:AQ546)-ROUNDDOWN($K547*AQ$5/100,0)&lt;-AQ$6,-AQ$6-SUM(AQ$10:AQ546),-ROUNDDOWN($K547*AQ$5/100,0)),0)</f>
        <v>0</v>
      </c>
      <c r="AR547" s="38">
        <f>IF(AND($A547&gt;=AR$8,$A547&lt;=AR$9),IF(SUM(AR$10:AR546)-ROUNDDOWN($K547*AR$5/100,0)&lt;-AR$6,-AR$6-SUM(AR$10:AR546),-ROUNDDOWN($K547*AR$5/100,0)),0)</f>
        <v>0</v>
      </c>
      <c r="AS547" s="38">
        <f>IF(SUMIFS(AS$10:AS546,$A$10:$A546,$A547)-ROUNDDOWN($K547*$S547/100,0)&lt;-$S547*1000,-$S547*1000-SUMIFS(AS$10:AS546,$A$10:$A546,$A547),-ROUNDDOWN($K547*$S547/100,0))</f>
        <v>0</v>
      </c>
      <c r="AT547" s="38">
        <f>IF(AND(X547="○",$A547&gt;=AT$8,$A547&lt;=AT$9,K547&gt;=3980),IF(SUM(AT$10:AT546)-ROUNDDOWN($K547*AT$5/100,0)&lt;-AT$6,-AT$6-SUM(AT$10:AT546),-ROUNDDOWN($K547*AT$5/100,0)),0)</f>
        <v>0</v>
      </c>
      <c r="AU547" s="38">
        <f>IF(O547="○",IF(SUM(AU$10:AU546)-ROUNDDOWN($K547*AU$5/100,0)&lt;-AU$6,-AU$6-SUM(AU$10:AU546),-ROUNDDOWN($K547*AU$5/100,0)),0)</f>
        <v>0</v>
      </c>
      <c r="AV547" s="38">
        <f>IF(P547="○",IF(SUM(AV$10:AV546)-ROUNDDOWN($K547*AV$5/100,0)&lt;-AV$6,-AV$6-SUM(AV$10:AV546),-ROUNDDOWN($K547*AV$5/100,0)),0)</f>
        <v>0</v>
      </c>
      <c r="AW547" s="38">
        <f>IF(Q547="○",IF(SUM(AW$10:AW546)-ROUNDDOWN($K547*AW$5/100,0)&lt;-AW$6,-AW$6-SUM(AW$10:AW546),-ROUNDDOWN($K547*AW$5/100,0)),0)</f>
        <v>0</v>
      </c>
      <c r="AX547" s="38">
        <f>IF(R547="○",IF(SUM(AX$10:AX546)-ROUNDDOWN($K547*AX$5/100,0)&lt;-AX$6,-AX$6-SUM(AX$10:AX546),-ROUNDDOWN($K547*AX$5/100,0)),0)</f>
        <v>0</v>
      </c>
      <c r="AY547" s="70">
        <v>0</v>
      </c>
      <c r="AZ547" s="65">
        <f t="shared" si="348"/>
        <v>0</v>
      </c>
      <c r="BA547" s="65">
        <f t="shared" si="349"/>
        <v>0</v>
      </c>
      <c r="BB547" s="70"/>
      <c r="BC547" s="65">
        <f t="shared" si="350"/>
        <v>0</v>
      </c>
      <c r="BD547" s="70">
        <v>0</v>
      </c>
      <c r="BE547" s="65">
        <f t="shared" si="351"/>
        <v>0</v>
      </c>
      <c r="BF547" s="70">
        <v>0</v>
      </c>
      <c r="BG547" s="65">
        <f t="shared" si="352"/>
        <v>0</v>
      </c>
      <c r="BH547" s="70">
        <v>0</v>
      </c>
      <c r="BI547" s="65">
        <f t="shared" si="353"/>
        <v>0</v>
      </c>
      <c r="BJ547" s="38">
        <f>IF(AND(BJ$7="○",$A547&gt;=BJ$8,$A547&lt;=BJ$9),IF(SUM(BJ$10:BJ546)-ROUNDDOWN($M547*BJ$5/100,0)&lt;-BJ$6,-BJ$6-SUM(BJ$10:BJ546),-ROUNDDOWN($M547*BJ$5/100,0)),0)</f>
        <v>0</v>
      </c>
      <c r="BK547" s="38">
        <f>IF(AND(BK$7="○",$A547&gt;=BK$8,$A547&lt;=BK$9),IF(SUM(BK$10:BK546)-ROUNDDOWN($L547*BK$5/100,0)&lt;-BK$6,-BK$6-SUM(BK$10:BK546),-ROUNDDOWN($L547*BK$5/100,0)),0)</f>
        <v>0</v>
      </c>
      <c r="BL547" s="38">
        <f>IF(AND(BL$7="○",$A547&gt;=BL$8,$A547&lt;=BL$9),IF(SUM(BL$10:BL546)-ROUNDDOWN($L547*BL$5/100,0)&lt;-BL$6,-BL$6-SUM(BL$10:BL546),-ROUNDDOWN($L547*BL$5/100,0)),0)</f>
        <v>0</v>
      </c>
      <c r="BM547" s="38">
        <f>IF(AND(BM$7="○",$A547&gt;=BM$8,$A547&lt;=BM$9),IF(SUM(BM$10:BM546)-ROUNDDOWN($M547*BM$5/100,0)&lt;-BM$6,-BM$6-SUM(BM$10:BM546),-ROUNDDOWN($M547*BM$5/100,0)),0)</f>
        <v>0</v>
      </c>
      <c r="BN547" s="38">
        <f>IF(AND(BN$7="○",$A547&gt;=BN$8,$A547&lt;=BN$9),IF(SUM(BN$10:BN546)-ROUNDDOWN($M547*BN$5/100,0)&lt;-BN$6,-BN$6-SUM(BN$10:BN546),-ROUNDDOWN($M547*BN$5/100,0)),0)</f>
        <v>0</v>
      </c>
      <c r="BO547" s="38">
        <f>IF(AND(BO$7="○",$A547&gt;=BO$8,$A547&lt;=BO$9),IF(SUM(BO$10:BO546)-ROUNDDOWN($M547*BO$5/100,0)&lt;-BO$6,-BO$6-SUM(BO$10:BO546),-ROUNDDOWN($M547*BO$5/100,0)),0)</f>
        <v>0</v>
      </c>
      <c r="BP547" s="38">
        <f>IF(AND(BP$7="○",$A547&gt;=BP$8,$A547&lt;=BP$9),IF(SUM(BP$10:BP546)-ROUNDDOWN($M547*BP$5/100,0)&lt;-BP$6,-BP$6-SUM(BP$10:BP546),-ROUNDDOWN($M547*BP$5/100,0)),0)</f>
        <v>0</v>
      </c>
      <c r="BQ547" s="38">
        <f>IF(AND(BQ$7="○",$A547&gt;=BQ$8,$A547&lt;=BQ$9),IF(SUM(BQ$10:BQ546)-ROUNDDOWN($L547*BQ$5/100,0)&lt;-BQ$6,-BQ$6-SUM(BQ$10:BQ546),-ROUNDDOWN($L547*BQ$5/100,0)),0)</f>
        <v>0</v>
      </c>
      <c r="BR547" s="38">
        <f>IF(AND(BR$7="○",$A547&gt;=BR$8,$A547&lt;=BR$9),IF(SUM(BR$10:BR546)-ROUNDDOWN($M547*BR$5/100,0)&lt;-BR$6,-BR$6-SUM(BR$10:BR546),-ROUNDDOWN($M547*BR$5/100,0)),0)</f>
        <v>0</v>
      </c>
      <c r="BS547" s="38">
        <f>IF(AND(BS$7="○",$A547&gt;=BS$8,$A547&lt;=BS$9),IF(SUM(BS$10:BS546)-ROUNDDOWN($M547*BS$5/100,0)&lt;-BS$6,-BS$6-SUM(BS$10:BS546),-ROUNDDOWN($M547*BS$5/100,0)),0)</f>
        <v>0</v>
      </c>
      <c r="BT547" s="38">
        <f>IF(AND(BT$7="○",$A547&gt;=BT$8,$A547&lt;=BT$9),IF(SUM(BT$10:BT546)-ROUNDDOWN($M547*BT$5/100,0)&lt;-BT$6,-BT$6-SUM(BT$10:BT546),-ROUNDDOWN($M547*BT$5/100,0)),0)</f>
        <v>0</v>
      </c>
      <c r="BU547" s="38">
        <f>IF(AND(BU$7="○",$A547&gt;=BU$8,$A547&lt;=BU$9),IF(SUM(BU$10:BU546)-ROUNDDOWN($M547*BU$5/100,0)&lt;-BU$6,-BU$6-SUM(BU$10:BU546),-ROUNDDOWN($M547*BU$5/100,0)),0)</f>
        <v>0</v>
      </c>
      <c r="BV547" s="38">
        <f>IF(AND(BV$7="○",$A547&gt;=BV$8,$A547&lt;=BV$9),IF(SUM(BV$10:BV546)-ROUNDDOWN($M547*BV$5/100,0)&lt;-BV$6,-BV$6-SUM(BV$10:BV546),-ROUNDDOWN($M547*BV$5/100,0)),0)</f>
        <v>0</v>
      </c>
      <c r="BW547" s="38">
        <f>IF(AND(BW$7="○",$A547&gt;=BW$8,$A547&lt;=BW$9),IF(SUM(BW$10:BW546)-ROUNDDOWN($M547*BW$5/100,0)&lt;-BW$6,-BW$6-SUM(BW$10:BW546),-ROUNDDOWN($M547*BW$5/100,0)),0)</f>
        <v>0</v>
      </c>
      <c r="BX547" s="38">
        <f>IF(AND(T547="○",$A547&gt;=BX$8,$A547&lt;=BX$9),IF(SUM(BX$10:BX546)-ROUNDDOWN($K547*BX$5/100,0)&lt;-BX$6,-BX$6-SUM(BX$10:BX546),-ROUNDDOWN($K547*BX$5/100,0)),0)</f>
        <v>0</v>
      </c>
      <c r="BY547" s="38">
        <f>IF(AND(U547="○",$A547&gt;=BY$8,$A547&lt;=BY$9),IF(SUM(BY$10:BY546)-ROUNDDOWN($K547*BY$5/100,0)&lt;-BY$6,-BY$6-SUM(BY$10:BY546),-ROUNDDOWN($K547*BY$5/100,0)),0)</f>
        <v>0</v>
      </c>
      <c r="BZ547" s="38">
        <f>IF(AND(V547="○",$A547&gt;=BZ$8,$A547&lt;=BZ$9),IF(SUM(BZ$10:BZ546)-ROUNDDOWN($K547*BZ$5/100,0)&lt;-BZ$6,-BZ$6-SUM(BZ$10:BZ546),-ROUNDDOWN($K547*BZ$5/100,0)),0)</f>
        <v>0</v>
      </c>
      <c r="CA547" s="38">
        <f>IF(AND(W547="○",$A547&gt;=CA$8,$A547&lt;=CA$9),IF(SUM(CA$10:CA546)-ROUNDDOWN($K547*CA$5/100,0)&lt;-CA$6,-CA$6-SUM(CA$10:CA546),-ROUNDDOWN($K547*CA$5/100,0)),0)</f>
        <v>0</v>
      </c>
      <c r="CB547" s="38"/>
      <c r="CC547" s="38"/>
      <c r="CD547" s="38"/>
      <c r="CE547" s="38"/>
      <c r="CF547" s="38"/>
      <c r="CG547" s="65">
        <f t="shared" si="354"/>
        <v>0</v>
      </c>
      <c r="CH547" s="71">
        <f t="shared" si="355"/>
        <v>0</v>
      </c>
      <c r="CI547" s="1">
        <f t="shared" si="19"/>
        <v>0</v>
      </c>
      <c r="CJ547" s="1"/>
      <c r="CK547" s="72"/>
      <c r="CL547" s="72"/>
      <c r="CM547" s="2"/>
      <c r="CN547" s="2"/>
      <c r="CO547" s="73">
        <f t="shared" si="20"/>
        <v>0</v>
      </c>
      <c r="CP547" s="5">
        <f t="shared" si="21"/>
        <v>0</v>
      </c>
      <c r="CQ547" s="1"/>
      <c r="CR547" s="1">
        <f t="shared" si="22"/>
        <v>0</v>
      </c>
      <c r="CS547" s="1"/>
      <c r="CT547" s="1" t="e">
        <f>INDEX([2]マスタ!$A:$A,MATCH(D547,[2]マスタ!$C:$C,0))</f>
        <v>#N/A</v>
      </c>
      <c r="CU547" s="1" t="str">
        <f t="shared" ca="1" si="23"/>
        <v>20260620_0-0</v>
      </c>
    </row>
    <row r="548" spans="1:99" x14ac:dyDescent="0.4">
      <c r="A548" s="61"/>
      <c r="B548" s="62"/>
      <c r="C548" s="62"/>
      <c r="D548" s="63"/>
      <c r="E548" s="63"/>
      <c r="F548" s="62"/>
      <c r="G548" s="62">
        <v>1</v>
      </c>
      <c r="H548" s="64">
        <f t="shared" si="4"/>
        <v>0</v>
      </c>
      <c r="I548" s="64"/>
      <c r="J548" s="64"/>
      <c r="K548" s="65">
        <f t="shared" si="358"/>
        <v>0</v>
      </c>
      <c r="L548" s="65">
        <f t="shared" si="6"/>
        <v>0</v>
      </c>
      <c r="M548" s="65">
        <f t="shared" si="7"/>
        <v>0</v>
      </c>
      <c r="N548" s="65">
        <f t="shared" si="8"/>
        <v>0</v>
      </c>
      <c r="O548" s="66" t="str">
        <f t="shared" si="9"/>
        <v>✕</v>
      </c>
      <c r="P548" s="67" t="str">
        <f t="shared" si="10"/>
        <v>○</v>
      </c>
      <c r="Q548" s="67" t="str">
        <f t="shared" si="359"/>
        <v>✕</v>
      </c>
      <c r="R548" s="67" t="str">
        <f t="shared" si="12"/>
        <v>✕</v>
      </c>
      <c r="S548" s="68">
        <v>0</v>
      </c>
      <c r="T548" s="69" t="s">
        <v>85</v>
      </c>
      <c r="U548" s="69" t="s">
        <v>85</v>
      </c>
      <c r="V548" s="69" t="s">
        <v>85</v>
      </c>
      <c r="W548" s="69" t="s">
        <v>85</v>
      </c>
      <c r="X548" s="69" t="s">
        <v>84</v>
      </c>
      <c r="Y548" s="69" t="s">
        <v>85</v>
      </c>
      <c r="Z548" s="69" t="s">
        <v>85</v>
      </c>
      <c r="AA548" s="69" t="s">
        <v>85</v>
      </c>
      <c r="AB548" s="69" t="s">
        <v>85</v>
      </c>
      <c r="AC548" s="69" t="s">
        <v>85</v>
      </c>
      <c r="AD548" s="38" t="str">
        <f>+IF(ISERROR(VLOOKUP($B548,AD$10:AD547,1,0)),IF(AND($N548&gt;=1000,$A548&gt;=AO$8,$A548&lt;=AO$9),$B548,""),"")</f>
        <v/>
      </c>
      <c r="AE548" s="38" t="str">
        <f>+IF(ISERROR(VLOOKUP($B548,AE$10:AE547,1,0)),IF(AND($N548&gt;=1000,$A548&gt;=AP$8,$A548&lt;=AP$9),$B548,""),"")</f>
        <v/>
      </c>
      <c r="AF548" s="38" t="str">
        <f>+IF(ISERROR(VLOOKUP($B548,AF$10:AF547,1,0)),IF(AND($N548&gt;=1000,$A548&gt;=AQ$8,$A548&lt;=AQ$9),$B548,""),"")</f>
        <v/>
      </c>
      <c r="AG548" s="38" t="str">
        <f>+IF(ISERROR(VLOOKUP($B548,AG$10:AG547,1,0)),IF(AND($N548&gt;=1000,$A548&gt;=AR$8,$A548&lt;=AR$9),$B548,""),"")</f>
        <v/>
      </c>
      <c r="AH548" s="38"/>
      <c r="AI548" s="70">
        <v>0</v>
      </c>
      <c r="AJ548" s="38">
        <f>IF(AND(AJ$7="○",$A548&gt;=AJ$8,$A548&lt;=AJ$9),IF(SUM(AJ$10:AJ547)-ROUNDDOWN($K548*AJ$5/100,0)&lt;-AJ$6,-AJ$6-SUM(AJ$10:AJ547),-ROUNDDOWN($K548*AJ$5/100,0)),0)</f>
        <v>0</v>
      </c>
      <c r="AK548" s="38">
        <f>IF(AND(AK$7="○",$A548&gt;=AK$8,$A548&lt;=AK$9),IF(SUM(AK$10:AK547)-ROUNDDOWN($L548*AK$5/100,0)&lt;-AK$6,-AK$6-SUM(AK$10:AK547),-ROUNDDOWN($L548*AK$5/100,0)),0)</f>
        <v>0</v>
      </c>
      <c r="AL548" s="38">
        <f>IF(AND(AL$7="○",$A548&gt;=AL$8,$A548&lt;=AL$9),IF(SUM(AL$10:AL547)-ROUNDDOWN($N548*AL$5/100,0)&lt;-AL$6,-AL$6-SUM(AL$10:AL547),-ROUNDDOWN($N548*AL$5/100,0)),0)</f>
        <v>0</v>
      </c>
      <c r="AM548" s="38">
        <f>IF(AND(AM$7="○",$A548&gt;=AM$8,$A548&lt;=AM$9),IF(SUM(AM$10:AM547)-ROUNDDOWN($L548*AM$5/100,0)&lt;-AM$6,-AM$6-SUM(AM$10:AM547),-ROUNDDOWN($L548*AM$5/100,0)),0)</f>
        <v>0</v>
      </c>
      <c r="AN548" s="38">
        <f>IF(AND(AN$7="○",$A548&gt;=AN$8,$A548&lt;=AN$9),IF(SUM(AN$10:AN547)-ROUNDDOWN($M548*AN$5/100,0)&lt;-AN$6,-AN$6-SUM(AN$10:AN547),-ROUNDDOWN($M548*AN$5/100,0)),0)</f>
        <v>0</v>
      </c>
      <c r="AO548" s="38">
        <f>IF(AND($A548&gt;=AO$8,$A548&lt;=AO$9),IF(SUM(AO$10:AO547)-ROUNDDOWN($K548*AO$5/100,0)&lt;-AO$6,-AO$6-SUM(AO$10:AO547),-ROUNDDOWN($K548*AO$5/100,0)),0)</f>
        <v>0</v>
      </c>
      <c r="AP548" s="38">
        <f>IF(AND($A548&gt;=AP$8,$A548&lt;=AP$9),IF(SUM(AP$10:AP547)-ROUNDDOWN($K548*AP$5/100,0)&lt;-AP$6,-AP$6-SUM(AP$10:AP547),-ROUNDDOWN($K548*AP$5/100,0)),0)</f>
        <v>0</v>
      </c>
      <c r="AQ548" s="38">
        <f>IF(AND($A548&gt;=AQ$8,$A548&lt;=AQ$9),IF(SUM(AQ$10:AQ547)-ROUNDDOWN($K548*AQ$5/100,0)&lt;-AQ$6,-AQ$6-SUM(AQ$10:AQ547),-ROUNDDOWN($K548*AQ$5/100,0)),0)</f>
        <v>0</v>
      </c>
      <c r="AR548" s="38">
        <f>IF(AND($A548&gt;=AR$8,$A548&lt;=AR$9),IF(SUM(AR$10:AR547)-ROUNDDOWN($K548*AR$5/100,0)&lt;-AR$6,-AR$6-SUM(AR$10:AR547),-ROUNDDOWN($K548*AR$5/100,0)),0)</f>
        <v>0</v>
      </c>
      <c r="AS548" s="38">
        <f>IF(SUMIFS(AS$10:AS547,$A$10:$A547,$A548)-ROUNDDOWN($K548*$S548/100,0)&lt;-$S548*1000,-$S548*1000-SUMIFS(AS$10:AS547,$A$10:$A547,$A548),-ROUNDDOWN($K548*$S548/100,0))</f>
        <v>0</v>
      </c>
      <c r="AT548" s="38">
        <f>IF(AND(X548="○",$A548&gt;=AT$8,$A548&lt;=AT$9,K548&gt;=3980),IF(SUM(AT$10:AT547)-ROUNDDOWN($K548*AT$5/100,0)&lt;-AT$6,-AT$6-SUM(AT$10:AT547),-ROUNDDOWN($K548*AT$5/100,0)),0)</f>
        <v>0</v>
      </c>
      <c r="AU548" s="38">
        <f>IF(O548="○",IF(SUM(AU$10:AU547)-ROUNDDOWN($K548*AU$5/100,0)&lt;-AU$6,-AU$6-SUM(AU$10:AU547),-ROUNDDOWN($K548*AU$5/100,0)),0)</f>
        <v>0</v>
      </c>
      <c r="AV548" s="38">
        <f>IF(P548="○",IF(SUM(AV$10:AV547)-ROUNDDOWN($K548*AV$5/100,0)&lt;-AV$6,-AV$6-SUM(AV$10:AV547),-ROUNDDOWN($K548*AV$5/100,0)),0)</f>
        <v>0</v>
      </c>
      <c r="AW548" s="38">
        <f>IF(Q548="○",IF(SUM(AW$10:AW547)-ROUNDDOWN($K548*AW$5/100,0)&lt;-AW$6,-AW$6-SUM(AW$10:AW547),-ROUNDDOWN($K548*AW$5/100,0)),0)</f>
        <v>0</v>
      </c>
      <c r="AX548" s="38">
        <f>IF(R548="○",IF(SUM(AX$10:AX547)-ROUNDDOWN($K548*AX$5/100,0)&lt;-AX$6,-AX$6-SUM(AX$10:AX547),-ROUNDDOWN($K548*AX$5/100,0)),0)</f>
        <v>0</v>
      </c>
      <c r="AY548" s="70">
        <v>0</v>
      </c>
      <c r="AZ548" s="65">
        <f t="shared" si="348"/>
        <v>0</v>
      </c>
      <c r="BA548" s="65">
        <f t="shared" si="349"/>
        <v>0</v>
      </c>
      <c r="BB548" s="70"/>
      <c r="BC548" s="65">
        <f t="shared" si="350"/>
        <v>0</v>
      </c>
      <c r="BD548" s="70">
        <v>0</v>
      </c>
      <c r="BE548" s="65">
        <f t="shared" si="351"/>
        <v>0</v>
      </c>
      <c r="BF548" s="70">
        <v>0</v>
      </c>
      <c r="BG548" s="65">
        <f t="shared" si="352"/>
        <v>0</v>
      </c>
      <c r="BH548" s="70">
        <v>0</v>
      </c>
      <c r="BI548" s="65">
        <f t="shared" si="353"/>
        <v>0</v>
      </c>
      <c r="BJ548" s="38">
        <f>IF(AND(BJ$7="○",$A548&gt;=BJ$8,$A548&lt;=BJ$9),IF(SUM(BJ$10:BJ547)-ROUNDDOWN($M548*BJ$5/100,0)&lt;-BJ$6,-BJ$6-SUM(BJ$10:BJ547),-ROUNDDOWN($M548*BJ$5/100,0)),0)</f>
        <v>0</v>
      </c>
      <c r="BK548" s="38">
        <f>IF(AND(BK$7="○",$A548&gt;=BK$8,$A548&lt;=BK$9),IF(SUM(BK$10:BK547)-ROUNDDOWN($L548*BK$5/100,0)&lt;-BK$6,-BK$6-SUM(BK$10:BK547),-ROUNDDOWN($L548*BK$5/100,0)),0)</f>
        <v>0</v>
      </c>
      <c r="BL548" s="38">
        <f>IF(AND(BL$7="○",$A548&gt;=BL$8,$A548&lt;=BL$9),IF(SUM(BL$10:BL547)-ROUNDDOWN($L548*BL$5/100,0)&lt;-BL$6,-BL$6-SUM(BL$10:BL547),-ROUNDDOWN($L548*BL$5/100,0)),0)</f>
        <v>0</v>
      </c>
      <c r="BM548" s="38">
        <f>IF(AND(BM$7="○",$A548&gt;=BM$8,$A548&lt;=BM$9),IF(SUM(BM$10:BM547)-ROUNDDOWN($M548*BM$5/100,0)&lt;-BM$6,-BM$6-SUM(BM$10:BM547),-ROUNDDOWN($M548*BM$5/100,0)),0)</f>
        <v>0</v>
      </c>
      <c r="BN548" s="38">
        <f>IF(AND(BN$7="○",$A548&gt;=BN$8,$A548&lt;=BN$9),IF(SUM(BN$10:BN547)-ROUNDDOWN($M548*BN$5/100,0)&lt;-BN$6,-BN$6-SUM(BN$10:BN547),-ROUNDDOWN($M548*BN$5/100,0)),0)</f>
        <v>0</v>
      </c>
      <c r="BO548" s="38">
        <f>IF(AND(BO$7="○",$A548&gt;=BO$8,$A548&lt;=BO$9),IF(SUM(BO$10:BO547)-ROUNDDOWN($M548*BO$5/100,0)&lt;-BO$6,-BO$6-SUM(BO$10:BO547),-ROUNDDOWN($M548*BO$5/100,0)),0)</f>
        <v>0</v>
      </c>
      <c r="BP548" s="38">
        <f>IF(AND(BP$7="○",$A548&gt;=BP$8,$A548&lt;=BP$9),IF(SUM(BP$10:BP547)-ROUNDDOWN($M548*BP$5/100,0)&lt;-BP$6,-BP$6-SUM(BP$10:BP547),-ROUNDDOWN($M548*BP$5/100,0)),0)</f>
        <v>0</v>
      </c>
      <c r="BQ548" s="38">
        <f>IF(AND(BQ$7="○",$A548&gt;=BQ$8,$A548&lt;=BQ$9),IF(SUM(BQ$10:BQ547)-ROUNDDOWN($L548*BQ$5/100,0)&lt;-BQ$6,-BQ$6-SUM(BQ$10:BQ547),-ROUNDDOWN($L548*BQ$5/100,0)),0)</f>
        <v>0</v>
      </c>
      <c r="BR548" s="38">
        <f>IF(AND(BR$7="○",$A548&gt;=BR$8,$A548&lt;=BR$9),IF(SUM(BR$10:BR547)-ROUNDDOWN($M548*BR$5/100,0)&lt;-BR$6,-BR$6-SUM(BR$10:BR547),-ROUNDDOWN($M548*BR$5/100,0)),0)</f>
        <v>0</v>
      </c>
      <c r="BS548" s="38">
        <f>IF(AND(BS$7="○",$A548&gt;=BS$8,$A548&lt;=BS$9),IF(SUM(BS$10:BS547)-ROUNDDOWN($M548*BS$5/100,0)&lt;-BS$6,-BS$6-SUM(BS$10:BS547),-ROUNDDOWN($M548*BS$5/100,0)),0)</f>
        <v>0</v>
      </c>
      <c r="BT548" s="38">
        <f>IF(AND(BT$7="○",$A548&gt;=BT$8,$A548&lt;=BT$9),IF(SUM(BT$10:BT547)-ROUNDDOWN($M548*BT$5/100,0)&lt;-BT$6,-BT$6-SUM(BT$10:BT547),-ROUNDDOWN($M548*BT$5/100,0)),0)</f>
        <v>0</v>
      </c>
      <c r="BU548" s="38">
        <f>IF(AND(BU$7="○",$A548&gt;=BU$8,$A548&lt;=BU$9),IF(SUM(BU$10:BU547)-ROUNDDOWN($M548*BU$5/100,0)&lt;-BU$6,-BU$6-SUM(BU$10:BU547),-ROUNDDOWN($M548*BU$5/100,0)),0)</f>
        <v>0</v>
      </c>
      <c r="BV548" s="38">
        <f>IF(AND(BV$7="○",$A548&gt;=BV$8,$A548&lt;=BV$9),IF(SUM(BV$10:BV547)-ROUNDDOWN($M548*BV$5/100,0)&lt;-BV$6,-BV$6-SUM(BV$10:BV547),-ROUNDDOWN($M548*BV$5/100,0)),0)</f>
        <v>0</v>
      </c>
      <c r="BW548" s="38">
        <f>IF(AND(BW$7="○",$A548&gt;=BW$8,$A548&lt;=BW$9),IF(SUM(BW$10:BW547)-ROUNDDOWN($M548*BW$5/100,0)&lt;-BW$6,-BW$6-SUM(BW$10:BW547),-ROUNDDOWN($M548*BW$5/100,0)),0)</f>
        <v>0</v>
      </c>
      <c r="BX548" s="38">
        <f>IF(AND(T548="○",$A548&gt;=BX$8,$A548&lt;=BX$9),IF(SUM(BX$10:BX547)-ROUNDDOWN($K548*BX$5/100,0)&lt;-BX$6,-BX$6-SUM(BX$10:BX547),-ROUNDDOWN($K548*BX$5/100,0)),0)</f>
        <v>0</v>
      </c>
      <c r="BY548" s="38">
        <f>IF(AND(U548="○",$A548&gt;=BY$8,$A548&lt;=BY$9),IF(SUM(BY$10:BY547)-ROUNDDOWN($K548*BY$5/100,0)&lt;-BY$6,-BY$6-SUM(BY$10:BY547),-ROUNDDOWN($K548*BY$5/100,0)),0)</f>
        <v>0</v>
      </c>
      <c r="BZ548" s="38">
        <f>IF(AND(V548="○",$A548&gt;=BZ$8,$A548&lt;=BZ$9),IF(SUM(BZ$10:BZ547)-ROUNDDOWN($K548*BZ$5/100,0)&lt;-BZ$6,-BZ$6-SUM(BZ$10:BZ547),-ROUNDDOWN($K548*BZ$5/100,0)),0)</f>
        <v>0</v>
      </c>
      <c r="CA548" s="38">
        <f>IF(AND(W548="○",$A548&gt;=CA$8,$A548&lt;=CA$9),IF(SUM(CA$10:CA547)-ROUNDDOWN($K548*CA$5/100,0)&lt;-CA$6,-CA$6-SUM(CA$10:CA547),-ROUNDDOWN($K548*CA$5/100,0)),0)</f>
        <v>0</v>
      </c>
      <c r="CB548" s="38"/>
      <c r="CC548" s="38"/>
      <c r="CD548" s="38"/>
      <c r="CE548" s="38"/>
      <c r="CF548" s="38"/>
      <c r="CG548" s="65">
        <f t="shared" si="354"/>
        <v>0</v>
      </c>
      <c r="CH548" s="71">
        <f t="shared" si="355"/>
        <v>0</v>
      </c>
      <c r="CI548" s="1">
        <f t="shared" si="19"/>
        <v>0</v>
      </c>
      <c r="CJ548" s="1"/>
      <c r="CK548" s="2"/>
      <c r="CL548" s="2"/>
      <c r="CM548" s="2"/>
      <c r="CN548" s="2"/>
      <c r="CO548" s="73">
        <f t="shared" si="20"/>
        <v>0</v>
      </c>
      <c r="CP548" s="5">
        <f t="shared" si="21"/>
        <v>0</v>
      </c>
      <c r="CQ548" s="1"/>
      <c r="CR548" s="1">
        <f t="shared" si="22"/>
        <v>0</v>
      </c>
      <c r="CS548" s="1"/>
      <c r="CT548" s="1" t="e">
        <f>INDEX([2]マスタ!$A:$A,MATCH(D548,[2]マスタ!$C:$C,0))</f>
        <v>#N/A</v>
      </c>
      <c r="CU548" s="1" t="str">
        <f t="shared" ca="1" si="23"/>
        <v>20260620_0-0</v>
      </c>
    </row>
    <row r="549" spans="1:99" x14ac:dyDescent="0.4">
      <c r="A549" s="61"/>
      <c r="B549" s="62"/>
      <c r="C549" s="62"/>
      <c r="D549" s="62"/>
      <c r="E549" s="63"/>
      <c r="F549" s="62"/>
      <c r="G549" s="62">
        <v>1</v>
      </c>
      <c r="H549" s="64">
        <f t="shared" si="4"/>
        <v>0</v>
      </c>
      <c r="I549" s="64"/>
      <c r="J549" s="78"/>
      <c r="K549" s="65">
        <f t="shared" si="358"/>
        <v>0</v>
      </c>
      <c r="L549" s="65">
        <f t="shared" si="6"/>
        <v>0</v>
      </c>
      <c r="M549" s="65">
        <f t="shared" si="7"/>
        <v>0</v>
      </c>
      <c r="N549" s="65">
        <f t="shared" si="8"/>
        <v>0</v>
      </c>
      <c r="O549" s="66" t="str">
        <f t="shared" si="9"/>
        <v>✕</v>
      </c>
      <c r="P549" s="67" t="str">
        <f t="shared" si="10"/>
        <v>○</v>
      </c>
      <c r="Q549" s="67" t="str">
        <f t="shared" si="359"/>
        <v>✕</v>
      </c>
      <c r="R549" s="67" t="str">
        <f t="shared" si="12"/>
        <v>✕</v>
      </c>
      <c r="S549" s="68">
        <v>0</v>
      </c>
      <c r="T549" s="69" t="s">
        <v>85</v>
      </c>
      <c r="U549" s="69" t="s">
        <v>85</v>
      </c>
      <c r="V549" s="69" t="s">
        <v>85</v>
      </c>
      <c r="W549" s="69" t="s">
        <v>85</v>
      </c>
      <c r="X549" s="69" t="s">
        <v>84</v>
      </c>
      <c r="Y549" s="69" t="s">
        <v>85</v>
      </c>
      <c r="Z549" s="69" t="s">
        <v>85</v>
      </c>
      <c r="AA549" s="69" t="s">
        <v>85</v>
      </c>
      <c r="AB549" s="69" t="s">
        <v>85</v>
      </c>
      <c r="AC549" s="69" t="s">
        <v>85</v>
      </c>
      <c r="AD549" s="38" t="str">
        <f>+IF(ISERROR(VLOOKUP($B549,AD$10:AD548,1,0)),IF(AND($N549&gt;=1000,$A549&gt;=AO$8,$A549&lt;=AO$9),$B549,""),"")</f>
        <v/>
      </c>
      <c r="AE549" s="38" t="str">
        <f>+IF(ISERROR(VLOOKUP($B549,AE$10:AE548,1,0)),IF(AND($N549&gt;=1000,$A549&gt;=AP$8,$A549&lt;=AP$9),$B549,""),"")</f>
        <v/>
      </c>
      <c r="AF549" s="38" t="str">
        <f>+IF(ISERROR(VLOOKUP($B549,AF$10:AF548,1,0)),IF(AND($N549&gt;=1000,$A549&gt;=AQ$8,$A549&lt;=AQ$9),$B549,""),"")</f>
        <v/>
      </c>
      <c r="AG549" s="38" t="str">
        <f>+IF(ISERROR(VLOOKUP($B549,AG$10:AG548,1,0)),IF(AND($N549&gt;=1000,$A549&gt;=AR$8,$A549&lt;=AR$9),$B549,""),"")</f>
        <v/>
      </c>
      <c r="AH549" s="38"/>
      <c r="AI549" s="70">
        <v>0</v>
      </c>
      <c r="AJ549" s="38">
        <f>IF(AND(AJ$7="○",$A549&gt;=AJ$8,$A549&lt;=AJ$9),IF(SUM(AJ$10:AJ548)-ROUNDDOWN($K549*AJ$5/100,0)&lt;-AJ$6,-AJ$6-SUM(AJ$10:AJ548),-ROUNDDOWN($K549*AJ$5/100,0)),0)</f>
        <v>0</v>
      </c>
      <c r="AK549" s="38">
        <f>IF(AND(AK$7="○",$A549&gt;=AK$8,$A549&lt;=AK$9),IF(SUM(AK$10:AK548)-ROUNDDOWN($L549*AK$5/100,0)&lt;-AK$6,-AK$6-SUM(AK$10:AK548),-ROUNDDOWN($L549*AK$5/100,0)),0)</f>
        <v>0</v>
      </c>
      <c r="AL549" s="38">
        <f>IF(AND(AL$7="○",$A549&gt;=AL$8,$A549&lt;=AL$9),IF(SUM(AL$10:AL548)-ROUNDDOWN($N549*AL$5/100,0)&lt;-AL$6,-AL$6-SUM(AL$10:AL548),-ROUNDDOWN($N549*AL$5/100,0)),0)</f>
        <v>0</v>
      </c>
      <c r="AM549" s="38">
        <f>IF(AND(AM$7="○",$A549&gt;=AM$8,$A549&lt;=AM$9),IF(SUM(AM$10:AM548)-ROUNDDOWN($L549*AM$5/100,0)&lt;-AM$6,-AM$6-SUM(AM$10:AM548),-ROUNDDOWN($L549*AM$5/100,0)),0)</f>
        <v>0</v>
      </c>
      <c r="AN549" s="38">
        <f>IF(AND(AN$7="○",$A549&gt;=AN$8,$A549&lt;=AN$9),IF(SUM(AN$10:AN548)-ROUNDDOWN($M549*AN$5/100,0)&lt;-AN$6,-AN$6-SUM(AN$10:AN548),-ROUNDDOWN($M549*AN$5/100,0)),0)</f>
        <v>0</v>
      </c>
      <c r="AO549" s="38">
        <f>IF(AND($A549&gt;=AO$8,$A549&lt;=AO$9),IF(SUM(AO$10:AO548)-ROUNDDOWN($K549*AO$5/100,0)&lt;-AO$6,-AO$6-SUM(AO$10:AO548),-ROUNDDOWN($K549*AO$5/100,0)),0)</f>
        <v>0</v>
      </c>
      <c r="AP549" s="38">
        <f>IF(AND($A549&gt;=AP$8,$A549&lt;=AP$9),IF(SUM(AP$10:AP548)-ROUNDDOWN($K549*AP$5/100,0)&lt;-AP$6,-AP$6-SUM(AP$10:AP548),-ROUNDDOWN($K549*AP$5/100,0)),0)</f>
        <v>0</v>
      </c>
      <c r="AQ549" s="38">
        <f>IF(AND($A549&gt;=AQ$8,$A549&lt;=AQ$9),IF(SUM(AQ$10:AQ548)-ROUNDDOWN($K549*AQ$5/100,0)&lt;-AQ$6,-AQ$6-SUM(AQ$10:AQ548),-ROUNDDOWN($K549*AQ$5/100,0)),0)</f>
        <v>0</v>
      </c>
      <c r="AR549" s="38">
        <f>IF(AND($A549&gt;=AR$8,$A549&lt;=AR$9),IF(SUM(AR$10:AR548)-ROUNDDOWN($K549*AR$5/100,0)&lt;-AR$6,-AR$6-SUM(AR$10:AR548),-ROUNDDOWN($K549*AR$5/100,0)),0)</f>
        <v>0</v>
      </c>
      <c r="AS549" s="38">
        <f>IF(SUMIFS(AS$10:AS548,$A$10:$A548,$A549)-ROUNDDOWN($K549*$S549/100,0)&lt;-$S549*1000,-$S549*1000-SUMIFS(AS$10:AS548,$A$10:$A548,$A549),-ROUNDDOWN($K549*$S549/100,0))</f>
        <v>0</v>
      </c>
      <c r="AT549" s="38">
        <f>IF(AND(X549="○",$A549&gt;=AT$8,$A549&lt;=AT$9,K549&gt;=3980),IF(SUM(AT$10:AT548)-ROUNDDOWN($K549*AT$5/100,0)&lt;-AT$6,-AT$6-SUM(AT$10:AT548),-ROUNDDOWN($K549*AT$5/100,0)),0)</f>
        <v>0</v>
      </c>
      <c r="AU549" s="38">
        <f>IF(O549="○",IF(SUM(AU$10:AU548)-ROUNDDOWN($K549*AU$5/100,0)&lt;-AU$6,-AU$6-SUM(AU$10:AU548),-ROUNDDOWN($K549*AU$5/100,0)),0)</f>
        <v>0</v>
      </c>
      <c r="AV549" s="38">
        <f>IF(P549="○",IF(SUM(AV$10:AV548)-ROUNDDOWN($K549*AV$5/100,0)&lt;-AV$6,-AV$6-SUM(AV$10:AV548),-ROUNDDOWN($K549*AV$5/100,0)),0)</f>
        <v>0</v>
      </c>
      <c r="AW549" s="38">
        <f>IF(Q549="○",IF(SUM(AW$10:AW548)-ROUNDDOWN($K549*AW$5/100,0)&lt;-AW$6,-AW$6-SUM(AW$10:AW548),-ROUNDDOWN($K549*AW$5/100,0)),0)</f>
        <v>0</v>
      </c>
      <c r="AX549" s="38">
        <f>IF(R549="○",IF(SUM(AX$10:AX548)-ROUNDDOWN($K549*AX$5/100,0)&lt;-AX$6,-AX$6-SUM(AX$10:AX548),-ROUNDDOWN($K549*AX$5/100,0)),0)</f>
        <v>0</v>
      </c>
      <c r="AY549" s="70">
        <v>0</v>
      </c>
      <c r="AZ549" s="65">
        <f t="shared" si="348"/>
        <v>0</v>
      </c>
      <c r="BA549" s="65">
        <f t="shared" si="349"/>
        <v>0</v>
      </c>
      <c r="BB549" s="70"/>
      <c r="BC549" s="65">
        <f t="shared" si="350"/>
        <v>0</v>
      </c>
      <c r="BD549" s="70">
        <v>0</v>
      </c>
      <c r="BE549" s="65">
        <f t="shared" si="351"/>
        <v>0</v>
      </c>
      <c r="BF549" s="70">
        <v>0</v>
      </c>
      <c r="BG549" s="65">
        <f t="shared" si="352"/>
        <v>0</v>
      </c>
      <c r="BH549" s="70">
        <v>0</v>
      </c>
      <c r="BI549" s="65">
        <f t="shared" si="353"/>
        <v>0</v>
      </c>
      <c r="BJ549" s="38">
        <f>IF(AND(BJ$7="○",$A549&gt;=BJ$8,$A549&lt;=BJ$9),IF(SUM(BJ$10:BJ548)-ROUNDDOWN($M549*BJ$5/100,0)&lt;-BJ$6,-BJ$6-SUM(BJ$10:BJ548),-ROUNDDOWN($M549*BJ$5/100,0)),0)</f>
        <v>0</v>
      </c>
      <c r="BK549" s="38">
        <f>IF(AND(BK$7="○",$A549&gt;=BK$8,$A549&lt;=BK$9),IF(SUM(BK$10:BK548)-ROUNDDOWN($L549*BK$5/100,0)&lt;-BK$6,-BK$6-SUM(BK$10:BK548),-ROUNDDOWN($L549*BK$5/100,0)),0)</f>
        <v>0</v>
      </c>
      <c r="BL549" s="38">
        <f>IF(AND(BL$7="○",$A549&gt;=BL$8,$A549&lt;=BL$9),IF(SUM(BL$10:BL548)-ROUNDDOWN($L549*BL$5/100,0)&lt;-BL$6,-BL$6-SUM(BL$10:BL548),-ROUNDDOWN($L549*BL$5/100,0)),0)</f>
        <v>0</v>
      </c>
      <c r="BM549" s="38">
        <f>IF(AND(BM$7="○",$A549&gt;=BM$8,$A549&lt;=BM$9),IF(SUM(BM$10:BM548)-ROUNDDOWN($M549*BM$5/100,0)&lt;-BM$6,-BM$6-SUM(BM$10:BM548),-ROUNDDOWN($M549*BM$5/100,0)),0)</f>
        <v>0</v>
      </c>
      <c r="BN549" s="38">
        <f>IF(AND(BN$7="○",$A549&gt;=BN$8,$A549&lt;=BN$9),IF(SUM(BN$10:BN548)-ROUNDDOWN($M549*BN$5/100,0)&lt;-BN$6,-BN$6-SUM(BN$10:BN548),-ROUNDDOWN($M549*BN$5/100,0)),0)</f>
        <v>0</v>
      </c>
      <c r="BO549" s="38">
        <f>IF(AND(BO$7="○",$A549&gt;=BO$8,$A549&lt;=BO$9),IF(SUM(BO$10:BO548)-ROUNDDOWN($M549*BO$5/100,0)&lt;-BO$6,-BO$6-SUM(BO$10:BO548),-ROUNDDOWN($M549*BO$5/100,0)),0)</f>
        <v>0</v>
      </c>
      <c r="BP549" s="38">
        <f>IF(AND(BP$7="○",$A549&gt;=BP$8,$A549&lt;=BP$9),IF(SUM(BP$10:BP548)-ROUNDDOWN($M549*BP$5/100,0)&lt;-BP$6,-BP$6-SUM(BP$10:BP548),-ROUNDDOWN($M549*BP$5/100,0)),0)</f>
        <v>0</v>
      </c>
      <c r="BQ549" s="38">
        <f>IF(AND(BQ$7="○",$A549&gt;=BQ$8,$A549&lt;=BQ$9),IF(SUM(BQ$10:BQ548)-ROUNDDOWN($L549*BQ$5/100,0)&lt;-BQ$6,-BQ$6-SUM(BQ$10:BQ548),-ROUNDDOWN($L549*BQ$5/100,0)),0)</f>
        <v>0</v>
      </c>
      <c r="BR549" s="38">
        <f>IF(AND(BR$7="○",$A549&gt;=BR$8,$A549&lt;=BR$9),IF(SUM(BR$10:BR548)-ROUNDDOWN($M549*BR$5/100,0)&lt;-BR$6,-BR$6-SUM(BR$10:BR548),-ROUNDDOWN($M549*BR$5/100,0)),0)</f>
        <v>0</v>
      </c>
      <c r="BS549" s="38">
        <f>IF(AND(BS$7="○",$A549&gt;=BS$8,$A549&lt;=BS$9),IF(SUM(BS$10:BS548)-ROUNDDOWN($M549*BS$5/100,0)&lt;-BS$6,-BS$6-SUM(BS$10:BS548),-ROUNDDOWN($M549*BS$5/100,0)),0)</f>
        <v>0</v>
      </c>
      <c r="BT549" s="38">
        <f>IF(AND(BT$7="○",$A549&gt;=BT$8,$A549&lt;=BT$9),IF(SUM(BT$10:BT548)-ROUNDDOWN($M549*BT$5/100,0)&lt;-BT$6,-BT$6-SUM(BT$10:BT548),-ROUNDDOWN($M549*BT$5/100,0)),0)</f>
        <v>0</v>
      </c>
      <c r="BU549" s="38">
        <f>IF(AND(BU$7="○",$A549&gt;=BU$8,$A549&lt;=BU$9),IF(SUM(BU$10:BU548)-ROUNDDOWN($M549*BU$5/100,0)&lt;-BU$6,-BU$6-SUM(BU$10:BU548),-ROUNDDOWN($M549*BU$5/100,0)),0)</f>
        <v>0</v>
      </c>
      <c r="BV549" s="38">
        <f>IF(AND(BV$7="○",$A549&gt;=BV$8,$A549&lt;=BV$9),IF(SUM(BV$10:BV548)-ROUNDDOWN($M549*BV$5/100,0)&lt;-BV$6,-BV$6-SUM(BV$10:BV548),-ROUNDDOWN($M549*BV$5/100,0)),0)</f>
        <v>0</v>
      </c>
      <c r="BW549" s="38">
        <f>IF(AND(BW$7="○",$A549&gt;=BW$8,$A549&lt;=BW$9),IF(SUM(BW$10:BW548)-ROUNDDOWN($M549*BW$5/100,0)&lt;-BW$6,-BW$6-SUM(BW$10:BW548),-ROUNDDOWN($M549*BW$5/100,0)),0)</f>
        <v>0</v>
      </c>
      <c r="BX549" s="38">
        <f>IF(AND(T549="○",$A549&gt;=BX$8,$A549&lt;=BX$9),IF(SUM(BX$10:BX548)-ROUNDDOWN($K549*BX$5/100,0)&lt;-BX$6,-BX$6-SUM(BX$10:BX548),-ROUNDDOWN($K549*BX$5/100,0)),0)</f>
        <v>0</v>
      </c>
      <c r="BY549" s="38">
        <f>IF(AND(U549="○",$A549&gt;=BY$8,$A549&lt;=BY$9),IF(SUM(BY$10:BY548)-ROUNDDOWN($K549*BY$5/100,0)&lt;-BY$6,-BY$6-SUM(BY$10:BY548),-ROUNDDOWN($K549*BY$5/100,0)),0)</f>
        <v>0</v>
      </c>
      <c r="BZ549" s="38">
        <f>IF(AND(V549="○",$A549&gt;=BZ$8,$A549&lt;=BZ$9),IF(SUM(BZ$10:BZ548)-ROUNDDOWN($K549*BZ$5/100,0)&lt;-BZ$6,-BZ$6-SUM(BZ$10:BZ548),-ROUNDDOWN($K549*BZ$5/100,0)),0)</f>
        <v>0</v>
      </c>
      <c r="CA549" s="38">
        <f>IF(AND(W549="○",$A549&gt;=CA$8,$A549&lt;=CA$9),IF(SUM(CA$10:CA548)-ROUNDDOWN($K549*CA$5/100,0)&lt;-CA$6,-CA$6-SUM(CA$10:CA548),-ROUNDDOWN($K549*CA$5/100,0)),0)</f>
        <v>0</v>
      </c>
      <c r="CB549" s="38"/>
      <c r="CC549" s="38"/>
      <c r="CD549" s="38"/>
      <c r="CE549" s="38"/>
      <c r="CF549" s="38"/>
      <c r="CG549" s="65">
        <f t="shared" si="354"/>
        <v>0</v>
      </c>
      <c r="CH549" s="71">
        <f t="shared" si="355"/>
        <v>0</v>
      </c>
      <c r="CI549" s="1">
        <f t="shared" si="19"/>
        <v>0</v>
      </c>
      <c r="CJ549" s="1"/>
      <c r="CK549" s="79"/>
      <c r="CL549" s="79"/>
      <c r="CM549" s="2"/>
      <c r="CN549" s="2"/>
      <c r="CO549" s="73">
        <f t="shared" si="20"/>
        <v>0</v>
      </c>
      <c r="CP549" s="5">
        <f t="shared" si="21"/>
        <v>0</v>
      </c>
      <c r="CQ549" s="1"/>
      <c r="CR549" s="1">
        <f t="shared" si="22"/>
        <v>0</v>
      </c>
      <c r="CS549" s="1"/>
      <c r="CT549" s="1" t="e">
        <f>INDEX([2]マスタ!$A:$A,MATCH(D549,[2]マスタ!$C:$C,0))</f>
        <v>#N/A</v>
      </c>
      <c r="CU549" s="1" t="str">
        <f t="shared" ca="1" si="23"/>
        <v>20260620_0-0</v>
      </c>
    </row>
    <row r="550" spans="1:99" x14ac:dyDescent="0.4">
      <c r="A550" s="61"/>
      <c r="B550" s="62"/>
      <c r="C550" s="62"/>
      <c r="D550" s="62"/>
      <c r="E550" s="63"/>
      <c r="F550" s="62"/>
      <c r="G550" s="62">
        <v>1</v>
      </c>
      <c r="H550" s="64">
        <f t="shared" si="4"/>
        <v>0</v>
      </c>
      <c r="I550" s="64"/>
      <c r="J550" s="64"/>
      <c r="K550" s="65">
        <f t="shared" si="358"/>
        <v>0</v>
      </c>
      <c r="L550" s="65">
        <f t="shared" si="6"/>
        <v>0</v>
      </c>
      <c r="M550" s="65">
        <f t="shared" si="7"/>
        <v>0</v>
      </c>
      <c r="N550" s="65">
        <f t="shared" si="8"/>
        <v>0</v>
      </c>
      <c r="O550" s="66" t="str">
        <f t="shared" si="9"/>
        <v>✕</v>
      </c>
      <c r="P550" s="67" t="str">
        <f t="shared" si="10"/>
        <v>○</v>
      </c>
      <c r="Q550" s="67" t="str">
        <f t="shared" si="359"/>
        <v>✕</v>
      </c>
      <c r="R550" s="67" t="str">
        <f t="shared" si="12"/>
        <v>✕</v>
      </c>
      <c r="S550" s="68">
        <v>0</v>
      </c>
      <c r="T550" s="69" t="s">
        <v>85</v>
      </c>
      <c r="U550" s="69" t="s">
        <v>85</v>
      </c>
      <c r="V550" s="69" t="s">
        <v>85</v>
      </c>
      <c r="W550" s="69" t="s">
        <v>85</v>
      </c>
      <c r="X550" s="69" t="s">
        <v>84</v>
      </c>
      <c r="Y550" s="69" t="s">
        <v>85</v>
      </c>
      <c r="Z550" s="69" t="s">
        <v>85</v>
      </c>
      <c r="AA550" s="69" t="s">
        <v>85</v>
      </c>
      <c r="AB550" s="69" t="s">
        <v>85</v>
      </c>
      <c r="AC550" s="69" t="s">
        <v>85</v>
      </c>
      <c r="AD550" s="38" t="str">
        <f>+IF(ISERROR(VLOOKUP($B550,AD$10:AD549,1,0)),IF(AND($N550&gt;=1000,$A550&gt;=AO$8,$A550&lt;=AO$9),$B550,""),"")</f>
        <v/>
      </c>
      <c r="AE550" s="38" t="str">
        <f>+IF(ISERROR(VLOOKUP($B550,AE$10:AE549,1,0)),IF(AND($N550&gt;=1000,$A550&gt;=AP$8,$A550&lt;=AP$9),$B550,""),"")</f>
        <v/>
      </c>
      <c r="AF550" s="38" t="str">
        <f>+IF(ISERROR(VLOOKUP($B550,AF$10:AF549,1,0)),IF(AND($N550&gt;=1000,$A550&gt;=AQ$8,$A550&lt;=AQ$9),$B550,""),"")</f>
        <v/>
      </c>
      <c r="AG550" s="38" t="str">
        <f>+IF(ISERROR(VLOOKUP($B550,AG$10:AG549,1,0)),IF(AND($N550&gt;=1000,$A550&gt;=AR$8,$A550&lt;=AR$9),$B550,""),"")</f>
        <v/>
      </c>
      <c r="AH550" s="38"/>
      <c r="AI550" s="70">
        <v>0</v>
      </c>
      <c r="AJ550" s="38">
        <f>IF(AND(AJ$7="○",$A550&gt;=AJ$8,$A550&lt;=AJ$9),IF(SUM(AJ$10:AJ549)-ROUNDDOWN($K550*AJ$5/100,0)&lt;-AJ$6,-AJ$6-SUM(AJ$10:AJ549),-ROUNDDOWN($K550*AJ$5/100,0)),0)</f>
        <v>0</v>
      </c>
      <c r="AK550" s="38">
        <f>IF(AND(AK$7="○",$A550&gt;=AK$8,$A550&lt;=AK$9),IF(SUM(AK$10:AK549)-ROUNDDOWN($L550*AK$5/100,0)&lt;-AK$6,-AK$6-SUM(AK$10:AK549),-ROUNDDOWN($L550*AK$5/100,0)),0)</f>
        <v>0</v>
      </c>
      <c r="AL550" s="38">
        <f>IF(AND(AL$7="○",$A550&gt;=AL$8,$A550&lt;=AL$9),IF(SUM(AL$10:AL549)-ROUNDDOWN($N550*AL$5/100,0)&lt;-AL$6,-AL$6-SUM(AL$10:AL549),-ROUNDDOWN($N550*AL$5/100,0)),0)</f>
        <v>0</v>
      </c>
      <c r="AM550" s="38">
        <f>IF(AND(AM$7="○",$A550&gt;=AM$8,$A550&lt;=AM$9),IF(SUM(AM$10:AM549)-ROUNDDOWN($L550*AM$5/100,0)&lt;-AM$6,-AM$6-SUM(AM$10:AM549),-ROUNDDOWN($L550*AM$5/100,0)),0)</f>
        <v>0</v>
      </c>
      <c r="AN550" s="38">
        <f>IF(AND(AN$7="○",$A550&gt;=AN$8,$A550&lt;=AN$9),IF(SUM(AN$10:AN549)-ROUNDDOWN($M550*AN$5/100,0)&lt;-AN$6,-AN$6-SUM(AN$10:AN549),-ROUNDDOWN($M550*AN$5/100,0)),0)</f>
        <v>0</v>
      </c>
      <c r="AO550" s="38">
        <f>IF(AND($A550&gt;=AO$8,$A550&lt;=AO$9),IF(SUM(AO$10:AO549)-ROUNDDOWN($K550*AO$5/100,0)&lt;-AO$6,-AO$6-SUM(AO$10:AO549),-ROUNDDOWN($K550*AO$5/100,0)),0)</f>
        <v>0</v>
      </c>
      <c r="AP550" s="38">
        <f>IF(AND($A550&gt;=AP$8,$A550&lt;=AP$9),IF(SUM(AP$10:AP549)-ROUNDDOWN($K550*AP$5/100,0)&lt;-AP$6,-AP$6-SUM(AP$10:AP549),-ROUNDDOWN($K550*AP$5/100,0)),0)</f>
        <v>0</v>
      </c>
      <c r="AQ550" s="38">
        <f>IF(AND($A550&gt;=AQ$8,$A550&lt;=AQ$9),IF(SUM(AQ$10:AQ549)-ROUNDDOWN($K550*AQ$5/100,0)&lt;-AQ$6,-AQ$6-SUM(AQ$10:AQ549),-ROUNDDOWN($K550*AQ$5/100,0)),0)</f>
        <v>0</v>
      </c>
      <c r="AR550" s="38">
        <f>IF(AND($A550&gt;=AR$8,$A550&lt;=AR$9),IF(SUM(AR$10:AR549)-ROUNDDOWN($K550*AR$5/100,0)&lt;-AR$6,-AR$6-SUM(AR$10:AR549),-ROUNDDOWN($K550*AR$5/100,0)),0)</f>
        <v>0</v>
      </c>
      <c r="AS550" s="38">
        <f>IF(SUMIFS(AS$10:AS549,$A$10:$A549,$A550)-ROUNDDOWN($K550*$S550/100,0)&lt;-$S550*1000,-$S550*1000-SUMIFS(AS$10:AS549,$A$10:$A549,$A550),-ROUNDDOWN($K550*$S550/100,0))</f>
        <v>0</v>
      </c>
      <c r="AT550" s="38">
        <f>IF(AND(X550="○",$A550&gt;=AT$8,$A550&lt;=AT$9,K550&gt;=3980),IF(SUM(AT$10:AT549)-ROUNDDOWN($K550*AT$5/100,0)&lt;-AT$6,-AT$6-SUM(AT$10:AT549),-ROUNDDOWN($K550*AT$5/100,0)),0)</f>
        <v>0</v>
      </c>
      <c r="AU550" s="38">
        <f>IF(O550="○",IF(SUM(AU$10:AU549)-ROUNDDOWN($K550*AU$5/100,0)&lt;-AU$6,-AU$6-SUM(AU$10:AU549),-ROUNDDOWN($K550*AU$5/100,0)),0)</f>
        <v>0</v>
      </c>
      <c r="AV550" s="38">
        <f>IF(P550="○",IF(SUM(AV$10:AV549)-ROUNDDOWN($K550*AV$5/100,0)&lt;-AV$6,-AV$6-SUM(AV$10:AV549),-ROUNDDOWN($K550*AV$5/100,0)),0)</f>
        <v>0</v>
      </c>
      <c r="AW550" s="38">
        <f>IF(Q550="○",IF(SUM(AW$10:AW549)-ROUNDDOWN($K550*AW$5/100,0)&lt;-AW$6,-AW$6-SUM(AW$10:AW549),-ROUNDDOWN($K550*AW$5/100,0)),0)</f>
        <v>0</v>
      </c>
      <c r="AX550" s="38">
        <f>IF(R550="○",IF(SUM(AX$10:AX549)-ROUNDDOWN($K550*AX$5/100,0)&lt;-AX$6,-AX$6-SUM(AX$10:AX549),-ROUNDDOWN($K550*AX$5/100,0)),0)</f>
        <v>0</v>
      </c>
      <c r="AY550" s="70">
        <v>0</v>
      </c>
      <c r="AZ550" s="65">
        <f t="shared" si="348"/>
        <v>0</v>
      </c>
      <c r="BA550" s="65">
        <f t="shared" si="349"/>
        <v>0</v>
      </c>
      <c r="BB550" s="70"/>
      <c r="BC550" s="65">
        <f t="shared" si="350"/>
        <v>0</v>
      </c>
      <c r="BD550" s="70">
        <v>0</v>
      </c>
      <c r="BE550" s="65">
        <f t="shared" si="351"/>
        <v>0</v>
      </c>
      <c r="BF550" s="70">
        <v>0</v>
      </c>
      <c r="BG550" s="65">
        <f t="shared" si="352"/>
        <v>0</v>
      </c>
      <c r="BH550" s="70">
        <v>0</v>
      </c>
      <c r="BI550" s="65">
        <f t="shared" si="353"/>
        <v>0</v>
      </c>
      <c r="BJ550" s="38">
        <f>IF(AND(BJ$7="○",$A550&gt;=BJ$8,$A550&lt;=BJ$9),IF(SUM(BJ$10:BJ549)-ROUNDDOWN($M550*BJ$5/100,0)&lt;-BJ$6,-BJ$6-SUM(BJ$10:BJ549),-ROUNDDOWN($M550*BJ$5/100,0)),0)</f>
        <v>0</v>
      </c>
      <c r="BK550" s="38">
        <f>IF(AND(BK$7="○",$A550&gt;=BK$8,$A550&lt;=BK$9),IF(SUM(BK$10:BK549)-ROUNDDOWN($L550*BK$5/100,0)&lt;-BK$6,-BK$6-SUM(BK$10:BK549),-ROUNDDOWN($L550*BK$5/100,0)),0)</f>
        <v>0</v>
      </c>
      <c r="BL550" s="38">
        <f>IF(AND(BL$7="○",$A550&gt;=BL$8,$A550&lt;=BL$9),IF(SUM(BL$10:BL549)-ROUNDDOWN($L550*BL$5/100,0)&lt;-BL$6,-BL$6-SUM(BL$10:BL549),-ROUNDDOWN($L550*BL$5/100,0)),0)</f>
        <v>0</v>
      </c>
      <c r="BM550" s="38">
        <f>IF(AND(BM$7="○",$A550&gt;=BM$8,$A550&lt;=BM$9),IF(SUM(BM$10:BM549)-ROUNDDOWN($M550*BM$5/100,0)&lt;-BM$6,-BM$6-SUM(BM$10:BM549),-ROUNDDOWN($M550*BM$5/100,0)),0)</f>
        <v>0</v>
      </c>
      <c r="BN550" s="38">
        <f>IF(AND(BN$7="○",$A550&gt;=BN$8,$A550&lt;=BN$9),IF(SUM(BN$10:BN549)-ROUNDDOWN($M550*BN$5/100,0)&lt;-BN$6,-BN$6-SUM(BN$10:BN549),-ROUNDDOWN($M550*BN$5/100,0)),0)</f>
        <v>0</v>
      </c>
      <c r="BO550" s="38">
        <f>IF(AND(BO$7="○",$A550&gt;=BO$8,$A550&lt;=BO$9),IF(SUM(BO$10:BO549)-ROUNDDOWN($M550*BO$5/100,0)&lt;-BO$6,-BO$6-SUM(BO$10:BO549),-ROUNDDOWN($M550*BO$5/100,0)),0)</f>
        <v>0</v>
      </c>
      <c r="BP550" s="38">
        <f>IF(AND(BP$7="○",$A550&gt;=BP$8,$A550&lt;=BP$9),IF(SUM(BP$10:BP549)-ROUNDDOWN($M550*BP$5/100,0)&lt;-BP$6,-BP$6-SUM(BP$10:BP549),-ROUNDDOWN($M550*BP$5/100,0)),0)</f>
        <v>0</v>
      </c>
      <c r="BQ550" s="38">
        <f>IF(AND(BQ$7="○",$A550&gt;=BQ$8,$A550&lt;=BQ$9),IF(SUM(BQ$10:BQ549)-ROUNDDOWN($L550*BQ$5/100,0)&lt;-BQ$6,-BQ$6-SUM(BQ$10:BQ549),-ROUNDDOWN($L550*BQ$5/100,0)),0)</f>
        <v>0</v>
      </c>
      <c r="BR550" s="38">
        <f>IF(AND(BR$7="○",$A550&gt;=BR$8,$A550&lt;=BR$9),IF(SUM(BR$10:BR549)-ROUNDDOWN($M550*BR$5/100,0)&lt;-BR$6,-BR$6-SUM(BR$10:BR549),-ROUNDDOWN($M550*BR$5/100,0)),0)</f>
        <v>0</v>
      </c>
      <c r="BS550" s="38">
        <f>IF(AND(BS$7="○",$A550&gt;=BS$8,$A550&lt;=BS$9),IF(SUM(BS$10:BS549)-ROUNDDOWN($M550*BS$5/100,0)&lt;-BS$6,-BS$6-SUM(BS$10:BS549),-ROUNDDOWN($M550*BS$5/100,0)),0)</f>
        <v>0</v>
      </c>
      <c r="BT550" s="38">
        <f>IF(AND(BT$7="○",$A550&gt;=BT$8,$A550&lt;=BT$9),IF(SUM(BT$10:BT549)-ROUNDDOWN($M550*BT$5/100,0)&lt;-BT$6,-BT$6-SUM(BT$10:BT549),-ROUNDDOWN($M550*BT$5/100,0)),0)</f>
        <v>0</v>
      </c>
      <c r="BU550" s="38">
        <f>IF(AND(BU$7="○",$A550&gt;=BU$8,$A550&lt;=BU$9),IF(SUM(BU$10:BU549)-ROUNDDOWN($M550*BU$5/100,0)&lt;-BU$6,-BU$6-SUM(BU$10:BU549),-ROUNDDOWN($M550*BU$5/100,0)),0)</f>
        <v>0</v>
      </c>
      <c r="BV550" s="38">
        <f>IF(AND(BV$7="○",$A550&gt;=BV$8,$A550&lt;=BV$9),IF(SUM(BV$10:BV549)-ROUNDDOWN($M550*BV$5/100,0)&lt;-BV$6,-BV$6-SUM(BV$10:BV549),-ROUNDDOWN($M550*BV$5/100,0)),0)</f>
        <v>0</v>
      </c>
      <c r="BW550" s="38">
        <f>IF(AND(BW$7="○",$A550&gt;=BW$8,$A550&lt;=BW$9),IF(SUM(BW$10:BW549)-ROUNDDOWN($M550*BW$5/100,0)&lt;-BW$6,-BW$6-SUM(BW$10:BW549),-ROUNDDOWN($M550*BW$5/100,0)),0)</f>
        <v>0</v>
      </c>
      <c r="BX550" s="38">
        <f>IF(AND(T550="○",$A550&gt;=BX$8,$A550&lt;=BX$9),IF(SUM(BX$10:BX549)-ROUNDDOWN($K550*BX$5/100,0)&lt;-BX$6,-BX$6-SUM(BX$10:BX549),-ROUNDDOWN($K550*BX$5/100,0)),0)</f>
        <v>0</v>
      </c>
      <c r="BY550" s="38">
        <f>IF(AND(U550="○",$A550&gt;=BY$8,$A550&lt;=BY$9),IF(SUM(BY$10:BY549)-ROUNDDOWN($K550*BY$5/100,0)&lt;-BY$6,-BY$6-SUM(BY$10:BY549),-ROUNDDOWN($K550*BY$5/100,0)),0)</f>
        <v>0</v>
      </c>
      <c r="BZ550" s="38">
        <f>IF(AND(V550="○",$A550&gt;=BZ$8,$A550&lt;=BZ$9),IF(SUM(BZ$10:BZ549)-ROUNDDOWN($K550*BZ$5/100,0)&lt;-BZ$6,-BZ$6-SUM(BZ$10:BZ549),-ROUNDDOWN($K550*BZ$5/100,0)),0)</f>
        <v>0</v>
      </c>
      <c r="CA550" s="38">
        <f>IF(AND(W550="○",$A550&gt;=CA$8,$A550&lt;=CA$9),IF(SUM(CA$10:CA549)-ROUNDDOWN($K550*CA$5/100,0)&lt;-CA$6,-CA$6-SUM(CA$10:CA549),-ROUNDDOWN($K550*CA$5/100,0)),0)</f>
        <v>0</v>
      </c>
      <c r="CB550" s="38"/>
      <c r="CC550" s="38"/>
      <c r="CD550" s="38"/>
      <c r="CE550" s="38"/>
      <c r="CF550" s="38"/>
      <c r="CG550" s="65">
        <f t="shared" si="354"/>
        <v>0</v>
      </c>
      <c r="CH550" s="71">
        <f t="shared" si="355"/>
        <v>0</v>
      </c>
      <c r="CI550" s="1">
        <f t="shared" si="19"/>
        <v>0</v>
      </c>
      <c r="CJ550" s="1"/>
      <c r="CK550" s="72"/>
      <c r="CL550" s="72"/>
      <c r="CM550" s="2"/>
      <c r="CN550" s="2"/>
      <c r="CO550" s="73">
        <f t="shared" si="20"/>
        <v>0</v>
      </c>
      <c r="CP550" s="5">
        <f t="shared" si="21"/>
        <v>0</v>
      </c>
      <c r="CQ550" s="1"/>
      <c r="CR550" s="1">
        <f t="shared" si="22"/>
        <v>0</v>
      </c>
      <c r="CS550" s="1"/>
      <c r="CT550" s="1" t="e">
        <f>INDEX([2]マスタ!$A:$A,MATCH(D550,[2]マスタ!$C:$C,0))</f>
        <v>#N/A</v>
      </c>
      <c r="CU550" s="1" t="str">
        <f t="shared" ca="1" si="23"/>
        <v>20260620_0-0</v>
      </c>
    </row>
    <row r="551" spans="1:99" x14ac:dyDescent="0.4">
      <c r="A551" s="61"/>
      <c r="B551" s="62"/>
      <c r="C551" s="62"/>
      <c r="D551" s="62"/>
      <c r="E551" s="63"/>
      <c r="F551" s="62"/>
      <c r="G551" s="62">
        <v>1</v>
      </c>
      <c r="H551" s="64">
        <f t="shared" si="4"/>
        <v>0</v>
      </c>
      <c r="I551" s="64"/>
      <c r="J551" s="64"/>
      <c r="K551" s="65">
        <f t="shared" si="358"/>
        <v>0</v>
      </c>
      <c r="L551" s="65">
        <f t="shared" si="6"/>
        <v>0</v>
      </c>
      <c r="M551" s="65">
        <f t="shared" si="7"/>
        <v>0</v>
      </c>
      <c r="N551" s="65">
        <f t="shared" si="8"/>
        <v>0</v>
      </c>
      <c r="O551" s="66" t="str">
        <f t="shared" si="9"/>
        <v>✕</v>
      </c>
      <c r="P551" s="67" t="str">
        <f t="shared" si="10"/>
        <v>○</v>
      </c>
      <c r="Q551" s="67" t="str">
        <f t="shared" si="359"/>
        <v>✕</v>
      </c>
      <c r="R551" s="67" t="str">
        <f t="shared" si="12"/>
        <v>✕</v>
      </c>
      <c r="S551" s="68">
        <v>0</v>
      </c>
      <c r="T551" s="69" t="s">
        <v>85</v>
      </c>
      <c r="U551" s="69" t="s">
        <v>85</v>
      </c>
      <c r="V551" s="69" t="s">
        <v>85</v>
      </c>
      <c r="W551" s="69" t="s">
        <v>85</v>
      </c>
      <c r="X551" s="69" t="s">
        <v>84</v>
      </c>
      <c r="Y551" s="69" t="s">
        <v>85</v>
      </c>
      <c r="Z551" s="69" t="s">
        <v>85</v>
      </c>
      <c r="AA551" s="69" t="s">
        <v>85</v>
      </c>
      <c r="AB551" s="69" t="s">
        <v>85</v>
      </c>
      <c r="AC551" s="69" t="s">
        <v>85</v>
      </c>
      <c r="AD551" s="38" t="str">
        <f>+IF(ISERROR(VLOOKUP($B551,AD$10:AD550,1,0)),IF(AND($N551&gt;=1000,$A551&gt;=AO$8,$A551&lt;=AO$9),$B551,""),"")</f>
        <v/>
      </c>
      <c r="AE551" s="38" t="str">
        <f>+IF(ISERROR(VLOOKUP($B551,AE$10:AE550,1,0)),IF(AND($N551&gt;=1000,$A551&gt;=AP$8,$A551&lt;=AP$9),$B551,""),"")</f>
        <v/>
      </c>
      <c r="AF551" s="38" t="str">
        <f>+IF(ISERROR(VLOOKUP($B551,AF$10:AF550,1,0)),IF(AND($N551&gt;=1000,$A551&gt;=AQ$8,$A551&lt;=AQ$9),$B551,""),"")</f>
        <v/>
      </c>
      <c r="AG551" s="38" t="str">
        <f>+IF(ISERROR(VLOOKUP($B551,AG$10:AG550,1,0)),IF(AND($N551&gt;=1000,$A551&gt;=AR$8,$A551&lt;=AR$9),$B551,""),"")</f>
        <v/>
      </c>
      <c r="AH551" s="38"/>
      <c r="AI551" s="70">
        <v>0</v>
      </c>
      <c r="AJ551" s="38">
        <f>IF(AND(AJ$7="○",$A551&gt;=AJ$8,$A551&lt;=AJ$9),IF(SUM(AJ$10:AJ550)-ROUNDDOWN($K551*AJ$5/100,0)&lt;-AJ$6,-AJ$6-SUM(AJ$10:AJ550),-ROUNDDOWN($K551*AJ$5/100,0)),0)</f>
        <v>0</v>
      </c>
      <c r="AK551" s="38">
        <f>IF(AND(AK$7="○",$A551&gt;=AK$8,$A551&lt;=AK$9),IF(SUM(AK$10:AK550)-ROUNDDOWN($L551*AK$5/100,0)&lt;-AK$6,-AK$6-SUM(AK$10:AK550),-ROUNDDOWN($L551*AK$5/100,0)),0)</f>
        <v>0</v>
      </c>
      <c r="AL551" s="38">
        <f>IF(AND(AL$7="○",$A551&gt;=AL$8,$A551&lt;=AL$9),IF(SUM(AL$10:AL550)-ROUNDDOWN($N551*AL$5/100,0)&lt;-AL$6,-AL$6-SUM(AL$10:AL550),-ROUNDDOWN($N551*AL$5/100,0)),0)</f>
        <v>0</v>
      </c>
      <c r="AM551" s="38">
        <f>IF(AND(AM$7="○",$A551&gt;=AM$8,$A551&lt;=AM$9),IF(SUM(AM$10:AM550)-ROUNDDOWN($L551*AM$5/100,0)&lt;-AM$6,-AM$6-SUM(AM$10:AM550),-ROUNDDOWN($L551*AM$5/100,0)),0)</f>
        <v>0</v>
      </c>
      <c r="AN551" s="38">
        <f>IF(AND(AN$7="○",$A551&gt;=AN$8,$A551&lt;=AN$9),IF(SUM(AN$10:AN550)-ROUNDDOWN($M551*AN$5/100,0)&lt;-AN$6,-AN$6-SUM(AN$10:AN550),-ROUNDDOWN($M551*AN$5/100,0)),0)</f>
        <v>0</v>
      </c>
      <c r="AO551" s="38">
        <f>IF(AND($A551&gt;=AO$8,$A551&lt;=AO$9),IF(SUM(AO$10:AO550)-ROUNDDOWN($K551*AO$5/100,0)&lt;-AO$6,-AO$6-SUM(AO$10:AO550),-ROUNDDOWN($K551*AO$5/100,0)),0)</f>
        <v>0</v>
      </c>
      <c r="AP551" s="38">
        <f>IF(AND($A551&gt;=AP$8,$A551&lt;=AP$9),IF(SUM(AP$10:AP550)-ROUNDDOWN($K551*AP$5/100,0)&lt;-AP$6,-AP$6-SUM(AP$10:AP550),-ROUNDDOWN($K551*AP$5/100,0)),0)</f>
        <v>0</v>
      </c>
      <c r="AQ551" s="38">
        <f>IF(AND($A551&gt;=AQ$8,$A551&lt;=AQ$9),IF(SUM(AQ$10:AQ550)-ROUNDDOWN($K551*AQ$5/100,0)&lt;-AQ$6,-AQ$6-SUM(AQ$10:AQ550),-ROUNDDOWN($K551*AQ$5/100,0)),0)</f>
        <v>0</v>
      </c>
      <c r="AR551" s="38">
        <f>IF(AND($A551&gt;=AR$8,$A551&lt;=AR$9),IF(SUM(AR$10:AR550)-ROUNDDOWN($K551*AR$5/100,0)&lt;-AR$6,-AR$6-SUM(AR$10:AR550),-ROUNDDOWN($K551*AR$5/100,0)),0)</f>
        <v>0</v>
      </c>
      <c r="AS551" s="38">
        <f>IF(SUMIFS(AS$10:AS550,$A$10:$A550,$A551)-ROUNDDOWN($K551*$S551/100,0)&lt;-$S551*1000,-$S551*1000-SUMIFS(AS$10:AS550,$A$10:$A550,$A551),-ROUNDDOWN($K551*$S551/100,0))</f>
        <v>0</v>
      </c>
      <c r="AT551" s="38">
        <f>IF(AND(X551="○",$A551&gt;=AT$8,$A551&lt;=AT$9,K551&gt;=3980),IF(SUM(AT$10:AT550)-ROUNDDOWN($K551*AT$5/100,0)&lt;-AT$6,-AT$6-SUM(AT$10:AT550),-ROUNDDOWN($K551*AT$5/100,0)),0)</f>
        <v>0</v>
      </c>
      <c r="AU551" s="38">
        <f>IF(O551="○",IF(SUM(AU$10:AU550)-ROUNDDOWN($K551*AU$5/100,0)&lt;-AU$6,-AU$6-SUM(AU$10:AU550),-ROUNDDOWN($K551*AU$5/100,0)),0)</f>
        <v>0</v>
      </c>
      <c r="AV551" s="38">
        <f>IF(P551="○",IF(SUM(AV$10:AV550)-ROUNDDOWN($K551*AV$5/100,0)&lt;-AV$6,-AV$6-SUM(AV$10:AV550),-ROUNDDOWN($K551*AV$5/100,0)),0)</f>
        <v>0</v>
      </c>
      <c r="AW551" s="38">
        <f>IF(Q551="○",IF(SUM(AW$10:AW550)-ROUNDDOWN($K551*AW$5/100,0)&lt;-AW$6,-AW$6-SUM(AW$10:AW550),-ROUNDDOWN($K551*AW$5/100,0)),0)</f>
        <v>0</v>
      </c>
      <c r="AX551" s="38">
        <f>IF(R551="○",IF(SUM(AX$10:AX550)-ROUNDDOWN($K551*AX$5/100,0)&lt;-AX$6,-AX$6-SUM(AX$10:AX550),-ROUNDDOWN($K551*AX$5/100,0)),0)</f>
        <v>0</v>
      </c>
      <c r="AY551" s="70">
        <v>0</v>
      </c>
      <c r="AZ551" s="65">
        <f t="shared" si="348"/>
        <v>0</v>
      </c>
      <c r="BA551" s="65">
        <f t="shared" si="349"/>
        <v>0</v>
      </c>
      <c r="BB551" s="70"/>
      <c r="BC551" s="65">
        <f t="shared" si="350"/>
        <v>0</v>
      </c>
      <c r="BD551" s="70">
        <v>0</v>
      </c>
      <c r="BE551" s="65">
        <f t="shared" si="351"/>
        <v>0</v>
      </c>
      <c r="BF551" s="70">
        <v>0</v>
      </c>
      <c r="BG551" s="65">
        <f t="shared" si="352"/>
        <v>0</v>
      </c>
      <c r="BH551" s="70">
        <v>0</v>
      </c>
      <c r="BI551" s="65">
        <f t="shared" si="353"/>
        <v>0</v>
      </c>
      <c r="BJ551" s="38">
        <f>IF(AND(BJ$7="○",$A551&gt;=BJ$8,$A551&lt;=BJ$9),IF(SUM(BJ$10:BJ550)-ROUNDDOWN($M551*BJ$5/100,0)&lt;-BJ$6,-BJ$6-SUM(BJ$10:BJ550),-ROUNDDOWN($M551*BJ$5/100,0)),0)</f>
        <v>0</v>
      </c>
      <c r="BK551" s="38">
        <f>IF(AND(BK$7="○",$A551&gt;=BK$8,$A551&lt;=BK$9),IF(SUM(BK$10:BK550)-ROUNDDOWN($L551*BK$5/100,0)&lt;-BK$6,-BK$6-SUM(BK$10:BK550),-ROUNDDOWN($L551*BK$5/100,0)),0)</f>
        <v>0</v>
      </c>
      <c r="BL551" s="38">
        <f>IF(AND(BL$7="○",$A551&gt;=BL$8,$A551&lt;=BL$9),IF(SUM(BL$10:BL550)-ROUNDDOWN($L551*BL$5/100,0)&lt;-BL$6,-BL$6-SUM(BL$10:BL550),-ROUNDDOWN($L551*BL$5/100,0)),0)</f>
        <v>0</v>
      </c>
      <c r="BM551" s="38">
        <f>IF(AND(BM$7="○",$A551&gt;=BM$8,$A551&lt;=BM$9),IF(SUM(BM$10:BM550)-ROUNDDOWN($M551*BM$5/100,0)&lt;-BM$6,-BM$6-SUM(BM$10:BM550),-ROUNDDOWN($M551*BM$5/100,0)),0)</f>
        <v>0</v>
      </c>
      <c r="BN551" s="38">
        <f>IF(AND(BN$7="○",$A551&gt;=BN$8,$A551&lt;=BN$9),IF(SUM(BN$10:BN550)-ROUNDDOWN($M551*BN$5/100,0)&lt;-BN$6,-BN$6-SUM(BN$10:BN550),-ROUNDDOWN($M551*BN$5/100,0)),0)</f>
        <v>0</v>
      </c>
      <c r="BO551" s="38">
        <f>IF(AND(BO$7="○",$A551&gt;=BO$8,$A551&lt;=BO$9),IF(SUM(BO$10:BO550)-ROUNDDOWN($M551*BO$5/100,0)&lt;-BO$6,-BO$6-SUM(BO$10:BO550),-ROUNDDOWN($M551*BO$5/100,0)),0)</f>
        <v>0</v>
      </c>
      <c r="BP551" s="38">
        <f>IF(AND(BP$7="○",$A551&gt;=BP$8,$A551&lt;=BP$9),IF(SUM(BP$10:BP550)-ROUNDDOWN($M551*BP$5/100,0)&lt;-BP$6,-BP$6-SUM(BP$10:BP550),-ROUNDDOWN($M551*BP$5/100,0)),0)</f>
        <v>0</v>
      </c>
      <c r="BQ551" s="38">
        <f>IF(AND(BQ$7="○",$A551&gt;=BQ$8,$A551&lt;=BQ$9),IF(SUM(BQ$10:BQ550)-ROUNDDOWN($L551*BQ$5/100,0)&lt;-BQ$6,-BQ$6-SUM(BQ$10:BQ550),-ROUNDDOWN($L551*BQ$5/100,0)),0)</f>
        <v>0</v>
      </c>
      <c r="BR551" s="38">
        <f>IF(AND(BR$7="○",$A551&gt;=BR$8,$A551&lt;=BR$9),IF(SUM(BR$10:BR550)-ROUNDDOWN($M551*BR$5/100,0)&lt;-BR$6,-BR$6-SUM(BR$10:BR550),-ROUNDDOWN($M551*BR$5/100,0)),0)</f>
        <v>0</v>
      </c>
      <c r="BS551" s="38">
        <f>IF(AND(BS$7="○",$A551&gt;=BS$8,$A551&lt;=BS$9),IF(SUM(BS$10:BS550)-ROUNDDOWN($M551*BS$5/100,0)&lt;-BS$6,-BS$6-SUM(BS$10:BS550),-ROUNDDOWN($M551*BS$5/100,0)),0)</f>
        <v>0</v>
      </c>
      <c r="BT551" s="38">
        <f>IF(AND(BT$7="○",$A551&gt;=BT$8,$A551&lt;=BT$9),IF(SUM(BT$10:BT550)-ROUNDDOWN($M551*BT$5/100,0)&lt;-BT$6,-BT$6-SUM(BT$10:BT550),-ROUNDDOWN($M551*BT$5/100,0)),0)</f>
        <v>0</v>
      </c>
      <c r="BU551" s="38">
        <f>IF(AND(BU$7="○",$A551&gt;=BU$8,$A551&lt;=BU$9),IF(SUM(BU$10:BU550)-ROUNDDOWN($M551*BU$5/100,0)&lt;-BU$6,-BU$6-SUM(BU$10:BU550),-ROUNDDOWN($M551*BU$5/100,0)),0)</f>
        <v>0</v>
      </c>
      <c r="BV551" s="38">
        <f>IF(AND(BV$7="○",$A551&gt;=BV$8,$A551&lt;=BV$9),IF(SUM(BV$10:BV550)-ROUNDDOWN($M551*BV$5/100,0)&lt;-BV$6,-BV$6-SUM(BV$10:BV550),-ROUNDDOWN($M551*BV$5/100,0)),0)</f>
        <v>0</v>
      </c>
      <c r="BW551" s="38">
        <f>IF(AND(BW$7="○",$A551&gt;=BW$8,$A551&lt;=BW$9),IF(SUM(BW$10:BW550)-ROUNDDOWN($M551*BW$5/100,0)&lt;-BW$6,-BW$6-SUM(BW$10:BW550),-ROUNDDOWN($M551*BW$5/100,0)),0)</f>
        <v>0</v>
      </c>
      <c r="BX551" s="38">
        <f>IF(AND(T551="○",$A551&gt;=BX$8,$A551&lt;=BX$9),IF(SUM(BX$10:BX550)-ROUNDDOWN($K551*BX$5/100,0)&lt;-BX$6,-BX$6-SUM(BX$10:BX550),-ROUNDDOWN($K551*BX$5/100,0)),0)</f>
        <v>0</v>
      </c>
      <c r="BY551" s="38">
        <f>IF(AND(U551="○",$A551&gt;=BY$8,$A551&lt;=BY$9),IF(SUM(BY$10:BY550)-ROUNDDOWN($K551*BY$5/100,0)&lt;-BY$6,-BY$6-SUM(BY$10:BY550),-ROUNDDOWN($K551*BY$5/100,0)),0)</f>
        <v>0</v>
      </c>
      <c r="BZ551" s="38">
        <f>IF(AND(V551="○",$A551&gt;=BZ$8,$A551&lt;=BZ$9),IF(SUM(BZ$10:BZ550)-ROUNDDOWN($K551*BZ$5/100,0)&lt;-BZ$6,-BZ$6-SUM(BZ$10:BZ550),-ROUNDDOWN($K551*BZ$5/100,0)),0)</f>
        <v>0</v>
      </c>
      <c r="CA551" s="38">
        <f>IF(AND(W551="○",$A551&gt;=CA$8,$A551&lt;=CA$9),IF(SUM(CA$10:CA550)-ROUNDDOWN($K551*CA$5/100,0)&lt;-CA$6,-CA$6-SUM(CA$10:CA550),-ROUNDDOWN($K551*CA$5/100,0)),0)</f>
        <v>0</v>
      </c>
      <c r="CB551" s="38"/>
      <c r="CC551" s="38"/>
      <c r="CD551" s="38"/>
      <c r="CE551" s="38"/>
      <c r="CF551" s="38"/>
      <c r="CG551" s="65">
        <f t="shared" si="354"/>
        <v>0</v>
      </c>
      <c r="CH551" s="71">
        <f t="shared" si="355"/>
        <v>0</v>
      </c>
      <c r="CI551" s="1">
        <f t="shared" si="19"/>
        <v>0</v>
      </c>
      <c r="CJ551" s="1"/>
      <c r="CK551" s="2"/>
      <c r="CL551" s="2"/>
      <c r="CM551" s="2"/>
      <c r="CN551" s="2"/>
      <c r="CO551" s="73">
        <f t="shared" si="20"/>
        <v>0</v>
      </c>
      <c r="CP551" s="5">
        <f t="shared" si="21"/>
        <v>0</v>
      </c>
      <c r="CQ551" s="1"/>
      <c r="CR551" s="1">
        <f t="shared" si="22"/>
        <v>0</v>
      </c>
      <c r="CS551" s="1"/>
      <c r="CT551" s="1" t="e">
        <f>INDEX([2]マスタ!$A:$A,MATCH(D551,[2]マスタ!$C:$C,0))</f>
        <v>#N/A</v>
      </c>
      <c r="CU551" s="1" t="str">
        <f t="shared" ca="1" si="23"/>
        <v>20260620_0-0</v>
      </c>
    </row>
    <row r="552" spans="1:99" x14ac:dyDescent="0.4">
      <c r="A552" s="61"/>
      <c r="B552" s="62"/>
      <c r="C552" s="62"/>
      <c r="D552" s="62"/>
      <c r="E552" s="63"/>
      <c r="F552" s="62"/>
      <c r="G552" s="62">
        <v>1</v>
      </c>
      <c r="H552" s="64">
        <f t="shared" si="4"/>
        <v>0</v>
      </c>
      <c r="I552" s="64"/>
      <c r="J552" s="78"/>
      <c r="K552" s="65">
        <f t="shared" si="358"/>
        <v>0</v>
      </c>
      <c r="L552" s="65">
        <f t="shared" si="6"/>
        <v>0</v>
      </c>
      <c r="M552" s="65">
        <f t="shared" si="7"/>
        <v>0</v>
      </c>
      <c r="N552" s="65">
        <f t="shared" si="8"/>
        <v>0</v>
      </c>
      <c r="O552" s="66" t="str">
        <f t="shared" si="9"/>
        <v>✕</v>
      </c>
      <c r="P552" s="67" t="str">
        <f t="shared" si="10"/>
        <v>○</v>
      </c>
      <c r="Q552" s="67" t="str">
        <f t="shared" si="359"/>
        <v>✕</v>
      </c>
      <c r="R552" s="67" t="str">
        <f t="shared" si="12"/>
        <v>✕</v>
      </c>
      <c r="S552" s="68">
        <v>0</v>
      </c>
      <c r="T552" s="69" t="s">
        <v>85</v>
      </c>
      <c r="U552" s="69" t="s">
        <v>85</v>
      </c>
      <c r="V552" s="69" t="s">
        <v>85</v>
      </c>
      <c r="W552" s="69" t="s">
        <v>85</v>
      </c>
      <c r="X552" s="69" t="s">
        <v>84</v>
      </c>
      <c r="Y552" s="69" t="s">
        <v>85</v>
      </c>
      <c r="Z552" s="69" t="s">
        <v>85</v>
      </c>
      <c r="AA552" s="69" t="s">
        <v>85</v>
      </c>
      <c r="AB552" s="69" t="s">
        <v>85</v>
      </c>
      <c r="AC552" s="69" t="s">
        <v>85</v>
      </c>
      <c r="AD552" s="38" t="str">
        <f>+IF(ISERROR(VLOOKUP($B552,AD$10:AD551,1,0)),IF(AND($N552&gt;=1000,$A552&gt;=AO$8,$A552&lt;=AO$9),$B552,""),"")</f>
        <v/>
      </c>
      <c r="AE552" s="38" t="str">
        <f>+IF(ISERROR(VLOOKUP($B552,AE$10:AE551,1,0)),IF(AND($N552&gt;=1000,$A552&gt;=AP$8,$A552&lt;=AP$9),$B552,""),"")</f>
        <v/>
      </c>
      <c r="AF552" s="38" t="str">
        <f>+IF(ISERROR(VLOOKUP($B552,AF$10:AF551,1,0)),IF(AND($N552&gt;=1000,$A552&gt;=AQ$8,$A552&lt;=AQ$9),$B552,""),"")</f>
        <v/>
      </c>
      <c r="AG552" s="38" t="str">
        <f>+IF(ISERROR(VLOOKUP($B552,AG$10:AG551,1,0)),IF(AND($N552&gt;=1000,$A552&gt;=AR$8,$A552&lt;=AR$9),$B552,""),"")</f>
        <v/>
      </c>
      <c r="AH552" s="38"/>
      <c r="AI552" s="70">
        <v>0</v>
      </c>
      <c r="AJ552" s="38">
        <f>IF(AND(AJ$7="○",$A552&gt;=AJ$8,$A552&lt;=AJ$9),IF(SUM(AJ$10:AJ551)-ROUNDDOWN($K552*AJ$5/100,0)&lt;-AJ$6,-AJ$6-SUM(AJ$10:AJ551),-ROUNDDOWN($K552*AJ$5/100,0)),0)</f>
        <v>0</v>
      </c>
      <c r="AK552" s="38">
        <f>IF(AND(AK$7="○",$A552&gt;=AK$8,$A552&lt;=AK$9),IF(SUM(AK$10:AK551)-ROUNDDOWN($L552*AK$5/100,0)&lt;-AK$6,-AK$6-SUM(AK$10:AK551),-ROUNDDOWN($L552*AK$5/100,0)),0)</f>
        <v>0</v>
      </c>
      <c r="AL552" s="38">
        <f>IF(AND(AL$7="○",$A552&gt;=AL$8,$A552&lt;=AL$9),IF(SUM(AL$10:AL551)-ROUNDDOWN($N552*AL$5/100,0)&lt;-AL$6,-AL$6-SUM(AL$10:AL551),-ROUNDDOWN($N552*AL$5/100,0)),0)</f>
        <v>0</v>
      </c>
      <c r="AM552" s="38">
        <f>IF(AND(AM$7="○",$A552&gt;=AM$8,$A552&lt;=AM$9),IF(SUM(AM$10:AM551)-ROUNDDOWN($L552*AM$5/100,0)&lt;-AM$6,-AM$6-SUM(AM$10:AM551),-ROUNDDOWN($L552*AM$5/100,0)),0)</f>
        <v>0</v>
      </c>
      <c r="AN552" s="38">
        <f>IF(AND(AN$7="○",$A552&gt;=AN$8,$A552&lt;=AN$9),IF(SUM(AN$10:AN551)-ROUNDDOWN($M552*AN$5/100,0)&lt;-AN$6,-AN$6-SUM(AN$10:AN551),-ROUNDDOWN($M552*AN$5/100,0)),0)</f>
        <v>0</v>
      </c>
      <c r="AO552" s="38">
        <f>IF(AND($A552&gt;=AO$8,$A552&lt;=AO$9),IF(SUM(AO$10:AO551)-ROUNDDOWN($K552*AO$5/100,0)&lt;-AO$6,-AO$6-SUM(AO$10:AO551),-ROUNDDOWN($K552*AO$5/100,0)),0)</f>
        <v>0</v>
      </c>
      <c r="AP552" s="38">
        <f>IF(AND($A552&gt;=AP$8,$A552&lt;=AP$9),IF(SUM(AP$10:AP551)-ROUNDDOWN($K552*AP$5/100,0)&lt;-AP$6,-AP$6-SUM(AP$10:AP551),-ROUNDDOWN($K552*AP$5/100,0)),0)</f>
        <v>0</v>
      </c>
      <c r="AQ552" s="38">
        <f>IF(AND($A552&gt;=AQ$8,$A552&lt;=AQ$9),IF(SUM(AQ$10:AQ551)-ROUNDDOWN($K552*AQ$5/100,0)&lt;-AQ$6,-AQ$6-SUM(AQ$10:AQ551),-ROUNDDOWN($K552*AQ$5/100,0)),0)</f>
        <v>0</v>
      </c>
      <c r="AR552" s="38">
        <f>IF(AND($A552&gt;=AR$8,$A552&lt;=AR$9),IF(SUM(AR$10:AR551)-ROUNDDOWN($K552*AR$5/100,0)&lt;-AR$6,-AR$6-SUM(AR$10:AR551),-ROUNDDOWN($K552*AR$5/100,0)),0)</f>
        <v>0</v>
      </c>
      <c r="AS552" s="38">
        <f>IF(SUMIFS(AS$10:AS551,$A$10:$A551,$A552)-ROUNDDOWN($K552*$S552/100,0)&lt;-$S552*1000,-$S552*1000-SUMIFS(AS$10:AS551,$A$10:$A551,$A552),-ROUNDDOWN($K552*$S552/100,0))</f>
        <v>0</v>
      </c>
      <c r="AT552" s="38">
        <f>IF(AND(X552="○",$A552&gt;=AT$8,$A552&lt;=AT$9,K552&gt;=3980),IF(SUM(AT$10:AT551)-ROUNDDOWN($K552*AT$5/100,0)&lt;-AT$6,-AT$6-SUM(AT$10:AT551),-ROUNDDOWN($K552*AT$5/100,0)),0)</f>
        <v>0</v>
      </c>
      <c r="AU552" s="38">
        <f>IF(O552="○",IF(SUM(AU$10:AU551)-ROUNDDOWN($K552*AU$5/100,0)&lt;-AU$6,-AU$6-SUM(AU$10:AU551),-ROUNDDOWN($K552*AU$5/100,0)),0)</f>
        <v>0</v>
      </c>
      <c r="AV552" s="38">
        <f>IF(P552="○",IF(SUM(AV$10:AV551)-ROUNDDOWN($K552*AV$5/100,0)&lt;-AV$6,-AV$6-SUM(AV$10:AV551),-ROUNDDOWN($K552*AV$5/100,0)),0)</f>
        <v>0</v>
      </c>
      <c r="AW552" s="38">
        <f>IF(Q552="○",IF(SUM(AW$10:AW551)-ROUNDDOWN($K552*AW$5/100,0)&lt;-AW$6,-AW$6-SUM(AW$10:AW551),-ROUNDDOWN($K552*AW$5/100,0)),0)</f>
        <v>0</v>
      </c>
      <c r="AX552" s="38">
        <f>IF(R552="○",IF(SUM(AX$10:AX551)-ROUNDDOWN($K552*AX$5/100,0)&lt;-AX$6,-AX$6-SUM(AX$10:AX551),-ROUNDDOWN($K552*AX$5/100,0)),0)</f>
        <v>0</v>
      </c>
      <c r="AY552" s="70">
        <v>0</v>
      </c>
      <c r="AZ552" s="65">
        <f t="shared" si="348"/>
        <v>0</v>
      </c>
      <c r="BA552" s="65">
        <f t="shared" si="349"/>
        <v>0</v>
      </c>
      <c r="BB552" s="70"/>
      <c r="BC552" s="65">
        <f t="shared" si="350"/>
        <v>0</v>
      </c>
      <c r="BD552" s="70">
        <v>0</v>
      </c>
      <c r="BE552" s="65">
        <f t="shared" si="351"/>
        <v>0</v>
      </c>
      <c r="BF552" s="70">
        <v>0</v>
      </c>
      <c r="BG552" s="65">
        <f t="shared" si="352"/>
        <v>0</v>
      </c>
      <c r="BH552" s="70">
        <v>0</v>
      </c>
      <c r="BI552" s="65">
        <f t="shared" si="353"/>
        <v>0</v>
      </c>
      <c r="BJ552" s="38">
        <f>IF(AND(BJ$7="○",$A552&gt;=BJ$8,$A552&lt;=BJ$9),IF(SUM(BJ$10:BJ551)-ROUNDDOWN($M552*BJ$5/100,0)&lt;-BJ$6,-BJ$6-SUM(BJ$10:BJ551),-ROUNDDOWN($M552*BJ$5/100,0)),0)</f>
        <v>0</v>
      </c>
      <c r="BK552" s="38">
        <f>IF(AND(BK$7="○",$A552&gt;=BK$8,$A552&lt;=BK$9),IF(SUM(BK$10:BK551)-ROUNDDOWN($L552*BK$5/100,0)&lt;-BK$6,-BK$6-SUM(BK$10:BK551),-ROUNDDOWN($L552*BK$5/100,0)),0)</f>
        <v>0</v>
      </c>
      <c r="BL552" s="38">
        <f>IF(AND(BL$7="○",$A552&gt;=BL$8,$A552&lt;=BL$9),IF(SUM(BL$10:BL551)-ROUNDDOWN($L552*BL$5/100,0)&lt;-BL$6,-BL$6-SUM(BL$10:BL551),-ROUNDDOWN($L552*BL$5/100,0)),0)</f>
        <v>0</v>
      </c>
      <c r="BM552" s="38">
        <f>IF(AND(BM$7="○",$A552&gt;=BM$8,$A552&lt;=BM$9),IF(SUM(BM$10:BM551)-ROUNDDOWN($M552*BM$5/100,0)&lt;-BM$6,-BM$6-SUM(BM$10:BM551),-ROUNDDOWN($M552*BM$5/100,0)),0)</f>
        <v>0</v>
      </c>
      <c r="BN552" s="38">
        <f>IF(AND(BN$7="○",$A552&gt;=BN$8,$A552&lt;=BN$9),IF(SUM(BN$10:BN551)-ROUNDDOWN($M552*BN$5/100,0)&lt;-BN$6,-BN$6-SUM(BN$10:BN551),-ROUNDDOWN($M552*BN$5/100,0)),0)</f>
        <v>0</v>
      </c>
      <c r="BO552" s="38">
        <f>IF(AND(BO$7="○",$A552&gt;=BO$8,$A552&lt;=BO$9),IF(SUM(BO$10:BO551)-ROUNDDOWN($M552*BO$5/100,0)&lt;-BO$6,-BO$6-SUM(BO$10:BO551),-ROUNDDOWN($M552*BO$5/100,0)),0)</f>
        <v>0</v>
      </c>
      <c r="BP552" s="38">
        <f>IF(AND(BP$7="○",$A552&gt;=BP$8,$A552&lt;=BP$9),IF(SUM(BP$10:BP551)-ROUNDDOWN($M552*BP$5/100,0)&lt;-BP$6,-BP$6-SUM(BP$10:BP551),-ROUNDDOWN($M552*BP$5/100,0)),0)</f>
        <v>0</v>
      </c>
      <c r="BQ552" s="38">
        <f>IF(AND(BQ$7="○",$A552&gt;=BQ$8,$A552&lt;=BQ$9),IF(SUM(BQ$10:BQ551)-ROUNDDOWN($L552*BQ$5/100,0)&lt;-BQ$6,-BQ$6-SUM(BQ$10:BQ551),-ROUNDDOWN($L552*BQ$5/100,0)),0)</f>
        <v>0</v>
      </c>
      <c r="BR552" s="38">
        <f>IF(AND(BR$7="○",$A552&gt;=BR$8,$A552&lt;=BR$9),IF(SUM(BR$10:BR551)-ROUNDDOWN($M552*BR$5/100,0)&lt;-BR$6,-BR$6-SUM(BR$10:BR551),-ROUNDDOWN($M552*BR$5/100,0)),0)</f>
        <v>0</v>
      </c>
      <c r="BS552" s="38">
        <f>IF(AND(BS$7="○",$A552&gt;=BS$8,$A552&lt;=BS$9),IF(SUM(BS$10:BS551)-ROUNDDOWN($M552*BS$5/100,0)&lt;-BS$6,-BS$6-SUM(BS$10:BS551),-ROUNDDOWN($M552*BS$5/100,0)),0)</f>
        <v>0</v>
      </c>
      <c r="BT552" s="38">
        <f>IF(AND(BT$7="○",$A552&gt;=BT$8,$A552&lt;=BT$9),IF(SUM(BT$10:BT551)-ROUNDDOWN($M552*BT$5/100,0)&lt;-BT$6,-BT$6-SUM(BT$10:BT551),-ROUNDDOWN($M552*BT$5/100,0)),0)</f>
        <v>0</v>
      </c>
      <c r="BU552" s="38">
        <f>IF(AND(BU$7="○",$A552&gt;=BU$8,$A552&lt;=BU$9),IF(SUM(BU$10:BU551)-ROUNDDOWN($M552*BU$5/100,0)&lt;-BU$6,-BU$6-SUM(BU$10:BU551),-ROUNDDOWN($M552*BU$5/100,0)),0)</f>
        <v>0</v>
      </c>
      <c r="BV552" s="38">
        <f>IF(AND(BV$7="○",$A552&gt;=BV$8,$A552&lt;=BV$9),IF(SUM(BV$10:BV551)-ROUNDDOWN($M552*BV$5/100,0)&lt;-BV$6,-BV$6-SUM(BV$10:BV551),-ROUNDDOWN($M552*BV$5/100,0)),0)</f>
        <v>0</v>
      </c>
      <c r="BW552" s="38">
        <f>IF(AND(BW$7="○",$A552&gt;=BW$8,$A552&lt;=BW$9),IF(SUM(BW$10:BW551)-ROUNDDOWN($M552*BW$5/100,0)&lt;-BW$6,-BW$6-SUM(BW$10:BW551),-ROUNDDOWN($M552*BW$5/100,0)),0)</f>
        <v>0</v>
      </c>
      <c r="BX552" s="38">
        <f>IF(AND(T552="○",$A552&gt;=BX$8,$A552&lt;=BX$9),IF(SUM(BX$10:BX551)-ROUNDDOWN($K552*BX$5/100,0)&lt;-BX$6,-BX$6-SUM(BX$10:BX551),-ROUNDDOWN($K552*BX$5/100,0)),0)</f>
        <v>0</v>
      </c>
      <c r="BY552" s="38">
        <f>IF(AND(U552="○",$A552&gt;=BY$8,$A552&lt;=BY$9),IF(SUM(BY$10:BY551)-ROUNDDOWN($K552*BY$5/100,0)&lt;-BY$6,-BY$6-SUM(BY$10:BY551),-ROUNDDOWN($K552*BY$5/100,0)),0)</f>
        <v>0</v>
      </c>
      <c r="BZ552" s="38">
        <f>IF(AND(V552="○",$A552&gt;=BZ$8,$A552&lt;=BZ$9),IF(SUM(BZ$10:BZ551)-ROUNDDOWN($K552*BZ$5/100,0)&lt;-BZ$6,-BZ$6-SUM(BZ$10:BZ551),-ROUNDDOWN($K552*BZ$5/100,0)),0)</f>
        <v>0</v>
      </c>
      <c r="CA552" s="38">
        <f>IF(AND(W552="○",$A552&gt;=CA$8,$A552&lt;=CA$9),IF(SUM(CA$10:CA551)-ROUNDDOWN($K552*CA$5/100,0)&lt;-CA$6,-CA$6-SUM(CA$10:CA551),-ROUNDDOWN($K552*CA$5/100,0)),0)</f>
        <v>0</v>
      </c>
      <c r="CB552" s="38"/>
      <c r="CC552" s="38"/>
      <c r="CD552" s="38"/>
      <c r="CE552" s="38"/>
      <c r="CF552" s="38"/>
      <c r="CG552" s="65">
        <f t="shared" si="354"/>
        <v>0</v>
      </c>
      <c r="CH552" s="71">
        <f t="shared" si="355"/>
        <v>0</v>
      </c>
      <c r="CI552" s="1">
        <f t="shared" si="19"/>
        <v>0</v>
      </c>
      <c r="CJ552" s="1"/>
      <c r="CK552" s="79"/>
      <c r="CL552" s="79"/>
      <c r="CM552" s="2"/>
      <c r="CN552" s="2"/>
      <c r="CO552" s="73">
        <f t="shared" si="20"/>
        <v>0</v>
      </c>
      <c r="CP552" s="5">
        <f t="shared" si="21"/>
        <v>0</v>
      </c>
      <c r="CQ552" s="1"/>
      <c r="CR552" s="1">
        <f t="shared" si="22"/>
        <v>0</v>
      </c>
      <c r="CS552" s="1"/>
      <c r="CT552" s="1" t="e">
        <f>INDEX([2]マスタ!$A:$A,MATCH(D552,[2]マスタ!$C:$C,0))</f>
        <v>#N/A</v>
      </c>
      <c r="CU552" s="1" t="str">
        <f t="shared" ca="1" si="23"/>
        <v>20260620_0-0</v>
      </c>
    </row>
    <row r="553" spans="1:99" x14ac:dyDescent="0.4">
      <c r="A553" s="61"/>
      <c r="B553" s="62"/>
      <c r="C553" s="62"/>
      <c r="D553" s="62"/>
      <c r="E553" s="63"/>
      <c r="F553" s="62"/>
      <c r="G553" s="62">
        <v>1</v>
      </c>
      <c r="H553" s="64">
        <f t="shared" si="4"/>
        <v>0</v>
      </c>
      <c r="I553" s="64"/>
      <c r="J553" s="78"/>
      <c r="K553" s="65">
        <f t="shared" si="358"/>
        <v>0</v>
      </c>
      <c r="L553" s="65">
        <f t="shared" si="6"/>
        <v>0</v>
      </c>
      <c r="M553" s="65">
        <f t="shared" si="7"/>
        <v>0</v>
      </c>
      <c r="N553" s="65">
        <f t="shared" si="8"/>
        <v>0</v>
      </c>
      <c r="O553" s="66" t="str">
        <f t="shared" si="9"/>
        <v>✕</v>
      </c>
      <c r="P553" s="67" t="str">
        <f t="shared" si="10"/>
        <v>○</v>
      </c>
      <c r="Q553" s="67" t="str">
        <f t="shared" si="359"/>
        <v>✕</v>
      </c>
      <c r="R553" s="67" t="str">
        <f t="shared" si="12"/>
        <v>✕</v>
      </c>
      <c r="S553" s="68">
        <v>0</v>
      </c>
      <c r="T553" s="69" t="s">
        <v>85</v>
      </c>
      <c r="U553" s="69" t="s">
        <v>85</v>
      </c>
      <c r="V553" s="69" t="s">
        <v>85</v>
      </c>
      <c r="W553" s="69" t="s">
        <v>85</v>
      </c>
      <c r="X553" s="69" t="s">
        <v>84</v>
      </c>
      <c r="Y553" s="69" t="s">
        <v>85</v>
      </c>
      <c r="Z553" s="69" t="s">
        <v>85</v>
      </c>
      <c r="AA553" s="69" t="s">
        <v>85</v>
      </c>
      <c r="AB553" s="69" t="s">
        <v>85</v>
      </c>
      <c r="AC553" s="69" t="s">
        <v>85</v>
      </c>
      <c r="AD553" s="38" t="str">
        <f>+IF(ISERROR(VLOOKUP($B553,AD$10:AD552,1,0)),IF(AND($N553&gt;=1000,$A553&gt;=AO$8,$A553&lt;=AO$9),$B553,""),"")</f>
        <v/>
      </c>
      <c r="AE553" s="38" t="str">
        <f>+IF(ISERROR(VLOOKUP($B553,AE$10:AE552,1,0)),IF(AND($N553&gt;=1000,$A553&gt;=AP$8,$A553&lt;=AP$9),$B553,""),"")</f>
        <v/>
      </c>
      <c r="AF553" s="38" t="str">
        <f>+IF(ISERROR(VLOOKUP($B553,AF$10:AF552,1,0)),IF(AND($N553&gt;=1000,$A553&gt;=AQ$8,$A553&lt;=AQ$9),$B553,""),"")</f>
        <v/>
      </c>
      <c r="AG553" s="38" t="str">
        <f>+IF(ISERROR(VLOOKUP($B553,AG$10:AG552,1,0)),IF(AND($N553&gt;=1000,$A553&gt;=AR$8,$A553&lt;=AR$9),$B553,""),"")</f>
        <v/>
      </c>
      <c r="AH553" s="38"/>
      <c r="AI553" s="70">
        <v>0</v>
      </c>
      <c r="AJ553" s="38">
        <f>IF(AND(AJ$7="○",$A553&gt;=AJ$8,$A553&lt;=AJ$9),IF(SUM(AJ$10:AJ552)-ROUNDDOWN($K553*AJ$5/100,0)&lt;-AJ$6,-AJ$6-SUM(AJ$10:AJ552),-ROUNDDOWN($K553*AJ$5/100,0)),0)</f>
        <v>0</v>
      </c>
      <c r="AK553" s="38">
        <f>IF(AND(AK$7="○",$A553&gt;=AK$8,$A553&lt;=AK$9),IF(SUM(AK$10:AK552)-ROUNDDOWN($L553*AK$5/100,0)&lt;-AK$6,-AK$6-SUM(AK$10:AK552),-ROUNDDOWN($L553*AK$5/100,0)),0)</f>
        <v>0</v>
      </c>
      <c r="AL553" s="38">
        <f>IF(AND(AL$7="○",$A553&gt;=AL$8,$A553&lt;=AL$9),IF(SUM(AL$10:AL552)-ROUNDDOWN($N553*AL$5/100,0)&lt;-AL$6,-AL$6-SUM(AL$10:AL552),-ROUNDDOWN($N553*AL$5/100,0)),0)</f>
        <v>0</v>
      </c>
      <c r="AM553" s="38">
        <f>IF(AND(AM$7="○",$A553&gt;=AM$8,$A553&lt;=AM$9),IF(SUM(AM$10:AM552)-ROUNDDOWN($L553*AM$5/100,0)&lt;-AM$6,-AM$6-SUM(AM$10:AM552),-ROUNDDOWN($L553*AM$5/100,0)),0)</f>
        <v>0</v>
      </c>
      <c r="AN553" s="38">
        <f>IF(AND(AN$7="○",$A553&gt;=AN$8,$A553&lt;=AN$9),IF(SUM(AN$10:AN552)-ROUNDDOWN($M553*AN$5/100,0)&lt;-AN$6,-AN$6-SUM(AN$10:AN552),-ROUNDDOWN($M553*AN$5/100,0)),0)</f>
        <v>0</v>
      </c>
      <c r="AO553" s="38">
        <f>IF(AND($A553&gt;=AO$8,$A553&lt;=AO$9),IF(SUM(AO$10:AO552)-ROUNDDOWN($K553*AO$5/100,0)&lt;-AO$6,-AO$6-SUM(AO$10:AO552),-ROUNDDOWN($K553*AO$5/100,0)),0)</f>
        <v>0</v>
      </c>
      <c r="AP553" s="38">
        <f>IF(AND($A553&gt;=AP$8,$A553&lt;=AP$9),IF(SUM(AP$10:AP552)-ROUNDDOWN($K553*AP$5/100,0)&lt;-AP$6,-AP$6-SUM(AP$10:AP552),-ROUNDDOWN($K553*AP$5/100,0)),0)</f>
        <v>0</v>
      </c>
      <c r="AQ553" s="38">
        <f>IF(AND($A553&gt;=AQ$8,$A553&lt;=AQ$9),IF(SUM(AQ$10:AQ552)-ROUNDDOWN($K553*AQ$5/100,0)&lt;-AQ$6,-AQ$6-SUM(AQ$10:AQ552),-ROUNDDOWN($K553*AQ$5/100,0)),0)</f>
        <v>0</v>
      </c>
      <c r="AR553" s="38">
        <f>IF(AND($A553&gt;=AR$8,$A553&lt;=AR$9),IF(SUM(AR$10:AR552)-ROUNDDOWN($K553*AR$5/100,0)&lt;-AR$6,-AR$6-SUM(AR$10:AR552),-ROUNDDOWN($K553*AR$5/100,0)),0)</f>
        <v>0</v>
      </c>
      <c r="AS553" s="38">
        <f>IF(SUMIFS(AS$10:AS552,$A$10:$A552,$A553)-ROUNDDOWN($K553*$S553/100,0)&lt;-$S553*1000,-$S553*1000-SUMIFS(AS$10:AS552,$A$10:$A552,$A553),-ROUNDDOWN($K553*$S553/100,0))</f>
        <v>0</v>
      </c>
      <c r="AT553" s="38">
        <f>IF(AND(X553="○",$A553&gt;=AT$8,$A553&lt;=AT$9,K553&gt;=3980),IF(SUM(AT$10:AT552)-ROUNDDOWN($K553*AT$5/100,0)&lt;-AT$6,-AT$6-SUM(AT$10:AT552),-ROUNDDOWN($K553*AT$5/100,0)),0)</f>
        <v>0</v>
      </c>
      <c r="AU553" s="38">
        <f>IF(O553="○",IF(SUM(AU$10:AU552)-ROUNDDOWN($K553*AU$5/100,0)&lt;-AU$6,-AU$6-SUM(AU$10:AU552),-ROUNDDOWN($K553*AU$5/100,0)),0)</f>
        <v>0</v>
      </c>
      <c r="AV553" s="38">
        <f>IF(P553="○",IF(SUM(AV$10:AV552)-ROUNDDOWN($K553*AV$5/100,0)&lt;-AV$6,-AV$6-SUM(AV$10:AV552),-ROUNDDOWN($K553*AV$5/100,0)),0)</f>
        <v>0</v>
      </c>
      <c r="AW553" s="38">
        <f>IF(Q553="○",IF(SUM(AW$10:AW552)-ROUNDDOWN($K553*AW$5/100,0)&lt;-AW$6,-AW$6-SUM(AW$10:AW552),-ROUNDDOWN($K553*AW$5/100,0)),0)</f>
        <v>0</v>
      </c>
      <c r="AX553" s="38">
        <f>IF(R553="○",IF(SUM(AX$10:AX552)-ROUNDDOWN($K553*AX$5/100,0)&lt;-AX$6,-AX$6-SUM(AX$10:AX552),-ROUNDDOWN($K553*AX$5/100,0)),0)</f>
        <v>0</v>
      </c>
      <c r="AY553" s="70">
        <v>0</v>
      </c>
      <c r="AZ553" s="65">
        <f t="shared" si="348"/>
        <v>0</v>
      </c>
      <c r="BA553" s="65">
        <f t="shared" si="349"/>
        <v>0</v>
      </c>
      <c r="BB553" s="70"/>
      <c r="BC553" s="65">
        <f t="shared" si="350"/>
        <v>0</v>
      </c>
      <c r="BD553" s="70">
        <v>0</v>
      </c>
      <c r="BE553" s="65">
        <f t="shared" si="351"/>
        <v>0</v>
      </c>
      <c r="BF553" s="70">
        <v>0</v>
      </c>
      <c r="BG553" s="65">
        <f t="shared" si="352"/>
        <v>0</v>
      </c>
      <c r="BH553" s="70">
        <v>0</v>
      </c>
      <c r="BI553" s="65">
        <f t="shared" si="353"/>
        <v>0</v>
      </c>
      <c r="BJ553" s="38">
        <f>IF(AND(BJ$7="○",$A553&gt;=BJ$8,$A553&lt;=BJ$9),IF(SUM(BJ$10:BJ552)-ROUNDDOWN($M553*BJ$5/100,0)&lt;-BJ$6,-BJ$6-SUM(BJ$10:BJ552),-ROUNDDOWN($M553*BJ$5/100,0)),0)</f>
        <v>0</v>
      </c>
      <c r="BK553" s="38">
        <f>IF(AND(BK$7="○",$A553&gt;=BK$8,$A553&lt;=BK$9),IF(SUM(BK$10:BK552)-ROUNDDOWN($L553*BK$5/100,0)&lt;-BK$6,-BK$6-SUM(BK$10:BK552),-ROUNDDOWN($L553*BK$5/100,0)),0)</f>
        <v>0</v>
      </c>
      <c r="BL553" s="38">
        <f>IF(AND(BL$7="○",$A553&gt;=BL$8,$A553&lt;=BL$9),IF(SUM(BL$10:BL552)-ROUNDDOWN($L553*BL$5/100,0)&lt;-BL$6,-BL$6-SUM(BL$10:BL552),-ROUNDDOWN($L553*BL$5/100,0)),0)</f>
        <v>0</v>
      </c>
      <c r="BM553" s="38">
        <f>IF(AND(BM$7="○",$A553&gt;=BM$8,$A553&lt;=BM$9),IF(SUM(BM$10:BM552)-ROUNDDOWN($M553*BM$5/100,0)&lt;-BM$6,-BM$6-SUM(BM$10:BM552),-ROUNDDOWN($M553*BM$5/100,0)),0)</f>
        <v>0</v>
      </c>
      <c r="BN553" s="38">
        <f>IF(AND(BN$7="○",$A553&gt;=BN$8,$A553&lt;=BN$9),IF(SUM(BN$10:BN552)-ROUNDDOWN($M553*BN$5/100,0)&lt;-BN$6,-BN$6-SUM(BN$10:BN552),-ROUNDDOWN($M553*BN$5/100,0)),0)</f>
        <v>0</v>
      </c>
      <c r="BO553" s="38">
        <f>IF(AND(BO$7="○",$A553&gt;=BO$8,$A553&lt;=BO$9),IF(SUM(BO$10:BO552)-ROUNDDOWN($M553*BO$5/100,0)&lt;-BO$6,-BO$6-SUM(BO$10:BO552),-ROUNDDOWN($M553*BO$5/100,0)),0)</f>
        <v>0</v>
      </c>
      <c r="BP553" s="38">
        <f>IF(AND(BP$7="○",$A553&gt;=BP$8,$A553&lt;=BP$9),IF(SUM(BP$10:BP552)-ROUNDDOWN($M553*BP$5/100,0)&lt;-BP$6,-BP$6-SUM(BP$10:BP552),-ROUNDDOWN($M553*BP$5/100,0)),0)</f>
        <v>0</v>
      </c>
      <c r="BQ553" s="38">
        <f>IF(AND(BQ$7="○",$A553&gt;=BQ$8,$A553&lt;=BQ$9),IF(SUM(BQ$10:BQ552)-ROUNDDOWN($L553*BQ$5/100,0)&lt;-BQ$6,-BQ$6-SUM(BQ$10:BQ552),-ROUNDDOWN($L553*BQ$5/100,0)),0)</f>
        <v>0</v>
      </c>
      <c r="BR553" s="38">
        <f>IF(AND(BR$7="○",$A553&gt;=BR$8,$A553&lt;=BR$9),IF(SUM(BR$10:BR552)-ROUNDDOWN($M553*BR$5/100,0)&lt;-BR$6,-BR$6-SUM(BR$10:BR552),-ROUNDDOWN($M553*BR$5/100,0)),0)</f>
        <v>0</v>
      </c>
      <c r="BS553" s="38">
        <f>IF(AND(BS$7="○",$A553&gt;=BS$8,$A553&lt;=BS$9),IF(SUM(BS$10:BS552)-ROUNDDOWN($M553*BS$5/100,0)&lt;-BS$6,-BS$6-SUM(BS$10:BS552),-ROUNDDOWN($M553*BS$5/100,0)),0)</f>
        <v>0</v>
      </c>
      <c r="BT553" s="38">
        <f>IF(AND(BT$7="○",$A553&gt;=BT$8,$A553&lt;=BT$9),IF(SUM(BT$10:BT552)-ROUNDDOWN($M553*BT$5/100,0)&lt;-BT$6,-BT$6-SUM(BT$10:BT552),-ROUNDDOWN($M553*BT$5/100,0)),0)</f>
        <v>0</v>
      </c>
      <c r="BU553" s="38">
        <f>IF(AND(BU$7="○",$A553&gt;=BU$8,$A553&lt;=BU$9),IF(SUM(BU$10:BU552)-ROUNDDOWN($M553*BU$5/100,0)&lt;-BU$6,-BU$6-SUM(BU$10:BU552),-ROUNDDOWN($M553*BU$5/100,0)),0)</f>
        <v>0</v>
      </c>
      <c r="BV553" s="38">
        <f>IF(AND(BV$7="○",$A553&gt;=BV$8,$A553&lt;=BV$9),IF(SUM(BV$10:BV552)-ROUNDDOWN($M553*BV$5/100,0)&lt;-BV$6,-BV$6-SUM(BV$10:BV552),-ROUNDDOWN($M553*BV$5/100,0)),0)</f>
        <v>0</v>
      </c>
      <c r="BW553" s="38">
        <f>IF(AND(BW$7="○",$A553&gt;=BW$8,$A553&lt;=BW$9),IF(SUM(BW$10:BW552)-ROUNDDOWN($M553*BW$5/100,0)&lt;-BW$6,-BW$6-SUM(BW$10:BW552),-ROUNDDOWN($M553*BW$5/100,0)),0)</f>
        <v>0</v>
      </c>
      <c r="BX553" s="38">
        <f>IF(AND(T553="○",$A553&gt;=BX$8,$A553&lt;=BX$9),IF(SUM(BX$10:BX552)-ROUNDDOWN($K553*BX$5/100,0)&lt;-BX$6,-BX$6-SUM(BX$10:BX552),-ROUNDDOWN($K553*BX$5/100,0)),0)</f>
        <v>0</v>
      </c>
      <c r="BY553" s="38">
        <f>IF(AND(U553="○",$A553&gt;=BY$8,$A553&lt;=BY$9),IF(SUM(BY$10:BY552)-ROUNDDOWN($K553*BY$5/100,0)&lt;-BY$6,-BY$6-SUM(BY$10:BY552),-ROUNDDOWN($K553*BY$5/100,0)),0)</f>
        <v>0</v>
      </c>
      <c r="BZ553" s="38">
        <f>IF(AND(V553="○",$A553&gt;=BZ$8,$A553&lt;=BZ$9),IF(SUM(BZ$10:BZ552)-ROUNDDOWN($K553*BZ$5/100,0)&lt;-BZ$6,-BZ$6-SUM(BZ$10:BZ552),-ROUNDDOWN($K553*BZ$5/100,0)),0)</f>
        <v>0</v>
      </c>
      <c r="CA553" s="38">
        <f>IF(AND(W553="○",$A553&gt;=CA$8,$A553&lt;=CA$9),IF(SUM(CA$10:CA552)-ROUNDDOWN($K553*CA$5/100,0)&lt;-CA$6,-CA$6-SUM(CA$10:CA552),-ROUNDDOWN($K553*CA$5/100,0)),0)</f>
        <v>0</v>
      </c>
      <c r="CB553" s="38"/>
      <c r="CC553" s="38"/>
      <c r="CD553" s="38"/>
      <c r="CE553" s="38"/>
      <c r="CF553" s="38"/>
      <c r="CG553" s="65">
        <f t="shared" si="354"/>
        <v>0</v>
      </c>
      <c r="CH553" s="71">
        <f t="shared" si="355"/>
        <v>0</v>
      </c>
      <c r="CI553" s="1">
        <f t="shared" si="19"/>
        <v>0</v>
      </c>
      <c r="CJ553" s="1"/>
      <c r="CK553" s="79"/>
      <c r="CL553" s="79"/>
      <c r="CM553" s="2"/>
      <c r="CN553" s="2"/>
      <c r="CO553" s="73">
        <f t="shared" si="20"/>
        <v>0</v>
      </c>
      <c r="CP553" s="5">
        <f t="shared" si="21"/>
        <v>0</v>
      </c>
      <c r="CQ553" s="1"/>
      <c r="CR553" s="1">
        <f t="shared" si="22"/>
        <v>0</v>
      </c>
      <c r="CS553" s="1"/>
      <c r="CT553" s="1" t="e">
        <f>INDEX([2]マスタ!$A:$A,MATCH(D553,[2]マスタ!$C:$C,0))</f>
        <v>#N/A</v>
      </c>
      <c r="CU553" s="1" t="str">
        <f t="shared" ca="1" si="23"/>
        <v>20260620_0-0</v>
      </c>
    </row>
    <row r="554" spans="1:99" x14ac:dyDescent="0.4">
      <c r="A554" s="61"/>
      <c r="B554" s="62"/>
      <c r="C554" s="62"/>
      <c r="D554" s="62"/>
      <c r="E554" s="77"/>
      <c r="F554" s="62"/>
      <c r="G554" s="62">
        <v>1</v>
      </c>
      <c r="H554" s="64">
        <f t="shared" si="4"/>
        <v>0</v>
      </c>
      <c r="I554" s="64"/>
      <c r="J554" s="64"/>
      <c r="K554" s="65">
        <f t="shared" si="358"/>
        <v>0</v>
      </c>
      <c r="L554" s="65">
        <f t="shared" si="6"/>
        <v>0</v>
      </c>
      <c r="M554" s="65">
        <f t="shared" si="7"/>
        <v>0</v>
      </c>
      <c r="N554" s="65">
        <f t="shared" si="8"/>
        <v>0</v>
      </c>
      <c r="O554" s="66" t="str">
        <f t="shared" si="9"/>
        <v>✕</v>
      </c>
      <c r="P554" s="67" t="str">
        <f t="shared" si="10"/>
        <v>○</v>
      </c>
      <c r="Q554" s="67" t="str">
        <f t="shared" si="359"/>
        <v>✕</v>
      </c>
      <c r="R554" s="67" t="str">
        <f t="shared" si="12"/>
        <v>✕</v>
      </c>
      <c r="S554" s="68">
        <v>0</v>
      </c>
      <c r="T554" s="69" t="s">
        <v>85</v>
      </c>
      <c r="U554" s="69" t="s">
        <v>85</v>
      </c>
      <c r="V554" s="69" t="s">
        <v>85</v>
      </c>
      <c r="W554" s="69" t="s">
        <v>85</v>
      </c>
      <c r="X554" s="69" t="s">
        <v>84</v>
      </c>
      <c r="Y554" s="69" t="s">
        <v>85</v>
      </c>
      <c r="Z554" s="69" t="s">
        <v>85</v>
      </c>
      <c r="AA554" s="69" t="s">
        <v>85</v>
      </c>
      <c r="AB554" s="69" t="s">
        <v>85</v>
      </c>
      <c r="AC554" s="69" t="s">
        <v>85</v>
      </c>
      <c r="AD554" s="38" t="str">
        <f>+IF(ISERROR(VLOOKUP($B554,AD$10:AD553,1,0)),IF(AND($N554&gt;=1000,$A554&gt;=AO$8,$A554&lt;=AO$9),$B554,""),"")</f>
        <v/>
      </c>
      <c r="AE554" s="38" t="str">
        <f>+IF(ISERROR(VLOOKUP($B554,AE$10:AE553,1,0)),IF(AND($N554&gt;=1000,$A554&gt;=AP$8,$A554&lt;=AP$9),$B554,""),"")</f>
        <v/>
      </c>
      <c r="AF554" s="38" t="str">
        <f>+IF(ISERROR(VLOOKUP($B554,AF$10:AF553,1,0)),IF(AND($N554&gt;=1000,$A554&gt;=AQ$8,$A554&lt;=AQ$9),$B554,""),"")</f>
        <v/>
      </c>
      <c r="AG554" s="38" t="str">
        <f>+IF(ISERROR(VLOOKUP($B554,AG$10:AG553,1,0)),IF(AND($N554&gt;=1000,$A554&gt;=AR$8,$A554&lt;=AR$9),$B554,""),"")</f>
        <v/>
      </c>
      <c r="AH554" s="38"/>
      <c r="AI554" s="70">
        <v>0</v>
      </c>
      <c r="AJ554" s="38">
        <f>IF(AND(AJ$7="○",$A554&gt;=AJ$8,$A554&lt;=AJ$9),IF(SUM(AJ$10:AJ553)-ROUNDDOWN($K554*AJ$5/100,0)&lt;-AJ$6,-AJ$6-SUM(AJ$10:AJ553),-ROUNDDOWN($K554*AJ$5/100,0)),0)</f>
        <v>0</v>
      </c>
      <c r="AK554" s="38">
        <f>IF(AND(AK$7="○",$A554&gt;=AK$8,$A554&lt;=AK$9),IF(SUM(AK$10:AK553)-ROUNDDOWN($L554*AK$5/100,0)&lt;-AK$6,-AK$6-SUM(AK$10:AK553),-ROUNDDOWN($L554*AK$5/100,0)),0)</f>
        <v>0</v>
      </c>
      <c r="AL554" s="38">
        <f>IF(AND(AL$7="○",$A554&gt;=AL$8,$A554&lt;=AL$9),IF(SUM(AL$10:AL553)-ROUNDDOWN($N554*AL$5/100,0)&lt;-AL$6,-AL$6-SUM(AL$10:AL553),-ROUNDDOWN($N554*AL$5/100,0)),0)</f>
        <v>0</v>
      </c>
      <c r="AM554" s="38">
        <f>IF(AND(AM$7="○",$A554&gt;=AM$8,$A554&lt;=AM$9),IF(SUM(AM$10:AM553)-ROUNDDOWN($L554*AM$5/100,0)&lt;-AM$6,-AM$6-SUM(AM$10:AM553),-ROUNDDOWN($L554*AM$5/100,0)),0)</f>
        <v>0</v>
      </c>
      <c r="AN554" s="38">
        <f>IF(AND(AN$7="○",$A554&gt;=AN$8,$A554&lt;=AN$9),IF(SUM(AN$10:AN553)-ROUNDDOWN($M554*AN$5/100,0)&lt;-AN$6,-AN$6-SUM(AN$10:AN553),-ROUNDDOWN($M554*AN$5/100,0)),0)</f>
        <v>0</v>
      </c>
      <c r="AO554" s="38">
        <f>IF(AND($A554&gt;=AO$8,$A554&lt;=AO$9),IF(SUM(AO$10:AO553)-ROUNDDOWN($K554*AO$5/100,0)&lt;-AO$6,-AO$6-SUM(AO$10:AO553),-ROUNDDOWN($K554*AO$5/100,0)),0)</f>
        <v>0</v>
      </c>
      <c r="AP554" s="38">
        <f>IF(AND($A554&gt;=AP$8,$A554&lt;=AP$9),IF(SUM(AP$10:AP553)-ROUNDDOWN($K554*AP$5/100,0)&lt;-AP$6,-AP$6-SUM(AP$10:AP553),-ROUNDDOWN($K554*AP$5/100,0)),0)</f>
        <v>0</v>
      </c>
      <c r="AQ554" s="38">
        <f>IF(AND($A554&gt;=AQ$8,$A554&lt;=AQ$9),IF(SUM(AQ$10:AQ553)-ROUNDDOWN($K554*AQ$5/100,0)&lt;-AQ$6,-AQ$6-SUM(AQ$10:AQ553),-ROUNDDOWN($K554*AQ$5/100,0)),0)</f>
        <v>0</v>
      </c>
      <c r="AR554" s="38">
        <f>IF(AND($A554&gt;=AR$8,$A554&lt;=AR$9),IF(SUM(AR$10:AR553)-ROUNDDOWN($K554*AR$5/100,0)&lt;-AR$6,-AR$6-SUM(AR$10:AR553),-ROUNDDOWN($K554*AR$5/100,0)),0)</f>
        <v>0</v>
      </c>
      <c r="AS554" s="38">
        <f>IF(SUMIFS(AS$10:AS553,$A$10:$A553,$A554)-ROUNDDOWN($K554*$S554/100,0)&lt;-$S554*1000,-$S554*1000-SUMIFS(AS$10:AS553,$A$10:$A553,$A554),-ROUNDDOWN($K554*$S554/100,0))</f>
        <v>0</v>
      </c>
      <c r="AT554" s="38">
        <f>IF(AND(X554="○",$A554&gt;=AT$8,$A554&lt;=AT$9,K554&gt;=3980),IF(SUM(AT$10:AT553)-ROUNDDOWN($K554*AT$5/100,0)&lt;-AT$6,-AT$6-SUM(AT$10:AT553),-ROUNDDOWN($K554*AT$5/100,0)),0)</f>
        <v>0</v>
      </c>
      <c r="AU554" s="38">
        <f>IF(O554="○",IF(SUM(AU$10:AU553)-ROUNDDOWN($K554*AU$5/100,0)&lt;-AU$6,-AU$6-SUM(AU$10:AU553),-ROUNDDOWN($K554*AU$5/100,0)),0)</f>
        <v>0</v>
      </c>
      <c r="AV554" s="38">
        <f>IF(P554="○",IF(SUM(AV$10:AV553)-ROUNDDOWN($K554*AV$5/100,0)&lt;-AV$6,-AV$6-SUM(AV$10:AV553),-ROUNDDOWN($K554*AV$5/100,0)),0)</f>
        <v>0</v>
      </c>
      <c r="AW554" s="38">
        <f>IF(Q554="○",IF(SUM(AW$10:AW553)-ROUNDDOWN($K554*AW$5/100,0)&lt;-AW$6,-AW$6-SUM(AW$10:AW553),-ROUNDDOWN($K554*AW$5/100,0)),0)</f>
        <v>0</v>
      </c>
      <c r="AX554" s="38">
        <f>IF(R554="○",IF(SUM(AX$10:AX553)-ROUNDDOWN($K554*AX$5/100,0)&lt;-AX$6,-AX$6-SUM(AX$10:AX553),-ROUNDDOWN($K554*AX$5/100,0)),0)</f>
        <v>0</v>
      </c>
      <c r="AY554" s="70">
        <v>0</v>
      </c>
      <c r="AZ554" s="65">
        <f t="shared" si="348"/>
        <v>0</v>
      </c>
      <c r="BA554" s="65">
        <f t="shared" si="349"/>
        <v>0</v>
      </c>
      <c r="BB554" s="70"/>
      <c r="BC554" s="65">
        <f t="shared" si="350"/>
        <v>0</v>
      </c>
      <c r="BD554" s="70">
        <v>0</v>
      </c>
      <c r="BE554" s="65">
        <f t="shared" si="351"/>
        <v>0</v>
      </c>
      <c r="BF554" s="70">
        <v>0</v>
      </c>
      <c r="BG554" s="65">
        <f t="shared" si="352"/>
        <v>0</v>
      </c>
      <c r="BH554" s="70">
        <v>0</v>
      </c>
      <c r="BI554" s="65">
        <f t="shared" si="353"/>
        <v>0</v>
      </c>
      <c r="BJ554" s="38">
        <f>IF(AND(BJ$7="○",$A554&gt;=BJ$8,$A554&lt;=BJ$9),IF(SUM(BJ$10:BJ553)-ROUNDDOWN($M554*BJ$5/100,0)&lt;-BJ$6,-BJ$6-SUM(BJ$10:BJ553),-ROUNDDOWN($M554*BJ$5/100,0)),0)</f>
        <v>0</v>
      </c>
      <c r="BK554" s="38">
        <f>IF(AND(BK$7="○",$A554&gt;=BK$8,$A554&lt;=BK$9),IF(SUM(BK$10:BK553)-ROUNDDOWN($L554*BK$5/100,0)&lt;-BK$6,-BK$6-SUM(BK$10:BK553),-ROUNDDOWN($L554*BK$5/100,0)),0)</f>
        <v>0</v>
      </c>
      <c r="BL554" s="38">
        <f>IF(AND(BL$7="○",$A554&gt;=BL$8,$A554&lt;=BL$9),IF(SUM(BL$10:BL553)-ROUNDDOWN($L554*BL$5/100,0)&lt;-BL$6,-BL$6-SUM(BL$10:BL553),-ROUNDDOWN($L554*BL$5/100,0)),0)</f>
        <v>0</v>
      </c>
      <c r="BM554" s="38">
        <f>IF(AND(BM$7="○",$A554&gt;=BM$8,$A554&lt;=BM$9),IF(SUM(BM$10:BM553)-ROUNDDOWN($M554*BM$5/100,0)&lt;-BM$6,-BM$6-SUM(BM$10:BM553),-ROUNDDOWN($M554*BM$5/100,0)),0)</f>
        <v>0</v>
      </c>
      <c r="BN554" s="38">
        <f>IF(AND(BN$7="○",$A554&gt;=BN$8,$A554&lt;=BN$9),IF(SUM(BN$10:BN553)-ROUNDDOWN($M554*BN$5/100,0)&lt;-BN$6,-BN$6-SUM(BN$10:BN553),-ROUNDDOWN($M554*BN$5/100,0)),0)</f>
        <v>0</v>
      </c>
      <c r="BO554" s="38">
        <f>IF(AND(BO$7="○",$A554&gt;=BO$8,$A554&lt;=BO$9),IF(SUM(BO$10:BO553)-ROUNDDOWN($M554*BO$5/100,0)&lt;-BO$6,-BO$6-SUM(BO$10:BO553),-ROUNDDOWN($M554*BO$5/100,0)),0)</f>
        <v>0</v>
      </c>
      <c r="BP554" s="38">
        <f>IF(AND(BP$7="○",$A554&gt;=BP$8,$A554&lt;=BP$9),IF(SUM(BP$10:BP553)-ROUNDDOWN($M554*BP$5/100,0)&lt;-BP$6,-BP$6-SUM(BP$10:BP553),-ROUNDDOWN($M554*BP$5/100,0)),0)</f>
        <v>0</v>
      </c>
      <c r="BQ554" s="38">
        <f>IF(AND(BQ$7="○",$A554&gt;=BQ$8,$A554&lt;=BQ$9),IF(SUM(BQ$10:BQ553)-ROUNDDOWN($L554*BQ$5/100,0)&lt;-BQ$6,-BQ$6-SUM(BQ$10:BQ553),-ROUNDDOWN($L554*BQ$5/100,0)),0)</f>
        <v>0</v>
      </c>
      <c r="BR554" s="38">
        <f>IF(AND(BR$7="○",$A554&gt;=BR$8,$A554&lt;=BR$9),IF(SUM(BR$10:BR553)-ROUNDDOWN($M554*BR$5/100,0)&lt;-BR$6,-BR$6-SUM(BR$10:BR553),-ROUNDDOWN($M554*BR$5/100,0)),0)</f>
        <v>0</v>
      </c>
      <c r="BS554" s="38">
        <f>IF(AND(BS$7="○",$A554&gt;=BS$8,$A554&lt;=BS$9),IF(SUM(BS$10:BS553)-ROUNDDOWN($M554*BS$5/100,0)&lt;-BS$6,-BS$6-SUM(BS$10:BS553),-ROUNDDOWN($M554*BS$5/100,0)),0)</f>
        <v>0</v>
      </c>
      <c r="BT554" s="38">
        <f>IF(AND(BT$7="○",$A554&gt;=BT$8,$A554&lt;=BT$9),IF(SUM(BT$10:BT553)-ROUNDDOWN($M554*BT$5/100,0)&lt;-BT$6,-BT$6-SUM(BT$10:BT553),-ROUNDDOWN($M554*BT$5/100,0)),0)</f>
        <v>0</v>
      </c>
      <c r="BU554" s="38">
        <f>IF(AND(BU$7="○",$A554&gt;=BU$8,$A554&lt;=BU$9),IF(SUM(BU$10:BU553)-ROUNDDOWN($M554*BU$5/100,0)&lt;-BU$6,-BU$6-SUM(BU$10:BU553),-ROUNDDOWN($M554*BU$5/100,0)),0)</f>
        <v>0</v>
      </c>
      <c r="BV554" s="38">
        <f>IF(AND(BV$7="○",$A554&gt;=BV$8,$A554&lt;=BV$9),IF(SUM(BV$10:BV553)-ROUNDDOWN($M554*BV$5/100,0)&lt;-BV$6,-BV$6-SUM(BV$10:BV553),-ROUNDDOWN($M554*BV$5/100,0)),0)</f>
        <v>0</v>
      </c>
      <c r="BW554" s="38">
        <f>IF(AND(BW$7="○",$A554&gt;=BW$8,$A554&lt;=BW$9),IF(SUM(BW$10:BW553)-ROUNDDOWN($M554*BW$5/100,0)&lt;-BW$6,-BW$6-SUM(BW$10:BW553),-ROUNDDOWN($M554*BW$5/100,0)),0)</f>
        <v>0</v>
      </c>
      <c r="BX554" s="38">
        <f>IF(AND(T554="○",$A554&gt;=BX$8,$A554&lt;=BX$9),IF(SUM(BX$10:BX553)-ROUNDDOWN($K554*BX$5/100,0)&lt;-BX$6,-BX$6-SUM(BX$10:BX553),-ROUNDDOWN($K554*BX$5/100,0)),0)</f>
        <v>0</v>
      </c>
      <c r="BY554" s="38">
        <f>IF(AND(U554="○",$A554&gt;=BY$8,$A554&lt;=BY$9),IF(SUM(BY$10:BY553)-ROUNDDOWN($K554*BY$5/100,0)&lt;-BY$6,-BY$6-SUM(BY$10:BY553),-ROUNDDOWN($K554*BY$5/100,0)),0)</f>
        <v>0</v>
      </c>
      <c r="BZ554" s="38">
        <f>IF(AND(V554="○",$A554&gt;=BZ$8,$A554&lt;=BZ$9),IF(SUM(BZ$10:BZ553)-ROUNDDOWN($K554*BZ$5/100,0)&lt;-BZ$6,-BZ$6-SUM(BZ$10:BZ553),-ROUNDDOWN($K554*BZ$5/100,0)),0)</f>
        <v>0</v>
      </c>
      <c r="CA554" s="38">
        <f>IF(AND(W554="○",$A554&gt;=CA$8,$A554&lt;=CA$9),IF(SUM(CA$10:CA553)-ROUNDDOWN($K554*CA$5/100,0)&lt;-CA$6,-CA$6-SUM(CA$10:CA553),-ROUNDDOWN($K554*CA$5/100,0)),0)</f>
        <v>0</v>
      </c>
      <c r="CB554" s="38"/>
      <c r="CC554" s="38"/>
      <c r="CD554" s="38"/>
      <c r="CE554" s="38"/>
      <c r="CF554" s="38"/>
      <c r="CG554" s="65">
        <f t="shared" si="354"/>
        <v>0</v>
      </c>
      <c r="CH554" s="71">
        <f t="shared" si="355"/>
        <v>0</v>
      </c>
      <c r="CI554" s="1">
        <f t="shared" si="19"/>
        <v>0</v>
      </c>
      <c r="CJ554" s="1"/>
      <c r="CK554" s="79"/>
      <c r="CL554" s="79"/>
      <c r="CM554" s="2"/>
      <c r="CN554" s="2"/>
      <c r="CO554" s="73">
        <f t="shared" si="20"/>
        <v>0</v>
      </c>
      <c r="CP554" s="5">
        <f t="shared" si="21"/>
        <v>0</v>
      </c>
      <c r="CQ554" s="1"/>
      <c r="CR554" s="1">
        <f t="shared" si="22"/>
        <v>0</v>
      </c>
      <c r="CS554" s="1"/>
      <c r="CT554" s="1" t="e">
        <f>INDEX([2]マスタ!$A:$A,MATCH(D554,[2]マスタ!$C:$C,0))</f>
        <v>#N/A</v>
      </c>
      <c r="CU554" s="1" t="str">
        <f t="shared" ca="1" si="23"/>
        <v>20260620_0-0</v>
      </c>
    </row>
    <row r="555" spans="1:99" x14ac:dyDescent="0.4">
      <c r="A555" s="61"/>
      <c r="B555" s="62"/>
      <c r="C555" s="62"/>
      <c r="D555" s="62"/>
      <c r="E555" s="63"/>
      <c r="F555" s="62"/>
      <c r="G555" s="62">
        <v>1</v>
      </c>
      <c r="H555" s="64">
        <f t="shared" si="4"/>
        <v>0</v>
      </c>
      <c r="I555" s="64"/>
      <c r="J555" s="64"/>
      <c r="K555" s="65">
        <f t="shared" si="358"/>
        <v>0</v>
      </c>
      <c r="L555" s="65">
        <f t="shared" si="6"/>
        <v>0</v>
      </c>
      <c r="M555" s="65">
        <f t="shared" si="7"/>
        <v>0</v>
      </c>
      <c r="N555" s="65">
        <f t="shared" si="8"/>
        <v>0</v>
      </c>
      <c r="O555" s="66" t="str">
        <f t="shared" si="9"/>
        <v>✕</v>
      </c>
      <c r="P555" s="67" t="str">
        <f t="shared" si="10"/>
        <v>○</v>
      </c>
      <c r="Q555" s="67" t="str">
        <f t="shared" si="359"/>
        <v>✕</v>
      </c>
      <c r="R555" s="67" t="str">
        <f t="shared" si="12"/>
        <v>✕</v>
      </c>
      <c r="S555" s="68">
        <v>0</v>
      </c>
      <c r="T555" s="69" t="s">
        <v>85</v>
      </c>
      <c r="U555" s="69" t="s">
        <v>85</v>
      </c>
      <c r="V555" s="69" t="s">
        <v>85</v>
      </c>
      <c r="W555" s="69" t="s">
        <v>85</v>
      </c>
      <c r="X555" s="69" t="s">
        <v>84</v>
      </c>
      <c r="Y555" s="69" t="s">
        <v>85</v>
      </c>
      <c r="Z555" s="69" t="s">
        <v>85</v>
      </c>
      <c r="AA555" s="69" t="s">
        <v>85</v>
      </c>
      <c r="AB555" s="69" t="s">
        <v>85</v>
      </c>
      <c r="AC555" s="69" t="s">
        <v>85</v>
      </c>
      <c r="AD555" s="38" t="str">
        <f>+IF(ISERROR(VLOOKUP($B555,AD$10:AD554,1,0)),IF(AND($N555&gt;=1000,$A555&gt;=AO$8,$A555&lt;=AO$9),$B555,""),"")</f>
        <v/>
      </c>
      <c r="AE555" s="38" t="str">
        <f>+IF(ISERROR(VLOOKUP($B555,AE$10:AE554,1,0)),IF(AND($N555&gt;=1000,$A555&gt;=AP$8,$A555&lt;=AP$9),$B555,""),"")</f>
        <v/>
      </c>
      <c r="AF555" s="38" t="str">
        <f>+IF(ISERROR(VLOOKUP($B555,AF$10:AF554,1,0)),IF(AND($N555&gt;=1000,$A555&gt;=AQ$8,$A555&lt;=AQ$9),$B555,""),"")</f>
        <v/>
      </c>
      <c r="AG555" s="38" t="str">
        <f>+IF(ISERROR(VLOOKUP($B555,AG$10:AG554,1,0)),IF(AND($N555&gt;=1000,$A555&gt;=AR$8,$A555&lt;=AR$9),$B555,""),"")</f>
        <v/>
      </c>
      <c r="AH555" s="38"/>
      <c r="AI555" s="70">
        <v>0</v>
      </c>
      <c r="AJ555" s="38">
        <f>IF(AND(AJ$7="○",$A555&gt;=AJ$8,$A555&lt;=AJ$9),IF(SUM(AJ$10:AJ554)-ROUNDDOWN($K555*AJ$5/100,0)&lt;-AJ$6,-AJ$6-SUM(AJ$10:AJ554),-ROUNDDOWN($K555*AJ$5/100,0)),0)</f>
        <v>0</v>
      </c>
      <c r="AK555" s="38">
        <f>IF(AND(AK$7="○",$A555&gt;=AK$8,$A555&lt;=AK$9),IF(SUM(AK$10:AK554)-ROUNDDOWN($L555*AK$5/100,0)&lt;-AK$6,-AK$6-SUM(AK$10:AK554),-ROUNDDOWN($L555*AK$5/100,0)),0)</f>
        <v>0</v>
      </c>
      <c r="AL555" s="38">
        <f>IF(AND(AL$7="○",$A555&gt;=AL$8,$A555&lt;=AL$9),IF(SUM(AL$10:AL554)-ROUNDDOWN($N555*AL$5/100,0)&lt;-AL$6,-AL$6-SUM(AL$10:AL554),-ROUNDDOWN($N555*AL$5/100,0)),0)</f>
        <v>0</v>
      </c>
      <c r="AM555" s="38">
        <f>IF(AND(AM$7="○",$A555&gt;=AM$8,$A555&lt;=AM$9),IF(SUM(AM$10:AM554)-ROUNDDOWN($L555*AM$5/100,0)&lt;-AM$6,-AM$6-SUM(AM$10:AM554),-ROUNDDOWN($L555*AM$5/100,0)),0)</f>
        <v>0</v>
      </c>
      <c r="AN555" s="38">
        <f>IF(AND(AN$7="○",$A555&gt;=AN$8,$A555&lt;=AN$9),IF(SUM(AN$10:AN554)-ROUNDDOWN($M555*AN$5/100,0)&lt;-AN$6,-AN$6-SUM(AN$10:AN554),-ROUNDDOWN($M555*AN$5/100,0)),0)</f>
        <v>0</v>
      </c>
      <c r="AO555" s="38">
        <f>IF(AND($A555&gt;=AO$8,$A555&lt;=AO$9),IF(SUM(AO$10:AO554)-ROUNDDOWN($K555*AO$5/100,0)&lt;-AO$6,-AO$6-SUM(AO$10:AO554),-ROUNDDOWN($K555*AO$5/100,0)),0)</f>
        <v>0</v>
      </c>
      <c r="AP555" s="38">
        <f>IF(AND($A555&gt;=AP$8,$A555&lt;=AP$9),IF(SUM(AP$10:AP554)-ROUNDDOWN($K555*AP$5/100,0)&lt;-AP$6,-AP$6-SUM(AP$10:AP554),-ROUNDDOWN($K555*AP$5/100,0)),0)</f>
        <v>0</v>
      </c>
      <c r="AQ555" s="38">
        <f>IF(AND($A555&gt;=AQ$8,$A555&lt;=AQ$9),IF(SUM(AQ$10:AQ554)-ROUNDDOWN($K555*AQ$5/100,0)&lt;-AQ$6,-AQ$6-SUM(AQ$10:AQ554),-ROUNDDOWN($K555*AQ$5/100,0)),0)</f>
        <v>0</v>
      </c>
      <c r="AR555" s="38">
        <f>IF(AND($A555&gt;=AR$8,$A555&lt;=AR$9),IF(SUM(AR$10:AR554)-ROUNDDOWN($K555*AR$5/100,0)&lt;-AR$6,-AR$6-SUM(AR$10:AR554),-ROUNDDOWN($K555*AR$5/100,0)),0)</f>
        <v>0</v>
      </c>
      <c r="AS555" s="38">
        <f>IF(SUMIFS(AS$10:AS554,$A$10:$A554,$A555)-ROUNDDOWN($K555*$S555/100,0)&lt;-$S555*1000,-$S555*1000-SUMIFS(AS$10:AS554,$A$10:$A554,$A555),-ROUNDDOWN($K555*$S555/100,0))</f>
        <v>0</v>
      </c>
      <c r="AT555" s="38">
        <f>IF(AND(X555="○",$A555&gt;=AT$8,$A555&lt;=AT$9,K555&gt;=3980),IF(SUM(AT$10:AT554)-ROUNDDOWN($K555*AT$5/100,0)&lt;-AT$6,-AT$6-SUM(AT$10:AT554),-ROUNDDOWN($K555*AT$5/100,0)),0)</f>
        <v>0</v>
      </c>
      <c r="AU555" s="38">
        <f>IF(O555="○",IF(SUM(AU$10:AU554)-ROUNDDOWN($K555*AU$5/100,0)&lt;-AU$6,-AU$6-SUM(AU$10:AU554),-ROUNDDOWN($K555*AU$5/100,0)),0)</f>
        <v>0</v>
      </c>
      <c r="AV555" s="38">
        <f>IF(P555="○",IF(SUM(AV$10:AV554)-ROUNDDOWN($K555*AV$5/100,0)&lt;-AV$6,-AV$6-SUM(AV$10:AV554),-ROUNDDOWN($K555*AV$5/100,0)),0)</f>
        <v>0</v>
      </c>
      <c r="AW555" s="38">
        <f>IF(Q555="○",IF(SUM(AW$10:AW554)-ROUNDDOWN($K555*AW$5/100,0)&lt;-AW$6,-AW$6-SUM(AW$10:AW554),-ROUNDDOWN($K555*AW$5/100,0)),0)</f>
        <v>0</v>
      </c>
      <c r="AX555" s="38">
        <f>IF(R555="○",IF(SUM(AX$10:AX554)-ROUNDDOWN($K555*AX$5/100,0)&lt;-AX$6,-AX$6-SUM(AX$10:AX554),-ROUNDDOWN($K555*AX$5/100,0)),0)</f>
        <v>0</v>
      </c>
      <c r="AY555" s="70">
        <v>0</v>
      </c>
      <c r="AZ555" s="65">
        <f t="shared" si="348"/>
        <v>0</v>
      </c>
      <c r="BA555" s="65">
        <f t="shared" si="349"/>
        <v>0</v>
      </c>
      <c r="BB555" s="70"/>
      <c r="BC555" s="65">
        <f t="shared" si="350"/>
        <v>0</v>
      </c>
      <c r="BD555" s="70">
        <v>0</v>
      </c>
      <c r="BE555" s="65">
        <f t="shared" si="351"/>
        <v>0</v>
      </c>
      <c r="BF555" s="70">
        <v>0</v>
      </c>
      <c r="BG555" s="65">
        <f t="shared" si="352"/>
        <v>0</v>
      </c>
      <c r="BH555" s="70">
        <v>0</v>
      </c>
      <c r="BI555" s="65">
        <f t="shared" si="353"/>
        <v>0</v>
      </c>
      <c r="BJ555" s="38">
        <f>IF(AND(BJ$7="○",$A555&gt;=BJ$8,$A555&lt;=BJ$9),IF(SUM(BJ$10:BJ554)-ROUNDDOWN($M555*BJ$5/100,0)&lt;-BJ$6,-BJ$6-SUM(BJ$10:BJ554),-ROUNDDOWN($M555*BJ$5/100,0)),0)</f>
        <v>0</v>
      </c>
      <c r="BK555" s="38">
        <f>IF(AND(BK$7="○",$A555&gt;=BK$8,$A555&lt;=BK$9),IF(SUM(BK$10:BK554)-ROUNDDOWN($L555*BK$5/100,0)&lt;-BK$6,-BK$6-SUM(BK$10:BK554),-ROUNDDOWN($L555*BK$5/100,0)),0)</f>
        <v>0</v>
      </c>
      <c r="BL555" s="38">
        <f>IF(AND(BL$7="○",$A555&gt;=BL$8,$A555&lt;=BL$9),IF(SUM(BL$10:BL554)-ROUNDDOWN($L555*BL$5/100,0)&lt;-BL$6,-BL$6-SUM(BL$10:BL554),-ROUNDDOWN($L555*BL$5/100,0)),0)</f>
        <v>0</v>
      </c>
      <c r="BM555" s="38">
        <f>IF(AND(BM$7="○",$A555&gt;=BM$8,$A555&lt;=BM$9),IF(SUM(BM$10:BM554)-ROUNDDOWN($M555*BM$5/100,0)&lt;-BM$6,-BM$6-SUM(BM$10:BM554),-ROUNDDOWN($M555*BM$5/100,0)),0)</f>
        <v>0</v>
      </c>
      <c r="BN555" s="38">
        <f>IF(AND(BN$7="○",$A555&gt;=BN$8,$A555&lt;=BN$9),IF(SUM(BN$10:BN554)-ROUNDDOWN($M555*BN$5/100,0)&lt;-BN$6,-BN$6-SUM(BN$10:BN554),-ROUNDDOWN($M555*BN$5/100,0)),0)</f>
        <v>0</v>
      </c>
      <c r="BO555" s="38">
        <f>IF(AND(BO$7="○",$A555&gt;=BO$8,$A555&lt;=BO$9),IF(SUM(BO$10:BO554)-ROUNDDOWN($M555*BO$5/100,0)&lt;-BO$6,-BO$6-SUM(BO$10:BO554),-ROUNDDOWN($M555*BO$5/100,0)),0)</f>
        <v>0</v>
      </c>
      <c r="BP555" s="38">
        <f>IF(AND(BP$7="○",$A555&gt;=BP$8,$A555&lt;=BP$9),IF(SUM(BP$10:BP554)-ROUNDDOWN($M555*BP$5/100,0)&lt;-BP$6,-BP$6-SUM(BP$10:BP554),-ROUNDDOWN($M555*BP$5/100,0)),0)</f>
        <v>0</v>
      </c>
      <c r="BQ555" s="38">
        <f>IF(AND(BQ$7="○",$A555&gt;=BQ$8,$A555&lt;=BQ$9),IF(SUM(BQ$10:BQ554)-ROUNDDOWN($L555*BQ$5/100,0)&lt;-BQ$6,-BQ$6-SUM(BQ$10:BQ554),-ROUNDDOWN($L555*BQ$5/100,0)),0)</f>
        <v>0</v>
      </c>
      <c r="BR555" s="38">
        <f>IF(AND(BR$7="○",$A555&gt;=BR$8,$A555&lt;=BR$9),IF(SUM(BR$10:BR554)-ROUNDDOWN($M555*BR$5/100,0)&lt;-BR$6,-BR$6-SUM(BR$10:BR554),-ROUNDDOWN($M555*BR$5/100,0)),0)</f>
        <v>0</v>
      </c>
      <c r="BS555" s="38">
        <f>IF(AND(BS$7="○",$A555&gt;=BS$8,$A555&lt;=BS$9),IF(SUM(BS$10:BS554)-ROUNDDOWN($M555*BS$5/100,0)&lt;-BS$6,-BS$6-SUM(BS$10:BS554),-ROUNDDOWN($M555*BS$5/100,0)),0)</f>
        <v>0</v>
      </c>
      <c r="BT555" s="38">
        <f>IF(AND(BT$7="○",$A555&gt;=BT$8,$A555&lt;=BT$9),IF(SUM(BT$10:BT554)-ROUNDDOWN($M555*BT$5/100,0)&lt;-BT$6,-BT$6-SUM(BT$10:BT554),-ROUNDDOWN($M555*BT$5/100,0)),0)</f>
        <v>0</v>
      </c>
      <c r="BU555" s="38">
        <f>IF(AND(BU$7="○",$A555&gt;=BU$8,$A555&lt;=BU$9),IF(SUM(BU$10:BU554)-ROUNDDOWN($M555*BU$5/100,0)&lt;-BU$6,-BU$6-SUM(BU$10:BU554),-ROUNDDOWN($M555*BU$5/100,0)),0)</f>
        <v>0</v>
      </c>
      <c r="BV555" s="38">
        <f>IF(AND(BV$7="○",$A555&gt;=BV$8,$A555&lt;=BV$9),IF(SUM(BV$10:BV554)-ROUNDDOWN($M555*BV$5/100,0)&lt;-BV$6,-BV$6-SUM(BV$10:BV554),-ROUNDDOWN($M555*BV$5/100,0)),0)</f>
        <v>0</v>
      </c>
      <c r="BW555" s="38">
        <f>IF(AND(BW$7="○",$A555&gt;=BW$8,$A555&lt;=BW$9),IF(SUM(BW$10:BW554)-ROUNDDOWN($M555*BW$5/100,0)&lt;-BW$6,-BW$6-SUM(BW$10:BW554),-ROUNDDOWN($M555*BW$5/100,0)),0)</f>
        <v>0</v>
      </c>
      <c r="BX555" s="38">
        <f>IF(AND(T555="○",$A555&gt;=BX$8,$A555&lt;=BX$9),IF(SUM(BX$10:BX554)-ROUNDDOWN($K555*BX$5/100,0)&lt;-BX$6,-BX$6-SUM(BX$10:BX554),-ROUNDDOWN($K555*BX$5/100,0)),0)</f>
        <v>0</v>
      </c>
      <c r="BY555" s="38">
        <f>IF(AND(U555="○",$A555&gt;=BY$8,$A555&lt;=BY$9),IF(SUM(BY$10:BY554)-ROUNDDOWN($K555*BY$5/100,0)&lt;-BY$6,-BY$6-SUM(BY$10:BY554),-ROUNDDOWN($K555*BY$5/100,0)),0)</f>
        <v>0</v>
      </c>
      <c r="BZ555" s="38">
        <f>IF(AND(V555="○",$A555&gt;=BZ$8,$A555&lt;=BZ$9),IF(SUM(BZ$10:BZ554)-ROUNDDOWN($K555*BZ$5/100,0)&lt;-BZ$6,-BZ$6-SUM(BZ$10:BZ554),-ROUNDDOWN($K555*BZ$5/100,0)),0)</f>
        <v>0</v>
      </c>
      <c r="CA555" s="38">
        <f>IF(AND(W555="○",$A555&gt;=CA$8,$A555&lt;=CA$9),IF(SUM(CA$10:CA554)-ROUNDDOWN($K555*CA$5/100,0)&lt;-CA$6,-CA$6-SUM(CA$10:CA554),-ROUNDDOWN($K555*CA$5/100,0)),0)</f>
        <v>0</v>
      </c>
      <c r="CB555" s="38"/>
      <c r="CC555" s="38"/>
      <c r="CD555" s="38"/>
      <c r="CE555" s="38"/>
      <c r="CF555" s="38"/>
      <c r="CG555" s="65">
        <f t="shared" si="354"/>
        <v>0</v>
      </c>
      <c r="CH555" s="71">
        <f t="shared" si="355"/>
        <v>0</v>
      </c>
      <c r="CI555" s="1">
        <f t="shared" si="19"/>
        <v>0</v>
      </c>
      <c r="CJ555" s="1"/>
      <c r="CK555" s="2"/>
      <c r="CL555" s="2"/>
      <c r="CM555" s="2"/>
      <c r="CN555" s="2"/>
      <c r="CO555" s="73">
        <f t="shared" si="20"/>
        <v>0</v>
      </c>
      <c r="CP555" s="5">
        <f t="shared" si="21"/>
        <v>0</v>
      </c>
      <c r="CQ555" s="1"/>
      <c r="CR555" s="1">
        <f t="shared" si="22"/>
        <v>0</v>
      </c>
      <c r="CS555" s="1"/>
      <c r="CT555" s="1" t="e">
        <f>INDEX([2]マスタ!$A:$A,MATCH(D555,[2]マスタ!$C:$C,0))</f>
        <v>#N/A</v>
      </c>
      <c r="CU555" s="1" t="str">
        <f t="shared" ca="1" si="23"/>
        <v>20260620_0-0</v>
      </c>
    </row>
    <row r="556" spans="1:99" x14ac:dyDescent="0.4">
      <c r="A556" s="61"/>
      <c r="B556" s="62"/>
      <c r="C556" s="62"/>
      <c r="D556" s="62"/>
      <c r="E556" s="74"/>
      <c r="F556" s="62"/>
      <c r="G556" s="62">
        <v>1</v>
      </c>
      <c r="H556" s="64">
        <f t="shared" ref="H556:H585" si="360">+F556*G556</f>
        <v>0</v>
      </c>
      <c r="I556" s="64"/>
      <c r="J556" s="64"/>
      <c r="K556" s="65">
        <f t="shared" ref="K556:K567" si="361">+ROUNDDOWN((H556+I556)/100,0)*100</f>
        <v>0</v>
      </c>
      <c r="L556" s="65">
        <f t="shared" ref="L556:L585" si="362">+ROUNDDOWN((H556+I556)/1.1/100,0)*100</f>
        <v>0</v>
      </c>
      <c r="M556" s="65">
        <f t="shared" ref="M556:M585" si="363">+ROUNDDOWN((H556+I556)/1.1/200,0)*200</f>
        <v>0</v>
      </c>
      <c r="N556" s="65">
        <f t="shared" ref="N556:N585" si="364">+H556+I556+J556</f>
        <v>0</v>
      </c>
      <c r="O556" s="66" t="str">
        <f t="shared" si="9"/>
        <v>✕</v>
      </c>
      <c r="P556" s="67" t="str">
        <f t="shared" si="10"/>
        <v>○</v>
      </c>
      <c r="Q556" s="67" t="str">
        <f t="shared" ref="Q556:Q567" si="365">+IF((TEXT($A556,"DD")+0)=1,"○","✕")</f>
        <v>✕</v>
      </c>
      <c r="R556" s="67" t="str">
        <f t="shared" si="12"/>
        <v>✕</v>
      </c>
      <c r="S556" s="68">
        <v>0</v>
      </c>
      <c r="T556" s="69" t="s">
        <v>85</v>
      </c>
      <c r="U556" s="69" t="s">
        <v>85</v>
      </c>
      <c r="V556" s="69" t="s">
        <v>85</v>
      </c>
      <c r="W556" s="69" t="s">
        <v>85</v>
      </c>
      <c r="X556" s="69" t="s">
        <v>84</v>
      </c>
      <c r="Y556" s="69" t="s">
        <v>85</v>
      </c>
      <c r="Z556" s="69" t="s">
        <v>85</v>
      </c>
      <c r="AA556" s="69" t="s">
        <v>85</v>
      </c>
      <c r="AB556" s="69" t="s">
        <v>85</v>
      </c>
      <c r="AC556" s="69" t="s">
        <v>85</v>
      </c>
      <c r="AD556" s="38" t="str">
        <f>+IF(ISERROR(VLOOKUP($B556,AD$10:AD15,1,0)),IF(AND($N556&gt;=1000,$A556&gt;=AO$8,$A556&lt;=AO$9),$B556,""),"")</f>
        <v/>
      </c>
      <c r="AE556" s="38" t="str">
        <f>+IF(ISERROR(VLOOKUP($B556,AE$10:AE15,1,0)),IF(AND($N556&gt;=1000,$A556&gt;=AP$8,$A556&lt;=AP$9),$B556,""),"")</f>
        <v/>
      </c>
      <c r="AF556" s="38" t="str">
        <f>+IF(ISERROR(VLOOKUP($B556,AF$10:AF15,1,0)),IF(AND($N556&gt;=1000,$A556&gt;=AQ$8,$A556&lt;=AQ$9),$B556,""),"")</f>
        <v/>
      </c>
      <c r="AG556" s="38" t="str">
        <f>+IF(ISERROR(VLOOKUP($B556,AG$10:AG15,1,0)),IF(AND($N556&gt;=1000,$A556&gt;=AR$8,$A556&lt;=AR$9),$B556,""),"")</f>
        <v/>
      </c>
      <c r="AH556" s="38"/>
      <c r="AI556" s="70">
        <v>0</v>
      </c>
      <c r="AJ556" s="38">
        <f>IF(AND(AJ$7="○",$A556&gt;=AJ$8,$A556&lt;=AJ$9),IF(SUM(AJ$10:AJ555)-ROUNDDOWN($K556*AJ$5/100,0)&lt;-AJ$6,-AJ$6-SUM(AJ$10:AJ555),-ROUNDDOWN($K556*AJ$5/100,0)),0)</f>
        <v>0</v>
      </c>
      <c r="AK556" s="38">
        <f>IF(AND(AK$7="○",$A556&gt;=AK$8,$A556&lt;=AK$9),IF(SUM(AK$10:AK555)-ROUNDDOWN($L556*AK$5/100,0)&lt;-AK$6,-AK$6-SUM(AK$10:AK555),-ROUNDDOWN($L556*AK$5/100,0)),0)</f>
        <v>0</v>
      </c>
      <c r="AL556" s="38">
        <f>IF(AND(AL$7="○",$A556&gt;=AL$8,$A556&lt;=AL$9),IF(SUM(AL$10:AL555)-ROUNDDOWN($N556*AL$5/100,0)&lt;-AL$6,-AL$6-SUM(AL$10:AL555),-ROUNDDOWN($N556*AL$5/100,0)),0)</f>
        <v>0</v>
      </c>
      <c r="AM556" s="38">
        <f>IF(AND(AM$7="○",$A556&gt;=AM$8,$A556&lt;=AM$9),IF(SUM(AM$10:AM555)-ROUNDDOWN($L556*AM$5/100,0)&lt;-AM$6,-AM$6-SUM(AM$10:AM555),-ROUNDDOWN($L556*AM$5/100,0)),0)</f>
        <v>0</v>
      </c>
      <c r="AN556" s="38">
        <f>IF(AND(AN$7="○",$A556&gt;=AN$8,$A556&lt;=AN$9),IF(SUM(AN$10:AN555)-ROUNDDOWN($M556*AN$5/100,0)&lt;-AN$6,-AN$6-SUM(AN$10:AN555),-ROUNDDOWN($M556*AN$5/100,0)),0)</f>
        <v>0</v>
      </c>
      <c r="AO556" s="38">
        <f>IF(AND($A556&gt;=AO$8,$A556&lt;=AO$9),IF(SUM(AO$10:AO555)-ROUNDDOWN($K556*AO$5/100,0)&lt;-AO$6,-AO$6-SUM(AO$10:AO555),-ROUNDDOWN($K556*AO$5/100,0)),0)</f>
        <v>0</v>
      </c>
      <c r="AP556" s="38">
        <f>IF(AND($A556&gt;=AP$8,$A556&lt;=AP$9),IF(SUM(AP$10:AP555)-ROUNDDOWN($K556*AP$5/100,0)&lt;-AP$6,-AP$6-SUM(AP$10:AP555),-ROUNDDOWN($K556*AP$5/100,0)),0)</f>
        <v>0</v>
      </c>
      <c r="AQ556" s="38">
        <f>IF(AND($A556&gt;=AQ$8,$A556&lt;=AQ$9),IF(SUM(AQ$10:AQ555)-ROUNDDOWN($K556*AQ$5/100,0)&lt;-AQ$6,-AQ$6-SUM(AQ$10:AQ555),-ROUNDDOWN($K556*AQ$5/100,0)),0)</f>
        <v>0</v>
      </c>
      <c r="AR556" s="38">
        <f>IF(AND($A556&gt;=AR$8,$A556&lt;=AR$9),IF(SUM(AR$10:AR555)-ROUNDDOWN($K556*AR$5/100,0)&lt;-AR$6,-AR$6-SUM(AR$10:AR555),-ROUNDDOWN($K556*AR$5/100,0)),0)</f>
        <v>0</v>
      </c>
      <c r="AS556" s="38">
        <f>IF(SUMIFS(AS$10:AS555,$A$10:$A555,$A556)-ROUNDDOWN($K556*$S556/100,0)&lt;-$S556*1000,-$S556*1000-SUMIFS(AS$10:AS555,$A$10:$A555,$A556),-ROUNDDOWN($K556*$S556/100,0))</f>
        <v>0</v>
      </c>
      <c r="AT556" s="38">
        <f>IF(AND(X556="○",$A556&gt;=AT$8,$A556&lt;=AT$9,K556&gt;=3980),IF(SUM(AT$10:AT555)-ROUNDDOWN($K556*AT$5/100,0)&lt;-AT$6,-AT$6-SUM(AT$10:AT555),-ROUNDDOWN($K556*AT$5/100,0)),0)</f>
        <v>0</v>
      </c>
      <c r="AU556" s="38">
        <f>IF(O556="○",IF(SUM(AU$10:AU555)-ROUNDDOWN($K556*AU$5/100,0)&lt;-AU$6,-AU$6-SUM(AU$10:AU555),-ROUNDDOWN($K556*AU$5/100,0)),0)</f>
        <v>0</v>
      </c>
      <c r="AV556" s="38">
        <f>IF(P556="○",IF(SUM(AV$10:AV555)-ROUNDDOWN($K556*AV$5/100,0)&lt;-AV$6,-AV$6-SUM(AV$10:AV555),-ROUNDDOWN($K556*AV$5/100,0)),0)</f>
        <v>0</v>
      </c>
      <c r="AW556" s="38">
        <f>IF(Q556="○",IF(SUM(AW$10:AW555)-ROUNDDOWN($K556*AW$5/100,0)&lt;-AW$6,-AW$6-SUM(AW$10:AW555),-ROUNDDOWN($K556*AW$5/100,0)),0)</f>
        <v>0</v>
      </c>
      <c r="AX556" s="38">
        <f>IF(R556="○",IF(SUM(AX$10:AX555)-ROUNDDOWN($K556*AX$5/100,0)&lt;-AX$6,-AX$6-SUM(AX$10:AX555),-ROUNDDOWN($K556*AX$5/100,0)),0)</f>
        <v>0</v>
      </c>
      <c r="AY556" s="70">
        <v>0</v>
      </c>
      <c r="AZ556" s="65">
        <f t="shared" si="348"/>
        <v>0</v>
      </c>
      <c r="BA556" s="65">
        <f t="shared" si="349"/>
        <v>0</v>
      </c>
      <c r="BB556" s="70"/>
      <c r="BC556" s="65">
        <f t="shared" si="350"/>
        <v>0</v>
      </c>
      <c r="BD556" s="70">
        <v>0</v>
      </c>
      <c r="BE556" s="65">
        <f t="shared" si="351"/>
        <v>0</v>
      </c>
      <c r="BF556" s="70">
        <v>0</v>
      </c>
      <c r="BG556" s="65">
        <f t="shared" si="352"/>
        <v>0</v>
      </c>
      <c r="BH556" s="70">
        <v>0</v>
      </c>
      <c r="BI556" s="65">
        <f t="shared" si="353"/>
        <v>0</v>
      </c>
      <c r="BJ556" s="38">
        <f>IF(AND(BJ$7="○",$A556&gt;=BJ$8,$A556&lt;=BJ$9),IF(SUM(BJ$10:BJ555)-ROUNDDOWN($M556*BJ$5/100,0)&lt;-BJ$6,-BJ$6-SUM(BJ$10:BJ555),-ROUNDDOWN($M556*BJ$5/100,0)),0)</f>
        <v>0</v>
      </c>
      <c r="BK556" s="38">
        <f>IF(AND(BK$7="○",$A556&gt;=BK$8,$A556&lt;=BK$9),IF(SUM(BK$10:BK555)-ROUNDDOWN($L556*BK$5/100,0)&lt;-BK$6,-BK$6-SUM(BK$10:BK555),-ROUNDDOWN($L556*BK$5/100,0)),0)</f>
        <v>0</v>
      </c>
      <c r="BL556" s="38">
        <f>IF(AND(BL$7="○",$A556&gt;=BL$8,$A556&lt;=BL$9),IF(SUM(BL$10:BL555)-ROUNDDOWN($L556*BL$5/100,0)&lt;-BL$6,-BL$6-SUM(BL$10:BL555),-ROUNDDOWN($L556*BL$5/100,0)),0)</f>
        <v>0</v>
      </c>
      <c r="BM556" s="38">
        <f>IF(AND(BM$7="○",$A556&gt;=BM$8,$A556&lt;=BM$9),IF(SUM(BM$10:BM555)-ROUNDDOWN($M556*BM$5/100,0)&lt;-BM$6,-BM$6-SUM(BM$10:BM555),-ROUNDDOWN($M556*BM$5/100,0)),0)</f>
        <v>0</v>
      </c>
      <c r="BN556" s="38">
        <f>IF(AND(BN$7="○",$A556&gt;=BN$8,$A556&lt;=BN$9),IF(SUM(BN$10:BN555)-ROUNDDOWN($M556*BN$5/100,0)&lt;-BN$6,-BN$6-SUM(BN$10:BN555),-ROUNDDOWN($M556*BN$5/100,0)),0)</f>
        <v>0</v>
      </c>
      <c r="BO556" s="38">
        <f>IF(AND(BO$7="○",$A556&gt;=BO$8,$A556&lt;=BO$9),IF(SUM(BO$10:BO555)-ROUNDDOWN($M556*BO$5/100,0)&lt;-BO$6,-BO$6-SUM(BO$10:BO555),-ROUNDDOWN($M556*BO$5/100,0)),0)</f>
        <v>0</v>
      </c>
      <c r="BP556" s="38">
        <f>IF(AND(BP$7="○",$A556&gt;=BP$8,$A556&lt;=BP$9),IF(SUM(BP$10:BP555)-ROUNDDOWN($M556*BP$5/100,0)&lt;-BP$6,-BP$6-SUM(BP$10:BP555),-ROUNDDOWN($M556*BP$5/100,0)),0)</f>
        <v>0</v>
      </c>
      <c r="BQ556" s="38">
        <f>IF(AND(BQ$7="○",$A556&gt;=BQ$8,$A556&lt;=BQ$9),IF(SUM(BQ$10:BQ555)-ROUNDDOWN($L556*BQ$5/100,0)&lt;-BQ$6,-BQ$6-SUM(BQ$10:BQ555),-ROUNDDOWN($L556*BQ$5/100,0)),0)</f>
        <v>0</v>
      </c>
      <c r="BR556" s="38">
        <f>IF(AND(BR$7="○",$A556&gt;=BR$8,$A556&lt;=BR$9),IF(SUM(BR$10:BR555)-ROUNDDOWN($M556*BR$5/100,0)&lt;-BR$6,-BR$6-SUM(BR$10:BR555),-ROUNDDOWN($M556*BR$5/100,0)),0)</f>
        <v>0</v>
      </c>
      <c r="BS556" s="38">
        <f>IF(AND(BS$7="○",$A556&gt;=BS$8,$A556&lt;=BS$9),IF(SUM(BS$10:BS555)-ROUNDDOWN($M556*BS$5/100,0)&lt;-BS$6,-BS$6-SUM(BS$10:BS555),-ROUNDDOWN($M556*BS$5/100,0)),0)</f>
        <v>0</v>
      </c>
      <c r="BT556" s="38">
        <f>IF(AND(BT$7="○",$A556&gt;=BT$8,$A556&lt;=BT$9),IF(SUM(BT$10:BT555)-ROUNDDOWN($M556*BT$5/100,0)&lt;-BT$6,-BT$6-SUM(BT$10:BT555),-ROUNDDOWN($M556*BT$5/100,0)),0)</f>
        <v>0</v>
      </c>
      <c r="BU556" s="38">
        <f>IF(AND(BU$7="○",$A556&gt;=BU$8,$A556&lt;=BU$9),IF(SUM(BU$10:BU555)-ROUNDDOWN($M556*BU$5/100,0)&lt;-BU$6,-BU$6-SUM(BU$10:BU555),-ROUNDDOWN($M556*BU$5/100,0)),0)</f>
        <v>0</v>
      </c>
      <c r="BV556" s="38">
        <f>IF(AND(BV$7="○",$A556&gt;=BV$8,$A556&lt;=BV$9),IF(SUM(BV$10:BV555)-ROUNDDOWN($M556*BV$5/100,0)&lt;-BV$6,-BV$6-SUM(BV$10:BV555),-ROUNDDOWN($M556*BV$5/100,0)),0)</f>
        <v>0</v>
      </c>
      <c r="BW556" s="38">
        <f>IF(AND(BW$7="○",$A556&gt;=BW$8,$A556&lt;=BW$9),IF(SUM(BW$10:BW555)-ROUNDDOWN($M556*BW$5/100,0)&lt;-BW$6,-BW$6-SUM(BW$10:BW555),-ROUNDDOWN($M556*BW$5/100,0)),0)</f>
        <v>0</v>
      </c>
      <c r="BX556" s="38">
        <f>IF(AND(T556="○",$A556&gt;=BX$8,$A556&lt;=BX$9),IF(SUM(BX$10:BX555)-ROUNDDOWN($K556*BX$5/100,0)&lt;-BX$6,-BX$6-SUM(BX$10:BX555),-ROUNDDOWN($K556*BX$5/100,0)),0)</f>
        <v>0</v>
      </c>
      <c r="BY556" s="38">
        <f>IF(AND(U556="○",$A556&gt;=BY$8,$A556&lt;=BY$9),IF(SUM(BY$10:BY555)-ROUNDDOWN($K556*BY$5/100,0)&lt;-BY$6,-BY$6-SUM(BY$10:BY555),-ROUNDDOWN($K556*BY$5/100,0)),0)</f>
        <v>0</v>
      </c>
      <c r="BZ556" s="38">
        <f>IF(AND(V556="○",$A556&gt;=BZ$8,$A556&lt;=BZ$9),IF(SUM(BZ$10:BZ555)-ROUNDDOWN($K556*BZ$5/100,0)&lt;-BZ$6,-BZ$6-SUM(BZ$10:BZ555),-ROUNDDOWN($K556*BZ$5/100,0)),0)</f>
        <v>0</v>
      </c>
      <c r="CA556" s="38">
        <f>IF(AND(W556="○",$A556&gt;=CA$8,$A556&lt;=CA$9),IF(SUM(CA$10:CA555)-ROUNDDOWN($K556*CA$5/100,0)&lt;-CA$6,-CA$6-SUM(CA$10:CA555),-ROUNDDOWN($K556*CA$5/100,0)),0)</f>
        <v>0</v>
      </c>
      <c r="CB556" s="38"/>
      <c r="CC556" s="38"/>
      <c r="CD556" s="38"/>
      <c r="CE556" s="38"/>
      <c r="CF556" s="38"/>
      <c r="CG556" s="65">
        <f t="shared" si="354"/>
        <v>0</v>
      </c>
      <c r="CH556" s="71">
        <f t="shared" si="355"/>
        <v>0</v>
      </c>
      <c r="CI556" s="1">
        <f t="shared" ref="CI556:CI585" si="366">IFERROR(ROUNDDOWN((CH556/G556),0),0)</f>
        <v>0</v>
      </c>
      <c r="CJ556" s="1"/>
      <c r="CK556" s="72"/>
      <c r="CL556" s="72"/>
      <c r="CM556" s="2"/>
      <c r="CN556" s="2"/>
      <c r="CO556" s="73">
        <f t="shared" ref="CO556:CO585" si="367">IFERROR(CN556-CI556,0)</f>
        <v>0</v>
      </c>
      <c r="CP556" s="5">
        <f t="shared" ref="CP556:CP585" si="368">IFERROR(CN556/CI556,0)</f>
        <v>0</v>
      </c>
      <c r="CQ556" s="1"/>
      <c r="CR556" s="1">
        <f t="shared" ref="CR556:CR585" si="369">+CO556*G556</f>
        <v>0</v>
      </c>
      <c r="CS556" s="1"/>
      <c r="CT556" s="1" t="e">
        <f>INDEX([2]マスタ!$A:$A,MATCH(D556,[2]マスタ!$C:$C,0))</f>
        <v>#N/A</v>
      </c>
      <c r="CU556" s="1" t="str">
        <f t="shared" ref="CU556:CU585" ca="1" si="370">IFERROR(TEXT(TODAY(),"yyyymmdd")&amp;"_"&amp;ROUNDDOWN(H556+I556,0)&amp;"-"&amp;ROUNDDOWN(CI556,0),"")</f>
        <v>20260620_0-0</v>
      </c>
    </row>
    <row r="557" spans="1:99" x14ac:dyDescent="0.4">
      <c r="A557" s="61"/>
      <c r="B557" s="62"/>
      <c r="C557" s="62"/>
      <c r="D557" s="62"/>
      <c r="E557" s="76"/>
      <c r="F557" s="62"/>
      <c r="G557" s="62">
        <v>1</v>
      </c>
      <c r="H557" s="64">
        <f t="shared" si="360"/>
        <v>0</v>
      </c>
      <c r="I557" s="64"/>
      <c r="J557" s="64"/>
      <c r="K557" s="65">
        <f t="shared" si="361"/>
        <v>0</v>
      </c>
      <c r="L557" s="65">
        <f t="shared" si="362"/>
        <v>0</v>
      </c>
      <c r="M557" s="65">
        <f t="shared" si="363"/>
        <v>0</v>
      </c>
      <c r="N557" s="65">
        <f t="shared" si="364"/>
        <v>0</v>
      </c>
      <c r="O557" s="66" t="str">
        <f t="shared" si="9"/>
        <v>✕</v>
      </c>
      <c r="P557" s="67" t="str">
        <f t="shared" si="10"/>
        <v>○</v>
      </c>
      <c r="Q557" s="67" t="str">
        <f t="shared" si="365"/>
        <v>✕</v>
      </c>
      <c r="R557" s="67" t="str">
        <f t="shared" si="12"/>
        <v>✕</v>
      </c>
      <c r="S557" s="68">
        <v>0</v>
      </c>
      <c r="T557" s="69" t="s">
        <v>85</v>
      </c>
      <c r="U557" s="69" t="s">
        <v>85</v>
      </c>
      <c r="V557" s="69" t="s">
        <v>85</v>
      </c>
      <c r="W557" s="69" t="s">
        <v>85</v>
      </c>
      <c r="X557" s="69" t="s">
        <v>84</v>
      </c>
      <c r="Y557" s="69" t="s">
        <v>85</v>
      </c>
      <c r="Z557" s="69" t="s">
        <v>85</v>
      </c>
      <c r="AA557" s="69" t="s">
        <v>85</v>
      </c>
      <c r="AB557" s="69" t="s">
        <v>85</v>
      </c>
      <c r="AC557" s="69" t="s">
        <v>85</v>
      </c>
      <c r="AD557" s="38" t="str">
        <f>+IF(ISERROR(VLOOKUP($B557,AD$10:AD556,1,0)),IF(AND($N557&gt;=1000,$A557&gt;=AO$8,$A557&lt;=AO$9),$B557,""),"")</f>
        <v/>
      </c>
      <c r="AE557" s="38" t="str">
        <f>+IF(ISERROR(VLOOKUP($B557,AE$10:AE556,1,0)),IF(AND($N557&gt;=1000,$A557&gt;=AP$8,$A557&lt;=AP$9),$B557,""),"")</f>
        <v/>
      </c>
      <c r="AF557" s="38" t="str">
        <f>+IF(ISERROR(VLOOKUP($B557,AF$10:AF556,1,0)),IF(AND($N557&gt;=1000,$A557&gt;=AQ$8,$A557&lt;=AQ$9),$B557,""),"")</f>
        <v/>
      </c>
      <c r="AG557" s="38" t="str">
        <f>+IF(ISERROR(VLOOKUP($B557,AG$10:AG556,1,0)),IF(AND($N557&gt;=1000,$A557&gt;=AR$8,$A557&lt;=AR$9),$B557,""),"")</f>
        <v/>
      </c>
      <c r="AH557" s="38"/>
      <c r="AI557" s="70">
        <v>0</v>
      </c>
      <c r="AJ557" s="38">
        <f>IF(AND(AJ$7="○",$A557&gt;=AJ$8,$A557&lt;=AJ$9),IF(SUM(AJ$10:AJ556)-ROUNDDOWN($K557*AJ$5/100,0)&lt;-AJ$6,-AJ$6-SUM(AJ$10:AJ556),-ROUNDDOWN($K557*AJ$5/100,0)),0)</f>
        <v>0</v>
      </c>
      <c r="AK557" s="38">
        <f>IF(AND(AK$7="○",$A557&gt;=AK$8,$A557&lt;=AK$9),IF(SUM(AK$10:AK556)-ROUNDDOWN($L557*AK$5/100,0)&lt;-AK$6,-AK$6-SUM(AK$10:AK556),-ROUNDDOWN($L557*AK$5/100,0)),0)</f>
        <v>0</v>
      </c>
      <c r="AL557" s="38">
        <f>IF(AND(AL$7="○",$A557&gt;=AL$8,$A557&lt;=AL$9),IF(SUM(AL$10:AL556)-ROUNDDOWN($N557*AL$5/100,0)&lt;-AL$6,-AL$6-SUM(AL$10:AL556),-ROUNDDOWN($N557*AL$5/100,0)),0)</f>
        <v>0</v>
      </c>
      <c r="AM557" s="38">
        <f>IF(AND(AM$7="○",$A557&gt;=AM$8,$A557&lt;=AM$9),IF(SUM(AM$10:AM556)-ROUNDDOWN($L557*AM$5/100,0)&lt;-AM$6,-AM$6-SUM(AM$10:AM556),-ROUNDDOWN($L557*AM$5/100,0)),0)</f>
        <v>0</v>
      </c>
      <c r="AN557" s="38">
        <f>IF(AND(AN$7="○",$A557&gt;=AN$8,$A557&lt;=AN$9),IF(SUM(AN$10:AN556)-ROUNDDOWN($M557*AN$5/100,0)&lt;-AN$6,-AN$6-SUM(AN$10:AN556),-ROUNDDOWN($M557*AN$5/100,0)),0)</f>
        <v>0</v>
      </c>
      <c r="AO557" s="38">
        <f>IF(AND($A557&gt;=AO$8,$A557&lt;=AO$9),IF(SUM(AO$10:AO556)-ROUNDDOWN($K557*AO$5/100,0)&lt;-AO$6,-AO$6-SUM(AO$10:AO556),-ROUNDDOWN($K557*AO$5/100,0)),0)</f>
        <v>0</v>
      </c>
      <c r="AP557" s="38">
        <f>IF(AND($A557&gt;=AP$8,$A557&lt;=AP$9),IF(SUM(AP$10:AP556)-ROUNDDOWN($K557*AP$5/100,0)&lt;-AP$6,-AP$6-SUM(AP$10:AP556),-ROUNDDOWN($K557*AP$5/100,0)),0)</f>
        <v>0</v>
      </c>
      <c r="AQ557" s="38">
        <f>IF(AND($A557&gt;=AQ$8,$A557&lt;=AQ$9),IF(SUM(AQ$10:AQ556)-ROUNDDOWN($K557*AQ$5/100,0)&lt;-AQ$6,-AQ$6-SUM(AQ$10:AQ556),-ROUNDDOWN($K557*AQ$5/100,0)),0)</f>
        <v>0</v>
      </c>
      <c r="AR557" s="38">
        <f>IF(AND($A557&gt;=AR$8,$A557&lt;=AR$9),IF(SUM(AR$10:AR556)-ROUNDDOWN($K557*AR$5/100,0)&lt;-AR$6,-AR$6-SUM(AR$10:AR556),-ROUNDDOWN($K557*AR$5/100,0)),0)</f>
        <v>0</v>
      </c>
      <c r="AS557" s="38">
        <f>IF(SUMIFS(AS$10:AS556,$A$10:$A556,$A557)-ROUNDDOWN($K557*$S557/100,0)&lt;-$S557*1000,-$S557*1000-SUMIFS(AS$10:AS556,$A$10:$A556,$A557),-ROUNDDOWN($K557*$S557/100,0))</f>
        <v>0</v>
      </c>
      <c r="AT557" s="38">
        <f>IF(AND(X557="○",$A557&gt;=AT$8,$A557&lt;=AT$9,K557&gt;=3980),IF(SUM(AT$10:AT556)-ROUNDDOWN($K557*AT$5/100,0)&lt;-AT$6,-AT$6-SUM(AT$10:AT556),-ROUNDDOWN($K557*AT$5/100,0)),0)</f>
        <v>0</v>
      </c>
      <c r="AU557" s="38">
        <f>IF(O557="○",IF(SUM(AU$10:AU556)-ROUNDDOWN($K557*AU$5/100,0)&lt;-AU$6,-AU$6-SUM(AU$10:AU556),-ROUNDDOWN($K557*AU$5/100,0)),0)</f>
        <v>0</v>
      </c>
      <c r="AV557" s="38">
        <f>IF(P557="○",IF(SUM(AV$10:AV556)-ROUNDDOWN($K557*AV$5/100,0)&lt;-AV$6,-AV$6-SUM(AV$10:AV556),-ROUNDDOWN($K557*AV$5/100,0)),0)</f>
        <v>0</v>
      </c>
      <c r="AW557" s="38">
        <f>IF(Q557="○",IF(SUM(AW$10:AW556)-ROUNDDOWN($K557*AW$5/100,0)&lt;-AW$6,-AW$6-SUM(AW$10:AW556),-ROUNDDOWN($K557*AW$5/100,0)),0)</f>
        <v>0</v>
      </c>
      <c r="AX557" s="38">
        <f>IF(R557="○",IF(SUM(AX$10:AX556)-ROUNDDOWN($K557*AX$5/100,0)&lt;-AX$6,-AX$6-SUM(AX$10:AX556),-ROUNDDOWN($K557*AX$5/100,0)),0)</f>
        <v>0</v>
      </c>
      <c r="AY557" s="70">
        <v>0</v>
      </c>
      <c r="AZ557" s="65">
        <f t="shared" si="348"/>
        <v>0</v>
      </c>
      <c r="BA557" s="65">
        <f t="shared" si="349"/>
        <v>0</v>
      </c>
      <c r="BB557" s="70"/>
      <c r="BC557" s="65">
        <f t="shared" si="350"/>
        <v>0</v>
      </c>
      <c r="BD557" s="70">
        <v>0</v>
      </c>
      <c r="BE557" s="65">
        <f t="shared" si="351"/>
        <v>0</v>
      </c>
      <c r="BF557" s="70">
        <v>0</v>
      </c>
      <c r="BG557" s="65">
        <f t="shared" si="352"/>
        <v>0</v>
      </c>
      <c r="BH557" s="70">
        <v>0</v>
      </c>
      <c r="BI557" s="65">
        <f t="shared" si="353"/>
        <v>0</v>
      </c>
      <c r="BJ557" s="38">
        <f>IF(AND(BJ$7="○",$A557&gt;=BJ$8,$A557&lt;=BJ$9),IF(SUM(BJ$10:BJ556)-ROUNDDOWN($M557*BJ$5/100,0)&lt;-BJ$6,-BJ$6-SUM(BJ$10:BJ556),-ROUNDDOWN($M557*BJ$5/100,0)),0)</f>
        <v>0</v>
      </c>
      <c r="BK557" s="38">
        <f>IF(AND(BK$7="○",$A557&gt;=BK$8,$A557&lt;=BK$9),IF(SUM(BK$10:BK556)-ROUNDDOWN($L557*BK$5/100,0)&lt;-BK$6,-BK$6-SUM(BK$10:BK556),-ROUNDDOWN($L557*BK$5/100,0)),0)</f>
        <v>0</v>
      </c>
      <c r="BL557" s="38">
        <f>IF(AND(BL$7="○",$A557&gt;=BL$8,$A557&lt;=BL$9),IF(SUM(BL$10:BL556)-ROUNDDOWN($L557*BL$5/100,0)&lt;-BL$6,-BL$6-SUM(BL$10:BL556),-ROUNDDOWN($L557*BL$5/100,0)),0)</f>
        <v>0</v>
      </c>
      <c r="BM557" s="38">
        <f>IF(AND(BM$7="○",$A557&gt;=BM$8,$A557&lt;=BM$9),IF(SUM(BM$10:BM556)-ROUNDDOWN($M557*BM$5/100,0)&lt;-BM$6,-BM$6-SUM(BM$10:BM556),-ROUNDDOWN($M557*BM$5/100,0)),0)</f>
        <v>0</v>
      </c>
      <c r="BN557" s="38">
        <f>IF(AND(BN$7="○",$A557&gt;=BN$8,$A557&lt;=BN$9),IF(SUM(BN$10:BN556)-ROUNDDOWN($M557*BN$5/100,0)&lt;-BN$6,-BN$6-SUM(BN$10:BN556),-ROUNDDOWN($M557*BN$5/100,0)),0)</f>
        <v>0</v>
      </c>
      <c r="BO557" s="38">
        <f>IF(AND(BO$7="○",$A557&gt;=BO$8,$A557&lt;=BO$9),IF(SUM(BO$10:BO556)-ROUNDDOWN($M557*BO$5/100,0)&lt;-BO$6,-BO$6-SUM(BO$10:BO556),-ROUNDDOWN($M557*BO$5/100,0)),0)</f>
        <v>0</v>
      </c>
      <c r="BP557" s="38">
        <f>IF(AND(BP$7="○",$A557&gt;=BP$8,$A557&lt;=BP$9),IF(SUM(BP$10:BP556)-ROUNDDOWN($M557*BP$5/100,0)&lt;-BP$6,-BP$6-SUM(BP$10:BP556),-ROUNDDOWN($M557*BP$5/100,0)),0)</f>
        <v>0</v>
      </c>
      <c r="BQ557" s="38">
        <f>IF(AND(BQ$7="○",$A557&gt;=BQ$8,$A557&lt;=BQ$9),IF(SUM(BQ$10:BQ556)-ROUNDDOWN($L557*BQ$5/100,0)&lt;-BQ$6,-BQ$6-SUM(BQ$10:BQ556),-ROUNDDOWN($L557*BQ$5/100,0)),0)</f>
        <v>0</v>
      </c>
      <c r="BR557" s="38">
        <f>IF(AND(BR$7="○",$A557&gt;=BR$8,$A557&lt;=BR$9),IF(SUM(BR$10:BR556)-ROUNDDOWN($M557*BR$5/100,0)&lt;-BR$6,-BR$6-SUM(BR$10:BR556),-ROUNDDOWN($M557*BR$5/100,0)),0)</f>
        <v>0</v>
      </c>
      <c r="BS557" s="38">
        <f>IF(AND(BS$7="○",$A557&gt;=BS$8,$A557&lt;=BS$9),IF(SUM(BS$10:BS556)-ROUNDDOWN($M557*BS$5/100,0)&lt;-BS$6,-BS$6-SUM(BS$10:BS556),-ROUNDDOWN($M557*BS$5/100,0)),0)</f>
        <v>0</v>
      </c>
      <c r="BT557" s="38">
        <f>IF(AND(BT$7="○",$A557&gt;=BT$8,$A557&lt;=BT$9),IF(SUM(BT$10:BT556)-ROUNDDOWN($M557*BT$5/100,0)&lt;-BT$6,-BT$6-SUM(BT$10:BT556),-ROUNDDOWN($M557*BT$5/100,0)),0)</f>
        <v>0</v>
      </c>
      <c r="BU557" s="38">
        <f>IF(AND(BU$7="○",$A557&gt;=BU$8,$A557&lt;=BU$9),IF(SUM(BU$10:BU556)-ROUNDDOWN($M557*BU$5/100,0)&lt;-BU$6,-BU$6-SUM(BU$10:BU556),-ROUNDDOWN($M557*BU$5/100,0)),0)</f>
        <v>0</v>
      </c>
      <c r="BV557" s="38">
        <f>IF(AND(BV$7="○",$A557&gt;=BV$8,$A557&lt;=BV$9),IF(SUM(BV$10:BV556)-ROUNDDOWN($M557*BV$5/100,0)&lt;-BV$6,-BV$6-SUM(BV$10:BV556),-ROUNDDOWN($M557*BV$5/100,0)),0)</f>
        <v>0</v>
      </c>
      <c r="BW557" s="38">
        <f>IF(AND(BW$7="○",$A557&gt;=BW$8,$A557&lt;=BW$9),IF(SUM(BW$10:BW556)-ROUNDDOWN($M557*BW$5/100,0)&lt;-BW$6,-BW$6-SUM(BW$10:BW556),-ROUNDDOWN($M557*BW$5/100,0)),0)</f>
        <v>0</v>
      </c>
      <c r="BX557" s="38">
        <f>IF(AND(T557="○",$A557&gt;=BX$8,$A557&lt;=BX$9),IF(SUM(BX$10:BX556)-ROUNDDOWN($K557*BX$5/100,0)&lt;-BX$6,-BX$6-SUM(BX$10:BX556),-ROUNDDOWN($K557*BX$5/100,0)),0)</f>
        <v>0</v>
      </c>
      <c r="BY557" s="38">
        <f>IF(AND(U557="○",$A557&gt;=BY$8,$A557&lt;=BY$9),IF(SUM(BY$10:BY556)-ROUNDDOWN($K557*BY$5/100,0)&lt;-BY$6,-BY$6-SUM(BY$10:BY556),-ROUNDDOWN($K557*BY$5/100,0)),0)</f>
        <v>0</v>
      </c>
      <c r="BZ557" s="38">
        <f>IF(AND(V557="○",$A557&gt;=BZ$8,$A557&lt;=BZ$9),IF(SUM(BZ$10:BZ556)-ROUNDDOWN($K557*BZ$5/100,0)&lt;-BZ$6,-BZ$6-SUM(BZ$10:BZ556),-ROUNDDOWN($K557*BZ$5/100,0)),0)</f>
        <v>0</v>
      </c>
      <c r="CA557" s="38">
        <f>IF(AND(W557="○",$A557&gt;=CA$8,$A557&lt;=CA$9),IF(SUM(CA$10:CA556)-ROUNDDOWN($K557*CA$5/100,0)&lt;-CA$6,-CA$6-SUM(CA$10:CA556),-ROUNDDOWN($K557*CA$5/100,0)),0)</f>
        <v>0</v>
      </c>
      <c r="CB557" s="38"/>
      <c r="CC557" s="38"/>
      <c r="CD557" s="38"/>
      <c r="CE557" s="38"/>
      <c r="CF557" s="38"/>
      <c r="CG557" s="65">
        <f t="shared" si="354"/>
        <v>0</v>
      </c>
      <c r="CH557" s="71">
        <f t="shared" si="355"/>
        <v>0</v>
      </c>
      <c r="CI557" s="1">
        <f t="shared" si="366"/>
        <v>0</v>
      </c>
      <c r="CJ557" s="1"/>
      <c r="CK557" s="72"/>
      <c r="CL557" s="72"/>
      <c r="CM557" s="2"/>
      <c r="CN557" s="2"/>
      <c r="CO557" s="73">
        <f t="shared" si="367"/>
        <v>0</v>
      </c>
      <c r="CP557" s="5">
        <f t="shared" si="368"/>
        <v>0</v>
      </c>
      <c r="CQ557" s="1"/>
      <c r="CR557" s="1">
        <f t="shared" si="369"/>
        <v>0</v>
      </c>
      <c r="CS557" s="1"/>
      <c r="CT557" s="1" t="e">
        <f>INDEX([2]マスタ!$A:$A,MATCH(D557,[2]マスタ!$C:$C,0))</f>
        <v>#N/A</v>
      </c>
      <c r="CU557" s="1" t="str">
        <f t="shared" ca="1" si="370"/>
        <v>20260620_0-0</v>
      </c>
    </row>
    <row r="558" spans="1:99" x14ac:dyDescent="0.4">
      <c r="A558" s="61"/>
      <c r="B558" s="62"/>
      <c r="C558" s="62"/>
      <c r="D558" s="62"/>
      <c r="E558" s="63"/>
      <c r="F558" s="62"/>
      <c r="G558" s="62">
        <v>1</v>
      </c>
      <c r="H558" s="64">
        <f t="shared" si="360"/>
        <v>0</v>
      </c>
      <c r="I558" s="64"/>
      <c r="J558" s="64"/>
      <c r="K558" s="65">
        <f t="shared" si="361"/>
        <v>0</v>
      </c>
      <c r="L558" s="65">
        <f t="shared" si="362"/>
        <v>0</v>
      </c>
      <c r="M558" s="65">
        <f t="shared" si="363"/>
        <v>0</v>
      </c>
      <c r="N558" s="65">
        <f t="shared" si="364"/>
        <v>0</v>
      </c>
      <c r="O558" s="66" t="str">
        <f t="shared" si="9"/>
        <v>✕</v>
      </c>
      <c r="P558" s="67" t="str">
        <f t="shared" si="10"/>
        <v>○</v>
      </c>
      <c r="Q558" s="67" t="str">
        <f t="shared" si="365"/>
        <v>✕</v>
      </c>
      <c r="R558" s="67" t="str">
        <f t="shared" si="12"/>
        <v>✕</v>
      </c>
      <c r="S558" s="68">
        <v>0</v>
      </c>
      <c r="T558" s="69" t="s">
        <v>85</v>
      </c>
      <c r="U558" s="69" t="s">
        <v>85</v>
      </c>
      <c r="V558" s="69" t="s">
        <v>85</v>
      </c>
      <c r="W558" s="69" t="s">
        <v>85</v>
      </c>
      <c r="X558" s="69" t="s">
        <v>84</v>
      </c>
      <c r="Y558" s="69" t="s">
        <v>85</v>
      </c>
      <c r="Z558" s="69" t="s">
        <v>85</v>
      </c>
      <c r="AA558" s="69" t="s">
        <v>85</v>
      </c>
      <c r="AB558" s="69" t="s">
        <v>85</v>
      </c>
      <c r="AC558" s="69" t="s">
        <v>85</v>
      </c>
      <c r="AD558" s="38" t="str">
        <f>+IF(ISERROR(VLOOKUP($B558,AD$10:AD557,1,0)),IF(AND($N558&gt;=1000,$A558&gt;=AO$8,$A558&lt;=AO$9),$B558,""),"")</f>
        <v/>
      </c>
      <c r="AE558" s="38" t="str">
        <f>+IF(ISERROR(VLOOKUP($B558,AE$10:AE557,1,0)),IF(AND($N558&gt;=1000,$A558&gt;=AP$8,$A558&lt;=AP$9),$B558,""),"")</f>
        <v/>
      </c>
      <c r="AF558" s="38" t="str">
        <f>+IF(ISERROR(VLOOKUP($B558,AF$10:AF557,1,0)),IF(AND($N558&gt;=1000,$A558&gt;=AQ$8,$A558&lt;=AQ$9),$B558,""),"")</f>
        <v/>
      </c>
      <c r="AG558" s="38" t="str">
        <f>+IF(ISERROR(VLOOKUP($B558,AG$10:AG557,1,0)),IF(AND($N558&gt;=1000,$A558&gt;=AR$8,$A558&lt;=AR$9),$B558,""),"")</f>
        <v/>
      </c>
      <c r="AH558" s="38"/>
      <c r="AI558" s="70">
        <v>0</v>
      </c>
      <c r="AJ558" s="38">
        <f>IF(AND(AJ$7="○",$A558&gt;=AJ$8,$A558&lt;=AJ$9),IF(SUM(AJ$10:AJ557)-ROUNDDOWN($K558*AJ$5/100,0)&lt;-AJ$6,-AJ$6-SUM(AJ$10:AJ557),-ROUNDDOWN($K558*AJ$5/100,0)),0)</f>
        <v>0</v>
      </c>
      <c r="AK558" s="38">
        <f>IF(AND(AK$7="○",$A558&gt;=AK$8,$A558&lt;=AK$9),IF(SUM(AK$10:AK557)-ROUNDDOWN($L558*AK$5/100,0)&lt;-AK$6,-AK$6-SUM(AK$10:AK557),-ROUNDDOWN($L558*AK$5/100,0)),0)</f>
        <v>0</v>
      </c>
      <c r="AL558" s="38">
        <f>IF(AND(AL$7="○",$A558&gt;=AL$8,$A558&lt;=AL$9),IF(SUM(AL$10:AL557)-ROUNDDOWN($N558*AL$5/100,0)&lt;-AL$6,-AL$6-SUM(AL$10:AL557),-ROUNDDOWN($N558*AL$5/100,0)),0)</f>
        <v>0</v>
      </c>
      <c r="AM558" s="38">
        <f>IF(AND(AM$7="○",$A558&gt;=AM$8,$A558&lt;=AM$9),IF(SUM(AM$10:AM557)-ROUNDDOWN($L558*AM$5/100,0)&lt;-AM$6,-AM$6-SUM(AM$10:AM557),-ROUNDDOWN($L558*AM$5/100,0)),0)</f>
        <v>0</v>
      </c>
      <c r="AN558" s="38">
        <f>IF(AND(AN$7="○",$A558&gt;=AN$8,$A558&lt;=AN$9),IF(SUM(AN$10:AN557)-ROUNDDOWN($M558*AN$5/100,0)&lt;-AN$6,-AN$6-SUM(AN$10:AN557),-ROUNDDOWN($M558*AN$5/100,0)),0)</f>
        <v>0</v>
      </c>
      <c r="AO558" s="38">
        <f>IF(AND($A558&gt;=AO$8,$A558&lt;=AO$9),IF(SUM(AO$10:AO557)-ROUNDDOWN($K558*AO$5/100,0)&lt;-AO$6,-AO$6-SUM(AO$10:AO557),-ROUNDDOWN($K558*AO$5/100,0)),0)</f>
        <v>0</v>
      </c>
      <c r="AP558" s="38">
        <f>IF(AND($A558&gt;=AP$8,$A558&lt;=AP$9),IF(SUM(AP$10:AP557)-ROUNDDOWN($K558*AP$5/100,0)&lt;-AP$6,-AP$6-SUM(AP$10:AP557),-ROUNDDOWN($K558*AP$5/100,0)),0)</f>
        <v>0</v>
      </c>
      <c r="AQ558" s="38">
        <f>IF(AND($A558&gt;=AQ$8,$A558&lt;=AQ$9),IF(SUM(AQ$10:AQ557)-ROUNDDOWN($K558*AQ$5/100,0)&lt;-AQ$6,-AQ$6-SUM(AQ$10:AQ557),-ROUNDDOWN($K558*AQ$5/100,0)),0)</f>
        <v>0</v>
      </c>
      <c r="AR558" s="38">
        <f>IF(AND($A558&gt;=AR$8,$A558&lt;=AR$9),IF(SUM(AR$10:AR557)-ROUNDDOWN($K558*AR$5/100,0)&lt;-AR$6,-AR$6-SUM(AR$10:AR557),-ROUNDDOWN($K558*AR$5/100,0)),0)</f>
        <v>0</v>
      </c>
      <c r="AS558" s="38">
        <f>IF(SUMIFS(AS$10:AS557,$A$10:$A557,$A558)-ROUNDDOWN($K558*$S558/100,0)&lt;-$S558*1000,-$S558*1000-SUMIFS(AS$10:AS557,$A$10:$A557,$A558),-ROUNDDOWN($K558*$S558/100,0))</f>
        <v>0</v>
      </c>
      <c r="AT558" s="38">
        <f>IF(AND(X558="○",$A558&gt;=AT$8,$A558&lt;=AT$9,K558&gt;=3980),IF(SUM(AT$10:AT557)-ROUNDDOWN($K558*AT$5/100,0)&lt;-AT$6,-AT$6-SUM(AT$10:AT557),-ROUNDDOWN($K558*AT$5/100,0)),0)</f>
        <v>0</v>
      </c>
      <c r="AU558" s="38">
        <f>IF(O558="○",IF(SUM(AU$10:AU557)-ROUNDDOWN($K558*AU$5/100,0)&lt;-AU$6,-AU$6-SUM(AU$10:AU557),-ROUNDDOWN($K558*AU$5/100,0)),0)</f>
        <v>0</v>
      </c>
      <c r="AV558" s="38">
        <f>IF(P558="○",IF(SUM(AV$10:AV557)-ROUNDDOWN($K558*AV$5/100,0)&lt;-AV$6,-AV$6-SUM(AV$10:AV557),-ROUNDDOWN($K558*AV$5/100,0)),0)</f>
        <v>0</v>
      </c>
      <c r="AW558" s="38">
        <f>IF(Q558="○",IF(SUM(AW$10:AW557)-ROUNDDOWN($K558*AW$5/100,0)&lt;-AW$6,-AW$6-SUM(AW$10:AW557),-ROUNDDOWN($K558*AW$5/100,0)),0)</f>
        <v>0</v>
      </c>
      <c r="AX558" s="38">
        <f>IF(R558="○",IF(SUM(AX$10:AX557)-ROUNDDOWN($K558*AX$5/100,0)&lt;-AX$6,-AX$6-SUM(AX$10:AX557),-ROUNDDOWN($K558*AX$5/100,0)),0)</f>
        <v>0</v>
      </c>
      <c r="AY558" s="70">
        <v>0</v>
      </c>
      <c r="AZ558" s="65">
        <f t="shared" si="348"/>
        <v>0</v>
      </c>
      <c r="BA558" s="65">
        <f t="shared" si="349"/>
        <v>0</v>
      </c>
      <c r="BB558" s="70"/>
      <c r="BC558" s="65">
        <f t="shared" si="350"/>
        <v>0</v>
      </c>
      <c r="BD558" s="70">
        <v>0</v>
      </c>
      <c r="BE558" s="65">
        <f t="shared" si="351"/>
        <v>0</v>
      </c>
      <c r="BF558" s="70">
        <v>0</v>
      </c>
      <c r="BG558" s="65">
        <f t="shared" si="352"/>
        <v>0</v>
      </c>
      <c r="BH558" s="70">
        <v>0</v>
      </c>
      <c r="BI558" s="65">
        <f t="shared" si="353"/>
        <v>0</v>
      </c>
      <c r="BJ558" s="38">
        <f>IF(AND(BJ$7="○",$A558&gt;=BJ$8,$A558&lt;=BJ$9),IF(SUM(BJ$10:BJ557)-ROUNDDOWN($M558*BJ$5/100,0)&lt;-BJ$6,-BJ$6-SUM(BJ$10:BJ557),-ROUNDDOWN($M558*BJ$5/100,0)),0)</f>
        <v>0</v>
      </c>
      <c r="BK558" s="38">
        <f>IF(AND(BK$7="○",$A558&gt;=BK$8,$A558&lt;=BK$9),IF(SUM(BK$10:BK557)-ROUNDDOWN($L558*BK$5/100,0)&lt;-BK$6,-BK$6-SUM(BK$10:BK557),-ROUNDDOWN($L558*BK$5/100,0)),0)</f>
        <v>0</v>
      </c>
      <c r="BL558" s="38">
        <f>IF(AND(BL$7="○",$A558&gt;=BL$8,$A558&lt;=BL$9),IF(SUM(BL$10:BL557)-ROUNDDOWN($L558*BL$5/100,0)&lt;-BL$6,-BL$6-SUM(BL$10:BL557),-ROUNDDOWN($L558*BL$5/100,0)),0)</f>
        <v>0</v>
      </c>
      <c r="BM558" s="38">
        <f>IF(AND(BM$7="○",$A558&gt;=BM$8,$A558&lt;=BM$9),IF(SUM(BM$10:BM557)-ROUNDDOWN($M558*BM$5/100,0)&lt;-BM$6,-BM$6-SUM(BM$10:BM557),-ROUNDDOWN($M558*BM$5/100,0)),0)</f>
        <v>0</v>
      </c>
      <c r="BN558" s="38">
        <f>IF(AND(BN$7="○",$A558&gt;=BN$8,$A558&lt;=BN$9),IF(SUM(BN$10:BN557)-ROUNDDOWN($M558*BN$5/100,0)&lt;-BN$6,-BN$6-SUM(BN$10:BN557),-ROUNDDOWN($M558*BN$5/100,0)),0)</f>
        <v>0</v>
      </c>
      <c r="BO558" s="38">
        <f>IF(AND(BO$7="○",$A558&gt;=BO$8,$A558&lt;=BO$9),IF(SUM(BO$10:BO557)-ROUNDDOWN($M558*BO$5/100,0)&lt;-BO$6,-BO$6-SUM(BO$10:BO557),-ROUNDDOWN($M558*BO$5/100,0)),0)</f>
        <v>0</v>
      </c>
      <c r="BP558" s="38">
        <f>IF(AND(BP$7="○",$A558&gt;=BP$8,$A558&lt;=BP$9),IF(SUM(BP$10:BP557)-ROUNDDOWN($M558*BP$5/100,0)&lt;-BP$6,-BP$6-SUM(BP$10:BP557),-ROUNDDOWN($M558*BP$5/100,0)),0)</f>
        <v>0</v>
      </c>
      <c r="BQ558" s="38">
        <f>IF(AND(BQ$7="○",$A558&gt;=BQ$8,$A558&lt;=BQ$9),IF(SUM(BQ$10:BQ557)-ROUNDDOWN($L558*BQ$5/100,0)&lt;-BQ$6,-BQ$6-SUM(BQ$10:BQ557),-ROUNDDOWN($L558*BQ$5/100,0)),0)</f>
        <v>0</v>
      </c>
      <c r="BR558" s="38">
        <f>IF(AND(BR$7="○",$A558&gt;=BR$8,$A558&lt;=BR$9),IF(SUM(BR$10:BR557)-ROUNDDOWN($M558*BR$5/100,0)&lt;-BR$6,-BR$6-SUM(BR$10:BR557),-ROUNDDOWN($M558*BR$5/100,0)),0)</f>
        <v>0</v>
      </c>
      <c r="BS558" s="38">
        <f>IF(AND(BS$7="○",$A558&gt;=BS$8,$A558&lt;=BS$9),IF(SUM(BS$10:BS557)-ROUNDDOWN($M558*BS$5/100,0)&lt;-BS$6,-BS$6-SUM(BS$10:BS557),-ROUNDDOWN($M558*BS$5/100,0)),0)</f>
        <v>0</v>
      </c>
      <c r="BT558" s="38">
        <f>IF(AND(BT$7="○",$A558&gt;=BT$8,$A558&lt;=BT$9),IF(SUM(BT$10:BT557)-ROUNDDOWN($M558*BT$5/100,0)&lt;-BT$6,-BT$6-SUM(BT$10:BT557),-ROUNDDOWN($M558*BT$5/100,0)),0)</f>
        <v>0</v>
      </c>
      <c r="BU558" s="38">
        <f>IF(AND(BU$7="○",$A558&gt;=BU$8,$A558&lt;=BU$9),IF(SUM(BU$10:BU557)-ROUNDDOWN($M558*BU$5/100,0)&lt;-BU$6,-BU$6-SUM(BU$10:BU557),-ROUNDDOWN($M558*BU$5/100,0)),0)</f>
        <v>0</v>
      </c>
      <c r="BV558" s="38">
        <f>IF(AND(BV$7="○",$A558&gt;=BV$8,$A558&lt;=BV$9),IF(SUM(BV$10:BV557)-ROUNDDOWN($M558*BV$5/100,0)&lt;-BV$6,-BV$6-SUM(BV$10:BV557),-ROUNDDOWN($M558*BV$5/100,0)),0)</f>
        <v>0</v>
      </c>
      <c r="BW558" s="38">
        <f>IF(AND(BW$7="○",$A558&gt;=BW$8,$A558&lt;=BW$9),IF(SUM(BW$10:BW557)-ROUNDDOWN($M558*BW$5/100,0)&lt;-BW$6,-BW$6-SUM(BW$10:BW557),-ROUNDDOWN($M558*BW$5/100,0)),0)</f>
        <v>0</v>
      </c>
      <c r="BX558" s="38">
        <f>IF(AND(T558="○",$A558&gt;=BX$8,$A558&lt;=BX$9),IF(SUM(BX$10:BX557)-ROUNDDOWN($K558*BX$5/100,0)&lt;-BX$6,-BX$6-SUM(BX$10:BX557),-ROUNDDOWN($K558*BX$5/100,0)),0)</f>
        <v>0</v>
      </c>
      <c r="BY558" s="38">
        <f>IF(AND(U558="○",$A558&gt;=BY$8,$A558&lt;=BY$9),IF(SUM(BY$10:BY557)-ROUNDDOWN($K558*BY$5/100,0)&lt;-BY$6,-BY$6-SUM(BY$10:BY557),-ROUNDDOWN($K558*BY$5/100,0)),0)</f>
        <v>0</v>
      </c>
      <c r="BZ558" s="38">
        <f>IF(AND(V558="○",$A558&gt;=BZ$8,$A558&lt;=BZ$9),IF(SUM(BZ$10:BZ557)-ROUNDDOWN($K558*BZ$5/100,0)&lt;-BZ$6,-BZ$6-SUM(BZ$10:BZ557),-ROUNDDOWN($K558*BZ$5/100,0)),0)</f>
        <v>0</v>
      </c>
      <c r="CA558" s="38">
        <f>IF(AND(W558="○",$A558&gt;=CA$8,$A558&lt;=CA$9),IF(SUM(CA$10:CA557)-ROUNDDOWN($K558*CA$5/100,0)&lt;-CA$6,-CA$6-SUM(CA$10:CA557),-ROUNDDOWN($K558*CA$5/100,0)),0)</f>
        <v>0</v>
      </c>
      <c r="CB558" s="38"/>
      <c r="CC558" s="38"/>
      <c r="CD558" s="38"/>
      <c r="CE558" s="38"/>
      <c r="CF558" s="38"/>
      <c r="CG558" s="65">
        <f t="shared" si="354"/>
        <v>0</v>
      </c>
      <c r="CH558" s="71">
        <f t="shared" si="355"/>
        <v>0</v>
      </c>
      <c r="CI558" s="1">
        <f t="shared" si="366"/>
        <v>0</v>
      </c>
      <c r="CJ558" s="1"/>
      <c r="CK558" s="72"/>
      <c r="CL558" s="72"/>
      <c r="CM558" s="2"/>
      <c r="CN558" s="2"/>
      <c r="CO558" s="73">
        <f t="shared" si="367"/>
        <v>0</v>
      </c>
      <c r="CP558" s="5">
        <f t="shared" si="368"/>
        <v>0</v>
      </c>
      <c r="CQ558" s="1"/>
      <c r="CR558" s="1">
        <f t="shared" si="369"/>
        <v>0</v>
      </c>
      <c r="CS558" s="1"/>
      <c r="CT558" s="1" t="e">
        <f>INDEX([2]マスタ!$A:$A,MATCH(D558,[2]マスタ!$C:$C,0))</f>
        <v>#N/A</v>
      </c>
      <c r="CU558" s="1" t="str">
        <f t="shared" ca="1" si="370"/>
        <v>20260620_0-0</v>
      </c>
    </row>
    <row r="559" spans="1:99" x14ac:dyDescent="0.4">
      <c r="A559" s="61"/>
      <c r="B559" s="62"/>
      <c r="C559" s="62"/>
      <c r="D559" s="62"/>
      <c r="E559" s="74"/>
      <c r="F559" s="62"/>
      <c r="G559" s="62">
        <v>1</v>
      </c>
      <c r="H559" s="64">
        <f t="shared" si="360"/>
        <v>0</v>
      </c>
      <c r="I559" s="64"/>
      <c r="J559" s="64"/>
      <c r="K559" s="65">
        <f t="shared" si="361"/>
        <v>0</v>
      </c>
      <c r="L559" s="65">
        <f t="shared" si="362"/>
        <v>0</v>
      </c>
      <c r="M559" s="65">
        <f t="shared" si="363"/>
        <v>0</v>
      </c>
      <c r="N559" s="65">
        <f t="shared" si="364"/>
        <v>0</v>
      </c>
      <c r="O559" s="66" t="str">
        <f t="shared" si="9"/>
        <v>✕</v>
      </c>
      <c r="P559" s="67" t="str">
        <f t="shared" si="10"/>
        <v>○</v>
      </c>
      <c r="Q559" s="67" t="str">
        <f t="shared" si="365"/>
        <v>✕</v>
      </c>
      <c r="R559" s="67" t="str">
        <f t="shared" si="12"/>
        <v>✕</v>
      </c>
      <c r="S559" s="68">
        <v>0</v>
      </c>
      <c r="T559" s="69" t="s">
        <v>85</v>
      </c>
      <c r="U559" s="69" t="s">
        <v>85</v>
      </c>
      <c r="V559" s="69" t="s">
        <v>85</v>
      </c>
      <c r="W559" s="69" t="s">
        <v>85</v>
      </c>
      <c r="X559" s="69" t="s">
        <v>84</v>
      </c>
      <c r="Y559" s="69" t="s">
        <v>85</v>
      </c>
      <c r="Z559" s="69" t="s">
        <v>85</v>
      </c>
      <c r="AA559" s="69" t="s">
        <v>85</v>
      </c>
      <c r="AB559" s="69" t="s">
        <v>85</v>
      </c>
      <c r="AC559" s="69" t="s">
        <v>85</v>
      </c>
      <c r="AD559" s="38" t="str">
        <f>+IF(ISERROR(VLOOKUP($B559,AD$10:AD558,1,0)),IF(AND($N559&gt;=1000,$A559&gt;=AO$8,$A559&lt;=AO$9),$B559,""),"")</f>
        <v/>
      </c>
      <c r="AE559" s="38" t="str">
        <f>+IF(ISERROR(VLOOKUP($B559,AE$10:AE558,1,0)),IF(AND($N559&gt;=1000,$A559&gt;=AP$8,$A559&lt;=AP$9),$B559,""),"")</f>
        <v/>
      </c>
      <c r="AF559" s="38" t="str">
        <f>+IF(ISERROR(VLOOKUP($B559,AF$10:AF558,1,0)),IF(AND($N559&gt;=1000,$A559&gt;=AQ$8,$A559&lt;=AQ$9),$B559,""),"")</f>
        <v/>
      </c>
      <c r="AG559" s="38" t="str">
        <f>+IF(ISERROR(VLOOKUP($B559,AG$10:AG558,1,0)),IF(AND($N559&gt;=1000,$A559&gt;=AR$8,$A559&lt;=AR$9),$B559,""),"")</f>
        <v/>
      </c>
      <c r="AH559" s="38"/>
      <c r="AI559" s="70">
        <v>0</v>
      </c>
      <c r="AJ559" s="38">
        <f>IF(AND(AJ$7="○",$A559&gt;=AJ$8,$A559&lt;=AJ$9),IF(SUM(AJ$10:AJ558)-ROUNDDOWN($K559*AJ$5/100,0)&lt;-AJ$6,-AJ$6-SUM(AJ$10:AJ558),-ROUNDDOWN($K559*AJ$5/100,0)),0)</f>
        <v>0</v>
      </c>
      <c r="AK559" s="38">
        <f>IF(AND(AK$7="○",$A559&gt;=AK$8,$A559&lt;=AK$9),IF(SUM(AK$10:AK558)-ROUNDDOWN($L559*AK$5/100,0)&lt;-AK$6,-AK$6-SUM(AK$10:AK558),-ROUNDDOWN($L559*AK$5/100,0)),0)</f>
        <v>0</v>
      </c>
      <c r="AL559" s="38">
        <f>IF(AND(AL$7="○",$A559&gt;=AL$8,$A559&lt;=AL$9),IF(SUM(AL$10:AL558)-ROUNDDOWN($N559*AL$5/100,0)&lt;-AL$6,-AL$6-SUM(AL$10:AL558),-ROUNDDOWN($N559*AL$5/100,0)),0)</f>
        <v>0</v>
      </c>
      <c r="AM559" s="38">
        <f>IF(AND(AM$7="○",$A559&gt;=AM$8,$A559&lt;=AM$9),IF(SUM(AM$10:AM558)-ROUNDDOWN($L559*AM$5/100,0)&lt;-AM$6,-AM$6-SUM(AM$10:AM558),-ROUNDDOWN($L559*AM$5/100,0)),0)</f>
        <v>0</v>
      </c>
      <c r="AN559" s="38">
        <f>IF(AND(AN$7="○",$A559&gt;=AN$8,$A559&lt;=AN$9),IF(SUM(AN$10:AN558)-ROUNDDOWN($M559*AN$5/100,0)&lt;-AN$6,-AN$6-SUM(AN$10:AN558),-ROUNDDOWN($M559*AN$5/100,0)),0)</f>
        <v>0</v>
      </c>
      <c r="AO559" s="38">
        <f>IF(AND($A559&gt;=AO$8,$A559&lt;=AO$9),IF(SUM(AO$10:AO558)-ROUNDDOWN($K559*AO$5/100,0)&lt;-AO$6,-AO$6-SUM(AO$10:AO558),-ROUNDDOWN($K559*AO$5/100,0)),0)</f>
        <v>0</v>
      </c>
      <c r="AP559" s="38">
        <f>IF(AND($A559&gt;=AP$8,$A559&lt;=AP$9),IF(SUM(AP$10:AP558)-ROUNDDOWN($K559*AP$5/100,0)&lt;-AP$6,-AP$6-SUM(AP$10:AP558),-ROUNDDOWN($K559*AP$5/100,0)),0)</f>
        <v>0</v>
      </c>
      <c r="AQ559" s="38">
        <f>IF(AND($A559&gt;=AQ$8,$A559&lt;=AQ$9),IF(SUM(AQ$10:AQ558)-ROUNDDOWN($K559*AQ$5/100,0)&lt;-AQ$6,-AQ$6-SUM(AQ$10:AQ558),-ROUNDDOWN($K559*AQ$5/100,0)),0)</f>
        <v>0</v>
      </c>
      <c r="AR559" s="38">
        <f>IF(AND($A559&gt;=AR$8,$A559&lt;=AR$9),IF(SUM(AR$10:AR558)-ROUNDDOWN($K559*AR$5/100,0)&lt;-AR$6,-AR$6-SUM(AR$10:AR558),-ROUNDDOWN($K559*AR$5/100,0)),0)</f>
        <v>0</v>
      </c>
      <c r="AS559" s="38">
        <f>IF(SUMIFS(AS$10:AS558,$A$10:$A558,$A559)-ROUNDDOWN($K559*$S559/100,0)&lt;-$S559*1000,-$S559*1000-SUMIFS(AS$10:AS558,$A$10:$A558,$A559),-ROUNDDOWN($K559*$S559/100,0))</f>
        <v>0</v>
      </c>
      <c r="AT559" s="38">
        <f>IF(AND(X559="○",$A559&gt;=AT$8,$A559&lt;=AT$9,K559&gt;=3980),IF(SUM(AT$10:AT558)-ROUNDDOWN($K559*AT$5/100,0)&lt;-AT$6,-AT$6-SUM(AT$10:AT558),-ROUNDDOWN($K559*AT$5/100,0)),0)</f>
        <v>0</v>
      </c>
      <c r="AU559" s="38">
        <f>IF(O559="○",IF(SUM(AU$10:AU558)-ROUNDDOWN($K559*AU$5/100,0)&lt;-AU$6,-AU$6-SUM(AU$10:AU558),-ROUNDDOWN($K559*AU$5/100,0)),0)</f>
        <v>0</v>
      </c>
      <c r="AV559" s="38">
        <f>IF(P559="○",IF(SUM(AV$10:AV558)-ROUNDDOWN($K559*AV$5/100,0)&lt;-AV$6,-AV$6-SUM(AV$10:AV558),-ROUNDDOWN($K559*AV$5/100,0)),0)</f>
        <v>0</v>
      </c>
      <c r="AW559" s="38">
        <f>IF(Q559="○",IF(SUM(AW$10:AW558)-ROUNDDOWN($K559*AW$5/100,0)&lt;-AW$6,-AW$6-SUM(AW$10:AW558),-ROUNDDOWN($K559*AW$5/100,0)),0)</f>
        <v>0</v>
      </c>
      <c r="AX559" s="38">
        <f>IF(R559="○",IF(SUM(AX$10:AX558)-ROUNDDOWN($K559*AX$5/100,0)&lt;-AX$6,-AX$6-SUM(AX$10:AX558),-ROUNDDOWN($K559*AX$5/100,0)),0)</f>
        <v>0</v>
      </c>
      <c r="AY559" s="70">
        <v>0</v>
      </c>
      <c r="AZ559" s="65">
        <f t="shared" si="348"/>
        <v>0</v>
      </c>
      <c r="BA559" s="65">
        <f t="shared" si="349"/>
        <v>0</v>
      </c>
      <c r="BB559" s="70"/>
      <c r="BC559" s="65">
        <f t="shared" si="350"/>
        <v>0</v>
      </c>
      <c r="BD559" s="70">
        <v>0</v>
      </c>
      <c r="BE559" s="65">
        <f t="shared" si="351"/>
        <v>0</v>
      </c>
      <c r="BF559" s="70">
        <v>0</v>
      </c>
      <c r="BG559" s="65">
        <f t="shared" si="352"/>
        <v>0</v>
      </c>
      <c r="BH559" s="70">
        <v>0</v>
      </c>
      <c r="BI559" s="65">
        <f t="shared" si="353"/>
        <v>0</v>
      </c>
      <c r="BJ559" s="38">
        <f>IF(AND(BJ$7="○",$A559&gt;=BJ$8,$A559&lt;=BJ$9),IF(SUM(BJ$10:BJ558)-ROUNDDOWN($M559*BJ$5/100,0)&lt;-BJ$6,-BJ$6-SUM(BJ$10:BJ558),-ROUNDDOWN($M559*BJ$5/100,0)),0)</f>
        <v>0</v>
      </c>
      <c r="BK559" s="38">
        <f>IF(AND(BK$7="○",$A559&gt;=BK$8,$A559&lt;=BK$9),IF(SUM(BK$10:BK558)-ROUNDDOWN($L559*BK$5/100,0)&lt;-BK$6,-BK$6-SUM(BK$10:BK558),-ROUNDDOWN($L559*BK$5/100,0)),0)</f>
        <v>0</v>
      </c>
      <c r="BL559" s="38">
        <f>IF(AND(BL$7="○",$A559&gt;=BL$8,$A559&lt;=BL$9),IF(SUM(BL$10:BL558)-ROUNDDOWN($L559*BL$5/100,0)&lt;-BL$6,-BL$6-SUM(BL$10:BL558),-ROUNDDOWN($L559*BL$5/100,0)),0)</f>
        <v>0</v>
      </c>
      <c r="BM559" s="38">
        <f>IF(AND(BM$7="○",$A559&gt;=BM$8,$A559&lt;=BM$9),IF(SUM(BM$10:BM558)-ROUNDDOWN($M559*BM$5/100,0)&lt;-BM$6,-BM$6-SUM(BM$10:BM558),-ROUNDDOWN($M559*BM$5/100,0)),0)</f>
        <v>0</v>
      </c>
      <c r="BN559" s="38">
        <f>IF(AND(BN$7="○",$A559&gt;=BN$8,$A559&lt;=BN$9),IF(SUM(BN$10:BN558)-ROUNDDOWN($M559*BN$5/100,0)&lt;-BN$6,-BN$6-SUM(BN$10:BN558),-ROUNDDOWN($M559*BN$5/100,0)),0)</f>
        <v>0</v>
      </c>
      <c r="BO559" s="38">
        <f>IF(AND(BO$7="○",$A559&gt;=BO$8,$A559&lt;=BO$9),IF(SUM(BO$10:BO558)-ROUNDDOWN($M559*BO$5/100,0)&lt;-BO$6,-BO$6-SUM(BO$10:BO558),-ROUNDDOWN($M559*BO$5/100,0)),0)</f>
        <v>0</v>
      </c>
      <c r="BP559" s="38">
        <f>IF(AND(BP$7="○",$A559&gt;=BP$8,$A559&lt;=BP$9),IF(SUM(BP$10:BP558)-ROUNDDOWN($M559*BP$5/100,0)&lt;-BP$6,-BP$6-SUM(BP$10:BP558),-ROUNDDOWN($M559*BP$5/100,0)),0)</f>
        <v>0</v>
      </c>
      <c r="BQ559" s="38">
        <f>IF(AND(BQ$7="○",$A559&gt;=BQ$8,$A559&lt;=BQ$9),IF(SUM(BQ$10:BQ558)-ROUNDDOWN($L559*BQ$5/100,0)&lt;-BQ$6,-BQ$6-SUM(BQ$10:BQ558),-ROUNDDOWN($L559*BQ$5/100,0)),0)</f>
        <v>0</v>
      </c>
      <c r="BR559" s="38">
        <f>IF(AND(BR$7="○",$A559&gt;=BR$8,$A559&lt;=BR$9),IF(SUM(BR$10:BR558)-ROUNDDOWN($M559*BR$5/100,0)&lt;-BR$6,-BR$6-SUM(BR$10:BR558),-ROUNDDOWN($M559*BR$5/100,0)),0)</f>
        <v>0</v>
      </c>
      <c r="BS559" s="38">
        <f>IF(AND(BS$7="○",$A559&gt;=BS$8,$A559&lt;=BS$9),IF(SUM(BS$10:BS558)-ROUNDDOWN($M559*BS$5/100,0)&lt;-BS$6,-BS$6-SUM(BS$10:BS558),-ROUNDDOWN($M559*BS$5/100,0)),0)</f>
        <v>0</v>
      </c>
      <c r="BT559" s="38">
        <f>IF(AND(BT$7="○",$A559&gt;=BT$8,$A559&lt;=BT$9),IF(SUM(BT$10:BT558)-ROUNDDOWN($M559*BT$5/100,0)&lt;-BT$6,-BT$6-SUM(BT$10:BT558),-ROUNDDOWN($M559*BT$5/100,0)),0)</f>
        <v>0</v>
      </c>
      <c r="BU559" s="38">
        <f>IF(AND(BU$7="○",$A559&gt;=BU$8,$A559&lt;=BU$9),IF(SUM(BU$10:BU558)-ROUNDDOWN($M559*BU$5/100,0)&lt;-BU$6,-BU$6-SUM(BU$10:BU558),-ROUNDDOWN($M559*BU$5/100,0)),0)</f>
        <v>0</v>
      </c>
      <c r="BV559" s="38">
        <f>IF(AND(BV$7="○",$A559&gt;=BV$8,$A559&lt;=BV$9),IF(SUM(BV$10:BV558)-ROUNDDOWN($M559*BV$5/100,0)&lt;-BV$6,-BV$6-SUM(BV$10:BV558),-ROUNDDOWN($M559*BV$5/100,0)),0)</f>
        <v>0</v>
      </c>
      <c r="BW559" s="38">
        <f>IF(AND(BW$7="○",$A559&gt;=BW$8,$A559&lt;=BW$9),IF(SUM(BW$10:BW558)-ROUNDDOWN($M559*BW$5/100,0)&lt;-BW$6,-BW$6-SUM(BW$10:BW558),-ROUNDDOWN($M559*BW$5/100,0)),0)</f>
        <v>0</v>
      </c>
      <c r="BX559" s="38">
        <f>IF(AND(T559="○",$A559&gt;=BX$8,$A559&lt;=BX$9),IF(SUM(BX$10:BX558)-ROUNDDOWN($K559*BX$5/100,0)&lt;-BX$6,-BX$6-SUM(BX$10:BX558),-ROUNDDOWN($K559*BX$5/100,0)),0)</f>
        <v>0</v>
      </c>
      <c r="BY559" s="38">
        <f>IF(AND(U559="○",$A559&gt;=BY$8,$A559&lt;=BY$9),IF(SUM(BY$10:BY558)-ROUNDDOWN($K559*BY$5/100,0)&lt;-BY$6,-BY$6-SUM(BY$10:BY558),-ROUNDDOWN($K559*BY$5/100,0)),0)</f>
        <v>0</v>
      </c>
      <c r="BZ559" s="38">
        <f>IF(AND(V559="○",$A559&gt;=BZ$8,$A559&lt;=BZ$9),IF(SUM(BZ$10:BZ558)-ROUNDDOWN($K559*BZ$5/100,0)&lt;-BZ$6,-BZ$6-SUM(BZ$10:BZ558),-ROUNDDOWN($K559*BZ$5/100,0)),0)</f>
        <v>0</v>
      </c>
      <c r="CA559" s="38">
        <f>IF(AND(W559="○",$A559&gt;=CA$8,$A559&lt;=CA$9),IF(SUM(CA$10:CA558)-ROUNDDOWN($K559*CA$5/100,0)&lt;-CA$6,-CA$6-SUM(CA$10:CA558),-ROUNDDOWN($K559*CA$5/100,0)),0)</f>
        <v>0</v>
      </c>
      <c r="CB559" s="38"/>
      <c r="CC559" s="38"/>
      <c r="CD559" s="38"/>
      <c r="CE559" s="38"/>
      <c r="CF559" s="38"/>
      <c r="CG559" s="65">
        <f t="shared" si="354"/>
        <v>0</v>
      </c>
      <c r="CH559" s="71">
        <f t="shared" si="355"/>
        <v>0</v>
      </c>
      <c r="CI559" s="1">
        <f t="shared" si="366"/>
        <v>0</v>
      </c>
      <c r="CJ559" s="1"/>
      <c r="CK559" s="72"/>
      <c r="CL559" s="72"/>
      <c r="CM559" s="2"/>
      <c r="CN559" s="2"/>
      <c r="CO559" s="73">
        <f t="shared" si="367"/>
        <v>0</v>
      </c>
      <c r="CP559" s="5">
        <f t="shared" si="368"/>
        <v>0</v>
      </c>
      <c r="CQ559" s="1"/>
      <c r="CR559" s="1">
        <f t="shared" si="369"/>
        <v>0</v>
      </c>
      <c r="CS559" s="1"/>
      <c r="CT559" s="1" t="e">
        <f>INDEX([2]マスタ!$A:$A,MATCH(D559,[2]マスタ!$C:$C,0))</f>
        <v>#N/A</v>
      </c>
      <c r="CU559" s="1" t="str">
        <f t="shared" ca="1" si="370"/>
        <v>20260620_0-0</v>
      </c>
    </row>
    <row r="560" spans="1:99" x14ac:dyDescent="0.4">
      <c r="A560" s="61"/>
      <c r="B560" s="62"/>
      <c r="C560" s="62"/>
      <c r="D560" s="62"/>
      <c r="E560" s="74"/>
      <c r="F560" s="62"/>
      <c r="G560" s="62">
        <v>1</v>
      </c>
      <c r="H560" s="64">
        <f t="shared" si="360"/>
        <v>0</v>
      </c>
      <c r="I560" s="64"/>
      <c r="J560" s="64"/>
      <c r="K560" s="65">
        <f t="shared" si="361"/>
        <v>0</v>
      </c>
      <c r="L560" s="65">
        <f t="shared" si="362"/>
        <v>0</v>
      </c>
      <c r="M560" s="65">
        <f t="shared" si="363"/>
        <v>0</v>
      </c>
      <c r="N560" s="65">
        <f t="shared" si="364"/>
        <v>0</v>
      </c>
      <c r="O560" s="66" t="str">
        <f t="shared" si="9"/>
        <v>✕</v>
      </c>
      <c r="P560" s="67" t="str">
        <f t="shared" si="10"/>
        <v>○</v>
      </c>
      <c r="Q560" s="67" t="str">
        <f t="shared" si="365"/>
        <v>✕</v>
      </c>
      <c r="R560" s="67" t="str">
        <f t="shared" si="12"/>
        <v>✕</v>
      </c>
      <c r="S560" s="68">
        <v>0</v>
      </c>
      <c r="T560" s="69" t="s">
        <v>85</v>
      </c>
      <c r="U560" s="69" t="s">
        <v>85</v>
      </c>
      <c r="V560" s="69" t="s">
        <v>85</v>
      </c>
      <c r="W560" s="69" t="s">
        <v>85</v>
      </c>
      <c r="X560" s="69" t="s">
        <v>84</v>
      </c>
      <c r="Y560" s="69" t="s">
        <v>85</v>
      </c>
      <c r="Z560" s="69" t="s">
        <v>85</v>
      </c>
      <c r="AA560" s="69" t="s">
        <v>85</v>
      </c>
      <c r="AB560" s="69" t="s">
        <v>85</v>
      </c>
      <c r="AC560" s="69" t="s">
        <v>85</v>
      </c>
      <c r="AD560" s="38" t="str">
        <f>+IF(ISERROR(VLOOKUP($B560,AD$10:AD559,1,0)),IF(AND($N560&gt;=1000,$A560&gt;=AO$8,$A560&lt;=AO$9),$B560,""),"")</f>
        <v/>
      </c>
      <c r="AE560" s="38" t="str">
        <f>+IF(ISERROR(VLOOKUP($B560,AE$10:AE559,1,0)),IF(AND($N560&gt;=1000,$A560&gt;=AP$8,$A560&lt;=AP$9),$B560,""),"")</f>
        <v/>
      </c>
      <c r="AF560" s="38" t="str">
        <f>+IF(ISERROR(VLOOKUP($B560,AF$10:AF559,1,0)),IF(AND($N560&gt;=1000,$A560&gt;=AQ$8,$A560&lt;=AQ$9),$B560,""),"")</f>
        <v/>
      </c>
      <c r="AG560" s="38" t="str">
        <f>+IF(ISERROR(VLOOKUP($B560,AG$10:AG559,1,0)),IF(AND($N560&gt;=1000,$A560&gt;=AR$8,$A560&lt;=AR$9),$B560,""),"")</f>
        <v/>
      </c>
      <c r="AH560" s="38"/>
      <c r="AI560" s="70">
        <v>0</v>
      </c>
      <c r="AJ560" s="38">
        <f>IF(AND(AJ$7="○",$A560&gt;=AJ$8,$A560&lt;=AJ$9),IF(SUM(AJ$10:AJ559)-ROUNDDOWN($K560*AJ$5/100,0)&lt;-AJ$6,-AJ$6-SUM(AJ$10:AJ559),-ROUNDDOWN($K560*AJ$5/100,0)),0)</f>
        <v>0</v>
      </c>
      <c r="AK560" s="38">
        <f>IF(AND(AK$7="○",$A560&gt;=AK$8,$A560&lt;=AK$9),IF(SUM(AK$10:AK559)-ROUNDDOWN($L560*AK$5/100,0)&lt;-AK$6,-AK$6-SUM(AK$10:AK559),-ROUNDDOWN($L560*AK$5/100,0)),0)</f>
        <v>0</v>
      </c>
      <c r="AL560" s="38">
        <f>IF(AND(AL$7="○",$A560&gt;=AL$8,$A560&lt;=AL$9),IF(SUM(AL$10:AL559)-ROUNDDOWN($N560*AL$5/100,0)&lt;-AL$6,-AL$6-SUM(AL$10:AL559),-ROUNDDOWN($N560*AL$5/100,0)),0)</f>
        <v>0</v>
      </c>
      <c r="AM560" s="38">
        <f>IF(AND(AM$7="○",$A560&gt;=AM$8,$A560&lt;=AM$9),IF(SUM(AM$10:AM559)-ROUNDDOWN($L560*AM$5/100,0)&lt;-AM$6,-AM$6-SUM(AM$10:AM559),-ROUNDDOWN($L560*AM$5/100,0)),0)</f>
        <v>0</v>
      </c>
      <c r="AN560" s="38">
        <f>IF(AND(AN$7="○",$A560&gt;=AN$8,$A560&lt;=AN$9),IF(SUM(AN$10:AN559)-ROUNDDOWN($M560*AN$5/100,0)&lt;-AN$6,-AN$6-SUM(AN$10:AN559),-ROUNDDOWN($M560*AN$5/100,0)),0)</f>
        <v>0</v>
      </c>
      <c r="AO560" s="38">
        <f>IF(AND($A560&gt;=AO$8,$A560&lt;=AO$9),IF(SUM(AO$10:AO559)-ROUNDDOWN($K560*AO$5/100,0)&lt;-AO$6,-AO$6-SUM(AO$10:AO559),-ROUNDDOWN($K560*AO$5/100,0)),0)</f>
        <v>0</v>
      </c>
      <c r="AP560" s="38">
        <f>IF(AND($A560&gt;=AP$8,$A560&lt;=AP$9),IF(SUM(AP$10:AP559)-ROUNDDOWN($K560*AP$5/100,0)&lt;-AP$6,-AP$6-SUM(AP$10:AP559),-ROUNDDOWN($K560*AP$5/100,0)),0)</f>
        <v>0</v>
      </c>
      <c r="AQ560" s="38">
        <f>IF(AND($A560&gt;=AQ$8,$A560&lt;=AQ$9),IF(SUM(AQ$10:AQ559)-ROUNDDOWN($K560*AQ$5/100,0)&lt;-AQ$6,-AQ$6-SUM(AQ$10:AQ559),-ROUNDDOWN($K560*AQ$5/100,0)),0)</f>
        <v>0</v>
      </c>
      <c r="AR560" s="38">
        <f>IF(AND($A560&gt;=AR$8,$A560&lt;=AR$9),IF(SUM(AR$10:AR559)-ROUNDDOWN($K560*AR$5/100,0)&lt;-AR$6,-AR$6-SUM(AR$10:AR559),-ROUNDDOWN($K560*AR$5/100,0)),0)</f>
        <v>0</v>
      </c>
      <c r="AS560" s="38">
        <f>IF(SUMIFS(AS$10:AS559,$A$10:$A559,$A560)-ROUNDDOWN($K560*$S560/100,0)&lt;-$S560*1000,-$S560*1000-SUMIFS(AS$10:AS559,$A$10:$A559,$A560),-ROUNDDOWN($K560*$S560/100,0))</f>
        <v>0</v>
      </c>
      <c r="AT560" s="38">
        <f>IF(AND(X560="○",$A560&gt;=AT$8,$A560&lt;=AT$9,K560&gt;=3980),IF(SUM(AT$10:AT559)-ROUNDDOWN($K560*AT$5/100,0)&lt;-AT$6,-AT$6-SUM(AT$10:AT559),-ROUNDDOWN($K560*AT$5/100,0)),0)</f>
        <v>0</v>
      </c>
      <c r="AU560" s="38">
        <f>IF(O560="○",IF(SUM(AU$10:AU559)-ROUNDDOWN($K560*AU$5/100,0)&lt;-AU$6,-AU$6-SUM(AU$10:AU559),-ROUNDDOWN($K560*AU$5/100,0)),0)</f>
        <v>0</v>
      </c>
      <c r="AV560" s="38">
        <f>IF(P560="○",IF(SUM(AV$10:AV559)-ROUNDDOWN($K560*AV$5/100,0)&lt;-AV$6,-AV$6-SUM(AV$10:AV559),-ROUNDDOWN($K560*AV$5/100,0)),0)</f>
        <v>0</v>
      </c>
      <c r="AW560" s="38">
        <f>IF(Q560="○",IF(SUM(AW$10:AW559)-ROUNDDOWN($K560*AW$5/100,0)&lt;-AW$6,-AW$6-SUM(AW$10:AW559),-ROUNDDOWN($K560*AW$5/100,0)),0)</f>
        <v>0</v>
      </c>
      <c r="AX560" s="38">
        <f>IF(R560="○",IF(SUM(AX$10:AX559)-ROUNDDOWN($K560*AX$5/100,0)&lt;-AX$6,-AX$6-SUM(AX$10:AX559),-ROUNDDOWN($K560*AX$5/100,0)),0)</f>
        <v>0</v>
      </c>
      <c r="AY560" s="70">
        <v>0</v>
      </c>
      <c r="AZ560" s="65">
        <f t="shared" si="348"/>
        <v>0</v>
      </c>
      <c r="BA560" s="65">
        <f t="shared" si="349"/>
        <v>0</v>
      </c>
      <c r="BB560" s="70"/>
      <c r="BC560" s="65">
        <f t="shared" si="350"/>
        <v>0</v>
      </c>
      <c r="BD560" s="70">
        <v>0</v>
      </c>
      <c r="BE560" s="65">
        <f t="shared" si="351"/>
        <v>0</v>
      </c>
      <c r="BF560" s="70">
        <v>0</v>
      </c>
      <c r="BG560" s="65">
        <f t="shared" si="352"/>
        <v>0</v>
      </c>
      <c r="BH560" s="70">
        <v>0</v>
      </c>
      <c r="BI560" s="65">
        <f t="shared" si="353"/>
        <v>0</v>
      </c>
      <c r="BJ560" s="38">
        <f>IF(AND(BJ$7="○",$A560&gt;=BJ$8,$A560&lt;=BJ$9),IF(SUM(BJ$10:BJ559)-ROUNDDOWN($M560*BJ$5/100,0)&lt;-BJ$6,-BJ$6-SUM(BJ$10:BJ559),-ROUNDDOWN($M560*BJ$5/100,0)),0)</f>
        <v>0</v>
      </c>
      <c r="BK560" s="38">
        <f>IF(AND(BK$7="○",$A560&gt;=BK$8,$A560&lt;=BK$9),IF(SUM(BK$10:BK559)-ROUNDDOWN($L560*BK$5/100,0)&lt;-BK$6,-BK$6-SUM(BK$10:BK559),-ROUNDDOWN($L560*BK$5/100,0)),0)</f>
        <v>0</v>
      </c>
      <c r="BL560" s="38">
        <f>IF(AND(BL$7="○",$A560&gt;=BL$8,$A560&lt;=BL$9),IF(SUM(BL$10:BL559)-ROUNDDOWN($L560*BL$5/100,0)&lt;-BL$6,-BL$6-SUM(BL$10:BL559),-ROUNDDOWN($L560*BL$5/100,0)),0)</f>
        <v>0</v>
      </c>
      <c r="BM560" s="38">
        <f>IF(AND(BM$7="○",$A560&gt;=BM$8,$A560&lt;=BM$9),IF(SUM(BM$10:BM559)-ROUNDDOWN($M560*BM$5/100,0)&lt;-BM$6,-BM$6-SUM(BM$10:BM559),-ROUNDDOWN($M560*BM$5/100,0)),0)</f>
        <v>0</v>
      </c>
      <c r="BN560" s="38">
        <f>IF(AND(BN$7="○",$A560&gt;=BN$8,$A560&lt;=BN$9),IF(SUM(BN$10:BN559)-ROUNDDOWN($M560*BN$5/100,0)&lt;-BN$6,-BN$6-SUM(BN$10:BN559),-ROUNDDOWN($M560*BN$5/100,0)),0)</f>
        <v>0</v>
      </c>
      <c r="BO560" s="38">
        <f>IF(AND(BO$7="○",$A560&gt;=BO$8,$A560&lt;=BO$9),IF(SUM(BO$10:BO559)-ROUNDDOWN($M560*BO$5/100,0)&lt;-BO$6,-BO$6-SUM(BO$10:BO559),-ROUNDDOWN($M560*BO$5/100,0)),0)</f>
        <v>0</v>
      </c>
      <c r="BP560" s="38">
        <f>IF(AND(BP$7="○",$A560&gt;=BP$8,$A560&lt;=BP$9),IF(SUM(BP$10:BP559)-ROUNDDOWN($M560*BP$5/100,0)&lt;-BP$6,-BP$6-SUM(BP$10:BP559),-ROUNDDOWN($M560*BP$5/100,0)),0)</f>
        <v>0</v>
      </c>
      <c r="BQ560" s="38">
        <f>IF(AND(BQ$7="○",$A560&gt;=BQ$8,$A560&lt;=BQ$9),IF(SUM(BQ$10:BQ559)-ROUNDDOWN($L560*BQ$5/100,0)&lt;-BQ$6,-BQ$6-SUM(BQ$10:BQ559),-ROUNDDOWN($L560*BQ$5/100,0)),0)</f>
        <v>0</v>
      </c>
      <c r="BR560" s="38">
        <f>IF(AND(BR$7="○",$A560&gt;=BR$8,$A560&lt;=BR$9),IF(SUM(BR$10:BR559)-ROUNDDOWN($M560*BR$5/100,0)&lt;-BR$6,-BR$6-SUM(BR$10:BR559),-ROUNDDOWN($M560*BR$5/100,0)),0)</f>
        <v>0</v>
      </c>
      <c r="BS560" s="38">
        <f>IF(AND(BS$7="○",$A560&gt;=BS$8,$A560&lt;=BS$9),IF(SUM(BS$10:BS559)-ROUNDDOWN($M560*BS$5/100,0)&lt;-BS$6,-BS$6-SUM(BS$10:BS559),-ROUNDDOWN($M560*BS$5/100,0)),0)</f>
        <v>0</v>
      </c>
      <c r="BT560" s="38">
        <f>IF(AND(BT$7="○",$A560&gt;=BT$8,$A560&lt;=BT$9),IF(SUM(BT$10:BT559)-ROUNDDOWN($M560*BT$5/100,0)&lt;-BT$6,-BT$6-SUM(BT$10:BT559),-ROUNDDOWN($M560*BT$5/100,0)),0)</f>
        <v>0</v>
      </c>
      <c r="BU560" s="38">
        <f>IF(AND(BU$7="○",$A560&gt;=BU$8,$A560&lt;=BU$9),IF(SUM(BU$10:BU559)-ROUNDDOWN($M560*BU$5/100,0)&lt;-BU$6,-BU$6-SUM(BU$10:BU559),-ROUNDDOWN($M560*BU$5/100,0)),0)</f>
        <v>0</v>
      </c>
      <c r="BV560" s="38">
        <f>IF(AND(BV$7="○",$A560&gt;=BV$8,$A560&lt;=BV$9),IF(SUM(BV$10:BV559)-ROUNDDOWN($M560*BV$5/100,0)&lt;-BV$6,-BV$6-SUM(BV$10:BV559),-ROUNDDOWN($M560*BV$5/100,0)),0)</f>
        <v>0</v>
      </c>
      <c r="BW560" s="38">
        <f>IF(AND(BW$7="○",$A560&gt;=BW$8,$A560&lt;=BW$9),IF(SUM(BW$10:BW559)-ROUNDDOWN($M560*BW$5/100,0)&lt;-BW$6,-BW$6-SUM(BW$10:BW559),-ROUNDDOWN($M560*BW$5/100,0)),0)</f>
        <v>0</v>
      </c>
      <c r="BX560" s="38">
        <f>IF(AND(T560="○",$A560&gt;=BX$8,$A560&lt;=BX$9),IF(SUM(BX$10:BX559)-ROUNDDOWN($K560*BX$5/100,0)&lt;-BX$6,-BX$6-SUM(BX$10:BX559),-ROUNDDOWN($K560*BX$5/100,0)),0)</f>
        <v>0</v>
      </c>
      <c r="BY560" s="38">
        <f>IF(AND(U560="○",$A560&gt;=BY$8,$A560&lt;=BY$9),IF(SUM(BY$10:BY559)-ROUNDDOWN($K560*BY$5/100,0)&lt;-BY$6,-BY$6-SUM(BY$10:BY559),-ROUNDDOWN($K560*BY$5/100,0)),0)</f>
        <v>0</v>
      </c>
      <c r="BZ560" s="38">
        <f>IF(AND(V560="○",$A560&gt;=BZ$8,$A560&lt;=BZ$9),IF(SUM(BZ$10:BZ559)-ROUNDDOWN($K560*BZ$5/100,0)&lt;-BZ$6,-BZ$6-SUM(BZ$10:BZ559),-ROUNDDOWN($K560*BZ$5/100,0)),0)</f>
        <v>0</v>
      </c>
      <c r="CA560" s="38">
        <f>IF(AND(W560="○",$A560&gt;=CA$8,$A560&lt;=CA$9),IF(SUM(CA$10:CA559)-ROUNDDOWN($K560*CA$5/100,0)&lt;-CA$6,-CA$6-SUM(CA$10:CA559),-ROUNDDOWN($K560*CA$5/100,0)),0)</f>
        <v>0</v>
      </c>
      <c r="CB560" s="38"/>
      <c r="CC560" s="38"/>
      <c r="CD560" s="38"/>
      <c r="CE560" s="38"/>
      <c r="CF560" s="38"/>
      <c r="CG560" s="65">
        <f t="shared" si="354"/>
        <v>0</v>
      </c>
      <c r="CH560" s="71">
        <f t="shared" si="355"/>
        <v>0</v>
      </c>
      <c r="CI560" s="1">
        <f t="shared" si="366"/>
        <v>0</v>
      </c>
      <c r="CJ560" s="1"/>
      <c r="CK560" s="72"/>
      <c r="CL560" s="72"/>
      <c r="CM560" s="2"/>
      <c r="CN560" s="2"/>
      <c r="CO560" s="73">
        <f t="shared" si="367"/>
        <v>0</v>
      </c>
      <c r="CP560" s="5">
        <f t="shared" si="368"/>
        <v>0</v>
      </c>
      <c r="CQ560" s="1"/>
      <c r="CR560" s="1">
        <f t="shared" si="369"/>
        <v>0</v>
      </c>
      <c r="CS560" s="1"/>
      <c r="CT560" s="1" t="e">
        <f>INDEX([2]マスタ!$A:$A,MATCH(D560,[2]マスタ!$C:$C,0))</f>
        <v>#N/A</v>
      </c>
      <c r="CU560" s="1" t="str">
        <f t="shared" ca="1" si="370"/>
        <v>20260620_0-0</v>
      </c>
    </row>
    <row r="561" spans="1:99" x14ac:dyDescent="0.4">
      <c r="A561" s="61"/>
      <c r="B561" s="62"/>
      <c r="C561" s="62"/>
      <c r="D561" s="62"/>
      <c r="E561" s="74"/>
      <c r="F561" s="62"/>
      <c r="G561" s="62">
        <v>1</v>
      </c>
      <c r="H561" s="64">
        <f t="shared" si="360"/>
        <v>0</v>
      </c>
      <c r="I561" s="64"/>
      <c r="J561" s="64"/>
      <c r="K561" s="65">
        <f t="shared" si="361"/>
        <v>0</v>
      </c>
      <c r="L561" s="65">
        <f t="shared" si="362"/>
        <v>0</v>
      </c>
      <c r="M561" s="65">
        <f t="shared" si="363"/>
        <v>0</v>
      </c>
      <c r="N561" s="65">
        <f t="shared" si="364"/>
        <v>0</v>
      </c>
      <c r="O561" s="66" t="str">
        <f t="shared" si="9"/>
        <v>✕</v>
      </c>
      <c r="P561" s="67" t="str">
        <f t="shared" si="10"/>
        <v>○</v>
      </c>
      <c r="Q561" s="67" t="str">
        <f t="shared" si="365"/>
        <v>✕</v>
      </c>
      <c r="R561" s="67" t="str">
        <f t="shared" si="12"/>
        <v>✕</v>
      </c>
      <c r="S561" s="68">
        <v>0</v>
      </c>
      <c r="T561" s="69" t="s">
        <v>85</v>
      </c>
      <c r="U561" s="69" t="s">
        <v>85</v>
      </c>
      <c r="V561" s="69" t="s">
        <v>85</v>
      </c>
      <c r="W561" s="69" t="s">
        <v>85</v>
      </c>
      <c r="X561" s="69" t="s">
        <v>84</v>
      </c>
      <c r="Y561" s="69" t="s">
        <v>85</v>
      </c>
      <c r="Z561" s="69" t="s">
        <v>85</v>
      </c>
      <c r="AA561" s="69" t="s">
        <v>85</v>
      </c>
      <c r="AB561" s="69" t="s">
        <v>85</v>
      </c>
      <c r="AC561" s="69" t="s">
        <v>85</v>
      </c>
      <c r="AD561" s="38" t="str">
        <f>+IF(ISERROR(VLOOKUP($B561,AD$10:AD560,1,0)),IF(AND($N561&gt;=1000,$A561&gt;=AO$8,$A561&lt;=AO$9),$B561,""),"")</f>
        <v/>
      </c>
      <c r="AE561" s="38" t="str">
        <f>+IF(ISERROR(VLOOKUP($B561,AE$10:AE560,1,0)),IF(AND($N561&gt;=1000,$A561&gt;=AP$8,$A561&lt;=AP$9),$B561,""),"")</f>
        <v/>
      </c>
      <c r="AF561" s="38" t="str">
        <f>+IF(ISERROR(VLOOKUP($B561,AF$10:AF560,1,0)),IF(AND($N561&gt;=1000,$A561&gt;=AQ$8,$A561&lt;=AQ$9),$B561,""),"")</f>
        <v/>
      </c>
      <c r="AG561" s="38" t="str">
        <f>+IF(ISERROR(VLOOKUP($B561,AG$10:AG560,1,0)),IF(AND($N561&gt;=1000,$A561&gt;=AR$8,$A561&lt;=AR$9),$B561,""),"")</f>
        <v/>
      </c>
      <c r="AH561" s="38"/>
      <c r="AI561" s="70">
        <v>0</v>
      </c>
      <c r="AJ561" s="38">
        <f>IF(AND(AJ$7="○",$A561&gt;=AJ$8,$A561&lt;=AJ$9),IF(SUM(AJ$10:AJ560)-ROUNDDOWN($K561*AJ$5/100,0)&lt;-AJ$6,-AJ$6-SUM(AJ$10:AJ560),-ROUNDDOWN($K561*AJ$5/100,0)),0)</f>
        <v>0</v>
      </c>
      <c r="AK561" s="38">
        <f>IF(AND(AK$7="○",$A561&gt;=AK$8,$A561&lt;=AK$9),IF(SUM(AK$10:AK560)-ROUNDDOWN($L561*AK$5/100,0)&lt;-AK$6,-AK$6-SUM(AK$10:AK560),-ROUNDDOWN($L561*AK$5/100,0)),0)</f>
        <v>0</v>
      </c>
      <c r="AL561" s="38">
        <f>IF(AND(AL$7="○",$A561&gt;=AL$8,$A561&lt;=AL$9),IF(SUM(AL$10:AL560)-ROUNDDOWN($N561*AL$5/100,0)&lt;-AL$6,-AL$6-SUM(AL$10:AL560),-ROUNDDOWN($N561*AL$5/100,0)),0)</f>
        <v>0</v>
      </c>
      <c r="AM561" s="38">
        <f>IF(AND(AM$7="○",$A561&gt;=AM$8,$A561&lt;=AM$9),IF(SUM(AM$10:AM560)-ROUNDDOWN($L561*AM$5/100,0)&lt;-AM$6,-AM$6-SUM(AM$10:AM560),-ROUNDDOWN($L561*AM$5/100,0)),0)</f>
        <v>0</v>
      </c>
      <c r="AN561" s="38">
        <f>IF(AND(AN$7="○",$A561&gt;=AN$8,$A561&lt;=AN$9),IF(SUM(AN$10:AN560)-ROUNDDOWN($M561*AN$5/100,0)&lt;-AN$6,-AN$6-SUM(AN$10:AN560),-ROUNDDOWN($M561*AN$5/100,0)),0)</f>
        <v>0</v>
      </c>
      <c r="AO561" s="38">
        <f>IF(AND($A561&gt;=AO$8,$A561&lt;=AO$9),IF(SUM(AO$10:AO560)-ROUNDDOWN($K561*AO$5/100,0)&lt;-AO$6,-AO$6-SUM(AO$10:AO560),-ROUNDDOWN($K561*AO$5/100,0)),0)</f>
        <v>0</v>
      </c>
      <c r="AP561" s="38">
        <f>IF(AND($A561&gt;=AP$8,$A561&lt;=AP$9),IF(SUM(AP$10:AP560)-ROUNDDOWN($K561*AP$5/100,0)&lt;-AP$6,-AP$6-SUM(AP$10:AP560),-ROUNDDOWN($K561*AP$5/100,0)),0)</f>
        <v>0</v>
      </c>
      <c r="AQ561" s="38">
        <f>IF(AND($A561&gt;=AQ$8,$A561&lt;=AQ$9),IF(SUM(AQ$10:AQ560)-ROUNDDOWN($K561*AQ$5/100,0)&lt;-AQ$6,-AQ$6-SUM(AQ$10:AQ560),-ROUNDDOWN($K561*AQ$5/100,0)),0)</f>
        <v>0</v>
      </c>
      <c r="AR561" s="38">
        <f>IF(AND($A561&gt;=AR$8,$A561&lt;=AR$9),IF(SUM(AR$10:AR560)-ROUNDDOWN($K561*AR$5/100,0)&lt;-AR$6,-AR$6-SUM(AR$10:AR560),-ROUNDDOWN($K561*AR$5/100,0)),0)</f>
        <v>0</v>
      </c>
      <c r="AS561" s="38">
        <f>IF(SUMIFS(AS$10:AS560,$A$10:$A560,$A561)-ROUNDDOWN($K561*$S561/100,0)&lt;-$S561*1000,-$S561*1000-SUMIFS(AS$10:AS560,$A$10:$A560,$A561),-ROUNDDOWN($K561*$S561/100,0))</f>
        <v>0</v>
      </c>
      <c r="AT561" s="38">
        <f>IF(AND(X561="○",$A561&gt;=AT$8,$A561&lt;=AT$9,K561&gt;=3980),IF(SUM(AT$10:AT560)-ROUNDDOWN($K561*AT$5/100,0)&lt;-AT$6,-AT$6-SUM(AT$10:AT560),-ROUNDDOWN($K561*AT$5/100,0)),0)</f>
        <v>0</v>
      </c>
      <c r="AU561" s="38">
        <f>IF(O561="○",IF(SUM(AU$10:AU560)-ROUNDDOWN($K561*AU$5/100,0)&lt;-AU$6,-AU$6-SUM(AU$10:AU560),-ROUNDDOWN($K561*AU$5/100,0)),0)</f>
        <v>0</v>
      </c>
      <c r="AV561" s="38">
        <f>IF(P561="○",IF(SUM(AV$10:AV560)-ROUNDDOWN($K561*AV$5/100,0)&lt;-AV$6,-AV$6-SUM(AV$10:AV560),-ROUNDDOWN($K561*AV$5/100,0)),0)</f>
        <v>0</v>
      </c>
      <c r="AW561" s="38">
        <f>IF(Q561="○",IF(SUM(AW$10:AW560)-ROUNDDOWN($K561*AW$5/100,0)&lt;-AW$6,-AW$6-SUM(AW$10:AW560),-ROUNDDOWN($K561*AW$5/100,0)),0)</f>
        <v>0</v>
      </c>
      <c r="AX561" s="38">
        <f>IF(R561="○",IF(SUM(AX$10:AX560)-ROUNDDOWN($K561*AX$5/100,0)&lt;-AX$6,-AX$6-SUM(AX$10:AX560),-ROUNDDOWN($K561*AX$5/100,0)),0)</f>
        <v>0</v>
      </c>
      <c r="AY561" s="70">
        <v>0</v>
      </c>
      <c r="AZ561" s="65">
        <f t="shared" si="348"/>
        <v>0</v>
      </c>
      <c r="BA561" s="65">
        <f t="shared" si="349"/>
        <v>0</v>
      </c>
      <c r="BB561" s="70"/>
      <c r="BC561" s="65">
        <f t="shared" si="350"/>
        <v>0</v>
      </c>
      <c r="BD561" s="70">
        <v>0</v>
      </c>
      <c r="BE561" s="65">
        <f t="shared" si="351"/>
        <v>0</v>
      </c>
      <c r="BF561" s="70">
        <v>0</v>
      </c>
      <c r="BG561" s="65">
        <f t="shared" si="352"/>
        <v>0</v>
      </c>
      <c r="BH561" s="70">
        <v>0</v>
      </c>
      <c r="BI561" s="65">
        <f t="shared" si="353"/>
        <v>0</v>
      </c>
      <c r="BJ561" s="38">
        <f>IF(AND(BJ$7="○",$A561&gt;=BJ$8,$A561&lt;=BJ$9),IF(SUM(BJ$10:BJ560)-ROUNDDOWN($M561*BJ$5/100,0)&lt;-BJ$6,-BJ$6-SUM(BJ$10:BJ560),-ROUNDDOWN($M561*BJ$5/100,0)),0)</f>
        <v>0</v>
      </c>
      <c r="BK561" s="38">
        <f>IF(AND(BK$7="○",$A561&gt;=BK$8,$A561&lt;=BK$9),IF(SUM(BK$10:BK560)-ROUNDDOWN($L561*BK$5/100,0)&lt;-BK$6,-BK$6-SUM(BK$10:BK560),-ROUNDDOWN($L561*BK$5/100,0)),0)</f>
        <v>0</v>
      </c>
      <c r="BL561" s="38">
        <f>IF(AND(BL$7="○",$A561&gt;=BL$8,$A561&lt;=BL$9),IF(SUM(BL$10:BL560)-ROUNDDOWN($L561*BL$5/100,0)&lt;-BL$6,-BL$6-SUM(BL$10:BL560),-ROUNDDOWN($L561*BL$5/100,0)),0)</f>
        <v>0</v>
      </c>
      <c r="BM561" s="38">
        <f>IF(AND(BM$7="○",$A561&gt;=BM$8,$A561&lt;=BM$9),IF(SUM(BM$10:BM560)-ROUNDDOWN($M561*BM$5/100,0)&lt;-BM$6,-BM$6-SUM(BM$10:BM560),-ROUNDDOWN($M561*BM$5/100,0)),0)</f>
        <v>0</v>
      </c>
      <c r="BN561" s="38">
        <f>IF(AND(BN$7="○",$A561&gt;=BN$8,$A561&lt;=BN$9),IF(SUM(BN$10:BN560)-ROUNDDOWN($M561*BN$5/100,0)&lt;-BN$6,-BN$6-SUM(BN$10:BN560),-ROUNDDOWN($M561*BN$5/100,0)),0)</f>
        <v>0</v>
      </c>
      <c r="BO561" s="38">
        <f>IF(AND(BO$7="○",$A561&gt;=BO$8,$A561&lt;=BO$9),IF(SUM(BO$10:BO560)-ROUNDDOWN($M561*BO$5/100,0)&lt;-BO$6,-BO$6-SUM(BO$10:BO560),-ROUNDDOWN($M561*BO$5/100,0)),0)</f>
        <v>0</v>
      </c>
      <c r="BP561" s="38">
        <f>IF(AND(BP$7="○",$A561&gt;=BP$8,$A561&lt;=BP$9),IF(SUM(BP$10:BP560)-ROUNDDOWN($M561*BP$5/100,0)&lt;-BP$6,-BP$6-SUM(BP$10:BP560),-ROUNDDOWN($M561*BP$5/100,0)),0)</f>
        <v>0</v>
      </c>
      <c r="BQ561" s="38">
        <f>IF(AND(BQ$7="○",$A561&gt;=BQ$8,$A561&lt;=BQ$9),IF(SUM(BQ$10:BQ560)-ROUNDDOWN($L561*BQ$5/100,0)&lt;-BQ$6,-BQ$6-SUM(BQ$10:BQ560),-ROUNDDOWN($L561*BQ$5/100,0)),0)</f>
        <v>0</v>
      </c>
      <c r="BR561" s="38">
        <f>IF(AND(BR$7="○",$A561&gt;=BR$8,$A561&lt;=BR$9),IF(SUM(BR$10:BR560)-ROUNDDOWN($M561*BR$5/100,0)&lt;-BR$6,-BR$6-SUM(BR$10:BR560),-ROUNDDOWN($M561*BR$5/100,0)),0)</f>
        <v>0</v>
      </c>
      <c r="BS561" s="38">
        <f>IF(AND(BS$7="○",$A561&gt;=BS$8,$A561&lt;=BS$9),IF(SUM(BS$10:BS560)-ROUNDDOWN($M561*BS$5/100,0)&lt;-BS$6,-BS$6-SUM(BS$10:BS560),-ROUNDDOWN($M561*BS$5/100,0)),0)</f>
        <v>0</v>
      </c>
      <c r="BT561" s="38">
        <f>IF(AND(BT$7="○",$A561&gt;=BT$8,$A561&lt;=BT$9),IF(SUM(BT$10:BT560)-ROUNDDOWN($M561*BT$5/100,0)&lt;-BT$6,-BT$6-SUM(BT$10:BT560),-ROUNDDOWN($M561*BT$5/100,0)),0)</f>
        <v>0</v>
      </c>
      <c r="BU561" s="38">
        <f>IF(AND(BU$7="○",$A561&gt;=BU$8,$A561&lt;=BU$9),IF(SUM(BU$10:BU560)-ROUNDDOWN($M561*BU$5/100,0)&lt;-BU$6,-BU$6-SUM(BU$10:BU560),-ROUNDDOWN($M561*BU$5/100,0)),0)</f>
        <v>0</v>
      </c>
      <c r="BV561" s="38">
        <f>IF(AND(BV$7="○",$A561&gt;=BV$8,$A561&lt;=BV$9),IF(SUM(BV$10:BV560)-ROUNDDOWN($M561*BV$5/100,0)&lt;-BV$6,-BV$6-SUM(BV$10:BV560),-ROUNDDOWN($M561*BV$5/100,0)),0)</f>
        <v>0</v>
      </c>
      <c r="BW561" s="38">
        <f>IF(AND(BW$7="○",$A561&gt;=BW$8,$A561&lt;=BW$9),IF(SUM(BW$10:BW560)-ROUNDDOWN($M561*BW$5/100,0)&lt;-BW$6,-BW$6-SUM(BW$10:BW560),-ROUNDDOWN($M561*BW$5/100,0)),0)</f>
        <v>0</v>
      </c>
      <c r="BX561" s="38">
        <f>IF(AND(T561="○",$A561&gt;=BX$8,$A561&lt;=BX$9),IF(SUM(BX$10:BX560)-ROUNDDOWN($K561*BX$5/100,0)&lt;-BX$6,-BX$6-SUM(BX$10:BX560),-ROUNDDOWN($K561*BX$5/100,0)),0)</f>
        <v>0</v>
      </c>
      <c r="BY561" s="38">
        <f>IF(AND(U561="○",$A561&gt;=BY$8,$A561&lt;=BY$9),IF(SUM(BY$10:BY560)-ROUNDDOWN($K561*BY$5/100,0)&lt;-BY$6,-BY$6-SUM(BY$10:BY560),-ROUNDDOWN($K561*BY$5/100,0)),0)</f>
        <v>0</v>
      </c>
      <c r="BZ561" s="38">
        <f>IF(AND(V561="○",$A561&gt;=BZ$8,$A561&lt;=BZ$9),IF(SUM(BZ$10:BZ560)-ROUNDDOWN($K561*BZ$5/100,0)&lt;-BZ$6,-BZ$6-SUM(BZ$10:BZ560),-ROUNDDOWN($K561*BZ$5/100,0)),0)</f>
        <v>0</v>
      </c>
      <c r="CA561" s="38">
        <f>IF(AND(W561="○",$A561&gt;=CA$8,$A561&lt;=CA$9),IF(SUM(CA$10:CA560)-ROUNDDOWN($K561*CA$5/100,0)&lt;-CA$6,-CA$6-SUM(CA$10:CA560),-ROUNDDOWN($K561*CA$5/100,0)),0)</f>
        <v>0</v>
      </c>
      <c r="CB561" s="38"/>
      <c r="CC561" s="38"/>
      <c r="CD561" s="38"/>
      <c r="CE561" s="38"/>
      <c r="CF561" s="38"/>
      <c r="CG561" s="65">
        <f t="shared" si="354"/>
        <v>0</v>
      </c>
      <c r="CH561" s="71">
        <f t="shared" si="355"/>
        <v>0</v>
      </c>
      <c r="CI561" s="1">
        <f t="shared" si="366"/>
        <v>0</v>
      </c>
      <c r="CJ561" s="1"/>
      <c r="CK561" s="72"/>
      <c r="CL561" s="72"/>
      <c r="CM561" s="2"/>
      <c r="CN561" s="2"/>
      <c r="CO561" s="73">
        <f t="shared" si="367"/>
        <v>0</v>
      </c>
      <c r="CP561" s="5">
        <f t="shared" si="368"/>
        <v>0</v>
      </c>
      <c r="CQ561" s="1"/>
      <c r="CR561" s="1">
        <f t="shared" si="369"/>
        <v>0</v>
      </c>
      <c r="CS561" s="1"/>
      <c r="CT561" s="1" t="e">
        <f>INDEX([2]マスタ!$A:$A,MATCH(D561,[2]マスタ!$C:$C,0))</f>
        <v>#N/A</v>
      </c>
      <c r="CU561" s="1" t="str">
        <f t="shared" ca="1" si="370"/>
        <v>20260620_0-0</v>
      </c>
    </row>
    <row r="562" spans="1:99" x14ac:dyDescent="0.4">
      <c r="A562" s="61"/>
      <c r="B562" s="62"/>
      <c r="C562" s="62"/>
      <c r="D562" s="62"/>
      <c r="E562" s="74"/>
      <c r="F562" s="62"/>
      <c r="G562" s="62">
        <v>1</v>
      </c>
      <c r="H562" s="64">
        <f t="shared" si="360"/>
        <v>0</v>
      </c>
      <c r="I562" s="64"/>
      <c r="J562" s="64"/>
      <c r="K562" s="65">
        <f t="shared" si="361"/>
        <v>0</v>
      </c>
      <c r="L562" s="65">
        <f t="shared" si="362"/>
        <v>0</v>
      </c>
      <c r="M562" s="65">
        <f t="shared" si="363"/>
        <v>0</v>
      </c>
      <c r="N562" s="65">
        <f t="shared" si="364"/>
        <v>0</v>
      </c>
      <c r="O562" s="66" t="str">
        <f t="shared" si="9"/>
        <v>✕</v>
      </c>
      <c r="P562" s="67" t="str">
        <f t="shared" si="10"/>
        <v>○</v>
      </c>
      <c r="Q562" s="67" t="str">
        <f t="shared" si="365"/>
        <v>✕</v>
      </c>
      <c r="R562" s="67" t="str">
        <f t="shared" si="12"/>
        <v>✕</v>
      </c>
      <c r="S562" s="68">
        <v>0</v>
      </c>
      <c r="T562" s="69" t="s">
        <v>85</v>
      </c>
      <c r="U562" s="69" t="s">
        <v>85</v>
      </c>
      <c r="V562" s="69" t="s">
        <v>85</v>
      </c>
      <c r="W562" s="69" t="s">
        <v>85</v>
      </c>
      <c r="X562" s="69" t="s">
        <v>84</v>
      </c>
      <c r="Y562" s="69" t="s">
        <v>85</v>
      </c>
      <c r="Z562" s="69" t="s">
        <v>85</v>
      </c>
      <c r="AA562" s="69" t="s">
        <v>85</v>
      </c>
      <c r="AB562" s="69" t="s">
        <v>85</v>
      </c>
      <c r="AC562" s="69" t="s">
        <v>85</v>
      </c>
      <c r="AD562" s="38" t="str">
        <f>+IF(ISERROR(VLOOKUP($B562,AD$10:AD561,1,0)),IF(AND($N562&gt;=1000,$A562&gt;=AO$8,$A562&lt;=AO$9),$B562,""),"")</f>
        <v/>
      </c>
      <c r="AE562" s="38" t="str">
        <f>+IF(ISERROR(VLOOKUP($B562,AE$10:AE561,1,0)),IF(AND($N562&gt;=1000,$A562&gt;=AP$8,$A562&lt;=AP$9),$B562,""),"")</f>
        <v/>
      </c>
      <c r="AF562" s="38" t="str">
        <f>+IF(ISERROR(VLOOKUP($B562,AF$10:AF561,1,0)),IF(AND($N562&gt;=1000,$A562&gt;=AQ$8,$A562&lt;=AQ$9),$B562,""),"")</f>
        <v/>
      </c>
      <c r="AG562" s="38" t="str">
        <f>+IF(ISERROR(VLOOKUP($B562,AG$10:AG561,1,0)),IF(AND($N562&gt;=1000,$A562&gt;=AR$8,$A562&lt;=AR$9),$B562,""),"")</f>
        <v/>
      </c>
      <c r="AH562" s="38"/>
      <c r="AI562" s="70">
        <v>0</v>
      </c>
      <c r="AJ562" s="38">
        <f>IF(AND(AJ$7="○",$A562&gt;=AJ$8,$A562&lt;=AJ$9),IF(SUM(AJ$10:AJ561)-ROUNDDOWN($K562*AJ$5/100,0)&lt;-AJ$6,-AJ$6-SUM(AJ$10:AJ561),-ROUNDDOWN($K562*AJ$5/100,0)),0)</f>
        <v>0</v>
      </c>
      <c r="AK562" s="38">
        <f>IF(AND(AK$7="○",$A562&gt;=AK$8,$A562&lt;=AK$9),IF(SUM(AK$10:AK561)-ROUNDDOWN($L562*AK$5/100,0)&lt;-AK$6,-AK$6-SUM(AK$10:AK561),-ROUNDDOWN($L562*AK$5/100,0)),0)</f>
        <v>0</v>
      </c>
      <c r="AL562" s="38">
        <f>IF(AND(AL$7="○",$A562&gt;=AL$8,$A562&lt;=AL$9),IF(SUM(AL$10:AL561)-ROUNDDOWN($N562*AL$5/100,0)&lt;-AL$6,-AL$6-SUM(AL$10:AL561),-ROUNDDOWN($N562*AL$5/100,0)),0)</f>
        <v>0</v>
      </c>
      <c r="AM562" s="38">
        <f>IF(AND(AM$7="○",$A562&gt;=AM$8,$A562&lt;=AM$9),IF(SUM(AM$10:AM561)-ROUNDDOWN($L562*AM$5/100,0)&lt;-AM$6,-AM$6-SUM(AM$10:AM561),-ROUNDDOWN($L562*AM$5/100,0)),0)</f>
        <v>0</v>
      </c>
      <c r="AN562" s="38">
        <f>IF(AND(AN$7="○",$A562&gt;=AN$8,$A562&lt;=AN$9),IF(SUM(AN$10:AN561)-ROUNDDOWN($M562*AN$5/100,0)&lt;-AN$6,-AN$6-SUM(AN$10:AN561),-ROUNDDOWN($M562*AN$5/100,0)),0)</f>
        <v>0</v>
      </c>
      <c r="AO562" s="38">
        <f>IF(AND($A562&gt;=AO$8,$A562&lt;=AO$9),IF(SUM(AO$10:AO561)-ROUNDDOWN($K562*AO$5/100,0)&lt;-AO$6,-AO$6-SUM(AO$10:AO561),-ROUNDDOWN($K562*AO$5/100,0)),0)</f>
        <v>0</v>
      </c>
      <c r="AP562" s="38">
        <f>IF(AND($A562&gt;=AP$8,$A562&lt;=AP$9),IF(SUM(AP$10:AP561)-ROUNDDOWN($K562*AP$5/100,0)&lt;-AP$6,-AP$6-SUM(AP$10:AP561),-ROUNDDOWN($K562*AP$5/100,0)),0)</f>
        <v>0</v>
      </c>
      <c r="AQ562" s="38">
        <f>IF(AND($A562&gt;=AQ$8,$A562&lt;=AQ$9),IF(SUM(AQ$10:AQ561)-ROUNDDOWN($K562*AQ$5/100,0)&lt;-AQ$6,-AQ$6-SUM(AQ$10:AQ561),-ROUNDDOWN($K562*AQ$5/100,0)),0)</f>
        <v>0</v>
      </c>
      <c r="AR562" s="38">
        <f>IF(AND($A562&gt;=AR$8,$A562&lt;=AR$9),IF(SUM(AR$10:AR561)-ROUNDDOWN($K562*AR$5/100,0)&lt;-AR$6,-AR$6-SUM(AR$10:AR561),-ROUNDDOWN($K562*AR$5/100,0)),0)</f>
        <v>0</v>
      </c>
      <c r="AS562" s="38">
        <f>IF(SUMIFS(AS$10:AS561,$A$10:$A561,$A562)-ROUNDDOWN($K562*$S562/100,0)&lt;-$S562*1000,-$S562*1000-SUMIFS(AS$10:AS561,$A$10:$A561,$A562),-ROUNDDOWN($K562*$S562/100,0))</f>
        <v>0</v>
      </c>
      <c r="AT562" s="38">
        <f>IF(AND(X562="○",$A562&gt;=AT$8,$A562&lt;=AT$9,K562&gt;=3980),IF(SUM(AT$10:AT561)-ROUNDDOWN($K562*AT$5/100,0)&lt;-AT$6,-AT$6-SUM(AT$10:AT561),-ROUNDDOWN($K562*AT$5/100,0)),0)</f>
        <v>0</v>
      </c>
      <c r="AU562" s="38">
        <f>IF(O562="○",IF(SUM(AU$10:AU561)-ROUNDDOWN($K562*AU$5/100,0)&lt;-AU$6,-AU$6-SUM(AU$10:AU561),-ROUNDDOWN($K562*AU$5/100,0)),0)</f>
        <v>0</v>
      </c>
      <c r="AV562" s="38">
        <f>IF(P562="○",IF(SUM(AV$10:AV561)-ROUNDDOWN($K562*AV$5/100,0)&lt;-AV$6,-AV$6-SUM(AV$10:AV561),-ROUNDDOWN($K562*AV$5/100,0)),0)</f>
        <v>0</v>
      </c>
      <c r="AW562" s="38">
        <f>IF(Q562="○",IF(SUM(AW$10:AW561)-ROUNDDOWN($K562*AW$5/100,0)&lt;-AW$6,-AW$6-SUM(AW$10:AW561),-ROUNDDOWN($K562*AW$5/100,0)),0)</f>
        <v>0</v>
      </c>
      <c r="AX562" s="38">
        <f>IF(R562="○",IF(SUM(AX$10:AX561)-ROUNDDOWN($K562*AX$5/100,0)&lt;-AX$6,-AX$6-SUM(AX$10:AX561),-ROUNDDOWN($K562*AX$5/100,0)),0)</f>
        <v>0</v>
      </c>
      <c r="AY562" s="70">
        <v>0</v>
      </c>
      <c r="AZ562" s="65">
        <f t="shared" si="348"/>
        <v>0</v>
      </c>
      <c r="BA562" s="65">
        <f t="shared" si="349"/>
        <v>0</v>
      </c>
      <c r="BB562" s="70"/>
      <c r="BC562" s="65">
        <f t="shared" si="350"/>
        <v>0</v>
      </c>
      <c r="BD562" s="70">
        <v>0</v>
      </c>
      <c r="BE562" s="65">
        <f t="shared" si="351"/>
        <v>0</v>
      </c>
      <c r="BF562" s="70">
        <v>0</v>
      </c>
      <c r="BG562" s="65">
        <f t="shared" si="352"/>
        <v>0</v>
      </c>
      <c r="BH562" s="70">
        <v>0</v>
      </c>
      <c r="BI562" s="65">
        <f t="shared" si="353"/>
        <v>0</v>
      </c>
      <c r="BJ562" s="38">
        <f>IF(AND(BJ$7="○",$A562&gt;=BJ$8,$A562&lt;=BJ$9),IF(SUM(BJ$10:BJ561)-ROUNDDOWN($M562*BJ$5/100,0)&lt;-BJ$6,-BJ$6-SUM(BJ$10:BJ561),-ROUNDDOWN($M562*BJ$5/100,0)),0)</f>
        <v>0</v>
      </c>
      <c r="BK562" s="38">
        <f>IF(AND(BK$7="○",$A562&gt;=BK$8,$A562&lt;=BK$9),IF(SUM(BK$10:BK561)-ROUNDDOWN($L562*BK$5/100,0)&lt;-BK$6,-BK$6-SUM(BK$10:BK561),-ROUNDDOWN($L562*BK$5/100,0)),0)</f>
        <v>0</v>
      </c>
      <c r="BL562" s="38">
        <f>IF(AND(BL$7="○",$A562&gt;=BL$8,$A562&lt;=BL$9),IF(SUM(BL$10:BL561)-ROUNDDOWN($L562*BL$5/100,0)&lt;-BL$6,-BL$6-SUM(BL$10:BL561),-ROUNDDOWN($L562*BL$5/100,0)),0)</f>
        <v>0</v>
      </c>
      <c r="BM562" s="38">
        <f>IF(AND(BM$7="○",$A562&gt;=BM$8,$A562&lt;=BM$9),IF(SUM(BM$10:BM561)-ROUNDDOWN($M562*BM$5/100,0)&lt;-BM$6,-BM$6-SUM(BM$10:BM561),-ROUNDDOWN($M562*BM$5/100,0)),0)</f>
        <v>0</v>
      </c>
      <c r="BN562" s="38">
        <f>IF(AND(BN$7="○",$A562&gt;=BN$8,$A562&lt;=BN$9),IF(SUM(BN$10:BN561)-ROUNDDOWN($M562*BN$5/100,0)&lt;-BN$6,-BN$6-SUM(BN$10:BN561),-ROUNDDOWN($M562*BN$5/100,0)),0)</f>
        <v>0</v>
      </c>
      <c r="BO562" s="38">
        <f>IF(AND(BO$7="○",$A562&gt;=BO$8,$A562&lt;=BO$9),IF(SUM(BO$10:BO561)-ROUNDDOWN($M562*BO$5/100,0)&lt;-BO$6,-BO$6-SUM(BO$10:BO561),-ROUNDDOWN($M562*BO$5/100,0)),0)</f>
        <v>0</v>
      </c>
      <c r="BP562" s="38">
        <f>IF(AND(BP$7="○",$A562&gt;=BP$8,$A562&lt;=BP$9),IF(SUM(BP$10:BP561)-ROUNDDOWN($M562*BP$5/100,0)&lt;-BP$6,-BP$6-SUM(BP$10:BP561),-ROUNDDOWN($M562*BP$5/100,0)),0)</f>
        <v>0</v>
      </c>
      <c r="BQ562" s="38">
        <f>IF(AND(BQ$7="○",$A562&gt;=BQ$8,$A562&lt;=BQ$9),IF(SUM(BQ$10:BQ561)-ROUNDDOWN($L562*BQ$5/100,0)&lt;-BQ$6,-BQ$6-SUM(BQ$10:BQ561),-ROUNDDOWN($L562*BQ$5/100,0)),0)</f>
        <v>0</v>
      </c>
      <c r="BR562" s="38">
        <f>IF(AND(BR$7="○",$A562&gt;=BR$8,$A562&lt;=BR$9),IF(SUM(BR$10:BR561)-ROUNDDOWN($M562*BR$5/100,0)&lt;-BR$6,-BR$6-SUM(BR$10:BR561),-ROUNDDOWN($M562*BR$5/100,0)),0)</f>
        <v>0</v>
      </c>
      <c r="BS562" s="38">
        <f>IF(AND(BS$7="○",$A562&gt;=BS$8,$A562&lt;=BS$9),IF(SUM(BS$10:BS561)-ROUNDDOWN($M562*BS$5/100,0)&lt;-BS$6,-BS$6-SUM(BS$10:BS561),-ROUNDDOWN($M562*BS$5/100,0)),0)</f>
        <v>0</v>
      </c>
      <c r="BT562" s="38">
        <f>IF(AND(BT$7="○",$A562&gt;=BT$8,$A562&lt;=BT$9),IF(SUM(BT$10:BT561)-ROUNDDOWN($M562*BT$5/100,0)&lt;-BT$6,-BT$6-SUM(BT$10:BT561),-ROUNDDOWN($M562*BT$5/100,0)),0)</f>
        <v>0</v>
      </c>
      <c r="BU562" s="38">
        <f>IF(AND(BU$7="○",$A562&gt;=BU$8,$A562&lt;=BU$9),IF(SUM(BU$10:BU561)-ROUNDDOWN($M562*BU$5/100,0)&lt;-BU$6,-BU$6-SUM(BU$10:BU561),-ROUNDDOWN($M562*BU$5/100,0)),0)</f>
        <v>0</v>
      </c>
      <c r="BV562" s="38">
        <f>IF(AND(BV$7="○",$A562&gt;=BV$8,$A562&lt;=BV$9),IF(SUM(BV$10:BV561)-ROUNDDOWN($M562*BV$5/100,0)&lt;-BV$6,-BV$6-SUM(BV$10:BV561),-ROUNDDOWN($M562*BV$5/100,0)),0)</f>
        <v>0</v>
      </c>
      <c r="BW562" s="38">
        <f>IF(AND(BW$7="○",$A562&gt;=BW$8,$A562&lt;=BW$9),IF(SUM(BW$10:BW561)-ROUNDDOWN($M562*BW$5/100,0)&lt;-BW$6,-BW$6-SUM(BW$10:BW561),-ROUNDDOWN($M562*BW$5/100,0)),0)</f>
        <v>0</v>
      </c>
      <c r="BX562" s="38">
        <f>IF(AND(T562="○",$A562&gt;=BX$8,$A562&lt;=BX$9),IF(SUM(BX$10:BX561)-ROUNDDOWN($K562*BX$5/100,0)&lt;-BX$6,-BX$6-SUM(BX$10:BX561),-ROUNDDOWN($K562*BX$5/100,0)),0)</f>
        <v>0</v>
      </c>
      <c r="BY562" s="38">
        <f>IF(AND(U562="○",$A562&gt;=BY$8,$A562&lt;=BY$9),IF(SUM(BY$10:BY561)-ROUNDDOWN($K562*BY$5/100,0)&lt;-BY$6,-BY$6-SUM(BY$10:BY561),-ROUNDDOWN($K562*BY$5/100,0)),0)</f>
        <v>0</v>
      </c>
      <c r="BZ562" s="38">
        <f>IF(AND(V562="○",$A562&gt;=BZ$8,$A562&lt;=BZ$9),IF(SUM(BZ$10:BZ561)-ROUNDDOWN($K562*BZ$5/100,0)&lt;-BZ$6,-BZ$6-SUM(BZ$10:BZ561),-ROUNDDOWN($K562*BZ$5/100,0)),0)</f>
        <v>0</v>
      </c>
      <c r="CA562" s="38">
        <f>IF(AND(W562="○",$A562&gt;=CA$8,$A562&lt;=CA$9),IF(SUM(CA$10:CA561)-ROUNDDOWN($K562*CA$5/100,0)&lt;-CA$6,-CA$6-SUM(CA$10:CA561),-ROUNDDOWN($K562*CA$5/100,0)),0)</f>
        <v>0</v>
      </c>
      <c r="CB562" s="38"/>
      <c r="CC562" s="38"/>
      <c r="CD562" s="38"/>
      <c r="CE562" s="38"/>
      <c r="CF562" s="38"/>
      <c r="CG562" s="65">
        <f t="shared" si="354"/>
        <v>0</v>
      </c>
      <c r="CH562" s="71">
        <f t="shared" si="355"/>
        <v>0</v>
      </c>
      <c r="CI562" s="1">
        <f t="shared" si="366"/>
        <v>0</v>
      </c>
      <c r="CJ562" s="1"/>
      <c r="CK562" s="72"/>
      <c r="CL562" s="72"/>
      <c r="CM562" s="2"/>
      <c r="CN562" s="2"/>
      <c r="CO562" s="73">
        <f t="shared" si="367"/>
        <v>0</v>
      </c>
      <c r="CP562" s="5">
        <f t="shared" si="368"/>
        <v>0</v>
      </c>
      <c r="CQ562" s="1"/>
      <c r="CR562" s="1">
        <f t="shared" si="369"/>
        <v>0</v>
      </c>
      <c r="CS562" s="1"/>
      <c r="CT562" s="1" t="e">
        <f>INDEX([2]マスタ!$A:$A,MATCH(D562,[2]マスタ!$C:$C,0))</f>
        <v>#N/A</v>
      </c>
      <c r="CU562" s="1" t="str">
        <f t="shared" ca="1" si="370"/>
        <v>20260620_0-0</v>
      </c>
    </row>
    <row r="563" spans="1:99" x14ac:dyDescent="0.4">
      <c r="A563" s="61"/>
      <c r="B563" s="62"/>
      <c r="C563" s="62"/>
      <c r="D563" s="62"/>
      <c r="E563" s="74"/>
      <c r="F563" s="62"/>
      <c r="G563" s="62">
        <v>1</v>
      </c>
      <c r="H563" s="64">
        <f t="shared" si="360"/>
        <v>0</v>
      </c>
      <c r="I563" s="64"/>
      <c r="J563" s="64"/>
      <c r="K563" s="65">
        <f t="shared" si="361"/>
        <v>0</v>
      </c>
      <c r="L563" s="65">
        <f t="shared" si="362"/>
        <v>0</v>
      </c>
      <c r="M563" s="65">
        <f t="shared" si="363"/>
        <v>0</v>
      </c>
      <c r="N563" s="65">
        <f t="shared" si="364"/>
        <v>0</v>
      </c>
      <c r="O563" s="66" t="str">
        <f t="shared" si="9"/>
        <v>✕</v>
      </c>
      <c r="P563" s="67" t="str">
        <f t="shared" si="10"/>
        <v>○</v>
      </c>
      <c r="Q563" s="67" t="str">
        <f t="shared" si="365"/>
        <v>✕</v>
      </c>
      <c r="R563" s="67" t="str">
        <f t="shared" si="12"/>
        <v>✕</v>
      </c>
      <c r="S563" s="68">
        <v>0</v>
      </c>
      <c r="T563" s="69" t="s">
        <v>85</v>
      </c>
      <c r="U563" s="69" t="s">
        <v>85</v>
      </c>
      <c r="V563" s="69" t="s">
        <v>85</v>
      </c>
      <c r="W563" s="69" t="s">
        <v>85</v>
      </c>
      <c r="X563" s="69" t="s">
        <v>84</v>
      </c>
      <c r="Y563" s="69" t="s">
        <v>85</v>
      </c>
      <c r="Z563" s="69" t="s">
        <v>85</v>
      </c>
      <c r="AA563" s="69" t="s">
        <v>85</v>
      </c>
      <c r="AB563" s="69" t="s">
        <v>85</v>
      </c>
      <c r="AC563" s="69" t="s">
        <v>85</v>
      </c>
      <c r="AD563" s="38" t="str">
        <f>+IF(ISERROR(VLOOKUP($B563,AD$10:AD562,1,0)),IF(AND($N563&gt;=1000,$A563&gt;=AO$8,$A563&lt;=AO$9),$B563,""),"")</f>
        <v/>
      </c>
      <c r="AE563" s="38" t="str">
        <f>+IF(ISERROR(VLOOKUP($B563,AE$10:AE562,1,0)),IF(AND($N563&gt;=1000,$A563&gt;=AP$8,$A563&lt;=AP$9),$B563,""),"")</f>
        <v/>
      </c>
      <c r="AF563" s="38" t="str">
        <f>+IF(ISERROR(VLOOKUP($B563,AF$10:AF562,1,0)),IF(AND($N563&gt;=1000,$A563&gt;=AQ$8,$A563&lt;=AQ$9),$B563,""),"")</f>
        <v/>
      </c>
      <c r="AG563" s="38" t="str">
        <f>+IF(ISERROR(VLOOKUP($B563,AG$10:AG562,1,0)),IF(AND($N563&gt;=1000,$A563&gt;=AR$8,$A563&lt;=AR$9),$B563,""),"")</f>
        <v/>
      </c>
      <c r="AH563" s="38"/>
      <c r="AI563" s="70">
        <v>0</v>
      </c>
      <c r="AJ563" s="38">
        <f>IF(AND(AJ$7="○",$A563&gt;=AJ$8,$A563&lt;=AJ$9),IF(SUM(AJ$10:AJ562)-ROUNDDOWN($K563*AJ$5/100,0)&lt;-AJ$6,-AJ$6-SUM(AJ$10:AJ562),-ROUNDDOWN($K563*AJ$5/100,0)),0)</f>
        <v>0</v>
      </c>
      <c r="AK563" s="38">
        <f>IF(AND(AK$7="○",$A563&gt;=AK$8,$A563&lt;=AK$9),IF(SUM(AK$10:AK562)-ROUNDDOWN($L563*AK$5/100,0)&lt;-AK$6,-AK$6-SUM(AK$10:AK562),-ROUNDDOWN($L563*AK$5/100,0)),0)</f>
        <v>0</v>
      </c>
      <c r="AL563" s="38">
        <f>IF(AND(AL$7="○",$A563&gt;=AL$8,$A563&lt;=AL$9),IF(SUM(AL$10:AL562)-ROUNDDOWN($N563*AL$5/100,0)&lt;-AL$6,-AL$6-SUM(AL$10:AL562),-ROUNDDOWN($N563*AL$5/100,0)),0)</f>
        <v>0</v>
      </c>
      <c r="AM563" s="38">
        <f>IF(AND(AM$7="○",$A563&gt;=AM$8,$A563&lt;=AM$9),IF(SUM(AM$10:AM562)-ROUNDDOWN($L563*AM$5/100,0)&lt;-AM$6,-AM$6-SUM(AM$10:AM562),-ROUNDDOWN($L563*AM$5/100,0)),0)</f>
        <v>0</v>
      </c>
      <c r="AN563" s="38">
        <f>IF(AND(AN$7="○",$A563&gt;=AN$8,$A563&lt;=AN$9),IF(SUM(AN$10:AN562)-ROUNDDOWN($M563*AN$5/100,0)&lt;-AN$6,-AN$6-SUM(AN$10:AN562),-ROUNDDOWN($M563*AN$5/100,0)),0)</f>
        <v>0</v>
      </c>
      <c r="AO563" s="38">
        <f>IF(AND($A563&gt;=AO$8,$A563&lt;=AO$9),IF(SUM(AO$10:AO562)-ROUNDDOWN($K563*AO$5/100,0)&lt;-AO$6,-AO$6-SUM(AO$10:AO562),-ROUNDDOWN($K563*AO$5/100,0)),0)</f>
        <v>0</v>
      </c>
      <c r="AP563" s="38">
        <f>IF(AND($A563&gt;=AP$8,$A563&lt;=AP$9),IF(SUM(AP$10:AP562)-ROUNDDOWN($K563*AP$5/100,0)&lt;-AP$6,-AP$6-SUM(AP$10:AP562),-ROUNDDOWN($K563*AP$5/100,0)),0)</f>
        <v>0</v>
      </c>
      <c r="AQ563" s="38">
        <f>IF(AND($A563&gt;=AQ$8,$A563&lt;=AQ$9),IF(SUM(AQ$10:AQ562)-ROUNDDOWN($K563*AQ$5/100,0)&lt;-AQ$6,-AQ$6-SUM(AQ$10:AQ562),-ROUNDDOWN($K563*AQ$5/100,0)),0)</f>
        <v>0</v>
      </c>
      <c r="AR563" s="38">
        <f>IF(AND($A563&gt;=AR$8,$A563&lt;=AR$9),IF(SUM(AR$10:AR562)-ROUNDDOWN($K563*AR$5/100,0)&lt;-AR$6,-AR$6-SUM(AR$10:AR562),-ROUNDDOWN($K563*AR$5/100,0)),0)</f>
        <v>0</v>
      </c>
      <c r="AS563" s="38">
        <f>IF(SUMIFS(AS$10:AS562,$A$10:$A562,$A563)-ROUNDDOWN($K563*$S563/100,0)&lt;-$S563*1000,-$S563*1000-SUMIFS(AS$10:AS562,$A$10:$A562,$A563),-ROUNDDOWN($K563*$S563/100,0))</f>
        <v>0</v>
      </c>
      <c r="AT563" s="38">
        <f>IF(AND(X563="○",$A563&gt;=AT$8,$A563&lt;=AT$9,K563&gt;=3980),IF(SUM(AT$10:AT562)-ROUNDDOWN($K563*AT$5/100,0)&lt;-AT$6,-AT$6-SUM(AT$10:AT562),-ROUNDDOWN($K563*AT$5/100,0)),0)</f>
        <v>0</v>
      </c>
      <c r="AU563" s="38">
        <f>IF(O563="○",IF(SUM(AU$10:AU562)-ROUNDDOWN($K563*AU$5/100,0)&lt;-AU$6,-AU$6-SUM(AU$10:AU562),-ROUNDDOWN($K563*AU$5/100,0)),0)</f>
        <v>0</v>
      </c>
      <c r="AV563" s="38">
        <f>IF(P563="○",IF(SUM(AV$10:AV562)-ROUNDDOWN($K563*AV$5/100,0)&lt;-AV$6,-AV$6-SUM(AV$10:AV562),-ROUNDDOWN($K563*AV$5/100,0)),0)</f>
        <v>0</v>
      </c>
      <c r="AW563" s="38">
        <f>IF(Q563="○",IF(SUM(AW$10:AW562)-ROUNDDOWN($K563*AW$5/100,0)&lt;-AW$6,-AW$6-SUM(AW$10:AW562),-ROUNDDOWN($K563*AW$5/100,0)),0)</f>
        <v>0</v>
      </c>
      <c r="AX563" s="38">
        <f>IF(R563="○",IF(SUM(AX$10:AX562)-ROUNDDOWN($K563*AX$5/100,0)&lt;-AX$6,-AX$6-SUM(AX$10:AX562),-ROUNDDOWN($K563*AX$5/100,0)),0)</f>
        <v>0</v>
      </c>
      <c r="AY563" s="70">
        <v>0</v>
      </c>
      <c r="AZ563" s="65">
        <f t="shared" si="348"/>
        <v>0</v>
      </c>
      <c r="BA563" s="65">
        <f t="shared" si="349"/>
        <v>0</v>
      </c>
      <c r="BB563" s="70"/>
      <c r="BC563" s="65">
        <f t="shared" si="350"/>
        <v>0</v>
      </c>
      <c r="BD563" s="70">
        <v>0</v>
      </c>
      <c r="BE563" s="65">
        <f t="shared" si="351"/>
        <v>0</v>
      </c>
      <c r="BF563" s="70">
        <v>0</v>
      </c>
      <c r="BG563" s="65">
        <f t="shared" si="352"/>
        <v>0</v>
      </c>
      <c r="BH563" s="70">
        <v>0</v>
      </c>
      <c r="BI563" s="65">
        <f t="shared" si="353"/>
        <v>0</v>
      </c>
      <c r="BJ563" s="38">
        <f>IF(AND(BJ$7="○",$A563&gt;=BJ$8,$A563&lt;=BJ$9),IF(SUM(BJ$10:BJ562)-ROUNDDOWN($M563*BJ$5/100,0)&lt;-BJ$6,-BJ$6-SUM(BJ$10:BJ562),-ROUNDDOWN($M563*BJ$5/100,0)),0)</f>
        <v>0</v>
      </c>
      <c r="BK563" s="38">
        <f>IF(AND(BK$7="○",$A563&gt;=BK$8,$A563&lt;=BK$9),IF(SUM(BK$10:BK562)-ROUNDDOWN($L563*BK$5/100,0)&lt;-BK$6,-BK$6-SUM(BK$10:BK562),-ROUNDDOWN($L563*BK$5/100,0)),0)</f>
        <v>0</v>
      </c>
      <c r="BL563" s="38">
        <f>IF(AND(BL$7="○",$A563&gt;=BL$8,$A563&lt;=BL$9),IF(SUM(BL$10:BL562)-ROUNDDOWN($L563*BL$5/100,0)&lt;-BL$6,-BL$6-SUM(BL$10:BL562),-ROUNDDOWN($L563*BL$5/100,0)),0)</f>
        <v>0</v>
      </c>
      <c r="BM563" s="38">
        <f>IF(AND(BM$7="○",$A563&gt;=BM$8,$A563&lt;=BM$9),IF(SUM(BM$10:BM562)-ROUNDDOWN($M563*BM$5/100,0)&lt;-BM$6,-BM$6-SUM(BM$10:BM562),-ROUNDDOWN($M563*BM$5/100,0)),0)</f>
        <v>0</v>
      </c>
      <c r="BN563" s="38">
        <f>IF(AND(BN$7="○",$A563&gt;=BN$8,$A563&lt;=BN$9),IF(SUM(BN$10:BN562)-ROUNDDOWN($M563*BN$5/100,0)&lt;-BN$6,-BN$6-SUM(BN$10:BN562),-ROUNDDOWN($M563*BN$5/100,0)),0)</f>
        <v>0</v>
      </c>
      <c r="BO563" s="38">
        <f>IF(AND(BO$7="○",$A563&gt;=BO$8,$A563&lt;=BO$9),IF(SUM(BO$10:BO562)-ROUNDDOWN($M563*BO$5/100,0)&lt;-BO$6,-BO$6-SUM(BO$10:BO562),-ROUNDDOWN($M563*BO$5/100,0)),0)</f>
        <v>0</v>
      </c>
      <c r="BP563" s="38">
        <f>IF(AND(BP$7="○",$A563&gt;=BP$8,$A563&lt;=BP$9),IF(SUM(BP$10:BP562)-ROUNDDOWN($M563*BP$5/100,0)&lt;-BP$6,-BP$6-SUM(BP$10:BP562),-ROUNDDOWN($M563*BP$5/100,0)),0)</f>
        <v>0</v>
      </c>
      <c r="BQ563" s="38">
        <f>IF(AND(BQ$7="○",$A563&gt;=BQ$8,$A563&lt;=BQ$9),IF(SUM(BQ$10:BQ562)-ROUNDDOWN($L563*BQ$5/100,0)&lt;-BQ$6,-BQ$6-SUM(BQ$10:BQ562),-ROUNDDOWN($L563*BQ$5/100,0)),0)</f>
        <v>0</v>
      </c>
      <c r="BR563" s="38">
        <f>IF(AND(BR$7="○",$A563&gt;=BR$8,$A563&lt;=BR$9),IF(SUM(BR$10:BR562)-ROUNDDOWN($M563*BR$5/100,0)&lt;-BR$6,-BR$6-SUM(BR$10:BR562),-ROUNDDOWN($M563*BR$5/100,0)),0)</f>
        <v>0</v>
      </c>
      <c r="BS563" s="38">
        <f>IF(AND(BS$7="○",$A563&gt;=BS$8,$A563&lt;=BS$9),IF(SUM(BS$10:BS562)-ROUNDDOWN($M563*BS$5/100,0)&lt;-BS$6,-BS$6-SUM(BS$10:BS562),-ROUNDDOWN($M563*BS$5/100,0)),0)</f>
        <v>0</v>
      </c>
      <c r="BT563" s="38">
        <f>IF(AND(BT$7="○",$A563&gt;=BT$8,$A563&lt;=BT$9),IF(SUM(BT$10:BT562)-ROUNDDOWN($M563*BT$5/100,0)&lt;-BT$6,-BT$6-SUM(BT$10:BT562),-ROUNDDOWN($M563*BT$5/100,0)),0)</f>
        <v>0</v>
      </c>
      <c r="BU563" s="38">
        <f>IF(AND(BU$7="○",$A563&gt;=BU$8,$A563&lt;=BU$9),IF(SUM(BU$10:BU562)-ROUNDDOWN($M563*BU$5/100,0)&lt;-BU$6,-BU$6-SUM(BU$10:BU562),-ROUNDDOWN($M563*BU$5/100,0)),0)</f>
        <v>0</v>
      </c>
      <c r="BV563" s="38">
        <f>IF(AND(BV$7="○",$A563&gt;=BV$8,$A563&lt;=BV$9),IF(SUM(BV$10:BV562)-ROUNDDOWN($M563*BV$5/100,0)&lt;-BV$6,-BV$6-SUM(BV$10:BV562),-ROUNDDOWN($M563*BV$5/100,0)),0)</f>
        <v>0</v>
      </c>
      <c r="BW563" s="38">
        <f>IF(AND(BW$7="○",$A563&gt;=BW$8,$A563&lt;=BW$9),IF(SUM(BW$10:BW562)-ROUNDDOWN($M563*BW$5/100,0)&lt;-BW$6,-BW$6-SUM(BW$10:BW562),-ROUNDDOWN($M563*BW$5/100,0)),0)</f>
        <v>0</v>
      </c>
      <c r="BX563" s="38">
        <f>IF(AND(T563="○",$A563&gt;=BX$8,$A563&lt;=BX$9),IF(SUM(BX$10:BX562)-ROUNDDOWN($K563*BX$5/100,0)&lt;-BX$6,-BX$6-SUM(BX$10:BX562),-ROUNDDOWN($K563*BX$5/100,0)),0)</f>
        <v>0</v>
      </c>
      <c r="BY563" s="38">
        <f>IF(AND(U563="○",$A563&gt;=BY$8,$A563&lt;=BY$9),IF(SUM(BY$10:BY562)-ROUNDDOWN($K563*BY$5/100,0)&lt;-BY$6,-BY$6-SUM(BY$10:BY562),-ROUNDDOWN($K563*BY$5/100,0)),0)</f>
        <v>0</v>
      </c>
      <c r="BZ563" s="38">
        <f>IF(AND(V563="○",$A563&gt;=BZ$8,$A563&lt;=BZ$9),IF(SUM(BZ$10:BZ562)-ROUNDDOWN($K563*BZ$5/100,0)&lt;-BZ$6,-BZ$6-SUM(BZ$10:BZ562),-ROUNDDOWN($K563*BZ$5/100,0)),0)</f>
        <v>0</v>
      </c>
      <c r="CA563" s="38">
        <f>IF(AND(W563="○",$A563&gt;=CA$8,$A563&lt;=CA$9),IF(SUM(CA$10:CA562)-ROUNDDOWN($K563*CA$5/100,0)&lt;-CA$6,-CA$6-SUM(CA$10:CA562),-ROUNDDOWN($K563*CA$5/100,0)),0)</f>
        <v>0</v>
      </c>
      <c r="CB563" s="38"/>
      <c r="CC563" s="38"/>
      <c r="CD563" s="38"/>
      <c r="CE563" s="38"/>
      <c r="CF563" s="38"/>
      <c r="CG563" s="65">
        <f t="shared" si="354"/>
        <v>0</v>
      </c>
      <c r="CH563" s="71">
        <f t="shared" si="355"/>
        <v>0</v>
      </c>
      <c r="CI563" s="1">
        <f t="shared" si="366"/>
        <v>0</v>
      </c>
      <c r="CJ563" s="1"/>
      <c r="CK563" s="72"/>
      <c r="CL563" s="72"/>
      <c r="CM563" s="2"/>
      <c r="CN563" s="2"/>
      <c r="CO563" s="73">
        <f t="shared" si="367"/>
        <v>0</v>
      </c>
      <c r="CP563" s="5">
        <f t="shared" si="368"/>
        <v>0</v>
      </c>
      <c r="CQ563" s="1"/>
      <c r="CR563" s="1">
        <f t="shared" si="369"/>
        <v>0</v>
      </c>
      <c r="CS563" s="1"/>
      <c r="CT563" s="1" t="e">
        <f>INDEX([2]マスタ!$A:$A,MATCH(D563,[2]マスタ!$C:$C,0))</f>
        <v>#N/A</v>
      </c>
      <c r="CU563" s="1" t="str">
        <f t="shared" ca="1" si="370"/>
        <v>20260620_0-0</v>
      </c>
    </row>
    <row r="564" spans="1:99" x14ac:dyDescent="0.4">
      <c r="A564" s="61"/>
      <c r="B564" s="62"/>
      <c r="C564" s="62"/>
      <c r="D564" s="62"/>
      <c r="E564" s="74"/>
      <c r="F564" s="62"/>
      <c r="G564" s="62">
        <v>1</v>
      </c>
      <c r="H564" s="64">
        <f t="shared" si="360"/>
        <v>0</v>
      </c>
      <c r="I564" s="64"/>
      <c r="J564" s="64"/>
      <c r="K564" s="65">
        <f t="shared" si="361"/>
        <v>0</v>
      </c>
      <c r="L564" s="65">
        <f t="shared" si="362"/>
        <v>0</v>
      </c>
      <c r="M564" s="65">
        <f t="shared" si="363"/>
        <v>0</v>
      </c>
      <c r="N564" s="65">
        <f t="shared" si="364"/>
        <v>0</v>
      </c>
      <c r="O564" s="66" t="str">
        <f t="shared" si="9"/>
        <v>✕</v>
      </c>
      <c r="P564" s="67" t="str">
        <f t="shared" si="10"/>
        <v>○</v>
      </c>
      <c r="Q564" s="67" t="str">
        <f t="shared" si="365"/>
        <v>✕</v>
      </c>
      <c r="R564" s="67" t="str">
        <f t="shared" si="12"/>
        <v>✕</v>
      </c>
      <c r="S564" s="68">
        <v>0</v>
      </c>
      <c r="T564" s="69" t="s">
        <v>85</v>
      </c>
      <c r="U564" s="69" t="s">
        <v>85</v>
      </c>
      <c r="V564" s="69" t="s">
        <v>85</v>
      </c>
      <c r="W564" s="69" t="s">
        <v>85</v>
      </c>
      <c r="X564" s="69" t="s">
        <v>84</v>
      </c>
      <c r="Y564" s="69" t="s">
        <v>85</v>
      </c>
      <c r="Z564" s="69" t="s">
        <v>85</v>
      </c>
      <c r="AA564" s="69" t="s">
        <v>85</v>
      </c>
      <c r="AB564" s="69" t="s">
        <v>85</v>
      </c>
      <c r="AC564" s="69" t="s">
        <v>85</v>
      </c>
      <c r="AD564" s="38" t="str">
        <f>+IF(ISERROR(VLOOKUP($B564,AD$10:AD563,1,0)),IF(AND($N564&gt;=1000,$A564&gt;=AO$8,$A564&lt;=AO$9),$B564,""),"")</f>
        <v/>
      </c>
      <c r="AE564" s="38" t="str">
        <f>+IF(ISERROR(VLOOKUP($B564,AE$10:AE563,1,0)),IF(AND($N564&gt;=1000,$A564&gt;=AP$8,$A564&lt;=AP$9),$B564,""),"")</f>
        <v/>
      </c>
      <c r="AF564" s="38" t="str">
        <f>+IF(ISERROR(VLOOKUP($B564,AF$10:AF563,1,0)),IF(AND($N564&gt;=1000,$A564&gt;=AQ$8,$A564&lt;=AQ$9),$B564,""),"")</f>
        <v/>
      </c>
      <c r="AG564" s="38" t="str">
        <f>+IF(ISERROR(VLOOKUP($B564,AG$10:AG563,1,0)),IF(AND($N564&gt;=1000,$A564&gt;=AR$8,$A564&lt;=AR$9),$B564,""),"")</f>
        <v/>
      </c>
      <c r="AH564" s="38"/>
      <c r="AI564" s="70">
        <v>0</v>
      </c>
      <c r="AJ564" s="38">
        <f>IF(AND(AJ$7="○",$A564&gt;=AJ$8,$A564&lt;=AJ$9),IF(SUM(AJ$10:AJ563)-ROUNDDOWN($K564*AJ$5/100,0)&lt;-AJ$6,-AJ$6-SUM(AJ$10:AJ563),-ROUNDDOWN($K564*AJ$5/100,0)),0)</f>
        <v>0</v>
      </c>
      <c r="AK564" s="38">
        <f>IF(AND(AK$7="○",$A564&gt;=AK$8,$A564&lt;=AK$9),IF(SUM(AK$10:AK563)-ROUNDDOWN($L564*AK$5/100,0)&lt;-AK$6,-AK$6-SUM(AK$10:AK563),-ROUNDDOWN($L564*AK$5/100,0)),0)</f>
        <v>0</v>
      </c>
      <c r="AL564" s="38">
        <f>IF(AND(AL$7="○",$A564&gt;=AL$8,$A564&lt;=AL$9),IF(SUM(AL$10:AL563)-ROUNDDOWN($N564*AL$5/100,0)&lt;-AL$6,-AL$6-SUM(AL$10:AL563),-ROUNDDOWN($N564*AL$5/100,0)),0)</f>
        <v>0</v>
      </c>
      <c r="AM564" s="38">
        <f>IF(AND(AM$7="○",$A564&gt;=AM$8,$A564&lt;=AM$9),IF(SUM(AM$10:AM563)-ROUNDDOWN($L564*AM$5/100,0)&lt;-AM$6,-AM$6-SUM(AM$10:AM563),-ROUNDDOWN($L564*AM$5/100,0)),0)</f>
        <v>0</v>
      </c>
      <c r="AN564" s="38">
        <f>IF(AND(AN$7="○",$A564&gt;=AN$8,$A564&lt;=AN$9),IF(SUM(AN$10:AN563)-ROUNDDOWN($M564*AN$5/100,0)&lt;-AN$6,-AN$6-SUM(AN$10:AN563),-ROUNDDOWN($M564*AN$5/100,0)),0)</f>
        <v>0</v>
      </c>
      <c r="AO564" s="38">
        <f>IF(AND($A564&gt;=AO$8,$A564&lt;=AO$9),IF(SUM(AO$10:AO563)-ROUNDDOWN($K564*AO$5/100,0)&lt;-AO$6,-AO$6-SUM(AO$10:AO563),-ROUNDDOWN($K564*AO$5/100,0)),0)</f>
        <v>0</v>
      </c>
      <c r="AP564" s="38">
        <f>IF(AND($A564&gt;=AP$8,$A564&lt;=AP$9),IF(SUM(AP$10:AP563)-ROUNDDOWN($K564*AP$5/100,0)&lt;-AP$6,-AP$6-SUM(AP$10:AP563),-ROUNDDOWN($K564*AP$5/100,0)),0)</f>
        <v>0</v>
      </c>
      <c r="AQ564" s="38">
        <f>IF(AND($A564&gt;=AQ$8,$A564&lt;=AQ$9),IF(SUM(AQ$10:AQ563)-ROUNDDOWN($K564*AQ$5/100,0)&lt;-AQ$6,-AQ$6-SUM(AQ$10:AQ563),-ROUNDDOWN($K564*AQ$5/100,0)),0)</f>
        <v>0</v>
      </c>
      <c r="AR564" s="38">
        <f>IF(AND($A564&gt;=AR$8,$A564&lt;=AR$9),IF(SUM(AR$10:AR563)-ROUNDDOWN($K564*AR$5/100,0)&lt;-AR$6,-AR$6-SUM(AR$10:AR563),-ROUNDDOWN($K564*AR$5/100,0)),0)</f>
        <v>0</v>
      </c>
      <c r="AS564" s="38">
        <f>IF(SUMIFS(AS$10:AS563,$A$10:$A563,$A564)-ROUNDDOWN($K564*$S564/100,0)&lt;-$S564*1000,-$S564*1000-SUMIFS(AS$10:AS563,$A$10:$A563,$A564),-ROUNDDOWN($K564*$S564/100,0))</f>
        <v>0</v>
      </c>
      <c r="AT564" s="38">
        <f>IF(AND(X564="○",$A564&gt;=AT$8,$A564&lt;=AT$9,K564&gt;=3980),IF(SUM(AT$10:AT563)-ROUNDDOWN($K564*AT$5/100,0)&lt;-AT$6,-AT$6-SUM(AT$10:AT563),-ROUNDDOWN($K564*AT$5/100,0)),0)</f>
        <v>0</v>
      </c>
      <c r="AU564" s="38">
        <f>IF(O564="○",IF(SUM(AU$10:AU563)-ROUNDDOWN($K564*AU$5/100,0)&lt;-AU$6,-AU$6-SUM(AU$10:AU563),-ROUNDDOWN($K564*AU$5/100,0)),0)</f>
        <v>0</v>
      </c>
      <c r="AV564" s="38">
        <f>IF(P564="○",IF(SUM(AV$10:AV563)-ROUNDDOWN($K564*AV$5/100,0)&lt;-AV$6,-AV$6-SUM(AV$10:AV563),-ROUNDDOWN($K564*AV$5/100,0)),0)</f>
        <v>0</v>
      </c>
      <c r="AW564" s="38">
        <f>IF(Q564="○",IF(SUM(AW$10:AW563)-ROUNDDOWN($K564*AW$5/100,0)&lt;-AW$6,-AW$6-SUM(AW$10:AW563),-ROUNDDOWN($K564*AW$5/100,0)),0)</f>
        <v>0</v>
      </c>
      <c r="AX564" s="38">
        <f>IF(R564="○",IF(SUM(AX$10:AX563)-ROUNDDOWN($K564*AX$5/100,0)&lt;-AX$6,-AX$6-SUM(AX$10:AX563),-ROUNDDOWN($K564*AX$5/100,0)),0)</f>
        <v>0</v>
      </c>
      <c r="AY564" s="70">
        <v>0</v>
      </c>
      <c r="AZ564" s="65">
        <f t="shared" si="348"/>
        <v>0</v>
      </c>
      <c r="BA564" s="65">
        <f t="shared" si="349"/>
        <v>0</v>
      </c>
      <c r="BB564" s="70"/>
      <c r="BC564" s="65">
        <f t="shared" si="350"/>
        <v>0</v>
      </c>
      <c r="BD564" s="70">
        <v>0</v>
      </c>
      <c r="BE564" s="65">
        <f t="shared" si="351"/>
        <v>0</v>
      </c>
      <c r="BF564" s="70">
        <v>0</v>
      </c>
      <c r="BG564" s="65">
        <f t="shared" si="352"/>
        <v>0</v>
      </c>
      <c r="BH564" s="70">
        <v>0</v>
      </c>
      <c r="BI564" s="65">
        <f t="shared" si="353"/>
        <v>0</v>
      </c>
      <c r="BJ564" s="38">
        <f>IF(AND(BJ$7="○",$A564&gt;=BJ$8,$A564&lt;=BJ$9),IF(SUM(BJ$10:BJ563)-ROUNDDOWN($M564*BJ$5/100,0)&lt;-BJ$6,-BJ$6-SUM(BJ$10:BJ563),-ROUNDDOWN($M564*BJ$5/100,0)),0)</f>
        <v>0</v>
      </c>
      <c r="BK564" s="38">
        <f>IF(AND(BK$7="○",$A564&gt;=BK$8,$A564&lt;=BK$9),IF(SUM(BK$10:BK563)-ROUNDDOWN($L564*BK$5/100,0)&lt;-BK$6,-BK$6-SUM(BK$10:BK563),-ROUNDDOWN($L564*BK$5/100,0)),0)</f>
        <v>0</v>
      </c>
      <c r="BL564" s="38">
        <f>IF(AND(BL$7="○",$A564&gt;=BL$8,$A564&lt;=BL$9),IF(SUM(BL$10:BL563)-ROUNDDOWN($L564*BL$5/100,0)&lt;-BL$6,-BL$6-SUM(BL$10:BL563),-ROUNDDOWN($L564*BL$5/100,0)),0)</f>
        <v>0</v>
      </c>
      <c r="BM564" s="38">
        <f>IF(AND(BM$7="○",$A564&gt;=BM$8,$A564&lt;=BM$9),IF(SUM(BM$10:BM563)-ROUNDDOWN($M564*BM$5/100,0)&lt;-BM$6,-BM$6-SUM(BM$10:BM563),-ROUNDDOWN($M564*BM$5/100,0)),0)</f>
        <v>0</v>
      </c>
      <c r="BN564" s="38">
        <f>IF(AND(BN$7="○",$A564&gt;=BN$8,$A564&lt;=BN$9),IF(SUM(BN$10:BN563)-ROUNDDOWN($M564*BN$5/100,0)&lt;-BN$6,-BN$6-SUM(BN$10:BN563),-ROUNDDOWN($M564*BN$5/100,0)),0)</f>
        <v>0</v>
      </c>
      <c r="BO564" s="38">
        <f>IF(AND(BO$7="○",$A564&gt;=BO$8,$A564&lt;=BO$9),IF(SUM(BO$10:BO563)-ROUNDDOWN($M564*BO$5/100,0)&lt;-BO$6,-BO$6-SUM(BO$10:BO563),-ROUNDDOWN($M564*BO$5/100,0)),0)</f>
        <v>0</v>
      </c>
      <c r="BP564" s="38">
        <f>IF(AND(BP$7="○",$A564&gt;=BP$8,$A564&lt;=BP$9),IF(SUM(BP$10:BP563)-ROUNDDOWN($M564*BP$5/100,0)&lt;-BP$6,-BP$6-SUM(BP$10:BP563),-ROUNDDOWN($M564*BP$5/100,0)),0)</f>
        <v>0</v>
      </c>
      <c r="BQ564" s="38">
        <f>IF(AND(BQ$7="○",$A564&gt;=BQ$8,$A564&lt;=BQ$9),IF(SUM(BQ$10:BQ563)-ROUNDDOWN($L564*BQ$5/100,0)&lt;-BQ$6,-BQ$6-SUM(BQ$10:BQ563),-ROUNDDOWN($L564*BQ$5/100,0)),0)</f>
        <v>0</v>
      </c>
      <c r="BR564" s="38">
        <f>IF(AND(BR$7="○",$A564&gt;=BR$8,$A564&lt;=BR$9),IF(SUM(BR$10:BR563)-ROUNDDOWN($M564*BR$5/100,0)&lt;-BR$6,-BR$6-SUM(BR$10:BR563),-ROUNDDOWN($M564*BR$5/100,0)),0)</f>
        <v>0</v>
      </c>
      <c r="BS564" s="38">
        <f>IF(AND(BS$7="○",$A564&gt;=BS$8,$A564&lt;=BS$9),IF(SUM(BS$10:BS563)-ROUNDDOWN($M564*BS$5/100,0)&lt;-BS$6,-BS$6-SUM(BS$10:BS563),-ROUNDDOWN($M564*BS$5/100,0)),0)</f>
        <v>0</v>
      </c>
      <c r="BT564" s="38">
        <f>IF(AND(BT$7="○",$A564&gt;=BT$8,$A564&lt;=BT$9),IF(SUM(BT$10:BT563)-ROUNDDOWN($M564*BT$5/100,0)&lt;-BT$6,-BT$6-SUM(BT$10:BT563),-ROUNDDOWN($M564*BT$5/100,0)),0)</f>
        <v>0</v>
      </c>
      <c r="BU564" s="38">
        <f>IF(AND(BU$7="○",$A564&gt;=BU$8,$A564&lt;=BU$9),IF(SUM(BU$10:BU563)-ROUNDDOWN($M564*BU$5/100,0)&lt;-BU$6,-BU$6-SUM(BU$10:BU563),-ROUNDDOWN($M564*BU$5/100,0)),0)</f>
        <v>0</v>
      </c>
      <c r="BV564" s="38">
        <f>IF(AND(BV$7="○",$A564&gt;=BV$8,$A564&lt;=BV$9),IF(SUM(BV$10:BV563)-ROUNDDOWN($M564*BV$5/100,0)&lt;-BV$6,-BV$6-SUM(BV$10:BV563),-ROUNDDOWN($M564*BV$5/100,0)),0)</f>
        <v>0</v>
      </c>
      <c r="BW564" s="38">
        <f>IF(AND(BW$7="○",$A564&gt;=BW$8,$A564&lt;=BW$9),IF(SUM(BW$10:BW563)-ROUNDDOWN($M564*BW$5/100,0)&lt;-BW$6,-BW$6-SUM(BW$10:BW563),-ROUNDDOWN($M564*BW$5/100,0)),0)</f>
        <v>0</v>
      </c>
      <c r="BX564" s="38">
        <f>IF(AND(T564="○",$A564&gt;=BX$8,$A564&lt;=BX$9),IF(SUM(BX$10:BX563)-ROUNDDOWN($K564*BX$5/100,0)&lt;-BX$6,-BX$6-SUM(BX$10:BX563),-ROUNDDOWN($K564*BX$5/100,0)),0)</f>
        <v>0</v>
      </c>
      <c r="BY564" s="38">
        <f>IF(AND(U564="○",$A564&gt;=BY$8,$A564&lt;=BY$9),IF(SUM(BY$10:BY563)-ROUNDDOWN($K564*BY$5/100,0)&lt;-BY$6,-BY$6-SUM(BY$10:BY563),-ROUNDDOWN($K564*BY$5/100,0)),0)</f>
        <v>0</v>
      </c>
      <c r="BZ564" s="38">
        <f>IF(AND(V564="○",$A564&gt;=BZ$8,$A564&lt;=BZ$9),IF(SUM(BZ$10:BZ563)-ROUNDDOWN($K564*BZ$5/100,0)&lt;-BZ$6,-BZ$6-SUM(BZ$10:BZ563),-ROUNDDOWN($K564*BZ$5/100,0)),0)</f>
        <v>0</v>
      </c>
      <c r="CA564" s="38">
        <f>IF(AND(W564="○",$A564&gt;=CA$8,$A564&lt;=CA$9),IF(SUM(CA$10:CA563)-ROUNDDOWN($K564*CA$5/100,0)&lt;-CA$6,-CA$6-SUM(CA$10:CA563),-ROUNDDOWN($K564*CA$5/100,0)),0)</f>
        <v>0</v>
      </c>
      <c r="CB564" s="38"/>
      <c r="CC564" s="38"/>
      <c r="CD564" s="38"/>
      <c r="CE564" s="38"/>
      <c r="CF564" s="38"/>
      <c r="CG564" s="65">
        <f t="shared" si="354"/>
        <v>0</v>
      </c>
      <c r="CH564" s="71">
        <f t="shared" si="355"/>
        <v>0</v>
      </c>
      <c r="CI564" s="1">
        <f t="shared" si="366"/>
        <v>0</v>
      </c>
      <c r="CJ564" s="1"/>
      <c r="CK564" s="72"/>
      <c r="CL564" s="72"/>
      <c r="CM564" s="2"/>
      <c r="CN564" s="2"/>
      <c r="CO564" s="73">
        <f t="shared" si="367"/>
        <v>0</v>
      </c>
      <c r="CP564" s="5">
        <f t="shared" si="368"/>
        <v>0</v>
      </c>
      <c r="CQ564" s="1"/>
      <c r="CR564" s="1">
        <f t="shared" si="369"/>
        <v>0</v>
      </c>
      <c r="CS564" s="1"/>
      <c r="CT564" s="1" t="e">
        <f>INDEX([2]マスタ!$A:$A,MATCH(D564,[2]マスタ!$C:$C,0))</f>
        <v>#N/A</v>
      </c>
      <c r="CU564" s="1" t="str">
        <f t="shared" ca="1" si="370"/>
        <v>20260620_0-0</v>
      </c>
    </row>
    <row r="565" spans="1:99" x14ac:dyDescent="0.4">
      <c r="A565" s="61"/>
      <c r="B565" s="62"/>
      <c r="C565" s="62"/>
      <c r="D565" s="62"/>
      <c r="E565" s="74"/>
      <c r="F565" s="62"/>
      <c r="G565" s="62">
        <v>1</v>
      </c>
      <c r="H565" s="64">
        <f t="shared" si="360"/>
        <v>0</v>
      </c>
      <c r="I565" s="64"/>
      <c r="J565" s="64"/>
      <c r="K565" s="65">
        <f t="shared" si="361"/>
        <v>0</v>
      </c>
      <c r="L565" s="65">
        <f t="shared" si="362"/>
        <v>0</v>
      </c>
      <c r="M565" s="65">
        <f t="shared" si="363"/>
        <v>0</v>
      </c>
      <c r="N565" s="65">
        <f t="shared" si="364"/>
        <v>0</v>
      </c>
      <c r="O565" s="66" t="str">
        <f t="shared" si="9"/>
        <v>✕</v>
      </c>
      <c r="P565" s="67" t="str">
        <f t="shared" si="10"/>
        <v>○</v>
      </c>
      <c r="Q565" s="67" t="str">
        <f t="shared" si="365"/>
        <v>✕</v>
      </c>
      <c r="R565" s="67" t="str">
        <f t="shared" si="12"/>
        <v>✕</v>
      </c>
      <c r="S565" s="68">
        <v>0</v>
      </c>
      <c r="T565" s="69" t="s">
        <v>85</v>
      </c>
      <c r="U565" s="69" t="s">
        <v>85</v>
      </c>
      <c r="V565" s="69" t="s">
        <v>85</v>
      </c>
      <c r="W565" s="69" t="s">
        <v>85</v>
      </c>
      <c r="X565" s="69" t="s">
        <v>84</v>
      </c>
      <c r="Y565" s="69" t="s">
        <v>85</v>
      </c>
      <c r="Z565" s="69" t="s">
        <v>85</v>
      </c>
      <c r="AA565" s="69" t="s">
        <v>85</v>
      </c>
      <c r="AB565" s="69" t="s">
        <v>85</v>
      </c>
      <c r="AC565" s="69" t="s">
        <v>85</v>
      </c>
      <c r="AD565" s="38" t="str">
        <f>+IF(ISERROR(VLOOKUP($B565,AD$10:AD564,1,0)),IF(AND($N565&gt;=1000,$A565&gt;=AO$8,$A565&lt;=AO$9),$B565,""),"")</f>
        <v/>
      </c>
      <c r="AE565" s="38" t="str">
        <f>+IF(ISERROR(VLOOKUP($B565,AE$10:AE564,1,0)),IF(AND($N565&gt;=1000,$A565&gt;=AP$8,$A565&lt;=AP$9),$B565,""),"")</f>
        <v/>
      </c>
      <c r="AF565" s="38" t="str">
        <f>+IF(ISERROR(VLOOKUP($B565,AF$10:AF564,1,0)),IF(AND($N565&gt;=1000,$A565&gt;=AQ$8,$A565&lt;=AQ$9),$B565,""),"")</f>
        <v/>
      </c>
      <c r="AG565" s="38" t="str">
        <f>+IF(ISERROR(VLOOKUP($B565,AG$10:AG564,1,0)),IF(AND($N565&gt;=1000,$A565&gt;=AR$8,$A565&lt;=AR$9),$B565,""),"")</f>
        <v/>
      </c>
      <c r="AH565" s="38"/>
      <c r="AI565" s="70">
        <v>0</v>
      </c>
      <c r="AJ565" s="38">
        <f>IF(AND(AJ$7="○",$A565&gt;=AJ$8,$A565&lt;=AJ$9),IF(SUM(AJ$10:AJ564)-ROUNDDOWN($K565*AJ$5/100,0)&lt;-AJ$6,-AJ$6-SUM(AJ$10:AJ564),-ROUNDDOWN($K565*AJ$5/100,0)),0)</f>
        <v>0</v>
      </c>
      <c r="AK565" s="38">
        <f>IF(AND(AK$7="○",$A565&gt;=AK$8,$A565&lt;=AK$9),IF(SUM(AK$10:AK564)-ROUNDDOWN($L565*AK$5/100,0)&lt;-AK$6,-AK$6-SUM(AK$10:AK564),-ROUNDDOWN($L565*AK$5/100,0)),0)</f>
        <v>0</v>
      </c>
      <c r="AL565" s="38">
        <f>IF(AND(AL$7="○",$A565&gt;=AL$8,$A565&lt;=AL$9),IF(SUM(AL$10:AL564)-ROUNDDOWN($N565*AL$5/100,0)&lt;-AL$6,-AL$6-SUM(AL$10:AL564),-ROUNDDOWN($N565*AL$5/100,0)),0)</f>
        <v>0</v>
      </c>
      <c r="AM565" s="38">
        <f>IF(AND(AM$7="○",$A565&gt;=AM$8,$A565&lt;=AM$9),IF(SUM(AM$10:AM564)-ROUNDDOWN($L565*AM$5/100,0)&lt;-AM$6,-AM$6-SUM(AM$10:AM564),-ROUNDDOWN($L565*AM$5/100,0)),0)</f>
        <v>0</v>
      </c>
      <c r="AN565" s="38">
        <f>IF(AND(AN$7="○",$A565&gt;=AN$8,$A565&lt;=AN$9),IF(SUM(AN$10:AN564)-ROUNDDOWN($M565*AN$5/100,0)&lt;-AN$6,-AN$6-SUM(AN$10:AN564),-ROUNDDOWN($M565*AN$5/100,0)),0)</f>
        <v>0</v>
      </c>
      <c r="AO565" s="38">
        <f>IF(AND($A565&gt;=AO$8,$A565&lt;=AO$9),IF(SUM(AO$10:AO564)-ROUNDDOWN($K565*AO$5/100,0)&lt;-AO$6,-AO$6-SUM(AO$10:AO564),-ROUNDDOWN($K565*AO$5/100,0)),0)</f>
        <v>0</v>
      </c>
      <c r="AP565" s="38">
        <f>IF(AND($A565&gt;=AP$8,$A565&lt;=AP$9),IF(SUM(AP$10:AP564)-ROUNDDOWN($K565*AP$5/100,0)&lt;-AP$6,-AP$6-SUM(AP$10:AP564),-ROUNDDOWN($K565*AP$5/100,0)),0)</f>
        <v>0</v>
      </c>
      <c r="AQ565" s="38">
        <f>IF(AND($A565&gt;=AQ$8,$A565&lt;=AQ$9),IF(SUM(AQ$10:AQ564)-ROUNDDOWN($K565*AQ$5/100,0)&lt;-AQ$6,-AQ$6-SUM(AQ$10:AQ564),-ROUNDDOWN($K565*AQ$5/100,0)),0)</f>
        <v>0</v>
      </c>
      <c r="AR565" s="38">
        <f>IF(AND($A565&gt;=AR$8,$A565&lt;=AR$9),IF(SUM(AR$10:AR564)-ROUNDDOWN($K565*AR$5/100,0)&lt;-AR$6,-AR$6-SUM(AR$10:AR564),-ROUNDDOWN($K565*AR$5/100,0)),0)</f>
        <v>0</v>
      </c>
      <c r="AS565" s="38">
        <f>IF(SUMIFS(AS$10:AS564,$A$10:$A564,$A565)-ROUNDDOWN($K565*$S565/100,0)&lt;-$S565*1000,-$S565*1000-SUMIFS(AS$10:AS564,$A$10:$A564,$A565),-ROUNDDOWN($K565*$S565/100,0))</f>
        <v>0</v>
      </c>
      <c r="AT565" s="38">
        <f>IF(AND(X565="○",$A565&gt;=AT$8,$A565&lt;=AT$9,K565&gt;=3980),IF(SUM(AT$10:AT564)-ROUNDDOWN($K565*AT$5/100,0)&lt;-AT$6,-AT$6-SUM(AT$10:AT564),-ROUNDDOWN($K565*AT$5/100,0)),0)</f>
        <v>0</v>
      </c>
      <c r="AU565" s="38">
        <f>IF(O565="○",IF(SUM(AU$10:AU564)-ROUNDDOWN($K565*AU$5/100,0)&lt;-AU$6,-AU$6-SUM(AU$10:AU564),-ROUNDDOWN($K565*AU$5/100,0)),0)</f>
        <v>0</v>
      </c>
      <c r="AV565" s="38">
        <f>IF(P565="○",IF(SUM(AV$10:AV564)-ROUNDDOWN($K565*AV$5/100,0)&lt;-AV$6,-AV$6-SUM(AV$10:AV564),-ROUNDDOWN($K565*AV$5/100,0)),0)</f>
        <v>0</v>
      </c>
      <c r="AW565" s="38">
        <f>IF(Q565="○",IF(SUM(AW$10:AW564)-ROUNDDOWN($K565*AW$5/100,0)&lt;-AW$6,-AW$6-SUM(AW$10:AW564),-ROUNDDOWN($K565*AW$5/100,0)),0)</f>
        <v>0</v>
      </c>
      <c r="AX565" s="38">
        <f>IF(R565="○",IF(SUM(AX$10:AX564)-ROUNDDOWN($K565*AX$5/100,0)&lt;-AX$6,-AX$6-SUM(AX$10:AX564),-ROUNDDOWN($K565*AX$5/100,0)),0)</f>
        <v>0</v>
      </c>
      <c r="AY565" s="70">
        <v>0</v>
      </c>
      <c r="AZ565" s="65">
        <f t="shared" si="348"/>
        <v>0</v>
      </c>
      <c r="BA565" s="65">
        <f t="shared" si="349"/>
        <v>0</v>
      </c>
      <c r="BB565" s="70"/>
      <c r="BC565" s="65">
        <f t="shared" si="350"/>
        <v>0</v>
      </c>
      <c r="BD565" s="70">
        <v>0</v>
      </c>
      <c r="BE565" s="65">
        <f t="shared" si="351"/>
        <v>0</v>
      </c>
      <c r="BF565" s="70">
        <v>0</v>
      </c>
      <c r="BG565" s="65">
        <f t="shared" si="352"/>
        <v>0</v>
      </c>
      <c r="BH565" s="70">
        <v>0</v>
      </c>
      <c r="BI565" s="65">
        <f t="shared" si="353"/>
        <v>0</v>
      </c>
      <c r="BJ565" s="38">
        <f>IF(AND(BJ$7="○",$A565&gt;=BJ$8,$A565&lt;=BJ$9),IF(SUM(BJ$10:BJ564)-ROUNDDOWN($M565*BJ$5/100,0)&lt;-BJ$6,-BJ$6-SUM(BJ$10:BJ564),-ROUNDDOWN($M565*BJ$5/100,0)),0)</f>
        <v>0</v>
      </c>
      <c r="BK565" s="38">
        <f>IF(AND(BK$7="○",$A565&gt;=BK$8,$A565&lt;=BK$9),IF(SUM(BK$10:BK564)-ROUNDDOWN($L565*BK$5/100,0)&lt;-BK$6,-BK$6-SUM(BK$10:BK564),-ROUNDDOWN($L565*BK$5/100,0)),0)</f>
        <v>0</v>
      </c>
      <c r="BL565" s="38">
        <f>IF(AND(BL$7="○",$A565&gt;=BL$8,$A565&lt;=BL$9),IF(SUM(BL$10:BL564)-ROUNDDOWN($L565*BL$5/100,0)&lt;-BL$6,-BL$6-SUM(BL$10:BL564),-ROUNDDOWN($L565*BL$5/100,0)),0)</f>
        <v>0</v>
      </c>
      <c r="BM565" s="38">
        <f>IF(AND(BM$7="○",$A565&gt;=BM$8,$A565&lt;=BM$9),IF(SUM(BM$10:BM564)-ROUNDDOWN($M565*BM$5/100,0)&lt;-BM$6,-BM$6-SUM(BM$10:BM564),-ROUNDDOWN($M565*BM$5/100,0)),0)</f>
        <v>0</v>
      </c>
      <c r="BN565" s="38">
        <f>IF(AND(BN$7="○",$A565&gt;=BN$8,$A565&lt;=BN$9),IF(SUM(BN$10:BN564)-ROUNDDOWN($M565*BN$5/100,0)&lt;-BN$6,-BN$6-SUM(BN$10:BN564),-ROUNDDOWN($M565*BN$5/100,0)),0)</f>
        <v>0</v>
      </c>
      <c r="BO565" s="38">
        <f>IF(AND(BO$7="○",$A565&gt;=BO$8,$A565&lt;=BO$9),IF(SUM(BO$10:BO564)-ROUNDDOWN($M565*BO$5/100,0)&lt;-BO$6,-BO$6-SUM(BO$10:BO564),-ROUNDDOWN($M565*BO$5/100,0)),0)</f>
        <v>0</v>
      </c>
      <c r="BP565" s="38">
        <f>IF(AND(BP$7="○",$A565&gt;=BP$8,$A565&lt;=BP$9),IF(SUM(BP$10:BP564)-ROUNDDOWN($M565*BP$5/100,0)&lt;-BP$6,-BP$6-SUM(BP$10:BP564),-ROUNDDOWN($M565*BP$5/100,0)),0)</f>
        <v>0</v>
      </c>
      <c r="BQ565" s="38">
        <f>IF(AND(BQ$7="○",$A565&gt;=BQ$8,$A565&lt;=BQ$9),IF(SUM(BQ$10:BQ564)-ROUNDDOWN($L565*BQ$5/100,0)&lt;-BQ$6,-BQ$6-SUM(BQ$10:BQ564),-ROUNDDOWN($L565*BQ$5/100,0)),0)</f>
        <v>0</v>
      </c>
      <c r="BR565" s="38">
        <f>IF(AND(BR$7="○",$A565&gt;=BR$8,$A565&lt;=BR$9),IF(SUM(BR$10:BR564)-ROUNDDOWN($M565*BR$5/100,0)&lt;-BR$6,-BR$6-SUM(BR$10:BR564),-ROUNDDOWN($M565*BR$5/100,0)),0)</f>
        <v>0</v>
      </c>
      <c r="BS565" s="38">
        <f>IF(AND(BS$7="○",$A565&gt;=BS$8,$A565&lt;=BS$9),IF(SUM(BS$10:BS564)-ROUNDDOWN($M565*BS$5/100,0)&lt;-BS$6,-BS$6-SUM(BS$10:BS564),-ROUNDDOWN($M565*BS$5/100,0)),0)</f>
        <v>0</v>
      </c>
      <c r="BT565" s="38">
        <f>IF(AND(BT$7="○",$A565&gt;=BT$8,$A565&lt;=BT$9),IF(SUM(BT$10:BT564)-ROUNDDOWN($M565*BT$5/100,0)&lt;-BT$6,-BT$6-SUM(BT$10:BT564),-ROUNDDOWN($M565*BT$5/100,0)),0)</f>
        <v>0</v>
      </c>
      <c r="BU565" s="38">
        <f>IF(AND(BU$7="○",$A565&gt;=BU$8,$A565&lt;=BU$9),IF(SUM(BU$10:BU564)-ROUNDDOWN($M565*BU$5/100,0)&lt;-BU$6,-BU$6-SUM(BU$10:BU564),-ROUNDDOWN($M565*BU$5/100,0)),0)</f>
        <v>0</v>
      </c>
      <c r="BV565" s="38">
        <f>IF(AND(BV$7="○",$A565&gt;=BV$8,$A565&lt;=BV$9),IF(SUM(BV$10:BV564)-ROUNDDOWN($M565*BV$5/100,0)&lt;-BV$6,-BV$6-SUM(BV$10:BV564),-ROUNDDOWN($M565*BV$5/100,0)),0)</f>
        <v>0</v>
      </c>
      <c r="BW565" s="38">
        <f>IF(AND(BW$7="○",$A565&gt;=BW$8,$A565&lt;=BW$9),IF(SUM(BW$10:BW564)-ROUNDDOWN($M565*BW$5/100,0)&lt;-BW$6,-BW$6-SUM(BW$10:BW564),-ROUNDDOWN($M565*BW$5/100,0)),0)</f>
        <v>0</v>
      </c>
      <c r="BX565" s="38">
        <f>IF(AND(T565="○",$A565&gt;=BX$8,$A565&lt;=BX$9),IF(SUM(BX$10:BX564)-ROUNDDOWN($K565*BX$5/100,0)&lt;-BX$6,-BX$6-SUM(BX$10:BX564),-ROUNDDOWN($K565*BX$5/100,0)),0)</f>
        <v>0</v>
      </c>
      <c r="BY565" s="38">
        <f>IF(AND(U565="○",$A565&gt;=BY$8,$A565&lt;=BY$9),IF(SUM(BY$10:BY564)-ROUNDDOWN($K565*BY$5/100,0)&lt;-BY$6,-BY$6-SUM(BY$10:BY564),-ROUNDDOWN($K565*BY$5/100,0)),0)</f>
        <v>0</v>
      </c>
      <c r="BZ565" s="38">
        <f>IF(AND(V565="○",$A565&gt;=BZ$8,$A565&lt;=BZ$9),IF(SUM(BZ$10:BZ564)-ROUNDDOWN($K565*BZ$5/100,0)&lt;-BZ$6,-BZ$6-SUM(BZ$10:BZ564),-ROUNDDOWN($K565*BZ$5/100,0)),0)</f>
        <v>0</v>
      </c>
      <c r="CA565" s="38">
        <f>IF(AND(W565="○",$A565&gt;=CA$8,$A565&lt;=CA$9),IF(SUM(CA$10:CA564)-ROUNDDOWN($K565*CA$5/100,0)&lt;-CA$6,-CA$6-SUM(CA$10:CA564),-ROUNDDOWN($K565*CA$5/100,0)),0)</f>
        <v>0</v>
      </c>
      <c r="CB565" s="38"/>
      <c r="CC565" s="38"/>
      <c r="CD565" s="38"/>
      <c r="CE565" s="38"/>
      <c r="CF565" s="38"/>
      <c r="CG565" s="65">
        <f t="shared" si="354"/>
        <v>0</v>
      </c>
      <c r="CH565" s="71">
        <f t="shared" si="355"/>
        <v>0</v>
      </c>
      <c r="CI565" s="1">
        <f t="shared" si="366"/>
        <v>0</v>
      </c>
      <c r="CJ565" s="1"/>
      <c r="CK565" s="72"/>
      <c r="CL565" s="72"/>
      <c r="CM565" s="2"/>
      <c r="CN565" s="2"/>
      <c r="CO565" s="73">
        <f t="shared" si="367"/>
        <v>0</v>
      </c>
      <c r="CP565" s="5">
        <f t="shared" si="368"/>
        <v>0</v>
      </c>
      <c r="CQ565" s="1"/>
      <c r="CR565" s="1">
        <f t="shared" si="369"/>
        <v>0</v>
      </c>
      <c r="CS565" s="1"/>
      <c r="CT565" s="1" t="e">
        <f>INDEX([2]マスタ!$A:$A,MATCH(D565,[2]マスタ!$C:$C,0))</f>
        <v>#N/A</v>
      </c>
      <c r="CU565" s="1" t="str">
        <f t="shared" ca="1" si="370"/>
        <v>20260620_0-0</v>
      </c>
    </row>
    <row r="566" spans="1:99" x14ac:dyDescent="0.4">
      <c r="A566" s="61"/>
      <c r="B566" s="62"/>
      <c r="C566" s="62"/>
      <c r="D566" s="62"/>
      <c r="E566" s="74"/>
      <c r="F566" s="62"/>
      <c r="G566" s="62">
        <v>1</v>
      </c>
      <c r="H566" s="64">
        <f t="shared" si="360"/>
        <v>0</v>
      </c>
      <c r="I566" s="64"/>
      <c r="J566" s="64"/>
      <c r="K566" s="65">
        <f t="shared" si="361"/>
        <v>0</v>
      </c>
      <c r="L566" s="65">
        <f t="shared" si="362"/>
        <v>0</v>
      </c>
      <c r="M566" s="65">
        <f t="shared" si="363"/>
        <v>0</v>
      </c>
      <c r="N566" s="65">
        <f t="shared" si="364"/>
        <v>0</v>
      </c>
      <c r="O566" s="66" t="str">
        <f t="shared" si="9"/>
        <v>✕</v>
      </c>
      <c r="P566" s="67" t="str">
        <f t="shared" si="10"/>
        <v>○</v>
      </c>
      <c r="Q566" s="67" t="str">
        <f t="shared" si="365"/>
        <v>✕</v>
      </c>
      <c r="R566" s="67" t="str">
        <f t="shared" si="12"/>
        <v>✕</v>
      </c>
      <c r="S566" s="68">
        <v>0</v>
      </c>
      <c r="T566" s="69" t="s">
        <v>85</v>
      </c>
      <c r="U566" s="69" t="s">
        <v>85</v>
      </c>
      <c r="V566" s="69" t="s">
        <v>85</v>
      </c>
      <c r="W566" s="69" t="s">
        <v>85</v>
      </c>
      <c r="X566" s="69" t="s">
        <v>84</v>
      </c>
      <c r="Y566" s="69" t="s">
        <v>85</v>
      </c>
      <c r="Z566" s="69" t="s">
        <v>85</v>
      </c>
      <c r="AA566" s="69" t="s">
        <v>85</v>
      </c>
      <c r="AB566" s="69" t="s">
        <v>85</v>
      </c>
      <c r="AC566" s="69" t="s">
        <v>85</v>
      </c>
      <c r="AD566" s="38" t="str">
        <f>+IF(ISERROR(VLOOKUP($B566,AD$10:AD565,1,0)),IF(AND($N566&gt;=1000,$A566&gt;=AO$8,$A566&lt;=AO$9),$B566,""),"")</f>
        <v/>
      </c>
      <c r="AE566" s="38" t="str">
        <f>+IF(ISERROR(VLOOKUP($B566,AE$10:AE565,1,0)),IF(AND($N566&gt;=1000,$A566&gt;=AP$8,$A566&lt;=AP$9),$B566,""),"")</f>
        <v/>
      </c>
      <c r="AF566" s="38" t="str">
        <f>+IF(ISERROR(VLOOKUP($B566,AF$10:AF565,1,0)),IF(AND($N566&gt;=1000,$A566&gt;=AQ$8,$A566&lt;=AQ$9),$B566,""),"")</f>
        <v/>
      </c>
      <c r="AG566" s="38" t="str">
        <f>+IF(ISERROR(VLOOKUP($B566,AG$10:AG565,1,0)),IF(AND($N566&gt;=1000,$A566&gt;=AR$8,$A566&lt;=AR$9),$B566,""),"")</f>
        <v/>
      </c>
      <c r="AH566" s="38"/>
      <c r="AI566" s="70">
        <v>0</v>
      </c>
      <c r="AJ566" s="38">
        <f>IF(AND(AJ$7="○",$A566&gt;=AJ$8,$A566&lt;=AJ$9),IF(SUM(AJ$10:AJ565)-ROUNDDOWN($K566*AJ$5/100,0)&lt;-AJ$6,-AJ$6-SUM(AJ$10:AJ565),-ROUNDDOWN($K566*AJ$5/100,0)),0)</f>
        <v>0</v>
      </c>
      <c r="AK566" s="38">
        <f>IF(AND(AK$7="○",$A566&gt;=AK$8,$A566&lt;=AK$9),IF(SUM(AK$10:AK565)-ROUNDDOWN($L566*AK$5/100,0)&lt;-AK$6,-AK$6-SUM(AK$10:AK565),-ROUNDDOWN($L566*AK$5/100,0)),0)</f>
        <v>0</v>
      </c>
      <c r="AL566" s="38">
        <f>IF(AND(AL$7="○",$A566&gt;=AL$8,$A566&lt;=AL$9),IF(SUM(AL$10:AL565)-ROUNDDOWN($N566*AL$5/100,0)&lt;-AL$6,-AL$6-SUM(AL$10:AL565),-ROUNDDOWN($N566*AL$5/100,0)),0)</f>
        <v>0</v>
      </c>
      <c r="AM566" s="38">
        <f>IF(AND(AM$7="○",$A566&gt;=AM$8,$A566&lt;=AM$9),IF(SUM(AM$10:AM565)-ROUNDDOWN($L566*AM$5/100,0)&lt;-AM$6,-AM$6-SUM(AM$10:AM565),-ROUNDDOWN($L566*AM$5/100,0)),0)</f>
        <v>0</v>
      </c>
      <c r="AN566" s="38">
        <f>IF(AND(AN$7="○",$A566&gt;=AN$8,$A566&lt;=AN$9),IF(SUM(AN$10:AN565)-ROUNDDOWN($M566*AN$5/100,0)&lt;-AN$6,-AN$6-SUM(AN$10:AN565),-ROUNDDOWN($M566*AN$5/100,0)),0)</f>
        <v>0</v>
      </c>
      <c r="AO566" s="38">
        <f>IF(AND($A566&gt;=AO$8,$A566&lt;=AO$9),IF(SUM(AO$10:AO565)-ROUNDDOWN($K566*AO$5/100,0)&lt;-AO$6,-AO$6-SUM(AO$10:AO565),-ROUNDDOWN($K566*AO$5/100,0)),0)</f>
        <v>0</v>
      </c>
      <c r="AP566" s="38">
        <f>IF(AND($A566&gt;=AP$8,$A566&lt;=AP$9),IF(SUM(AP$10:AP565)-ROUNDDOWN($K566*AP$5/100,0)&lt;-AP$6,-AP$6-SUM(AP$10:AP565),-ROUNDDOWN($K566*AP$5/100,0)),0)</f>
        <v>0</v>
      </c>
      <c r="AQ566" s="38">
        <f>IF(AND($A566&gt;=AQ$8,$A566&lt;=AQ$9),IF(SUM(AQ$10:AQ565)-ROUNDDOWN($K566*AQ$5/100,0)&lt;-AQ$6,-AQ$6-SUM(AQ$10:AQ565),-ROUNDDOWN($K566*AQ$5/100,0)),0)</f>
        <v>0</v>
      </c>
      <c r="AR566" s="38">
        <f>IF(AND($A566&gt;=AR$8,$A566&lt;=AR$9),IF(SUM(AR$10:AR565)-ROUNDDOWN($K566*AR$5/100,0)&lt;-AR$6,-AR$6-SUM(AR$10:AR565),-ROUNDDOWN($K566*AR$5/100,0)),0)</f>
        <v>0</v>
      </c>
      <c r="AS566" s="38">
        <f>IF(SUMIFS(AS$10:AS565,$A$10:$A565,$A566)-ROUNDDOWN($K566*$S566/100,0)&lt;-$S566*1000,-$S566*1000-SUMIFS(AS$10:AS565,$A$10:$A565,$A566),-ROUNDDOWN($K566*$S566/100,0))</f>
        <v>0</v>
      </c>
      <c r="AT566" s="38">
        <f>IF(AND(X566="○",$A566&gt;=AT$8,$A566&lt;=AT$9,K566&gt;=3980),IF(SUM(AT$10:AT565)-ROUNDDOWN($K566*AT$5/100,0)&lt;-AT$6,-AT$6-SUM(AT$10:AT565),-ROUNDDOWN($K566*AT$5/100,0)),0)</f>
        <v>0</v>
      </c>
      <c r="AU566" s="38">
        <f>IF(O566="○",IF(SUM(AU$10:AU565)-ROUNDDOWN($K566*AU$5/100,0)&lt;-AU$6,-AU$6-SUM(AU$10:AU565),-ROUNDDOWN($K566*AU$5/100,0)),0)</f>
        <v>0</v>
      </c>
      <c r="AV566" s="38">
        <f>IF(P566="○",IF(SUM(AV$10:AV565)-ROUNDDOWN($K566*AV$5/100,0)&lt;-AV$6,-AV$6-SUM(AV$10:AV565),-ROUNDDOWN($K566*AV$5/100,0)),0)</f>
        <v>0</v>
      </c>
      <c r="AW566" s="38">
        <f>IF(Q566="○",IF(SUM(AW$10:AW565)-ROUNDDOWN($K566*AW$5/100,0)&lt;-AW$6,-AW$6-SUM(AW$10:AW565),-ROUNDDOWN($K566*AW$5/100,0)),0)</f>
        <v>0</v>
      </c>
      <c r="AX566" s="38">
        <f>IF(R566="○",IF(SUM(AX$10:AX565)-ROUNDDOWN($K566*AX$5/100,0)&lt;-AX$6,-AX$6-SUM(AX$10:AX565),-ROUNDDOWN($K566*AX$5/100,0)),0)</f>
        <v>0</v>
      </c>
      <c r="AY566" s="70">
        <v>0</v>
      </c>
      <c r="AZ566" s="65">
        <f t="shared" si="348"/>
        <v>0</v>
      </c>
      <c r="BA566" s="65">
        <f t="shared" si="349"/>
        <v>0</v>
      </c>
      <c r="BB566" s="70"/>
      <c r="BC566" s="65">
        <f t="shared" si="350"/>
        <v>0</v>
      </c>
      <c r="BD566" s="70">
        <v>0</v>
      </c>
      <c r="BE566" s="65">
        <f t="shared" si="351"/>
        <v>0</v>
      </c>
      <c r="BF566" s="70">
        <v>0</v>
      </c>
      <c r="BG566" s="65">
        <f t="shared" si="352"/>
        <v>0</v>
      </c>
      <c r="BH566" s="70">
        <v>0</v>
      </c>
      <c r="BI566" s="65">
        <f t="shared" si="353"/>
        <v>0</v>
      </c>
      <c r="BJ566" s="38">
        <f>IF(AND(BJ$7="○",$A566&gt;=BJ$8,$A566&lt;=BJ$9),IF(SUM(BJ$10:BJ565)-ROUNDDOWN($M566*BJ$5/100,0)&lt;-BJ$6,-BJ$6-SUM(BJ$10:BJ565),-ROUNDDOWN($M566*BJ$5/100,0)),0)</f>
        <v>0</v>
      </c>
      <c r="BK566" s="38">
        <f>IF(AND(BK$7="○",$A566&gt;=BK$8,$A566&lt;=BK$9),IF(SUM(BK$10:BK565)-ROUNDDOWN($L566*BK$5/100,0)&lt;-BK$6,-BK$6-SUM(BK$10:BK565),-ROUNDDOWN($L566*BK$5/100,0)),0)</f>
        <v>0</v>
      </c>
      <c r="BL566" s="38">
        <f>IF(AND(BL$7="○",$A566&gt;=BL$8,$A566&lt;=BL$9),IF(SUM(BL$10:BL565)-ROUNDDOWN($L566*BL$5/100,0)&lt;-BL$6,-BL$6-SUM(BL$10:BL565),-ROUNDDOWN($L566*BL$5/100,0)),0)</f>
        <v>0</v>
      </c>
      <c r="BM566" s="38">
        <f>IF(AND(BM$7="○",$A566&gt;=BM$8,$A566&lt;=BM$9),IF(SUM(BM$10:BM565)-ROUNDDOWN($M566*BM$5/100,0)&lt;-BM$6,-BM$6-SUM(BM$10:BM565),-ROUNDDOWN($M566*BM$5/100,0)),0)</f>
        <v>0</v>
      </c>
      <c r="BN566" s="38">
        <f>IF(AND(BN$7="○",$A566&gt;=BN$8,$A566&lt;=BN$9),IF(SUM(BN$10:BN565)-ROUNDDOWN($M566*BN$5/100,0)&lt;-BN$6,-BN$6-SUM(BN$10:BN565),-ROUNDDOWN($M566*BN$5/100,0)),0)</f>
        <v>0</v>
      </c>
      <c r="BO566" s="38">
        <f>IF(AND(BO$7="○",$A566&gt;=BO$8,$A566&lt;=BO$9),IF(SUM(BO$10:BO565)-ROUNDDOWN($M566*BO$5/100,0)&lt;-BO$6,-BO$6-SUM(BO$10:BO565),-ROUNDDOWN($M566*BO$5/100,0)),0)</f>
        <v>0</v>
      </c>
      <c r="BP566" s="38">
        <f>IF(AND(BP$7="○",$A566&gt;=BP$8,$A566&lt;=BP$9),IF(SUM(BP$10:BP565)-ROUNDDOWN($M566*BP$5/100,0)&lt;-BP$6,-BP$6-SUM(BP$10:BP565),-ROUNDDOWN($M566*BP$5/100,0)),0)</f>
        <v>0</v>
      </c>
      <c r="BQ566" s="38">
        <f>IF(AND(BQ$7="○",$A566&gt;=BQ$8,$A566&lt;=BQ$9),IF(SUM(BQ$10:BQ565)-ROUNDDOWN($L566*BQ$5/100,0)&lt;-BQ$6,-BQ$6-SUM(BQ$10:BQ565),-ROUNDDOWN($L566*BQ$5/100,0)),0)</f>
        <v>0</v>
      </c>
      <c r="BR566" s="38">
        <f>IF(AND(BR$7="○",$A566&gt;=BR$8,$A566&lt;=BR$9),IF(SUM(BR$10:BR565)-ROUNDDOWN($M566*BR$5/100,0)&lt;-BR$6,-BR$6-SUM(BR$10:BR565),-ROUNDDOWN($M566*BR$5/100,0)),0)</f>
        <v>0</v>
      </c>
      <c r="BS566" s="38">
        <f>IF(AND(BS$7="○",$A566&gt;=BS$8,$A566&lt;=BS$9),IF(SUM(BS$10:BS565)-ROUNDDOWN($M566*BS$5/100,0)&lt;-BS$6,-BS$6-SUM(BS$10:BS565),-ROUNDDOWN($M566*BS$5/100,0)),0)</f>
        <v>0</v>
      </c>
      <c r="BT566" s="38">
        <f>IF(AND(BT$7="○",$A566&gt;=BT$8,$A566&lt;=BT$9),IF(SUM(BT$10:BT565)-ROUNDDOWN($M566*BT$5/100,0)&lt;-BT$6,-BT$6-SUM(BT$10:BT565),-ROUNDDOWN($M566*BT$5/100,0)),0)</f>
        <v>0</v>
      </c>
      <c r="BU566" s="38">
        <f>IF(AND(BU$7="○",$A566&gt;=BU$8,$A566&lt;=BU$9),IF(SUM(BU$10:BU565)-ROUNDDOWN($M566*BU$5/100,0)&lt;-BU$6,-BU$6-SUM(BU$10:BU565),-ROUNDDOWN($M566*BU$5/100,0)),0)</f>
        <v>0</v>
      </c>
      <c r="BV566" s="38">
        <f>IF(AND(BV$7="○",$A566&gt;=BV$8,$A566&lt;=BV$9),IF(SUM(BV$10:BV565)-ROUNDDOWN($M566*BV$5/100,0)&lt;-BV$6,-BV$6-SUM(BV$10:BV565),-ROUNDDOWN($M566*BV$5/100,0)),0)</f>
        <v>0</v>
      </c>
      <c r="BW566" s="38">
        <f>IF(AND(BW$7="○",$A566&gt;=BW$8,$A566&lt;=BW$9),IF(SUM(BW$10:BW565)-ROUNDDOWN($M566*BW$5/100,0)&lt;-BW$6,-BW$6-SUM(BW$10:BW565),-ROUNDDOWN($M566*BW$5/100,0)),0)</f>
        <v>0</v>
      </c>
      <c r="BX566" s="38">
        <f>IF(AND(T566="○",$A566&gt;=BX$8,$A566&lt;=BX$9),IF(SUM(BX$10:BX565)-ROUNDDOWN($K566*BX$5/100,0)&lt;-BX$6,-BX$6-SUM(BX$10:BX565),-ROUNDDOWN($K566*BX$5/100,0)),0)</f>
        <v>0</v>
      </c>
      <c r="BY566" s="38">
        <f>IF(AND(U566="○",$A566&gt;=BY$8,$A566&lt;=BY$9),IF(SUM(BY$10:BY565)-ROUNDDOWN($K566*BY$5/100,0)&lt;-BY$6,-BY$6-SUM(BY$10:BY565),-ROUNDDOWN($K566*BY$5/100,0)),0)</f>
        <v>0</v>
      </c>
      <c r="BZ566" s="38">
        <f>IF(AND(V566="○",$A566&gt;=BZ$8,$A566&lt;=BZ$9),IF(SUM(BZ$10:BZ565)-ROUNDDOWN($K566*BZ$5/100,0)&lt;-BZ$6,-BZ$6-SUM(BZ$10:BZ565),-ROUNDDOWN($K566*BZ$5/100,0)),0)</f>
        <v>0</v>
      </c>
      <c r="CA566" s="38">
        <f>IF(AND(W566="○",$A566&gt;=CA$8,$A566&lt;=CA$9),IF(SUM(CA$10:CA565)-ROUNDDOWN($K566*CA$5/100,0)&lt;-CA$6,-CA$6-SUM(CA$10:CA565),-ROUNDDOWN($K566*CA$5/100,0)),0)</f>
        <v>0</v>
      </c>
      <c r="CB566" s="38"/>
      <c r="CC566" s="38"/>
      <c r="CD566" s="38"/>
      <c r="CE566" s="38"/>
      <c r="CF566" s="38"/>
      <c r="CG566" s="65">
        <f t="shared" si="354"/>
        <v>0</v>
      </c>
      <c r="CH566" s="71">
        <f t="shared" si="355"/>
        <v>0</v>
      </c>
      <c r="CI566" s="1">
        <f t="shared" si="366"/>
        <v>0</v>
      </c>
      <c r="CJ566" s="1"/>
      <c r="CK566" s="72"/>
      <c r="CL566" s="72"/>
      <c r="CM566" s="2"/>
      <c r="CN566" s="2"/>
      <c r="CO566" s="73">
        <f t="shared" si="367"/>
        <v>0</v>
      </c>
      <c r="CP566" s="5">
        <f t="shared" si="368"/>
        <v>0</v>
      </c>
      <c r="CQ566" s="1"/>
      <c r="CR566" s="1">
        <f t="shared" si="369"/>
        <v>0</v>
      </c>
      <c r="CS566" s="1"/>
      <c r="CT566" s="1" t="e">
        <f>INDEX([2]マスタ!$A:$A,MATCH(D566,[2]マスタ!$C:$C,0))</f>
        <v>#N/A</v>
      </c>
      <c r="CU566" s="1" t="str">
        <f t="shared" ca="1" si="370"/>
        <v>20260620_0-0</v>
      </c>
    </row>
    <row r="567" spans="1:99" x14ac:dyDescent="0.4">
      <c r="A567" s="61"/>
      <c r="B567" s="62"/>
      <c r="C567" s="62"/>
      <c r="D567" s="62"/>
      <c r="E567" s="74"/>
      <c r="F567" s="62"/>
      <c r="G567" s="62">
        <v>1</v>
      </c>
      <c r="H567" s="64">
        <f t="shared" si="360"/>
        <v>0</v>
      </c>
      <c r="I567" s="64"/>
      <c r="J567" s="64"/>
      <c r="K567" s="65">
        <f t="shared" si="361"/>
        <v>0</v>
      </c>
      <c r="L567" s="65">
        <f t="shared" si="362"/>
        <v>0</v>
      </c>
      <c r="M567" s="65">
        <f t="shared" si="363"/>
        <v>0</v>
      </c>
      <c r="N567" s="65">
        <f t="shared" si="364"/>
        <v>0</v>
      </c>
      <c r="O567" s="66" t="str">
        <f t="shared" si="9"/>
        <v>✕</v>
      </c>
      <c r="P567" s="67" t="str">
        <f t="shared" si="10"/>
        <v>○</v>
      </c>
      <c r="Q567" s="67" t="str">
        <f t="shared" si="365"/>
        <v>✕</v>
      </c>
      <c r="R567" s="67" t="str">
        <f t="shared" si="12"/>
        <v>✕</v>
      </c>
      <c r="S567" s="68">
        <v>0</v>
      </c>
      <c r="T567" s="69" t="s">
        <v>85</v>
      </c>
      <c r="U567" s="69" t="s">
        <v>85</v>
      </c>
      <c r="V567" s="69" t="s">
        <v>85</v>
      </c>
      <c r="W567" s="69" t="s">
        <v>85</v>
      </c>
      <c r="X567" s="69" t="s">
        <v>84</v>
      </c>
      <c r="Y567" s="69" t="s">
        <v>85</v>
      </c>
      <c r="Z567" s="69" t="s">
        <v>85</v>
      </c>
      <c r="AA567" s="69" t="s">
        <v>85</v>
      </c>
      <c r="AB567" s="69" t="s">
        <v>85</v>
      </c>
      <c r="AC567" s="69" t="s">
        <v>85</v>
      </c>
      <c r="AD567" s="38" t="str">
        <f>+IF(ISERROR(VLOOKUP($B567,AD$10:AD566,1,0)),IF(AND($N567&gt;=1000,$A567&gt;=AO$8,$A567&lt;=AO$9),$B567,""),"")</f>
        <v/>
      </c>
      <c r="AE567" s="38" t="str">
        <f>+IF(ISERROR(VLOOKUP($B567,AE$10:AE566,1,0)),IF(AND($N567&gt;=1000,$A567&gt;=AP$8,$A567&lt;=AP$9),$B567,""),"")</f>
        <v/>
      </c>
      <c r="AF567" s="38" t="str">
        <f>+IF(ISERROR(VLOOKUP($B567,AF$10:AF566,1,0)),IF(AND($N567&gt;=1000,$A567&gt;=AQ$8,$A567&lt;=AQ$9),$B567,""),"")</f>
        <v/>
      </c>
      <c r="AG567" s="38" t="str">
        <f>+IF(ISERROR(VLOOKUP($B567,AG$10:AG566,1,0)),IF(AND($N567&gt;=1000,$A567&gt;=AR$8,$A567&lt;=AR$9),$B567,""),"")</f>
        <v/>
      </c>
      <c r="AH567" s="38"/>
      <c r="AI567" s="70">
        <v>0</v>
      </c>
      <c r="AJ567" s="38">
        <f>IF(AND(AJ$7="○",$A567&gt;=AJ$8,$A567&lt;=AJ$9),IF(SUM(AJ$10:AJ566)-ROUNDDOWN($K567*AJ$5/100,0)&lt;-AJ$6,-AJ$6-SUM(AJ$10:AJ566),-ROUNDDOWN($K567*AJ$5/100,0)),0)</f>
        <v>0</v>
      </c>
      <c r="AK567" s="38">
        <f>IF(AND(AK$7="○",$A567&gt;=AK$8,$A567&lt;=AK$9),IF(SUM(AK$10:AK566)-ROUNDDOWN($L567*AK$5/100,0)&lt;-AK$6,-AK$6-SUM(AK$10:AK566),-ROUNDDOWN($L567*AK$5/100,0)),0)</f>
        <v>0</v>
      </c>
      <c r="AL567" s="38">
        <f>IF(AND(AL$7="○",$A567&gt;=AL$8,$A567&lt;=AL$9),IF(SUM(AL$10:AL566)-ROUNDDOWN($N567*AL$5/100,0)&lt;-AL$6,-AL$6-SUM(AL$10:AL566),-ROUNDDOWN($N567*AL$5/100,0)),0)</f>
        <v>0</v>
      </c>
      <c r="AM567" s="38">
        <f>IF(AND(AM$7="○",$A567&gt;=AM$8,$A567&lt;=AM$9),IF(SUM(AM$10:AM566)-ROUNDDOWN($L567*AM$5/100,0)&lt;-AM$6,-AM$6-SUM(AM$10:AM566),-ROUNDDOWN($L567*AM$5/100,0)),0)</f>
        <v>0</v>
      </c>
      <c r="AN567" s="38">
        <f>IF(AND(AN$7="○",$A567&gt;=AN$8,$A567&lt;=AN$9),IF(SUM(AN$10:AN566)-ROUNDDOWN($M567*AN$5/100,0)&lt;-AN$6,-AN$6-SUM(AN$10:AN566),-ROUNDDOWN($M567*AN$5/100,0)),0)</f>
        <v>0</v>
      </c>
      <c r="AO567" s="38">
        <f>IF(AND($A567&gt;=AO$8,$A567&lt;=AO$9),IF(SUM(AO$10:AO566)-ROUNDDOWN($K567*AO$5/100,0)&lt;-AO$6,-AO$6-SUM(AO$10:AO566),-ROUNDDOWN($K567*AO$5/100,0)),0)</f>
        <v>0</v>
      </c>
      <c r="AP567" s="38">
        <f>IF(AND($A567&gt;=AP$8,$A567&lt;=AP$9),IF(SUM(AP$10:AP566)-ROUNDDOWN($K567*AP$5/100,0)&lt;-AP$6,-AP$6-SUM(AP$10:AP566),-ROUNDDOWN($K567*AP$5/100,0)),0)</f>
        <v>0</v>
      </c>
      <c r="AQ567" s="38">
        <f>IF(AND($A567&gt;=AQ$8,$A567&lt;=AQ$9),IF(SUM(AQ$10:AQ566)-ROUNDDOWN($K567*AQ$5/100,0)&lt;-AQ$6,-AQ$6-SUM(AQ$10:AQ566),-ROUNDDOWN($K567*AQ$5/100,0)),0)</f>
        <v>0</v>
      </c>
      <c r="AR567" s="38">
        <f>IF(AND($A567&gt;=AR$8,$A567&lt;=AR$9),IF(SUM(AR$10:AR566)-ROUNDDOWN($K567*AR$5/100,0)&lt;-AR$6,-AR$6-SUM(AR$10:AR566),-ROUNDDOWN($K567*AR$5/100,0)),0)</f>
        <v>0</v>
      </c>
      <c r="AS567" s="38">
        <f>IF(SUMIFS(AS$10:AS566,$A$10:$A566,$A567)-ROUNDDOWN($K567*$S567/100,0)&lt;-$S567*1000,-$S567*1000-SUMIFS(AS$10:AS566,$A$10:$A566,$A567),-ROUNDDOWN($K567*$S567/100,0))</f>
        <v>0</v>
      </c>
      <c r="AT567" s="38">
        <f>IF(AND(X567="○",$A567&gt;=AT$8,$A567&lt;=AT$9,K567&gt;=3980),IF(SUM(AT$10:AT566)-ROUNDDOWN($K567*AT$5/100,0)&lt;-AT$6,-AT$6-SUM(AT$10:AT566),-ROUNDDOWN($K567*AT$5/100,0)),0)</f>
        <v>0</v>
      </c>
      <c r="AU567" s="38">
        <f>IF(O567="○",IF(SUM(AU$10:AU566)-ROUNDDOWN($K567*AU$5/100,0)&lt;-AU$6,-AU$6-SUM(AU$10:AU566),-ROUNDDOWN($K567*AU$5/100,0)),0)</f>
        <v>0</v>
      </c>
      <c r="AV567" s="38">
        <f>IF(P567="○",IF(SUM(AV$10:AV566)-ROUNDDOWN($K567*AV$5/100,0)&lt;-AV$6,-AV$6-SUM(AV$10:AV566),-ROUNDDOWN($K567*AV$5/100,0)),0)</f>
        <v>0</v>
      </c>
      <c r="AW567" s="38">
        <f>IF(Q567="○",IF(SUM(AW$10:AW566)-ROUNDDOWN($K567*AW$5/100,0)&lt;-AW$6,-AW$6-SUM(AW$10:AW566),-ROUNDDOWN($K567*AW$5/100,0)),0)</f>
        <v>0</v>
      </c>
      <c r="AX567" s="38">
        <f>IF(R567="○",IF(SUM(AX$10:AX566)-ROUNDDOWN($K567*AX$5/100,0)&lt;-AX$6,-AX$6-SUM(AX$10:AX566),-ROUNDDOWN($K567*AX$5/100,0)),0)</f>
        <v>0</v>
      </c>
      <c r="AY567" s="70">
        <v>0</v>
      </c>
      <c r="AZ567" s="65">
        <f t="shared" si="348"/>
        <v>0</v>
      </c>
      <c r="BA567" s="65">
        <f t="shared" si="349"/>
        <v>0</v>
      </c>
      <c r="BB567" s="70"/>
      <c r="BC567" s="65">
        <f t="shared" si="350"/>
        <v>0</v>
      </c>
      <c r="BD567" s="70">
        <v>0</v>
      </c>
      <c r="BE567" s="65">
        <f t="shared" si="351"/>
        <v>0</v>
      </c>
      <c r="BF567" s="70">
        <v>0</v>
      </c>
      <c r="BG567" s="65">
        <f t="shared" si="352"/>
        <v>0</v>
      </c>
      <c r="BH567" s="70">
        <v>0</v>
      </c>
      <c r="BI567" s="65">
        <f t="shared" si="353"/>
        <v>0</v>
      </c>
      <c r="BJ567" s="38">
        <f>IF(AND(BJ$7="○",$A567&gt;=BJ$8,$A567&lt;=BJ$9),IF(SUM(BJ$10:BJ566)-ROUNDDOWN($M567*BJ$5/100,0)&lt;-BJ$6,-BJ$6-SUM(BJ$10:BJ566),-ROUNDDOWN($M567*BJ$5/100,0)),0)</f>
        <v>0</v>
      </c>
      <c r="BK567" s="38">
        <f>IF(AND(BK$7="○",$A567&gt;=BK$8,$A567&lt;=BK$9),IF(SUM(BK$10:BK566)-ROUNDDOWN($L567*BK$5/100,0)&lt;-BK$6,-BK$6-SUM(BK$10:BK566),-ROUNDDOWN($L567*BK$5/100,0)),0)</f>
        <v>0</v>
      </c>
      <c r="BL567" s="38">
        <f>IF(AND(BL$7="○",$A567&gt;=BL$8,$A567&lt;=BL$9),IF(SUM(BL$10:BL566)-ROUNDDOWN($L567*BL$5/100,0)&lt;-BL$6,-BL$6-SUM(BL$10:BL566),-ROUNDDOWN($L567*BL$5/100,0)),0)</f>
        <v>0</v>
      </c>
      <c r="BM567" s="38">
        <f>IF(AND(BM$7="○",$A567&gt;=BM$8,$A567&lt;=BM$9),IF(SUM(BM$10:BM566)-ROUNDDOWN($M567*BM$5/100,0)&lt;-BM$6,-BM$6-SUM(BM$10:BM566),-ROUNDDOWN($M567*BM$5/100,0)),0)</f>
        <v>0</v>
      </c>
      <c r="BN567" s="38">
        <f>IF(AND(BN$7="○",$A567&gt;=BN$8,$A567&lt;=BN$9),IF(SUM(BN$10:BN566)-ROUNDDOWN($M567*BN$5/100,0)&lt;-BN$6,-BN$6-SUM(BN$10:BN566),-ROUNDDOWN($M567*BN$5/100,0)),0)</f>
        <v>0</v>
      </c>
      <c r="BO567" s="38">
        <f>IF(AND(BO$7="○",$A567&gt;=BO$8,$A567&lt;=BO$9),IF(SUM(BO$10:BO566)-ROUNDDOWN($M567*BO$5/100,0)&lt;-BO$6,-BO$6-SUM(BO$10:BO566),-ROUNDDOWN($M567*BO$5/100,0)),0)</f>
        <v>0</v>
      </c>
      <c r="BP567" s="38">
        <f>IF(AND(BP$7="○",$A567&gt;=BP$8,$A567&lt;=BP$9),IF(SUM(BP$10:BP566)-ROUNDDOWN($M567*BP$5/100,0)&lt;-BP$6,-BP$6-SUM(BP$10:BP566),-ROUNDDOWN($M567*BP$5/100,0)),0)</f>
        <v>0</v>
      </c>
      <c r="BQ567" s="38">
        <f>IF(AND(BQ$7="○",$A567&gt;=BQ$8,$A567&lt;=BQ$9),IF(SUM(BQ$10:BQ566)-ROUNDDOWN($L567*BQ$5/100,0)&lt;-BQ$6,-BQ$6-SUM(BQ$10:BQ566),-ROUNDDOWN($L567*BQ$5/100,0)),0)</f>
        <v>0</v>
      </c>
      <c r="BR567" s="38">
        <f>IF(AND(BR$7="○",$A567&gt;=BR$8,$A567&lt;=BR$9),IF(SUM(BR$10:BR566)-ROUNDDOWN($M567*BR$5/100,0)&lt;-BR$6,-BR$6-SUM(BR$10:BR566),-ROUNDDOWN($M567*BR$5/100,0)),0)</f>
        <v>0</v>
      </c>
      <c r="BS567" s="38">
        <f>IF(AND(BS$7="○",$A567&gt;=BS$8,$A567&lt;=BS$9),IF(SUM(BS$10:BS566)-ROUNDDOWN($M567*BS$5/100,0)&lt;-BS$6,-BS$6-SUM(BS$10:BS566),-ROUNDDOWN($M567*BS$5/100,0)),0)</f>
        <v>0</v>
      </c>
      <c r="BT567" s="38">
        <f>IF(AND(BT$7="○",$A567&gt;=BT$8,$A567&lt;=BT$9),IF(SUM(BT$10:BT566)-ROUNDDOWN($M567*BT$5/100,0)&lt;-BT$6,-BT$6-SUM(BT$10:BT566),-ROUNDDOWN($M567*BT$5/100,0)),0)</f>
        <v>0</v>
      </c>
      <c r="BU567" s="38">
        <f>IF(AND(BU$7="○",$A567&gt;=BU$8,$A567&lt;=BU$9),IF(SUM(BU$10:BU566)-ROUNDDOWN($M567*BU$5/100,0)&lt;-BU$6,-BU$6-SUM(BU$10:BU566),-ROUNDDOWN($M567*BU$5/100,0)),0)</f>
        <v>0</v>
      </c>
      <c r="BV567" s="38">
        <f>IF(AND(BV$7="○",$A567&gt;=BV$8,$A567&lt;=BV$9),IF(SUM(BV$10:BV566)-ROUNDDOWN($M567*BV$5/100,0)&lt;-BV$6,-BV$6-SUM(BV$10:BV566),-ROUNDDOWN($M567*BV$5/100,0)),0)</f>
        <v>0</v>
      </c>
      <c r="BW567" s="38">
        <f>IF(AND(BW$7="○",$A567&gt;=BW$8,$A567&lt;=BW$9),IF(SUM(BW$10:BW566)-ROUNDDOWN($M567*BW$5/100,0)&lt;-BW$6,-BW$6-SUM(BW$10:BW566),-ROUNDDOWN($M567*BW$5/100,0)),0)</f>
        <v>0</v>
      </c>
      <c r="BX567" s="38">
        <f>IF(AND(T567="○",$A567&gt;=BX$8,$A567&lt;=BX$9),IF(SUM(BX$10:BX566)-ROUNDDOWN($K567*BX$5/100,0)&lt;-BX$6,-BX$6-SUM(BX$10:BX566),-ROUNDDOWN($K567*BX$5/100,0)),0)</f>
        <v>0</v>
      </c>
      <c r="BY567" s="38">
        <f>IF(AND(U567="○",$A567&gt;=BY$8,$A567&lt;=BY$9),IF(SUM(BY$10:BY566)-ROUNDDOWN($K567*BY$5/100,0)&lt;-BY$6,-BY$6-SUM(BY$10:BY566),-ROUNDDOWN($K567*BY$5/100,0)),0)</f>
        <v>0</v>
      </c>
      <c r="BZ567" s="38">
        <f>IF(AND(V567="○",$A567&gt;=BZ$8,$A567&lt;=BZ$9),IF(SUM(BZ$10:BZ566)-ROUNDDOWN($K567*BZ$5/100,0)&lt;-BZ$6,-BZ$6-SUM(BZ$10:BZ566),-ROUNDDOWN($K567*BZ$5/100,0)),0)</f>
        <v>0</v>
      </c>
      <c r="CA567" s="38">
        <f>IF(AND(W567="○",$A567&gt;=CA$8,$A567&lt;=CA$9),IF(SUM(CA$10:CA566)-ROUNDDOWN($K567*CA$5/100,0)&lt;-CA$6,-CA$6-SUM(CA$10:CA566),-ROUNDDOWN($K567*CA$5/100,0)),0)</f>
        <v>0</v>
      </c>
      <c r="CB567" s="38"/>
      <c r="CC567" s="38"/>
      <c r="CD567" s="38"/>
      <c r="CE567" s="38"/>
      <c r="CF567" s="38"/>
      <c r="CG567" s="65">
        <f t="shared" si="354"/>
        <v>0</v>
      </c>
      <c r="CH567" s="71">
        <f t="shared" si="355"/>
        <v>0</v>
      </c>
      <c r="CI567" s="1">
        <f t="shared" si="366"/>
        <v>0</v>
      </c>
      <c r="CJ567" s="1"/>
      <c r="CK567" s="72"/>
      <c r="CL567" s="72"/>
      <c r="CM567" s="2"/>
      <c r="CN567" s="2"/>
      <c r="CO567" s="73">
        <f t="shared" si="367"/>
        <v>0</v>
      </c>
      <c r="CP567" s="5">
        <f t="shared" si="368"/>
        <v>0</v>
      </c>
      <c r="CQ567" s="1"/>
      <c r="CR567" s="1">
        <f t="shared" si="369"/>
        <v>0</v>
      </c>
      <c r="CS567" s="1"/>
      <c r="CT567" s="1" t="e">
        <f>INDEX([2]マスタ!$A:$A,MATCH(D567,[2]マスタ!$C:$C,0))</f>
        <v>#N/A</v>
      </c>
      <c r="CU567" s="1" t="str">
        <f t="shared" ca="1" si="370"/>
        <v>20260620_0-0</v>
      </c>
    </row>
    <row r="568" spans="1:99" x14ac:dyDescent="0.4">
      <c r="A568" s="61"/>
      <c r="B568" s="62"/>
      <c r="C568" s="62"/>
      <c r="D568" s="62"/>
      <c r="E568" s="74"/>
      <c r="F568" s="62"/>
      <c r="G568" s="62">
        <v>1</v>
      </c>
      <c r="H568" s="64">
        <f t="shared" si="360"/>
        <v>0</v>
      </c>
      <c r="I568" s="64"/>
      <c r="J568" s="64"/>
      <c r="K568" s="65">
        <f t="shared" ref="K568:K571" si="371">+ROUNDDOWN((H568+I568+J568)/100,0)*100</f>
        <v>0</v>
      </c>
      <c r="L568" s="65">
        <f t="shared" si="362"/>
        <v>0</v>
      </c>
      <c r="M568" s="65">
        <f t="shared" si="363"/>
        <v>0</v>
      </c>
      <c r="N568" s="65">
        <f t="shared" si="364"/>
        <v>0</v>
      </c>
      <c r="O568" s="66" t="str">
        <f t="shared" si="9"/>
        <v>✕</v>
      </c>
      <c r="P568" s="67" t="str">
        <f t="shared" si="10"/>
        <v>○</v>
      </c>
      <c r="Q568" s="67" t="str">
        <f t="shared" ref="Q568:Q571" si="372">+IF((TEXT(A568,"DD")+0)=1,"○","✕")</f>
        <v>✕</v>
      </c>
      <c r="R568" s="67" t="str">
        <f t="shared" si="12"/>
        <v>✕</v>
      </c>
      <c r="S568" s="68">
        <v>0</v>
      </c>
      <c r="T568" s="69" t="s">
        <v>85</v>
      </c>
      <c r="U568" s="69" t="s">
        <v>85</v>
      </c>
      <c r="V568" s="69" t="s">
        <v>85</v>
      </c>
      <c r="W568" s="69" t="s">
        <v>85</v>
      </c>
      <c r="X568" s="69" t="s">
        <v>84</v>
      </c>
      <c r="Y568" s="69" t="s">
        <v>85</v>
      </c>
      <c r="Z568" s="69" t="s">
        <v>85</v>
      </c>
      <c r="AA568" s="69" t="s">
        <v>85</v>
      </c>
      <c r="AB568" s="69" t="s">
        <v>85</v>
      </c>
      <c r="AC568" s="69" t="s">
        <v>85</v>
      </c>
      <c r="AD568" s="38" t="str">
        <f>+IF(ISERROR(VLOOKUP($B568,AD$10:AD560,1,0)),IF(AND($N568&gt;=1000,$A568&gt;=AO$8,$A568&lt;=AO$9),$B568,""),"")</f>
        <v/>
      </c>
      <c r="AE568" s="38" t="str">
        <f>+IF(ISERROR(VLOOKUP($B568,AE$10:AE560,1,0)),IF(AND($N568&gt;=1000,$A568&gt;=AP$8,$A568&lt;=AP$9),$B568,""),"")</f>
        <v/>
      </c>
      <c r="AF568" s="38" t="str">
        <f>+IF(ISERROR(VLOOKUP($B568,AF$10:AF560,1,0)),IF(AND($N568&gt;=1000,$A568&gt;=AQ$8,$A568&lt;=AQ$9),$B568,""),"")</f>
        <v/>
      </c>
      <c r="AG568" s="38" t="str">
        <f>+IF(ISERROR(VLOOKUP($B568,AG$10:AG560,1,0)),IF(AND($N568&gt;=1000,$A568&gt;=AR$8,$A568&lt;=AR$9),$B568,""),"")</f>
        <v/>
      </c>
      <c r="AH568" s="38"/>
      <c r="AI568" s="70">
        <v>0</v>
      </c>
      <c r="AJ568" s="38">
        <f>IF(AND(AJ$7="○",$A568&gt;=AJ$8,$A568&lt;=AJ$9),IF(SUM(AJ$10:AJ567)-ROUNDDOWN($K568*AJ$5/100,0)&lt;-AJ$6,-AJ$6-SUM(AJ$10:AJ567),-ROUNDDOWN($K568*AJ$5/100,0)),0)</f>
        <v>0</v>
      </c>
      <c r="AK568" s="38">
        <f>IF(AND(AK$7="○",$A568&gt;=AK$8,$A568&lt;=AK$9),IF(SUM(AK$10:AK567)-ROUNDDOWN($L568*AK$5/100,0)&lt;-AK$6,-AK$6-SUM(AK$10:AK567),-ROUNDDOWN($L568*AK$5/100,0)),0)</f>
        <v>0</v>
      </c>
      <c r="AL568" s="38">
        <f>IF(AND(AL$7="○",$A568&gt;=AL$8,$A568&lt;=AL$9),IF(SUM(AL$10:AL567)-ROUNDDOWN($N568*AL$5/100,0)&lt;-AL$6,-AL$6-SUM(AL$10:AL567),-ROUNDDOWN($N568*AL$5/100,0)),0)</f>
        <v>0</v>
      </c>
      <c r="AM568" s="38">
        <f>IF(AND(AM$7="○",$A568&gt;=AM$8,$A568&lt;=AM$9),IF(SUM(AM$10:AM567)-ROUNDDOWN($L568*AM$5/100,0)&lt;-AM$6,-AM$6-SUM(AM$10:AM567),-ROUNDDOWN($L568*AM$5/100,0)),0)</f>
        <v>0</v>
      </c>
      <c r="AN568" s="38">
        <f>IF(AND(AN$7="○",$A568&gt;=AN$8,$A568&lt;=AN$9),IF(SUM(AN$10:AN567)-ROUNDDOWN($M568*AN$5/100,0)&lt;-AN$6,-AN$6-SUM(AN$10:AN567),-ROUNDDOWN($M568*AN$5/100,0)),0)</f>
        <v>0</v>
      </c>
      <c r="AO568" s="38">
        <f>IF(AND($A568&gt;=AO$8,$A568&lt;=AO$9),IF(SUM(AO$10:AO567)-ROUNDDOWN($K568*AO$5/100,0)&lt;-AO$6,-AO$6-SUM(AO$10:AO567),-ROUNDDOWN($K568*AO$5/100,0)),0)</f>
        <v>0</v>
      </c>
      <c r="AP568" s="38">
        <f>IF(AND($A568&gt;=AP$8,$A568&lt;=AP$9),IF(SUM(AP$10:AP567)-ROUNDDOWN($K568*AP$5/100,0)&lt;-AP$6,-AP$6-SUM(AP$10:AP567),-ROUNDDOWN($K568*AP$5/100,0)),0)</f>
        <v>0</v>
      </c>
      <c r="AQ568" s="38">
        <f>IF(AND($A568&gt;=AQ$8,$A568&lt;=AQ$9),IF(SUM(AQ$10:AQ567)-ROUNDDOWN($K568*AQ$5/100,0)&lt;-AQ$6,-AQ$6-SUM(AQ$10:AQ567),-ROUNDDOWN($K568*AQ$5/100,0)),0)</f>
        <v>0</v>
      </c>
      <c r="AR568" s="38">
        <f>IF(AND($A568&gt;=AR$8,$A568&lt;=AR$9),IF(SUM(AR$10:AR567)-ROUNDDOWN($K568*AR$5/100,0)&lt;-AR$6,-AR$6-SUM(AR$10:AR567),-ROUNDDOWN($K568*AR$5/100,0)),0)</f>
        <v>0</v>
      </c>
      <c r="AS568" s="38">
        <f>IF(SUMIFS(AS$10:AS567,$A$10:$A567,$A568)-ROUNDDOWN($K568*$S568/100,0)&lt;-$S568*1000,-$S568*1000-SUMIFS(AS$10:AS567,$A$10:$A567,$A568),-ROUNDDOWN($K568*$S568/100,0))</f>
        <v>0</v>
      </c>
      <c r="AT568" s="38">
        <f>IF(AND(X568="○",$A568&gt;=AT$8,$A568&lt;=AT$9,K568&gt;=3980),IF(SUM(AT$10:AT567)-ROUNDDOWN($K568*AT$5/100,0)&lt;-AT$6,-AT$6-SUM(AT$10:AT567),-ROUNDDOWN($K568*AT$5/100,0)),0)</f>
        <v>0</v>
      </c>
      <c r="AU568" s="38">
        <f>IF(O568="○",IF(SUM(AU$10:AU567)-ROUNDDOWN($K568*AU$5/100,0)&lt;-AU$6,-AU$6-SUM(AU$10:AU567),-ROUNDDOWN($K568*AU$5/100,0)),0)</f>
        <v>0</v>
      </c>
      <c r="AV568" s="38">
        <f>IF(P568="○",IF(SUM(AV$10:AV567)-ROUNDDOWN($K568*AV$5/100,0)&lt;-AV$6,-AV$6-SUM(AV$10:AV567),-ROUNDDOWN($K568*AV$5/100,0)),0)</f>
        <v>0</v>
      </c>
      <c r="AW568" s="38">
        <f>IF(Q568="○",IF(SUM(AW$10:AW567)-ROUNDDOWN($K568*AW$5/100,0)&lt;-AW$6,-AW$6-SUM(AW$10:AW567),-ROUNDDOWN($K568*AW$5/100,0)),0)</f>
        <v>0</v>
      </c>
      <c r="AX568" s="38">
        <f>IF(R568="○",IF(SUM(AX$10:AX567)-ROUNDDOWN($K568*AX$5/100,0)&lt;-AX$6,-AX$6-SUM(AX$10:AX567),-ROUNDDOWN($K568*AX$5/100,0)),0)</f>
        <v>0</v>
      </c>
      <c r="AY568" s="70">
        <v>0</v>
      </c>
      <c r="AZ568" s="65">
        <f t="shared" si="348"/>
        <v>0</v>
      </c>
      <c r="BA568" s="65">
        <f t="shared" si="349"/>
        <v>0</v>
      </c>
      <c r="BB568" s="70"/>
      <c r="BC568" s="65">
        <f t="shared" si="350"/>
        <v>0</v>
      </c>
      <c r="BD568" s="70">
        <v>0</v>
      </c>
      <c r="BE568" s="65">
        <f t="shared" si="351"/>
        <v>0</v>
      </c>
      <c r="BF568" s="70">
        <v>0</v>
      </c>
      <c r="BG568" s="65">
        <f t="shared" si="352"/>
        <v>0</v>
      </c>
      <c r="BH568" s="70">
        <v>0</v>
      </c>
      <c r="BI568" s="65">
        <f t="shared" si="353"/>
        <v>0</v>
      </c>
      <c r="BJ568" s="38">
        <f>IF(AND(BJ$7="○",$A568&gt;=BJ$8,$A568&lt;=BJ$9),IF(SUM(BJ$10:BJ567)-ROUNDDOWN($M568*BJ$5/100,0)&lt;-BJ$6,-BJ$6-SUM(BJ$10:BJ567),-ROUNDDOWN($M568*BJ$5/100,0)),0)</f>
        <v>0</v>
      </c>
      <c r="BK568" s="38">
        <f>IF(AND(BK$7="○",$A568&gt;=BK$8,$A568&lt;=BK$9),IF(SUM(BK$10:BK567)-ROUNDDOWN($L568*BK$5/100,0)&lt;-BK$6,-BK$6-SUM(BK$10:BK567),-ROUNDDOWN($L568*BK$5/100,0)),0)</f>
        <v>0</v>
      </c>
      <c r="BL568" s="38">
        <f>IF(AND(BL$7="○",$A568&gt;=BL$8,$A568&lt;=BL$9),IF(SUM(BL$10:BL567)-ROUNDDOWN($L568*BL$5/100,0)&lt;-BL$6,-BL$6-SUM(BL$10:BL567),-ROUNDDOWN($L568*BL$5/100,0)),0)</f>
        <v>0</v>
      </c>
      <c r="BM568" s="38">
        <f>IF(AND(BM$7="○",$A568&gt;=BM$8,$A568&lt;=BM$9),IF(SUM(BM$10:BM567)-ROUNDDOWN($M568*BM$5/100,0)&lt;-BM$6,-BM$6-SUM(BM$10:BM567),-ROUNDDOWN($M568*BM$5/100,0)),0)</f>
        <v>0</v>
      </c>
      <c r="BN568" s="38">
        <f>IF(AND(BN$7="○",$A568&gt;=BN$8,$A568&lt;=BN$9),IF(SUM(BN$10:BN567)-ROUNDDOWN($M568*BN$5/100,0)&lt;-BN$6,-BN$6-SUM(BN$10:BN567),-ROUNDDOWN($M568*BN$5/100,0)),0)</f>
        <v>0</v>
      </c>
      <c r="BO568" s="38">
        <f>IF(AND(BO$7="○",$A568&gt;=BO$8,$A568&lt;=BO$9),IF(SUM(BO$10:BO567)-ROUNDDOWN($M568*BO$5/100,0)&lt;-BO$6,-BO$6-SUM(BO$10:BO567),-ROUNDDOWN($M568*BO$5/100,0)),0)</f>
        <v>0</v>
      </c>
      <c r="BP568" s="38">
        <f>IF(AND(BP$7="○",$A568&gt;=BP$8,$A568&lt;=BP$9),IF(SUM(BP$10:BP567)-ROUNDDOWN($M568*BP$5/100,0)&lt;-BP$6,-BP$6-SUM(BP$10:BP567),-ROUNDDOWN($M568*BP$5/100,0)),0)</f>
        <v>0</v>
      </c>
      <c r="BQ568" s="38">
        <f>IF(AND(BQ$7="○",$A568&gt;=BQ$8,$A568&lt;=BQ$9),IF(SUM(BQ$10:BQ567)-ROUNDDOWN($L568*BQ$5/100,0)&lt;-BQ$6,-BQ$6-SUM(BQ$10:BQ567),-ROUNDDOWN($L568*BQ$5/100,0)),0)</f>
        <v>0</v>
      </c>
      <c r="BR568" s="38">
        <f>IF(AND(BR$7="○",$A568&gt;=BR$8,$A568&lt;=BR$9),IF(SUM(BR$10:BR567)-ROUNDDOWN($M568*BR$5/100,0)&lt;-BR$6,-BR$6-SUM(BR$10:BR567),-ROUNDDOWN($M568*BR$5/100,0)),0)</f>
        <v>0</v>
      </c>
      <c r="BS568" s="38">
        <f>IF(AND(BS$7="○",$A568&gt;=BS$8,$A568&lt;=BS$9),IF(SUM(BS$10:BS567)-ROUNDDOWN($M568*BS$5/100,0)&lt;-BS$6,-BS$6-SUM(BS$10:BS567),-ROUNDDOWN($M568*BS$5/100,0)),0)</f>
        <v>0</v>
      </c>
      <c r="BT568" s="38">
        <f>IF(AND(BT$7="○",$A568&gt;=BT$8,$A568&lt;=BT$9),IF(SUM(BT$10:BT567)-ROUNDDOWN($M568*BT$5/100,0)&lt;-BT$6,-BT$6-SUM(BT$10:BT567),-ROUNDDOWN($M568*BT$5/100,0)),0)</f>
        <v>0</v>
      </c>
      <c r="BU568" s="38">
        <f>IF(AND(BU$7="○",$A568&gt;=BU$8,$A568&lt;=BU$9),IF(SUM(BU$10:BU567)-ROUNDDOWN($M568*BU$5/100,0)&lt;-BU$6,-BU$6-SUM(BU$10:BU567),-ROUNDDOWN($M568*BU$5/100,0)),0)</f>
        <v>0</v>
      </c>
      <c r="BV568" s="38">
        <f>IF(AND(BV$7="○",$A568&gt;=BV$8,$A568&lt;=BV$9),IF(SUM(BV$10:BV567)-ROUNDDOWN($M568*BV$5/100,0)&lt;-BV$6,-BV$6-SUM(BV$10:BV567),-ROUNDDOWN($M568*BV$5/100,0)),0)</f>
        <v>0</v>
      </c>
      <c r="BW568" s="38">
        <f>IF(AND(BW$7="○",$A568&gt;=BW$8,$A568&lt;=BW$9),IF(SUM(BW$10:BW567)-ROUNDDOWN($M568*BW$5/100,0)&lt;-BW$6,-BW$6-SUM(BW$10:BW567),-ROUNDDOWN($M568*BW$5/100,0)),0)</f>
        <v>0</v>
      </c>
      <c r="BX568" s="38">
        <f>IF(AND(T568="○",$A568&gt;=BX$8,$A568&lt;=BX$9),IF(SUM(BX$10:BX567)-ROUNDDOWN($K568*BX$5/100,0)&lt;-BX$6,-BX$6-SUM(BX$10:BX567),-ROUNDDOWN($K568*BX$5/100,0)),0)</f>
        <v>0</v>
      </c>
      <c r="BY568" s="38">
        <f>IF(AND(U568="○",$A568&gt;=BY$8,$A568&lt;=BY$9),IF(SUM(BY$10:BY567)-ROUNDDOWN($K568*BY$5/100,0)&lt;-BY$6,-BY$6-SUM(BY$10:BY567),-ROUNDDOWN($K568*BY$5/100,0)),0)</f>
        <v>0</v>
      </c>
      <c r="BZ568" s="38">
        <f>IF(AND(V568="○",$A568&gt;=BZ$8,$A568&lt;=BZ$9),IF(SUM(BZ$10:BZ567)-ROUNDDOWN($K568*BZ$5/100,0)&lt;-BZ$6,-BZ$6-SUM(BZ$10:BZ567),-ROUNDDOWN($K568*BZ$5/100,0)),0)</f>
        <v>0</v>
      </c>
      <c r="CA568" s="38">
        <f>IF(AND(W568="○",$A568&gt;=CA$8,$A568&lt;=CA$9),IF(SUM(CA$10:CA567)-ROUNDDOWN($K568*CA$5/100,0)&lt;-CA$6,-CA$6-SUM(CA$10:CA567),-ROUNDDOWN($K568*CA$5/100,0)),0)</f>
        <v>0</v>
      </c>
      <c r="CB568" s="38"/>
      <c r="CC568" s="38"/>
      <c r="CD568" s="38"/>
      <c r="CE568" s="38"/>
      <c r="CF568" s="38"/>
      <c r="CG568" s="65">
        <f t="shared" si="354"/>
        <v>0</v>
      </c>
      <c r="CH568" s="71">
        <f t="shared" si="355"/>
        <v>0</v>
      </c>
      <c r="CI568" s="1">
        <f t="shared" si="366"/>
        <v>0</v>
      </c>
      <c r="CJ568" s="1"/>
      <c r="CK568" s="75"/>
      <c r="CL568" s="75"/>
      <c r="CM568" s="2"/>
      <c r="CN568" s="2"/>
      <c r="CO568" s="73">
        <f t="shared" si="367"/>
        <v>0</v>
      </c>
      <c r="CP568" s="5">
        <f t="shared" si="368"/>
        <v>0</v>
      </c>
      <c r="CQ568" s="1"/>
      <c r="CR568" s="1">
        <f t="shared" si="369"/>
        <v>0</v>
      </c>
      <c r="CS568" s="1"/>
      <c r="CT568" s="1" t="e">
        <f>INDEX([2]マスタ!$A:$A,MATCH(D568,[2]マスタ!$C:$C,0))</f>
        <v>#N/A</v>
      </c>
      <c r="CU568" s="1" t="str">
        <f t="shared" ca="1" si="370"/>
        <v>20260620_0-0</v>
      </c>
    </row>
    <row r="569" spans="1:99" x14ac:dyDescent="0.4">
      <c r="A569" s="61"/>
      <c r="B569" s="62"/>
      <c r="C569" s="62"/>
      <c r="D569" s="62"/>
      <c r="E569" s="74"/>
      <c r="F569" s="62"/>
      <c r="G569" s="62">
        <v>1</v>
      </c>
      <c r="H569" s="64">
        <f t="shared" si="360"/>
        <v>0</v>
      </c>
      <c r="I569" s="64"/>
      <c r="J569" s="64"/>
      <c r="K569" s="65">
        <f t="shared" si="371"/>
        <v>0</v>
      </c>
      <c r="L569" s="65">
        <f t="shared" si="362"/>
        <v>0</v>
      </c>
      <c r="M569" s="65">
        <f t="shared" si="363"/>
        <v>0</v>
      </c>
      <c r="N569" s="65">
        <f t="shared" si="364"/>
        <v>0</v>
      </c>
      <c r="O569" s="66" t="str">
        <f t="shared" si="9"/>
        <v>✕</v>
      </c>
      <c r="P569" s="67" t="str">
        <f t="shared" si="10"/>
        <v>○</v>
      </c>
      <c r="Q569" s="67" t="str">
        <f t="shared" si="372"/>
        <v>✕</v>
      </c>
      <c r="R569" s="67" t="str">
        <f t="shared" si="12"/>
        <v>✕</v>
      </c>
      <c r="S569" s="68">
        <v>0</v>
      </c>
      <c r="T569" s="69" t="s">
        <v>85</v>
      </c>
      <c r="U569" s="69" t="s">
        <v>85</v>
      </c>
      <c r="V569" s="69" t="s">
        <v>85</v>
      </c>
      <c r="W569" s="69" t="s">
        <v>85</v>
      </c>
      <c r="X569" s="69" t="s">
        <v>84</v>
      </c>
      <c r="Y569" s="69" t="s">
        <v>85</v>
      </c>
      <c r="Z569" s="69" t="s">
        <v>85</v>
      </c>
      <c r="AA569" s="69" t="s">
        <v>85</v>
      </c>
      <c r="AB569" s="69" t="s">
        <v>85</v>
      </c>
      <c r="AC569" s="69" t="s">
        <v>85</v>
      </c>
      <c r="AD569" s="38" t="str">
        <f>+IF(ISERROR(VLOOKUP($B569,AD$10:AD568,1,0)),IF(AND($N569&gt;=1000,$A569&gt;=AO$8,$A569&lt;=AO$9),$B569,""),"")</f>
        <v/>
      </c>
      <c r="AE569" s="38" t="str">
        <f>+IF(ISERROR(VLOOKUP($B569,AE$10:AE568,1,0)),IF(AND($N569&gt;=1000,$A569&gt;=AP$8,$A569&lt;=AP$9),$B569,""),"")</f>
        <v/>
      </c>
      <c r="AF569" s="38" t="str">
        <f>+IF(ISERROR(VLOOKUP($B569,AF$10:AF568,1,0)),IF(AND($N569&gt;=1000,$A569&gt;=AQ$8,$A569&lt;=AQ$9),$B569,""),"")</f>
        <v/>
      </c>
      <c r="AG569" s="38" t="str">
        <f>+IF(ISERROR(VLOOKUP($B569,AG$10:AG568,1,0)),IF(AND($N569&gt;=1000,$A569&gt;=AR$8,$A569&lt;=AR$9),$B569,""),"")</f>
        <v/>
      </c>
      <c r="AH569" s="38"/>
      <c r="AI569" s="70">
        <v>0</v>
      </c>
      <c r="AJ569" s="38">
        <f>IF(AND(AJ$7="○",$A569&gt;=AJ$8,$A569&lt;=AJ$9),IF(SUM(AJ$10:AJ568)-ROUNDDOWN($K569*AJ$5/100,0)&lt;-AJ$6,-AJ$6-SUM(AJ$10:AJ568),-ROUNDDOWN($K569*AJ$5/100,0)),0)</f>
        <v>0</v>
      </c>
      <c r="AK569" s="38">
        <f>IF(AND(AK$7="○",$A569&gt;=AK$8,$A569&lt;=AK$9),IF(SUM(AK$10:AK568)-ROUNDDOWN($L569*AK$5/100,0)&lt;-AK$6,-AK$6-SUM(AK$10:AK568),-ROUNDDOWN($L569*AK$5/100,0)),0)</f>
        <v>0</v>
      </c>
      <c r="AL569" s="38">
        <f>IF(AND(AL$7="○",$A569&gt;=AL$8,$A569&lt;=AL$9),IF(SUM(AL$10:AL568)-ROUNDDOWN($N569*AL$5/100,0)&lt;-AL$6,-AL$6-SUM(AL$10:AL568),-ROUNDDOWN($N569*AL$5/100,0)),0)</f>
        <v>0</v>
      </c>
      <c r="AM569" s="38">
        <f>IF(AND(AM$7="○",$A569&gt;=AM$8,$A569&lt;=AM$9),IF(SUM(AM$10:AM568)-ROUNDDOWN($L569*AM$5/100,0)&lt;-AM$6,-AM$6-SUM(AM$10:AM568),-ROUNDDOWN($L569*AM$5/100,0)),0)</f>
        <v>0</v>
      </c>
      <c r="AN569" s="38">
        <f>IF(AND(AN$7="○",$A569&gt;=AN$8,$A569&lt;=AN$9),IF(SUM(AN$10:AN568)-ROUNDDOWN($M569*AN$5/100,0)&lt;-AN$6,-AN$6-SUM(AN$10:AN568),-ROUNDDOWN($M569*AN$5/100,0)),0)</f>
        <v>0</v>
      </c>
      <c r="AO569" s="38">
        <f>IF(AND($A569&gt;=AO$8,$A569&lt;=AO$9),IF(SUM(AO$10:AO568)-ROUNDDOWN($K569*AO$5/100,0)&lt;-AO$6,-AO$6-SUM(AO$10:AO568),-ROUNDDOWN($K569*AO$5/100,0)),0)</f>
        <v>0</v>
      </c>
      <c r="AP569" s="38">
        <f>IF(AND($A569&gt;=AP$8,$A569&lt;=AP$9),IF(SUM(AP$10:AP568)-ROUNDDOWN($K569*AP$5/100,0)&lt;-AP$6,-AP$6-SUM(AP$10:AP568),-ROUNDDOWN($K569*AP$5/100,0)),0)</f>
        <v>0</v>
      </c>
      <c r="AQ569" s="38">
        <f>IF(AND($A569&gt;=AQ$8,$A569&lt;=AQ$9),IF(SUM(AQ$10:AQ568)-ROUNDDOWN($K569*AQ$5/100,0)&lt;-AQ$6,-AQ$6-SUM(AQ$10:AQ568),-ROUNDDOWN($K569*AQ$5/100,0)),0)</f>
        <v>0</v>
      </c>
      <c r="AR569" s="38">
        <f>IF(AND($A569&gt;=AR$8,$A569&lt;=AR$9),IF(SUM(AR$10:AR568)-ROUNDDOWN($K569*AR$5/100,0)&lt;-AR$6,-AR$6-SUM(AR$10:AR568),-ROUNDDOWN($K569*AR$5/100,0)),0)</f>
        <v>0</v>
      </c>
      <c r="AS569" s="38">
        <f>IF(SUMIFS(AS$10:AS568,$A$10:$A568,$A569)-ROUNDDOWN($K569*$S569/100,0)&lt;-$S569*1000,-$S569*1000-SUMIFS(AS$10:AS568,$A$10:$A568,$A569),-ROUNDDOWN($K569*$S569/100,0))</f>
        <v>0</v>
      </c>
      <c r="AT569" s="38">
        <f>IF(AND(X569="○",$A569&gt;=AT$8,$A569&lt;=AT$9,K569&gt;=3980),IF(SUM(AT$10:AT568)-ROUNDDOWN($K569*AT$5/100,0)&lt;-AT$6,-AT$6-SUM(AT$10:AT568),-ROUNDDOWN($K569*AT$5/100,0)),0)</f>
        <v>0</v>
      </c>
      <c r="AU569" s="38">
        <f>IF(O569="○",IF(SUM(AU$10:AU568)-ROUNDDOWN($K569*AU$5/100,0)&lt;-AU$6,-AU$6-SUM(AU$10:AU568),-ROUNDDOWN($K569*AU$5/100,0)),0)</f>
        <v>0</v>
      </c>
      <c r="AV569" s="38">
        <f>IF(P569="○",IF(SUM(AV$10:AV568)-ROUNDDOWN($K569*AV$5/100,0)&lt;-AV$6,-AV$6-SUM(AV$10:AV568),-ROUNDDOWN($K569*AV$5/100,0)),0)</f>
        <v>0</v>
      </c>
      <c r="AW569" s="38">
        <f>IF(Q569="○",IF(SUM(AW$10:AW568)-ROUNDDOWN($K569*AW$5/100,0)&lt;-AW$6,-AW$6-SUM(AW$10:AW568),-ROUNDDOWN($K569*AW$5/100,0)),0)</f>
        <v>0</v>
      </c>
      <c r="AX569" s="38">
        <f>IF(R569="○",IF(SUM(AX$10:AX568)-ROUNDDOWN($K569*AX$5/100,0)&lt;-AX$6,-AX$6-SUM(AX$10:AX568),-ROUNDDOWN($K569*AX$5/100,0)),0)</f>
        <v>0</v>
      </c>
      <c r="AY569" s="70">
        <v>0</v>
      </c>
      <c r="AZ569" s="65">
        <f t="shared" si="348"/>
        <v>0</v>
      </c>
      <c r="BA569" s="65">
        <f t="shared" si="349"/>
        <v>0</v>
      </c>
      <c r="BB569" s="70"/>
      <c r="BC569" s="65">
        <f t="shared" si="350"/>
        <v>0</v>
      </c>
      <c r="BD569" s="70">
        <v>0</v>
      </c>
      <c r="BE569" s="65">
        <f t="shared" si="351"/>
        <v>0</v>
      </c>
      <c r="BF569" s="70">
        <v>0</v>
      </c>
      <c r="BG569" s="65">
        <f t="shared" si="352"/>
        <v>0</v>
      </c>
      <c r="BH569" s="70">
        <v>0</v>
      </c>
      <c r="BI569" s="65">
        <f t="shared" si="353"/>
        <v>0</v>
      </c>
      <c r="BJ569" s="38">
        <f>IF(AND(BJ$7="○",$A569&gt;=BJ$8,$A569&lt;=BJ$9),IF(SUM(BJ$10:BJ568)-ROUNDDOWN($M569*BJ$5/100,0)&lt;-BJ$6,-BJ$6-SUM(BJ$10:BJ568),-ROUNDDOWN($M569*BJ$5/100,0)),0)</f>
        <v>0</v>
      </c>
      <c r="BK569" s="38">
        <f>IF(AND(BK$7="○",$A569&gt;=BK$8,$A569&lt;=BK$9),IF(SUM(BK$10:BK568)-ROUNDDOWN($L569*BK$5/100,0)&lt;-BK$6,-BK$6-SUM(BK$10:BK568),-ROUNDDOWN($L569*BK$5/100,0)),0)</f>
        <v>0</v>
      </c>
      <c r="BL569" s="38">
        <f>IF(AND(BL$7="○",$A569&gt;=BL$8,$A569&lt;=BL$9),IF(SUM(BL$10:BL568)-ROUNDDOWN($L569*BL$5/100,0)&lt;-BL$6,-BL$6-SUM(BL$10:BL568),-ROUNDDOWN($L569*BL$5/100,0)),0)</f>
        <v>0</v>
      </c>
      <c r="BM569" s="38">
        <f>IF(AND(BM$7="○",$A569&gt;=BM$8,$A569&lt;=BM$9),IF(SUM(BM$10:BM568)-ROUNDDOWN($M569*BM$5/100,0)&lt;-BM$6,-BM$6-SUM(BM$10:BM568),-ROUNDDOWN($M569*BM$5/100,0)),0)</f>
        <v>0</v>
      </c>
      <c r="BN569" s="38">
        <f>IF(AND(BN$7="○",$A569&gt;=BN$8,$A569&lt;=BN$9),IF(SUM(BN$10:BN568)-ROUNDDOWN($M569*BN$5/100,0)&lt;-BN$6,-BN$6-SUM(BN$10:BN568),-ROUNDDOWN($M569*BN$5/100,0)),0)</f>
        <v>0</v>
      </c>
      <c r="BO569" s="38">
        <f>IF(AND(BO$7="○",$A569&gt;=BO$8,$A569&lt;=BO$9),IF(SUM(BO$10:BO568)-ROUNDDOWN($M569*BO$5/100,0)&lt;-BO$6,-BO$6-SUM(BO$10:BO568),-ROUNDDOWN($M569*BO$5/100,0)),0)</f>
        <v>0</v>
      </c>
      <c r="BP569" s="38">
        <f>IF(AND(BP$7="○",$A569&gt;=BP$8,$A569&lt;=BP$9),IF(SUM(BP$10:BP568)-ROUNDDOWN($M569*BP$5/100,0)&lt;-BP$6,-BP$6-SUM(BP$10:BP568),-ROUNDDOWN($M569*BP$5/100,0)),0)</f>
        <v>0</v>
      </c>
      <c r="BQ569" s="38">
        <f>IF(AND(BQ$7="○",$A569&gt;=BQ$8,$A569&lt;=BQ$9),IF(SUM(BQ$10:BQ568)-ROUNDDOWN($L569*BQ$5/100,0)&lt;-BQ$6,-BQ$6-SUM(BQ$10:BQ568),-ROUNDDOWN($L569*BQ$5/100,0)),0)</f>
        <v>0</v>
      </c>
      <c r="BR569" s="38">
        <f>IF(AND(BR$7="○",$A569&gt;=BR$8,$A569&lt;=BR$9),IF(SUM(BR$10:BR568)-ROUNDDOWN($M569*BR$5/100,0)&lt;-BR$6,-BR$6-SUM(BR$10:BR568),-ROUNDDOWN($M569*BR$5/100,0)),0)</f>
        <v>0</v>
      </c>
      <c r="BS569" s="38">
        <f>IF(AND(BS$7="○",$A569&gt;=BS$8,$A569&lt;=BS$9),IF(SUM(BS$10:BS568)-ROUNDDOWN($M569*BS$5/100,0)&lt;-BS$6,-BS$6-SUM(BS$10:BS568),-ROUNDDOWN($M569*BS$5/100,0)),0)</f>
        <v>0</v>
      </c>
      <c r="BT569" s="38">
        <f>IF(AND(BT$7="○",$A569&gt;=BT$8,$A569&lt;=BT$9),IF(SUM(BT$10:BT568)-ROUNDDOWN($M569*BT$5/100,0)&lt;-BT$6,-BT$6-SUM(BT$10:BT568),-ROUNDDOWN($M569*BT$5/100,0)),0)</f>
        <v>0</v>
      </c>
      <c r="BU569" s="38">
        <f>IF(AND(BU$7="○",$A569&gt;=BU$8,$A569&lt;=BU$9),IF(SUM(BU$10:BU568)-ROUNDDOWN($M569*BU$5/100,0)&lt;-BU$6,-BU$6-SUM(BU$10:BU568),-ROUNDDOWN($M569*BU$5/100,0)),0)</f>
        <v>0</v>
      </c>
      <c r="BV569" s="38">
        <f>IF(AND(BV$7="○",$A569&gt;=BV$8,$A569&lt;=BV$9),IF(SUM(BV$10:BV568)-ROUNDDOWN($M569*BV$5/100,0)&lt;-BV$6,-BV$6-SUM(BV$10:BV568),-ROUNDDOWN($M569*BV$5/100,0)),0)</f>
        <v>0</v>
      </c>
      <c r="BW569" s="38">
        <f>IF(AND(BW$7="○",$A569&gt;=BW$8,$A569&lt;=BW$9),IF(SUM(BW$10:BW568)-ROUNDDOWN($M569*BW$5/100,0)&lt;-BW$6,-BW$6-SUM(BW$10:BW568),-ROUNDDOWN($M569*BW$5/100,0)),0)</f>
        <v>0</v>
      </c>
      <c r="BX569" s="38">
        <f>IF(AND(T569="○",$A569&gt;=BX$8,$A569&lt;=BX$9),IF(SUM(BX$10:BX568)-ROUNDDOWN($K569*BX$5/100,0)&lt;-BX$6,-BX$6-SUM(BX$10:BX568),-ROUNDDOWN($K569*BX$5/100,0)),0)</f>
        <v>0</v>
      </c>
      <c r="BY569" s="38">
        <f>IF(AND(U569="○",$A569&gt;=BY$8,$A569&lt;=BY$9),IF(SUM(BY$10:BY568)-ROUNDDOWN($K569*BY$5/100,0)&lt;-BY$6,-BY$6-SUM(BY$10:BY568),-ROUNDDOWN($K569*BY$5/100,0)),0)</f>
        <v>0</v>
      </c>
      <c r="BZ569" s="38">
        <f>IF(AND(V569="○",$A569&gt;=BZ$8,$A569&lt;=BZ$9),IF(SUM(BZ$10:BZ568)-ROUNDDOWN($K569*BZ$5/100,0)&lt;-BZ$6,-BZ$6-SUM(BZ$10:BZ568),-ROUNDDOWN($K569*BZ$5/100,0)),0)</f>
        <v>0</v>
      </c>
      <c r="CA569" s="38">
        <f>IF(AND(W569="○",$A569&gt;=CA$8,$A569&lt;=CA$9),IF(SUM(CA$10:CA568)-ROUNDDOWN($K569*CA$5/100,0)&lt;-CA$6,-CA$6-SUM(CA$10:CA568),-ROUNDDOWN($K569*CA$5/100,0)),0)</f>
        <v>0</v>
      </c>
      <c r="CB569" s="38"/>
      <c r="CC569" s="38"/>
      <c r="CD569" s="38"/>
      <c r="CE569" s="38"/>
      <c r="CF569" s="38"/>
      <c r="CG569" s="65">
        <f t="shared" si="354"/>
        <v>0</v>
      </c>
      <c r="CH569" s="71">
        <f t="shared" si="355"/>
        <v>0</v>
      </c>
      <c r="CI569" s="1">
        <f t="shared" si="366"/>
        <v>0</v>
      </c>
      <c r="CJ569" s="1"/>
      <c r="CK569" s="75"/>
      <c r="CL569" s="75"/>
      <c r="CM569" s="2"/>
      <c r="CN569" s="2"/>
      <c r="CO569" s="73">
        <f t="shared" si="367"/>
        <v>0</v>
      </c>
      <c r="CP569" s="5">
        <f t="shared" si="368"/>
        <v>0</v>
      </c>
      <c r="CQ569" s="1"/>
      <c r="CR569" s="1">
        <f t="shared" si="369"/>
        <v>0</v>
      </c>
      <c r="CS569" s="1"/>
      <c r="CT569" s="1" t="e">
        <f>INDEX([2]マスタ!$A:$A,MATCH(D569,[2]マスタ!$C:$C,0))</f>
        <v>#N/A</v>
      </c>
      <c r="CU569" s="1" t="str">
        <f t="shared" ca="1" si="370"/>
        <v>20260620_0-0</v>
      </c>
    </row>
    <row r="570" spans="1:99" x14ac:dyDescent="0.4">
      <c r="A570" s="61"/>
      <c r="B570" s="62"/>
      <c r="C570" s="62"/>
      <c r="D570" s="62"/>
      <c r="E570" s="74"/>
      <c r="F570" s="62"/>
      <c r="G570" s="62">
        <v>1</v>
      </c>
      <c r="H570" s="64">
        <f t="shared" si="360"/>
        <v>0</v>
      </c>
      <c r="I570" s="64"/>
      <c r="J570" s="64"/>
      <c r="K570" s="65">
        <f t="shared" si="371"/>
        <v>0</v>
      </c>
      <c r="L570" s="65">
        <f t="shared" si="362"/>
        <v>0</v>
      </c>
      <c r="M570" s="65">
        <f t="shared" si="363"/>
        <v>0</v>
      </c>
      <c r="N570" s="65">
        <f t="shared" si="364"/>
        <v>0</v>
      </c>
      <c r="O570" s="66" t="str">
        <f t="shared" si="9"/>
        <v>✕</v>
      </c>
      <c r="P570" s="67" t="str">
        <f t="shared" si="10"/>
        <v>○</v>
      </c>
      <c r="Q570" s="67" t="str">
        <f t="shared" si="372"/>
        <v>✕</v>
      </c>
      <c r="R570" s="67" t="str">
        <f t="shared" si="12"/>
        <v>✕</v>
      </c>
      <c r="S570" s="68">
        <v>0</v>
      </c>
      <c r="T570" s="69" t="s">
        <v>85</v>
      </c>
      <c r="U570" s="69" t="s">
        <v>85</v>
      </c>
      <c r="V570" s="69" t="s">
        <v>85</v>
      </c>
      <c r="W570" s="69" t="s">
        <v>85</v>
      </c>
      <c r="X570" s="69" t="s">
        <v>84</v>
      </c>
      <c r="Y570" s="69" t="s">
        <v>85</v>
      </c>
      <c r="Z570" s="69" t="s">
        <v>85</v>
      </c>
      <c r="AA570" s="69" t="s">
        <v>85</v>
      </c>
      <c r="AB570" s="69" t="s">
        <v>85</v>
      </c>
      <c r="AC570" s="69" t="s">
        <v>85</v>
      </c>
      <c r="AD570" s="38" t="str">
        <f>+IF(ISERROR(VLOOKUP($B570,AD$10:AD569,1,0)),IF(AND($N570&gt;=1000,$A570&gt;=AO$8,$A570&lt;=AO$9),$B570,""),"")</f>
        <v/>
      </c>
      <c r="AE570" s="38" t="str">
        <f>+IF(ISERROR(VLOOKUP($B570,AE$10:AE569,1,0)),IF(AND($N570&gt;=1000,$A570&gt;=AP$8,$A570&lt;=AP$9),$B570,""),"")</f>
        <v/>
      </c>
      <c r="AF570" s="38" t="str">
        <f>+IF(ISERROR(VLOOKUP($B570,AF$10:AF569,1,0)),IF(AND($N570&gt;=1000,$A570&gt;=AQ$8,$A570&lt;=AQ$9),$B570,""),"")</f>
        <v/>
      </c>
      <c r="AG570" s="38" t="str">
        <f>+IF(ISERROR(VLOOKUP($B570,AG$10:AG569,1,0)),IF(AND($N570&gt;=1000,$A570&gt;=AR$8,$A570&lt;=AR$9),$B570,""),"")</f>
        <v/>
      </c>
      <c r="AH570" s="38"/>
      <c r="AI570" s="70">
        <v>0</v>
      </c>
      <c r="AJ570" s="38">
        <f>IF(AND(AJ$7="○",$A570&gt;=AJ$8,$A570&lt;=AJ$9),IF(SUM(AJ$10:AJ569)-ROUNDDOWN($K570*AJ$5/100,0)&lt;-AJ$6,-AJ$6-SUM(AJ$10:AJ569),-ROUNDDOWN($K570*AJ$5/100,0)),0)</f>
        <v>0</v>
      </c>
      <c r="AK570" s="38">
        <f>IF(AND(AK$7="○",$A570&gt;=AK$8,$A570&lt;=AK$9),IF(SUM(AK$10:AK569)-ROUNDDOWN($L570*AK$5/100,0)&lt;-AK$6,-AK$6-SUM(AK$10:AK569),-ROUNDDOWN($L570*AK$5/100,0)),0)</f>
        <v>0</v>
      </c>
      <c r="AL570" s="38">
        <f>IF(AND(AL$7="○",$A570&gt;=AL$8,$A570&lt;=AL$9),IF(SUM(AL$10:AL569)-ROUNDDOWN($N570*AL$5/100,0)&lt;-AL$6,-AL$6-SUM(AL$10:AL569),-ROUNDDOWN($N570*AL$5/100,0)),0)</f>
        <v>0</v>
      </c>
      <c r="AM570" s="38">
        <f>IF(AND(AM$7="○",$A570&gt;=AM$8,$A570&lt;=AM$9),IF(SUM(AM$10:AM569)-ROUNDDOWN($L570*AM$5/100,0)&lt;-AM$6,-AM$6-SUM(AM$10:AM569),-ROUNDDOWN($L570*AM$5/100,0)),0)</f>
        <v>0</v>
      </c>
      <c r="AN570" s="38">
        <f>IF(AND(AN$7="○",$A570&gt;=AN$8,$A570&lt;=AN$9),IF(SUM(AN$10:AN569)-ROUNDDOWN($M570*AN$5/100,0)&lt;-AN$6,-AN$6-SUM(AN$10:AN569),-ROUNDDOWN($M570*AN$5/100,0)),0)</f>
        <v>0</v>
      </c>
      <c r="AO570" s="38">
        <f>IF(AND($A570&gt;=AO$8,$A570&lt;=AO$9),IF(SUM(AO$10:AO569)-ROUNDDOWN($K570*AO$5/100,0)&lt;-AO$6,-AO$6-SUM(AO$10:AO569),-ROUNDDOWN($K570*AO$5/100,0)),0)</f>
        <v>0</v>
      </c>
      <c r="AP570" s="38">
        <f>IF(AND($A570&gt;=AP$8,$A570&lt;=AP$9),IF(SUM(AP$10:AP569)-ROUNDDOWN($K570*AP$5/100,0)&lt;-AP$6,-AP$6-SUM(AP$10:AP569),-ROUNDDOWN($K570*AP$5/100,0)),0)</f>
        <v>0</v>
      </c>
      <c r="AQ570" s="38">
        <f>IF(AND($A570&gt;=AQ$8,$A570&lt;=AQ$9),IF(SUM(AQ$10:AQ569)-ROUNDDOWN($K570*AQ$5/100,0)&lt;-AQ$6,-AQ$6-SUM(AQ$10:AQ569),-ROUNDDOWN($K570*AQ$5/100,0)),0)</f>
        <v>0</v>
      </c>
      <c r="AR570" s="38">
        <f>IF(AND($A570&gt;=AR$8,$A570&lt;=AR$9),IF(SUM(AR$10:AR569)-ROUNDDOWN($K570*AR$5/100,0)&lt;-AR$6,-AR$6-SUM(AR$10:AR569),-ROUNDDOWN($K570*AR$5/100,0)),0)</f>
        <v>0</v>
      </c>
      <c r="AS570" s="38">
        <f>IF(SUMIFS(AS$10:AS569,$A$10:$A569,$A570)-ROUNDDOWN($K570*$S570/100,0)&lt;-$S570*1000,-$S570*1000-SUMIFS(AS$10:AS569,$A$10:$A569,$A570),-ROUNDDOWN($K570*$S570/100,0))</f>
        <v>0</v>
      </c>
      <c r="AT570" s="38">
        <f>IF(AND(X570="○",$A570&gt;=AT$8,$A570&lt;=AT$9,K570&gt;=3980),IF(SUM(AT$10:AT569)-ROUNDDOWN($K570*AT$5/100,0)&lt;-AT$6,-AT$6-SUM(AT$10:AT569),-ROUNDDOWN($K570*AT$5/100,0)),0)</f>
        <v>0</v>
      </c>
      <c r="AU570" s="38">
        <f>IF(O570="○",IF(SUM(AU$10:AU569)-ROUNDDOWN($K570*AU$5/100,0)&lt;-AU$6,-AU$6-SUM(AU$10:AU569),-ROUNDDOWN($K570*AU$5/100,0)),0)</f>
        <v>0</v>
      </c>
      <c r="AV570" s="38">
        <f>IF(P570="○",IF(SUM(AV$10:AV569)-ROUNDDOWN($K570*AV$5/100,0)&lt;-AV$6,-AV$6-SUM(AV$10:AV569),-ROUNDDOWN($K570*AV$5/100,0)),0)</f>
        <v>0</v>
      </c>
      <c r="AW570" s="38">
        <f>IF(Q570="○",IF(SUM(AW$10:AW569)-ROUNDDOWN($K570*AW$5/100,0)&lt;-AW$6,-AW$6-SUM(AW$10:AW569),-ROUNDDOWN($K570*AW$5/100,0)),0)</f>
        <v>0</v>
      </c>
      <c r="AX570" s="38">
        <f>IF(R570="○",IF(SUM(AX$10:AX569)-ROUNDDOWN($K570*AX$5/100,0)&lt;-AX$6,-AX$6-SUM(AX$10:AX569),-ROUNDDOWN($K570*AX$5/100,0)),0)</f>
        <v>0</v>
      </c>
      <c r="AY570" s="70">
        <v>0</v>
      </c>
      <c r="AZ570" s="65">
        <f t="shared" si="348"/>
        <v>0</v>
      </c>
      <c r="BA570" s="65">
        <f t="shared" si="349"/>
        <v>0</v>
      </c>
      <c r="BB570" s="70"/>
      <c r="BC570" s="65">
        <f t="shared" si="350"/>
        <v>0</v>
      </c>
      <c r="BD570" s="70">
        <v>0</v>
      </c>
      <c r="BE570" s="65">
        <f t="shared" si="351"/>
        <v>0</v>
      </c>
      <c r="BF570" s="70">
        <v>0</v>
      </c>
      <c r="BG570" s="65">
        <f t="shared" si="352"/>
        <v>0</v>
      </c>
      <c r="BH570" s="70">
        <v>0</v>
      </c>
      <c r="BI570" s="65">
        <f t="shared" si="353"/>
        <v>0</v>
      </c>
      <c r="BJ570" s="38">
        <f>IF(AND(BJ$7="○",$A570&gt;=BJ$8,$A570&lt;=BJ$9),IF(SUM(BJ$10:BJ569)-ROUNDDOWN($M570*BJ$5/100,0)&lt;-BJ$6,-BJ$6-SUM(BJ$10:BJ569),-ROUNDDOWN($M570*BJ$5/100,0)),0)</f>
        <v>0</v>
      </c>
      <c r="BK570" s="38">
        <f>IF(AND(BK$7="○",$A570&gt;=BK$8,$A570&lt;=BK$9),IF(SUM(BK$10:BK569)-ROUNDDOWN($L570*BK$5/100,0)&lt;-BK$6,-BK$6-SUM(BK$10:BK569),-ROUNDDOWN($L570*BK$5/100,0)),0)</f>
        <v>0</v>
      </c>
      <c r="BL570" s="38">
        <f>IF(AND(BL$7="○",$A570&gt;=BL$8,$A570&lt;=BL$9),IF(SUM(BL$10:BL569)-ROUNDDOWN($L570*BL$5/100,0)&lt;-BL$6,-BL$6-SUM(BL$10:BL569),-ROUNDDOWN($L570*BL$5/100,0)),0)</f>
        <v>0</v>
      </c>
      <c r="BM570" s="38">
        <f>IF(AND(BM$7="○",$A570&gt;=BM$8,$A570&lt;=BM$9),IF(SUM(BM$10:BM569)-ROUNDDOWN($M570*BM$5/100,0)&lt;-BM$6,-BM$6-SUM(BM$10:BM569),-ROUNDDOWN($M570*BM$5/100,0)),0)</f>
        <v>0</v>
      </c>
      <c r="BN570" s="38">
        <f>IF(AND(BN$7="○",$A570&gt;=BN$8,$A570&lt;=BN$9),IF(SUM(BN$10:BN569)-ROUNDDOWN($M570*BN$5/100,0)&lt;-BN$6,-BN$6-SUM(BN$10:BN569),-ROUNDDOWN($M570*BN$5/100,0)),0)</f>
        <v>0</v>
      </c>
      <c r="BO570" s="38">
        <f>IF(AND(BO$7="○",$A570&gt;=BO$8,$A570&lt;=BO$9),IF(SUM(BO$10:BO569)-ROUNDDOWN($M570*BO$5/100,0)&lt;-BO$6,-BO$6-SUM(BO$10:BO569),-ROUNDDOWN($M570*BO$5/100,0)),0)</f>
        <v>0</v>
      </c>
      <c r="BP570" s="38">
        <f>IF(AND(BP$7="○",$A570&gt;=BP$8,$A570&lt;=BP$9),IF(SUM(BP$10:BP569)-ROUNDDOWN($M570*BP$5/100,0)&lt;-BP$6,-BP$6-SUM(BP$10:BP569),-ROUNDDOWN($M570*BP$5/100,0)),0)</f>
        <v>0</v>
      </c>
      <c r="BQ570" s="38">
        <f>IF(AND(BQ$7="○",$A570&gt;=BQ$8,$A570&lt;=BQ$9),IF(SUM(BQ$10:BQ569)-ROUNDDOWN($L570*BQ$5/100,0)&lt;-BQ$6,-BQ$6-SUM(BQ$10:BQ569),-ROUNDDOWN($L570*BQ$5/100,0)),0)</f>
        <v>0</v>
      </c>
      <c r="BR570" s="38">
        <f>IF(AND(BR$7="○",$A570&gt;=BR$8,$A570&lt;=BR$9),IF(SUM(BR$10:BR569)-ROUNDDOWN($M570*BR$5/100,0)&lt;-BR$6,-BR$6-SUM(BR$10:BR569),-ROUNDDOWN($M570*BR$5/100,0)),0)</f>
        <v>0</v>
      </c>
      <c r="BS570" s="38">
        <f>IF(AND(BS$7="○",$A570&gt;=BS$8,$A570&lt;=BS$9),IF(SUM(BS$10:BS569)-ROUNDDOWN($M570*BS$5/100,0)&lt;-BS$6,-BS$6-SUM(BS$10:BS569),-ROUNDDOWN($M570*BS$5/100,0)),0)</f>
        <v>0</v>
      </c>
      <c r="BT570" s="38">
        <f>IF(AND(BT$7="○",$A570&gt;=BT$8,$A570&lt;=BT$9),IF(SUM(BT$10:BT569)-ROUNDDOWN($M570*BT$5/100,0)&lt;-BT$6,-BT$6-SUM(BT$10:BT569),-ROUNDDOWN($M570*BT$5/100,0)),0)</f>
        <v>0</v>
      </c>
      <c r="BU570" s="38">
        <f>IF(AND(BU$7="○",$A570&gt;=BU$8,$A570&lt;=BU$9),IF(SUM(BU$10:BU569)-ROUNDDOWN($M570*BU$5/100,0)&lt;-BU$6,-BU$6-SUM(BU$10:BU569),-ROUNDDOWN($M570*BU$5/100,0)),0)</f>
        <v>0</v>
      </c>
      <c r="BV570" s="38">
        <f>IF(AND(BV$7="○",$A570&gt;=BV$8,$A570&lt;=BV$9),IF(SUM(BV$10:BV569)-ROUNDDOWN($M570*BV$5/100,0)&lt;-BV$6,-BV$6-SUM(BV$10:BV569),-ROUNDDOWN($M570*BV$5/100,0)),0)</f>
        <v>0</v>
      </c>
      <c r="BW570" s="38">
        <f>IF(AND(BW$7="○",$A570&gt;=BW$8,$A570&lt;=BW$9),IF(SUM(BW$10:BW569)-ROUNDDOWN($M570*BW$5/100,0)&lt;-BW$6,-BW$6-SUM(BW$10:BW569),-ROUNDDOWN($M570*BW$5/100,0)),0)</f>
        <v>0</v>
      </c>
      <c r="BX570" s="38">
        <f>IF(AND(T570="○",$A570&gt;=BX$8,$A570&lt;=BX$9),IF(SUM(BX$10:BX569)-ROUNDDOWN($K570*BX$5/100,0)&lt;-BX$6,-BX$6-SUM(BX$10:BX569),-ROUNDDOWN($K570*BX$5/100,0)),0)</f>
        <v>0</v>
      </c>
      <c r="BY570" s="38">
        <f>IF(AND(U570="○",$A570&gt;=BY$8,$A570&lt;=BY$9),IF(SUM(BY$10:BY569)-ROUNDDOWN($K570*BY$5/100,0)&lt;-BY$6,-BY$6-SUM(BY$10:BY569),-ROUNDDOWN($K570*BY$5/100,0)),0)</f>
        <v>0</v>
      </c>
      <c r="BZ570" s="38">
        <f>IF(AND(V570="○",$A570&gt;=BZ$8,$A570&lt;=BZ$9),IF(SUM(BZ$10:BZ569)-ROUNDDOWN($K570*BZ$5/100,0)&lt;-BZ$6,-BZ$6-SUM(BZ$10:BZ569),-ROUNDDOWN($K570*BZ$5/100,0)),0)</f>
        <v>0</v>
      </c>
      <c r="CA570" s="38">
        <f>IF(AND(W570="○",$A570&gt;=CA$8,$A570&lt;=CA$9),IF(SUM(CA$10:CA569)-ROUNDDOWN($K570*CA$5/100,0)&lt;-CA$6,-CA$6-SUM(CA$10:CA569),-ROUNDDOWN($K570*CA$5/100,0)),0)</f>
        <v>0</v>
      </c>
      <c r="CB570" s="38"/>
      <c r="CC570" s="38"/>
      <c r="CD570" s="38"/>
      <c r="CE570" s="38"/>
      <c r="CF570" s="38"/>
      <c r="CG570" s="65">
        <f t="shared" si="354"/>
        <v>0</v>
      </c>
      <c r="CH570" s="71">
        <f t="shared" si="355"/>
        <v>0</v>
      </c>
      <c r="CI570" s="1">
        <f t="shared" si="366"/>
        <v>0</v>
      </c>
      <c r="CJ570" s="1"/>
      <c r="CK570" s="75"/>
      <c r="CL570" s="75"/>
      <c r="CM570" s="2"/>
      <c r="CN570" s="2"/>
      <c r="CO570" s="73">
        <f t="shared" si="367"/>
        <v>0</v>
      </c>
      <c r="CP570" s="5">
        <f t="shared" si="368"/>
        <v>0</v>
      </c>
      <c r="CQ570" s="1"/>
      <c r="CR570" s="1">
        <f t="shared" si="369"/>
        <v>0</v>
      </c>
      <c r="CS570" s="1"/>
      <c r="CT570" s="1" t="e">
        <f>INDEX([2]マスタ!$A:$A,MATCH(D570,[2]マスタ!$C:$C,0))</f>
        <v>#N/A</v>
      </c>
      <c r="CU570" s="1" t="str">
        <f t="shared" ca="1" si="370"/>
        <v>20260620_0-0</v>
      </c>
    </row>
    <row r="571" spans="1:99" x14ac:dyDescent="0.4">
      <c r="A571" s="61"/>
      <c r="B571" s="62"/>
      <c r="C571" s="62"/>
      <c r="D571" s="62"/>
      <c r="E571" s="74"/>
      <c r="F571" s="62"/>
      <c r="G571" s="62">
        <v>1</v>
      </c>
      <c r="H571" s="64">
        <f t="shared" si="360"/>
        <v>0</v>
      </c>
      <c r="I571" s="64"/>
      <c r="J571" s="64"/>
      <c r="K571" s="65">
        <f t="shared" si="371"/>
        <v>0</v>
      </c>
      <c r="L571" s="65">
        <f t="shared" si="362"/>
        <v>0</v>
      </c>
      <c r="M571" s="65">
        <f t="shared" si="363"/>
        <v>0</v>
      </c>
      <c r="N571" s="65">
        <f t="shared" si="364"/>
        <v>0</v>
      </c>
      <c r="O571" s="66" t="str">
        <f t="shared" si="9"/>
        <v>✕</v>
      </c>
      <c r="P571" s="67" t="str">
        <f t="shared" si="10"/>
        <v>○</v>
      </c>
      <c r="Q571" s="67" t="str">
        <f t="shared" si="372"/>
        <v>✕</v>
      </c>
      <c r="R571" s="67" t="str">
        <f t="shared" si="12"/>
        <v>✕</v>
      </c>
      <c r="S571" s="68">
        <v>0</v>
      </c>
      <c r="T571" s="69" t="s">
        <v>85</v>
      </c>
      <c r="U571" s="69" t="s">
        <v>85</v>
      </c>
      <c r="V571" s="69" t="s">
        <v>85</v>
      </c>
      <c r="W571" s="69" t="s">
        <v>85</v>
      </c>
      <c r="X571" s="69" t="s">
        <v>84</v>
      </c>
      <c r="Y571" s="69" t="s">
        <v>85</v>
      </c>
      <c r="Z571" s="69" t="s">
        <v>85</v>
      </c>
      <c r="AA571" s="69" t="s">
        <v>85</v>
      </c>
      <c r="AB571" s="69" t="s">
        <v>85</v>
      </c>
      <c r="AC571" s="69" t="s">
        <v>85</v>
      </c>
      <c r="AD571" s="38" t="str">
        <f>+IF(ISERROR(VLOOKUP($B571,AD$10:AD570,1,0)),IF(AND($N571&gt;=1000,$A571&gt;=AO$8,$A571&lt;=AO$9),$B571,""),"")</f>
        <v/>
      </c>
      <c r="AE571" s="38" t="str">
        <f>+IF(ISERROR(VLOOKUP($B571,AE$10:AE570,1,0)),IF(AND($N571&gt;=1000,$A571&gt;=AP$8,$A571&lt;=AP$9),$B571,""),"")</f>
        <v/>
      </c>
      <c r="AF571" s="38" t="str">
        <f>+IF(ISERROR(VLOOKUP($B571,AF$10:AF570,1,0)),IF(AND($N571&gt;=1000,$A571&gt;=AQ$8,$A571&lt;=AQ$9),$B571,""),"")</f>
        <v/>
      </c>
      <c r="AG571" s="38" t="str">
        <f>+IF(ISERROR(VLOOKUP($B571,AG$10:AG570,1,0)),IF(AND($N571&gt;=1000,$A571&gt;=AR$8,$A571&lt;=AR$9),$B571,""),"")</f>
        <v/>
      </c>
      <c r="AH571" s="38"/>
      <c r="AI571" s="70">
        <v>0</v>
      </c>
      <c r="AJ571" s="38">
        <f>IF(AND(AJ$7="○",$A571&gt;=AJ$8,$A571&lt;=AJ$9),IF(SUM(AJ$10:AJ570)-ROUNDDOWN($K571*AJ$5/100,0)&lt;-AJ$6,-AJ$6-SUM(AJ$10:AJ570),-ROUNDDOWN($K571*AJ$5/100,0)),0)</f>
        <v>0</v>
      </c>
      <c r="AK571" s="38">
        <f>IF(AND(AK$7="○",$A571&gt;=AK$8,$A571&lt;=AK$9),IF(SUM(AK$10:AK570)-ROUNDDOWN($L571*AK$5/100,0)&lt;-AK$6,-AK$6-SUM(AK$10:AK570),-ROUNDDOWN($L571*AK$5/100,0)),0)</f>
        <v>0</v>
      </c>
      <c r="AL571" s="38">
        <f>IF(AND(AL$7="○",$A571&gt;=AL$8,$A571&lt;=AL$9),IF(SUM(AL$10:AL570)-ROUNDDOWN($N571*AL$5/100,0)&lt;-AL$6,-AL$6-SUM(AL$10:AL570),-ROUNDDOWN($N571*AL$5/100,0)),0)</f>
        <v>0</v>
      </c>
      <c r="AM571" s="38">
        <f>IF(AND(AM$7="○",$A571&gt;=AM$8,$A571&lt;=AM$9),IF(SUM(AM$10:AM570)-ROUNDDOWN($L571*AM$5/100,0)&lt;-AM$6,-AM$6-SUM(AM$10:AM570),-ROUNDDOWN($L571*AM$5/100,0)),0)</f>
        <v>0</v>
      </c>
      <c r="AN571" s="38">
        <f>IF(AND(AN$7="○",$A571&gt;=AN$8,$A571&lt;=AN$9),IF(SUM(AN$10:AN570)-ROUNDDOWN($M571*AN$5/100,0)&lt;-AN$6,-AN$6-SUM(AN$10:AN570),-ROUNDDOWN($M571*AN$5/100,0)),0)</f>
        <v>0</v>
      </c>
      <c r="AO571" s="38">
        <f>IF(AND($A571&gt;=AO$8,$A571&lt;=AO$9),IF(SUM(AO$10:AO570)-ROUNDDOWN($K571*AO$5/100,0)&lt;-AO$6,-AO$6-SUM(AO$10:AO570),-ROUNDDOWN($K571*AO$5/100,0)),0)</f>
        <v>0</v>
      </c>
      <c r="AP571" s="38">
        <f>IF(AND($A571&gt;=AP$8,$A571&lt;=AP$9),IF(SUM(AP$10:AP570)-ROUNDDOWN($K571*AP$5/100,0)&lt;-AP$6,-AP$6-SUM(AP$10:AP570),-ROUNDDOWN($K571*AP$5/100,0)),0)</f>
        <v>0</v>
      </c>
      <c r="AQ571" s="38">
        <f>IF(AND($A571&gt;=AQ$8,$A571&lt;=AQ$9),IF(SUM(AQ$10:AQ570)-ROUNDDOWN($K571*AQ$5/100,0)&lt;-AQ$6,-AQ$6-SUM(AQ$10:AQ570),-ROUNDDOWN($K571*AQ$5/100,0)),0)</f>
        <v>0</v>
      </c>
      <c r="AR571" s="38">
        <f>IF(AND($A571&gt;=AR$8,$A571&lt;=AR$9),IF(SUM(AR$10:AR570)-ROUNDDOWN($K571*AR$5/100,0)&lt;-AR$6,-AR$6-SUM(AR$10:AR570),-ROUNDDOWN($K571*AR$5/100,0)),0)</f>
        <v>0</v>
      </c>
      <c r="AS571" s="38">
        <f>IF(SUMIFS(AS$10:AS570,$A$10:$A570,$A571)-ROUNDDOWN($K571*$S571/100,0)&lt;-$S571*1000,-$S571*1000-SUMIFS(AS$10:AS570,$A$10:$A570,$A571),-ROUNDDOWN($K571*$S571/100,0))</f>
        <v>0</v>
      </c>
      <c r="AT571" s="38">
        <f>IF(AND(X571="○",$A571&gt;=AT$8,$A571&lt;=AT$9,K571&gt;=3980),IF(SUM(AT$10:AT570)-ROUNDDOWN($K571*AT$5/100,0)&lt;-AT$6,-AT$6-SUM(AT$10:AT570),-ROUNDDOWN($K571*AT$5/100,0)),0)</f>
        <v>0</v>
      </c>
      <c r="AU571" s="38">
        <f>IF(O571="○",IF(SUM(AU$10:AU570)-ROUNDDOWN($K571*AU$5/100,0)&lt;-AU$6,-AU$6-SUM(AU$10:AU570),-ROUNDDOWN($K571*AU$5/100,0)),0)</f>
        <v>0</v>
      </c>
      <c r="AV571" s="38">
        <f>IF(P571="○",IF(SUM(AV$10:AV570)-ROUNDDOWN($K571*AV$5/100,0)&lt;-AV$6,-AV$6-SUM(AV$10:AV570),-ROUNDDOWN($K571*AV$5/100,0)),0)</f>
        <v>0</v>
      </c>
      <c r="AW571" s="38">
        <f>IF(Q571="○",IF(SUM(AW$10:AW570)-ROUNDDOWN($K571*AW$5/100,0)&lt;-AW$6,-AW$6-SUM(AW$10:AW570),-ROUNDDOWN($K571*AW$5/100,0)),0)</f>
        <v>0</v>
      </c>
      <c r="AX571" s="38">
        <f>IF(R571="○",IF(SUM(AX$10:AX570)-ROUNDDOWN($K571*AX$5/100,0)&lt;-AX$6,-AX$6-SUM(AX$10:AX570),-ROUNDDOWN($K571*AX$5/100,0)),0)</f>
        <v>0</v>
      </c>
      <c r="AY571" s="70">
        <v>0</v>
      </c>
      <c r="AZ571" s="65">
        <f t="shared" si="348"/>
        <v>0</v>
      </c>
      <c r="BA571" s="65">
        <f t="shared" si="349"/>
        <v>0</v>
      </c>
      <c r="BB571" s="70"/>
      <c r="BC571" s="65">
        <f t="shared" si="350"/>
        <v>0</v>
      </c>
      <c r="BD571" s="70">
        <v>0</v>
      </c>
      <c r="BE571" s="65">
        <f t="shared" si="351"/>
        <v>0</v>
      </c>
      <c r="BF571" s="70">
        <v>0</v>
      </c>
      <c r="BG571" s="65">
        <f t="shared" si="352"/>
        <v>0</v>
      </c>
      <c r="BH571" s="70">
        <v>0</v>
      </c>
      <c r="BI571" s="65">
        <f t="shared" si="353"/>
        <v>0</v>
      </c>
      <c r="BJ571" s="38">
        <f>IF(AND(BJ$7="○",$A571&gt;=BJ$8,$A571&lt;=BJ$9),IF(SUM(BJ$10:BJ570)-ROUNDDOWN($M571*BJ$5/100,0)&lt;-BJ$6,-BJ$6-SUM(BJ$10:BJ570),-ROUNDDOWN($M571*BJ$5/100,0)),0)</f>
        <v>0</v>
      </c>
      <c r="BK571" s="38">
        <f>IF(AND(BK$7="○",$A571&gt;=BK$8,$A571&lt;=BK$9),IF(SUM(BK$10:BK570)-ROUNDDOWN($L571*BK$5/100,0)&lt;-BK$6,-BK$6-SUM(BK$10:BK570),-ROUNDDOWN($L571*BK$5/100,0)),0)</f>
        <v>0</v>
      </c>
      <c r="BL571" s="38">
        <f>IF(AND(BL$7="○",$A571&gt;=BL$8,$A571&lt;=BL$9),IF(SUM(BL$10:BL570)-ROUNDDOWN($L571*BL$5/100,0)&lt;-BL$6,-BL$6-SUM(BL$10:BL570),-ROUNDDOWN($L571*BL$5/100,0)),0)</f>
        <v>0</v>
      </c>
      <c r="BM571" s="38">
        <f>IF(AND(BM$7="○",$A571&gt;=BM$8,$A571&lt;=BM$9),IF(SUM(BM$10:BM570)-ROUNDDOWN($M571*BM$5/100,0)&lt;-BM$6,-BM$6-SUM(BM$10:BM570),-ROUNDDOWN($M571*BM$5/100,0)),0)</f>
        <v>0</v>
      </c>
      <c r="BN571" s="38">
        <f>IF(AND(BN$7="○",$A571&gt;=BN$8,$A571&lt;=BN$9),IF(SUM(BN$10:BN570)-ROUNDDOWN($M571*BN$5/100,0)&lt;-BN$6,-BN$6-SUM(BN$10:BN570),-ROUNDDOWN($M571*BN$5/100,0)),0)</f>
        <v>0</v>
      </c>
      <c r="BO571" s="38">
        <f>IF(AND(BO$7="○",$A571&gt;=BO$8,$A571&lt;=BO$9),IF(SUM(BO$10:BO570)-ROUNDDOWN($M571*BO$5/100,0)&lt;-BO$6,-BO$6-SUM(BO$10:BO570),-ROUNDDOWN($M571*BO$5/100,0)),0)</f>
        <v>0</v>
      </c>
      <c r="BP571" s="38">
        <f>IF(AND(BP$7="○",$A571&gt;=BP$8,$A571&lt;=BP$9),IF(SUM(BP$10:BP570)-ROUNDDOWN($M571*BP$5/100,0)&lt;-BP$6,-BP$6-SUM(BP$10:BP570),-ROUNDDOWN($M571*BP$5/100,0)),0)</f>
        <v>0</v>
      </c>
      <c r="BQ571" s="38">
        <f>IF(AND(BQ$7="○",$A571&gt;=BQ$8,$A571&lt;=BQ$9),IF(SUM(BQ$10:BQ570)-ROUNDDOWN($L571*BQ$5/100,0)&lt;-BQ$6,-BQ$6-SUM(BQ$10:BQ570),-ROUNDDOWN($L571*BQ$5/100,0)),0)</f>
        <v>0</v>
      </c>
      <c r="BR571" s="38">
        <f>IF(AND(BR$7="○",$A571&gt;=BR$8,$A571&lt;=BR$9),IF(SUM(BR$10:BR570)-ROUNDDOWN($M571*BR$5/100,0)&lt;-BR$6,-BR$6-SUM(BR$10:BR570),-ROUNDDOWN($M571*BR$5/100,0)),0)</f>
        <v>0</v>
      </c>
      <c r="BS571" s="38">
        <f>IF(AND(BS$7="○",$A571&gt;=BS$8,$A571&lt;=BS$9),IF(SUM(BS$10:BS570)-ROUNDDOWN($M571*BS$5/100,0)&lt;-BS$6,-BS$6-SUM(BS$10:BS570),-ROUNDDOWN($M571*BS$5/100,0)),0)</f>
        <v>0</v>
      </c>
      <c r="BT571" s="38">
        <f>IF(AND(BT$7="○",$A571&gt;=BT$8,$A571&lt;=BT$9),IF(SUM(BT$10:BT570)-ROUNDDOWN($M571*BT$5/100,0)&lt;-BT$6,-BT$6-SUM(BT$10:BT570),-ROUNDDOWN($M571*BT$5/100,0)),0)</f>
        <v>0</v>
      </c>
      <c r="BU571" s="38">
        <f>IF(AND(BU$7="○",$A571&gt;=BU$8,$A571&lt;=BU$9),IF(SUM(BU$10:BU570)-ROUNDDOWN($M571*BU$5/100,0)&lt;-BU$6,-BU$6-SUM(BU$10:BU570),-ROUNDDOWN($M571*BU$5/100,0)),0)</f>
        <v>0</v>
      </c>
      <c r="BV571" s="38">
        <f>IF(AND(BV$7="○",$A571&gt;=BV$8,$A571&lt;=BV$9),IF(SUM(BV$10:BV570)-ROUNDDOWN($M571*BV$5/100,0)&lt;-BV$6,-BV$6-SUM(BV$10:BV570),-ROUNDDOWN($M571*BV$5/100,0)),0)</f>
        <v>0</v>
      </c>
      <c r="BW571" s="38">
        <f>IF(AND(BW$7="○",$A571&gt;=BW$8,$A571&lt;=BW$9),IF(SUM(BW$10:BW570)-ROUNDDOWN($M571*BW$5/100,0)&lt;-BW$6,-BW$6-SUM(BW$10:BW570),-ROUNDDOWN($M571*BW$5/100,0)),0)</f>
        <v>0</v>
      </c>
      <c r="BX571" s="38">
        <f>IF(AND(T571="○",$A571&gt;=BX$8,$A571&lt;=BX$9),IF(SUM(BX$10:BX570)-ROUNDDOWN($K571*BX$5/100,0)&lt;-BX$6,-BX$6-SUM(BX$10:BX570),-ROUNDDOWN($K571*BX$5/100,0)),0)</f>
        <v>0</v>
      </c>
      <c r="BY571" s="38">
        <f>IF(AND(U571="○",$A571&gt;=BY$8,$A571&lt;=BY$9),IF(SUM(BY$10:BY570)-ROUNDDOWN($K571*BY$5/100,0)&lt;-BY$6,-BY$6-SUM(BY$10:BY570),-ROUNDDOWN($K571*BY$5/100,0)),0)</f>
        <v>0</v>
      </c>
      <c r="BZ571" s="38">
        <f>IF(AND(V571="○",$A571&gt;=BZ$8,$A571&lt;=BZ$9),IF(SUM(BZ$10:BZ570)-ROUNDDOWN($K571*BZ$5/100,0)&lt;-BZ$6,-BZ$6-SUM(BZ$10:BZ570),-ROUNDDOWN($K571*BZ$5/100,0)),0)</f>
        <v>0</v>
      </c>
      <c r="CA571" s="38">
        <f>IF(AND(W571="○",$A571&gt;=CA$8,$A571&lt;=CA$9),IF(SUM(CA$10:CA570)-ROUNDDOWN($K571*CA$5/100,0)&lt;-CA$6,-CA$6-SUM(CA$10:CA570),-ROUNDDOWN($K571*CA$5/100,0)),0)</f>
        <v>0</v>
      </c>
      <c r="CB571" s="38"/>
      <c r="CC571" s="38"/>
      <c r="CD571" s="38"/>
      <c r="CE571" s="38"/>
      <c r="CF571" s="38"/>
      <c r="CG571" s="65">
        <f t="shared" si="354"/>
        <v>0</v>
      </c>
      <c r="CH571" s="71">
        <f t="shared" si="355"/>
        <v>0</v>
      </c>
      <c r="CI571" s="1">
        <f t="shared" si="366"/>
        <v>0</v>
      </c>
      <c r="CJ571" s="1"/>
      <c r="CK571" s="75"/>
      <c r="CL571" s="75"/>
      <c r="CM571" s="2"/>
      <c r="CN571" s="2"/>
      <c r="CO571" s="73">
        <f t="shared" si="367"/>
        <v>0</v>
      </c>
      <c r="CP571" s="5">
        <f t="shared" si="368"/>
        <v>0</v>
      </c>
      <c r="CQ571" s="1"/>
      <c r="CR571" s="1">
        <f t="shared" si="369"/>
        <v>0</v>
      </c>
      <c r="CS571" s="1"/>
      <c r="CT571" s="1" t="e">
        <f>INDEX([2]マスタ!$A:$A,MATCH(D571,[2]マスタ!$C:$C,0))</f>
        <v>#N/A</v>
      </c>
      <c r="CU571" s="1" t="str">
        <f t="shared" ca="1" si="370"/>
        <v>20260620_0-0</v>
      </c>
    </row>
    <row r="572" spans="1:99" x14ac:dyDescent="0.4">
      <c r="A572" s="61"/>
      <c r="B572" s="62"/>
      <c r="C572" s="62"/>
      <c r="D572" s="62"/>
      <c r="E572" s="74"/>
      <c r="F572" s="62"/>
      <c r="G572" s="62">
        <v>1</v>
      </c>
      <c r="H572" s="64">
        <f t="shared" si="360"/>
        <v>0</v>
      </c>
      <c r="I572" s="64"/>
      <c r="J572" s="64"/>
      <c r="K572" s="65">
        <f>+ROUNDDOWN((H572+I572)/100,0)*100</f>
        <v>0</v>
      </c>
      <c r="L572" s="65">
        <f t="shared" si="362"/>
        <v>0</v>
      </c>
      <c r="M572" s="65">
        <f t="shared" si="363"/>
        <v>0</v>
      </c>
      <c r="N572" s="65">
        <f t="shared" si="364"/>
        <v>0</v>
      </c>
      <c r="O572" s="66" t="str">
        <f t="shared" si="9"/>
        <v>✕</v>
      </c>
      <c r="P572" s="67" t="str">
        <f t="shared" si="10"/>
        <v>○</v>
      </c>
      <c r="Q572" s="67" t="str">
        <f>+IF((TEXT($A572,"DD")+0)=1,"○","✕")</f>
        <v>✕</v>
      </c>
      <c r="R572" s="67" t="str">
        <f t="shared" si="12"/>
        <v>✕</v>
      </c>
      <c r="S572" s="68">
        <v>0</v>
      </c>
      <c r="T572" s="69" t="s">
        <v>85</v>
      </c>
      <c r="U572" s="69" t="s">
        <v>85</v>
      </c>
      <c r="V572" s="69" t="s">
        <v>85</v>
      </c>
      <c r="W572" s="69" t="s">
        <v>85</v>
      </c>
      <c r="X572" s="69" t="s">
        <v>84</v>
      </c>
      <c r="Y572" s="69" t="s">
        <v>85</v>
      </c>
      <c r="Z572" s="69" t="s">
        <v>85</v>
      </c>
      <c r="AA572" s="69" t="s">
        <v>85</v>
      </c>
      <c r="AB572" s="69" t="s">
        <v>85</v>
      </c>
      <c r="AC572" s="69" t="s">
        <v>85</v>
      </c>
      <c r="AD572" s="38" t="str">
        <f>+IF(ISERROR(VLOOKUP($B572,AD$10:AD571,1,0)),IF(AND($N572&gt;=1000,$A572&gt;=AO$8,$A572&lt;=AO$9),$B572,""),"")</f>
        <v/>
      </c>
      <c r="AE572" s="38" t="str">
        <f>+IF(ISERROR(VLOOKUP($B572,AE$10:AE571,1,0)),IF(AND($N572&gt;=1000,$A572&gt;=AP$8,$A572&lt;=AP$9),$B572,""),"")</f>
        <v/>
      </c>
      <c r="AF572" s="38" t="str">
        <f>+IF(ISERROR(VLOOKUP($B572,AF$10:AF571,1,0)),IF(AND($N572&gt;=1000,$A572&gt;=AQ$8,$A572&lt;=AQ$9),$B572,""),"")</f>
        <v/>
      </c>
      <c r="AG572" s="38" t="str">
        <f>+IF(ISERROR(VLOOKUP($B572,AG$10:AG571,1,0)),IF(AND($N572&gt;=1000,$A572&gt;=AR$8,$A572&lt;=AR$9),$B572,""),"")</f>
        <v/>
      </c>
      <c r="AH572" s="38"/>
      <c r="AI572" s="70">
        <v>0</v>
      </c>
      <c r="AJ572" s="38">
        <f>IF(AND(AJ$7="○",$A572&gt;=AJ$8,$A572&lt;=AJ$9),IF(SUM(AJ$10:AJ571)-ROUNDDOWN($K572*AJ$5/100,0)&lt;-AJ$6,-AJ$6-SUM(AJ$10:AJ571),-ROUNDDOWN($K572*AJ$5/100,0)),0)</f>
        <v>0</v>
      </c>
      <c r="AK572" s="38">
        <f>IF(AND(AK$7="○",$A572&gt;=AK$8,$A572&lt;=AK$9),IF(SUM(AK$10:AK571)-ROUNDDOWN($L572*AK$5/100,0)&lt;-AK$6,-AK$6-SUM(AK$10:AK571),-ROUNDDOWN($L572*AK$5/100,0)),0)</f>
        <v>0</v>
      </c>
      <c r="AL572" s="38">
        <f>IF(AND(AL$7="○",$A572&gt;=AL$8,$A572&lt;=AL$9),IF(SUM(AL$10:AL571)-ROUNDDOWN($N572*AL$5/100,0)&lt;-AL$6,-AL$6-SUM(AL$10:AL571),-ROUNDDOWN($N572*AL$5/100,0)),0)</f>
        <v>0</v>
      </c>
      <c r="AM572" s="38">
        <f>IF(AND(AM$7="○",$A572&gt;=AM$8,$A572&lt;=AM$9),IF(SUM(AM$10:AM571)-ROUNDDOWN($L572*AM$5/100,0)&lt;-AM$6,-AM$6-SUM(AM$10:AM571),-ROUNDDOWN($L572*AM$5/100,0)),0)</f>
        <v>0</v>
      </c>
      <c r="AN572" s="38">
        <f>IF(AND(AN$7="○",$A572&gt;=AN$8,$A572&lt;=AN$9),IF(SUM(AN$10:AN571)-ROUNDDOWN($M572*AN$5/100,0)&lt;-AN$6,-AN$6-SUM(AN$10:AN571),-ROUNDDOWN($M572*AN$5/100,0)),0)</f>
        <v>0</v>
      </c>
      <c r="AO572" s="38">
        <f>IF(AND($A572&gt;=AO$8,$A572&lt;=AO$9),IF(SUM(AO$10:AO571)-ROUNDDOWN($K572*AO$5/100,0)&lt;-AO$6,-AO$6-SUM(AO$10:AO571),-ROUNDDOWN($K572*AO$5/100,0)),0)</f>
        <v>0</v>
      </c>
      <c r="AP572" s="38">
        <f>IF(AND($A572&gt;=AP$8,$A572&lt;=AP$9),IF(SUM(AP$10:AP571)-ROUNDDOWN($K572*AP$5/100,0)&lt;-AP$6,-AP$6-SUM(AP$10:AP571),-ROUNDDOWN($K572*AP$5/100,0)),0)</f>
        <v>0</v>
      </c>
      <c r="AQ572" s="38">
        <f>IF(AND($A572&gt;=AQ$8,$A572&lt;=AQ$9),IF(SUM(AQ$10:AQ571)-ROUNDDOWN($K572*AQ$5/100,0)&lt;-AQ$6,-AQ$6-SUM(AQ$10:AQ571),-ROUNDDOWN($K572*AQ$5/100,0)),0)</f>
        <v>0</v>
      </c>
      <c r="AR572" s="38">
        <f>IF(AND($A572&gt;=AR$8,$A572&lt;=AR$9),IF(SUM(AR$10:AR571)-ROUNDDOWN($K572*AR$5/100,0)&lt;-AR$6,-AR$6-SUM(AR$10:AR571),-ROUNDDOWN($K572*AR$5/100,0)),0)</f>
        <v>0</v>
      </c>
      <c r="AS572" s="38">
        <f>IF(SUMIFS(AS$10:AS571,$A$10:$A571,$A572)-ROUNDDOWN($K572*$S572/100,0)&lt;-$S572*1000,-$S572*1000-SUMIFS(AS$10:AS571,$A$10:$A571,$A572),-ROUNDDOWN($K572*$S572/100,0))</f>
        <v>0</v>
      </c>
      <c r="AT572" s="38">
        <f>IF(AND(X572="○",$A572&gt;=AT$8,$A572&lt;=AT$9,K572&gt;=3980),IF(SUM(AT$10:AT571)-ROUNDDOWN($K572*AT$5/100,0)&lt;-AT$6,-AT$6-SUM(AT$10:AT571),-ROUNDDOWN($K572*AT$5/100,0)),0)</f>
        <v>0</v>
      </c>
      <c r="AU572" s="38">
        <f>IF(O572="○",IF(SUM(AU$10:AU571)-ROUNDDOWN($K572*AU$5/100,0)&lt;-AU$6,-AU$6-SUM(AU$10:AU571),-ROUNDDOWN($K572*AU$5/100,0)),0)</f>
        <v>0</v>
      </c>
      <c r="AV572" s="38">
        <f>IF(P572="○",IF(SUM(AV$10:AV571)-ROUNDDOWN($K572*AV$5/100,0)&lt;-AV$6,-AV$6-SUM(AV$10:AV571),-ROUNDDOWN($K572*AV$5/100,0)),0)</f>
        <v>0</v>
      </c>
      <c r="AW572" s="38">
        <f>IF(Q572="○",IF(SUM(AW$10:AW571)-ROUNDDOWN($K572*AW$5/100,0)&lt;-AW$6,-AW$6-SUM(AW$10:AW571),-ROUNDDOWN($K572*AW$5/100,0)),0)</f>
        <v>0</v>
      </c>
      <c r="AX572" s="38">
        <f>IF(R572="○",IF(SUM(AX$10:AX571)-ROUNDDOWN($K572*AX$5/100,0)&lt;-AX$6,-AX$6-SUM(AX$10:AX571),-ROUNDDOWN($K572*AX$5/100,0)),0)</f>
        <v>0</v>
      </c>
      <c r="AY572" s="70">
        <v>0</v>
      </c>
      <c r="AZ572" s="65">
        <f t="shared" si="348"/>
        <v>0</v>
      </c>
      <c r="BA572" s="65">
        <f t="shared" si="349"/>
        <v>0</v>
      </c>
      <c r="BB572" s="70"/>
      <c r="BC572" s="65">
        <f t="shared" si="350"/>
        <v>0</v>
      </c>
      <c r="BD572" s="70">
        <v>0</v>
      </c>
      <c r="BE572" s="65">
        <f t="shared" si="351"/>
        <v>0</v>
      </c>
      <c r="BF572" s="70">
        <v>0</v>
      </c>
      <c r="BG572" s="65">
        <f t="shared" si="352"/>
        <v>0</v>
      </c>
      <c r="BH572" s="70">
        <v>0</v>
      </c>
      <c r="BI572" s="65">
        <f t="shared" si="353"/>
        <v>0</v>
      </c>
      <c r="BJ572" s="38">
        <f>IF(AND(BJ$7="○",$A572&gt;=BJ$8,$A572&lt;=BJ$9),IF(SUM(BJ$10:BJ571)-ROUNDDOWN($M572*BJ$5/100,0)&lt;-BJ$6,-BJ$6-SUM(BJ$10:BJ571),-ROUNDDOWN($M572*BJ$5/100,0)),0)</f>
        <v>0</v>
      </c>
      <c r="BK572" s="38">
        <f>IF(AND(BK$7="○",$A572&gt;=BK$8,$A572&lt;=BK$9),IF(SUM(BK$10:BK571)-ROUNDDOWN($L572*BK$5/100,0)&lt;-BK$6,-BK$6-SUM(BK$10:BK571),-ROUNDDOWN($L572*BK$5/100,0)),0)</f>
        <v>0</v>
      </c>
      <c r="BL572" s="38">
        <f>IF(AND(BL$7="○",$A572&gt;=BL$8,$A572&lt;=BL$9),IF(SUM(BL$10:BL571)-ROUNDDOWN($L572*BL$5/100,0)&lt;-BL$6,-BL$6-SUM(BL$10:BL571),-ROUNDDOWN($L572*BL$5/100,0)),0)</f>
        <v>0</v>
      </c>
      <c r="BM572" s="38">
        <f>IF(AND(BM$7="○",$A572&gt;=BM$8,$A572&lt;=BM$9),IF(SUM(BM$10:BM571)-ROUNDDOWN($M572*BM$5/100,0)&lt;-BM$6,-BM$6-SUM(BM$10:BM571),-ROUNDDOWN($M572*BM$5/100,0)),0)</f>
        <v>0</v>
      </c>
      <c r="BN572" s="38">
        <f>IF(AND(BN$7="○",$A572&gt;=BN$8,$A572&lt;=BN$9),IF(SUM(BN$10:BN571)-ROUNDDOWN($M572*BN$5/100,0)&lt;-BN$6,-BN$6-SUM(BN$10:BN571),-ROUNDDOWN($M572*BN$5/100,0)),0)</f>
        <v>0</v>
      </c>
      <c r="BO572" s="38">
        <f>IF(AND(BO$7="○",$A572&gt;=BO$8,$A572&lt;=BO$9),IF(SUM(BO$10:BO571)-ROUNDDOWN($M572*BO$5/100,0)&lt;-BO$6,-BO$6-SUM(BO$10:BO571),-ROUNDDOWN($M572*BO$5/100,0)),0)</f>
        <v>0</v>
      </c>
      <c r="BP572" s="38">
        <f>IF(AND(BP$7="○",$A572&gt;=BP$8,$A572&lt;=BP$9),IF(SUM(BP$10:BP571)-ROUNDDOWN($M572*BP$5/100,0)&lt;-BP$6,-BP$6-SUM(BP$10:BP571),-ROUNDDOWN($M572*BP$5/100,0)),0)</f>
        <v>0</v>
      </c>
      <c r="BQ572" s="38">
        <f>IF(AND(BQ$7="○",$A572&gt;=BQ$8,$A572&lt;=BQ$9),IF(SUM(BQ$10:BQ571)-ROUNDDOWN($L572*BQ$5/100,0)&lt;-BQ$6,-BQ$6-SUM(BQ$10:BQ571),-ROUNDDOWN($L572*BQ$5/100,0)),0)</f>
        <v>0</v>
      </c>
      <c r="BR572" s="38">
        <f>IF(AND(BR$7="○",$A572&gt;=BR$8,$A572&lt;=BR$9),IF(SUM(BR$10:BR571)-ROUNDDOWN($M572*BR$5/100,0)&lt;-BR$6,-BR$6-SUM(BR$10:BR571),-ROUNDDOWN($M572*BR$5/100,0)),0)</f>
        <v>0</v>
      </c>
      <c r="BS572" s="38">
        <f>IF(AND(BS$7="○",$A572&gt;=BS$8,$A572&lt;=BS$9),IF(SUM(BS$10:BS571)-ROUNDDOWN($M572*BS$5/100,0)&lt;-BS$6,-BS$6-SUM(BS$10:BS571),-ROUNDDOWN($M572*BS$5/100,0)),0)</f>
        <v>0</v>
      </c>
      <c r="BT572" s="38">
        <f>IF(AND(BT$7="○",$A572&gt;=BT$8,$A572&lt;=BT$9),IF(SUM(BT$10:BT571)-ROUNDDOWN($M572*BT$5/100,0)&lt;-BT$6,-BT$6-SUM(BT$10:BT571),-ROUNDDOWN($M572*BT$5/100,0)),0)</f>
        <v>0</v>
      </c>
      <c r="BU572" s="38">
        <f>IF(AND(BU$7="○",$A572&gt;=BU$8,$A572&lt;=BU$9),IF(SUM(BU$10:BU571)-ROUNDDOWN($M572*BU$5/100,0)&lt;-BU$6,-BU$6-SUM(BU$10:BU571),-ROUNDDOWN($M572*BU$5/100,0)),0)</f>
        <v>0</v>
      </c>
      <c r="BV572" s="38">
        <f>IF(AND(BV$7="○",$A572&gt;=BV$8,$A572&lt;=BV$9),IF(SUM(BV$10:BV571)-ROUNDDOWN($M572*BV$5/100,0)&lt;-BV$6,-BV$6-SUM(BV$10:BV571),-ROUNDDOWN($M572*BV$5/100,0)),0)</f>
        <v>0</v>
      </c>
      <c r="BW572" s="38">
        <f>IF(AND(BW$7="○",$A572&gt;=BW$8,$A572&lt;=BW$9),IF(SUM(BW$10:BW571)-ROUNDDOWN($M572*BW$5/100,0)&lt;-BW$6,-BW$6-SUM(BW$10:BW571),-ROUNDDOWN($M572*BW$5/100,0)),0)</f>
        <v>0</v>
      </c>
      <c r="BX572" s="38">
        <f>IF(AND(T572="○",$A572&gt;=BX$8,$A572&lt;=BX$9),IF(SUM(BX$10:BX571)-ROUNDDOWN($K572*BX$5/100,0)&lt;-BX$6,-BX$6-SUM(BX$10:BX571),-ROUNDDOWN($K572*BX$5/100,0)),0)</f>
        <v>0</v>
      </c>
      <c r="BY572" s="38">
        <f>IF(AND(U572="○",$A572&gt;=BY$8,$A572&lt;=BY$9),IF(SUM(BY$10:BY571)-ROUNDDOWN($K572*BY$5/100,0)&lt;-BY$6,-BY$6-SUM(BY$10:BY571),-ROUNDDOWN($K572*BY$5/100,0)),0)</f>
        <v>0</v>
      </c>
      <c r="BZ572" s="38">
        <f>IF(AND(V572="○",$A572&gt;=BZ$8,$A572&lt;=BZ$9),IF(SUM(BZ$10:BZ571)-ROUNDDOWN($K572*BZ$5/100,0)&lt;-BZ$6,-BZ$6-SUM(BZ$10:BZ571),-ROUNDDOWN($K572*BZ$5/100,0)),0)</f>
        <v>0</v>
      </c>
      <c r="CA572" s="38">
        <f>IF(AND(W572="○",$A572&gt;=CA$8,$A572&lt;=CA$9),IF(SUM(CA$10:CA571)-ROUNDDOWN($K572*CA$5/100,0)&lt;-CA$6,-CA$6-SUM(CA$10:CA571),-ROUNDDOWN($K572*CA$5/100,0)),0)</f>
        <v>0</v>
      </c>
      <c r="CB572" s="38"/>
      <c r="CC572" s="38"/>
      <c r="CD572" s="38"/>
      <c r="CE572" s="38"/>
      <c r="CF572" s="38"/>
      <c r="CG572" s="65">
        <f t="shared" si="354"/>
        <v>0</v>
      </c>
      <c r="CH572" s="71">
        <f t="shared" si="355"/>
        <v>0</v>
      </c>
      <c r="CI572" s="1">
        <f t="shared" si="366"/>
        <v>0</v>
      </c>
      <c r="CJ572" s="1"/>
      <c r="CK572" s="75"/>
      <c r="CL572" s="75"/>
      <c r="CM572" s="2"/>
      <c r="CN572" s="2"/>
      <c r="CO572" s="73">
        <f t="shared" si="367"/>
        <v>0</v>
      </c>
      <c r="CP572" s="5">
        <f t="shared" si="368"/>
        <v>0</v>
      </c>
      <c r="CQ572" s="1"/>
      <c r="CR572" s="1">
        <f t="shared" si="369"/>
        <v>0</v>
      </c>
      <c r="CS572" s="1"/>
      <c r="CT572" s="1" t="e">
        <f>INDEX([2]マスタ!$A:$A,MATCH(D572,[2]マスタ!$C:$C,0))</f>
        <v>#N/A</v>
      </c>
      <c r="CU572" s="1" t="str">
        <f t="shared" ca="1" si="370"/>
        <v>20260620_0-0</v>
      </c>
    </row>
    <row r="573" spans="1:99" x14ac:dyDescent="0.4">
      <c r="A573" s="61"/>
      <c r="B573" s="62"/>
      <c r="C573" s="62"/>
      <c r="D573" s="62"/>
      <c r="E573" s="63"/>
      <c r="F573" s="62"/>
      <c r="G573" s="62">
        <v>1</v>
      </c>
      <c r="H573" s="64">
        <f t="shared" si="360"/>
        <v>0</v>
      </c>
      <c r="I573" s="64"/>
      <c r="J573" s="64"/>
      <c r="K573" s="65">
        <f>+ROUNDDOWN((H573+I573)/100,0)*100</f>
        <v>0</v>
      </c>
      <c r="L573" s="65">
        <f t="shared" si="362"/>
        <v>0</v>
      </c>
      <c r="M573" s="65">
        <f t="shared" si="363"/>
        <v>0</v>
      </c>
      <c r="N573" s="65">
        <f t="shared" si="364"/>
        <v>0</v>
      </c>
      <c r="O573" s="66" t="str">
        <f t="shared" si="9"/>
        <v>✕</v>
      </c>
      <c r="P573" s="67" t="str">
        <f t="shared" si="10"/>
        <v>○</v>
      </c>
      <c r="Q573" s="67" t="str">
        <f>+IF((TEXT($A573,"DD")+0)=1,"○","✕")</f>
        <v>✕</v>
      </c>
      <c r="R573" s="67" t="str">
        <f t="shared" si="12"/>
        <v>✕</v>
      </c>
      <c r="S573" s="68">
        <v>0</v>
      </c>
      <c r="T573" s="69" t="s">
        <v>85</v>
      </c>
      <c r="U573" s="69" t="s">
        <v>85</v>
      </c>
      <c r="V573" s="69" t="s">
        <v>85</v>
      </c>
      <c r="W573" s="69" t="s">
        <v>85</v>
      </c>
      <c r="X573" s="69" t="s">
        <v>84</v>
      </c>
      <c r="Y573" s="69" t="s">
        <v>85</v>
      </c>
      <c r="Z573" s="69" t="s">
        <v>85</v>
      </c>
      <c r="AA573" s="69" t="s">
        <v>85</v>
      </c>
      <c r="AB573" s="69" t="s">
        <v>85</v>
      </c>
      <c r="AC573" s="69" t="s">
        <v>85</v>
      </c>
      <c r="AD573" s="38" t="str">
        <f>+IF(ISERROR(VLOOKUP($B573,AD$10:AD572,1,0)),IF(AND($N573&gt;=1000,$A573&gt;=AO$8,$A573&lt;=AO$9),$B573,""),"")</f>
        <v/>
      </c>
      <c r="AE573" s="38" t="str">
        <f>+IF(ISERROR(VLOOKUP($B573,AE$10:AE572,1,0)),IF(AND($N573&gt;=1000,$A573&gt;=AP$8,$A573&lt;=AP$9),$B573,""),"")</f>
        <v/>
      </c>
      <c r="AF573" s="38" t="str">
        <f>+IF(ISERROR(VLOOKUP($B573,AF$10:AF572,1,0)),IF(AND($N573&gt;=1000,$A573&gt;=AQ$8,$A573&lt;=AQ$9),$B573,""),"")</f>
        <v/>
      </c>
      <c r="AG573" s="38" t="str">
        <f>+IF(ISERROR(VLOOKUP($B573,AG$10:AG572,1,0)),IF(AND($N573&gt;=1000,$A573&gt;=AR$8,$A573&lt;=AR$9),$B573,""),"")</f>
        <v/>
      </c>
      <c r="AH573" s="38"/>
      <c r="AI573" s="70">
        <v>0</v>
      </c>
      <c r="AJ573" s="38">
        <f>IF(AND(AJ$7="○",$A573&gt;=AJ$8,$A573&lt;=AJ$9),IF(SUM(AJ$10:AJ572)-ROUNDDOWN($K573*AJ$5/100,0)&lt;-AJ$6,-AJ$6-SUM(AJ$10:AJ572),-ROUNDDOWN($K573*AJ$5/100,0)),0)</f>
        <v>0</v>
      </c>
      <c r="AK573" s="38">
        <f>IF(AND(AK$7="○",$A573&gt;=AK$8,$A573&lt;=AK$9),IF(SUM(AK$10:AK572)-ROUNDDOWN($L573*AK$5/100,0)&lt;-AK$6,-AK$6-SUM(AK$10:AK572),-ROUNDDOWN($L573*AK$5/100,0)),0)</f>
        <v>0</v>
      </c>
      <c r="AL573" s="38">
        <f>IF(AND(AL$7="○",$A573&gt;=AL$8,$A573&lt;=AL$9),IF(SUM(AL$10:AL572)-ROUNDDOWN($N573*AL$5/100,0)&lt;-AL$6,-AL$6-SUM(AL$10:AL572),-ROUNDDOWN($N573*AL$5/100,0)),0)</f>
        <v>0</v>
      </c>
      <c r="AM573" s="38">
        <f>IF(AND(AM$7="○",$A573&gt;=AM$8,$A573&lt;=AM$9),IF(SUM(AM$10:AM572)-ROUNDDOWN($L573*AM$5/100,0)&lt;-AM$6,-AM$6-SUM(AM$10:AM572),-ROUNDDOWN($L573*AM$5/100,0)),0)</f>
        <v>0</v>
      </c>
      <c r="AN573" s="38">
        <f>IF(AND(AN$7="○",$A573&gt;=AN$8,$A573&lt;=AN$9),IF(SUM(AN$10:AN572)-ROUNDDOWN($M573*AN$5/100,0)&lt;-AN$6,-AN$6-SUM(AN$10:AN572),-ROUNDDOWN($M573*AN$5/100,0)),0)</f>
        <v>0</v>
      </c>
      <c r="AO573" s="38">
        <f>IF(AND($A573&gt;=AO$8,$A573&lt;=AO$9),IF(SUM(AO$10:AO572)-ROUNDDOWN($K573*AO$5/100,0)&lt;-AO$6,-AO$6-SUM(AO$10:AO572),-ROUNDDOWN($K573*AO$5/100,0)),0)</f>
        <v>0</v>
      </c>
      <c r="AP573" s="38">
        <f>IF(AND($A573&gt;=AP$8,$A573&lt;=AP$9),IF(SUM(AP$10:AP572)-ROUNDDOWN($K573*AP$5/100,0)&lt;-AP$6,-AP$6-SUM(AP$10:AP572),-ROUNDDOWN($K573*AP$5/100,0)),0)</f>
        <v>0</v>
      </c>
      <c r="AQ573" s="38">
        <f>IF(AND($A573&gt;=AQ$8,$A573&lt;=AQ$9),IF(SUM(AQ$10:AQ572)-ROUNDDOWN($K573*AQ$5/100,0)&lt;-AQ$6,-AQ$6-SUM(AQ$10:AQ572),-ROUNDDOWN($K573*AQ$5/100,0)),0)</f>
        <v>0</v>
      </c>
      <c r="AR573" s="38">
        <f>IF(AND($A573&gt;=AR$8,$A573&lt;=AR$9),IF(SUM(AR$10:AR572)-ROUNDDOWN($K573*AR$5/100,0)&lt;-AR$6,-AR$6-SUM(AR$10:AR572),-ROUNDDOWN($K573*AR$5/100,0)),0)</f>
        <v>0</v>
      </c>
      <c r="AS573" s="38">
        <f>IF(SUMIFS(AS$10:AS572,$A$10:$A572,$A573)-ROUNDDOWN($K573*$S573/100,0)&lt;-$S573*1000,-$S573*1000-SUMIFS(AS$10:AS572,$A$10:$A572,$A573),-ROUNDDOWN($K573*$S573/100,0))</f>
        <v>0</v>
      </c>
      <c r="AT573" s="38">
        <f>IF(AND(X573="○",$A573&gt;=AT$8,$A573&lt;=AT$9,K573&gt;=3980),IF(SUM(AT$10:AT572)-ROUNDDOWN($K573*AT$5/100,0)&lt;-AT$6,-AT$6-SUM(AT$10:AT572),-ROUNDDOWN($K573*AT$5/100,0)),0)</f>
        <v>0</v>
      </c>
      <c r="AU573" s="38">
        <f>IF(O573="○",IF(SUM(AU$10:AU572)-ROUNDDOWN($K573*AU$5/100,0)&lt;-AU$6,-AU$6-SUM(AU$10:AU572),-ROUNDDOWN($K573*AU$5/100,0)),0)</f>
        <v>0</v>
      </c>
      <c r="AV573" s="38">
        <f>IF(P573="○",IF(SUM(AV$10:AV572)-ROUNDDOWN($K573*AV$5/100,0)&lt;-AV$6,-AV$6-SUM(AV$10:AV572),-ROUNDDOWN($K573*AV$5/100,0)),0)</f>
        <v>0</v>
      </c>
      <c r="AW573" s="38">
        <f>IF(Q573="○",IF(SUM(AW$10:AW572)-ROUNDDOWN($K573*AW$5/100,0)&lt;-AW$6,-AW$6-SUM(AW$10:AW572),-ROUNDDOWN($K573*AW$5/100,0)),0)</f>
        <v>0</v>
      </c>
      <c r="AX573" s="38">
        <f>IF(R573="○",IF(SUM(AX$10:AX572)-ROUNDDOWN($K573*AX$5/100,0)&lt;-AX$6,-AX$6-SUM(AX$10:AX572),-ROUNDDOWN($K573*AX$5/100,0)),0)</f>
        <v>0</v>
      </c>
      <c r="AY573" s="70">
        <v>0</v>
      </c>
      <c r="AZ573" s="65">
        <f t="shared" si="348"/>
        <v>0</v>
      </c>
      <c r="BA573" s="65">
        <f t="shared" si="349"/>
        <v>0</v>
      </c>
      <c r="BB573" s="70"/>
      <c r="BC573" s="65">
        <f t="shared" si="350"/>
        <v>0</v>
      </c>
      <c r="BD573" s="70">
        <v>0</v>
      </c>
      <c r="BE573" s="65">
        <f t="shared" si="351"/>
        <v>0</v>
      </c>
      <c r="BF573" s="70">
        <v>0</v>
      </c>
      <c r="BG573" s="65">
        <f t="shared" si="352"/>
        <v>0</v>
      </c>
      <c r="BH573" s="70">
        <v>0</v>
      </c>
      <c r="BI573" s="65">
        <f t="shared" si="353"/>
        <v>0</v>
      </c>
      <c r="BJ573" s="38">
        <f>IF(AND(BJ$7="○",$A573&gt;=BJ$8,$A573&lt;=BJ$9),IF(SUM(BJ$10:BJ572)-ROUNDDOWN($M573*BJ$5/100,0)&lt;-BJ$6,-BJ$6-SUM(BJ$10:BJ572),-ROUNDDOWN($M573*BJ$5/100,0)),0)</f>
        <v>0</v>
      </c>
      <c r="BK573" s="38">
        <f>IF(AND(BK$7="○",$A573&gt;=BK$8,$A573&lt;=BK$9),IF(SUM(BK$10:BK572)-ROUNDDOWN($L573*BK$5/100,0)&lt;-BK$6,-BK$6-SUM(BK$10:BK572),-ROUNDDOWN($L573*BK$5/100,0)),0)</f>
        <v>0</v>
      </c>
      <c r="BL573" s="38">
        <f>IF(AND(BL$7="○",$A573&gt;=BL$8,$A573&lt;=BL$9),IF(SUM(BL$10:BL572)-ROUNDDOWN($L573*BL$5/100,0)&lt;-BL$6,-BL$6-SUM(BL$10:BL572),-ROUNDDOWN($L573*BL$5/100,0)),0)</f>
        <v>0</v>
      </c>
      <c r="BM573" s="38">
        <f>IF(AND(BM$7="○",$A573&gt;=BM$8,$A573&lt;=BM$9),IF(SUM(BM$10:BM572)-ROUNDDOWN($M573*BM$5/100,0)&lt;-BM$6,-BM$6-SUM(BM$10:BM572),-ROUNDDOWN($M573*BM$5/100,0)),0)</f>
        <v>0</v>
      </c>
      <c r="BN573" s="38">
        <f>IF(AND(BN$7="○",$A573&gt;=BN$8,$A573&lt;=BN$9),IF(SUM(BN$10:BN572)-ROUNDDOWN($M573*BN$5/100,0)&lt;-BN$6,-BN$6-SUM(BN$10:BN572),-ROUNDDOWN($M573*BN$5/100,0)),0)</f>
        <v>0</v>
      </c>
      <c r="BO573" s="38">
        <f>IF(AND(BO$7="○",$A573&gt;=BO$8,$A573&lt;=BO$9),IF(SUM(BO$10:BO572)-ROUNDDOWN($M573*BO$5/100,0)&lt;-BO$6,-BO$6-SUM(BO$10:BO572),-ROUNDDOWN($M573*BO$5/100,0)),0)</f>
        <v>0</v>
      </c>
      <c r="BP573" s="38">
        <f>IF(AND(BP$7="○",$A573&gt;=BP$8,$A573&lt;=BP$9),IF(SUM(BP$10:BP572)-ROUNDDOWN($M573*BP$5/100,0)&lt;-BP$6,-BP$6-SUM(BP$10:BP572),-ROUNDDOWN($M573*BP$5/100,0)),0)</f>
        <v>0</v>
      </c>
      <c r="BQ573" s="38">
        <f>IF(AND(BQ$7="○",$A573&gt;=BQ$8,$A573&lt;=BQ$9),IF(SUM(BQ$10:BQ572)-ROUNDDOWN($L573*BQ$5/100,0)&lt;-BQ$6,-BQ$6-SUM(BQ$10:BQ572),-ROUNDDOWN($L573*BQ$5/100,0)),0)</f>
        <v>0</v>
      </c>
      <c r="BR573" s="38">
        <f>IF(AND(BR$7="○",$A573&gt;=BR$8,$A573&lt;=BR$9),IF(SUM(BR$10:BR572)-ROUNDDOWN($M573*BR$5/100,0)&lt;-BR$6,-BR$6-SUM(BR$10:BR572),-ROUNDDOWN($M573*BR$5/100,0)),0)</f>
        <v>0</v>
      </c>
      <c r="BS573" s="38">
        <f>IF(AND(BS$7="○",$A573&gt;=BS$8,$A573&lt;=BS$9),IF(SUM(BS$10:BS572)-ROUNDDOWN($M573*BS$5/100,0)&lt;-BS$6,-BS$6-SUM(BS$10:BS572),-ROUNDDOWN($M573*BS$5/100,0)),0)</f>
        <v>0</v>
      </c>
      <c r="BT573" s="38">
        <f>IF(AND(BT$7="○",$A573&gt;=BT$8,$A573&lt;=BT$9),IF(SUM(BT$10:BT572)-ROUNDDOWN($M573*BT$5/100,0)&lt;-BT$6,-BT$6-SUM(BT$10:BT572),-ROUNDDOWN($M573*BT$5/100,0)),0)</f>
        <v>0</v>
      </c>
      <c r="BU573" s="38">
        <f>IF(AND(BU$7="○",$A573&gt;=BU$8,$A573&lt;=BU$9),IF(SUM(BU$10:BU572)-ROUNDDOWN($M573*BU$5/100,0)&lt;-BU$6,-BU$6-SUM(BU$10:BU572),-ROUNDDOWN($M573*BU$5/100,0)),0)</f>
        <v>0</v>
      </c>
      <c r="BV573" s="38">
        <f>IF(AND(BV$7="○",$A573&gt;=BV$8,$A573&lt;=BV$9),IF(SUM(BV$10:BV572)-ROUNDDOWN($M573*BV$5/100,0)&lt;-BV$6,-BV$6-SUM(BV$10:BV572),-ROUNDDOWN($M573*BV$5/100,0)),0)</f>
        <v>0</v>
      </c>
      <c r="BW573" s="38">
        <f>IF(AND(BW$7="○",$A573&gt;=BW$8,$A573&lt;=BW$9),IF(SUM(BW$10:BW572)-ROUNDDOWN($M573*BW$5/100,0)&lt;-BW$6,-BW$6-SUM(BW$10:BW572),-ROUNDDOWN($M573*BW$5/100,0)),0)</f>
        <v>0</v>
      </c>
      <c r="BX573" s="38">
        <f>IF(AND(T573="○",$A573&gt;=BX$8,$A573&lt;=BX$9),IF(SUM(BX$10:BX572)-ROUNDDOWN($K573*BX$5/100,0)&lt;-BX$6,-BX$6-SUM(BX$10:BX572),-ROUNDDOWN($K573*BX$5/100,0)),0)</f>
        <v>0</v>
      </c>
      <c r="BY573" s="38">
        <f>IF(AND(U573="○",$A573&gt;=BY$8,$A573&lt;=BY$9),IF(SUM(BY$10:BY572)-ROUNDDOWN($K573*BY$5/100,0)&lt;-BY$6,-BY$6-SUM(BY$10:BY572),-ROUNDDOWN($K573*BY$5/100,0)),0)</f>
        <v>0</v>
      </c>
      <c r="BZ573" s="38">
        <f>IF(AND(V573="○",$A573&gt;=BZ$8,$A573&lt;=BZ$9),IF(SUM(BZ$10:BZ572)-ROUNDDOWN($K573*BZ$5/100,0)&lt;-BZ$6,-BZ$6-SUM(BZ$10:BZ572),-ROUNDDOWN($K573*BZ$5/100,0)),0)</f>
        <v>0</v>
      </c>
      <c r="CA573" s="38">
        <f>IF(AND(W573="○",$A573&gt;=CA$8,$A573&lt;=CA$9),IF(SUM(CA$10:CA572)-ROUNDDOWN($K573*CA$5/100,0)&lt;-CA$6,-CA$6-SUM(CA$10:CA572),-ROUNDDOWN($K573*CA$5/100,0)),0)</f>
        <v>0</v>
      </c>
      <c r="CB573" s="38"/>
      <c r="CC573" s="38"/>
      <c r="CD573" s="38"/>
      <c r="CE573" s="38"/>
      <c r="CF573" s="38"/>
      <c r="CG573" s="65">
        <f t="shared" si="354"/>
        <v>0</v>
      </c>
      <c r="CH573" s="71">
        <f t="shared" si="355"/>
        <v>0</v>
      </c>
      <c r="CI573" s="1">
        <f t="shared" si="366"/>
        <v>0</v>
      </c>
      <c r="CJ573" s="1"/>
      <c r="CK573" s="72"/>
      <c r="CL573" s="72"/>
      <c r="CM573" s="2"/>
      <c r="CN573" s="2"/>
      <c r="CO573" s="73">
        <f t="shared" si="367"/>
        <v>0</v>
      </c>
      <c r="CP573" s="5">
        <f t="shared" si="368"/>
        <v>0</v>
      </c>
      <c r="CQ573" s="1"/>
      <c r="CR573" s="1">
        <f t="shared" si="369"/>
        <v>0</v>
      </c>
      <c r="CS573" s="1"/>
      <c r="CT573" s="1" t="e">
        <f>INDEX([2]マスタ!$A:$A,MATCH(D573,[2]マスタ!$C:$C,0))</f>
        <v>#N/A</v>
      </c>
      <c r="CU573" s="1" t="str">
        <f t="shared" ca="1" si="370"/>
        <v>20260620_0-0</v>
      </c>
    </row>
    <row r="574" spans="1:99" x14ac:dyDescent="0.4">
      <c r="A574" s="61"/>
      <c r="B574" s="62"/>
      <c r="C574" s="62"/>
      <c r="D574" s="62"/>
      <c r="E574" s="77"/>
      <c r="F574" s="62"/>
      <c r="G574" s="62">
        <v>1</v>
      </c>
      <c r="H574" s="64">
        <f t="shared" si="360"/>
        <v>0</v>
      </c>
      <c r="I574" s="64"/>
      <c r="J574" s="64"/>
      <c r="K574" s="65">
        <f>+ROUNDDOWN((H574+I574)/100,0)*100</f>
        <v>0</v>
      </c>
      <c r="L574" s="65">
        <f t="shared" si="362"/>
        <v>0</v>
      </c>
      <c r="M574" s="65">
        <f t="shared" si="363"/>
        <v>0</v>
      </c>
      <c r="N574" s="65">
        <f t="shared" si="364"/>
        <v>0</v>
      </c>
      <c r="O574" s="66" t="str">
        <f t="shared" si="9"/>
        <v>✕</v>
      </c>
      <c r="P574" s="67" t="str">
        <f t="shared" si="10"/>
        <v>○</v>
      </c>
      <c r="Q574" s="67" t="str">
        <f>+IF((TEXT($A574,"DD")+0)=1,"○","✕")</f>
        <v>✕</v>
      </c>
      <c r="R574" s="67" t="str">
        <f t="shared" si="12"/>
        <v>✕</v>
      </c>
      <c r="S574" s="68">
        <v>0</v>
      </c>
      <c r="T574" s="69" t="s">
        <v>85</v>
      </c>
      <c r="U574" s="69" t="s">
        <v>85</v>
      </c>
      <c r="V574" s="69" t="s">
        <v>85</v>
      </c>
      <c r="W574" s="69" t="s">
        <v>85</v>
      </c>
      <c r="X574" s="69" t="s">
        <v>84</v>
      </c>
      <c r="Y574" s="69" t="s">
        <v>85</v>
      </c>
      <c r="Z574" s="69" t="s">
        <v>85</v>
      </c>
      <c r="AA574" s="69" t="s">
        <v>85</v>
      </c>
      <c r="AB574" s="69" t="s">
        <v>85</v>
      </c>
      <c r="AC574" s="69" t="s">
        <v>85</v>
      </c>
      <c r="AD574" s="38" t="str">
        <f>+IF(ISERROR(VLOOKUP($B574,AD$10:AD573,1,0)),IF(AND($N574&gt;=1000,$A574&gt;=AO$8,$A574&lt;=AO$9),$B574,""),"")</f>
        <v/>
      </c>
      <c r="AE574" s="38" t="str">
        <f>+IF(ISERROR(VLOOKUP($B574,AE$10:AE573,1,0)),IF(AND($N574&gt;=1000,$A574&gt;=AP$8,$A574&lt;=AP$9),$B574,""),"")</f>
        <v/>
      </c>
      <c r="AF574" s="38" t="str">
        <f>+IF(ISERROR(VLOOKUP($B574,AF$10:AF573,1,0)),IF(AND($N574&gt;=1000,$A574&gt;=AQ$8,$A574&lt;=AQ$9),$B574,""),"")</f>
        <v/>
      </c>
      <c r="AG574" s="38" t="str">
        <f>+IF(ISERROR(VLOOKUP($B574,AG$10:AG573,1,0)),IF(AND($N574&gt;=1000,$A574&gt;=AR$8,$A574&lt;=AR$9),$B574,""),"")</f>
        <v/>
      </c>
      <c r="AH574" s="38"/>
      <c r="AI574" s="70">
        <v>0</v>
      </c>
      <c r="AJ574" s="38">
        <f>IF(AND(AJ$7="○",$A574&gt;=AJ$8,$A574&lt;=AJ$9),IF(SUM(AJ$10:AJ573)-ROUNDDOWN($K574*AJ$5/100,0)&lt;-AJ$6,-AJ$6-SUM(AJ$10:AJ573),-ROUNDDOWN($K574*AJ$5/100,0)),0)</f>
        <v>0</v>
      </c>
      <c r="AK574" s="38">
        <f>IF(AND(AK$7="○",$A574&gt;=AK$8,$A574&lt;=AK$9),IF(SUM(AK$10:AK573)-ROUNDDOWN($L574*AK$5/100,0)&lt;-AK$6,-AK$6-SUM(AK$10:AK573),-ROUNDDOWN($L574*AK$5/100,0)),0)</f>
        <v>0</v>
      </c>
      <c r="AL574" s="38">
        <f>IF(AND(AL$7="○",$A574&gt;=AL$8,$A574&lt;=AL$9),IF(SUM(AL$10:AL573)-ROUNDDOWN($N574*AL$5/100,0)&lt;-AL$6,-AL$6-SUM(AL$10:AL573),-ROUNDDOWN($N574*AL$5/100,0)),0)</f>
        <v>0</v>
      </c>
      <c r="AM574" s="38">
        <f>IF(AND(AM$7="○",$A574&gt;=AM$8,$A574&lt;=AM$9),IF(SUM(AM$10:AM573)-ROUNDDOWN($L574*AM$5/100,0)&lt;-AM$6,-AM$6-SUM(AM$10:AM573),-ROUNDDOWN($L574*AM$5/100,0)),0)</f>
        <v>0</v>
      </c>
      <c r="AN574" s="38">
        <f>IF(AND(AN$7="○",$A574&gt;=AN$8,$A574&lt;=AN$9),IF(SUM(AN$10:AN573)-ROUNDDOWN($M574*AN$5/100,0)&lt;-AN$6,-AN$6-SUM(AN$10:AN573),-ROUNDDOWN($M574*AN$5/100,0)),0)</f>
        <v>0</v>
      </c>
      <c r="AO574" s="38">
        <f>IF(AND($A574&gt;=AO$8,$A574&lt;=AO$9),IF(SUM(AO$10:AO573)-ROUNDDOWN($K574*AO$5/100,0)&lt;-AO$6,-AO$6-SUM(AO$10:AO573),-ROUNDDOWN($K574*AO$5/100,0)),0)</f>
        <v>0</v>
      </c>
      <c r="AP574" s="38">
        <f>IF(AND($A574&gt;=AP$8,$A574&lt;=AP$9),IF(SUM(AP$10:AP573)-ROUNDDOWN($K574*AP$5/100,0)&lt;-AP$6,-AP$6-SUM(AP$10:AP573),-ROUNDDOWN($K574*AP$5/100,0)),0)</f>
        <v>0</v>
      </c>
      <c r="AQ574" s="38">
        <f>IF(AND($A574&gt;=AQ$8,$A574&lt;=AQ$9),IF(SUM(AQ$10:AQ573)-ROUNDDOWN($K574*AQ$5/100,0)&lt;-AQ$6,-AQ$6-SUM(AQ$10:AQ573),-ROUNDDOWN($K574*AQ$5/100,0)),0)</f>
        <v>0</v>
      </c>
      <c r="AR574" s="38">
        <f>IF(AND($A574&gt;=AR$8,$A574&lt;=AR$9),IF(SUM(AR$10:AR573)-ROUNDDOWN($K574*AR$5/100,0)&lt;-AR$6,-AR$6-SUM(AR$10:AR573),-ROUNDDOWN($K574*AR$5/100,0)),0)</f>
        <v>0</v>
      </c>
      <c r="AS574" s="38">
        <f>IF(SUMIFS(AS$10:AS573,$A$10:$A573,$A574)-ROUNDDOWN($K574*$S574/100,0)&lt;-$S574*1000,-$S574*1000-SUMIFS(AS$10:AS573,$A$10:$A573,$A574),-ROUNDDOWN($K574*$S574/100,0))</f>
        <v>0</v>
      </c>
      <c r="AT574" s="38">
        <f>IF(AND(X574="○",$A574&gt;=AT$8,$A574&lt;=AT$9,K574&gt;=3980),IF(SUM(AT$10:AT573)-ROUNDDOWN($K574*AT$5/100,0)&lt;-AT$6,-AT$6-SUM(AT$10:AT573),-ROUNDDOWN($K574*AT$5/100,0)),0)</f>
        <v>0</v>
      </c>
      <c r="AU574" s="38">
        <f>IF(O574="○",IF(SUM(AU$10:AU573)-ROUNDDOWN($K574*AU$5/100,0)&lt;-AU$6,-AU$6-SUM(AU$10:AU573),-ROUNDDOWN($K574*AU$5/100,0)),0)</f>
        <v>0</v>
      </c>
      <c r="AV574" s="38">
        <f>IF(P574="○",IF(SUM(AV$10:AV573)-ROUNDDOWN($K574*AV$5/100,0)&lt;-AV$6,-AV$6-SUM(AV$10:AV573),-ROUNDDOWN($K574*AV$5/100,0)),0)</f>
        <v>0</v>
      </c>
      <c r="AW574" s="38">
        <f>IF(Q574="○",IF(SUM(AW$10:AW573)-ROUNDDOWN($K574*AW$5/100,0)&lt;-AW$6,-AW$6-SUM(AW$10:AW573),-ROUNDDOWN($K574*AW$5/100,0)),0)</f>
        <v>0</v>
      </c>
      <c r="AX574" s="38">
        <f>IF(R574="○",IF(SUM(AX$10:AX573)-ROUNDDOWN($K574*AX$5/100,0)&lt;-AX$6,-AX$6-SUM(AX$10:AX573),-ROUNDDOWN($K574*AX$5/100,0)),0)</f>
        <v>0</v>
      </c>
      <c r="AY574" s="70">
        <v>0</v>
      </c>
      <c r="AZ574" s="65">
        <f t="shared" si="348"/>
        <v>0</v>
      </c>
      <c r="BA574" s="65">
        <f t="shared" si="349"/>
        <v>0</v>
      </c>
      <c r="BB574" s="70"/>
      <c r="BC574" s="65">
        <f t="shared" si="350"/>
        <v>0</v>
      </c>
      <c r="BD574" s="70">
        <v>0</v>
      </c>
      <c r="BE574" s="65">
        <f t="shared" si="351"/>
        <v>0</v>
      </c>
      <c r="BF574" s="70">
        <v>0</v>
      </c>
      <c r="BG574" s="65">
        <f t="shared" si="352"/>
        <v>0</v>
      </c>
      <c r="BH574" s="70">
        <v>0</v>
      </c>
      <c r="BI574" s="65">
        <f t="shared" si="353"/>
        <v>0</v>
      </c>
      <c r="BJ574" s="38">
        <f>IF(AND(BJ$7="○",$A574&gt;=BJ$8,$A574&lt;=BJ$9),IF(SUM(BJ$10:BJ573)-ROUNDDOWN($M574*BJ$5/100,0)&lt;-BJ$6,-BJ$6-SUM(BJ$10:BJ573),-ROUNDDOWN($M574*BJ$5/100,0)),0)</f>
        <v>0</v>
      </c>
      <c r="BK574" s="38">
        <f>IF(AND(BK$7="○",$A574&gt;=BK$8,$A574&lt;=BK$9),IF(SUM(BK$10:BK573)-ROUNDDOWN($L574*BK$5/100,0)&lt;-BK$6,-BK$6-SUM(BK$10:BK573),-ROUNDDOWN($L574*BK$5/100,0)),0)</f>
        <v>0</v>
      </c>
      <c r="BL574" s="38">
        <f>IF(AND(BL$7="○",$A574&gt;=BL$8,$A574&lt;=BL$9),IF(SUM(BL$10:BL573)-ROUNDDOWN($L574*BL$5/100,0)&lt;-BL$6,-BL$6-SUM(BL$10:BL573),-ROUNDDOWN($L574*BL$5/100,0)),0)</f>
        <v>0</v>
      </c>
      <c r="BM574" s="38">
        <f>IF(AND(BM$7="○",$A574&gt;=BM$8,$A574&lt;=BM$9),IF(SUM(BM$10:BM573)-ROUNDDOWN($M574*BM$5/100,0)&lt;-BM$6,-BM$6-SUM(BM$10:BM573),-ROUNDDOWN($M574*BM$5/100,0)),0)</f>
        <v>0</v>
      </c>
      <c r="BN574" s="38">
        <f>IF(AND(BN$7="○",$A574&gt;=BN$8,$A574&lt;=BN$9),IF(SUM(BN$10:BN573)-ROUNDDOWN($M574*BN$5/100,0)&lt;-BN$6,-BN$6-SUM(BN$10:BN573),-ROUNDDOWN($M574*BN$5/100,0)),0)</f>
        <v>0</v>
      </c>
      <c r="BO574" s="38">
        <f>IF(AND(BO$7="○",$A574&gt;=BO$8,$A574&lt;=BO$9),IF(SUM(BO$10:BO573)-ROUNDDOWN($M574*BO$5/100,0)&lt;-BO$6,-BO$6-SUM(BO$10:BO573),-ROUNDDOWN($M574*BO$5/100,0)),0)</f>
        <v>0</v>
      </c>
      <c r="BP574" s="38">
        <f>IF(AND(BP$7="○",$A574&gt;=BP$8,$A574&lt;=BP$9),IF(SUM(BP$10:BP573)-ROUNDDOWN($M574*BP$5/100,0)&lt;-BP$6,-BP$6-SUM(BP$10:BP573),-ROUNDDOWN($M574*BP$5/100,0)),0)</f>
        <v>0</v>
      </c>
      <c r="BQ574" s="38">
        <f>IF(AND(BQ$7="○",$A574&gt;=BQ$8,$A574&lt;=BQ$9),IF(SUM(BQ$10:BQ573)-ROUNDDOWN($L574*BQ$5/100,0)&lt;-BQ$6,-BQ$6-SUM(BQ$10:BQ573),-ROUNDDOWN($L574*BQ$5/100,0)),0)</f>
        <v>0</v>
      </c>
      <c r="BR574" s="38">
        <f>IF(AND(BR$7="○",$A574&gt;=BR$8,$A574&lt;=BR$9),IF(SUM(BR$10:BR573)-ROUNDDOWN($M574*BR$5/100,0)&lt;-BR$6,-BR$6-SUM(BR$10:BR573),-ROUNDDOWN($M574*BR$5/100,0)),0)</f>
        <v>0</v>
      </c>
      <c r="BS574" s="38">
        <f>IF(AND(BS$7="○",$A574&gt;=BS$8,$A574&lt;=BS$9),IF(SUM(BS$10:BS573)-ROUNDDOWN($M574*BS$5/100,0)&lt;-BS$6,-BS$6-SUM(BS$10:BS573),-ROUNDDOWN($M574*BS$5/100,0)),0)</f>
        <v>0</v>
      </c>
      <c r="BT574" s="38">
        <f>IF(AND(BT$7="○",$A574&gt;=BT$8,$A574&lt;=BT$9),IF(SUM(BT$10:BT573)-ROUNDDOWN($M574*BT$5/100,0)&lt;-BT$6,-BT$6-SUM(BT$10:BT573),-ROUNDDOWN($M574*BT$5/100,0)),0)</f>
        <v>0</v>
      </c>
      <c r="BU574" s="38">
        <f>IF(AND(BU$7="○",$A574&gt;=BU$8,$A574&lt;=BU$9),IF(SUM(BU$10:BU573)-ROUNDDOWN($M574*BU$5/100,0)&lt;-BU$6,-BU$6-SUM(BU$10:BU573),-ROUNDDOWN($M574*BU$5/100,0)),0)</f>
        <v>0</v>
      </c>
      <c r="BV574" s="38">
        <f>IF(AND(BV$7="○",$A574&gt;=BV$8,$A574&lt;=BV$9),IF(SUM(BV$10:BV573)-ROUNDDOWN($M574*BV$5/100,0)&lt;-BV$6,-BV$6-SUM(BV$10:BV573),-ROUNDDOWN($M574*BV$5/100,0)),0)</f>
        <v>0</v>
      </c>
      <c r="BW574" s="38">
        <f>IF(AND(BW$7="○",$A574&gt;=BW$8,$A574&lt;=BW$9),IF(SUM(BW$10:BW573)-ROUNDDOWN($M574*BW$5/100,0)&lt;-BW$6,-BW$6-SUM(BW$10:BW573),-ROUNDDOWN($M574*BW$5/100,0)),0)</f>
        <v>0</v>
      </c>
      <c r="BX574" s="38">
        <f>IF(AND(T574="○",$A574&gt;=BX$8,$A574&lt;=BX$9),IF(SUM(BX$10:BX573)-ROUNDDOWN($K574*BX$5/100,0)&lt;-BX$6,-BX$6-SUM(BX$10:BX573),-ROUNDDOWN($K574*BX$5/100,0)),0)</f>
        <v>0</v>
      </c>
      <c r="BY574" s="38">
        <f>IF(AND(U574="○",$A574&gt;=BY$8,$A574&lt;=BY$9),IF(SUM(BY$10:BY573)-ROUNDDOWN($K574*BY$5/100,0)&lt;-BY$6,-BY$6-SUM(BY$10:BY573),-ROUNDDOWN($K574*BY$5/100,0)),0)</f>
        <v>0</v>
      </c>
      <c r="BZ574" s="38">
        <f>IF(AND(V574="○",$A574&gt;=BZ$8,$A574&lt;=BZ$9),IF(SUM(BZ$10:BZ573)-ROUNDDOWN($K574*BZ$5/100,0)&lt;-BZ$6,-BZ$6-SUM(BZ$10:BZ573),-ROUNDDOWN($K574*BZ$5/100,0)),0)</f>
        <v>0</v>
      </c>
      <c r="CA574" s="38">
        <f>IF(AND(W574="○",$A574&gt;=CA$8,$A574&lt;=CA$9),IF(SUM(CA$10:CA573)-ROUNDDOWN($K574*CA$5/100,0)&lt;-CA$6,-CA$6-SUM(CA$10:CA573),-ROUNDDOWN($K574*CA$5/100,0)),0)</f>
        <v>0</v>
      </c>
      <c r="CB574" s="38"/>
      <c r="CC574" s="38"/>
      <c r="CD574" s="38"/>
      <c r="CE574" s="38"/>
      <c r="CF574" s="38"/>
      <c r="CG574" s="65">
        <f t="shared" si="354"/>
        <v>0</v>
      </c>
      <c r="CH574" s="71">
        <f t="shared" si="355"/>
        <v>0</v>
      </c>
      <c r="CI574" s="1">
        <f t="shared" si="366"/>
        <v>0</v>
      </c>
      <c r="CJ574" s="1"/>
      <c r="CK574" s="79"/>
      <c r="CL574" s="79"/>
      <c r="CM574" s="2"/>
      <c r="CN574" s="2"/>
      <c r="CO574" s="73">
        <f t="shared" si="367"/>
        <v>0</v>
      </c>
      <c r="CP574" s="5">
        <f t="shared" si="368"/>
        <v>0</v>
      </c>
      <c r="CQ574" s="1"/>
      <c r="CR574" s="1">
        <f t="shared" si="369"/>
        <v>0</v>
      </c>
      <c r="CS574" s="1"/>
      <c r="CT574" s="1" t="e">
        <f>INDEX([2]マスタ!$A:$A,MATCH(D574,[2]マスタ!$C:$C,0))</f>
        <v>#N/A</v>
      </c>
      <c r="CU574" s="1" t="str">
        <f t="shared" ca="1" si="370"/>
        <v>20260620_0-0</v>
      </c>
    </row>
    <row r="575" spans="1:99" x14ac:dyDescent="0.4">
      <c r="A575" s="61"/>
      <c r="B575" s="62"/>
      <c r="C575" s="62"/>
      <c r="D575" s="62"/>
      <c r="E575" s="63"/>
      <c r="F575" s="62"/>
      <c r="G575" s="62">
        <v>1</v>
      </c>
      <c r="H575" s="64">
        <f t="shared" si="360"/>
        <v>0</v>
      </c>
      <c r="I575" s="64"/>
      <c r="J575" s="64"/>
      <c r="K575" s="65">
        <f>+ROUNDDOWN((H575+I575)/100,0)*100</f>
        <v>0</v>
      </c>
      <c r="L575" s="65">
        <f t="shared" si="362"/>
        <v>0</v>
      </c>
      <c r="M575" s="65">
        <f t="shared" si="363"/>
        <v>0</v>
      </c>
      <c r="N575" s="65">
        <f t="shared" si="364"/>
        <v>0</v>
      </c>
      <c r="O575" s="66" t="str">
        <f t="shared" si="9"/>
        <v>✕</v>
      </c>
      <c r="P575" s="67" t="str">
        <f t="shared" si="10"/>
        <v>○</v>
      </c>
      <c r="Q575" s="67" t="str">
        <f>+IF((TEXT($A575,"DD")+0)=1,"○","✕")</f>
        <v>✕</v>
      </c>
      <c r="R575" s="67" t="str">
        <f t="shared" si="12"/>
        <v>✕</v>
      </c>
      <c r="S575" s="68">
        <v>0</v>
      </c>
      <c r="T575" s="69" t="s">
        <v>85</v>
      </c>
      <c r="U575" s="69" t="s">
        <v>85</v>
      </c>
      <c r="V575" s="69" t="s">
        <v>85</v>
      </c>
      <c r="W575" s="69" t="s">
        <v>85</v>
      </c>
      <c r="X575" s="69" t="s">
        <v>84</v>
      </c>
      <c r="Y575" s="69" t="s">
        <v>85</v>
      </c>
      <c r="Z575" s="69" t="s">
        <v>85</v>
      </c>
      <c r="AA575" s="69" t="s">
        <v>85</v>
      </c>
      <c r="AB575" s="69" t="s">
        <v>85</v>
      </c>
      <c r="AC575" s="69" t="s">
        <v>85</v>
      </c>
      <c r="AD575" s="38" t="str">
        <f>+IF(ISERROR(VLOOKUP($B575,AD$10:AD574,1,0)),IF(AND($N575&gt;=1000,$A575&gt;=AO$8,$A575&lt;=AO$9),$B575,""),"")</f>
        <v/>
      </c>
      <c r="AE575" s="38" t="str">
        <f>+IF(ISERROR(VLOOKUP($B575,AE$10:AE574,1,0)),IF(AND($N575&gt;=1000,$A575&gt;=AP$8,$A575&lt;=AP$9),$B575,""),"")</f>
        <v/>
      </c>
      <c r="AF575" s="38" t="str">
        <f>+IF(ISERROR(VLOOKUP($B575,AF$10:AF574,1,0)),IF(AND($N575&gt;=1000,$A575&gt;=AQ$8,$A575&lt;=AQ$9),$B575,""),"")</f>
        <v/>
      </c>
      <c r="AG575" s="38" t="str">
        <f>+IF(ISERROR(VLOOKUP($B575,AG$10:AG574,1,0)),IF(AND($N575&gt;=1000,$A575&gt;=AR$8,$A575&lt;=AR$9),$B575,""),"")</f>
        <v/>
      </c>
      <c r="AH575" s="38"/>
      <c r="AI575" s="70">
        <v>0</v>
      </c>
      <c r="AJ575" s="38">
        <f>IF(AND(AJ$7="○",$A575&gt;=AJ$8,$A575&lt;=AJ$9),IF(SUM(AJ$10:AJ574)-ROUNDDOWN($K575*AJ$5/100,0)&lt;-AJ$6,-AJ$6-SUM(AJ$10:AJ574),-ROUNDDOWN($K575*AJ$5/100,0)),0)</f>
        <v>0</v>
      </c>
      <c r="AK575" s="38">
        <f>IF(AND(AK$7="○",$A575&gt;=AK$8,$A575&lt;=AK$9),IF(SUM(AK$10:AK574)-ROUNDDOWN($L575*AK$5/100,0)&lt;-AK$6,-AK$6-SUM(AK$10:AK574),-ROUNDDOWN($L575*AK$5/100,0)),0)</f>
        <v>0</v>
      </c>
      <c r="AL575" s="38">
        <f>IF(AND(AL$7="○",$A575&gt;=AL$8,$A575&lt;=AL$9),IF(SUM(AL$10:AL574)-ROUNDDOWN($N575*AL$5/100,0)&lt;-AL$6,-AL$6-SUM(AL$10:AL574),-ROUNDDOWN($N575*AL$5/100,0)),0)</f>
        <v>0</v>
      </c>
      <c r="AM575" s="38">
        <f>IF(AND(AM$7="○",$A575&gt;=AM$8,$A575&lt;=AM$9),IF(SUM(AM$10:AM574)-ROUNDDOWN($L575*AM$5/100,0)&lt;-AM$6,-AM$6-SUM(AM$10:AM574),-ROUNDDOWN($L575*AM$5/100,0)),0)</f>
        <v>0</v>
      </c>
      <c r="AN575" s="38">
        <f>IF(AND(AN$7="○",$A575&gt;=AN$8,$A575&lt;=AN$9),IF(SUM(AN$10:AN574)-ROUNDDOWN($M575*AN$5/100,0)&lt;-AN$6,-AN$6-SUM(AN$10:AN574),-ROUNDDOWN($M575*AN$5/100,0)),0)</f>
        <v>0</v>
      </c>
      <c r="AO575" s="38">
        <f>IF(AND($A575&gt;=AO$8,$A575&lt;=AO$9),IF(SUM(AO$10:AO574)-ROUNDDOWN($K575*AO$5/100,0)&lt;-AO$6,-AO$6-SUM(AO$10:AO574),-ROUNDDOWN($K575*AO$5/100,0)),0)</f>
        <v>0</v>
      </c>
      <c r="AP575" s="38">
        <f>IF(AND($A575&gt;=AP$8,$A575&lt;=AP$9),IF(SUM(AP$10:AP574)-ROUNDDOWN($K575*AP$5/100,0)&lt;-AP$6,-AP$6-SUM(AP$10:AP574),-ROUNDDOWN($K575*AP$5/100,0)),0)</f>
        <v>0</v>
      </c>
      <c r="AQ575" s="38">
        <f>IF(AND($A575&gt;=AQ$8,$A575&lt;=AQ$9),IF(SUM(AQ$10:AQ574)-ROUNDDOWN($K575*AQ$5/100,0)&lt;-AQ$6,-AQ$6-SUM(AQ$10:AQ574),-ROUNDDOWN($K575*AQ$5/100,0)),0)</f>
        <v>0</v>
      </c>
      <c r="AR575" s="38">
        <f>IF(AND($A575&gt;=AR$8,$A575&lt;=AR$9),IF(SUM(AR$10:AR574)-ROUNDDOWN($K575*AR$5/100,0)&lt;-AR$6,-AR$6-SUM(AR$10:AR574),-ROUNDDOWN($K575*AR$5/100,0)),0)</f>
        <v>0</v>
      </c>
      <c r="AS575" s="38">
        <f>IF(SUMIFS(AS$10:AS574,$A$10:$A574,$A575)-ROUNDDOWN($K575*$S575/100,0)&lt;-$S575*1000,-$S575*1000-SUMIFS(AS$10:AS574,$A$10:$A574,$A575),-ROUNDDOWN($K575*$S575/100,0))</f>
        <v>0</v>
      </c>
      <c r="AT575" s="38">
        <f>IF(AND(X575="○",$A575&gt;=AT$8,$A575&lt;=AT$9,K575&gt;=3980),IF(SUM(AT$10:AT574)-ROUNDDOWN($K575*AT$5/100,0)&lt;-AT$6,-AT$6-SUM(AT$10:AT574),-ROUNDDOWN($K575*AT$5/100,0)),0)</f>
        <v>0</v>
      </c>
      <c r="AU575" s="38">
        <f>IF(O575="○",IF(SUM(AU$10:AU574)-ROUNDDOWN($K575*AU$5/100,0)&lt;-AU$6,-AU$6-SUM(AU$10:AU574),-ROUNDDOWN($K575*AU$5/100,0)),0)</f>
        <v>0</v>
      </c>
      <c r="AV575" s="38">
        <f>IF(P575="○",IF(SUM(AV$10:AV574)-ROUNDDOWN($K575*AV$5/100,0)&lt;-AV$6,-AV$6-SUM(AV$10:AV574),-ROUNDDOWN($K575*AV$5/100,0)),0)</f>
        <v>0</v>
      </c>
      <c r="AW575" s="38">
        <f>IF(Q575="○",IF(SUM(AW$10:AW574)-ROUNDDOWN($K575*AW$5/100,0)&lt;-AW$6,-AW$6-SUM(AW$10:AW574),-ROUNDDOWN($K575*AW$5/100,0)),0)</f>
        <v>0</v>
      </c>
      <c r="AX575" s="38">
        <f>IF(R575="○",IF(SUM(AX$10:AX574)-ROUNDDOWN($K575*AX$5/100,0)&lt;-AX$6,-AX$6-SUM(AX$10:AX574),-ROUNDDOWN($K575*AX$5/100,0)),0)</f>
        <v>0</v>
      </c>
      <c r="AY575" s="70">
        <v>0</v>
      </c>
      <c r="AZ575" s="65">
        <f t="shared" si="348"/>
        <v>0</v>
      </c>
      <c r="BA575" s="65">
        <f t="shared" si="349"/>
        <v>0</v>
      </c>
      <c r="BB575" s="70"/>
      <c r="BC575" s="65">
        <f t="shared" si="350"/>
        <v>0</v>
      </c>
      <c r="BD575" s="70">
        <v>0</v>
      </c>
      <c r="BE575" s="65">
        <f t="shared" si="351"/>
        <v>0</v>
      </c>
      <c r="BF575" s="70">
        <v>0</v>
      </c>
      <c r="BG575" s="65">
        <f t="shared" si="352"/>
        <v>0</v>
      </c>
      <c r="BH575" s="70">
        <v>0</v>
      </c>
      <c r="BI575" s="65">
        <f t="shared" si="353"/>
        <v>0</v>
      </c>
      <c r="BJ575" s="38">
        <f>IF(AND(BJ$7="○",$A575&gt;=BJ$8,$A575&lt;=BJ$9),IF(SUM(BJ$10:BJ574)-ROUNDDOWN($M575*BJ$5/100,0)&lt;-BJ$6,-BJ$6-SUM(BJ$10:BJ574),-ROUNDDOWN($M575*BJ$5/100,0)),0)</f>
        <v>0</v>
      </c>
      <c r="BK575" s="38">
        <f>IF(AND(BK$7="○",$A575&gt;=BK$8,$A575&lt;=BK$9),IF(SUM(BK$10:BK574)-ROUNDDOWN($L575*BK$5/100,0)&lt;-BK$6,-BK$6-SUM(BK$10:BK574),-ROUNDDOWN($L575*BK$5/100,0)),0)</f>
        <v>0</v>
      </c>
      <c r="BL575" s="38">
        <f>IF(AND(BL$7="○",$A575&gt;=BL$8,$A575&lt;=BL$9),IF(SUM(BL$10:BL574)-ROUNDDOWN($L575*BL$5/100,0)&lt;-BL$6,-BL$6-SUM(BL$10:BL574),-ROUNDDOWN($L575*BL$5/100,0)),0)</f>
        <v>0</v>
      </c>
      <c r="BM575" s="38">
        <f>IF(AND(BM$7="○",$A575&gt;=BM$8,$A575&lt;=BM$9),IF(SUM(BM$10:BM574)-ROUNDDOWN($M575*BM$5/100,0)&lt;-BM$6,-BM$6-SUM(BM$10:BM574),-ROUNDDOWN($M575*BM$5/100,0)),0)</f>
        <v>0</v>
      </c>
      <c r="BN575" s="38">
        <f>IF(AND(BN$7="○",$A575&gt;=BN$8,$A575&lt;=BN$9),IF(SUM(BN$10:BN574)-ROUNDDOWN($M575*BN$5/100,0)&lt;-BN$6,-BN$6-SUM(BN$10:BN574),-ROUNDDOWN($M575*BN$5/100,0)),0)</f>
        <v>0</v>
      </c>
      <c r="BO575" s="38">
        <f>IF(AND(BO$7="○",$A575&gt;=BO$8,$A575&lt;=BO$9),IF(SUM(BO$10:BO574)-ROUNDDOWN($M575*BO$5/100,0)&lt;-BO$6,-BO$6-SUM(BO$10:BO574),-ROUNDDOWN($M575*BO$5/100,0)),0)</f>
        <v>0</v>
      </c>
      <c r="BP575" s="38">
        <f>IF(AND(BP$7="○",$A575&gt;=BP$8,$A575&lt;=BP$9),IF(SUM(BP$10:BP574)-ROUNDDOWN($M575*BP$5/100,0)&lt;-BP$6,-BP$6-SUM(BP$10:BP574),-ROUNDDOWN($M575*BP$5/100,0)),0)</f>
        <v>0</v>
      </c>
      <c r="BQ575" s="38">
        <f>IF(AND(BQ$7="○",$A575&gt;=BQ$8,$A575&lt;=BQ$9),IF(SUM(BQ$10:BQ574)-ROUNDDOWN($L575*BQ$5/100,0)&lt;-BQ$6,-BQ$6-SUM(BQ$10:BQ574),-ROUNDDOWN($L575*BQ$5/100,0)),0)</f>
        <v>0</v>
      </c>
      <c r="BR575" s="38">
        <f>IF(AND(BR$7="○",$A575&gt;=BR$8,$A575&lt;=BR$9),IF(SUM(BR$10:BR574)-ROUNDDOWN($M575*BR$5/100,0)&lt;-BR$6,-BR$6-SUM(BR$10:BR574),-ROUNDDOWN($M575*BR$5/100,0)),0)</f>
        <v>0</v>
      </c>
      <c r="BS575" s="38">
        <f>IF(AND(BS$7="○",$A575&gt;=BS$8,$A575&lt;=BS$9),IF(SUM(BS$10:BS574)-ROUNDDOWN($M575*BS$5/100,0)&lt;-BS$6,-BS$6-SUM(BS$10:BS574),-ROUNDDOWN($M575*BS$5/100,0)),0)</f>
        <v>0</v>
      </c>
      <c r="BT575" s="38">
        <f>IF(AND(BT$7="○",$A575&gt;=BT$8,$A575&lt;=BT$9),IF(SUM(BT$10:BT574)-ROUNDDOWN($M575*BT$5/100,0)&lt;-BT$6,-BT$6-SUM(BT$10:BT574),-ROUNDDOWN($M575*BT$5/100,0)),0)</f>
        <v>0</v>
      </c>
      <c r="BU575" s="38">
        <f>IF(AND(BU$7="○",$A575&gt;=BU$8,$A575&lt;=BU$9),IF(SUM(BU$10:BU574)-ROUNDDOWN($M575*BU$5/100,0)&lt;-BU$6,-BU$6-SUM(BU$10:BU574),-ROUNDDOWN($M575*BU$5/100,0)),0)</f>
        <v>0</v>
      </c>
      <c r="BV575" s="38">
        <f>IF(AND(BV$7="○",$A575&gt;=BV$8,$A575&lt;=BV$9),IF(SUM(BV$10:BV574)-ROUNDDOWN($M575*BV$5/100,0)&lt;-BV$6,-BV$6-SUM(BV$10:BV574),-ROUNDDOWN($M575*BV$5/100,0)),0)</f>
        <v>0</v>
      </c>
      <c r="BW575" s="38">
        <f>IF(AND(BW$7="○",$A575&gt;=BW$8,$A575&lt;=BW$9),IF(SUM(BW$10:BW574)-ROUNDDOWN($M575*BW$5/100,0)&lt;-BW$6,-BW$6-SUM(BW$10:BW574),-ROUNDDOWN($M575*BW$5/100,0)),0)</f>
        <v>0</v>
      </c>
      <c r="BX575" s="38">
        <f>IF(AND(T575="○",$A575&gt;=BX$8,$A575&lt;=BX$9),IF(SUM(BX$10:BX574)-ROUNDDOWN($K575*BX$5/100,0)&lt;-BX$6,-BX$6-SUM(BX$10:BX574),-ROUNDDOWN($K575*BX$5/100,0)),0)</f>
        <v>0</v>
      </c>
      <c r="BY575" s="38">
        <f>IF(AND(U575="○",$A575&gt;=BY$8,$A575&lt;=BY$9),IF(SUM(BY$10:BY574)-ROUNDDOWN($K575*BY$5/100,0)&lt;-BY$6,-BY$6-SUM(BY$10:BY574),-ROUNDDOWN($K575*BY$5/100,0)),0)</f>
        <v>0</v>
      </c>
      <c r="BZ575" s="38">
        <f>IF(AND(V575="○",$A575&gt;=BZ$8,$A575&lt;=BZ$9),IF(SUM(BZ$10:BZ574)-ROUNDDOWN($K575*BZ$5/100,0)&lt;-BZ$6,-BZ$6-SUM(BZ$10:BZ574),-ROUNDDOWN($K575*BZ$5/100,0)),0)</f>
        <v>0</v>
      </c>
      <c r="CA575" s="38">
        <f>IF(AND(W575="○",$A575&gt;=CA$8,$A575&lt;=CA$9),IF(SUM(CA$10:CA574)-ROUNDDOWN($K575*CA$5/100,0)&lt;-CA$6,-CA$6-SUM(CA$10:CA574),-ROUNDDOWN($K575*CA$5/100,0)),0)</f>
        <v>0</v>
      </c>
      <c r="CB575" s="38"/>
      <c r="CC575" s="38"/>
      <c r="CD575" s="38"/>
      <c r="CE575" s="38"/>
      <c r="CF575" s="38"/>
      <c r="CG575" s="65">
        <f t="shared" si="354"/>
        <v>0</v>
      </c>
      <c r="CH575" s="71">
        <f t="shared" si="355"/>
        <v>0</v>
      </c>
      <c r="CI575" s="1">
        <f t="shared" si="366"/>
        <v>0</v>
      </c>
      <c r="CJ575" s="1"/>
      <c r="CK575" s="79"/>
      <c r="CL575" s="79"/>
      <c r="CM575" s="2"/>
      <c r="CN575" s="2"/>
      <c r="CO575" s="73">
        <f t="shared" si="367"/>
        <v>0</v>
      </c>
      <c r="CP575" s="5">
        <f t="shared" si="368"/>
        <v>0</v>
      </c>
      <c r="CQ575" s="1"/>
      <c r="CR575" s="1">
        <f t="shared" si="369"/>
        <v>0</v>
      </c>
      <c r="CS575" s="1"/>
      <c r="CT575" s="1" t="e">
        <f>INDEX([2]マスタ!$A:$A,MATCH(D575,[2]マスタ!$C:$C,0))</f>
        <v>#N/A</v>
      </c>
      <c r="CU575" s="1" t="str">
        <f t="shared" ca="1" si="370"/>
        <v>20260620_0-0</v>
      </c>
    </row>
    <row r="576" spans="1:99" x14ac:dyDescent="0.4">
      <c r="A576" s="61"/>
      <c r="B576" s="62"/>
      <c r="C576" s="62"/>
      <c r="D576" s="62"/>
      <c r="E576" s="63"/>
      <c r="F576" s="62"/>
      <c r="G576" s="62">
        <v>1</v>
      </c>
      <c r="H576" s="64">
        <f t="shared" si="360"/>
        <v>0</v>
      </c>
      <c r="I576" s="64"/>
      <c r="J576" s="64"/>
      <c r="K576" s="65">
        <f t="shared" ref="K576:K585" si="373">+ROUNDDOWN((H576+I576+J576)/100,0)*100</f>
        <v>0</v>
      </c>
      <c r="L576" s="65">
        <f t="shared" si="362"/>
        <v>0</v>
      </c>
      <c r="M576" s="65">
        <f t="shared" si="363"/>
        <v>0</v>
      </c>
      <c r="N576" s="65">
        <f t="shared" si="364"/>
        <v>0</v>
      </c>
      <c r="O576" s="66" t="str">
        <f t="shared" si="9"/>
        <v>✕</v>
      </c>
      <c r="P576" s="67" t="str">
        <f t="shared" si="10"/>
        <v>○</v>
      </c>
      <c r="Q576" s="67" t="str">
        <f t="shared" ref="Q576:Q585" si="374">+IF((TEXT(A576,"DD")+0)=1,"○","✕")</f>
        <v>✕</v>
      </c>
      <c r="R576" s="67" t="str">
        <f t="shared" si="12"/>
        <v>✕</v>
      </c>
      <c r="S576" s="68">
        <v>0</v>
      </c>
      <c r="T576" s="69" t="s">
        <v>85</v>
      </c>
      <c r="U576" s="69" t="s">
        <v>85</v>
      </c>
      <c r="V576" s="69" t="s">
        <v>85</v>
      </c>
      <c r="W576" s="69" t="s">
        <v>85</v>
      </c>
      <c r="X576" s="69" t="s">
        <v>84</v>
      </c>
      <c r="Y576" s="69" t="s">
        <v>85</v>
      </c>
      <c r="Z576" s="69" t="s">
        <v>85</v>
      </c>
      <c r="AA576" s="69" t="s">
        <v>85</v>
      </c>
      <c r="AB576" s="69" t="s">
        <v>85</v>
      </c>
      <c r="AC576" s="69" t="s">
        <v>85</v>
      </c>
      <c r="AD576" s="38" t="str">
        <f>+IF(ISERROR(VLOOKUP($B576,AD$10:AD575,1,0)),IF(AND($N576&gt;=1000,$A576&gt;=AO$8,$A576&lt;=AO$9),$B576,""),"")</f>
        <v/>
      </c>
      <c r="AE576" s="38" t="str">
        <f>+IF(ISERROR(VLOOKUP($B576,AE$10:AE575,1,0)),IF(AND($N576&gt;=1000,$A576&gt;=AP$8,$A576&lt;=AP$9),$B576,""),"")</f>
        <v/>
      </c>
      <c r="AF576" s="38" t="str">
        <f>+IF(ISERROR(VLOOKUP($B576,AF$10:AF575,1,0)),IF(AND($N576&gt;=1000,$A576&gt;=AQ$8,$A576&lt;=AQ$9),$B576,""),"")</f>
        <v/>
      </c>
      <c r="AG576" s="38" t="str">
        <f>+IF(ISERROR(VLOOKUP($B576,AG$10:AG575,1,0)),IF(AND($N576&gt;=1000,$A576&gt;=AR$8,$A576&lt;=AR$9),$B576,""),"")</f>
        <v/>
      </c>
      <c r="AH576" s="38"/>
      <c r="AI576" s="70">
        <v>0</v>
      </c>
      <c r="AJ576" s="38">
        <f>IF(AND(AJ$7="○",$A576&gt;=AJ$8,$A576&lt;=AJ$9),IF(SUM(AJ$10:AJ575)-ROUNDDOWN($K576*AJ$5/100,0)&lt;-AJ$6,-AJ$6-SUM(AJ$10:AJ575),-ROUNDDOWN($K576*AJ$5/100,0)),0)</f>
        <v>0</v>
      </c>
      <c r="AK576" s="38">
        <f>IF(AND(AK$7="○",$A576&gt;=AK$8,$A576&lt;=AK$9),IF(SUM(AK$10:AK575)-ROUNDDOWN($L576*AK$5/100,0)&lt;-AK$6,-AK$6-SUM(AK$10:AK575),-ROUNDDOWN($L576*AK$5/100,0)),0)</f>
        <v>0</v>
      </c>
      <c r="AL576" s="38">
        <f>IF(AND(AL$7="○",$A576&gt;=AL$8,$A576&lt;=AL$9),IF(SUM(AL$10:AL575)-ROUNDDOWN($N576*AL$5/100,0)&lt;-AL$6,-AL$6-SUM(AL$10:AL575),-ROUNDDOWN($N576*AL$5/100,0)),0)</f>
        <v>0</v>
      </c>
      <c r="AM576" s="38">
        <f>IF(AND(AM$7="○",$A576&gt;=AM$8,$A576&lt;=AM$9),IF(SUM(AM$10:AM575)-ROUNDDOWN($L576*AM$5/100,0)&lt;-AM$6,-AM$6-SUM(AM$10:AM575),-ROUNDDOWN($L576*AM$5/100,0)),0)</f>
        <v>0</v>
      </c>
      <c r="AN576" s="38">
        <f>IF(AND(AN$7="○",$A576&gt;=AN$8,$A576&lt;=AN$9),IF(SUM(AN$10:AN575)-ROUNDDOWN($M576*AN$5/100,0)&lt;-AN$6,-AN$6-SUM(AN$10:AN575),-ROUNDDOWN($M576*AN$5/100,0)),0)</f>
        <v>0</v>
      </c>
      <c r="AO576" s="38">
        <f>IF(AND($A576&gt;=AO$8,$A576&lt;=AO$9),IF(SUM(AO$10:AO575)-ROUNDDOWN($K576*AO$5/100,0)&lt;-AO$6,-AO$6-SUM(AO$10:AO575),-ROUNDDOWN($K576*AO$5/100,0)),0)</f>
        <v>0</v>
      </c>
      <c r="AP576" s="38">
        <f>IF(AND($A576&gt;=AP$8,$A576&lt;=AP$9),IF(SUM(AP$10:AP575)-ROUNDDOWN($K576*AP$5/100,0)&lt;-AP$6,-AP$6-SUM(AP$10:AP575),-ROUNDDOWN($K576*AP$5/100,0)),0)</f>
        <v>0</v>
      </c>
      <c r="AQ576" s="38">
        <f>IF(AND($A576&gt;=AQ$8,$A576&lt;=AQ$9),IF(SUM(AQ$10:AQ575)-ROUNDDOWN($K576*AQ$5/100,0)&lt;-AQ$6,-AQ$6-SUM(AQ$10:AQ575),-ROUNDDOWN($K576*AQ$5/100,0)),0)</f>
        <v>0</v>
      </c>
      <c r="AR576" s="38">
        <f>IF(AND($A576&gt;=AR$8,$A576&lt;=AR$9),IF(SUM(AR$10:AR575)-ROUNDDOWN($K576*AR$5/100,0)&lt;-AR$6,-AR$6-SUM(AR$10:AR575),-ROUNDDOWN($K576*AR$5/100,0)),0)</f>
        <v>0</v>
      </c>
      <c r="AS576" s="38">
        <f>IF(SUMIFS(AS$10:AS575,$A$10:$A575,$A576)-ROUNDDOWN($K576*$S576/100,0)&lt;-$S576*1000,-$S576*1000-SUMIFS(AS$10:AS575,$A$10:$A575,$A576),-ROUNDDOWN($K576*$S576/100,0))</f>
        <v>0</v>
      </c>
      <c r="AT576" s="38">
        <f>IF(AND(X576="○",$A576&gt;=AT$8,$A576&lt;=AT$9,K576&gt;=3980),IF(SUM(AT$10:AT575)-ROUNDDOWN($K576*AT$5/100,0)&lt;-AT$6,-AT$6-SUM(AT$10:AT575),-ROUNDDOWN($K576*AT$5/100,0)),0)</f>
        <v>0</v>
      </c>
      <c r="AU576" s="38">
        <f>IF(O576="○",IF(SUM(AU$10:AU575)-ROUNDDOWN($K576*AU$5/100,0)&lt;-AU$6,-AU$6-SUM(AU$10:AU575),-ROUNDDOWN($K576*AU$5/100,0)),0)</f>
        <v>0</v>
      </c>
      <c r="AV576" s="38">
        <f>IF(P576="○",IF(SUM(AV$10:AV575)-ROUNDDOWN($K576*AV$5/100,0)&lt;-AV$6,-AV$6-SUM(AV$10:AV575),-ROUNDDOWN($K576*AV$5/100,0)),0)</f>
        <v>0</v>
      </c>
      <c r="AW576" s="38">
        <f>IF(Q576="○",IF(SUM(AW$10:AW575)-ROUNDDOWN($K576*AW$5/100,0)&lt;-AW$6,-AW$6-SUM(AW$10:AW575),-ROUNDDOWN($K576*AW$5/100,0)),0)</f>
        <v>0</v>
      </c>
      <c r="AX576" s="38">
        <f>IF(R576="○",IF(SUM(AX$10:AX575)-ROUNDDOWN($K576*AX$5/100,0)&lt;-AX$6,-AX$6-SUM(AX$10:AX575),-ROUNDDOWN($K576*AX$5/100,0)),0)</f>
        <v>0</v>
      </c>
      <c r="AY576" s="70">
        <v>0</v>
      </c>
      <c r="AZ576" s="65">
        <f t="shared" si="348"/>
        <v>0</v>
      </c>
      <c r="BA576" s="65">
        <f t="shared" si="349"/>
        <v>0</v>
      </c>
      <c r="BB576" s="70"/>
      <c r="BC576" s="65">
        <f t="shared" si="350"/>
        <v>0</v>
      </c>
      <c r="BD576" s="70">
        <v>0</v>
      </c>
      <c r="BE576" s="65">
        <f t="shared" si="351"/>
        <v>0</v>
      </c>
      <c r="BF576" s="70">
        <v>0</v>
      </c>
      <c r="BG576" s="65">
        <f t="shared" si="352"/>
        <v>0</v>
      </c>
      <c r="BH576" s="70">
        <v>0</v>
      </c>
      <c r="BI576" s="65">
        <f t="shared" si="353"/>
        <v>0</v>
      </c>
      <c r="BJ576" s="38">
        <f>IF(AND(BJ$7="○",$A576&gt;=BJ$8,$A576&lt;=BJ$9),IF(SUM(BJ$10:BJ575)-ROUNDDOWN($M576*BJ$5/100,0)&lt;-BJ$6,-BJ$6-SUM(BJ$10:BJ575),-ROUNDDOWN($M576*BJ$5/100,0)),0)</f>
        <v>0</v>
      </c>
      <c r="BK576" s="38">
        <f>IF(AND(BK$7="○",$A576&gt;=BK$8,$A576&lt;=BK$9),IF(SUM(BK$10:BK575)-ROUNDDOWN($L576*BK$5/100,0)&lt;-BK$6,-BK$6-SUM(BK$10:BK575),-ROUNDDOWN($L576*BK$5/100,0)),0)</f>
        <v>0</v>
      </c>
      <c r="BL576" s="38">
        <f>IF(AND(BL$7="○",$A576&gt;=BL$8,$A576&lt;=BL$9),IF(SUM(BL$10:BL575)-ROUNDDOWN($L576*BL$5/100,0)&lt;-BL$6,-BL$6-SUM(BL$10:BL575),-ROUNDDOWN($L576*BL$5/100,0)),0)</f>
        <v>0</v>
      </c>
      <c r="BM576" s="38">
        <f>IF(AND(BM$7="○",$A576&gt;=BM$8,$A576&lt;=BM$9),IF(SUM(BM$10:BM575)-ROUNDDOWN($M576*BM$5/100,0)&lt;-BM$6,-BM$6-SUM(BM$10:BM575),-ROUNDDOWN($M576*BM$5/100,0)),0)</f>
        <v>0</v>
      </c>
      <c r="BN576" s="38">
        <f>IF(AND(BN$7="○",$A576&gt;=BN$8,$A576&lt;=BN$9),IF(SUM(BN$10:BN575)-ROUNDDOWN($M576*BN$5/100,0)&lt;-BN$6,-BN$6-SUM(BN$10:BN575),-ROUNDDOWN($M576*BN$5/100,0)),0)</f>
        <v>0</v>
      </c>
      <c r="BO576" s="38">
        <f>IF(AND(BO$7="○",$A576&gt;=BO$8,$A576&lt;=BO$9),IF(SUM(BO$10:BO575)-ROUNDDOWN($M576*BO$5/100,0)&lt;-BO$6,-BO$6-SUM(BO$10:BO575),-ROUNDDOWN($M576*BO$5/100,0)),0)</f>
        <v>0</v>
      </c>
      <c r="BP576" s="38">
        <f>IF(AND(BP$7="○",$A576&gt;=BP$8,$A576&lt;=BP$9),IF(SUM(BP$10:BP575)-ROUNDDOWN($M576*BP$5/100,0)&lt;-BP$6,-BP$6-SUM(BP$10:BP575),-ROUNDDOWN($M576*BP$5/100,0)),0)</f>
        <v>0</v>
      </c>
      <c r="BQ576" s="38">
        <f>IF(AND(BQ$7="○",$A576&gt;=BQ$8,$A576&lt;=BQ$9),IF(SUM(BQ$10:BQ575)-ROUNDDOWN($L576*BQ$5/100,0)&lt;-BQ$6,-BQ$6-SUM(BQ$10:BQ575),-ROUNDDOWN($L576*BQ$5/100,0)),0)</f>
        <v>0</v>
      </c>
      <c r="BR576" s="38">
        <f>IF(AND(BR$7="○",$A576&gt;=BR$8,$A576&lt;=BR$9),IF(SUM(BR$10:BR575)-ROUNDDOWN($M576*BR$5/100,0)&lt;-BR$6,-BR$6-SUM(BR$10:BR575),-ROUNDDOWN($M576*BR$5/100,0)),0)</f>
        <v>0</v>
      </c>
      <c r="BS576" s="38">
        <f>IF(AND(BS$7="○",$A576&gt;=BS$8,$A576&lt;=BS$9),IF(SUM(BS$10:BS575)-ROUNDDOWN($M576*BS$5/100,0)&lt;-BS$6,-BS$6-SUM(BS$10:BS575),-ROUNDDOWN($M576*BS$5/100,0)),0)</f>
        <v>0</v>
      </c>
      <c r="BT576" s="38">
        <f>IF(AND(BT$7="○",$A576&gt;=BT$8,$A576&lt;=BT$9),IF(SUM(BT$10:BT575)-ROUNDDOWN($M576*BT$5/100,0)&lt;-BT$6,-BT$6-SUM(BT$10:BT575),-ROUNDDOWN($M576*BT$5/100,0)),0)</f>
        <v>0</v>
      </c>
      <c r="BU576" s="38">
        <f>IF(AND(BU$7="○",$A576&gt;=BU$8,$A576&lt;=BU$9),IF(SUM(BU$10:BU575)-ROUNDDOWN($M576*BU$5/100,0)&lt;-BU$6,-BU$6-SUM(BU$10:BU575),-ROUNDDOWN($M576*BU$5/100,0)),0)</f>
        <v>0</v>
      </c>
      <c r="BV576" s="38">
        <f>IF(AND(BV$7="○",$A576&gt;=BV$8,$A576&lt;=BV$9),IF(SUM(BV$10:BV575)-ROUNDDOWN($M576*BV$5/100,0)&lt;-BV$6,-BV$6-SUM(BV$10:BV575),-ROUNDDOWN($M576*BV$5/100,0)),0)</f>
        <v>0</v>
      </c>
      <c r="BW576" s="38">
        <f>IF(AND(BW$7="○",$A576&gt;=BW$8,$A576&lt;=BW$9),IF(SUM(BW$10:BW575)-ROUNDDOWN($M576*BW$5/100,0)&lt;-BW$6,-BW$6-SUM(BW$10:BW575),-ROUNDDOWN($M576*BW$5/100,0)),0)</f>
        <v>0</v>
      </c>
      <c r="BX576" s="38">
        <f>IF(AND(T576="○",$A576&gt;=BX$8,$A576&lt;=BX$9),IF(SUM(BX$10:BX575)-ROUNDDOWN($K576*BX$5/100,0)&lt;-BX$6,-BX$6-SUM(BX$10:BX575),-ROUNDDOWN($K576*BX$5/100,0)),0)</f>
        <v>0</v>
      </c>
      <c r="BY576" s="38">
        <f>IF(AND(U576="○",$A576&gt;=BY$8,$A576&lt;=BY$9),IF(SUM(BY$10:BY575)-ROUNDDOWN($K576*BY$5/100,0)&lt;-BY$6,-BY$6-SUM(BY$10:BY575),-ROUNDDOWN($K576*BY$5/100,0)),0)</f>
        <v>0</v>
      </c>
      <c r="BZ576" s="38">
        <f>IF(AND(V576="○",$A576&gt;=BZ$8,$A576&lt;=BZ$9),IF(SUM(BZ$10:BZ575)-ROUNDDOWN($K576*BZ$5/100,0)&lt;-BZ$6,-BZ$6-SUM(BZ$10:BZ575),-ROUNDDOWN($K576*BZ$5/100,0)),0)</f>
        <v>0</v>
      </c>
      <c r="CA576" s="38">
        <f>IF(AND(W576="○",$A576&gt;=CA$8,$A576&lt;=CA$9),IF(SUM(CA$10:CA575)-ROUNDDOWN($K576*CA$5/100,0)&lt;-CA$6,-CA$6-SUM(CA$10:CA575),-ROUNDDOWN($K576*CA$5/100,0)),0)</f>
        <v>0</v>
      </c>
      <c r="CB576" s="38"/>
      <c r="CC576" s="38"/>
      <c r="CD576" s="38"/>
      <c r="CE576" s="38"/>
      <c r="CF576" s="38"/>
      <c r="CG576" s="65">
        <f t="shared" si="354"/>
        <v>0</v>
      </c>
      <c r="CH576" s="71">
        <f t="shared" si="355"/>
        <v>0</v>
      </c>
      <c r="CI576" s="1">
        <f t="shared" si="366"/>
        <v>0</v>
      </c>
      <c r="CJ576" s="1"/>
      <c r="CK576" s="72"/>
      <c r="CL576" s="72"/>
      <c r="CM576" s="2"/>
      <c r="CN576" s="2"/>
      <c r="CO576" s="73">
        <f t="shared" si="367"/>
        <v>0</v>
      </c>
      <c r="CP576" s="5">
        <f t="shared" si="368"/>
        <v>0</v>
      </c>
      <c r="CQ576" s="1"/>
      <c r="CR576" s="1">
        <f t="shared" si="369"/>
        <v>0</v>
      </c>
      <c r="CS576" s="1"/>
      <c r="CT576" s="1" t="e">
        <f>INDEX([2]マスタ!$A:$A,MATCH(D576,[2]マスタ!$C:$C,0))</f>
        <v>#N/A</v>
      </c>
      <c r="CU576" s="1" t="str">
        <f t="shared" ca="1" si="370"/>
        <v>20260620_0-0</v>
      </c>
    </row>
    <row r="577" spans="1:99" x14ac:dyDescent="0.4">
      <c r="A577" s="61"/>
      <c r="B577" s="62"/>
      <c r="C577" s="62"/>
      <c r="D577" s="62"/>
      <c r="E577" s="63"/>
      <c r="F577" s="62"/>
      <c r="G577" s="62">
        <v>1</v>
      </c>
      <c r="H577" s="64">
        <f t="shared" si="360"/>
        <v>0</v>
      </c>
      <c r="I577" s="64"/>
      <c r="J577" s="64"/>
      <c r="K577" s="65">
        <f t="shared" si="373"/>
        <v>0</v>
      </c>
      <c r="L577" s="65">
        <f t="shared" si="362"/>
        <v>0</v>
      </c>
      <c r="M577" s="65">
        <f t="shared" si="363"/>
        <v>0</v>
      </c>
      <c r="N577" s="65">
        <f t="shared" si="364"/>
        <v>0</v>
      </c>
      <c r="O577" s="66" t="str">
        <f t="shared" si="9"/>
        <v>✕</v>
      </c>
      <c r="P577" s="67" t="str">
        <f t="shared" si="10"/>
        <v>○</v>
      </c>
      <c r="Q577" s="67" t="str">
        <f t="shared" si="374"/>
        <v>✕</v>
      </c>
      <c r="R577" s="67" t="str">
        <f t="shared" si="12"/>
        <v>✕</v>
      </c>
      <c r="S577" s="68">
        <v>0</v>
      </c>
      <c r="T577" s="69" t="s">
        <v>85</v>
      </c>
      <c r="U577" s="69" t="s">
        <v>85</v>
      </c>
      <c r="V577" s="69" t="s">
        <v>85</v>
      </c>
      <c r="W577" s="69" t="s">
        <v>85</v>
      </c>
      <c r="X577" s="69" t="s">
        <v>84</v>
      </c>
      <c r="Y577" s="69" t="s">
        <v>85</v>
      </c>
      <c r="Z577" s="69" t="s">
        <v>85</v>
      </c>
      <c r="AA577" s="69" t="s">
        <v>85</v>
      </c>
      <c r="AB577" s="69" t="s">
        <v>85</v>
      </c>
      <c r="AC577" s="69" t="s">
        <v>85</v>
      </c>
      <c r="AD577" s="38" t="str">
        <f>+IF(ISERROR(VLOOKUP($B577,AD$10:AD576,1,0)),IF(AND($N577&gt;=1000,$A577&gt;=AO$8,$A577&lt;=AO$9),$B577,""),"")</f>
        <v/>
      </c>
      <c r="AE577" s="38" t="str">
        <f>+IF(ISERROR(VLOOKUP($B577,AE$10:AE576,1,0)),IF(AND($N577&gt;=1000,$A577&gt;=AP$8,$A577&lt;=AP$9),$B577,""),"")</f>
        <v/>
      </c>
      <c r="AF577" s="38" t="str">
        <f>+IF(ISERROR(VLOOKUP($B577,AF$10:AF576,1,0)),IF(AND($N577&gt;=1000,$A577&gt;=AQ$8,$A577&lt;=AQ$9),$B577,""),"")</f>
        <v/>
      </c>
      <c r="AG577" s="38" t="str">
        <f>+IF(ISERROR(VLOOKUP($B577,AG$10:AG576,1,0)),IF(AND($N577&gt;=1000,$A577&gt;=AR$8,$A577&lt;=AR$9),$B577,""),"")</f>
        <v/>
      </c>
      <c r="AH577" s="38"/>
      <c r="AI577" s="70">
        <v>0</v>
      </c>
      <c r="AJ577" s="38">
        <f>IF(AND(AJ$7="○",$A577&gt;=AJ$8,$A577&lt;=AJ$9),IF(SUM(AJ$10:AJ576)-ROUNDDOWN($K577*AJ$5/100,0)&lt;-AJ$6,-AJ$6-SUM(AJ$10:AJ576),-ROUNDDOWN($K577*AJ$5/100,0)),0)</f>
        <v>0</v>
      </c>
      <c r="AK577" s="38">
        <f>IF(AND(AK$7="○",$A577&gt;=AK$8,$A577&lt;=AK$9),IF(SUM(AK$10:AK576)-ROUNDDOWN($L577*AK$5/100,0)&lt;-AK$6,-AK$6-SUM(AK$10:AK576),-ROUNDDOWN($L577*AK$5/100,0)),0)</f>
        <v>0</v>
      </c>
      <c r="AL577" s="38">
        <f>IF(AND(AL$7="○",$A577&gt;=AL$8,$A577&lt;=AL$9),IF(SUM(AL$10:AL576)-ROUNDDOWN($N577*AL$5/100,0)&lt;-AL$6,-AL$6-SUM(AL$10:AL576),-ROUNDDOWN($N577*AL$5/100,0)),0)</f>
        <v>0</v>
      </c>
      <c r="AM577" s="38">
        <f>IF(AND(AM$7="○",$A577&gt;=AM$8,$A577&lt;=AM$9),IF(SUM(AM$10:AM576)-ROUNDDOWN($L577*AM$5/100,0)&lt;-AM$6,-AM$6-SUM(AM$10:AM576),-ROUNDDOWN($L577*AM$5/100,0)),0)</f>
        <v>0</v>
      </c>
      <c r="AN577" s="38">
        <f>IF(AND(AN$7="○",$A577&gt;=AN$8,$A577&lt;=AN$9),IF(SUM(AN$10:AN576)-ROUNDDOWN($M577*AN$5/100,0)&lt;-AN$6,-AN$6-SUM(AN$10:AN576),-ROUNDDOWN($M577*AN$5/100,0)),0)</f>
        <v>0</v>
      </c>
      <c r="AO577" s="38">
        <f>IF(AND($A577&gt;=AO$8,$A577&lt;=AO$9),IF(SUM(AO$10:AO576)-ROUNDDOWN($K577*AO$5/100,0)&lt;-AO$6,-AO$6-SUM(AO$10:AO576),-ROUNDDOWN($K577*AO$5/100,0)),0)</f>
        <v>0</v>
      </c>
      <c r="AP577" s="38">
        <f>IF(AND($A577&gt;=AP$8,$A577&lt;=AP$9),IF(SUM(AP$10:AP576)-ROUNDDOWN($K577*AP$5/100,0)&lt;-AP$6,-AP$6-SUM(AP$10:AP576),-ROUNDDOWN($K577*AP$5/100,0)),0)</f>
        <v>0</v>
      </c>
      <c r="AQ577" s="38">
        <f>IF(AND($A577&gt;=AQ$8,$A577&lt;=AQ$9),IF(SUM(AQ$10:AQ576)-ROUNDDOWN($K577*AQ$5/100,0)&lt;-AQ$6,-AQ$6-SUM(AQ$10:AQ576),-ROUNDDOWN($K577*AQ$5/100,0)),0)</f>
        <v>0</v>
      </c>
      <c r="AR577" s="38">
        <f>IF(AND($A577&gt;=AR$8,$A577&lt;=AR$9),IF(SUM(AR$10:AR576)-ROUNDDOWN($K577*AR$5/100,0)&lt;-AR$6,-AR$6-SUM(AR$10:AR576),-ROUNDDOWN($K577*AR$5/100,0)),0)</f>
        <v>0</v>
      </c>
      <c r="AS577" s="38">
        <f>IF(SUMIFS(AS$10:AS576,$A$10:$A576,$A577)-ROUNDDOWN($K577*$S577/100,0)&lt;-$S577*1000,-$S577*1000-SUMIFS(AS$10:AS576,$A$10:$A576,$A577),-ROUNDDOWN($K577*$S577/100,0))</f>
        <v>0</v>
      </c>
      <c r="AT577" s="38">
        <f>IF(AND(X577="○",$A577&gt;=AT$8,$A577&lt;=AT$9,K577&gt;=3980),IF(SUM(AT$10:AT576)-ROUNDDOWN($K577*AT$5/100,0)&lt;-AT$6,-AT$6-SUM(AT$10:AT576),-ROUNDDOWN($K577*AT$5/100,0)),0)</f>
        <v>0</v>
      </c>
      <c r="AU577" s="38">
        <f>IF(O577="○",IF(SUM(AU$10:AU576)-ROUNDDOWN($K577*AU$5/100,0)&lt;-AU$6,-AU$6-SUM(AU$10:AU576),-ROUNDDOWN($K577*AU$5/100,0)),0)</f>
        <v>0</v>
      </c>
      <c r="AV577" s="38">
        <f>IF(P577="○",IF(SUM(AV$10:AV576)-ROUNDDOWN($K577*AV$5/100,0)&lt;-AV$6,-AV$6-SUM(AV$10:AV576),-ROUNDDOWN($K577*AV$5/100,0)),0)</f>
        <v>0</v>
      </c>
      <c r="AW577" s="38">
        <f>IF(Q577="○",IF(SUM(AW$10:AW576)-ROUNDDOWN($K577*AW$5/100,0)&lt;-AW$6,-AW$6-SUM(AW$10:AW576),-ROUNDDOWN($K577*AW$5/100,0)),0)</f>
        <v>0</v>
      </c>
      <c r="AX577" s="38">
        <f>IF(R577="○",IF(SUM(AX$10:AX576)-ROUNDDOWN($K577*AX$5/100,0)&lt;-AX$6,-AX$6-SUM(AX$10:AX576),-ROUNDDOWN($K577*AX$5/100,0)),0)</f>
        <v>0</v>
      </c>
      <c r="AY577" s="70">
        <v>0</v>
      </c>
      <c r="AZ577" s="65">
        <f t="shared" si="348"/>
        <v>0</v>
      </c>
      <c r="BA577" s="65">
        <f t="shared" si="349"/>
        <v>0</v>
      </c>
      <c r="BB577" s="70"/>
      <c r="BC577" s="65">
        <f t="shared" si="350"/>
        <v>0</v>
      </c>
      <c r="BD577" s="70">
        <v>0</v>
      </c>
      <c r="BE577" s="65">
        <f t="shared" si="351"/>
        <v>0</v>
      </c>
      <c r="BF577" s="70">
        <v>0</v>
      </c>
      <c r="BG577" s="65">
        <f t="shared" si="352"/>
        <v>0</v>
      </c>
      <c r="BH577" s="70">
        <v>0</v>
      </c>
      <c r="BI577" s="65">
        <f t="shared" si="353"/>
        <v>0</v>
      </c>
      <c r="BJ577" s="38">
        <f>IF(AND(BJ$7="○",$A577&gt;=BJ$8,$A577&lt;=BJ$9),IF(SUM(BJ$10:BJ576)-ROUNDDOWN($M577*BJ$5/100,0)&lt;-BJ$6,-BJ$6-SUM(BJ$10:BJ576),-ROUNDDOWN($M577*BJ$5/100,0)),0)</f>
        <v>0</v>
      </c>
      <c r="BK577" s="38">
        <f>IF(AND(BK$7="○",$A577&gt;=BK$8,$A577&lt;=BK$9),IF(SUM(BK$10:BK576)-ROUNDDOWN($L577*BK$5/100,0)&lt;-BK$6,-BK$6-SUM(BK$10:BK576),-ROUNDDOWN($L577*BK$5/100,0)),0)</f>
        <v>0</v>
      </c>
      <c r="BL577" s="38">
        <f>IF(AND(BL$7="○",$A577&gt;=BL$8,$A577&lt;=BL$9),IF(SUM(BL$10:BL576)-ROUNDDOWN($L577*BL$5/100,0)&lt;-BL$6,-BL$6-SUM(BL$10:BL576),-ROUNDDOWN($L577*BL$5/100,0)),0)</f>
        <v>0</v>
      </c>
      <c r="BM577" s="38">
        <f>IF(AND(BM$7="○",$A577&gt;=BM$8,$A577&lt;=BM$9),IF(SUM(BM$10:BM576)-ROUNDDOWN($M577*BM$5/100,0)&lt;-BM$6,-BM$6-SUM(BM$10:BM576),-ROUNDDOWN($M577*BM$5/100,0)),0)</f>
        <v>0</v>
      </c>
      <c r="BN577" s="38">
        <f>IF(AND(BN$7="○",$A577&gt;=BN$8,$A577&lt;=BN$9),IF(SUM(BN$10:BN576)-ROUNDDOWN($M577*BN$5/100,0)&lt;-BN$6,-BN$6-SUM(BN$10:BN576),-ROUNDDOWN($M577*BN$5/100,0)),0)</f>
        <v>0</v>
      </c>
      <c r="BO577" s="38">
        <f>IF(AND(BO$7="○",$A577&gt;=BO$8,$A577&lt;=BO$9),IF(SUM(BO$10:BO576)-ROUNDDOWN($M577*BO$5/100,0)&lt;-BO$6,-BO$6-SUM(BO$10:BO576),-ROUNDDOWN($M577*BO$5/100,0)),0)</f>
        <v>0</v>
      </c>
      <c r="BP577" s="38">
        <f>IF(AND(BP$7="○",$A577&gt;=BP$8,$A577&lt;=BP$9),IF(SUM(BP$10:BP576)-ROUNDDOWN($M577*BP$5/100,0)&lt;-BP$6,-BP$6-SUM(BP$10:BP576),-ROUNDDOWN($M577*BP$5/100,0)),0)</f>
        <v>0</v>
      </c>
      <c r="BQ577" s="38">
        <f>IF(AND(BQ$7="○",$A577&gt;=BQ$8,$A577&lt;=BQ$9),IF(SUM(BQ$10:BQ576)-ROUNDDOWN($L577*BQ$5/100,0)&lt;-BQ$6,-BQ$6-SUM(BQ$10:BQ576),-ROUNDDOWN($L577*BQ$5/100,0)),0)</f>
        <v>0</v>
      </c>
      <c r="BR577" s="38">
        <f>IF(AND(BR$7="○",$A577&gt;=BR$8,$A577&lt;=BR$9),IF(SUM(BR$10:BR576)-ROUNDDOWN($M577*BR$5/100,0)&lt;-BR$6,-BR$6-SUM(BR$10:BR576),-ROUNDDOWN($M577*BR$5/100,0)),0)</f>
        <v>0</v>
      </c>
      <c r="BS577" s="38">
        <f>IF(AND(BS$7="○",$A577&gt;=BS$8,$A577&lt;=BS$9),IF(SUM(BS$10:BS576)-ROUNDDOWN($M577*BS$5/100,0)&lt;-BS$6,-BS$6-SUM(BS$10:BS576),-ROUNDDOWN($M577*BS$5/100,0)),0)</f>
        <v>0</v>
      </c>
      <c r="BT577" s="38">
        <f>IF(AND(BT$7="○",$A577&gt;=BT$8,$A577&lt;=BT$9),IF(SUM(BT$10:BT576)-ROUNDDOWN($M577*BT$5/100,0)&lt;-BT$6,-BT$6-SUM(BT$10:BT576),-ROUNDDOWN($M577*BT$5/100,0)),0)</f>
        <v>0</v>
      </c>
      <c r="BU577" s="38">
        <f>IF(AND(BU$7="○",$A577&gt;=BU$8,$A577&lt;=BU$9),IF(SUM(BU$10:BU576)-ROUNDDOWN($M577*BU$5/100,0)&lt;-BU$6,-BU$6-SUM(BU$10:BU576),-ROUNDDOWN($M577*BU$5/100,0)),0)</f>
        <v>0</v>
      </c>
      <c r="BV577" s="38">
        <f>IF(AND(BV$7="○",$A577&gt;=BV$8,$A577&lt;=BV$9),IF(SUM(BV$10:BV576)-ROUNDDOWN($M577*BV$5/100,0)&lt;-BV$6,-BV$6-SUM(BV$10:BV576),-ROUNDDOWN($M577*BV$5/100,0)),0)</f>
        <v>0</v>
      </c>
      <c r="BW577" s="38">
        <f>IF(AND(BW$7="○",$A577&gt;=BW$8,$A577&lt;=BW$9),IF(SUM(BW$10:BW576)-ROUNDDOWN($M577*BW$5/100,0)&lt;-BW$6,-BW$6-SUM(BW$10:BW576),-ROUNDDOWN($M577*BW$5/100,0)),0)</f>
        <v>0</v>
      </c>
      <c r="BX577" s="38">
        <f>IF(AND(T577="○",$A577&gt;=BX$8,$A577&lt;=BX$9),IF(SUM(BX$10:BX576)-ROUNDDOWN($K577*BX$5/100,0)&lt;-BX$6,-BX$6-SUM(BX$10:BX576),-ROUNDDOWN($K577*BX$5/100,0)),0)</f>
        <v>0</v>
      </c>
      <c r="BY577" s="38">
        <f>IF(AND(U577="○",$A577&gt;=BY$8,$A577&lt;=BY$9),IF(SUM(BY$10:BY576)-ROUNDDOWN($K577*BY$5/100,0)&lt;-BY$6,-BY$6-SUM(BY$10:BY576),-ROUNDDOWN($K577*BY$5/100,0)),0)</f>
        <v>0</v>
      </c>
      <c r="BZ577" s="38">
        <f>IF(AND(V577="○",$A577&gt;=BZ$8,$A577&lt;=BZ$9),IF(SUM(BZ$10:BZ576)-ROUNDDOWN($K577*BZ$5/100,0)&lt;-BZ$6,-BZ$6-SUM(BZ$10:BZ576),-ROUNDDOWN($K577*BZ$5/100,0)),0)</f>
        <v>0</v>
      </c>
      <c r="CA577" s="38">
        <f>IF(AND(W577="○",$A577&gt;=CA$8,$A577&lt;=CA$9),IF(SUM(CA$10:CA576)-ROUNDDOWN($K577*CA$5/100,0)&lt;-CA$6,-CA$6-SUM(CA$10:CA576),-ROUNDDOWN($K577*CA$5/100,0)),0)</f>
        <v>0</v>
      </c>
      <c r="CB577" s="38"/>
      <c r="CC577" s="38"/>
      <c r="CD577" s="38"/>
      <c r="CE577" s="38"/>
      <c r="CF577" s="38"/>
      <c r="CG577" s="65">
        <f t="shared" si="354"/>
        <v>0</v>
      </c>
      <c r="CH577" s="71">
        <f t="shared" si="355"/>
        <v>0</v>
      </c>
      <c r="CI577" s="1">
        <f t="shared" si="366"/>
        <v>0</v>
      </c>
      <c r="CJ577" s="1"/>
      <c r="CK577" s="72"/>
      <c r="CL577" s="72"/>
      <c r="CM577" s="2"/>
      <c r="CN577" s="2"/>
      <c r="CO577" s="73">
        <f t="shared" si="367"/>
        <v>0</v>
      </c>
      <c r="CP577" s="5">
        <f t="shared" si="368"/>
        <v>0</v>
      </c>
      <c r="CQ577" s="1"/>
      <c r="CR577" s="1">
        <f t="shared" si="369"/>
        <v>0</v>
      </c>
      <c r="CS577" s="1"/>
      <c r="CT577" s="1" t="e">
        <f>INDEX([2]マスタ!$A:$A,MATCH(D577,[2]マスタ!$C:$C,0))</f>
        <v>#N/A</v>
      </c>
      <c r="CU577" s="1" t="str">
        <f t="shared" ca="1" si="370"/>
        <v>20260620_0-0</v>
      </c>
    </row>
    <row r="578" spans="1:99" x14ac:dyDescent="0.4">
      <c r="A578" s="61"/>
      <c r="B578" s="62"/>
      <c r="C578" s="62"/>
      <c r="D578" s="63"/>
      <c r="E578" s="63"/>
      <c r="F578" s="62"/>
      <c r="G578" s="62">
        <v>1</v>
      </c>
      <c r="H578" s="64">
        <f t="shared" si="360"/>
        <v>0</v>
      </c>
      <c r="I578" s="64"/>
      <c r="J578" s="64"/>
      <c r="K578" s="65">
        <f t="shared" si="373"/>
        <v>0</v>
      </c>
      <c r="L578" s="65">
        <f t="shared" si="362"/>
        <v>0</v>
      </c>
      <c r="M578" s="65">
        <f t="shared" si="363"/>
        <v>0</v>
      </c>
      <c r="N578" s="65">
        <f t="shared" si="364"/>
        <v>0</v>
      </c>
      <c r="O578" s="66" t="str">
        <f t="shared" si="9"/>
        <v>✕</v>
      </c>
      <c r="P578" s="67" t="str">
        <f t="shared" si="10"/>
        <v>○</v>
      </c>
      <c r="Q578" s="67" t="str">
        <f t="shared" si="374"/>
        <v>✕</v>
      </c>
      <c r="R578" s="67" t="str">
        <f t="shared" si="12"/>
        <v>✕</v>
      </c>
      <c r="S578" s="68">
        <v>0</v>
      </c>
      <c r="T578" s="69" t="s">
        <v>85</v>
      </c>
      <c r="U578" s="69" t="s">
        <v>85</v>
      </c>
      <c r="V578" s="69" t="s">
        <v>85</v>
      </c>
      <c r="W578" s="69" t="s">
        <v>85</v>
      </c>
      <c r="X578" s="69" t="s">
        <v>84</v>
      </c>
      <c r="Y578" s="69" t="s">
        <v>85</v>
      </c>
      <c r="Z578" s="69" t="s">
        <v>85</v>
      </c>
      <c r="AA578" s="69" t="s">
        <v>85</v>
      </c>
      <c r="AB578" s="69" t="s">
        <v>85</v>
      </c>
      <c r="AC578" s="69" t="s">
        <v>85</v>
      </c>
      <c r="AD578" s="38" t="str">
        <f>+IF(ISERROR(VLOOKUP($B578,AD$10:AD577,1,0)),IF(AND($N578&gt;=1000,$A578&gt;=AO$8,$A578&lt;=AO$9),$B578,""),"")</f>
        <v/>
      </c>
      <c r="AE578" s="38" t="str">
        <f>+IF(ISERROR(VLOOKUP($B578,AE$10:AE577,1,0)),IF(AND($N578&gt;=1000,$A578&gt;=AP$8,$A578&lt;=AP$9),$B578,""),"")</f>
        <v/>
      </c>
      <c r="AF578" s="38" t="str">
        <f>+IF(ISERROR(VLOOKUP($B578,AF$10:AF577,1,0)),IF(AND($N578&gt;=1000,$A578&gt;=AQ$8,$A578&lt;=AQ$9),$B578,""),"")</f>
        <v/>
      </c>
      <c r="AG578" s="38" t="str">
        <f>+IF(ISERROR(VLOOKUP($B578,AG$10:AG577,1,0)),IF(AND($N578&gt;=1000,$A578&gt;=AR$8,$A578&lt;=AR$9),$B578,""),"")</f>
        <v/>
      </c>
      <c r="AH578" s="38"/>
      <c r="AI578" s="70">
        <v>0</v>
      </c>
      <c r="AJ578" s="38">
        <f>IF(AND(AJ$7="○",$A578&gt;=AJ$8,$A578&lt;=AJ$9),IF(SUM(AJ$10:AJ577)-ROUNDDOWN($K578*AJ$5/100,0)&lt;-AJ$6,-AJ$6-SUM(AJ$10:AJ577),-ROUNDDOWN($K578*AJ$5/100,0)),0)</f>
        <v>0</v>
      </c>
      <c r="AK578" s="38">
        <f>IF(AND(AK$7="○",$A578&gt;=AK$8,$A578&lt;=AK$9),IF(SUM(AK$10:AK577)-ROUNDDOWN($L578*AK$5/100,0)&lt;-AK$6,-AK$6-SUM(AK$10:AK577),-ROUNDDOWN($L578*AK$5/100,0)),0)</f>
        <v>0</v>
      </c>
      <c r="AL578" s="38">
        <f>IF(AND(AL$7="○",$A578&gt;=AL$8,$A578&lt;=AL$9),IF(SUM(AL$10:AL577)-ROUNDDOWN($N578*AL$5/100,0)&lt;-AL$6,-AL$6-SUM(AL$10:AL577),-ROUNDDOWN($N578*AL$5/100,0)),0)</f>
        <v>0</v>
      </c>
      <c r="AM578" s="38">
        <f>IF(AND(AM$7="○",$A578&gt;=AM$8,$A578&lt;=AM$9),IF(SUM(AM$10:AM577)-ROUNDDOWN($L578*AM$5/100,0)&lt;-AM$6,-AM$6-SUM(AM$10:AM577),-ROUNDDOWN($L578*AM$5/100,0)),0)</f>
        <v>0</v>
      </c>
      <c r="AN578" s="38">
        <f>IF(AND(AN$7="○",$A578&gt;=AN$8,$A578&lt;=AN$9),IF(SUM(AN$10:AN577)-ROUNDDOWN($M578*AN$5/100,0)&lt;-AN$6,-AN$6-SUM(AN$10:AN577),-ROUNDDOWN($M578*AN$5/100,0)),0)</f>
        <v>0</v>
      </c>
      <c r="AO578" s="38">
        <f>IF(AND($A578&gt;=AO$8,$A578&lt;=AO$9),IF(SUM(AO$10:AO577)-ROUNDDOWN($K578*AO$5/100,0)&lt;-AO$6,-AO$6-SUM(AO$10:AO577),-ROUNDDOWN($K578*AO$5/100,0)),0)</f>
        <v>0</v>
      </c>
      <c r="AP578" s="38">
        <f>IF(AND($A578&gt;=AP$8,$A578&lt;=AP$9),IF(SUM(AP$10:AP577)-ROUNDDOWN($K578*AP$5/100,0)&lt;-AP$6,-AP$6-SUM(AP$10:AP577),-ROUNDDOWN($K578*AP$5/100,0)),0)</f>
        <v>0</v>
      </c>
      <c r="AQ578" s="38">
        <f>IF(AND($A578&gt;=AQ$8,$A578&lt;=AQ$9),IF(SUM(AQ$10:AQ577)-ROUNDDOWN($K578*AQ$5/100,0)&lt;-AQ$6,-AQ$6-SUM(AQ$10:AQ577),-ROUNDDOWN($K578*AQ$5/100,0)),0)</f>
        <v>0</v>
      </c>
      <c r="AR578" s="38">
        <f>IF(AND($A578&gt;=AR$8,$A578&lt;=AR$9),IF(SUM(AR$10:AR577)-ROUNDDOWN($K578*AR$5/100,0)&lt;-AR$6,-AR$6-SUM(AR$10:AR577),-ROUNDDOWN($K578*AR$5/100,0)),0)</f>
        <v>0</v>
      </c>
      <c r="AS578" s="38">
        <f>IF(SUMIFS(AS$10:AS577,$A$10:$A577,$A578)-ROUNDDOWN($K578*$S578/100,0)&lt;-$S578*1000,-$S578*1000-SUMIFS(AS$10:AS577,$A$10:$A577,$A578),-ROUNDDOWN($K578*$S578/100,0))</f>
        <v>0</v>
      </c>
      <c r="AT578" s="38">
        <f>IF(AND(X578="○",$A578&gt;=AT$8,$A578&lt;=AT$9,K578&gt;=3980),IF(SUM(AT$10:AT577)-ROUNDDOWN($K578*AT$5/100,0)&lt;-AT$6,-AT$6-SUM(AT$10:AT577),-ROUNDDOWN($K578*AT$5/100,0)),0)</f>
        <v>0</v>
      </c>
      <c r="AU578" s="38">
        <f>IF(O578="○",IF(SUM(AU$10:AU577)-ROUNDDOWN($K578*AU$5/100,0)&lt;-AU$6,-AU$6-SUM(AU$10:AU577),-ROUNDDOWN($K578*AU$5/100,0)),0)</f>
        <v>0</v>
      </c>
      <c r="AV578" s="38">
        <f>IF(P578="○",IF(SUM(AV$10:AV577)-ROUNDDOWN($K578*AV$5/100,0)&lt;-AV$6,-AV$6-SUM(AV$10:AV577),-ROUNDDOWN($K578*AV$5/100,0)),0)</f>
        <v>0</v>
      </c>
      <c r="AW578" s="38">
        <f>IF(Q578="○",IF(SUM(AW$10:AW577)-ROUNDDOWN($K578*AW$5/100,0)&lt;-AW$6,-AW$6-SUM(AW$10:AW577),-ROUNDDOWN($K578*AW$5/100,0)),0)</f>
        <v>0</v>
      </c>
      <c r="AX578" s="38">
        <f>IF(R578="○",IF(SUM(AX$10:AX577)-ROUNDDOWN($K578*AX$5/100,0)&lt;-AX$6,-AX$6-SUM(AX$10:AX577),-ROUNDDOWN($K578*AX$5/100,0)),0)</f>
        <v>0</v>
      </c>
      <c r="AY578" s="70">
        <v>0</v>
      </c>
      <c r="AZ578" s="65">
        <f t="shared" si="348"/>
        <v>0</v>
      </c>
      <c r="BA578" s="65">
        <f t="shared" si="349"/>
        <v>0</v>
      </c>
      <c r="BB578" s="70"/>
      <c r="BC578" s="65">
        <f t="shared" si="350"/>
        <v>0</v>
      </c>
      <c r="BD578" s="70">
        <v>0</v>
      </c>
      <c r="BE578" s="65">
        <f t="shared" si="351"/>
        <v>0</v>
      </c>
      <c r="BF578" s="70">
        <v>0</v>
      </c>
      <c r="BG578" s="65">
        <f t="shared" si="352"/>
        <v>0</v>
      </c>
      <c r="BH578" s="70">
        <v>0</v>
      </c>
      <c r="BI578" s="65">
        <f t="shared" si="353"/>
        <v>0</v>
      </c>
      <c r="BJ578" s="38">
        <f>IF(AND(BJ$7="○",$A578&gt;=BJ$8,$A578&lt;=BJ$9),IF(SUM(BJ$10:BJ577)-ROUNDDOWN($M578*BJ$5/100,0)&lt;-BJ$6,-BJ$6-SUM(BJ$10:BJ577),-ROUNDDOWN($M578*BJ$5/100,0)),0)</f>
        <v>0</v>
      </c>
      <c r="BK578" s="38">
        <f>IF(AND(BK$7="○",$A578&gt;=BK$8,$A578&lt;=BK$9),IF(SUM(BK$10:BK577)-ROUNDDOWN($L578*BK$5/100,0)&lt;-BK$6,-BK$6-SUM(BK$10:BK577),-ROUNDDOWN($L578*BK$5/100,0)),0)</f>
        <v>0</v>
      </c>
      <c r="BL578" s="38">
        <f>IF(AND(BL$7="○",$A578&gt;=BL$8,$A578&lt;=BL$9),IF(SUM(BL$10:BL577)-ROUNDDOWN($L578*BL$5/100,0)&lt;-BL$6,-BL$6-SUM(BL$10:BL577),-ROUNDDOWN($L578*BL$5/100,0)),0)</f>
        <v>0</v>
      </c>
      <c r="BM578" s="38">
        <f>IF(AND(BM$7="○",$A578&gt;=BM$8,$A578&lt;=BM$9),IF(SUM(BM$10:BM577)-ROUNDDOWN($M578*BM$5/100,0)&lt;-BM$6,-BM$6-SUM(BM$10:BM577),-ROUNDDOWN($M578*BM$5/100,0)),0)</f>
        <v>0</v>
      </c>
      <c r="BN578" s="38">
        <f>IF(AND(BN$7="○",$A578&gt;=BN$8,$A578&lt;=BN$9),IF(SUM(BN$10:BN577)-ROUNDDOWN($M578*BN$5/100,0)&lt;-BN$6,-BN$6-SUM(BN$10:BN577),-ROUNDDOWN($M578*BN$5/100,0)),0)</f>
        <v>0</v>
      </c>
      <c r="BO578" s="38">
        <f>IF(AND(BO$7="○",$A578&gt;=BO$8,$A578&lt;=BO$9),IF(SUM(BO$10:BO577)-ROUNDDOWN($M578*BO$5/100,0)&lt;-BO$6,-BO$6-SUM(BO$10:BO577),-ROUNDDOWN($M578*BO$5/100,0)),0)</f>
        <v>0</v>
      </c>
      <c r="BP578" s="38">
        <f>IF(AND(BP$7="○",$A578&gt;=BP$8,$A578&lt;=BP$9),IF(SUM(BP$10:BP577)-ROUNDDOWN($M578*BP$5/100,0)&lt;-BP$6,-BP$6-SUM(BP$10:BP577),-ROUNDDOWN($M578*BP$5/100,0)),0)</f>
        <v>0</v>
      </c>
      <c r="BQ578" s="38">
        <f>IF(AND(BQ$7="○",$A578&gt;=BQ$8,$A578&lt;=BQ$9),IF(SUM(BQ$10:BQ577)-ROUNDDOWN($L578*BQ$5/100,0)&lt;-BQ$6,-BQ$6-SUM(BQ$10:BQ577),-ROUNDDOWN($L578*BQ$5/100,0)),0)</f>
        <v>0</v>
      </c>
      <c r="BR578" s="38">
        <f>IF(AND(BR$7="○",$A578&gt;=BR$8,$A578&lt;=BR$9),IF(SUM(BR$10:BR577)-ROUNDDOWN($M578*BR$5/100,0)&lt;-BR$6,-BR$6-SUM(BR$10:BR577),-ROUNDDOWN($M578*BR$5/100,0)),0)</f>
        <v>0</v>
      </c>
      <c r="BS578" s="38">
        <f>IF(AND(BS$7="○",$A578&gt;=BS$8,$A578&lt;=BS$9),IF(SUM(BS$10:BS577)-ROUNDDOWN($M578*BS$5/100,0)&lt;-BS$6,-BS$6-SUM(BS$10:BS577),-ROUNDDOWN($M578*BS$5/100,0)),0)</f>
        <v>0</v>
      </c>
      <c r="BT578" s="38">
        <f>IF(AND(BT$7="○",$A578&gt;=BT$8,$A578&lt;=BT$9),IF(SUM(BT$10:BT577)-ROUNDDOWN($M578*BT$5/100,0)&lt;-BT$6,-BT$6-SUM(BT$10:BT577),-ROUNDDOWN($M578*BT$5/100,0)),0)</f>
        <v>0</v>
      </c>
      <c r="BU578" s="38">
        <f>IF(AND(BU$7="○",$A578&gt;=BU$8,$A578&lt;=BU$9),IF(SUM(BU$10:BU577)-ROUNDDOWN($M578*BU$5/100,0)&lt;-BU$6,-BU$6-SUM(BU$10:BU577),-ROUNDDOWN($M578*BU$5/100,0)),0)</f>
        <v>0</v>
      </c>
      <c r="BV578" s="38">
        <f>IF(AND(BV$7="○",$A578&gt;=BV$8,$A578&lt;=BV$9),IF(SUM(BV$10:BV577)-ROUNDDOWN($M578*BV$5/100,0)&lt;-BV$6,-BV$6-SUM(BV$10:BV577),-ROUNDDOWN($M578*BV$5/100,0)),0)</f>
        <v>0</v>
      </c>
      <c r="BW578" s="38">
        <f>IF(AND(BW$7="○",$A578&gt;=BW$8,$A578&lt;=BW$9),IF(SUM(BW$10:BW577)-ROUNDDOWN($M578*BW$5/100,0)&lt;-BW$6,-BW$6-SUM(BW$10:BW577),-ROUNDDOWN($M578*BW$5/100,0)),0)</f>
        <v>0</v>
      </c>
      <c r="BX578" s="38">
        <f>IF(AND(T578="○",$A578&gt;=BX$8,$A578&lt;=BX$9),IF(SUM(BX$10:BX577)-ROUNDDOWN($K578*BX$5/100,0)&lt;-BX$6,-BX$6-SUM(BX$10:BX577),-ROUNDDOWN($K578*BX$5/100,0)),0)</f>
        <v>0</v>
      </c>
      <c r="BY578" s="38">
        <f>IF(AND(U578="○",$A578&gt;=BY$8,$A578&lt;=BY$9),IF(SUM(BY$10:BY577)-ROUNDDOWN($K578*BY$5/100,0)&lt;-BY$6,-BY$6-SUM(BY$10:BY577),-ROUNDDOWN($K578*BY$5/100,0)),0)</f>
        <v>0</v>
      </c>
      <c r="BZ578" s="38">
        <f>IF(AND(V578="○",$A578&gt;=BZ$8,$A578&lt;=BZ$9),IF(SUM(BZ$10:BZ577)-ROUNDDOWN($K578*BZ$5/100,0)&lt;-BZ$6,-BZ$6-SUM(BZ$10:BZ577),-ROUNDDOWN($K578*BZ$5/100,0)),0)</f>
        <v>0</v>
      </c>
      <c r="CA578" s="38">
        <f>IF(AND(W578="○",$A578&gt;=CA$8,$A578&lt;=CA$9),IF(SUM(CA$10:CA577)-ROUNDDOWN($K578*CA$5/100,0)&lt;-CA$6,-CA$6-SUM(CA$10:CA577),-ROUNDDOWN($K578*CA$5/100,0)),0)</f>
        <v>0</v>
      </c>
      <c r="CB578" s="38"/>
      <c r="CC578" s="38"/>
      <c r="CD578" s="38"/>
      <c r="CE578" s="38"/>
      <c r="CF578" s="38"/>
      <c r="CG578" s="65">
        <f t="shared" si="354"/>
        <v>0</v>
      </c>
      <c r="CH578" s="71">
        <f t="shared" si="355"/>
        <v>0</v>
      </c>
      <c r="CI578" s="1">
        <f t="shared" si="366"/>
        <v>0</v>
      </c>
      <c r="CJ578" s="1"/>
      <c r="CK578" s="2"/>
      <c r="CL578" s="2"/>
      <c r="CM578" s="2"/>
      <c r="CN578" s="2"/>
      <c r="CO578" s="73">
        <f t="shared" si="367"/>
        <v>0</v>
      </c>
      <c r="CP578" s="5">
        <f t="shared" si="368"/>
        <v>0</v>
      </c>
      <c r="CQ578" s="1"/>
      <c r="CR578" s="1">
        <f t="shared" si="369"/>
        <v>0</v>
      </c>
      <c r="CS578" s="1"/>
      <c r="CT578" s="1" t="e">
        <f>INDEX([2]マスタ!$A:$A,MATCH(D578,[2]マスタ!$C:$C,0))</f>
        <v>#N/A</v>
      </c>
      <c r="CU578" s="1" t="str">
        <f t="shared" ca="1" si="370"/>
        <v>20260620_0-0</v>
      </c>
    </row>
    <row r="579" spans="1:99" x14ac:dyDescent="0.4">
      <c r="A579" s="61"/>
      <c r="B579" s="62"/>
      <c r="C579" s="62"/>
      <c r="D579" s="62"/>
      <c r="E579" s="63"/>
      <c r="F579" s="62"/>
      <c r="G579" s="62">
        <v>1</v>
      </c>
      <c r="H579" s="64">
        <f t="shared" si="360"/>
        <v>0</v>
      </c>
      <c r="I579" s="64"/>
      <c r="J579" s="78"/>
      <c r="K579" s="65">
        <f t="shared" si="373"/>
        <v>0</v>
      </c>
      <c r="L579" s="65">
        <f t="shared" si="362"/>
        <v>0</v>
      </c>
      <c r="M579" s="65">
        <f t="shared" si="363"/>
        <v>0</v>
      </c>
      <c r="N579" s="65">
        <f t="shared" si="364"/>
        <v>0</v>
      </c>
      <c r="O579" s="66" t="str">
        <f t="shared" si="9"/>
        <v>✕</v>
      </c>
      <c r="P579" s="67" t="str">
        <f t="shared" si="10"/>
        <v>○</v>
      </c>
      <c r="Q579" s="67" t="str">
        <f t="shared" si="374"/>
        <v>✕</v>
      </c>
      <c r="R579" s="67" t="str">
        <f t="shared" si="12"/>
        <v>✕</v>
      </c>
      <c r="S579" s="68">
        <v>0</v>
      </c>
      <c r="T579" s="69" t="s">
        <v>85</v>
      </c>
      <c r="U579" s="69" t="s">
        <v>85</v>
      </c>
      <c r="V579" s="69" t="s">
        <v>85</v>
      </c>
      <c r="W579" s="69" t="s">
        <v>85</v>
      </c>
      <c r="X579" s="69" t="s">
        <v>84</v>
      </c>
      <c r="Y579" s="69" t="s">
        <v>85</v>
      </c>
      <c r="Z579" s="69" t="s">
        <v>85</v>
      </c>
      <c r="AA579" s="69" t="s">
        <v>85</v>
      </c>
      <c r="AB579" s="69" t="s">
        <v>85</v>
      </c>
      <c r="AC579" s="69" t="s">
        <v>85</v>
      </c>
      <c r="AD579" s="38" t="str">
        <f>+IF(ISERROR(VLOOKUP($B579,AD$10:AD578,1,0)),IF(AND($N579&gt;=1000,$A579&gt;=AO$8,$A579&lt;=AO$9),$B579,""),"")</f>
        <v/>
      </c>
      <c r="AE579" s="38" t="str">
        <f>+IF(ISERROR(VLOOKUP($B579,AE$10:AE578,1,0)),IF(AND($N579&gt;=1000,$A579&gt;=AP$8,$A579&lt;=AP$9),$B579,""),"")</f>
        <v/>
      </c>
      <c r="AF579" s="38" t="str">
        <f>+IF(ISERROR(VLOOKUP($B579,AF$10:AF578,1,0)),IF(AND($N579&gt;=1000,$A579&gt;=AQ$8,$A579&lt;=AQ$9),$B579,""),"")</f>
        <v/>
      </c>
      <c r="AG579" s="38" t="str">
        <f>+IF(ISERROR(VLOOKUP($B579,AG$10:AG578,1,0)),IF(AND($N579&gt;=1000,$A579&gt;=AR$8,$A579&lt;=AR$9),$B579,""),"")</f>
        <v/>
      </c>
      <c r="AH579" s="38"/>
      <c r="AI579" s="70">
        <v>0</v>
      </c>
      <c r="AJ579" s="38">
        <f>IF(AND(AJ$7="○",$A579&gt;=AJ$8,$A579&lt;=AJ$9),IF(SUM(AJ$10:AJ578)-ROUNDDOWN($K579*AJ$5/100,0)&lt;-AJ$6,-AJ$6-SUM(AJ$10:AJ578),-ROUNDDOWN($K579*AJ$5/100,0)),0)</f>
        <v>0</v>
      </c>
      <c r="AK579" s="38">
        <f>IF(AND(AK$7="○",$A579&gt;=AK$8,$A579&lt;=AK$9),IF(SUM(AK$10:AK578)-ROUNDDOWN($L579*AK$5/100,0)&lt;-AK$6,-AK$6-SUM(AK$10:AK578),-ROUNDDOWN($L579*AK$5/100,0)),0)</f>
        <v>0</v>
      </c>
      <c r="AL579" s="38">
        <f>IF(AND(AL$7="○",$A579&gt;=AL$8,$A579&lt;=AL$9),IF(SUM(AL$10:AL578)-ROUNDDOWN($N579*AL$5/100,0)&lt;-AL$6,-AL$6-SUM(AL$10:AL578),-ROUNDDOWN($N579*AL$5/100,0)),0)</f>
        <v>0</v>
      </c>
      <c r="AM579" s="38">
        <f>IF(AND(AM$7="○",$A579&gt;=AM$8,$A579&lt;=AM$9),IF(SUM(AM$10:AM578)-ROUNDDOWN($L579*AM$5/100,0)&lt;-AM$6,-AM$6-SUM(AM$10:AM578),-ROUNDDOWN($L579*AM$5/100,0)),0)</f>
        <v>0</v>
      </c>
      <c r="AN579" s="38">
        <f>IF(AND(AN$7="○",$A579&gt;=AN$8,$A579&lt;=AN$9),IF(SUM(AN$10:AN578)-ROUNDDOWN($M579*AN$5/100,0)&lt;-AN$6,-AN$6-SUM(AN$10:AN578),-ROUNDDOWN($M579*AN$5/100,0)),0)</f>
        <v>0</v>
      </c>
      <c r="AO579" s="38">
        <f>IF(AND($A579&gt;=AO$8,$A579&lt;=AO$9),IF(SUM(AO$10:AO578)-ROUNDDOWN($K579*AO$5/100,0)&lt;-AO$6,-AO$6-SUM(AO$10:AO578),-ROUNDDOWN($K579*AO$5/100,0)),0)</f>
        <v>0</v>
      </c>
      <c r="AP579" s="38">
        <f>IF(AND($A579&gt;=AP$8,$A579&lt;=AP$9),IF(SUM(AP$10:AP578)-ROUNDDOWN($K579*AP$5/100,0)&lt;-AP$6,-AP$6-SUM(AP$10:AP578),-ROUNDDOWN($K579*AP$5/100,0)),0)</f>
        <v>0</v>
      </c>
      <c r="AQ579" s="38">
        <f>IF(AND($A579&gt;=AQ$8,$A579&lt;=AQ$9),IF(SUM(AQ$10:AQ578)-ROUNDDOWN($K579*AQ$5/100,0)&lt;-AQ$6,-AQ$6-SUM(AQ$10:AQ578),-ROUNDDOWN($K579*AQ$5/100,0)),0)</f>
        <v>0</v>
      </c>
      <c r="AR579" s="38">
        <f>IF(AND($A579&gt;=AR$8,$A579&lt;=AR$9),IF(SUM(AR$10:AR578)-ROUNDDOWN($K579*AR$5/100,0)&lt;-AR$6,-AR$6-SUM(AR$10:AR578),-ROUNDDOWN($K579*AR$5/100,0)),0)</f>
        <v>0</v>
      </c>
      <c r="AS579" s="38">
        <f>IF(SUMIFS(AS$10:AS578,$A$10:$A578,$A579)-ROUNDDOWN($K579*$S579/100,0)&lt;-$S579*1000,-$S579*1000-SUMIFS(AS$10:AS578,$A$10:$A578,$A579),-ROUNDDOWN($K579*$S579/100,0))</f>
        <v>0</v>
      </c>
      <c r="AT579" s="38">
        <f>IF(AND(X579="○",$A579&gt;=AT$8,$A579&lt;=AT$9,K579&gt;=3980),IF(SUM(AT$10:AT578)-ROUNDDOWN($K579*AT$5/100,0)&lt;-AT$6,-AT$6-SUM(AT$10:AT578),-ROUNDDOWN($K579*AT$5/100,0)),0)</f>
        <v>0</v>
      </c>
      <c r="AU579" s="38">
        <f>IF(O579="○",IF(SUM(AU$10:AU578)-ROUNDDOWN($K579*AU$5/100,0)&lt;-AU$6,-AU$6-SUM(AU$10:AU578),-ROUNDDOWN($K579*AU$5/100,0)),0)</f>
        <v>0</v>
      </c>
      <c r="AV579" s="38">
        <f>IF(P579="○",IF(SUM(AV$10:AV578)-ROUNDDOWN($K579*AV$5/100,0)&lt;-AV$6,-AV$6-SUM(AV$10:AV578),-ROUNDDOWN($K579*AV$5/100,0)),0)</f>
        <v>0</v>
      </c>
      <c r="AW579" s="38">
        <f>IF(Q579="○",IF(SUM(AW$10:AW578)-ROUNDDOWN($K579*AW$5/100,0)&lt;-AW$6,-AW$6-SUM(AW$10:AW578),-ROUNDDOWN($K579*AW$5/100,0)),0)</f>
        <v>0</v>
      </c>
      <c r="AX579" s="38">
        <f>IF(R579="○",IF(SUM(AX$10:AX578)-ROUNDDOWN($K579*AX$5/100,0)&lt;-AX$6,-AX$6-SUM(AX$10:AX578),-ROUNDDOWN($K579*AX$5/100,0)),0)</f>
        <v>0</v>
      </c>
      <c r="AY579" s="70">
        <v>0</v>
      </c>
      <c r="AZ579" s="65">
        <f t="shared" si="348"/>
        <v>0</v>
      </c>
      <c r="BA579" s="65">
        <f t="shared" si="349"/>
        <v>0</v>
      </c>
      <c r="BB579" s="70"/>
      <c r="BC579" s="65">
        <f t="shared" si="350"/>
        <v>0</v>
      </c>
      <c r="BD579" s="70">
        <v>0</v>
      </c>
      <c r="BE579" s="65">
        <f t="shared" si="351"/>
        <v>0</v>
      </c>
      <c r="BF579" s="70">
        <v>0</v>
      </c>
      <c r="BG579" s="65">
        <f t="shared" si="352"/>
        <v>0</v>
      </c>
      <c r="BH579" s="70">
        <v>0</v>
      </c>
      <c r="BI579" s="65">
        <f t="shared" si="353"/>
        <v>0</v>
      </c>
      <c r="BJ579" s="38">
        <f>IF(AND(BJ$7="○",$A579&gt;=BJ$8,$A579&lt;=BJ$9),IF(SUM(BJ$10:BJ578)-ROUNDDOWN($M579*BJ$5/100,0)&lt;-BJ$6,-BJ$6-SUM(BJ$10:BJ578),-ROUNDDOWN($M579*BJ$5/100,0)),0)</f>
        <v>0</v>
      </c>
      <c r="BK579" s="38">
        <f>IF(AND(BK$7="○",$A579&gt;=BK$8,$A579&lt;=BK$9),IF(SUM(BK$10:BK578)-ROUNDDOWN($L579*BK$5/100,0)&lt;-BK$6,-BK$6-SUM(BK$10:BK578),-ROUNDDOWN($L579*BK$5/100,0)),0)</f>
        <v>0</v>
      </c>
      <c r="BL579" s="38">
        <f>IF(AND(BL$7="○",$A579&gt;=BL$8,$A579&lt;=BL$9),IF(SUM(BL$10:BL578)-ROUNDDOWN($L579*BL$5/100,0)&lt;-BL$6,-BL$6-SUM(BL$10:BL578),-ROUNDDOWN($L579*BL$5/100,0)),0)</f>
        <v>0</v>
      </c>
      <c r="BM579" s="38">
        <f>IF(AND(BM$7="○",$A579&gt;=BM$8,$A579&lt;=BM$9),IF(SUM(BM$10:BM578)-ROUNDDOWN($M579*BM$5/100,0)&lt;-BM$6,-BM$6-SUM(BM$10:BM578),-ROUNDDOWN($M579*BM$5/100,0)),0)</f>
        <v>0</v>
      </c>
      <c r="BN579" s="38">
        <f>IF(AND(BN$7="○",$A579&gt;=BN$8,$A579&lt;=BN$9),IF(SUM(BN$10:BN578)-ROUNDDOWN($M579*BN$5/100,0)&lt;-BN$6,-BN$6-SUM(BN$10:BN578),-ROUNDDOWN($M579*BN$5/100,0)),0)</f>
        <v>0</v>
      </c>
      <c r="BO579" s="38">
        <f>IF(AND(BO$7="○",$A579&gt;=BO$8,$A579&lt;=BO$9),IF(SUM(BO$10:BO578)-ROUNDDOWN($M579*BO$5/100,0)&lt;-BO$6,-BO$6-SUM(BO$10:BO578),-ROUNDDOWN($M579*BO$5/100,0)),0)</f>
        <v>0</v>
      </c>
      <c r="BP579" s="38">
        <f>IF(AND(BP$7="○",$A579&gt;=BP$8,$A579&lt;=BP$9),IF(SUM(BP$10:BP578)-ROUNDDOWN($M579*BP$5/100,0)&lt;-BP$6,-BP$6-SUM(BP$10:BP578),-ROUNDDOWN($M579*BP$5/100,0)),0)</f>
        <v>0</v>
      </c>
      <c r="BQ579" s="38">
        <f>IF(AND(BQ$7="○",$A579&gt;=BQ$8,$A579&lt;=BQ$9),IF(SUM(BQ$10:BQ578)-ROUNDDOWN($L579*BQ$5/100,0)&lt;-BQ$6,-BQ$6-SUM(BQ$10:BQ578),-ROUNDDOWN($L579*BQ$5/100,0)),0)</f>
        <v>0</v>
      </c>
      <c r="BR579" s="38">
        <f>IF(AND(BR$7="○",$A579&gt;=BR$8,$A579&lt;=BR$9),IF(SUM(BR$10:BR578)-ROUNDDOWN($M579*BR$5/100,0)&lt;-BR$6,-BR$6-SUM(BR$10:BR578),-ROUNDDOWN($M579*BR$5/100,0)),0)</f>
        <v>0</v>
      </c>
      <c r="BS579" s="38">
        <f>IF(AND(BS$7="○",$A579&gt;=BS$8,$A579&lt;=BS$9),IF(SUM(BS$10:BS578)-ROUNDDOWN($M579*BS$5/100,0)&lt;-BS$6,-BS$6-SUM(BS$10:BS578),-ROUNDDOWN($M579*BS$5/100,0)),0)</f>
        <v>0</v>
      </c>
      <c r="BT579" s="38">
        <f>IF(AND(BT$7="○",$A579&gt;=BT$8,$A579&lt;=BT$9),IF(SUM(BT$10:BT578)-ROUNDDOWN($M579*BT$5/100,0)&lt;-BT$6,-BT$6-SUM(BT$10:BT578),-ROUNDDOWN($M579*BT$5/100,0)),0)</f>
        <v>0</v>
      </c>
      <c r="BU579" s="38">
        <f>IF(AND(BU$7="○",$A579&gt;=BU$8,$A579&lt;=BU$9),IF(SUM(BU$10:BU578)-ROUNDDOWN($M579*BU$5/100,0)&lt;-BU$6,-BU$6-SUM(BU$10:BU578),-ROUNDDOWN($M579*BU$5/100,0)),0)</f>
        <v>0</v>
      </c>
      <c r="BV579" s="38">
        <f>IF(AND(BV$7="○",$A579&gt;=BV$8,$A579&lt;=BV$9),IF(SUM(BV$10:BV578)-ROUNDDOWN($M579*BV$5/100,0)&lt;-BV$6,-BV$6-SUM(BV$10:BV578),-ROUNDDOWN($M579*BV$5/100,0)),0)</f>
        <v>0</v>
      </c>
      <c r="BW579" s="38">
        <f>IF(AND(BW$7="○",$A579&gt;=BW$8,$A579&lt;=BW$9),IF(SUM(BW$10:BW578)-ROUNDDOWN($M579*BW$5/100,0)&lt;-BW$6,-BW$6-SUM(BW$10:BW578),-ROUNDDOWN($M579*BW$5/100,0)),0)</f>
        <v>0</v>
      </c>
      <c r="BX579" s="38">
        <f>IF(AND(T579="○",$A579&gt;=BX$8,$A579&lt;=BX$9),IF(SUM(BX$10:BX578)-ROUNDDOWN($K579*BX$5/100,0)&lt;-BX$6,-BX$6-SUM(BX$10:BX578),-ROUNDDOWN($K579*BX$5/100,0)),0)</f>
        <v>0</v>
      </c>
      <c r="BY579" s="38">
        <f>IF(AND(U579="○",$A579&gt;=BY$8,$A579&lt;=BY$9),IF(SUM(BY$10:BY578)-ROUNDDOWN($K579*BY$5/100,0)&lt;-BY$6,-BY$6-SUM(BY$10:BY578),-ROUNDDOWN($K579*BY$5/100,0)),0)</f>
        <v>0</v>
      </c>
      <c r="BZ579" s="38">
        <f>IF(AND(V579="○",$A579&gt;=BZ$8,$A579&lt;=BZ$9),IF(SUM(BZ$10:BZ578)-ROUNDDOWN($K579*BZ$5/100,0)&lt;-BZ$6,-BZ$6-SUM(BZ$10:BZ578),-ROUNDDOWN($K579*BZ$5/100,0)),0)</f>
        <v>0</v>
      </c>
      <c r="CA579" s="38">
        <f>IF(AND(W579="○",$A579&gt;=CA$8,$A579&lt;=CA$9),IF(SUM(CA$10:CA578)-ROUNDDOWN($K579*CA$5/100,0)&lt;-CA$6,-CA$6-SUM(CA$10:CA578),-ROUNDDOWN($K579*CA$5/100,0)),0)</f>
        <v>0</v>
      </c>
      <c r="CB579" s="38"/>
      <c r="CC579" s="38"/>
      <c r="CD579" s="38"/>
      <c r="CE579" s="38"/>
      <c r="CF579" s="38"/>
      <c r="CG579" s="65">
        <f t="shared" si="354"/>
        <v>0</v>
      </c>
      <c r="CH579" s="71">
        <f t="shared" si="355"/>
        <v>0</v>
      </c>
      <c r="CI579" s="1">
        <f t="shared" si="366"/>
        <v>0</v>
      </c>
      <c r="CJ579" s="1"/>
      <c r="CK579" s="79"/>
      <c r="CL579" s="79"/>
      <c r="CM579" s="2"/>
      <c r="CN579" s="2"/>
      <c r="CO579" s="73">
        <f t="shared" si="367"/>
        <v>0</v>
      </c>
      <c r="CP579" s="5">
        <f t="shared" si="368"/>
        <v>0</v>
      </c>
      <c r="CQ579" s="1"/>
      <c r="CR579" s="1">
        <f t="shared" si="369"/>
        <v>0</v>
      </c>
      <c r="CS579" s="1"/>
      <c r="CT579" s="1" t="e">
        <f>INDEX([2]マスタ!$A:$A,MATCH(D579,[2]マスタ!$C:$C,0))</f>
        <v>#N/A</v>
      </c>
      <c r="CU579" s="1" t="str">
        <f t="shared" ca="1" si="370"/>
        <v>20260620_0-0</v>
      </c>
    </row>
    <row r="580" spans="1:99" x14ac:dyDescent="0.4">
      <c r="A580" s="61"/>
      <c r="B580" s="62"/>
      <c r="C580" s="62"/>
      <c r="D580" s="62"/>
      <c r="E580" s="63"/>
      <c r="F580" s="62"/>
      <c r="G580" s="62">
        <v>1</v>
      </c>
      <c r="H580" s="64">
        <f t="shared" si="360"/>
        <v>0</v>
      </c>
      <c r="I580" s="64"/>
      <c r="J580" s="64"/>
      <c r="K580" s="65">
        <f t="shared" si="373"/>
        <v>0</v>
      </c>
      <c r="L580" s="65">
        <f t="shared" si="362"/>
        <v>0</v>
      </c>
      <c r="M580" s="65">
        <f t="shared" si="363"/>
        <v>0</v>
      </c>
      <c r="N580" s="65">
        <f t="shared" si="364"/>
        <v>0</v>
      </c>
      <c r="O580" s="66" t="str">
        <f t="shared" si="9"/>
        <v>✕</v>
      </c>
      <c r="P580" s="67" t="str">
        <f t="shared" si="10"/>
        <v>○</v>
      </c>
      <c r="Q580" s="67" t="str">
        <f t="shared" si="374"/>
        <v>✕</v>
      </c>
      <c r="R580" s="67" t="str">
        <f t="shared" si="12"/>
        <v>✕</v>
      </c>
      <c r="S580" s="68">
        <v>0</v>
      </c>
      <c r="T580" s="69" t="s">
        <v>85</v>
      </c>
      <c r="U580" s="69" t="s">
        <v>85</v>
      </c>
      <c r="V580" s="69" t="s">
        <v>85</v>
      </c>
      <c r="W580" s="69" t="s">
        <v>85</v>
      </c>
      <c r="X580" s="69" t="s">
        <v>84</v>
      </c>
      <c r="Y580" s="69" t="s">
        <v>85</v>
      </c>
      <c r="Z580" s="69" t="s">
        <v>85</v>
      </c>
      <c r="AA580" s="69" t="s">
        <v>85</v>
      </c>
      <c r="AB580" s="69" t="s">
        <v>85</v>
      </c>
      <c r="AC580" s="69" t="s">
        <v>85</v>
      </c>
      <c r="AD580" s="38" t="str">
        <f>+IF(ISERROR(VLOOKUP($B580,AD$10:AD579,1,0)),IF(AND($N580&gt;=1000,$A580&gt;=AO$8,$A580&lt;=AO$9),$B580,""),"")</f>
        <v/>
      </c>
      <c r="AE580" s="38" t="str">
        <f>+IF(ISERROR(VLOOKUP($B580,AE$10:AE579,1,0)),IF(AND($N580&gt;=1000,$A580&gt;=AP$8,$A580&lt;=AP$9),$B580,""),"")</f>
        <v/>
      </c>
      <c r="AF580" s="38" t="str">
        <f>+IF(ISERROR(VLOOKUP($B580,AF$10:AF579,1,0)),IF(AND($N580&gt;=1000,$A580&gt;=AQ$8,$A580&lt;=AQ$9),$B580,""),"")</f>
        <v/>
      </c>
      <c r="AG580" s="38" t="str">
        <f>+IF(ISERROR(VLOOKUP($B580,AG$10:AG579,1,0)),IF(AND($N580&gt;=1000,$A580&gt;=AR$8,$A580&lt;=AR$9),$B580,""),"")</f>
        <v/>
      </c>
      <c r="AH580" s="38"/>
      <c r="AI580" s="70">
        <v>0</v>
      </c>
      <c r="AJ580" s="38">
        <f>IF(AND(AJ$7="○",$A580&gt;=AJ$8,$A580&lt;=AJ$9),IF(SUM(AJ$10:AJ579)-ROUNDDOWN($K580*AJ$5/100,0)&lt;-AJ$6,-AJ$6-SUM(AJ$10:AJ579),-ROUNDDOWN($K580*AJ$5/100,0)),0)</f>
        <v>0</v>
      </c>
      <c r="AK580" s="38">
        <f>IF(AND(AK$7="○",$A580&gt;=AK$8,$A580&lt;=AK$9),IF(SUM(AK$10:AK579)-ROUNDDOWN($L580*AK$5/100,0)&lt;-AK$6,-AK$6-SUM(AK$10:AK579),-ROUNDDOWN($L580*AK$5/100,0)),0)</f>
        <v>0</v>
      </c>
      <c r="AL580" s="38">
        <f>IF(AND(AL$7="○",$A580&gt;=AL$8,$A580&lt;=AL$9),IF(SUM(AL$10:AL579)-ROUNDDOWN($N580*AL$5/100,0)&lt;-AL$6,-AL$6-SUM(AL$10:AL579),-ROUNDDOWN($N580*AL$5/100,0)),0)</f>
        <v>0</v>
      </c>
      <c r="AM580" s="38">
        <f>IF(AND(AM$7="○",$A580&gt;=AM$8,$A580&lt;=AM$9),IF(SUM(AM$10:AM579)-ROUNDDOWN($L580*AM$5/100,0)&lt;-AM$6,-AM$6-SUM(AM$10:AM579),-ROUNDDOWN($L580*AM$5/100,0)),0)</f>
        <v>0</v>
      </c>
      <c r="AN580" s="38">
        <f>IF(AND(AN$7="○",$A580&gt;=AN$8,$A580&lt;=AN$9),IF(SUM(AN$10:AN579)-ROUNDDOWN($M580*AN$5/100,0)&lt;-AN$6,-AN$6-SUM(AN$10:AN579),-ROUNDDOWN($M580*AN$5/100,0)),0)</f>
        <v>0</v>
      </c>
      <c r="AO580" s="38">
        <f>IF(AND($A580&gt;=AO$8,$A580&lt;=AO$9),IF(SUM(AO$10:AO579)-ROUNDDOWN($K580*AO$5/100,0)&lt;-AO$6,-AO$6-SUM(AO$10:AO579),-ROUNDDOWN($K580*AO$5/100,0)),0)</f>
        <v>0</v>
      </c>
      <c r="AP580" s="38">
        <f>IF(AND($A580&gt;=AP$8,$A580&lt;=AP$9),IF(SUM(AP$10:AP579)-ROUNDDOWN($K580*AP$5/100,0)&lt;-AP$6,-AP$6-SUM(AP$10:AP579),-ROUNDDOWN($K580*AP$5/100,0)),0)</f>
        <v>0</v>
      </c>
      <c r="AQ580" s="38">
        <f>IF(AND($A580&gt;=AQ$8,$A580&lt;=AQ$9),IF(SUM(AQ$10:AQ579)-ROUNDDOWN($K580*AQ$5/100,0)&lt;-AQ$6,-AQ$6-SUM(AQ$10:AQ579),-ROUNDDOWN($K580*AQ$5/100,0)),0)</f>
        <v>0</v>
      </c>
      <c r="AR580" s="38">
        <f>IF(AND($A580&gt;=AR$8,$A580&lt;=AR$9),IF(SUM(AR$10:AR579)-ROUNDDOWN($K580*AR$5/100,0)&lt;-AR$6,-AR$6-SUM(AR$10:AR579),-ROUNDDOWN($K580*AR$5/100,0)),0)</f>
        <v>0</v>
      </c>
      <c r="AS580" s="38">
        <f>IF(SUMIFS(AS$10:AS579,$A$10:$A579,$A580)-ROUNDDOWN($K580*$S580/100,0)&lt;-$S580*1000,-$S580*1000-SUMIFS(AS$10:AS579,$A$10:$A579,$A580),-ROUNDDOWN($K580*$S580/100,0))</f>
        <v>0</v>
      </c>
      <c r="AT580" s="38">
        <f>IF(AND(X580="○",$A580&gt;=AT$8,$A580&lt;=AT$9,K580&gt;=3980),IF(SUM(AT$10:AT579)-ROUNDDOWN($K580*AT$5/100,0)&lt;-AT$6,-AT$6-SUM(AT$10:AT579),-ROUNDDOWN($K580*AT$5/100,0)),0)</f>
        <v>0</v>
      </c>
      <c r="AU580" s="38">
        <f>IF(O580="○",IF(SUM(AU$10:AU579)-ROUNDDOWN($K580*AU$5/100,0)&lt;-AU$6,-AU$6-SUM(AU$10:AU579),-ROUNDDOWN($K580*AU$5/100,0)),0)</f>
        <v>0</v>
      </c>
      <c r="AV580" s="38">
        <f>IF(P580="○",IF(SUM(AV$10:AV579)-ROUNDDOWN($K580*AV$5/100,0)&lt;-AV$6,-AV$6-SUM(AV$10:AV579),-ROUNDDOWN($K580*AV$5/100,0)),0)</f>
        <v>0</v>
      </c>
      <c r="AW580" s="38">
        <f>IF(Q580="○",IF(SUM(AW$10:AW579)-ROUNDDOWN($K580*AW$5/100,0)&lt;-AW$6,-AW$6-SUM(AW$10:AW579),-ROUNDDOWN($K580*AW$5/100,0)),0)</f>
        <v>0</v>
      </c>
      <c r="AX580" s="38">
        <f>IF(R580="○",IF(SUM(AX$10:AX579)-ROUNDDOWN($K580*AX$5/100,0)&lt;-AX$6,-AX$6-SUM(AX$10:AX579),-ROUNDDOWN($K580*AX$5/100,0)),0)</f>
        <v>0</v>
      </c>
      <c r="AY580" s="70">
        <v>0</v>
      </c>
      <c r="AZ580" s="65">
        <f t="shared" si="348"/>
        <v>0</v>
      </c>
      <c r="BA580" s="65">
        <f t="shared" si="349"/>
        <v>0</v>
      </c>
      <c r="BB580" s="70"/>
      <c r="BC580" s="65">
        <f t="shared" si="350"/>
        <v>0</v>
      </c>
      <c r="BD580" s="70">
        <v>0</v>
      </c>
      <c r="BE580" s="65">
        <f t="shared" si="351"/>
        <v>0</v>
      </c>
      <c r="BF580" s="70">
        <v>0</v>
      </c>
      <c r="BG580" s="65">
        <f t="shared" si="352"/>
        <v>0</v>
      </c>
      <c r="BH580" s="70">
        <v>0</v>
      </c>
      <c r="BI580" s="65">
        <f t="shared" si="353"/>
        <v>0</v>
      </c>
      <c r="BJ580" s="38">
        <f>IF(AND(BJ$7="○",$A580&gt;=BJ$8,$A580&lt;=BJ$9),IF(SUM(BJ$10:BJ579)-ROUNDDOWN($M580*BJ$5/100,0)&lt;-BJ$6,-BJ$6-SUM(BJ$10:BJ579),-ROUNDDOWN($M580*BJ$5/100,0)),0)</f>
        <v>0</v>
      </c>
      <c r="BK580" s="38">
        <f>IF(AND(BK$7="○",$A580&gt;=BK$8,$A580&lt;=BK$9),IF(SUM(BK$10:BK579)-ROUNDDOWN($L580*BK$5/100,0)&lt;-BK$6,-BK$6-SUM(BK$10:BK579),-ROUNDDOWN($L580*BK$5/100,0)),0)</f>
        <v>0</v>
      </c>
      <c r="BL580" s="38">
        <f>IF(AND(BL$7="○",$A580&gt;=BL$8,$A580&lt;=BL$9),IF(SUM(BL$10:BL579)-ROUNDDOWN($L580*BL$5/100,0)&lt;-BL$6,-BL$6-SUM(BL$10:BL579),-ROUNDDOWN($L580*BL$5/100,0)),0)</f>
        <v>0</v>
      </c>
      <c r="BM580" s="38">
        <f>IF(AND(BM$7="○",$A580&gt;=BM$8,$A580&lt;=BM$9),IF(SUM(BM$10:BM579)-ROUNDDOWN($M580*BM$5/100,0)&lt;-BM$6,-BM$6-SUM(BM$10:BM579),-ROUNDDOWN($M580*BM$5/100,0)),0)</f>
        <v>0</v>
      </c>
      <c r="BN580" s="38">
        <f>IF(AND(BN$7="○",$A580&gt;=BN$8,$A580&lt;=BN$9),IF(SUM(BN$10:BN579)-ROUNDDOWN($M580*BN$5/100,0)&lt;-BN$6,-BN$6-SUM(BN$10:BN579),-ROUNDDOWN($M580*BN$5/100,0)),0)</f>
        <v>0</v>
      </c>
      <c r="BO580" s="38">
        <f>IF(AND(BO$7="○",$A580&gt;=BO$8,$A580&lt;=BO$9),IF(SUM(BO$10:BO579)-ROUNDDOWN($M580*BO$5/100,0)&lt;-BO$6,-BO$6-SUM(BO$10:BO579),-ROUNDDOWN($M580*BO$5/100,0)),0)</f>
        <v>0</v>
      </c>
      <c r="BP580" s="38">
        <f>IF(AND(BP$7="○",$A580&gt;=BP$8,$A580&lt;=BP$9),IF(SUM(BP$10:BP579)-ROUNDDOWN($M580*BP$5/100,0)&lt;-BP$6,-BP$6-SUM(BP$10:BP579),-ROUNDDOWN($M580*BP$5/100,0)),0)</f>
        <v>0</v>
      </c>
      <c r="BQ580" s="38">
        <f>IF(AND(BQ$7="○",$A580&gt;=BQ$8,$A580&lt;=BQ$9),IF(SUM(BQ$10:BQ579)-ROUNDDOWN($L580*BQ$5/100,0)&lt;-BQ$6,-BQ$6-SUM(BQ$10:BQ579),-ROUNDDOWN($L580*BQ$5/100,0)),0)</f>
        <v>0</v>
      </c>
      <c r="BR580" s="38">
        <f>IF(AND(BR$7="○",$A580&gt;=BR$8,$A580&lt;=BR$9),IF(SUM(BR$10:BR579)-ROUNDDOWN($M580*BR$5/100,0)&lt;-BR$6,-BR$6-SUM(BR$10:BR579),-ROUNDDOWN($M580*BR$5/100,0)),0)</f>
        <v>0</v>
      </c>
      <c r="BS580" s="38">
        <f>IF(AND(BS$7="○",$A580&gt;=BS$8,$A580&lt;=BS$9),IF(SUM(BS$10:BS579)-ROUNDDOWN($M580*BS$5/100,0)&lt;-BS$6,-BS$6-SUM(BS$10:BS579),-ROUNDDOWN($M580*BS$5/100,0)),0)</f>
        <v>0</v>
      </c>
      <c r="BT580" s="38">
        <f>IF(AND(BT$7="○",$A580&gt;=BT$8,$A580&lt;=BT$9),IF(SUM(BT$10:BT579)-ROUNDDOWN($M580*BT$5/100,0)&lt;-BT$6,-BT$6-SUM(BT$10:BT579),-ROUNDDOWN($M580*BT$5/100,0)),0)</f>
        <v>0</v>
      </c>
      <c r="BU580" s="38">
        <f>IF(AND(BU$7="○",$A580&gt;=BU$8,$A580&lt;=BU$9),IF(SUM(BU$10:BU579)-ROUNDDOWN($M580*BU$5/100,0)&lt;-BU$6,-BU$6-SUM(BU$10:BU579),-ROUNDDOWN($M580*BU$5/100,0)),0)</f>
        <v>0</v>
      </c>
      <c r="BV580" s="38">
        <f>IF(AND(BV$7="○",$A580&gt;=BV$8,$A580&lt;=BV$9),IF(SUM(BV$10:BV579)-ROUNDDOWN($M580*BV$5/100,0)&lt;-BV$6,-BV$6-SUM(BV$10:BV579),-ROUNDDOWN($M580*BV$5/100,0)),0)</f>
        <v>0</v>
      </c>
      <c r="BW580" s="38">
        <f>IF(AND(BW$7="○",$A580&gt;=BW$8,$A580&lt;=BW$9),IF(SUM(BW$10:BW579)-ROUNDDOWN($M580*BW$5/100,0)&lt;-BW$6,-BW$6-SUM(BW$10:BW579),-ROUNDDOWN($M580*BW$5/100,0)),0)</f>
        <v>0</v>
      </c>
      <c r="BX580" s="38">
        <f>IF(AND(T580="○",$A580&gt;=BX$8,$A580&lt;=BX$9),IF(SUM(BX$10:BX579)-ROUNDDOWN($K580*BX$5/100,0)&lt;-BX$6,-BX$6-SUM(BX$10:BX579),-ROUNDDOWN($K580*BX$5/100,0)),0)</f>
        <v>0</v>
      </c>
      <c r="BY580" s="38">
        <f>IF(AND(U580="○",$A580&gt;=BY$8,$A580&lt;=BY$9),IF(SUM(BY$10:BY579)-ROUNDDOWN($K580*BY$5/100,0)&lt;-BY$6,-BY$6-SUM(BY$10:BY579),-ROUNDDOWN($K580*BY$5/100,0)),0)</f>
        <v>0</v>
      </c>
      <c r="BZ580" s="38">
        <f>IF(AND(V580="○",$A580&gt;=BZ$8,$A580&lt;=BZ$9),IF(SUM(BZ$10:BZ579)-ROUNDDOWN($K580*BZ$5/100,0)&lt;-BZ$6,-BZ$6-SUM(BZ$10:BZ579),-ROUNDDOWN($K580*BZ$5/100,0)),0)</f>
        <v>0</v>
      </c>
      <c r="CA580" s="38">
        <f>IF(AND(W580="○",$A580&gt;=CA$8,$A580&lt;=CA$9),IF(SUM(CA$10:CA579)-ROUNDDOWN($K580*CA$5/100,0)&lt;-CA$6,-CA$6-SUM(CA$10:CA579),-ROUNDDOWN($K580*CA$5/100,0)),0)</f>
        <v>0</v>
      </c>
      <c r="CB580" s="38"/>
      <c r="CC580" s="38"/>
      <c r="CD580" s="38"/>
      <c r="CE580" s="38"/>
      <c r="CF580" s="38"/>
      <c r="CG580" s="65">
        <f t="shared" si="354"/>
        <v>0</v>
      </c>
      <c r="CH580" s="71">
        <f t="shared" si="355"/>
        <v>0</v>
      </c>
      <c r="CI580" s="1">
        <f t="shared" si="366"/>
        <v>0</v>
      </c>
      <c r="CJ580" s="1"/>
      <c r="CK580" s="72"/>
      <c r="CL580" s="72"/>
      <c r="CM580" s="2"/>
      <c r="CN580" s="2"/>
      <c r="CO580" s="73">
        <f t="shared" si="367"/>
        <v>0</v>
      </c>
      <c r="CP580" s="5">
        <f t="shared" si="368"/>
        <v>0</v>
      </c>
      <c r="CQ580" s="1"/>
      <c r="CR580" s="1">
        <f t="shared" si="369"/>
        <v>0</v>
      </c>
      <c r="CS580" s="1"/>
      <c r="CT580" s="1" t="e">
        <f>INDEX([2]マスタ!$A:$A,MATCH(D580,[2]マスタ!$C:$C,0))</f>
        <v>#N/A</v>
      </c>
      <c r="CU580" s="1" t="str">
        <f t="shared" ca="1" si="370"/>
        <v>20260620_0-0</v>
      </c>
    </row>
    <row r="581" spans="1:99" x14ac:dyDescent="0.4">
      <c r="A581" s="61"/>
      <c r="B581" s="62"/>
      <c r="C581" s="62"/>
      <c r="D581" s="62"/>
      <c r="E581" s="63"/>
      <c r="F581" s="62"/>
      <c r="G581" s="62">
        <v>1</v>
      </c>
      <c r="H581" s="64">
        <f t="shared" si="360"/>
        <v>0</v>
      </c>
      <c r="I581" s="64"/>
      <c r="J581" s="64"/>
      <c r="K581" s="65">
        <f t="shared" si="373"/>
        <v>0</v>
      </c>
      <c r="L581" s="65">
        <f t="shared" si="362"/>
        <v>0</v>
      </c>
      <c r="M581" s="65">
        <f t="shared" si="363"/>
        <v>0</v>
      </c>
      <c r="N581" s="65">
        <f t="shared" si="364"/>
        <v>0</v>
      </c>
      <c r="O581" s="66" t="str">
        <f t="shared" si="9"/>
        <v>✕</v>
      </c>
      <c r="P581" s="67" t="str">
        <f t="shared" si="10"/>
        <v>○</v>
      </c>
      <c r="Q581" s="67" t="str">
        <f t="shared" si="374"/>
        <v>✕</v>
      </c>
      <c r="R581" s="67" t="str">
        <f t="shared" si="12"/>
        <v>✕</v>
      </c>
      <c r="S581" s="68">
        <v>0</v>
      </c>
      <c r="T581" s="69" t="s">
        <v>85</v>
      </c>
      <c r="U581" s="69" t="s">
        <v>85</v>
      </c>
      <c r="V581" s="69" t="s">
        <v>85</v>
      </c>
      <c r="W581" s="69" t="s">
        <v>85</v>
      </c>
      <c r="X581" s="69" t="s">
        <v>84</v>
      </c>
      <c r="Y581" s="69" t="s">
        <v>85</v>
      </c>
      <c r="Z581" s="69" t="s">
        <v>85</v>
      </c>
      <c r="AA581" s="69" t="s">
        <v>85</v>
      </c>
      <c r="AB581" s="69" t="s">
        <v>85</v>
      </c>
      <c r="AC581" s="69" t="s">
        <v>85</v>
      </c>
      <c r="AD581" s="38" t="str">
        <f>+IF(ISERROR(VLOOKUP($B581,AD$10:AD580,1,0)),IF(AND($N581&gt;=1000,$A581&gt;=AO$8,$A581&lt;=AO$9),$B581,""),"")</f>
        <v/>
      </c>
      <c r="AE581" s="38" t="str">
        <f>+IF(ISERROR(VLOOKUP($B581,AE$10:AE580,1,0)),IF(AND($N581&gt;=1000,$A581&gt;=AP$8,$A581&lt;=AP$9),$B581,""),"")</f>
        <v/>
      </c>
      <c r="AF581" s="38" t="str">
        <f>+IF(ISERROR(VLOOKUP($B581,AF$10:AF580,1,0)),IF(AND($N581&gt;=1000,$A581&gt;=AQ$8,$A581&lt;=AQ$9),$B581,""),"")</f>
        <v/>
      </c>
      <c r="AG581" s="38" t="str">
        <f>+IF(ISERROR(VLOOKUP($B581,AG$10:AG580,1,0)),IF(AND($N581&gt;=1000,$A581&gt;=AR$8,$A581&lt;=AR$9),$B581,""),"")</f>
        <v/>
      </c>
      <c r="AH581" s="38"/>
      <c r="AI581" s="70">
        <v>0</v>
      </c>
      <c r="AJ581" s="38">
        <f>IF(AND(AJ$7="○",$A581&gt;=AJ$8,$A581&lt;=AJ$9),IF(SUM(AJ$10:AJ580)-ROUNDDOWN($K581*AJ$5/100,0)&lt;-AJ$6,-AJ$6-SUM(AJ$10:AJ580),-ROUNDDOWN($K581*AJ$5/100,0)),0)</f>
        <v>0</v>
      </c>
      <c r="AK581" s="38">
        <f>IF(AND(AK$7="○",$A581&gt;=AK$8,$A581&lt;=AK$9),IF(SUM(AK$10:AK580)-ROUNDDOWN($L581*AK$5/100,0)&lt;-AK$6,-AK$6-SUM(AK$10:AK580),-ROUNDDOWN($L581*AK$5/100,0)),0)</f>
        <v>0</v>
      </c>
      <c r="AL581" s="38">
        <f>IF(AND(AL$7="○",$A581&gt;=AL$8,$A581&lt;=AL$9),IF(SUM(AL$10:AL580)-ROUNDDOWN($N581*AL$5/100,0)&lt;-AL$6,-AL$6-SUM(AL$10:AL580),-ROUNDDOWN($N581*AL$5/100,0)),0)</f>
        <v>0</v>
      </c>
      <c r="AM581" s="38">
        <f>IF(AND(AM$7="○",$A581&gt;=AM$8,$A581&lt;=AM$9),IF(SUM(AM$10:AM580)-ROUNDDOWN($L581*AM$5/100,0)&lt;-AM$6,-AM$6-SUM(AM$10:AM580),-ROUNDDOWN($L581*AM$5/100,0)),0)</f>
        <v>0</v>
      </c>
      <c r="AN581" s="38">
        <f>IF(AND(AN$7="○",$A581&gt;=AN$8,$A581&lt;=AN$9),IF(SUM(AN$10:AN580)-ROUNDDOWN($M581*AN$5/100,0)&lt;-AN$6,-AN$6-SUM(AN$10:AN580),-ROUNDDOWN($M581*AN$5/100,0)),0)</f>
        <v>0</v>
      </c>
      <c r="AO581" s="38">
        <f>IF(AND($A581&gt;=AO$8,$A581&lt;=AO$9),IF(SUM(AO$10:AO580)-ROUNDDOWN($K581*AO$5/100,0)&lt;-AO$6,-AO$6-SUM(AO$10:AO580),-ROUNDDOWN($K581*AO$5/100,0)),0)</f>
        <v>0</v>
      </c>
      <c r="AP581" s="38">
        <f>IF(AND($A581&gt;=AP$8,$A581&lt;=AP$9),IF(SUM(AP$10:AP580)-ROUNDDOWN($K581*AP$5/100,0)&lt;-AP$6,-AP$6-SUM(AP$10:AP580),-ROUNDDOWN($K581*AP$5/100,0)),0)</f>
        <v>0</v>
      </c>
      <c r="AQ581" s="38">
        <f>IF(AND($A581&gt;=AQ$8,$A581&lt;=AQ$9),IF(SUM(AQ$10:AQ580)-ROUNDDOWN($K581*AQ$5/100,0)&lt;-AQ$6,-AQ$6-SUM(AQ$10:AQ580),-ROUNDDOWN($K581*AQ$5/100,0)),0)</f>
        <v>0</v>
      </c>
      <c r="AR581" s="38">
        <f>IF(AND($A581&gt;=AR$8,$A581&lt;=AR$9),IF(SUM(AR$10:AR580)-ROUNDDOWN($K581*AR$5/100,0)&lt;-AR$6,-AR$6-SUM(AR$10:AR580),-ROUNDDOWN($K581*AR$5/100,0)),0)</f>
        <v>0</v>
      </c>
      <c r="AS581" s="38">
        <f>IF(SUMIFS(AS$10:AS580,$A$10:$A580,$A581)-ROUNDDOWN($K581*$S581/100,0)&lt;-$S581*1000,-$S581*1000-SUMIFS(AS$10:AS580,$A$10:$A580,$A581),-ROUNDDOWN($K581*$S581/100,0))</f>
        <v>0</v>
      </c>
      <c r="AT581" s="38">
        <f>IF(AND(X581="○",$A581&gt;=AT$8,$A581&lt;=AT$9,K581&gt;=3980),IF(SUM(AT$10:AT580)-ROUNDDOWN($K581*AT$5/100,0)&lt;-AT$6,-AT$6-SUM(AT$10:AT580),-ROUNDDOWN($K581*AT$5/100,0)),0)</f>
        <v>0</v>
      </c>
      <c r="AU581" s="38">
        <f>IF(O581="○",IF(SUM(AU$10:AU580)-ROUNDDOWN($K581*AU$5/100,0)&lt;-AU$6,-AU$6-SUM(AU$10:AU580),-ROUNDDOWN($K581*AU$5/100,0)),0)</f>
        <v>0</v>
      </c>
      <c r="AV581" s="38">
        <f>IF(P581="○",IF(SUM(AV$10:AV580)-ROUNDDOWN($K581*AV$5/100,0)&lt;-AV$6,-AV$6-SUM(AV$10:AV580),-ROUNDDOWN($K581*AV$5/100,0)),0)</f>
        <v>0</v>
      </c>
      <c r="AW581" s="38">
        <f>IF(Q581="○",IF(SUM(AW$10:AW580)-ROUNDDOWN($K581*AW$5/100,0)&lt;-AW$6,-AW$6-SUM(AW$10:AW580),-ROUNDDOWN($K581*AW$5/100,0)),0)</f>
        <v>0</v>
      </c>
      <c r="AX581" s="38">
        <f>IF(R581="○",IF(SUM(AX$10:AX580)-ROUNDDOWN($K581*AX$5/100,0)&lt;-AX$6,-AX$6-SUM(AX$10:AX580),-ROUNDDOWN($K581*AX$5/100,0)),0)</f>
        <v>0</v>
      </c>
      <c r="AY581" s="70">
        <v>0</v>
      </c>
      <c r="AZ581" s="65">
        <f t="shared" si="348"/>
        <v>0</v>
      </c>
      <c r="BA581" s="65">
        <f t="shared" si="349"/>
        <v>0</v>
      </c>
      <c r="BB581" s="70"/>
      <c r="BC581" s="65">
        <f t="shared" si="350"/>
        <v>0</v>
      </c>
      <c r="BD581" s="70">
        <v>0</v>
      </c>
      <c r="BE581" s="65">
        <f t="shared" si="351"/>
        <v>0</v>
      </c>
      <c r="BF581" s="70">
        <v>0</v>
      </c>
      <c r="BG581" s="65">
        <f t="shared" si="352"/>
        <v>0</v>
      </c>
      <c r="BH581" s="70">
        <v>0</v>
      </c>
      <c r="BI581" s="65">
        <f t="shared" si="353"/>
        <v>0</v>
      </c>
      <c r="BJ581" s="38">
        <f>IF(AND(BJ$7="○",$A581&gt;=BJ$8,$A581&lt;=BJ$9),IF(SUM(BJ$10:BJ580)-ROUNDDOWN($M581*BJ$5/100,0)&lt;-BJ$6,-BJ$6-SUM(BJ$10:BJ580),-ROUNDDOWN($M581*BJ$5/100,0)),0)</f>
        <v>0</v>
      </c>
      <c r="BK581" s="38">
        <f>IF(AND(BK$7="○",$A581&gt;=BK$8,$A581&lt;=BK$9),IF(SUM(BK$10:BK580)-ROUNDDOWN($L581*BK$5/100,0)&lt;-BK$6,-BK$6-SUM(BK$10:BK580),-ROUNDDOWN($L581*BK$5/100,0)),0)</f>
        <v>0</v>
      </c>
      <c r="BL581" s="38">
        <f>IF(AND(BL$7="○",$A581&gt;=BL$8,$A581&lt;=BL$9),IF(SUM(BL$10:BL580)-ROUNDDOWN($L581*BL$5/100,0)&lt;-BL$6,-BL$6-SUM(BL$10:BL580),-ROUNDDOWN($L581*BL$5/100,0)),0)</f>
        <v>0</v>
      </c>
      <c r="BM581" s="38">
        <f>IF(AND(BM$7="○",$A581&gt;=BM$8,$A581&lt;=BM$9),IF(SUM(BM$10:BM580)-ROUNDDOWN($M581*BM$5/100,0)&lt;-BM$6,-BM$6-SUM(BM$10:BM580),-ROUNDDOWN($M581*BM$5/100,0)),0)</f>
        <v>0</v>
      </c>
      <c r="BN581" s="38">
        <f>IF(AND(BN$7="○",$A581&gt;=BN$8,$A581&lt;=BN$9),IF(SUM(BN$10:BN580)-ROUNDDOWN($M581*BN$5/100,0)&lt;-BN$6,-BN$6-SUM(BN$10:BN580),-ROUNDDOWN($M581*BN$5/100,0)),0)</f>
        <v>0</v>
      </c>
      <c r="BO581" s="38">
        <f>IF(AND(BO$7="○",$A581&gt;=BO$8,$A581&lt;=BO$9),IF(SUM(BO$10:BO580)-ROUNDDOWN($M581*BO$5/100,0)&lt;-BO$6,-BO$6-SUM(BO$10:BO580),-ROUNDDOWN($M581*BO$5/100,0)),0)</f>
        <v>0</v>
      </c>
      <c r="BP581" s="38">
        <f>IF(AND(BP$7="○",$A581&gt;=BP$8,$A581&lt;=BP$9),IF(SUM(BP$10:BP580)-ROUNDDOWN($M581*BP$5/100,0)&lt;-BP$6,-BP$6-SUM(BP$10:BP580),-ROUNDDOWN($M581*BP$5/100,0)),0)</f>
        <v>0</v>
      </c>
      <c r="BQ581" s="38">
        <f>IF(AND(BQ$7="○",$A581&gt;=BQ$8,$A581&lt;=BQ$9),IF(SUM(BQ$10:BQ580)-ROUNDDOWN($L581*BQ$5/100,0)&lt;-BQ$6,-BQ$6-SUM(BQ$10:BQ580),-ROUNDDOWN($L581*BQ$5/100,0)),0)</f>
        <v>0</v>
      </c>
      <c r="BR581" s="38">
        <f>IF(AND(BR$7="○",$A581&gt;=BR$8,$A581&lt;=BR$9),IF(SUM(BR$10:BR580)-ROUNDDOWN($M581*BR$5/100,0)&lt;-BR$6,-BR$6-SUM(BR$10:BR580),-ROUNDDOWN($M581*BR$5/100,0)),0)</f>
        <v>0</v>
      </c>
      <c r="BS581" s="38">
        <f>IF(AND(BS$7="○",$A581&gt;=BS$8,$A581&lt;=BS$9),IF(SUM(BS$10:BS580)-ROUNDDOWN($M581*BS$5/100,0)&lt;-BS$6,-BS$6-SUM(BS$10:BS580),-ROUNDDOWN($M581*BS$5/100,0)),0)</f>
        <v>0</v>
      </c>
      <c r="BT581" s="38">
        <f>IF(AND(BT$7="○",$A581&gt;=BT$8,$A581&lt;=BT$9),IF(SUM(BT$10:BT580)-ROUNDDOWN($M581*BT$5/100,0)&lt;-BT$6,-BT$6-SUM(BT$10:BT580),-ROUNDDOWN($M581*BT$5/100,0)),0)</f>
        <v>0</v>
      </c>
      <c r="BU581" s="38">
        <f>IF(AND(BU$7="○",$A581&gt;=BU$8,$A581&lt;=BU$9),IF(SUM(BU$10:BU580)-ROUNDDOWN($M581*BU$5/100,0)&lt;-BU$6,-BU$6-SUM(BU$10:BU580),-ROUNDDOWN($M581*BU$5/100,0)),0)</f>
        <v>0</v>
      </c>
      <c r="BV581" s="38">
        <f>IF(AND(BV$7="○",$A581&gt;=BV$8,$A581&lt;=BV$9),IF(SUM(BV$10:BV580)-ROUNDDOWN($M581*BV$5/100,0)&lt;-BV$6,-BV$6-SUM(BV$10:BV580),-ROUNDDOWN($M581*BV$5/100,0)),0)</f>
        <v>0</v>
      </c>
      <c r="BW581" s="38">
        <f>IF(AND(BW$7="○",$A581&gt;=BW$8,$A581&lt;=BW$9),IF(SUM(BW$10:BW580)-ROUNDDOWN($M581*BW$5/100,0)&lt;-BW$6,-BW$6-SUM(BW$10:BW580),-ROUNDDOWN($M581*BW$5/100,0)),0)</f>
        <v>0</v>
      </c>
      <c r="BX581" s="38">
        <f>IF(AND(T581="○",$A581&gt;=BX$8,$A581&lt;=BX$9),IF(SUM(BX$10:BX580)-ROUNDDOWN($K581*BX$5/100,0)&lt;-BX$6,-BX$6-SUM(BX$10:BX580),-ROUNDDOWN($K581*BX$5/100,0)),0)</f>
        <v>0</v>
      </c>
      <c r="BY581" s="38">
        <f>IF(AND(U581="○",$A581&gt;=BY$8,$A581&lt;=BY$9),IF(SUM(BY$10:BY580)-ROUNDDOWN($K581*BY$5/100,0)&lt;-BY$6,-BY$6-SUM(BY$10:BY580),-ROUNDDOWN($K581*BY$5/100,0)),0)</f>
        <v>0</v>
      </c>
      <c r="BZ581" s="38">
        <f>IF(AND(V581="○",$A581&gt;=BZ$8,$A581&lt;=BZ$9),IF(SUM(BZ$10:BZ580)-ROUNDDOWN($K581*BZ$5/100,0)&lt;-BZ$6,-BZ$6-SUM(BZ$10:BZ580),-ROUNDDOWN($K581*BZ$5/100,0)),0)</f>
        <v>0</v>
      </c>
      <c r="CA581" s="38">
        <f>IF(AND(W581="○",$A581&gt;=CA$8,$A581&lt;=CA$9),IF(SUM(CA$10:CA580)-ROUNDDOWN($K581*CA$5/100,0)&lt;-CA$6,-CA$6-SUM(CA$10:CA580),-ROUNDDOWN($K581*CA$5/100,0)),0)</f>
        <v>0</v>
      </c>
      <c r="CB581" s="38"/>
      <c r="CC581" s="38"/>
      <c r="CD581" s="38"/>
      <c r="CE581" s="38"/>
      <c r="CF581" s="38"/>
      <c r="CG581" s="65">
        <f t="shared" si="354"/>
        <v>0</v>
      </c>
      <c r="CH581" s="71">
        <f t="shared" si="355"/>
        <v>0</v>
      </c>
      <c r="CI581" s="1">
        <f t="shared" si="366"/>
        <v>0</v>
      </c>
      <c r="CJ581" s="1"/>
      <c r="CK581" s="2"/>
      <c r="CL581" s="2"/>
      <c r="CM581" s="2"/>
      <c r="CN581" s="2"/>
      <c r="CO581" s="73">
        <f t="shared" si="367"/>
        <v>0</v>
      </c>
      <c r="CP581" s="5">
        <f t="shared" si="368"/>
        <v>0</v>
      </c>
      <c r="CQ581" s="1"/>
      <c r="CR581" s="1">
        <f t="shared" si="369"/>
        <v>0</v>
      </c>
      <c r="CS581" s="1"/>
      <c r="CT581" s="1" t="e">
        <f>INDEX([2]マスタ!$A:$A,MATCH(D581,[2]マスタ!$C:$C,0))</f>
        <v>#N/A</v>
      </c>
      <c r="CU581" s="1" t="str">
        <f t="shared" ca="1" si="370"/>
        <v>20260620_0-0</v>
      </c>
    </row>
    <row r="582" spans="1:99" x14ac:dyDescent="0.4">
      <c r="A582" s="61"/>
      <c r="B582" s="62"/>
      <c r="C582" s="62"/>
      <c r="D582" s="62"/>
      <c r="E582" s="63"/>
      <c r="F582" s="62"/>
      <c r="G582" s="62">
        <v>1</v>
      </c>
      <c r="H582" s="64">
        <f t="shared" si="360"/>
        <v>0</v>
      </c>
      <c r="I582" s="64"/>
      <c r="J582" s="78"/>
      <c r="K582" s="65">
        <f t="shared" si="373"/>
        <v>0</v>
      </c>
      <c r="L582" s="65">
        <f t="shared" si="362"/>
        <v>0</v>
      </c>
      <c r="M582" s="65">
        <f t="shared" si="363"/>
        <v>0</v>
      </c>
      <c r="N582" s="65">
        <f t="shared" si="364"/>
        <v>0</v>
      </c>
      <c r="O582" s="66" t="str">
        <f t="shared" si="9"/>
        <v>✕</v>
      </c>
      <c r="P582" s="67" t="str">
        <f t="shared" si="10"/>
        <v>○</v>
      </c>
      <c r="Q582" s="67" t="str">
        <f t="shared" si="374"/>
        <v>✕</v>
      </c>
      <c r="R582" s="67" t="str">
        <f t="shared" si="12"/>
        <v>✕</v>
      </c>
      <c r="S582" s="68">
        <v>0</v>
      </c>
      <c r="T582" s="69" t="s">
        <v>85</v>
      </c>
      <c r="U582" s="69" t="s">
        <v>85</v>
      </c>
      <c r="V582" s="69" t="s">
        <v>85</v>
      </c>
      <c r="W582" s="69" t="s">
        <v>85</v>
      </c>
      <c r="X582" s="69" t="s">
        <v>84</v>
      </c>
      <c r="Y582" s="69" t="s">
        <v>85</v>
      </c>
      <c r="Z582" s="69" t="s">
        <v>85</v>
      </c>
      <c r="AA582" s="69" t="s">
        <v>85</v>
      </c>
      <c r="AB582" s="69" t="s">
        <v>85</v>
      </c>
      <c r="AC582" s="69" t="s">
        <v>85</v>
      </c>
      <c r="AD582" s="38" t="str">
        <f>+IF(ISERROR(VLOOKUP($B582,AD$10:AD581,1,0)),IF(AND($N582&gt;=1000,$A582&gt;=AO$8,$A582&lt;=AO$9),$B582,""),"")</f>
        <v/>
      </c>
      <c r="AE582" s="38" t="str">
        <f>+IF(ISERROR(VLOOKUP($B582,AE$10:AE581,1,0)),IF(AND($N582&gt;=1000,$A582&gt;=AP$8,$A582&lt;=AP$9),$B582,""),"")</f>
        <v/>
      </c>
      <c r="AF582" s="38" t="str">
        <f>+IF(ISERROR(VLOOKUP($B582,AF$10:AF581,1,0)),IF(AND($N582&gt;=1000,$A582&gt;=AQ$8,$A582&lt;=AQ$9),$B582,""),"")</f>
        <v/>
      </c>
      <c r="AG582" s="38" t="str">
        <f>+IF(ISERROR(VLOOKUP($B582,AG$10:AG581,1,0)),IF(AND($N582&gt;=1000,$A582&gt;=AR$8,$A582&lt;=AR$9),$B582,""),"")</f>
        <v/>
      </c>
      <c r="AH582" s="38"/>
      <c r="AI582" s="70">
        <v>0</v>
      </c>
      <c r="AJ582" s="38">
        <f>IF(AND(AJ$7="○",$A582&gt;=AJ$8,$A582&lt;=AJ$9),IF(SUM(AJ$10:AJ581)-ROUNDDOWN($K582*AJ$5/100,0)&lt;-AJ$6,-AJ$6-SUM(AJ$10:AJ581),-ROUNDDOWN($K582*AJ$5/100,0)),0)</f>
        <v>0</v>
      </c>
      <c r="AK582" s="38">
        <f>IF(AND(AK$7="○",$A582&gt;=AK$8,$A582&lt;=AK$9),IF(SUM(AK$10:AK581)-ROUNDDOWN($L582*AK$5/100,0)&lt;-AK$6,-AK$6-SUM(AK$10:AK581),-ROUNDDOWN($L582*AK$5/100,0)),0)</f>
        <v>0</v>
      </c>
      <c r="AL582" s="38">
        <f>IF(AND(AL$7="○",$A582&gt;=AL$8,$A582&lt;=AL$9),IF(SUM(AL$10:AL581)-ROUNDDOWN($N582*AL$5/100,0)&lt;-AL$6,-AL$6-SUM(AL$10:AL581),-ROUNDDOWN($N582*AL$5/100,0)),0)</f>
        <v>0</v>
      </c>
      <c r="AM582" s="38">
        <f>IF(AND(AM$7="○",$A582&gt;=AM$8,$A582&lt;=AM$9),IF(SUM(AM$10:AM581)-ROUNDDOWN($L582*AM$5/100,0)&lt;-AM$6,-AM$6-SUM(AM$10:AM581),-ROUNDDOWN($L582*AM$5/100,0)),0)</f>
        <v>0</v>
      </c>
      <c r="AN582" s="38">
        <f>IF(AND(AN$7="○",$A582&gt;=AN$8,$A582&lt;=AN$9),IF(SUM(AN$10:AN581)-ROUNDDOWN($M582*AN$5/100,0)&lt;-AN$6,-AN$6-SUM(AN$10:AN581),-ROUNDDOWN($M582*AN$5/100,0)),0)</f>
        <v>0</v>
      </c>
      <c r="AO582" s="38">
        <f>IF(AND($A582&gt;=AO$8,$A582&lt;=AO$9),IF(SUM(AO$10:AO581)-ROUNDDOWN($K582*AO$5/100,0)&lt;-AO$6,-AO$6-SUM(AO$10:AO581),-ROUNDDOWN($K582*AO$5/100,0)),0)</f>
        <v>0</v>
      </c>
      <c r="AP582" s="38">
        <f>IF(AND($A582&gt;=AP$8,$A582&lt;=AP$9),IF(SUM(AP$10:AP581)-ROUNDDOWN($K582*AP$5/100,0)&lt;-AP$6,-AP$6-SUM(AP$10:AP581),-ROUNDDOWN($K582*AP$5/100,0)),0)</f>
        <v>0</v>
      </c>
      <c r="AQ582" s="38">
        <f>IF(AND($A582&gt;=AQ$8,$A582&lt;=AQ$9),IF(SUM(AQ$10:AQ581)-ROUNDDOWN($K582*AQ$5/100,0)&lt;-AQ$6,-AQ$6-SUM(AQ$10:AQ581),-ROUNDDOWN($K582*AQ$5/100,0)),0)</f>
        <v>0</v>
      </c>
      <c r="AR582" s="38">
        <f>IF(AND($A582&gt;=AR$8,$A582&lt;=AR$9),IF(SUM(AR$10:AR581)-ROUNDDOWN($K582*AR$5/100,0)&lt;-AR$6,-AR$6-SUM(AR$10:AR581),-ROUNDDOWN($K582*AR$5/100,0)),0)</f>
        <v>0</v>
      </c>
      <c r="AS582" s="38">
        <f>IF(SUMIFS(AS$10:AS581,$A$10:$A581,$A582)-ROUNDDOWN($K582*$S582/100,0)&lt;-$S582*1000,-$S582*1000-SUMIFS(AS$10:AS581,$A$10:$A581,$A582),-ROUNDDOWN($K582*$S582/100,0))</f>
        <v>0</v>
      </c>
      <c r="AT582" s="38">
        <f>IF(AND(X582="○",$A582&gt;=AT$8,$A582&lt;=AT$9,K582&gt;=3980),IF(SUM(AT$10:AT581)-ROUNDDOWN($K582*AT$5/100,0)&lt;-AT$6,-AT$6-SUM(AT$10:AT581),-ROUNDDOWN($K582*AT$5/100,0)),0)</f>
        <v>0</v>
      </c>
      <c r="AU582" s="38">
        <f>IF(O582="○",IF(SUM(AU$10:AU581)-ROUNDDOWN($K582*AU$5/100,0)&lt;-AU$6,-AU$6-SUM(AU$10:AU581),-ROUNDDOWN($K582*AU$5/100,0)),0)</f>
        <v>0</v>
      </c>
      <c r="AV582" s="38">
        <f>IF(P582="○",IF(SUM(AV$10:AV581)-ROUNDDOWN($K582*AV$5/100,0)&lt;-AV$6,-AV$6-SUM(AV$10:AV581),-ROUNDDOWN($K582*AV$5/100,0)),0)</f>
        <v>0</v>
      </c>
      <c r="AW582" s="38">
        <f>IF(Q582="○",IF(SUM(AW$10:AW581)-ROUNDDOWN($K582*AW$5/100,0)&lt;-AW$6,-AW$6-SUM(AW$10:AW581),-ROUNDDOWN($K582*AW$5/100,0)),0)</f>
        <v>0</v>
      </c>
      <c r="AX582" s="38">
        <f>IF(R582="○",IF(SUM(AX$10:AX581)-ROUNDDOWN($K582*AX$5/100,0)&lt;-AX$6,-AX$6-SUM(AX$10:AX581),-ROUNDDOWN($K582*AX$5/100,0)),0)</f>
        <v>0</v>
      </c>
      <c r="AY582" s="70">
        <v>0</v>
      </c>
      <c r="AZ582" s="65">
        <f t="shared" si="348"/>
        <v>0</v>
      </c>
      <c r="BA582" s="65">
        <f t="shared" si="349"/>
        <v>0</v>
      </c>
      <c r="BB582" s="70"/>
      <c r="BC582" s="65">
        <f t="shared" si="350"/>
        <v>0</v>
      </c>
      <c r="BD582" s="70">
        <v>0</v>
      </c>
      <c r="BE582" s="65">
        <f t="shared" si="351"/>
        <v>0</v>
      </c>
      <c r="BF582" s="70">
        <v>0</v>
      </c>
      <c r="BG582" s="65">
        <f t="shared" si="352"/>
        <v>0</v>
      </c>
      <c r="BH582" s="70">
        <v>0</v>
      </c>
      <c r="BI582" s="65">
        <f t="shared" si="353"/>
        <v>0</v>
      </c>
      <c r="BJ582" s="38">
        <f>IF(AND(BJ$7="○",$A582&gt;=BJ$8,$A582&lt;=BJ$9),IF(SUM(BJ$10:BJ581)-ROUNDDOWN($M582*BJ$5/100,0)&lt;-BJ$6,-BJ$6-SUM(BJ$10:BJ581),-ROUNDDOWN($M582*BJ$5/100,0)),0)</f>
        <v>0</v>
      </c>
      <c r="BK582" s="38">
        <f>IF(AND(BK$7="○",$A582&gt;=BK$8,$A582&lt;=BK$9),IF(SUM(BK$10:BK581)-ROUNDDOWN($L582*BK$5/100,0)&lt;-BK$6,-BK$6-SUM(BK$10:BK581),-ROUNDDOWN($L582*BK$5/100,0)),0)</f>
        <v>0</v>
      </c>
      <c r="BL582" s="38">
        <f>IF(AND(BL$7="○",$A582&gt;=BL$8,$A582&lt;=BL$9),IF(SUM(BL$10:BL581)-ROUNDDOWN($L582*BL$5/100,0)&lt;-BL$6,-BL$6-SUM(BL$10:BL581),-ROUNDDOWN($L582*BL$5/100,0)),0)</f>
        <v>0</v>
      </c>
      <c r="BM582" s="38">
        <f>IF(AND(BM$7="○",$A582&gt;=BM$8,$A582&lt;=BM$9),IF(SUM(BM$10:BM581)-ROUNDDOWN($M582*BM$5/100,0)&lt;-BM$6,-BM$6-SUM(BM$10:BM581),-ROUNDDOWN($M582*BM$5/100,0)),0)</f>
        <v>0</v>
      </c>
      <c r="BN582" s="38">
        <f>IF(AND(BN$7="○",$A582&gt;=BN$8,$A582&lt;=BN$9),IF(SUM(BN$10:BN581)-ROUNDDOWN($M582*BN$5/100,0)&lt;-BN$6,-BN$6-SUM(BN$10:BN581),-ROUNDDOWN($M582*BN$5/100,0)),0)</f>
        <v>0</v>
      </c>
      <c r="BO582" s="38">
        <f>IF(AND(BO$7="○",$A582&gt;=BO$8,$A582&lt;=BO$9),IF(SUM(BO$10:BO581)-ROUNDDOWN($M582*BO$5/100,0)&lt;-BO$6,-BO$6-SUM(BO$10:BO581),-ROUNDDOWN($M582*BO$5/100,0)),0)</f>
        <v>0</v>
      </c>
      <c r="BP582" s="38">
        <f>IF(AND(BP$7="○",$A582&gt;=BP$8,$A582&lt;=BP$9),IF(SUM(BP$10:BP581)-ROUNDDOWN($M582*BP$5/100,0)&lt;-BP$6,-BP$6-SUM(BP$10:BP581),-ROUNDDOWN($M582*BP$5/100,0)),0)</f>
        <v>0</v>
      </c>
      <c r="BQ582" s="38">
        <f>IF(AND(BQ$7="○",$A582&gt;=BQ$8,$A582&lt;=BQ$9),IF(SUM(BQ$10:BQ581)-ROUNDDOWN($L582*BQ$5/100,0)&lt;-BQ$6,-BQ$6-SUM(BQ$10:BQ581),-ROUNDDOWN($L582*BQ$5/100,0)),0)</f>
        <v>0</v>
      </c>
      <c r="BR582" s="38">
        <f>IF(AND(BR$7="○",$A582&gt;=BR$8,$A582&lt;=BR$9),IF(SUM(BR$10:BR581)-ROUNDDOWN($M582*BR$5/100,0)&lt;-BR$6,-BR$6-SUM(BR$10:BR581),-ROUNDDOWN($M582*BR$5/100,0)),0)</f>
        <v>0</v>
      </c>
      <c r="BS582" s="38">
        <f>IF(AND(BS$7="○",$A582&gt;=BS$8,$A582&lt;=BS$9),IF(SUM(BS$10:BS581)-ROUNDDOWN($M582*BS$5/100,0)&lt;-BS$6,-BS$6-SUM(BS$10:BS581),-ROUNDDOWN($M582*BS$5/100,0)),0)</f>
        <v>0</v>
      </c>
      <c r="BT582" s="38">
        <f>IF(AND(BT$7="○",$A582&gt;=BT$8,$A582&lt;=BT$9),IF(SUM(BT$10:BT581)-ROUNDDOWN($M582*BT$5/100,0)&lt;-BT$6,-BT$6-SUM(BT$10:BT581),-ROUNDDOWN($M582*BT$5/100,0)),0)</f>
        <v>0</v>
      </c>
      <c r="BU582" s="38">
        <f>IF(AND(BU$7="○",$A582&gt;=BU$8,$A582&lt;=BU$9),IF(SUM(BU$10:BU581)-ROUNDDOWN($M582*BU$5/100,0)&lt;-BU$6,-BU$6-SUM(BU$10:BU581),-ROUNDDOWN($M582*BU$5/100,0)),0)</f>
        <v>0</v>
      </c>
      <c r="BV582" s="38">
        <f>IF(AND(BV$7="○",$A582&gt;=BV$8,$A582&lt;=BV$9),IF(SUM(BV$10:BV581)-ROUNDDOWN($M582*BV$5/100,0)&lt;-BV$6,-BV$6-SUM(BV$10:BV581),-ROUNDDOWN($M582*BV$5/100,0)),0)</f>
        <v>0</v>
      </c>
      <c r="BW582" s="38">
        <f>IF(AND(BW$7="○",$A582&gt;=BW$8,$A582&lt;=BW$9),IF(SUM(BW$10:BW581)-ROUNDDOWN($M582*BW$5/100,0)&lt;-BW$6,-BW$6-SUM(BW$10:BW581),-ROUNDDOWN($M582*BW$5/100,0)),0)</f>
        <v>0</v>
      </c>
      <c r="BX582" s="38">
        <f>IF(AND(T582="○",$A582&gt;=BX$8,$A582&lt;=BX$9),IF(SUM(BX$10:BX581)-ROUNDDOWN($K582*BX$5/100,0)&lt;-BX$6,-BX$6-SUM(BX$10:BX581),-ROUNDDOWN($K582*BX$5/100,0)),0)</f>
        <v>0</v>
      </c>
      <c r="BY582" s="38">
        <f>IF(AND(U582="○",$A582&gt;=BY$8,$A582&lt;=BY$9),IF(SUM(BY$10:BY581)-ROUNDDOWN($K582*BY$5/100,0)&lt;-BY$6,-BY$6-SUM(BY$10:BY581),-ROUNDDOWN($K582*BY$5/100,0)),0)</f>
        <v>0</v>
      </c>
      <c r="BZ582" s="38">
        <f>IF(AND(V582="○",$A582&gt;=BZ$8,$A582&lt;=BZ$9),IF(SUM(BZ$10:BZ581)-ROUNDDOWN($K582*BZ$5/100,0)&lt;-BZ$6,-BZ$6-SUM(BZ$10:BZ581),-ROUNDDOWN($K582*BZ$5/100,0)),0)</f>
        <v>0</v>
      </c>
      <c r="CA582" s="38">
        <f>IF(AND(W582="○",$A582&gt;=CA$8,$A582&lt;=CA$9),IF(SUM(CA$10:CA581)-ROUNDDOWN($K582*CA$5/100,0)&lt;-CA$6,-CA$6-SUM(CA$10:CA581),-ROUNDDOWN($K582*CA$5/100,0)),0)</f>
        <v>0</v>
      </c>
      <c r="CB582" s="38"/>
      <c r="CC582" s="38"/>
      <c r="CD582" s="38"/>
      <c r="CE582" s="38"/>
      <c r="CF582" s="38"/>
      <c r="CG582" s="65">
        <f t="shared" si="354"/>
        <v>0</v>
      </c>
      <c r="CH582" s="71">
        <f t="shared" si="355"/>
        <v>0</v>
      </c>
      <c r="CI582" s="1">
        <f t="shared" si="366"/>
        <v>0</v>
      </c>
      <c r="CJ582" s="1"/>
      <c r="CK582" s="79"/>
      <c r="CL582" s="79"/>
      <c r="CM582" s="2"/>
      <c r="CN582" s="2"/>
      <c r="CO582" s="73">
        <f t="shared" si="367"/>
        <v>0</v>
      </c>
      <c r="CP582" s="5">
        <f t="shared" si="368"/>
        <v>0</v>
      </c>
      <c r="CQ582" s="1"/>
      <c r="CR582" s="1">
        <f t="shared" si="369"/>
        <v>0</v>
      </c>
      <c r="CS582" s="1"/>
      <c r="CT582" s="1" t="e">
        <f>INDEX([2]マスタ!$A:$A,MATCH(D582,[2]マスタ!$C:$C,0))</f>
        <v>#N/A</v>
      </c>
      <c r="CU582" s="1" t="str">
        <f t="shared" ca="1" si="370"/>
        <v>20260620_0-0</v>
      </c>
    </row>
    <row r="583" spans="1:99" x14ac:dyDescent="0.4">
      <c r="A583" s="61"/>
      <c r="B583" s="62"/>
      <c r="C583" s="62"/>
      <c r="D583" s="62"/>
      <c r="E583" s="63"/>
      <c r="F583" s="62"/>
      <c r="G583" s="62">
        <v>1</v>
      </c>
      <c r="H583" s="64">
        <f t="shared" si="360"/>
        <v>0</v>
      </c>
      <c r="I583" s="64"/>
      <c r="J583" s="78"/>
      <c r="K583" s="65">
        <f t="shared" si="373"/>
        <v>0</v>
      </c>
      <c r="L583" s="65">
        <f t="shared" si="362"/>
        <v>0</v>
      </c>
      <c r="M583" s="65">
        <f t="shared" si="363"/>
        <v>0</v>
      </c>
      <c r="N583" s="65">
        <f t="shared" si="364"/>
        <v>0</v>
      </c>
      <c r="O583" s="66" t="str">
        <f t="shared" si="9"/>
        <v>✕</v>
      </c>
      <c r="P583" s="67" t="str">
        <f t="shared" si="10"/>
        <v>○</v>
      </c>
      <c r="Q583" s="67" t="str">
        <f t="shared" si="374"/>
        <v>✕</v>
      </c>
      <c r="R583" s="67" t="str">
        <f t="shared" si="12"/>
        <v>✕</v>
      </c>
      <c r="S583" s="68">
        <v>0</v>
      </c>
      <c r="T583" s="69" t="s">
        <v>85</v>
      </c>
      <c r="U583" s="69" t="s">
        <v>85</v>
      </c>
      <c r="V583" s="69" t="s">
        <v>85</v>
      </c>
      <c r="W583" s="69" t="s">
        <v>85</v>
      </c>
      <c r="X583" s="69" t="s">
        <v>84</v>
      </c>
      <c r="Y583" s="69" t="s">
        <v>85</v>
      </c>
      <c r="Z583" s="69" t="s">
        <v>85</v>
      </c>
      <c r="AA583" s="69" t="s">
        <v>85</v>
      </c>
      <c r="AB583" s="69" t="s">
        <v>85</v>
      </c>
      <c r="AC583" s="69" t="s">
        <v>85</v>
      </c>
      <c r="AD583" s="38" t="str">
        <f>+IF(ISERROR(VLOOKUP($B583,AD$10:AD582,1,0)),IF(AND($N583&gt;=1000,$A583&gt;=AO$8,$A583&lt;=AO$9),$B583,""),"")</f>
        <v/>
      </c>
      <c r="AE583" s="38" t="str">
        <f>+IF(ISERROR(VLOOKUP($B583,AE$10:AE582,1,0)),IF(AND($N583&gt;=1000,$A583&gt;=AP$8,$A583&lt;=AP$9),$B583,""),"")</f>
        <v/>
      </c>
      <c r="AF583" s="38" t="str">
        <f>+IF(ISERROR(VLOOKUP($B583,AF$10:AF582,1,0)),IF(AND($N583&gt;=1000,$A583&gt;=AQ$8,$A583&lt;=AQ$9),$B583,""),"")</f>
        <v/>
      </c>
      <c r="AG583" s="38" t="str">
        <f>+IF(ISERROR(VLOOKUP($B583,AG$10:AG582,1,0)),IF(AND($N583&gt;=1000,$A583&gt;=AR$8,$A583&lt;=AR$9),$B583,""),"")</f>
        <v/>
      </c>
      <c r="AH583" s="38"/>
      <c r="AI583" s="70">
        <v>0</v>
      </c>
      <c r="AJ583" s="38">
        <f>IF(AND(AJ$7="○",$A583&gt;=AJ$8,$A583&lt;=AJ$9),IF(SUM(AJ$10:AJ582)-ROUNDDOWN($K583*AJ$5/100,0)&lt;-AJ$6,-AJ$6-SUM(AJ$10:AJ582),-ROUNDDOWN($K583*AJ$5/100,0)),0)</f>
        <v>0</v>
      </c>
      <c r="AK583" s="38">
        <f>IF(AND(AK$7="○",$A583&gt;=AK$8,$A583&lt;=AK$9),IF(SUM(AK$10:AK582)-ROUNDDOWN($L583*AK$5/100,0)&lt;-AK$6,-AK$6-SUM(AK$10:AK582),-ROUNDDOWN($L583*AK$5/100,0)),0)</f>
        <v>0</v>
      </c>
      <c r="AL583" s="38">
        <f>IF(AND(AL$7="○",$A583&gt;=AL$8,$A583&lt;=AL$9),IF(SUM(AL$10:AL582)-ROUNDDOWN($N583*AL$5/100,0)&lt;-AL$6,-AL$6-SUM(AL$10:AL582),-ROUNDDOWN($N583*AL$5/100,0)),0)</f>
        <v>0</v>
      </c>
      <c r="AM583" s="38">
        <f>IF(AND(AM$7="○",$A583&gt;=AM$8,$A583&lt;=AM$9),IF(SUM(AM$10:AM582)-ROUNDDOWN($L583*AM$5/100,0)&lt;-AM$6,-AM$6-SUM(AM$10:AM582),-ROUNDDOWN($L583*AM$5/100,0)),0)</f>
        <v>0</v>
      </c>
      <c r="AN583" s="38">
        <f>IF(AND(AN$7="○",$A583&gt;=AN$8,$A583&lt;=AN$9),IF(SUM(AN$10:AN582)-ROUNDDOWN($M583*AN$5/100,0)&lt;-AN$6,-AN$6-SUM(AN$10:AN582),-ROUNDDOWN($M583*AN$5/100,0)),0)</f>
        <v>0</v>
      </c>
      <c r="AO583" s="38">
        <f>IF(AND($A583&gt;=AO$8,$A583&lt;=AO$9),IF(SUM(AO$10:AO582)-ROUNDDOWN($K583*AO$5/100,0)&lt;-AO$6,-AO$6-SUM(AO$10:AO582),-ROUNDDOWN($K583*AO$5/100,0)),0)</f>
        <v>0</v>
      </c>
      <c r="AP583" s="38">
        <f>IF(AND($A583&gt;=AP$8,$A583&lt;=AP$9),IF(SUM(AP$10:AP582)-ROUNDDOWN($K583*AP$5/100,0)&lt;-AP$6,-AP$6-SUM(AP$10:AP582),-ROUNDDOWN($K583*AP$5/100,0)),0)</f>
        <v>0</v>
      </c>
      <c r="AQ583" s="38">
        <f>IF(AND($A583&gt;=AQ$8,$A583&lt;=AQ$9),IF(SUM(AQ$10:AQ582)-ROUNDDOWN($K583*AQ$5/100,0)&lt;-AQ$6,-AQ$6-SUM(AQ$10:AQ582),-ROUNDDOWN($K583*AQ$5/100,0)),0)</f>
        <v>0</v>
      </c>
      <c r="AR583" s="38">
        <f>IF(AND($A583&gt;=AR$8,$A583&lt;=AR$9),IF(SUM(AR$10:AR582)-ROUNDDOWN($K583*AR$5/100,0)&lt;-AR$6,-AR$6-SUM(AR$10:AR582),-ROUNDDOWN($K583*AR$5/100,0)),0)</f>
        <v>0</v>
      </c>
      <c r="AS583" s="38">
        <f>IF(SUMIFS(AS$10:AS582,$A$10:$A582,$A583)-ROUNDDOWN($K583*$S583/100,0)&lt;-$S583*1000,-$S583*1000-SUMIFS(AS$10:AS582,$A$10:$A582,$A583),-ROUNDDOWN($K583*$S583/100,0))</f>
        <v>0</v>
      </c>
      <c r="AT583" s="38">
        <f>IF(AND(X583="○",$A583&gt;=AT$8,$A583&lt;=AT$9,K583&gt;=3980),IF(SUM(AT$10:AT582)-ROUNDDOWN($K583*AT$5/100,0)&lt;-AT$6,-AT$6-SUM(AT$10:AT582),-ROUNDDOWN($K583*AT$5/100,0)),0)</f>
        <v>0</v>
      </c>
      <c r="AU583" s="38">
        <f>IF(O583="○",IF(SUM(AU$10:AU582)-ROUNDDOWN($K583*AU$5/100,0)&lt;-AU$6,-AU$6-SUM(AU$10:AU582),-ROUNDDOWN($K583*AU$5/100,0)),0)</f>
        <v>0</v>
      </c>
      <c r="AV583" s="38">
        <f>IF(P583="○",IF(SUM(AV$10:AV582)-ROUNDDOWN($K583*AV$5/100,0)&lt;-AV$6,-AV$6-SUM(AV$10:AV582),-ROUNDDOWN($K583*AV$5/100,0)),0)</f>
        <v>0</v>
      </c>
      <c r="AW583" s="38">
        <f>IF(Q583="○",IF(SUM(AW$10:AW582)-ROUNDDOWN($K583*AW$5/100,0)&lt;-AW$6,-AW$6-SUM(AW$10:AW582),-ROUNDDOWN($K583*AW$5/100,0)),0)</f>
        <v>0</v>
      </c>
      <c r="AX583" s="38">
        <f>IF(R583="○",IF(SUM(AX$10:AX582)-ROUNDDOWN($K583*AX$5/100,0)&lt;-AX$6,-AX$6-SUM(AX$10:AX582),-ROUNDDOWN($K583*AX$5/100,0)),0)</f>
        <v>0</v>
      </c>
      <c r="AY583" s="70">
        <v>0</v>
      </c>
      <c r="AZ583" s="65">
        <f t="shared" si="348"/>
        <v>0</v>
      </c>
      <c r="BA583" s="65">
        <f t="shared" si="349"/>
        <v>0</v>
      </c>
      <c r="BB583" s="70"/>
      <c r="BC583" s="65">
        <f t="shared" si="350"/>
        <v>0</v>
      </c>
      <c r="BD583" s="70">
        <v>0</v>
      </c>
      <c r="BE583" s="65">
        <f t="shared" si="351"/>
        <v>0</v>
      </c>
      <c r="BF583" s="70">
        <v>0</v>
      </c>
      <c r="BG583" s="65">
        <f t="shared" si="352"/>
        <v>0</v>
      </c>
      <c r="BH583" s="70">
        <v>0</v>
      </c>
      <c r="BI583" s="65">
        <f t="shared" si="353"/>
        <v>0</v>
      </c>
      <c r="BJ583" s="38">
        <f>IF(AND(BJ$7="○",$A583&gt;=BJ$8,$A583&lt;=BJ$9),IF(SUM(BJ$10:BJ582)-ROUNDDOWN($M583*BJ$5/100,0)&lt;-BJ$6,-BJ$6-SUM(BJ$10:BJ582),-ROUNDDOWN($M583*BJ$5/100,0)),0)</f>
        <v>0</v>
      </c>
      <c r="BK583" s="38">
        <f>IF(AND(BK$7="○",$A583&gt;=BK$8,$A583&lt;=BK$9),IF(SUM(BK$10:BK582)-ROUNDDOWN($L583*BK$5/100,0)&lt;-BK$6,-BK$6-SUM(BK$10:BK582),-ROUNDDOWN($L583*BK$5/100,0)),0)</f>
        <v>0</v>
      </c>
      <c r="BL583" s="38">
        <f>IF(AND(BL$7="○",$A583&gt;=BL$8,$A583&lt;=BL$9),IF(SUM(BL$10:BL582)-ROUNDDOWN($L583*BL$5/100,0)&lt;-BL$6,-BL$6-SUM(BL$10:BL582),-ROUNDDOWN($L583*BL$5/100,0)),0)</f>
        <v>0</v>
      </c>
      <c r="BM583" s="38">
        <f>IF(AND(BM$7="○",$A583&gt;=BM$8,$A583&lt;=BM$9),IF(SUM(BM$10:BM582)-ROUNDDOWN($M583*BM$5/100,0)&lt;-BM$6,-BM$6-SUM(BM$10:BM582),-ROUNDDOWN($M583*BM$5/100,0)),0)</f>
        <v>0</v>
      </c>
      <c r="BN583" s="38">
        <f>IF(AND(BN$7="○",$A583&gt;=BN$8,$A583&lt;=BN$9),IF(SUM(BN$10:BN582)-ROUNDDOWN($M583*BN$5/100,0)&lt;-BN$6,-BN$6-SUM(BN$10:BN582),-ROUNDDOWN($M583*BN$5/100,0)),0)</f>
        <v>0</v>
      </c>
      <c r="BO583" s="38">
        <f>IF(AND(BO$7="○",$A583&gt;=BO$8,$A583&lt;=BO$9),IF(SUM(BO$10:BO582)-ROUNDDOWN($M583*BO$5/100,0)&lt;-BO$6,-BO$6-SUM(BO$10:BO582),-ROUNDDOWN($M583*BO$5/100,0)),0)</f>
        <v>0</v>
      </c>
      <c r="BP583" s="38">
        <f>IF(AND(BP$7="○",$A583&gt;=BP$8,$A583&lt;=BP$9),IF(SUM(BP$10:BP582)-ROUNDDOWN($M583*BP$5/100,0)&lt;-BP$6,-BP$6-SUM(BP$10:BP582),-ROUNDDOWN($M583*BP$5/100,0)),0)</f>
        <v>0</v>
      </c>
      <c r="BQ583" s="38">
        <f>IF(AND(BQ$7="○",$A583&gt;=BQ$8,$A583&lt;=BQ$9),IF(SUM(BQ$10:BQ582)-ROUNDDOWN($L583*BQ$5/100,0)&lt;-BQ$6,-BQ$6-SUM(BQ$10:BQ582),-ROUNDDOWN($L583*BQ$5/100,0)),0)</f>
        <v>0</v>
      </c>
      <c r="BR583" s="38">
        <f>IF(AND(BR$7="○",$A583&gt;=BR$8,$A583&lt;=BR$9),IF(SUM(BR$10:BR582)-ROUNDDOWN($M583*BR$5/100,0)&lt;-BR$6,-BR$6-SUM(BR$10:BR582),-ROUNDDOWN($M583*BR$5/100,0)),0)</f>
        <v>0</v>
      </c>
      <c r="BS583" s="38">
        <f>IF(AND(BS$7="○",$A583&gt;=BS$8,$A583&lt;=BS$9),IF(SUM(BS$10:BS582)-ROUNDDOWN($M583*BS$5/100,0)&lt;-BS$6,-BS$6-SUM(BS$10:BS582),-ROUNDDOWN($M583*BS$5/100,0)),0)</f>
        <v>0</v>
      </c>
      <c r="BT583" s="38">
        <f>IF(AND(BT$7="○",$A583&gt;=BT$8,$A583&lt;=BT$9),IF(SUM(BT$10:BT582)-ROUNDDOWN($M583*BT$5/100,0)&lt;-BT$6,-BT$6-SUM(BT$10:BT582),-ROUNDDOWN($M583*BT$5/100,0)),0)</f>
        <v>0</v>
      </c>
      <c r="BU583" s="38">
        <f>IF(AND(BU$7="○",$A583&gt;=BU$8,$A583&lt;=BU$9),IF(SUM(BU$10:BU582)-ROUNDDOWN($M583*BU$5/100,0)&lt;-BU$6,-BU$6-SUM(BU$10:BU582),-ROUNDDOWN($M583*BU$5/100,0)),0)</f>
        <v>0</v>
      </c>
      <c r="BV583" s="38">
        <f>IF(AND(BV$7="○",$A583&gt;=BV$8,$A583&lt;=BV$9),IF(SUM(BV$10:BV582)-ROUNDDOWN($M583*BV$5/100,0)&lt;-BV$6,-BV$6-SUM(BV$10:BV582),-ROUNDDOWN($M583*BV$5/100,0)),0)</f>
        <v>0</v>
      </c>
      <c r="BW583" s="38">
        <f>IF(AND(BW$7="○",$A583&gt;=BW$8,$A583&lt;=BW$9),IF(SUM(BW$10:BW582)-ROUNDDOWN($M583*BW$5/100,0)&lt;-BW$6,-BW$6-SUM(BW$10:BW582),-ROUNDDOWN($M583*BW$5/100,0)),0)</f>
        <v>0</v>
      </c>
      <c r="BX583" s="38">
        <f>IF(AND(T583="○",$A583&gt;=BX$8,$A583&lt;=BX$9),IF(SUM(BX$10:BX582)-ROUNDDOWN($K583*BX$5/100,0)&lt;-BX$6,-BX$6-SUM(BX$10:BX582),-ROUNDDOWN($K583*BX$5/100,0)),0)</f>
        <v>0</v>
      </c>
      <c r="BY583" s="38">
        <f>IF(AND(U583="○",$A583&gt;=BY$8,$A583&lt;=BY$9),IF(SUM(BY$10:BY582)-ROUNDDOWN($K583*BY$5/100,0)&lt;-BY$6,-BY$6-SUM(BY$10:BY582),-ROUNDDOWN($K583*BY$5/100,0)),0)</f>
        <v>0</v>
      </c>
      <c r="BZ583" s="38">
        <f>IF(AND(V583="○",$A583&gt;=BZ$8,$A583&lt;=BZ$9),IF(SUM(BZ$10:BZ582)-ROUNDDOWN($K583*BZ$5/100,0)&lt;-BZ$6,-BZ$6-SUM(BZ$10:BZ582),-ROUNDDOWN($K583*BZ$5/100,0)),0)</f>
        <v>0</v>
      </c>
      <c r="CA583" s="38">
        <f>IF(AND(W583="○",$A583&gt;=CA$8,$A583&lt;=CA$9),IF(SUM(CA$10:CA582)-ROUNDDOWN($K583*CA$5/100,0)&lt;-CA$6,-CA$6-SUM(CA$10:CA582),-ROUNDDOWN($K583*CA$5/100,0)),0)</f>
        <v>0</v>
      </c>
      <c r="CB583" s="38"/>
      <c r="CC583" s="38"/>
      <c r="CD583" s="38"/>
      <c r="CE583" s="38"/>
      <c r="CF583" s="38"/>
      <c r="CG583" s="65">
        <f t="shared" si="354"/>
        <v>0</v>
      </c>
      <c r="CH583" s="71">
        <f t="shared" si="355"/>
        <v>0</v>
      </c>
      <c r="CI583" s="1">
        <f t="shared" si="366"/>
        <v>0</v>
      </c>
      <c r="CJ583" s="1"/>
      <c r="CK583" s="79"/>
      <c r="CL583" s="79"/>
      <c r="CM583" s="2"/>
      <c r="CN583" s="2"/>
      <c r="CO583" s="73">
        <f t="shared" si="367"/>
        <v>0</v>
      </c>
      <c r="CP583" s="5">
        <f t="shared" si="368"/>
        <v>0</v>
      </c>
      <c r="CQ583" s="1"/>
      <c r="CR583" s="1">
        <f t="shared" si="369"/>
        <v>0</v>
      </c>
      <c r="CS583" s="1"/>
      <c r="CT583" s="1" t="e">
        <f>INDEX([2]マスタ!$A:$A,MATCH(D583,[2]マスタ!$C:$C,0))</f>
        <v>#N/A</v>
      </c>
      <c r="CU583" s="1" t="str">
        <f t="shared" ca="1" si="370"/>
        <v>20260620_0-0</v>
      </c>
    </row>
    <row r="584" spans="1:99" x14ac:dyDescent="0.4">
      <c r="A584" s="61"/>
      <c r="B584" s="62"/>
      <c r="C584" s="62"/>
      <c r="D584" s="62"/>
      <c r="E584" s="77"/>
      <c r="F584" s="62"/>
      <c r="G584" s="62">
        <v>1</v>
      </c>
      <c r="H584" s="64">
        <f t="shared" si="360"/>
        <v>0</v>
      </c>
      <c r="I584" s="64"/>
      <c r="J584" s="64"/>
      <c r="K584" s="65">
        <f t="shared" si="373"/>
        <v>0</v>
      </c>
      <c r="L584" s="65">
        <f t="shared" si="362"/>
        <v>0</v>
      </c>
      <c r="M584" s="65">
        <f t="shared" si="363"/>
        <v>0</v>
      </c>
      <c r="N584" s="65">
        <f t="shared" si="364"/>
        <v>0</v>
      </c>
      <c r="O584" s="66" t="str">
        <f t="shared" si="9"/>
        <v>✕</v>
      </c>
      <c r="P584" s="67" t="str">
        <f t="shared" si="10"/>
        <v>○</v>
      </c>
      <c r="Q584" s="67" t="str">
        <f t="shared" si="374"/>
        <v>✕</v>
      </c>
      <c r="R584" s="67" t="str">
        <f t="shared" si="12"/>
        <v>✕</v>
      </c>
      <c r="S584" s="68">
        <v>0</v>
      </c>
      <c r="T584" s="69" t="s">
        <v>85</v>
      </c>
      <c r="U584" s="69" t="s">
        <v>85</v>
      </c>
      <c r="V584" s="69" t="s">
        <v>85</v>
      </c>
      <c r="W584" s="69" t="s">
        <v>85</v>
      </c>
      <c r="X584" s="69" t="s">
        <v>84</v>
      </c>
      <c r="Y584" s="69" t="s">
        <v>85</v>
      </c>
      <c r="Z584" s="69" t="s">
        <v>85</v>
      </c>
      <c r="AA584" s="69" t="s">
        <v>85</v>
      </c>
      <c r="AB584" s="69" t="s">
        <v>85</v>
      </c>
      <c r="AC584" s="69" t="s">
        <v>85</v>
      </c>
      <c r="AD584" s="38" t="str">
        <f>+IF(ISERROR(VLOOKUP($B584,AD$10:AD583,1,0)),IF(AND($N584&gt;=1000,$A584&gt;=AO$8,$A584&lt;=AO$9),$B584,""),"")</f>
        <v/>
      </c>
      <c r="AE584" s="38" t="str">
        <f>+IF(ISERROR(VLOOKUP($B584,AE$10:AE583,1,0)),IF(AND($N584&gt;=1000,$A584&gt;=AP$8,$A584&lt;=AP$9),$B584,""),"")</f>
        <v/>
      </c>
      <c r="AF584" s="38" t="str">
        <f>+IF(ISERROR(VLOOKUP($B584,AF$10:AF583,1,0)),IF(AND($N584&gt;=1000,$A584&gt;=AQ$8,$A584&lt;=AQ$9),$B584,""),"")</f>
        <v/>
      </c>
      <c r="AG584" s="38" t="str">
        <f>+IF(ISERROR(VLOOKUP($B584,AG$10:AG583,1,0)),IF(AND($N584&gt;=1000,$A584&gt;=AR$8,$A584&lt;=AR$9),$B584,""),"")</f>
        <v/>
      </c>
      <c r="AH584" s="38"/>
      <c r="AI584" s="70">
        <v>0</v>
      </c>
      <c r="AJ584" s="38">
        <f>IF(AND(AJ$7="○",$A584&gt;=AJ$8,$A584&lt;=AJ$9),IF(SUM(AJ$10:AJ583)-ROUNDDOWN($K584*AJ$5/100,0)&lt;-AJ$6,-AJ$6-SUM(AJ$10:AJ583),-ROUNDDOWN($K584*AJ$5/100,0)),0)</f>
        <v>0</v>
      </c>
      <c r="AK584" s="38">
        <f>IF(AND(AK$7="○",$A584&gt;=AK$8,$A584&lt;=AK$9),IF(SUM(AK$10:AK583)-ROUNDDOWN($L584*AK$5/100,0)&lt;-AK$6,-AK$6-SUM(AK$10:AK583),-ROUNDDOWN($L584*AK$5/100,0)),0)</f>
        <v>0</v>
      </c>
      <c r="AL584" s="38">
        <f>IF(AND(AL$7="○",$A584&gt;=AL$8,$A584&lt;=AL$9),IF(SUM(AL$10:AL583)-ROUNDDOWN($N584*AL$5/100,0)&lt;-AL$6,-AL$6-SUM(AL$10:AL583),-ROUNDDOWN($N584*AL$5/100,0)),0)</f>
        <v>0</v>
      </c>
      <c r="AM584" s="38">
        <f>IF(AND(AM$7="○",$A584&gt;=AM$8,$A584&lt;=AM$9),IF(SUM(AM$10:AM583)-ROUNDDOWN($L584*AM$5/100,0)&lt;-AM$6,-AM$6-SUM(AM$10:AM583),-ROUNDDOWN($L584*AM$5/100,0)),0)</f>
        <v>0</v>
      </c>
      <c r="AN584" s="38">
        <f>IF(AND(AN$7="○",$A584&gt;=AN$8,$A584&lt;=AN$9),IF(SUM(AN$10:AN583)-ROUNDDOWN($M584*AN$5/100,0)&lt;-AN$6,-AN$6-SUM(AN$10:AN583),-ROUNDDOWN($M584*AN$5/100,0)),0)</f>
        <v>0</v>
      </c>
      <c r="AO584" s="38">
        <f>IF(AND($A584&gt;=AO$8,$A584&lt;=AO$9),IF(SUM(AO$10:AO583)-ROUNDDOWN($K584*AO$5/100,0)&lt;-AO$6,-AO$6-SUM(AO$10:AO583),-ROUNDDOWN($K584*AO$5/100,0)),0)</f>
        <v>0</v>
      </c>
      <c r="AP584" s="38">
        <f>IF(AND($A584&gt;=AP$8,$A584&lt;=AP$9),IF(SUM(AP$10:AP583)-ROUNDDOWN($K584*AP$5/100,0)&lt;-AP$6,-AP$6-SUM(AP$10:AP583),-ROUNDDOWN($K584*AP$5/100,0)),0)</f>
        <v>0</v>
      </c>
      <c r="AQ584" s="38">
        <f>IF(AND($A584&gt;=AQ$8,$A584&lt;=AQ$9),IF(SUM(AQ$10:AQ583)-ROUNDDOWN($K584*AQ$5/100,0)&lt;-AQ$6,-AQ$6-SUM(AQ$10:AQ583),-ROUNDDOWN($K584*AQ$5/100,0)),0)</f>
        <v>0</v>
      </c>
      <c r="AR584" s="38">
        <f>IF(AND($A584&gt;=AR$8,$A584&lt;=AR$9),IF(SUM(AR$10:AR583)-ROUNDDOWN($K584*AR$5/100,0)&lt;-AR$6,-AR$6-SUM(AR$10:AR583),-ROUNDDOWN($K584*AR$5/100,0)),0)</f>
        <v>0</v>
      </c>
      <c r="AS584" s="38">
        <f>IF(SUMIFS(AS$10:AS583,$A$10:$A583,$A584)-ROUNDDOWN($K584*$S584/100,0)&lt;-$S584*1000,-$S584*1000-SUMIFS(AS$10:AS583,$A$10:$A583,$A584),-ROUNDDOWN($K584*$S584/100,0))</f>
        <v>0</v>
      </c>
      <c r="AT584" s="38">
        <f>IF(AND(X584="○",$A584&gt;=AT$8,$A584&lt;=AT$9,K584&gt;=3980),IF(SUM(AT$10:AT583)-ROUNDDOWN($K584*AT$5/100,0)&lt;-AT$6,-AT$6-SUM(AT$10:AT583),-ROUNDDOWN($K584*AT$5/100,0)),0)</f>
        <v>0</v>
      </c>
      <c r="AU584" s="38">
        <f>IF(O584="○",IF(SUM(AU$10:AU583)-ROUNDDOWN($K584*AU$5/100,0)&lt;-AU$6,-AU$6-SUM(AU$10:AU583),-ROUNDDOWN($K584*AU$5/100,0)),0)</f>
        <v>0</v>
      </c>
      <c r="AV584" s="38">
        <f>IF(P584="○",IF(SUM(AV$10:AV583)-ROUNDDOWN($K584*AV$5/100,0)&lt;-AV$6,-AV$6-SUM(AV$10:AV583),-ROUNDDOWN($K584*AV$5/100,0)),0)</f>
        <v>0</v>
      </c>
      <c r="AW584" s="38">
        <f>IF(Q584="○",IF(SUM(AW$10:AW583)-ROUNDDOWN($K584*AW$5/100,0)&lt;-AW$6,-AW$6-SUM(AW$10:AW583),-ROUNDDOWN($K584*AW$5/100,0)),0)</f>
        <v>0</v>
      </c>
      <c r="AX584" s="38">
        <f>IF(R584="○",IF(SUM(AX$10:AX583)-ROUNDDOWN($K584*AX$5/100,0)&lt;-AX$6,-AX$6-SUM(AX$10:AX583),-ROUNDDOWN($K584*AX$5/100,0)),0)</f>
        <v>0</v>
      </c>
      <c r="AY584" s="70">
        <v>0</v>
      </c>
      <c r="AZ584" s="65">
        <f t="shared" si="348"/>
        <v>0</v>
      </c>
      <c r="BA584" s="65">
        <f t="shared" si="349"/>
        <v>0</v>
      </c>
      <c r="BB584" s="70"/>
      <c r="BC584" s="65">
        <f t="shared" si="350"/>
        <v>0</v>
      </c>
      <c r="BD584" s="70">
        <v>0</v>
      </c>
      <c r="BE584" s="65">
        <f t="shared" si="351"/>
        <v>0</v>
      </c>
      <c r="BF584" s="70">
        <v>0</v>
      </c>
      <c r="BG584" s="65">
        <f t="shared" si="352"/>
        <v>0</v>
      </c>
      <c r="BH584" s="70">
        <v>0</v>
      </c>
      <c r="BI584" s="65">
        <f t="shared" si="353"/>
        <v>0</v>
      </c>
      <c r="BJ584" s="38">
        <f>IF(AND(BJ$7="○",$A584&gt;=BJ$8,$A584&lt;=BJ$9),IF(SUM(BJ$10:BJ583)-ROUNDDOWN($M584*BJ$5/100,0)&lt;-BJ$6,-BJ$6-SUM(BJ$10:BJ583),-ROUNDDOWN($M584*BJ$5/100,0)),0)</f>
        <v>0</v>
      </c>
      <c r="BK584" s="38">
        <f>IF(AND(BK$7="○",$A584&gt;=BK$8,$A584&lt;=BK$9),IF(SUM(BK$10:BK583)-ROUNDDOWN($L584*BK$5/100,0)&lt;-BK$6,-BK$6-SUM(BK$10:BK583),-ROUNDDOWN($L584*BK$5/100,0)),0)</f>
        <v>0</v>
      </c>
      <c r="BL584" s="38">
        <f>IF(AND(BL$7="○",$A584&gt;=BL$8,$A584&lt;=BL$9),IF(SUM(BL$10:BL583)-ROUNDDOWN($L584*BL$5/100,0)&lt;-BL$6,-BL$6-SUM(BL$10:BL583),-ROUNDDOWN($L584*BL$5/100,0)),0)</f>
        <v>0</v>
      </c>
      <c r="BM584" s="38">
        <f>IF(AND(BM$7="○",$A584&gt;=BM$8,$A584&lt;=BM$9),IF(SUM(BM$10:BM583)-ROUNDDOWN($M584*BM$5/100,0)&lt;-BM$6,-BM$6-SUM(BM$10:BM583),-ROUNDDOWN($M584*BM$5/100,0)),0)</f>
        <v>0</v>
      </c>
      <c r="BN584" s="38">
        <f>IF(AND(BN$7="○",$A584&gt;=BN$8,$A584&lt;=BN$9),IF(SUM(BN$10:BN583)-ROUNDDOWN($M584*BN$5/100,0)&lt;-BN$6,-BN$6-SUM(BN$10:BN583),-ROUNDDOWN($M584*BN$5/100,0)),0)</f>
        <v>0</v>
      </c>
      <c r="BO584" s="38">
        <f>IF(AND(BO$7="○",$A584&gt;=BO$8,$A584&lt;=BO$9),IF(SUM(BO$10:BO583)-ROUNDDOWN($M584*BO$5/100,0)&lt;-BO$6,-BO$6-SUM(BO$10:BO583),-ROUNDDOWN($M584*BO$5/100,0)),0)</f>
        <v>0</v>
      </c>
      <c r="BP584" s="38">
        <f>IF(AND(BP$7="○",$A584&gt;=BP$8,$A584&lt;=BP$9),IF(SUM(BP$10:BP583)-ROUNDDOWN($M584*BP$5/100,0)&lt;-BP$6,-BP$6-SUM(BP$10:BP583),-ROUNDDOWN($M584*BP$5/100,0)),0)</f>
        <v>0</v>
      </c>
      <c r="BQ584" s="38">
        <f>IF(AND(BQ$7="○",$A584&gt;=BQ$8,$A584&lt;=BQ$9),IF(SUM(BQ$10:BQ583)-ROUNDDOWN($L584*BQ$5/100,0)&lt;-BQ$6,-BQ$6-SUM(BQ$10:BQ583),-ROUNDDOWN($L584*BQ$5/100,0)),0)</f>
        <v>0</v>
      </c>
      <c r="BR584" s="38">
        <f>IF(AND(BR$7="○",$A584&gt;=BR$8,$A584&lt;=BR$9),IF(SUM(BR$10:BR583)-ROUNDDOWN($M584*BR$5/100,0)&lt;-BR$6,-BR$6-SUM(BR$10:BR583),-ROUNDDOWN($M584*BR$5/100,0)),0)</f>
        <v>0</v>
      </c>
      <c r="BS584" s="38">
        <f>IF(AND(BS$7="○",$A584&gt;=BS$8,$A584&lt;=BS$9),IF(SUM(BS$10:BS583)-ROUNDDOWN($M584*BS$5/100,0)&lt;-BS$6,-BS$6-SUM(BS$10:BS583),-ROUNDDOWN($M584*BS$5/100,0)),0)</f>
        <v>0</v>
      </c>
      <c r="BT584" s="38">
        <f>IF(AND(BT$7="○",$A584&gt;=BT$8,$A584&lt;=BT$9),IF(SUM(BT$10:BT583)-ROUNDDOWN($M584*BT$5/100,0)&lt;-BT$6,-BT$6-SUM(BT$10:BT583),-ROUNDDOWN($M584*BT$5/100,0)),0)</f>
        <v>0</v>
      </c>
      <c r="BU584" s="38">
        <f>IF(AND(BU$7="○",$A584&gt;=BU$8,$A584&lt;=BU$9),IF(SUM(BU$10:BU583)-ROUNDDOWN($M584*BU$5/100,0)&lt;-BU$6,-BU$6-SUM(BU$10:BU583),-ROUNDDOWN($M584*BU$5/100,0)),0)</f>
        <v>0</v>
      </c>
      <c r="BV584" s="38">
        <f>IF(AND(BV$7="○",$A584&gt;=BV$8,$A584&lt;=BV$9),IF(SUM(BV$10:BV583)-ROUNDDOWN($M584*BV$5/100,0)&lt;-BV$6,-BV$6-SUM(BV$10:BV583),-ROUNDDOWN($M584*BV$5/100,0)),0)</f>
        <v>0</v>
      </c>
      <c r="BW584" s="38">
        <f>IF(AND(BW$7="○",$A584&gt;=BW$8,$A584&lt;=BW$9),IF(SUM(BW$10:BW583)-ROUNDDOWN($M584*BW$5/100,0)&lt;-BW$6,-BW$6-SUM(BW$10:BW583),-ROUNDDOWN($M584*BW$5/100,0)),0)</f>
        <v>0</v>
      </c>
      <c r="BX584" s="38">
        <f>IF(AND(T584="○",$A584&gt;=BX$8,$A584&lt;=BX$9),IF(SUM(BX$10:BX583)-ROUNDDOWN($K584*BX$5/100,0)&lt;-BX$6,-BX$6-SUM(BX$10:BX583),-ROUNDDOWN($K584*BX$5/100,0)),0)</f>
        <v>0</v>
      </c>
      <c r="BY584" s="38">
        <f>IF(AND(U584="○",$A584&gt;=BY$8,$A584&lt;=BY$9),IF(SUM(BY$10:BY583)-ROUNDDOWN($K584*BY$5/100,0)&lt;-BY$6,-BY$6-SUM(BY$10:BY583),-ROUNDDOWN($K584*BY$5/100,0)),0)</f>
        <v>0</v>
      </c>
      <c r="BZ584" s="38">
        <f>IF(AND(V584="○",$A584&gt;=BZ$8,$A584&lt;=BZ$9),IF(SUM(BZ$10:BZ583)-ROUNDDOWN($K584*BZ$5/100,0)&lt;-BZ$6,-BZ$6-SUM(BZ$10:BZ583),-ROUNDDOWN($K584*BZ$5/100,0)),0)</f>
        <v>0</v>
      </c>
      <c r="CA584" s="38">
        <f>IF(AND(W584="○",$A584&gt;=CA$8,$A584&lt;=CA$9),IF(SUM(CA$10:CA583)-ROUNDDOWN($K584*CA$5/100,0)&lt;-CA$6,-CA$6-SUM(CA$10:CA583),-ROUNDDOWN($K584*CA$5/100,0)),0)</f>
        <v>0</v>
      </c>
      <c r="CB584" s="38"/>
      <c r="CC584" s="38"/>
      <c r="CD584" s="38"/>
      <c r="CE584" s="38"/>
      <c r="CF584" s="38"/>
      <c r="CG584" s="65">
        <f t="shared" si="354"/>
        <v>0</v>
      </c>
      <c r="CH584" s="71">
        <f t="shared" si="355"/>
        <v>0</v>
      </c>
      <c r="CI584" s="1">
        <f t="shared" si="366"/>
        <v>0</v>
      </c>
      <c r="CJ584" s="1"/>
      <c r="CK584" s="79"/>
      <c r="CL584" s="79"/>
      <c r="CM584" s="2"/>
      <c r="CN584" s="2"/>
      <c r="CO584" s="73">
        <f t="shared" si="367"/>
        <v>0</v>
      </c>
      <c r="CP584" s="5">
        <f t="shared" si="368"/>
        <v>0</v>
      </c>
      <c r="CQ584" s="1"/>
      <c r="CR584" s="1">
        <f t="shared" si="369"/>
        <v>0</v>
      </c>
      <c r="CS584" s="1"/>
      <c r="CT584" s="1" t="e">
        <f>INDEX([2]マスタ!$A:$A,MATCH(D584,[2]マスタ!$C:$C,0))</f>
        <v>#N/A</v>
      </c>
      <c r="CU584" s="1" t="str">
        <f t="shared" ca="1" si="370"/>
        <v>20260620_0-0</v>
      </c>
    </row>
    <row r="585" spans="1:99" x14ac:dyDescent="0.4">
      <c r="A585" s="61"/>
      <c r="B585" s="62"/>
      <c r="C585" s="62"/>
      <c r="D585" s="62"/>
      <c r="E585" s="63"/>
      <c r="F585" s="62"/>
      <c r="G585" s="62">
        <v>1</v>
      </c>
      <c r="H585" s="64">
        <f t="shared" si="360"/>
        <v>0</v>
      </c>
      <c r="I585" s="64"/>
      <c r="J585" s="64"/>
      <c r="K585" s="65">
        <f t="shared" si="373"/>
        <v>0</v>
      </c>
      <c r="L585" s="65">
        <f t="shared" si="362"/>
        <v>0</v>
      </c>
      <c r="M585" s="65">
        <f t="shared" si="363"/>
        <v>0</v>
      </c>
      <c r="N585" s="65">
        <f t="shared" si="364"/>
        <v>0</v>
      </c>
      <c r="O585" s="66" t="str">
        <f t="shared" si="9"/>
        <v>✕</v>
      </c>
      <c r="P585" s="67" t="str">
        <f t="shared" si="10"/>
        <v>○</v>
      </c>
      <c r="Q585" s="67" t="str">
        <f t="shared" si="374"/>
        <v>✕</v>
      </c>
      <c r="R585" s="67" t="str">
        <f t="shared" si="12"/>
        <v>✕</v>
      </c>
      <c r="S585" s="68">
        <v>0</v>
      </c>
      <c r="T585" s="69" t="s">
        <v>85</v>
      </c>
      <c r="U585" s="69" t="s">
        <v>85</v>
      </c>
      <c r="V585" s="69" t="s">
        <v>85</v>
      </c>
      <c r="W585" s="69" t="s">
        <v>85</v>
      </c>
      <c r="X585" s="69" t="s">
        <v>84</v>
      </c>
      <c r="Y585" s="69" t="s">
        <v>85</v>
      </c>
      <c r="Z585" s="69" t="s">
        <v>85</v>
      </c>
      <c r="AA585" s="69" t="s">
        <v>85</v>
      </c>
      <c r="AB585" s="69" t="s">
        <v>85</v>
      </c>
      <c r="AC585" s="69" t="s">
        <v>85</v>
      </c>
      <c r="AD585" s="38" t="str">
        <f>+IF(ISERROR(VLOOKUP($B585,AD$10:AD584,1,0)),IF(AND($N585&gt;=1000,$A585&gt;=AO$8,$A585&lt;=AO$9),$B585,""),"")</f>
        <v/>
      </c>
      <c r="AE585" s="38" t="str">
        <f>+IF(ISERROR(VLOOKUP($B585,AE$10:AE584,1,0)),IF(AND($N585&gt;=1000,$A585&gt;=AP$8,$A585&lt;=AP$9),$B585,""),"")</f>
        <v/>
      </c>
      <c r="AF585" s="38" t="str">
        <f>+IF(ISERROR(VLOOKUP($B585,AF$10:AF584,1,0)),IF(AND($N585&gt;=1000,$A585&gt;=AQ$8,$A585&lt;=AQ$9),$B585,""),"")</f>
        <v/>
      </c>
      <c r="AG585" s="38" t="str">
        <f>+IF(ISERROR(VLOOKUP($B585,AG$10:AG584,1,0)),IF(AND($N585&gt;=1000,$A585&gt;=AR$8,$A585&lt;=AR$9),$B585,""),"")</f>
        <v/>
      </c>
      <c r="AH585" s="38"/>
      <c r="AI585" s="70">
        <v>0</v>
      </c>
      <c r="AJ585" s="38">
        <f>IF(AND(AJ$7="○",$A585&gt;=AJ$8,$A585&lt;=AJ$9),IF(SUM(AJ$10:AJ584)-ROUNDDOWN($K585*AJ$5/100,0)&lt;-AJ$6,-AJ$6-SUM(AJ$10:AJ584),-ROUNDDOWN($K585*AJ$5/100,0)),0)</f>
        <v>0</v>
      </c>
      <c r="AK585" s="38">
        <f>IF(AND(AK$7="○",$A585&gt;=AK$8,$A585&lt;=AK$9),IF(SUM(AK$10:AK584)-ROUNDDOWN($L585*AK$5/100,0)&lt;-AK$6,-AK$6-SUM(AK$10:AK584),-ROUNDDOWN($L585*AK$5/100,0)),0)</f>
        <v>0</v>
      </c>
      <c r="AL585" s="38">
        <f>IF(AND(AL$7="○",$A585&gt;=AL$8,$A585&lt;=AL$9),IF(SUM(AL$10:AL584)-ROUNDDOWN($N585*AL$5/100,0)&lt;-AL$6,-AL$6-SUM(AL$10:AL584),-ROUNDDOWN($N585*AL$5/100,0)),0)</f>
        <v>0</v>
      </c>
      <c r="AM585" s="38">
        <f>IF(AND(AM$7="○",$A585&gt;=AM$8,$A585&lt;=AM$9),IF(SUM(AM$10:AM584)-ROUNDDOWN($L585*AM$5/100,0)&lt;-AM$6,-AM$6-SUM(AM$10:AM584),-ROUNDDOWN($L585*AM$5/100,0)),0)</f>
        <v>0</v>
      </c>
      <c r="AN585" s="38">
        <f>IF(AND(AN$7="○",$A585&gt;=AN$8,$A585&lt;=AN$9),IF(SUM(AN$10:AN584)-ROUNDDOWN($M585*AN$5/100,0)&lt;-AN$6,-AN$6-SUM(AN$10:AN584),-ROUNDDOWN($M585*AN$5/100,0)),0)</f>
        <v>0</v>
      </c>
      <c r="AO585" s="38">
        <f>IF(AND($A585&gt;=AO$8,$A585&lt;=AO$9),IF(SUM(AO$10:AO584)-ROUNDDOWN($K585*AO$5/100,0)&lt;-AO$6,-AO$6-SUM(AO$10:AO584),-ROUNDDOWN($K585*AO$5/100,0)),0)</f>
        <v>0</v>
      </c>
      <c r="AP585" s="38">
        <f>IF(AND($A585&gt;=AP$8,$A585&lt;=AP$9),IF(SUM(AP$10:AP584)-ROUNDDOWN($K585*AP$5/100,0)&lt;-AP$6,-AP$6-SUM(AP$10:AP584),-ROUNDDOWN($K585*AP$5/100,0)),0)</f>
        <v>0</v>
      </c>
      <c r="AQ585" s="38">
        <f>IF(AND($A585&gt;=AQ$8,$A585&lt;=AQ$9),IF(SUM(AQ$10:AQ584)-ROUNDDOWN($K585*AQ$5/100,0)&lt;-AQ$6,-AQ$6-SUM(AQ$10:AQ584),-ROUNDDOWN($K585*AQ$5/100,0)),0)</f>
        <v>0</v>
      </c>
      <c r="AR585" s="38">
        <f>IF(AND($A585&gt;=AR$8,$A585&lt;=AR$9),IF(SUM(AR$10:AR584)-ROUNDDOWN($K585*AR$5/100,0)&lt;-AR$6,-AR$6-SUM(AR$10:AR584),-ROUNDDOWN($K585*AR$5/100,0)),0)</f>
        <v>0</v>
      </c>
      <c r="AS585" s="38">
        <f>IF(SUMIFS(AS$10:AS584,$A$10:$A584,$A585)-ROUNDDOWN($K585*$S585/100,0)&lt;-$S585*1000,-$S585*1000-SUMIFS(AS$10:AS584,$A$10:$A584,$A585),-ROUNDDOWN($K585*$S585/100,0))</f>
        <v>0</v>
      </c>
      <c r="AT585" s="38">
        <f>IF(AND(X585="○",$A585&gt;=AT$8,$A585&lt;=AT$9,K585&gt;=3980),IF(SUM(AT$10:AT584)-ROUNDDOWN($K585*AT$5/100,0)&lt;-AT$6,-AT$6-SUM(AT$10:AT584),-ROUNDDOWN($K585*AT$5/100,0)),0)</f>
        <v>0</v>
      </c>
      <c r="AU585" s="38">
        <f>IF(O585="○",IF(SUM(AU$10:AU584)-ROUNDDOWN($K585*AU$5/100,0)&lt;-AU$6,-AU$6-SUM(AU$10:AU584),-ROUNDDOWN($K585*AU$5/100,0)),0)</f>
        <v>0</v>
      </c>
      <c r="AV585" s="38">
        <f>IF(P585="○",IF(SUM(AV$10:AV584)-ROUNDDOWN($K585*AV$5/100,0)&lt;-AV$6,-AV$6-SUM(AV$10:AV584),-ROUNDDOWN($K585*AV$5/100,0)),0)</f>
        <v>0</v>
      </c>
      <c r="AW585" s="38">
        <f>IF(Q585="○",IF(SUM(AW$10:AW584)-ROUNDDOWN($K585*AW$5/100,0)&lt;-AW$6,-AW$6-SUM(AW$10:AW584),-ROUNDDOWN($K585*AW$5/100,0)),0)</f>
        <v>0</v>
      </c>
      <c r="AX585" s="38">
        <f>IF(R585="○",IF(SUM(AX$10:AX584)-ROUNDDOWN($K585*AX$5/100,0)&lt;-AX$6,-AX$6-SUM(AX$10:AX584),-ROUNDDOWN($K585*AX$5/100,0)),0)</f>
        <v>0</v>
      </c>
      <c r="AY585" s="70">
        <v>0</v>
      </c>
      <c r="AZ585" s="65">
        <f t="shared" si="348"/>
        <v>0</v>
      </c>
      <c r="BA585" s="65">
        <f t="shared" si="349"/>
        <v>0</v>
      </c>
      <c r="BB585" s="70"/>
      <c r="BC585" s="65">
        <f t="shared" si="350"/>
        <v>0</v>
      </c>
      <c r="BD585" s="70">
        <v>0</v>
      </c>
      <c r="BE585" s="65">
        <f t="shared" si="351"/>
        <v>0</v>
      </c>
      <c r="BF585" s="70">
        <v>0</v>
      </c>
      <c r="BG585" s="65">
        <f t="shared" si="352"/>
        <v>0</v>
      </c>
      <c r="BH585" s="70">
        <v>0</v>
      </c>
      <c r="BI585" s="65">
        <f t="shared" si="353"/>
        <v>0</v>
      </c>
      <c r="BJ585" s="38">
        <f>IF(AND(BJ$7="○",$A585&gt;=BJ$8,$A585&lt;=BJ$9),IF(SUM(BJ$10:BJ584)-ROUNDDOWN($M585*BJ$5/100,0)&lt;-BJ$6,-BJ$6-SUM(BJ$10:BJ584),-ROUNDDOWN($M585*BJ$5/100,0)),0)</f>
        <v>0</v>
      </c>
      <c r="BK585" s="38">
        <f>IF(AND(BK$7="○",$A585&gt;=BK$8,$A585&lt;=BK$9),IF(SUM(BK$10:BK584)-ROUNDDOWN($L585*BK$5/100,0)&lt;-BK$6,-BK$6-SUM(BK$10:BK584),-ROUNDDOWN($L585*BK$5/100,0)),0)</f>
        <v>0</v>
      </c>
      <c r="BL585" s="38">
        <f>IF(AND(BL$7="○",$A585&gt;=BL$8,$A585&lt;=BL$9),IF(SUM(BL$10:BL584)-ROUNDDOWN($L585*BL$5/100,0)&lt;-BL$6,-BL$6-SUM(BL$10:BL584),-ROUNDDOWN($L585*BL$5/100,0)),0)</f>
        <v>0</v>
      </c>
      <c r="BM585" s="38">
        <f>IF(AND(BM$7="○",$A585&gt;=BM$8,$A585&lt;=BM$9),IF(SUM(BM$10:BM584)-ROUNDDOWN($M585*BM$5/100,0)&lt;-BM$6,-BM$6-SUM(BM$10:BM584),-ROUNDDOWN($M585*BM$5/100,0)),0)</f>
        <v>0</v>
      </c>
      <c r="BN585" s="38">
        <f>IF(AND(BN$7="○",$A585&gt;=BN$8,$A585&lt;=BN$9),IF(SUM(BN$10:BN584)-ROUNDDOWN($M585*BN$5/100,0)&lt;-BN$6,-BN$6-SUM(BN$10:BN584),-ROUNDDOWN($M585*BN$5/100,0)),0)</f>
        <v>0</v>
      </c>
      <c r="BO585" s="38">
        <f>IF(AND(BO$7="○",$A585&gt;=BO$8,$A585&lt;=BO$9),IF(SUM(BO$10:BO584)-ROUNDDOWN($M585*BO$5/100,0)&lt;-BO$6,-BO$6-SUM(BO$10:BO584),-ROUNDDOWN($M585*BO$5/100,0)),0)</f>
        <v>0</v>
      </c>
      <c r="BP585" s="38">
        <f>IF(AND(BP$7="○",$A585&gt;=BP$8,$A585&lt;=BP$9),IF(SUM(BP$10:BP584)-ROUNDDOWN($M585*BP$5/100,0)&lt;-BP$6,-BP$6-SUM(BP$10:BP584),-ROUNDDOWN($M585*BP$5/100,0)),0)</f>
        <v>0</v>
      </c>
      <c r="BQ585" s="38">
        <f>IF(AND(BQ$7="○",$A585&gt;=BQ$8,$A585&lt;=BQ$9),IF(SUM(BQ$10:BQ584)-ROUNDDOWN($L585*BQ$5/100,0)&lt;-BQ$6,-BQ$6-SUM(BQ$10:BQ584),-ROUNDDOWN($L585*BQ$5/100,0)),0)</f>
        <v>0</v>
      </c>
      <c r="BR585" s="38">
        <f>IF(AND(BR$7="○",$A585&gt;=BR$8,$A585&lt;=BR$9),IF(SUM(BR$10:BR584)-ROUNDDOWN($M585*BR$5/100,0)&lt;-BR$6,-BR$6-SUM(BR$10:BR584),-ROUNDDOWN($M585*BR$5/100,0)),0)</f>
        <v>0</v>
      </c>
      <c r="BS585" s="38">
        <f>IF(AND(BS$7="○",$A585&gt;=BS$8,$A585&lt;=BS$9),IF(SUM(BS$10:BS584)-ROUNDDOWN($M585*BS$5/100,0)&lt;-BS$6,-BS$6-SUM(BS$10:BS584),-ROUNDDOWN($M585*BS$5/100,0)),0)</f>
        <v>0</v>
      </c>
      <c r="BT585" s="38">
        <f>IF(AND(BT$7="○",$A585&gt;=BT$8,$A585&lt;=BT$9),IF(SUM(BT$10:BT584)-ROUNDDOWN($M585*BT$5/100,0)&lt;-BT$6,-BT$6-SUM(BT$10:BT584),-ROUNDDOWN($M585*BT$5/100,0)),0)</f>
        <v>0</v>
      </c>
      <c r="BU585" s="38">
        <f>IF(AND(BU$7="○",$A585&gt;=BU$8,$A585&lt;=BU$9),IF(SUM(BU$10:BU584)-ROUNDDOWN($M585*BU$5/100,0)&lt;-BU$6,-BU$6-SUM(BU$10:BU584),-ROUNDDOWN($M585*BU$5/100,0)),0)</f>
        <v>0</v>
      </c>
      <c r="BV585" s="38">
        <f>IF(AND(BV$7="○",$A585&gt;=BV$8,$A585&lt;=BV$9),IF(SUM(BV$10:BV584)-ROUNDDOWN($M585*BV$5/100,0)&lt;-BV$6,-BV$6-SUM(BV$10:BV584),-ROUNDDOWN($M585*BV$5/100,0)),0)</f>
        <v>0</v>
      </c>
      <c r="BW585" s="38">
        <f>IF(AND(BW$7="○",$A585&gt;=BW$8,$A585&lt;=BW$9),IF(SUM(BW$10:BW584)-ROUNDDOWN($M585*BW$5/100,0)&lt;-BW$6,-BW$6-SUM(BW$10:BW584),-ROUNDDOWN($M585*BW$5/100,0)),0)</f>
        <v>0</v>
      </c>
      <c r="BX585" s="38">
        <f>IF(AND(T585="○",$A585&gt;=BX$8,$A585&lt;=BX$9),IF(SUM(BX$10:BX584)-ROUNDDOWN($K585*BX$5/100,0)&lt;-BX$6,-BX$6-SUM(BX$10:BX584),-ROUNDDOWN($K585*BX$5/100,0)),0)</f>
        <v>0</v>
      </c>
      <c r="BY585" s="38">
        <f>IF(AND(U585="○",$A585&gt;=BY$8,$A585&lt;=BY$9),IF(SUM(BY$10:BY584)-ROUNDDOWN($K585*BY$5/100,0)&lt;-BY$6,-BY$6-SUM(BY$10:BY584),-ROUNDDOWN($K585*BY$5/100,0)),0)</f>
        <v>0</v>
      </c>
      <c r="BZ585" s="38">
        <f>IF(AND(V585="○",$A585&gt;=BZ$8,$A585&lt;=BZ$9),IF(SUM(BZ$10:BZ584)-ROUNDDOWN($K585*BZ$5/100,0)&lt;-BZ$6,-BZ$6-SUM(BZ$10:BZ584),-ROUNDDOWN($K585*BZ$5/100,0)),0)</f>
        <v>0</v>
      </c>
      <c r="CA585" s="38">
        <f>IF(AND(W585="○",$A585&gt;=CA$8,$A585&lt;=CA$9),IF(SUM(CA$10:CA584)-ROUNDDOWN($K585*CA$5/100,0)&lt;-CA$6,-CA$6-SUM(CA$10:CA584),-ROUNDDOWN($K585*CA$5/100,0)),0)</f>
        <v>0</v>
      </c>
      <c r="CB585" s="38"/>
      <c r="CC585" s="38"/>
      <c r="CD585" s="38"/>
      <c r="CE585" s="38"/>
      <c r="CF585" s="38"/>
      <c r="CG585" s="65">
        <f t="shared" si="354"/>
        <v>0</v>
      </c>
      <c r="CH585" s="71">
        <f t="shared" si="355"/>
        <v>0</v>
      </c>
      <c r="CI585" s="1">
        <f t="shared" si="366"/>
        <v>0</v>
      </c>
      <c r="CJ585" s="1"/>
      <c r="CK585" s="2"/>
      <c r="CL585" s="2"/>
      <c r="CM585" s="2"/>
      <c r="CN585" s="2"/>
      <c r="CO585" s="73">
        <f t="shared" si="367"/>
        <v>0</v>
      </c>
      <c r="CP585" s="5">
        <f t="shared" si="368"/>
        <v>0</v>
      </c>
      <c r="CQ585" s="1"/>
      <c r="CR585" s="1">
        <f t="shared" si="369"/>
        <v>0</v>
      </c>
      <c r="CS585" s="1"/>
      <c r="CT585" s="1" t="e">
        <f>INDEX([2]マスタ!$A:$A,MATCH(D585,[2]マスタ!$C:$C,0))</f>
        <v>#N/A</v>
      </c>
      <c r="CU585" s="1" t="str">
        <f t="shared" ca="1" si="370"/>
        <v>20260620_0-0</v>
      </c>
    </row>
    <row r="586" spans="1:99" x14ac:dyDescent="0.4">
      <c r="A586" s="61"/>
      <c r="B586" s="62"/>
      <c r="C586" s="62"/>
      <c r="D586" s="62"/>
      <c r="E586" s="74"/>
      <c r="F586" s="62"/>
      <c r="G586" s="62">
        <v>1</v>
      </c>
      <c r="H586" s="64">
        <f t="shared" si="4"/>
        <v>0</v>
      </c>
      <c r="I586" s="64"/>
      <c r="J586" s="64"/>
      <c r="K586" s="65">
        <f t="shared" ref="K586:K597" si="375">+ROUNDDOWN((H586+I586)/100,0)*100</f>
        <v>0</v>
      </c>
      <c r="L586" s="65">
        <f t="shared" si="6"/>
        <v>0</v>
      </c>
      <c r="M586" s="65">
        <f t="shared" si="7"/>
        <v>0</v>
      </c>
      <c r="N586" s="65">
        <f t="shared" si="8"/>
        <v>0</v>
      </c>
      <c r="O586" s="66" t="str">
        <f t="shared" si="9"/>
        <v>✕</v>
      </c>
      <c r="P586" s="67" t="str">
        <f t="shared" si="10"/>
        <v>○</v>
      </c>
      <c r="Q586" s="67" t="str">
        <f t="shared" ref="Q586:Q597" si="376">+IF((TEXT($A586,"DD")+0)=1,"○","✕")</f>
        <v>✕</v>
      </c>
      <c r="R586" s="67" t="str">
        <f t="shared" si="12"/>
        <v>✕</v>
      </c>
      <c r="S586" s="68">
        <v>0</v>
      </c>
      <c r="T586" s="69" t="s">
        <v>85</v>
      </c>
      <c r="U586" s="69" t="s">
        <v>85</v>
      </c>
      <c r="V586" s="69" t="s">
        <v>85</v>
      </c>
      <c r="W586" s="69" t="s">
        <v>85</v>
      </c>
      <c r="X586" s="69" t="s">
        <v>84</v>
      </c>
      <c r="Y586" s="69" t="s">
        <v>85</v>
      </c>
      <c r="Z586" s="69" t="s">
        <v>85</v>
      </c>
      <c r="AA586" s="69" t="s">
        <v>85</v>
      </c>
      <c r="AB586" s="69" t="s">
        <v>85</v>
      </c>
      <c r="AC586" s="69" t="s">
        <v>85</v>
      </c>
      <c r="AD586" s="38" t="str">
        <f>+IF(ISERROR(VLOOKUP($B586,AD$10:AD45,1,0)),IF(AND($N586&gt;=1000,$A586&gt;=AO$8,$A586&lt;=AO$9),$B586,""),"")</f>
        <v/>
      </c>
      <c r="AE586" s="38" t="str">
        <f>+IF(ISERROR(VLOOKUP($B586,AE$10:AE45,1,0)),IF(AND($N586&gt;=1000,$A586&gt;=AP$8,$A586&lt;=AP$9),$B586,""),"")</f>
        <v/>
      </c>
      <c r="AF586" s="38" t="str">
        <f>+IF(ISERROR(VLOOKUP($B586,AF$10:AF45,1,0)),IF(AND($N586&gt;=1000,$A586&gt;=AQ$8,$A586&lt;=AQ$9),$B586,""),"")</f>
        <v/>
      </c>
      <c r="AG586" s="38" t="str">
        <f>+IF(ISERROR(VLOOKUP($B586,AG$10:AG45,1,0)),IF(AND($N586&gt;=1000,$A586&gt;=AR$8,$A586&lt;=AR$9),$B586,""),"")</f>
        <v/>
      </c>
      <c r="AH586" s="38"/>
      <c r="AI586" s="70">
        <v>0</v>
      </c>
      <c r="AJ586" s="38">
        <f>IF(AND(AJ$7="○",$A586&gt;=AJ$8,$A586&lt;=AJ$9),IF(SUM(AJ$10:AJ585)-ROUNDDOWN($K586*AJ$5/100,0)&lt;-AJ$6,-AJ$6-SUM(AJ$10:AJ585),-ROUNDDOWN($K586*AJ$5/100,0)),0)</f>
        <v>0</v>
      </c>
      <c r="AK586" s="38">
        <f>IF(AND(AK$7="○",$A586&gt;=AK$8,$A586&lt;=AK$9),IF(SUM(AK$10:AK585)-ROUNDDOWN($L586*AK$5/100,0)&lt;-AK$6,-AK$6-SUM(AK$10:AK585),-ROUNDDOWN($L586*AK$5/100,0)),0)</f>
        <v>0</v>
      </c>
      <c r="AL586" s="38">
        <f>IF(AND(AL$7="○",$A586&gt;=AL$8,$A586&lt;=AL$9),IF(SUM(AL$10:AL585)-ROUNDDOWN($N586*AL$5/100,0)&lt;-AL$6,-AL$6-SUM(AL$10:AL585),-ROUNDDOWN($N586*AL$5/100,0)),0)</f>
        <v>0</v>
      </c>
      <c r="AM586" s="38">
        <f>IF(AND(AM$7="○",$A586&gt;=AM$8,$A586&lt;=AM$9),IF(SUM(AM$10:AM585)-ROUNDDOWN($L586*AM$5/100,0)&lt;-AM$6,-AM$6-SUM(AM$10:AM585),-ROUNDDOWN($L586*AM$5/100,0)),0)</f>
        <v>0</v>
      </c>
      <c r="AN586" s="38">
        <f>IF(AND(AN$7="○",$A586&gt;=AN$8,$A586&lt;=AN$9),IF(SUM(AN$10:AN585)-ROUNDDOWN($M586*AN$5/100,0)&lt;-AN$6,-AN$6-SUM(AN$10:AN585),-ROUNDDOWN($M586*AN$5/100,0)),0)</f>
        <v>0</v>
      </c>
      <c r="AO586" s="38">
        <f>IF(AND($A586&gt;=AO$8,$A586&lt;=AO$9),IF(SUM(AO$10:AO585)-ROUNDDOWN($K586*AO$5/100,0)&lt;-AO$6,-AO$6-SUM(AO$10:AO585),-ROUNDDOWN($K586*AO$5/100,0)),0)</f>
        <v>0</v>
      </c>
      <c r="AP586" s="38">
        <f>IF(AND($A586&gt;=AP$8,$A586&lt;=AP$9),IF(SUM(AP$10:AP585)-ROUNDDOWN($K586*AP$5/100,0)&lt;-AP$6,-AP$6-SUM(AP$10:AP585),-ROUNDDOWN($K586*AP$5/100,0)),0)</f>
        <v>0</v>
      </c>
      <c r="AQ586" s="38">
        <f>IF(AND($A586&gt;=AQ$8,$A586&lt;=AQ$9),IF(SUM(AQ$10:AQ585)-ROUNDDOWN($K586*AQ$5/100,0)&lt;-AQ$6,-AQ$6-SUM(AQ$10:AQ585),-ROUNDDOWN($K586*AQ$5/100,0)),0)</f>
        <v>0</v>
      </c>
      <c r="AR586" s="38">
        <f>IF(AND($A586&gt;=AR$8,$A586&lt;=AR$9),IF(SUM(AR$10:AR585)-ROUNDDOWN($K586*AR$5/100,0)&lt;-AR$6,-AR$6-SUM(AR$10:AR585),-ROUNDDOWN($K586*AR$5/100,0)),0)</f>
        <v>0</v>
      </c>
      <c r="AS586" s="38">
        <f>IF(SUMIFS(AS$10:AS585,$A$10:$A585,$A586)-ROUNDDOWN($K586*$S586/100,0)&lt;-$S586*1000,-$S586*1000-SUMIFS(AS$10:AS585,$A$10:$A585,$A586),-ROUNDDOWN($K586*$S586/100,0))</f>
        <v>0</v>
      </c>
      <c r="AT586" s="38">
        <f>IF(AND(X586="○",$A586&gt;=AT$8,$A586&lt;=AT$9,K586&gt;=3980),IF(SUM(AT$10:AT585)-ROUNDDOWN($K586*AT$5/100,0)&lt;-AT$6,-AT$6-SUM(AT$10:AT585),-ROUNDDOWN($K586*AT$5/100,0)),0)</f>
        <v>0</v>
      </c>
      <c r="AU586" s="38">
        <f>IF(O586="○",IF(SUM(AU$10:AU585)-ROUNDDOWN($K586*AU$5/100,0)&lt;-AU$6,-AU$6-SUM(AU$10:AU585),-ROUNDDOWN($K586*AU$5/100,0)),0)</f>
        <v>0</v>
      </c>
      <c r="AV586" s="38">
        <f>IF(P586="○",IF(SUM(AV$10:AV585)-ROUNDDOWN($K586*AV$5/100,0)&lt;-AV$6,-AV$6-SUM(AV$10:AV585),-ROUNDDOWN($K586*AV$5/100,0)),0)</f>
        <v>0</v>
      </c>
      <c r="AW586" s="38">
        <f>IF(Q586="○",IF(SUM(AW$10:AW585)-ROUNDDOWN($K586*AW$5/100,0)&lt;-AW$6,-AW$6-SUM(AW$10:AW585),-ROUNDDOWN($K586*AW$5/100,0)),0)</f>
        <v>0</v>
      </c>
      <c r="AX586" s="38">
        <f>IF(R586="○",IF(SUM(AX$10:AX585)-ROUNDDOWN($K586*AX$5/100,0)&lt;-AX$6,-AX$6-SUM(AX$10:AX585),-ROUNDDOWN($K586*AX$5/100,0)),0)</f>
        <v>0</v>
      </c>
      <c r="AY586" s="70">
        <v>0</v>
      </c>
      <c r="AZ586" s="65">
        <f t="shared" si="348"/>
        <v>0</v>
      </c>
      <c r="BA586" s="65">
        <f t="shared" si="349"/>
        <v>0</v>
      </c>
      <c r="BB586" s="70"/>
      <c r="BC586" s="65">
        <f t="shared" si="350"/>
        <v>0</v>
      </c>
      <c r="BD586" s="70">
        <v>0</v>
      </c>
      <c r="BE586" s="65">
        <f t="shared" si="351"/>
        <v>0</v>
      </c>
      <c r="BF586" s="70">
        <v>0</v>
      </c>
      <c r="BG586" s="65">
        <f t="shared" si="352"/>
        <v>0</v>
      </c>
      <c r="BH586" s="70">
        <v>0</v>
      </c>
      <c r="BI586" s="65">
        <f t="shared" si="353"/>
        <v>0</v>
      </c>
      <c r="BJ586" s="38">
        <f>IF(AND(BJ$7="○",$A586&gt;=BJ$8,$A586&lt;=BJ$9),IF(SUM(BJ$10:BJ585)-ROUNDDOWN($M586*BJ$5/100,0)&lt;-BJ$6,-BJ$6-SUM(BJ$10:BJ585),-ROUNDDOWN($M586*BJ$5/100,0)),0)</f>
        <v>0</v>
      </c>
      <c r="BK586" s="38">
        <f>IF(AND(BK$7="○",$A586&gt;=BK$8,$A586&lt;=BK$9),IF(SUM(BK$10:BK585)-ROUNDDOWN($L586*BK$5/100,0)&lt;-BK$6,-BK$6-SUM(BK$10:BK585),-ROUNDDOWN($L586*BK$5/100,0)),0)</f>
        <v>0</v>
      </c>
      <c r="BL586" s="38">
        <f>IF(AND(BL$7="○",$A586&gt;=BL$8,$A586&lt;=BL$9),IF(SUM(BL$10:BL585)-ROUNDDOWN($L586*BL$5/100,0)&lt;-BL$6,-BL$6-SUM(BL$10:BL585),-ROUNDDOWN($L586*BL$5/100,0)),0)</f>
        <v>0</v>
      </c>
      <c r="BM586" s="38">
        <f>IF(AND(BM$7="○",$A586&gt;=BM$8,$A586&lt;=BM$9),IF(SUM(BM$10:BM585)-ROUNDDOWN($M586*BM$5/100,0)&lt;-BM$6,-BM$6-SUM(BM$10:BM585),-ROUNDDOWN($M586*BM$5/100,0)),0)</f>
        <v>0</v>
      </c>
      <c r="BN586" s="38">
        <f>IF(AND(BN$7="○",$A586&gt;=BN$8,$A586&lt;=BN$9),IF(SUM(BN$10:BN585)-ROUNDDOWN($M586*BN$5/100,0)&lt;-BN$6,-BN$6-SUM(BN$10:BN585),-ROUNDDOWN($M586*BN$5/100,0)),0)</f>
        <v>0</v>
      </c>
      <c r="BO586" s="38">
        <f>IF(AND(BO$7="○",$A586&gt;=BO$8,$A586&lt;=BO$9),IF(SUM(BO$10:BO585)-ROUNDDOWN($M586*BO$5/100,0)&lt;-BO$6,-BO$6-SUM(BO$10:BO585),-ROUNDDOWN($M586*BO$5/100,0)),0)</f>
        <v>0</v>
      </c>
      <c r="BP586" s="38">
        <f>IF(AND(BP$7="○",$A586&gt;=BP$8,$A586&lt;=BP$9),IF(SUM(BP$10:BP585)-ROUNDDOWN($M586*BP$5/100,0)&lt;-BP$6,-BP$6-SUM(BP$10:BP585),-ROUNDDOWN($M586*BP$5/100,0)),0)</f>
        <v>0</v>
      </c>
      <c r="BQ586" s="38">
        <f>IF(AND(BQ$7="○",$A586&gt;=BQ$8,$A586&lt;=BQ$9),IF(SUM(BQ$10:BQ585)-ROUNDDOWN($L586*BQ$5/100,0)&lt;-BQ$6,-BQ$6-SUM(BQ$10:BQ585),-ROUNDDOWN($L586*BQ$5/100,0)),0)</f>
        <v>0</v>
      </c>
      <c r="BR586" s="38">
        <f>IF(AND(BR$7="○",$A586&gt;=BR$8,$A586&lt;=BR$9),IF(SUM(BR$10:BR585)-ROUNDDOWN($M586*BR$5/100,0)&lt;-BR$6,-BR$6-SUM(BR$10:BR585),-ROUNDDOWN($M586*BR$5/100,0)),0)</f>
        <v>0</v>
      </c>
      <c r="BS586" s="38">
        <f>IF(AND(BS$7="○",$A586&gt;=BS$8,$A586&lt;=BS$9),IF(SUM(BS$10:BS585)-ROUNDDOWN($M586*BS$5/100,0)&lt;-BS$6,-BS$6-SUM(BS$10:BS585),-ROUNDDOWN($M586*BS$5/100,0)),0)</f>
        <v>0</v>
      </c>
      <c r="BT586" s="38">
        <f>IF(AND(BT$7="○",$A586&gt;=BT$8,$A586&lt;=BT$9),IF(SUM(BT$10:BT585)-ROUNDDOWN($M586*BT$5/100,0)&lt;-BT$6,-BT$6-SUM(BT$10:BT585),-ROUNDDOWN($M586*BT$5/100,0)),0)</f>
        <v>0</v>
      </c>
      <c r="BU586" s="38">
        <f>IF(AND(BU$7="○",$A586&gt;=BU$8,$A586&lt;=BU$9),IF(SUM(BU$10:BU585)-ROUNDDOWN($M586*BU$5/100,0)&lt;-BU$6,-BU$6-SUM(BU$10:BU585),-ROUNDDOWN($M586*BU$5/100,0)),0)</f>
        <v>0</v>
      </c>
      <c r="BV586" s="38">
        <f>IF(AND(BV$7="○",$A586&gt;=BV$8,$A586&lt;=BV$9),IF(SUM(BV$10:BV585)-ROUNDDOWN($M586*BV$5/100,0)&lt;-BV$6,-BV$6-SUM(BV$10:BV585),-ROUNDDOWN($M586*BV$5/100,0)),0)</f>
        <v>0</v>
      </c>
      <c r="BW586" s="38">
        <f>IF(AND(BW$7="○",$A586&gt;=BW$8,$A586&lt;=BW$9),IF(SUM(BW$10:BW585)-ROUNDDOWN($M586*BW$5/100,0)&lt;-BW$6,-BW$6-SUM(BW$10:BW585),-ROUNDDOWN($M586*BW$5/100,0)),0)</f>
        <v>0</v>
      </c>
      <c r="BX586" s="38">
        <f>IF(AND(T586="○",$A586&gt;=BX$8,$A586&lt;=BX$9),IF(SUM(BX$10:BX585)-ROUNDDOWN($K586*BX$5/100,0)&lt;-BX$6,-BX$6-SUM(BX$10:BX585),-ROUNDDOWN($K586*BX$5/100,0)),0)</f>
        <v>0</v>
      </c>
      <c r="BY586" s="38">
        <f>IF(AND(U586="○",$A586&gt;=BY$8,$A586&lt;=BY$9),IF(SUM(BY$10:BY585)-ROUNDDOWN($K586*BY$5/100,0)&lt;-BY$6,-BY$6-SUM(BY$10:BY585),-ROUNDDOWN($K586*BY$5/100,0)),0)</f>
        <v>0</v>
      </c>
      <c r="BZ586" s="38">
        <f>IF(AND(V586="○",$A586&gt;=BZ$8,$A586&lt;=BZ$9),IF(SUM(BZ$10:BZ585)-ROUNDDOWN($K586*BZ$5/100,0)&lt;-BZ$6,-BZ$6-SUM(BZ$10:BZ585),-ROUNDDOWN($K586*BZ$5/100,0)),0)</f>
        <v>0</v>
      </c>
      <c r="CA586" s="38">
        <f>IF(AND(W586="○",$A586&gt;=CA$8,$A586&lt;=CA$9),IF(SUM(CA$10:CA585)-ROUNDDOWN($K586*CA$5/100,0)&lt;-CA$6,-CA$6-SUM(CA$10:CA585),-ROUNDDOWN($K586*CA$5/100,0)),0)</f>
        <v>0</v>
      </c>
      <c r="CB586" s="38"/>
      <c r="CC586" s="38"/>
      <c r="CD586" s="38"/>
      <c r="CE586" s="38"/>
      <c r="CF586" s="38"/>
      <c r="CG586" s="65">
        <f t="shared" si="354"/>
        <v>0</v>
      </c>
      <c r="CH586" s="71">
        <f t="shared" si="355"/>
        <v>0</v>
      </c>
      <c r="CI586" s="1">
        <f t="shared" si="19"/>
        <v>0</v>
      </c>
      <c r="CJ586" s="1"/>
      <c r="CK586" s="72"/>
      <c r="CL586" s="72"/>
      <c r="CM586" s="2"/>
      <c r="CN586" s="2"/>
      <c r="CO586" s="73">
        <f t="shared" si="20"/>
        <v>0</v>
      </c>
      <c r="CP586" s="5">
        <f t="shared" si="21"/>
        <v>0</v>
      </c>
      <c r="CQ586" s="1"/>
      <c r="CR586" s="1">
        <f t="shared" si="22"/>
        <v>0</v>
      </c>
      <c r="CS586" s="1"/>
      <c r="CT586" s="1" t="e">
        <f>INDEX([2]マスタ!$A:$A,MATCH(D586,[2]マスタ!$C:$C,0))</f>
        <v>#N/A</v>
      </c>
      <c r="CU586" s="1" t="str">
        <f t="shared" ca="1" si="23"/>
        <v>20260620_0-0</v>
      </c>
    </row>
    <row r="587" spans="1:99" x14ac:dyDescent="0.4">
      <c r="A587" s="61"/>
      <c r="B587" s="62"/>
      <c r="C587" s="62"/>
      <c r="D587" s="62"/>
      <c r="E587" s="76"/>
      <c r="F587" s="62"/>
      <c r="G587" s="62">
        <v>1</v>
      </c>
      <c r="H587" s="64">
        <f t="shared" si="4"/>
        <v>0</v>
      </c>
      <c r="I587" s="64"/>
      <c r="J587" s="64"/>
      <c r="K587" s="65">
        <f t="shared" si="375"/>
        <v>0</v>
      </c>
      <c r="L587" s="65">
        <f t="shared" si="6"/>
        <v>0</v>
      </c>
      <c r="M587" s="65">
        <f t="shared" si="7"/>
        <v>0</v>
      </c>
      <c r="N587" s="65">
        <f t="shared" si="8"/>
        <v>0</v>
      </c>
      <c r="O587" s="66" t="str">
        <f t="shared" si="9"/>
        <v>✕</v>
      </c>
      <c r="P587" s="67" t="str">
        <f t="shared" si="10"/>
        <v>○</v>
      </c>
      <c r="Q587" s="67" t="str">
        <f t="shared" si="376"/>
        <v>✕</v>
      </c>
      <c r="R587" s="67" t="str">
        <f t="shared" si="12"/>
        <v>✕</v>
      </c>
      <c r="S587" s="68">
        <v>0</v>
      </c>
      <c r="T587" s="69" t="s">
        <v>85</v>
      </c>
      <c r="U587" s="69" t="s">
        <v>85</v>
      </c>
      <c r="V587" s="69" t="s">
        <v>85</v>
      </c>
      <c r="W587" s="69" t="s">
        <v>85</v>
      </c>
      <c r="X587" s="69" t="s">
        <v>84</v>
      </c>
      <c r="Y587" s="69" t="s">
        <v>85</v>
      </c>
      <c r="Z587" s="69" t="s">
        <v>85</v>
      </c>
      <c r="AA587" s="69" t="s">
        <v>85</v>
      </c>
      <c r="AB587" s="69" t="s">
        <v>85</v>
      </c>
      <c r="AC587" s="69" t="s">
        <v>85</v>
      </c>
      <c r="AD587" s="38" t="str">
        <f>+IF(ISERROR(VLOOKUP($B587,AD$10:AD586,1,0)),IF(AND($N587&gt;=1000,$A587&gt;=AO$8,$A587&lt;=AO$9),$B587,""),"")</f>
        <v/>
      </c>
      <c r="AE587" s="38" t="str">
        <f>+IF(ISERROR(VLOOKUP($B587,AE$10:AE586,1,0)),IF(AND($N587&gt;=1000,$A587&gt;=AP$8,$A587&lt;=AP$9),$B587,""),"")</f>
        <v/>
      </c>
      <c r="AF587" s="38" t="str">
        <f>+IF(ISERROR(VLOOKUP($B587,AF$10:AF586,1,0)),IF(AND($N587&gt;=1000,$A587&gt;=AQ$8,$A587&lt;=AQ$9),$B587,""),"")</f>
        <v/>
      </c>
      <c r="AG587" s="38" t="str">
        <f>+IF(ISERROR(VLOOKUP($B587,AG$10:AG586,1,0)),IF(AND($N587&gt;=1000,$A587&gt;=AR$8,$A587&lt;=AR$9),$B587,""),"")</f>
        <v/>
      </c>
      <c r="AH587" s="38"/>
      <c r="AI587" s="70">
        <v>0</v>
      </c>
      <c r="AJ587" s="38">
        <f>IF(AND(AJ$7="○",$A587&gt;=AJ$8,$A587&lt;=AJ$9),IF(SUM(AJ$10:AJ586)-ROUNDDOWN($K587*AJ$5/100,0)&lt;-AJ$6,-AJ$6-SUM(AJ$10:AJ586),-ROUNDDOWN($K587*AJ$5/100,0)),0)</f>
        <v>0</v>
      </c>
      <c r="AK587" s="38">
        <f>IF(AND(AK$7="○",$A587&gt;=AK$8,$A587&lt;=AK$9),IF(SUM(AK$10:AK586)-ROUNDDOWN($L587*AK$5/100,0)&lt;-AK$6,-AK$6-SUM(AK$10:AK586),-ROUNDDOWN($L587*AK$5/100,0)),0)</f>
        <v>0</v>
      </c>
      <c r="AL587" s="38">
        <f>IF(AND(AL$7="○",$A587&gt;=AL$8,$A587&lt;=AL$9),IF(SUM(AL$10:AL586)-ROUNDDOWN($N587*AL$5/100,0)&lt;-AL$6,-AL$6-SUM(AL$10:AL586),-ROUNDDOWN($N587*AL$5/100,0)),0)</f>
        <v>0</v>
      </c>
      <c r="AM587" s="38">
        <f>IF(AND(AM$7="○",$A587&gt;=AM$8,$A587&lt;=AM$9),IF(SUM(AM$10:AM586)-ROUNDDOWN($L587*AM$5/100,0)&lt;-AM$6,-AM$6-SUM(AM$10:AM586),-ROUNDDOWN($L587*AM$5/100,0)),0)</f>
        <v>0</v>
      </c>
      <c r="AN587" s="38">
        <f>IF(AND(AN$7="○",$A587&gt;=AN$8,$A587&lt;=AN$9),IF(SUM(AN$10:AN586)-ROUNDDOWN($M587*AN$5/100,0)&lt;-AN$6,-AN$6-SUM(AN$10:AN586),-ROUNDDOWN($M587*AN$5/100,0)),0)</f>
        <v>0</v>
      </c>
      <c r="AO587" s="38">
        <f>IF(AND($A587&gt;=AO$8,$A587&lt;=AO$9),IF(SUM(AO$10:AO586)-ROUNDDOWN($K587*AO$5/100,0)&lt;-AO$6,-AO$6-SUM(AO$10:AO586),-ROUNDDOWN($K587*AO$5/100,0)),0)</f>
        <v>0</v>
      </c>
      <c r="AP587" s="38">
        <f>IF(AND($A587&gt;=AP$8,$A587&lt;=AP$9),IF(SUM(AP$10:AP586)-ROUNDDOWN($K587*AP$5/100,0)&lt;-AP$6,-AP$6-SUM(AP$10:AP586),-ROUNDDOWN($K587*AP$5/100,0)),0)</f>
        <v>0</v>
      </c>
      <c r="AQ587" s="38">
        <f>IF(AND($A587&gt;=AQ$8,$A587&lt;=AQ$9),IF(SUM(AQ$10:AQ586)-ROUNDDOWN($K587*AQ$5/100,0)&lt;-AQ$6,-AQ$6-SUM(AQ$10:AQ586),-ROUNDDOWN($K587*AQ$5/100,0)),0)</f>
        <v>0</v>
      </c>
      <c r="AR587" s="38">
        <f>IF(AND($A587&gt;=AR$8,$A587&lt;=AR$9),IF(SUM(AR$10:AR586)-ROUNDDOWN($K587*AR$5/100,0)&lt;-AR$6,-AR$6-SUM(AR$10:AR586),-ROUNDDOWN($K587*AR$5/100,0)),0)</f>
        <v>0</v>
      </c>
      <c r="AS587" s="38">
        <f>IF(SUMIFS(AS$10:AS586,$A$10:$A586,$A587)-ROUNDDOWN($K587*$S587/100,0)&lt;-$S587*1000,-$S587*1000-SUMIFS(AS$10:AS586,$A$10:$A586,$A587),-ROUNDDOWN($K587*$S587/100,0))</f>
        <v>0</v>
      </c>
      <c r="AT587" s="38">
        <f>IF(AND(X587="○",$A587&gt;=AT$8,$A587&lt;=AT$9,K587&gt;=3980),IF(SUM(AT$10:AT586)-ROUNDDOWN($K587*AT$5/100,0)&lt;-AT$6,-AT$6-SUM(AT$10:AT586),-ROUNDDOWN($K587*AT$5/100,0)),0)</f>
        <v>0</v>
      </c>
      <c r="AU587" s="38">
        <f>IF(O587="○",IF(SUM(AU$10:AU586)-ROUNDDOWN($K587*AU$5/100,0)&lt;-AU$6,-AU$6-SUM(AU$10:AU586),-ROUNDDOWN($K587*AU$5/100,0)),0)</f>
        <v>0</v>
      </c>
      <c r="AV587" s="38">
        <f>IF(P587="○",IF(SUM(AV$10:AV586)-ROUNDDOWN($K587*AV$5/100,0)&lt;-AV$6,-AV$6-SUM(AV$10:AV586),-ROUNDDOWN($K587*AV$5/100,0)),0)</f>
        <v>0</v>
      </c>
      <c r="AW587" s="38">
        <f>IF(Q587="○",IF(SUM(AW$10:AW586)-ROUNDDOWN($K587*AW$5/100,0)&lt;-AW$6,-AW$6-SUM(AW$10:AW586),-ROUNDDOWN($K587*AW$5/100,0)),0)</f>
        <v>0</v>
      </c>
      <c r="AX587" s="38">
        <f>IF(R587="○",IF(SUM(AX$10:AX586)-ROUNDDOWN($K587*AX$5/100,0)&lt;-AX$6,-AX$6-SUM(AX$10:AX586),-ROUNDDOWN($K587*AX$5/100,0)),0)</f>
        <v>0</v>
      </c>
      <c r="AY587" s="70">
        <v>0</v>
      </c>
      <c r="AZ587" s="65">
        <f t="shared" si="348"/>
        <v>0</v>
      </c>
      <c r="BA587" s="65">
        <f t="shared" si="349"/>
        <v>0</v>
      </c>
      <c r="BB587" s="70"/>
      <c r="BC587" s="65">
        <f t="shared" si="350"/>
        <v>0</v>
      </c>
      <c r="BD587" s="70">
        <v>0</v>
      </c>
      <c r="BE587" s="65">
        <f t="shared" si="351"/>
        <v>0</v>
      </c>
      <c r="BF587" s="70">
        <v>0</v>
      </c>
      <c r="BG587" s="65">
        <f t="shared" si="352"/>
        <v>0</v>
      </c>
      <c r="BH587" s="70">
        <v>0</v>
      </c>
      <c r="BI587" s="65">
        <f t="shared" si="353"/>
        <v>0</v>
      </c>
      <c r="BJ587" s="38">
        <f>IF(AND(BJ$7="○",$A587&gt;=BJ$8,$A587&lt;=BJ$9),IF(SUM(BJ$10:BJ586)-ROUNDDOWN($M587*BJ$5/100,0)&lt;-BJ$6,-BJ$6-SUM(BJ$10:BJ586),-ROUNDDOWN($M587*BJ$5/100,0)),0)</f>
        <v>0</v>
      </c>
      <c r="BK587" s="38">
        <f>IF(AND(BK$7="○",$A587&gt;=BK$8,$A587&lt;=BK$9),IF(SUM(BK$10:BK586)-ROUNDDOWN($L587*BK$5/100,0)&lt;-BK$6,-BK$6-SUM(BK$10:BK586),-ROUNDDOWN($L587*BK$5/100,0)),0)</f>
        <v>0</v>
      </c>
      <c r="BL587" s="38">
        <f>IF(AND(BL$7="○",$A587&gt;=BL$8,$A587&lt;=BL$9),IF(SUM(BL$10:BL586)-ROUNDDOWN($L587*BL$5/100,0)&lt;-BL$6,-BL$6-SUM(BL$10:BL586),-ROUNDDOWN($L587*BL$5/100,0)),0)</f>
        <v>0</v>
      </c>
      <c r="BM587" s="38">
        <f>IF(AND(BM$7="○",$A587&gt;=BM$8,$A587&lt;=BM$9),IF(SUM(BM$10:BM586)-ROUNDDOWN($M587*BM$5/100,0)&lt;-BM$6,-BM$6-SUM(BM$10:BM586),-ROUNDDOWN($M587*BM$5/100,0)),0)</f>
        <v>0</v>
      </c>
      <c r="BN587" s="38">
        <f>IF(AND(BN$7="○",$A587&gt;=BN$8,$A587&lt;=BN$9),IF(SUM(BN$10:BN586)-ROUNDDOWN($M587*BN$5/100,0)&lt;-BN$6,-BN$6-SUM(BN$10:BN586),-ROUNDDOWN($M587*BN$5/100,0)),0)</f>
        <v>0</v>
      </c>
      <c r="BO587" s="38">
        <f>IF(AND(BO$7="○",$A587&gt;=BO$8,$A587&lt;=BO$9),IF(SUM(BO$10:BO586)-ROUNDDOWN($M587*BO$5/100,0)&lt;-BO$6,-BO$6-SUM(BO$10:BO586),-ROUNDDOWN($M587*BO$5/100,0)),0)</f>
        <v>0</v>
      </c>
      <c r="BP587" s="38">
        <f>IF(AND(BP$7="○",$A587&gt;=BP$8,$A587&lt;=BP$9),IF(SUM(BP$10:BP586)-ROUNDDOWN($M587*BP$5/100,0)&lt;-BP$6,-BP$6-SUM(BP$10:BP586),-ROUNDDOWN($M587*BP$5/100,0)),0)</f>
        <v>0</v>
      </c>
      <c r="BQ587" s="38">
        <f>IF(AND(BQ$7="○",$A587&gt;=BQ$8,$A587&lt;=BQ$9),IF(SUM(BQ$10:BQ586)-ROUNDDOWN($L587*BQ$5/100,0)&lt;-BQ$6,-BQ$6-SUM(BQ$10:BQ586),-ROUNDDOWN($L587*BQ$5/100,0)),0)</f>
        <v>0</v>
      </c>
      <c r="BR587" s="38">
        <f>IF(AND(BR$7="○",$A587&gt;=BR$8,$A587&lt;=BR$9),IF(SUM(BR$10:BR586)-ROUNDDOWN($M587*BR$5/100,0)&lt;-BR$6,-BR$6-SUM(BR$10:BR586),-ROUNDDOWN($M587*BR$5/100,0)),0)</f>
        <v>0</v>
      </c>
      <c r="BS587" s="38">
        <f>IF(AND(BS$7="○",$A587&gt;=BS$8,$A587&lt;=BS$9),IF(SUM(BS$10:BS586)-ROUNDDOWN($M587*BS$5/100,0)&lt;-BS$6,-BS$6-SUM(BS$10:BS586),-ROUNDDOWN($M587*BS$5/100,0)),0)</f>
        <v>0</v>
      </c>
      <c r="BT587" s="38">
        <f>IF(AND(BT$7="○",$A587&gt;=BT$8,$A587&lt;=BT$9),IF(SUM(BT$10:BT586)-ROUNDDOWN($M587*BT$5/100,0)&lt;-BT$6,-BT$6-SUM(BT$10:BT586),-ROUNDDOWN($M587*BT$5/100,0)),0)</f>
        <v>0</v>
      </c>
      <c r="BU587" s="38">
        <f>IF(AND(BU$7="○",$A587&gt;=BU$8,$A587&lt;=BU$9),IF(SUM(BU$10:BU586)-ROUNDDOWN($M587*BU$5/100,0)&lt;-BU$6,-BU$6-SUM(BU$10:BU586),-ROUNDDOWN($M587*BU$5/100,0)),0)</f>
        <v>0</v>
      </c>
      <c r="BV587" s="38">
        <f>IF(AND(BV$7="○",$A587&gt;=BV$8,$A587&lt;=BV$9),IF(SUM(BV$10:BV586)-ROUNDDOWN($M587*BV$5/100,0)&lt;-BV$6,-BV$6-SUM(BV$10:BV586),-ROUNDDOWN($M587*BV$5/100,0)),0)</f>
        <v>0</v>
      </c>
      <c r="BW587" s="38">
        <f>IF(AND(BW$7="○",$A587&gt;=BW$8,$A587&lt;=BW$9),IF(SUM(BW$10:BW586)-ROUNDDOWN($M587*BW$5/100,0)&lt;-BW$6,-BW$6-SUM(BW$10:BW586),-ROUNDDOWN($M587*BW$5/100,0)),0)</f>
        <v>0</v>
      </c>
      <c r="BX587" s="38">
        <f>IF(AND(T587="○",$A587&gt;=BX$8,$A587&lt;=BX$9),IF(SUM(BX$10:BX586)-ROUNDDOWN($K587*BX$5/100,0)&lt;-BX$6,-BX$6-SUM(BX$10:BX586),-ROUNDDOWN($K587*BX$5/100,0)),0)</f>
        <v>0</v>
      </c>
      <c r="BY587" s="38">
        <f>IF(AND(U587="○",$A587&gt;=BY$8,$A587&lt;=BY$9),IF(SUM(BY$10:BY586)-ROUNDDOWN($K587*BY$5/100,0)&lt;-BY$6,-BY$6-SUM(BY$10:BY586),-ROUNDDOWN($K587*BY$5/100,0)),0)</f>
        <v>0</v>
      </c>
      <c r="BZ587" s="38">
        <f>IF(AND(V587="○",$A587&gt;=BZ$8,$A587&lt;=BZ$9),IF(SUM(BZ$10:BZ586)-ROUNDDOWN($K587*BZ$5/100,0)&lt;-BZ$6,-BZ$6-SUM(BZ$10:BZ586),-ROUNDDOWN($K587*BZ$5/100,0)),0)</f>
        <v>0</v>
      </c>
      <c r="CA587" s="38">
        <f>IF(AND(W587="○",$A587&gt;=CA$8,$A587&lt;=CA$9),IF(SUM(CA$10:CA586)-ROUNDDOWN($K587*CA$5/100,0)&lt;-CA$6,-CA$6-SUM(CA$10:CA586),-ROUNDDOWN($K587*CA$5/100,0)),0)</f>
        <v>0</v>
      </c>
      <c r="CB587" s="38"/>
      <c r="CC587" s="38"/>
      <c r="CD587" s="38"/>
      <c r="CE587" s="38"/>
      <c r="CF587" s="38"/>
      <c r="CG587" s="65">
        <f t="shared" si="354"/>
        <v>0</v>
      </c>
      <c r="CH587" s="71">
        <f t="shared" si="355"/>
        <v>0</v>
      </c>
      <c r="CI587" s="1">
        <f t="shared" si="19"/>
        <v>0</v>
      </c>
      <c r="CJ587" s="1"/>
      <c r="CK587" s="72"/>
      <c r="CL587" s="72"/>
      <c r="CM587" s="2"/>
      <c r="CN587" s="2"/>
      <c r="CO587" s="73">
        <f t="shared" si="20"/>
        <v>0</v>
      </c>
      <c r="CP587" s="5">
        <f t="shared" si="21"/>
        <v>0</v>
      </c>
      <c r="CQ587" s="1"/>
      <c r="CR587" s="1">
        <f t="shared" si="22"/>
        <v>0</v>
      </c>
      <c r="CS587" s="1"/>
      <c r="CT587" s="1" t="e">
        <f>INDEX([2]マスタ!$A:$A,MATCH(D587,[2]マスタ!$C:$C,0))</f>
        <v>#N/A</v>
      </c>
      <c r="CU587" s="1" t="str">
        <f t="shared" ca="1" si="23"/>
        <v>20260620_0-0</v>
      </c>
    </row>
    <row r="588" spans="1:99" x14ac:dyDescent="0.4">
      <c r="A588" s="61"/>
      <c r="B588" s="62"/>
      <c r="C588" s="62"/>
      <c r="D588" s="62"/>
      <c r="E588" s="63"/>
      <c r="F588" s="62"/>
      <c r="G588" s="62">
        <v>1</v>
      </c>
      <c r="H588" s="64">
        <f t="shared" si="4"/>
        <v>0</v>
      </c>
      <c r="I588" s="64"/>
      <c r="J588" s="64"/>
      <c r="K588" s="65">
        <f t="shared" si="375"/>
        <v>0</v>
      </c>
      <c r="L588" s="65">
        <f t="shared" si="6"/>
        <v>0</v>
      </c>
      <c r="M588" s="65">
        <f t="shared" si="7"/>
        <v>0</v>
      </c>
      <c r="N588" s="65">
        <f t="shared" si="8"/>
        <v>0</v>
      </c>
      <c r="O588" s="66" t="str">
        <f t="shared" si="9"/>
        <v>✕</v>
      </c>
      <c r="P588" s="67" t="str">
        <f t="shared" si="10"/>
        <v>○</v>
      </c>
      <c r="Q588" s="67" t="str">
        <f t="shared" si="376"/>
        <v>✕</v>
      </c>
      <c r="R588" s="67" t="str">
        <f t="shared" si="12"/>
        <v>✕</v>
      </c>
      <c r="S588" s="68">
        <v>0</v>
      </c>
      <c r="T588" s="69" t="s">
        <v>85</v>
      </c>
      <c r="U588" s="69" t="s">
        <v>85</v>
      </c>
      <c r="V588" s="69" t="s">
        <v>85</v>
      </c>
      <c r="W588" s="69" t="s">
        <v>85</v>
      </c>
      <c r="X588" s="69" t="s">
        <v>84</v>
      </c>
      <c r="Y588" s="69" t="s">
        <v>85</v>
      </c>
      <c r="Z588" s="69" t="s">
        <v>85</v>
      </c>
      <c r="AA588" s="69" t="s">
        <v>85</v>
      </c>
      <c r="AB588" s="69" t="s">
        <v>85</v>
      </c>
      <c r="AC588" s="69" t="s">
        <v>85</v>
      </c>
      <c r="AD588" s="38" t="str">
        <f>+IF(ISERROR(VLOOKUP($B588,AD$10:AD587,1,0)),IF(AND($N588&gt;=1000,$A588&gt;=AO$8,$A588&lt;=AO$9),$B588,""),"")</f>
        <v/>
      </c>
      <c r="AE588" s="38" t="str">
        <f>+IF(ISERROR(VLOOKUP($B588,AE$10:AE587,1,0)),IF(AND($N588&gt;=1000,$A588&gt;=AP$8,$A588&lt;=AP$9),$B588,""),"")</f>
        <v/>
      </c>
      <c r="AF588" s="38" t="str">
        <f>+IF(ISERROR(VLOOKUP($B588,AF$10:AF587,1,0)),IF(AND($N588&gt;=1000,$A588&gt;=AQ$8,$A588&lt;=AQ$9),$B588,""),"")</f>
        <v/>
      </c>
      <c r="AG588" s="38" t="str">
        <f>+IF(ISERROR(VLOOKUP($B588,AG$10:AG587,1,0)),IF(AND($N588&gt;=1000,$A588&gt;=AR$8,$A588&lt;=AR$9),$B588,""),"")</f>
        <v/>
      </c>
      <c r="AH588" s="38"/>
      <c r="AI588" s="70">
        <v>0</v>
      </c>
      <c r="AJ588" s="38">
        <f>IF(AND(AJ$7="○",$A588&gt;=AJ$8,$A588&lt;=AJ$9),IF(SUM(AJ$10:AJ587)-ROUNDDOWN($K588*AJ$5/100,0)&lt;-AJ$6,-AJ$6-SUM(AJ$10:AJ587),-ROUNDDOWN($K588*AJ$5/100,0)),0)</f>
        <v>0</v>
      </c>
      <c r="AK588" s="38">
        <f>IF(AND(AK$7="○",$A588&gt;=AK$8,$A588&lt;=AK$9),IF(SUM(AK$10:AK587)-ROUNDDOWN($L588*AK$5/100,0)&lt;-AK$6,-AK$6-SUM(AK$10:AK587),-ROUNDDOWN($L588*AK$5/100,0)),0)</f>
        <v>0</v>
      </c>
      <c r="AL588" s="38">
        <f>IF(AND(AL$7="○",$A588&gt;=AL$8,$A588&lt;=AL$9),IF(SUM(AL$10:AL587)-ROUNDDOWN($N588*AL$5/100,0)&lt;-AL$6,-AL$6-SUM(AL$10:AL587),-ROUNDDOWN($N588*AL$5/100,0)),0)</f>
        <v>0</v>
      </c>
      <c r="AM588" s="38">
        <f>IF(AND(AM$7="○",$A588&gt;=AM$8,$A588&lt;=AM$9),IF(SUM(AM$10:AM587)-ROUNDDOWN($L588*AM$5/100,0)&lt;-AM$6,-AM$6-SUM(AM$10:AM587),-ROUNDDOWN($L588*AM$5/100,0)),0)</f>
        <v>0</v>
      </c>
      <c r="AN588" s="38">
        <f>IF(AND(AN$7="○",$A588&gt;=AN$8,$A588&lt;=AN$9),IF(SUM(AN$10:AN587)-ROUNDDOWN($M588*AN$5/100,0)&lt;-AN$6,-AN$6-SUM(AN$10:AN587),-ROUNDDOWN($M588*AN$5/100,0)),0)</f>
        <v>0</v>
      </c>
      <c r="AO588" s="38">
        <f>IF(AND($A588&gt;=AO$8,$A588&lt;=AO$9),IF(SUM(AO$10:AO587)-ROUNDDOWN($K588*AO$5/100,0)&lt;-AO$6,-AO$6-SUM(AO$10:AO587),-ROUNDDOWN($K588*AO$5/100,0)),0)</f>
        <v>0</v>
      </c>
      <c r="AP588" s="38">
        <f>IF(AND($A588&gt;=AP$8,$A588&lt;=AP$9),IF(SUM(AP$10:AP587)-ROUNDDOWN($K588*AP$5/100,0)&lt;-AP$6,-AP$6-SUM(AP$10:AP587),-ROUNDDOWN($K588*AP$5/100,0)),0)</f>
        <v>0</v>
      </c>
      <c r="AQ588" s="38">
        <f>IF(AND($A588&gt;=AQ$8,$A588&lt;=AQ$9),IF(SUM(AQ$10:AQ587)-ROUNDDOWN($K588*AQ$5/100,0)&lt;-AQ$6,-AQ$6-SUM(AQ$10:AQ587),-ROUNDDOWN($K588*AQ$5/100,0)),0)</f>
        <v>0</v>
      </c>
      <c r="AR588" s="38">
        <f>IF(AND($A588&gt;=AR$8,$A588&lt;=AR$9),IF(SUM(AR$10:AR587)-ROUNDDOWN($K588*AR$5/100,0)&lt;-AR$6,-AR$6-SUM(AR$10:AR587),-ROUNDDOWN($K588*AR$5/100,0)),0)</f>
        <v>0</v>
      </c>
      <c r="AS588" s="38">
        <f>IF(SUMIFS(AS$10:AS587,$A$10:$A587,$A588)-ROUNDDOWN($K588*$S588/100,0)&lt;-$S588*1000,-$S588*1000-SUMIFS(AS$10:AS587,$A$10:$A587,$A588),-ROUNDDOWN($K588*$S588/100,0))</f>
        <v>0</v>
      </c>
      <c r="AT588" s="38">
        <f>IF(AND(X588="○",$A588&gt;=AT$8,$A588&lt;=AT$9,K588&gt;=3980),IF(SUM(AT$10:AT587)-ROUNDDOWN($K588*AT$5/100,0)&lt;-AT$6,-AT$6-SUM(AT$10:AT587),-ROUNDDOWN($K588*AT$5/100,0)),0)</f>
        <v>0</v>
      </c>
      <c r="AU588" s="38">
        <f>IF(O588="○",IF(SUM(AU$10:AU587)-ROUNDDOWN($K588*AU$5/100,0)&lt;-AU$6,-AU$6-SUM(AU$10:AU587),-ROUNDDOWN($K588*AU$5/100,0)),0)</f>
        <v>0</v>
      </c>
      <c r="AV588" s="38">
        <f>IF(P588="○",IF(SUM(AV$10:AV587)-ROUNDDOWN($K588*AV$5/100,0)&lt;-AV$6,-AV$6-SUM(AV$10:AV587),-ROUNDDOWN($K588*AV$5/100,0)),0)</f>
        <v>0</v>
      </c>
      <c r="AW588" s="38">
        <f>IF(Q588="○",IF(SUM(AW$10:AW587)-ROUNDDOWN($K588*AW$5/100,0)&lt;-AW$6,-AW$6-SUM(AW$10:AW587),-ROUNDDOWN($K588*AW$5/100,0)),0)</f>
        <v>0</v>
      </c>
      <c r="AX588" s="38">
        <f>IF(R588="○",IF(SUM(AX$10:AX587)-ROUNDDOWN($K588*AX$5/100,0)&lt;-AX$6,-AX$6-SUM(AX$10:AX587),-ROUNDDOWN($K588*AX$5/100,0)),0)</f>
        <v>0</v>
      </c>
      <c r="AY588" s="70">
        <v>0</v>
      </c>
      <c r="AZ588" s="65">
        <f t="shared" si="348"/>
        <v>0</v>
      </c>
      <c r="BA588" s="65">
        <f t="shared" si="349"/>
        <v>0</v>
      </c>
      <c r="BB588" s="70"/>
      <c r="BC588" s="65">
        <f t="shared" si="350"/>
        <v>0</v>
      </c>
      <c r="BD588" s="70">
        <v>0</v>
      </c>
      <c r="BE588" s="65">
        <f t="shared" si="351"/>
        <v>0</v>
      </c>
      <c r="BF588" s="70">
        <v>0</v>
      </c>
      <c r="BG588" s="65">
        <f t="shared" si="352"/>
        <v>0</v>
      </c>
      <c r="BH588" s="70">
        <v>0</v>
      </c>
      <c r="BI588" s="65">
        <f t="shared" si="353"/>
        <v>0</v>
      </c>
      <c r="BJ588" s="38">
        <f>IF(AND(BJ$7="○",$A588&gt;=BJ$8,$A588&lt;=BJ$9),IF(SUM(BJ$10:BJ587)-ROUNDDOWN($M588*BJ$5/100,0)&lt;-BJ$6,-BJ$6-SUM(BJ$10:BJ587),-ROUNDDOWN($M588*BJ$5/100,0)),0)</f>
        <v>0</v>
      </c>
      <c r="BK588" s="38">
        <f>IF(AND(BK$7="○",$A588&gt;=BK$8,$A588&lt;=BK$9),IF(SUM(BK$10:BK587)-ROUNDDOWN($L588*BK$5/100,0)&lt;-BK$6,-BK$6-SUM(BK$10:BK587),-ROUNDDOWN($L588*BK$5/100,0)),0)</f>
        <v>0</v>
      </c>
      <c r="BL588" s="38">
        <f>IF(AND(BL$7="○",$A588&gt;=BL$8,$A588&lt;=BL$9),IF(SUM(BL$10:BL587)-ROUNDDOWN($L588*BL$5/100,0)&lt;-BL$6,-BL$6-SUM(BL$10:BL587),-ROUNDDOWN($L588*BL$5/100,0)),0)</f>
        <v>0</v>
      </c>
      <c r="BM588" s="38">
        <f>IF(AND(BM$7="○",$A588&gt;=BM$8,$A588&lt;=BM$9),IF(SUM(BM$10:BM587)-ROUNDDOWN($M588*BM$5/100,0)&lt;-BM$6,-BM$6-SUM(BM$10:BM587),-ROUNDDOWN($M588*BM$5/100,0)),0)</f>
        <v>0</v>
      </c>
      <c r="BN588" s="38">
        <f>IF(AND(BN$7="○",$A588&gt;=BN$8,$A588&lt;=BN$9),IF(SUM(BN$10:BN587)-ROUNDDOWN($M588*BN$5/100,0)&lt;-BN$6,-BN$6-SUM(BN$10:BN587),-ROUNDDOWN($M588*BN$5/100,0)),0)</f>
        <v>0</v>
      </c>
      <c r="BO588" s="38">
        <f>IF(AND(BO$7="○",$A588&gt;=BO$8,$A588&lt;=BO$9),IF(SUM(BO$10:BO587)-ROUNDDOWN($M588*BO$5/100,0)&lt;-BO$6,-BO$6-SUM(BO$10:BO587),-ROUNDDOWN($M588*BO$5/100,0)),0)</f>
        <v>0</v>
      </c>
      <c r="BP588" s="38">
        <f>IF(AND(BP$7="○",$A588&gt;=BP$8,$A588&lt;=BP$9),IF(SUM(BP$10:BP587)-ROUNDDOWN($M588*BP$5/100,0)&lt;-BP$6,-BP$6-SUM(BP$10:BP587),-ROUNDDOWN($M588*BP$5/100,0)),0)</f>
        <v>0</v>
      </c>
      <c r="BQ588" s="38">
        <f>IF(AND(BQ$7="○",$A588&gt;=BQ$8,$A588&lt;=BQ$9),IF(SUM(BQ$10:BQ587)-ROUNDDOWN($L588*BQ$5/100,0)&lt;-BQ$6,-BQ$6-SUM(BQ$10:BQ587),-ROUNDDOWN($L588*BQ$5/100,0)),0)</f>
        <v>0</v>
      </c>
      <c r="BR588" s="38">
        <f>IF(AND(BR$7="○",$A588&gt;=BR$8,$A588&lt;=BR$9),IF(SUM(BR$10:BR587)-ROUNDDOWN($M588*BR$5/100,0)&lt;-BR$6,-BR$6-SUM(BR$10:BR587),-ROUNDDOWN($M588*BR$5/100,0)),0)</f>
        <v>0</v>
      </c>
      <c r="BS588" s="38">
        <f>IF(AND(BS$7="○",$A588&gt;=BS$8,$A588&lt;=BS$9),IF(SUM(BS$10:BS587)-ROUNDDOWN($M588*BS$5/100,0)&lt;-BS$6,-BS$6-SUM(BS$10:BS587),-ROUNDDOWN($M588*BS$5/100,0)),0)</f>
        <v>0</v>
      </c>
      <c r="BT588" s="38">
        <f>IF(AND(BT$7="○",$A588&gt;=BT$8,$A588&lt;=BT$9),IF(SUM(BT$10:BT587)-ROUNDDOWN($M588*BT$5/100,0)&lt;-BT$6,-BT$6-SUM(BT$10:BT587),-ROUNDDOWN($M588*BT$5/100,0)),0)</f>
        <v>0</v>
      </c>
      <c r="BU588" s="38">
        <f>IF(AND(BU$7="○",$A588&gt;=BU$8,$A588&lt;=BU$9),IF(SUM(BU$10:BU587)-ROUNDDOWN($M588*BU$5/100,0)&lt;-BU$6,-BU$6-SUM(BU$10:BU587),-ROUNDDOWN($M588*BU$5/100,0)),0)</f>
        <v>0</v>
      </c>
      <c r="BV588" s="38">
        <f>IF(AND(BV$7="○",$A588&gt;=BV$8,$A588&lt;=BV$9),IF(SUM(BV$10:BV587)-ROUNDDOWN($M588*BV$5/100,0)&lt;-BV$6,-BV$6-SUM(BV$10:BV587),-ROUNDDOWN($M588*BV$5/100,0)),0)</f>
        <v>0</v>
      </c>
      <c r="BW588" s="38">
        <f>IF(AND(BW$7="○",$A588&gt;=BW$8,$A588&lt;=BW$9),IF(SUM(BW$10:BW587)-ROUNDDOWN($M588*BW$5/100,0)&lt;-BW$6,-BW$6-SUM(BW$10:BW587),-ROUNDDOWN($M588*BW$5/100,0)),0)</f>
        <v>0</v>
      </c>
      <c r="BX588" s="38">
        <f>IF(AND(T588="○",$A588&gt;=BX$8,$A588&lt;=BX$9),IF(SUM(BX$10:BX587)-ROUNDDOWN($K588*BX$5/100,0)&lt;-BX$6,-BX$6-SUM(BX$10:BX587),-ROUNDDOWN($K588*BX$5/100,0)),0)</f>
        <v>0</v>
      </c>
      <c r="BY588" s="38">
        <f>IF(AND(U588="○",$A588&gt;=BY$8,$A588&lt;=BY$9),IF(SUM(BY$10:BY587)-ROUNDDOWN($K588*BY$5/100,0)&lt;-BY$6,-BY$6-SUM(BY$10:BY587),-ROUNDDOWN($K588*BY$5/100,0)),0)</f>
        <v>0</v>
      </c>
      <c r="BZ588" s="38">
        <f>IF(AND(V588="○",$A588&gt;=BZ$8,$A588&lt;=BZ$9),IF(SUM(BZ$10:BZ587)-ROUNDDOWN($K588*BZ$5/100,0)&lt;-BZ$6,-BZ$6-SUM(BZ$10:BZ587),-ROUNDDOWN($K588*BZ$5/100,0)),0)</f>
        <v>0</v>
      </c>
      <c r="CA588" s="38">
        <f>IF(AND(W588="○",$A588&gt;=CA$8,$A588&lt;=CA$9),IF(SUM(CA$10:CA587)-ROUNDDOWN($K588*CA$5/100,0)&lt;-CA$6,-CA$6-SUM(CA$10:CA587),-ROUNDDOWN($K588*CA$5/100,0)),0)</f>
        <v>0</v>
      </c>
      <c r="CB588" s="38"/>
      <c r="CC588" s="38"/>
      <c r="CD588" s="38"/>
      <c r="CE588" s="38"/>
      <c r="CF588" s="38"/>
      <c r="CG588" s="65">
        <f t="shared" si="354"/>
        <v>0</v>
      </c>
      <c r="CH588" s="71">
        <f t="shared" si="355"/>
        <v>0</v>
      </c>
      <c r="CI588" s="1">
        <f t="shared" si="19"/>
        <v>0</v>
      </c>
      <c r="CJ588" s="1"/>
      <c r="CK588" s="72"/>
      <c r="CL588" s="72"/>
      <c r="CM588" s="2"/>
      <c r="CN588" s="2"/>
      <c r="CO588" s="73">
        <f t="shared" si="20"/>
        <v>0</v>
      </c>
      <c r="CP588" s="5">
        <f t="shared" si="21"/>
        <v>0</v>
      </c>
      <c r="CQ588" s="1"/>
      <c r="CR588" s="1">
        <f t="shared" si="22"/>
        <v>0</v>
      </c>
      <c r="CS588" s="1"/>
      <c r="CT588" s="1" t="e">
        <f>INDEX([2]マスタ!$A:$A,MATCH(D588,[2]マスタ!$C:$C,0))</f>
        <v>#N/A</v>
      </c>
      <c r="CU588" s="1" t="str">
        <f t="shared" ca="1" si="23"/>
        <v>20260620_0-0</v>
      </c>
    </row>
    <row r="589" spans="1:99" x14ac:dyDescent="0.4">
      <c r="A589" s="61"/>
      <c r="B589" s="62"/>
      <c r="C589" s="62"/>
      <c r="D589" s="62"/>
      <c r="E589" s="74"/>
      <c r="F589" s="62"/>
      <c r="G589" s="62">
        <v>1</v>
      </c>
      <c r="H589" s="64">
        <f t="shared" si="4"/>
        <v>0</v>
      </c>
      <c r="I589" s="64"/>
      <c r="J589" s="64"/>
      <c r="K589" s="65">
        <f t="shared" si="375"/>
        <v>0</v>
      </c>
      <c r="L589" s="65">
        <f t="shared" si="6"/>
        <v>0</v>
      </c>
      <c r="M589" s="65">
        <f t="shared" si="7"/>
        <v>0</v>
      </c>
      <c r="N589" s="65">
        <f t="shared" si="8"/>
        <v>0</v>
      </c>
      <c r="O589" s="66" t="str">
        <f t="shared" si="9"/>
        <v>✕</v>
      </c>
      <c r="P589" s="67" t="str">
        <f t="shared" si="10"/>
        <v>○</v>
      </c>
      <c r="Q589" s="67" t="str">
        <f t="shared" si="376"/>
        <v>✕</v>
      </c>
      <c r="R589" s="67" t="str">
        <f t="shared" si="12"/>
        <v>✕</v>
      </c>
      <c r="S589" s="68">
        <v>0</v>
      </c>
      <c r="T589" s="69" t="s">
        <v>85</v>
      </c>
      <c r="U589" s="69" t="s">
        <v>85</v>
      </c>
      <c r="V589" s="69" t="s">
        <v>85</v>
      </c>
      <c r="W589" s="69" t="s">
        <v>85</v>
      </c>
      <c r="X589" s="69" t="s">
        <v>84</v>
      </c>
      <c r="Y589" s="69" t="s">
        <v>85</v>
      </c>
      <c r="Z589" s="69" t="s">
        <v>85</v>
      </c>
      <c r="AA589" s="69" t="s">
        <v>85</v>
      </c>
      <c r="AB589" s="69" t="s">
        <v>85</v>
      </c>
      <c r="AC589" s="69" t="s">
        <v>85</v>
      </c>
      <c r="AD589" s="38" t="str">
        <f>+IF(ISERROR(VLOOKUP($B589,AD$10:AD588,1,0)),IF(AND($N589&gt;=1000,$A589&gt;=AO$8,$A589&lt;=AO$9),$B589,""),"")</f>
        <v/>
      </c>
      <c r="AE589" s="38" t="str">
        <f>+IF(ISERROR(VLOOKUP($B589,AE$10:AE588,1,0)),IF(AND($N589&gt;=1000,$A589&gt;=AP$8,$A589&lt;=AP$9),$B589,""),"")</f>
        <v/>
      </c>
      <c r="AF589" s="38" t="str">
        <f>+IF(ISERROR(VLOOKUP($B589,AF$10:AF588,1,0)),IF(AND($N589&gt;=1000,$A589&gt;=AQ$8,$A589&lt;=AQ$9),$B589,""),"")</f>
        <v/>
      </c>
      <c r="AG589" s="38" t="str">
        <f>+IF(ISERROR(VLOOKUP($B589,AG$10:AG588,1,0)),IF(AND($N589&gt;=1000,$A589&gt;=AR$8,$A589&lt;=AR$9),$B589,""),"")</f>
        <v/>
      </c>
      <c r="AH589" s="38"/>
      <c r="AI589" s="70">
        <v>0</v>
      </c>
      <c r="AJ589" s="38">
        <f>IF(AND(AJ$7="○",$A589&gt;=AJ$8,$A589&lt;=AJ$9),IF(SUM(AJ$10:AJ588)-ROUNDDOWN($K589*AJ$5/100,0)&lt;-AJ$6,-AJ$6-SUM(AJ$10:AJ588),-ROUNDDOWN($K589*AJ$5/100,0)),0)</f>
        <v>0</v>
      </c>
      <c r="AK589" s="38">
        <f>IF(AND(AK$7="○",$A589&gt;=AK$8,$A589&lt;=AK$9),IF(SUM(AK$10:AK588)-ROUNDDOWN($L589*AK$5/100,0)&lt;-AK$6,-AK$6-SUM(AK$10:AK588),-ROUNDDOWN($L589*AK$5/100,0)),0)</f>
        <v>0</v>
      </c>
      <c r="AL589" s="38">
        <f>IF(AND(AL$7="○",$A589&gt;=AL$8,$A589&lt;=AL$9),IF(SUM(AL$10:AL588)-ROUNDDOWN($N589*AL$5/100,0)&lt;-AL$6,-AL$6-SUM(AL$10:AL588),-ROUNDDOWN($N589*AL$5/100,0)),0)</f>
        <v>0</v>
      </c>
      <c r="AM589" s="38">
        <f>IF(AND(AM$7="○",$A589&gt;=AM$8,$A589&lt;=AM$9),IF(SUM(AM$10:AM588)-ROUNDDOWN($L589*AM$5/100,0)&lt;-AM$6,-AM$6-SUM(AM$10:AM588),-ROUNDDOWN($L589*AM$5/100,0)),0)</f>
        <v>0</v>
      </c>
      <c r="AN589" s="38">
        <f>IF(AND(AN$7="○",$A589&gt;=AN$8,$A589&lt;=AN$9),IF(SUM(AN$10:AN588)-ROUNDDOWN($M589*AN$5/100,0)&lt;-AN$6,-AN$6-SUM(AN$10:AN588),-ROUNDDOWN($M589*AN$5/100,0)),0)</f>
        <v>0</v>
      </c>
      <c r="AO589" s="38">
        <f>IF(AND($A589&gt;=AO$8,$A589&lt;=AO$9),IF(SUM(AO$10:AO588)-ROUNDDOWN($K589*AO$5/100,0)&lt;-AO$6,-AO$6-SUM(AO$10:AO588),-ROUNDDOWN($K589*AO$5/100,0)),0)</f>
        <v>0</v>
      </c>
      <c r="AP589" s="38">
        <f>IF(AND($A589&gt;=AP$8,$A589&lt;=AP$9),IF(SUM(AP$10:AP588)-ROUNDDOWN($K589*AP$5/100,0)&lt;-AP$6,-AP$6-SUM(AP$10:AP588),-ROUNDDOWN($K589*AP$5/100,0)),0)</f>
        <v>0</v>
      </c>
      <c r="AQ589" s="38">
        <f>IF(AND($A589&gt;=AQ$8,$A589&lt;=AQ$9),IF(SUM(AQ$10:AQ588)-ROUNDDOWN($K589*AQ$5/100,0)&lt;-AQ$6,-AQ$6-SUM(AQ$10:AQ588),-ROUNDDOWN($K589*AQ$5/100,0)),0)</f>
        <v>0</v>
      </c>
      <c r="AR589" s="38">
        <f>IF(AND($A589&gt;=AR$8,$A589&lt;=AR$9),IF(SUM(AR$10:AR588)-ROUNDDOWN($K589*AR$5/100,0)&lt;-AR$6,-AR$6-SUM(AR$10:AR588),-ROUNDDOWN($K589*AR$5/100,0)),0)</f>
        <v>0</v>
      </c>
      <c r="AS589" s="38">
        <f>IF(SUMIFS(AS$10:AS588,$A$10:$A588,$A589)-ROUNDDOWN($K589*$S589/100,0)&lt;-$S589*1000,-$S589*1000-SUMIFS(AS$10:AS588,$A$10:$A588,$A589),-ROUNDDOWN($K589*$S589/100,0))</f>
        <v>0</v>
      </c>
      <c r="AT589" s="38">
        <f>IF(AND(X589="○",$A589&gt;=AT$8,$A589&lt;=AT$9,K589&gt;=3980),IF(SUM(AT$10:AT588)-ROUNDDOWN($K589*AT$5/100,0)&lt;-AT$6,-AT$6-SUM(AT$10:AT588),-ROUNDDOWN($K589*AT$5/100,0)),0)</f>
        <v>0</v>
      </c>
      <c r="AU589" s="38">
        <f>IF(O589="○",IF(SUM(AU$10:AU588)-ROUNDDOWN($K589*AU$5/100,0)&lt;-AU$6,-AU$6-SUM(AU$10:AU588),-ROUNDDOWN($K589*AU$5/100,0)),0)</f>
        <v>0</v>
      </c>
      <c r="AV589" s="38">
        <f>IF(P589="○",IF(SUM(AV$10:AV588)-ROUNDDOWN($K589*AV$5/100,0)&lt;-AV$6,-AV$6-SUM(AV$10:AV588),-ROUNDDOWN($K589*AV$5/100,0)),0)</f>
        <v>0</v>
      </c>
      <c r="AW589" s="38">
        <f>IF(Q589="○",IF(SUM(AW$10:AW588)-ROUNDDOWN($K589*AW$5/100,0)&lt;-AW$6,-AW$6-SUM(AW$10:AW588),-ROUNDDOWN($K589*AW$5/100,0)),0)</f>
        <v>0</v>
      </c>
      <c r="AX589" s="38">
        <f>IF(R589="○",IF(SUM(AX$10:AX588)-ROUNDDOWN($K589*AX$5/100,0)&lt;-AX$6,-AX$6-SUM(AX$10:AX588),-ROUNDDOWN($K589*AX$5/100,0)),0)</f>
        <v>0</v>
      </c>
      <c r="AY589" s="70">
        <v>0</v>
      </c>
      <c r="AZ589" s="65">
        <f t="shared" si="348"/>
        <v>0</v>
      </c>
      <c r="BA589" s="65">
        <f t="shared" si="349"/>
        <v>0</v>
      </c>
      <c r="BB589" s="70"/>
      <c r="BC589" s="65">
        <f t="shared" si="350"/>
        <v>0</v>
      </c>
      <c r="BD589" s="70">
        <v>0</v>
      </c>
      <c r="BE589" s="65">
        <f t="shared" si="351"/>
        <v>0</v>
      </c>
      <c r="BF589" s="70">
        <v>0</v>
      </c>
      <c r="BG589" s="65">
        <f t="shared" si="352"/>
        <v>0</v>
      </c>
      <c r="BH589" s="70">
        <v>0</v>
      </c>
      <c r="BI589" s="65">
        <f t="shared" si="353"/>
        <v>0</v>
      </c>
      <c r="BJ589" s="38">
        <f>IF(AND(BJ$7="○",$A589&gt;=BJ$8,$A589&lt;=BJ$9),IF(SUM(BJ$10:BJ588)-ROUNDDOWN($M589*BJ$5/100,0)&lt;-BJ$6,-BJ$6-SUM(BJ$10:BJ588),-ROUNDDOWN($M589*BJ$5/100,0)),0)</f>
        <v>0</v>
      </c>
      <c r="BK589" s="38">
        <f>IF(AND(BK$7="○",$A589&gt;=BK$8,$A589&lt;=BK$9),IF(SUM(BK$10:BK588)-ROUNDDOWN($L589*BK$5/100,0)&lt;-BK$6,-BK$6-SUM(BK$10:BK588),-ROUNDDOWN($L589*BK$5/100,0)),0)</f>
        <v>0</v>
      </c>
      <c r="BL589" s="38">
        <f>IF(AND(BL$7="○",$A589&gt;=BL$8,$A589&lt;=BL$9),IF(SUM(BL$10:BL588)-ROUNDDOWN($L589*BL$5/100,0)&lt;-BL$6,-BL$6-SUM(BL$10:BL588),-ROUNDDOWN($L589*BL$5/100,0)),0)</f>
        <v>0</v>
      </c>
      <c r="BM589" s="38">
        <f>IF(AND(BM$7="○",$A589&gt;=BM$8,$A589&lt;=BM$9),IF(SUM(BM$10:BM588)-ROUNDDOWN($M589*BM$5/100,0)&lt;-BM$6,-BM$6-SUM(BM$10:BM588),-ROUNDDOWN($M589*BM$5/100,0)),0)</f>
        <v>0</v>
      </c>
      <c r="BN589" s="38">
        <f>IF(AND(BN$7="○",$A589&gt;=BN$8,$A589&lt;=BN$9),IF(SUM(BN$10:BN588)-ROUNDDOWN($M589*BN$5/100,0)&lt;-BN$6,-BN$6-SUM(BN$10:BN588),-ROUNDDOWN($M589*BN$5/100,0)),0)</f>
        <v>0</v>
      </c>
      <c r="BO589" s="38">
        <f>IF(AND(BO$7="○",$A589&gt;=BO$8,$A589&lt;=BO$9),IF(SUM(BO$10:BO588)-ROUNDDOWN($M589*BO$5/100,0)&lt;-BO$6,-BO$6-SUM(BO$10:BO588),-ROUNDDOWN($M589*BO$5/100,0)),0)</f>
        <v>0</v>
      </c>
      <c r="BP589" s="38">
        <f>IF(AND(BP$7="○",$A589&gt;=BP$8,$A589&lt;=BP$9),IF(SUM(BP$10:BP588)-ROUNDDOWN($M589*BP$5/100,0)&lt;-BP$6,-BP$6-SUM(BP$10:BP588),-ROUNDDOWN($M589*BP$5/100,0)),0)</f>
        <v>0</v>
      </c>
      <c r="BQ589" s="38">
        <f>IF(AND(BQ$7="○",$A589&gt;=BQ$8,$A589&lt;=BQ$9),IF(SUM(BQ$10:BQ588)-ROUNDDOWN($L589*BQ$5/100,0)&lt;-BQ$6,-BQ$6-SUM(BQ$10:BQ588),-ROUNDDOWN($L589*BQ$5/100,0)),0)</f>
        <v>0</v>
      </c>
      <c r="BR589" s="38">
        <f>IF(AND(BR$7="○",$A589&gt;=BR$8,$A589&lt;=BR$9),IF(SUM(BR$10:BR588)-ROUNDDOWN($M589*BR$5/100,0)&lt;-BR$6,-BR$6-SUM(BR$10:BR588),-ROUNDDOWN($M589*BR$5/100,0)),0)</f>
        <v>0</v>
      </c>
      <c r="BS589" s="38">
        <f>IF(AND(BS$7="○",$A589&gt;=BS$8,$A589&lt;=BS$9),IF(SUM(BS$10:BS588)-ROUNDDOWN($M589*BS$5/100,0)&lt;-BS$6,-BS$6-SUM(BS$10:BS588),-ROUNDDOWN($M589*BS$5/100,0)),0)</f>
        <v>0</v>
      </c>
      <c r="BT589" s="38">
        <f>IF(AND(BT$7="○",$A589&gt;=BT$8,$A589&lt;=BT$9),IF(SUM(BT$10:BT588)-ROUNDDOWN($M589*BT$5/100,0)&lt;-BT$6,-BT$6-SUM(BT$10:BT588),-ROUNDDOWN($M589*BT$5/100,0)),0)</f>
        <v>0</v>
      </c>
      <c r="BU589" s="38">
        <f>IF(AND(BU$7="○",$A589&gt;=BU$8,$A589&lt;=BU$9),IF(SUM(BU$10:BU588)-ROUNDDOWN($M589*BU$5/100,0)&lt;-BU$6,-BU$6-SUM(BU$10:BU588),-ROUNDDOWN($M589*BU$5/100,0)),0)</f>
        <v>0</v>
      </c>
      <c r="BV589" s="38">
        <f>IF(AND(BV$7="○",$A589&gt;=BV$8,$A589&lt;=BV$9),IF(SUM(BV$10:BV588)-ROUNDDOWN($M589*BV$5/100,0)&lt;-BV$6,-BV$6-SUM(BV$10:BV588),-ROUNDDOWN($M589*BV$5/100,0)),0)</f>
        <v>0</v>
      </c>
      <c r="BW589" s="38">
        <f>IF(AND(BW$7="○",$A589&gt;=BW$8,$A589&lt;=BW$9),IF(SUM(BW$10:BW588)-ROUNDDOWN($M589*BW$5/100,0)&lt;-BW$6,-BW$6-SUM(BW$10:BW588),-ROUNDDOWN($M589*BW$5/100,0)),0)</f>
        <v>0</v>
      </c>
      <c r="BX589" s="38">
        <f>IF(AND(T589="○",$A589&gt;=BX$8,$A589&lt;=BX$9),IF(SUM(BX$10:BX588)-ROUNDDOWN($K589*BX$5/100,0)&lt;-BX$6,-BX$6-SUM(BX$10:BX588),-ROUNDDOWN($K589*BX$5/100,0)),0)</f>
        <v>0</v>
      </c>
      <c r="BY589" s="38">
        <f>IF(AND(U589="○",$A589&gt;=BY$8,$A589&lt;=BY$9),IF(SUM(BY$10:BY588)-ROUNDDOWN($K589*BY$5/100,0)&lt;-BY$6,-BY$6-SUM(BY$10:BY588),-ROUNDDOWN($K589*BY$5/100,0)),0)</f>
        <v>0</v>
      </c>
      <c r="BZ589" s="38">
        <f>IF(AND(V589="○",$A589&gt;=BZ$8,$A589&lt;=BZ$9),IF(SUM(BZ$10:BZ588)-ROUNDDOWN($K589*BZ$5/100,0)&lt;-BZ$6,-BZ$6-SUM(BZ$10:BZ588),-ROUNDDOWN($K589*BZ$5/100,0)),0)</f>
        <v>0</v>
      </c>
      <c r="CA589" s="38">
        <f>IF(AND(W589="○",$A589&gt;=CA$8,$A589&lt;=CA$9),IF(SUM(CA$10:CA588)-ROUNDDOWN($K589*CA$5/100,0)&lt;-CA$6,-CA$6-SUM(CA$10:CA588),-ROUNDDOWN($K589*CA$5/100,0)),0)</f>
        <v>0</v>
      </c>
      <c r="CB589" s="38"/>
      <c r="CC589" s="38"/>
      <c r="CD589" s="38"/>
      <c r="CE589" s="38"/>
      <c r="CF589" s="38"/>
      <c r="CG589" s="65">
        <f t="shared" si="354"/>
        <v>0</v>
      </c>
      <c r="CH589" s="71">
        <f t="shared" si="355"/>
        <v>0</v>
      </c>
      <c r="CI589" s="1">
        <f t="shared" si="19"/>
        <v>0</v>
      </c>
      <c r="CJ589" s="1"/>
      <c r="CK589" s="72"/>
      <c r="CL589" s="72"/>
      <c r="CM589" s="2"/>
      <c r="CN589" s="2"/>
      <c r="CO589" s="73">
        <f t="shared" si="20"/>
        <v>0</v>
      </c>
      <c r="CP589" s="5">
        <f t="shared" si="21"/>
        <v>0</v>
      </c>
      <c r="CQ589" s="1"/>
      <c r="CR589" s="1">
        <f t="shared" si="22"/>
        <v>0</v>
      </c>
      <c r="CS589" s="1"/>
      <c r="CT589" s="1" t="e">
        <f>INDEX([2]マスタ!$A:$A,MATCH(D589,[2]マスタ!$C:$C,0))</f>
        <v>#N/A</v>
      </c>
      <c r="CU589" s="1" t="str">
        <f t="shared" ca="1" si="23"/>
        <v>20260620_0-0</v>
      </c>
    </row>
    <row r="590" spans="1:99" x14ac:dyDescent="0.4">
      <c r="A590" s="61"/>
      <c r="B590" s="62"/>
      <c r="C590" s="62"/>
      <c r="D590" s="62"/>
      <c r="E590" s="74"/>
      <c r="F590" s="62"/>
      <c r="G590" s="62">
        <v>1</v>
      </c>
      <c r="H590" s="64">
        <f t="shared" si="4"/>
        <v>0</v>
      </c>
      <c r="I590" s="64"/>
      <c r="J590" s="64"/>
      <c r="K590" s="65">
        <f t="shared" si="375"/>
        <v>0</v>
      </c>
      <c r="L590" s="65">
        <f t="shared" si="6"/>
        <v>0</v>
      </c>
      <c r="M590" s="65">
        <f t="shared" si="7"/>
        <v>0</v>
      </c>
      <c r="N590" s="65">
        <f t="shared" si="8"/>
        <v>0</v>
      </c>
      <c r="O590" s="66" t="str">
        <f t="shared" si="9"/>
        <v>✕</v>
      </c>
      <c r="P590" s="67" t="str">
        <f t="shared" si="10"/>
        <v>○</v>
      </c>
      <c r="Q590" s="67" t="str">
        <f t="shared" si="376"/>
        <v>✕</v>
      </c>
      <c r="R590" s="67" t="str">
        <f t="shared" si="12"/>
        <v>✕</v>
      </c>
      <c r="S590" s="68">
        <v>0</v>
      </c>
      <c r="T590" s="69" t="s">
        <v>85</v>
      </c>
      <c r="U590" s="69" t="s">
        <v>85</v>
      </c>
      <c r="V590" s="69" t="s">
        <v>85</v>
      </c>
      <c r="W590" s="69" t="s">
        <v>85</v>
      </c>
      <c r="X590" s="69" t="s">
        <v>84</v>
      </c>
      <c r="Y590" s="69" t="s">
        <v>85</v>
      </c>
      <c r="Z590" s="69" t="s">
        <v>85</v>
      </c>
      <c r="AA590" s="69" t="s">
        <v>85</v>
      </c>
      <c r="AB590" s="69" t="s">
        <v>85</v>
      </c>
      <c r="AC590" s="69" t="s">
        <v>85</v>
      </c>
      <c r="AD590" s="38" t="str">
        <f>+IF(ISERROR(VLOOKUP($B590,AD$10:AD589,1,0)),IF(AND($N590&gt;=1000,$A590&gt;=AO$8,$A590&lt;=AO$9),$B590,""),"")</f>
        <v/>
      </c>
      <c r="AE590" s="38" t="str">
        <f>+IF(ISERROR(VLOOKUP($B590,AE$10:AE589,1,0)),IF(AND($N590&gt;=1000,$A590&gt;=AP$8,$A590&lt;=AP$9),$B590,""),"")</f>
        <v/>
      </c>
      <c r="AF590" s="38" t="str">
        <f>+IF(ISERROR(VLOOKUP($B590,AF$10:AF589,1,0)),IF(AND($N590&gt;=1000,$A590&gt;=AQ$8,$A590&lt;=AQ$9),$B590,""),"")</f>
        <v/>
      </c>
      <c r="AG590" s="38" t="str">
        <f>+IF(ISERROR(VLOOKUP($B590,AG$10:AG589,1,0)),IF(AND($N590&gt;=1000,$A590&gt;=AR$8,$A590&lt;=AR$9),$B590,""),"")</f>
        <v/>
      </c>
      <c r="AH590" s="38"/>
      <c r="AI590" s="70">
        <v>0</v>
      </c>
      <c r="AJ590" s="38">
        <f>IF(AND(AJ$7="○",$A590&gt;=AJ$8,$A590&lt;=AJ$9),IF(SUM(AJ$10:AJ589)-ROUNDDOWN($K590*AJ$5/100,0)&lt;-AJ$6,-AJ$6-SUM(AJ$10:AJ589),-ROUNDDOWN($K590*AJ$5/100,0)),0)</f>
        <v>0</v>
      </c>
      <c r="AK590" s="38">
        <f>IF(AND(AK$7="○",$A590&gt;=AK$8,$A590&lt;=AK$9),IF(SUM(AK$10:AK589)-ROUNDDOWN($L590*AK$5/100,0)&lt;-AK$6,-AK$6-SUM(AK$10:AK589),-ROUNDDOWN($L590*AK$5/100,0)),0)</f>
        <v>0</v>
      </c>
      <c r="AL590" s="38">
        <f>IF(AND(AL$7="○",$A590&gt;=AL$8,$A590&lt;=AL$9),IF(SUM(AL$10:AL589)-ROUNDDOWN($N590*AL$5/100,0)&lt;-AL$6,-AL$6-SUM(AL$10:AL589),-ROUNDDOWN($N590*AL$5/100,0)),0)</f>
        <v>0</v>
      </c>
      <c r="AM590" s="38">
        <f>IF(AND(AM$7="○",$A590&gt;=AM$8,$A590&lt;=AM$9),IF(SUM(AM$10:AM589)-ROUNDDOWN($L590*AM$5/100,0)&lt;-AM$6,-AM$6-SUM(AM$10:AM589),-ROUNDDOWN($L590*AM$5/100,0)),0)</f>
        <v>0</v>
      </c>
      <c r="AN590" s="38">
        <f>IF(AND(AN$7="○",$A590&gt;=AN$8,$A590&lt;=AN$9),IF(SUM(AN$10:AN589)-ROUNDDOWN($M590*AN$5/100,0)&lt;-AN$6,-AN$6-SUM(AN$10:AN589),-ROUNDDOWN($M590*AN$5/100,0)),0)</f>
        <v>0</v>
      </c>
      <c r="AO590" s="38">
        <f>IF(AND($A590&gt;=AO$8,$A590&lt;=AO$9),IF(SUM(AO$10:AO589)-ROUNDDOWN($K590*AO$5/100,0)&lt;-AO$6,-AO$6-SUM(AO$10:AO589),-ROUNDDOWN($K590*AO$5/100,0)),0)</f>
        <v>0</v>
      </c>
      <c r="AP590" s="38">
        <f>IF(AND($A590&gt;=AP$8,$A590&lt;=AP$9),IF(SUM(AP$10:AP589)-ROUNDDOWN($K590*AP$5/100,0)&lt;-AP$6,-AP$6-SUM(AP$10:AP589),-ROUNDDOWN($K590*AP$5/100,0)),0)</f>
        <v>0</v>
      </c>
      <c r="AQ590" s="38">
        <f>IF(AND($A590&gt;=AQ$8,$A590&lt;=AQ$9),IF(SUM(AQ$10:AQ589)-ROUNDDOWN($K590*AQ$5/100,0)&lt;-AQ$6,-AQ$6-SUM(AQ$10:AQ589),-ROUNDDOWN($K590*AQ$5/100,0)),0)</f>
        <v>0</v>
      </c>
      <c r="AR590" s="38">
        <f>IF(AND($A590&gt;=AR$8,$A590&lt;=AR$9),IF(SUM(AR$10:AR589)-ROUNDDOWN($K590*AR$5/100,0)&lt;-AR$6,-AR$6-SUM(AR$10:AR589),-ROUNDDOWN($K590*AR$5/100,0)),0)</f>
        <v>0</v>
      </c>
      <c r="AS590" s="38">
        <f>IF(SUMIFS(AS$10:AS589,$A$10:$A589,$A590)-ROUNDDOWN($K590*$S590/100,0)&lt;-$S590*1000,-$S590*1000-SUMIFS(AS$10:AS589,$A$10:$A589,$A590),-ROUNDDOWN($K590*$S590/100,0))</f>
        <v>0</v>
      </c>
      <c r="AT590" s="38">
        <f>IF(AND(X590="○",$A590&gt;=AT$8,$A590&lt;=AT$9,K590&gt;=3980),IF(SUM(AT$10:AT589)-ROUNDDOWN($K590*AT$5/100,0)&lt;-AT$6,-AT$6-SUM(AT$10:AT589),-ROUNDDOWN($K590*AT$5/100,0)),0)</f>
        <v>0</v>
      </c>
      <c r="AU590" s="38">
        <f>IF(O590="○",IF(SUM(AU$10:AU589)-ROUNDDOWN($K590*AU$5/100,0)&lt;-AU$6,-AU$6-SUM(AU$10:AU589),-ROUNDDOWN($K590*AU$5/100,0)),0)</f>
        <v>0</v>
      </c>
      <c r="AV590" s="38">
        <f>IF(P590="○",IF(SUM(AV$10:AV589)-ROUNDDOWN($K590*AV$5/100,0)&lt;-AV$6,-AV$6-SUM(AV$10:AV589),-ROUNDDOWN($K590*AV$5/100,0)),0)</f>
        <v>0</v>
      </c>
      <c r="AW590" s="38">
        <f>IF(Q590="○",IF(SUM(AW$10:AW589)-ROUNDDOWN($K590*AW$5/100,0)&lt;-AW$6,-AW$6-SUM(AW$10:AW589),-ROUNDDOWN($K590*AW$5/100,0)),0)</f>
        <v>0</v>
      </c>
      <c r="AX590" s="38">
        <f>IF(R590="○",IF(SUM(AX$10:AX589)-ROUNDDOWN($K590*AX$5/100,0)&lt;-AX$6,-AX$6-SUM(AX$10:AX589),-ROUNDDOWN($K590*AX$5/100,0)),0)</f>
        <v>0</v>
      </c>
      <c r="AY590" s="70">
        <v>0</v>
      </c>
      <c r="AZ590" s="65">
        <f t="shared" si="348"/>
        <v>0</v>
      </c>
      <c r="BA590" s="65">
        <f t="shared" si="349"/>
        <v>0</v>
      </c>
      <c r="BB590" s="70"/>
      <c r="BC590" s="65">
        <f t="shared" si="350"/>
        <v>0</v>
      </c>
      <c r="BD590" s="70">
        <v>0</v>
      </c>
      <c r="BE590" s="65">
        <f t="shared" si="351"/>
        <v>0</v>
      </c>
      <c r="BF590" s="70">
        <v>0</v>
      </c>
      <c r="BG590" s="65">
        <f t="shared" si="352"/>
        <v>0</v>
      </c>
      <c r="BH590" s="70">
        <v>0</v>
      </c>
      <c r="BI590" s="65">
        <f t="shared" si="353"/>
        <v>0</v>
      </c>
      <c r="BJ590" s="38">
        <f>IF(AND(BJ$7="○",$A590&gt;=BJ$8,$A590&lt;=BJ$9),IF(SUM(BJ$10:BJ589)-ROUNDDOWN($M590*BJ$5/100,0)&lt;-BJ$6,-BJ$6-SUM(BJ$10:BJ589),-ROUNDDOWN($M590*BJ$5/100,0)),0)</f>
        <v>0</v>
      </c>
      <c r="BK590" s="38">
        <f>IF(AND(BK$7="○",$A590&gt;=BK$8,$A590&lt;=BK$9),IF(SUM(BK$10:BK589)-ROUNDDOWN($L590*BK$5/100,0)&lt;-BK$6,-BK$6-SUM(BK$10:BK589),-ROUNDDOWN($L590*BK$5/100,0)),0)</f>
        <v>0</v>
      </c>
      <c r="BL590" s="38">
        <f>IF(AND(BL$7="○",$A590&gt;=BL$8,$A590&lt;=BL$9),IF(SUM(BL$10:BL589)-ROUNDDOWN($L590*BL$5/100,0)&lt;-BL$6,-BL$6-SUM(BL$10:BL589),-ROUNDDOWN($L590*BL$5/100,0)),0)</f>
        <v>0</v>
      </c>
      <c r="BM590" s="38">
        <f>IF(AND(BM$7="○",$A590&gt;=BM$8,$A590&lt;=BM$9),IF(SUM(BM$10:BM589)-ROUNDDOWN($M590*BM$5/100,0)&lt;-BM$6,-BM$6-SUM(BM$10:BM589),-ROUNDDOWN($M590*BM$5/100,0)),0)</f>
        <v>0</v>
      </c>
      <c r="BN590" s="38">
        <f>IF(AND(BN$7="○",$A590&gt;=BN$8,$A590&lt;=BN$9),IF(SUM(BN$10:BN589)-ROUNDDOWN($M590*BN$5/100,0)&lt;-BN$6,-BN$6-SUM(BN$10:BN589),-ROUNDDOWN($M590*BN$5/100,0)),0)</f>
        <v>0</v>
      </c>
      <c r="BO590" s="38">
        <f>IF(AND(BO$7="○",$A590&gt;=BO$8,$A590&lt;=BO$9),IF(SUM(BO$10:BO589)-ROUNDDOWN($M590*BO$5/100,0)&lt;-BO$6,-BO$6-SUM(BO$10:BO589),-ROUNDDOWN($M590*BO$5/100,0)),0)</f>
        <v>0</v>
      </c>
      <c r="BP590" s="38">
        <f>IF(AND(BP$7="○",$A590&gt;=BP$8,$A590&lt;=BP$9),IF(SUM(BP$10:BP589)-ROUNDDOWN($M590*BP$5/100,0)&lt;-BP$6,-BP$6-SUM(BP$10:BP589),-ROUNDDOWN($M590*BP$5/100,0)),0)</f>
        <v>0</v>
      </c>
      <c r="BQ590" s="38">
        <f>IF(AND(BQ$7="○",$A590&gt;=BQ$8,$A590&lt;=BQ$9),IF(SUM(BQ$10:BQ589)-ROUNDDOWN($L590*BQ$5/100,0)&lt;-BQ$6,-BQ$6-SUM(BQ$10:BQ589),-ROUNDDOWN($L590*BQ$5/100,0)),0)</f>
        <v>0</v>
      </c>
      <c r="BR590" s="38">
        <f>IF(AND(BR$7="○",$A590&gt;=BR$8,$A590&lt;=BR$9),IF(SUM(BR$10:BR589)-ROUNDDOWN($M590*BR$5/100,0)&lt;-BR$6,-BR$6-SUM(BR$10:BR589),-ROUNDDOWN($M590*BR$5/100,0)),0)</f>
        <v>0</v>
      </c>
      <c r="BS590" s="38">
        <f>IF(AND(BS$7="○",$A590&gt;=BS$8,$A590&lt;=BS$9),IF(SUM(BS$10:BS589)-ROUNDDOWN($M590*BS$5/100,0)&lt;-BS$6,-BS$6-SUM(BS$10:BS589),-ROUNDDOWN($M590*BS$5/100,0)),0)</f>
        <v>0</v>
      </c>
      <c r="BT590" s="38">
        <f>IF(AND(BT$7="○",$A590&gt;=BT$8,$A590&lt;=BT$9),IF(SUM(BT$10:BT589)-ROUNDDOWN($M590*BT$5/100,0)&lt;-BT$6,-BT$6-SUM(BT$10:BT589),-ROUNDDOWN($M590*BT$5/100,0)),0)</f>
        <v>0</v>
      </c>
      <c r="BU590" s="38">
        <f>IF(AND(BU$7="○",$A590&gt;=BU$8,$A590&lt;=BU$9),IF(SUM(BU$10:BU589)-ROUNDDOWN($M590*BU$5/100,0)&lt;-BU$6,-BU$6-SUM(BU$10:BU589),-ROUNDDOWN($M590*BU$5/100,0)),0)</f>
        <v>0</v>
      </c>
      <c r="BV590" s="38">
        <f>IF(AND(BV$7="○",$A590&gt;=BV$8,$A590&lt;=BV$9),IF(SUM(BV$10:BV589)-ROUNDDOWN($M590*BV$5/100,0)&lt;-BV$6,-BV$6-SUM(BV$10:BV589),-ROUNDDOWN($M590*BV$5/100,0)),0)</f>
        <v>0</v>
      </c>
      <c r="BW590" s="38">
        <f>IF(AND(BW$7="○",$A590&gt;=BW$8,$A590&lt;=BW$9),IF(SUM(BW$10:BW589)-ROUNDDOWN($M590*BW$5/100,0)&lt;-BW$6,-BW$6-SUM(BW$10:BW589),-ROUNDDOWN($M590*BW$5/100,0)),0)</f>
        <v>0</v>
      </c>
      <c r="BX590" s="38">
        <f>IF(AND(T590="○",$A590&gt;=BX$8,$A590&lt;=BX$9),IF(SUM(BX$10:BX589)-ROUNDDOWN($K590*BX$5/100,0)&lt;-BX$6,-BX$6-SUM(BX$10:BX589),-ROUNDDOWN($K590*BX$5/100,0)),0)</f>
        <v>0</v>
      </c>
      <c r="BY590" s="38">
        <f>IF(AND(U590="○",$A590&gt;=BY$8,$A590&lt;=BY$9),IF(SUM(BY$10:BY589)-ROUNDDOWN($K590*BY$5/100,0)&lt;-BY$6,-BY$6-SUM(BY$10:BY589),-ROUNDDOWN($K590*BY$5/100,0)),0)</f>
        <v>0</v>
      </c>
      <c r="BZ590" s="38">
        <f>IF(AND(V590="○",$A590&gt;=BZ$8,$A590&lt;=BZ$9),IF(SUM(BZ$10:BZ589)-ROUNDDOWN($K590*BZ$5/100,0)&lt;-BZ$6,-BZ$6-SUM(BZ$10:BZ589),-ROUNDDOWN($K590*BZ$5/100,0)),0)</f>
        <v>0</v>
      </c>
      <c r="CA590" s="38">
        <f>IF(AND(W590="○",$A590&gt;=CA$8,$A590&lt;=CA$9),IF(SUM(CA$10:CA589)-ROUNDDOWN($K590*CA$5/100,0)&lt;-CA$6,-CA$6-SUM(CA$10:CA589),-ROUNDDOWN($K590*CA$5/100,0)),0)</f>
        <v>0</v>
      </c>
      <c r="CB590" s="38"/>
      <c r="CC590" s="38"/>
      <c r="CD590" s="38"/>
      <c r="CE590" s="38"/>
      <c r="CF590" s="38"/>
      <c r="CG590" s="65">
        <f t="shared" si="354"/>
        <v>0</v>
      </c>
      <c r="CH590" s="71">
        <f t="shared" si="355"/>
        <v>0</v>
      </c>
      <c r="CI590" s="1">
        <f t="shared" si="19"/>
        <v>0</v>
      </c>
      <c r="CJ590" s="1"/>
      <c r="CK590" s="72"/>
      <c r="CL590" s="72"/>
      <c r="CM590" s="2"/>
      <c r="CN590" s="2"/>
      <c r="CO590" s="73">
        <f t="shared" si="20"/>
        <v>0</v>
      </c>
      <c r="CP590" s="5">
        <f t="shared" si="21"/>
        <v>0</v>
      </c>
      <c r="CQ590" s="1"/>
      <c r="CR590" s="1">
        <f t="shared" si="22"/>
        <v>0</v>
      </c>
      <c r="CS590" s="1"/>
      <c r="CT590" s="1" t="e">
        <f>INDEX([2]マスタ!$A:$A,MATCH(D590,[2]マスタ!$C:$C,0))</f>
        <v>#N/A</v>
      </c>
      <c r="CU590" s="1" t="str">
        <f t="shared" ca="1" si="23"/>
        <v>20260620_0-0</v>
      </c>
    </row>
    <row r="591" spans="1:99" x14ac:dyDescent="0.4">
      <c r="A591" s="61"/>
      <c r="B591" s="62"/>
      <c r="C591" s="62"/>
      <c r="D591" s="62"/>
      <c r="E591" s="74"/>
      <c r="F591" s="62"/>
      <c r="G591" s="62">
        <v>1</v>
      </c>
      <c r="H591" s="64">
        <f t="shared" si="4"/>
        <v>0</v>
      </c>
      <c r="I591" s="64"/>
      <c r="J591" s="64"/>
      <c r="K591" s="65">
        <f t="shared" si="375"/>
        <v>0</v>
      </c>
      <c r="L591" s="65">
        <f t="shared" si="6"/>
        <v>0</v>
      </c>
      <c r="M591" s="65">
        <f t="shared" si="7"/>
        <v>0</v>
      </c>
      <c r="N591" s="65">
        <f t="shared" si="8"/>
        <v>0</v>
      </c>
      <c r="O591" s="66" t="str">
        <f t="shared" si="9"/>
        <v>✕</v>
      </c>
      <c r="P591" s="67" t="str">
        <f t="shared" si="10"/>
        <v>○</v>
      </c>
      <c r="Q591" s="67" t="str">
        <f t="shared" si="376"/>
        <v>✕</v>
      </c>
      <c r="R591" s="67" t="str">
        <f t="shared" si="12"/>
        <v>✕</v>
      </c>
      <c r="S591" s="68">
        <v>0</v>
      </c>
      <c r="T591" s="69" t="s">
        <v>85</v>
      </c>
      <c r="U591" s="69" t="s">
        <v>85</v>
      </c>
      <c r="V591" s="69" t="s">
        <v>85</v>
      </c>
      <c r="W591" s="69" t="s">
        <v>85</v>
      </c>
      <c r="X591" s="69" t="s">
        <v>84</v>
      </c>
      <c r="Y591" s="69" t="s">
        <v>85</v>
      </c>
      <c r="Z591" s="69" t="s">
        <v>85</v>
      </c>
      <c r="AA591" s="69" t="s">
        <v>85</v>
      </c>
      <c r="AB591" s="69" t="s">
        <v>85</v>
      </c>
      <c r="AC591" s="69" t="s">
        <v>85</v>
      </c>
      <c r="AD591" s="38" t="str">
        <f>+IF(ISERROR(VLOOKUP($B591,AD$10:AD590,1,0)),IF(AND($N591&gt;=1000,$A591&gt;=AO$8,$A591&lt;=AO$9),$B591,""),"")</f>
        <v/>
      </c>
      <c r="AE591" s="38" t="str">
        <f>+IF(ISERROR(VLOOKUP($B591,AE$10:AE590,1,0)),IF(AND($N591&gt;=1000,$A591&gt;=AP$8,$A591&lt;=AP$9),$B591,""),"")</f>
        <v/>
      </c>
      <c r="AF591" s="38" t="str">
        <f>+IF(ISERROR(VLOOKUP($B591,AF$10:AF590,1,0)),IF(AND($N591&gt;=1000,$A591&gt;=AQ$8,$A591&lt;=AQ$9),$B591,""),"")</f>
        <v/>
      </c>
      <c r="AG591" s="38" t="str">
        <f>+IF(ISERROR(VLOOKUP($B591,AG$10:AG590,1,0)),IF(AND($N591&gt;=1000,$A591&gt;=AR$8,$A591&lt;=AR$9),$B591,""),"")</f>
        <v/>
      </c>
      <c r="AH591" s="38"/>
      <c r="AI591" s="70">
        <v>0</v>
      </c>
      <c r="AJ591" s="38">
        <f>IF(AND(AJ$7="○",$A591&gt;=AJ$8,$A591&lt;=AJ$9),IF(SUM(AJ$10:AJ590)-ROUNDDOWN($K591*AJ$5/100,0)&lt;-AJ$6,-AJ$6-SUM(AJ$10:AJ590),-ROUNDDOWN($K591*AJ$5/100,0)),0)</f>
        <v>0</v>
      </c>
      <c r="AK591" s="38">
        <f>IF(AND(AK$7="○",$A591&gt;=AK$8,$A591&lt;=AK$9),IF(SUM(AK$10:AK590)-ROUNDDOWN($L591*AK$5/100,0)&lt;-AK$6,-AK$6-SUM(AK$10:AK590),-ROUNDDOWN($L591*AK$5/100,0)),0)</f>
        <v>0</v>
      </c>
      <c r="AL591" s="38">
        <f>IF(AND(AL$7="○",$A591&gt;=AL$8,$A591&lt;=AL$9),IF(SUM(AL$10:AL590)-ROUNDDOWN($N591*AL$5/100,0)&lt;-AL$6,-AL$6-SUM(AL$10:AL590),-ROUNDDOWN($N591*AL$5/100,0)),0)</f>
        <v>0</v>
      </c>
      <c r="AM591" s="38">
        <f>IF(AND(AM$7="○",$A591&gt;=AM$8,$A591&lt;=AM$9),IF(SUM(AM$10:AM590)-ROUNDDOWN($L591*AM$5/100,0)&lt;-AM$6,-AM$6-SUM(AM$10:AM590),-ROUNDDOWN($L591*AM$5/100,0)),0)</f>
        <v>0</v>
      </c>
      <c r="AN591" s="38">
        <f>IF(AND(AN$7="○",$A591&gt;=AN$8,$A591&lt;=AN$9),IF(SUM(AN$10:AN590)-ROUNDDOWN($M591*AN$5/100,0)&lt;-AN$6,-AN$6-SUM(AN$10:AN590),-ROUNDDOWN($M591*AN$5/100,0)),0)</f>
        <v>0</v>
      </c>
      <c r="AO591" s="38">
        <f>IF(AND($A591&gt;=AO$8,$A591&lt;=AO$9),IF(SUM(AO$10:AO590)-ROUNDDOWN($K591*AO$5/100,0)&lt;-AO$6,-AO$6-SUM(AO$10:AO590),-ROUNDDOWN($K591*AO$5/100,0)),0)</f>
        <v>0</v>
      </c>
      <c r="AP591" s="38">
        <f>IF(AND($A591&gt;=AP$8,$A591&lt;=AP$9),IF(SUM(AP$10:AP590)-ROUNDDOWN($K591*AP$5/100,0)&lt;-AP$6,-AP$6-SUM(AP$10:AP590),-ROUNDDOWN($K591*AP$5/100,0)),0)</f>
        <v>0</v>
      </c>
      <c r="AQ591" s="38">
        <f>IF(AND($A591&gt;=AQ$8,$A591&lt;=AQ$9),IF(SUM(AQ$10:AQ590)-ROUNDDOWN($K591*AQ$5/100,0)&lt;-AQ$6,-AQ$6-SUM(AQ$10:AQ590),-ROUNDDOWN($K591*AQ$5/100,0)),0)</f>
        <v>0</v>
      </c>
      <c r="AR591" s="38">
        <f>IF(AND($A591&gt;=AR$8,$A591&lt;=AR$9),IF(SUM(AR$10:AR590)-ROUNDDOWN($K591*AR$5/100,0)&lt;-AR$6,-AR$6-SUM(AR$10:AR590),-ROUNDDOWN($K591*AR$5/100,0)),0)</f>
        <v>0</v>
      </c>
      <c r="AS591" s="38">
        <f>IF(SUMIFS(AS$10:AS590,$A$10:$A590,$A591)-ROUNDDOWN($K591*$S591/100,0)&lt;-$S591*1000,-$S591*1000-SUMIFS(AS$10:AS590,$A$10:$A590,$A591),-ROUNDDOWN($K591*$S591/100,0))</f>
        <v>0</v>
      </c>
      <c r="AT591" s="38">
        <f>IF(AND(X591="○",$A591&gt;=AT$8,$A591&lt;=AT$9,K591&gt;=3980),IF(SUM(AT$10:AT590)-ROUNDDOWN($K591*AT$5/100,0)&lt;-AT$6,-AT$6-SUM(AT$10:AT590),-ROUNDDOWN($K591*AT$5/100,0)),0)</f>
        <v>0</v>
      </c>
      <c r="AU591" s="38">
        <f>IF(O591="○",IF(SUM(AU$10:AU590)-ROUNDDOWN($K591*AU$5/100,0)&lt;-AU$6,-AU$6-SUM(AU$10:AU590),-ROUNDDOWN($K591*AU$5/100,0)),0)</f>
        <v>0</v>
      </c>
      <c r="AV591" s="38">
        <f>IF(P591="○",IF(SUM(AV$10:AV590)-ROUNDDOWN($K591*AV$5/100,0)&lt;-AV$6,-AV$6-SUM(AV$10:AV590),-ROUNDDOWN($K591*AV$5/100,0)),0)</f>
        <v>0</v>
      </c>
      <c r="AW591" s="38">
        <f>IF(Q591="○",IF(SUM(AW$10:AW590)-ROUNDDOWN($K591*AW$5/100,0)&lt;-AW$6,-AW$6-SUM(AW$10:AW590),-ROUNDDOWN($K591*AW$5/100,0)),0)</f>
        <v>0</v>
      </c>
      <c r="AX591" s="38">
        <f>IF(R591="○",IF(SUM(AX$10:AX590)-ROUNDDOWN($K591*AX$5/100,0)&lt;-AX$6,-AX$6-SUM(AX$10:AX590),-ROUNDDOWN($K591*AX$5/100,0)),0)</f>
        <v>0</v>
      </c>
      <c r="AY591" s="70">
        <v>0</v>
      </c>
      <c r="AZ591" s="65">
        <f t="shared" si="348"/>
        <v>0</v>
      </c>
      <c r="BA591" s="65">
        <f t="shared" si="349"/>
        <v>0</v>
      </c>
      <c r="BB591" s="70"/>
      <c r="BC591" s="65">
        <f t="shared" si="350"/>
        <v>0</v>
      </c>
      <c r="BD591" s="70">
        <v>0</v>
      </c>
      <c r="BE591" s="65">
        <f t="shared" si="351"/>
        <v>0</v>
      </c>
      <c r="BF591" s="70">
        <v>0</v>
      </c>
      <c r="BG591" s="65">
        <f t="shared" si="352"/>
        <v>0</v>
      </c>
      <c r="BH591" s="70">
        <v>0</v>
      </c>
      <c r="BI591" s="65">
        <f t="shared" si="353"/>
        <v>0</v>
      </c>
      <c r="BJ591" s="38">
        <f>IF(AND(BJ$7="○",$A591&gt;=BJ$8,$A591&lt;=BJ$9),IF(SUM(BJ$10:BJ590)-ROUNDDOWN($M591*BJ$5/100,0)&lt;-BJ$6,-BJ$6-SUM(BJ$10:BJ590),-ROUNDDOWN($M591*BJ$5/100,0)),0)</f>
        <v>0</v>
      </c>
      <c r="BK591" s="38">
        <f>IF(AND(BK$7="○",$A591&gt;=BK$8,$A591&lt;=BK$9),IF(SUM(BK$10:BK590)-ROUNDDOWN($L591*BK$5/100,0)&lt;-BK$6,-BK$6-SUM(BK$10:BK590),-ROUNDDOWN($L591*BK$5/100,0)),0)</f>
        <v>0</v>
      </c>
      <c r="BL591" s="38">
        <f>IF(AND(BL$7="○",$A591&gt;=BL$8,$A591&lt;=BL$9),IF(SUM(BL$10:BL590)-ROUNDDOWN($L591*BL$5/100,0)&lt;-BL$6,-BL$6-SUM(BL$10:BL590),-ROUNDDOWN($L591*BL$5/100,0)),0)</f>
        <v>0</v>
      </c>
      <c r="BM591" s="38">
        <f>IF(AND(BM$7="○",$A591&gt;=BM$8,$A591&lt;=BM$9),IF(SUM(BM$10:BM590)-ROUNDDOWN($M591*BM$5/100,0)&lt;-BM$6,-BM$6-SUM(BM$10:BM590),-ROUNDDOWN($M591*BM$5/100,0)),0)</f>
        <v>0</v>
      </c>
      <c r="BN591" s="38">
        <f>IF(AND(BN$7="○",$A591&gt;=BN$8,$A591&lt;=BN$9),IF(SUM(BN$10:BN590)-ROUNDDOWN($M591*BN$5/100,0)&lt;-BN$6,-BN$6-SUM(BN$10:BN590),-ROUNDDOWN($M591*BN$5/100,0)),0)</f>
        <v>0</v>
      </c>
      <c r="BO591" s="38">
        <f>IF(AND(BO$7="○",$A591&gt;=BO$8,$A591&lt;=BO$9),IF(SUM(BO$10:BO590)-ROUNDDOWN($M591*BO$5/100,0)&lt;-BO$6,-BO$6-SUM(BO$10:BO590),-ROUNDDOWN($M591*BO$5/100,0)),0)</f>
        <v>0</v>
      </c>
      <c r="BP591" s="38">
        <f>IF(AND(BP$7="○",$A591&gt;=BP$8,$A591&lt;=BP$9),IF(SUM(BP$10:BP590)-ROUNDDOWN($M591*BP$5/100,0)&lt;-BP$6,-BP$6-SUM(BP$10:BP590),-ROUNDDOWN($M591*BP$5/100,0)),0)</f>
        <v>0</v>
      </c>
      <c r="BQ591" s="38">
        <f>IF(AND(BQ$7="○",$A591&gt;=BQ$8,$A591&lt;=BQ$9),IF(SUM(BQ$10:BQ590)-ROUNDDOWN($L591*BQ$5/100,0)&lt;-BQ$6,-BQ$6-SUM(BQ$10:BQ590),-ROUNDDOWN($L591*BQ$5/100,0)),0)</f>
        <v>0</v>
      </c>
      <c r="BR591" s="38">
        <f>IF(AND(BR$7="○",$A591&gt;=BR$8,$A591&lt;=BR$9),IF(SUM(BR$10:BR590)-ROUNDDOWN($M591*BR$5/100,0)&lt;-BR$6,-BR$6-SUM(BR$10:BR590),-ROUNDDOWN($M591*BR$5/100,0)),0)</f>
        <v>0</v>
      </c>
      <c r="BS591" s="38">
        <f>IF(AND(BS$7="○",$A591&gt;=BS$8,$A591&lt;=BS$9),IF(SUM(BS$10:BS590)-ROUNDDOWN($M591*BS$5/100,0)&lt;-BS$6,-BS$6-SUM(BS$10:BS590),-ROUNDDOWN($M591*BS$5/100,0)),0)</f>
        <v>0</v>
      </c>
      <c r="BT591" s="38">
        <f>IF(AND(BT$7="○",$A591&gt;=BT$8,$A591&lt;=BT$9),IF(SUM(BT$10:BT590)-ROUNDDOWN($M591*BT$5/100,0)&lt;-BT$6,-BT$6-SUM(BT$10:BT590),-ROUNDDOWN($M591*BT$5/100,0)),0)</f>
        <v>0</v>
      </c>
      <c r="BU591" s="38">
        <f>IF(AND(BU$7="○",$A591&gt;=BU$8,$A591&lt;=BU$9),IF(SUM(BU$10:BU590)-ROUNDDOWN($M591*BU$5/100,0)&lt;-BU$6,-BU$6-SUM(BU$10:BU590),-ROUNDDOWN($M591*BU$5/100,0)),0)</f>
        <v>0</v>
      </c>
      <c r="BV591" s="38">
        <f>IF(AND(BV$7="○",$A591&gt;=BV$8,$A591&lt;=BV$9),IF(SUM(BV$10:BV590)-ROUNDDOWN($M591*BV$5/100,0)&lt;-BV$6,-BV$6-SUM(BV$10:BV590),-ROUNDDOWN($M591*BV$5/100,0)),0)</f>
        <v>0</v>
      </c>
      <c r="BW591" s="38">
        <f>IF(AND(BW$7="○",$A591&gt;=BW$8,$A591&lt;=BW$9),IF(SUM(BW$10:BW590)-ROUNDDOWN($M591*BW$5/100,0)&lt;-BW$6,-BW$6-SUM(BW$10:BW590),-ROUNDDOWN($M591*BW$5/100,0)),0)</f>
        <v>0</v>
      </c>
      <c r="BX591" s="38">
        <f>IF(AND(T591="○",$A591&gt;=BX$8,$A591&lt;=BX$9),IF(SUM(BX$10:BX590)-ROUNDDOWN($K591*BX$5/100,0)&lt;-BX$6,-BX$6-SUM(BX$10:BX590),-ROUNDDOWN($K591*BX$5/100,0)),0)</f>
        <v>0</v>
      </c>
      <c r="BY591" s="38">
        <f>IF(AND(U591="○",$A591&gt;=BY$8,$A591&lt;=BY$9),IF(SUM(BY$10:BY590)-ROUNDDOWN($K591*BY$5/100,0)&lt;-BY$6,-BY$6-SUM(BY$10:BY590),-ROUNDDOWN($K591*BY$5/100,0)),0)</f>
        <v>0</v>
      </c>
      <c r="BZ591" s="38">
        <f>IF(AND(V591="○",$A591&gt;=BZ$8,$A591&lt;=BZ$9),IF(SUM(BZ$10:BZ590)-ROUNDDOWN($K591*BZ$5/100,0)&lt;-BZ$6,-BZ$6-SUM(BZ$10:BZ590),-ROUNDDOWN($K591*BZ$5/100,0)),0)</f>
        <v>0</v>
      </c>
      <c r="CA591" s="38">
        <f>IF(AND(W591="○",$A591&gt;=CA$8,$A591&lt;=CA$9),IF(SUM(CA$10:CA590)-ROUNDDOWN($K591*CA$5/100,0)&lt;-CA$6,-CA$6-SUM(CA$10:CA590),-ROUNDDOWN($K591*CA$5/100,0)),0)</f>
        <v>0</v>
      </c>
      <c r="CB591" s="38"/>
      <c r="CC591" s="38"/>
      <c r="CD591" s="38"/>
      <c r="CE591" s="38"/>
      <c r="CF591" s="38"/>
      <c r="CG591" s="65">
        <f t="shared" si="354"/>
        <v>0</v>
      </c>
      <c r="CH591" s="71">
        <f t="shared" si="355"/>
        <v>0</v>
      </c>
      <c r="CI591" s="1">
        <f t="shared" si="19"/>
        <v>0</v>
      </c>
      <c r="CJ591" s="1"/>
      <c r="CK591" s="72"/>
      <c r="CL591" s="72"/>
      <c r="CM591" s="2"/>
      <c r="CN591" s="2"/>
      <c r="CO591" s="73">
        <f t="shared" si="20"/>
        <v>0</v>
      </c>
      <c r="CP591" s="5">
        <f t="shared" si="21"/>
        <v>0</v>
      </c>
      <c r="CQ591" s="1"/>
      <c r="CR591" s="1">
        <f t="shared" si="22"/>
        <v>0</v>
      </c>
      <c r="CS591" s="1"/>
      <c r="CT591" s="1" t="e">
        <f>INDEX([2]マスタ!$A:$A,MATCH(D591,[2]マスタ!$C:$C,0))</f>
        <v>#N/A</v>
      </c>
      <c r="CU591" s="1" t="str">
        <f t="shared" ca="1" si="23"/>
        <v>20260620_0-0</v>
      </c>
    </row>
    <row r="592" spans="1:99" x14ac:dyDescent="0.4">
      <c r="A592" s="61"/>
      <c r="B592" s="62"/>
      <c r="C592" s="62"/>
      <c r="D592" s="62"/>
      <c r="E592" s="74"/>
      <c r="F592" s="62"/>
      <c r="G592" s="62">
        <v>1</v>
      </c>
      <c r="H592" s="64">
        <f t="shared" si="4"/>
        <v>0</v>
      </c>
      <c r="I592" s="64"/>
      <c r="J592" s="64"/>
      <c r="K592" s="65">
        <f t="shared" si="375"/>
        <v>0</v>
      </c>
      <c r="L592" s="65">
        <f t="shared" si="6"/>
        <v>0</v>
      </c>
      <c r="M592" s="65">
        <f t="shared" si="7"/>
        <v>0</v>
      </c>
      <c r="N592" s="65">
        <f t="shared" si="8"/>
        <v>0</v>
      </c>
      <c r="O592" s="66" t="str">
        <f t="shared" si="9"/>
        <v>✕</v>
      </c>
      <c r="P592" s="67" t="str">
        <f t="shared" si="10"/>
        <v>○</v>
      </c>
      <c r="Q592" s="67" t="str">
        <f t="shared" si="376"/>
        <v>✕</v>
      </c>
      <c r="R592" s="67" t="str">
        <f t="shared" si="12"/>
        <v>✕</v>
      </c>
      <c r="S592" s="68">
        <v>0</v>
      </c>
      <c r="T592" s="69" t="s">
        <v>85</v>
      </c>
      <c r="U592" s="69" t="s">
        <v>85</v>
      </c>
      <c r="V592" s="69" t="s">
        <v>85</v>
      </c>
      <c r="W592" s="69" t="s">
        <v>85</v>
      </c>
      <c r="X592" s="69" t="s">
        <v>84</v>
      </c>
      <c r="Y592" s="69" t="s">
        <v>85</v>
      </c>
      <c r="Z592" s="69" t="s">
        <v>85</v>
      </c>
      <c r="AA592" s="69" t="s">
        <v>85</v>
      </c>
      <c r="AB592" s="69" t="s">
        <v>85</v>
      </c>
      <c r="AC592" s="69" t="s">
        <v>85</v>
      </c>
      <c r="AD592" s="38" t="str">
        <f>+IF(ISERROR(VLOOKUP($B592,AD$10:AD591,1,0)),IF(AND($N592&gt;=1000,$A592&gt;=AO$8,$A592&lt;=AO$9),$B592,""),"")</f>
        <v/>
      </c>
      <c r="AE592" s="38" t="str">
        <f>+IF(ISERROR(VLOOKUP($B592,AE$10:AE591,1,0)),IF(AND($N592&gt;=1000,$A592&gt;=AP$8,$A592&lt;=AP$9),$B592,""),"")</f>
        <v/>
      </c>
      <c r="AF592" s="38" t="str">
        <f>+IF(ISERROR(VLOOKUP($B592,AF$10:AF591,1,0)),IF(AND($N592&gt;=1000,$A592&gt;=AQ$8,$A592&lt;=AQ$9),$B592,""),"")</f>
        <v/>
      </c>
      <c r="AG592" s="38" t="str">
        <f>+IF(ISERROR(VLOOKUP($B592,AG$10:AG591,1,0)),IF(AND($N592&gt;=1000,$A592&gt;=AR$8,$A592&lt;=AR$9),$B592,""),"")</f>
        <v/>
      </c>
      <c r="AH592" s="38"/>
      <c r="AI592" s="70">
        <v>0</v>
      </c>
      <c r="AJ592" s="38">
        <f>IF(AND(AJ$7="○",$A592&gt;=AJ$8,$A592&lt;=AJ$9),IF(SUM(AJ$10:AJ591)-ROUNDDOWN($K592*AJ$5/100,0)&lt;-AJ$6,-AJ$6-SUM(AJ$10:AJ591),-ROUNDDOWN($K592*AJ$5/100,0)),0)</f>
        <v>0</v>
      </c>
      <c r="AK592" s="38">
        <f>IF(AND(AK$7="○",$A592&gt;=AK$8,$A592&lt;=AK$9),IF(SUM(AK$10:AK591)-ROUNDDOWN($L592*AK$5/100,0)&lt;-AK$6,-AK$6-SUM(AK$10:AK591),-ROUNDDOWN($L592*AK$5/100,0)),0)</f>
        <v>0</v>
      </c>
      <c r="AL592" s="38">
        <f>IF(AND(AL$7="○",$A592&gt;=AL$8,$A592&lt;=AL$9),IF(SUM(AL$10:AL591)-ROUNDDOWN($N592*AL$5/100,0)&lt;-AL$6,-AL$6-SUM(AL$10:AL591),-ROUNDDOWN($N592*AL$5/100,0)),0)</f>
        <v>0</v>
      </c>
      <c r="AM592" s="38">
        <f>IF(AND(AM$7="○",$A592&gt;=AM$8,$A592&lt;=AM$9),IF(SUM(AM$10:AM591)-ROUNDDOWN($L592*AM$5/100,0)&lt;-AM$6,-AM$6-SUM(AM$10:AM591),-ROUNDDOWN($L592*AM$5/100,0)),0)</f>
        <v>0</v>
      </c>
      <c r="AN592" s="38">
        <f>IF(AND(AN$7="○",$A592&gt;=AN$8,$A592&lt;=AN$9),IF(SUM(AN$10:AN591)-ROUNDDOWN($M592*AN$5/100,0)&lt;-AN$6,-AN$6-SUM(AN$10:AN591),-ROUNDDOWN($M592*AN$5/100,0)),0)</f>
        <v>0</v>
      </c>
      <c r="AO592" s="38">
        <f>IF(AND($A592&gt;=AO$8,$A592&lt;=AO$9),IF(SUM(AO$10:AO591)-ROUNDDOWN($K592*AO$5/100,0)&lt;-AO$6,-AO$6-SUM(AO$10:AO591),-ROUNDDOWN($K592*AO$5/100,0)),0)</f>
        <v>0</v>
      </c>
      <c r="AP592" s="38">
        <f>IF(AND($A592&gt;=AP$8,$A592&lt;=AP$9),IF(SUM(AP$10:AP591)-ROUNDDOWN($K592*AP$5/100,0)&lt;-AP$6,-AP$6-SUM(AP$10:AP591),-ROUNDDOWN($K592*AP$5/100,0)),0)</f>
        <v>0</v>
      </c>
      <c r="AQ592" s="38">
        <f>IF(AND($A592&gt;=AQ$8,$A592&lt;=AQ$9),IF(SUM(AQ$10:AQ591)-ROUNDDOWN($K592*AQ$5/100,0)&lt;-AQ$6,-AQ$6-SUM(AQ$10:AQ591),-ROUNDDOWN($K592*AQ$5/100,0)),0)</f>
        <v>0</v>
      </c>
      <c r="AR592" s="38">
        <f>IF(AND($A592&gt;=AR$8,$A592&lt;=AR$9),IF(SUM(AR$10:AR591)-ROUNDDOWN($K592*AR$5/100,0)&lt;-AR$6,-AR$6-SUM(AR$10:AR591),-ROUNDDOWN($K592*AR$5/100,0)),0)</f>
        <v>0</v>
      </c>
      <c r="AS592" s="38">
        <f>IF(SUMIFS(AS$10:AS591,$A$10:$A591,$A592)-ROUNDDOWN($K592*$S592/100,0)&lt;-$S592*1000,-$S592*1000-SUMIFS(AS$10:AS591,$A$10:$A591,$A592),-ROUNDDOWN($K592*$S592/100,0))</f>
        <v>0</v>
      </c>
      <c r="AT592" s="38">
        <f>IF(AND(X592="○",$A592&gt;=AT$8,$A592&lt;=AT$9,K592&gt;=3980),IF(SUM(AT$10:AT591)-ROUNDDOWN($K592*AT$5/100,0)&lt;-AT$6,-AT$6-SUM(AT$10:AT591),-ROUNDDOWN($K592*AT$5/100,0)),0)</f>
        <v>0</v>
      </c>
      <c r="AU592" s="38">
        <f>IF(O592="○",IF(SUM(AU$10:AU591)-ROUNDDOWN($K592*AU$5/100,0)&lt;-AU$6,-AU$6-SUM(AU$10:AU591),-ROUNDDOWN($K592*AU$5/100,0)),0)</f>
        <v>0</v>
      </c>
      <c r="AV592" s="38">
        <f>IF(P592="○",IF(SUM(AV$10:AV591)-ROUNDDOWN($K592*AV$5/100,0)&lt;-AV$6,-AV$6-SUM(AV$10:AV591),-ROUNDDOWN($K592*AV$5/100,0)),0)</f>
        <v>0</v>
      </c>
      <c r="AW592" s="38">
        <f>IF(Q592="○",IF(SUM(AW$10:AW591)-ROUNDDOWN($K592*AW$5/100,0)&lt;-AW$6,-AW$6-SUM(AW$10:AW591),-ROUNDDOWN($K592*AW$5/100,0)),0)</f>
        <v>0</v>
      </c>
      <c r="AX592" s="38">
        <f>IF(R592="○",IF(SUM(AX$10:AX591)-ROUNDDOWN($K592*AX$5/100,0)&lt;-AX$6,-AX$6-SUM(AX$10:AX591),-ROUNDDOWN($K592*AX$5/100,0)),0)</f>
        <v>0</v>
      </c>
      <c r="AY592" s="70">
        <v>0</v>
      </c>
      <c r="AZ592" s="65">
        <f t="shared" si="348"/>
        <v>0</v>
      </c>
      <c r="BA592" s="65">
        <f t="shared" si="349"/>
        <v>0</v>
      </c>
      <c r="BB592" s="70"/>
      <c r="BC592" s="65">
        <f t="shared" si="350"/>
        <v>0</v>
      </c>
      <c r="BD592" s="70">
        <v>0</v>
      </c>
      <c r="BE592" s="65">
        <f t="shared" si="351"/>
        <v>0</v>
      </c>
      <c r="BF592" s="70">
        <v>0</v>
      </c>
      <c r="BG592" s="65">
        <f t="shared" si="352"/>
        <v>0</v>
      </c>
      <c r="BH592" s="70">
        <v>0</v>
      </c>
      <c r="BI592" s="65">
        <f t="shared" si="353"/>
        <v>0</v>
      </c>
      <c r="BJ592" s="38">
        <f>IF(AND(BJ$7="○",$A592&gt;=BJ$8,$A592&lt;=BJ$9),IF(SUM(BJ$10:BJ591)-ROUNDDOWN($M592*BJ$5/100,0)&lt;-BJ$6,-BJ$6-SUM(BJ$10:BJ591),-ROUNDDOWN($M592*BJ$5/100,0)),0)</f>
        <v>0</v>
      </c>
      <c r="BK592" s="38">
        <f>IF(AND(BK$7="○",$A592&gt;=BK$8,$A592&lt;=BK$9),IF(SUM(BK$10:BK591)-ROUNDDOWN($L592*BK$5/100,0)&lt;-BK$6,-BK$6-SUM(BK$10:BK591),-ROUNDDOWN($L592*BK$5/100,0)),0)</f>
        <v>0</v>
      </c>
      <c r="BL592" s="38">
        <f>IF(AND(BL$7="○",$A592&gt;=BL$8,$A592&lt;=BL$9),IF(SUM(BL$10:BL591)-ROUNDDOWN($L592*BL$5/100,0)&lt;-BL$6,-BL$6-SUM(BL$10:BL591),-ROUNDDOWN($L592*BL$5/100,0)),0)</f>
        <v>0</v>
      </c>
      <c r="BM592" s="38">
        <f>IF(AND(BM$7="○",$A592&gt;=BM$8,$A592&lt;=BM$9),IF(SUM(BM$10:BM591)-ROUNDDOWN($M592*BM$5/100,0)&lt;-BM$6,-BM$6-SUM(BM$10:BM591),-ROUNDDOWN($M592*BM$5/100,0)),0)</f>
        <v>0</v>
      </c>
      <c r="BN592" s="38">
        <f>IF(AND(BN$7="○",$A592&gt;=BN$8,$A592&lt;=BN$9),IF(SUM(BN$10:BN591)-ROUNDDOWN($M592*BN$5/100,0)&lt;-BN$6,-BN$6-SUM(BN$10:BN591),-ROUNDDOWN($M592*BN$5/100,0)),0)</f>
        <v>0</v>
      </c>
      <c r="BO592" s="38">
        <f>IF(AND(BO$7="○",$A592&gt;=BO$8,$A592&lt;=BO$9),IF(SUM(BO$10:BO591)-ROUNDDOWN($M592*BO$5/100,0)&lt;-BO$6,-BO$6-SUM(BO$10:BO591),-ROUNDDOWN($M592*BO$5/100,0)),0)</f>
        <v>0</v>
      </c>
      <c r="BP592" s="38">
        <f>IF(AND(BP$7="○",$A592&gt;=BP$8,$A592&lt;=BP$9),IF(SUM(BP$10:BP591)-ROUNDDOWN($M592*BP$5/100,0)&lt;-BP$6,-BP$6-SUM(BP$10:BP591),-ROUNDDOWN($M592*BP$5/100,0)),0)</f>
        <v>0</v>
      </c>
      <c r="BQ592" s="38">
        <f>IF(AND(BQ$7="○",$A592&gt;=BQ$8,$A592&lt;=BQ$9),IF(SUM(BQ$10:BQ591)-ROUNDDOWN($L592*BQ$5/100,0)&lt;-BQ$6,-BQ$6-SUM(BQ$10:BQ591),-ROUNDDOWN($L592*BQ$5/100,0)),0)</f>
        <v>0</v>
      </c>
      <c r="BR592" s="38">
        <f>IF(AND(BR$7="○",$A592&gt;=BR$8,$A592&lt;=BR$9),IF(SUM(BR$10:BR591)-ROUNDDOWN($M592*BR$5/100,0)&lt;-BR$6,-BR$6-SUM(BR$10:BR591),-ROUNDDOWN($M592*BR$5/100,0)),0)</f>
        <v>0</v>
      </c>
      <c r="BS592" s="38">
        <f>IF(AND(BS$7="○",$A592&gt;=BS$8,$A592&lt;=BS$9),IF(SUM(BS$10:BS591)-ROUNDDOWN($M592*BS$5/100,0)&lt;-BS$6,-BS$6-SUM(BS$10:BS591),-ROUNDDOWN($M592*BS$5/100,0)),0)</f>
        <v>0</v>
      </c>
      <c r="BT592" s="38">
        <f>IF(AND(BT$7="○",$A592&gt;=BT$8,$A592&lt;=BT$9),IF(SUM(BT$10:BT591)-ROUNDDOWN($M592*BT$5/100,0)&lt;-BT$6,-BT$6-SUM(BT$10:BT591),-ROUNDDOWN($M592*BT$5/100,0)),0)</f>
        <v>0</v>
      </c>
      <c r="BU592" s="38">
        <f>IF(AND(BU$7="○",$A592&gt;=BU$8,$A592&lt;=BU$9),IF(SUM(BU$10:BU591)-ROUNDDOWN($M592*BU$5/100,0)&lt;-BU$6,-BU$6-SUM(BU$10:BU591),-ROUNDDOWN($M592*BU$5/100,0)),0)</f>
        <v>0</v>
      </c>
      <c r="BV592" s="38">
        <f>IF(AND(BV$7="○",$A592&gt;=BV$8,$A592&lt;=BV$9),IF(SUM(BV$10:BV591)-ROUNDDOWN($M592*BV$5/100,0)&lt;-BV$6,-BV$6-SUM(BV$10:BV591),-ROUNDDOWN($M592*BV$5/100,0)),0)</f>
        <v>0</v>
      </c>
      <c r="BW592" s="38">
        <f>IF(AND(BW$7="○",$A592&gt;=BW$8,$A592&lt;=BW$9),IF(SUM(BW$10:BW591)-ROUNDDOWN($M592*BW$5/100,0)&lt;-BW$6,-BW$6-SUM(BW$10:BW591),-ROUNDDOWN($M592*BW$5/100,0)),0)</f>
        <v>0</v>
      </c>
      <c r="BX592" s="38">
        <f>IF(AND(T592="○",$A592&gt;=BX$8,$A592&lt;=BX$9),IF(SUM(BX$10:BX591)-ROUNDDOWN($K592*BX$5/100,0)&lt;-BX$6,-BX$6-SUM(BX$10:BX591),-ROUNDDOWN($K592*BX$5/100,0)),0)</f>
        <v>0</v>
      </c>
      <c r="BY592" s="38">
        <f>IF(AND(U592="○",$A592&gt;=BY$8,$A592&lt;=BY$9),IF(SUM(BY$10:BY591)-ROUNDDOWN($K592*BY$5/100,0)&lt;-BY$6,-BY$6-SUM(BY$10:BY591),-ROUNDDOWN($K592*BY$5/100,0)),0)</f>
        <v>0</v>
      </c>
      <c r="BZ592" s="38">
        <f>IF(AND(V592="○",$A592&gt;=BZ$8,$A592&lt;=BZ$9),IF(SUM(BZ$10:BZ591)-ROUNDDOWN($K592*BZ$5/100,0)&lt;-BZ$6,-BZ$6-SUM(BZ$10:BZ591),-ROUNDDOWN($K592*BZ$5/100,0)),0)</f>
        <v>0</v>
      </c>
      <c r="CA592" s="38">
        <f>IF(AND(W592="○",$A592&gt;=CA$8,$A592&lt;=CA$9),IF(SUM(CA$10:CA591)-ROUNDDOWN($K592*CA$5/100,0)&lt;-CA$6,-CA$6-SUM(CA$10:CA591),-ROUNDDOWN($K592*CA$5/100,0)),0)</f>
        <v>0</v>
      </c>
      <c r="CB592" s="38"/>
      <c r="CC592" s="38"/>
      <c r="CD592" s="38"/>
      <c r="CE592" s="38"/>
      <c r="CF592" s="38"/>
      <c r="CG592" s="65">
        <f t="shared" si="354"/>
        <v>0</v>
      </c>
      <c r="CH592" s="71">
        <f t="shared" si="355"/>
        <v>0</v>
      </c>
      <c r="CI592" s="1">
        <f t="shared" si="19"/>
        <v>0</v>
      </c>
      <c r="CJ592" s="1"/>
      <c r="CK592" s="72"/>
      <c r="CL592" s="72"/>
      <c r="CM592" s="2"/>
      <c r="CN592" s="2"/>
      <c r="CO592" s="73">
        <f t="shared" si="20"/>
        <v>0</v>
      </c>
      <c r="CP592" s="5">
        <f t="shared" si="21"/>
        <v>0</v>
      </c>
      <c r="CQ592" s="1"/>
      <c r="CR592" s="1">
        <f t="shared" si="22"/>
        <v>0</v>
      </c>
      <c r="CS592" s="1"/>
      <c r="CT592" s="1" t="e">
        <f>INDEX([2]マスタ!$A:$A,MATCH(D592,[2]マスタ!$C:$C,0))</f>
        <v>#N/A</v>
      </c>
      <c r="CU592" s="1" t="str">
        <f t="shared" ca="1" si="23"/>
        <v>20260620_0-0</v>
      </c>
    </row>
    <row r="593" spans="1:99" x14ac:dyDescent="0.4">
      <c r="A593" s="61"/>
      <c r="B593" s="62"/>
      <c r="C593" s="62"/>
      <c r="D593" s="62"/>
      <c r="E593" s="74"/>
      <c r="F593" s="62"/>
      <c r="G593" s="62">
        <v>1</v>
      </c>
      <c r="H593" s="64">
        <f t="shared" si="4"/>
        <v>0</v>
      </c>
      <c r="I593" s="64"/>
      <c r="J593" s="64"/>
      <c r="K593" s="65">
        <f t="shared" si="375"/>
        <v>0</v>
      </c>
      <c r="L593" s="65">
        <f t="shared" si="6"/>
        <v>0</v>
      </c>
      <c r="M593" s="65">
        <f t="shared" si="7"/>
        <v>0</v>
      </c>
      <c r="N593" s="65">
        <f t="shared" si="8"/>
        <v>0</v>
      </c>
      <c r="O593" s="66" t="str">
        <f t="shared" si="9"/>
        <v>✕</v>
      </c>
      <c r="P593" s="67" t="str">
        <f t="shared" si="10"/>
        <v>○</v>
      </c>
      <c r="Q593" s="67" t="str">
        <f t="shared" si="376"/>
        <v>✕</v>
      </c>
      <c r="R593" s="67" t="str">
        <f t="shared" si="12"/>
        <v>✕</v>
      </c>
      <c r="S593" s="68">
        <v>0</v>
      </c>
      <c r="T593" s="69" t="s">
        <v>85</v>
      </c>
      <c r="U593" s="69" t="s">
        <v>85</v>
      </c>
      <c r="V593" s="69" t="s">
        <v>85</v>
      </c>
      <c r="W593" s="69" t="s">
        <v>85</v>
      </c>
      <c r="X593" s="69" t="s">
        <v>84</v>
      </c>
      <c r="Y593" s="69" t="s">
        <v>85</v>
      </c>
      <c r="Z593" s="69" t="s">
        <v>85</v>
      </c>
      <c r="AA593" s="69" t="s">
        <v>85</v>
      </c>
      <c r="AB593" s="69" t="s">
        <v>85</v>
      </c>
      <c r="AC593" s="69" t="s">
        <v>85</v>
      </c>
      <c r="AD593" s="38" t="str">
        <f>+IF(ISERROR(VLOOKUP($B593,AD$10:AD592,1,0)),IF(AND($N593&gt;=1000,$A593&gt;=AO$8,$A593&lt;=AO$9),$B593,""),"")</f>
        <v/>
      </c>
      <c r="AE593" s="38" t="str">
        <f>+IF(ISERROR(VLOOKUP($B593,AE$10:AE592,1,0)),IF(AND($N593&gt;=1000,$A593&gt;=AP$8,$A593&lt;=AP$9),$B593,""),"")</f>
        <v/>
      </c>
      <c r="AF593" s="38" t="str">
        <f>+IF(ISERROR(VLOOKUP($B593,AF$10:AF592,1,0)),IF(AND($N593&gt;=1000,$A593&gt;=AQ$8,$A593&lt;=AQ$9),$B593,""),"")</f>
        <v/>
      </c>
      <c r="AG593" s="38" t="str">
        <f>+IF(ISERROR(VLOOKUP($B593,AG$10:AG592,1,0)),IF(AND($N593&gt;=1000,$A593&gt;=AR$8,$A593&lt;=AR$9),$B593,""),"")</f>
        <v/>
      </c>
      <c r="AH593" s="38"/>
      <c r="AI593" s="70">
        <v>0</v>
      </c>
      <c r="AJ593" s="38">
        <f>IF(AND(AJ$7="○",$A593&gt;=AJ$8,$A593&lt;=AJ$9),IF(SUM(AJ$10:AJ592)-ROUNDDOWN($K593*AJ$5/100,0)&lt;-AJ$6,-AJ$6-SUM(AJ$10:AJ592),-ROUNDDOWN($K593*AJ$5/100,0)),0)</f>
        <v>0</v>
      </c>
      <c r="AK593" s="38">
        <f>IF(AND(AK$7="○",$A593&gt;=AK$8,$A593&lt;=AK$9),IF(SUM(AK$10:AK592)-ROUNDDOWN($L593*AK$5/100,0)&lt;-AK$6,-AK$6-SUM(AK$10:AK592),-ROUNDDOWN($L593*AK$5/100,0)),0)</f>
        <v>0</v>
      </c>
      <c r="AL593" s="38">
        <f>IF(AND(AL$7="○",$A593&gt;=AL$8,$A593&lt;=AL$9),IF(SUM(AL$10:AL592)-ROUNDDOWN($N593*AL$5/100,0)&lt;-AL$6,-AL$6-SUM(AL$10:AL592),-ROUNDDOWN($N593*AL$5/100,0)),0)</f>
        <v>0</v>
      </c>
      <c r="AM593" s="38">
        <f>IF(AND(AM$7="○",$A593&gt;=AM$8,$A593&lt;=AM$9),IF(SUM(AM$10:AM592)-ROUNDDOWN($L593*AM$5/100,0)&lt;-AM$6,-AM$6-SUM(AM$10:AM592),-ROUNDDOWN($L593*AM$5/100,0)),0)</f>
        <v>0</v>
      </c>
      <c r="AN593" s="38">
        <f>IF(AND(AN$7="○",$A593&gt;=AN$8,$A593&lt;=AN$9),IF(SUM(AN$10:AN592)-ROUNDDOWN($M593*AN$5/100,0)&lt;-AN$6,-AN$6-SUM(AN$10:AN592),-ROUNDDOWN($M593*AN$5/100,0)),0)</f>
        <v>0</v>
      </c>
      <c r="AO593" s="38">
        <f>IF(AND($A593&gt;=AO$8,$A593&lt;=AO$9),IF(SUM(AO$10:AO592)-ROUNDDOWN($K593*AO$5/100,0)&lt;-AO$6,-AO$6-SUM(AO$10:AO592),-ROUNDDOWN($K593*AO$5/100,0)),0)</f>
        <v>0</v>
      </c>
      <c r="AP593" s="38">
        <f>IF(AND($A593&gt;=AP$8,$A593&lt;=AP$9),IF(SUM(AP$10:AP592)-ROUNDDOWN($K593*AP$5/100,0)&lt;-AP$6,-AP$6-SUM(AP$10:AP592),-ROUNDDOWN($K593*AP$5/100,0)),0)</f>
        <v>0</v>
      </c>
      <c r="AQ593" s="38">
        <f>IF(AND($A593&gt;=AQ$8,$A593&lt;=AQ$9),IF(SUM(AQ$10:AQ592)-ROUNDDOWN($K593*AQ$5/100,0)&lt;-AQ$6,-AQ$6-SUM(AQ$10:AQ592),-ROUNDDOWN($K593*AQ$5/100,0)),0)</f>
        <v>0</v>
      </c>
      <c r="AR593" s="38">
        <f>IF(AND($A593&gt;=AR$8,$A593&lt;=AR$9),IF(SUM(AR$10:AR592)-ROUNDDOWN($K593*AR$5/100,0)&lt;-AR$6,-AR$6-SUM(AR$10:AR592),-ROUNDDOWN($K593*AR$5/100,0)),0)</f>
        <v>0</v>
      </c>
      <c r="AS593" s="38">
        <f>IF(SUMIFS(AS$10:AS592,$A$10:$A592,$A593)-ROUNDDOWN($K593*$S593/100,0)&lt;-$S593*1000,-$S593*1000-SUMIFS(AS$10:AS592,$A$10:$A592,$A593),-ROUNDDOWN($K593*$S593/100,0))</f>
        <v>0</v>
      </c>
      <c r="AT593" s="38">
        <f>IF(AND(X593="○",$A593&gt;=AT$8,$A593&lt;=AT$9,K593&gt;=3980),IF(SUM(AT$10:AT592)-ROUNDDOWN($K593*AT$5/100,0)&lt;-AT$6,-AT$6-SUM(AT$10:AT592),-ROUNDDOWN($K593*AT$5/100,0)),0)</f>
        <v>0</v>
      </c>
      <c r="AU593" s="38">
        <f>IF(O593="○",IF(SUM(AU$10:AU592)-ROUNDDOWN($K593*AU$5/100,0)&lt;-AU$6,-AU$6-SUM(AU$10:AU592),-ROUNDDOWN($K593*AU$5/100,0)),0)</f>
        <v>0</v>
      </c>
      <c r="AV593" s="38">
        <f>IF(P593="○",IF(SUM(AV$10:AV592)-ROUNDDOWN($K593*AV$5/100,0)&lt;-AV$6,-AV$6-SUM(AV$10:AV592),-ROUNDDOWN($K593*AV$5/100,0)),0)</f>
        <v>0</v>
      </c>
      <c r="AW593" s="38">
        <f>IF(Q593="○",IF(SUM(AW$10:AW592)-ROUNDDOWN($K593*AW$5/100,0)&lt;-AW$6,-AW$6-SUM(AW$10:AW592),-ROUNDDOWN($K593*AW$5/100,0)),0)</f>
        <v>0</v>
      </c>
      <c r="AX593" s="38">
        <f>IF(R593="○",IF(SUM(AX$10:AX592)-ROUNDDOWN($K593*AX$5/100,0)&lt;-AX$6,-AX$6-SUM(AX$10:AX592),-ROUNDDOWN($K593*AX$5/100,0)),0)</f>
        <v>0</v>
      </c>
      <c r="AY593" s="70">
        <v>0</v>
      </c>
      <c r="AZ593" s="65">
        <f t="shared" si="348"/>
        <v>0</v>
      </c>
      <c r="BA593" s="65">
        <f t="shared" si="349"/>
        <v>0</v>
      </c>
      <c r="BB593" s="70"/>
      <c r="BC593" s="65">
        <f t="shared" si="350"/>
        <v>0</v>
      </c>
      <c r="BD593" s="70">
        <v>0</v>
      </c>
      <c r="BE593" s="65">
        <f t="shared" si="351"/>
        <v>0</v>
      </c>
      <c r="BF593" s="70">
        <v>0</v>
      </c>
      <c r="BG593" s="65">
        <f t="shared" si="352"/>
        <v>0</v>
      </c>
      <c r="BH593" s="70">
        <v>0</v>
      </c>
      <c r="BI593" s="65">
        <f t="shared" si="353"/>
        <v>0</v>
      </c>
      <c r="BJ593" s="38">
        <f>IF(AND(BJ$7="○",$A593&gt;=BJ$8,$A593&lt;=BJ$9),IF(SUM(BJ$10:BJ592)-ROUNDDOWN($M593*BJ$5/100,0)&lt;-BJ$6,-BJ$6-SUM(BJ$10:BJ592),-ROUNDDOWN($M593*BJ$5/100,0)),0)</f>
        <v>0</v>
      </c>
      <c r="BK593" s="38">
        <f>IF(AND(BK$7="○",$A593&gt;=BK$8,$A593&lt;=BK$9),IF(SUM(BK$10:BK592)-ROUNDDOWN($L593*BK$5/100,0)&lt;-BK$6,-BK$6-SUM(BK$10:BK592),-ROUNDDOWN($L593*BK$5/100,0)),0)</f>
        <v>0</v>
      </c>
      <c r="BL593" s="38">
        <f>IF(AND(BL$7="○",$A593&gt;=BL$8,$A593&lt;=BL$9),IF(SUM(BL$10:BL592)-ROUNDDOWN($L593*BL$5/100,0)&lt;-BL$6,-BL$6-SUM(BL$10:BL592),-ROUNDDOWN($L593*BL$5/100,0)),0)</f>
        <v>0</v>
      </c>
      <c r="BM593" s="38">
        <f>IF(AND(BM$7="○",$A593&gt;=BM$8,$A593&lt;=BM$9),IF(SUM(BM$10:BM592)-ROUNDDOWN($M593*BM$5/100,0)&lt;-BM$6,-BM$6-SUM(BM$10:BM592),-ROUNDDOWN($M593*BM$5/100,0)),0)</f>
        <v>0</v>
      </c>
      <c r="BN593" s="38">
        <f>IF(AND(BN$7="○",$A593&gt;=BN$8,$A593&lt;=BN$9),IF(SUM(BN$10:BN592)-ROUNDDOWN($M593*BN$5/100,0)&lt;-BN$6,-BN$6-SUM(BN$10:BN592),-ROUNDDOWN($M593*BN$5/100,0)),0)</f>
        <v>0</v>
      </c>
      <c r="BO593" s="38">
        <f>IF(AND(BO$7="○",$A593&gt;=BO$8,$A593&lt;=BO$9),IF(SUM(BO$10:BO592)-ROUNDDOWN($M593*BO$5/100,0)&lt;-BO$6,-BO$6-SUM(BO$10:BO592),-ROUNDDOWN($M593*BO$5/100,0)),0)</f>
        <v>0</v>
      </c>
      <c r="BP593" s="38">
        <f>IF(AND(BP$7="○",$A593&gt;=BP$8,$A593&lt;=BP$9),IF(SUM(BP$10:BP592)-ROUNDDOWN($M593*BP$5/100,0)&lt;-BP$6,-BP$6-SUM(BP$10:BP592),-ROUNDDOWN($M593*BP$5/100,0)),0)</f>
        <v>0</v>
      </c>
      <c r="BQ593" s="38">
        <f>IF(AND(BQ$7="○",$A593&gt;=BQ$8,$A593&lt;=BQ$9),IF(SUM(BQ$10:BQ592)-ROUNDDOWN($L593*BQ$5/100,0)&lt;-BQ$6,-BQ$6-SUM(BQ$10:BQ592),-ROUNDDOWN($L593*BQ$5/100,0)),0)</f>
        <v>0</v>
      </c>
      <c r="BR593" s="38">
        <f>IF(AND(BR$7="○",$A593&gt;=BR$8,$A593&lt;=BR$9),IF(SUM(BR$10:BR592)-ROUNDDOWN($M593*BR$5/100,0)&lt;-BR$6,-BR$6-SUM(BR$10:BR592),-ROUNDDOWN($M593*BR$5/100,0)),0)</f>
        <v>0</v>
      </c>
      <c r="BS593" s="38">
        <f>IF(AND(BS$7="○",$A593&gt;=BS$8,$A593&lt;=BS$9),IF(SUM(BS$10:BS592)-ROUNDDOWN($M593*BS$5/100,0)&lt;-BS$6,-BS$6-SUM(BS$10:BS592),-ROUNDDOWN($M593*BS$5/100,0)),0)</f>
        <v>0</v>
      </c>
      <c r="BT593" s="38">
        <f>IF(AND(BT$7="○",$A593&gt;=BT$8,$A593&lt;=BT$9),IF(SUM(BT$10:BT592)-ROUNDDOWN($M593*BT$5/100,0)&lt;-BT$6,-BT$6-SUM(BT$10:BT592),-ROUNDDOWN($M593*BT$5/100,0)),0)</f>
        <v>0</v>
      </c>
      <c r="BU593" s="38">
        <f>IF(AND(BU$7="○",$A593&gt;=BU$8,$A593&lt;=BU$9),IF(SUM(BU$10:BU592)-ROUNDDOWN($M593*BU$5/100,0)&lt;-BU$6,-BU$6-SUM(BU$10:BU592),-ROUNDDOWN($M593*BU$5/100,0)),0)</f>
        <v>0</v>
      </c>
      <c r="BV593" s="38">
        <f>IF(AND(BV$7="○",$A593&gt;=BV$8,$A593&lt;=BV$9),IF(SUM(BV$10:BV592)-ROUNDDOWN($M593*BV$5/100,0)&lt;-BV$6,-BV$6-SUM(BV$10:BV592),-ROUNDDOWN($M593*BV$5/100,0)),0)</f>
        <v>0</v>
      </c>
      <c r="BW593" s="38">
        <f>IF(AND(BW$7="○",$A593&gt;=BW$8,$A593&lt;=BW$9),IF(SUM(BW$10:BW592)-ROUNDDOWN($M593*BW$5/100,0)&lt;-BW$6,-BW$6-SUM(BW$10:BW592),-ROUNDDOWN($M593*BW$5/100,0)),0)</f>
        <v>0</v>
      </c>
      <c r="BX593" s="38">
        <f>IF(AND(T593="○",$A593&gt;=BX$8,$A593&lt;=BX$9),IF(SUM(BX$10:BX592)-ROUNDDOWN($K593*BX$5/100,0)&lt;-BX$6,-BX$6-SUM(BX$10:BX592),-ROUNDDOWN($K593*BX$5/100,0)),0)</f>
        <v>0</v>
      </c>
      <c r="BY593" s="38">
        <f>IF(AND(U593="○",$A593&gt;=BY$8,$A593&lt;=BY$9),IF(SUM(BY$10:BY592)-ROUNDDOWN($K593*BY$5/100,0)&lt;-BY$6,-BY$6-SUM(BY$10:BY592),-ROUNDDOWN($K593*BY$5/100,0)),0)</f>
        <v>0</v>
      </c>
      <c r="BZ593" s="38">
        <f>IF(AND(V593="○",$A593&gt;=BZ$8,$A593&lt;=BZ$9),IF(SUM(BZ$10:BZ592)-ROUNDDOWN($K593*BZ$5/100,0)&lt;-BZ$6,-BZ$6-SUM(BZ$10:BZ592),-ROUNDDOWN($K593*BZ$5/100,0)),0)</f>
        <v>0</v>
      </c>
      <c r="CA593" s="38">
        <f>IF(AND(W593="○",$A593&gt;=CA$8,$A593&lt;=CA$9),IF(SUM(CA$10:CA592)-ROUNDDOWN($K593*CA$5/100,0)&lt;-CA$6,-CA$6-SUM(CA$10:CA592),-ROUNDDOWN($K593*CA$5/100,0)),0)</f>
        <v>0</v>
      </c>
      <c r="CB593" s="38"/>
      <c r="CC593" s="38"/>
      <c r="CD593" s="38"/>
      <c r="CE593" s="38"/>
      <c r="CF593" s="38"/>
      <c r="CG593" s="65">
        <f t="shared" si="354"/>
        <v>0</v>
      </c>
      <c r="CH593" s="71">
        <f t="shared" si="355"/>
        <v>0</v>
      </c>
      <c r="CI593" s="1">
        <f t="shared" si="19"/>
        <v>0</v>
      </c>
      <c r="CJ593" s="1"/>
      <c r="CK593" s="72"/>
      <c r="CL593" s="72"/>
      <c r="CM593" s="2"/>
      <c r="CN593" s="2"/>
      <c r="CO593" s="73">
        <f t="shared" si="20"/>
        <v>0</v>
      </c>
      <c r="CP593" s="5">
        <f t="shared" si="21"/>
        <v>0</v>
      </c>
      <c r="CQ593" s="1"/>
      <c r="CR593" s="1">
        <f t="shared" si="22"/>
        <v>0</v>
      </c>
      <c r="CS593" s="1"/>
      <c r="CT593" s="1" t="e">
        <f>INDEX([2]マスタ!$A:$A,MATCH(D593,[2]マスタ!$C:$C,0))</f>
        <v>#N/A</v>
      </c>
      <c r="CU593" s="1" t="str">
        <f t="shared" ca="1" si="23"/>
        <v>20260620_0-0</v>
      </c>
    </row>
    <row r="594" spans="1:99" x14ac:dyDescent="0.4">
      <c r="A594" s="61"/>
      <c r="B594" s="62"/>
      <c r="C594" s="62"/>
      <c r="D594" s="62"/>
      <c r="E594" s="74"/>
      <c r="F594" s="62"/>
      <c r="G594" s="62">
        <v>1</v>
      </c>
      <c r="H594" s="64">
        <f t="shared" si="4"/>
        <v>0</v>
      </c>
      <c r="I594" s="64"/>
      <c r="J594" s="64"/>
      <c r="K594" s="65">
        <f t="shared" si="375"/>
        <v>0</v>
      </c>
      <c r="L594" s="65">
        <f t="shared" si="6"/>
        <v>0</v>
      </c>
      <c r="M594" s="65">
        <f t="shared" si="7"/>
        <v>0</v>
      </c>
      <c r="N594" s="65">
        <f t="shared" si="8"/>
        <v>0</v>
      </c>
      <c r="O594" s="66" t="str">
        <f t="shared" si="9"/>
        <v>✕</v>
      </c>
      <c r="P594" s="67" t="str">
        <f t="shared" si="10"/>
        <v>○</v>
      </c>
      <c r="Q594" s="67" t="str">
        <f t="shared" si="376"/>
        <v>✕</v>
      </c>
      <c r="R594" s="67" t="str">
        <f t="shared" si="12"/>
        <v>✕</v>
      </c>
      <c r="S594" s="68">
        <v>0</v>
      </c>
      <c r="T594" s="69" t="s">
        <v>85</v>
      </c>
      <c r="U594" s="69" t="s">
        <v>85</v>
      </c>
      <c r="V594" s="69" t="s">
        <v>85</v>
      </c>
      <c r="W594" s="69" t="s">
        <v>85</v>
      </c>
      <c r="X594" s="69" t="s">
        <v>84</v>
      </c>
      <c r="Y594" s="69" t="s">
        <v>85</v>
      </c>
      <c r="Z594" s="69" t="s">
        <v>85</v>
      </c>
      <c r="AA594" s="69" t="s">
        <v>85</v>
      </c>
      <c r="AB594" s="69" t="s">
        <v>85</v>
      </c>
      <c r="AC594" s="69" t="s">
        <v>85</v>
      </c>
      <c r="AD594" s="38" t="str">
        <f>+IF(ISERROR(VLOOKUP($B594,AD$10:AD593,1,0)),IF(AND($N594&gt;=1000,$A594&gt;=AO$8,$A594&lt;=AO$9),$B594,""),"")</f>
        <v/>
      </c>
      <c r="AE594" s="38" t="str">
        <f>+IF(ISERROR(VLOOKUP($B594,AE$10:AE593,1,0)),IF(AND($N594&gt;=1000,$A594&gt;=AP$8,$A594&lt;=AP$9),$B594,""),"")</f>
        <v/>
      </c>
      <c r="AF594" s="38" t="str">
        <f>+IF(ISERROR(VLOOKUP($B594,AF$10:AF593,1,0)),IF(AND($N594&gt;=1000,$A594&gt;=AQ$8,$A594&lt;=AQ$9),$B594,""),"")</f>
        <v/>
      </c>
      <c r="AG594" s="38" t="str">
        <f>+IF(ISERROR(VLOOKUP($B594,AG$10:AG593,1,0)),IF(AND($N594&gt;=1000,$A594&gt;=AR$8,$A594&lt;=AR$9),$B594,""),"")</f>
        <v/>
      </c>
      <c r="AH594" s="38"/>
      <c r="AI594" s="70">
        <v>0</v>
      </c>
      <c r="AJ594" s="38">
        <f>IF(AND(AJ$7="○",$A594&gt;=AJ$8,$A594&lt;=AJ$9),IF(SUM(AJ$10:AJ593)-ROUNDDOWN($K594*AJ$5/100,0)&lt;-AJ$6,-AJ$6-SUM(AJ$10:AJ593),-ROUNDDOWN($K594*AJ$5/100,0)),0)</f>
        <v>0</v>
      </c>
      <c r="AK594" s="38">
        <f>IF(AND(AK$7="○",$A594&gt;=AK$8,$A594&lt;=AK$9),IF(SUM(AK$10:AK593)-ROUNDDOWN($L594*AK$5/100,0)&lt;-AK$6,-AK$6-SUM(AK$10:AK593),-ROUNDDOWN($L594*AK$5/100,0)),0)</f>
        <v>0</v>
      </c>
      <c r="AL594" s="38">
        <f>IF(AND(AL$7="○",$A594&gt;=AL$8,$A594&lt;=AL$9),IF(SUM(AL$10:AL593)-ROUNDDOWN($N594*AL$5/100,0)&lt;-AL$6,-AL$6-SUM(AL$10:AL593),-ROUNDDOWN($N594*AL$5/100,0)),0)</f>
        <v>0</v>
      </c>
      <c r="AM594" s="38">
        <f>IF(AND(AM$7="○",$A594&gt;=AM$8,$A594&lt;=AM$9),IF(SUM(AM$10:AM593)-ROUNDDOWN($L594*AM$5/100,0)&lt;-AM$6,-AM$6-SUM(AM$10:AM593),-ROUNDDOWN($L594*AM$5/100,0)),0)</f>
        <v>0</v>
      </c>
      <c r="AN594" s="38">
        <f>IF(AND(AN$7="○",$A594&gt;=AN$8,$A594&lt;=AN$9),IF(SUM(AN$10:AN593)-ROUNDDOWN($M594*AN$5/100,0)&lt;-AN$6,-AN$6-SUM(AN$10:AN593),-ROUNDDOWN($M594*AN$5/100,0)),0)</f>
        <v>0</v>
      </c>
      <c r="AO594" s="38">
        <f>IF(AND($A594&gt;=AO$8,$A594&lt;=AO$9),IF(SUM(AO$10:AO593)-ROUNDDOWN($K594*AO$5/100,0)&lt;-AO$6,-AO$6-SUM(AO$10:AO593),-ROUNDDOWN($K594*AO$5/100,0)),0)</f>
        <v>0</v>
      </c>
      <c r="AP594" s="38">
        <f>IF(AND($A594&gt;=AP$8,$A594&lt;=AP$9),IF(SUM(AP$10:AP593)-ROUNDDOWN($K594*AP$5/100,0)&lt;-AP$6,-AP$6-SUM(AP$10:AP593),-ROUNDDOWN($K594*AP$5/100,0)),0)</f>
        <v>0</v>
      </c>
      <c r="AQ594" s="38">
        <f>IF(AND($A594&gt;=AQ$8,$A594&lt;=AQ$9),IF(SUM(AQ$10:AQ593)-ROUNDDOWN($K594*AQ$5/100,0)&lt;-AQ$6,-AQ$6-SUM(AQ$10:AQ593),-ROUNDDOWN($K594*AQ$5/100,0)),0)</f>
        <v>0</v>
      </c>
      <c r="AR594" s="38">
        <f>IF(AND($A594&gt;=AR$8,$A594&lt;=AR$9),IF(SUM(AR$10:AR593)-ROUNDDOWN($K594*AR$5/100,0)&lt;-AR$6,-AR$6-SUM(AR$10:AR593),-ROUNDDOWN($K594*AR$5/100,0)),0)</f>
        <v>0</v>
      </c>
      <c r="AS594" s="38">
        <f>IF(SUMIFS(AS$10:AS593,$A$10:$A593,$A594)-ROUNDDOWN($K594*$S594/100,0)&lt;-$S594*1000,-$S594*1000-SUMIFS(AS$10:AS593,$A$10:$A593,$A594),-ROUNDDOWN($K594*$S594/100,0))</f>
        <v>0</v>
      </c>
      <c r="AT594" s="38">
        <f>IF(AND(X594="○",$A594&gt;=AT$8,$A594&lt;=AT$9,K594&gt;=3980),IF(SUM(AT$10:AT593)-ROUNDDOWN($K594*AT$5/100,0)&lt;-AT$6,-AT$6-SUM(AT$10:AT593),-ROUNDDOWN($K594*AT$5/100,0)),0)</f>
        <v>0</v>
      </c>
      <c r="AU594" s="38">
        <f>IF(O594="○",IF(SUM(AU$10:AU593)-ROUNDDOWN($K594*AU$5/100,0)&lt;-AU$6,-AU$6-SUM(AU$10:AU593),-ROUNDDOWN($K594*AU$5/100,0)),0)</f>
        <v>0</v>
      </c>
      <c r="AV594" s="38">
        <f>IF(P594="○",IF(SUM(AV$10:AV593)-ROUNDDOWN($K594*AV$5/100,0)&lt;-AV$6,-AV$6-SUM(AV$10:AV593),-ROUNDDOWN($K594*AV$5/100,0)),0)</f>
        <v>0</v>
      </c>
      <c r="AW594" s="38">
        <f>IF(Q594="○",IF(SUM(AW$10:AW593)-ROUNDDOWN($K594*AW$5/100,0)&lt;-AW$6,-AW$6-SUM(AW$10:AW593),-ROUNDDOWN($K594*AW$5/100,0)),0)</f>
        <v>0</v>
      </c>
      <c r="AX594" s="38">
        <f>IF(R594="○",IF(SUM(AX$10:AX593)-ROUNDDOWN($K594*AX$5/100,0)&lt;-AX$6,-AX$6-SUM(AX$10:AX593),-ROUNDDOWN($K594*AX$5/100,0)),0)</f>
        <v>0</v>
      </c>
      <c r="AY594" s="70">
        <v>0</v>
      </c>
      <c r="AZ594" s="65">
        <f t="shared" si="348"/>
        <v>0</v>
      </c>
      <c r="BA594" s="65">
        <f t="shared" si="349"/>
        <v>0</v>
      </c>
      <c r="BB594" s="70"/>
      <c r="BC594" s="65">
        <f t="shared" si="350"/>
        <v>0</v>
      </c>
      <c r="BD594" s="70">
        <v>0</v>
      </c>
      <c r="BE594" s="65">
        <f t="shared" si="351"/>
        <v>0</v>
      </c>
      <c r="BF594" s="70">
        <v>0</v>
      </c>
      <c r="BG594" s="65">
        <f t="shared" si="352"/>
        <v>0</v>
      </c>
      <c r="BH594" s="70">
        <v>0</v>
      </c>
      <c r="BI594" s="65">
        <f t="shared" si="353"/>
        <v>0</v>
      </c>
      <c r="BJ594" s="38">
        <f>IF(AND(BJ$7="○",$A594&gt;=BJ$8,$A594&lt;=BJ$9),IF(SUM(BJ$10:BJ593)-ROUNDDOWN($M594*BJ$5/100,0)&lt;-BJ$6,-BJ$6-SUM(BJ$10:BJ593),-ROUNDDOWN($M594*BJ$5/100,0)),0)</f>
        <v>0</v>
      </c>
      <c r="BK594" s="38">
        <f>IF(AND(BK$7="○",$A594&gt;=BK$8,$A594&lt;=BK$9),IF(SUM(BK$10:BK593)-ROUNDDOWN($L594*BK$5/100,0)&lt;-BK$6,-BK$6-SUM(BK$10:BK593),-ROUNDDOWN($L594*BK$5/100,0)),0)</f>
        <v>0</v>
      </c>
      <c r="BL594" s="38">
        <f>IF(AND(BL$7="○",$A594&gt;=BL$8,$A594&lt;=BL$9),IF(SUM(BL$10:BL593)-ROUNDDOWN($L594*BL$5/100,0)&lt;-BL$6,-BL$6-SUM(BL$10:BL593),-ROUNDDOWN($L594*BL$5/100,0)),0)</f>
        <v>0</v>
      </c>
      <c r="BM594" s="38">
        <f>IF(AND(BM$7="○",$A594&gt;=BM$8,$A594&lt;=BM$9),IF(SUM(BM$10:BM593)-ROUNDDOWN($M594*BM$5/100,0)&lt;-BM$6,-BM$6-SUM(BM$10:BM593),-ROUNDDOWN($M594*BM$5/100,0)),0)</f>
        <v>0</v>
      </c>
      <c r="BN594" s="38">
        <f>IF(AND(BN$7="○",$A594&gt;=BN$8,$A594&lt;=BN$9),IF(SUM(BN$10:BN593)-ROUNDDOWN($M594*BN$5/100,0)&lt;-BN$6,-BN$6-SUM(BN$10:BN593),-ROUNDDOWN($M594*BN$5/100,0)),0)</f>
        <v>0</v>
      </c>
      <c r="BO594" s="38">
        <f>IF(AND(BO$7="○",$A594&gt;=BO$8,$A594&lt;=BO$9),IF(SUM(BO$10:BO593)-ROUNDDOWN($M594*BO$5/100,0)&lt;-BO$6,-BO$6-SUM(BO$10:BO593),-ROUNDDOWN($M594*BO$5/100,0)),0)</f>
        <v>0</v>
      </c>
      <c r="BP594" s="38">
        <f>IF(AND(BP$7="○",$A594&gt;=BP$8,$A594&lt;=BP$9),IF(SUM(BP$10:BP593)-ROUNDDOWN($M594*BP$5/100,0)&lt;-BP$6,-BP$6-SUM(BP$10:BP593),-ROUNDDOWN($M594*BP$5/100,0)),0)</f>
        <v>0</v>
      </c>
      <c r="BQ594" s="38">
        <f>IF(AND(BQ$7="○",$A594&gt;=BQ$8,$A594&lt;=BQ$9),IF(SUM(BQ$10:BQ593)-ROUNDDOWN($L594*BQ$5/100,0)&lt;-BQ$6,-BQ$6-SUM(BQ$10:BQ593),-ROUNDDOWN($L594*BQ$5/100,0)),0)</f>
        <v>0</v>
      </c>
      <c r="BR594" s="38">
        <f>IF(AND(BR$7="○",$A594&gt;=BR$8,$A594&lt;=BR$9),IF(SUM(BR$10:BR593)-ROUNDDOWN($M594*BR$5/100,0)&lt;-BR$6,-BR$6-SUM(BR$10:BR593),-ROUNDDOWN($M594*BR$5/100,0)),0)</f>
        <v>0</v>
      </c>
      <c r="BS594" s="38">
        <f>IF(AND(BS$7="○",$A594&gt;=BS$8,$A594&lt;=BS$9),IF(SUM(BS$10:BS593)-ROUNDDOWN($M594*BS$5/100,0)&lt;-BS$6,-BS$6-SUM(BS$10:BS593),-ROUNDDOWN($M594*BS$5/100,0)),0)</f>
        <v>0</v>
      </c>
      <c r="BT594" s="38">
        <f>IF(AND(BT$7="○",$A594&gt;=BT$8,$A594&lt;=BT$9),IF(SUM(BT$10:BT593)-ROUNDDOWN($M594*BT$5/100,0)&lt;-BT$6,-BT$6-SUM(BT$10:BT593),-ROUNDDOWN($M594*BT$5/100,0)),0)</f>
        <v>0</v>
      </c>
      <c r="BU594" s="38">
        <f>IF(AND(BU$7="○",$A594&gt;=BU$8,$A594&lt;=BU$9),IF(SUM(BU$10:BU593)-ROUNDDOWN($M594*BU$5/100,0)&lt;-BU$6,-BU$6-SUM(BU$10:BU593),-ROUNDDOWN($M594*BU$5/100,0)),0)</f>
        <v>0</v>
      </c>
      <c r="BV594" s="38">
        <f>IF(AND(BV$7="○",$A594&gt;=BV$8,$A594&lt;=BV$9),IF(SUM(BV$10:BV593)-ROUNDDOWN($M594*BV$5/100,0)&lt;-BV$6,-BV$6-SUM(BV$10:BV593),-ROUNDDOWN($M594*BV$5/100,0)),0)</f>
        <v>0</v>
      </c>
      <c r="BW594" s="38">
        <f>IF(AND(BW$7="○",$A594&gt;=BW$8,$A594&lt;=BW$9),IF(SUM(BW$10:BW593)-ROUNDDOWN($M594*BW$5/100,0)&lt;-BW$6,-BW$6-SUM(BW$10:BW593),-ROUNDDOWN($M594*BW$5/100,0)),0)</f>
        <v>0</v>
      </c>
      <c r="BX594" s="38">
        <f>IF(AND(T594="○",$A594&gt;=BX$8,$A594&lt;=BX$9),IF(SUM(BX$10:BX593)-ROUNDDOWN($K594*BX$5/100,0)&lt;-BX$6,-BX$6-SUM(BX$10:BX593),-ROUNDDOWN($K594*BX$5/100,0)),0)</f>
        <v>0</v>
      </c>
      <c r="BY594" s="38">
        <f>IF(AND(U594="○",$A594&gt;=BY$8,$A594&lt;=BY$9),IF(SUM(BY$10:BY593)-ROUNDDOWN($K594*BY$5/100,0)&lt;-BY$6,-BY$6-SUM(BY$10:BY593),-ROUNDDOWN($K594*BY$5/100,0)),0)</f>
        <v>0</v>
      </c>
      <c r="BZ594" s="38">
        <f>IF(AND(V594="○",$A594&gt;=BZ$8,$A594&lt;=BZ$9),IF(SUM(BZ$10:BZ593)-ROUNDDOWN($K594*BZ$5/100,0)&lt;-BZ$6,-BZ$6-SUM(BZ$10:BZ593),-ROUNDDOWN($K594*BZ$5/100,0)),0)</f>
        <v>0</v>
      </c>
      <c r="CA594" s="38">
        <f>IF(AND(W594="○",$A594&gt;=CA$8,$A594&lt;=CA$9),IF(SUM(CA$10:CA593)-ROUNDDOWN($K594*CA$5/100,0)&lt;-CA$6,-CA$6-SUM(CA$10:CA593),-ROUNDDOWN($K594*CA$5/100,0)),0)</f>
        <v>0</v>
      </c>
      <c r="CB594" s="38"/>
      <c r="CC594" s="38"/>
      <c r="CD594" s="38"/>
      <c r="CE594" s="38"/>
      <c r="CF594" s="38"/>
      <c r="CG594" s="65">
        <f t="shared" si="354"/>
        <v>0</v>
      </c>
      <c r="CH594" s="71">
        <f t="shared" si="355"/>
        <v>0</v>
      </c>
      <c r="CI594" s="1">
        <f t="shared" si="19"/>
        <v>0</v>
      </c>
      <c r="CJ594" s="1"/>
      <c r="CK594" s="72"/>
      <c r="CL594" s="72"/>
      <c r="CM594" s="2"/>
      <c r="CN594" s="2"/>
      <c r="CO594" s="73">
        <f t="shared" si="20"/>
        <v>0</v>
      </c>
      <c r="CP594" s="5">
        <f t="shared" si="21"/>
        <v>0</v>
      </c>
      <c r="CQ594" s="1"/>
      <c r="CR594" s="1">
        <f t="shared" si="22"/>
        <v>0</v>
      </c>
      <c r="CS594" s="1"/>
      <c r="CT594" s="1" t="e">
        <f>INDEX([2]マスタ!$A:$A,MATCH(D594,[2]マスタ!$C:$C,0))</f>
        <v>#N/A</v>
      </c>
      <c r="CU594" s="1" t="str">
        <f t="shared" ca="1" si="23"/>
        <v>20260620_0-0</v>
      </c>
    </row>
    <row r="595" spans="1:99" x14ac:dyDescent="0.4">
      <c r="A595" s="61"/>
      <c r="B595" s="62"/>
      <c r="C595" s="62"/>
      <c r="D595" s="62"/>
      <c r="E595" s="74"/>
      <c r="F595" s="62"/>
      <c r="G595" s="62">
        <v>1</v>
      </c>
      <c r="H595" s="64">
        <f t="shared" si="4"/>
        <v>0</v>
      </c>
      <c r="I595" s="64"/>
      <c r="J595" s="64"/>
      <c r="K595" s="65">
        <f t="shared" si="375"/>
        <v>0</v>
      </c>
      <c r="L595" s="65">
        <f t="shared" si="6"/>
        <v>0</v>
      </c>
      <c r="M595" s="65">
        <f t="shared" si="7"/>
        <v>0</v>
      </c>
      <c r="N595" s="65">
        <f t="shared" si="8"/>
        <v>0</v>
      </c>
      <c r="O595" s="66" t="str">
        <f t="shared" si="9"/>
        <v>✕</v>
      </c>
      <c r="P595" s="67" t="str">
        <f t="shared" si="10"/>
        <v>○</v>
      </c>
      <c r="Q595" s="67" t="str">
        <f t="shared" si="376"/>
        <v>✕</v>
      </c>
      <c r="R595" s="67" t="str">
        <f t="shared" si="12"/>
        <v>✕</v>
      </c>
      <c r="S595" s="68">
        <v>0</v>
      </c>
      <c r="T595" s="69" t="s">
        <v>85</v>
      </c>
      <c r="U595" s="69" t="s">
        <v>85</v>
      </c>
      <c r="V595" s="69" t="s">
        <v>85</v>
      </c>
      <c r="W595" s="69" t="s">
        <v>85</v>
      </c>
      <c r="X595" s="69" t="s">
        <v>84</v>
      </c>
      <c r="Y595" s="69" t="s">
        <v>85</v>
      </c>
      <c r="Z595" s="69" t="s">
        <v>85</v>
      </c>
      <c r="AA595" s="69" t="s">
        <v>85</v>
      </c>
      <c r="AB595" s="69" t="s">
        <v>85</v>
      </c>
      <c r="AC595" s="69" t="s">
        <v>85</v>
      </c>
      <c r="AD595" s="38" t="str">
        <f>+IF(ISERROR(VLOOKUP($B595,AD$10:AD594,1,0)),IF(AND($N595&gt;=1000,$A595&gt;=AO$8,$A595&lt;=AO$9),$B595,""),"")</f>
        <v/>
      </c>
      <c r="AE595" s="38" t="str">
        <f>+IF(ISERROR(VLOOKUP($B595,AE$10:AE594,1,0)),IF(AND($N595&gt;=1000,$A595&gt;=AP$8,$A595&lt;=AP$9),$B595,""),"")</f>
        <v/>
      </c>
      <c r="AF595" s="38" t="str">
        <f>+IF(ISERROR(VLOOKUP($B595,AF$10:AF594,1,0)),IF(AND($N595&gt;=1000,$A595&gt;=AQ$8,$A595&lt;=AQ$9),$B595,""),"")</f>
        <v/>
      </c>
      <c r="AG595" s="38" t="str">
        <f>+IF(ISERROR(VLOOKUP($B595,AG$10:AG594,1,0)),IF(AND($N595&gt;=1000,$A595&gt;=AR$8,$A595&lt;=AR$9),$B595,""),"")</f>
        <v/>
      </c>
      <c r="AH595" s="38"/>
      <c r="AI595" s="70">
        <v>0</v>
      </c>
      <c r="AJ595" s="38">
        <f>IF(AND(AJ$7="○",$A595&gt;=AJ$8,$A595&lt;=AJ$9),IF(SUM(AJ$10:AJ594)-ROUNDDOWN($K595*AJ$5/100,0)&lt;-AJ$6,-AJ$6-SUM(AJ$10:AJ594),-ROUNDDOWN($K595*AJ$5/100,0)),0)</f>
        <v>0</v>
      </c>
      <c r="AK595" s="38">
        <f>IF(AND(AK$7="○",$A595&gt;=AK$8,$A595&lt;=AK$9),IF(SUM(AK$10:AK594)-ROUNDDOWN($L595*AK$5/100,0)&lt;-AK$6,-AK$6-SUM(AK$10:AK594),-ROUNDDOWN($L595*AK$5/100,0)),0)</f>
        <v>0</v>
      </c>
      <c r="AL595" s="38">
        <f>IF(AND(AL$7="○",$A595&gt;=AL$8,$A595&lt;=AL$9),IF(SUM(AL$10:AL594)-ROUNDDOWN($N595*AL$5/100,0)&lt;-AL$6,-AL$6-SUM(AL$10:AL594),-ROUNDDOWN($N595*AL$5/100,0)),0)</f>
        <v>0</v>
      </c>
      <c r="AM595" s="38">
        <f>IF(AND(AM$7="○",$A595&gt;=AM$8,$A595&lt;=AM$9),IF(SUM(AM$10:AM594)-ROUNDDOWN($L595*AM$5/100,0)&lt;-AM$6,-AM$6-SUM(AM$10:AM594),-ROUNDDOWN($L595*AM$5/100,0)),0)</f>
        <v>0</v>
      </c>
      <c r="AN595" s="38">
        <f>IF(AND(AN$7="○",$A595&gt;=AN$8,$A595&lt;=AN$9),IF(SUM(AN$10:AN594)-ROUNDDOWN($M595*AN$5/100,0)&lt;-AN$6,-AN$6-SUM(AN$10:AN594),-ROUNDDOWN($M595*AN$5/100,0)),0)</f>
        <v>0</v>
      </c>
      <c r="AO595" s="38">
        <f>IF(AND($A595&gt;=AO$8,$A595&lt;=AO$9),IF(SUM(AO$10:AO594)-ROUNDDOWN($K595*AO$5/100,0)&lt;-AO$6,-AO$6-SUM(AO$10:AO594),-ROUNDDOWN($K595*AO$5/100,0)),0)</f>
        <v>0</v>
      </c>
      <c r="AP595" s="38">
        <f>IF(AND($A595&gt;=AP$8,$A595&lt;=AP$9),IF(SUM(AP$10:AP594)-ROUNDDOWN($K595*AP$5/100,0)&lt;-AP$6,-AP$6-SUM(AP$10:AP594),-ROUNDDOWN($K595*AP$5/100,0)),0)</f>
        <v>0</v>
      </c>
      <c r="AQ595" s="38">
        <f>IF(AND($A595&gt;=AQ$8,$A595&lt;=AQ$9),IF(SUM(AQ$10:AQ594)-ROUNDDOWN($K595*AQ$5/100,0)&lt;-AQ$6,-AQ$6-SUM(AQ$10:AQ594),-ROUNDDOWN($K595*AQ$5/100,0)),0)</f>
        <v>0</v>
      </c>
      <c r="AR595" s="38">
        <f>IF(AND($A595&gt;=AR$8,$A595&lt;=AR$9),IF(SUM(AR$10:AR594)-ROUNDDOWN($K595*AR$5/100,0)&lt;-AR$6,-AR$6-SUM(AR$10:AR594),-ROUNDDOWN($K595*AR$5/100,0)),0)</f>
        <v>0</v>
      </c>
      <c r="AS595" s="38">
        <f>IF(SUMIFS(AS$10:AS594,$A$10:$A594,$A595)-ROUNDDOWN($K595*$S595/100,0)&lt;-$S595*1000,-$S595*1000-SUMIFS(AS$10:AS594,$A$10:$A594,$A595),-ROUNDDOWN($K595*$S595/100,0))</f>
        <v>0</v>
      </c>
      <c r="AT595" s="38">
        <f>IF(AND(X595="○",$A595&gt;=AT$8,$A595&lt;=AT$9,K595&gt;=3980),IF(SUM(AT$10:AT594)-ROUNDDOWN($K595*AT$5/100,0)&lt;-AT$6,-AT$6-SUM(AT$10:AT594),-ROUNDDOWN($K595*AT$5/100,0)),0)</f>
        <v>0</v>
      </c>
      <c r="AU595" s="38">
        <f>IF(O595="○",IF(SUM(AU$10:AU594)-ROUNDDOWN($K595*AU$5/100,0)&lt;-AU$6,-AU$6-SUM(AU$10:AU594),-ROUNDDOWN($K595*AU$5/100,0)),0)</f>
        <v>0</v>
      </c>
      <c r="AV595" s="38">
        <f>IF(P595="○",IF(SUM(AV$10:AV594)-ROUNDDOWN($K595*AV$5/100,0)&lt;-AV$6,-AV$6-SUM(AV$10:AV594),-ROUNDDOWN($K595*AV$5/100,0)),0)</f>
        <v>0</v>
      </c>
      <c r="AW595" s="38">
        <f>IF(Q595="○",IF(SUM(AW$10:AW594)-ROUNDDOWN($K595*AW$5/100,0)&lt;-AW$6,-AW$6-SUM(AW$10:AW594),-ROUNDDOWN($K595*AW$5/100,0)),0)</f>
        <v>0</v>
      </c>
      <c r="AX595" s="38">
        <f>IF(R595="○",IF(SUM(AX$10:AX594)-ROUNDDOWN($K595*AX$5/100,0)&lt;-AX$6,-AX$6-SUM(AX$10:AX594),-ROUNDDOWN($K595*AX$5/100,0)),0)</f>
        <v>0</v>
      </c>
      <c r="AY595" s="70">
        <v>0</v>
      </c>
      <c r="AZ595" s="65">
        <f t="shared" ref="AZ595:AZ623" si="377">-ROUNDDOWN($K595*AY595/100,0)</f>
        <v>0</v>
      </c>
      <c r="BA595" s="65">
        <f t="shared" ref="BA595:BA623" si="378">-ROUNDDOWN($K595*AI595/100,0)</f>
        <v>0</v>
      </c>
      <c r="BB595" s="70"/>
      <c r="BC595" s="65">
        <f t="shared" ref="BC595:BC623" si="379">-ROUNDDOWN($K595*BB595/100,0)</f>
        <v>0</v>
      </c>
      <c r="BD595" s="70">
        <v>0</v>
      </c>
      <c r="BE595" s="65">
        <f t="shared" ref="BE595:BE623" si="380">-ROUNDDOWN($K595*BD595/100,0)</f>
        <v>0</v>
      </c>
      <c r="BF595" s="70">
        <v>0</v>
      </c>
      <c r="BG595" s="65">
        <f t="shared" ref="BG595:BG623" si="381">-ROUNDDOWN($K595*BF595/100,0)</f>
        <v>0</v>
      </c>
      <c r="BH595" s="70">
        <v>0</v>
      </c>
      <c r="BI595" s="65">
        <f t="shared" ref="BI595:BI623" si="382">-ROUNDDOWN($K595*BH595/100,0)</f>
        <v>0</v>
      </c>
      <c r="BJ595" s="38">
        <f>IF(AND(BJ$7="○",$A595&gt;=BJ$8,$A595&lt;=BJ$9),IF(SUM(BJ$10:BJ594)-ROUNDDOWN($M595*BJ$5/100,0)&lt;-BJ$6,-BJ$6-SUM(BJ$10:BJ594),-ROUNDDOWN($M595*BJ$5/100,0)),0)</f>
        <v>0</v>
      </c>
      <c r="BK595" s="38">
        <f>IF(AND(BK$7="○",$A595&gt;=BK$8,$A595&lt;=BK$9),IF(SUM(BK$10:BK594)-ROUNDDOWN($L595*BK$5/100,0)&lt;-BK$6,-BK$6-SUM(BK$10:BK594),-ROUNDDOWN($L595*BK$5/100,0)),0)</f>
        <v>0</v>
      </c>
      <c r="BL595" s="38">
        <f>IF(AND(BL$7="○",$A595&gt;=BL$8,$A595&lt;=BL$9),IF(SUM(BL$10:BL594)-ROUNDDOWN($L595*BL$5/100,0)&lt;-BL$6,-BL$6-SUM(BL$10:BL594),-ROUNDDOWN($L595*BL$5/100,0)),0)</f>
        <v>0</v>
      </c>
      <c r="BM595" s="38">
        <f>IF(AND(BM$7="○",$A595&gt;=BM$8,$A595&lt;=BM$9),IF(SUM(BM$10:BM594)-ROUNDDOWN($M595*BM$5/100,0)&lt;-BM$6,-BM$6-SUM(BM$10:BM594),-ROUNDDOWN($M595*BM$5/100,0)),0)</f>
        <v>0</v>
      </c>
      <c r="BN595" s="38">
        <f>IF(AND(BN$7="○",$A595&gt;=BN$8,$A595&lt;=BN$9),IF(SUM(BN$10:BN594)-ROUNDDOWN($M595*BN$5/100,0)&lt;-BN$6,-BN$6-SUM(BN$10:BN594),-ROUNDDOWN($M595*BN$5/100,0)),0)</f>
        <v>0</v>
      </c>
      <c r="BO595" s="38">
        <f>IF(AND(BO$7="○",$A595&gt;=BO$8,$A595&lt;=BO$9),IF(SUM(BO$10:BO594)-ROUNDDOWN($M595*BO$5/100,0)&lt;-BO$6,-BO$6-SUM(BO$10:BO594),-ROUNDDOWN($M595*BO$5/100,0)),0)</f>
        <v>0</v>
      </c>
      <c r="BP595" s="38">
        <f>IF(AND(BP$7="○",$A595&gt;=BP$8,$A595&lt;=BP$9),IF(SUM(BP$10:BP594)-ROUNDDOWN($M595*BP$5/100,0)&lt;-BP$6,-BP$6-SUM(BP$10:BP594),-ROUNDDOWN($M595*BP$5/100,0)),0)</f>
        <v>0</v>
      </c>
      <c r="BQ595" s="38">
        <f>IF(AND(BQ$7="○",$A595&gt;=BQ$8,$A595&lt;=BQ$9),IF(SUM(BQ$10:BQ594)-ROUNDDOWN($L595*BQ$5/100,0)&lt;-BQ$6,-BQ$6-SUM(BQ$10:BQ594),-ROUNDDOWN($L595*BQ$5/100,0)),0)</f>
        <v>0</v>
      </c>
      <c r="BR595" s="38">
        <f>IF(AND(BR$7="○",$A595&gt;=BR$8,$A595&lt;=BR$9),IF(SUM(BR$10:BR594)-ROUNDDOWN($M595*BR$5/100,0)&lt;-BR$6,-BR$6-SUM(BR$10:BR594),-ROUNDDOWN($M595*BR$5/100,0)),0)</f>
        <v>0</v>
      </c>
      <c r="BS595" s="38">
        <f>IF(AND(BS$7="○",$A595&gt;=BS$8,$A595&lt;=BS$9),IF(SUM(BS$10:BS594)-ROUNDDOWN($M595*BS$5/100,0)&lt;-BS$6,-BS$6-SUM(BS$10:BS594),-ROUNDDOWN($M595*BS$5/100,0)),0)</f>
        <v>0</v>
      </c>
      <c r="BT595" s="38">
        <f>IF(AND(BT$7="○",$A595&gt;=BT$8,$A595&lt;=BT$9),IF(SUM(BT$10:BT594)-ROUNDDOWN($M595*BT$5/100,0)&lt;-BT$6,-BT$6-SUM(BT$10:BT594),-ROUNDDOWN($M595*BT$5/100,0)),0)</f>
        <v>0</v>
      </c>
      <c r="BU595" s="38">
        <f>IF(AND(BU$7="○",$A595&gt;=BU$8,$A595&lt;=BU$9),IF(SUM(BU$10:BU594)-ROUNDDOWN($M595*BU$5/100,0)&lt;-BU$6,-BU$6-SUM(BU$10:BU594),-ROUNDDOWN($M595*BU$5/100,0)),0)</f>
        <v>0</v>
      </c>
      <c r="BV595" s="38">
        <f>IF(AND(BV$7="○",$A595&gt;=BV$8,$A595&lt;=BV$9),IF(SUM(BV$10:BV594)-ROUNDDOWN($M595*BV$5/100,0)&lt;-BV$6,-BV$6-SUM(BV$10:BV594),-ROUNDDOWN($M595*BV$5/100,0)),0)</f>
        <v>0</v>
      </c>
      <c r="BW595" s="38">
        <f>IF(AND(BW$7="○",$A595&gt;=BW$8,$A595&lt;=BW$9),IF(SUM(BW$10:BW594)-ROUNDDOWN($M595*BW$5/100,0)&lt;-BW$6,-BW$6-SUM(BW$10:BW594),-ROUNDDOWN($M595*BW$5/100,0)),0)</f>
        <v>0</v>
      </c>
      <c r="BX595" s="38">
        <f>IF(AND(T595="○",$A595&gt;=BX$8,$A595&lt;=BX$9),IF(SUM(BX$10:BX594)-ROUNDDOWN($K595*BX$5/100,0)&lt;-BX$6,-BX$6-SUM(BX$10:BX594),-ROUNDDOWN($K595*BX$5/100,0)),0)</f>
        <v>0</v>
      </c>
      <c r="BY595" s="38">
        <f>IF(AND(U595="○",$A595&gt;=BY$8,$A595&lt;=BY$9),IF(SUM(BY$10:BY594)-ROUNDDOWN($K595*BY$5/100,0)&lt;-BY$6,-BY$6-SUM(BY$10:BY594),-ROUNDDOWN($K595*BY$5/100,0)),0)</f>
        <v>0</v>
      </c>
      <c r="BZ595" s="38">
        <f>IF(AND(V595="○",$A595&gt;=BZ$8,$A595&lt;=BZ$9),IF(SUM(BZ$10:BZ594)-ROUNDDOWN($K595*BZ$5/100,0)&lt;-BZ$6,-BZ$6-SUM(BZ$10:BZ594),-ROUNDDOWN($K595*BZ$5/100,0)),0)</f>
        <v>0</v>
      </c>
      <c r="CA595" s="38">
        <f>IF(AND(W595="○",$A595&gt;=CA$8,$A595&lt;=CA$9),IF(SUM(CA$10:CA594)-ROUNDDOWN($K595*CA$5/100,0)&lt;-CA$6,-CA$6-SUM(CA$10:CA594),-ROUNDDOWN($K595*CA$5/100,0)),0)</f>
        <v>0</v>
      </c>
      <c r="CB595" s="38"/>
      <c r="CC595" s="38"/>
      <c r="CD595" s="38"/>
      <c r="CE595" s="38"/>
      <c r="CF595" s="38"/>
      <c r="CG595" s="65">
        <f t="shared" ref="CG595:CG623" si="383">+SUM(AJ595:CF595,BC595,BE595,AZ595,BA595,BG595,BI595)</f>
        <v>0</v>
      </c>
      <c r="CH595" s="71">
        <f t="shared" ref="CH595:CH623" si="384">+CG595+N595</f>
        <v>0</v>
      </c>
      <c r="CI595" s="1">
        <f t="shared" si="19"/>
        <v>0</v>
      </c>
      <c r="CJ595" s="1"/>
      <c r="CK595" s="72"/>
      <c r="CL595" s="72"/>
      <c r="CM595" s="2"/>
      <c r="CN595" s="2"/>
      <c r="CO595" s="73">
        <f t="shared" si="20"/>
        <v>0</v>
      </c>
      <c r="CP595" s="5">
        <f t="shared" si="21"/>
        <v>0</v>
      </c>
      <c r="CQ595" s="1"/>
      <c r="CR595" s="1">
        <f t="shared" si="22"/>
        <v>0</v>
      </c>
      <c r="CS595" s="1"/>
      <c r="CT595" s="1" t="e">
        <f>INDEX([2]マスタ!$A:$A,MATCH(D595,[2]マスタ!$C:$C,0))</f>
        <v>#N/A</v>
      </c>
      <c r="CU595" s="1" t="str">
        <f t="shared" ca="1" si="23"/>
        <v>20260620_0-0</v>
      </c>
    </row>
    <row r="596" spans="1:99" x14ac:dyDescent="0.4">
      <c r="A596" s="61"/>
      <c r="B596" s="62"/>
      <c r="C596" s="62"/>
      <c r="D596" s="62"/>
      <c r="E596" s="74"/>
      <c r="F596" s="62"/>
      <c r="G596" s="62">
        <v>1</v>
      </c>
      <c r="H596" s="64">
        <f t="shared" si="4"/>
        <v>0</v>
      </c>
      <c r="I596" s="64"/>
      <c r="J596" s="64"/>
      <c r="K596" s="65">
        <f t="shared" si="375"/>
        <v>0</v>
      </c>
      <c r="L596" s="65">
        <f t="shared" si="6"/>
        <v>0</v>
      </c>
      <c r="M596" s="65">
        <f t="shared" si="7"/>
        <v>0</v>
      </c>
      <c r="N596" s="65">
        <f t="shared" si="8"/>
        <v>0</v>
      </c>
      <c r="O596" s="66" t="str">
        <f t="shared" si="9"/>
        <v>✕</v>
      </c>
      <c r="P596" s="67" t="str">
        <f t="shared" si="10"/>
        <v>○</v>
      </c>
      <c r="Q596" s="67" t="str">
        <f t="shared" si="376"/>
        <v>✕</v>
      </c>
      <c r="R596" s="67" t="str">
        <f t="shared" si="12"/>
        <v>✕</v>
      </c>
      <c r="S596" s="68">
        <v>0</v>
      </c>
      <c r="T596" s="69" t="s">
        <v>85</v>
      </c>
      <c r="U596" s="69" t="s">
        <v>85</v>
      </c>
      <c r="V596" s="69" t="s">
        <v>85</v>
      </c>
      <c r="W596" s="69" t="s">
        <v>85</v>
      </c>
      <c r="X596" s="69" t="s">
        <v>84</v>
      </c>
      <c r="Y596" s="69" t="s">
        <v>85</v>
      </c>
      <c r="Z596" s="69" t="s">
        <v>85</v>
      </c>
      <c r="AA596" s="69" t="s">
        <v>85</v>
      </c>
      <c r="AB596" s="69" t="s">
        <v>85</v>
      </c>
      <c r="AC596" s="69" t="s">
        <v>85</v>
      </c>
      <c r="AD596" s="38" t="str">
        <f>+IF(ISERROR(VLOOKUP($B596,AD$10:AD595,1,0)),IF(AND($N596&gt;=1000,$A596&gt;=AO$8,$A596&lt;=AO$9),$B596,""),"")</f>
        <v/>
      </c>
      <c r="AE596" s="38" t="str">
        <f>+IF(ISERROR(VLOOKUP($B596,AE$10:AE595,1,0)),IF(AND($N596&gt;=1000,$A596&gt;=AP$8,$A596&lt;=AP$9),$B596,""),"")</f>
        <v/>
      </c>
      <c r="AF596" s="38" t="str">
        <f>+IF(ISERROR(VLOOKUP($B596,AF$10:AF595,1,0)),IF(AND($N596&gt;=1000,$A596&gt;=AQ$8,$A596&lt;=AQ$9),$B596,""),"")</f>
        <v/>
      </c>
      <c r="AG596" s="38" t="str">
        <f>+IF(ISERROR(VLOOKUP($B596,AG$10:AG595,1,0)),IF(AND($N596&gt;=1000,$A596&gt;=AR$8,$A596&lt;=AR$9),$B596,""),"")</f>
        <v/>
      </c>
      <c r="AH596" s="38"/>
      <c r="AI596" s="70">
        <v>0</v>
      </c>
      <c r="AJ596" s="38">
        <f>IF(AND(AJ$7="○",$A596&gt;=AJ$8,$A596&lt;=AJ$9),IF(SUM(AJ$10:AJ595)-ROUNDDOWN($K596*AJ$5/100,0)&lt;-AJ$6,-AJ$6-SUM(AJ$10:AJ595),-ROUNDDOWN($K596*AJ$5/100,0)),0)</f>
        <v>0</v>
      </c>
      <c r="AK596" s="38">
        <f>IF(AND(AK$7="○",$A596&gt;=AK$8,$A596&lt;=AK$9),IF(SUM(AK$10:AK595)-ROUNDDOWN($L596*AK$5/100,0)&lt;-AK$6,-AK$6-SUM(AK$10:AK595),-ROUNDDOWN($L596*AK$5/100,0)),0)</f>
        <v>0</v>
      </c>
      <c r="AL596" s="38">
        <f>IF(AND(AL$7="○",$A596&gt;=AL$8,$A596&lt;=AL$9),IF(SUM(AL$10:AL595)-ROUNDDOWN($N596*AL$5/100,0)&lt;-AL$6,-AL$6-SUM(AL$10:AL595),-ROUNDDOWN($N596*AL$5/100,0)),0)</f>
        <v>0</v>
      </c>
      <c r="AM596" s="38">
        <f>IF(AND(AM$7="○",$A596&gt;=AM$8,$A596&lt;=AM$9),IF(SUM(AM$10:AM595)-ROUNDDOWN($L596*AM$5/100,0)&lt;-AM$6,-AM$6-SUM(AM$10:AM595),-ROUNDDOWN($L596*AM$5/100,0)),0)</f>
        <v>0</v>
      </c>
      <c r="AN596" s="38">
        <f>IF(AND(AN$7="○",$A596&gt;=AN$8,$A596&lt;=AN$9),IF(SUM(AN$10:AN595)-ROUNDDOWN($M596*AN$5/100,0)&lt;-AN$6,-AN$6-SUM(AN$10:AN595),-ROUNDDOWN($M596*AN$5/100,0)),0)</f>
        <v>0</v>
      </c>
      <c r="AO596" s="38">
        <f>IF(AND($A596&gt;=AO$8,$A596&lt;=AO$9),IF(SUM(AO$10:AO595)-ROUNDDOWN($K596*AO$5/100,0)&lt;-AO$6,-AO$6-SUM(AO$10:AO595),-ROUNDDOWN($K596*AO$5/100,0)),0)</f>
        <v>0</v>
      </c>
      <c r="AP596" s="38">
        <f>IF(AND($A596&gt;=AP$8,$A596&lt;=AP$9),IF(SUM(AP$10:AP595)-ROUNDDOWN($K596*AP$5/100,0)&lt;-AP$6,-AP$6-SUM(AP$10:AP595),-ROUNDDOWN($K596*AP$5/100,0)),0)</f>
        <v>0</v>
      </c>
      <c r="AQ596" s="38">
        <f>IF(AND($A596&gt;=AQ$8,$A596&lt;=AQ$9),IF(SUM(AQ$10:AQ595)-ROUNDDOWN($K596*AQ$5/100,0)&lt;-AQ$6,-AQ$6-SUM(AQ$10:AQ595),-ROUNDDOWN($K596*AQ$5/100,0)),0)</f>
        <v>0</v>
      </c>
      <c r="AR596" s="38">
        <f>IF(AND($A596&gt;=AR$8,$A596&lt;=AR$9),IF(SUM(AR$10:AR595)-ROUNDDOWN($K596*AR$5/100,0)&lt;-AR$6,-AR$6-SUM(AR$10:AR595),-ROUNDDOWN($K596*AR$5/100,0)),0)</f>
        <v>0</v>
      </c>
      <c r="AS596" s="38">
        <f>IF(SUMIFS(AS$10:AS595,$A$10:$A595,$A596)-ROUNDDOWN($K596*$S596/100,0)&lt;-$S596*1000,-$S596*1000-SUMIFS(AS$10:AS595,$A$10:$A595,$A596),-ROUNDDOWN($K596*$S596/100,0))</f>
        <v>0</v>
      </c>
      <c r="AT596" s="38">
        <f>IF(AND(X596="○",$A596&gt;=AT$8,$A596&lt;=AT$9,K596&gt;=3980),IF(SUM(AT$10:AT595)-ROUNDDOWN($K596*AT$5/100,0)&lt;-AT$6,-AT$6-SUM(AT$10:AT595),-ROUNDDOWN($K596*AT$5/100,0)),0)</f>
        <v>0</v>
      </c>
      <c r="AU596" s="38">
        <f>IF(O596="○",IF(SUM(AU$10:AU595)-ROUNDDOWN($K596*AU$5/100,0)&lt;-AU$6,-AU$6-SUM(AU$10:AU595),-ROUNDDOWN($K596*AU$5/100,0)),0)</f>
        <v>0</v>
      </c>
      <c r="AV596" s="38">
        <f>IF(P596="○",IF(SUM(AV$10:AV595)-ROUNDDOWN($K596*AV$5/100,0)&lt;-AV$6,-AV$6-SUM(AV$10:AV595),-ROUNDDOWN($K596*AV$5/100,0)),0)</f>
        <v>0</v>
      </c>
      <c r="AW596" s="38">
        <f>IF(Q596="○",IF(SUM(AW$10:AW595)-ROUNDDOWN($K596*AW$5/100,0)&lt;-AW$6,-AW$6-SUM(AW$10:AW595),-ROUNDDOWN($K596*AW$5/100,0)),0)</f>
        <v>0</v>
      </c>
      <c r="AX596" s="38">
        <f>IF(R596="○",IF(SUM(AX$10:AX595)-ROUNDDOWN($K596*AX$5/100,0)&lt;-AX$6,-AX$6-SUM(AX$10:AX595),-ROUNDDOWN($K596*AX$5/100,0)),0)</f>
        <v>0</v>
      </c>
      <c r="AY596" s="70">
        <v>0</v>
      </c>
      <c r="AZ596" s="65">
        <f t="shared" si="377"/>
        <v>0</v>
      </c>
      <c r="BA596" s="65">
        <f t="shared" si="378"/>
        <v>0</v>
      </c>
      <c r="BB596" s="70"/>
      <c r="BC596" s="65">
        <f t="shared" si="379"/>
        <v>0</v>
      </c>
      <c r="BD596" s="70">
        <v>0</v>
      </c>
      <c r="BE596" s="65">
        <f t="shared" si="380"/>
        <v>0</v>
      </c>
      <c r="BF596" s="70">
        <v>0</v>
      </c>
      <c r="BG596" s="65">
        <f t="shared" si="381"/>
        <v>0</v>
      </c>
      <c r="BH596" s="70">
        <v>0</v>
      </c>
      <c r="BI596" s="65">
        <f t="shared" si="382"/>
        <v>0</v>
      </c>
      <c r="BJ596" s="38">
        <f>IF(AND(BJ$7="○",$A596&gt;=BJ$8,$A596&lt;=BJ$9),IF(SUM(BJ$10:BJ595)-ROUNDDOWN($M596*BJ$5/100,0)&lt;-BJ$6,-BJ$6-SUM(BJ$10:BJ595),-ROUNDDOWN($M596*BJ$5/100,0)),0)</f>
        <v>0</v>
      </c>
      <c r="BK596" s="38">
        <f>IF(AND(BK$7="○",$A596&gt;=BK$8,$A596&lt;=BK$9),IF(SUM(BK$10:BK595)-ROUNDDOWN($L596*BK$5/100,0)&lt;-BK$6,-BK$6-SUM(BK$10:BK595),-ROUNDDOWN($L596*BK$5/100,0)),0)</f>
        <v>0</v>
      </c>
      <c r="BL596" s="38">
        <f>IF(AND(BL$7="○",$A596&gt;=BL$8,$A596&lt;=BL$9),IF(SUM(BL$10:BL595)-ROUNDDOWN($L596*BL$5/100,0)&lt;-BL$6,-BL$6-SUM(BL$10:BL595),-ROUNDDOWN($L596*BL$5/100,0)),0)</f>
        <v>0</v>
      </c>
      <c r="BM596" s="38">
        <f>IF(AND(BM$7="○",$A596&gt;=BM$8,$A596&lt;=BM$9),IF(SUM(BM$10:BM595)-ROUNDDOWN($M596*BM$5/100,0)&lt;-BM$6,-BM$6-SUM(BM$10:BM595),-ROUNDDOWN($M596*BM$5/100,0)),0)</f>
        <v>0</v>
      </c>
      <c r="BN596" s="38">
        <f>IF(AND(BN$7="○",$A596&gt;=BN$8,$A596&lt;=BN$9),IF(SUM(BN$10:BN595)-ROUNDDOWN($M596*BN$5/100,0)&lt;-BN$6,-BN$6-SUM(BN$10:BN595),-ROUNDDOWN($M596*BN$5/100,0)),0)</f>
        <v>0</v>
      </c>
      <c r="BO596" s="38">
        <f>IF(AND(BO$7="○",$A596&gt;=BO$8,$A596&lt;=BO$9),IF(SUM(BO$10:BO595)-ROUNDDOWN($M596*BO$5/100,0)&lt;-BO$6,-BO$6-SUM(BO$10:BO595),-ROUNDDOWN($M596*BO$5/100,0)),0)</f>
        <v>0</v>
      </c>
      <c r="BP596" s="38">
        <f>IF(AND(BP$7="○",$A596&gt;=BP$8,$A596&lt;=BP$9),IF(SUM(BP$10:BP595)-ROUNDDOWN($M596*BP$5/100,0)&lt;-BP$6,-BP$6-SUM(BP$10:BP595),-ROUNDDOWN($M596*BP$5/100,0)),0)</f>
        <v>0</v>
      </c>
      <c r="BQ596" s="38">
        <f>IF(AND(BQ$7="○",$A596&gt;=BQ$8,$A596&lt;=BQ$9),IF(SUM(BQ$10:BQ595)-ROUNDDOWN($L596*BQ$5/100,0)&lt;-BQ$6,-BQ$6-SUM(BQ$10:BQ595),-ROUNDDOWN($L596*BQ$5/100,0)),0)</f>
        <v>0</v>
      </c>
      <c r="BR596" s="38">
        <f>IF(AND(BR$7="○",$A596&gt;=BR$8,$A596&lt;=BR$9),IF(SUM(BR$10:BR595)-ROUNDDOWN($M596*BR$5/100,0)&lt;-BR$6,-BR$6-SUM(BR$10:BR595),-ROUNDDOWN($M596*BR$5/100,0)),0)</f>
        <v>0</v>
      </c>
      <c r="BS596" s="38">
        <f>IF(AND(BS$7="○",$A596&gt;=BS$8,$A596&lt;=BS$9),IF(SUM(BS$10:BS595)-ROUNDDOWN($M596*BS$5/100,0)&lt;-BS$6,-BS$6-SUM(BS$10:BS595),-ROUNDDOWN($M596*BS$5/100,0)),0)</f>
        <v>0</v>
      </c>
      <c r="BT596" s="38">
        <f>IF(AND(BT$7="○",$A596&gt;=BT$8,$A596&lt;=BT$9),IF(SUM(BT$10:BT595)-ROUNDDOWN($M596*BT$5/100,0)&lt;-BT$6,-BT$6-SUM(BT$10:BT595),-ROUNDDOWN($M596*BT$5/100,0)),0)</f>
        <v>0</v>
      </c>
      <c r="BU596" s="38">
        <f>IF(AND(BU$7="○",$A596&gt;=BU$8,$A596&lt;=BU$9),IF(SUM(BU$10:BU595)-ROUNDDOWN($M596*BU$5/100,0)&lt;-BU$6,-BU$6-SUM(BU$10:BU595),-ROUNDDOWN($M596*BU$5/100,0)),0)</f>
        <v>0</v>
      </c>
      <c r="BV596" s="38">
        <f>IF(AND(BV$7="○",$A596&gt;=BV$8,$A596&lt;=BV$9),IF(SUM(BV$10:BV595)-ROUNDDOWN($M596*BV$5/100,0)&lt;-BV$6,-BV$6-SUM(BV$10:BV595),-ROUNDDOWN($M596*BV$5/100,0)),0)</f>
        <v>0</v>
      </c>
      <c r="BW596" s="38">
        <f>IF(AND(BW$7="○",$A596&gt;=BW$8,$A596&lt;=BW$9),IF(SUM(BW$10:BW595)-ROUNDDOWN($M596*BW$5/100,0)&lt;-BW$6,-BW$6-SUM(BW$10:BW595),-ROUNDDOWN($M596*BW$5/100,0)),0)</f>
        <v>0</v>
      </c>
      <c r="BX596" s="38">
        <f>IF(AND(T596="○",$A596&gt;=BX$8,$A596&lt;=BX$9),IF(SUM(BX$10:BX595)-ROUNDDOWN($K596*BX$5/100,0)&lt;-BX$6,-BX$6-SUM(BX$10:BX595),-ROUNDDOWN($K596*BX$5/100,0)),0)</f>
        <v>0</v>
      </c>
      <c r="BY596" s="38">
        <f>IF(AND(U596="○",$A596&gt;=BY$8,$A596&lt;=BY$9),IF(SUM(BY$10:BY595)-ROUNDDOWN($K596*BY$5/100,0)&lt;-BY$6,-BY$6-SUM(BY$10:BY595),-ROUNDDOWN($K596*BY$5/100,0)),0)</f>
        <v>0</v>
      </c>
      <c r="BZ596" s="38">
        <f>IF(AND(V596="○",$A596&gt;=BZ$8,$A596&lt;=BZ$9),IF(SUM(BZ$10:BZ595)-ROUNDDOWN($K596*BZ$5/100,0)&lt;-BZ$6,-BZ$6-SUM(BZ$10:BZ595),-ROUNDDOWN($K596*BZ$5/100,0)),0)</f>
        <v>0</v>
      </c>
      <c r="CA596" s="38">
        <f>IF(AND(W596="○",$A596&gt;=CA$8,$A596&lt;=CA$9),IF(SUM(CA$10:CA595)-ROUNDDOWN($K596*CA$5/100,0)&lt;-CA$6,-CA$6-SUM(CA$10:CA595),-ROUNDDOWN($K596*CA$5/100,0)),0)</f>
        <v>0</v>
      </c>
      <c r="CB596" s="38"/>
      <c r="CC596" s="38"/>
      <c r="CD596" s="38"/>
      <c r="CE596" s="38"/>
      <c r="CF596" s="38"/>
      <c r="CG596" s="65">
        <f t="shared" si="383"/>
        <v>0</v>
      </c>
      <c r="CH596" s="71">
        <f t="shared" si="384"/>
        <v>0</v>
      </c>
      <c r="CI596" s="1">
        <f t="shared" si="19"/>
        <v>0</v>
      </c>
      <c r="CJ596" s="1"/>
      <c r="CK596" s="72"/>
      <c r="CL596" s="72"/>
      <c r="CM596" s="2"/>
      <c r="CN596" s="2"/>
      <c r="CO596" s="73">
        <f t="shared" si="20"/>
        <v>0</v>
      </c>
      <c r="CP596" s="5">
        <f t="shared" si="21"/>
        <v>0</v>
      </c>
      <c r="CQ596" s="1"/>
      <c r="CR596" s="1">
        <f t="shared" si="22"/>
        <v>0</v>
      </c>
      <c r="CS596" s="1"/>
      <c r="CT596" s="1" t="e">
        <f>INDEX([2]マスタ!$A:$A,MATCH(D596,[2]マスタ!$C:$C,0))</f>
        <v>#N/A</v>
      </c>
      <c r="CU596" s="1" t="str">
        <f t="shared" ca="1" si="23"/>
        <v>20260620_0-0</v>
      </c>
    </row>
    <row r="597" spans="1:99" x14ac:dyDescent="0.4">
      <c r="A597" s="61"/>
      <c r="B597" s="62"/>
      <c r="C597" s="62"/>
      <c r="D597" s="62"/>
      <c r="E597" s="74"/>
      <c r="F597" s="62"/>
      <c r="G597" s="62">
        <v>1</v>
      </c>
      <c r="H597" s="64">
        <f t="shared" si="4"/>
        <v>0</v>
      </c>
      <c r="I597" s="64"/>
      <c r="J597" s="64"/>
      <c r="K597" s="65">
        <f t="shared" si="375"/>
        <v>0</v>
      </c>
      <c r="L597" s="65">
        <f t="shared" si="6"/>
        <v>0</v>
      </c>
      <c r="M597" s="65">
        <f t="shared" si="7"/>
        <v>0</v>
      </c>
      <c r="N597" s="65">
        <f t="shared" si="8"/>
        <v>0</v>
      </c>
      <c r="O597" s="66" t="str">
        <f t="shared" si="9"/>
        <v>✕</v>
      </c>
      <c r="P597" s="67" t="str">
        <f t="shared" si="10"/>
        <v>○</v>
      </c>
      <c r="Q597" s="67" t="str">
        <f t="shared" si="376"/>
        <v>✕</v>
      </c>
      <c r="R597" s="67" t="str">
        <f t="shared" si="12"/>
        <v>✕</v>
      </c>
      <c r="S597" s="68">
        <v>0</v>
      </c>
      <c r="T597" s="69" t="s">
        <v>85</v>
      </c>
      <c r="U597" s="69" t="s">
        <v>85</v>
      </c>
      <c r="V597" s="69" t="s">
        <v>85</v>
      </c>
      <c r="W597" s="69" t="s">
        <v>85</v>
      </c>
      <c r="X597" s="69" t="s">
        <v>84</v>
      </c>
      <c r="Y597" s="69" t="s">
        <v>85</v>
      </c>
      <c r="Z597" s="69" t="s">
        <v>85</v>
      </c>
      <c r="AA597" s="69" t="s">
        <v>85</v>
      </c>
      <c r="AB597" s="69" t="s">
        <v>85</v>
      </c>
      <c r="AC597" s="69" t="s">
        <v>85</v>
      </c>
      <c r="AD597" s="38" t="str">
        <f>+IF(ISERROR(VLOOKUP($B597,AD$10:AD596,1,0)),IF(AND($N597&gt;=1000,$A597&gt;=AO$8,$A597&lt;=AO$9),$B597,""),"")</f>
        <v/>
      </c>
      <c r="AE597" s="38" t="str">
        <f>+IF(ISERROR(VLOOKUP($B597,AE$10:AE596,1,0)),IF(AND($N597&gt;=1000,$A597&gt;=AP$8,$A597&lt;=AP$9),$B597,""),"")</f>
        <v/>
      </c>
      <c r="AF597" s="38" t="str">
        <f>+IF(ISERROR(VLOOKUP($B597,AF$10:AF596,1,0)),IF(AND($N597&gt;=1000,$A597&gt;=AQ$8,$A597&lt;=AQ$9),$B597,""),"")</f>
        <v/>
      </c>
      <c r="AG597" s="38" t="str">
        <f>+IF(ISERROR(VLOOKUP($B597,AG$10:AG596,1,0)),IF(AND($N597&gt;=1000,$A597&gt;=AR$8,$A597&lt;=AR$9),$B597,""),"")</f>
        <v/>
      </c>
      <c r="AH597" s="38"/>
      <c r="AI597" s="70">
        <v>0</v>
      </c>
      <c r="AJ597" s="38">
        <f>IF(AND(AJ$7="○",$A597&gt;=AJ$8,$A597&lt;=AJ$9),IF(SUM(AJ$10:AJ596)-ROUNDDOWN($K597*AJ$5/100,0)&lt;-AJ$6,-AJ$6-SUM(AJ$10:AJ596),-ROUNDDOWN($K597*AJ$5/100,0)),0)</f>
        <v>0</v>
      </c>
      <c r="AK597" s="38">
        <f>IF(AND(AK$7="○",$A597&gt;=AK$8,$A597&lt;=AK$9),IF(SUM(AK$10:AK596)-ROUNDDOWN($L597*AK$5/100,0)&lt;-AK$6,-AK$6-SUM(AK$10:AK596),-ROUNDDOWN($L597*AK$5/100,0)),0)</f>
        <v>0</v>
      </c>
      <c r="AL597" s="38">
        <f>IF(AND(AL$7="○",$A597&gt;=AL$8,$A597&lt;=AL$9),IF(SUM(AL$10:AL596)-ROUNDDOWN($N597*AL$5/100,0)&lt;-AL$6,-AL$6-SUM(AL$10:AL596),-ROUNDDOWN($N597*AL$5/100,0)),0)</f>
        <v>0</v>
      </c>
      <c r="AM597" s="38">
        <f>IF(AND(AM$7="○",$A597&gt;=AM$8,$A597&lt;=AM$9),IF(SUM(AM$10:AM596)-ROUNDDOWN($L597*AM$5/100,0)&lt;-AM$6,-AM$6-SUM(AM$10:AM596),-ROUNDDOWN($L597*AM$5/100,0)),0)</f>
        <v>0</v>
      </c>
      <c r="AN597" s="38">
        <f>IF(AND(AN$7="○",$A597&gt;=AN$8,$A597&lt;=AN$9),IF(SUM(AN$10:AN596)-ROUNDDOWN($M597*AN$5/100,0)&lt;-AN$6,-AN$6-SUM(AN$10:AN596),-ROUNDDOWN($M597*AN$5/100,0)),0)</f>
        <v>0</v>
      </c>
      <c r="AO597" s="38">
        <f>IF(AND($A597&gt;=AO$8,$A597&lt;=AO$9),IF(SUM(AO$10:AO596)-ROUNDDOWN($K597*AO$5/100,0)&lt;-AO$6,-AO$6-SUM(AO$10:AO596),-ROUNDDOWN($K597*AO$5/100,0)),0)</f>
        <v>0</v>
      </c>
      <c r="AP597" s="38">
        <f>IF(AND($A597&gt;=AP$8,$A597&lt;=AP$9),IF(SUM(AP$10:AP596)-ROUNDDOWN($K597*AP$5/100,0)&lt;-AP$6,-AP$6-SUM(AP$10:AP596),-ROUNDDOWN($K597*AP$5/100,0)),0)</f>
        <v>0</v>
      </c>
      <c r="AQ597" s="38">
        <f>IF(AND($A597&gt;=AQ$8,$A597&lt;=AQ$9),IF(SUM(AQ$10:AQ596)-ROUNDDOWN($K597*AQ$5/100,0)&lt;-AQ$6,-AQ$6-SUM(AQ$10:AQ596),-ROUNDDOWN($K597*AQ$5/100,0)),0)</f>
        <v>0</v>
      </c>
      <c r="AR597" s="38">
        <f>IF(AND($A597&gt;=AR$8,$A597&lt;=AR$9),IF(SUM(AR$10:AR596)-ROUNDDOWN($K597*AR$5/100,0)&lt;-AR$6,-AR$6-SUM(AR$10:AR596),-ROUNDDOWN($K597*AR$5/100,0)),0)</f>
        <v>0</v>
      </c>
      <c r="AS597" s="38">
        <f>IF(SUMIFS(AS$10:AS596,$A$10:$A596,$A597)-ROUNDDOWN($K597*$S597/100,0)&lt;-$S597*1000,-$S597*1000-SUMIFS(AS$10:AS596,$A$10:$A596,$A597),-ROUNDDOWN($K597*$S597/100,0))</f>
        <v>0</v>
      </c>
      <c r="AT597" s="38">
        <f>IF(AND(X597="○",$A597&gt;=AT$8,$A597&lt;=AT$9,K597&gt;=3980),IF(SUM(AT$10:AT596)-ROUNDDOWN($K597*AT$5/100,0)&lt;-AT$6,-AT$6-SUM(AT$10:AT596),-ROUNDDOWN($K597*AT$5/100,0)),0)</f>
        <v>0</v>
      </c>
      <c r="AU597" s="38">
        <f>IF(O597="○",IF(SUM(AU$10:AU596)-ROUNDDOWN($K597*AU$5/100,0)&lt;-AU$6,-AU$6-SUM(AU$10:AU596),-ROUNDDOWN($K597*AU$5/100,0)),0)</f>
        <v>0</v>
      </c>
      <c r="AV597" s="38">
        <f>IF(P597="○",IF(SUM(AV$10:AV596)-ROUNDDOWN($K597*AV$5/100,0)&lt;-AV$6,-AV$6-SUM(AV$10:AV596),-ROUNDDOWN($K597*AV$5/100,0)),0)</f>
        <v>0</v>
      </c>
      <c r="AW597" s="38">
        <f>IF(Q597="○",IF(SUM(AW$10:AW596)-ROUNDDOWN($K597*AW$5/100,0)&lt;-AW$6,-AW$6-SUM(AW$10:AW596),-ROUNDDOWN($K597*AW$5/100,0)),0)</f>
        <v>0</v>
      </c>
      <c r="AX597" s="38">
        <f>IF(R597="○",IF(SUM(AX$10:AX596)-ROUNDDOWN($K597*AX$5/100,0)&lt;-AX$6,-AX$6-SUM(AX$10:AX596),-ROUNDDOWN($K597*AX$5/100,0)),0)</f>
        <v>0</v>
      </c>
      <c r="AY597" s="70">
        <v>0</v>
      </c>
      <c r="AZ597" s="65">
        <f t="shared" si="377"/>
        <v>0</v>
      </c>
      <c r="BA597" s="65">
        <f t="shared" si="378"/>
        <v>0</v>
      </c>
      <c r="BB597" s="70"/>
      <c r="BC597" s="65">
        <f t="shared" si="379"/>
        <v>0</v>
      </c>
      <c r="BD597" s="70">
        <v>0</v>
      </c>
      <c r="BE597" s="65">
        <f t="shared" si="380"/>
        <v>0</v>
      </c>
      <c r="BF597" s="70">
        <v>0</v>
      </c>
      <c r="BG597" s="65">
        <f t="shared" si="381"/>
        <v>0</v>
      </c>
      <c r="BH597" s="70">
        <v>0</v>
      </c>
      <c r="BI597" s="65">
        <f t="shared" si="382"/>
        <v>0</v>
      </c>
      <c r="BJ597" s="38">
        <f>IF(AND(BJ$7="○",$A597&gt;=BJ$8,$A597&lt;=BJ$9),IF(SUM(BJ$10:BJ596)-ROUNDDOWN($M597*BJ$5/100,0)&lt;-BJ$6,-BJ$6-SUM(BJ$10:BJ596),-ROUNDDOWN($M597*BJ$5/100,0)),0)</f>
        <v>0</v>
      </c>
      <c r="BK597" s="38">
        <f>IF(AND(BK$7="○",$A597&gt;=BK$8,$A597&lt;=BK$9),IF(SUM(BK$10:BK596)-ROUNDDOWN($L597*BK$5/100,0)&lt;-BK$6,-BK$6-SUM(BK$10:BK596),-ROUNDDOWN($L597*BK$5/100,0)),0)</f>
        <v>0</v>
      </c>
      <c r="BL597" s="38">
        <f>IF(AND(BL$7="○",$A597&gt;=BL$8,$A597&lt;=BL$9),IF(SUM(BL$10:BL596)-ROUNDDOWN($L597*BL$5/100,0)&lt;-BL$6,-BL$6-SUM(BL$10:BL596),-ROUNDDOWN($L597*BL$5/100,0)),0)</f>
        <v>0</v>
      </c>
      <c r="BM597" s="38">
        <f>IF(AND(BM$7="○",$A597&gt;=BM$8,$A597&lt;=BM$9),IF(SUM(BM$10:BM596)-ROUNDDOWN($M597*BM$5/100,0)&lt;-BM$6,-BM$6-SUM(BM$10:BM596),-ROUNDDOWN($M597*BM$5/100,0)),0)</f>
        <v>0</v>
      </c>
      <c r="BN597" s="38">
        <f>IF(AND(BN$7="○",$A597&gt;=BN$8,$A597&lt;=BN$9),IF(SUM(BN$10:BN596)-ROUNDDOWN($M597*BN$5/100,0)&lt;-BN$6,-BN$6-SUM(BN$10:BN596),-ROUNDDOWN($M597*BN$5/100,0)),0)</f>
        <v>0</v>
      </c>
      <c r="BO597" s="38">
        <f>IF(AND(BO$7="○",$A597&gt;=BO$8,$A597&lt;=BO$9),IF(SUM(BO$10:BO596)-ROUNDDOWN($M597*BO$5/100,0)&lt;-BO$6,-BO$6-SUM(BO$10:BO596),-ROUNDDOWN($M597*BO$5/100,0)),0)</f>
        <v>0</v>
      </c>
      <c r="BP597" s="38">
        <f>IF(AND(BP$7="○",$A597&gt;=BP$8,$A597&lt;=BP$9),IF(SUM(BP$10:BP596)-ROUNDDOWN($M597*BP$5/100,0)&lt;-BP$6,-BP$6-SUM(BP$10:BP596),-ROUNDDOWN($M597*BP$5/100,0)),0)</f>
        <v>0</v>
      </c>
      <c r="BQ597" s="38">
        <f>IF(AND(BQ$7="○",$A597&gt;=BQ$8,$A597&lt;=BQ$9),IF(SUM(BQ$10:BQ596)-ROUNDDOWN($L597*BQ$5/100,0)&lt;-BQ$6,-BQ$6-SUM(BQ$10:BQ596),-ROUNDDOWN($L597*BQ$5/100,0)),0)</f>
        <v>0</v>
      </c>
      <c r="BR597" s="38">
        <f>IF(AND(BR$7="○",$A597&gt;=BR$8,$A597&lt;=BR$9),IF(SUM(BR$10:BR596)-ROUNDDOWN($M597*BR$5/100,0)&lt;-BR$6,-BR$6-SUM(BR$10:BR596),-ROUNDDOWN($M597*BR$5/100,0)),0)</f>
        <v>0</v>
      </c>
      <c r="BS597" s="38">
        <f>IF(AND(BS$7="○",$A597&gt;=BS$8,$A597&lt;=BS$9),IF(SUM(BS$10:BS596)-ROUNDDOWN($M597*BS$5/100,0)&lt;-BS$6,-BS$6-SUM(BS$10:BS596),-ROUNDDOWN($M597*BS$5/100,0)),0)</f>
        <v>0</v>
      </c>
      <c r="BT597" s="38">
        <f>IF(AND(BT$7="○",$A597&gt;=BT$8,$A597&lt;=BT$9),IF(SUM(BT$10:BT596)-ROUNDDOWN($M597*BT$5/100,0)&lt;-BT$6,-BT$6-SUM(BT$10:BT596),-ROUNDDOWN($M597*BT$5/100,0)),0)</f>
        <v>0</v>
      </c>
      <c r="BU597" s="38">
        <f>IF(AND(BU$7="○",$A597&gt;=BU$8,$A597&lt;=BU$9),IF(SUM(BU$10:BU596)-ROUNDDOWN($M597*BU$5/100,0)&lt;-BU$6,-BU$6-SUM(BU$10:BU596),-ROUNDDOWN($M597*BU$5/100,0)),0)</f>
        <v>0</v>
      </c>
      <c r="BV597" s="38">
        <f>IF(AND(BV$7="○",$A597&gt;=BV$8,$A597&lt;=BV$9),IF(SUM(BV$10:BV596)-ROUNDDOWN($M597*BV$5/100,0)&lt;-BV$6,-BV$6-SUM(BV$10:BV596),-ROUNDDOWN($M597*BV$5/100,0)),0)</f>
        <v>0</v>
      </c>
      <c r="BW597" s="38">
        <f>IF(AND(BW$7="○",$A597&gt;=BW$8,$A597&lt;=BW$9),IF(SUM(BW$10:BW596)-ROUNDDOWN($M597*BW$5/100,0)&lt;-BW$6,-BW$6-SUM(BW$10:BW596),-ROUNDDOWN($M597*BW$5/100,0)),0)</f>
        <v>0</v>
      </c>
      <c r="BX597" s="38">
        <f>IF(AND(T597="○",$A597&gt;=BX$8,$A597&lt;=BX$9),IF(SUM(BX$10:BX596)-ROUNDDOWN($K597*BX$5/100,0)&lt;-BX$6,-BX$6-SUM(BX$10:BX596),-ROUNDDOWN($K597*BX$5/100,0)),0)</f>
        <v>0</v>
      </c>
      <c r="BY597" s="38">
        <f>IF(AND(U597="○",$A597&gt;=BY$8,$A597&lt;=BY$9),IF(SUM(BY$10:BY596)-ROUNDDOWN($K597*BY$5/100,0)&lt;-BY$6,-BY$6-SUM(BY$10:BY596),-ROUNDDOWN($K597*BY$5/100,0)),0)</f>
        <v>0</v>
      </c>
      <c r="BZ597" s="38">
        <f>IF(AND(V597="○",$A597&gt;=BZ$8,$A597&lt;=BZ$9),IF(SUM(BZ$10:BZ596)-ROUNDDOWN($K597*BZ$5/100,0)&lt;-BZ$6,-BZ$6-SUM(BZ$10:BZ596),-ROUNDDOWN($K597*BZ$5/100,0)),0)</f>
        <v>0</v>
      </c>
      <c r="CA597" s="38">
        <f>IF(AND(W597="○",$A597&gt;=CA$8,$A597&lt;=CA$9),IF(SUM(CA$10:CA596)-ROUNDDOWN($K597*CA$5/100,0)&lt;-CA$6,-CA$6-SUM(CA$10:CA596),-ROUNDDOWN($K597*CA$5/100,0)),0)</f>
        <v>0</v>
      </c>
      <c r="CB597" s="38"/>
      <c r="CC597" s="38"/>
      <c r="CD597" s="38"/>
      <c r="CE597" s="38"/>
      <c r="CF597" s="38"/>
      <c r="CG597" s="65">
        <f t="shared" si="383"/>
        <v>0</v>
      </c>
      <c r="CH597" s="71">
        <f t="shared" si="384"/>
        <v>0</v>
      </c>
      <c r="CI597" s="1">
        <f t="shared" si="19"/>
        <v>0</v>
      </c>
      <c r="CJ597" s="1"/>
      <c r="CK597" s="72"/>
      <c r="CL597" s="72"/>
      <c r="CM597" s="2"/>
      <c r="CN597" s="2"/>
      <c r="CO597" s="73">
        <f t="shared" si="20"/>
        <v>0</v>
      </c>
      <c r="CP597" s="5">
        <f t="shared" si="21"/>
        <v>0</v>
      </c>
      <c r="CQ597" s="1"/>
      <c r="CR597" s="1">
        <f t="shared" si="22"/>
        <v>0</v>
      </c>
      <c r="CS597" s="1"/>
      <c r="CT597" s="1" t="e">
        <f>INDEX([2]マスタ!$A:$A,MATCH(D597,[2]マスタ!$C:$C,0))</f>
        <v>#N/A</v>
      </c>
      <c r="CU597" s="1" t="str">
        <f t="shared" ca="1" si="23"/>
        <v>20260620_0-0</v>
      </c>
    </row>
    <row r="598" spans="1:99" x14ac:dyDescent="0.4">
      <c r="A598" s="61"/>
      <c r="B598" s="62"/>
      <c r="C598" s="62"/>
      <c r="D598" s="62"/>
      <c r="E598" s="74"/>
      <c r="F598" s="62"/>
      <c r="G598" s="62">
        <v>1</v>
      </c>
      <c r="H598" s="64">
        <f t="shared" ref="H598:H615" si="385">+F598*G598</f>
        <v>0</v>
      </c>
      <c r="I598" s="64"/>
      <c r="J598" s="64"/>
      <c r="K598" s="65">
        <f t="shared" ref="K598:K601" si="386">+ROUNDDOWN((H598+I598+J598)/100,0)*100</f>
        <v>0</v>
      </c>
      <c r="L598" s="65">
        <f t="shared" ref="L598:L615" si="387">+ROUNDDOWN((H598+I598)/1.1/100,0)*100</f>
        <v>0</v>
      </c>
      <c r="M598" s="65">
        <f t="shared" ref="M598:M615" si="388">+ROUNDDOWN((H598+I598)/1.1/200,0)*200</f>
        <v>0</v>
      </c>
      <c r="N598" s="65">
        <f t="shared" ref="N598:N615" si="389">+H598+I598+J598</f>
        <v>0</v>
      </c>
      <c r="O598" s="66" t="str">
        <f t="shared" si="9"/>
        <v>✕</v>
      </c>
      <c r="P598" s="67" t="str">
        <f t="shared" si="10"/>
        <v>○</v>
      </c>
      <c r="Q598" s="67" t="str">
        <f t="shared" ref="Q598:Q601" si="390">+IF((TEXT(A598,"DD")+0)=1,"○","✕")</f>
        <v>✕</v>
      </c>
      <c r="R598" s="67" t="str">
        <f t="shared" si="12"/>
        <v>✕</v>
      </c>
      <c r="S598" s="68">
        <v>0</v>
      </c>
      <c r="T598" s="69" t="s">
        <v>85</v>
      </c>
      <c r="U598" s="69" t="s">
        <v>85</v>
      </c>
      <c r="V598" s="69" t="s">
        <v>85</v>
      </c>
      <c r="W598" s="69" t="s">
        <v>85</v>
      </c>
      <c r="X598" s="69" t="s">
        <v>84</v>
      </c>
      <c r="Y598" s="69" t="s">
        <v>85</v>
      </c>
      <c r="Z598" s="69" t="s">
        <v>85</v>
      </c>
      <c r="AA598" s="69" t="s">
        <v>85</v>
      </c>
      <c r="AB598" s="69" t="s">
        <v>85</v>
      </c>
      <c r="AC598" s="69" t="s">
        <v>85</v>
      </c>
      <c r="AD598" s="38" t="str">
        <f>+IF(ISERROR(VLOOKUP($B598,AD$10:AD590,1,0)),IF(AND($N598&gt;=1000,$A598&gt;=AO$8,$A598&lt;=AO$9),$B598,""),"")</f>
        <v/>
      </c>
      <c r="AE598" s="38" t="str">
        <f>+IF(ISERROR(VLOOKUP($B598,AE$10:AE590,1,0)),IF(AND($N598&gt;=1000,$A598&gt;=AP$8,$A598&lt;=AP$9),$B598,""),"")</f>
        <v/>
      </c>
      <c r="AF598" s="38" t="str">
        <f>+IF(ISERROR(VLOOKUP($B598,AF$10:AF590,1,0)),IF(AND($N598&gt;=1000,$A598&gt;=AQ$8,$A598&lt;=AQ$9),$B598,""),"")</f>
        <v/>
      </c>
      <c r="AG598" s="38" t="str">
        <f>+IF(ISERROR(VLOOKUP($B598,AG$10:AG590,1,0)),IF(AND($N598&gt;=1000,$A598&gt;=AR$8,$A598&lt;=AR$9),$B598,""),"")</f>
        <v/>
      </c>
      <c r="AH598" s="38"/>
      <c r="AI598" s="70">
        <v>0</v>
      </c>
      <c r="AJ598" s="38">
        <f>IF(AND(AJ$7="○",$A598&gt;=AJ$8,$A598&lt;=AJ$9),IF(SUM(AJ$10:AJ597)-ROUNDDOWN($K598*AJ$5/100,0)&lt;-AJ$6,-AJ$6-SUM(AJ$10:AJ597),-ROUNDDOWN($K598*AJ$5/100,0)),0)</f>
        <v>0</v>
      </c>
      <c r="AK598" s="38">
        <f>IF(AND(AK$7="○",$A598&gt;=AK$8,$A598&lt;=AK$9),IF(SUM(AK$10:AK597)-ROUNDDOWN($L598*AK$5/100,0)&lt;-AK$6,-AK$6-SUM(AK$10:AK597),-ROUNDDOWN($L598*AK$5/100,0)),0)</f>
        <v>0</v>
      </c>
      <c r="AL598" s="38">
        <f>IF(AND(AL$7="○",$A598&gt;=AL$8,$A598&lt;=AL$9),IF(SUM(AL$10:AL597)-ROUNDDOWN($N598*AL$5/100,0)&lt;-AL$6,-AL$6-SUM(AL$10:AL597),-ROUNDDOWN($N598*AL$5/100,0)),0)</f>
        <v>0</v>
      </c>
      <c r="AM598" s="38">
        <f>IF(AND(AM$7="○",$A598&gt;=AM$8,$A598&lt;=AM$9),IF(SUM(AM$10:AM597)-ROUNDDOWN($L598*AM$5/100,0)&lt;-AM$6,-AM$6-SUM(AM$10:AM597),-ROUNDDOWN($L598*AM$5/100,0)),0)</f>
        <v>0</v>
      </c>
      <c r="AN598" s="38">
        <f>IF(AND(AN$7="○",$A598&gt;=AN$8,$A598&lt;=AN$9),IF(SUM(AN$10:AN597)-ROUNDDOWN($M598*AN$5/100,0)&lt;-AN$6,-AN$6-SUM(AN$10:AN597),-ROUNDDOWN($M598*AN$5/100,0)),0)</f>
        <v>0</v>
      </c>
      <c r="AO598" s="38">
        <f>IF(AND($A598&gt;=AO$8,$A598&lt;=AO$9),IF(SUM(AO$10:AO597)-ROUNDDOWN($K598*AO$5/100,0)&lt;-AO$6,-AO$6-SUM(AO$10:AO597),-ROUNDDOWN($K598*AO$5/100,0)),0)</f>
        <v>0</v>
      </c>
      <c r="AP598" s="38">
        <f>IF(AND($A598&gt;=AP$8,$A598&lt;=AP$9),IF(SUM(AP$10:AP597)-ROUNDDOWN($K598*AP$5/100,0)&lt;-AP$6,-AP$6-SUM(AP$10:AP597),-ROUNDDOWN($K598*AP$5/100,0)),0)</f>
        <v>0</v>
      </c>
      <c r="AQ598" s="38">
        <f>IF(AND($A598&gt;=AQ$8,$A598&lt;=AQ$9),IF(SUM(AQ$10:AQ597)-ROUNDDOWN($K598*AQ$5/100,0)&lt;-AQ$6,-AQ$6-SUM(AQ$10:AQ597),-ROUNDDOWN($K598*AQ$5/100,0)),0)</f>
        <v>0</v>
      </c>
      <c r="AR598" s="38">
        <f>IF(AND($A598&gt;=AR$8,$A598&lt;=AR$9),IF(SUM(AR$10:AR597)-ROUNDDOWN($K598*AR$5/100,0)&lt;-AR$6,-AR$6-SUM(AR$10:AR597),-ROUNDDOWN($K598*AR$5/100,0)),0)</f>
        <v>0</v>
      </c>
      <c r="AS598" s="38">
        <f>IF(SUMIFS(AS$10:AS597,$A$10:$A597,$A598)-ROUNDDOWN($K598*$S598/100,0)&lt;-$S598*1000,-$S598*1000-SUMIFS(AS$10:AS597,$A$10:$A597,$A598),-ROUNDDOWN($K598*$S598/100,0))</f>
        <v>0</v>
      </c>
      <c r="AT598" s="38">
        <f>IF(AND(X598="○",$A598&gt;=AT$8,$A598&lt;=AT$9,K598&gt;=3980),IF(SUM(AT$10:AT597)-ROUNDDOWN($K598*AT$5/100,0)&lt;-AT$6,-AT$6-SUM(AT$10:AT597),-ROUNDDOWN($K598*AT$5/100,0)),0)</f>
        <v>0</v>
      </c>
      <c r="AU598" s="38">
        <f>IF(O598="○",IF(SUM(AU$10:AU597)-ROUNDDOWN($K598*AU$5/100,0)&lt;-AU$6,-AU$6-SUM(AU$10:AU597),-ROUNDDOWN($K598*AU$5/100,0)),0)</f>
        <v>0</v>
      </c>
      <c r="AV598" s="38">
        <f>IF(P598="○",IF(SUM(AV$10:AV597)-ROUNDDOWN($K598*AV$5/100,0)&lt;-AV$6,-AV$6-SUM(AV$10:AV597),-ROUNDDOWN($K598*AV$5/100,0)),0)</f>
        <v>0</v>
      </c>
      <c r="AW598" s="38">
        <f>IF(Q598="○",IF(SUM(AW$10:AW597)-ROUNDDOWN($K598*AW$5/100,0)&lt;-AW$6,-AW$6-SUM(AW$10:AW597),-ROUNDDOWN($K598*AW$5/100,0)),0)</f>
        <v>0</v>
      </c>
      <c r="AX598" s="38">
        <f>IF(R598="○",IF(SUM(AX$10:AX597)-ROUNDDOWN($K598*AX$5/100,0)&lt;-AX$6,-AX$6-SUM(AX$10:AX597),-ROUNDDOWN($K598*AX$5/100,0)),0)</f>
        <v>0</v>
      </c>
      <c r="AY598" s="70">
        <v>0</v>
      </c>
      <c r="AZ598" s="65">
        <f t="shared" si="377"/>
        <v>0</v>
      </c>
      <c r="BA598" s="65">
        <f t="shared" si="378"/>
        <v>0</v>
      </c>
      <c r="BB598" s="70"/>
      <c r="BC598" s="65">
        <f t="shared" si="379"/>
        <v>0</v>
      </c>
      <c r="BD598" s="70">
        <v>0</v>
      </c>
      <c r="BE598" s="65">
        <f t="shared" si="380"/>
        <v>0</v>
      </c>
      <c r="BF598" s="70">
        <v>0</v>
      </c>
      <c r="BG598" s="65">
        <f t="shared" si="381"/>
        <v>0</v>
      </c>
      <c r="BH598" s="70">
        <v>0</v>
      </c>
      <c r="BI598" s="65">
        <f t="shared" si="382"/>
        <v>0</v>
      </c>
      <c r="BJ598" s="38">
        <f>IF(AND(BJ$7="○",$A598&gt;=BJ$8,$A598&lt;=BJ$9),IF(SUM(BJ$10:BJ597)-ROUNDDOWN($M598*BJ$5/100,0)&lt;-BJ$6,-BJ$6-SUM(BJ$10:BJ597),-ROUNDDOWN($M598*BJ$5/100,0)),0)</f>
        <v>0</v>
      </c>
      <c r="BK598" s="38">
        <f>IF(AND(BK$7="○",$A598&gt;=BK$8,$A598&lt;=BK$9),IF(SUM(BK$10:BK597)-ROUNDDOWN($L598*BK$5/100,0)&lt;-BK$6,-BK$6-SUM(BK$10:BK597),-ROUNDDOWN($L598*BK$5/100,0)),0)</f>
        <v>0</v>
      </c>
      <c r="BL598" s="38">
        <f>IF(AND(BL$7="○",$A598&gt;=BL$8,$A598&lt;=BL$9),IF(SUM(BL$10:BL597)-ROUNDDOWN($L598*BL$5/100,0)&lt;-BL$6,-BL$6-SUM(BL$10:BL597),-ROUNDDOWN($L598*BL$5/100,0)),0)</f>
        <v>0</v>
      </c>
      <c r="BM598" s="38">
        <f>IF(AND(BM$7="○",$A598&gt;=BM$8,$A598&lt;=BM$9),IF(SUM(BM$10:BM597)-ROUNDDOWN($M598*BM$5/100,0)&lt;-BM$6,-BM$6-SUM(BM$10:BM597),-ROUNDDOWN($M598*BM$5/100,0)),0)</f>
        <v>0</v>
      </c>
      <c r="BN598" s="38">
        <f>IF(AND(BN$7="○",$A598&gt;=BN$8,$A598&lt;=BN$9),IF(SUM(BN$10:BN597)-ROUNDDOWN($M598*BN$5/100,0)&lt;-BN$6,-BN$6-SUM(BN$10:BN597),-ROUNDDOWN($M598*BN$5/100,0)),0)</f>
        <v>0</v>
      </c>
      <c r="BO598" s="38">
        <f>IF(AND(BO$7="○",$A598&gt;=BO$8,$A598&lt;=BO$9),IF(SUM(BO$10:BO597)-ROUNDDOWN($M598*BO$5/100,0)&lt;-BO$6,-BO$6-SUM(BO$10:BO597),-ROUNDDOWN($M598*BO$5/100,0)),0)</f>
        <v>0</v>
      </c>
      <c r="BP598" s="38">
        <f>IF(AND(BP$7="○",$A598&gt;=BP$8,$A598&lt;=BP$9),IF(SUM(BP$10:BP597)-ROUNDDOWN($M598*BP$5/100,0)&lt;-BP$6,-BP$6-SUM(BP$10:BP597),-ROUNDDOWN($M598*BP$5/100,0)),0)</f>
        <v>0</v>
      </c>
      <c r="BQ598" s="38">
        <f>IF(AND(BQ$7="○",$A598&gt;=BQ$8,$A598&lt;=BQ$9),IF(SUM(BQ$10:BQ597)-ROUNDDOWN($L598*BQ$5/100,0)&lt;-BQ$6,-BQ$6-SUM(BQ$10:BQ597),-ROUNDDOWN($L598*BQ$5/100,0)),0)</f>
        <v>0</v>
      </c>
      <c r="BR598" s="38">
        <f>IF(AND(BR$7="○",$A598&gt;=BR$8,$A598&lt;=BR$9),IF(SUM(BR$10:BR597)-ROUNDDOWN($M598*BR$5/100,0)&lt;-BR$6,-BR$6-SUM(BR$10:BR597),-ROUNDDOWN($M598*BR$5/100,0)),0)</f>
        <v>0</v>
      </c>
      <c r="BS598" s="38">
        <f>IF(AND(BS$7="○",$A598&gt;=BS$8,$A598&lt;=BS$9),IF(SUM(BS$10:BS597)-ROUNDDOWN($M598*BS$5/100,0)&lt;-BS$6,-BS$6-SUM(BS$10:BS597),-ROUNDDOWN($M598*BS$5/100,0)),0)</f>
        <v>0</v>
      </c>
      <c r="BT598" s="38">
        <f>IF(AND(BT$7="○",$A598&gt;=BT$8,$A598&lt;=BT$9),IF(SUM(BT$10:BT597)-ROUNDDOWN($M598*BT$5/100,0)&lt;-BT$6,-BT$6-SUM(BT$10:BT597),-ROUNDDOWN($M598*BT$5/100,0)),0)</f>
        <v>0</v>
      </c>
      <c r="BU598" s="38">
        <f>IF(AND(BU$7="○",$A598&gt;=BU$8,$A598&lt;=BU$9),IF(SUM(BU$10:BU597)-ROUNDDOWN($M598*BU$5/100,0)&lt;-BU$6,-BU$6-SUM(BU$10:BU597),-ROUNDDOWN($M598*BU$5/100,0)),0)</f>
        <v>0</v>
      </c>
      <c r="BV598" s="38">
        <f>IF(AND(BV$7="○",$A598&gt;=BV$8,$A598&lt;=BV$9),IF(SUM(BV$10:BV597)-ROUNDDOWN($M598*BV$5/100,0)&lt;-BV$6,-BV$6-SUM(BV$10:BV597),-ROUNDDOWN($M598*BV$5/100,0)),0)</f>
        <v>0</v>
      </c>
      <c r="BW598" s="38">
        <f>IF(AND(BW$7="○",$A598&gt;=BW$8,$A598&lt;=BW$9),IF(SUM(BW$10:BW597)-ROUNDDOWN($M598*BW$5/100,0)&lt;-BW$6,-BW$6-SUM(BW$10:BW597),-ROUNDDOWN($M598*BW$5/100,0)),0)</f>
        <v>0</v>
      </c>
      <c r="BX598" s="38">
        <f>IF(AND(T598="○",$A598&gt;=BX$8,$A598&lt;=BX$9),IF(SUM(BX$10:BX597)-ROUNDDOWN($K598*BX$5/100,0)&lt;-BX$6,-BX$6-SUM(BX$10:BX597),-ROUNDDOWN($K598*BX$5/100,0)),0)</f>
        <v>0</v>
      </c>
      <c r="BY598" s="38">
        <f>IF(AND(U598="○",$A598&gt;=BY$8,$A598&lt;=BY$9),IF(SUM(BY$10:BY597)-ROUNDDOWN($K598*BY$5/100,0)&lt;-BY$6,-BY$6-SUM(BY$10:BY597),-ROUNDDOWN($K598*BY$5/100,0)),0)</f>
        <v>0</v>
      </c>
      <c r="BZ598" s="38">
        <f>IF(AND(V598="○",$A598&gt;=BZ$8,$A598&lt;=BZ$9),IF(SUM(BZ$10:BZ597)-ROUNDDOWN($K598*BZ$5/100,0)&lt;-BZ$6,-BZ$6-SUM(BZ$10:BZ597),-ROUNDDOWN($K598*BZ$5/100,0)),0)</f>
        <v>0</v>
      </c>
      <c r="CA598" s="38">
        <f>IF(AND(W598="○",$A598&gt;=CA$8,$A598&lt;=CA$9),IF(SUM(CA$10:CA597)-ROUNDDOWN($K598*CA$5/100,0)&lt;-CA$6,-CA$6-SUM(CA$10:CA597),-ROUNDDOWN($K598*CA$5/100,0)),0)</f>
        <v>0</v>
      </c>
      <c r="CB598" s="38"/>
      <c r="CC598" s="38"/>
      <c r="CD598" s="38"/>
      <c r="CE598" s="38"/>
      <c r="CF598" s="38"/>
      <c r="CG598" s="65">
        <f t="shared" si="383"/>
        <v>0</v>
      </c>
      <c r="CH598" s="71">
        <f t="shared" si="384"/>
        <v>0</v>
      </c>
      <c r="CI598" s="1">
        <f t="shared" ref="CI598:CI615" si="391">IFERROR(ROUNDDOWN((CH598/G598),0),0)</f>
        <v>0</v>
      </c>
      <c r="CJ598" s="1"/>
      <c r="CK598" s="75"/>
      <c r="CL598" s="75"/>
      <c r="CM598" s="2"/>
      <c r="CN598" s="2"/>
      <c r="CO598" s="73">
        <f t="shared" ref="CO598:CO615" si="392">IFERROR(CN598-CI598,0)</f>
        <v>0</v>
      </c>
      <c r="CP598" s="5">
        <f t="shared" ref="CP598:CP615" si="393">IFERROR(CN598/CI598,0)</f>
        <v>0</v>
      </c>
      <c r="CQ598" s="1"/>
      <c r="CR598" s="1">
        <f t="shared" ref="CR598:CR615" si="394">+CO598*G598</f>
        <v>0</v>
      </c>
      <c r="CS598" s="1"/>
      <c r="CT598" s="1" t="e">
        <f>INDEX([2]マスタ!$A:$A,MATCH(D598,[2]マスタ!$C:$C,0))</f>
        <v>#N/A</v>
      </c>
      <c r="CU598" s="1" t="str">
        <f t="shared" ref="CU598:CU615" ca="1" si="395">IFERROR(TEXT(TODAY(),"yyyymmdd")&amp;"_"&amp;ROUNDDOWN(H598+I598,0)&amp;"-"&amp;ROUNDDOWN(CI598,0),"")</f>
        <v>20260620_0-0</v>
      </c>
    </row>
    <row r="599" spans="1:99" x14ac:dyDescent="0.4">
      <c r="A599" s="61"/>
      <c r="B599" s="62"/>
      <c r="C599" s="62"/>
      <c r="D599" s="62"/>
      <c r="E599" s="74"/>
      <c r="F599" s="62"/>
      <c r="G599" s="62">
        <v>1</v>
      </c>
      <c r="H599" s="64">
        <f t="shared" si="385"/>
        <v>0</v>
      </c>
      <c r="I599" s="64"/>
      <c r="J599" s="64"/>
      <c r="K599" s="65">
        <f t="shared" si="386"/>
        <v>0</v>
      </c>
      <c r="L599" s="65">
        <f t="shared" si="387"/>
        <v>0</v>
      </c>
      <c r="M599" s="65">
        <f t="shared" si="388"/>
        <v>0</v>
      </c>
      <c r="N599" s="65">
        <f t="shared" si="389"/>
        <v>0</v>
      </c>
      <c r="O599" s="66" t="str">
        <f t="shared" si="9"/>
        <v>✕</v>
      </c>
      <c r="P599" s="67" t="str">
        <f t="shared" si="10"/>
        <v>○</v>
      </c>
      <c r="Q599" s="67" t="str">
        <f t="shared" si="390"/>
        <v>✕</v>
      </c>
      <c r="R599" s="67" t="str">
        <f t="shared" si="12"/>
        <v>✕</v>
      </c>
      <c r="S599" s="68">
        <v>0</v>
      </c>
      <c r="T599" s="69" t="s">
        <v>85</v>
      </c>
      <c r="U599" s="69" t="s">
        <v>85</v>
      </c>
      <c r="V599" s="69" t="s">
        <v>85</v>
      </c>
      <c r="W599" s="69" t="s">
        <v>85</v>
      </c>
      <c r="X599" s="69" t="s">
        <v>84</v>
      </c>
      <c r="Y599" s="69" t="s">
        <v>85</v>
      </c>
      <c r="Z599" s="69" t="s">
        <v>85</v>
      </c>
      <c r="AA599" s="69" t="s">
        <v>85</v>
      </c>
      <c r="AB599" s="69" t="s">
        <v>85</v>
      </c>
      <c r="AC599" s="69" t="s">
        <v>85</v>
      </c>
      <c r="AD599" s="38" t="str">
        <f>+IF(ISERROR(VLOOKUP($B599,AD$10:AD598,1,0)),IF(AND($N599&gt;=1000,$A599&gt;=AO$8,$A599&lt;=AO$9),$B599,""),"")</f>
        <v/>
      </c>
      <c r="AE599" s="38" t="str">
        <f>+IF(ISERROR(VLOOKUP($B599,AE$10:AE598,1,0)),IF(AND($N599&gt;=1000,$A599&gt;=AP$8,$A599&lt;=AP$9),$B599,""),"")</f>
        <v/>
      </c>
      <c r="AF599" s="38" t="str">
        <f>+IF(ISERROR(VLOOKUP($B599,AF$10:AF598,1,0)),IF(AND($N599&gt;=1000,$A599&gt;=AQ$8,$A599&lt;=AQ$9),$B599,""),"")</f>
        <v/>
      </c>
      <c r="AG599" s="38" t="str">
        <f>+IF(ISERROR(VLOOKUP($B599,AG$10:AG598,1,0)),IF(AND($N599&gt;=1000,$A599&gt;=AR$8,$A599&lt;=AR$9),$B599,""),"")</f>
        <v/>
      </c>
      <c r="AH599" s="38"/>
      <c r="AI599" s="70">
        <v>0</v>
      </c>
      <c r="AJ599" s="38">
        <f>IF(AND(AJ$7="○",$A599&gt;=AJ$8,$A599&lt;=AJ$9),IF(SUM(AJ$10:AJ598)-ROUNDDOWN($K599*AJ$5/100,0)&lt;-AJ$6,-AJ$6-SUM(AJ$10:AJ598),-ROUNDDOWN($K599*AJ$5/100,0)),0)</f>
        <v>0</v>
      </c>
      <c r="AK599" s="38">
        <f>IF(AND(AK$7="○",$A599&gt;=AK$8,$A599&lt;=AK$9),IF(SUM(AK$10:AK598)-ROUNDDOWN($L599*AK$5/100,0)&lt;-AK$6,-AK$6-SUM(AK$10:AK598),-ROUNDDOWN($L599*AK$5/100,0)),0)</f>
        <v>0</v>
      </c>
      <c r="AL599" s="38">
        <f>IF(AND(AL$7="○",$A599&gt;=AL$8,$A599&lt;=AL$9),IF(SUM(AL$10:AL598)-ROUNDDOWN($N599*AL$5/100,0)&lt;-AL$6,-AL$6-SUM(AL$10:AL598),-ROUNDDOWN($N599*AL$5/100,0)),0)</f>
        <v>0</v>
      </c>
      <c r="AM599" s="38">
        <f>IF(AND(AM$7="○",$A599&gt;=AM$8,$A599&lt;=AM$9),IF(SUM(AM$10:AM598)-ROUNDDOWN($L599*AM$5/100,0)&lt;-AM$6,-AM$6-SUM(AM$10:AM598),-ROUNDDOWN($L599*AM$5/100,0)),0)</f>
        <v>0</v>
      </c>
      <c r="AN599" s="38">
        <f>IF(AND(AN$7="○",$A599&gt;=AN$8,$A599&lt;=AN$9),IF(SUM(AN$10:AN598)-ROUNDDOWN($M599*AN$5/100,0)&lt;-AN$6,-AN$6-SUM(AN$10:AN598),-ROUNDDOWN($M599*AN$5/100,0)),0)</f>
        <v>0</v>
      </c>
      <c r="AO599" s="38">
        <f>IF(AND($A599&gt;=AO$8,$A599&lt;=AO$9),IF(SUM(AO$10:AO598)-ROUNDDOWN($K599*AO$5/100,0)&lt;-AO$6,-AO$6-SUM(AO$10:AO598),-ROUNDDOWN($K599*AO$5/100,0)),0)</f>
        <v>0</v>
      </c>
      <c r="AP599" s="38">
        <f>IF(AND($A599&gt;=AP$8,$A599&lt;=AP$9),IF(SUM(AP$10:AP598)-ROUNDDOWN($K599*AP$5/100,0)&lt;-AP$6,-AP$6-SUM(AP$10:AP598),-ROUNDDOWN($K599*AP$5/100,0)),0)</f>
        <v>0</v>
      </c>
      <c r="AQ599" s="38">
        <f>IF(AND($A599&gt;=AQ$8,$A599&lt;=AQ$9),IF(SUM(AQ$10:AQ598)-ROUNDDOWN($K599*AQ$5/100,0)&lt;-AQ$6,-AQ$6-SUM(AQ$10:AQ598),-ROUNDDOWN($K599*AQ$5/100,0)),0)</f>
        <v>0</v>
      </c>
      <c r="AR599" s="38">
        <f>IF(AND($A599&gt;=AR$8,$A599&lt;=AR$9),IF(SUM(AR$10:AR598)-ROUNDDOWN($K599*AR$5/100,0)&lt;-AR$6,-AR$6-SUM(AR$10:AR598),-ROUNDDOWN($K599*AR$5/100,0)),0)</f>
        <v>0</v>
      </c>
      <c r="AS599" s="38">
        <f>IF(SUMIFS(AS$10:AS598,$A$10:$A598,$A599)-ROUNDDOWN($K599*$S599/100,0)&lt;-$S599*1000,-$S599*1000-SUMIFS(AS$10:AS598,$A$10:$A598,$A599),-ROUNDDOWN($K599*$S599/100,0))</f>
        <v>0</v>
      </c>
      <c r="AT599" s="38">
        <f>IF(AND(X599="○",$A599&gt;=AT$8,$A599&lt;=AT$9,K599&gt;=3980),IF(SUM(AT$10:AT598)-ROUNDDOWN($K599*AT$5/100,0)&lt;-AT$6,-AT$6-SUM(AT$10:AT598),-ROUNDDOWN($K599*AT$5/100,0)),0)</f>
        <v>0</v>
      </c>
      <c r="AU599" s="38">
        <f>IF(O599="○",IF(SUM(AU$10:AU598)-ROUNDDOWN($K599*AU$5/100,0)&lt;-AU$6,-AU$6-SUM(AU$10:AU598),-ROUNDDOWN($K599*AU$5/100,0)),0)</f>
        <v>0</v>
      </c>
      <c r="AV599" s="38">
        <f>IF(P599="○",IF(SUM(AV$10:AV598)-ROUNDDOWN($K599*AV$5/100,0)&lt;-AV$6,-AV$6-SUM(AV$10:AV598),-ROUNDDOWN($K599*AV$5/100,0)),0)</f>
        <v>0</v>
      </c>
      <c r="AW599" s="38">
        <f>IF(Q599="○",IF(SUM(AW$10:AW598)-ROUNDDOWN($K599*AW$5/100,0)&lt;-AW$6,-AW$6-SUM(AW$10:AW598),-ROUNDDOWN($K599*AW$5/100,0)),0)</f>
        <v>0</v>
      </c>
      <c r="AX599" s="38">
        <f>IF(R599="○",IF(SUM(AX$10:AX598)-ROUNDDOWN($K599*AX$5/100,0)&lt;-AX$6,-AX$6-SUM(AX$10:AX598),-ROUNDDOWN($K599*AX$5/100,0)),0)</f>
        <v>0</v>
      </c>
      <c r="AY599" s="70">
        <v>0</v>
      </c>
      <c r="AZ599" s="65">
        <f t="shared" si="377"/>
        <v>0</v>
      </c>
      <c r="BA599" s="65">
        <f t="shared" si="378"/>
        <v>0</v>
      </c>
      <c r="BB599" s="70"/>
      <c r="BC599" s="65">
        <f t="shared" si="379"/>
        <v>0</v>
      </c>
      <c r="BD599" s="70">
        <v>0</v>
      </c>
      <c r="BE599" s="65">
        <f t="shared" si="380"/>
        <v>0</v>
      </c>
      <c r="BF599" s="70">
        <v>0</v>
      </c>
      <c r="BG599" s="65">
        <f t="shared" si="381"/>
        <v>0</v>
      </c>
      <c r="BH599" s="70">
        <v>0</v>
      </c>
      <c r="BI599" s="65">
        <f t="shared" si="382"/>
        <v>0</v>
      </c>
      <c r="BJ599" s="38">
        <f>IF(AND(BJ$7="○",$A599&gt;=BJ$8,$A599&lt;=BJ$9),IF(SUM(BJ$10:BJ598)-ROUNDDOWN($M599*BJ$5/100,0)&lt;-BJ$6,-BJ$6-SUM(BJ$10:BJ598),-ROUNDDOWN($M599*BJ$5/100,0)),0)</f>
        <v>0</v>
      </c>
      <c r="BK599" s="38">
        <f>IF(AND(BK$7="○",$A599&gt;=BK$8,$A599&lt;=BK$9),IF(SUM(BK$10:BK598)-ROUNDDOWN($L599*BK$5/100,0)&lt;-BK$6,-BK$6-SUM(BK$10:BK598),-ROUNDDOWN($L599*BK$5/100,0)),0)</f>
        <v>0</v>
      </c>
      <c r="BL599" s="38">
        <f>IF(AND(BL$7="○",$A599&gt;=BL$8,$A599&lt;=BL$9),IF(SUM(BL$10:BL598)-ROUNDDOWN($L599*BL$5/100,0)&lt;-BL$6,-BL$6-SUM(BL$10:BL598),-ROUNDDOWN($L599*BL$5/100,0)),0)</f>
        <v>0</v>
      </c>
      <c r="BM599" s="38">
        <f>IF(AND(BM$7="○",$A599&gt;=BM$8,$A599&lt;=BM$9),IF(SUM(BM$10:BM598)-ROUNDDOWN($M599*BM$5/100,0)&lt;-BM$6,-BM$6-SUM(BM$10:BM598),-ROUNDDOWN($M599*BM$5/100,0)),0)</f>
        <v>0</v>
      </c>
      <c r="BN599" s="38">
        <f>IF(AND(BN$7="○",$A599&gt;=BN$8,$A599&lt;=BN$9),IF(SUM(BN$10:BN598)-ROUNDDOWN($M599*BN$5/100,0)&lt;-BN$6,-BN$6-SUM(BN$10:BN598),-ROUNDDOWN($M599*BN$5/100,0)),0)</f>
        <v>0</v>
      </c>
      <c r="BO599" s="38">
        <f>IF(AND(BO$7="○",$A599&gt;=BO$8,$A599&lt;=BO$9),IF(SUM(BO$10:BO598)-ROUNDDOWN($M599*BO$5/100,0)&lt;-BO$6,-BO$6-SUM(BO$10:BO598),-ROUNDDOWN($M599*BO$5/100,0)),0)</f>
        <v>0</v>
      </c>
      <c r="BP599" s="38">
        <f>IF(AND(BP$7="○",$A599&gt;=BP$8,$A599&lt;=BP$9),IF(SUM(BP$10:BP598)-ROUNDDOWN($M599*BP$5/100,0)&lt;-BP$6,-BP$6-SUM(BP$10:BP598),-ROUNDDOWN($M599*BP$5/100,0)),0)</f>
        <v>0</v>
      </c>
      <c r="BQ599" s="38">
        <f>IF(AND(BQ$7="○",$A599&gt;=BQ$8,$A599&lt;=BQ$9),IF(SUM(BQ$10:BQ598)-ROUNDDOWN($L599*BQ$5/100,0)&lt;-BQ$6,-BQ$6-SUM(BQ$10:BQ598),-ROUNDDOWN($L599*BQ$5/100,0)),0)</f>
        <v>0</v>
      </c>
      <c r="BR599" s="38">
        <f>IF(AND(BR$7="○",$A599&gt;=BR$8,$A599&lt;=BR$9),IF(SUM(BR$10:BR598)-ROUNDDOWN($M599*BR$5/100,0)&lt;-BR$6,-BR$6-SUM(BR$10:BR598),-ROUNDDOWN($M599*BR$5/100,0)),0)</f>
        <v>0</v>
      </c>
      <c r="BS599" s="38">
        <f>IF(AND(BS$7="○",$A599&gt;=BS$8,$A599&lt;=BS$9),IF(SUM(BS$10:BS598)-ROUNDDOWN($M599*BS$5/100,0)&lt;-BS$6,-BS$6-SUM(BS$10:BS598),-ROUNDDOWN($M599*BS$5/100,0)),0)</f>
        <v>0</v>
      </c>
      <c r="BT599" s="38">
        <f>IF(AND(BT$7="○",$A599&gt;=BT$8,$A599&lt;=BT$9),IF(SUM(BT$10:BT598)-ROUNDDOWN($M599*BT$5/100,0)&lt;-BT$6,-BT$6-SUM(BT$10:BT598),-ROUNDDOWN($M599*BT$5/100,0)),0)</f>
        <v>0</v>
      </c>
      <c r="BU599" s="38">
        <f>IF(AND(BU$7="○",$A599&gt;=BU$8,$A599&lt;=BU$9),IF(SUM(BU$10:BU598)-ROUNDDOWN($M599*BU$5/100,0)&lt;-BU$6,-BU$6-SUM(BU$10:BU598),-ROUNDDOWN($M599*BU$5/100,0)),0)</f>
        <v>0</v>
      </c>
      <c r="BV599" s="38">
        <f>IF(AND(BV$7="○",$A599&gt;=BV$8,$A599&lt;=BV$9),IF(SUM(BV$10:BV598)-ROUNDDOWN($M599*BV$5/100,0)&lt;-BV$6,-BV$6-SUM(BV$10:BV598),-ROUNDDOWN($M599*BV$5/100,0)),0)</f>
        <v>0</v>
      </c>
      <c r="BW599" s="38">
        <f>IF(AND(BW$7="○",$A599&gt;=BW$8,$A599&lt;=BW$9),IF(SUM(BW$10:BW598)-ROUNDDOWN($M599*BW$5/100,0)&lt;-BW$6,-BW$6-SUM(BW$10:BW598),-ROUNDDOWN($M599*BW$5/100,0)),0)</f>
        <v>0</v>
      </c>
      <c r="BX599" s="38">
        <f>IF(AND(T599="○",$A599&gt;=BX$8,$A599&lt;=BX$9),IF(SUM(BX$10:BX598)-ROUNDDOWN($K599*BX$5/100,0)&lt;-BX$6,-BX$6-SUM(BX$10:BX598),-ROUNDDOWN($K599*BX$5/100,0)),0)</f>
        <v>0</v>
      </c>
      <c r="BY599" s="38">
        <f>IF(AND(U599="○",$A599&gt;=BY$8,$A599&lt;=BY$9),IF(SUM(BY$10:BY598)-ROUNDDOWN($K599*BY$5/100,0)&lt;-BY$6,-BY$6-SUM(BY$10:BY598),-ROUNDDOWN($K599*BY$5/100,0)),0)</f>
        <v>0</v>
      </c>
      <c r="BZ599" s="38">
        <f>IF(AND(V599="○",$A599&gt;=BZ$8,$A599&lt;=BZ$9),IF(SUM(BZ$10:BZ598)-ROUNDDOWN($K599*BZ$5/100,0)&lt;-BZ$6,-BZ$6-SUM(BZ$10:BZ598),-ROUNDDOWN($K599*BZ$5/100,0)),0)</f>
        <v>0</v>
      </c>
      <c r="CA599" s="38">
        <f>IF(AND(W599="○",$A599&gt;=CA$8,$A599&lt;=CA$9),IF(SUM(CA$10:CA598)-ROUNDDOWN($K599*CA$5/100,0)&lt;-CA$6,-CA$6-SUM(CA$10:CA598),-ROUNDDOWN($K599*CA$5/100,0)),0)</f>
        <v>0</v>
      </c>
      <c r="CB599" s="38"/>
      <c r="CC599" s="38"/>
      <c r="CD599" s="38"/>
      <c r="CE599" s="38"/>
      <c r="CF599" s="38"/>
      <c r="CG599" s="65">
        <f t="shared" si="383"/>
        <v>0</v>
      </c>
      <c r="CH599" s="71">
        <f t="shared" si="384"/>
        <v>0</v>
      </c>
      <c r="CI599" s="1">
        <f t="shared" si="391"/>
        <v>0</v>
      </c>
      <c r="CJ599" s="1"/>
      <c r="CK599" s="75"/>
      <c r="CL599" s="75"/>
      <c r="CM599" s="2"/>
      <c r="CN599" s="2"/>
      <c r="CO599" s="73">
        <f t="shared" si="392"/>
        <v>0</v>
      </c>
      <c r="CP599" s="5">
        <f t="shared" si="393"/>
        <v>0</v>
      </c>
      <c r="CQ599" s="1"/>
      <c r="CR599" s="1">
        <f t="shared" si="394"/>
        <v>0</v>
      </c>
      <c r="CS599" s="1"/>
      <c r="CT599" s="1" t="e">
        <f>INDEX([2]マスタ!$A:$A,MATCH(D599,[2]マスタ!$C:$C,0))</f>
        <v>#N/A</v>
      </c>
      <c r="CU599" s="1" t="str">
        <f t="shared" ca="1" si="395"/>
        <v>20260620_0-0</v>
      </c>
    </row>
    <row r="600" spans="1:99" x14ac:dyDescent="0.4">
      <c r="A600" s="61"/>
      <c r="B600" s="62"/>
      <c r="C600" s="62"/>
      <c r="D600" s="62"/>
      <c r="E600" s="74"/>
      <c r="F600" s="62"/>
      <c r="G600" s="62">
        <v>1</v>
      </c>
      <c r="H600" s="64">
        <f t="shared" si="385"/>
        <v>0</v>
      </c>
      <c r="I600" s="64"/>
      <c r="J600" s="64"/>
      <c r="K600" s="65">
        <f t="shared" si="386"/>
        <v>0</v>
      </c>
      <c r="L600" s="65">
        <f t="shared" si="387"/>
        <v>0</v>
      </c>
      <c r="M600" s="65">
        <f t="shared" si="388"/>
        <v>0</v>
      </c>
      <c r="N600" s="65">
        <f t="shared" si="389"/>
        <v>0</v>
      </c>
      <c r="O600" s="66" t="str">
        <f t="shared" si="9"/>
        <v>✕</v>
      </c>
      <c r="P600" s="67" t="str">
        <f t="shared" si="10"/>
        <v>○</v>
      </c>
      <c r="Q600" s="67" t="str">
        <f t="shared" si="390"/>
        <v>✕</v>
      </c>
      <c r="R600" s="67" t="str">
        <f t="shared" si="12"/>
        <v>✕</v>
      </c>
      <c r="S600" s="68">
        <v>0</v>
      </c>
      <c r="T600" s="69" t="s">
        <v>85</v>
      </c>
      <c r="U600" s="69" t="s">
        <v>85</v>
      </c>
      <c r="V600" s="69" t="s">
        <v>85</v>
      </c>
      <c r="W600" s="69" t="s">
        <v>85</v>
      </c>
      <c r="X600" s="69" t="s">
        <v>84</v>
      </c>
      <c r="Y600" s="69" t="s">
        <v>85</v>
      </c>
      <c r="Z600" s="69" t="s">
        <v>85</v>
      </c>
      <c r="AA600" s="69" t="s">
        <v>85</v>
      </c>
      <c r="AB600" s="69" t="s">
        <v>85</v>
      </c>
      <c r="AC600" s="69" t="s">
        <v>85</v>
      </c>
      <c r="AD600" s="38" t="str">
        <f>+IF(ISERROR(VLOOKUP($B600,AD$10:AD599,1,0)),IF(AND($N600&gt;=1000,$A600&gt;=AO$8,$A600&lt;=AO$9),$B600,""),"")</f>
        <v/>
      </c>
      <c r="AE600" s="38" t="str">
        <f>+IF(ISERROR(VLOOKUP($B600,AE$10:AE599,1,0)),IF(AND($N600&gt;=1000,$A600&gt;=AP$8,$A600&lt;=AP$9),$B600,""),"")</f>
        <v/>
      </c>
      <c r="AF600" s="38" t="str">
        <f>+IF(ISERROR(VLOOKUP($B600,AF$10:AF599,1,0)),IF(AND($N600&gt;=1000,$A600&gt;=AQ$8,$A600&lt;=AQ$9),$B600,""),"")</f>
        <v/>
      </c>
      <c r="AG600" s="38" t="str">
        <f>+IF(ISERROR(VLOOKUP($B600,AG$10:AG599,1,0)),IF(AND($N600&gt;=1000,$A600&gt;=AR$8,$A600&lt;=AR$9),$B600,""),"")</f>
        <v/>
      </c>
      <c r="AH600" s="38"/>
      <c r="AI600" s="70">
        <v>0</v>
      </c>
      <c r="AJ600" s="38">
        <f>IF(AND(AJ$7="○",$A600&gt;=AJ$8,$A600&lt;=AJ$9),IF(SUM(AJ$10:AJ599)-ROUNDDOWN($K600*AJ$5/100,0)&lt;-AJ$6,-AJ$6-SUM(AJ$10:AJ599),-ROUNDDOWN($K600*AJ$5/100,0)),0)</f>
        <v>0</v>
      </c>
      <c r="AK600" s="38">
        <f>IF(AND(AK$7="○",$A600&gt;=AK$8,$A600&lt;=AK$9),IF(SUM(AK$10:AK599)-ROUNDDOWN($L600*AK$5/100,0)&lt;-AK$6,-AK$6-SUM(AK$10:AK599),-ROUNDDOWN($L600*AK$5/100,0)),0)</f>
        <v>0</v>
      </c>
      <c r="AL600" s="38">
        <f>IF(AND(AL$7="○",$A600&gt;=AL$8,$A600&lt;=AL$9),IF(SUM(AL$10:AL599)-ROUNDDOWN($N600*AL$5/100,0)&lt;-AL$6,-AL$6-SUM(AL$10:AL599),-ROUNDDOWN($N600*AL$5/100,0)),0)</f>
        <v>0</v>
      </c>
      <c r="AM600" s="38">
        <f>IF(AND(AM$7="○",$A600&gt;=AM$8,$A600&lt;=AM$9),IF(SUM(AM$10:AM599)-ROUNDDOWN($L600*AM$5/100,0)&lt;-AM$6,-AM$6-SUM(AM$10:AM599),-ROUNDDOWN($L600*AM$5/100,0)),0)</f>
        <v>0</v>
      </c>
      <c r="AN600" s="38">
        <f>IF(AND(AN$7="○",$A600&gt;=AN$8,$A600&lt;=AN$9),IF(SUM(AN$10:AN599)-ROUNDDOWN($M600*AN$5/100,0)&lt;-AN$6,-AN$6-SUM(AN$10:AN599),-ROUNDDOWN($M600*AN$5/100,0)),0)</f>
        <v>0</v>
      </c>
      <c r="AO600" s="38">
        <f>IF(AND($A600&gt;=AO$8,$A600&lt;=AO$9),IF(SUM(AO$10:AO599)-ROUNDDOWN($K600*AO$5/100,0)&lt;-AO$6,-AO$6-SUM(AO$10:AO599),-ROUNDDOWN($K600*AO$5/100,0)),0)</f>
        <v>0</v>
      </c>
      <c r="AP600" s="38">
        <f>IF(AND($A600&gt;=AP$8,$A600&lt;=AP$9),IF(SUM(AP$10:AP599)-ROUNDDOWN($K600*AP$5/100,0)&lt;-AP$6,-AP$6-SUM(AP$10:AP599),-ROUNDDOWN($K600*AP$5/100,0)),0)</f>
        <v>0</v>
      </c>
      <c r="AQ600" s="38">
        <f>IF(AND($A600&gt;=AQ$8,$A600&lt;=AQ$9),IF(SUM(AQ$10:AQ599)-ROUNDDOWN($K600*AQ$5/100,0)&lt;-AQ$6,-AQ$6-SUM(AQ$10:AQ599),-ROUNDDOWN($K600*AQ$5/100,0)),0)</f>
        <v>0</v>
      </c>
      <c r="AR600" s="38">
        <f>IF(AND($A600&gt;=AR$8,$A600&lt;=AR$9),IF(SUM(AR$10:AR599)-ROUNDDOWN($K600*AR$5/100,0)&lt;-AR$6,-AR$6-SUM(AR$10:AR599),-ROUNDDOWN($K600*AR$5/100,0)),0)</f>
        <v>0</v>
      </c>
      <c r="AS600" s="38">
        <f>IF(SUMIFS(AS$10:AS599,$A$10:$A599,$A600)-ROUNDDOWN($K600*$S600/100,0)&lt;-$S600*1000,-$S600*1000-SUMIFS(AS$10:AS599,$A$10:$A599,$A600),-ROUNDDOWN($K600*$S600/100,0))</f>
        <v>0</v>
      </c>
      <c r="AT600" s="38">
        <f>IF(AND(X600="○",$A600&gt;=AT$8,$A600&lt;=AT$9,K600&gt;=3980),IF(SUM(AT$10:AT599)-ROUNDDOWN($K600*AT$5/100,0)&lt;-AT$6,-AT$6-SUM(AT$10:AT599),-ROUNDDOWN($K600*AT$5/100,0)),0)</f>
        <v>0</v>
      </c>
      <c r="AU600" s="38">
        <f>IF(O600="○",IF(SUM(AU$10:AU599)-ROUNDDOWN($K600*AU$5/100,0)&lt;-AU$6,-AU$6-SUM(AU$10:AU599),-ROUNDDOWN($K600*AU$5/100,0)),0)</f>
        <v>0</v>
      </c>
      <c r="AV600" s="38">
        <f>IF(P600="○",IF(SUM(AV$10:AV599)-ROUNDDOWN($K600*AV$5/100,0)&lt;-AV$6,-AV$6-SUM(AV$10:AV599),-ROUNDDOWN($K600*AV$5/100,0)),0)</f>
        <v>0</v>
      </c>
      <c r="AW600" s="38">
        <f>IF(Q600="○",IF(SUM(AW$10:AW599)-ROUNDDOWN($K600*AW$5/100,0)&lt;-AW$6,-AW$6-SUM(AW$10:AW599),-ROUNDDOWN($K600*AW$5/100,0)),0)</f>
        <v>0</v>
      </c>
      <c r="AX600" s="38">
        <f>IF(R600="○",IF(SUM(AX$10:AX599)-ROUNDDOWN($K600*AX$5/100,0)&lt;-AX$6,-AX$6-SUM(AX$10:AX599),-ROUNDDOWN($K600*AX$5/100,0)),0)</f>
        <v>0</v>
      </c>
      <c r="AY600" s="70">
        <v>0</v>
      </c>
      <c r="AZ600" s="65">
        <f t="shared" si="377"/>
        <v>0</v>
      </c>
      <c r="BA600" s="65">
        <f t="shared" si="378"/>
        <v>0</v>
      </c>
      <c r="BB600" s="70"/>
      <c r="BC600" s="65">
        <f t="shared" si="379"/>
        <v>0</v>
      </c>
      <c r="BD600" s="70">
        <v>0</v>
      </c>
      <c r="BE600" s="65">
        <f t="shared" si="380"/>
        <v>0</v>
      </c>
      <c r="BF600" s="70">
        <v>0</v>
      </c>
      <c r="BG600" s="65">
        <f t="shared" si="381"/>
        <v>0</v>
      </c>
      <c r="BH600" s="70">
        <v>0</v>
      </c>
      <c r="BI600" s="65">
        <f t="shared" si="382"/>
        <v>0</v>
      </c>
      <c r="BJ600" s="38">
        <f>IF(AND(BJ$7="○",$A600&gt;=BJ$8,$A600&lt;=BJ$9),IF(SUM(BJ$10:BJ599)-ROUNDDOWN($M600*BJ$5/100,0)&lt;-BJ$6,-BJ$6-SUM(BJ$10:BJ599),-ROUNDDOWN($M600*BJ$5/100,0)),0)</f>
        <v>0</v>
      </c>
      <c r="BK600" s="38">
        <f>IF(AND(BK$7="○",$A600&gt;=BK$8,$A600&lt;=BK$9),IF(SUM(BK$10:BK599)-ROUNDDOWN($L600*BK$5/100,0)&lt;-BK$6,-BK$6-SUM(BK$10:BK599),-ROUNDDOWN($L600*BK$5/100,0)),0)</f>
        <v>0</v>
      </c>
      <c r="BL600" s="38">
        <f>IF(AND(BL$7="○",$A600&gt;=BL$8,$A600&lt;=BL$9),IF(SUM(BL$10:BL599)-ROUNDDOWN($L600*BL$5/100,0)&lt;-BL$6,-BL$6-SUM(BL$10:BL599),-ROUNDDOWN($L600*BL$5/100,0)),0)</f>
        <v>0</v>
      </c>
      <c r="BM600" s="38">
        <f>IF(AND(BM$7="○",$A600&gt;=BM$8,$A600&lt;=BM$9),IF(SUM(BM$10:BM599)-ROUNDDOWN($M600*BM$5/100,0)&lt;-BM$6,-BM$6-SUM(BM$10:BM599),-ROUNDDOWN($M600*BM$5/100,0)),0)</f>
        <v>0</v>
      </c>
      <c r="BN600" s="38">
        <f>IF(AND(BN$7="○",$A600&gt;=BN$8,$A600&lt;=BN$9),IF(SUM(BN$10:BN599)-ROUNDDOWN($M600*BN$5/100,0)&lt;-BN$6,-BN$6-SUM(BN$10:BN599),-ROUNDDOWN($M600*BN$5/100,0)),0)</f>
        <v>0</v>
      </c>
      <c r="BO600" s="38">
        <f>IF(AND(BO$7="○",$A600&gt;=BO$8,$A600&lt;=BO$9),IF(SUM(BO$10:BO599)-ROUNDDOWN($M600*BO$5/100,0)&lt;-BO$6,-BO$6-SUM(BO$10:BO599),-ROUNDDOWN($M600*BO$5/100,0)),0)</f>
        <v>0</v>
      </c>
      <c r="BP600" s="38">
        <f>IF(AND(BP$7="○",$A600&gt;=BP$8,$A600&lt;=BP$9),IF(SUM(BP$10:BP599)-ROUNDDOWN($M600*BP$5/100,0)&lt;-BP$6,-BP$6-SUM(BP$10:BP599),-ROUNDDOWN($M600*BP$5/100,0)),0)</f>
        <v>0</v>
      </c>
      <c r="BQ600" s="38">
        <f>IF(AND(BQ$7="○",$A600&gt;=BQ$8,$A600&lt;=BQ$9),IF(SUM(BQ$10:BQ599)-ROUNDDOWN($L600*BQ$5/100,0)&lt;-BQ$6,-BQ$6-SUM(BQ$10:BQ599),-ROUNDDOWN($L600*BQ$5/100,0)),0)</f>
        <v>0</v>
      </c>
      <c r="BR600" s="38">
        <f>IF(AND(BR$7="○",$A600&gt;=BR$8,$A600&lt;=BR$9),IF(SUM(BR$10:BR599)-ROUNDDOWN($M600*BR$5/100,0)&lt;-BR$6,-BR$6-SUM(BR$10:BR599),-ROUNDDOWN($M600*BR$5/100,0)),0)</f>
        <v>0</v>
      </c>
      <c r="BS600" s="38">
        <f>IF(AND(BS$7="○",$A600&gt;=BS$8,$A600&lt;=BS$9),IF(SUM(BS$10:BS599)-ROUNDDOWN($M600*BS$5/100,0)&lt;-BS$6,-BS$6-SUM(BS$10:BS599),-ROUNDDOWN($M600*BS$5/100,0)),0)</f>
        <v>0</v>
      </c>
      <c r="BT600" s="38">
        <f>IF(AND(BT$7="○",$A600&gt;=BT$8,$A600&lt;=BT$9),IF(SUM(BT$10:BT599)-ROUNDDOWN($M600*BT$5/100,0)&lt;-BT$6,-BT$6-SUM(BT$10:BT599),-ROUNDDOWN($M600*BT$5/100,0)),0)</f>
        <v>0</v>
      </c>
      <c r="BU600" s="38">
        <f>IF(AND(BU$7="○",$A600&gt;=BU$8,$A600&lt;=BU$9),IF(SUM(BU$10:BU599)-ROUNDDOWN($M600*BU$5/100,0)&lt;-BU$6,-BU$6-SUM(BU$10:BU599),-ROUNDDOWN($M600*BU$5/100,0)),0)</f>
        <v>0</v>
      </c>
      <c r="BV600" s="38">
        <f>IF(AND(BV$7="○",$A600&gt;=BV$8,$A600&lt;=BV$9),IF(SUM(BV$10:BV599)-ROUNDDOWN($M600*BV$5/100,0)&lt;-BV$6,-BV$6-SUM(BV$10:BV599),-ROUNDDOWN($M600*BV$5/100,0)),0)</f>
        <v>0</v>
      </c>
      <c r="BW600" s="38">
        <f>IF(AND(BW$7="○",$A600&gt;=BW$8,$A600&lt;=BW$9),IF(SUM(BW$10:BW599)-ROUNDDOWN($M600*BW$5/100,0)&lt;-BW$6,-BW$6-SUM(BW$10:BW599),-ROUNDDOWN($M600*BW$5/100,0)),0)</f>
        <v>0</v>
      </c>
      <c r="BX600" s="38">
        <f>IF(AND(T600="○",$A600&gt;=BX$8,$A600&lt;=BX$9),IF(SUM(BX$10:BX599)-ROUNDDOWN($K600*BX$5/100,0)&lt;-BX$6,-BX$6-SUM(BX$10:BX599),-ROUNDDOWN($K600*BX$5/100,0)),0)</f>
        <v>0</v>
      </c>
      <c r="BY600" s="38">
        <f>IF(AND(U600="○",$A600&gt;=BY$8,$A600&lt;=BY$9),IF(SUM(BY$10:BY599)-ROUNDDOWN($K600*BY$5/100,0)&lt;-BY$6,-BY$6-SUM(BY$10:BY599),-ROUNDDOWN($K600*BY$5/100,0)),0)</f>
        <v>0</v>
      </c>
      <c r="BZ600" s="38">
        <f>IF(AND(V600="○",$A600&gt;=BZ$8,$A600&lt;=BZ$9),IF(SUM(BZ$10:BZ599)-ROUNDDOWN($K600*BZ$5/100,0)&lt;-BZ$6,-BZ$6-SUM(BZ$10:BZ599),-ROUNDDOWN($K600*BZ$5/100,0)),0)</f>
        <v>0</v>
      </c>
      <c r="CA600" s="38">
        <f>IF(AND(W600="○",$A600&gt;=CA$8,$A600&lt;=CA$9),IF(SUM(CA$10:CA599)-ROUNDDOWN($K600*CA$5/100,0)&lt;-CA$6,-CA$6-SUM(CA$10:CA599),-ROUNDDOWN($K600*CA$5/100,0)),0)</f>
        <v>0</v>
      </c>
      <c r="CB600" s="38"/>
      <c r="CC600" s="38"/>
      <c r="CD600" s="38"/>
      <c r="CE600" s="38"/>
      <c r="CF600" s="38"/>
      <c r="CG600" s="65">
        <f t="shared" si="383"/>
        <v>0</v>
      </c>
      <c r="CH600" s="71">
        <f t="shared" si="384"/>
        <v>0</v>
      </c>
      <c r="CI600" s="1">
        <f t="shared" si="391"/>
        <v>0</v>
      </c>
      <c r="CJ600" s="1"/>
      <c r="CK600" s="75"/>
      <c r="CL600" s="75"/>
      <c r="CM600" s="2"/>
      <c r="CN600" s="2"/>
      <c r="CO600" s="73">
        <f t="shared" si="392"/>
        <v>0</v>
      </c>
      <c r="CP600" s="5">
        <f t="shared" si="393"/>
        <v>0</v>
      </c>
      <c r="CQ600" s="1"/>
      <c r="CR600" s="1">
        <f t="shared" si="394"/>
        <v>0</v>
      </c>
      <c r="CS600" s="1"/>
      <c r="CT600" s="1" t="e">
        <f>INDEX([2]マスタ!$A:$A,MATCH(D600,[2]マスタ!$C:$C,0))</f>
        <v>#N/A</v>
      </c>
      <c r="CU600" s="1" t="str">
        <f t="shared" ca="1" si="395"/>
        <v>20260620_0-0</v>
      </c>
    </row>
    <row r="601" spans="1:99" x14ac:dyDescent="0.4">
      <c r="A601" s="61"/>
      <c r="B601" s="62"/>
      <c r="C601" s="62"/>
      <c r="D601" s="62"/>
      <c r="E601" s="74"/>
      <c r="F601" s="62"/>
      <c r="G601" s="62">
        <v>1</v>
      </c>
      <c r="H601" s="64">
        <f t="shared" si="385"/>
        <v>0</v>
      </c>
      <c r="I601" s="64"/>
      <c r="J601" s="64"/>
      <c r="K601" s="65">
        <f t="shared" si="386"/>
        <v>0</v>
      </c>
      <c r="L601" s="65">
        <f t="shared" si="387"/>
        <v>0</v>
      </c>
      <c r="M601" s="65">
        <f t="shared" si="388"/>
        <v>0</v>
      </c>
      <c r="N601" s="65">
        <f t="shared" si="389"/>
        <v>0</v>
      </c>
      <c r="O601" s="66" t="str">
        <f t="shared" si="9"/>
        <v>✕</v>
      </c>
      <c r="P601" s="67" t="str">
        <f t="shared" si="10"/>
        <v>○</v>
      </c>
      <c r="Q601" s="67" t="str">
        <f t="shared" si="390"/>
        <v>✕</v>
      </c>
      <c r="R601" s="67" t="str">
        <f t="shared" si="12"/>
        <v>✕</v>
      </c>
      <c r="S601" s="68">
        <v>0</v>
      </c>
      <c r="T601" s="69" t="s">
        <v>85</v>
      </c>
      <c r="U601" s="69" t="s">
        <v>85</v>
      </c>
      <c r="V601" s="69" t="s">
        <v>85</v>
      </c>
      <c r="W601" s="69" t="s">
        <v>85</v>
      </c>
      <c r="X601" s="69" t="s">
        <v>84</v>
      </c>
      <c r="Y601" s="69" t="s">
        <v>85</v>
      </c>
      <c r="Z601" s="69" t="s">
        <v>85</v>
      </c>
      <c r="AA601" s="69" t="s">
        <v>85</v>
      </c>
      <c r="AB601" s="69" t="s">
        <v>85</v>
      </c>
      <c r="AC601" s="69" t="s">
        <v>85</v>
      </c>
      <c r="AD601" s="38" t="str">
        <f>+IF(ISERROR(VLOOKUP($B601,AD$10:AD600,1,0)),IF(AND($N601&gt;=1000,$A601&gt;=AO$8,$A601&lt;=AO$9),$B601,""),"")</f>
        <v/>
      </c>
      <c r="AE601" s="38" t="str">
        <f>+IF(ISERROR(VLOOKUP($B601,AE$10:AE600,1,0)),IF(AND($N601&gt;=1000,$A601&gt;=AP$8,$A601&lt;=AP$9),$B601,""),"")</f>
        <v/>
      </c>
      <c r="AF601" s="38" t="str">
        <f>+IF(ISERROR(VLOOKUP($B601,AF$10:AF600,1,0)),IF(AND($N601&gt;=1000,$A601&gt;=AQ$8,$A601&lt;=AQ$9),$B601,""),"")</f>
        <v/>
      </c>
      <c r="AG601" s="38" t="str">
        <f>+IF(ISERROR(VLOOKUP($B601,AG$10:AG600,1,0)),IF(AND($N601&gt;=1000,$A601&gt;=AR$8,$A601&lt;=AR$9),$B601,""),"")</f>
        <v/>
      </c>
      <c r="AH601" s="38"/>
      <c r="AI601" s="70">
        <v>0</v>
      </c>
      <c r="AJ601" s="38">
        <f>IF(AND(AJ$7="○",$A601&gt;=AJ$8,$A601&lt;=AJ$9),IF(SUM(AJ$10:AJ600)-ROUNDDOWN($K601*AJ$5/100,0)&lt;-AJ$6,-AJ$6-SUM(AJ$10:AJ600),-ROUNDDOWN($K601*AJ$5/100,0)),0)</f>
        <v>0</v>
      </c>
      <c r="AK601" s="38">
        <f>IF(AND(AK$7="○",$A601&gt;=AK$8,$A601&lt;=AK$9),IF(SUM(AK$10:AK600)-ROUNDDOWN($L601*AK$5/100,0)&lt;-AK$6,-AK$6-SUM(AK$10:AK600),-ROUNDDOWN($L601*AK$5/100,0)),0)</f>
        <v>0</v>
      </c>
      <c r="AL601" s="38">
        <f>IF(AND(AL$7="○",$A601&gt;=AL$8,$A601&lt;=AL$9),IF(SUM(AL$10:AL600)-ROUNDDOWN($N601*AL$5/100,0)&lt;-AL$6,-AL$6-SUM(AL$10:AL600),-ROUNDDOWN($N601*AL$5/100,0)),0)</f>
        <v>0</v>
      </c>
      <c r="AM601" s="38">
        <f>IF(AND(AM$7="○",$A601&gt;=AM$8,$A601&lt;=AM$9),IF(SUM(AM$10:AM600)-ROUNDDOWN($L601*AM$5/100,0)&lt;-AM$6,-AM$6-SUM(AM$10:AM600),-ROUNDDOWN($L601*AM$5/100,0)),0)</f>
        <v>0</v>
      </c>
      <c r="AN601" s="38">
        <f>IF(AND(AN$7="○",$A601&gt;=AN$8,$A601&lt;=AN$9),IF(SUM(AN$10:AN600)-ROUNDDOWN($M601*AN$5/100,0)&lt;-AN$6,-AN$6-SUM(AN$10:AN600),-ROUNDDOWN($M601*AN$5/100,0)),0)</f>
        <v>0</v>
      </c>
      <c r="AO601" s="38">
        <f>IF(AND($A601&gt;=AO$8,$A601&lt;=AO$9),IF(SUM(AO$10:AO600)-ROUNDDOWN($K601*AO$5/100,0)&lt;-AO$6,-AO$6-SUM(AO$10:AO600),-ROUNDDOWN($K601*AO$5/100,0)),0)</f>
        <v>0</v>
      </c>
      <c r="AP601" s="38">
        <f>IF(AND($A601&gt;=AP$8,$A601&lt;=AP$9),IF(SUM(AP$10:AP600)-ROUNDDOWN($K601*AP$5/100,0)&lt;-AP$6,-AP$6-SUM(AP$10:AP600),-ROUNDDOWN($K601*AP$5/100,0)),0)</f>
        <v>0</v>
      </c>
      <c r="AQ601" s="38">
        <f>IF(AND($A601&gt;=AQ$8,$A601&lt;=AQ$9),IF(SUM(AQ$10:AQ600)-ROUNDDOWN($K601*AQ$5/100,0)&lt;-AQ$6,-AQ$6-SUM(AQ$10:AQ600),-ROUNDDOWN($K601*AQ$5/100,0)),0)</f>
        <v>0</v>
      </c>
      <c r="AR601" s="38">
        <f>IF(AND($A601&gt;=AR$8,$A601&lt;=AR$9),IF(SUM(AR$10:AR600)-ROUNDDOWN($K601*AR$5/100,0)&lt;-AR$6,-AR$6-SUM(AR$10:AR600),-ROUNDDOWN($K601*AR$5/100,0)),0)</f>
        <v>0</v>
      </c>
      <c r="AS601" s="38">
        <f>IF(SUMIFS(AS$10:AS600,$A$10:$A600,$A601)-ROUNDDOWN($K601*$S601/100,0)&lt;-$S601*1000,-$S601*1000-SUMIFS(AS$10:AS600,$A$10:$A600,$A601),-ROUNDDOWN($K601*$S601/100,0))</f>
        <v>0</v>
      </c>
      <c r="AT601" s="38">
        <f>IF(AND(X601="○",$A601&gt;=AT$8,$A601&lt;=AT$9,K601&gt;=3980),IF(SUM(AT$10:AT600)-ROUNDDOWN($K601*AT$5/100,0)&lt;-AT$6,-AT$6-SUM(AT$10:AT600),-ROUNDDOWN($K601*AT$5/100,0)),0)</f>
        <v>0</v>
      </c>
      <c r="AU601" s="38">
        <f>IF(O601="○",IF(SUM(AU$10:AU600)-ROUNDDOWN($K601*AU$5/100,0)&lt;-AU$6,-AU$6-SUM(AU$10:AU600),-ROUNDDOWN($K601*AU$5/100,0)),0)</f>
        <v>0</v>
      </c>
      <c r="AV601" s="38">
        <f>IF(P601="○",IF(SUM(AV$10:AV600)-ROUNDDOWN($K601*AV$5/100,0)&lt;-AV$6,-AV$6-SUM(AV$10:AV600),-ROUNDDOWN($K601*AV$5/100,0)),0)</f>
        <v>0</v>
      </c>
      <c r="AW601" s="38">
        <f>IF(Q601="○",IF(SUM(AW$10:AW600)-ROUNDDOWN($K601*AW$5/100,0)&lt;-AW$6,-AW$6-SUM(AW$10:AW600),-ROUNDDOWN($K601*AW$5/100,0)),0)</f>
        <v>0</v>
      </c>
      <c r="AX601" s="38">
        <f>IF(R601="○",IF(SUM(AX$10:AX600)-ROUNDDOWN($K601*AX$5/100,0)&lt;-AX$6,-AX$6-SUM(AX$10:AX600),-ROUNDDOWN($K601*AX$5/100,0)),0)</f>
        <v>0</v>
      </c>
      <c r="AY601" s="70">
        <v>0</v>
      </c>
      <c r="AZ601" s="65">
        <f t="shared" si="377"/>
        <v>0</v>
      </c>
      <c r="BA601" s="65">
        <f t="shared" si="378"/>
        <v>0</v>
      </c>
      <c r="BB601" s="70"/>
      <c r="BC601" s="65">
        <f t="shared" si="379"/>
        <v>0</v>
      </c>
      <c r="BD601" s="70">
        <v>0</v>
      </c>
      <c r="BE601" s="65">
        <f t="shared" si="380"/>
        <v>0</v>
      </c>
      <c r="BF601" s="70">
        <v>0</v>
      </c>
      <c r="BG601" s="65">
        <f t="shared" si="381"/>
        <v>0</v>
      </c>
      <c r="BH601" s="70">
        <v>0</v>
      </c>
      <c r="BI601" s="65">
        <f t="shared" si="382"/>
        <v>0</v>
      </c>
      <c r="BJ601" s="38">
        <f>IF(AND(BJ$7="○",$A601&gt;=BJ$8,$A601&lt;=BJ$9),IF(SUM(BJ$10:BJ600)-ROUNDDOWN($M601*BJ$5/100,0)&lt;-BJ$6,-BJ$6-SUM(BJ$10:BJ600),-ROUNDDOWN($M601*BJ$5/100,0)),0)</f>
        <v>0</v>
      </c>
      <c r="BK601" s="38">
        <f>IF(AND(BK$7="○",$A601&gt;=BK$8,$A601&lt;=BK$9),IF(SUM(BK$10:BK600)-ROUNDDOWN($L601*BK$5/100,0)&lt;-BK$6,-BK$6-SUM(BK$10:BK600),-ROUNDDOWN($L601*BK$5/100,0)),0)</f>
        <v>0</v>
      </c>
      <c r="BL601" s="38">
        <f>IF(AND(BL$7="○",$A601&gt;=BL$8,$A601&lt;=BL$9),IF(SUM(BL$10:BL600)-ROUNDDOWN($L601*BL$5/100,0)&lt;-BL$6,-BL$6-SUM(BL$10:BL600),-ROUNDDOWN($L601*BL$5/100,0)),0)</f>
        <v>0</v>
      </c>
      <c r="BM601" s="38">
        <f>IF(AND(BM$7="○",$A601&gt;=BM$8,$A601&lt;=BM$9),IF(SUM(BM$10:BM600)-ROUNDDOWN($M601*BM$5/100,0)&lt;-BM$6,-BM$6-SUM(BM$10:BM600),-ROUNDDOWN($M601*BM$5/100,0)),0)</f>
        <v>0</v>
      </c>
      <c r="BN601" s="38">
        <f>IF(AND(BN$7="○",$A601&gt;=BN$8,$A601&lt;=BN$9),IF(SUM(BN$10:BN600)-ROUNDDOWN($M601*BN$5/100,0)&lt;-BN$6,-BN$6-SUM(BN$10:BN600),-ROUNDDOWN($M601*BN$5/100,0)),0)</f>
        <v>0</v>
      </c>
      <c r="BO601" s="38">
        <f>IF(AND(BO$7="○",$A601&gt;=BO$8,$A601&lt;=BO$9),IF(SUM(BO$10:BO600)-ROUNDDOWN($M601*BO$5/100,0)&lt;-BO$6,-BO$6-SUM(BO$10:BO600),-ROUNDDOWN($M601*BO$5/100,0)),0)</f>
        <v>0</v>
      </c>
      <c r="BP601" s="38">
        <f>IF(AND(BP$7="○",$A601&gt;=BP$8,$A601&lt;=BP$9),IF(SUM(BP$10:BP600)-ROUNDDOWN($M601*BP$5/100,0)&lt;-BP$6,-BP$6-SUM(BP$10:BP600),-ROUNDDOWN($M601*BP$5/100,0)),0)</f>
        <v>0</v>
      </c>
      <c r="BQ601" s="38">
        <f>IF(AND(BQ$7="○",$A601&gt;=BQ$8,$A601&lt;=BQ$9),IF(SUM(BQ$10:BQ600)-ROUNDDOWN($L601*BQ$5/100,0)&lt;-BQ$6,-BQ$6-SUM(BQ$10:BQ600),-ROUNDDOWN($L601*BQ$5/100,0)),0)</f>
        <v>0</v>
      </c>
      <c r="BR601" s="38">
        <f>IF(AND(BR$7="○",$A601&gt;=BR$8,$A601&lt;=BR$9),IF(SUM(BR$10:BR600)-ROUNDDOWN($M601*BR$5/100,0)&lt;-BR$6,-BR$6-SUM(BR$10:BR600),-ROUNDDOWN($M601*BR$5/100,0)),0)</f>
        <v>0</v>
      </c>
      <c r="BS601" s="38">
        <f>IF(AND(BS$7="○",$A601&gt;=BS$8,$A601&lt;=BS$9),IF(SUM(BS$10:BS600)-ROUNDDOWN($M601*BS$5/100,0)&lt;-BS$6,-BS$6-SUM(BS$10:BS600),-ROUNDDOWN($M601*BS$5/100,0)),0)</f>
        <v>0</v>
      </c>
      <c r="BT601" s="38">
        <f>IF(AND(BT$7="○",$A601&gt;=BT$8,$A601&lt;=BT$9),IF(SUM(BT$10:BT600)-ROUNDDOWN($M601*BT$5/100,0)&lt;-BT$6,-BT$6-SUM(BT$10:BT600),-ROUNDDOWN($M601*BT$5/100,0)),0)</f>
        <v>0</v>
      </c>
      <c r="BU601" s="38">
        <f>IF(AND(BU$7="○",$A601&gt;=BU$8,$A601&lt;=BU$9),IF(SUM(BU$10:BU600)-ROUNDDOWN($M601*BU$5/100,0)&lt;-BU$6,-BU$6-SUM(BU$10:BU600),-ROUNDDOWN($M601*BU$5/100,0)),0)</f>
        <v>0</v>
      </c>
      <c r="BV601" s="38">
        <f>IF(AND(BV$7="○",$A601&gt;=BV$8,$A601&lt;=BV$9),IF(SUM(BV$10:BV600)-ROUNDDOWN($M601*BV$5/100,0)&lt;-BV$6,-BV$6-SUM(BV$10:BV600),-ROUNDDOWN($M601*BV$5/100,0)),0)</f>
        <v>0</v>
      </c>
      <c r="BW601" s="38">
        <f>IF(AND(BW$7="○",$A601&gt;=BW$8,$A601&lt;=BW$9),IF(SUM(BW$10:BW600)-ROUNDDOWN($M601*BW$5/100,0)&lt;-BW$6,-BW$6-SUM(BW$10:BW600),-ROUNDDOWN($M601*BW$5/100,0)),0)</f>
        <v>0</v>
      </c>
      <c r="BX601" s="38">
        <f>IF(AND(T601="○",$A601&gt;=BX$8,$A601&lt;=BX$9),IF(SUM(BX$10:BX600)-ROUNDDOWN($K601*BX$5/100,0)&lt;-BX$6,-BX$6-SUM(BX$10:BX600),-ROUNDDOWN($K601*BX$5/100,0)),0)</f>
        <v>0</v>
      </c>
      <c r="BY601" s="38">
        <f>IF(AND(U601="○",$A601&gt;=BY$8,$A601&lt;=BY$9),IF(SUM(BY$10:BY600)-ROUNDDOWN($K601*BY$5/100,0)&lt;-BY$6,-BY$6-SUM(BY$10:BY600),-ROUNDDOWN($K601*BY$5/100,0)),0)</f>
        <v>0</v>
      </c>
      <c r="BZ601" s="38">
        <f>IF(AND(V601="○",$A601&gt;=BZ$8,$A601&lt;=BZ$9),IF(SUM(BZ$10:BZ600)-ROUNDDOWN($K601*BZ$5/100,0)&lt;-BZ$6,-BZ$6-SUM(BZ$10:BZ600),-ROUNDDOWN($K601*BZ$5/100,0)),0)</f>
        <v>0</v>
      </c>
      <c r="CA601" s="38">
        <f>IF(AND(W601="○",$A601&gt;=CA$8,$A601&lt;=CA$9),IF(SUM(CA$10:CA600)-ROUNDDOWN($K601*CA$5/100,0)&lt;-CA$6,-CA$6-SUM(CA$10:CA600),-ROUNDDOWN($K601*CA$5/100,0)),0)</f>
        <v>0</v>
      </c>
      <c r="CB601" s="38"/>
      <c r="CC601" s="38"/>
      <c r="CD601" s="38"/>
      <c r="CE601" s="38"/>
      <c r="CF601" s="38"/>
      <c r="CG601" s="65">
        <f t="shared" si="383"/>
        <v>0</v>
      </c>
      <c r="CH601" s="71">
        <f t="shared" si="384"/>
        <v>0</v>
      </c>
      <c r="CI601" s="1">
        <f t="shared" si="391"/>
        <v>0</v>
      </c>
      <c r="CJ601" s="1"/>
      <c r="CK601" s="75"/>
      <c r="CL601" s="75"/>
      <c r="CM601" s="2"/>
      <c r="CN601" s="2"/>
      <c r="CO601" s="73">
        <f t="shared" si="392"/>
        <v>0</v>
      </c>
      <c r="CP601" s="5">
        <f t="shared" si="393"/>
        <v>0</v>
      </c>
      <c r="CQ601" s="1"/>
      <c r="CR601" s="1">
        <f t="shared" si="394"/>
        <v>0</v>
      </c>
      <c r="CS601" s="1"/>
      <c r="CT601" s="1" t="e">
        <f>INDEX([2]マスタ!$A:$A,MATCH(D601,[2]マスタ!$C:$C,0))</f>
        <v>#N/A</v>
      </c>
      <c r="CU601" s="1" t="str">
        <f t="shared" ca="1" si="395"/>
        <v>20260620_0-0</v>
      </c>
    </row>
    <row r="602" spans="1:99" x14ac:dyDescent="0.4">
      <c r="A602" s="61"/>
      <c r="B602" s="62"/>
      <c r="C602" s="62"/>
      <c r="D602" s="62"/>
      <c r="E602" s="74"/>
      <c r="F602" s="62"/>
      <c r="G602" s="62">
        <v>1</v>
      </c>
      <c r="H602" s="64">
        <f t="shared" si="385"/>
        <v>0</v>
      </c>
      <c r="I602" s="64"/>
      <c r="J602" s="64"/>
      <c r="K602" s="65">
        <f>+ROUNDDOWN((H602+I602)/100,0)*100</f>
        <v>0</v>
      </c>
      <c r="L602" s="65">
        <f t="shared" si="387"/>
        <v>0</v>
      </c>
      <c r="M602" s="65">
        <f t="shared" si="388"/>
        <v>0</v>
      </c>
      <c r="N602" s="65">
        <f t="shared" si="389"/>
        <v>0</v>
      </c>
      <c r="O602" s="66" t="str">
        <f t="shared" si="9"/>
        <v>✕</v>
      </c>
      <c r="P602" s="67" t="str">
        <f t="shared" si="10"/>
        <v>○</v>
      </c>
      <c r="Q602" s="67" t="str">
        <f>+IF((TEXT($A602,"DD")+0)=1,"○","✕")</f>
        <v>✕</v>
      </c>
      <c r="R602" s="67" t="str">
        <f t="shared" si="12"/>
        <v>✕</v>
      </c>
      <c r="S602" s="68">
        <v>0</v>
      </c>
      <c r="T602" s="69" t="s">
        <v>85</v>
      </c>
      <c r="U602" s="69" t="s">
        <v>85</v>
      </c>
      <c r="V602" s="69" t="s">
        <v>85</v>
      </c>
      <c r="W602" s="69" t="s">
        <v>85</v>
      </c>
      <c r="X602" s="69" t="s">
        <v>84</v>
      </c>
      <c r="Y602" s="69" t="s">
        <v>85</v>
      </c>
      <c r="Z602" s="69" t="s">
        <v>85</v>
      </c>
      <c r="AA602" s="69" t="s">
        <v>85</v>
      </c>
      <c r="AB602" s="69" t="s">
        <v>85</v>
      </c>
      <c r="AC602" s="69" t="s">
        <v>85</v>
      </c>
      <c r="AD602" s="38" t="str">
        <f>+IF(ISERROR(VLOOKUP($B602,AD$10:AD601,1,0)),IF(AND($N602&gt;=1000,$A602&gt;=AO$8,$A602&lt;=AO$9),$B602,""),"")</f>
        <v/>
      </c>
      <c r="AE602" s="38" t="str">
        <f>+IF(ISERROR(VLOOKUP($B602,AE$10:AE601,1,0)),IF(AND($N602&gt;=1000,$A602&gt;=AP$8,$A602&lt;=AP$9),$B602,""),"")</f>
        <v/>
      </c>
      <c r="AF602" s="38" t="str">
        <f>+IF(ISERROR(VLOOKUP($B602,AF$10:AF601,1,0)),IF(AND($N602&gt;=1000,$A602&gt;=AQ$8,$A602&lt;=AQ$9),$B602,""),"")</f>
        <v/>
      </c>
      <c r="AG602" s="38" t="str">
        <f>+IF(ISERROR(VLOOKUP($B602,AG$10:AG601,1,0)),IF(AND($N602&gt;=1000,$A602&gt;=AR$8,$A602&lt;=AR$9),$B602,""),"")</f>
        <v/>
      </c>
      <c r="AH602" s="38"/>
      <c r="AI602" s="70">
        <v>0</v>
      </c>
      <c r="AJ602" s="38">
        <f>IF(AND(AJ$7="○",$A602&gt;=AJ$8,$A602&lt;=AJ$9),IF(SUM(AJ$10:AJ601)-ROUNDDOWN($K602*AJ$5/100,0)&lt;-AJ$6,-AJ$6-SUM(AJ$10:AJ601),-ROUNDDOWN($K602*AJ$5/100,0)),0)</f>
        <v>0</v>
      </c>
      <c r="AK602" s="38">
        <f>IF(AND(AK$7="○",$A602&gt;=AK$8,$A602&lt;=AK$9),IF(SUM(AK$10:AK601)-ROUNDDOWN($L602*AK$5/100,0)&lt;-AK$6,-AK$6-SUM(AK$10:AK601),-ROUNDDOWN($L602*AK$5/100,0)),0)</f>
        <v>0</v>
      </c>
      <c r="AL602" s="38">
        <f>IF(AND(AL$7="○",$A602&gt;=AL$8,$A602&lt;=AL$9),IF(SUM(AL$10:AL601)-ROUNDDOWN($N602*AL$5/100,0)&lt;-AL$6,-AL$6-SUM(AL$10:AL601),-ROUNDDOWN($N602*AL$5/100,0)),0)</f>
        <v>0</v>
      </c>
      <c r="AM602" s="38">
        <f>IF(AND(AM$7="○",$A602&gt;=AM$8,$A602&lt;=AM$9),IF(SUM(AM$10:AM601)-ROUNDDOWN($L602*AM$5/100,0)&lt;-AM$6,-AM$6-SUM(AM$10:AM601),-ROUNDDOWN($L602*AM$5/100,0)),0)</f>
        <v>0</v>
      </c>
      <c r="AN602" s="38">
        <f>IF(AND(AN$7="○",$A602&gt;=AN$8,$A602&lt;=AN$9),IF(SUM(AN$10:AN601)-ROUNDDOWN($M602*AN$5/100,0)&lt;-AN$6,-AN$6-SUM(AN$10:AN601),-ROUNDDOWN($M602*AN$5/100,0)),0)</f>
        <v>0</v>
      </c>
      <c r="AO602" s="38">
        <f>IF(AND($A602&gt;=AO$8,$A602&lt;=AO$9),IF(SUM(AO$10:AO601)-ROUNDDOWN($K602*AO$5/100,0)&lt;-AO$6,-AO$6-SUM(AO$10:AO601),-ROUNDDOWN($K602*AO$5/100,0)),0)</f>
        <v>0</v>
      </c>
      <c r="AP602" s="38">
        <f>IF(AND($A602&gt;=AP$8,$A602&lt;=AP$9),IF(SUM(AP$10:AP601)-ROUNDDOWN($K602*AP$5/100,0)&lt;-AP$6,-AP$6-SUM(AP$10:AP601),-ROUNDDOWN($K602*AP$5/100,0)),0)</f>
        <v>0</v>
      </c>
      <c r="AQ602" s="38">
        <f>IF(AND($A602&gt;=AQ$8,$A602&lt;=AQ$9),IF(SUM(AQ$10:AQ601)-ROUNDDOWN($K602*AQ$5/100,0)&lt;-AQ$6,-AQ$6-SUM(AQ$10:AQ601),-ROUNDDOWN($K602*AQ$5/100,0)),0)</f>
        <v>0</v>
      </c>
      <c r="AR602" s="38">
        <f>IF(AND($A602&gt;=AR$8,$A602&lt;=AR$9),IF(SUM(AR$10:AR601)-ROUNDDOWN($K602*AR$5/100,0)&lt;-AR$6,-AR$6-SUM(AR$10:AR601),-ROUNDDOWN($K602*AR$5/100,0)),0)</f>
        <v>0</v>
      </c>
      <c r="AS602" s="38">
        <f>IF(SUMIFS(AS$10:AS601,$A$10:$A601,$A602)-ROUNDDOWN($K602*$S602/100,0)&lt;-$S602*1000,-$S602*1000-SUMIFS(AS$10:AS601,$A$10:$A601,$A602),-ROUNDDOWN($K602*$S602/100,0))</f>
        <v>0</v>
      </c>
      <c r="AT602" s="38">
        <f>IF(AND(X602="○",$A602&gt;=AT$8,$A602&lt;=AT$9,K602&gt;=3980),IF(SUM(AT$10:AT601)-ROUNDDOWN($K602*AT$5/100,0)&lt;-AT$6,-AT$6-SUM(AT$10:AT601),-ROUNDDOWN($K602*AT$5/100,0)),0)</f>
        <v>0</v>
      </c>
      <c r="AU602" s="38">
        <f>IF(O602="○",IF(SUM(AU$10:AU601)-ROUNDDOWN($K602*AU$5/100,0)&lt;-AU$6,-AU$6-SUM(AU$10:AU601),-ROUNDDOWN($K602*AU$5/100,0)),0)</f>
        <v>0</v>
      </c>
      <c r="AV602" s="38">
        <f>IF(P602="○",IF(SUM(AV$10:AV601)-ROUNDDOWN($K602*AV$5/100,0)&lt;-AV$6,-AV$6-SUM(AV$10:AV601),-ROUNDDOWN($K602*AV$5/100,0)),0)</f>
        <v>0</v>
      </c>
      <c r="AW602" s="38">
        <f>IF(Q602="○",IF(SUM(AW$10:AW601)-ROUNDDOWN($K602*AW$5/100,0)&lt;-AW$6,-AW$6-SUM(AW$10:AW601),-ROUNDDOWN($K602*AW$5/100,0)),0)</f>
        <v>0</v>
      </c>
      <c r="AX602" s="38">
        <f>IF(R602="○",IF(SUM(AX$10:AX601)-ROUNDDOWN($K602*AX$5/100,0)&lt;-AX$6,-AX$6-SUM(AX$10:AX601),-ROUNDDOWN($K602*AX$5/100,0)),0)</f>
        <v>0</v>
      </c>
      <c r="AY602" s="70">
        <v>0</v>
      </c>
      <c r="AZ602" s="65">
        <f t="shared" si="377"/>
        <v>0</v>
      </c>
      <c r="BA602" s="65">
        <f t="shared" si="378"/>
        <v>0</v>
      </c>
      <c r="BB602" s="70"/>
      <c r="BC602" s="65">
        <f t="shared" si="379"/>
        <v>0</v>
      </c>
      <c r="BD602" s="70">
        <v>0</v>
      </c>
      <c r="BE602" s="65">
        <f t="shared" si="380"/>
        <v>0</v>
      </c>
      <c r="BF602" s="70">
        <v>0</v>
      </c>
      <c r="BG602" s="65">
        <f t="shared" si="381"/>
        <v>0</v>
      </c>
      <c r="BH602" s="70">
        <v>0</v>
      </c>
      <c r="BI602" s="65">
        <f t="shared" si="382"/>
        <v>0</v>
      </c>
      <c r="BJ602" s="38">
        <f>IF(AND(BJ$7="○",$A602&gt;=BJ$8,$A602&lt;=BJ$9),IF(SUM(BJ$10:BJ601)-ROUNDDOWN($M602*BJ$5/100,0)&lt;-BJ$6,-BJ$6-SUM(BJ$10:BJ601),-ROUNDDOWN($M602*BJ$5/100,0)),0)</f>
        <v>0</v>
      </c>
      <c r="BK602" s="38">
        <f>IF(AND(BK$7="○",$A602&gt;=BK$8,$A602&lt;=BK$9),IF(SUM(BK$10:BK601)-ROUNDDOWN($L602*BK$5/100,0)&lt;-BK$6,-BK$6-SUM(BK$10:BK601),-ROUNDDOWN($L602*BK$5/100,0)),0)</f>
        <v>0</v>
      </c>
      <c r="BL602" s="38">
        <f>IF(AND(BL$7="○",$A602&gt;=BL$8,$A602&lt;=BL$9),IF(SUM(BL$10:BL601)-ROUNDDOWN($L602*BL$5/100,0)&lt;-BL$6,-BL$6-SUM(BL$10:BL601),-ROUNDDOWN($L602*BL$5/100,0)),0)</f>
        <v>0</v>
      </c>
      <c r="BM602" s="38">
        <f>IF(AND(BM$7="○",$A602&gt;=BM$8,$A602&lt;=BM$9),IF(SUM(BM$10:BM601)-ROUNDDOWN($M602*BM$5/100,0)&lt;-BM$6,-BM$6-SUM(BM$10:BM601),-ROUNDDOWN($M602*BM$5/100,0)),0)</f>
        <v>0</v>
      </c>
      <c r="BN602" s="38">
        <f>IF(AND(BN$7="○",$A602&gt;=BN$8,$A602&lt;=BN$9),IF(SUM(BN$10:BN601)-ROUNDDOWN($M602*BN$5/100,0)&lt;-BN$6,-BN$6-SUM(BN$10:BN601),-ROUNDDOWN($M602*BN$5/100,0)),0)</f>
        <v>0</v>
      </c>
      <c r="BO602" s="38">
        <f>IF(AND(BO$7="○",$A602&gt;=BO$8,$A602&lt;=BO$9),IF(SUM(BO$10:BO601)-ROUNDDOWN($M602*BO$5/100,0)&lt;-BO$6,-BO$6-SUM(BO$10:BO601),-ROUNDDOWN($M602*BO$5/100,0)),0)</f>
        <v>0</v>
      </c>
      <c r="BP602" s="38">
        <f>IF(AND(BP$7="○",$A602&gt;=BP$8,$A602&lt;=BP$9),IF(SUM(BP$10:BP601)-ROUNDDOWN($M602*BP$5/100,0)&lt;-BP$6,-BP$6-SUM(BP$10:BP601),-ROUNDDOWN($M602*BP$5/100,0)),0)</f>
        <v>0</v>
      </c>
      <c r="BQ602" s="38">
        <f>IF(AND(BQ$7="○",$A602&gt;=BQ$8,$A602&lt;=BQ$9),IF(SUM(BQ$10:BQ601)-ROUNDDOWN($L602*BQ$5/100,0)&lt;-BQ$6,-BQ$6-SUM(BQ$10:BQ601),-ROUNDDOWN($L602*BQ$5/100,0)),0)</f>
        <v>0</v>
      </c>
      <c r="BR602" s="38">
        <f>IF(AND(BR$7="○",$A602&gt;=BR$8,$A602&lt;=BR$9),IF(SUM(BR$10:BR601)-ROUNDDOWN($M602*BR$5/100,0)&lt;-BR$6,-BR$6-SUM(BR$10:BR601),-ROUNDDOWN($M602*BR$5/100,0)),0)</f>
        <v>0</v>
      </c>
      <c r="BS602" s="38">
        <f>IF(AND(BS$7="○",$A602&gt;=BS$8,$A602&lt;=BS$9),IF(SUM(BS$10:BS601)-ROUNDDOWN($M602*BS$5/100,0)&lt;-BS$6,-BS$6-SUM(BS$10:BS601),-ROUNDDOWN($M602*BS$5/100,0)),0)</f>
        <v>0</v>
      </c>
      <c r="BT602" s="38">
        <f>IF(AND(BT$7="○",$A602&gt;=BT$8,$A602&lt;=BT$9),IF(SUM(BT$10:BT601)-ROUNDDOWN($M602*BT$5/100,0)&lt;-BT$6,-BT$6-SUM(BT$10:BT601),-ROUNDDOWN($M602*BT$5/100,0)),0)</f>
        <v>0</v>
      </c>
      <c r="BU602" s="38">
        <f>IF(AND(BU$7="○",$A602&gt;=BU$8,$A602&lt;=BU$9),IF(SUM(BU$10:BU601)-ROUNDDOWN($M602*BU$5/100,0)&lt;-BU$6,-BU$6-SUM(BU$10:BU601),-ROUNDDOWN($M602*BU$5/100,0)),0)</f>
        <v>0</v>
      </c>
      <c r="BV602" s="38">
        <f>IF(AND(BV$7="○",$A602&gt;=BV$8,$A602&lt;=BV$9),IF(SUM(BV$10:BV601)-ROUNDDOWN($M602*BV$5/100,0)&lt;-BV$6,-BV$6-SUM(BV$10:BV601),-ROUNDDOWN($M602*BV$5/100,0)),0)</f>
        <v>0</v>
      </c>
      <c r="BW602" s="38">
        <f>IF(AND(BW$7="○",$A602&gt;=BW$8,$A602&lt;=BW$9),IF(SUM(BW$10:BW601)-ROUNDDOWN($M602*BW$5/100,0)&lt;-BW$6,-BW$6-SUM(BW$10:BW601),-ROUNDDOWN($M602*BW$5/100,0)),0)</f>
        <v>0</v>
      </c>
      <c r="BX602" s="38">
        <f>IF(AND(T602="○",$A602&gt;=BX$8,$A602&lt;=BX$9),IF(SUM(BX$10:BX601)-ROUNDDOWN($K602*BX$5/100,0)&lt;-BX$6,-BX$6-SUM(BX$10:BX601),-ROUNDDOWN($K602*BX$5/100,0)),0)</f>
        <v>0</v>
      </c>
      <c r="BY602" s="38">
        <f>IF(AND(U602="○",$A602&gt;=BY$8,$A602&lt;=BY$9),IF(SUM(BY$10:BY601)-ROUNDDOWN($K602*BY$5/100,0)&lt;-BY$6,-BY$6-SUM(BY$10:BY601),-ROUNDDOWN($K602*BY$5/100,0)),0)</f>
        <v>0</v>
      </c>
      <c r="BZ602" s="38">
        <f>IF(AND(V602="○",$A602&gt;=BZ$8,$A602&lt;=BZ$9),IF(SUM(BZ$10:BZ601)-ROUNDDOWN($K602*BZ$5/100,0)&lt;-BZ$6,-BZ$6-SUM(BZ$10:BZ601),-ROUNDDOWN($K602*BZ$5/100,0)),0)</f>
        <v>0</v>
      </c>
      <c r="CA602" s="38">
        <f>IF(AND(W602="○",$A602&gt;=CA$8,$A602&lt;=CA$9),IF(SUM(CA$10:CA601)-ROUNDDOWN($K602*CA$5/100,0)&lt;-CA$6,-CA$6-SUM(CA$10:CA601),-ROUNDDOWN($K602*CA$5/100,0)),0)</f>
        <v>0</v>
      </c>
      <c r="CB602" s="38"/>
      <c r="CC602" s="38"/>
      <c r="CD602" s="38"/>
      <c r="CE602" s="38"/>
      <c r="CF602" s="38"/>
      <c r="CG602" s="65">
        <f t="shared" si="383"/>
        <v>0</v>
      </c>
      <c r="CH602" s="71">
        <f t="shared" si="384"/>
        <v>0</v>
      </c>
      <c r="CI602" s="1">
        <f t="shared" si="391"/>
        <v>0</v>
      </c>
      <c r="CJ602" s="1"/>
      <c r="CK602" s="75"/>
      <c r="CL602" s="75"/>
      <c r="CM602" s="2"/>
      <c r="CN602" s="2"/>
      <c r="CO602" s="73">
        <f t="shared" si="392"/>
        <v>0</v>
      </c>
      <c r="CP602" s="5">
        <f t="shared" si="393"/>
        <v>0</v>
      </c>
      <c r="CQ602" s="1"/>
      <c r="CR602" s="1">
        <f t="shared" si="394"/>
        <v>0</v>
      </c>
      <c r="CS602" s="1"/>
      <c r="CT602" s="1" t="e">
        <f>INDEX([2]マスタ!$A:$A,MATCH(D602,[2]マスタ!$C:$C,0))</f>
        <v>#N/A</v>
      </c>
      <c r="CU602" s="1" t="str">
        <f t="shared" ca="1" si="395"/>
        <v>20260620_0-0</v>
      </c>
    </row>
    <row r="603" spans="1:99" x14ac:dyDescent="0.4">
      <c r="A603" s="61"/>
      <c r="B603" s="62"/>
      <c r="C603" s="62"/>
      <c r="D603" s="62"/>
      <c r="E603" s="63"/>
      <c r="F603" s="62"/>
      <c r="G603" s="62">
        <v>1</v>
      </c>
      <c r="H603" s="64">
        <f t="shared" si="385"/>
        <v>0</v>
      </c>
      <c r="I603" s="64"/>
      <c r="J603" s="64"/>
      <c r="K603" s="65">
        <f>+ROUNDDOWN((H603+I603)/100,0)*100</f>
        <v>0</v>
      </c>
      <c r="L603" s="65">
        <f t="shared" si="387"/>
        <v>0</v>
      </c>
      <c r="M603" s="65">
        <f t="shared" si="388"/>
        <v>0</v>
      </c>
      <c r="N603" s="65">
        <f t="shared" si="389"/>
        <v>0</v>
      </c>
      <c r="O603" s="66" t="str">
        <f t="shared" si="9"/>
        <v>✕</v>
      </c>
      <c r="P603" s="67" t="str">
        <f t="shared" si="10"/>
        <v>○</v>
      </c>
      <c r="Q603" s="67" t="str">
        <f>+IF((TEXT($A603,"DD")+0)=1,"○","✕")</f>
        <v>✕</v>
      </c>
      <c r="R603" s="67" t="str">
        <f t="shared" si="12"/>
        <v>✕</v>
      </c>
      <c r="S603" s="68">
        <v>0</v>
      </c>
      <c r="T603" s="69" t="s">
        <v>85</v>
      </c>
      <c r="U603" s="69" t="s">
        <v>85</v>
      </c>
      <c r="V603" s="69" t="s">
        <v>85</v>
      </c>
      <c r="W603" s="69" t="s">
        <v>85</v>
      </c>
      <c r="X603" s="69" t="s">
        <v>84</v>
      </c>
      <c r="Y603" s="69" t="s">
        <v>85</v>
      </c>
      <c r="Z603" s="69" t="s">
        <v>85</v>
      </c>
      <c r="AA603" s="69" t="s">
        <v>85</v>
      </c>
      <c r="AB603" s="69" t="s">
        <v>85</v>
      </c>
      <c r="AC603" s="69" t="s">
        <v>85</v>
      </c>
      <c r="AD603" s="38" t="str">
        <f>+IF(ISERROR(VLOOKUP($B603,AD$10:AD602,1,0)),IF(AND($N603&gt;=1000,$A603&gt;=AO$8,$A603&lt;=AO$9),$B603,""),"")</f>
        <v/>
      </c>
      <c r="AE603" s="38" t="str">
        <f>+IF(ISERROR(VLOOKUP($B603,AE$10:AE602,1,0)),IF(AND($N603&gt;=1000,$A603&gt;=AP$8,$A603&lt;=AP$9),$B603,""),"")</f>
        <v/>
      </c>
      <c r="AF603" s="38" t="str">
        <f>+IF(ISERROR(VLOOKUP($B603,AF$10:AF602,1,0)),IF(AND($N603&gt;=1000,$A603&gt;=AQ$8,$A603&lt;=AQ$9),$B603,""),"")</f>
        <v/>
      </c>
      <c r="AG603" s="38" t="str">
        <f>+IF(ISERROR(VLOOKUP($B603,AG$10:AG602,1,0)),IF(AND($N603&gt;=1000,$A603&gt;=AR$8,$A603&lt;=AR$9),$B603,""),"")</f>
        <v/>
      </c>
      <c r="AH603" s="38"/>
      <c r="AI603" s="70">
        <v>0</v>
      </c>
      <c r="AJ603" s="38">
        <f>IF(AND(AJ$7="○",$A603&gt;=AJ$8,$A603&lt;=AJ$9),IF(SUM(AJ$10:AJ602)-ROUNDDOWN($K603*AJ$5/100,0)&lt;-AJ$6,-AJ$6-SUM(AJ$10:AJ602),-ROUNDDOWN($K603*AJ$5/100,0)),0)</f>
        <v>0</v>
      </c>
      <c r="AK603" s="38">
        <f>IF(AND(AK$7="○",$A603&gt;=AK$8,$A603&lt;=AK$9),IF(SUM(AK$10:AK602)-ROUNDDOWN($L603*AK$5/100,0)&lt;-AK$6,-AK$6-SUM(AK$10:AK602),-ROUNDDOWN($L603*AK$5/100,0)),0)</f>
        <v>0</v>
      </c>
      <c r="AL603" s="38">
        <f>IF(AND(AL$7="○",$A603&gt;=AL$8,$A603&lt;=AL$9),IF(SUM(AL$10:AL602)-ROUNDDOWN($N603*AL$5/100,0)&lt;-AL$6,-AL$6-SUM(AL$10:AL602),-ROUNDDOWN($N603*AL$5/100,0)),0)</f>
        <v>0</v>
      </c>
      <c r="AM603" s="38">
        <f>IF(AND(AM$7="○",$A603&gt;=AM$8,$A603&lt;=AM$9),IF(SUM(AM$10:AM602)-ROUNDDOWN($L603*AM$5/100,0)&lt;-AM$6,-AM$6-SUM(AM$10:AM602),-ROUNDDOWN($L603*AM$5/100,0)),0)</f>
        <v>0</v>
      </c>
      <c r="AN603" s="38">
        <f>IF(AND(AN$7="○",$A603&gt;=AN$8,$A603&lt;=AN$9),IF(SUM(AN$10:AN602)-ROUNDDOWN($M603*AN$5/100,0)&lt;-AN$6,-AN$6-SUM(AN$10:AN602),-ROUNDDOWN($M603*AN$5/100,0)),0)</f>
        <v>0</v>
      </c>
      <c r="AO603" s="38">
        <f>IF(AND($A603&gt;=AO$8,$A603&lt;=AO$9),IF(SUM(AO$10:AO602)-ROUNDDOWN($K603*AO$5/100,0)&lt;-AO$6,-AO$6-SUM(AO$10:AO602),-ROUNDDOWN($K603*AO$5/100,0)),0)</f>
        <v>0</v>
      </c>
      <c r="AP603" s="38">
        <f>IF(AND($A603&gt;=AP$8,$A603&lt;=AP$9),IF(SUM(AP$10:AP602)-ROUNDDOWN($K603*AP$5/100,0)&lt;-AP$6,-AP$6-SUM(AP$10:AP602),-ROUNDDOWN($K603*AP$5/100,0)),0)</f>
        <v>0</v>
      </c>
      <c r="AQ603" s="38">
        <f>IF(AND($A603&gt;=AQ$8,$A603&lt;=AQ$9),IF(SUM(AQ$10:AQ602)-ROUNDDOWN($K603*AQ$5/100,0)&lt;-AQ$6,-AQ$6-SUM(AQ$10:AQ602),-ROUNDDOWN($K603*AQ$5/100,0)),0)</f>
        <v>0</v>
      </c>
      <c r="AR603" s="38">
        <f>IF(AND($A603&gt;=AR$8,$A603&lt;=AR$9),IF(SUM(AR$10:AR602)-ROUNDDOWN($K603*AR$5/100,0)&lt;-AR$6,-AR$6-SUM(AR$10:AR602),-ROUNDDOWN($K603*AR$5/100,0)),0)</f>
        <v>0</v>
      </c>
      <c r="AS603" s="38">
        <f>IF(SUMIFS(AS$10:AS602,$A$10:$A602,$A603)-ROUNDDOWN($K603*$S603/100,0)&lt;-$S603*1000,-$S603*1000-SUMIFS(AS$10:AS602,$A$10:$A602,$A603),-ROUNDDOWN($K603*$S603/100,0))</f>
        <v>0</v>
      </c>
      <c r="AT603" s="38">
        <f>IF(AND(X603="○",$A603&gt;=AT$8,$A603&lt;=AT$9,K603&gt;=3980),IF(SUM(AT$10:AT602)-ROUNDDOWN($K603*AT$5/100,0)&lt;-AT$6,-AT$6-SUM(AT$10:AT602),-ROUNDDOWN($K603*AT$5/100,0)),0)</f>
        <v>0</v>
      </c>
      <c r="AU603" s="38">
        <f>IF(O603="○",IF(SUM(AU$10:AU602)-ROUNDDOWN($K603*AU$5/100,0)&lt;-AU$6,-AU$6-SUM(AU$10:AU602),-ROUNDDOWN($K603*AU$5/100,0)),0)</f>
        <v>0</v>
      </c>
      <c r="AV603" s="38">
        <f>IF(P603="○",IF(SUM(AV$10:AV602)-ROUNDDOWN($K603*AV$5/100,0)&lt;-AV$6,-AV$6-SUM(AV$10:AV602),-ROUNDDOWN($K603*AV$5/100,0)),0)</f>
        <v>0</v>
      </c>
      <c r="AW603" s="38">
        <f>IF(Q603="○",IF(SUM(AW$10:AW602)-ROUNDDOWN($K603*AW$5/100,0)&lt;-AW$6,-AW$6-SUM(AW$10:AW602),-ROUNDDOWN($K603*AW$5/100,0)),0)</f>
        <v>0</v>
      </c>
      <c r="AX603" s="38">
        <f>IF(R603="○",IF(SUM(AX$10:AX602)-ROUNDDOWN($K603*AX$5/100,0)&lt;-AX$6,-AX$6-SUM(AX$10:AX602),-ROUNDDOWN($K603*AX$5/100,0)),0)</f>
        <v>0</v>
      </c>
      <c r="AY603" s="70">
        <v>0</v>
      </c>
      <c r="AZ603" s="65">
        <f t="shared" si="377"/>
        <v>0</v>
      </c>
      <c r="BA603" s="65">
        <f t="shared" si="378"/>
        <v>0</v>
      </c>
      <c r="BB603" s="70"/>
      <c r="BC603" s="65">
        <f t="shared" si="379"/>
        <v>0</v>
      </c>
      <c r="BD603" s="70">
        <v>0</v>
      </c>
      <c r="BE603" s="65">
        <f t="shared" si="380"/>
        <v>0</v>
      </c>
      <c r="BF603" s="70">
        <v>0</v>
      </c>
      <c r="BG603" s="65">
        <f t="shared" si="381"/>
        <v>0</v>
      </c>
      <c r="BH603" s="70">
        <v>0</v>
      </c>
      <c r="BI603" s="65">
        <f t="shared" si="382"/>
        <v>0</v>
      </c>
      <c r="BJ603" s="38">
        <f>IF(AND(BJ$7="○",$A603&gt;=BJ$8,$A603&lt;=BJ$9),IF(SUM(BJ$10:BJ602)-ROUNDDOWN($M603*BJ$5/100,0)&lt;-BJ$6,-BJ$6-SUM(BJ$10:BJ602),-ROUNDDOWN($M603*BJ$5/100,0)),0)</f>
        <v>0</v>
      </c>
      <c r="BK603" s="38">
        <f>IF(AND(BK$7="○",$A603&gt;=BK$8,$A603&lt;=BK$9),IF(SUM(BK$10:BK602)-ROUNDDOWN($L603*BK$5/100,0)&lt;-BK$6,-BK$6-SUM(BK$10:BK602),-ROUNDDOWN($L603*BK$5/100,0)),0)</f>
        <v>0</v>
      </c>
      <c r="BL603" s="38">
        <f>IF(AND(BL$7="○",$A603&gt;=BL$8,$A603&lt;=BL$9),IF(SUM(BL$10:BL602)-ROUNDDOWN($L603*BL$5/100,0)&lt;-BL$6,-BL$6-SUM(BL$10:BL602),-ROUNDDOWN($L603*BL$5/100,0)),0)</f>
        <v>0</v>
      </c>
      <c r="BM603" s="38">
        <f>IF(AND(BM$7="○",$A603&gt;=BM$8,$A603&lt;=BM$9),IF(SUM(BM$10:BM602)-ROUNDDOWN($M603*BM$5/100,0)&lt;-BM$6,-BM$6-SUM(BM$10:BM602),-ROUNDDOWN($M603*BM$5/100,0)),0)</f>
        <v>0</v>
      </c>
      <c r="BN603" s="38">
        <f>IF(AND(BN$7="○",$A603&gt;=BN$8,$A603&lt;=BN$9),IF(SUM(BN$10:BN602)-ROUNDDOWN($M603*BN$5/100,0)&lt;-BN$6,-BN$6-SUM(BN$10:BN602),-ROUNDDOWN($M603*BN$5/100,0)),0)</f>
        <v>0</v>
      </c>
      <c r="BO603" s="38">
        <f>IF(AND(BO$7="○",$A603&gt;=BO$8,$A603&lt;=BO$9),IF(SUM(BO$10:BO602)-ROUNDDOWN($M603*BO$5/100,0)&lt;-BO$6,-BO$6-SUM(BO$10:BO602),-ROUNDDOWN($M603*BO$5/100,0)),0)</f>
        <v>0</v>
      </c>
      <c r="BP603" s="38">
        <f>IF(AND(BP$7="○",$A603&gt;=BP$8,$A603&lt;=BP$9),IF(SUM(BP$10:BP602)-ROUNDDOWN($M603*BP$5/100,0)&lt;-BP$6,-BP$6-SUM(BP$10:BP602),-ROUNDDOWN($M603*BP$5/100,0)),0)</f>
        <v>0</v>
      </c>
      <c r="BQ603" s="38">
        <f>IF(AND(BQ$7="○",$A603&gt;=BQ$8,$A603&lt;=BQ$9),IF(SUM(BQ$10:BQ602)-ROUNDDOWN($L603*BQ$5/100,0)&lt;-BQ$6,-BQ$6-SUM(BQ$10:BQ602),-ROUNDDOWN($L603*BQ$5/100,0)),0)</f>
        <v>0</v>
      </c>
      <c r="BR603" s="38">
        <f>IF(AND(BR$7="○",$A603&gt;=BR$8,$A603&lt;=BR$9),IF(SUM(BR$10:BR602)-ROUNDDOWN($M603*BR$5/100,0)&lt;-BR$6,-BR$6-SUM(BR$10:BR602),-ROUNDDOWN($M603*BR$5/100,0)),0)</f>
        <v>0</v>
      </c>
      <c r="BS603" s="38">
        <f>IF(AND(BS$7="○",$A603&gt;=BS$8,$A603&lt;=BS$9),IF(SUM(BS$10:BS602)-ROUNDDOWN($M603*BS$5/100,0)&lt;-BS$6,-BS$6-SUM(BS$10:BS602),-ROUNDDOWN($M603*BS$5/100,0)),0)</f>
        <v>0</v>
      </c>
      <c r="BT603" s="38">
        <f>IF(AND(BT$7="○",$A603&gt;=BT$8,$A603&lt;=BT$9),IF(SUM(BT$10:BT602)-ROUNDDOWN($M603*BT$5/100,0)&lt;-BT$6,-BT$6-SUM(BT$10:BT602),-ROUNDDOWN($M603*BT$5/100,0)),0)</f>
        <v>0</v>
      </c>
      <c r="BU603" s="38">
        <f>IF(AND(BU$7="○",$A603&gt;=BU$8,$A603&lt;=BU$9),IF(SUM(BU$10:BU602)-ROUNDDOWN($M603*BU$5/100,0)&lt;-BU$6,-BU$6-SUM(BU$10:BU602),-ROUNDDOWN($M603*BU$5/100,0)),0)</f>
        <v>0</v>
      </c>
      <c r="BV603" s="38">
        <f>IF(AND(BV$7="○",$A603&gt;=BV$8,$A603&lt;=BV$9),IF(SUM(BV$10:BV602)-ROUNDDOWN($M603*BV$5/100,0)&lt;-BV$6,-BV$6-SUM(BV$10:BV602),-ROUNDDOWN($M603*BV$5/100,0)),0)</f>
        <v>0</v>
      </c>
      <c r="BW603" s="38">
        <f>IF(AND(BW$7="○",$A603&gt;=BW$8,$A603&lt;=BW$9),IF(SUM(BW$10:BW602)-ROUNDDOWN($M603*BW$5/100,0)&lt;-BW$6,-BW$6-SUM(BW$10:BW602),-ROUNDDOWN($M603*BW$5/100,0)),0)</f>
        <v>0</v>
      </c>
      <c r="BX603" s="38">
        <f>IF(AND(T603="○",$A603&gt;=BX$8,$A603&lt;=BX$9),IF(SUM(BX$10:BX602)-ROUNDDOWN($K603*BX$5/100,0)&lt;-BX$6,-BX$6-SUM(BX$10:BX602),-ROUNDDOWN($K603*BX$5/100,0)),0)</f>
        <v>0</v>
      </c>
      <c r="BY603" s="38">
        <f>IF(AND(U603="○",$A603&gt;=BY$8,$A603&lt;=BY$9),IF(SUM(BY$10:BY602)-ROUNDDOWN($K603*BY$5/100,0)&lt;-BY$6,-BY$6-SUM(BY$10:BY602),-ROUNDDOWN($K603*BY$5/100,0)),0)</f>
        <v>0</v>
      </c>
      <c r="BZ603" s="38">
        <f>IF(AND(V603="○",$A603&gt;=BZ$8,$A603&lt;=BZ$9),IF(SUM(BZ$10:BZ602)-ROUNDDOWN($K603*BZ$5/100,0)&lt;-BZ$6,-BZ$6-SUM(BZ$10:BZ602),-ROUNDDOWN($K603*BZ$5/100,0)),0)</f>
        <v>0</v>
      </c>
      <c r="CA603" s="38">
        <f>IF(AND(W603="○",$A603&gt;=CA$8,$A603&lt;=CA$9),IF(SUM(CA$10:CA602)-ROUNDDOWN($K603*CA$5/100,0)&lt;-CA$6,-CA$6-SUM(CA$10:CA602),-ROUNDDOWN($K603*CA$5/100,0)),0)</f>
        <v>0</v>
      </c>
      <c r="CB603" s="38"/>
      <c r="CC603" s="38"/>
      <c r="CD603" s="38"/>
      <c r="CE603" s="38"/>
      <c r="CF603" s="38"/>
      <c r="CG603" s="65">
        <f t="shared" si="383"/>
        <v>0</v>
      </c>
      <c r="CH603" s="71">
        <f t="shared" si="384"/>
        <v>0</v>
      </c>
      <c r="CI603" s="1">
        <f t="shared" si="391"/>
        <v>0</v>
      </c>
      <c r="CJ603" s="1"/>
      <c r="CK603" s="72"/>
      <c r="CL603" s="72"/>
      <c r="CM603" s="2"/>
      <c r="CN603" s="2"/>
      <c r="CO603" s="73">
        <f t="shared" si="392"/>
        <v>0</v>
      </c>
      <c r="CP603" s="5">
        <f t="shared" si="393"/>
        <v>0</v>
      </c>
      <c r="CQ603" s="1"/>
      <c r="CR603" s="1">
        <f t="shared" si="394"/>
        <v>0</v>
      </c>
      <c r="CS603" s="1"/>
      <c r="CT603" s="1" t="e">
        <f>INDEX([2]マスタ!$A:$A,MATCH(D603,[2]マスタ!$C:$C,0))</f>
        <v>#N/A</v>
      </c>
      <c r="CU603" s="1" t="str">
        <f t="shared" ca="1" si="395"/>
        <v>20260620_0-0</v>
      </c>
    </row>
    <row r="604" spans="1:99" x14ac:dyDescent="0.4">
      <c r="A604" s="61"/>
      <c r="B604" s="62"/>
      <c r="C604" s="62"/>
      <c r="D604" s="62"/>
      <c r="E604" s="77"/>
      <c r="F604" s="62"/>
      <c r="G604" s="62">
        <v>1</v>
      </c>
      <c r="H604" s="64">
        <f t="shared" si="385"/>
        <v>0</v>
      </c>
      <c r="I604" s="64"/>
      <c r="J604" s="64"/>
      <c r="K604" s="65">
        <f>+ROUNDDOWN((H604+I604)/100,0)*100</f>
        <v>0</v>
      </c>
      <c r="L604" s="65">
        <f t="shared" si="387"/>
        <v>0</v>
      </c>
      <c r="M604" s="65">
        <f t="shared" si="388"/>
        <v>0</v>
      </c>
      <c r="N604" s="65">
        <f t="shared" si="389"/>
        <v>0</v>
      </c>
      <c r="O604" s="66" t="str">
        <f t="shared" si="9"/>
        <v>✕</v>
      </c>
      <c r="P604" s="67" t="str">
        <f t="shared" si="10"/>
        <v>○</v>
      </c>
      <c r="Q604" s="67" t="str">
        <f>+IF((TEXT($A604,"DD")+0)=1,"○","✕")</f>
        <v>✕</v>
      </c>
      <c r="R604" s="67" t="str">
        <f t="shared" si="12"/>
        <v>✕</v>
      </c>
      <c r="S604" s="68">
        <v>0</v>
      </c>
      <c r="T604" s="69" t="s">
        <v>85</v>
      </c>
      <c r="U604" s="69" t="s">
        <v>85</v>
      </c>
      <c r="V604" s="69" t="s">
        <v>85</v>
      </c>
      <c r="W604" s="69" t="s">
        <v>85</v>
      </c>
      <c r="X604" s="69" t="s">
        <v>84</v>
      </c>
      <c r="Y604" s="69" t="s">
        <v>85</v>
      </c>
      <c r="Z604" s="69" t="s">
        <v>85</v>
      </c>
      <c r="AA604" s="69" t="s">
        <v>85</v>
      </c>
      <c r="AB604" s="69" t="s">
        <v>85</v>
      </c>
      <c r="AC604" s="69" t="s">
        <v>85</v>
      </c>
      <c r="AD604" s="38" t="str">
        <f>+IF(ISERROR(VLOOKUP($B604,AD$10:AD603,1,0)),IF(AND($N604&gt;=1000,$A604&gt;=AO$8,$A604&lt;=AO$9),$B604,""),"")</f>
        <v/>
      </c>
      <c r="AE604" s="38" t="str">
        <f>+IF(ISERROR(VLOOKUP($B604,AE$10:AE603,1,0)),IF(AND($N604&gt;=1000,$A604&gt;=AP$8,$A604&lt;=AP$9),$B604,""),"")</f>
        <v/>
      </c>
      <c r="AF604" s="38" t="str">
        <f>+IF(ISERROR(VLOOKUP($B604,AF$10:AF603,1,0)),IF(AND($N604&gt;=1000,$A604&gt;=AQ$8,$A604&lt;=AQ$9),$B604,""),"")</f>
        <v/>
      </c>
      <c r="AG604" s="38" t="str">
        <f>+IF(ISERROR(VLOOKUP($B604,AG$10:AG603,1,0)),IF(AND($N604&gt;=1000,$A604&gt;=AR$8,$A604&lt;=AR$9),$B604,""),"")</f>
        <v/>
      </c>
      <c r="AH604" s="38"/>
      <c r="AI604" s="70">
        <v>0</v>
      </c>
      <c r="AJ604" s="38">
        <f>IF(AND(AJ$7="○",$A604&gt;=AJ$8,$A604&lt;=AJ$9),IF(SUM(AJ$10:AJ603)-ROUNDDOWN($K604*AJ$5/100,0)&lt;-AJ$6,-AJ$6-SUM(AJ$10:AJ603),-ROUNDDOWN($K604*AJ$5/100,0)),0)</f>
        <v>0</v>
      </c>
      <c r="AK604" s="38">
        <f>IF(AND(AK$7="○",$A604&gt;=AK$8,$A604&lt;=AK$9),IF(SUM(AK$10:AK603)-ROUNDDOWN($L604*AK$5/100,0)&lt;-AK$6,-AK$6-SUM(AK$10:AK603),-ROUNDDOWN($L604*AK$5/100,0)),0)</f>
        <v>0</v>
      </c>
      <c r="AL604" s="38">
        <f>IF(AND(AL$7="○",$A604&gt;=AL$8,$A604&lt;=AL$9),IF(SUM(AL$10:AL603)-ROUNDDOWN($N604*AL$5/100,0)&lt;-AL$6,-AL$6-SUM(AL$10:AL603),-ROUNDDOWN($N604*AL$5/100,0)),0)</f>
        <v>0</v>
      </c>
      <c r="AM604" s="38">
        <f>IF(AND(AM$7="○",$A604&gt;=AM$8,$A604&lt;=AM$9),IF(SUM(AM$10:AM603)-ROUNDDOWN($L604*AM$5/100,0)&lt;-AM$6,-AM$6-SUM(AM$10:AM603),-ROUNDDOWN($L604*AM$5/100,0)),0)</f>
        <v>0</v>
      </c>
      <c r="AN604" s="38">
        <f>IF(AND(AN$7="○",$A604&gt;=AN$8,$A604&lt;=AN$9),IF(SUM(AN$10:AN603)-ROUNDDOWN($M604*AN$5/100,0)&lt;-AN$6,-AN$6-SUM(AN$10:AN603),-ROUNDDOWN($M604*AN$5/100,0)),0)</f>
        <v>0</v>
      </c>
      <c r="AO604" s="38">
        <f>IF(AND($A604&gt;=AO$8,$A604&lt;=AO$9),IF(SUM(AO$10:AO603)-ROUNDDOWN($K604*AO$5/100,0)&lt;-AO$6,-AO$6-SUM(AO$10:AO603),-ROUNDDOWN($K604*AO$5/100,0)),0)</f>
        <v>0</v>
      </c>
      <c r="AP604" s="38">
        <f>IF(AND($A604&gt;=AP$8,$A604&lt;=AP$9),IF(SUM(AP$10:AP603)-ROUNDDOWN($K604*AP$5/100,0)&lt;-AP$6,-AP$6-SUM(AP$10:AP603),-ROUNDDOWN($K604*AP$5/100,0)),0)</f>
        <v>0</v>
      </c>
      <c r="AQ604" s="38">
        <f>IF(AND($A604&gt;=AQ$8,$A604&lt;=AQ$9),IF(SUM(AQ$10:AQ603)-ROUNDDOWN($K604*AQ$5/100,0)&lt;-AQ$6,-AQ$6-SUM(AQ$10:AQ603),-ROUNDDOWN($K604*AQ$5/100,0)),0)</f>
        <v>0</v>
      </c>
      <c r="AR604" s="38">
        <f>IF(AND($A604&gt;=AR$8,$A604&lt;=AR$9),IF(SUM(AR$10:AR603)-ROUNDDOWN($K604*AR$5/100,0)&lt;-AR$6,-AR$6-SUM(AR$10:AR603),-ROUNDDOWN($K604*AR$5/100,0)),0)</f>
        <v>0</v>
      </c>
      <c r="AS604" s="38">
        <f>IF(SUMIFS(AS$10:AS603,$A$10:$A603,$A604)-ROUNDDOWN($K604*$S604/100,0)&lt;-$S604*1000,-$S604*1000-SUMIFS(AS$10:AS603,$A$10:$A603,$A604),-ROUNDDOWN($K604*$S604/100,0))</f>
        <v>0</v>
      </c>
      <c r="AT604" s="38">
        <f>IF(AND(X604="○",$A604&gt;=AT$8,$A604&lt;=AT$9,K604&gt;=3980),IF(SUM(AT$10:AT603)-ROUNDDOWN($K604*AT$5/100,0)&lt;-AT$6,-AT$6-SUM(AT$10:AT603),-ROUNDDOWN($K604*AT$5/100,0)),0)</f>
        <v>0</v>
      </c>
      <c r="AU604" s="38">
        <f>IF(O604="○",IF(SUM(AU$10:AU603)-ROUNDDOWN($K604*AU$5/100,0)&lt;-AU$6,-AU$6-SUM(AU$10:AU603),-ROUNDDOWN($K604*AU$5/100,0)),0)</f>
        <v>0</v>
      </c>
      <c r="AV604" s="38">
        <f>IF(P604="○",IF(SUM(AV$10:AV603)-ROUNDDOWN($K604*AV$5/100,0)&lt;-AV$6,-AV$6-SUM(AV$10:AV603),-ROUNDDOWN($K604*AV$5/100,0)),0)</f>
        <v>0</v>
      </c>
      <c r="AW604" s="38">
        <f>IF(Q604="○",IF(SUM(AW$10:AW603)-ROUNDDOWN($K604*AW$5/100,0)&lt;-AW$6,-AW$6-SUM(AW$10:AW603),-ROUNDDOWN($K604*AW$5/100,0)),0)</f>
        <v>0</v>
      </c>
      <c r="AX604" s="38">
        <f>IF(R604="○",IF(SUM(AX$10:AX603)-ROUNDDOWN($K604*AX$5/100,0)&lt;-AX$6,-AX$6-SUM(AX$10:AX603),-ROUNDDOWN($K604*AX$5/100,0)),0)</f>
        <v>0</v>
      </c>
      <c r="AY604" s="70">
        <v>0</v>
      </c>
      <c r="AZ604" s="65">
        <f t="shared" si="377"/>
        <v>0</v>
      </c>
      <c r="BA604" s="65">
        <f t="shared" si="378"/>
        <v>0</v>
      </c>
      <c r="BB604" s="70"/>
      <c r="BC604" s="65">
        <f t="shared" si="379"/>
        <v>0</v>
      </c>
      <c r="BD604" s="70">
        <v>0</v>
      </c>
      <c r="BE604" s="65">
        <f t="shared" si="380"/>
        <v>0</v>
      </c>
      <c r="BF604" s="70">
        <v>0</v>
      </c>
      <c r="BG604" s="65">
        <f t="shared" si="381"/>
        <v>0</v>
      </c>
      <c r="BH604" s="70">
        <v>0</v>
      </c>
      <c r="BI604" s="65">
        <f t="shared" si="382"/>
        <v>0</v>
      </c>
      <c r="BJ604" s="38">
        <f>IF(AND(BJ$7="○",$A604&gt;=BJ$8,$A604&lt;=BJ$9),IF(SUM(BJ$10:BJ603)-ROUNDDOWN($M604*BJ$5/100,0)&lt;-BJ$6,-BJ$6-SUM(BJ$10:BJ603),-ROUNDDOWN($M604*BJ$5/100,0)),0)</f>
        <v>0</v>
      </c>
      <c r="BK604" s="38">
        <f>IF(AND(BK$7="○",$A604&gt;=BK$8,$A604&lt;=BK$9),IF(SUM(BK$10:BK603)-ROUNDDOWN($L604*BK$5/100,0)&lt;-BK$6,-BK$6-SUM(BK$10:BK603),-ROUNDDOWN($L604*BK$5/100,0)),0)</f>
        <v>0</v>
      </c>
      <c r="BL604" s="38">
        <f>IF(AND(BL$7="○",$A604&gt;=BL$8,$A604&lt;=BL$9),IF(SUM(BL$10:BL603)-ROUNDDOWN($L604*BL$5/100,0)&lt;-BL$6,-BL$6-SUM(BL$10:BL603),-ROUNDDOWN($L604*BL$5/100,0)),0)</f>
        <v>0</v>
      </c>
      <c r="BM604" s="38">
        <f>IF(AND(BM$7="○",$A604&gt;=BM$8,$A604&lt;=BM$9),IF(SUM(BM$10:BM603)-ROUNDDOWN($M604*BM$5/100,0)&lt;-BM$6,-BM$6-SUM(BM$10:BM603),-ROUNDDOWN($M604*BM$5/100,0)),0)</f>
        <v>0</v>
      </c>
      <c r="BN604" s="38">
        <f>IF(AND(BN$7="○",$A604&gt;=BN$8,$A604&lt;=BN$9),IF(SUM(BN$10:BN603)-ROUNDDOWN($M604*BN$5/100,0)&lt;-BN$6,-BN$6-SUM(BN$10:BN603),-ROUNDDOWN($M604*BN$5/100,0)),0)</f>
        <v>0</v>
      </c>
      <c r="BO604" s="38">
        <f>IF(AND(BO$7="○",$A604&gt;=BO$8,$A604&lt;=BO$9),IF(SUM(BO$10:BO603)-ROUNDDOWN($M604*BO$5/100,0)&lt;-BO$6,-BO$6-SUM(BO$10:BO603),-ROUNDDOWN($M604*BO$5/100,0)),0)</f>
        <v>0</v>
      </c>
      <c r="BP604" s="38">
        <f>IF(AND(BP$7="○",$A604&gt;=BP$8,$A604&lt;=BP$9),IF(SUM(BP$10:BP603)-ROUNDDOWN($M604*BP$5/100,0)&lt;-BP$6,-BP$6-SUM(BP$10:BP603),-ROUNDDOWN($M604*BP$5/100,0)),0)</f>
        <v>0</v>
      </c>
      <c r="BQ604" s="38">
        <f>IF(AND(BQ$7="○",$A604&gt;=BQ$8,$A604&lt;=BQ$9),IF(SUM(BQ$10:BQ603)-ROUNDDOWN($L604*BQ$5/100,0)&lt;-BQ$6,-BQ$6-SUM(BQ$10:BQ603),-ROUNDDOWN($L604*BQ$5/100,0)),0)</f>
        <v>0</v>
      </c>
      <c r="BR604" s="38">
        <f>IF(AND(BR$7="○",$A604&gt;=BR$8,$A604&lt;=BR$9),IF(SUM(BR$10:BR603)-ROUNDDOWN($M604*BR$5/100,0)&lt;-BR$6,-BR$6-SUM(BR$10:BR603),-ROUNDDOWN($M604*BR$5/100,0)),0)</f>
        <v>0</v>
      </c>
      <c r="BS604" s="38">
        <f>IF(AND(BS$7="○",$A604&gt;=BS$8,$A604&lt;=BS$9),IF(SUM(BS$10:BS603)-ROUNDDOWN($M604*BS$5/100,0)&lt;-BS$6,-BS$6-SUM(BS$10:BS603),-ROUNDDOWN($M604*BS$5/100,0)),0)</f>
        <v>0</v>
      </c>
      <c r="BT604" s="38">
        <f>IF(AND(BT$7="○",$A604&gt;=BT$8,$A604&lt;=BT$9),IF(SUM(BT$10:BT603)-ROUNDDOWN($M604*BT$5/100,0)&lt;-BT$6,-BT$6-SUM(BT$10:BT603),-ROUNDDOWN($M604*BT$5/100,0)),0)</f>
        <v>0</v>
      </c>
      <c r="BU604" s="38">
        <f>IF(AND(BU$7="○",$A604&gt;=BU$8,$A604&lt;=BU$9),IF(SUM(BU$10:BU603)-ROUNDDOWN($M604*BU$5/100,0)&lt;-BU$6,-BU$6-SUM(BU$10:BU603),-ROUNDDOWN($M604*BU$5/100,0)),0)</f>
        <v>0</v>
      </c>
      <c r="BV604" s="38">
        <f>IF(AND(BV$7="○",$A604&gt;=BV$8,$A604&lt;=BV$9),IF(SUM(BV$10:BV603)-ROUNDDOWN($M604*BV$5/100,0)&lt;-BV$6,-BV$6-SUM(BV$10:BV603),-ROUNDDOWN($M604*BV$5/100,0)),0)</f>
        <v>0</v>
      </c>
      <c r="BW604" s="38">
        <f>IF(AND(BW$7="○",$A604&gt;=BW$8,$A604&lt;=BW$9),IF(SUM(BW$10:BW603)-ROUNDDOWN($M604*BW$5/100,0)&lt;-BW$6,-BW$6-SUM(BW$10:BW603),-ROUNDDOWN($M604*BW$5/100,0)),0)</f>
        <v>0</v>
      </c>
      <c r="BX604" s="38">
        <f>IF(AND(T604="○",$A604&gt;=BX$8,$A604&lt;=BX$9),IF(SUM(BX$10:BX603)-ROUNDDOWN($K604*BX$5/100,0)&lt;-BX$6,-BX$6-SUM(BX$10:BX603),-ROUNDDOWN($K604*BX$5/100,0)),0)</f>
        <v>0</v>
      </c>
      <c r="BY604" s="38">
        <f>IF(AND(U604="○",$A604&gt;=BY$8,$A604&lt;=BY$9),IF(SUM(BY$10:BY603)-ROUNDDOWN($K604*BY$5/100,0)&lt;-BY$6,-BY$6-SUM(BY$10:BY603),-ROUNDDOWN($K604*BY$5/100,0)),0)</f>
        <v>0</v>
      </c>
      <c r="BZ604" s="38">
        <f>IF(AND(V604="○",$A604&gt;=BZ$8,$A604&lt;=BZ$9),IF(SUM(BZ$10:BZ603)-ROUNDDOWN($K604*BZ$5/100,0)&lt;-BZ$6,-BZ$6-SUM(BZ$10:BZ603),-ROUNDDOWN($K604*BZ$5/100,0)),0)</f>
        <v>0</v>
      </c>
      <c r="CA604" s="38">
        <f>IF(AND(W604="○",$A604&gt;=CA$8,$A604&lt;=CA$9),IF(SUM(CA$10:CA603)-ROUNDDOWN($K604*CA$5/100,0)&lt;-CA$6,-CA$6-SUM(CA$10:CA603),-ROUNDDOWN($K604*CA$5/100,0)),0)</f>
        <v>0</v>
      </c>
      <c r="CB604" s="38"/>
      <c r="CC604" s="38"/>
      <c r="CD604" s="38"/>
      <c r="CE604" s="38"/>
      <c r="CF604" s="38"/>
      <c r="CG604" s="65">
        <f t="shared" si="383"/>
        <v>0</v>
      </c>
      <c r="CH604" s="71">
        <f t="shared" si="384"/>
        <v>0</v>
      </c>
      <c r="CI604" s="1">
        <f t="shared" si="391"/>
        <v>0</v>
      </c>
      <c r="CJ604" s="1"/>
      <c r="CK604" s="79"/>
      <c r="CL604" s="79"/>
      <c r="CM604" s="2"/>
      <c r="CN604" s="2"/>
      <c r="CO604" s="73">
        <f t="shared" si="392"/>
        <v>0</v>
      </c>
      <c r="CP604" s="5">
        <f t="shared" si="393"/>
        <v>0</v>
      </c>
      <c r="CQ604" s="1"/>
      <c r="CR604" s="1">
        <f t="shared" si="394"/>
        <v>0</v>
      </c>
      <c r="CS604" s="1"/>
      <c r="CT604" s="1" t="e">
        <f>INDEX([2]マスタ!$A:$A,MATCH(D604,[2]マスタ!$C:$C,0))</f>
        <v>#N/A</v>
      </c>
      <c r="CU604" s="1" t="str">
        <f t="shared" ca="1" si="395"/>
        <v>20260620_0-0</v>
      </c>
    </row>
    <row r="605" spans="1:99" x14ac:dyDescent="0.4">
      <c r="A605" s="61"/>
      <c r="B605" s="62"/>
      <c r="C605" s="62"/>
      <c r="D605" s="62"/>
      <c r="E605" s="63"/>
      <c r="F605" s="62"/>
      <c r="G605" s="62">
        <v>1</v>
      </c>
      <c r="H605" s="64">
        <f t="shared" si="385"/>
        <v>0</v>
      </c>
      <c r="I605" s="64"/>
      <c r="J605" s="64"/>
      <c r="K605" s="65">
        <f>+ROUNDDOWN((H605+I605)/100,0)*100</f>
        <v>0</v>
      </c>
      <c r="L605" s="65">
        <f t="shared" si="387"/>
        <v>0</v>
      </c>
      <c r="M605" s="65">
        <f t="shared" si="388"/>
        <v>0</v>
      </c>
      <c r="N605" s="65">
        <f t="shared" si="389"/>
        <v>0</v>
      </c>
      <c r="O605" s="66" t="str">
        <f t="shared" si="9"/>
        <v>✕</v>
      </c>
      <c r="P605" s="67" t="str">
        <f t="shared" si="10"/>
        <v>○</v>
      </c>
      <c r="Q605" s="67" t="str">
        <f>+IF((TEXT($A605,"DD")+0)=1,"○","✕")</f>
        <v>✕</v>
      </c>
      <c r="R605" s="67" t="str">
        <f t="shared" si="12"/>
        <v>✕</v>
      </c>
      <c r="S605" s="68">
        <v>0</v>
      </c>
      <c r="T605" s="69" t="s">
        <v>85</v>
      </c>
      <c r="U605" s="69" t="s">
        <v>85</v>
      </c>
      <c r="V605" s="69" t="s">
        <v>85</v>
      </c>
      <c r="W605" s="69" t="s">
        <v>85</v>
      </c>
      <c r="X605" s="69" t="s">
        <v>84</v>
      </c>
      <c r="Y605" s="69" t="s">
        <v>85</v>
      </c>
      <c r="Z605" s="69" t="s">
        <v>85</v>
      </c>
      <c r="AA605" s="69" t="s">
        <v>85</v>
      </c>
      <c r="AB605" s="69" t="s">
        <v>85</v>
      </c>
      <c r="AC605" s="69" t="s">
        <v>85</v>
      </c>
      <c r="AD605" s="38" t="str">
        <f>+IF(ISERROR(VLOOKUP($B605,AD$10:AD604,1,0)),IF(AND($N605&gt;=1000,$A605&gt;=AO$8,$A605&lt;=AO$9),$B605,""),"")</f>
        <v/>
      </c>
      <c r="AE605" s="38" t="str">
        <f>+IF(ISERROR(VLOOKUP($B605,AE$10:AE604,1,0)),IF(AND($N605&gt;=1000,$A605&gt;=AP$8,$A605&lt;=AP$9),$B605,""),"")</f>
        <v/>
      </c>
      <c r="AF605" s="38" t="str">
        <f>+IF(ISERROR(VLOOKUP($B605,AF$10:AF604,1,0)),IF(AND($N605&gt;=1000,$A605&gt;=AQ$8,$A605&lt;=AQ$9),$B605,""),"")</f>
        <v/>
      </c>
      <c r="AG605" s="38" t="str">
        <f>+IF(ISERROR(VLOOKUP($B605,AG$10:AG604,1,0)),IF(AND($N605&gt;=1000,$A605&gt;=AR$8,$A605&lt;=AR$9),$B605,""),"")</f>
        <v/>
      </c>
      <c r="AH605" s="38"/>
      <c r="AI605" s="70">
        <v>0</v>
      </c>
      <c r="AJ605" s="38">
        <f>IF(AND(AJ$7="○",$A605&gt;=AJ$8,$A605&lt;=AJ$9),IF(SUM(AJ$10:AJ604)-ROUNDDOWN($K605*AJ$5/100,0)&lt;-AJ$6,-AJ$6-SUM(AJ$10:AJ604),-ROUNDDOWN($K605*AJ$5/100,0)),0)</f>
        <v>0</v>
      </c>
      <c r="AK605" s="38">
        <f>IF(AND(AK$7="○",$A605&gt;=AK$8,$A605&lt;=AK$9),IF(SUM(AK$10:AK604)-ROUNDDOWN($L605*AK$5/100,0)&lt;-AK$6,-AK$6-SUM(AK$10:AK604),-ROUNDDOWN($L605*AK$5/100,0)),0)</f>
        <v>0</v>
      </c>
      <c r="AL605" s="38">
        <f>IF(AND(AL$7="○",$A605&gt;=AL$8,$A605&lt;=AL$9),IF(SUM(AL$10:AL604)-ROUNDDOWN($N605*AL$5/100,0)&lt;-AL$6,-AL$6-SUM(AL$10:AL604),-ROUNDDOWN($N605*AL$5/100,0)),0)</f>
        <v>0</v>
      </c>
      <c r="AM605" s="38">
        <f>IF(AND(AM$7="○",$A605&gt;=AM$8,$A605&lt;=AM$9),IF(SUM(AM$10:AM604)-ROUNDDOWN($L605*AM$5/100,0)&lt;-AM$6,-AM$6-SUM(AM$10:AM604),-ROUNDDOWN($L605*AM$5/100,0)),0)</f>
        <v>0</v>
      </c>
      <c r="AN605" s="38">
        <f>IF(AND(AN$7="○",$A605&gt;=AN$8,$A605&lt;=AN$9),IF(SUM(AN$10:AN604)-ROUNDDOWN($M605*AN$5/100,0)&lt;-AN$6,-AN$6-SUM(AN$10:AN604),-ROUNDDOWN($M605*AN$5/100,0)),0)</f>
        <v>0</v>
      </c>
      <c r="AO605" s="38">
        <f>IF(AND($A605&gt;=AO$8,$A605&lt;=AO$9),IF(SUM(AO$10:AO604)-ROUNDDOWN($K605*AO$5/100,0)&lt;-AO$6,-AO$6-SUM(AO$10:AO604),-ROUNDDOWN($K605*AO$5/100,0)),0)</f>
        <v>0</v>
      </c>
      <c r="AP605" s="38">
        <f>IF(AND($A605&gt;=AP$8,$A605&lt;=AP$9),IF(SUM(AP$10:AP604)-ROUNDDOWN($K605*AP$5/100,0)&lt;-AP$6,-AP$6-SUM(AP$10:AP604),-ROUNDDOWN($K605*AP$5/100,0)),0)</f>
        <v>0</v>
      </c>
      <c r="AQ605" s="38">
        <f>IF(AND($A605&gt;=AQ$8,$A605&lt;=AQ$9),IF(SUM(AQ$10:AQ604)-ROUNDDOWN($K605*AQ$5/100,0)&lt;-AQ$6,-AQ$6-SUM(AQ$10:AQ604),-ROUNDDOWN($K605*AQ$5/100,0)),0)</f>
        <v>0</v>
      </c>
      <c r="AR605" s="38">
        <f>IF(AND($A605&gt;=AR$8,$A605&lt;=AR$9),IF(SUM(AR$10:AR604)-ROUNDDOWN($K605*AR$5/100,0)&lt;-AR$6,-AR$6-SUM(AR$10:AR604),-ROUNDDOWN($K605*AR$5/100,0)),0)</f>
        <v>0</v>
      </c>
      <c r="AS605" s="38">
        <f>IF(SUMIFS(AS$10:AS604,$A$10:$A604,$A605)-ROUNDDOWN($K605*$S605/100,0)&lt;-$S605*1000,-$S605*1000-SUMIFS(AS$10:AS604,$A$10:$A604,$A605),-ROUNDDOWN($K605*$S605/100,0))</f>
        <v>0</v>
      </c>
      <c r="AT605" s="38">
        <f>IF(AND(X605="○",$A605&gt;=AT$8,$A605&lt;=AT$9,K605&gt;=3980),IF(SUM(AT$10:AT604)-ROUNDDOWN($K605*AT$5/100,0)&lt;-AT$6,-AT$6-SUM(AT$10:AT604),-ROUNDDOWN($K605*AT$5/100,0)),0)</f>
        <v>0</v>
      </c>
      <c r="AU605" s="38">
        <f>IF(O605="○",IF(SUM(AU$10:AU604)-ROUNDDOWN($K605*AU$5/100,0)&lt;-AU$6,-AU$6-SUM(AU$10:AU604),-ROUNDDOWN($K605*AU$5/100,0)),0)</f>
        <v>0</v>
      </c>
      <c r="AV605" s="38">
        <f>IF(P605="○",IF(SUM(AV$10:AV604)-ROUNDDOWN($K605*AV$5/100,0)&lt;-AV$6,-AV$6-SUM(AV$10:AV604),-ROUNDDOWN($K605*AV$5/100,0)),0)</f>
        <v>0</v>
      </c>
      <c r="AW605" s="38">
        <f>IF(Q605="○",IF(SUM(AW$10:AW604)-ROUNDDOWN($K605*AW$5/100,0)&lt;-AW$6,-AW$6-SUM(AW$10:AW604),-ROUNDDOWN($K605*AW$5/100,0)),0)</f>
        <v>0</v>
      </c>
      <c r="AX605" s="38">
        <f>IF(R605="○",IF(SUM(AX$10:AX604)-ROUNDDOWN($K605*AX$5/100,0)&lt;-AX$6,-AX$6-SUM(AX$10:AX604),-ROUNDDOWN($K605*AX$5/100,0)),0)</f>
        <v>0</v>
      </c>
      <c r="AY605" s="70">
        <v>0</v>
      </c>
      <c r="AZ605" s="65">
        <f t="shared" si="377"/>
        <v>0</v>
      </c>
      <c r="BA605" s="65">
        <f t="shared" si="378"/>
        <v>0</v>
      </c>
      <c r="BB605" s="70"/>
      <c r="BC605" s="65">
        <f t="shared" si="379"/>
        <v>0</v>
      </c>
      <c r="BD605" s="70">
        <v>0</v>
      </c>
      <c r="BE605" s="65">
        <f t="shared" si="380"/>
        <v>0</v>
      </c>
      <c r="BF605" s="70">
        <v>0</v>
      </c>
      <c r="BG605" s="65">
        <f t="shared" si="381"/>
        <v>0</v>
      </c>
      <c r="BH605" s="70">
        <v>0</v>
      </c>
      <c r="BI605" s="65">
        <f t="shared" si="382"/>
        <v>0</v>
      </c>
      <c r="BJ605" s="38">
        <f>IF(AND(BJ$7="○",$A605&gt;=BJ$8,$A605&lt;=BJ$9),IF(SUM(BJ$10:BJ604)-ROUNDDOWN($M605*BJ$5/100,0)&lt;-BJ$6,-BJ$6-SUM(BJ$10:BJ604),-ROUNDDOWN($M605*BJ$5/100,0)),0)</f>
        <v>0</v>
      </c>
      <c r="BK605" s="38">
        <f>IF(AND(BK$7="○",$A605&gt;=BK$8,$A605&lt;=BK$9),IF(SUM(BK$10:BK604)-ROUNDDOWN($L605*BK$5/100,0)&lt;-BK$6,-BK$6-SUM(BK$10:BK604),-ROUNDDOWN($L605*BK$5/100,0)),0)</f>
        <v>0</v>
      </c>
      <c r="BL605" s="38">
        <f>IF(AND(BL$7="○",$A605&gt;=BL$8,$A605&lt;=BL$9),IF(SUM(BL$10:BL604)-ROUNDDOWN($L605*BL$5/100,0)&lt;-BL$6,-BL$6-SUM(BL$10:BL604),-ROUNDDOWN($L605*BL$5/100,0)),0)</f>
        <v>0</v>
      </c>
      <c r="BM605" s="38">
        <f>IF(AND(BM$7="○",$A605&gt;=BM$8,$A605&lt;=BM$9),IF(SUM(BM$10:BM604)-ROUNDDOWN($M605*BM$5/100,0)&lt;-BM$6,-BM$6-SUM(BM$10:BM604),-ROUNDDOWN($M605*BM$5/100,0)),0)</f>
        <v>0</v>
      </c>
      <c r="BN605" s="38">
        <f>IF(AND(BN$7="○",$A605&gt;=BN$8,$A605&lt;=BN$9),IF(SUM(BN$10:BN604)-ROUNDDOWN($M605*BN$5/100,0)&lt;-BN$6,-BN$6-SUM(BN$10:BN604),-ROUNDDOWN($M605*BN$5/100,0)),0)</f>
        <v>0</v>
      </c>
      <c r="BO605" s="38">
        <f>IF(AND(BO$7="○",$A605&gt;=BO$8,$A605&lt;=BO$9),IF(SUM(BO$10:BO604)-ROUNDDOWN($M605*BO$5/100,0)&lt;-BO$6,-BO$6-SUM(BO$10:BO604),-ROUNDDOWN($M605*BO$5/100,0)),0)</f>
        <v>0</v>
      </c>
      <c r="BP605" s="38">
        <f>IF(AND(BP$7="○",$A605&gt;=BP$8,$A605&lt;=BP$9),IF(SUM(BP$10:BP604)-ROUNDDOWN($M605*BP$5/100,0)&lt;-BP$6,-BP$6-SUM(BP$10:BP604),-ROUNDDOWN($M605*BP$5/100,0)),0)</f>
        <v>0</v>
      </c>
      <c r="BQ605" s="38">
        <f>IF(AND(BQ$7="○",$A605&gt;=BQ$8,$A605&lt;=BQ$9),IF(SUM(BQ$10:BQ604)-ROUNDDOWN($L605*BQ$5/100,0)&lt;-BQ$6,-BQ$6-SUM(BQ$10:BQ604),-ROUNDDOWN($L605*BQ$5/100,0)),0)</f>
        <v>0</v>
      </c>
      <c r="BR605" s="38">
        <f>IF(AND(BR$7="○",$A605&gt;=BR$8,$A605&lt;=BR$9),IF(SUM(BR$10:BR604)-ROUNDDOWN($M605*BR$5/100,0)&lt;-BR$6,-BR$6-SUM(BR$10:BR604),-ROUNDDOWN($M605*BR$5/100,0)),0)</f>
        <v>0</v>
      </c>
      <c r="BS605" s="38">
        <f>IF(AND(BS$7="○",$A605&gt;=BS$8,$A605&lt;=BS$9),IF(SUM(BS$10:BS604)-ROUNDDOWN($M605*BS$5/100,0)&lt;-BS$6,-BS$6-SUM(BS$10:BS604),-ROUNDDOWN($M605*BS$5/100,0)),0)</f>
        <v>0</v>
      </c>
      <c r="BT605" s="38">
        <f>IF(AND(BT$7="○",$A605&gt;=BT$8,$A605&lt;=BT$9),IF(SUM(BT$10:BT604)-ROUNDDOWN($M605*BT$5/100,0)&lt;-BT$6,-BT$6-SUM(BT$10:BT604),-ROUNDDOWN($M605*BT$5/100,0)),0)</f>
        <v>0</v>
      </c>
      <c r="BU605" s="38">
        <f>IF(AND(BU$7="○",$A605&gt;=BU$8,$A605&lt;=BU$9),IF(SUM(BU$10:BU604)-ROUNDDOWN($M605*BU$5/100,0)&lt;-BU$6,-BU$6-SUM(BU$10:BU604),-ROUNDDOWN($M605*BU$5/100,0)),0)</f>
        <v>0</v>
      </c>
      <c r="BV605" s="38">
        <f>IF(AND(BV$7="○",$A605&gt;=BV$8,$A605&lt;=BV$9),IF(SUM(BV$10:BV604)-ROUNDDOWN($M605*BV$5/100,0)&lt;-BV$6,-BV$6-SUM(BV$10:BV604),-ROUNDDOWN($M605*BV$5/100,0)),0)</f>
        <v>0</v>
      </c>
      <c r="BW605" s="38">
        <f>IF(AND(BW$7="○",$A605&gt;=BW$8,$A605&lt;=BW$9),IF(SUM(BW$10:BW604)-ROUNDDOWN($M605*BW$5/100,0)&lt;-BW$6,-BW$6-SUM(BW$10:BW604),-ROUNDDOWN($M605*BW$5/100,0)),0)</f>
        <v>0</v>
      </c>
      <c r="BX605" s="38">
        <f>IF(AND(T605="○",$A605&gt;=BX$8,$A605&lt;=BX$9),IF(SUM(BX$10:BX604)-ROUNDDOWN($K605*BX$5/100,0)&lt;-BX$6,-BX$6-SUM(BX$10:BX604),-ROUNDDOWN($K605*BX$5/100,0)),0)</f>
        <v>0</v>
      </c>
      <c r="BY605" s="38">
        <f>IF(AND(U605="○",$A605&gt;=BY$8,$A605&lt;=BY$9),IF(SUM(BY$10:BY604)-ROUNDDOWN($K605*BY$5/100,0)&lt;-BY$6,-BY$6-SUM(BY$10:BY604),-ROUNDDOWN($K605*BY$5/100,0)),0)</f>
        <v>0</v>
      </c>
      <c r="BZ605" s="38">
        <f>IF(AND(V605="○",$A605&gt;=BZ$8,$A605&lt;=BZ$9),IF(SUM(BZ$10:BZ604)-ROUNDDOWN($K605*BZ$5/100,0)&lt;-BZ$6,-BZ$6-SUM(BZ$10:BZ604),-ROUNDDOWN($K605*BZ$5/100,0)),0)</f>
        <v>0</v>
      </c>
      <c r="CA605" s="38">
        <f>IF(AND(W605="○",$A605&gt;=CA$8,$A605&lt;=CA$9),IF(SUM(CA$10:CA604)-ROUNDDOWN($K605*CA$5/100,0)&lt;-CA$6,-CA$6-SUM(CA$10:CA604),-ROUNDDOWN($K605*CA$5/100,0)),0)</f>
        <v>0</v>
      </c>
      <c r="CB605" s="38"/>
      <c r="CC605" s="38"/>
      <c r="CD605" s="38"/>
      <c r="CE605" s="38"/>
      <c r="CF605" s="38"/>
      <c r="CG605" s="65">
        <f t="shared" si="383"/>
        <v>0</v>
      </c>
      <c r="CH605" s="71">
        <f t="shared" si="384"/>
        <v>0</v>
      </c>
      <c r="CI605" s="1">
        <f t="shared" si="391"/>
        <v>0</v>
      </c>
      <c r="CJ605" s="1"/>
      <c r="CK605" s="79"/>
      <c r="CL605" s="79"/>
      <c r="CM605" s="2"/>
      <c r="CN605" s="2"/>
      <c r="CO605" s="73">
        <f t="shared" si="392"/>
        <v>0</v>
      </c>
      <c r="CP605" s="5">
        <f t="shared" si="393"/>
        <v>0</v>
      </c>
      <c r="CQ605" s="1"/>
      <c r="CR605" s="1">
        <f t="shared" si="394"/>
        <v>0</v>
      </c>
      <c r="CS605" s="1"/>
      <c r="CT605" s="1" t="e">
        <f>INDEX([2]マスタ!$A:$A,MATCH(D605,[2]マスタ!$C:$C,0))</f>
        <v>#N/A</v>
      </c>
      <c r="CU605" s="1" t="str">
        <f t="shared" ca="1" si="395"/>
        <v>20260620_0-0</v>
      </c>
    </row>
    <row r="606" spans="1:99" x14ac:dyDescent="0.4">
      <c r="A606" s="61"/>
      <c r="B606" s="62"/>
      <c r="C606" s="62"/>
      <c r="D606" s="62"/>
      <c r="E606" s="63"/>
      <c r="F606" s="62"/>
      <c r="G606" s="62">
        <v>1</v>
      </c>
      <c r="H606" s="64">
        <f t="shared" si="385"/>
        <v>0</v>
      </c>
      <c r="I606" s="64"/>
      <c r="J606" s="64"/>
      <c r="K606" s="65">
        <f t="shared" ref="K606:K615" si="396">+ROUNDDOWN((H606+I606+J606)/100,0)*100</f>
        <v>0</v>
      </c>
      <c r="L606" s="65">
        <f t="shared" si="387"/>
        <v>0</v>
      </c>
      <c r="M606" s="65">
        <f t="shared" si="388"/>
        <v>0</v>
      </c>
      <c r="N606" s="65">
        <f t="shared" si="389"/>
        <v>0</v>
      </c>
      <c r="O606" s="66" t="str">
        <f t="shared" si="9"/>
        <v>✕</v>
      </c>
      <c r="P606" s="67" t="str">
        <f t="shared" si="10"/>
        <v>○</v>
      </c>
      <c r="Q606" s="67" t="str">
        <f t="shared" ref="Q606:Q615" si="397">+IF((TEXT(A606,"DD")+0)=1,"○","✕")</f>
        <v>✕</v>
      </c>
      <c r="R606" s="67" t="str">
        <f t="shared" si="12"/>
        <v>✕</v>
      </c>
      <c r="S606" s="68">
        <v>0</v>
      </c>
      <c r="T606" s="69" t="s">
        <v>85</v>
      </c>
      <c r="U606" s="69" t="s">
        <v>85</v>
      </c>
      <c r="V606" s="69" t="s">
        <v>85</v>
      </c>
      <c r="W606" s="69" t="s">
        <v>85</v>
      </c>
      <c r="X606" s="69" t="s">
        <v>84</v>
      </c>
      <c r="Y606" s="69" t="s">
        <v>85</v>
      </c>
      <c r="Z606" s="69" t="s">
        <v>85</v>
      </c>
      <c r="AA606" s="69" t="s">
        <v>85</v>
      </c>
      <c r="AB606" s="69" t="s">
        <v>85</v>
      </c>
      <c r="AC606" s="69" t="s">
        <v>85</v>
      </c>
      <c r="AD606" s="38" t="str">
        <f>+IF(ISERROR(VLOOKUP($B606,AD$10:AD605,1,0)),IF(AND($N606&gt;=1000,$A606&gt;=AO$8,$A606&lt;=AO$9),$B606,""),"")</f>
        <v/>
      </c>
      <c r="AE606" s="38" t="str">
        <f>+IF(ISERROR(VLOOKUP($B606,AE$10:AE605,1,0)),IF(AND($N606&gt;=1000,$A606&gt;=AP$8,$A606&lt;=AP$9),$B606,""),"")</f>
        <v/>
      </c>
      <c r="AF606" s="38" t="str">
        <f>+IF(ISERROR(VLOOKUP($B606,AF$10:AF605,1,0)),IF(AND($N606&gt;=1000,$A606&gt;=AQ$8,$A606&lt;=AQ$9),$B606,""),"")</f>
        <v/>
      </c>
      <c r="AG606" s="38" t="str">
        <f>+IF(ISERROR(VLOOKUP($B606,AG$10:AG605,1,0)),IF(AND($N606&gt;=1000,$A606&gt;=AR$8,$A606&lt;=AR$9),$B606,""),"")</f>
        <v/>
      </c>
      <c r="AH606" s="38"/>
      <c r="AI606" s="70">
        <v>0</v>
      </c>
      <c r="AJ606" s="38">
        <f>IF(AND(AJ$7="○",$A606&gt;=AJ$8,$A606&lt;=AJ$9),IF(SUM(AJ$10:AJ605)-ROUNDDOWN($K606*AJ$5/100,0)&lt;-AJ$6,-AJ$6-SUM(AJ$10:AJ605),-ROUNDDOWN($K606*AJ$5/100,0)),0)</f>
        <v>0</v>
      </c>
      <c r="AK606" s="38">
        <f>IF(AND(AK$7="○",$A606&gt;=AK$8,$A606&lt;=AK$9),IF(SUM(AK$10:AK605)-ROUNDDOWN($L606*AK$5/100,0)&lt;-AK$6,-AK$6-SUM(AK$10:AK605),-ROUNDDOWN($L606*AK$5/100,0)),0)</f>
        <v>0</v>
      </c>
      <c r="AL606" s="38">
        <f>IF(AND(AL$7="○",$A606&gt;=AL$8,$A606&lt;=AL$9),IF(SUM(AL$10:AL605)-ROUNDDOWN($N606*AL$5/100,0)&lt;-AL$6,-AL$6-SUM(AL$10:AL605),-ROUNDDOWN($N606*AL$5/100,0)),0)</f>
        <v>0</v>
      </c>
      <c r="AM606" s="38">
        <f>IF(AND(AM$7="○",$A606&gt;=AM$8,$A606&lt;=AM$9),IF(SUM(AM$10:AM605)-ROUNDDOWN($L606*AM$5/100,0)&lt;-AM$6,-AM$6-SUM(AM$10:AM605),-ROUNDDOWN($L606*AM$5/100,0)),0)</f>
        <v>0</v>
      </c>
      <c r="AN606" s="38">
        <f>IF(AND(AN$7="○",$A606&gt;=AN$8,$A606&lt;=AN$9),IF(SUM(AN$10:AN605)-ROUNDDOWN($M606*AN$5/100,0)&lt;-AN$6,-AN$6-SUM(AN$10:AN605),-ROUNDDOWN($M606*AN$5/100,0)),0)</f>
        <v>0</v>
      </c>
      <c r="AO606" s="38">
        <f>IF(AND($A606&gt;=AO$8,$A606&lt;=AO$9),IF(SUM(AO$10:AO605)-ROUNDDOWN($K606*AO$5/100,0)&lt;-AO$6,-AO$6-SUM(AO$10:AO605),-ROUNDDOWN($K606*AO$5/100,0)),0)</f>
        <v>0</v>
      </c>
      <c r="AP606" s="38">
        <f>IF(AND($A606&gt;=AP$8,$A606&lt;=AP$9),IF(SUM(AP$10:AP605)-ROUNDDOWN($K606*AP$5/100,0)&lt;-AP$6,-AP$6-SUM(AP$10:AP605),-ROUNDDOWN($K606*AP$5/100,0)),0)</f>
        <v>0</v>
      </c>
      <c r="AQ606" s="38">
        <f>IF(AND($A606&gt;=AQ$8,$A606&lt;=AQ$9),IF(SUM(AQ$10:AQ605)-ROUNDDOWN($K606*AQ$5/100,0)&lt;-AQ$6,-AQ$6-SUM(AQ$10:AQ605),-ROUNDDOWN($K606*AQ$5/100,0)),0)</f>
        <v>0</v>
      </c>
      <c r="AR606" s="38">
        <f>IF(AND($A606&gt;=AR$8,$A606&lt;=AR$9),IF(SUM(AR$10:AR605)-ROUNDDOWN($K606*AR$5/100,0)&lt;-AR$6,-AR$6-SUM(AR$10:AR605),-ROUNDDOWN($K606*AR$5/100,0)),0)</f>
        <v>0</v>
      </c>
      <c r="AS606" s="38">
        <f>IF(SUMIFS(AS$10:AS605,$A$10:$A605,$A606)-ROUNDDOWN($K606*$S606/100,0)&lt;-$S606*1000,-$S606*1000-SUMIFS(AS$10:AS605,$A$10:$A605,$A606),-ROUNDDOWN($K606*$S606/100,0))</f>
        <v>0</v>
      </c>
      <c r="AT606" s="38">
        <f>IF(AND(X606="○",$A606&gt;=AT$8,$A606&lt;=AT$9,K606&gt;=3980),IF(SUM(AT$10:AT605)-ROUNDDOWN($K606*AT$5/100,0)&lt;-AT$6,-AT$6-SUM(AT$10:AT605),-ROUNDDOWN($K606*AT$5/100,0)),0)</f>
        <v>0</v>
      </c>
      <c r="AU606" s="38">
        <f>IF(O606="○",IF(SUM(AU$10:AU605)-ROUNDDOWN($K606*AU$5/100,0)&lt;-AU$6,-AU$6-SUM(AU$10:AU605),-ROUNDDOWN($K606*AU$5/100,0)),0)</f>
        <v>0</v>
      </c>
      <c r="AV606" s="38">
        <f>IF(P606="○",IF(SUM(AV$10:AV605)-ROUNDDOWN($K606*AV$5/100,0)&lt;-AV$6,-AV$6-SUM(AV$10:AV605),-ROUNDDOWN($K606*AV$5/100,0)),0)</f>
        <v>0</v>
      </c>
      <c r="AW606" s="38">
        <f>IF(Q606="○",IF(SUM(AW$10:AW605)-ROUNDDOWN($K606*AW$5/100,0)&lt;-AW$6,-AW$6-SUM(AW$10:AW605),-ROUNDDOWN($K606*AW$5/100,0)),0)</f>
        <v>0</v>
      </c>
      <c r="AX606" s="38">
        <f>IF(R606="○",IF(SUM(AX$10:AX605)-ROUNDDOWN($K606*AX$5/100,0)&lt;-AX$6,-AX$6-SUM(AX$10:AX605),-ROUNDDOWN($K606*AX$5/100,0)),0)</f>
        <v>0</v>
      </c>
      <c r="AY606" s="70">
        <v>0</v>
      </c>
      <c r="AZ606" s="65">
        <f t="shared" si="377"/>
        <v>0</v>
      </c>
      <c r="BA606" s="65">
        <f t="shared" si="378"/>
        <v>0</v>
      </c>
      <c r="BB606" s="70"/>
      <c r="BC606" s="65">
        <f t="shared" si="379"/>
        <v>0</v>
      </c>
      <c r="BD606" s="70">
        <v>0</v>
      </c>
      <c r="BE606" s="65">
        <f t="shared" si="380"/>
        <v>0</v>
      </c>
      <c r="BF606" s="70">
        <v>0</v>
      </c>
      <c r="BG606" s="65">
        <f t="shared" si="381"/>
        <v>0</v>
      </c>
      <c r="BH606" s="70">
        <v>0</v>
      </c>
      <c r="BI606" s="65">
        <f t="shared" si="382"/>
        <v>0</v>
      </c>
      <c r="BJ606" s="38">
        <f>IF(AND(BJ$7="○",$A606&gt;=BJ$8,$A606&lt;=BJ$9),IF(SUM(BJ$10:BJ605)-ROUNDDOWN($M606*BJ$5/100,0)&lt;-BJ$6,-BJ$6-SUM(BJ$10:BJ605),-ROUNDDOWN($M606*BJ$5/100,0)),0)</f>
        <v>0</v>
      </c>
      <c r="BK606" s="38">
        <f>IF(AND(BK$7="○",$A606&gt;=BK$8,$A606&lt;=BK$9),IF(SUM(BK$10:BK605)-ROUNDDOWN($L606*BK$5/100,0)&lt;-BK$6,-BK$6-SUM(BK$10:BK605),-ROUNDDOWN($L606*BK$5/100,0)),0)</f>
        <v>0</v>
      </c>
      <c r="BL606" s="38">
        <f>IF(AND(BL$7="○",$A606&gt;=BL$8,$A606&lt;=BL$9),IF(SUM(BL$10:BL605)-ROUNDDOWN($L606*BL$5/100,0)&lt;-BL$6,-BL$6-SUM(BL$10:BL605),-ROUNDDOWN($L606*BL$5/100,0)),0)</f>
        <v>0</v>
      </c>
      <c r="BM606" s="38">
        <f>IF(AND(BM$7="○",$A606&gt;=BM$8,$A606&lt;=BM$9),IF(SUM(BM$10:BM605)-ROUNDDOWN($M606*BM$5/100,0)&lt;-BM$6,-BM$6-SUM(BM$10:BM605),-ROUNDDOWN($M606*BM$5/100,0)),0)</f>
        <v>0</v>
      </c>
      <c r="BN606" s="38">
        <f>IF(AND(BN$7="○",$A606&gt;=BN$8,$A606&lt;=BN$9),IF(SUM(BN$10:BN605)-ROUNDDOWN($M606*BN$5/100,0)&lt;-BN$6,-BN$6-SUM(BN$10:BN605),-ROUNDDOWN($M606*BN$5/100,0)),0)</f>
        <v>0</v>
      </c>
      <c r="BO606" s="38">
        <f>IF(AND(BO$7="○",$A606&gt;=BO$8,$A606&lt;=BO$9),IF(SUM(BO$10:BO605)-ROUNDDOWN($M606*BO$5/100,0)&lt;-BO$6,-BO$6-SUM(BO$10:BO605),-ROUNDDOWN($M606*BO$5/100,0)),0)</f>
        <v>0</v>
      </c>
      <c r="BP606" s="38">
        <f>IF(AND(BP$7="○",$A606&gt;=BP$8,$A606&lt;=BP$9),IF(SUM(BP$10:BP605)-ROUNDDOWN($M606*BP$5/100,0)&lt;-BP$6,-BP$6-SUM(BP$10:BP605),-ROUNDDOWN($M606*BP$5/100,0)),0)</f>
        <v>0</v>
      </c>
      <c r="BQ606" s="38">
        <f>IF(AND(BQ$7="○",$A606&gt;=BQ$8,$A606&lt;=BQ$9),IF(SUM(BQ$10:BQ605)-ROUNDDOWN($L606*BQ$5/100,0)&lt;-BQ$6,-BQ$6-SUM(BQ$10:BQ605),-ROUNDDOWN($L606*BQ$5/100,0)),0)</f>
        <v>0</v>
      </c>
      <c r="BR606" s="38">
        <f>IF(AND(BR$7="○",$A606&gt;=BR$8,$A606&lt;=BR$9),IF(SUM(BR$10:BR605)-ROUNDDOWN($M606*BR$5/100,0)&lt;-BR$6,-BR$6-SUM(BR$10:BR605),-ROUNDDOWN($M606*BR$5/100,0)),0)</f>
        <v>0</v>
      </c>
      <c r="BS606" s="38">
        <f>IF(AND(BS$7="○",$A606&gt;=BS$8,$A606&lt;=BS$9),IF(SUM(BS$10:BS605)-ROUNDDOWN($M606*BS$5/100,0)&lt;-BS$6,-BS$6-SUM(BS$10:BS605),-ROUNDDOWN($M606*BS$5/100,0)),0)</f>
        <v>0</v>
      </c>
      <c r="BT606" s="38">
        <f>IF(AND(BT$7="○",$A606&gt;=BT$8,$A606&lt;=BT$9),IF(SUM(BT$10:BT605)-ROUNDDOWN($M606*BT$5/100,0)&lt;-BT$6,-BT$6-SUM(BT$10:BT605),-ROUNDDOWN($M606*BT$5/100,0)),0)</f>
        <v>0</v>
      </c>
      <c r="BU606" s="38">
        <f>IF(AND(BU$7="○",$A606&gt;=BU$8,$A606&lt;=BU$9),IF(SUM(BU$10:BU605)-ROUNDDOWN($M606*BU$5/100,0)&lt;-BU$6,-BU$6-SUM(BU$10:BU605),-ROUNDDOWN($M606*BU$5/100,0)),0)</f>
        <v>0</v>
      </c>
      <c r="BV606" s="38">
        <f>IF(AND(BV$7="○",$A606&gt;=BV$8,$A606&lt;=BV$9),IF(SUM(BV$10:BV605)-ROUNDDOWN($M606*BV$5/100,0)&lt;-BV$6,-BV$6-SUM(BV$10:BV605),-ROUNDDOWN($M606*BV$5/100,0)),0)</f>
        <v>0</v>
      </c>
      <c r="BW606" s="38">
        <f>IF(AND(BW$7="○",$A606&gt;=BW$8,$A606&lt;=BW$9),IF(SUM(BW$10:BW605)-ROUNDDOWN($M606*BW$5/100,0)&lt;-BW$6,-BW$6-SUM(BW$10:BW605),-ROUNDDOWN($M606*BW$5/100,0)),0)</f>
        <v>0</v>
      </c>
      <c r="BX606" s="38">
        <f>IF(AND(T606="○",$A606&gt;=BX$8,$A606&lt;=BX$9),IF(SUM(BX$10:BX605)-ROUNDDOWN($K606*BX$5/100,0)&lt;-BX$6,-BX$6-SUM(BX$10:BX605),-ROUNDDOWN($K606*BX$5/100,0)),0)</f>
        <v>0</v>
      </c>
      <c r="BY606" s="38">
        <f>IF(AND(U606="○",$A606&gt;=BY$8,$A606&lt;=BY$9),IF(SUM(BY$10:BY605)-ROUNDDOWN($K606*BY$5/100,0)&lt;-BY$6,-BY$6-SUM(BY$10:BY605),-ROUNDDOWN($K606*BY$5/100,0)),0)</f>
        <v>0</v>
      </c>
      <c r="BZ606" s="38">
        <f>IF(AND(V606="○",$A606&gt;=BZ$8,$A606&lt;=BZ$9),IF(SUM(BZ$10:BZ605)-ROUNDDOWN($K606*BZ$5/100,0)&lt;-BZ$6,-BZ$6-SUM(BZ$10:BZ605),-ROUNDDOWN($K606*BZ$5/100,0)),0)</f>
        <v>0</v>
      </c>
      <c r="CA606" s="38">
        <f>IF(AND(W606="○",$A606&gt;=CA$8,$A606&lt;=CA$9),IF(SUM(CA$10:CA605)-ROUNDDOWN($K606*CA$5/100,0)&lt;-CA$6,-CA$6-SUM(CA$10:CA605),-ROUNDDOWN($K606*CA$5/100,0)),0)</f>
        <v>0</v>
      </c>
      <c r="CB606" s="38"/>
      <c r="CC606" s="38"/>
      <c r="CD606" s="38"/>
      <c r="CE606" s="38"/>
      <c r="CF606" s="38"/>
      <c r="CG606" s="65">
        <f t="shared" si="383"/>
        <v>0</v>
      </c>
      <c r="CH606" s="71">
        <f t="shared" si="384"/>
        <v>0</v>
      </c>
      <c r="CI606" s="1">
        <f t="shared" si="391"/>
        <v>0</v>
      </c>
      <c r="CJ606" s="1"/>
      <c r="CK606" s="72"/>
      <c r="CL606" s="72"/>
      <c r="CM606" s="2"/>
      <c r="CN606" s="2"/>
      <c r="CO606" s="73">
        <f t="shared" si="392"/>
        <v>0</v>
      </c>
      <c r="CP606" s="5">
        <f t="shared" si="393"/>
        <v>0</v>
      </c>
      <c r="CQ606" s="1"/>
      <c r="CR606" s="1">
        <f t="shared" si="394"/>
        <v>0</v>
      </c>
      <c r="CS606" s="1"/>
      <c r="CT606" s="1" t="e">
        <f>INDEX([2]マスタ!$A:$A,MATCH(D606,[2]マスタ!$C:$C,0))</f>
        <v>#N/A</v>
      </c>
      <c r="CU606" s="1" t="str">
        <f t="shared" ca="1" si="395"/>
        <v>20260620_0-0</v>
      </c>
    </row>
    <row r="607" spans="1:99" x14ac:dyDescent="0.4">
      <c r="A607" s="61"/>
      <c r="B607" s="62"/>
      <c r="C607" s="62"/>
      <c r="D607" s="62"/>
      <c r="E607" s="63"/>
      <c r="F607" s="62"/>
      <c r="G607" s="62">
        <v>1</v>
      </c>
      <c r="H607" s="64">
        <f t="shared" si="385"/>
        <v>0</v>
      </c>
      <c r="I607" s="64"/>
      <c r="J607" s="64"/>
      <c r="K607" s="65">
        <f t="shared" si="396"/>
        <v>0</v>
      </c>
      <c r="L607" s="65">
        <f t="shared" si="387"/>
        <v>0</v>
      </c>
      <c r="M607" s="65">
        <f t="shared" si="388"/>
        <v>0</v>
      </c>
      <c r="N607" s="65">
        <f t="shared" si="389"/>
        <v>0</v>
      </c>
      <c r="O607" s="66" t="str">
        <f t="shared" si="9"/>
        <v>✕</v>
      </c>
      <c r="P607" s="67" t="str">
        <f t="shared" si="10"/>
        <v>○</v>
      </c>
      <c r="Q607" s="67" t="str">
        <f t="shared" si="397"/>
        <v>✕</v>
      </c>
      <c r="R607" s="67" t="str">
        <f t="shared" si="12"/>
        <v>✕</v>
      </c>
      <c r="S607" s="68">
        <v>0</v>
      </c>
      <c r="T607" s="69" t="s">
        <v>85</v>
      </c>
      <c r="U607" s="69" t="s">
        <v>85</v>
      </c>
      <c r="V607" s="69" t="s">
        <v>85</v>
      </c>
      <c r="W607" s="69" t="s">
        <v>85</v>
      </c>
      <c r="X607" s="69" t="s">
        <v>84</v>
      </c>
      <c r="Y607" s="69" t="s">
        <v>85</v>
      </c>
      <c r="Z607" s="69" t="s">
        <v>85</v>
      </c>
      <c r="AA607" s="69" t="s">
        <v>85</v>
      </c>
      <c r="AB607" s="69" t="s">
        <v>85</v>
      </c>
      <c r="AC607" s="69" t="s">
        <v>85</v>
      </c>
      <c r="AD607" s="38" t="str">
        <f>+IF(ISERROR(VLOOKUP($B607,AD$10:AD606,1,0)),IF(AND($N607&gt;=1000,$A607&gt;=AO$8,$A607&lt;=AO$9),$B607,""),"")</f>
        <v/>
      </c>
      <c r="AE607" s="38" t="str">
        <f>+IF(ISERROR(VLOOKUP($B607,AE$10:AE606,1,0)),IF(AND($N607&gt;=1000,$A607&gt;=AP$8,$A607&lt;=AP$9),$B607,""),"")</f>
        <v/>
      </c>
      <c r="AF607" s="38" t="str">
        <f>+IF(ISERROR(VLOOKUP($B607,AF$10:AF606,1,0)),IF(AND($N607&gt;=1000,$A607&gt;=AQ$8,$A607&lt;=AQ$9),$B607,""),"")</f>
        <v/>
      </c>
      <c r="AG607" s="38" t="str">
        <f>+IF(ISERROR(VLOOKUP($B607,AG$10:AG606,1,0)),IF(AND($N607&gt;=1000,$A607&gt;=AR$8,$A607&lt;=AR$9),$B607,""),"")</f>
        <v/>
      </c>
      <c r="AH607" s="38"/>
      <c r="AI607" s="70">
        <v>0</v>
      </c>
      <c r="AJ607" s="38">
        <f>IF(AND(AJ$7="○",$A607&gt;=AJ$8,$A607&lt;=AJ$9),IF(SUM(AJ$10:AJ606)-ROUNDDOWN($K607*AJ$5/100,0)&lt;-AJ$6,-AJ$6-SUM(AJ$10:AJ606),-ROUNDDOWN($K607*AJ$5/100,0)),0)</f>
        <v>0</v>
      </c>
      <c r="AK607" s="38">
        <f>IF(AND(AK$7="○",$A607&gt;=AK$8,$A607&lt;=AK$9),IF(SUM(AK$10:AK606)-ROUNDDOWN($L607*AK$5/100,0)&lt;-AK$6,-AK$6-SUM(AK$10:AK606),-ROUNDDOWN($L607*AK$5/100,0)),0)</f>
        <v>0</v>
      </c>
      <c r="AL607" s="38">
        <f>IF(AND(AL$7="○",$A607&gt;=AL$8,$A607&lt;=AL$9),IF(SUM(AL$10:AL606)-ROUNDDOWN($N607*AL$5/100,0)&lt;-AL$6,-AL$6-SUM(AL$10:AL606),-ROUNDDOWN($N607*AL$5/100,0)),0)</f>
        <v>0</v>
      </c>
      <c r="AM607" s="38">
        <f>IF(AND(AM$7="○",$A607&gt;=AM$8,$A607&lt;=AM$9),IF(SUM(AM$10:AM606)-ROUNDDOWN($L607*AM$5/100,0)&lt;-AM$6,-AM$6-SUM(AM$10:AM606),-ROUNDDOWN($L607*AM$5/100,0)),0)</f>
        <v>0</v>
      </c>
      <c r="AN607" s="38">
        <f>IF(AND(AN$7="○",$A607&gt;=AN$8,$A607&lt;=AN$9),IF(SUM(AN$10:AN606)-ROUNDDOWN($M607*AN$5/100,0)&lt;-AN$6,-AN$6-SUM(AN$10:AN606),-ROUNDDOWN($M607*AN$5/100,0)),0)</f>
        <v>0</v>
      </c>
      <c r="AO607" s="38">
        <f>IF(AND($A607&gt;=AO$8,$A607&lt;=AO$9),IF(SUM(AO$10:AO606)-ROUNDDOWN($K607*AO$5/100,0)&lt;-AO$6,-AO$6-SUM(AO$10:AO606),-ROUNDDOWN($K607*AO$5/100,0)),0)</f>
        <v>0</v>
      </c>
      <c r="AP607" s="38">
        <f>IF(AND($A607&gt;=AP$8,$A607&lt;=AP$9),IF(SUM(AP$10:AP606)-ROUNDDOWN($K607*AP$5/100,0)&lt;-AP$6,-AP$6-SUM(AP$10:AP606),-ROUNDDOWN($K607*AP$5/100,0)),0)</f>
        <v>0</v>
      </c>
      <c r="AQ607" s="38">
        <f>IF(AND($A607&gt;=AQ$8,$A607&lt;=AQ$9),IF(SUM(AQ$10:AQ606)-ROUNDDOWN($K607*AQ$5/100,0)&lt;-AQ$6,-AQ$6-SUM(AQ$10:AQ606),-ROUNDDOWN($K607*AQ$5/100,0)),0)</f>
        <v>0</v>
      </c>
      <c r="AR607" s="38">
        <f>IF(AND($A607&gt;=AR$8,$A607&lt;=AR$9),IF(SUM(AR$10:AR606)-ROUNDDOWN($K607*AR$5/100,0)&lt;-AR$6,-AR$6-SUM(AR$10:AR606),-ROUNDDOWN($K607*AR$5/100,0)),0)</f>
        <v>0</v>
      </c>
      <c r="AS607" s="38">
        <f>IF(SUMIFS(AS$10:AS606,$A$10:$A606,$A607)-ROUNDDOWN($K607*$S607/100,0)&lt;-$S607*1000,-$S607*1000-SUMIFS(AS$10:AS606,$A$10:$A606,$A607),-ROUNDDOWN($K607*$S607/100,0))</f>
        <v>0</v>
      </c>
      <c r="AT607" s="38">
        <f>IF(AND(X607="○",$A607&gt;=AT$8,$A607&lt;=AT$9,K607&gt;=3980),IF(SUM(AT$10:AT606)-ROUNDDOWN($K607*AT$5/100,0)&lt;-AT$6,-AT$6-SUM(AT$10:AT606),-ROUNDDOWN($K607*AT$5/100,0)),0)</f>
        <v>0</v>
      </c>
      <c r="AU607" s="38">
        <f>IF(O607="○",IF(SUM(AU$10:AU606)-ROUNDDOWN($K607*AU$5/100,0)&lt;-AU$6,-AU$6-SUM(AU$10:AU606),-ROUNDDOWN($K607*AU$5/100,0)),0)</f>
        <v>0</v>
      </c>
      <c r="AV607" s="38">
        <f>IF(P607="○",IF(SUM(AV$10:AV606)-ROUNDDOWN($K607*AV$5/100,0)&lt;-AV$6,-AV$6-SUM(AV$10:AV606),-ROUNDDOWN($K607*AV$5/100,0)),0)</f>
        <v>0</v>
      </c>
      <c r="AW607" s="38">
        <f>IF(Q607="○",IF(SUM(AW$10:AW606)-ROUNDDOWN($K607*AW$5/100,0)&lt;-AW$6,-AW$6-SUM(AW$10:AW606),-ROUNDDOWN($K607*AW$5/100,0)),0)</f>
        <v>0</v>
      </c>
      <c r="AX607" s="38">
        <f>IF(R607="○",IF(SUM(AX$10:AX606)-ROUNDDOWN($K607*AX$5/100,0)&lt;-AX$6,-AX$6-SUM(AX$10:AX606),-ROUNDDOWN($K607*AX$5/100,0)),0)</f>
        <v>0</v>
      </c>
      <c r="AY607" s="70">
        <v>0</v>
      </c>
      <c r="AZ607" s="65">
        <f t="shared" si="377"/>
        <v>0</v>
      </c>
      <c r="BA607" s="65">
        <f t="shared" si="378"/>
        <v>0</v>
      </c>
      <c r="BB607" s="70"/>
      <c r="BC607" s="65">
        <f t="shared" si="379"/>
        <v>0</v>
      </c>
      <c r="BD607" s="70">
        <v>0</v>
      </c>
      <c r="BE607" s="65">
        <f t="shared" si="380"/>
        <v>0</v>
      </c>
      <c r="BF607" s="70">
        <v>0</v>
      </c>
      <c r="BG607" s="65">
        <f t="shared" si="381"/>
        <v>0</v>
      </c>
      <c r="BH607" s="70">
        <v>0</v>
      </c>
      <c r="BI607" s="65">
        <f t="shared" si="382"/>
        <v>0</v>
      </c>
      <c r="BJ607" s="38">
        <f>IF(AND(BJ$7="○",$A607&gt;=BJ$8,$A607&lt;=BJ$9),IF(SUM(BJ$10:BJ606)-ROUNDDOWN($M607*BJ$5/100,0)&lt;-BJ$6,-BJ$6-SUM(BJ$10:BJ606),-ROUNDDOWN($M607*BJ$5/100,0)),0)</f>
        <v>0</v>
      </c>
      <c r="BK607" s="38">
        <f>IF(AND(BK$7="○",$A607&gt;=BK$8,$A607&lt;=BK$9),IF(SUM(BK$10:BK606)-ROUNDDOWN($L607*BK$5/100,0)&lt;-BK$6,-BK$6-SUM(BK$10:BK606),-ROUNDDOWN($L607*BK$5/100,0)),0)</f>
        <v>0</v>
      </c>
      <c r="BL607" s="38">
        <f>IF(AND(BL$7="○",$A607&gt;=BL$8,$A607&lt;=BL$9),IF(SUM(BL$10:BL606)-ROUNDDOWN($L607*BL$5/100,0)&lt;-BL$6,-BL$6-SUM(BL$10:BL606),-ROUNDDOWN($L607*BL$5/100,0)),0)</f>
        <v>0</v>
      </c>
      <c r="BM607" s="38">
        <f>IF(AND(BM$7="○",$A607&gt;=BM$8,$A607&lt;=BM$9),IF(SUM(BM$10:BM606)-ROUNDDOWN($M607*BM$5/100,0)&lt;-BM$6,-BM$6-SUM(BM$10:BM606),-ROUNDDOWN($M607*BM$5/100,0)),0)</f>
        <v>0</v>
      </c>
      <c r="BN607" s="38">
        <f>IF(AND(BN$7="○",$A607&gt;=BN$8,$A607&lt;=BN$9),IF(SUM(BN$10:BN606)-ROUNDDOWN($M607*BN$5/100,0)&lt;-BN$6,-BN$6-SUM(BN$10:BN606),-ROUNDDOWN($M607*BN$5/100,0)),0)</f>
        <v>0</v>
      </c>
      <c r="BO607" s="38">
        <f>IF(AND(BO$7="○",$A607&gt;=BO$8,$A607&lt;=BO$9),IF(SUM(BO$10:BO606)-ROUNDDOWN($M607*BO$5/100,0)&lt;-BO$6,-BO$6-SUM(BO$10:BO606),-ROUNDDOWN($M607*BO$5/100,0)),0)</f>
        <v>0</v>
      </c>
      <c r="BP607" s="38">
        <f>IF(AND(BP$7="○",$A607&gt;=BP$8,$A607&lt;=BP$9),IF(SUM(BP$10:BP606)-ROUNDDOWN($M607*BP$5/100,0)&lt;-BP$6,-BP$6-SUM(BP$10:BP606),-ROUNDDOWN($M607*BP$5/100,0)),0)</f>
        <v>0</v>
      </c>
      <c r="BQ607" s="38">
        <f>IF(AND(BQ$7="○",$A607&gt;=BQ$8,$A607&lt;=BQ$9),IF(SUM(BQ$10:BQ606)-ROUNDDOWN($L607*BQ$5/100,0)&lt;-BQ$6,-BQ$6-SUM(BQ$10:BQ606),-ROUNDDOWN($L607*BQ$5/100,0)),0)</f>
        <v>0</v>
      </c>
      <c r="BR607" s="38">
        <f>IF(AND(BR$7="○",$A607&gt;=BR$8,$A607&lt;=BR$9),IF(SUM(BR$10:BR606)-ROUNDDOWN($M607*BR$5/100,0)&lt;-BR$6,-BR$6-SUM(BR$10:BR606),-ROUNDDOWN($M607*BR$5/100,0)),0)</f>
        <v>0</v>
      </c>
      <c r="BS607" s="38">
        <f>IF(AND(BS$7="○",$A607&gt;=BS$8,$A607&lt;=BS$9),IF(SUM(BS$10:BS606)-ROUNDDOWN($M607*BS$5/100,0)&lt;-BS$6,-BS$6-SUM(BS$10:BS606),-ROUNDDOWN($M607*BS$5/100,0)),0)</f>
        <v>0</v>
      </c>
      <c r="BT607" s="38">
        <f>IF(AND(BT$7="○",$A607&gt;=BT$8,$A607&lt;=BT$9),IF(SUM(BT$10:BT606)-ROUNDDOWN($M607*BT$5/100,0)&lt;-BT$6,-BT$6-SUM(BT$10:BT606),-ROUNDDOWN($M607*BT$5/100,0)),0)</f>
        <v>0</v>
      </c>
      <c r="BU607" s="38">
        <f>IF(AND(BU$7="○",$A607&gt;=BU$8,$A607&lt;=BU$9),IF(SUM(BU$10:BU606)-ROUNDDOWN($M607*BU$5/100,0)&lt;-BU$6,-BU$6-SUM(BU$10:BU606),-ROUNDDOWN($M607*BU$5/100,0)),0)</f>
        <v>0</v>
      </c>
      <c r="BV607" s="38">
        <f>IF(AND(BV$7="○",$A607&gt;=BV$8,$A607&lt;=BV$9),IF(SUM(BV$10:BV606)-ROUNDDOWN($M607*BV$5/100,0)&lt;-BV$6,-BV$6-SUM(BV$10:BV606),-ROUNDDOWN($M607*BV$5/100,0)),0)</f>
        <v>0</v>
      </c>
      <c r="BW607" s="38">
        <f>IF(AND(BW$7="○",$A607&gt;=BW$8,$A607&lt;=BW$9),IF(SUM(BW$10:BW606)-ROUNDDOWN($M607*BW$5/100,0)&lt;-BW$6,-BW$6-SUM(BW$10:BW606),-ROUNDDOWN($M607*BW$5/100,0)),0)</f>
        <v>0</v>
      </c>
      <c r="BX607" s="38">
        <f>IF(AND(T607="○",$A607&gt;=BX$8,$A607&lt;=BX$9),IF(SUM(BX$10:BX606)-ROUNDDOWN($K607*BX$5/100,0)&lt;-BX$6,-BX$6-SUM(BX$10:BX606),-ROUNDDOWN($K607*BX$5/100,0)),0)</f>
        <v>0</v>
      </c>
      <c r="BY607" s="38">
        <f>IF(AND(U607="○",$A607&gt;=BY$8,$A607&lt;=BY$9),IF(SUM(BY$10:BY606)-ROUNDDOWN($K607*BY$5/100,0)&lt;-BY$6,-BY$6-SUM(BY$10:BY606),-ROUNDDOWN($K607*BY$5/100,0)),0)</f>
        <v>0</v>
      </c>
      <c r="BZ607" s="38">
        <f>IF(AND(V607="○",$A607&gt;=BZ$8,$A607&lt;=BZ$9),IF(SUM(BZ$10:BZ606)-ROUNDDOWN($K607*BZ$5/100,0)&lt;-BZ$6,-BZ$6-SUM(BZ$10:BZ606),-ROUNDDOWN($K607*BZ$5/100,0)),0)</f>
        <v>0</v>
      </c>
      <c r="CA607" s="38">
        <f>IF(AND(W607="○",$A607&gt;=CA$8,$A607&lt;=CA$9),IF(SUM(CA$10:CA606)-ROUNDDOWN($K607*CA$5/100,0)&lt;-CA$6,-CA$6-SUM(CA$10:CA606),-ROUNDDOWN($K607*CA$5/100,0)),0)</f>
        <v>0</v>
      </c>
      <c r="CB607" s="38"/>
      <c r="CC607" s="38"/>
      <c r="CD607" s="38"/>
      <c r="CE607" s="38"/>
      <c r="CF607" s="38"/>
      <c r="CG607" s="65">
        <f t="shared" si="383"/>
        <v>0</v>
      </c>
      <c r="CH607" s="71">
        <f t="shared" si="384"/>
        <v>0</v>
      </c>
      <c r="CI607" s="1">
        <f t="shared" si="391"/>
        <v>0</v>
      </c>
      <c r="CJ607" s="1"/>
      <c r="CK607" s="72"/>
      <c r="CL607" s="72"/>
      <c r="CM607" s="2"/>
      <c r="CN607" s="2"/>
      <c r="CO607" s="73">
        <f t="shared" si="392"/>
        <v>0</v>
      </c>
      <c r="CP607" s="5">
        <f t="shared" si="393"/>
        <v>0</v>
      </c>
      <c r="CQ607" s="1"/>
      <c r="CR607" s="1">
        <f t="shared" si="394"/>
        <v>0</v>
      </c>
      <c r="CS607" s="1"/>
      <c r="CT607" s="1" t="e">
        <f>INDEX([2]マスタ!$A:$A,MATCH(D607,[2]マスタ!$C:$C,0))</f>
        <v>#N/A</v>
      </c>
      <c r="CU607" s="1" t="str">
        <f t="shared" ca="1" si="395"/>
        <v>20260620_0-0</v>
      </c>
    </row>
    <row r="608" spans="1:99" x14ac:dyDescent="0.4">
      <c r="A608" s="61"/>
      <c r="B608" s="62"/>
      <c r="C608" s="62"/>
      <c r="D608" s="63"/>
      <c r="E608" s="63"/>
      <c r="F608" s="62"/>
      <c r="G608" s="62">
        <v>1</v>
      </c>
      <c r="H608" s="64">
        <f t="shared" si="385"/>
        <v>0</v>
      </c>
      <c r="I608" s="64"/>
      <c r="J608" s="64"/>
      <c r="K608" s="65">
        <f t="shared" si="396"/>
        <v>0</v>
      </c>
      <c r="L608" s="65">
        <f t="shared" si="387"/>
        <v>0</v>
      </c>
      <c r="M608" s="65">
        <f t="shared" si="388"/>
        <v>0</v>
      </c>
      <c r="N608" s="65">
        <f t="shared" si="389"/>
        <v>0</v>
      </c>
      <c r="O608" s="66" t="str">
        <f t="shared" si="9"/>
        <v>✕</v>
      </c>
      <c r="P608" s="67" t="str">
        <f t="shared" si="10"/>
        <v>○</v>
      </c>
      <c r="Q608" s="67" t="str">
        <f t="shared" si="397"/>
        <v>✕</v>
      </c>
      <c r="R608" s="67" t="str">
        <f t="shared" si="12"/>
        <v>✕</v>
      </c>
      <c r="S608" s="68">
        <v>0</v>
      </c>
      <c r="T608" s="69" t="s">
        <v>85</v>
      </c>
      <c r="U608" s="69" t="s">
        <v>85</v>
      </c>
      <c r="V608" s="69" t="s">
        <v>85</v>
      </c>
      <c r="W608" s="69" t="s">
        <v>85</v>
      </c>
      <c r="X608" s="69" t="s">
        <v>84</v>
      </c>
      <c r="Y608" s="69" t="s">
        <v>85</v>
      </c>
      <c r="Z608" s="69" t="s">
        <v>85</v>
      </c>
      <c r="AA608" s="69" t="s">
        <v>85</v>
      </c>
      <c r="AB608" s="69" t="s">
        <v>85</v>
      </c>
      <c r="AC608" s="69" t="s">
        <v>85</v>
      </c>
      <c r="AD608" s="38" t="str">
        <f>+IF(ISERROR(VLOOKUP($B608,AD$10:AD607,1,0)),IF(AND($N608&gt;=1000,$A608&gt;=AO$8,$A608&lt;=AO$9),$B608,""),"")</f>
        <v/>
      </c>
      <c r="AE608" s="38" t="str">
        <f>+IF(ISERROR(VLOOKUP($B608,AE$10:AE607,1,0)),IF(AND($N608&gt;=1000,$A608&gt;=AP$8,$A608&lt;=AP$9),$B608,""),"")</f>
        <v/>
      </c>
      <c r="AF608" s="38" t="str">
        <f>+IF(ISERROR(VLOOKUP($B608,AF$10:AF607,1,0)),IF(AND($N608&gt;=1000,$A608&gt;=AQ$8,$A608&lt;=AQ$9),$B608,""),"")</f>
        <v/>
      </c>
      <c r="AG608" s="38" t="str">
        <f>+IF(ISERROR(VLOOKUP($B608,AG$10:AG607,1,0)),IF(AND($N608&gt;=1000,$A608&gt;=AR$8,$A608&lt;=AR$9),$B608,""),"")</f>
        <v/>
      </c>
      <c r="AH608" s="38"/>
      <c r="AI608" s="70">
        <v>0</v>
      </c>
      <c r="AJ608" s="38">
        <f>IF(AND(AJ$7="○",$A608&gt;=AJ$8,$A608&lt;=AJ$9),IF(SUM(AJ$10:AJ607)-ROUNDDOWN($K608*AJ$5/100,0)&lt;-AJ$6,-AJ$6-SUM(AJ$10:AJ607),-ROUNDDOWN($K608*AJ$5/100,0)),0)</f>
        <v>0</v>
      </c>
      <c r="AK608" s="38">
        <f>IF(AND(AK$7="○",$A608&gt;=AK$8,$A608&lt;=AK$9),IF(SUM(AK$10:AK607)-ROUNDDOWN($L608*AK$5/100,0)&lt;-AK$6,-AK$6-SUM(AK$10:AK607),-ROUNDDOWN($L608*AK$5/100,0)),0)</f>
        <v>0</v>
      </c>
      <c r="AL608" s="38">
        <f>IF(AND(AL$7="○",$A608&gt;=AL$8,$A608&lt;=AL$9),IF(SUM(AL$10:AL607)-ROUNDDOWN($N608*AL$5/100,0)&lt;-AL$6,-AL$6-SUM(AL$10:AL607),-ROUNDDOWN($N608*AL$5/100,0)),0)</f>
        <v>0</v>
      </c>
      <c r="AM608" s="38">
        <f>IF(AND(AM$7="○",$A608&gt;=AM$8,$A608&lt;=AM$9),IF(SUM(AM$10:AM607)-ROUNDDOWN($L608*AM$5/100,0)&lt;-AM$6,-AM$6-SUM(AM$10:AM607),-ROUNDDOWN($L608*AM$5/100,0)),0)</f>
        <v>0</v>
      </c>
      <c r="AN608" s="38">
        <f>IF(AND(AN$7="○",$A608&gt;=AN$8,$A608&lt;=AN$9),IF(SUM(AN$10:AN607)-ROUNDDOWN($M608*AN$5/100,0)&lt;-AN$6,-AN$6-SUM(AN$10:AN607),-ROUNDDOWN($M608*AN$5/100,0)),0)</f>
        <v>0</v>
      </c>
      <c r="AO608" s="38">
        <f>IF(AND($A608&gt;=AO$8,$A608&lt;=AO$9),IF(SUM(AO$10:AO607)-ROUNDDOWN($K608*AO$5/100,0)&lt;-AO$6,-AO$6-SUM(AO$10:AO607),-ROUNDDOWN($K608*AO$5/100,0)),0)</f>
        <v>0</v>
      </c>
      <c r="AP608" s="38">
        <f>IF(AND($A608&gt;=AP$8,$A608&lt;=AP$9),IF(SUM(AP$10:AP607)-ROUNDDOWN($K608*AP$5/100,0)&lt;-AP$6,-AP$6-SUM(AP$10:AP607),-ROUNDDOWN($K608*AP$5/100,0)),0)</f>
        <v>0</v>
      </c>
      <c r="AQ608" s="38">
        <f>IF(AND($A608&gt;=AQ$8,$A608&lt;=AQ$9),IF(SUM(AQ$10:AQ607)-ROUNDDOWN($K608*AQ$5/100,0)&lt;-AQ$6,-AQ$6-SUM(AQ$10:AQ607),-ROUNDDOWN($K608*AQ$5/100,0)),0)</f>
        <v>0</v>
      </c>
      <c r="AR608" s="38">
        <f>IF(AND($A608&gt;=AR$8,$A608&lt;=AR$9),IF(SUM(AR$10:AR607)-ROUNDDOWN($K608*AR$5/100,0)&lt;-AR$6,-AR$6-SUM(AR$10:AR607),-ROUNDDOWN($K608*AR$5/100,0)),0)</f>
        <v>0</v>
      </c>
      <c r="AS608" s="38">
        <f>IF(SUMIFS(AS$10:AS607,$A$10:$A607,$A608)-ROUNDDOWN($K608*$S608/100,0)&lt;-$S608*1000,-$S608*1000-SUMIFS(AS$10:AS607,$A$10:$A607,$A608),-ROUNDDOWN($K608*$S608/100,0))</f>
        <v>0</v>
      </c>
      <c r="AT608" s="38">
        <f>IF(AND(X608="○",$A608&gt;=AT$8,$A608&lt;=AT$9,K608&gt;=3980),IF(SUM(AT$10:AT607)-ROUNDDOWN($K608*AT$5/100,0)&lt;-AT$6,-AT$6-SUM(AT$10:AT607),-ROUNDDOWN($K608*AT$5/100,0)),0)</f>
        <v>0</v>
      </c>
      <c r="AU608" s="38">
        <f>IF(O608="○",IF(SUM(AU$10:AU607)-ROUNDDOWN($K608*AU$5/100,0)&lt;-AU$6,-AU$6-SUM(AU$10:AU607),-ROUNDDOWN($K608*AU$5/100,0)),0)</f>
        <v>0</v>
      </c>
      <c r="AV608" s="38">
        <f>IF(P608="○",IF(SUM(AV$10:AV607)-ROUNDDOWN($K608*AV$5/100,0)&lt;-AV$6,-AV$6-SUM(AV$10:AV607),-ROUNDDOWN($K608*AV$5/100,0)),0)</f>
        <v>0</v>
      </c>
      <c r="AW608" s="38">
        <f>IF(Q608="○",IF(SUM(AW$10:AW607)-ROUNDDOWN($K608*AW$5/100,0)&lt;-AW$6,-AW$6-SUM(AW$10:AW607),-ROUNDDOWN($K608*AW$5/100,0)),0)</f>
        <v>0</v>
      </c>
      <c r="AX608" s="38">
        <f>IF(R608="○",IF(SUM(AX$10:AX607)-ROUNDDOWN($K608*AX$5/100,0)&lt;-AX$6,-AX$6-SUM(AX$10:AX607),-ROUNDDOWN($K608*AX$5/100,0)),0)</f>
        <v>0</v>
      </c>
      <c r="AY608" s="70">
        <v>0</v>
      </c>
      <c r="AZ608" s="65">
        <f t="shared" si="377"/>
        <v>0</v>
      </c>
      <c r="BA608" s="65">
        <f t="shared" si="378"/>
        <v>0</v>
      </c>
      <c r="BB608" s="70"/>
      <c r="BC608" s="65">
        <f t="shared" si="379"/>
        <v>0</v>
      </c>
      <c r="BD608" s="70">
        <v>0</v>
      </c>
      <c r="BE608" s="65">
        <f t="shared" si="380"/>
        <v>0</v>
      </c>
      <c r="BF608" s="70">
        <v>0</v>
      </c>
      <c r="BG608" s="65">
        <f t="shared" si="381"/>
        <v>0</v>
      </c>
      <c r="BH608" s="70">
        <v>0</v>
      </c>
      <c r="BI608" s="65">
        <f t="shared" si="382"/>
        <v>0</v>
      </c>
      <c r="BJ608" s="38">
        <f>IF(AND(BJ$7="○",$A608&gt;=BJ$8,$A608&lt;=BJ$9),IF(SUM(BJ$10:BJ607)-ROUNDDOWN($M608*BJ$5/100,0)&lt;-BJ$6,-BJ$6-SUM(BJ$10:BJ607),-ROUNDDOWN($M608*BJ$5/100,0)),0)</f>
        <v>0</v>
      </c>
      <c r="BK608" s="38">
        <f>IF(AND(BK$7="○",$A608&gt;=BK$8,$A608&lt;=BK$9),IF(SUM(BK$10:BK607)-ROUNDDOWN($L608*BK$5/100,0)&lt;-BK$6,-BK$6-SUM(BK$10:BK607),-ROUNDDOWN($L608*BK$5/100,0)),0)</f>
        <v>0</v>
      </c>
      <c r="BL608" s="38">
        <f>IF(AND(BL$7="○",$A608&gt;=BL$8,$A608&lt;=BL$9),IF(SUM(BL$10:BL607)-ROUNDDOWN($L608*BL$5/100,0)&lt;-BL$6,-BL$6-SUM(BL$10:BL607),-ROUNDDOWN($L608*BL$5/100,0)),0)</f>
        <v>0</v>
      </c>
      <c r="BM608" s="38">
        <f>IF(AND(BM$7="○",$A608&gt;=BM$8,$A608&lt;=BM$9),IF(SUM(BM$10:BM607)-ROUNDDOWN($M608*BM$5/100,0)&lt;-BM$6,-BM$6-SUM(BM$10:BM607),-ROUNDDOWN($M608*BM$5/100,0)),0)</f>
        <v>0</v>
      </c>
      <c r="BN608" s="38">
        <f>IF(AND(BN$7="○",$A608&gt;=BN$8,$A608&lt;=BN$9),IF(SUM(BN$10:BN607)-ROUNDDOWN($M608*BN$5/100,0)&lt;-BN$6,-BN$6-SUM(BN$10:BN607),-ROUNDDOWN($M608*BN$5/100,0)),0)</f>
        <v>0</v>
      </c>
      <c r="BO608" s="38">
        <f>IF(AND(BO$7="○",$A608&gt;=BO$8,$A608&lt;=BO$9),IF(SUM(BO$10:BO607)-ROUNDDOWN($M608*BO$5/100,0)&lt;-BO$6,-BO$6-SUM(BO$10:BO607),-ROUNDDOWN($M608*BO$5/100,0)),0)</f>
        <v>0</v>
      </c>
      <c r="BP608" s="38">
        <f>IF(AND(BP$7="○",$A608&gt;=BP$8,$A608&lt;=BP$9),IF(SUM(BP$10:BP607)-ROUNDDOWN($M608*BP$5/100,0)&lt;-BP$6,-BP$6-SUM(BP$10:BP607),-ROUNDDOWN($M608*BP$5/100,0)),0)</f>
        <v>0</v>
      </c>
      <c r="BQ608" s="38">
        <f>IF(AND(BQ$7="○",$A608&gt;=BQ$8,$A608&lt;=BQ$9),IF(SUM(BQ$10:BQ607)-ROUNDDOWN($L608*BQ$5/100,0)&lt;-BQ$6,-BQ$6-SUM(BQ$10:BQ607),-ROUNDDOWN($L608*BQ$5/100,0)),0)</f>
        <v>0</v>
      </c>
      <c r="BR608" s="38">
        <f>IF(AND(BR$7="○",$A608&gt;=BR$8,$A608&lt;=BR$9),IF(SUM(BR$10:BR607)-ROUNDDOWN($M608*BR$5/100,0)&lt;-BR$6,-BR$6-SUM(BR$10:BR607),-ROUNDDOWN($M608*BR$5/100,0)),0)</f>
        <v>0</v>
      </c>
      <c r="BS608" s="38">
        <f>IF(AND(BS$7="○",$A608&gt;=BS$8,$A608&lt;=BS$9),IF(SUM(BS$10:BS607)-ROUNDDOWN($M608*BS$5/100,0)&lt;-BS$6,-BS$6-SUM(BS$10:BS607),-ROUNDDOWN($M608*BS$5/100,0)),0)</f>
        <v>0</v>
      </c>
      <c r="BT608" s="38">
        <f>IF(AND(BT$7="○",$A608&gt;=BT$8,$A608&lt;=BT$9),IF(SUM(BT$10:BT607)-ROUNDDOWN($M608*BT$5/100,0)&lt;-BT$6,-BT$6-SUM(BT$10:BT607),-ROUNDDOWN($M608*BT$5/100,0)),0)</f>
        <v>0</v>
      </c>
      <c r="BU608" s="38">
        <f>IF(AND(BU$7="○",$A608&gt;=BU$8,$A608&lt;=BU$9),IF(SUM(BU$10:BU607)-ROUNDDOWN($M608*BU$5/100,0)&lt;-BU$6,-BU$6-SUM(BU$10:BU607),-ROUNDDOWN($M608*BU$5/100,0)),0)</f>
        <v>0</v>
      </c>
      <c r="BV608" s="38">
        <f>IF(AND(BV$7="○",$A608&gt;=BV$8,$A608&lt;=BV$9),IF(SUM(BV$10:BV607)-ROUNDDOWN($M608*BV$5/100,0)&lt;-BV$6,-BV$6-SUM(BV$10:BV607),-ROUNDDOWN($M608*BV$5/100,0)),0)</f>
        <v>0</v>
      </c>
      <c r="BW608" s="38">
        <f>IF(AND(BW$7="○",$A608&gt;=BW$8,$A608&lt;=BW$9),IF(SUM(BW$10:BW607)-ROUNDDOWN($M608*BW$5/100,0)&lt;-BW$6,-BW$6-SUM(BW$10:BW607),-ROUNDDOWN($M608*BW$5/100,0)),0)</f>
        <v>0</v>
      </c>
      <c r="BX608" s="38">
        <f>IF(AND(T608="○",$A608&gt;=BX$8,$A608&lt;=BX$9),IF(SUM(BX$10:BX607)-ROUNDDOWN($K608*BX$5/100,0)&lt;-BX$6,-BX$6-SUM(BX$10:BX607),-ROUNDDOWN($K608*BX$5/100,0)),0)</f>
        <v>0</v>
      </c>
      <c r="BY608" s="38">
        <f>IF(AND(U608="○",$A608&gt;=BY$8,$A608&lt;=BY$9),IF(SUM(BY$10:BY607)-ROUNDDOWN($K608*BY$5/100,0)&lt;-BY$6,-BY$6-SUM(BY$10:BY607),-ROUNDDOWN($K608*BY$5/100,0)),0)</f>
        <v>0</v>
      </c>
      <c r="BZ608" s="38">
        <f>IF(AND(V608="○",$A608&gt;=BZ$8,$A608&lt;=BZ$9),IF(SUM(BZ$10:BZ607)-ROUNDDOWN($K608*BZ$5/100,0)&lt;-BZ$6,-BZ$6-SUM(BZ$10:BZ607),-ROUNDDOWN($K608*BZ$5/100,0)),0)</f>
        <v>0</v>
      </c>
      <c r="CA608" s="38">
        <f>IF(AND(W608="○",$A608&gt;=CA$8,$A608&lt;=CA$9),IF(SUM(CA$10:CA607)-ROUNDDOWN($K608*CA$5/100,0)&lt;-CA$6,-CA$6-SUM(CA$10:CA607),-ROUNDDOWN($K608*CA$5/100,0)),0)</f>
        <v>0</v>
      </c>
      <c r="CB608" s="38"/>
      <c r="CC608" s="38"/>
      <c r="CD608" s="38"/>
      <c r="CE608" s="38"/>
      <c r="CF608" s="38"/>
      <c r="CG608" s="65">
        <f t="shared" si="383"/>
        <v>0</v>
      </c>
      <c r="CH608" s="71">
        <f t="shared" si="384"/>
        <v>0</v>
      </c>
      <c r="CI608" s="1">
        <f t="shared" si="391"/>
        <v>0</v>
      </c>
      <c r="CJ608" s="1"/>
      <c r="CK608" s="2"/>
      <c r="CL608" s="2"/>
      <c r="CM608" s="2"/>
      <c r="CN608" s="2"/>
      <c r="CO608" s="73">
        <f t="shared" si="392"/>
        <v>0</v>
      </c>
      <c r="CP608" s="5">
        <f t="shared" si="393"/>
        <v>0</v>
      </c>
      <c r="CQ608" s="1"/>
      <c r="CR608" s="1">
        <f t="shared" si="394"/>
        <v>0</v>
      </c>
      <c r="CS608" s="1"/>
      <c r="CT608" s="1" t="e">
        <f>INDEX([2]マスタ!$A:$A,MATCH(D608,[2]マスタ!$C:$C,0))</f>
        <v>#N/A</v>
      </c>
      <c r="CU608" s="1" t="str">
        <f t="shared" ca="1" si="395"/>
        <v>20260620_0-0</v>
      </c>
    </row>
    <row r="609" spans="1:99" x14ac:dyDescent="0.4">
      <c r="A609" s="61"/>
      <c r="B609" s="62"/>
      <c r="C609" s="62"/>
      <c r="D609" s="62"/>
      <c r="E609" s="63"/>
      <c r="F609" s="62"/>
      <c r="G609" s="62">
        <v>1</v>
      </c>
      <c r="H609" s="64">
        <f t="shared" si="385"/>
        <v>0</v>
      </c>
      <c r="I609" s="64"/>
      <c r="J609" s="78"/>
      <c r="K609" s="65">
        <f t="shared" si="396"/>
        <v>0</v>
      </c>
      <c r="L609" s="65">
        <f t="shared" si="387"/>
        <v>0</v>
      </c>
      <c r="M609" s="65">
        <f t="shared" si="388"/>
        <v>0</v>
      </c>
      <c r="N609" s="65">
        <f t="shared" si="389"/>
        <v>0</v>
      </c>
      <c r="O609" s="66" t="str">
        <f t="shared" si="9"/>
        <v>✕</v>
      </c>
      <c r="P609" s="67" t="str">
        <f t="shared" si="10"/>
        <v>○</v>
      </c>
      <c r="Q609" s="67" t="str">
        <f t="shared" si="397"/>
        <v>✕</v>
      </c>
      <c r="R609" s="67" t="str">
        <f t="shared" si="12"/>
        <v>✕</v>
      </c>
      <c r="S609" s="68">
        <v>0</v>
      </c>
      <c r="T609" s="69" t="s">
        <v>85</v>
      </c>
      <c r="U609" s="69" t="s">
        <v>85</v>
      </c>
      <c r="V609" s="69" t="s">
        <v>85</v>
      </c>
      <c r="W609" s="69" t="s">
        <v>85</v>
      </c>
      <c r="X609" s="69" t="s">
        <v>84</v>
      </c>
      <c r="Y609" s="69" t="s">
        <v>85</v>
      </c>
      <c r="Z609" s="69" t="s">
        <v>85</v>
      </c>
      <c r="AA609" s="69" t="s">
        <v>85</v>
      </c>
      <c r="AB609" s="69" t="s">
        <v>85</v>
      </c>
      <c r="AC609" s="69" t="s">
        <v>85</v>
      </c>
      <c r="AD609" s="38" t="str">
        <f>+IF(ISERROR(VLOOKUP($B609,AD$10:AD608,1,0)),IF(AND($N609&gt;=1000,$A609&gt;=AO$8,$A609&lt;=AO$9),$B609,""),"")</f>
        <v/>
      </c>
      <c r="AE609" s="38" t="str">
        <f>+IF(ISERROR(VLOOKUP($B609,AE$10:AE608,1,0)),IF(AND($N609&gt;=1000,$A609&gt;=AP$8,$A609&lt;=AP$9),$B609,""),"")</f>
        <v/>
      </c>
      <c r="AF609" s="38" t="str">
        <f>+IF(ISERROR(VLOOKUP($B609,AF$10:AF608,1,0)),IF(AND($N609&gt;=1000,$A609&gt;=AQ$8,$A609&lt;=AQ$9),$B609,""),"")</f>
        <v/>
      </c>
      <c r="AG609" s="38" t="str">
        <f>+IF(ISERROR(VLOOKUP($B609,AG$10:AG608,1,0)),IF(AND($N609&gt;=1000,$A609&gt;=AR$8,$A609&lt;=AR$9),$B609,""),"")</f>
        <v/>
      </c>
      <c r="AH609" s="38"/>
      <c r="AI609" s="70">
        <v>0</v>
      </c>
      <c r="AJ609" s="38">
        <f>IF(AND(AJ$7="○",$A609&gt;=AJ$8,$A609&lt;=AJ$9),IF(SUM(AJ$10:AJ608)-ROUNDDOWN($K609*AJ$5/100,0)&lt;-AJ$6,-AJ$6-SUM(AJ$10:AJ608),-ROUNDDOWN($K609*AJ$5/100,0)),0)</f>
        <v>0</v>
      </c>
      <c r="AK609" s="38">
        <f>IF(AND(AK$7="○",$A609&gt;=AK$8,$A609&lt;=AK$9),IF(SUM(AK$10:AK608)-ROUNDDOWN($L609*AK$5/100,0)&lt;-AK$6,-AK$6-SUM(AK$10:AK608),-ROUNDDOWN($L609*AK$5/100,0)),0)</f>
        <v>0</v>
      </c>
      <c r="AL609" s="38">
        <f>IF(AND(AL$7="○",$A609&gt;=AL$8,$A609&lt;=AL$9),IF(SUM(AL$10:AL608)-ROUNDDOWN($N609*AL$5/100,0)&lt;-AL$6,-AL$6-SUM(AL$10:AL608),-ROUNDDOWN($N609*AL$5/100,0)),0)</f>
        <v>0</v>
      </c>
      <c r="AM609" s="38">
        <f>IF(AND(AM$7="○",$A609&gt;=AM$8,$A609&lt;=AM$9),IF(SUM(AM$10:AM608)-ROUNDDOWN($L609*AM$5/100,0)&lt;-AM$6,-AM$6-SUM(AM$10:AM608),-ROUNDDOWN($L609*AM$5/100,0)),0)</f>
        <v>0</v>
      </c>
      <c r="AN609" s="38">
        <f>IF(AND(AN$7="○",$A609&gt;=AN$8,$A609&lt;=AN$9),IF(SUM(AN$10:AN608)-ROUNDDOWN($M609*AN$5/100,0)&lt;-AN$6,-AN$6-SUM(AN$10:AN608),-ROUNDDOWN($M609*AN$5/100,0)),0)</f>
        <v>0</v>
      </c>
      <c r="AO609" s="38">
        <f>IF(AND($A609&gt;=AO$8,$A609&lt;=AO$9),IF(SUM(AO$10:AO608)-ROUNDDOWN($K609*AO$5/100,0)&lt;-AO$6,-AO$6-SUM(AO$10:AO608),-ROUNDDOWN($K609*AO$5/100,0)),0)</f>
        <v>0</v>
      </c>
      <c r="AP609" s="38">
        <f>IF(AND($A609&gt;=AP$8,$A609&lt;=AP$9),IF(SUM(AP$10:AP608)-ROUNDDOWN($K609*AP$5/100,0)&lt;-AP$6,-AP$6-SUM(AP$10:AP608),-ROUNDDOWN($K609*AP$5/100,0)),0)</f>
        <v>0</v>
      </c>
      <c r="AQ609" s="38">
        <f>IF(AND($A609&gt;=AQ$8,$A609&lt;=AQ$9),IF(SUM(AQ$10:AQ608)-ROUNDDOWN($K609*AQ$5/100,0)&lt;-AQ$6,-AQ$6-SUM(AQ$10:AQ608),-ROUNDDOWN($K609*AQ$5/100,0)),0)</f>
        <v>0</v>
      </c>
      <c r="AR609" s="38">
        <f>IF(AND($A609&gt;=AR$8,$A609&lt;=AR$9),IF(SUM(AR$10:AR608)-ROUNDDOWN($K609*AR$5/100,0)&lt;-AR$6,-AR$6-SUM(AR$10:AR608),-ROUNDDOWN($K609*AR$5/100,0)),0)</f>
        <v>0</v>
      </c>
      <c r="AS609" s="38">
        <f>IF(SUMIFS(AS$10:AS608,$A$10:$A608,$A609)-ROUNDDOWN($K609*$S609/100,0)&lt;-$S609*1000,-$S609*1000-SUMIFS(AS$10:AS608,$A$10:$A608,$A609),-ROUNDDOWN($K609*$S609/100,0))</f>
        <v>0</v>
      </c>
      <c r="AT609" s="38">
        <f>IF(AND(X609="○",$A609&gt;=AT$8,$A609&lt;=AT$9,K609&gt;=3980),IF(SUM(AT$10:AT608)-ROUNDDOWN($K609*AT$5/100,0)&lt;-AT$6,-AT$6-SUM(AT$10:AT608),-ROUNDDOWN($K609*AT$5/100,0)),0)</f>
        <v>0</v>
      </c>
      <c r="AU609" s="38">
        <f>IF(O609="○",IF(SUM(AU$10:AU608)-ROUNDDOWN($K609*AU$5/100,0)&lt;-AU$6,-AU$6-SUM(AU$10:AU608),-ROUNDDOWN($K609*AU$5/100,0)),0)</f>
        <v>0</v>
      </c>
      <c r="AV609" s="38">
        <f>IF(P609="○",IF(SUM(AV$10:AV608)-ROUNDDOWN($K609*AV$5/100,0)&lt;-AV$6,-AV$6-SUM(AV$10:AV608),-ROUNDDOWN($K609*AV$5/100,0)),0)</f>
        <v>0</v>
      </c>
      <c r="AW609" s="38">
        <f>IF(Q609="○",IF(SUM(AW$10:AW608)-ROUNDDOWN($K609*AW$5/100,0)&lt;-AW$6,-AW$6-SUM(AW$10:AW608),-ROUNDDOWN($K609*AW$5/100,0)),0)</f>
        <v>0</v>
      </c>
      <c r="AX609" s="38">
        <f>IF(R609="○",IF(SUM(AX$10:AX608)-ROUNDDOWN($K609*AX$5/100,0)&lt;-AX$6,-AX$6-SUM(AX$10:AX608),-ROUNDDOWN($K609*AX$5/100,0)),0)</f>
        <v>0</v>
      </c>
      <c r="AY609" s="70">
        <v>0</v>
      </c>
      <c r="AZ609" s="65">
        <f t="shared" si="377"/>
        <v>0</v>
      </c>
      <c r="BA609" s="65">
        <f t="shared" si="378"/>
        <v>0</v>
      </c>
      <c r="BB609" s="70"/>
      <c r="BC609" s="65">
        <f t="shared" si="379"/>
        <v>0</v>
      </c>
      <c r="BD609" s="70">
        <v>0</v>
      </c>
      <c r="BE609" s="65">
        <f t="shared" si="380"/>
        <v>0</v>
      </c>
      <c r="BF609" s="70">
        <v>0</v>
      </c>
      <c r="BG609" s="65">
        <f t="shared" si="381"/>
        <v>0</v>
      </c>
      <c r="BH609" s="70">
        <v>0</v>
      </c>
      <c r="BI609" s="65">
        <f t="shared" si="382"/>
        <v>0</v>
      </c>
      <c r="BJ609" s="38">
        <f>IF(AND(BJ$7="○",$A609&gt;=BJ$8,$A609&lt;=BJ$9),IF(SUM(BJ$10:BJ608)-ROUNDDOWN($M609*BJ$5/100,0)&lt;-BJ$6,-BJ$6-SUM(BJ$10:BJ608),-ROUNDDOWN($M609*BJ$5/100,0)),0)</f>
        <v>0</v>
      </c>
      <c r="BK609" s="38">
        <f>IF(AND(BK$7="○",$A609&gt;=BK$8,$A609&lt;=BK$9),IF(SUM(BK$10:BK608)-ROUNDDOWN($L609*BK$5/100,0)&lt;-BK$6,-BK$6-SUM(BK$10:BK608),-ROUNDDOWN($L609*BK$5/100,0)),0)</f>
        <v>0</v>
      </c>
      <c r="BL609" s="38">
        <f>IF(AND(BL$7="○",$A609&gt;=BL$8,$A609&lt;=BL$9),IF(SUM(BL$10:BL608)-ROUNDDOWN($L609*BL$5/100,0)&lt;-BL$6,-BL$6-SUM(BL$10:BL608),-ROUNDDOWN($L609*BL$5/100,0)),0)</f>
        <v>0</v>
      </c>
      <c r="BM609" s="38">
        <f>IF(AND(BM$7="○",$A609&gt;=BM$8,$A609&lt;=BM$9),IF(SUM(BM$10:BM608)-ROUNDDOWN($M609*BM$5/100,0)&lt;-BM$6,-BM$6-SUM(BM$10:BM608),-ROUNDDOWN($M609*BM$5/100,0)),0)</f>
        <v>0</v>
      </c>
      <c r="BN609" s="38">
        <f>IF(AND(BN$7="○",$A609&gt;=BN$8,$A609&lt;=BN$9),IF(SUM(BN$10:BN608)-ROUNDDOWN($M609*BN$5/100,0)&lt;-BN$6,-BN$6-SUM(BN$10:BN608),-ROUNDDOWN($M609*BN$5/100,0)),0)</f>
        <v>0</v>
      </c>
      <c r="BO609" s="38">
        <f>IF(AND(BO$7="○",$A609&gt;=BO$8,$A609&lt;=BO$9),IF(SUM(BO$10:BO608)-ROUNDDOWN($M609*BO$5/100,0)&lt;-BO$6,-BO$6-SUM(BO$10:BO608),-ROUNDDOWN($M609*BO$5/100,0)),0)</f>
        <v>0</v>
      </c>
      <c r="BP609" s="38">
        <f>IF(AND(BP$7="○",$A609&gt;=BP$8,$A609&lt;=BP$9),IF(SUM(BP$10:BP608)-ROUNDDOWN($M609*BP$5/100,0)&lt;-BP$6,-BP$6-SUM(BP$10:BP608),-ROUNDDOWN($M609*BP$5/100,0)),0)</f>
        <v>0</v>
      </c>
      <c r="BQ609" s="38">
        <f>IF(AND(BQ$7="○",$A609&gt;=BQ$8,$A609&lt;=BQ$9),IF(SUM(BQ$10:BQ608)-ROUNDDOWN($L609*BQ$5/100,0)&lt;-BQ$6,-BQ$6-SUM(BQ$10:BQ608),-ROUNDDOWN($L609*BQ$5/100,0)),0)</f>
        <v>0</v>
      </c>
      <c r="BR609" s="38">
        <f>IF(AND(BR$7="○",$A609&gt;=BR$8,$A609&lt;=BR$9),IF(SUM(BR$10:BR608)-ROUNDDOWN($M609*BR$5/100,0)&lt;-BR$6,-BR$6-SUM(BR$10:BR608),-ROUNDDOWN($M609*BR$5/100,0)),0)</f>
        <v>0</v>
      </c>
      <c r="BS609" s="38">
        <f>IF(AND(BS$7="○",$A609&gt;=BS$8,$A609&lt;=BS$9),IF(SUM(BS$10:BS608)-ROUNDDOWN($M609*BS$5/100,0)&lt;-BS$6,-BS$6-SUM(BS$10:BS608),-ROUNDDOWN($M609*BS$5/100,0)),0)</f>
        <v>0</v>
      </c>
      <c r="BT609" s="38">
        <f>IF(AND(BT$7="○",$A609&gt;=BT$8,$A609&lt;=BT$9),IF(SUM(BT$10:BT608)-ROUNDDOWN($M609*BT$5/100,0)&lt;-BT$6,-BT$6-SUM(BT$10:BT608),-ROUNDDOWN($M609*BT$5/100,0)),0)</f>
        <v>0</v>
      </c>
      <c r="BU609" s="38">
        <f>IF(AND(BU$7="○",$A609&gt;=BU$8,$A609&lt;=BU$9),IF(SUM(BU$10:BU608)-ROUNDDOWN($M609*BU$5/100,0)&lt;-BU$6,-BU$6-SUM(BU$10:BU608),-ROUNDDOWN($M609*BU$5/100,0)),0)</f>
        <v>0</v>
      </c>
      <c r="BV609" s="38">
        <f>IF(AND(BV$7="○",$A609&gt;=BV$8,$A609&lt;=BV$9),IF(SUM(BV$10:BV608)-ROUNDDOWN($M609*BV$5/100,0)&lt;-BV$6,-BV$6-SUM(BV$10:BV608),-ROUNDDOWN($M609*BV$5/100,0)),0)</f>
        <v>0</v>
      </c>
      <c r="BW609" s="38">
        <f>IF(AND(BW$7="○",$A609&gt;=BW$8,$A609&lt;=BW$9),IF(SUM(BW$10:BW608)-ROUNDDOWN($M609*BW$5/100,0)&lt;-BW$6,-BW$6-SUM(BW$10:BW608),-ROUNDDOWN($M609*BW$5/100,0)),0)</f>
        <v>0</v>
      </c>
      <c r="BX609" s="38">
        <f>IF(AND(T609="○",$A609&gt;=BX$8,$A609&lt;=BX$9),IF(SUM(BX$10:BX608)-ROUNDDOWN($K609*BX$5/100,0)&lt;-BX$6,-BX$6-SUM(BX$10:BX608),-ROUNDDOWN($K609*BX$5/100,0)),0)</f>
        <v>0</v>
      </c>
      <c r="BY609" s="38">
        <f>IF(AND(U609="○",$A609&gt;=BY$8,$A609&lt;=BY$9),IF(SUM(BY$10:BY608)-ROUNDDOWN($K609*BY$5/100,0)&lt;-BY$6,-BY$6-SUM(BY$10:BY608),-ROUNDDOWN($K609*BY$5/100,0)),0)</f>
        <v>0</v>
      </c>
      <c r="BZ609" s="38">
        <f>IF(AND(V609="○",$A609&gt;=BZ$8,$A609&lt;=BZ$9),IF(SUM(BZ$10:BZ608)-ROUNDDOWN($K609*BZ$5/100,0)&lt;-BZ$6,-BZ$6-SUM(BZ$10:BZ608),-ROUNDDOWN($K609*BZ$5/100,0)),0)</f>
        <v>0</v>
      </c>
      <c r="CA609" s="38">
        <f>IF(AND(W609="○",$A609&gt;=CA$8,$A609&lt;=CA$9),IF(SUM(CA$10:CA608)-ROUNDDOWN($K609*CA$5/100,0)&lt;-CA$6,-CA$6-SUM(CA$10:CA608),-ROUNDDOWN($K609*CA$5/100,0)),0)</f>
        <v>0</v>
      </c>
      <c r="CB609" s="38"/>
      <c r="CC609" s="38"/>
      <c r="CD609" s="38"/>
      <c r="CE609" s="38"/>
      <c r="CF609" s="38"/>
      <c r="CG609" s="65">
        <f t="shared" si="383"/>
        <v>0</v>
      </c>
      <c r="CH609" s="71">
        <f t="shared" si="384"/>
        <v>0</v>
      </c>
      <c r="CI609" s="1">
        <f t="shared" si="391"/>
        <v>0</v>
      </c>
      <c r="CJ609" s="1"/>
      <c r="CK609" s="79"/>
      <c r="CL609" s="79"/>
      <c r="CM609" s="2"/>
      <c r="CN609" s="2"/>
      <c r="CO609" s="73">
        <f t="shared" si="392"/>
        <v>0</v>
      </c>
      <c r="CP609" s="5">
        <f t="shared" si="393"/>
        <v>0</v>
      </c>
      <c r="CQ609" s="1"/>
      <c r="CR609" s="1">
        <f t="shared" si="394"/>
        <v>0</v>
      </c>
      <c r="CS609" s="1"/>
      <c r="CT609" s="1" t="e">
        <f>INDEX([2]マスタ!$A:$A,MATCH(D609,[2]マスタ!$C:$C,0))</f>
        <v>#N/A</v>
      </c>
      <c r="CU609" s="1" t="str">
        <f t="shared" ca="1" si="395"/>
        <v>20260620_0-0</v>
      </c>
    </row>
    <row r="610" spans="1:99" x14ac:dyDescent="0.4">
      <c r="A610" s="61"/>
      <c r="B610" s="62"/>
      <c r="C610" s="62"/>
      <c r="D610" s="62"/>
      <c r="E610" s="63"/>
      <c r="F610" s="62"/>
      <c r="G610" s="62">
        <v>1</v>
      </c>
      <c r="H610" s="64">
        <f t="shared" si="385"/>
        <v>0</v>
      </c>
      <c r="I610" s="64"/>
      <c r="J610" s="64"/>
      <c r="K610" s="65">
        <f t="shared" si="396"/>
        <v>0</v>
      </c>
      <c r="L610" s="65">
        <f t="shared" si="387"/>
        <v>0</v>
      </c>
      <c r="M610" s="65">
        <f t="shared" si="388"/>
        <v>0</v>
      </c>
      <c r="N610" s="65">
        <f t="shared" si="389"/>
        <v>0</v>
      </c>
      <c r="O610" s="66" t="str">
        <f t="shared" si="9"/>
        <v>✕</v>
      </c>
      <c r="P610" s="67" t="str">
        <f t="shared" si="10"/>
        <v>○</v>
      </c>
      <c r="Q610" s="67" t="str">
        <f t="shared" si="397"/>
        <v>✕</v>
      </c>
      <c r="R610" s="67" t="str">
        <f t="shared" si="12"/>
        <v>✕</v>
      </c>
      <c r="S610" s="68">
        <v>0</v>
      </c>
      <c r="T610" s="69" t="s">
        <v>85</v>
      </c>
      <c r="U610" s="69" t="s">
        <v>85</v>
      </c>
      <c r="V610" s="69" t="s">
        <v>85</v>
      </c>
      <c r="W610" s="69" t="s">
        <v>85</v>
      </c>
      <c r="X610" s="69" t="s">
        <v>84</v>
      </c>
      <c r="Y610" s="69" t="s">
        <v>85</v>
      </c>
      <c r="Z610" s="69" t="s">
        <v>85</v>
      </c>
      <c r="AA610" s="69" t="s">
        <v>85</v>
      </c>
      <c r="AB610" s="69" t="s">
        <v>85</v>
      </c>
      <c r="AC610" s="69" t="s">
        <v>85</v>
      </c>
      <c r="AD610" s="38" t="str">
        <f>+IF(ISERROR(VLOOKUP($B610,AD$10:AD609,1,0)),IF(AND($N610&gt;=1000,$A610&gt;=AO$8,$A610&lt;=AO$9),$B610,""),"")</f>
        <v/>
      </c>
      <c r="AE610" s="38" t="str">
        <f>+IF(ISERROR(VLOOKUP($B610,AE$10:AE609,1,0)),IF(AND($N610&gt;=1000,$A610&gt;=AP$8,$A610&lt;=AP$9),$B610,""),"")</f>
        <v/>
      </c>
      <c r="AF610" s="38" t="str">
        <f>+IF(ISERROR(VLOOKUP($B610,AF$10:AF609,1,0)),IF(AND($N610&gt;=1000,$A610&gt;=AQ$8,$A610&lt;=AQ$9),$B610,""),"")</f>
        <v/>
      </c>
      <c r="AG610" s="38" t="str">
        <f>+IF(ISERROR(VLOOKUP($B610,AG$10:AG609,1,0)),IF(AND($N610&gt;=1000,$A610&gt;=AR$8,$A610&lt;=AR$9),$B610,""),"")</f>
        <v/>
      </c>
      <c r="AH610" s="38"/>
      <c r="AI610" s="70">
        <v>0</v>
      </c>
      <c r="AJ610" s="38">
        <f>IF(AND(AJ$7="○",$A610&gt;=AJ$8,$A610&lt;=AJ$9),IF(SUM(AJ$10:AJ609)-ROUNDDOWN($K610*AJ$5/100,0)&lt;-AJ$6,-AJ$6-SUM(AJ$10:AJ609),-ROUNDDOWN($K610*AJ$5/100,0)),0)</f>
        <v>0</v>
      </c>
      <c r="AK610" s="38">
        <f>IF(AND(AK$7="○",$A610&gt;=AK$8,$A610&lt;=AK$9),IF(SUM(AK$10:AK609)-ROUNDDOWN($L610*AK$5/100,0)&lt;-AK$6,-AK$6-SUM(AK$10:AK609),-ROUNDDOWN($L610*AK$5/100,0)),0)</f>
        <v>0</v>
      </c>
      <c r="AL610" s="38">
        <f>IF(AND(AL$7="○",$A610&gt;=AL$8,$A610&lt;=AL$9),IF(SUM(AL$10:AL609)-ROUNDDOWN($N610*AL$5/100,0)&lt;-AL$6,-AL$6-SUM(AL$10:AL609),-ROUNDDOWN($N610*AL$5/100,0)),0)</f>
        <v>0</v>
      </c>
      <c r="AM610" s="38">
        <f>IF(AND(AM$7="○",$A610&gt;=AM$8,$A610&lt;=AM$9),IF(SUM(AM$10:AM609)-ROUNDDOWN($L610*AM$5/100,0)&lt;-AM$6,-AM$6-SUM(AM$10:AM609),-ROUNDDOWN($L610*AM$5/100,0)),0)</f>
        <v>0</v>
      </c>
      <c r="AN610" s="38">
        <f>IF(AND(AN$7="○",$A610&gt;=AN$8,$A610&lt;=AN$9),IF(SUM(AN$10:AN609)-ROUNDDOWN($M610*AN$5/100,0)&lt;-AN$6,-AN$6-SUM(AN$10:AN609),-ROUNDDOWN($M610*AN$5/100,0)),0)</f>
        <v>0</v>
      </c>
      <c r="AO610" s="38">
        <f>IF(AND($A610&gt;=AO$8,$A610&lt;=AO$9),IF(SUM(AO$10:AO609)-ROUNDDOWN($K610*AO$5/100,0)&lt;-AO$6,-AO$6-SUM(AO$10:AO609),-ROUNDDOWN($K610*AO$5/100,0)),0)</f>
        <v>0</v>
      </c>
      <c r="AP610" s="38">
        <f>IF(AND($A610&gt;=AP$8,$A610&lt;=AP$9),IF(SUM(AP$10:AP609)-ROUNDDOWN($K610*AP$5/100,0)&lt;-AP$6,-AP$6-SUM(AP$10:AP609),-ROUNDDOWN($K610*AP$5/100,0)),0)</f>
        <v>0</v>
      </c>
      <c r="AQ610" s="38">
        <f>IF(AND($A610&gt;=AQ$8,$A610&lt;=AQ$9),IF(SUM(AQ$10:AQ609)-ROUNDDOWN($K610*AQ$5/100,0)&lt;-AQ$6,-AQ$6-SUM(AQ$10:AQ609),-ROUNDDOWN($K610*AQ$5/100,0)),0)</f>
        <v>0</v>
      </c>
      <c r="AR610" s="38">
        <f>IF(AND($A610&gt;=AR$8,$A610&lt;=AR$9),IF(SUM(AR$10:AR609)-ROUNDDOWN($K610*AR$5/100,0)&lt;-AR$6,-AR$6-SUM(AR$10:AR609),-ROUNDDOWN($K610*AR$5/100,0)),0)</f>
        <v>0</v>
      </c>
      <c r="AS610" s="38">
        <f>IF(SUMIFS(AS$10:AS609,$A$10:$A609,$A610)-ROUNDDOWN($K610*$S610/100,0)&lt;-$S610*1000,-$S610*1000-SUMIFS(AS$10:AS609,$A$10:$A609,$A610),-ROUNDDOWN($K610*$S610/100,0))</f>
        <v>0</v>
      </c>
      <c r="AT610" s="38">
        <f>IF(AND(X610="○",$A610&gt;=AT$8,$A610&lt;=AT$9,K610&gt;=3980),IF(SUM(AT$10:AT609)-ROUNDDOWN($K610*AT$5/100,0)&lt;-AT$6,-AT$6-SUM(AT$10:AT609),-ROUNDDOWN($K610*AT$5/100,0)),0)</f>
        <v>0</v>
      </c>
      <c r="AU610" s="38">
        <f>IF(O610="○",IF(SUM(AU$10:AU609)-ROUNDDOWN($K610*AU$5/100,0)&lt;-AU$6,-AU$6-SUM(AU$10:AU609),-ROUNDDOWN($K610*AU$5/100,0)),0)</f>
        <v>0</v>
      </c>
      <c r="AV610" s="38">
        <f>IF(P610="○",IF(SUM(AV$10:AV609)-ROUNDDOWN($K610*AV$5/100,0)&lt;-AV$6,-AV$6-SUM(AV$10:AV609),-ROUNDDOWN($K610*AV$5/100,0)),0)</f>
        <v>0</v>
      </c>
      <c r="AW610" s="38">
        <f>IF(Q610="○",IF(SUM(AW$10:AW609)-ROUNDDOWN($K610*AW$5/100,0)&lt;-AW$6,-AW$6-SUM(AW$10:AW609),-ROUNDDOWN($K610*AW$5/100,0)),0)</f>
        <v>0</v>
      </c>
      <c r="AX610" s="38">
        <f>IF(R610="○",IF(SUM(AX$10:AX609)-ROUNDDOWN($K610*AX$5/100,0)&lt;-AX$6,-AX$6-SUM(AX$10:AX609),-ROUNDDOWN($K610*AX$5/100,0)),0)</f>
        <v>0</v>
      </c>
      <c r="AY610" s="70">
        <v>0</v>
      </c>
      <c r="AZ610" s="65">
        <f t="shared" si="377"/>
        <v>0</v>
      </c>
      <c r="BA610" s="65">
        <f t="shared" si="378"/>
        <v>0</v>
      </c>
      <c r="BB610" s="70"/>
      <c r="BC610" s="65">
        <f t="shared" si="379"/>
        <v>0</v>
      </c>
      <c r="BD610" s="70">
        <v>0</v>
      </c>
      <c r="BE610" s="65">
        <f t="shared" si="380"/>
        <v>0</v>
      </c>
      <c r="BF610" s="70">
        <v>0</v>
      </c>
      <c r="BG610" s="65">
        <f t="shared" si="381"/>
        <v>0</v>
      </c>
      <c r="BH610" s="70">
        <v>0</v>
      </c>
      <c r="BI610" s="65">
        <f t="shared" si="382"/>
        <v>0</v>
      </c>
      <c r="BJ610" s="38">
        <f>IF(AND(BJ$7="○",$A610&gt;=BJ$8,$A610&lt;=BJ$9),IF(SUM(BJ$10:BJ609)-ROUNDDOWN($M610*BJ$5/100,0)&lt;-BJ$6,-BJ$6-SUM(BJ$10:BJ609),-ROUNDDOWN($M610*BJ$5/100,0)),0)</f>
        <v>0</v>
      </c>
      <c r="BK610" s="38">
        <f>IF(AND(BK$7="○",$A610&gt;=BK$8,$A610&lt;=BK$9),IF(SUM(BK$10:BK609)-ROUNDDOWN($L610*BK$5/100,0)&lt;-BK$6,-BK$6-SUM(BK$10:BK609),-ROUNDDOWN($L610*BK$5/100,0)),0)</f>
        <v>0</v>
      </c>
      <c r="BL610" s="38">
        <f>IF(AND(BL$7="○",$A610&gt;=BL$8,$A610&lt;=BL$9),IF(SUM(BL$10:BL609)-ROUNDDOWN($L610*BL$5/100,0)&lt;-BL$6,-BL$6-SUM(BL$10:BL609),-ROUNDDOWN($L610*BL$5/100,0)),0)</f>
        <v>0</v>
      </c>
      <c r="BM610" s="38">
        <f>IF(AND(BM$7="○",$A610&gt;=BM$8,$A610&lt;=BM$9),IF(SUM(BM$10:BM609)-ROUNDDOWN($M610*BM$5/100,0)&lt;-BM$6,-BM$6-SUM(BM$10:BM609),-ROUNDDOWN($M610*BM$5/100,0)),0)</f>
        <v>0</v>
      </c>
      <c r="BN610" s="38">
        <f>IF(AND(BN$7="○",$A610&gt;=BN$8,$A610&lt;=BN$9),IF(SUM(BN$10:BN609)-ROUNDDOWN($M610*BN$5/100,0)&lt;-BN$6,-BN$6-SUM(BN$10:BN609),-ROUNDDOWN($M610*BN$5/100,0)),0)</f>
        <v>0</v>
      </c>
      <c r="BO610" s="38">
        <f>IF(AND(BO$7="○",$A610&gt;=BO$8,$A610&lt;=BO$9),IF(SUM(BO$10:BO609)-ROUNDDOWN($M610*BO$5/100,0)&lt;-BO$6,-BO$6-SUM(BO$10:BO609),-ROUNDDOWN($M610*BO$5/100,0)),0)</f>
        <v>0</v>
      </c>
      <c r="BP610" s="38">
        <f>IF(AND(BP$7="○",$A610&gt;=BP$8,$A610&lt;=BP$9),IF(SUM(BP$10:BP609)-ROUNDDOWN($M610*BP$5/100,0)&lt;-BP$6,-BP$6-SUM(BP$10:BP609),-ROUNDDOWN($M610*BP$5/100,0)),0)</f>
        <v>0</v>
      </c>
      <c r="BQ610" s="38">
        <f>IF(AND(BQ$7="○",$A610&gt;=BQ$8,$A610&lt;=BQ$9),IF(SUM(BQ$10:BQ609)-ROUNDDOWN($L610*BQ$5/100,0)&lt;-BQ$6,-BQ$6-SUM(BQ$10:BQ609),-ROUNDDOWN($L610*BQ$5/100,0)),0)</f>
        <v>0</v>
      </c>
      <c r="BR610" s="38">
        <f>IF(AND(BR$7="○",$A610&gt;=BR$8,$A610&lt;=BR$9),IF(SUM(BR$10:BR609)-ROUNDDOWN($M610*BR$5/100,0)&lt;-BR$6,-BR$6-SUM(BR$10:BR609),-ROUNDDOWN($M610*BR$5/100,0)),0)</f>
        <v>0</v>
      </c>
      <c r="BS610" s="38">
        <f>IF(AND(BS$7="○",$A610&gt;=BS$8,$A610&lt;=BS$9),IF(SUM(BS$10:BS609)-ROUNDDOWN($M610*BS$5/100,0)&lt;-BS$6,-BS$6-SUM(BS$10:BS609),-ROUNDDOWN($M610*BS$5/100,0)),0)</f>
        <v>0</v>
      </c>
      <c r="BT610" s="38">
        <f>IF(AND(BT$7="○",$A610&gt;=BT$8,$A610&lt;=BT$9),IF(SUM(BT$10:BT609)-ROUNDDOWN($M610*BT$5/100,0)&lt;-BT$6,-BT$6-SUM(BT$10:BT609),-ROUNDDOWN($M610*BT$5/100,0)),0)</f>
        <v>0</v>
      </c>
      <c r="BU610" s="38">
        <f>IF(AND(BU$7="○",$A610&gt;=BU$8,$A610&lt;=BU$9),IF(SUM(BU$10:BU609)-ROUNDDOWN($M610*BU$5/100,0)&lt;-BU$6,-BU$6-SUM(BU$10:BU609),-ROUNDDOWN($M610*BU$5/100,0)),0)</f>
        <v>0</v>
      </c>
      <c r="BV610" s="38">
        <f>IF(AND(BV$7="○",$A610&gt;=BV$8,$A610&lt;=BV$9),IF(SUM(BV$10:BV609)-ROUNDDOWN($M610*BV$5/100,0)&lt;-BV$6,-BV$6-SUM(BV$10:BV609),-ROUNDDOWN($M610*BV$5/100,0)),0)</f>
        <v>0</v>
      </c>
      <c r="BW610" s="38">
        <f>IF(AND(BW$7="○",$A610&gt;=BW$8,$A610&lt;=BW$9),IF(SUM(BW$10:BW609)-ROUNDDOWN($M610*BW$5/100,0)&lt;-BW$6,-BW$6-SUM(BW$10:BW609),-ROUNDDOWN($M610*BW$5/100,0)),0)</f>
        <v>0</v>
      </c>
      <c r="BX610" s="38">
        <f>IF(AND(T610="○",$A610&gt;=BX$8,$A610&lt;=BX$9),IF(SUM(BX$10:BX609)-ROUNDDOWN($K610*BX$5/100,0)&lt;-BX$6,-BX$6-SUM(BX$10:BX609),-ROUNDDOWN($K610*BX$5/100,0)),0)</f>
        <v>0</v>
      </c>
      <c r="BY610" s="38">
        <f>IF(AND(U610="○",$A610&gt;=BY$8,$A610&lt;=BY$9),IF(SUM(BY$10:BY609)-ROUNDDOWN($K610*BY$5/100,0)&lt;-BY$6,-BY$6-SUM(BY$10:BY609),-ROUNDDOWN($K610*BY$5/100,0)),0)</f>
        <v>0</v>
      </c>
      <c r="BZ610" s="38">
        <f>IF(AND(V610="○",$A610&gt;=BZ$8,$A610&lt;=BZ$9),IF(SUM(BZ$10:BZ609)-ROUNDDOWN($K610*BZ$5/100,0)&lt;-BZ$6,-BZ$6-SUM(BZ$10:BZ609),-ROUNDDOWN($K610*BZ$5/100,0)),0)</f>
        <v>0</v>
      </c>
      <c r="CA610" s="38">
        <f>IF(AND(W610="○",$A610&gt;=CA$8,$A610&lt;=CA$9),IF(SUM(CA$10:CA609)-ROUNDDOWN($K610*CA$5/100,0)&lt;-CA$6,-CA$6-SUM(CA$10:CA609),-ROUNDDOWN($K610*CA$5/100,0)),0)</f>
        <v>0</v>
      </c>
      <c r="CB610" s="38"/>
      <c r="CC610" s="38"/>
      <c r="CD610" s="38"/>
      <c r="CE610" s="38"/>
      <c r="CF610" s="38"/>
      <c r="CG610" s="65">
        <f t="shared" si="383"/>
        <v>0</v>
      </c>
      <c r="CH610" s="71">
        <f t="shared" si="384"/>
        <v>0</v>
      </c>
      <c r="CI610" s="1">
        <f t="shared" si="391"/>
        <v>0</v>
      </c>
      <c r="CJ610" s="1"/>
      <c r="CK610" s="72"/>
      <c r="CL610" s="72"/>
      <c r="CM610" s="2"/>
      <c r="CN610" s="2"/>
      <c r="CO610" s="73">
        <f t="shared" si="392"/>
        <v>0</v>
      </c>
      <c r="CP610" s="5">
        <f t="shared" si="393"/>
        <v>0</v>
      </c>
      <c r="CQ610" s="1"/>
      <c r="CR610" s="1">
        <f t="shared" si="394"/>
        <v>0</v>
      </c>
      <c r="CS610" s="1"/>
      <c r="CT610" s="1" t="e">
        <f>INDEX([2]マスタ!$A:$A,MATCH(D610,[2]マスタ!$C:$C,0))</f>
        <v>#N/A</v>
      </c>
      <c r="CU610" s="1" t="str">
        <f t="shared" ca="1" si="395"/>
        <v>20260620_0-0</v>
      </c>
    </row>
    <row r="611" spans="1:99" x14ac:dyDescent="0.4">
      <c r="A611" s="61"/>
      <c r="B611" s="62"/>
      <c r="C611" s="62"/>
      <c r="D611" s="62"/>
      <c r="E611" s="63"/>
      <c r="F611" s="62"/>
      <c r="G611" s="62">
        <v>1</v>
      </c>
      <c r="H611" s="64">
        <f t="shared" si="385"/>
        <v>0</v>
      </c>
      <c r="I611" s="64"/>
      <c r="J611" s="64"/>
      <c r="K611" s="65">
        <f t="shared" si="396"/>
        <v>0</v>
      </c>
      <c r="L611" s="65">
        <f t="shared" si="387"/>
        <v>0</v>
      </c>
      <c r="M611" s="65">
        <f t="shared" si="388"/>
        <v>0</v>
      </c>
      <c r="N611" s="65">
        <f t="shared" si="389"/>
        <v>0</v>
      </c>
      <c r="O611" s="66" t="str">
        <f t="shared" si="9"/>
        <v>✕</v>
      </c>
      <c r="P611" s="67" t="str">
        <f t="shared" si="10"/>
        <v>○</v>
      </c>
      <c r="Q611" s="67" t="str">
        <f t="shared" si="397"/>
        <v>✕</v>
      </c>
      <c r="R611" s="67" t="str">
        <f t="shared" si="12"/>
        <v>✕</v>
      </c>
      <c r="S611" s="68">
        <v>0</v>
      </c>
      <c r="T611" s="69" t="s">
        <v>85</v>
      </c>
      <c r="U611" s="69" t="s">
        <v>85</v>
      </c>
      <c r="V611" s="69" t="s">
        <v>85</v>
      </c>
      <c r="W611" s="69" t="s">
        <v>85</v>
      </c>
      <c r="X611" s="69" t="s">
        <v>84</v>
      </c>
      <c r="Y611" s="69" t="s">
        <v>85</v>
      </c>
      <c r="Z611" s="69" t="s">
        <v>85</v>
      </c>
      <c r="AA611" s="69" t="s">
        <v>85</v>
      </c>
      <c r="AB611" s="69" t="s">
        <v>85</v>
      </c>
      <c r="AC611" s="69" t="s">
        <v>85</v>
      </c>
      <c r="AD611" s="38" t="str">
        <f>+IF(ISERROR(VLOOKUP($B611,AD$10:AD610,1,0)),IF(AND($N611&gt;=1000,$A611&gt;=AO$8,$A611&lt;=AO$9),$B611,""),"")</f>
        <v/>
      </c>
      <c r="AE611" s="38" t="str">
        <f>+IF(ISERROR(VLOOKUP($B611,AE$10:AE610,1,0)),IF(AND($N611&gt;=1000,$A611&gt;=AP$8,$A611&lt;=AP$9),$B611,""),"")</f>
        <v/>
      </c>
      <c r="AF611" s="38" t="str">
        <f>+IF(ISERROR(VLOOKUP($B611,AF$10:AF610,1,0)),IF(AND($N611&gt;=1000,$A611&gt;=AQ$8,$A611&lt;=AQ$9),$B611,""),"")</f>
        <v/>
      </c>
      <c r="AG611" s="38" t="str">
        <f>+IF(ISERROR(VLOOKUP($B611,AG$10:AG610,1,0)),IF(AND($N611&gt;=1000,$A611&gt;=AR$8,$A611&lt;=AR$9),$B611,""),"")</f>
        <v/>
      </c>
      <c r="AH611" s="38"/>
      <c r="AI611" s="70">
        <v>0</v>
      </c>
      <c r="AJ611" s="38">
        <f>IF(AND(AJ$7="○",$A611&gt;=AJ$8,$A611&lt;=AJ$9),IF(SUM(AJ$10:AJ610)-ROUNDDOWN($K611*AJ$5/100,0)&lt;-AJ$6,-AJ$6-SUM(AJ$10:AJ610),-ROUNDDOWN($K611*AJ$5/100,0)),0)</f>
        <v>0</v>
      </c>
      <c r="AK611" s="38">
        <f>IF(AND(AK$7="○",$A611&gt;=AK$8,$A611&lt;=AK$9),IF(SUM(AK$10:AK610)-ROUNDDOWN($L611*AK$5/100,0)&lt;-AK$6,-AK$6-SUM(AK$10:AK610),-ROUNDDOWN($L611*AK$5/100,0)),0)</f>
        <v>0</v>
      </c>
      <c r="AL611" s="38">
        <f>IF(AND(AL$7="○",$A611&gt;=AL$8,$A611&lt;=AL$9),IF(SUM(AL$10:AL610)-ROUNDDOWN($N611*AL$5/100,0)&lt;-AL$6,-AL$6-SUM(AL$10:AL610),-ROUNDDOWN($N611*AL$5/100,0)),0)</f>
        <v>0</v>
      </c>
      <c r="AM611" s="38">
        <f>IF(AND(AM$7="○",$A611&gt;=AM$8,$A611&lt;=AM$9),IF(SUM(AM$10:AM610)-ROUNDDOWN($L611*AM$5/100,0)&lt;-AM$6,-AM$6-SUM(AM$10:AM610),-ROUNDDOWN($L611*AM$5/100,0)),0)</f>
        <v>0</v>
      </c>
      <c r="AN611" s="38">
        <f>IF(AND(AN$7="○",$A611&gt;=AN$8,$A611&lt;=AN$9),IF(SUM(AN$10:AN610)-ROUNDDOWN($M611*AN$5/100,0)&lt;-AN$6,-AN$6-SUM(AN$10:AN610),-ROUNDDOWN($M611*AN$5/100,0)),0)</f>
        <v>0</v>
      </c>
      <c r="AO611" s="38">
        <f>IF(AND($A611&gt;=AO$8,$A611&lt;=AO$9),IF(SUM(AO$10:AO610)-ROUNDDOWN($K611*AO$5/100,0)&lt;-AO$6,-AO$6-SUM(AO$10:AO610),-ROUNDDOWN($K611*AO$5/100,0)),0)</f>
        <v>0</v>
      </c>
      <c r="AP611" s="38">
        <f>IF(AND($A611&gt;=AP$8,$A611&lt;=AP$9),IF(SUM(AP$10:AP610)-ROUNDDOWN($K611*AP$5/100,0)&lt;-AP$6,-AP$6-SUM(AP$10:AP610),-ROUNDDOWN($K611*AP$5/100,0)),0)</f>
        <v>0</v>
      </c>
      <c r="AQ611" s="38">
        <f>IF(AND($A611&gt;=AQ$8,$A611&lt;=AQ$9),IF(SUM(AQ$10:AQ610)-ROUNDDOWN($K611*AQ$5/100,0)&lt;-AQ$6,-AQ$6-SUM(AQ$10:AQ610),-ROUNDDOWN($K611*AQ$5/100,0)),0)</f>
        <v>0</v>
      </c>
      <c r="AR611" s="38">
        <f>IF(AND($A611&gt;=AR$8,$A611&lt;=AR$9),IF(SUM(AR$10:AR610)-ROUNDDOWN($K611*AR$5/100,0)&lt;-AR$6,-AR$6-SUM(AR$10:AR610),-ROUNDDOWN($K611*AR$5/100,0)),0)</f>
        <v>0</v>
      </c>
      <c r="AS611" s="38">
        <f>IF(SUMIFS(AS$10:AS610,$A$10:$A610,$A611)-ROUNDDOWN($K611*$S611/100,0)&lt;-$S611*1000,-$S611*1000-SUMIFS(AS$10:AS610,$A$10:$A610,$A611),-ROUNDDOWN($K611*$S611/100,0))</f>
        <v>0</v>
      </c>
      <c r="AT611" s="38">
        <f>IF(AND(X611="○",$A611&gt;=AT$8,$A611&lt;=AT$9,K611&gt;=3980),IF(SUM(AT$10:AT610)-ROUNDDOWN($K611*AT$5/100,0)&lt;-AT$6,-AT$6-SUM(AT$10:AT610),-ROUNDDOWN($K611*AT$5/100,0)),0)</f>
        <v>0</v>
      </c>
      <c r="AU611" s="38">
        <f>IF(O611="○",IF(SUM(AU$10:AU610)-ROUNDDOWN($K611*AU$5/100,0)&lt;-AU$6,-AU$6-SUM(AU$10:AU610),-ROUNDDOWN($K611*AU$5/100,0)),0)</f>
        <v>0</v>
      </c>
      <c r="AV611" s="38">
        <f>IF(P611="○",IF(SUM(AV$10:AV610)-ROUNDDOWN($K611*AV$5/100,0)&lt;-AV$6,-AV$6-SUM(AV$10:AV610),-ROUNDDOWN($K611*AV$5/100,0)),0)</f>
        <v>0</v>
      </c>
      <c r="AW611" s="38">
        <f>IF(Q611="○",IF(SUM(AW$10:AW610)-ROUNDDOWN($K611*AW$5/100,0)&lt;-AW$6,-AW$6-SUM(AW$10:AW610),-ROUNDDOWN($K611*AW$5/100,0)),0)</f>
        <v>0</v>
      </c>
      <c r="AX611" s="38">
        <f>IF(R611="○",IF(SUM(AX$10:AX610)-ROUNDDOWN($K611*AX$5/100,0)&lt;-AX$6,-AX$6-SUM(AX$10:AX610),-ROUNDDOWN($K611*AX$5/100,0)),0)</f>
        <v>0</v>
      </c>
      <c r="AY611" s="70">
        <v>0</v>
      </c>
      <c r="AZ611" s="65">
        <f t="shared" si="377"/>
        <v>0</v>
      </c>
      <c r="BA611" s="65">
        <f t="shared" si="378"/>
        <v>0</v>
      </c>
      <c r="BB611" s="70"/>
      <c r="BC611" s="65">
        <f t="shared" si="379"/>
        <v>0</v>
      </c>
      <c r="BD611" s="70">
        <v>0</v>
      </c>
      <c r="BE611" s="65">
        <f t="shared" si="380"/>
        <v>0</v>
      </c>
      <c r="BF611" s="70">
        <v>0</v>
      </c>
      <c r="BG611" s="65">
        <f t="shared" si="381"/>
        <v>0</v>
      </c>
      <c r="BH611" s="70">
        <v>0</v>
      </c>
      <c r="BI611" s="65">
        <f t="shared" si="382"/>
        <v>0</v>
      </c>
      <c r="BJ611" s="38">
        <f>IF(AND(BJ$7="○",$A611&gt;=BJ$8,$A611&lt;=BJ$9),IF(SUM(BJ$10:BJ610)-ROUNDDOWN($M611*BJ$5/100,0)&lt;-BJ$6,-BJ$6-SUM(BJ$10:BJ610),-ROUNDDOWN($M611*BJ$5/100,0)),0)</f>
        <v>0</v>
      </c>
      <c r="BK611" s="38">
        <f>IF(AND(BK$7="○",$A611&gt;=BK$8,$A611&lt;=BK$9),IF(SUM(BK$10:BK610)-ROUNDDOWN($L611*BK$5/100,0)&lt;-BK$6,-BK$6-SUM(BK$10:BK610),-ROUNDDOWN($L611*BK$5/100,0)),0)</f>
        <v>0</v>
      </c>
      <c r="BL611" s="38">
        <f>IF(AND(BL$7="○",$A611&gt;=BL$8,$A611&lt;=BL$9),IF(SUM(BL$10:BL610)-ROUNDDOWN($L611*BL$5/100,0)&lt;-BL$6,-BL$6-SUM(BL$10:BL610),-ROUNDDOWN($L611*BL$5/100,0)),0)</f>
        <v>0</v>
      </c>
      <c r="BM611" s="38">
        <f>IF(AND(BM$7="○",$A611&gt;=BM$8,$A611&lt;=BM$9),IF(SUM(BM$10:BM610)-ROUNDDOWN($M611*BM$5/100,0)&lt;-BM$6,-BM$6-SUM(BM$10:BM610),-ROUNDDOWN($M611*BM$5/100,0)),0)</f>
        <v>0</v>
      </c>
      <c r="BN611" s="38">
        <f>IF(AND(BN$7="○",$A611&gt;=BN$8,$A611&lt;=BN$9),IF(SUM(BN$10:BN610)-ROUNDDOWN($M611*BN$5/100,0)&lt;-BN$6,-BN$6-SUM(BN$10:BN610),-ROUNDDOWN($M611*BN$5/100,0)),0)</f>
        <v>0</v>
      </c>
      <c r="BO611" s="38">
        <f>IF(AND(BO$7="○",$A611&gt;=BO$8,$A611&lt;=BO$9),IF(SUM(BO$10:BO610)-ROUNDDOWN($M611*BO$5/100,0)&lt;-BO$6,-BO$6-SUM(BO$10:BO610),-ROUNDDOWN($M611*BO$5/100,0)),0)</f>
        <v>0</v>
      </c>
      <c r="BP611" s="38">
        <f>IF(AND(BP$7="○",$A611&gt;=BP$8,$A611&lt;=BP$9),IF(SUM(BP$10:BP610)-ROUNDDOWN($M611*BP$5/100,0)&lt;-BP$6,-BP$6-SUM(BP$10:BP610),-ROUNDDOWN($M611*BP$5/100,0)),0)</f>
        <v>0</v>
      </c>
      <c r="BQ611" s="38">
        <f>IF(AND(BQ$7="○",$A611&gt;=BQ$8,$A611&lt;=BQ$9),IF(SUM(BQ$10:BQ610)-ROUNDDOWN($L611*BQ$5/100,0)&lt;-BQ$6,-BQ$6-SUM(BQ$10:BQ610),-ROUNDDOWN($L611*BQ$5/100,0)),0)</f>
        <v>0</v>
      </c>
      <c r="BR611" s="38">
        <f>IF(AND(BR$7="○",$A611&gt;=BR$8,$A611&lt;=BR$9),IF(SUM(BR$10:BR610)-ROUNDDOWN($M611*BR$5/100,0)&lt;-BR$6,-BR$6-SUM(BR$10:BR610),-ROUNDDOWN($M611*BR$5/100,0)),0)</f>
        <v>0</v>
      </c>
      <c r="BS611" s="38">
        <f>IF(AND(BS$7="○",$A611&gt;=BS$8,$A611&lt;=BS$9),IF(SUM(BS$10:BS610)-ROUNDDOWN($M611*BS$5/100,0)&lt;-BS$6,-BS$6-SUM(BS$10:BS610),-ROUNDDOWN($M611*BS$5/100,0)),0)</f>
        <v>0</v>
      </c>
      <c r="BT611" s="38">
        <f>IF(AND(BT$7="○",$A611&gt;=BT$8,$A611&lt;=BT$9),IF(SUM(BT$10:BT610)-ROUNDDOWN($M611*BT$5/100,0)&lt;-BT$6,-BT$6-SUM(BT$10:BT610),-ROUNDDOWN($M611*BT$5/100,0)),0)</f>
        <v>0</v>
      </c>
      <c r="BU611" s="38">
        <f>IF(AND(BU$7="○",$A611&gt;=BU$8,$A611&lt;=BU$9),IF(SUM(BU$10:BU610)-ROUNDDOWN($M611*BU$5/100,0)&lt;-BU$6,-BU$6-SUM(BU$10:BU610),-ROUNDDOWN($M611*BU$5/100,0)),0)</f>
        <v>0</v>
      </c>
      <c r="BV611" s="38">
        <f>IF(AND(BV$7="○",$A611&gt;=BV$8,$A611&lt;=BV$9),IF(SUM(BV$10:BV610)-ROUNDDOWN($M611*BV$5/100,0)&lt;-BV$6,-BV$6-SUM(BV$10:BV610),-ROUNDDOWN($M611*BV$5/100,0)),0)</f>
        <v>0</v>
      </c>
      <c r="BW611" s="38">
        <f>IF(AND(BW$7="○",$A611&gt;=BW$8,$A611&lt;=BW$9),IF(SUM(BW$10:BW610)-ROUNDDOWN($M611*BW$5/100,0)&lt;-BW$6,-BW$6-SUM(BW$10:BW610),-ROUNDDOWN($M611*BW$5/100,0)),0)</f>
        <v>0</v>
      </c>
      <c r="BX611" s="38">
        <f>IF(AND(T611="○",$A611&gt;=BX$8,$A611&lt;=BX$9),IF(SUM(BX$10:BX610)-ROUNDDOWN($K611*BX$5/100,0)&lt;-BX$6,-BX$6-SUM(BX$10:BX610),-ROUNDDOWN($K611*BX$5/100,0)),0)</f>
        <v>0</v>
      </c>
      <c r="BY611" s="38">
        <f>IF(AND(U611="○",$A611&gt;=BY$8,$A611&lt;=BY$9),IF(SUM(BY$10:BY610)-ROUNDDOWN($K611*BY$5/100,0)&lt;-BY$6,-BY$6-SUM(BY$10:BY610),-ROUNDDOWN($K611*BY$5/100,0)),0)</f>
        <v>0</v>
      </c>
      <c r="BZ611" s="38">
        <f>IF(AND(V611="○",$A611&gt;=BZ$8,$A611&lt;=BZ$9),IF(SUM(BZ$10:BZ610)-ROUNDDOWN($K611*BZ$5/100,0)&lt;-BZ$6,-BZ$6-SUM(BZ$10:BZ610),-ROUNDDOWN($K611*BZ$5/100,0)),0)</f>
        <v>0</v>
      </c>
      <c r="CA611" s="38">
        <f>IF(AND(W611="○",$A611&gt;=CA$8,$A611&lt;=CA$9),IF(SUM(CA$10:CA610)-ROUNDDOWN($K611*CA$5/100,0)&lt;-CA$6,-CA$6-SUM(CA$10:CA610),-ROUNDDOWN($K611*CA$5/100,0)),0)</f>
        <v>0</v>
      </c>
      <c r="CB611" s="38"/>
      <c r="CC611" s="38"/>
      <c r="CD611" s="38"/>
      <c r="CE611" s="38"/>
      <c r="CF611" s="38"/>
      <c r="CG611" s="65">
        <f t="shared" si="383"/>
        <v>0</v>
      </c>
      <c r="CH611" s="71">
        <f t="shared" si="384"/>
        <v>0</v>
      </c>
      <c r="CI611" s="1">
        <f t="shared" si="391"/>
        <v>0</v>
      </c>
      <c r="CJ611" s="1"/>
      <c r="CK611" s="2"/>
      <c r="CL611" s="2"/>
      <c r="CM611" s="2"/>
      <c r="CN611" s="2"/>
      <c r="CO611" s="73">
        <f t="shared" si="392"/>
        <v>0</v>
      </c>
      <c r="CP611" s="5">
        <f t="shared" si="393"/>
        <v>0</v>
      </c>
      <c r="CQ611" s="1"/>
      <c r="CR611" s="1">
        <f t="shared" si="394"/>
        <v>0</v>
      </c>
      <c r="CS611" s="1"/>
      <c r="CT611" s="1" t="e">
        <f>INDEX([2]マスタ!$A:$A,MATCH(D611,[2]マスタ!$C:$C,0))</f>
        <v>#N/A</v>
      </c>
      <c r="CU611" s="1" t="str">
        <f t="shared" ca="1" si="395"/>
        <v>20260620_0-0</v>
      </c>
    </row>
    <row r="612" spans="1:99" x14ac:dyDescent="0.4">
      <c r="A612" s="61"/>
      <c r="B612" s="62"/>
      <c r="C612" s="62"/>
      <c r="D612" s="62"/>
      <c r="E612" s="63"/>
      <c r="F612" s="62"/>
      <c r="G612" s="62">
        <v>1</v>
      </c>
      <c r="H612" s="64">
        <f t="shared" si="385"/>
        <v>0</v>
      </c>
      <c r="I612" s="64"/>
      <c r="J612" s="78"/>
      <c r="K612" s="65">
        <f t="shared" si="396"/>
        <v>0</v>
      </c>
      <c r="L612" s="65">
        <f t="shared" si="387"/>
        <v>0</v>
      </c>
      <c r="M612" s="65">
        <f t="shared" si="388"/>
        <v>0</v>
      </c>
      <c r="N612" s="65">
        <f t="shared" si="389"/>
        <v>0</v>
      </c>
      <c r="O612" s="66" t="str">
        <f t="shared" si="9"/>
        <v>✕</v>
      </c>
      <c r="P612" s="67" t="str">
        <f t="shared" si="10"/>
        <v>○</v>
      </c>
      <c r="Q612" s="67" t="str">
        <f t="shared" si="397"/>
        <v>✕</v>
      </c>
      <c r="R612" s="67" t="str">
        <f t="shared" si="12"/>
        <v>✕</v>
      </c>
      <c r="S612" s="68">
        <v>0</v>
      </c>
      <c r="T612" s="69" t="s">
        <v>85</v>
      </c>
      <c r="U612" s="69" t="s">
        <v>85</v>
      </c>
      <c r="V612" s="69" t="s">
        <v>85</v>
      </c>
      <c r="W612" s="69" t="s">
        <v>85</v>
      </c>
      <c r="X612" s="69" t="s">
        <v>84</v>
      </c>
      <c r="Y612" s="69" t="s">
        <v>85</v>
      </c>
      <c r="Z612" s="69" t="s">
        <v>85</v>
      </c>
      <c r="AA612" s="69" t="s">
        <v>85</v>
      </c>
      <c r="AB612" s="69" t="s">
        <v>85</v>
      </c>
      <c r="AC612" s="69" t="s">
        <v>85</v>
      </c>
      <c r="AD612" s="38" t="str">
        <f>+IF(ISERROR(VLOOKUP($B612,AD$10:AD611,1,0)),IF(AND($N612&gt;=1000,$A612&gt;=AO$8,$A612&lt;=AO$9),$B612,""),"")</f>
        <v/>
      </c>
      <c r="AE612" s="38" t="str">
        <f>+IF(ISERROR(VLOOKUP($B612,AE$10:AE611,1,0)),IF(AND($N612&gt;=1000,$A612&gt;=AP$8,$A612&lt;=AP$9),$B612,""),"")</f>
        <v/>
      </c>
      <c r="AF612" s="38" t="str">
        <f>+IF(ISERROR(VLOOKUP($B612,AF$10:AF611,1,0)),IF(AND($N612&gt;=1000,$A612&gt;=AQ$8,$A612&lt;=AQ$9),$B612,""),"")</f>
        <v/>
      </c>
      <c r="AG612" s="38" t="str">
        <f>+IF(ISERROR(VLOOKUP($B612,AG$10:AG611,1,0)),IF(AND($N612&gt;=1000,$A612&gt;=AR$8,$A612&lt;=AR$9),$B612,""),"")</f>
        <v/>
      </c>
      <c r="AH612" s="38"/>
      <c r="AI612" s="70">
        <v>0</v>
      </c>
      <c r="AJ612" s="38">
        <f>IF(AND(AJ$7="○",$A612&gt;=AJ$8,$A612&lt;=AJ$9),IF(SUM(AJ$10:AJ611)-ROUNDDOWN($K612*AJ$5/100,0)&lt;-AJ$6,-AJ$6-SUM(AJ$10:AJ611),-ROUNDDOWN($K612*AJ$5/100,0)),0)</f>
        <v>0</v>
      </c>
      <c r="AK612" s="38">
        <f>IF(AND(AK$7="○",$A612&gt;=AK$8,$A612&lt;=AK$9),IF(SUM(AK$10:AK611)-ROUNDDOWN($L612*AK$5/100,0)&lt;-AK$6,-AK$6-SUM(AK$10:AK611),-ROUNDDOWN($L612*AK$5/100,0)),0)</f>
        <v>0</v>
      </c>
      <c r="AL612" s="38">
        <f>IF(AND(AL$7="○",$A612&gt;=AL$8,$A612&lt;=AL$9),IF(SUM(AL$10:AL611)-ROUNDDOWN($N612*AL$5/100,0)&lt;-AL$6,-AL$6-SUM(AL$10:AL611),-ROUNDDOWN($N612*AL$5/100,0)),0)</f>
        <v>0</v>
      </c>
      <c r="AM612" s="38">
        <f>IF(AND(AM$7="○",$A612&gt;=AM$8,$A612&lt;=AM$9),IF(SUM(AM$10:AM611)-ROUNDDOWN($L612*AM$5/100,0)&lt;-AM$6,-AM$6-SUM(AM$10:AM611),-ROUNDDOWN($L612*AM$5/100,0)),0)</f>
        <v>0</v>
      </c>
      <c r="AN612" s="38">
        <f>IF(AND(AN$7="○",$A612&gt;=AN$8,$A612&lt;=AN$9),IF(SUM(AN$10:AN611)-ROUNDDOWN($M612*AN$5/100,0)&lt;-AN$6,-AN$6-SUM(AN$10:AN611),-ROUNDDOWN($M612*AN$5/100,0)),0)</f>
        <v>0</v>
      </c>
      <c r="AO612" s="38">
        <f>IF(AND($A612&gt;=AO$8,$A612&lt;=AO$9),IF(SUM(AO$10:AO611)-ROUNDDOWN($K612*AO$5/100,0)&lt;-AO$6,-AO$6-SUM(AO$10:AO611),-ROUNDDOWN($K612*AO$5/100,0)),0)</f>
        <v>0</v>
      </c>
      <c r="AP612" s="38">
        <f>IF(AND($A612&gt;=AP$8,$A612&lt;=AP$9),IF(SUM(AP$10:AP611)-ROUNDDOWN($K612*AP$5/100,0)&lt;-AP$6,-AP$6-SUM(AP$10:AP611),-ROUNDDOWN($K612*AP$5/100,0)),0)</f>
        <v>0</v>
      </c>
      <c r="AQ612" s="38">
        <f>IF(AND($A612&gt;=AQ$8,$A612&lt;=AQ$9),IF(SUM(AQ$10:AQ611)-ROUNDDOWN($K612*AQ$5/100,0)&lt;-AQ$6,-AQ$6-SUM(AQ$10:AQ611),-ROUNDDOWN($K612*AQ$5/100,0)),0)</f>
        <v>0</v>
      </c>
      <c r="AR612" s="38">
        <f>IF(AND($A612&gt;=AR$8,$A612&lt;=AR$9),IF(SUM(AR$10:AR611)-ROUNDDOWN($K612*AR$5/100,0)&lt;-AR$6,-AR$6-SUM(AR$10:AR611),-ROUNDDOWN($K612*AR$5/100,0)),0)</f>
        <v>0</v>
      </c>
      <c r="AS612" s="38">
        <f>IF(SUMIFS(AS$10:AS611,$A$10:$A611,$A612)-ROUNDDOWN($K612*$S612/100,0)&lt;-$S612*1000,-$S612*1000-SUMIFS(AS$10:AS611,$A$10:$A611,$A612),-ROUNDDOWN($K612*$S612/100,0))</f>
        <v>0</v>
      </c>
      <c r="AT612" s="38">
        <f>IF(AND(X612="○",$A612&gt;=AT$8,$A612&lt;=AT$9,K612&gt;=3980),IF(SUM(AT$10:AT611)-ROUNDDOWN($K612*AT$5/100,0)&lt;-AT$6,-AT$6-SUM(AT$10:AT611),-ROUNDDOWN($K612*AT$5/100,0)),0)</f>
        <v>0</v>
      </c>
      <c r="AU612" s="38">
        <f>IF(O612="○",IF(SUM(AU$10:AU611)-ROUNDDOWN($K612*AU$5/100,0)&lt;-AU$6,-AU$6-SUM(AU$10:AU611),-ROUNDDOWN($K612*AU$5/100,0)),0)</f>
        <v>0</v>
      </c>
      <c r="AV612" s="38">
        <f>IF(P612="○",IF(SUM(AV$10:AV611)-ROUNDDOWN($K612*AV$5/100,0)&lt;-AV$6,-AV$6-SUM(AV$10:AV611),-ROUNDDOWN($K612*AV$5/100,0)),0)</f>
        <v>0</v>
      </c>
      <c r="AW612" s="38">
        <f>IF(Q612="○",IF(SUM(AW$10:AW611)-ROUNDDOWN($K612*AW$5/100,0)&lt;-AW$6,-AW$6-SUM(AW$10:AW611),-ROUNDDOWN($K612*AW$5/100,0)),0)</f>
        <v>0</v>
      </c>
      <c r="AX612" s="38">
        <f>IF(R612="○",IF(SUM(AX$10:AX611)-ROUNDDOWN($K612*AX$5/100,0)&lt;-AX$6,-AX$6-SUM(AX$10:AX611),-ROUNDDOWN($K612*AX$5/100,0)),0)</f>
        <v>0</v>
      </c>
      <c r="AY612" s="70">
        <v>0</v>
      </c>
      <c r="AZ612" s="65">
        <f t="shared" si="377"/>
        <v>0</v>
      </c>
      <c r="BA612" s="65">
        <f t="shared" si="378"/>
        <v>0</v>
      </c>
      <c r="BB612" s="70"/>
      <c r="BC612" s="65">
        <f t="shared" si="379"/>
        <v>0</v>
      </c>
      <c r="BD612" s="70">
        <v>0</v>
      </c>
      <c r="BE612" s="65">
        <f t="shared" si="380"/>
        <v>0</v>
      </c>
      <c r="BF612" s="70">
        <v>0</v>
      </c>
      <c r="BG612" s="65">
        <f t="shared" si="381"/>
        <v>0</v>
      </c>
      <c r="BH612" s="70">
        <v>0</v>
      </c>
      <c r="BI612" s="65">
        <f t="shared" si="382"/>
        <v>0</v>
      </c>
      <c r="BJ612" s="38">
        <f>IF(AND(BJ$7="○",$A612&gt;=BJ$8,$A612&lt;=BJ$9),IF(SUM(BJ$10:BJ611)-ROUNDDOWN($M612*BJ$5/100,0)&lt;-BJ$6,-BJ$6-SUM(BJ$10:BJ611),-ROUNDDOWN($M612*BJ$5/100,0)),0)</f>
        <v>0</v>
      </c>
      <c r="BK612" s="38">
        <f>IF(AND(BK$7="○",$A612&gt;=BK$8,$A612&lt;=BK$9),IF(SUM(BK$10:BK611)-ROUNDDOWN($L612*BK$5/100,0)&lt;-BK$6,-BK$6-SUM(BK$10:BK611),-ROUNDDOWN($L612*BK$5/100,0)),0)</f>
        <v>0</v>
      </c>
      <c r="BL612" s="38">
        <f>IF(AND(BL$7="○",$A612&gt;=BL$8,$A612&lt;=BL$9),IF(SUM(BL$10:BL611)-ROUNDDOWN($L612*BL$5/100,0)&lt;-BL$6,-BL$6-SUM(BL$10:BL611),-ROUNDDOWN($L612*BL$5/100,0)),0)</f>
        <v>0</v>
      </c>
      <c r="BM612" s="38">
        <f>IF(AND(BM$7="○",$A612&gt;=BM$8,$A612&lt;=BM$9),IF(SUM(BM$10:BM611)-ROUNDDOWN($M612*BM$5/100,0)&lt;-BM$6,-BM$6-SUM(BM$10:BM611),-ROUNDDOWN($M612*BM$5/100,0)),0)</f>
        <v>0</v>
      </c>
      <c r="BN612" s="38">
        <f>IF(AND(BN$7="○",$A612&gt;=BN$8,$A612&lt;=BN$9),IF(SUM(BN$10:BN611)-ROUNDDOWN($M612*BN$5/100,0)&lt;-BN$6,-BN$6-SUM(BN$10:BN611),-ROUNDDOWN($M612*BN$5/100,0)),0)</f>
        <v>0</v>
      </c>
      <c r="BO612" s="38">
        <f>IF(AND(BO$7="○",$A612&gt;=BO$8,$A612&lt;=BO$9),IF(SUM(BO$10:BO611)-ROUNDDOWN($M612*BO$5/100,0)&lt;-BO$6,-BO$6-SUM(BO$10:BO611),-ROUNDDOWN($M612*BO$5/100,0)),0)</f>
        <v>0</v>
      </c>
      <c r="BP612" s="38">
        <f>IF(AND(BP$7="○",$A612&gt;=BP$8,$A612&lt;=BP$9),IF(SUM(BP$10:BP611)-ROUNDDOWN($M612*BP$5/100,0)&lt;-BP$6,-BP$6-SUM(BP$10:BP611),-ROUNDDOWN($M612*BP$5/100,0)),0)</f>
        <v>0</v>
      </c>
      <c r="BQ612" s="38">
        <f>IF(AND(BQ$7="○",$A612&gt;=BQ$8,$A612&lt;=BQ$9),IF(SUM(BQ$10:BQ611)-ROUNDDOWN($L612*BQ$5/100,0)&lt;-BQ$6,-BQ$6-SUM(BQ$10:BQ611),-ROUNDDOWN($L612*BQ$5/100,0)),0)</f>
        <v>0</v>
      </c>
      <c r="BR612" s="38">
        <f>IF(AND(BR$7="○",$A612&gt;=BR$8,$A612&lt;=BR$9),IF(SUM(BR$10:BR611)-ROUNDDOWN($M612*BR$5/100,0)&lt;-BR$6,-BR$6-SUM(BR$10:BR611),-ROUNDDOWN($M612*BR$5/100,0)),0)</f>
        <v>0</v>
      </c>
      <c r="BS612" s="38">
        <f>IF(AND(BS$7="○",$A612&gt;=BS$8,$A612&lt;=BS$9),IF(SUM(BS$10:BS611)-ROUNDDOWN($M612*BS$5/100,0)&lt;-BS$6,-BS$6-SUM(BS$10:BS611),-ROUNDDOWN($M612*BS$5/100,0)),0)</f>
        <v>0</v>
      </c>
      <c r="BT612" s="38">
        <f>IF(AND(BT$7="○",$A612&gt;=BT$8,$A612&lt;=BT$9),IF(SUM(BT$10:BT611)-ROUNDDOWN($M612*BT$5/100,0)&lt;-BT$6,-BT$6-SUM(BT$10:BT611),-ROUNDDOWN($M612*BT$5/100,0)),0)</f>
        <v>0</v>
      </c>
      <c r="BU612" s="38">
        <f>IF(AND(BU$7="○",$A612&gt;=BU$8,$A612&lt;=BU$9),IF(SUM(BU$10:BU611)-ROUNDDOWN($M612*BU$5/100,0)&lt;-BU$6,-BU$6-SUM(BU$10:BU611),-ROUNDDOWN($M612*BU$5/100,0)),0)</f>
        <v>0</v>
      </c>
      <c r="BV612" s="38">
        <f>IF(AND(BV$7="○",$A612&gt;=BV$8,$A612&lt;=BV$9),IF(SUM(BV$10:BV611)-ROUNDDOWN($M612*BV$5/100,0)&lt;-BV$6,-BV$6-SUM(BV$10:BV611),-ROUNDDOWN($M612*BV$5/100,0)),0)</f>
        <v>0</v>
      </c>
      <c r="BW612" s="38">
        <f>IF(AND(BW$7="○",$A612&gt;=BW$8,$A612&lt;=BW$9),IF(SUM(BW$10:BW611)-ROUNDDOWN($M612*BW$5/100,0)&lt;-BW$6,-BW$6-SUM(BW$10:BW611),-ROUNDDOWN($M612*BW$5/100,0)),0)</f>
        <v>0</v>
      </c>
      <c r="BX612" s="38">
        <f>IF(AND(T612="○",$A612&gt;=BX$8,$A612&lt;=BX$9),IF(SUM(BX$10:BX611)-ROUNDDOWN($K612*BX$5/100,0)&lt;-BX$6,-BX$6-SUM(BX$10:BX611),-ROUNDDOWN($K612*BX$5/100,0)),0)</f>
        <v>0</v>
      </c>
      <c r="BY612" s="38">
        <f>IF(AND(U612="○",$A612&gt;=BY$8,$A612&lt;=BY$9),IF(SUM(BY$10:BY611)-ROUNDDOWN($K612*BY$5/100,0)&lt;-BY$6,-BY$6-SUM(BY$10:BY611),-ROUNDDOWN($K612*BY$5/100,0)),0)</f>
        <v>0</v>
      </c>
      <c r="BZ612" s="38">
        <f>IF(AND(V612="○",$A612&gt;=BZ$8,$A612&lt;=BZ$9),IF(SUM(BZ$10:BZ611)-ROUNDDOWN($K612*BZ$5/100,0)&lt;-BZ$6,-BZ$6-SUM(BZ$10:BZ611),-ROUNDDOWN($K612*BZ$5/100,0)),0)</f>
        <v>0</v>
      </c>
      <c r="CA612" s="38">
        <f>IF(AND(W612="○",$A612&gt;=CA$8,$A612&lt;=CA$9),IF(SUM(CA$10:CA611)-ROUNDDOWN($K612*CA$5/100,0)&lt;-CA$6,-CA$6-SUM(CA$10:CA611),-ROUNDDOWN($K612*CA$5/100,0)),0)</f>
        <v>0</v>
      </c>
      <c r="CB612" s="38"/>
      <c r="CC612" s="38"/>
      <c r="CD612" s="38"/>
      <c r="CE612" s="38"/>
      <c r="CF612" s="38"/>
      <c r="CG612" s="65">
        <f t="shared" si="383"/>
        <v>0</v>
      </c>
      <c r="CH612" s="71">
        <f t="shared" si="384"/>
        <v>0</v>
      </c>
      <c r="CI612" s="1">
        <f t="shared" si="391"/>
        <v>0</v>
      </c>
      <c r="CJ612" s="1"/>
      <c r="CK612" s="79"/>
      <c r="CL612" s="79"/>
      <c r="CM612" s="2"/>
      <c r="CN612" s="2"/>
      <c r="CO612" s="73">
        <f t="shared" si="392"/>
        <v>0</v>
      </c>
      <c r="CP612" s="5">
        <f t="shared" si="393"/>
        <v>0</v>
      </c>
      <c r="CQ612" s="1"/>
      <c r="CR612" s="1">
        <f t="shared" si="394"/>
        <v>0</v>
      </c>
      <c r="CS612" s="1"/>
      <c r="CT612" s="1" t="e">
        <f>INDEX([2]マスタ!$A:$A,MATCH(D612,[2]マスタ!$C:$C,0))</f>
        <v>#N/A</v>
      </c>
      <c r="CU612" s="1" t="str">
        <f t="shared" ca="1" si="395"/>
        <v>20260620_0-0</v>
      </c>
    </row>
    <row r="613" spans="1:99" x14ac:dyDescent="0.4">
      <c r="A613" s="61"/>
      <c r="B613" s="62"/>
      <c r="C613" s="62"/>
      <c r="D613" s="62"/>
      <c r="E613" s="63"/>
      <c r="F613" s="62"/>
      <c r="G613" s="62">
        <v>1</v>
      </c>
      <c r="H613" s="64">
        <f t="shared" si="385"/>
        <v>0</v>
      </c>
      <c r="I613" s="64"/>
      <c r="J613" s="78"/>
      <c r="K613" s="65">
        <f t="shared" si="396"/>
        <v>0</v>
      </c>
      <c r="L613" s="65">
        <f t="shared" si="387"/>
        <v>0</v>
      </c>
      <c r="M613" s="65">
        <f t="shared" si="388"/>
        <v>0</v>
      </c>
      <c r="N613" s="65">
        <f t="shared" si="389"/>
        <v>0</v>
      </c>
      <c r="O613" s="66" t="str">
        <f t="shared" si="9"/>
        <v>✕</v>
      </c>
      <c r="P613" s="67" t="str">
        <f t="shared" si="10"/>
        <v>○</v>
      </c>
      <c r="Q613" s="67" t="str">
        <f t="shared" si="397"/>
        <v>✕</v>
      </c>
      <c r="R613" s="67" t="str">
        <f t="shared" si="12"/>
        <v>✕</v>
      </c>
      <c r="S613" s="68">
        <v>0</v>
      </c>
      <c r="T613" s="69" t="s">
        <v>85</v>
      </c>
      <c r="U613" s="69" t="s">
        <v>85</v>
      </c>
      <c r="V613" s="69" t="s">
        <v>85</v>
      </c>
      <c r="W613" s="69" t="s">
        <v>85</v>
      </c>
      <c r="X613" s="69" t="s">
        <v>84</v>
      </c>
      <c r="Y613" s="69" t="s">
        <v>85</v>
      </c>
      <c r="Z613" s="69" t="s">
        <v>85</v>
      </c>
      <c r="AA613" s="69" t="s">
        <v>85</v>
      </c>
      <c r="AB613" s="69" t="s">
        <v>85</v>
      </c>
      <c r="AC613" s="69" t="s">
        <v>85</v>
      </c>
      <c r="AD613" s="38" t="str">
        <f>+IF(ISERROR(VLOOKUP($B613,AD$10:AD612,1,0)),IF(AND($N613&gt;=1000,$A613&gt;=AO$8,$A613&lt;=AO$9),$B613,""),"")</f>
        <v/>
      </c>
      <c r="AE613" s="38" t="str">
        <f>+IF(ISERROR(VLOOKUP($B613,AE$10:AE612,1,0)),IF(AND($N613&gt;=1000,$A613&gt;=AP$8,$A613&lt;=AP$9),$B613,""),"")</f>
        <v/>
      </c>
      <c r="AF613" s="38" t="str">
        <f>+IF(ISERROR(VLOOKUP($B613,AF$10:AF612,1,0)),IF(AND($N613&gt;=1000,$A613&gt;=AQ$8,$A613&lt;=AQ$9),$B613,""),"")</f>
        <v/>
      </c>
      <c r="AG613" s="38" t="str">
        <f>+IF(ISERROR(VLOOKUP($B613,AG$10:AG612,1,0)),IF(AND($N613&gt;=1000,$A613&gt;=AR$8,$A613&lt;=AR$9),$B613,""),"")</f>
        <v/>
      </c>
      <c r="AH613" s="38"/>
      <c r="AI613" s="70">
        <v>0</v>
      </c>
      <c r="AJ613" s="38">
        <f>IF(AND(AJ$7="○",$A613&gt;=AJ$8,$A613&lt;=AJ$9),IF(SUM(AJ$10:AJ612)-ROUNDDOWN($K613*AJ$5/100,0)&lt;-AJ$6,-AJ$6-SUM(AJ$10:AJ612),-ROUNDDOWN($K613*AJ$5/100,0)),0)</f>
        <v>0</v>
      </c>
      <c r="AK613" s="38">
        <f>IF(AND(AK$7="○",$A613&gt;=AK$8,$A613&lt;=AK$9),IF(SUM(AK$10:AK612)-ROUNDDOWN($L613*AK$5/100,0)&lt;-AK$6,-AK$6-SUM(AK$10:AK612),-ROUNDDOWN($L613*AK$5/100,0)),0)</f>
        <v>0</v>
      </c>
      <c r="AL613" s="38">
        <f>IF(AND(AL$7="○",$A613&gt;=AL$8,$A613&lt;=AL$9),IF(SUM(AL$10:AL612)-ROUNDDOWN($N613*AL$5/100,0)&lt;-AL$6,-AL$6-SUM(AL$10:AL612),-ROUNDDOWN($N613*AL$5/100,0)),0)</f>
        <v>0</v>
      </c>
      <c r="AM613" s="38">
        <f>IF(AND(AM$7="○",$A613&gt;=AM$8,$A613&lt;=AM$9),IF(SUM(AM$10:AM612)-ROUNDDOWN($L613*AM$5/100,0)&lt;-AM$6,-AM$6-SUM(AM$10:AM612),-ROUNDDOWN($L613*AM$5/100,0)),0)</f>
        <v>0</v>
      </c>
      <c r="AN613" s="38">
        <f>IF(AND(AN$7="○",$A613&gt;=AN$8,$A613&lt;=AN$9),IF(SUM(AN$10:AN612)-ROUNDDOWN($M613*AN$5/100,0)&lt;-AN$6,-AN$6-SUM(AN$10:AN612),-ROUNDDOWN($M613*AN$5/100,0)),0)</f>
        <v>0</v>
      </c>
      <c r="AO613" s="38">
        <f>IF(AND($A613&gt;=AO$8,$A613&lt;=AO$9),IF(SUM(AO$10:AO612)-ROUNDDOWN($K613*AO$5/100,0)&lt;-AO$6,-AO$6-SUM(AO$10:AO612),-ROUNDDOWN($K613*AO$5/100,0)),0)</f>
        <v>0</v>
      </c>
      <c r="AP613" s="38">
        <f>IF(AND($A613&gt;=AP$8,$A613&lt;=AP$9),IF(SUM(AP$10:AP612)-ROUNDDOWN($K613*AP$5/100,0)&lt;-AP$6,-AP$6-SUM(AP$10:AP612),-ROUNDDOWN($K613*AP$5/100,0)),0)</f>
        <v>0</v>
      </c>
      <c r="AQ613" s="38">
        <f>IF(AND($A613&gt;=AQ$8,$A613&lt;=AQ$9),IF(SUM(AQ$10:AQ612)-ROUNDDOWN($K613*AQ$5/100,0)&lt;-AQ$6,-AQ$6-SUM(AQ$10:AQ612),-ROUNDDOWN($K613*AQ$5/100,0)),0)</f>
        <v>0</v>
      </c>
      <c r="AR613" s="38">
        <f>IF(AND($A613&gt;=AR$8,$A613&lt;=AR$9),IF(SUM(AR$10:AR612)-ROUNDDOWN($K613*AR$5/100,0)&lt;-AR$6,-AR$6-SUM(AR$10:AR612),-ROUNDDOWN($K613*AR$5/100,0)),0)</f>
        <v>0</v>
      </c>
      <c r="AS613" s="38">
        <f>IF(SUMIFS(AS$10:AS612,$A$10:$A612,$A613)-ROUNDDOWN($K613*$S613/100,0)&lt;-$S613*1000,-$S613*1000-SUMIFS(AS$10:AS612,$A$10:$A612,$A613),-ROUNDDOWN($K613*$S613/100,0))</f>
        <v>0</v>
      </c>
      <c r="AT613" s="38">
        <f>IF(AND(X613="○",$A613&gt;=AT$8,$A613&lt;=AT$9,K613&gt;=3980),IF(SUM(AT$10:AT612)-ROUNDDOWN($K613*AT$5/100,0)&lt;-AT$6,-AT$6-SUM(AT$10:AT612),-ROUNDDOWN($K613*AT$5/100,0)),0)</f>
        <v>0</v>
      </c>
      <c r="AU613" s="38">
        <f>IF(O613="○",IF(SUM(AU$10:AU612)-ROUNDDOWN($K613*AU$5/100,0)&lt;-AU$6,-AU$6-SUM(AU$10:AU612),-ROUNDDOWN($K613*AU$5/100,0)),0)</f>
        <v>0</v>
      </c>
      <c r="AV613" s="38">
        <f>IF(P613="○",IF(SUM(AV$10:AV612)-ROUNDDOWN($K613*AV$5/100,0)&lt;-AV$6,-AV$6-SUM(AV$10:AV612),-ROUNDDOWN($K613*AV$5/100,0)),0)</f>
        <v>0</v>
      </c>
      <c r="AW613" s="38">
        <f>IF(Q613="○",IF(SUM(AW$10:AW612)-ROUNDDOWN($K613*AW$5/100,0)&lt;-AW$6,-AW$6-SUM(AW$10:AW612),-ROUNDDOWN($K613*AW$5/100,0)),0)</f>
        <v>0</v>
      </c>
      <c r="AX613" s="38">
        <f>IF(R613="○",IF(SUM(AX$10:AX612)-ROUNDDOWN($K613*AX$5/100,0)&lt;-AX$6,-AX$6-SUM(AX$10:AX612),-ROUNDDOWN($K613*AX$5/100,0)),0)</f>
        <v>0</v>
      </c>
      <c r="AY613" s="70">
        <v>0</v>
      </c>
      <c r="AZ613" s="65">
        <f t="shared" si="377"/>
        <v>0</v>
      </c>
      <c r="BA613" s="65">
        <f t="shared" si="378"/>
        <v>0</v>
      </c>
      <c r="BB613" s="70"/>
      <c r="BC613" s="65">
        <f t="shared" si="379"/>
        <v>0</v>
      </c>
      <c r="BD613" s="70">
        <v>0</v>
      </c>
      <c r="BE613" s="65">
        <f t="shared" si="380"/>
        <v>0</v>
      </c>
      <c r="BF613" s="70">
        <v>0</v>
      </c>
      <c r="BG613" s="65">
        <f t="shared" si="381"/>
        <v>0</v>
      </c>
      <c r="BH613" s="70">
        <v>0</v>
      </c>
      <c r="BI613" s="65">
        <f t="shared" si="382"/>
        <v>0</v>
      </c>
      <c r="BJ613" s="38">
        <f>IF(AND(BJ$7="○",$A613&gt;=BJ$8,$A613&lt;=BJ$9),IF(SUM(BJ$10:BJ612)-ROUNDDOWN($M613*BJ$5/100,0)&lt;-BJ$6,-BJ$6-SUM(BJ$10:BJ612),-ROUNDDOWN($M613*BJ$5/100,0)),0)</f>
        <v>0</v>
      </c>
      <c r="BK613" s="38">
        <f>IF(AND(BK$7="○",$A613&gt;=BK$8,$A613&lt;=BK$9),IF(SUM(BK$10:BK612)-ROUNDDOWN($L613*BK$5/100,0)&lt;-BK$6,-BK$6-SUM(BK$10:BK612),-ROUNDDOWN($L613*BK$5/100,0)),0)</f>
        <v>0</v>
      </c>
      <c r="BL613" s="38">
        <f>IF(AND(BL$7="○",$A613&gt;=BL$8,$A613&lt;=BL$9),IF(SUM(BL$10:BL612)-ROUNDDOWN($L613*BL$5/100,0)&lt;-BL$6,-BL$6-SUM(BL$10:BL612),-ROUNDDOWN($L613*BL$5/100,0)),0)</f>
        <v>0</v>
      </c>
      <c r="BM613" s="38">
        <f>IF(AND(BM$7="○",$A613&gt;=BM$8,$A613&lt;=BM$9),IF(SUM(BM$10:BM612)-ROUNDDOWN($M613*BM$5/100,0)&lt;-BM$6,-BM$6-SUM(BM$10:BM612),-ROUNDDOWN($M613*BM$5/100,0)),0)</f>
        <v>0</v>
      </c>
      <c r="BN613" s="38">
        <f>IF(AND(BN$7="○",$A613&gt;=BN$8,$A613&lt;=BN$9),IF(SUM(BN$10:BN612)-ROUNDDOWN($M613*BN$5/100,0)&lt;-BN$6,-BN$6-SUM(BN$10:BN612),-ROUNDDOWN($M613*BN$5/100,0)),0)</f>
        <v>0</v>
      </c>
      <c r="BO613" s="38">
        <f>IF(AND(BO$7="○",$A613&gt;=BO$8,$A613&lt;=BO$9),IF(SUM(BO$10:BO612)-ROUNDDOWN($M613*BO$5/100,0)&lt;-BO$6,-BO$6-SUM(BO$10:BO612),-ROUNDDOWN($M613*BO$5/100,0)),0)</f>
        <v>0</v>
      </c>
      <c r="BP613" s="38">
        <f>IF(AND(BP$7="○",$A613&gt;=BP$8,$A613&lt;=BP$9),IF(SUM(BP$10:BP612)-ROUNDDOWN($M613*BP$5/100,0)&lt;-BP$6,-BP$6-SUM(BP$10:BP612),-ROUNDDOWN($M613*BP$5/100,0)),0)</f>
        <v>0</v>
      </c>
      <c r="BQ613" s="38">
        <f>IF(AND(BQ$7="○",$A613&gt;=BQ$8,$A613&lt;=BQ$9),IF(SUM(BQ$10:BQ612)-ROUNDDOWN($L613*BQ$5/100,0)&lt;-BQ$6,-BQ$6-SUM(BQ$10:BQ612),-ROUNDDOWN($L613*BQ$5/100,0)),0)</f>
        <v>0</v>
      </c>
      <c r="BR613" s="38">
        <f>IF(AND(BR$7="○",$A613&gt;=BR$8,$A613&lt;=BR$9),IF(SUM(BR$10:BR612)-ROUNDDOWN($M613*BR$5/100,0)&lt;-BR$6,-BR$6-SUM(BR$10:BR612),-ROUNDDOWN($M613*BR$5/100,0)),0)</f>
        <v>0</v>
      </c>
      <c r="BS613" s="38">
        <f>IF(AND(BS$7="○",$A613&gt;=BS$8,$A613&lt;=BS$9),IF(SUM(BS$10:BS612)-ROUNDDOWN($M613*BS$5/100,0)&lt;-BS$6,-BS$6-SUM(BS$10:BS612),-ROUNDDOWN($M613*BS$5/100,0)),0)</f>
        <v>0</v>
      </c>
      <c r="BT613" s="38">
        <f>IF(AND(BT$7="○",$A613&gt;=BT$8,$A613&lt;=BT$9),IF(SUM(BT$10:BT612)-ROUNDDOWN($M613*BT$5/100,0)&lt;-BT$6,-BT$6-SUM(BT$10:BT612),-ROUNDDOWN($M613*BT$5/100,0)),0)</f>
        <v>0</v>
      </c>
      <c r="BU613" s="38">
        <f>IF(AND(BU$7="○",$A613&gt;=BU$8,$A613&lt;=BU$9),IF(SUM(BU$10:BU612)-ROUNDDOWN($M613*BU$5/100,0)&lt;-BU$6,-BU$6-SUM(BU$10:BU612),-ROUNDDOWN($M613*BU$5/100,0)),0)</f>
        <v>0</v>
      </c>
      <c r="BV613" s="38">
        <f>IF(AND(BV$7="○",$A613&gt;=BV$8,$A613&lt;=BV$9),IF(SUM(BV$10:BV612)-ROUNDDOWN($M613*BV$5/100,0)&lt;-BV$6,-BV$6-SUM(BV$10:BV612),-ROUNDDOWN($M613*BV$5/100,0)),0)</f>
        <v>0</v>
      </c>
      <c r="BW613" s="38">
        <f>IF(AND(BW$7="○",$A613&gt;=BW$8,$A613&lt;=BW$9),IF(SUM(BW$10:BW612)-ROUNDDOWN($M613*BW$5/100,0)&lt;-BW$6,-BW$6-SUM(BW$10:BW612),-ROUNDDOWN($M613*BW$5/100,0)),0)</f>
        <v>0</v>
      </c>
      <c r="BX613" s="38">
        <f>IF(AND(T613="○",$A613&gt;=BX$8,$A613&lt;=BX$9),IF(SUM(BX$10:BX612)-ROUNDDOWN($K613*BX$5/100,0)&lt;-BX$6,-BX$6-SUM(BX$10:BX612),-ROUNDDOWN($K613*BX$5/100,0)),0)</f>
        <v>0</v>
      </c>
      <c r="BY613" s="38">
        <f>IF(AND(U613="○",$A613&gt;=BY$8,$A613&lt;=BY$9),IF(SUM(BY$10:BY612)-ROUNDDOWN($K613*BY$5/100,0)&lt;-BY$6,-BY$6-SUM(BY$10:BY612),-ROUNDDOWN($K613*BY$5/100,0)),0)</f>
        <v>0</v>
      </c>
      <c r="BZ613" s="38">
        <f>IF(AND(V613="○",$A613&gt;=BZ$8,$A613&lt;=BZ$9),IF(SUM(BZ$10:BZ612)-ROUNDDOWN($K613*BZ$5/100,0)&lt;-BZ$6,-BZ$6-SUM(BZ$10:BZ612),-ROUNDDOWN($K613*BZ$5/100,0)),0)</f>
        <v>0</v>
      </c>
      <c r="CA613" s="38">
        <f>IF(AND(W613="○",$A613&gt;=CA$8,$A613&lt;=CA$9),IF(SUM(CA$10:CA612)-ROUNDDOWN($K613*CA$5/100,0)&lt;-CA$6,-CA$6-SUM(CA$10:CA612),-ROUNDDOWN($K613*CA$5/100,0)),0)</f>
        <v>0</v>
      </c>
      <c r="CB613" s="38"/>
      <c r="CC613" s="38"/>
      <c r="CD613" s="38"/>
      <c r="CE613" s="38"/>
      <c r="CF613" s="38"/>
      <c r="CG613" s="65">
        <f t="shared" si="383"/>
        <v>0</v>
      </c>
      <c r="CH613" s="71">
        <f t="shared" si="384"/>
        <v>0</v>
      </c>
      <c r="CI613" s="1">
        <f t="shared" si="391"/>
        <v>0</v>
      </c>
      <c r="CJ613" s="1"/>
      <c r="CK613" s="79"/>
      <c r="CL613" s="79"/>
      <c r="CM613" s="2"/>
      <c r="CN613" s="2"/>
      <c r="CO613" s="73">
        <f t="shared" si="392"/>
        <v>0</v>
      </c>
      <c r="CP613" s="5">
        <f t="shared" si="393"/>
        <v>0</v>
      </c>
      <c r="CQ613" s="1"/>
      <c r="CR613" s="1">
        <f t="shared" si="394"/>
        <v>0</v>
      </c>
      <c r="CS613" s="1"/>
      <c r="CT613" s="1" t="e">
        <f>INDEX([2]マスタ!$A:$A,MATCH(D613,[2]マスタ!$C:$C,0))</f>
        <v>#N/A</v>
      </c>
      <c r="CU613" s="1" t="str">
        <f t="shared" ca="1" si="395"/>
        <v>20260620_0-0</v>
      </c>
    </row>
    <row r="614" spans="1:99" x14ac:dyDescent="0.4">
      <c r="A614" s="61"/>
      <c r="B614" s="62"/>
      <c r="C614" s="62"/>
      <c r="D614" s="62"/>
      <c r="E614" s="77"/>
      <c r="F614" s="62"/>
      <c r="G614" s="62">
        <v>1</v>
      </c>
      <c r="H614" s="64">
        <f t="shared" si="385"/>
        <v>0</v>
      </c>
      <c r="I614" s="64"/>
      <c r="J614" s="64"/>
      <c r="K614" s="65">
        <f t="shared" si="396"/>
        <v>0</v>
      </c>
      <c r="L614" s="65">
        <f t="shared" si="387"/>
        <v>0</v>
      </c>
      <c r="M614" s="65">
        <f t="shared" si="388"/>
        <v>0</v>
      </c>
      <c r="N614" s="65">
        <f t="shared" si="389"/>
        <v>0</v>
      </c>
      <c r="O614" s="66" t="str">
        <f t="shared" si="9"/>
        <v>✕</v>
      </c>
      <c r="P614" s="67" t="str">
        <f t="shared" si="10"/>
        <v>○</v>
      </c>
      <c r="Q614" s="67" t="str">
        <f t="shared" si="397"/>
        <v>✕</v>
      </c>
      <c r="R614" s="67" t="str">
        <f t="shared" si="12"/>
        <v>✕</v>
      </c>
      <c r="S614" s="68">
        <v>0</v>
      </c>
      <c r="T614" s="69" t="s">
        <v>85</v>
      </c>
      <c r="U614" s="69" t="s">
        <v>85</v>
      </c>
      <c r="V614" s="69" t="s">
        <v>85</v>
      </c>
      <c r="W614" s="69" t="s">
        <v>85</v>
      </c>
      <c r="X614" s="69" t="s">
        <v>84</v>
      </c>
      <c r="Y614" s="69" t="s">
        <v>85</v>
      </c>
      <c r="Z614" s="69" t="s">
        <v>85</v>
      </c>
      <c r="AA614" s="69" t="s">
        <v>85</v>
      </c>
      <c r="AB614" s="69" t="s">
        <v>85</v>
      </c>
      <c r="AC614" s="69" t="s">
        <v>85</v>
      </c>
      <c r="AD614" s="38" t="str">
        <f>+IF(ISERROR(VLOOKUP($B614,AD$10:AD613,1,0)),IF(AND($N614&gt;=1000,$A614&gt;=AO$8,$A614&lt;=AO$9),$B614,""),"")</f>
        <v/>
      </c>
      <c r="AE614" s="38" t="str">
        <f>+IF(ISERROR(VLOOKUP($B614,AE$10:AE613,1,0)),IF(AND($N614&gt;=1000,$A614&gt;=AP$8,$A614&lt;=AP$9),$B614,""),"")</f>
        <v/>
      </c>
      <c r="AF614" s="38" t="str">
        <f>+IF(ISERROR(VLOOKUP($B614,AF$10:AF613,1,0)),IF(AND($N614&gt;=1000,$A614&gt;=AQ$8,$A614&lt;=AQ$9),$B614,""),"")</f>
        <v/>
      </c>
      <c r="AG614" s="38" t="str">
        <f>+IF(ISERROR(VLOOKUP($B614,AG$10:AG613,1,0)),IF(AND($N614&gt;=1000,$A614&gt;=AR$8,$A614&lt;=AR$9),$B614,""),"")</f>
        <v/>
      </c>
      <c r="AH614" s="38"/>
      <c r="AI614" s="70">
        <v>0</v>
      </c>
      <c r="AJ614" s="38">
        <f>IF(AND(AJ$7="○",$A614&gt;=AJ$8,$A614&lt;=AJ$9),IF(SUM(AJ$10:AJ613)-ROUNDDOWN($K614*AJ$5/100,0)&lt;-AJ$6,-AJ$6-SUM(AJ$10:AJ613),-ROUNDDOWN($K614*AJ$5/100,0)),0)</f>
        <v>0</v>
      </c>
      <c r="AK614" s="38">
        <f>IF(AND(AK$7="○",$A614&gt;=AK$8,$A614&lt;=AK$9),IF(SUM(AK$10:AK613)-ROUNDDOWN($L614*AK$5/100,0)&lt;-AK$6,-AK$6-SUM(AK$10:AK613),-ROUNDDOWN($L614*AK$5/100,0)),0)</f>
        <v>0</v>
      </c>
      <c r="AL614" s="38">
        <f>IF(AND(AL$7="○",$A614&gt;=AL$8,$A614&lt;=AL$9),IF(SUM(AL$10:AL613)-ROUNDDOWN($N614*AL$5/100,0)&lt;-AL$6,-AL$6-SUM(AL$10:AL613),-ROUNDDOWN($N614*AL$5/100,0)),0)</f>
        <v>0</v>
      </c>
      <c r="AM614" s="38">
        <f>IF(AND(AM$7="○",$A614&gt;=AM$8,$A614&lt;=AM$9),IF(SUM(AM$10:AM613)-ROUNDDOWN($L614*AM$5/100,0)&lt;-AM$6,-AM$6-SUM(AM$10:AM613),-ROUNDDOWN($L614*AM$5/100,0)),0)</f>
        <v>0</v>
      </c>
      <c r="AN614" s="38">
        <f>IF(AND(AN$7="○",$A614&gt;=AN$8,$A614&lt;=AN$9),IF(SUM(AN$10:AN613)-ROUNDDOWN($M614*AN$5/100,0)&lt;-AN$6,-AN$6-SUM(AN$10:AN613),-ROUNDDOWN($M614*AN$5/100,0)),0)</f>
        <v>0</v>
      </c>
      <c r="AO614" s="38">
        <f>IF(AND($A614&gt;=AO$8,$A614&lt;=AO$9),IF(SUM(AO$10:AO613)-ROUNDDOWN($K614*AO$5/100,0)&lt;-AO$6,-AO$6-SUM(AO$10:AO613),-ROUNDDOWN($K614*AO$5/100,0)),0)</f>
        <v>0</v>
      </c>
      <c r="AP614" s="38">
        <f>IF(AND($A614&gt;=AP$8,$A614&lt;=AP$9),IF(SUM(AP$10:AP613)-ROUNDDOWN($K614*AP$5/100,0)&lt;-AP$6,-AP$6-SUM(AP$10:AP613),-ROUNDDOWN($K614*AP$5/100,0)),0)</f>
        <v>0</v>
      </c>
      <c r="AQ614" s="38">
        <f>IF(AND($A614&gt;=AQ$8,$A614&lt;=AQ$9),IF(SUM(AQ$10:AQ613)-ROUNDDOWN($K614*AQ$5/100,0)&lt;-AQ$6,-AQ$6-SUM(AQ$10:AQ613),-ROUNDDOWN($K614*AQ$5/100,0)),0)</f>
        <v>0</v>
      </c>
      <c r="AR614" s="38">
        <f>IF(AND($A614&gt;=AR$8,$A614&lt;=AR$9),IF(SUM(AR$10:AR613)-ROUNDDOWN($K614*AR$5/100,0)&lt;-AR$6,-AR$6-SUM(AR$10:AR613),-ROUNDDOWN($K614*AR$5/100,0)),0)</f>
        <v>0</v>
      </c>
      <c r="AS614" s="38">
        <f>IF(SUMIFS(AS$10:AS613,$A$10:$A613,$A614)-ROUNDDOWN($K614*$S614/100,0)&lt;-$S614*1000,-$S614*1000-SUMIFS(AS$10:AS613,$A$10:$A613,$A614),-ROUNDDOWN($K614*$S614/100,0))</f>
        <v>0</v>
      </c>
      <c r="AT614" s="38">
        <f>IF(AND(X614="○",$A614&gt;=AT$8,$A614&lt;=AT$9,K614&gt;=3980),IF(SUM(AT$10:AT613)-ROUNDDOWN($K614*AT$5/100,0)&lt;-AT$6,-AT$6-SUM(AT$10:AT613),-ROUNDDOWN($K614*AT$5/100,0)),0)</f>
        <v>0</v>
      </c>
      <c r="AU614" s="38">
        <f>IF(O614="○",IF(SUM(AU$10:AU613)-ROUNDDOWN($K614*AU$5/100,0)&lt;-AU$6,-AU$6-SUM(AU$10:AU613),-ROUNDDOWN($K614*AU$5/100,0)),0)</f>
        <v>0</v>
      </c>
      <c r="AV614" s="38">
        <f>IF(P614="○",IF(SUM(AV$10:AV613)-ROUNDDOWN($K614*AV$5/100,0)&lt;-AV$6,-AV$6-SUM(AV$10:AV613),-ROUNDDOWN($K614*AV$5/100,0)),0)</f>
        <v>0</v>
      </c>
      <c r="AW614" s="38">
        <f>IF(Q614="○",IF(SUM(AW$10:AW613)-ROUNDDOWN($K614*AW$5/100,0)&lt;-AW$6,-AW$6-SUM(AW$10:AW613),-ROUNDDOWN($K614*AW$5/100,0)),0)</f>
        <v>0</v>
      </c>
      <c r="AX614" s="38">
        <f>IF(R614="○",IF(SUM(AX$10:AX613)-ROUNDDOWN($K614*AX$5/100,0)&lt;-AX$6,-AX$6-SUM(AX$10:AX613),-ROUNDDOWN($K614*AX$5/100,0)),0)</f>
        <v>0</v>
      </c>
      <c r="AY614" s="70">
        <v>0</v>
      </c>
      <c r="AZ614" s="65">
        <f t="shared" si="377"/>
        <v>0</v>
      </c>
      <c r="BA614" s="65">
        <f t="shared" si="378"/>
        <v>0</v>
      </c>
      <c r="BB614" s="70"/>
      <c r="BC614" s="65">
        <f t="shared" si="379"/>
        <v>0</v>
      </c>
      <c r="BD614" s="70">
        <v>0</v>
      </c>
      <c r="BE614" s="65">
        <f t="shared" si="380"/>
        <v>0</v>
      </c>
      <c r="BF614" s="70">
        <v>0</v>
      </c>
      <c r="BG614" s="65">
        <f t="shared" si="381"/>
        <v>0</v>
      </c>
      <c r="BH614" s="70">
        <v>0</v>
      </c>
      <c r="BI614" s="65">
        <f t="shared" si="382"/>
        <v>0</v>
      </c>
      <c r="BJ614" s="38">
        <f>IF(AND(BJ$7="○",$A614&gt;=BJ$8,$A614&lt;=BJ$9),IF(SUM(BJ$10:BJ613)-ROUNDDOWN($M614*BJ$5/100,0)&lt;-BJ$6,-BJ$6-SUM(BJ$10:BJ613),-ROUNDDOWN($M614*BJ$5/100,0)),0)</f>
        <v>0</v>
      </c>
      <c r="BK614" s="38">
        <f>IF(AND(BK$7="○",$A614&gt;=BK$8,$A614&lt;=BK$9),IF(SUM(BK$10:BK613)-ROUNDDOWN($L614*BK$5/100,0)&lt;-BK$6,-BK$6-SUM(BK$10:BK613),-ROUNDDOWN($L614*BK$5/100,0)),0)</f>
        <v>0</v>
      </c>
      <c r="BL614" s="38">
        <f>IF(AND(BL$7="○",$A614&gt;=BL$8,$A614&lt;=BL$9),IF(SUM(BL$10:BL613)-ROUNDDOWN($L614*BL$5/100,0)&lt;-BL$6,-BL$6-SUM(BL$10:BL613),-ROUNDDOWN($L614*BL$5/100,0)),0)</f>
        <v>0</v>
      </c>
      <c r="BM614" s="38">
        <f>IF(AND(BM$7="○",$A614&gt;=BM$8,$A614&lt;=BM$9),IF(SUM(BM$10:BM613)-ROUNDDOWN($M614*BM$5/100,0)&lt;-BM$6,-BM$6-SUM(BM$10:BM613),-ROUNDDOWN($M614*BM$5/100,0)),0)</f>
        <v>0</v>
      </c>
      <c r="BN614" s="38">
        <f>IF(AND(BN$7="○",$A614&gt;=BN$8,$A614&lt;=BN$9),IF(SUM(BN$10:BN613)-ROUNDDOWN($M614*BN$5/100,0)&lt;-BN$6,-BN$6-SUM(BN$10:BN613),-ROUNDDOWN($M614*BN$5/100,0)),0)</f>
        <v>0</v>
      </c>
      <c r="BO614" s="38">
        <f>IF(AND(BO$7="○",$A614&gt;=BO$8,$A614&lt;=BO$9),IF(SUM(BO$10:BO613)-ROUNDDOWN($M614*BO$5/100,0)&lt;-BO$6,-BO$6-SUM(BO$10:BO613),-ROUNDDOWN($M614*BO$5/100,0)),0)</f>
        <v>0</v>
      </c>
      <c r="BP614" s="38">
        <f>IF(AND(BP$7="○",$A614&gt;=BP$8,$A614&lt;=BP$9),IF(SUM(BP$10:BP613)-ROUNDDOWN($M614*BP$5/100,0)&lt;-BP$6,-BP$6-SUM(BP$10:BP613),-ROUNDDOWN($M614*BP$5/100,0)),0)</f>
        <v>0</v>
      </c>
      <c r="BQ614" s="38">
        <f>IF(AND(BQ$7="○",$A614&gt;=BQ$8,$A614&lt;=BQ$9),IF(SUM(BQ$10:BQ613)-ROUNDDOWN($L614*BQ$5/100,0)&lt;-BQ$6,-BQ$6-SUM(BQ$10:BQ613),-ROUNDDOWN($L614*BQ$5/100,0)),0)</f>
        <v>0</v>
      </c>
      <c r="BR614" s="38">
        <f>IF(AND(BR$7="○",$A614&gt;=BR$8,$A614&lt;=BR$9),IF(SUM(BR$10:BR613)-ROUNDDOWN($M614*BR$5/100,0)&lt;-BR$6,-BR$6-SUM(BR$10:BR613),-ROUNDDOWN($M614*BR$5/100,0)),0)</f>
        <v>0</v>
      </c>
      <c r="BS614" s="38">
        <f>IF(AND(BS$7="○",$A614&gt;=BS$8,$A614&lt;=BS$9),IF(SUM(BS$10:BS613)-ROUNDDOWN($M614*BS$5/100,0)&lt;-BS$6,-BS$6-SUM(BS$10:BS613),-ROUNDDOWN($M614*BS$5/100,0)),0)</f>
        <v>0</v>
      </c>
      <c r="BT614" s="38">
        <f>IF(AND(BT$7="○",$A614&gt;=BT$8,$A614&lt;=BT$9),IF(SUM(BT$10:BT613)-ROUNDDOWN($M614*BT$5/100,0)&lt;-BT$6,-BT$6-SUM(BT$10:BT613),-ROUNDDOWN($M614*BT$5/100,0)),0)</f>
        <v>0</v>
      </c>
      <c r="BU614" s="38">
        <f>IF(AND(BU$7="○",$A614&gt;=BU$8,$A614&lt;=BU$9),IF(SUM(BU$10:BU613)-ROUNDDOWN($M614*BU$5/100,0)&lt;-BU$6,-BU$6-SUM(BU$10:BU613),-ROUNDDOWN($M614*BU$5/100,0)),0)</f>
        <v>0</v>
      </c>
      <c r="BV614" s="38">
        <f>IF(AND(BV$7="○",$A614&gt;=BV$8,$A614&lt;=BV$9),IF(SUM(BV$10:BV613)-ROUNDDOWN($M614*BV$5/100,0)&lt;-BV$6,-BV$6-SUM(BV$10:BV613),-ROUNDDOWN($M614*BV$5/100,0)),0)</f>
        <v>0</v>
      </c>
      <c r="BW614" s="38">
        <f>IF(AND(BW$7="○",$A614&gt;=BW$8,$A614&lt;=BW$9),IF(SUM(BW$10:BW613)-ROUNDDOWN($M614*BW$5/100,0)&lt;-BW$6,-BW$6-SUM(BW$10:BW613),-ROUNDDOWN($M614*BW$5/100,0)),0)</f>
        <v>0</v>
      </c>
      <c r="BX614" s="38">
        <f>IF(AND(T614="○",$A614&gt;=BX$8,$A614&lt;=BX$9),IF(SUM(BX$10:BX613)-ROUNDDOWN($K614*BX$5/100,0)&lt;-BX$6,-BX$6-SUM(BX$10:BX613),-ROUNDDOWN($K614*BX$5/100,0)),0)</f>
        <v>0</v>
      </c>
      <c r="BY614" s="38">
        <f>IF(AND(U614="○",$A614&gt;=BY$8,$A614&lt;=BY$9),IF(SUM(BY$10:BY613)-ROUNDDOWN($K614*BY$5/100,0)&lt;-BY$6,-BY$6-SUM(BY$10:BY613),-ROUNDDOWN($K614*BY$5/100,0)),0)</f>
        <v>0</v>
      </c>
      <c r="BZ614" s="38">
        <f>IF(AND(V614="○",$A614&gt;=BZ$8,$A614&lt;=BZ$9),IF(SUM(BZ$10:BZ613)-ROUNDDOWN($K614*BZ$5/100,0)&lt;-BZ$6,-BZ$6-SUM(BZ$10:BZ613),-ROUNDDOWN($K614*BZ$5/100,0)),0)</f>
        <v>0</v>
      </c>
      <c r="CA614" s="38">
        <f>IF(AND(W614="○",$A614&gt;=CA$8,$A614&lt;=CA$9),IF(SUM(CA$10:CA613)-ROUNDDOWN($K614*CA$5/100,0)&lt;-CA$6,-CA$6-SUM(CA$10:CA613),-ROUNDDOWN($K614*CA$5/100,0)),0)</f>
        <v>0</v>
      </c>
      <c r="CB614" s="38"/>
      <c r="CC614" s="38"/>
      <c r="CD614" s="38"/>
      <c r="CE614" s="38"/>
      <c r="CF614" s="38"/>
      <c r="CG614" s="65">
        <f t="shared" si="383"/>
        <v>0</v>
      </c>
      <c r="CH614" s="71">
        <f t="shared" si="384"/>
        <v>0</v>
      </c>
      <c r="CI614" s="1">
        <f t="shared" si="391"/>
        <v>0</v>
      </c>
      <c r="CJ614" s="1"/>
      <c r="CK614" s="79"/>
      <c r="CL614" s="79"/>
      <c r="CM614" s="2"/>
      <c r="CN614" s="2"/>
      <c r="CO614" s="73">
        <f t="shared" si="392"/>
        <v>0</v>
      </c>
      <c r="CP614" s="5">
        <f t="shared" si="393"/>
        <v>0</v>
      </c>
      <c r="CQ614" s="1"/>
      <c r="CR614" s="1">
        <f t="shared" si="394"/>
        <v>0</v>
      </c>
      <c r="CS614" s="1"/>
      <c r="CT614" s="1" t="e">
        <f>INDEX([2]マスタ!$A:$A,MATCH(D614,[2]マスタ!$C:$C,0))</f>
        <v>#N/A</v>
      </c>
      <c r="CU614" s="1" t="str">
        <f t="shared" ca="1" si="395"/>
        <v>20260620_0-0</v>
      </c>
    </row>
    <row r="615" spans="1:99" x14ac:dyDescent="0.4">
      <c r="A615" s="61"/>
      <c r="B615" s="62"/>
      <c r="C615" s="62"/>
      <c r="D615" s="62"/>
      <c r="E615" s="63"/>
      <c r="F615" s="62"/>
      <c r="G615" s="62">
        <v>1</v>
      </c>
      <c r="H615" s="64">
        <f t="shared" si="385"/>
        <v>0</v>
      </c>
      <c r="I615" s="64"/>
      <c r="J615" s="64"/>
      <c r="K615" s="65">
        <f t="shared" si="396"/>
        <v>0</v>
      </c>
      <c r="L615" s="65">
        <f t="shared" si="387"/>
        <v>0</v>
      </c>
      <c r="M615" s="65">
        <f t="shared" si="388"/>
        <v>0</v>
      </c>
      <c r="N615" s="65">
        <f t="shared" si="389"/>
        <v>0</v>
      </c>
      <c r="O615" s="66" t="str">
        <f t="shared" si="9"/>
        <v>✕</v>
      </c>
      <c r="P615" s="67" t="str">
        <f t="shared" si="10"/>
        <v>○</v>
      </c>
      <c r="Q615" s="67" t="str">
        <f t="shared" si="397"/>
        <v>✕</v>
      </c>
      <c r="R615" s="67" t="str">
        <f t="shared" si="12"/>
        <v>✕</v>
      </c>
      <c r="S615" s="68">
        <v>0</v>
      </c>
      <c r="T615" s="69" t="s">
        <v>85</v>
      </c>
      <c r="U615" s="69" t="s">
        <v>85</v>
      </c>
      <c r="V615" s="69" t="s">
        <v>85</v>
      </c>
      <c r="W615" s="69" t="s">
        <v>85</v>
      </c>
      <c r="X615" s="69" t="s">
        <v>84</v>
      </c>
      <c r="Y615" s="69" t="s">
        <v>85</v>
      </c>
      <c r="Z615" s="69" t="s">
        <v>85</v>
      </c>
      <c r="AA615" s="69" t="s">
        <v>85</v>
      </c>
      <c r="AB615" s="69" t="s">
        <v>85</v>
      </c>
      <c r="AC615" s="69" t="s">
        <v>85</v>
      </c>
      <c r="AD615" s="38" t="str">
        <f>+IF(ISERROR(VLOOKUP($B615,AD$10:AD614,1,0)),IF(AND($N615&gt;=1000,$A615&gt;=AO$8,$A615&lt;=AO$9),$B615,""),"")</f>
        <v/>
      </c>
      <c r="AE615" s="38" t="str">
        <f>+IF(ISERROR(VLOOKUP($B615,AE$10:AE614,1,0)),IF(AND($N615&gt;=1000,$A615&gt;=AP$8,$A615&lt;=AP$9),$B615,""),"")</f>
        <v/>
      </c>
      <c r="AF615" s="38" t="str">
        <f>+IF(ISERROR(VLOOKUP($B615,AF$10:AF614,1,0)),IF(AND($N615&gt;=1000,$A615&gt;=AQ$8,$A615&lt;=AQ$9),$B615,""),"")</f>
        <v/>
      </c>
      <c r="AG615" s="38" t="str">
        <f>+IF(ISERROR(VLOOKUP($B615,AG$10:AG614,1,0)),IF(AND($N615&gt;=1000,$A615&gt;=AR$8,$A615&lt;=AR$9),$B615,""),"")</f>
        <v/>
      </c>
      <c r="AH615" s="38"/>
      <c r="AI615" s="70">
        <v>0</v>
      </c>
      <c r="AJ615" s="38">
        <f>IF(AND(AJ$7="○",$A615&gt;=AJ$8,$A615&lt;=AJ$9),IF(SUM(AJ$10:AJ614)-ROUNDDOWN($K615*AJ$5/100,0)&lt;-AJ$6,-AJ$6-SUM(AJ$10:AJ614),-ROUNDDOWN($K615*AJ$5/100,0)),0)</f>
        <v>0</v>
      </c>
      <c r="AK615" s="38">
        <f>IF(AND(AK$7="○",$A615&gt;=AK$8,$A615&lt;=AK$9),IF(SUM(AK$10:AK614)-ROUNDDOWN($L615*AK$5/100,0)&lt;-AK$6,-AK$6-SUM(AK$10:AK614),-ROUNDDOWN($L615*AK$5/100,0)),0)</f>
        <v>0</v>
      </c>
      <c r="AL615" s="38">
        <f>IF(AND(AL$7="○",$A615&gt;=AL$8,$A615&lt;=AL$9),IF(SUM(AL$10:AL614)-ROUNDDOWN($N615*AL$5/100,0)&lt;-AL$6,-AL$6-SUM(AL$10:AL614),-ROUNDDOWN($N615*AL$5/100,0)),0)</f>
        <v>0</v>
      </c>
      <c r="AM615" s="38">
        <f>IF(AND(AM$7="○",$A615&gt;=AM$8,$A615&lt;=AM$9),IF(SUM(AM$10:AM614)-ROUNDDOWN($L615*AM$5/100,0)&lt;-AM$6,-AM$6-SUM(AM$10:AM614),-ROUNDDOWN($L615*AM$5/100,0)),0)</f>
        <v>0</v>
      </c>
      <c r="AN615" s="38">
        <f>IF(AND(AN$7="○",$A615&gt;=AN$8,$A615&lt;=AN$9),IF(SUM(AN$10:AN614)-ROUNDDOWN($M615*AN$5/100,0)&lt;-AN$6,-AN$6-SUM(AN$10:AN614),-ROUNDDOWN($M615*AN$5/100,0)),0)</f>
        <v>0</v>
      </c>
      <c r="AO615" s="38">
        <f>IF(AND($A615&gt;=AO$8,$A615&lt;=AO$9),IF(SUM(AO$10:AO614)-ROUNDDOWN($K615*AO$5/100,0)&lt;-AO$6,-AO$6-SUM(AO$10:AO614),-ROUNDDOWN($K615*AO$5/100,0)),0)</f>
        <v>0</v>
      </c>
      <c r="AP615" s="38">
        <f>IF(AND($A615&gt;=AP$8,$A615&lt;=AP$9),IF(SUM(AP$10:AP614)-ROUNDDOWN($K615*AP$5/100,0)&lt;-AP$6,-AP$6-SUM(AP$10:AP614),-ROUNDDOWN($K615*AP$5/100,0)),0)</f>
        <v>0</v>
      </c>
      <c r="AQ615" s="38">
        <f>IF(AND($A615&gt;=AQ$8,$A615&lt;=AQ$9),IF(SUM(AQ$10:AQ614)-ROUNDDOWN($K615*AQ$5/100,0)&lt;-AQ$6,-AQ$6-SUM(AQ$10:AQ614),-ROUNDDOWN($K615*AQ$5/100,0)),0)</f>
        <v>0</v>
      </c>
      <c r="AR615" s="38">
        <f>IF(AND($A615&gt;=AR$8,$A615&lt;=AR$9),IF(SUM(AR$10:AR614)-ROUNDDOWN($K615*AR$5/100,0)&lt;-AR$6,-AR$6-SUM(AR$10:AR614),-ROUNDDOWN($K615*AR$5/100,0)),0)</f>
        <v>0</v>
      </c>
      <c r="AS615" s="38">
        <f>IF(SUMIFS(AS$10:AS614,$A$10:$A614,$A615)-ROUNDDOWN($K615*$S615/100,0)&lt;-$S615*1000,-$S615*1000-SUMIFS(AS$10:AS614,$A$10:$A614,$A615),-ROUNDDOWN($K615*$S615/100,0))</f>
        <v>0</v>
      </c>
      <c r="AT615" s="38">
        <f>IF(AND(X615="○",$A615&gt;=AT$8,$A615&lt;=AT$9,K615&gt;=3980),IF(SUM(AT$10:AT614)-ROUNDDOWN($K615*AT$5/100,0)&lt;-AT$6,-AT$6-SUM(AT$10:AT614),-ROUNDDOWN($K615*AT$5/100,0)),0)</f>
        <v>0</v>
      </c>
      <c r="AU615" s="38">
        <f>IF(O615="○",IF(SUM(AU$10:AU614)-ROUNDDOWN($K615*AU$5/100,0)&lt;-AU$6,-AU$6-SUM(AU$10:AU614),-ROUNDDOWN($K615*AU$5/100,0)),0)</f>
        <v>0</v>
      </c>
      <c r="AV615" s="38">
        <f>IF(P615="○",IF(SUM(AV$10:AV614)-ROUNDDOWN($K615*AV$5/100,0)&lt;-AV$6,-AV$6-SUM(AV$10:AV614),-ROUNDDOWN($K615*AV$5/100,0)),0)</f>
        <v>0</v>
      </c>
      <c r="AW615" s="38">
        <f>IF(Q615="○",IF(SUM(AW$10:AW614)-ROUNDDOWN($K615*AW$5/100,0)&lt;-AW$6,-AW$6-SUM(AW$10:AW614),-ROUNDDOWN($K615*AW$5/100,0)),0)</f>
        <v>0</v>
      </c>
      <c r="AX615" s="38">
        <f>IF(R615="○",IF(SUM(AX$10:AX614)-ROUNDDOWN($K615*AX$5/100,0)&lt;-AX$6,-AX$6-SUM(AX$10:AX614),-ROUNDDOWN($K615*AX$5/100,0)),0)</f>
        <v>0</v>
      </c>
      <c r="AY615" s="70">
        <v>0</v>
      </c>
      <c r="AZ615" s="65">
        <f t="shared" si="377"/>
        <v>0</v>
      </c>
      <c r="BA615" s="65">
        <f t="shared" si="378"/>
        <v>0</v>
      </c>
      <c r="BB615" s="70"/>
      <c r="BC615" s="65">
        <f t="shared" si="379"/>
        <v>0</v>
      </c>
      <c r="BD615" s="70">
        <v>0</v>
      </c>
      <c r="BE615" s="65">
        <f t="shared" si="380"/>
        <v>0</v>
      </c>
      <c r="BF615" s="70">
        <v>0</v>
      </c>
      <c r="BG615" s="65">
        <f t="shared" si="381"/>
        <v>0</v>
      </c>
      <c r="BH615" s="70">
        <v>0</v>
      </c>
      <c r="BI615" s="65">
        <f t="shared" si="382"/>
        <v>0</v>
      </c>
      <c r="BJ615" s="38">
        <f>IF(AND(BJ$7="○",$A615&gt;=BJ$8,$A615&lt;=BJ$9),IF(SUM(BJ$10:BJ614)-ROUNDDOWN($M615*BJ$5/100,0)&lt;-BJ$6,-BJ$6-SUM(BJ$10:BJ614),-ROUNDDOWN($M615*BJ$5/100,0)),0)</f>
        <v>0</v>
      </c>
      <c r="BK615" s="38">
        <f>IF(AND(BK$7="○",$A615&gt;=BK$8,$A615&lt;=BK$9),IF(SUM(BK$10:BK614)-ROUNDDOWN($L615*BK$5/100,0)&lt;-BK$6,-BK$6-SUM(BK$10:BK614),-ROUNDDOWN($L615*BK$5/100,0)),0)</f>
        <v>0</v>
      </c>
      <c r="BL615" s="38">
        <f>IF(AND(BL$7="○",$A615&gt;=BL$8,$A615&lt;=BL$9),IF(SUM(BL$10:BL614)-ROUNDDOWN($L615*BL$5/100,0)&lt;-BL$6,-BL$6-SUM(BL$10:BL614),-ROUNDDOWN($L615*BL$5/100,0)),0)</f>
        <v>0</v>
      </c>
      <c r="BM615" s="38">
        <f>IF(AND(BM$7="○",$A615&gt;=BM$8,$A615&lt;=BM$9),IF(SUM(BM$10:BM614)-ROUNDDOWN($M615*BM$5/100,0)&lt;-BM$6,-BM$6-SUM(BM$10:BM614),-ROUNDDOWN($M615*BM$5/100,0)),0)</f>
        <v>0</v>
      </c>
      <c r="BN615" s="38">
        <f>IF(AND(BN$7="○",$A615&gt;=BN$8,$A615&lt;=BN$9),IF(SUM(BN$10:BN614)-ROUNDDOWN($M615*BN$5/100,0)&lt;-BN$6,-BN$6-SUM(BN$10:BN614),-ROUNDDOWN($M615*BN$5/100,0)),0)</f>
        <v>0</v>
      </c>
      <c r="BO615" s="38">
        <f>IF(AND(BO$7="○",$A615&gt;=BO$8,$A615&lt;=BO$9),IF(SUM(BO$10:BO614)-ROUNDDOWN($M615*BO$5/100,0)&lt;-BO$6,-BO$6-SUM(BO$10:BO614),-ROUNDDOWN($M615*BO$5/100,0)),0)</f>
        <v>0</v>
      </c>
      <c r="BP615" s="38">
        <f>IF(AND(BP$7="○",$A615&gt;=BP$8,$A615&lt;=BP$9),IF(SUM(BP$10:BP614)-ROUNDDOWN($M615*BP$5/100,0)&lt;-BP$6,-BP$6-SUM(BP$10:BP614),-ROUNDDOWN($M615*BP$5/100,0)),0)</f>
        <v>0</v>
      </c>
      <c r="BQ615" s="38">
        <f>IF(AND(BQ$7="○",$A615&gt;=BQ$8,$A615&lt;=BQ$9),IF(SUM(BQ$10:BQ614)-ROUNDDOWN($L615*BQ$5/100,0)&lt;-BQ$6,-BQ$6-SUM(BQ$10:BQ614),-ROUNDDOWN($L615*BQ$5/100,0)),0)</f>
        <v>0</v>
      </c>
      <c r="BR615" s="38">
        <f>IF(AND(BR$7="○",$A615&gt;=BR$8,$A615&lt;=BR$9),IF(SUM(BR$10:BR614)-ROUNDDOWN($M615*BR$5/100,0)&lt;-BR$6,-BR$6-SUM(BR$10:BR614),-ROUNDDOWN($M615*BR$5/100,0)),0)</f>
        <v>0</v>
      </c>
      <c r="BS615" s="38">
        <f>IF(AND(BS$7="○",$A615&gt;=BS$8,$A615&lt;=BS$9),IF(SUM(BS$10:BS614)-ROUNDDOWN($M615*BS$5/100,0)&lt;-BS$6,-BS$6-SUM(BS$10:BS614),-ROUNDDOWN($M615*BS$5/100,0)),0)</f>
        <v>0</v>
      </c>
      <c r="BT615" s="38">
        <f>IF(AND(BT$7="○",$A615&gt;=BT$8,$A615&lt;=BT$9),IF(SUM(BT$10:BT614)-ROUNDDOWN($M615*BT$5/100,0)&lt;-BT$6,-BT$6-SUM(BT$10:BT614),-ROUNDDOWN($M615*BT$5/100,0)),0)</f>
        <v>0</v>
      </c>
      <c r="BU615" s="38">
        <f>IF(AND(BU$7="○",$A615&gt;=BU$8,$A615&lt;=BU$9),IF(SUM(BU$10:BU614)-ROUNDDOWN($M615*BU$5/100,0)&lt;-BU$6,-BU$6-SUM(BU$10:BU614),-ROUNDDOWN($M615*BU$5/100,0)),0)</f>
        <v>0</v>
      </c>
      <c r="BV615" s="38">
        <f>IF(AND(BV$7="○",$A615&gt;=BV$8,$A615&lt;=BV$9),IF(SUM(BV$10:BV614)-ROUNDDOWN($M615*BV$5/100,0)&lt;-BV$6,-BV$6-SUM(BV$10:BV614),-ROUNDDOWN($M615*BV$5/100,0)),0)</f>
        <v>0</v>
      </c>
      <c r="BW615" s="38">
        <f>IF(AND(BW$7="○",$A615&gt;=BW$8,$A615&lt;=BW$9),IF(SUM(BW$10:BW614)-ROUNDDOWN($M615*BW$5/100,0)&lt;-BW$6,-BW$6-SUM(BW$10:BW614),-ROUNDDOWN($M615*BW$5/100,0)),0)</f>
        <v>0</v>
      </c>
      <c r="BX615" s="38">
        <f>IF(AND(T615="○",$A615&gt;=BX$8,$A615&lt;=BX$9),IF(SUM(BX$10:BX614)-ROUNDDOWN($K615*BX$5/100,0)&lt;-BX$6,-BX$6-SUM(BX$10:BX614),-ROUNDDOWN($K615*BX$5/100,0)),0)</f>
        <v>0</v>
      </c>
      <c r="BY615" s="38">
        <f>IF(AND(U615="○",$A615&gt;=BY$8,$A615&lt;=BY$9),IF(SUM(BY$10:BY614)-ROUNDDOWN($K615*BY$5/100,0)&lt;-BY$6,-BY$6-SUM(BY$10:BY614),-ROUNDDOWN($K615*BY$5/100,0)),0)</f>
        <v>0</v>
      </c>
      <c r="BZ615" s="38">
        <f>IF(AND(V615="○",$A615&gt;=BZ$8,$A615&lt;=BZ$9),IF(SUM(BZ$10:BZ614)-ROUNDDOWN($K615*BZ$5/100,0)&lt;-BZ$6,-BZ$6-SUM(BZ$10:BZ614),-ROUNDDOWN($K615*BZ$5/100,0)),0)</f>
        <v>0</v>
      </c>
      <c r="CA615" s="38">
        <f>IF(AND(W615="○",$A615&gt;=CA$8,$A615&lt;=CA$9),IF(SUM(CA$10:CA614)-ROUNDDOWN($K615*CA$5/100,0)&lt;-CA$6,-CA$6-SUM(CA$10:CA614),-ROUNDDOWN($K615*CA$5/100,0)),0)</f>
        <v>0</v>
      </c>
      <c r="CB615" s="38"/>
      <c r="CC615" s="38"/>
      <c r="CD615" s="38"/>
      <c r="CE615" s="38"/>
      <c r="CF615" s="38"/>
      <c r="CG615" s="65">
        <f t="shared" si="383"/>
        <v>0</v>
      </c>
      <c r="CH615" s="71">
        <f t="shared" si="384"/>
        <v>0</v>
      </c>
      <c r="CI615" s="1">
        <f t="shared" si="391"/>
        <v>0</v>
      </c>
      <c r="CJ615" s="1"/>
      <c r="CK615" s="2"/>
      <c r="CL615" s="2"/>
      <c r="CM615" s="2"/>
      <c r="CN615" s="2"/>
      <c r="CO615" s="73">
        <f t="shared" si="392"/>
        <v>0</v>
      </c>
      <c r="CP615" s="5">
        <f t="shared" si="393"/>
        <v>0</v>
      </c>
      <c r="CQ615" s="1"/>
      <c r="CR615" s="1">
        <f t="shared" si="394"/>
        <v>0</v>
      </c>
      <c r="CS615" s="1"/>
      <c r="CT615" s="1" t="e">
        <f>INDEX([2]マスタ!$A:$A,MATCH(D615,[2]マスタ!$C:$C,0))</f>
        <v>#N/A</v>
      </c>
      <c r="CU615" s="1" t="str">
        <f t="shared" ca="1" si="395"/>
        <v>20260620_0-0</v>
      </c>
    </row>
    <row r="616" spans="1:99" x14ac:dyDescent="0.4">
      <c r="A616" s="61"/>
      <c r="B616" s="62"/>
      <c r="C616" s="62"/>
      <c r="D616" s="62"/>
      <c r="E616" s="63"/>
      <c r="F616" s="62"/>
      <c r="G616" s="62">
        <v>1</v>
      </c>
      <c r="H616" s="64">
        <f t="shared" si="4"/>
        <v>0</v>
      </c>
      <c r="I616" s="64"/>
      <c r="J616" s="78"/>
      <c r="K616" s="65">
        <f t="shared" si="49"/>
        <v>0</v>
      </c>
      <c r="L616" s="65">
        <f t="shared" si="6"/>
        <v>0</v>
      </c>
      <c r="M616" s="65">
        <f t="shared" si="7"/>
        <v>0</v>
      </c>
      <c r="N616" s="65">
        <f t="shared" si="8"/>
        <v>0</v>
      </c>
      <c r="O616" s="66" t="str">
        <f t="shared" si="9"/>
        <v>✕</v>
      </c>
      <c r="P616" s="67" t="str">
        <f t="shared" si="10"/>
        <v>○</v>
      </c>
      <c r="Q616" s="67" t="str">
        <f t="shared" si="50"/>
        <v>✕</v>
      </c>
      <c r="R616" s="67" t="str">
        <f t="shared" si="12"/>
        <v>✕</v>
      </c>
      <c r="S616" s="68">
        <v>0</v>
      </c>
      <c r="T616" s="69" t="s">
        <v>85</v>
      </c>
      <c r="U616" s="69" t="s">
        <v>85</v>
      </c>
      <c r="V616" s="69" t="s">
        <v>85</v>
      </c>
      <c r="W616" s="69" t="s">
        <v>85</v>
      </c>
      <c r="X616" s="69" t="s">
        <v>84</v>
      </c>
      <c r="Y616" s="69" t="s">
        <v>85</v>
      </c>
      <c r="Z616" s="69" t="s">
        <v>85</v>
      </c>
      <c r="AA616" s="69" t="s">
        <v>85</v>
      </c>
      <c r="AB616" s="69" t="s">
        <v>85</v>
      </c>
      <c r="AC616" s="69" t="s">
        <v>85</v>
      </c>
      <c r="AD616" s="38" t="str">
        <f>+IF(ISERROR(VLOOKUP($B616,AD$10:AD45,1,0)),IF(AND($N616&gt;=1000,$A616&gt;=AO$8,$A616&lt;=AO$9),$B616,""),"")</f>
        <v/>
      </c>
      <c r="AE616" s="38" t="str">
        <f>+IF(ISERROR(VLOOKUP($B616,AE$10:AE45,1,0)),IF(AND($N616&gt;=1000,$A616&gt;=AP$8,$A616&lt;=AP$9),$B616,""),"")</f>
        <v/>
      </c>
      <c r="AF616" s="38" t="str">
        <f>+IF(ISERROR(VLOOKUP($B616,AF$10:AF45,1,0)),IF(AND($N616&gt;=1000,$A616&gt;=AQ$8,$A616&lt;=AQ$9),$B616,""),"")</f>
        <v/>
      </c>
      <c r="AG616" s="38" t="str">
        <f>+IF(ISERROR(VLOOKUP($B616,AG$10:AG45,1,0)),IF(AND($N616&gt;=1000,$A616&gt;=AR$8,$A616&lt;=AR$9),$B616,""),"")</f>
        <v/>
      </c>
      <c r="AH616" s="38"/>
      <c r="AI616" s="70">
        <v>0</v>
      </c>
      <c r="AJ616" s="38">
        <f>IF(AND(AJ$7="○",$A616&gt;=AJ$8,$A616&lt;=AJ$9),IF(SUM(AJ$10:AJ615)-ROUNDDOWN($K616*AJ$5/100,0)&lt;-AJ$6,-AJ$6-SUM(AJ$10:AJ615),-ROUNDDOWN($K616*AJ$5/100,0)),0)</f>
        <v>0</v>
      </c>
      <c r="AK616" s="38">
        <f>IF(AND(AK$7="○",$A616&gt;=AK$8,$A616&lt;=AK$9),IF(SUM(AK$10:AK615)-ROUNDDOWN($L616*AK$5/100,0)&lt;-AK$6,-AK$6-SUM(AK$10:AK615),-ROUNDDOWN($L616*AK$5/100,0)),0)</f>
        <v>0</v>
      </c>
      <c r="AL616" s="38">
        <f>IF(AND(AL$7="○",$A616&gt;=AL$8,$A616&lt;=AL$9),IF(SUM(AL$10:AL615)-ROUNDDOWN($N616*AL$5/100,0)&lt;-AL$6,-AL$6-SUM(AL$10:AL615),-ROUNDDOWN($N616*AL$5/100,0)),0)</f>
        <v>0</v>
      </c>
      <c r="AM616" s="38">
        <f>IF(AND(AM$7="○",$A616&gt;=AM$8,$A616&lt;=AM$9),IF(SUM(AM$10:AM615)-ROUNDDOWN($L616*AM$5/100,0)&lt;-AM$6,-AM$6-SUM(AM$10:AM615),-ROUNDDOWN($L616*AM$5/100,0)),0)</f>
        <v>0</v>
      </c>
      <c r="AN616" s="38">
        <f>IF(AND(AN$7="○",$A616&gt;=AN$8,$A616&lt;=AN$9),IF(SUM(AN$10:AN615)-ROUNDDOWN($M616*AN$5/100,0)&lt;-AN$6,-AN$6-SUM(AN$10:AN615),-ROUNDDOWN($M616*AN$5/100,0)),0)</f>
        <v>0</v>
      </c>
      <c r="AO616" s="38">
        <f>IF(AND($A616&gt;=AO$8,$A616&lt;=AO$9),IF(SUM(AO$10:AO615)-ROUNDDOWN($K616*AO$5/100,0)&lt;-AO$6,-AO$6-SUM(AO$10:AO615),-ROUNDDOWN($K616*AO$5/100,0)),0)</f>
        <v>0</v>
      </c>
      <c r="AP616" s="38">
        <f>IF(AND($A616&gt;=AP$8,$A616&lt;=AP$9),IF(SUM(AP$10:AP615)-ROUNDDOWN($K616*AP$5/100,0)&lt;-AP$6,-AP$6-SUM(AP$10:AP615),-ROUNDDOWN($K616*AP$5/100,0)),0)</f>
        <v>0</v>
      </c>
      <c r="AQ616" s="38">
        <f>IF(AND($A616&gt;=AQ$8,$A616&lt;=AQ$9),IF(SUM(AQ$10:AQ615)-ROUNDDOWN($K616*AQ$5/100,0)&lt;-AQ$6,-AQ$6-SUM(AQ$10:AQ615),-ROUNDDOWN($K616*AQ$5/100,0)),0)</f>
        <v>0</v>
      </c>
      <c r="AR616" s="38">
        <f>IF(AND($A616&gt;=AR$8,$A616&lt;=AR$9),IF(SUM(AR$10:AR615)-ROUNDDOWN($K616*AR$5/100,0)&lt;-AR$6,-AR$6-SUM(AR$10:AR615),-ROUNDDOWN($K616*AR$5/100,0)),0)</f>
        <v>0</v>
      </c>
      <c r="AS616" s="38">
        <f>IF(SUMIFS(AS$10:AS615,$A$10:$A615,$A616)-ROUNDDOWN($K616*$S616/100,0)&lt;-$S616*1000,-$S616*1000-SUMIFS(AS$10:AS615,$A$10:$A615,$A616),-ROUNDDOWN($K616*$S616/100,0))</f>
        <v>0</v>
      </c>
      <c r="AT616" s="38">
        <f>IF(AND(X616="○",$A616&gt;=AT$8,$A616&lt;=AT$9,K616&gt;=3980),IF(SUM(AT$10:AT615)-ROUNDDOWN($K616*AT$5/100,0)&lt;-AT$6,-AT$6-SUM(AT$10:AT615),-ROUNDDOWN($K616*AT$5/100,0)),0)</f>
        <v>0</v>
      </c>
      <c r="AU616" s="38">
        <f>IF(O616="○",IF(SUM(AU$10:AU615)-ROUNDDOWN($K616*AU$5/100,0)&lt;-AU$6,-AU$6-SUM(AU$10:AU615),-ROUNDDOWN($K616*AU$5/100,0)),0)</f>
        <v>0</v>
      </c>
      <c r="AV616" s="38">
        <f>IF(P616="○",IF(SUM(AV$10:AV615)-ROUNDDOWN($K616*AV$5/100,0)&lt;-AV$6,-AV$6-SUM(AV$10:AV615),-ROUNDDOWN($K616*AV$5/100,0)),0)</f>
        <v>0</v>
      </c>
      <c r="AW616" s="38">
        <f>IF(Q616="○",IF(SUM(AW$10:AW615)-ROUNDDOWN($K616*AW$5/100,0)&lt;-AW$6,-AW$6-SUM(AW$10:AW615),-ROUNDDOWN($K616*AW$5/100,0)),0)</f>
        <v>0</v>
      </c>
      <c r="AX616" s="38">
        <f>IF(R616="○",IF(SUM(AX$10:AX615)-ROUNDDOWN($K616*AX$5/100,0)&lt;-AX$6,-AX$6-SUM(AX$10:AX615),-ROUNDDOWN($K616*AX$5/100,0)),0)</f>
        <v>0</v>
      </c>
      <c r="AY616" s="70">
        <v>0</v>
      </c>
      <c r="AZ616" s="65">
        <f t="shared" si="377"/>
        <v>0</v>
      </c>
      <c r="BA616" s="65">
        <f t="shared" si="378"/>
        <v>0</v>
      </c>
      <c r="BB616" s="70"/>
      <c r="BC616" s="65">
        <f t="shared" si="379"/>
        <v>0</v>
      </c>
      <c r="BD616" s="70">
        <v>0</v>
      </c>
      <c r="BE616" s="65">
        <f t="shared" si="380"/>
        <v>0</v>
      </c>
      <c r="BF616" s="70">
        <v>0</v>
      </c>
      <c r="BG616" s="65">
        <f t="shared" si="381"/>
        <v>0</v>
      </c>
      <c r="BH616" s="70">
        <v>0</v>
      </c>
      <c r="BI616" s="65">
        <f t="shared" si="382"/>
        <v>0</v>
      </c>
      <c r="BJ616" s="38">
        <f>IF(AND(BJ$7="○",$A616&gt;=BJ$8,$A616&lt;=BJ$9),IF(SUM(BJ$10:BJ615)-ROUNDDOWN($M616*BJ$5/100,0)&lt;-BJ$6,-BJ$6-SUM(BJ$10:BJ615),-ROUNDDOWN($M616*BJ$5/100,0)),0)</f>
        <v>0</v>
      </c>
      <c r="BK616" s="38">
        <f>IF(AND(BK$7="○",$A616&gt;=BK$8,$A616&lt;=BK$9),IF(SUM(BK$10:BK615)-ROUNDDOWN($L616*BK$5/100,0)&lt;-BK$6,-BK$6-SUM(BK$10:BK615),-ROUNDDOWN($L616*BK$5/100,0)),0)</f>
        <v>0</v>
      </c>
      <c r="BL616" s="38">
        <f>IF(AND(BL$7="○",$A616&gt;=BL$8,$A616&lt;=BL$9),IF(SUM(BL$10:BL615)-ROUNDDOWN($L616*BL$5/100,0)&lt;-BL$6,-BL$6-SUM(BL$10:BL615),-ROUNDDOWN($L616*BL$5/100,0)),0)</f>
        <v>0</v>
      </c>
      <c r="BM616" s="38">
        <f>IF(AND(BM$7="○",$A616&gt;=BM$8,$A616&lt;=BM$9),IF(SUM(BM$10:BM615)-ROUNDDOWN($M616*BM$5/100,0)&lt;-BM$6,-BM$6-SUM(BM$10:BM615),-ROUNDDOWN($M616*BM$5/100,0)),0)</f>
        <v>0</v>
      </c>
      <c r="BN616" s="38">
        <f>IF(AND(BN$7="○",$A616&gt;=BN$8,$A616&lt;=BN$9),IF(SUM(BN$10:BN615)-ROUNDDOWN($M616*BN$5/100,0)&lt;-BN$6,-BN$6-SUM(BN$10:BN615),-ROUNDDOWN($M616*BN$5/100,0)),0)</f>
        <v>0</v>
      </c>
      <c r="BO616" s="38">
        <f>IF(AND(BO$7="○",$A616&gt;=BO$8,$A616&lt;=BO$9),IF(SUM(BO$10:BO615)-ROUNDDOWN($M616*BO$5/100,0)&lt;-BO$6,-BO$6-SUM(BO$10:BO615),-ROUNDDOWN($M616*BO$5/100,0)),0)</f>
        <v>0</v>
      </c>
      <c r="BP616" s="38">
        <f>IF(AND(BP$7="○",$A616&gt;=BP$8,$A616&lt;=BP$9),IF(SUM(BP$10:BP615)-ROUNDDOWN($M616*BP$5/100,0)&lt;-BP$6,-BP$6-SUM(BP$10:BP615),-ROUNDDOWN($M616*BP$5/100,0)),0)</f>
        <v>0</v>
      </c>
      <c r="BQ616" s="38">
        <f>IF(AND(BQ$7="○",$A616&gt;=BQ$8,$A616&lt;=BQ$9),IF(SUM(BQ$10:BQ615)-ROUNDDOWN($L616*BQ$5/100,0)&lt;-BQ$6,-BQ$6-SUM(BQ$10:BQ615),-ROUNDDOWN($L616*BQ$5/100,0)),0)</f>
        <v>0</v>
      </c>
      <c r="BR616" s="38">
        <f>IF(AND(BR$7="○",$A616&gt;=BR$8,$A616&lt;=BR$9),IF(SUM(BR$10:BR615)-ROUNDDOWN($M616*BR$5/100,0)&lt;-BR$6,-BR$6-SUM(BR$10:BR615),-ROUNDDOWN($M616*BR$5/100,0)),0)</f>
        <v>0</v>
      </c>
      <c r="BS616" s="38">
        <f>IF(AND(BS$7="○",$A616&gt;=BS$8,$A616&lt;=BS$9),IF(SUM(BS$10:BS615)-ROUNDDOWN($M616*BS$5/100,0)&lt;-BS$6,-BS$6-SUM(BS$10:BS615),-ROUNDDOWN($M616*BS$5/100,0)),0)</f>
        <v>0</v>
      </c>
      <c r="BT616" s="38">
        <f>IF(AND(BT$7="○",$A616&gt;=BT$8,$A616&lt;=BT$9),IF(SUM(BT$10:BT615)-ROUNDDOWN($M616*BT$5/100,0)&lt;-BT$6,-BT$6-SUM(BT$10:BT615),-ROUNDDOWN($M616*BT$5/100,0)),0)</f>
        <v>0</v>
      </c>
      <c r="BU616" s="38">
        <f>IF(AND(BU$7="○",$A616&gt;=BU$8,$A616&lt;=BU$9),IF(SUM(BU$10:BU615)-ROUNDDOWN($M616*BU$5/100,0)&lt;-BU$6,-BU$6-SUM(BU$10:BU615),-ROUNDDOWN($M616*BU$5/100,0)),0)</f>
        <v>0</v>
      </c>
      <c r="BV616" s="38">
        <f>IF(AND(BV$7="○",$A616&gt;=BV$8,$A616&lt;=BV$9),IF(SUM(BV$10:BV615)-ROUNDDOWN($M616*BV$5/100,0)&lt;-BV$6,-BV$6-SUM(BV$10:BV615),-ROUNDDOWN($M616*BV$5/100,0)),0)</f>
        <v>0</v>
      </c>
      <c r="BW616" s="38">
        <f>IF(AND(BW$7="○",$A616&gt;=BW$8,$A616&lt;=BW$9),IF(SUM(BW$10:BW615)-ROUNDDOWN($M616*BW$5/100,0)&lt;-BW$6,-BW$6-SUM(BW$10:BW615),-ROUNDDOWN($M616*BW$5/100,0)),0)</f>
        <v>0</v>
      </c>
      <c r="BX616" s="38">
        <f>IF(AND(T616="○",$A616&gt;=BX$8,$A616&lt;=BX$9),IF(SUM(BX$10:BX615)-ROUNDDOWN($K616*BX$5/100,0)&lt;-BX$6,-BX$6-SUM(BX$10:BX615),-ROUNDDOWN($K616*BX$5/100,0)),0)</f>
        <v>0</v>
      </c>
      <c r="BY616" s="38">
        <f>IF(AND(U616="○",$A616&gt;=BY$8,$A616&lt;=BY$9),IF(SUM(BY$10:BY615)-ROUNDDOWN($K616*BY$5/100,0)&lt;-BY$6,-BY$6-SUM(BY$10:BY615),-ROUNDDOWN($K616*BY$5/100,0)),0)</f>
        <v>0</v>
      </c>
      <c r="BZ616" s="38">
        <f>IF(AND(V616="○",$A616&gt;=BZ$8,$A616&lt;=BZ$9),IF(SUM(BZ$10:BZ615)-ROUNDDOWN($K616*BZ$5/100,0)&lt;-BZ$6,-BZ$6-SUM(BZ$10:BZ615),-ROUNDDOWN($K616*BZ$5/100,0)),0)</f>
        <v>0</v>
      </c>
      <c r="CA616" s="38">
        <f>IF(AND(W616="○",$A616&gt;=CA$8,$A616&lt;=CA$9),IF(SUM(CA$10:CA615)-ROUNDDOWN($K616*CA$5/100,0)&lt;-CA$6,-CA$6-SUM(CA$10:CA615),-ROUNDDOWN($K616*CA$5/100,0)),0)</f>
        <v>0</v>
      </c>
      <c r="CB616" s="38"/>
      <c r="CC616" s="38"/>
      <c r="CD616" s="38"/>
      <c r="CE616" s="38"/>
      <c r="CF616" s="38"/>
      <c r="CG616" s="65">
        <f t="shared" si="383"/>
        <v>0</v>
      </c>
      <c r="CH616" s="71">
        <f t="shared" si="384"/>
        <v>0</v>
      </c>
      <c r="CI616" s="1">
        <f t="shared" si="19"/>
        <v>0</v>
      </c>
      <c r="CJ616" s="1"/>
      <c r="CK616" s="72"/>
      <c r="CL616" s="72"/>
      <c r="CM616" s="2"/>
      <c r="CN616" s="2"/>
      <c r="CO616" s="73">
        <f t="shared" si="20"/>
        <v>0</v>
      </c>
      <c r="CP616" s="5">
        <f t="shared" si="21"/>
        <v>0</v>
      </c>
      <c r="CQ616" s="1"/>
      <c r="CR616" s="1">
        <f t="shared" si="22"/>
        <v>0</v>
      </c>
      <c r="CS616" s="1"/>
      <c r="CT616" s="1" t="e">
        <f>INDEX([2]マスタ!$A:$A,MATCH(D616,[2]マスタ!$C:$C,0))</f>
        <v>#N/A</v>
      </c>
      <c r="CU616" s="1" t="str">
        <f t="shared" ca="1" si="23"/>
        <v>20260620_0-0</v>
      </c>
    </row>
    <row r="617" spans="1:99" x14ac:dyDescent="0.4">
      <c r="A617" s="61"/>
      <c r="B617" s="62"/>
      <c r="C617" s="62"/>
      <c r="D617" s="62"/>
      <c r="E617" s="63"/>
      <c r="F617" s="62"/>
      <c r="G617" s="62">
        <v>1</v>
      </c>
      <c r="H617" s="64">
        <f t="shared" si="4"/>
        <v>0</v>
      </c>
      <c r="I617" s="64"/>
      <c r="J617" s="64"/>
      <c r="K617" s="65">
        <f t="shared" si="49"/>
        <v>0</v>
      </c>
      <c r="L617" s="65">
        <f t="shared" si="6"/>
        <v>0</v>
      </c>
      <c r="M617" s="65">
        <f t="shared" si="7"/>
        <v>0</v>
      </c>
      <c r="N617" s="65">
        <f t="shared" si="8"/>
        <v>0</v>
      </c>
      <c r="O617" s="66" t="str">
        <f t="shared" si="9"/>
        <v>✕</v>
      </c>
      <c r="P617" s="67" t="str">
        <f t="shared" si="10"/>
        <v>○</v>
      </c>
      <c r="Q617" s="67" t="str">
        <f t="shared" si="50"/>
        <v>✕</v>
      </c>
      <c r="R617" s="67" t="str">
        <f t="shared" si="12"/>
        <v>✕</v>
      </c>
      <c r="S617" s="68">
        <v>0</v>
      </c>
      <c r="T617" s="69" t="s">
        <v>85</v>
      </c>
      <c r="U617" s="69" t="s">
        <v>85</v>
      </c>
      <c r="V617" s="69" t="s">
        <v>85</v>
      </c>
      <c r="W617" s="69" t="s">
        <v>85</v>
      </c>
      <c r="X617" s="69" t="s">
        <v>84</v>
      </c>
      <c r="Y617" s="69" t="s">
        <v>85</v>
      </c>
      <c r="Z617" s="69" t="s">
        <v>85</v>
      </c>
      <c r="AA617" s="69" t="s">
        <v>85</v>
      </c>
      <c r="AB617" s="69" t="s">
        <v>85</v>
      </c>
      <c r="AC617" s="69" t="s">
        <v>85</v>
      </c>
      <c r="AD617" s="38" t="str">
        <f>+IF(ISERROR(VLOOKUP($B617,AD$10:AD616,1,0)),IF(AND($N617&gt;=1000,$A617&gt;=AO$8,$A617&lt;=AO$9),$B617,""),"")</f>
        <v/>
      </c>
      <c r="AE617" s="38" t="str">
        <f>+IF(ISERROR(VLOOKUP($B617,AE$10:AE616,1,0)),IF(AND($N617&gt;=1000,$A617&gt;=AP$8,$A617&lt;=AP$9),$B617,""),"")</f>
        <v/>
      </c>
      <c r="AF617" s="38" t="str">
        <f>+IF(ISERROR(VLOOKUP($B617,AF$10:AF616,1,0)),IF(AND($N617&gt;=1000,$A617&gt;=AQ$8,$A617&lt;=AQ$9),$B617,""),"")</f>
        <v/>
      </c>
      <c r="AG617" s="38" t="str">
        <f>+IF(ISERROR(VLOOKUP($B617,AG$10:AG616,1,0)),IF(AND($N617&gt;=1000,$A617&gt;=AR$8,$A617&lt;=AR$9),$B617,""),"")</f>
        <v/>
      </c>
      <c r="AH617" s="38"/>
      <c r="AI617" s="70">
        <v>0</v>
      </c>
      <c r="AJ617" s="38">
        <f>IF(AND(AJ$7="○",$A617&gt;=AJ$8,$A617&lt;=AJ$9),IF(SUM(AJ$10:AJ616)-ROUNDDOWN($K617*AJ$5/100,0)&lt;-AJ$6,-AJ$6-SUM(AJ$10:AJ616),-ROUNDDOWN($K617*AJ$5/100,0)),0)</f>
        <v>0</v>
      </c>
      <c r="AK617" s="38">
        <f>IF(AND(AK$7="○",$A617&gt;=AK$8,$A617&lt;=AK$9),IF(SUM(AK$10:AK616)-ROUNDDOWN($L617*AK$5/100,0)&lt;-AK$6,-AK$6-SUM(AK$10:AK616),-ROUNDDOWN($L617*AK$5/100,0)),0)</f>
        <v>0</v>
      </c>
      <c r="AL617" s="38">
        <f>IF(AND(AL$7="○",$A617&gt;=AL$8,$A617&lt;=AL$9),IF(SUM(AL$10:AL616)-ROUNDDOWN($N617*AL$5/100,0)&lt;-AL$6,-AL$6-SUM(AL$10:AL616),-ROUNDDOWN($N617*AL$5/100,0)),0)</f>
        <v>0</v>
      </c>
      <c r="AM617" s="38">
        <f>IF(AND(AM$7="○",$A617&gt;=AM$8,$A617&lt;=AM$9),IF(SUM(AM$10:AM616)-ROUNDDOWN($L617*AM$5/100,0)&lt;-AM$6,-AM$6-SUM(AM$10:AM616),-ROUNDDOWN($L617*AM$5/100,0)),0)</f>
        <v>0</v>
      </c>
      <c r="AN617" s="38">
        <f>IF(AND(AN$7="○",$A617&gt;=AN$8,$A617&lt;=AN$9),IF(SUM(AN$10:AN616)-ROUNDDOWN($M617*AN$5/100,0)&lt;-AN$6,-AN$6-SUM(AN$10:AN616),-ROUNDDOWN($M617*AN$5/100,0)),0)</f>
        <v>0</v>
      </c>
      <c r="AO617" s="38">
        <f>IF(AND($A617&gt;=AO$8,$A617&lt;=AO$9),IF(SUM(AO$10:AO616)-ROUNDDOWN($K617*AO$5/100,0)&lt;-AO$6,-AO$6-SUM(AO$10:AO616),-ROUNDDOWN($K617*AO$5/100,0)),0)</f>
        <v>0</v>
      </c>
      <c r="AP617" s="38">
        <f>IF(AND($A617&gt;=AP$8,$A617&lt;=AP$9),IF(SUM(AP$10:AP616)-ROUNDDOWN($K617*AP$5/100,0)&lt;-AP$6,-AP$6-SUM(AP$10:AP616),-ROUNDDOWN($K617*AP$5/100,0)),0)</f>
        <v>0</v>
      </c>
      <c r="AQ617" s="38">
        <f>IF(AND($A617&gt;=AQ$8,$A617&lt;=AQ$9),IF(SUM(AQ$10:AQ616)-ROUNDDOWN($K617*AQ$5/100,0)&lt;-AQ$6,-AQ$6-SUM(AQ$10:AQ616),-ROUNDDOWN($K617*AQ$5/100,0)),0)</f>
        <v>0</v>
      </c>
      <c r="AR617" s="38">
        <f>IF(AND($A617&gt;=AR$8,$A617&lt;=AR$9),IF(SUM(AR$10:AR616)-ROUNDDOWN($K617*AR$5/100,0)&lt;-AR$6,-AR$6-SUM(AR$10:AR616),-ROUNDDOWN($K617*AR$5/100,0)),0)</f>
        <v>0</v>
      </c>
      <c r="AS617" s="38">
        <f>IF(SUMIFS(AS$10:AS616,$A$10:$A616,$A617)-ROUNDDOWN($K617*$S617/100,0)&lt;-$S617*1000,-$S617*1000-SUMIFS(AS$10:AS616,$A$10:$A616,$A617),-ROUNDDOWN($K617*$S617/100,0))</f>
        <v>0</v>
      </c>
      <c r="AT617" s="38">
        <f>IF(AND(X617="○",$A617&gt;=AT$8,$A617&lt;=AT$9,K617&gt;=3980),IF(SUM(AT$10:AT616)-ROUNDDOWN($K617*AT$5/100,0)&lt;-AT$6,-AT$6-SUM(AT$10:AT616),-ROUNDDOWN($K617*AT$5/100,0)),0)</f>
        <v>0</v>
      </c>
      <c r="AU617" s="38">
        <f>IF(O617="○",IF(SUM(AU$10:AU616)-ROUNDDOWN($K617*AU$5/100,0)&lt;-AU$6,-AU$6-SUM(AU$10:AU616),-ROUNDDOWN($K617*AU$5/100,0)),0)</f>
        <v>0</v>
      </c>
      <c r="AV617" s="38">
        <f>IF(P617="○",IF(SUM(AV$10:AV616)-ROUNDDOWN($K617*AV$5/100,0)&lt;-AV$6,-AV$6-SUM(AV$10:AV616),-ROUNDDOWN($K617*AV$5/100,0)),0)</f>
        <v>0</v>
      </c>
      <c r="AW617" s="38">
        <f>IF(Q617="○",IF(SUM(AW$10:AW616)-ROUNDDOWN($K617*AW$5/100,0)&lt;-AW$6,-AW$6-SUM(AW$10:AW616),-ROUNDDOWN($K617*AW$5/100,0)),0)</f>
        <v>0</v>
      </c>
      <c r="AX617" s="38">
        <f>IF(R617="○",IF(SUM(AX$10:AX616)-ROUNDDOWN($K617*AX$5/100,0)&lt;-AX$6,-AX$6-SUM(AX$10:AX616),-ROUNDDOWN($K617*AX$5/100,0)),0)</f>
        <v>0</v>
      </c>
      <c r="AY617" s="70">
        <v>0</v>
      </c>
      <c r="AZ617" s="65">
        <f t="shared" si="377"/>
        <v>0</v>
      </c>
      <c r="BA617" s="65">
        <f t="shared" si="378"/>
        <v>0</v>
      </c>
      <c r="BB617" s="70"/>
      <c r="BC617" s="65">
        <f t="shared" si="379"/>
        <v>0</v>
      </c>
      <c r="BD617" s="70">
        <v>0</v>
      </c>
      <c r="BE617" s="65">
        <f t="shared" si="380"/>
        <v>0</v>
      </c>
      <c r="BF617" s="70">
        <v>0</v>
      </c>
      <c r="BG617" s="65">
        <f t="shared" si="381"/>
        <v>0</v>
      </c>
      <c r="BH617" s="70">
        <v>0</v>
      </c>
      <c r="BI617" s="65">
        <f t="shared" si="382"/>
        <v>0</v>
      </c>
      <c r="BJ617" s="38">
        <f>IF(AND(BJ$7="○",$A617&gt;=BJ$8,$A617&lt;=BJ$9),IF(SUM(BJ$10:BJ616)-ROUNDDOWN($M617*BJ$5/100,0)&lt;-BJ$6,-BJ$6-SUM(BJ$10:BJ616),-ROUNDDOWN($M617*BJ$5/100,0)),0)</f>
        <v>0</v>
      </c>
      <c r="BK617" s="38">
        <f>IF(AND(BK$7="○",$A617&gt;=BK$8,$A617&lt;=BK$9),IF(SUM(BK$10:BK616)-ROUNDDOWN($L617*BK$5/100,0)&lt;-BK$6,-BK$6-SUM(BK$10:BK616),-ROUNDDOWN($L617*BK$5/100,0)),0)</f>
        <v>0</v>
      </c>
      <c r="BL617" s="38">
        <f>IF(AND(BL$7="○",$A617&gt;=BL$8,$A617&lt;=BL$9),IF(SUM(BL$10:BL616)-ROUNDDOWN($L617*BL$5/100,0)&lt;-BL$6,-BL$6-SUM(BL$10:BL616),-ROUNDDOWN($L617*BL$5/100,0)),0)</f>
        <v>0</v>
      </c>
      <c r="BM617" s="38">
        <f>IF(AND(BM$7="○",$A617&gt;=BM$8,$A617&lt;=BM$9),IF(SUM(BM$10:BM616)-ROUNDDOWN($M617*BM$5/100,0)&lt;-BM$6,-BM$6-SUM(BM$10:BM616),-ROUNDDOWN($M617*BM$5/100,0)),0)</f>
        <v>0</v>
      </c>
      <c r="BN617" s="38">
        <f>IF(AND(BN$7="○",$A617&gt;=BN$8,$A617&lt;=BN$9),IF(SUM(BN$10:BN616)-ROUNDDOWN($M617*BN$5/100,0)&lt;-BN$6,-BN$6-SUM(BN$10:BN616),-ROUNDDOWN($M617*BN$5/100,0)),0)</f>
        <v>0</v>
      </c>
      <c r="BO617" s="38">
        <f>IF(AND(BO$7="○",$A617&gt;=BO$8,$A617&lt;=BO$9),IF(SUM(BO$10:BO616)-ROUNDDOWN($M617*BO$5/100,0)&lt;-BO$6,-BO$6-SUM(BO$10:BO616),-ROUNDDOWN($M617*BO$5/100,0)),0)</f>
        <v>0</v>
      </c>
      <c r="BP617" s="38">
        <f>IF(AND(BP$7="○",$A617&gt;=BP$8,$A617&lt;=BP$9),IF(SUM(BP$10:BP616)-ROUNDDOWN($M617*BP$5/100,0)&lt;-BP$6,-BP$6-SUM(BP$10:BP616),-ROUNDDOWN($M617*BP$5/100,0)),0)</f>
        <v>0</v>
      </c>
      <c r="BQ617" s="38">
        <f>IF(AND(BQ$7="○",$A617&gt;=BQ$8,$A617&lt;=BQ$9),IF(SUM(BQ$10:BQ616)-ROUNDDOWN($L617*BQ$5/100,0)&lt;-BQ$6,-BQ$6-SUM(BQ$10:BQ616),-ROUNDDOWN($L617*BQ$5/100,0)),0)</f>
        <v>0</v>
      </c>
      <c r="BR617" s="38">
        <f>IF(AND(BR$7="○",$A617&gt;=BR$8,$A617&lt;=BR$9),IF(SUM(BR$10:BR616)-ROUNDDOWN($M617*BR$5/100,0)&lt;-BR$6,-BR$6-SUM(BR$10:BR616),-ROUNDDOWN($M617*BR$5/100,0)),0)</f>
        <v>0</v>
      </c>
      <c r="BS617" s="38">
        <f>IF(AND(BS$7="○",$A617&gt;=BS$8,$A617&lt;=BS$9),IF(SUM(BS$10:BS616)-ROUNDDOWN($M617*BS$5/100,0)&lt;-BS$6,-BS$6-SUM(BS$10:BS616),-ROUNDDOWN($M617*BS$5/100,0)),0)</f>
        <v>0</v>
      </c>
      <c r="BT617" s="38">
        <f>IF(AND(BT$7="○",$A617&gt;=BT$8,$A617&lt;=BT$9),IF(SUM(BT$10:BT616)-ROUNDDOWN($M617*BT$5/100,0)&lt;-BT$6,-BT$6-SUM(BT$10:BT616),-ROUNDDOWN($M617*BT$5/100,0)),0)</f>
        <v>0</v>
      </c>
      <c r="BU617" s="38">
        <f>IF(AND(BU$7="○",$A617&gt;=BU$8,$A617&lt;=BU$9),IF(SUM(BU$10:BU616)-ROUNDDOWN($M617*BU$5/100,0)&lt;-BU$6,-BU$6-SUM(BU$10:BU616),-ROUNDDOWN($M617*BU$5/100,0)),0)</f>
        <v>0</v>
      </c>
      <c r="BV617" s="38">
        <f>IF(AND(BV$7="○",$A617&gt;=BV$8,$A617&lt;=BV$9),IF(SUM(BV$10:BV616)-ROUNDDOWN($M617*BV$5/100,0)&lt;-BV$6,-BV$6-SUM(BV$10:BV616),-ROUNDDOWN($M617*BV$5/100,0)),0)</f>
        <v>0</v>
      </c>
      <c r="BW617" s="38">
        <f>IF(AND(BW$7="○",$A617&gt;=BW$8,$A617&lt;=BW$9),IF(SUM(BW$10:BW616)-ROUNDDOWN($M617*BW$5/100,0)&lt;-BW$6,-BW$6-SUM(BW$10:BW616),-ROUNDDOWN($M617*BW$5/100,0)),0)</f>
        <v>0</v>
      </c>
      <c r="BX617" s="38">
        <f>IF(AND(T617="○",$A617&gt;=BX$8,$A617&lt;=BX$9),IF(SUM(BX$10:BX616)-ROUNDDOWN($K617*BX$5/100,0)&lt;-BX$6,-BX$6-SUM(BX$10:BX616),-ROUNDDOWN($K617*BX$5/100,0)),0)</f>
        <v>0</v>
      </c>
      <c r="BY617" s="38">
        <f>IF(AND(U617="○",$A617&gt;=BY$8,$A617&lt;=BY$9),IF(SUM(BY$10:BY616)-ROUNDDOWN($K617*BY$5/100,0)&lt;-BY$6,-BY$6-SUM(BY$10:BY616),-ROUNDDOWN($K617*BY$5/100,0)),0)</f>
        <v>0</v>
      </c>
      <c r="BZ617" s="38">
        <f>IF(AND(V617="○",$A617&gt;=BZ$8,$A617&lt;=BZ$9),IF(SUM(BZ$10:BZ616)-ROUNDDOWN($K617*BZ$5/100,0)&lt;-BZ$6,-BZ$6-SUM(BZ$10:BZ616),-ROUNDDOWN($K617*BZ$5/100,0)),0)</f>
        <v>0</v>
      </c>
      <c r="CA617" s="38">
        <f>IF(AND(W617="○",$A617&gt;=CA$8,$A617&lt;=CA$9),IF(SUM(CA$10:CA616)-ROUNDDOWN($K617*CA$5/100,0)&lt;-CA$6,-CA$6-SUM(CA$10:CA616),-ROUNDDOWN($K617*CA$5/100,0)),0)</f>
        <v>0</v>
      </c>
      <c r="CB617" s="38"/>
      <c r="CC617" s="38"/>
      <c r="CD617" s="38"/>
      <c r="CE617" s="38"/>
      <c r="CF617" s="38"/>
      <c r="CG617" s="65">
        <f t="shared" si="383"/>
        <v>0</v>
      </c>
      <c r="CH617" s="71">
        <f t="shared" si="384"/>
        <v>0</v>
      </c>
      <c r="CI617" s="1">
        <f t="shared" si="19"/>
        <v>0</v>
      </c>
      <c r="CJ617" s="1"/>
      <c r="CK617" s="79"/>
      <c r="CL617" s="79"/>
      <c r="CM617" s="2"/>
      <c r="CN617" s="2"/>
      <c r="CO617" s="73">
        <f t="shared" si="20"/>
        <v>0</v>
      </c>
      <c r="CP617" s="5">
        <f t="shared" si="21"/>
        <v>0</v>
      </c>
      <c r="CQ617" s="1"/>
      <c r="CR617" s="1">
        <f t="shared" si="22"/>
        <v>0</v>
      </c>
      <c r="CS617" s="1"/>
      <c r="CT617" s="1" t="e">
        <f>INDEX([2]マスタ!$A:$A,MATCH(D617,[2]マスタ!$C:$C,0))</f>
        <v>#N/A</v>
      </c>
      <c r="CU617" s="1" t="str">
        <f t="shared" ca="1" si="23"/>
        <v>20260620_0-0</v>
      </c>
    </row>
    <row r="618" spans="1:99" x14ac:dyDescent="0.4">
      <c r="A618" s="61"/>
      <c r="B618" s="62"/>
      <c r="C618" s="62"/>
      <c r="D618" s="62"/>
      <c r="E618" s="62"/>
      <c r="F618" s="62"/>
      <c r="G618" s="62">
        <v>1</v>
      </c>
      <c r="H618" s="64">
        <f t="shared" si="4"/>
        <v>0</v>
      </c>
      <c r="I618" s="64"/>
      <c r="J618" s="64"/>
      <c r="K618" s="65">
        <f t="shared" si="49"/>
        <v>0</v>
      </c>
      <c r="L618" s="65">
        <f t="shared" si="6"/>
        <v>0</v>
      </c>
      <c r="M618" s="65">
        <f t="shared" si="7"/>
        <v>0</v>
      </c>
      <c r="N618" s="65">
        <f t="shared" si="8"/>
        <v>0</v>
      </c>
      <c r="O618" s="66" t="str">
        <f t="shared" si="9"/>
        <v>✕</v>
      </c>
      <c r="P618" s="67" t="str">
        <f t="shared" si="10"/>
        <v>○</v>
      </c>
      <c r="Q618" s="67" t="str">
        <f t="shared" si="50"/>
        <v>✕</v>
      </c>
      <c r="R618" s="67" t="str">
        <f t="shared" si="12"/>
        <v>✕</v>
      </c>
      <c r="S618" s="68">
        <v>0</v>
      </c>
      <c r="T618" s="69" t="s">
        <v>85</v>
      </c>
      <c r="U618" s="69" t="s">
        <v>85</v>
      </c>
      <c r="V618" s="69" t="s">
        <v>85</v>
      </c>
      <c r="W618" s="69" t="s">
        <v>85</v>
      </c>
      <c r="X618" s="69" t="s">
        <v>84</v>
      </c>
      <c r="Y618" s="69" t="s">
        <v>85</v>
      </c>
      <c r="Z618" s="69" t="s">
        <v>85</v>
      </c>
      <c r="AA618" s="69" t="s">
        <v>85</v>
      </c>
      <c r="AB618" s="69" t="s">
        <v>85</v>
      </c>
      <c r="AC618" s="69" t="s">
        <v>85</v>
      </c>
      <c r="AD618" s="38" t="str">
        <f>+IF(ISERROR(VLOOKUP($B618,AD$10:AD617,1,0)),IF(AND($N618&gt;=1000,$A618&gt;=AO$8,$A618&lt;=AO$9),$B618,""),"")</f>
        <v/>
      </c>
      <c r="AE618" s="38" t="str">
        <f>+IF(ISERROR(VLOOKUP($B618,AE$10:AE617,1,0)),IF(AND($N618&gt;=1000,$A618&gt;=AP$8,$A618&lt;=AP$9),$B618,""),"")</f>
        <v/>
      </c>
      <c r="AF618" s="38" t="str">
        <f>+IF(ISERROR(VLOOKUP($B618,AF$10:AF617,1,0)),IF(AND($N618&gt;=1000,$A618&gt;=AQ$8,$A618&lt;=AQ$9),$B618,""),"")</f>
        <v/>
      </c>
      <c r="AG618" s="38" t="str">
        <f>+IF(ISERROR(VLOOKUP($B618,AG$10:AG617,1,0)),IF(AND($N618&gt;=1000,$A618&gt;=AR$8,$A618&lt;=AR$9),$B618,""),"")</f>
        <v/>
      </c>
      <c r="AH618" s="38"/>
      <c r="AI618" s="70">
        <v>0</v>
      </c>
      <c r="AJ618" s="38">
        <f>IF(AND(AJ$7="○",$A618&gt;=AJ$8,$A618&lt;=AJ$9),IF(SUM(AJ$10:AJ617)-ROUNDDOWN($K618*AJ$5/100,0)&lt;-AJ$6,-AJ$6-SUM(AJ$10:AJ617),-ROUNDDOWN($K618*AJ$5/100,0)),0)</f>
        <v>0</v>
      </c>
      <c r="AK618" s="38">
        <f>IF(AND(AK$7="○",$A618&gt;=AK$8,$A618&lt;=AK$9),IF(SUM(AK$10:AK617)-ROUNDDOWN($L618*AK$5/100,0)&lt;-AK$6,-AK$6-SUM(AK$10:AK617),-ROUNDDOWN($L618*AK$5/100,0)),0)</f>
        <v>0</v>
      </c>
      <c r="AL618" s="38">
        <f>IF(AND(AL$7="○",$A618&gt;=AL$8,$A618&lt;=AL$9),IF(SUM(AL$10:AL617)-ROUNDDOWN($N618*AL$5/100,0)&lt;-AL$6,-AL$6-SUM(AL$10:AL617),-ROUNDDOWN($N618*AL$5/100,0)),0)</f>
        <v>0</v>
      </c>
      <c r="AM618" s="38">
        <f>IF(AND(AM$7="○",$A618&gt;=AM$8,$A618&lt;=AM$9),IF(SUM(AM$10:AM617)-ROUNDDOWN($L618*AM$5/100,0)&lt;-AM$6,-AM$6-SUM(AM$10:AM617),-ROUNDDOWN($L618*AM$5/100,0)),0)</f>
        <v>0</v>
      </c>
      <c r="AN618" s="38">
        <f>IF(AND(AN$7="○",$A618&gt;=AN$8,$A618&lt;=AN$9),IF(SUM(AN$10:AN617)-ROUNDDOWN($M618*AN$5/100,0)&lt;-AN$6,-AN$6-SUM(AN$10:AN617),-ROUNDDOWN($M618*AN$5/100,0)),0)</f>
        <v>0</v>
      </c>
      <c r="AO618" s="38">
        <f>IF(AND($A618&gt;=AO$8,$A618&lt;=AO$9),IF(SUM(AO$10:AO617)-ROUNDDOWN($K618*AO$5/100,0)&lt;-AO$6,-AO$6-SUM(AO$10:AO617),-ROUNDDOWN($K618*AO$5/100,0)),0)</f>
        <v>0</v>
      </c>
      <c r="AP618" s="38">
        <f>IF(AND($A618&gt;=AP$8,$A618&lt;=AP$9),IF(SUM(AP$10:AP617)-ROUNDDOWN($K618*AP$5/100,0)&lt;-AP$6,-AP$6-SUM(AP$10:AP617),-ROUNDDOWN($K618*AP$5/100,0)),0)</f>
        <v>0</v>
      </c>
      <c r="AQ618" s="38">
        <f>IF(AND($A618&gt;=AQ$8,$A618&lt;=AQ$9),IF(SUM(AQ$10:AQ617)-ROUNDDOWN($K618*AQ$5/100,0)&lt;-AQ$6,-AQ$6-SUM(AQ$10:AQ617),-ROUNDDOWN($K618*AQ$5/100,0)),0)</f>
        <v>0</v>
      </c>
      <c r="AR618" s="38">
        <f>IF(AND($A618&gt;=AR$8,$A618&lt;=AR$9),IF(SUM(AR$10:AR617)-ROUNDDOWN($K618*AR$5/100,0)&lt;-AR$6,-AR$6-SUM(AR$10:AR617),-ROUNDDOWN($K618*AR$5/100,0)),0)</f>
        <v>0</v>
      </c>
      <c r="AS618" s="38">
        <f>IF(SUMIFS(AS$10:AS617,$A$10:$A617,$A618)-ROUNDDOWN($K618*$S618/100,0)&lt;-$S618*1000,-$S618*1000-SUMIFS(AS$10:AS617,$A$10:$A617,$A618),-ROUNDDOWN($K618*$S618/100,0))</f>
        <v>0</v>
      </c>
      <c r="AT618" s="38">
        <f>IF(AND(X618="○",$A618&gt;=AT$8,$A618&lt;=AT$9,K618&gt;=3980),IF(SUM(AT$10:AT617)-ROUNDDOWN($K618*AT$5/100,0)&lt;-AT$6,-AT$6-SUM(AT$10:AT617),-ROUNDDOWN($K618*AT$5/100,0)),0)</f>
        <v>0</v>
      </c>
      <c r="AU618" s="38">
        <f>IF(O618="○",IF(SUM(AU$10:AU617)-ROUNDDOWN($K618*AU$5/100,0)&lt;-AU$6,-AU$6-SUM(AU$10:AU617),-ROUNDDOWN($K618*AU$5/100,0)),0)</f>
        <v>0</v>
      </c>
      <c r="AV618" s="38">
        <f>IF(P618="○",IF(SUM(AV$10:AV617)-ROUNDDOWN($K618*AV$5/100,0)&lt;-AV$6,-AV$6-SUM(AV$10:AV617),-ROUNDDOWN($K618*AV$5/100,0)),0)</f>
        <v>0</v>
      </c>
      <c r="AW618" s="38">
        <f>IF(Q618="○",IF(SUM(AW$10:AW617)-ROUNDDOWN($K618*AW$5/100,0)&lt;-AW$6,-AW$6-SUM(AW$10:AW617),-ROUNDDOWN($K618*AW$5/100,0)),0)</f>
        <v>0</v>
      </c>
      <c r="AX618" s="38">
        <f>IF(R618="○",IF(SUM(AX$10:AX617)-ROUNDDOWN($K618*AX$5/100,0)&lt;-AX$6,-AX$6-SUM(AX$10:AX617),-ROUNDDOWN($K618*AX$5/100,0)),0)</f>
        <v>0</v>
      </c>
      <c r="AY618" s="70">
        <v>0</v>
      </c>
      <c r="AZ618" s="65">
        <f t="shared" si="377"/>
        <v>0</v>
      </c>
      <c r="BA618" s="65">
        <f t="shared" si="378"/>
        <v>0</v>
      </c>
      <c r="BB618" s="70"/>
      <c r="BC618" s="65">
        <f t="shared" si="379"/>
        <v>0</v>
      </c>
      <c r="BD618" s="70">
        <v>0</v>
      </c>
      <c r="BE618" s="65">
        <f t="shared" si="380"/>
        <v>0</v>
      </c>
      <c r="BF618" s="70">
        <v>0</v>
      </c>
      <c r="BG618" s="65">
        <f t="shared" si="381"/>
        <v>0</v>
      </c>
      <c r="BH618" s="70">
        <v>0</v>
      </c>
      <c r="BI618" s="65">
        <f t="shared" si="382"/>
        <v>0</v>
      </c>
      <c r="BJ618" s="38">
        <f>IF(AND(BJ$7="○",$A618&gt;=BJ$8,$A618&lt;=BJ$9),IF(SUM(BJ$10:BJ617)-ROUNDDOWN($M618*BJ$5/100,0)&lt;-BJ$6,-BJ$6-SUM(BJ$10:BJ617),-ROUNDDOWN($M618*BJ$5/100,0)),0)</f>
        <v>0</v>
      </c>
      <c r="BK618" s="38">
        <f>IF(AND(BK$7="○",$A618&gt;=BK$8,$A618&lt;=BK$9),IF(SUM(BK$10:BK617)-ROUNDDOWN($L618*BK$5/100,0)&lt;-BK$6,-BK$6-SUM(BK$10:BK617),-ROUNDDOWN($L618*BK$5/100,0)),0)</f>
        <v>0</v>
      </c>
      <c r="BL618" s="38">
        <f>IF(AND(BL$7="○",$A618&gt;=BL$8,$A618&lt;=BL$9),IF(SUM(BL$10:BL617)-ROUNDDOWN($L618*BL$5/100,0)&lt;-BL$6,-BL$6-SUM(BL$10:BL617),-ROUNDDOWN($L618*BL$5/100,0)),0)</f>
        <v>0</v>
      </c>
      <c r="BM618" s="38">
        <f>IF(AND(BM$7="○",$A618&gt;=BM$8,$A618&lt;=BM$9),IF(SUM(BM$10:BM617)-ROUNDDOWN($M618*BM$5/100,0)&lt;-BM$6,-BM$6-SUM(BM$10:BM617),-ROUNDDOWN($M618*BM$5/100,0)),0)</f>
        <v>0</v>
      </c>
      <c r="BN618" s="38">
        <f>IF(AND(BN$7="○",$A618&gt;=BN$8,$A618&lt;=BN$9),IF(SUM(BN$10:BN617)-ROUNDDOWN($M618*BN$5/100,0)&lt;-BN$6,-BN$6-SUM(BN$10:BN617),-ROUNDDOWN($M618*BN$5/100,0)),0)</f>
        <v>0</v>
      </c>
      <c r="BO618" s="38">
        <f>IF(AND(BO$7="○",$A618&gt;=BO$8,$A618&lt;=BO$9),IF(SUM(BO$10:BO617)-ROUNDDOWN($M618*BO$5/100,0)&lt;-BO$6,-BO$6-SUM(BO$10:BO617),-ROUNDDOWN($M618*BO$5/100,0)),0)</f>
        <v>0</v>
      </c>
      <c r="BP618" s="38">
        <f>IF(AND(BP$7="○",$A618&gt;=BP$8,$A618&lt;=BP$9),IF(SUM(BP$10:BP617)-ROUNDDOWN($M618*BP$5/100,0)&lt;-BP$6,-BP$6-SUM(BP$10:BP617),-ROUNDDOWN($M618*BP$5/100,0)),0)</f>
        <v>0</v>
      </c>
      <c r="BQ618" s="38">
        <f>IF(AND(BQ$7="○",$A618&gt;=BQ$8,$A618&lt;=BQ$9),IF(SUM(BQ$10:BQ617)-ROUNDDOWN($L618*BQ$5/100,0)&lt;-BQ$6,-BQ$6-SUM(BQ$10:BQ617),-ROUNDDOWN($L618*BQ$5/100,0)),0)</f>
        <v>0</v>
      </c>
      <c r="BR618" s="38">
        <f>IF(AND(BR$7="○",$A618&gt;=BR$8,$A618&lt;=BR$9),IF(SUM(BR$10:BR617)-ROUNDDOWN($M618*BR$5/100,0)&lt;-BR$6,-BR$6-SUM(BR$10:BR617),-ROUNDDOWN($M618*BR$5/100,0)),0)</f>
        <v>0</v>
      </c>
      <c r="BS618" s="38">
        <f>IF(AND(BS$7="○",$A618&gt;=BS$8,$A618&lt;=BS$9),IF(SUM(BS$10:BS617)-ROUNDDOWN($M618*BS$5/100,0)&lt;-BS$6,-BS$6-SUM(BS$10:BS617),-ROUNDDOWN($M618*BS$5/100,0)),0)</f>
        <v>0</v>
      </c>
      <c r="BT618" s="38">
        <f>IF(AND(BT$7="○",$A618&gt;=BT$8,$A618&lt;=BT$9),IF(SUM(BT$10:BT617)-ROUNDDOWN($M618*BT$5/100,0)&lt;-BT$6,-BT$6-SUM(BT$10:BT617),-ROUNDDOWN($M618*BT$5/100,0)),0)</f>
        <v>0</v>
      </c>
      <c r="BU618" s="38">
        <f>IF(AND(BU$7="○",$A618&gt;=BU$8,$A618&lt;=BU$9),IF(SUM(BU$10:BU617)-ROUNDDOWN($M618*BU$5/100,0)&lt;-BU$6,-BU$6-SUM(BU$10:BU617),-ROUNDDOWN($M618*BU$5/100,0)),0)</f>
        <v>0</v>
      </c>
      <c r="BV618" s="38">
        <f>IF(AND(BV$7="○",$A618&gt;=BV$8,$A618&lt;=BV$9),IF(SUM(BV$10:BV617)-ROUNDDOWN($M618*BV$5/100,0)&lt;-BV$6,-BV$6-SUM(BV$10:BV617),-ROUNDDOWN($M618*BV$5/100,0)),0)</f>
        <v>0</v>
      </c>
      <c r="BW618" s="38">
        <f>IF(AND(BW$7="○",$A618&gt;=BW$8,$A618&lt;=BW$9),IF(SUM(BW$10:BW617)-ROUNDDOWN($M618*BW$5/100,0)&lt;-BW$6,-BW$6-SUM(BW$10:BW617),-ROUNDDOWN($M618*BW$5/100,0)),0)</f>
        <v>0</v>
      </c>
      <c r="BX618" s="38">
        <f>IF(AND(T618="○",$A618&gt;=BX$8,$A618&lt;=BX$9),IF(SUM(BX$10:BX617)-ROUNDDOWN($K618*BX$5/100,0)&lt;-BX$6,-BX$6-SUM(BX$10:BX617),-ROUNDDOWN($K618*BX$5/100,0)),0)</f>
        <v>0</v>
      </c>
      <c r="BY618" s="38">
        <f>IF(AND(U618="○",$A618&gt;=BY$8,$A618&lt;=BY$9),IF(SUM(BY$10:BY617)-ROUNDDOWN($K618*BY$5/100,0)&lt;-BY$6,-BY$6-SUM(BY$10:BY617),-ROUNDDOWN($K618*BY$5/100,0)),0)</f>
        <v>0</v>
      </c>
      <c r="BZ618" s="38">
        <f>IF(AND(V618="○",$A618&gt;=BZ$8,$A618&lt;=BZ$9),IF(SUM(BZ$10:BZ617)-ROUNDDOWN($K618*BZ$5/100,0)&lt;-BZ$6,-BZ$6-SUM(BZ$10:BZ617),-ROUNDDOWN($K618*BZ$5/100,0)),0)</f>
        <v>0</v>
      </c>
      <c r="CA618" s="38">
        <f>IF(AND(W618="○",$A618&gt;=CA$8,$A618&lt;=CA$9),IF(SUM(CA$10:CA617)-ROUNDDOWN($K618*CA$5/100,0)&lt;-CA$6,-CA$6-SUM(CA$10:CA617),-ROUNDDOWN($K618*CA$5/100,0)),0)</f>
        <v>0</v>
      </c>
      <c r="CB618" s="38"/>
      <c r="CC618" s="38"/>
      <c r="CD618" s="38"/>
      <c r="CE618" s="38"/>
      <c r="CF618" s="38"/>
      <c r="CG618" s="65">
        <f t="shared" si="383"/>
        <v>0</v>
      </c>
      <c r="CH618" s="71">
        <f t="shared" si="384"/>
        <v>0</v>
      </c>
      <c r="CI618" s="1">
        <f t="shared" si="19"/>
        <v>0</v>
      </c>
      <c r="CJ618" s="1"/>
      <c r="CK618" s="2"/>
      <c r="CL618" s="2"/>
      <c r="CM618" s="2"/>
      <c r="CN618" s="2"/>
      <c r="CO618" s="73">
        <f t="shared" si="20"/>
        <v>0</v>
      </c>
      <c r="CP618" s="5">
        <f t="shared" si="21"/>
        <v>0</v>
      </c>
      <c r="CQ618" s="1"/>
      <c r="CR618" s="1">
        <f t="shared" si="22"/>
        <v>0</v>
      </c>
      <c r="CS618" s="1"/>
      <c r="CT618" s="1" t="e">
        <f>INDEX([2]マスタ!$A:$A,MATCH(D618,[2]マスタ!$C:$C,0))</f>
        <v>#N/A</v>
      </c>
      <c r="CU618" s="1" t="str">
        <f t="shared" ca="1" si="23"/>
        <v>20260620_0-0</v>
      </c>
    </row>
    <row r="619" spans="1:99" x14ac:dyDescent="0.4">
      <c r="A619" s="61"/>
      <c r="B619" s="62"/>
      <c r="C619" s="62"/>
      <c r="D619" s="62"/>
      <c r="E619" s="77"/>
      <c r="F619" s="62"/>
      <c r="G619" s="62">
        <v>1</v>
      </c>
      <c r="H619" s="64">
        <f t="shared" si="4"/>
        <v>0</v>
      </c>
      <c r="I619" s="64"/>
      <c r="J619" s="78"/>
      <c r="K619" s="65">
        <f t="shared" si="49"/>
        <v>0</v>
      </c>
      <c r="L619" s="65">
        <f t="shared" si="6"/>
        <v>0</v>
      </c>
      <c r="M619" s="65">
        <f t="shared" si="7"/>
        <v>0</v>
      </c>
      <c r="N619" s="65">
        <f t="shared" si="8"/>
        <v>0</v>
      </c>
      <c r="O619" s="66" t="str">
        <f t="shared" si="9"/>
        <v>✕</v>
      </c>
      <c r="P619" s="67" t="str">
        <f t="shared" si="10"/>
        <v>○</v>
      </c>
      <c r="Q619" s="67" t="str">
        <f t="shared" si="50"/>
        <v>✕</v>
      </c>
      <c r="R619" s="67" t="str">
        <f t="shared" si="12"/>
        <v>✕</v>
      </c>
      <c r="S619" s="68">
        <v>0</v>
      </c>
      <c r="T619" s="69" t="s">
        <v>85</v>
      </c>
      <c r="U619" s="69" t="s">
        <v>85</v>
      </c>
      <c r="V619" s="69" t="s">
        <v>85</v>
      </c>
      <c r="W619" s="69" t="s">
        <v>85</v>
      </c>
      <c r="X619" s="69" t="s">
        <v>84</v>
      </c>
      <c r="Y619" s="69" t="s">
        <v>85</v>
      </c>
      <c r="Z619" s="69" t="s">
        <v>85</v>
      </c>
      <c r="AA619" s="69" t="s">
        <v>85</v>
      </c>
      <c r="AB619" s="69" t="s">
        <v>85</v>
      </c>
      <c r="AC619" s="69" t="s">
        <v>85</v>
      </c>
      <c r="AD619" s="38" t="str">
        <f>+IF(ISERROR(VLOOKUP($B619,AD$10:AD618,1,0)),IF(AND($N619&gt;=1000,$A619&gt;=AO$8,$A619&lt;=AO$9),$B619,""),"")</f>
        <v/>
      </c>
      <c r="AE619" s="38" t="str">
        <f>+IF(ISERROR(VLOOKUP($B619,AE$10:AE618,1,0)),IF(AND($N619&gt;=1000,$A619&gt;=AP$8,$A619&lt;=AP$9),$B619,""),"")</f>
        <v/>
      </c>
      <c r="AF619" s="38" t="str">
        <f>+IF(ISERROR(VLOOKUP($B619,AF$10:AF618,1,0)),IF(AND($N619&gt;=1000,$A619&gt;=AQ$8,$A619&lt;=AQ$9),$B619,""),"")</f>
        <v/>
      </c>
      <c r="AG619" s="38" t="str">
        <f>+IF(ISERROR(VLOOKUP($B619,AG$10:AG618,1,0)),IF(AND($N619&gt;=1000,$A619&gt;=AR$8,$A619&lt;=AR$9),$B619,""),"")</f>
        <v/>
      </c>
      <c r="AH619" s="38"/>
      <c r="AI619" s="70">
        <v>0</v>
      </c>
      <c r="AJ619" s="38">
        <f>IF(AND(AJ$7="○",$A619&gt;=AJ$8,$A619&lt;=AJ$9),IF(SUM(AJ$10:AJ618)-ROUNDDOWN($K619*AJ$5/100,0)&lt;-AJ$6,-AJ$6-SUM(AJ$10:AJ618),-ROUNDDOWN($K619*AJ$5/100,0)),0)</f>
        <v>0</v>
      </c>
      <c r="AK619" s="38">
        <f>IF(AND(AK$7="○",$A619&gt;=AK$8,$A619&lt;=AK$9),IF(SUM(AK$10:AK618)-ROUNDDOWN($L619*AK$5/100,0)&lt;-AK$6,-AK$6-SUM(AK$10:AK618),-ROUNDDOWN($L619*AK$5/100,0)),0)</f>
        <v>0</v>
      </c>
      <c r="AL619" s="38">
        <f>IF(AND(AL$7="○",$A619&gt;=AL$8,$A619&lt;=AL$9),IF(SUM(AL$10:AL618)-ROUNDDOWN($N619*AL$5/100,0)&lt;-AL$6,-AL$6-SUM(AL$10:AL618),-ROUNDDOWN($N619*AL$5/100,0)),0)</f>
        <v>0</v>
      </c>
      <c r="AM619" s="38">
        <f>IF(AND(AM$7="○",$A619&gt;=AM$8,$A619&lt;=AM$9),IF(SUM(AM$10:AM618)-ROUNDDOWN($L619*AM$5/100,0)&lt;-AM$6,-AM$6-SUM(AM$10:AM618),-ROUNDDOWN($L619*AM$5/100,0)),0)</f>
        <v>0</v>
      </c>
      <c r="AN619" s="38">
        <f>IF(AND(AN$7="○",$A619&gt;=AN$8,$A619&lt;=AN$9),IF(SUM(AN$10:AN618)-ROUNDDOWN($M619*AN$5/100,0)&lt;-AN$6,-AN$6-SUM(AN$10:AN618),-ROUNDDOWN($M619*AN$5/100,0)),0)</f>
        <v>0</v>
      </c>
      <c r="AO619" s="38">
        <f>IF(AND($A619&gt;=AO$8,$A619&lt;=AO$9),IF(SUM(AO$10:AO618)-ROUNDDOWN($K619*AO$5/100,0)&lt;-AO$6,-AO$6-SUM(AO$10:AO618),-ROUNDDOWN($K619*AO$5/100,0)),0)</f>
        <v>0</v>
      </c>
      <c r="AP619" s="38">
        <f>IF(AND($A619&gt;=AP$8,$A619&lt;=AP$9),IF(SUM(AP$10:AP618)-ROUNDDOWN($K619*AP$5/100,0)&lt;-AP$6,-AP$6-SUM(AP$10:AP618),-ROUNDDOWN($K619*AP$5/100,0)),0)</f>
        <v>0</v>
      </c>
      <c r="AQ619" s="38">
        <f>IF(AND($A619&gt;=AQ$8,$A619&lt;=AQ$9),IF(SUM(AQ$10:AQ618)-ROUNDDOWN($K619*AQ$5/100,0)&lt;-AQ$6,-AQ$6-SUM(AQ$10:AQ618),-ROUNDDOWN($K619*AQ$5/100,0)),0)</f>
        <v>0</v>
      </c>
      <c r="AR619" s="38">
        <f>IF(AND($A619&gt;=AR$8,$A619&lt;=AR$9),IF(SUM(AR$10:AR618)-ROUNDDOWN($K619*AR$5/100,0)&lt;-AR$6,-AR$6-SUM(AR$10:AR618),-ROUNDDOWN($K619*AR$5/100,0)),0)</f>
        <v>0</v>
      </c>
      <c r="AS619" s="38">
        <f>IF(SUMIFS(AS$10:AS618,$A$10:$A618,$A619)-ROUNDDOWN($K619*$S619/100,0)&lt;-$S619*1000,-$S619*1000-SUMIFS(AS$10:AS618,$A$10:$A618,$A619),-ROUNDDOWN($K619*$S619/100,0))</f>
        <v>0</v>
      </c>
      <c r="AT619" s="38">
        <f>IF(AND(X619="○",$A619&gt;=AT$8,$A619&lt;=AT$9,K619&gt;=3980),IF(SUM(AT$10:AT618)-ROUNDDOWN($K619*AT$5/100,0)&lt;-AT$6,-AT$6-SUM(AT$10:AT618),-ROUNDDOWN($K619*AT$5/100,0)),0)</f>
        <v>0</v>
      </c>
      <c r="AU619" s="38">
        <f>IF(O619="○",IF(SUM(AU$10:AU618)-ROUNDDOWN($K619*AU$5/100,0)&lt;-AU$6,-AU$6-SUM(AU$10:AU618),-ROUNDDOWN($K619*AU$5/100,0)),0)</f>
        <v>0</v>
      </c>
      <c r="AV619" s="38">
        <f>IF(P619="○",IF(SUM(AV$10:AV618)-ROUNDDOWN($K619*AV$5/100,0)&lt;-AV$6,-AV$6-SUM(AV$10:AV618),-ROUNDDOWN($K619*AV$5/100,0)),0)</f>
        <v>0</v>
      </c>
      <c r="AW619" s="38">
        <f>IF(Q619="○",IF(SUM(AW$10:AW618)-ROUNDDOWN($K619*AW$5/100,0)&lt;-AW$6,-AW$6-SUM(AW$10:AW618),-ROUNDDOWN($K619*AW$5/100,0)),0)</f>
        <v>0</v>
      </c>
      <c r="AX619" s="38">
        <f>IF(R619="○",IF(SUM(AX$10:AX618)-ROUNDDOWN($K619*AX$5/100,0)&lt;-AX$6,-AX$6-SUM(AX$10:AX618),-ROUNDDOWN($K619*AX$5/100,0)),0)</f>
        <v>0</v>
      </c>
      <c r="AY619" s="70">
        <v>0</v>
      </c>
      <c r="AZ619" s="65">
        <f t="shared" si="377"/>
        <v>0</v>
      </c>
      <c r="BA619" s="65">
        <f t="shared" si="378"/>
        <v>0</v>
      </c>
      <c r="BB619" s="70"/>
      <c r="BC619" s="65">
        <f t="shared" si="379"/>
        <v>0</v>
      </c>
      <c r="BD619" s="70">
        <v>0</v>
      </c>
      <c r="BE619" s="65">
        <f t="shared" si="380"/>
        <v>0</v>
      </c>
      <c r="BF619" s="70">
        <v>0</v>
      </c>
      <c r="BG619" s="65">
        <f t="shared" si="381"/>
        <v>0</v>
      </c>
      <c r="BH619" s="70">
        <v>0</v>
      </c>
      <c r="BI619" s="65">
        <f t="shared" si="382"/>
        <v>0</v>
      </c>
      <c r="BJ619" s="38">
        <f>IF(AND(BJ$7="○",$A619&gt;=BJ$8,$A619&lt;=BJ$9),IF(SUM(BJ$10:BJ618)-ROUNDDOWN($M619*BJ$5/100,0)&lt;-BJ$6,-BJ$6-SUM(BJ$10:BJ618),-ROUNDDOWN($M619*BJ$5/100,0)),0)</f>
        <v>0</v>
      </c>
      <c r="BK619" s="38">
        <f>IF(AND(BK$7="○",$A619&gt;=BK$8,$A619&lt;=BK$9),IF(SUM(BK$10:BK618)-ROUNDDOWN($L619*BK$5/100,0)&lt;-BK$6,-BK$6-SUM(BK$10:BK618),-ROUNDDOWN($L619*BK$5/100,0)),0)</f>
        <v>0</v>
      </c>
      <c r="BL619" s="38">
        <f>IF(AND(BL$7="○",$A619&gt;=BL$8,$A619&lt;=BL$9),IF(SUM(BL$10:BL618)-ROUNDDOWN($L619*BL$5/100,0)&lt;-BL$6,-BL$6-SUM(BL$10:BL618),-ROUNDDOWN($L619*BL$5/100,0)),0)</f>
        <v>0</v>
      </c>
      <c r="BM619" s="38">
        <f>IF(AND(BM$7="○",$A619&gt;=BM$8,$A619&lt;=BM$9),IF(SUM(BM$10:BM618)-ROUNDDOWN($M619*BM$5/100,0)&lt;-BM$6,-BM$6-SUM(BM$10:BM618),-ROUNDDOWN($M619*BM$5/100,0)),0)</f>
        <v>0</v>
      </c>
      <c r="BN619" s="38">
        <f>IF(AND(BN$7="○",$A619&gt;=BN$8,$A619&lt;=BN$9),IF(SUM(BN$10:BN618)-ROUNDDOWN($M619*BN$5/100,0)&lt;-BN$6,-BN$6-SUM(BN$10:BN618),-ROUNDDOWN($M619*BN$5/100,0)),0)</f>
        <v>0</v>
      </c>
      <c r="BO619" s="38">
        <f>IF(AND(BO$7="○",$A619&gt;=BO$8,$A619&lt;=BO$9),IF(SUM(BO$10:BO618)-ROUNDDOWN($M619*BO$5/100,0)&lt;-BO$6,-BO$6-SUM(BO$10:BO618),-ROUNDDOWN($M619*BO$5/100,0)),0)</f>
        <v>0</v>
      </c>
      <c r="BP619" s="38">
        <f>IF(AND(BP$7="○",$A619&gt;=BP$8,$A619&lt;=BP$9),IF(SUM(BP$10:BP618)-ROUNDDOWN($M619*BP$5/100,0)&lt;-BP$6,-BP$6-SUM(BP$10:BP618),-ROUNDDOWN($M619*BP$5/100,0)),0)</f>
        <v>0</v>
      </c>
      <c r="BQ619" s="38">
        <f>IF(AND(BQ$7="○",$A619&gt;=BQ$8,$A619&lt;=BQ$9),IF(SUM(BQ$10:BQ618)-ROUNDDOWN($L619*BQ$5/100,0)&lt;-BQ$6,-BQ$6-SUM(BQ$10:BQ618),-ROUNDDOWN($L619*BQ$5/100,0)),0)</f>
        <v>0</v>
      </c>
      <c r="BR619" s="38">
        <f>IF(AND(BR$7="○",$A619&gt;=BR$8,$A619&lt;=BR$9),IF(SUM(BR$10:BR618)-ROUNDDOWN($M619*BR$5/100,0)&lt;-BR$6,-BR$6-SUM(BR$10:BR618),-ROUNDDOWN($M619*BR$5/100,0)),0)</f>
        <v>0</v>
      </c>
      <c r="BS619" s="38">
        <f>IF(AND(BS$7="○",$A619&gt;=BS$8,$A619&lt;=BS$9),IF(SUM(BS$10:BS618)-ROUNDDOWN($M619*BS$5/100,0)&lt;-BS$6,-BS$6-SUM(BS$10:BS618),-ROUNDDOWN($M619*BS$5/100,0)),0)</f>
        <v>0</v>
      </c>
      <c r="BT619" s="38">
        <f>IF(AND(BT$7="○",$A619&gt;=BT$8,$A619&lt;=BT$9),IF(SUM(BT$10:BT618)-ROUNDDOWN($M619*BT$5/100,0)&lt;-BT$6,-BT$6-SUM(BT$10:BT618),-ROUNDDOWN($M619*BT$5/100,0)),0)</f>
        <v>0</v>
      </c>
      <c r="BU619" s="38">
        <f>IF(AND(BU$7="○",$A619&gt;=BU$8,$A619&lt;=BU$9),IF(SUM(BU$10:BU618)-ROUNDDOWN($M619*BU$5/100,0)&lt;-BU$6,-BU$6-SUM(BU$10:BU618),-ROUNDDOWN($M619*BU$5/100,0)),0)</f>
        <v>0</v>
      </c>
      <c r="BV619" s="38">
        <f>IF(AND(BV$7="○",$A619&gt;=BV$8,$A619&lt;=BV$9),IF(SUM(BV$10:BV618)-ROUNDDOWN($M619*BV$5/100,0)&lt;-BV$6,-BV$6-SUM(BV$10:BV618),-ROUNDDOWN($M619*BV$5/100,0)),0)</f>
        <v>0</v>
      </c>
      <c r="BW619" s="38">
        <f>IF(AND(BW$7="○",$A619&gt;=BW$8,$A619&lt;=BW$9),IF(SUM(BW$10:BW618)-ROUNDDOWN($M619*BW$5/100,0)&lt;-BW$6,-BW$6-SUM(BW$10:BW618),-ROUNDDOWN($M619*BW$5/100,0)),0)</f>
        <v>0</v>
      </c>
      <c r="BX619" s="38">
        <f>IF(AND(T619="○",$A619&gt;=BX$8,$A619&lt;=BX$9),IF(SUM(BX$10:BX618)-ROUNDDOWN($K619*BX$5/100,0)&lt;-BX$6,-BX$6-SUM(BX$10:BX618),-ROUNDDOWN($K619*BX$5/100,0)),0)</f>
        <v>0</v>
      </c>
      <c r="BY619" s="38">
        <f>IF(AND(U619="○",$A619&gt;=BY$8,$A619&lt;=BY$9),IF(SUM(BY$10:BY618)-ROUNDDOWN($K619*BY$5/100,0)&lt;-BY$6,-BY$6-SUM(BY$10:BY618),-ROUNDDOWN($K619*BY$5/100,0)),0)</f>
        <v>0</v>
      </c>
      <c r="BZ619" s="38">
        <f>IF(AND(V619="○",$A619&gt;=BZ$8,$A619&lt;=BZ$9),IF(SUM(BZ$10:BZ618)-ROUNDDOWN($K619*BZ$5/100,0)&lt;-BZ$6,-BZ$6-SUM(BZ$10:BZ618),-ROUNDDOWN($K619*BZ$5/100,0)),0)</f>
        <v>0</v>
      </c>
      <c r="CA619" s="38">
        <f>IF(AND(W619="○",$A619&gt;=CA$8,$A619&lt;=CA$9),IF(SUM(CA$10:CA618)-ROUNDDOWN($K619*CA$5/100,0)&lt;-CA$6,-CA$6-SUM(CA$10:CA618),-ROUNDDOWN($K619*CA$5/100,0)),0)</f>
        <v>0</v>
      </c>
      <c r="CB619" s="38"/>
      <c r="CC619" s="38"/>
      <c r="CD619" s="38"/>
      <c r="CE619" s="38"/>
      <c r="CF619" s="38"/>
      <c r="CG619" s="65">
        <f t="shared" si="383"/>
        <v>0</v>
      </c>
      <c r="CH619" s="71">
        <f t="shared" si="384"/>
        <v>0</v>
      </c>
      <c r="CI619" s="1">
        <f t="shared" si="19"/>
        <v>0</v>
      </c>
      <c r="CJ619" s="1"/>
      <c r="CK619" s="79"/>
      <c r="CL619" s="79"/>
      <c r="CM619" s="2"/>
      <c r="CN619" s="2"/>
      <c r="CO619" s="73">
        <f t="shared" si="20"/>
        <v>0</v>
      </c>
      <c r="CP619" s="5">
        <f t="shared" si="21"/>
        <v>0</v>
      </c>
      <c r="CQ619" s="1"/>
      <c r="CR619" s="1">
        <f t="shared" si="22"/>
        <v>0</v>
      </c>
      <c r="CS619" s="1"/>
      <c r="CT619" s="1" t="e">
        <f>INDEX([2]マスタ!$A:$A,MATCH(D619,[2]マスタ!$C:$C,0))</f>
        <v>#N/A</v>
      </c>
      <c r="CU619" s="1" t="str">
        <f t="shared" ca="1" si="23"/>
        <v>20260620_0-0</v>
      </c>
    </row>
    <row r="620" spans="1:99" x14ac:dyDescent="0.4">
      <c r="A620" s="61"/>
      <c r="B620" s="62"/>
      <c r="C620" s="62"/>
      <c r="D620" s="62"/>
      <c r="E620" s="77"/>
      <c r="F620" s="62"/>
      <c r="G620" s="62">
        <v>1</v>
      </c>
      <c r="H620" s="64">
        <f t="shared" si="4"/>
        <v>0</v>
      </c>
      <c r="I620" s="64"/>
      <c r="J620" s="64"/>
      <c r="K620" s="65">
        <f t="shared" si="49"/>
        <v>0</v>
      </c>
      <c r="L620" s="65">
        <f t="shared" si="6"/>
        <v>0</v>
      </c>
      <c r="M620" s="65">
        <f t="shared" si="7"/>
        <v>0</v>
      </c>
      <c r="N620" s="65">
        <f t="shared" si="8"/>
        <v>0</v>
      </c>
      <c r="O620" s="66" t="str">
        <f t="shared" si="9"/>
        <v>✕</v>
      </c>
      <c r="P620" s="67" t="str">
        <f t="shared" si="10"/>
        <v>○</v>
      </c>
      <c r="Q620" s="67" t="str">
        <f t="shared" si="50"/>
        <v>✕</v>
      </c>
      <c r="R620" s="67" t="str">
        <f t="shared" si="12"/>
        <v>✕</v>
      </c>
      <c r="S620" s="68">
        <v>0</v>
      </c>
      <c r="T620" s="69" t="s">
        <v>85</v>
      </c>
      <c r="U620" s="69" t="s">
        <v>85</v>
      </c>
      <c r="V620" s="69" t="s">
        <v>85</v>
      </c>
      <c r="W620" s="69" t="s">
        <v>85</v>
      </c>
      <c r="X620" s="69" t="s">
        <v>84</v>
      </c>
      <c r="Y620" s="69" t="s">
        <v>85</v>
      </c>
      <c r="Z620" s="69" t="s">
        <v>85</v>
      </c>
      <c r="AA620" s="69" t="s">
        <v>85</v>
      </c>
      <c r="AB620" s="69" t="s">
        <v>85</v>
      </c>
      <c r="AC620" s="69" t="s">
        <v>85</v>
      </c>
      <c r="AD620" s="38" t="str">
        <f>+IF(ISERROR(VLOOKUP($B620,AD$10:AD619,1,0)),IF(AND($N620&gt;=1000,$A620&gt;=AO$8,$A620&lt;=AO$9),$B620,""),"")</f>
        <v/>
      </c>
      <c r="AE620" s="38" t="str">
        <f>+IF(ISERROR(VLOOKUP($B620,AE$10:AE619,1,0)),IF(AND($N620&gt;=1000,$A620&gt;=AP$8,$A620&lt;=AP$9),$B620,""),"")</f>
        <v/>
      </c>
      <c r="AF620" s="38" t="str">
        <f>+IF(ISERROR(VLOOKUP($B620,AF$10:AF619,1,0)),IF(AND($N620&gt;=1000,$A620&gt;=AQ$8,$A620&lt;=AQ$9),$B620,""),"")</f>
        <v/>
      </c>
      <c r="AG620" s="38" t="str">
        <f>+IF(ISERROR(VLOOKUP($B620,AG$10:AG619,1,0)),IF(AND($N620&gt;=1000,$A620&gt;=AR$8,$A620&lt;=AR$9),$B620,""),"")</f>
        <v/>
      </c>
      <c r="AH620" s="38"/>
      <c r="AI620" s="70">
        <v>0</v>
      </c>
      <c r="AJ620" s="38">
        <f>IF(AND(AJ$7="○",$A620&gt;=AJ$8,$A620&lt;=AJ$9),IF(SUM(AJ$10:AJ619)-ROUNDDOWN($K620*AJ$5/100,0)&lt;-AJ$6,-AJ$6-SUM(AJ$10:AJ619),-ROUNDDOWN($K620*AJ$5/100,0)),0)</f>
        <v>0</v>
      </c>
      <c r="AK620" s="38">
        <f>IF(AND(AK$7="○",$A620&gt;=AK$8,$A620&lt;=AK$9),IF(SUM(AK$10:AK619)-ROUNDDOWN($L620*AK$5/100,0)&lt;-AK$6,-AK$6-SUM(AK$10:AK619),-ROUNDDOWN($L620*AK$5/100,0)),0)</f>
        <v>0</v>
      </c>
      <c r="AL620" s="38">
        <f>IF(AND(AL$7="○",$A620&gt;=AL$8,$A620&lt;=AL$9),IF(SUM(AL$10:AL619)-ROUNDDOWN($N620*AL$5/100,0)&lt;-AL$6,-AL$6-SUM(AL$10:AL619),-ROUNDDOWN($N620*AL$5/100,0)),0)</f>
        <v>0</v>
      </c>
      <c r="AM620" s="38">
        <f>IF(AND(AM$7="○",$A620&gt;=AM$8,$A620&lt;=AM$9),IF(SUM(AM$10:AM619)-ROUNDDOWN($L620*AM$5/100,0)&lt;-AM$6,-AM$6-SUM(AM$10:AM619),-ROUNDDOWN($L620*AM$5/100,0)),0)</f>
        <v>0</v>
      </c>
      <c r="AN620" s="38">
        <f>IF(AND(AN$7="○",$A620&gt;=AN$8,$A620&lt;=AN$9),IF(SUM(AN$10:AN619)-ROUNDDOWN($M620*AN$5/100,0)&lt;-AN$6,-AN$6-SUM(AN$10:AN619),-ROUNDDOWN($M620*AN$5/100,0)),0)</f>
        <v>0</v>
      </c>
      <c r="AO620" s="38">
        <f>IF(AND($A620&gt;=AO$8,$A620&lt;=AO$9),IF(SUM(AO$10:AO619)-ROUNDDOWN($K620*AO$5/100,0)&lt;-AO$6,-AO$6-SUM(AO$10:AO619),-ROUNDDOWN($K620*AO$5/100,0)),0)</f>
        <v>0</v>
      </c>
      <c r="AP620" s="38">
        <f>IF(AND($A620&gt;=AP$8,$A620&lt;=AP$9),IF(SUM(AP$10:AP619)-ROUNDDOWN($K620*AP$5/100,0)&lt;-AP$6,-AP$6-SUM(AP$10:AP619),-ROUNDDOWN($K620*AP$5/100,0)),0)</f>
        <v>0</v>
      </c>
      <c r="AQ620" s="38">
        <f>IF(AND($A620&gt;=AQ$8,$A620&lt;=AQ$9),IF(SUM(AQ$10:AQ619)-ROUNDDOWN($K620*AQ$5/100,0)&lt;-AQ$6,-AQ$6-SUM(AQ$10:AQ619),-ROUNDDOWN($K620*AQ$5/100,0)),0)</f>
        <v>0</v>
      </c>
      <c r="AR620" s="38">
        <f>IF(AND($A620&gt;=AR$8,$A620&lt;=AR$9),IF(SUM(AR$10:AR619)-ROUNDDOWN($K620*AR$5/100,0)&lt;-AR$6,-AR$6-SUM(AR$10:AR619),-ROUNDDOWN($K620*AR$5/100,0)),0)</f>
        <v>0</v>
      </c>
      <c r="AS620" s="38">
        <f>IF(SUMIFS(AS$10:AS619,$A$10:$A619,$A620)-ROUNDDOWN($K620*$S620/100,0)&lt;-$S620*1000,-$S620*1000-SUMIFS(AS$10:AS619,$A$10:$A619,$A620),-ROUNDDOWN($K620*$S620/100,0))</f>
        <v>0</v>
      </c>
      <c r="AT620" s="38">
        <f>IF(AND(X620="○",$A620&gt;=AT$8,$A620&lt;=AT$9,K620&gt;=3980),IF(SUM(AT$10:AT619)-ROUNDDOWN($K620*AT$5/100,0)&lt;-AT$6,-AT$6-SUM(AT$10:AT619),-ROUNDDOWN($K620*AT$5/100,0)),0)</f>
        <v>0</v>
      </c>
      <c r="AU620" s="38">
        <f>IF(O620="○",IF(SUM(AU$10:AU619)-ROUNDDOWN($K620*AU$5/100,0)&lt;-AU$6,-AU$6-SUM(AU$10:AU619),-ROUNDDOWN($K620*AU$5/100,0)),0)</f>
        <v>0</v>
      </c>
      <c r="AV620" s="38">
        <f>IF(P620="○",IF(SUM(AV$10:AV619)-ROUNDDOWN($K620*AV$5/100,0)&lt;-AV$6,-AV$6-SUM(AV$10:AV619),-ROUNDDOWN($K620*AV$5/100,0)),0)</f>
        <v>0</v>
      </c>
      <c r="AW620" s="38">
        <f>IF(Q620="○",IF(SUM(AW$10:AW619)-ROUNDDOWN($K620*AW$5/100,0)&lt;-AW$6,-AW$6-SUM(AW$10:AW619),-ROUNDDOWN($K620*AW$5/100,0)),0)</f>
        <v>0</v>
      </c>
      <c r="AX620" s="38">
        <f>IF(R620="○",IF(SUM(AX$10:AX619)-ROUNDDOWN($K620*AX$5/100,0)&lt;-AX$6,-AX$6-SUM(AX$10:AX619),-ROUNDDOWN($K620*AX$5/100,0)),0)</f>
        <v>0</v>
      </c>
      <c r="AY620" s="70">
        <v>0</v>
      </c>
      <c r="AZ620" s="65">
        <f t="shared" si="377"/>
        <v>0</v>
      </c>
      <c r="BA620" s="65">
        <f t="shared" si="378"/>
        <v>0</v>
      </c>
      <c r="BB620" s="70"/>
      <c r="BC620" s="65">
        <f t="shared" si="379"/>
        <v>0</v>
      </c>
      <c r="BD620" s="70">
        <v>0</v>
      </c>
      <c r="BE620" s="65">
        <f t="shared" si="380"/>
        <v>0</v>
      </c>
      <c r="BF620" s="70">
        <v>0</v>
      </c>
      <c r="BG620" s="65">
        <f t="shared" si="381"/>
        <v>0</v>
      </c>
      <c r="BH620" s="70">
        <v>0</v>
      </c>
      <c r="BI620" s="65">
        <f t="shared" si="382"/>
        <v>0</v>
      </c>
      <c r="BJ620" s="38">
        <f>IF(AND(BJ$7="○",$A620&gt;=BJ$8,$A620&lt;=BJ$9),IF(SUM(BJ$10:BJ619)-ROUNDDOWN($M620*BJ$5/100,0)&lt;-BJ$6,-BJ$6-SUM(BJ$10:BJ619),-ROUNDDOWN($M620*BJ$5/100,0)),0)</f>
        <v>0</v>
      </c>
      <c r="BK620" s="38">
        <f>IF(AND(BK$7="○",$A620&gt;=BK$8,$A620&lt;=BK$9),IF(SUM(BK$10:BK619)-ROUNDDOWN($L620*BK$5/100,0)&lt;-BK$6,-BK$6-SUM(BK$10:BK619),-ROUNDDOWN($L620*BK$5/100,0)),0)</f>
        <v>0</v>
      </c>
      <c r="BL620" s="38">
        <f>IF(AND(BL$7="○",$A620&gt;=BL$8,$A620&lt;=BL$9),IF(SUM(BL$10:BL619)-ROUNDDOWN($L620*BL$5/100,0)&lt;-BL$6,-BL$6-SUM(BL$10:BL619),-ROUNDDOWN($L620*BL$5/100,0)),0)</f>
        <v>0</v>
      </c>
      <c r="BM620" s="38">
        <f>IF(AND(BM$7="○",$A620&gt;=BM$8,$A620&lt;=BM$9),IF(SUM(BM$10:BM619)-ROUNDDOWN($M620*BM$5/100,0)&lt;-BM$6,-BM$6-SUM(BM$10:BM619),-ROUNDDOWN($M620*BM$5/100,0)),0)</f>
        <v>0</v>
      </c>
      <c r="BN620" s="38">
        <f>IF(AND(BN$7="○",$A620&gt;=BN$8,$A620&lt;=BN$9),IF(SUM(BN$10:BN619)-ROUNDDOWN($M620*BN$5/100,0)&lt;-BN$6,-BN$6-SUM(BN$10:BN619),-ROUNDDOWN($M620*BN$5/100,0)),0)</f>
        <v>0</v>
      </c>
      <c r="BO620" s="38">
        <f>IF(AND(BO$7="○",$A620&gt;=BO$8,$A620&lt;=BO$9),IF(SUM(BO$10:BO619)-ROUNDDOWN($M620*BO$5/100,0)&lt;-BO$6,-BO$6-SUM(BO$10:BO619),-ROUNDDOWN($M620*BO$5/100,0)),0)</f>
        <v>0</v>
      </c>
      <c r="BP620" s="38">
        <f>IF(AND(BP$7="○",$A620&gt;=BP$8,$A620&lt;=BP$9),IF(SUM(BP$10:BP619)-ROUNDDOWN($M620*BP$5/100,0)&lt;-BP$6,-BP$6-SUM(BP$10:BP619),-ROUNDDOWN($M620*BP$5/100,0)),0)</f>
        <v>0</v>
      </c>
      <c r="BQ620" s="38">
        <f>IF(AND(BQ$7="○",$A620&gt;=BQ$8,$A620&lt;=BQ$9),IF(SUM(BQ$10:BQ619)-ROUNDDOWN($L620*BQ$5/100,0)&lt;-BQ$6,-BQ$6-SUM(BQ$10:BQ619),-ROUNDDOWN($L620*BQ$5/100,0)),0)</f>
        <v>0</v>
      </c>
      <c r="BR620" s="38">
        <f>IF(AND(BR$7="○",$A620&gt;=BR$8,$A620&lt;=BR$9),IF(SUM(BR$10:BR619)-ROUNDDOWN($M620*BR$5/100,0)&lt;-BR$6,-BR$6-SUM(BR$10:BR619),-ROUNDDOWN($M620*BR$5/100,0)),0)</f>
        <v>0</v>
      </c>
      <c r="BS620" s="38">
        <f>IF(AND(BS$7="○",$A620&gt;=BS$8,$A620&lt;=BS$9),IF(SUM(BS$10:BS619)-ROUNDDOWN($M620*BS$5/100,0)&lt;-BS$6,-BS$6-SUM(BS$10:BS619),-ROUNDDOWN($M620*BS$5/100,0)),0)</f>
        <v>0</v>
      </c>
      <c r="BT620" s="38">
        <f>IF(AND(BT$7="○",$A620&gt;=BT$8,$A620&lt;=BT$9),IF(SUM(BT$10:BT619)-ROUNDDOWN($M620*BT$5/100,0)&lt;-BT$6,-BT$6-SUM(BT$10:BT619),-ROUNDDOWN($M620*BT$5/100,0)),0)</f>
        <v>0</v>
      </c>
      <c r="BU620" s="38">
        <f>IF(AND(BU$7="○",$A620&gt;=BU$8,$A620&lt;=BU$9),IF(SUM(BU$10:BU619)-ROUNDDOWN($M620*BU$5/100,0)&lt;-BU$6,-BU$6-SUM(BU$10:BU619),-ROUNDDOWN($M620*BU$5/100,0)),0)</f>
        <v>0</v>
      </c>
      <c r="BV620" s="38">
        <f>IF(AND(BV$7="○",$A620&gt;=BV$8,$A620&lt;=BV$9),IF(SUM(BV$10:BV619)-ROUNDDOWN($M620*BV$5/100,0)&lt;-BV$6,-BV$6-SUM(BV$10:BV619),-ROUNDDOWN($M620*BV$5/100,0)),0)</f>
        <v>0</v>
      </c>
      <c r="BW620" s="38">
        <f>IF(AND(BW$7="○",$A620&gt;=BW$8,$A620&lt;=BW$9),IF(SUM(BW$10:BW619)-ROUNDDOWN($M620*BW$5/100,0)&lt;-BW$6,-BW$6-SUM(BW$10:BW619),-ROUNDDOWN($M620*BW$5/100,0)),0)</f>
        <v>0</v>
      </c>
      <c r="BX620" s="38">
        <f>IF(AND(T620="○",$A620&gt;=BX$8,$A620&lt;=BX$9),IF(SUM(BX$10:BX619)-ROUNDDOWN($K620*BX$5/100,0)&lt;-BX$6,-BX$6-SUM(BX$10:BX619),-ROUNDDOWN($K620*BX$5/100,0)),0)</f>
        <v>0</v>
      </c>
      <c r="BY620" s="38">
        <f>IF(AND(U620="○",$A620&gt;=BY$8,$A620&lt;=BY$9),IF(SUM(BY$10:BY619)-ROUNDDOWN($K620*BY$5/100,0)&lt;-BY$6,-BY$6-SUM(BY$10:BY619),-ROUNDDOWN($K620*BY$5/100,0)),0)</f>
        <v>0</v>
      </c>
      <c r="BZ620" s="38">
        <f>IF(AND(V620="○",$A620&gt;=BZ$8,$A620&lt;=BZ$9),IF(SUM(BZ$10:BZ619)-ROUNDDOWN($K620*BZ$5/100,0)&lt;-BZ$6,-BZ$6-SUM(BZ$10:BZ619),-ROUNDDOWN($K620*BZ$5/100,0)),0)</f>
        <v>0</v>
      </c>
      <c r="CA620" s="38">
        <f>IF(AND(W620="○",$A620&gt;=CA$8,$A620&lt;=CA$9),IF(SUM(CA$10:CA619)-ROUNDDOWN($K620*CA$5/100,0)&lt;-CA$6,-CA$6-SUM(CA$10:CA619),-ROUNDDOWN($K620*CA$5/100,0)),0)</f>
        <v>0</v>
      </c>
      <c r="CB620" s="38"/>
      <c r="CC620" s="38"/>
      <c r="CD620" s="38"/>
      <c r="CE620" s="38"/>
      <c r="CF620" s="38"/>
      <c r="CG620" s="65">
        <f t="shared" si="383"/>
        <v>0</v>
      </c>
      <c r="CH620" s="71">
        <f t="shared" si="384"/>
        <v>0</v>
      </c>
      <c r="CI620" s="1">
        <f t="shared" si="19"/>
        <v>0</v>
      </c>
      <c r="CJ620" s="1"/>
      <c r="CK620" s="79"/>
      <c r="CL620" s="79"/>
      <c r="CM620" s="2"/>
      <c r="CN620" s="2"/>
      <c r="CO620" s="73">
        <f t="shared" si="20"/>
        <v>0</v>
      </c>
      <c r="CP620" s="5">
        <f t="shared" si="21"/>
        <v>0</v>
      </c>
      <c r="CQ620" s="1"/>
      <c r="CR620" s="1">
        <f t="shared" si="22"/>
        <v>0</v>
      </c>
      <c r="CS620" s="1"/>
      <c r="CT620" s="1" t="e">
        <f>INDEX([2]マスタ!$A:$A,MATCH(D620,[2]マスタ!$C:$C,0))</f>
        <v>#N/A</v>
      </c>
      <c r="CU620" s="1" t="str">
        <f t="shared" ca="1" si="23"/>
        <v>20260620_0-0</v>
      </c>
    </row>
    <row r="621" spans="1:99" x14ac:dyDescent="0.4">
      <c r="A621" s="61"/>
      <c r="B621" s="62"/>
      <c r="C621" s="62"/>
      <c r="D621" s="62"/>
      <c r="E621" s="62"/>
      <c r="F621" s="62"/>
      <c r="G621" s="62">
        <v>1</v>
      </c>
      <c r="H621" s="64">
        <f t="shared" si="4"/>
        <v>0</v>
      </c>
      <c r="I621" s="64"/>
      <c r="J621" s="64"/>
      <c r="K621" s="65">
        <f t="shared" si="49"/>
        <v>0</v>
      </c>
      <c r="L621" s="65">
        <f t="shared" si="6"/>
        <v>0</v>
      </c>
      <c r="M621" s="65">
        <f t="shared" si="7"/>
        <v>0</v>
      </c>
      <c r="N621" s="65">
        <f t="shared" si="8"/>
        <v>0</v>
      </c>
      <c r="O621" s="66" t="str">
        <f t="shared" si="9"/>
        <v>✕</v>
      </c>
      <c r="P621" s="67" t="str">
        <f t="shared" si="10"/>
        <v>○</v>
      </c>
      <c r="Q621" s="67" t="str">
        <f t="shared" si="50"/>
        <v>✕</v>
      </c>
      <c r="R621" s="67" t="str">
        <f t="shared" si="12"/>
        <v>✕</v>
      </c>
      <c r="S621" s="68">
        <v>0</v>
      </c>
      <c r="T621" s="69" t="s">
        <v>85</v>
      </c>
      <c r="U621" s="69" t="s">
        <v>85</v>
      </c>
      <c r="V621" s="69" t="s">
        <v>85</v>
      </c>
      <c r="W621" s="69" t="s">
        <v>85</v>
      </c>
      <c r="X621" s="69" t="s">
        <v>84</v>
      </c>
      <c r="Y621" s="69" t="s">
        <v>85</v>
      </c>
      <c r="Z621" s="69" t="s">
        <v>85</v>
      </c>
      <c r="AA621" s="69" t="s">
        <v>85</v>
      </c>
      <c r="AB621" s="69" t="s">
        <v>85</v>
      </c>
      <c r="AC621" s="69" t="s">
        <v>85</v>
      </c>
      <c r="AD621" s="38" t="str">
        <f>+IF(ISERROR(VLOOKUP($B621,AD$10:AD620,1,0)),IF(AND($N621&gt;=1000,$A621&gt;=AO$8,$A621&lt;=AO$9),$B621,""),"")</f>
        <v/>
      </c>
      <c r="AE621" s="38" t="str">
        <f>+IF(ISERROR(VLOOKUP($B621,AE$10:AE620,1,0)),IF(AND($N621&gt;=1000,$A621&gt;=AP$8,$A621&lt;=AP$9),$B621,""),"")</f>
        <v/>
      </c>
      <c r="AF621" s="38" t="str">
        <f>+IF(ISERROR(VLOOKUP($B621,AF$10:AF620,1,0)),IF(AND($N621&gt;=1000,$A621&gt;=AQ$8,$A621&lt;=AQ$9),$B621,""),"")</f>
        <v/>
      </c>
      <c r="AG621" s="38" t="str">
        <f>+IF(ISERROR(VLOOKUP($B621,AG$10:AG620,1,0)),IF(AND($N621&gt;=1000,$A621&gt;=AR$8,$A621&lt;=AR$9),$B621,""),"")</f>
        <v/>
      </c>
      <c r="AH621" s="38"/>
      <c r="AI621" s="70">
        <v>0</v>
      </c>
      <c r="AJ621" s="38">
        <f>IF(AND(AJ$7="○",$A621&gt;=AJ$8,$A621&lt;=AJ$9),IF(SUM(AJ$10:AJ620)-ROUNDDOWN($K621*AJ$5/100,0)&lt;-AJ$6,-AJ$6-SUM(AJ$10:AJ620),-ROUNDDOWN($K621*AJ$5/100,0)),0)</f>
        <v>0</v>
      </c>
      <c r="AK621" s="38">
        <f>IF(AND(AK$7="○",$A621&gt;=AK$8,$A621&lt;=AK$9),IF(SUM(AK$10:AK620)-ROUNDDOWN($L621*AK$5/100,0)&lt;-AK$6,-AK$6-SUM(AK$10:AK620),-ROUNDDOWN($L621*AK$5/100,0)),0)</f>
        <v>0</v>
      </c>
      <c r="AL621" s="38">
        <f>IF(AND(AL$7="○",$A621&gt;=AL$8,$A621&lt;=AL$9),IF(SUM(AL$10:AL620)-ROUNDDOWN($N621*AL$5/100,0)&lt;-AL$6,-AL$6-SUM(AL$10:AL620),-ROUNDDOWN($N621*AL$5/100,0)),0)</f>
        <v>0</v>
      </c>
      <c r="AM621" s="38">
        <f>IF(AND(AM$7="○",$A621&gt;=AM$8,$A621&lt;=AM$9),IF(SUM(AM$10:AM620)-ROUNDDOWN($L621*AM$5/100,0)&lt;-AM$6,-AM$6-SUM(AM$10:AM620),-ROUNDDOWN($L621*AM$5/100,0)),0)</f>
        <v>0</v>
      </c>
      <c r="AN621" s="38">
        <f>IF(AND(AN$7="○",$A621&gt;=AN$8,$A621&lt;=AN$9),IF(SUM(AN$10:AN620)-ROUNDDOWN($M621*AN$5/100,0)&lt;-AN$6,-AN$6-SUM(AN$10:AN620),-ROUNDDOWN($M621*AN$5/100,0)),0)</f>
        <v>0</v>
      </c>
      <c r="AO621" s="38">
        <f>IF(AND($A621&gt;=AO$8,$A621&lt;=AO$9),IF(SUM(AO$10:AO620)-ROUNDDOWN($K621*AO$5/100,0)&lt;-AO$6,-AO$6-SUM(AO$10:AO620),-ROUNDDOWN($K621*AO$5/100,0)),0)</f>
        <v>0</v>
      </c>
      <c r="AP621" s="38">
        <f>IF(AND($A621&gt;=AP$8,$A621&lt;=AP$9),IF(SUM(AP$10:AP620)-ROUNDDOWN($K621*AP$5/100,0)&lt;-AP$6,-AP$6-SUM(AP$10:AP620),-ROUNDDOWN($K621*AP$5/100,0)),0)</f>
        <v>0</v>
      </c>
      <c r="AQ621" s="38">
        <f>IF(AND($A621&gt;=AQ$8,$A621&lt;=AQ$9),IF(SUM(AQ$10:AQ620)-ROUNDDOWN($K621*AQ$5/100,0)&lt;-AQ$6,-AQ$6-SUM(AQ$10:AQ620),-ROUNDDOWN($K621*AQ$5/100,0)),0)</f>
        <v>0</v>
      </c>
      <c r="AR621" s="38">
        <f>IF(AND($A621&gt;=AR$8,$A621&lt;=AR$9),IF(SUM(AR$10:AR620)-ROUNDDOWN($K621*AR$5/100,0)&lt;-AR$6,-AR$6-SUM(AR$10:AR620),-ROUNDDOWN($K621*AR$5/100,0)),0)</f>
        <v>0</v>
      </c>
      <c r="AS621" s="38">
        <f>IF(SUMIFS(AS$10:AS620,$A$10:$A620,$A621)-ROUNDDOWN($K621*$S621/100,0)&lt;-$S621*1000,-$S621*1000-SUMIFS(AS$10:AS620,$A$10:$A620,$A621),-ROUNDDOWN($K621*$S621/100,0))</f>
        <v>0</v>
      </c>
      <c r="AT621" s="38">
        <f>IF(AND(X621="○",$A621&gt;=AT$8,$A621&lt;=AT$9,K621&gt;=3980),IF(SUM(AT$10:AT620)-ROUNDDOWN($K621*AT$5/100,0)&lt;-AT$6,-AT$6-SUM(AT$10:AT620),-ROUNDDOWN($K621*AT$5/100,0)),0)</f>
        <v>0</v>
      </c>
      <c r="AU621" s="38">
        <f>IF(O621="○",IF(SUM(AU$10:AU620)-ROUNDDOWN($K621*AU$5/100,0)&lt;-AU$6,-AU$6-SUM(AU$10:AU620),-ROUNDDOWN($K621*AU$5/100,0)),0)</f>
        <v>0</v>
      </c>
      <c r="AV621" s="38">
        <f>IF(P621="○",IF(SUM(AV$10:AV620)-ROUNDDOWN($K621*AV$5/100,0)&lt;-AV$6,-AV$6-SUM(AV$10:AV620),-ROUNDDOWN($K621*AV$5/100,0)),0)</f>
        <v>0</v>
      </c>
      <c r="AW621" s="38">
        <f>IF(Q621="○",IF(SUM(AW$10:AW620)-ROUNDDOWN($K621*AW$5/100,0)&lt;-AW$6,-AW$6-SUM(AW$10:AW620),-ROUNDDOWN($K621*AW$5/100,0)),0)</f>
        <v>0</v>
      </c>
      <c r="AX621" s="38">
        <f>IF(R621="○",IF(SUM(AX$10:AX620)-ROUNDDOWN($K621*AX$5/100,0)&lt;-AX$6,-AX$6-SUM(AX$10:AX620),-ROUNDDOWN($K621*AX$5/100,0)),0)</f>
        <v>0</v>
      </c>
      <c r="AY621" s="70">
        <v>0</v>
      </c>
      <c r="AZ621" s="65">
        <f t="shared" si="377"/>
        <v>0</v>
      </c>
      <c r="BA621" s="65">
        <f t="shared" si="378"/>
        <v>0</v>
      </c>
      <c r="BB621" s="70"/>
      <c r="BC621" s="65">
        <f t="shared" si="379"/>
        <v>0</v>
      </c>
      <c r="BD621" s="70">
        <v>0</v>
      </c>
      <c r="BE621" s="65">
        <f t="shared" si="380"/>
        <v>0</v>
      </c>
      <c r="BF621" s="70">
        <v>0</v>
      </c>
      <c r="BG621" s="65">
        <f t="shared" si="381"/>
        <v>0</v>
      </c>
      <c r="BH621" s="70">
        <v>0</v>
      </c>
      <c r="BI621" s="65">
        <f t="shared" si="382"/>
        <v>0</v>
      </c>
      <c r="BJ621" s="38">
        <f>IF(AND(BJ$7="○",$A621&gt;=BJ$8,$A621&lt;=BJ$9),IF(SUM(BJ$10:BJ620)-ROUNDDOWN($M621*BJ$5/100,0)&lt;-BJ$6,-BJ$6-SUM(BJ$10:BJ620),-ROUNDDOWN($M621*BJ$5/100,0)),0)</f>
        <v>0</v>
      </c>
      <c r="BK621" s="38">
        <f>IF(AND(BK$7="○",$A621&gt;=BK$8,$A621&lt;=BK$9),IF(SUM(BK$10:BK620)-ROUNDDOWN($L621*BK$5/100,0)&lt;-BK$6,-BK$6-SUM(BK$10:BK620),-ROUNDDOWN($L621*BK$5/100,0)),0)</f>
        <v>0</v>
      </c>
      <c r="BL621" s="38">
        <f>IF(AND(BL$7="○",$A621&gt;=BL$8,$A621&lt;=BL$9),IF(SUM(BL$10:BL620)-ROUNDDOWN($L621*BL$5/100,0)&lt;-BL$6,-BL$6-SUM(BL$10:BL620),-ROUNDDOWN($L621*BL$5/100,0)),0)</f>
        <v>0</v>
      </c>
      <c r="BM621" s="38">
        <f>IF(AND(BM$7="○",$A621&gt;=BM$8,$A621&lt;=BM$9),IF(SUM(BM$10:BM620)-ROUNDDOWN($M621*BM$5/100,0)&lt;-BM$6,-BM$6-SUM(BM$10:BM620),-ROUNDDOWN($M621*BM$5/100,0)),0)</f>
        <v>0</v>
      </c>
      <c r="BN621" s="38">
        <f>IF(AND(BN$7="○",$A621&gt;=BN$8,$A621&lt;=BN$9),IF(SUM(BN$10:BN620)-ROUNDDOWN($M621*BN$5/100,0)&lt;-BN$6,-BN$6-SUM(BN$10:BN620),-ROUNDDOWN($M621*BN$5/100,0)),0)</f>
        <v>0</v>
      </c>
      <c r="BO621" s="38">
        <f>IF(AND(BO$7="○",$A621&gt;=BO$8,$A621&lt;=BO$9),IF(SUM(BO$10:BO620)-ROUNDDOWN($M621*BO$5/100,0)&lt;-BO$6,-BO$6-SUM(BO$10:BO620),-ROUNDDOWN($M621*BO$5/100,0)),0)</f>
        <v>0</v>
      </c>
      <c r="BP621" s="38">
        <f>IF(AND(BP$7="○",$A621&gt;=BP$8,$A621&lt;=BP$9),IF(SUM(BP$10:BP620)-ROUNDDOWN($M621*BP$5/100,0)&lt;-BP$6,-BP$6-SUM(BP$10:BP620),-ROUNDDOWN($M621*BP$5/100,0)),0)</f>
        <v>0</v>
      </c>
      <c r="BQ621" s="38">
        <f>IF(AND(BQ$7="○",$A621&gt;=BQ$8,$A621&lt;=BQ$9),IF(SUM(BQ$10:BQ620)-ROUNDDOWN($L621*BQ$5/100,0)&lt;-BQ$6,-BQ$6-SUM(BQ$10:BQ620),-ROUNDDOWN($L621*BQ$5/100,0)),0)</f>
        <v>0</v>
      </c>
      <c r="BR621" s="38">
        <f>IF(AND(BR$7="○",$A621&gt;=BR$8,$A621&lt;=BR$9),IF(SUM(BR$10:BR620)-ROUNDDOWN($M621*BR$5/100,0)&lt;-BR$6,-BR$6-SUM(BR$10:BR620),-ROUNDDOWN($M621*BR$5/100,0)),0)</f>
        <v>0</v>
      </c>
      <c r="BS621" s="38">
        <f>IF(AND(BS$7="○",$A621&gt;=BS$8,$A621&lt;=BS$9),IF(SUM(BS$10:BS620)-ROUNDDOWN($M621*BS$5/100,0)&lt;-BS$6,-BS$6-SUM(BS$10:BS620),-ROUNDDOWN($M621*BS$5/100,0)),0)</f>
        <v>0</v>
      </c>
      <c r="BT621" s="38">
        <f>IF(AND(BT$7="○",$A621&gt;=BT$8,$A621&lt;=BT$9),IF(SUM(BT$10:BT620)-ROUNDDOWN($M621*BT$5/100,0)&lt;-BT$6,-BT$6-SUM(BT$10:BT620),-ROUNDDOWN($M621*BT$5/100,0)),0)</f>
        <v>0</v>
      </c>
      <c r="BU621" s="38">
        <f>IF(AND(BU$7="○",$A621&gt;=BU$8,$A621&lt;=BU$9),IF(SUM(BU$10:BU620)-ROUNDDOWN($M621*BU$5/100,0)&lt;-BU$6,-BU$6-SUM(BU$10:BU620),-ROUNDDOWN($M621*BU$5/100,0)),0)</f>
        <v>0</v>
      </c>
      <c r="BV621" s="38">
        <f>IF(AND(BV$7="○",$A621&gt;=BV$8,$A621&lt;=BV$9),IF(SUM(BV$10:BV620)-ROUNDDOWN($M621*BV$5/100,0)&lt;-BV$6,-BV$6-SUM(BV$10:BV620),-ROUNDDOWN($M621*BV$5/100,0)),0)</f>
        <v>0</v>
      </c>
      <c r="BW621" s="38">
        <f>IF(AND(BW$7="○",$A621&gt;=BW$8,$A621&lt;=BW$9),IF(SUM(BW$10:BW620)-ROUNDDOWN($M621*BW$5/100,0)&lt;-BW$6,-BW$6-SUM(BW$10:BW620),-ROUNDDOWN($M621*BW$5/100,0)),0)</f>
        <v>0</v>
      </c>
      <c r="BX621" s="38">
        <f>IF(AND(T621="○",$A621&gt;=BX$8,$A621&lt;=BX$9),IF(SUM(BX$10:BX620)-ROUNDDOWN($K621*BX$5/100,0)&lt;-BX$6,-BX$6-SUM(BX$10:BX620),-ROUNDDOWN($K621*BX$5/100,0)),0)</f>
        <v>0</v>
      </c>
      <c r="BY621" s="38">
        <f>IF(AND(U621="○",$A621&gt;=BY$8,$A621&lt;=BY$9),IF(SUM(BY$10:BY620)-ROUNDDOWN($K621*BY$5/100,0)&lt;-BY$6,-BY$6-SUM(BY$10:BY620),-ROUNDDOWN($K621*BY$5/100,0)),0)</f>
        <v>0</v>
      </c>
      <c r="BZ621" s="38">
        <f>IF(AND(V621="○",$A621&gt;=BZ$8,$A621&lt;=BZ$9),IF(SUM(BZ$10:BZ620)-ROUNDDOWN($K621*BZ$5/100,0)&lt;-BZ$6,-BZ$6-SUM(BZ$10:BZ620),-ROUNDDOWN($K621*BZ$5/100,0)),0)</f>
        <v>0</v>
      </c>
      <c r="CA621" s="38">
        <f>IF(AND(W621="○",$A621&gt;=CA$8,$A621&lt;=CA$9),IF(SUM(CA$10:CA620)-ROUNDDOWN($K621*CA$5/100,0)&lt;-CA$6,-CA$6-SUM(CA$10:CA620),-ROUNDDOWN($K621*CA$5/100,0)),0)</f>
        <v>0</v>
      </c>
      <c r="CB621" s="38"/>
      <c r="CC621" s="38"/>
      <c r="CD621" s="38"/>
      <c r="CE621" s="38"/>
      <c r="CF621" s="38"/>
      <c r="CG621" s="65">
        <f t="shared" si="383"/>
        <v>0</v>
      </c>
      <c r="CH621" s="71">
        <f t="shared" si="384"/>
        <v>0</v>
      </c>
      <c r="CI621" s="1">
        <f t="shared" si="19"/>
        <v>0</v>
      </c>
      <c r="CJ621" s="1"/>
      <c r="CK621" s="2"/>
      <c r="CL621" s="2"/>
      <c r="CM621" s="2"/>
      <c r="CN621" s="2"/>
      <c r="CO621" s="73">
        <f t="shared" si="20"/>
        <v>0</v>
      </c>
      <c r="CP621" s="5">
        <f t="shared" si="21"/>
        <v>0</v>
      </c>
      <c r="CQ621" s="1"/>
      <c r="CR621" s="1">
        <f t="shared" si="22"/>
        <v>0</v>
      </c>
      <c r="CS621" s="1"/>
      <c r="CT621" s="1" t="e">
        <f>INDEX([2]マスタ!$A:$A,MATCH(D621,[2]マスタ!$C:$C,0))</f>
        <v>#N/A</v>
      </c>
      <c r="CU621" s="1" t="str">
        <f t="shared" ca="1" si="23"/>
        <v>20260620_0-0</v>
      </c>
    </row>
    <row r="622" spans="1:99" x14ac:dyDescent="0.4">
      <c r="A622" s="61"/>
      <c r="B622" s="62"/>
      <c r="C622" s="62"/>
      <c r="D622" s="62"/>
      <c r="E622" s="77"/>
      <c r="F622" s="62"/>
      <c r="G622" s="62">
        <v>1</v>
      </c>
      <c r="H622" s="64">
        <f t="shared" si="4"/>
        <v>0</v>
      </c>
      <c r="I622" s="64"/>
      <c r="J622" s="78"/>
      <c r="K622" s="65">
        <f t="shared" si="49"/>
        <v>0</v>
      </c>
      <c r="L622" s="65">
        <f t="shared" si="6"/>
        <v>0</v>
      </c>
      <c r="M622" s="65">
        <f t="shared" si="7"/>
        <v>0</v>
      </c>
      <c r="N622" s="65">
        <f t="shared" si="8"/>
        <v>0</v>
      </c>
      <c r="O622" s="66" t="str">
        <f t="shared" si="9"/>
        <v>✕</v>
      </c>
      <c r="P622" s="67" t="str">
        <f t="shared" si="10"/>
        <v>○</v>
      </c>
      <c r="Q622" s="67" t="str">
        <f t="shared" si="50"/>
        <v>✕</v>
      </c>
      <c r="R622" s="67" t="str">
        <f t="shared" si="12"/>
        <v>✕</v>
      </c>
      <c r="S622" s="68">
        <v>0</v>
      </c>
      <c r="T622" s="69" t="s">
        <v>85</v>
      </c>
      <c r="U622" s="69" t="s">
        <v>85</v>
      </c>
      <c r="V622" s="69" t="s">
        <v>85</v>
      </c>
      <c r="W622" s="69" t="s">
        <v>85</v>
      </c>
      <c r="X622" s="69" t="s">
        <v>84</v>
      </c>
      <c r="Y622" s="69" t="s">
        <v>85</v>
      </c>
      <c r="Z622" s="69" t="s">
        <v>85</v>
      </c>
      <c r="AA622" s="69" t="s">
        <v>85</v>
      </c>
      <c r="AB622" s="69" t="s">
        <v>85</v>
      </c>
      <c r="AC622" s="69" t="s">
        <v>85</v>
      </c>
      <c r="AD622" s="38" t="str">
        <f>+IF(ISERROR(VLOOKUP($B622,AD$10:AD621,1,0)),IF(AND($N622&gt;=1000,$A622&gt;=AO$8,$A622&lt;=AO$9),$B622,""),"")</f>
        <v/>
      </c>
      <c r="AE622" s="38" t="str">
        <f>+IF(ISERROR(VLOOKUP($B622,AE$10:AE621,1,0)),IF(AND($N622&gt;=1000,$A622&gt;=AP$8,$A622&lt;=AP$9),$B622,""),"")</f>
        <v/>
      </c>
      <c r="AF622" s="38" t="str">
        <f>+IF(ISERROR(VLOOKUP($B622,AF$10:AF621,1,0)),IF(AND($N622&gt;=1000,$A622&gt;=AQ$8,$A622&lt;=AQ$9),$B622,""),"")</f>
        <v/>
      </c>
      <c r="AG622" s="38" t="str">
        <f>+IF(ISERROR(VLOOKUP($B622,AG$10:AG621,1,0)),IF(AND($N622&gt;=1000,$A622&gt;=AR$8,$A622&lt;=AR$9),$B622,""),"")</f>
        <v/>
      </c>
      <c r="AH622" s="38"/>
      <c r="AI622" s="70">
        <v>0</v>
      </c>
      <c r="AJ622" s="38">
        <f>IF(AND(AJ$7="○",$A622&gt;=AJ$8,$A622&lt;=AJ$9),IF(SUM(AJ$10:AJ621)-ROUNDDOWN($K622*AJ$5/100,0)&lt;-AJ$6,-AJ$6-SUM(AJ$10:AJ621),-ROUNDDOWN($K622*AJ$5/100,0)),0)</f>
        <v>0</v>
      </c>
      <c r="AK622" s="38">
        <f>IF(AND(AK$7="○",$A622&gt;=AK$8,$A622&lt;=AK$9),IF(SUM(AK$10:AK621)-ROUNDDOWN($L622*AK$5/100,0)&lt;-AK$6,-AK$6-SUM(AK$10:AK621),-ROUNDDOWN($L622*AK$5/100,0)),0)</f>
        <v>0</v>
      </c>
      <c r="AL622" s="38">
        <f>IF(AND(AL$7="○",$A622&gt;=AL$8,$A622&lt;=AL$9),IF(SUM(AL$10:AL621)-ROUNDDOWN($N622*AL$5/100,0)&lt;-AL$6,-AL$6-SUM(AL$10:AL621),-ROUNDDOWN($N622*AL$5/100,0)),0)</f>
        <v>0</v>
      </c>
      <c r="AM622" s="38">
        <f>IF(AND(AM$7="○",$A622&gt;=AM$8,$A622&lt;=AM$9),IF(SUM(AM$10:AM621)-ROUNDDOWN($L622*AM$5/100,0)&lt;-AM$6,-AM$6-SUM(AM$10:AM621),-ROUNDDOWN($L622*AM$5/100,0)),0)</f>
        <v>0</v>
      </c>
      <c r="AN622" s="38">
        <f>IF(AND(AN$7="○",$A622&gt;=AN$8,$A622&lt;=AN$9),IF(SUM(AN$10:AN621)-ROUNDDOWN($M622*AN$5/100,0)&lt;-AN$6,-AN$6-SUM(AN$10:AN621),-ROUNDDOWN($M622*AN$5/100,0)),0)</f>
        <v>0</v>
      </c>
      <c r="AO622" s="38">
        <f>IF(AND($A622&gt;=AO$8,$A622&lt;=AO$9),IF(SUM(AO$10:AO621)-ROUNDDOWN($K622*AO$5/100,0)&lt;-AO$6,-AO$6-SUM(AO$10:AO621),-ROUNDDOWN($K622*AO$5/100,0)),0)</f>
        <v>0</v>
      </c>
      <c r="AP622" s="38">
        <f>IF(AND($A622&gt;=AP$8,$A622&lt;=AP$9),IF(SUM(AP$10:AP621)-ROUNDDOWN($K622*AP$5/100,0)&lt;-AP$6,-AP$6-SUM(AP$10:AP621),-ROUNDDOWN($K622*AP$5/100,0)),0)</f>
        <v>0</v>
      </c>
      <c r="AQ622" s="38">
        <f>IF(AND($A622&gt;=AQ$8,$A622&lt;=AQ$9),IF(SUM(AQ$10:AQ621)-ROUNDDOWN($K622*AQ$5/100,0)&lt;-AQ$6,-AQ$6-SUM(AQ$10:AQ621),-ROUNDDOWN($K622*AQ$5/100,0)),0)</f>
        <v>0</v>
      </c>
      <c r="AR622" s="38">
        <f>IF(AND($A622&gt;=AR$8,$A622&lt;=AR$9),IF(SUM(AR$10:AR621)-ROUNDDOWN($K622*AR$5/100,0)&lt;-AR$6,-AR$6-SUM(AR$10:AR621),-ROUNDDOWN($K622*AR$5/100,0)),0)</f>
        <v>0</v>
      </c>
      <c r="AS622" s="38">
        <f>IF(SUMIFS(AS$10:AS621,$A$10:$A621,$A622)-ROUNDDOWN($K622*$S622/100,0)&lt;-$S622*1000,-$S622*1000-SUMIFS(AS$10:AS621,$A$10:$A621,$A622),-ROUNDDOWN($K622*$S622/100,0))</f>
        <v>0</v>
      </c>
      <c r="AT622" s="38">
        <f>IF(AND(X622="○",$A622&gt;=AT$8,$A622&lt;=AT$9,K622&gt;=3980),IF(SUM(AT$10:AT621)-ROUNDDOWN($K622*AT$5/100,0)&lt;-AT$6,-AT$6-SUM(AT$10:AT621),-ROUNDDOWN($K622*AT$5/100,0)),0)</f>
        <v>0</v>
      </c>
      <c r="AU622" s="38">
        <f>IF(O622="○",IF(SUM(AU$10:AU621)-ROUNDDOWN($K622*AU$5/100,0)&lt;-AU$6,-AU$6-SUM(AU$10:AU621),-ROUNDDOWN($K622*AU$5/100,0)),0)</f>
        <v>0</v>
      </c>
      <c r="AV622" s="38">
        <f>IF(P622="○",IF(SUM(AV$10:AV621)-ROUNDDOWN($K622*AV$5/100,0)&lt;-AV$6,-AV$6-SUM(AV$10:AV621),-ROUNDDOWN($K622*AV$5/100,0)),0)</f>
        <v>0</v>
      </c>
      <c r="AW622" s="38">
        <f>IF(Q622="○",IF(SUM(AW$10:AW621)-ROUNDDOWN($K622*AW$5/100,0)&lt;-AW$6,-AW$6-SUM(AW$10:AW621),-ROUNDDOWN($K622*AW$5/100,0)),0)</f>
        <v>0</v>
      </c>
      <c r="AX622" s="38">
        <f>IF(R622="○",IF(SUM(AX$10:AX621)-ROUNDDOWN($K622*AX$5/100,0)&lt;-AX$6,-AX$6-SUM(AX$10:AX621),-ROUNDDOWN($K622*AX$5/100,0)),0)</f>
        <v>0</v>
      </c>
      <c r="AY622" s="70">
        <v>0</v>
      </c>
      <c r="AZ622" s="65">
        <f t="shared" si="377"/>
        <v>0</v>
      </c>
      <c r="BA622" s="65">
        <f t="shared" si="378"/>
        <v>0</v>
      </c>
      <c r="BB622" s="70"/>
      <c r="BC622" s="65">
        <f t="shared" si="379"/>
        <v>0</v>
      </c>
      <c r="BD622" s="70">
        <v>0</v>
      </c>
      <c r="BE622" s="65">
        <f t="shared" si="380"/>
        <v>0</v>
      </c>
      <c r="BF622" s="70">
        <v>0</v>
      </c>
      <c r="BG622" s="65">
        <f t="shared" si="381"/>
        <v>0</v>
      </c>
      <c r="BH622" s="70">
        <v>0</v>
      </c>
      <c r="BI622" s="65">
        <f t="shared" si="382"/>
        <v>0</v>
      </c>
      <c r="BJ622" s="38">
        <f>IF(AND(BJ$7="○",$A622&gt;=BJ$8,$A622&lt;=BJ$9),IF(SUM(BJ$10:BJ621)-ROUNDDOWN($M622*BJ$5/100,0)&lt;-BJ$6,-BJ$6-SUM(BJ$10:BJ621),-ROUNDDOWN($M622*BJ$5/100,0)),0)</f>
        <v>0</v>
      </c>
      <c r="BK622" s="38">
        <f>IF(AND(BK$7="○",$A622&gt;=BK$8,$A622&lt;=BK$9),IF(SUM(BK$10:BK621)-ROUNDDOWN($L622*BK$5/100,0)&lt;-BK$6,-BK$6-SUM(BK$10:BK621),-ROUNDDOWN($L622*BK$5/100,0)),0)</f>
        <v>0</v>
      </c>
      <c r="BL622" s="38">
        <f>IF(AND(BL$7="○",$A622&gt;=BL$8,$A622&lt;=BL$9),IF(SUM(BL$10:BL621)-ROUNDDOWN($L622*BL$5/100,0)&lt;-BL$6,-BL$6-SUM(BL$10:BL621),-ROUNDDOWN($L622*BL$5/100,0)),0)</f>
        <v>0</v>
      </c>
      <c r="BM622" s="38">
        <f>IF(AND(BM$7="○",$A622&gt;=BM$8,$A622&lt;=BM$9),IF(SUM(BM$10:BM621)-ROUNDDOWN($M622*BM$5/100,0)&lt;-BM$6,-BM$6-SUM(BM$10:BM621),-ROUNDDOWN($M622*BM$5/100,0)),0)</f>
        <v>0</v>
      </c>
      <c r="BN622" s="38">
        <f>IF(AND(BN$7="○",$A622&gt;=BN$8,$A622&lt;=BN$9),IF(SUM(BN$10:BN621)-ROUNDDOWN($M622*BN$5/100,0)&lt;-BN$6,-BN$6-SUM(BN$10:BN621),-ROUNDDOWN($M622*BN$5/100,0)),0)</f>
        <v>0</v>
      </c>
      <c r="BO622" s="38">
        <f>IF(AND(BO$7="○",$A622&gt;=BO$8,$A622&lt;=BO$9),IF(SUM(BO$10:BO621)-ROUNDDOWN($M622*BO$5/100,0)&lt;-BO$6,-BO$6-SUM(BO$10:BO621),-ROUNDDOWN($M622*BO$5/100,0)),0)</f>
        <v>0</v>
      </c>
      <c r="BP622" s="38">
        <f>IF(AND(BP$7="○",$A622&gt;=BP$8,$A622&lt;=BP$9),IF(SUM(BP$10:BP621)-ROUNDDOWN($M622*BP$5/100,0)&lt;-BP$6,-BP$6-SUM(BP$10:BP621),-ROUNDDOWN($M622*BP$5/100,0)),0)</f>
        <v>0</v>
      </c>
      <c r="BQ622" s="38">
        <f>IF(AND(BQ$7="○",$A622&gt;=BQ$8,$A622&lt;=BQ$9),IF(SUM(BQ$10:BQ621)-ROUNDDOWN($L622*BQ$5/100,0)&lt;-BQ$6,-BQ$6-SUM(BQ$10:BQ621),-ROUNDDOWN($L622*BQ$5/100,0)),0)</f>
        <v>0</v>
      </c>
      <c r="BR622" s="38">
        <f>IF(AND(BR$7="○",$A622&gt;=BR$8,$A622&lt;=BR$9),IF(SUM(BR$10:BR621)-ROUNDDOWN($M622*BR$5/100,0)&lt;-BR$6,-BR$6-SUM(BR$10:BR621),-ROUNDDOWN($M622*BR$5/100,0)),0)</f>
        <v>0</v>
      </c>
      <c r="BS622" s="38">
        <f>IF(AND(BS$7="○",$A622&gt;=BS$8,$A622&lt;=BS$9),IF(SUM(BS$10:BS621)-ROUNDDOWN($M622*BS$5/100,0)&lt;-BS$6,-BS$6-SUM(BS$10:BS621),-ROUNDDOWN($M622*BS$5/100,0)),0)</f>
        <v>0</v>
      </c>
      <c r="BT622" s="38">
        <f>IF(AND(BT$7="○",$A622&gt;=BT$8,$A622&lt;=BT$9),IF(SUM(BT$10:BT621)-ROUNDDOWN($M622*BT$5/100,0)&lt;-BT$6,-BT$6-SUM(BT$10:BT621),-ROUNDDOWN($M622*BT$5/100,0)),0)</f>
        <v>0</v>
      </c>
      <c r="BU622" s="38">
        <f>IF(AND(BU$7="○",$A622&gt;=BU$8,$A622&lt;=BU$9),IF(SUM(BU$10:BU621)-ROUNDDOWN($M622*BU$5/100,0)&lt;-BU$6,-BU$6-SUM(BU$10:BU621),-ROUNDDOWN($M622*BU$5/100,0)),0)</f>
        <v>0</v>
      </c>
      <c r="BV622" s="38">
        <f>IF(AND(BV$7="○",$A622&gt;=BV$8,$A622&lt;=BV$9),IF(SUM(BV$10:BV621)-ROUNDDOWN($M622*BV$5/100,0)&lt;-BV$6,-BV$6-SUM(BV$10:BV621),-ROUNDDOWN($M622*BV$5/100,0)),0)</f>
        <v>0</v>
      </c>
      <c r="BW622" s="38">
        <f>IF(AND(BW$7="○",$A622&gt;=BW$8,$A622&lt;=BW$9),IF(SUM(BW$10:BW621)-ROUNDDOWN($M622*BW$5/100,0)&lt;-BW$6,-BW$6-SUM(BW$10:BW621),-ROUNDDOWN($M622*BW$5/100,0)),0)</f>
        <v>0</v>
      </c>
      <c r="BX622" s="38">
        <f>IF(AND(T622="○",$A622&gt;=BX$8,$A622&lt;=BX$9),IF(SUM(BX$10:BX621)-ROUNDDOWN($K622*BX$5/100,0)&lt;-BX$6,-BX$6-SUM(BX$10:BX621),-ROUNDDOWN($K622*BX$5/100,0)),0)</f>
        <v>0</v>
      </c>
      <c r="BY622" s="38">
        <f>IF(AND(U622="○",$A622&gt;=BY$8,$A622&lt;=BY$9),IF(SUM(BY$10:BY621)-ROUNDDOWN($K622*BY$5/100,0)&lt;-BY$6,-BY$6-SUM(BY$10:BY621),-ROUNDDOWN($K622*BY$5/100,0)),0)</f>
        <v>0</v>
      </c>
      <c r="BZ622" s="38">
        <f>IF(AND(V622="○",$A622&gt;=BZ$8,$A622&lt;=BZ$9),IF(SUM(BZ$10:BZ621)-ROUNDDOWN($K622*BZ$5/100,0)&lt;-BZ$6,-BZ$6-SUM(BZ$10:BZ621),-ROUNDDOWN($K622*BZ$5/100,0)),0)</f>
        <v>0</v>
      </c>
      <c r="CA622" s="38">
        <f>IF(AND(W622="○",$A622&gt;=CA$8,$A622&lt;=CA$9),IF(SUM(CA$10:CA621)-ROUNDDOWN($K622*CA$5/100,0)&lt;-CA$6,-CA$6-SUM(CA$10:CA621),-ROUNDDOWN($K622*CA$5/100,0)),0)</f>
        <v>0</v>
      </c>
      <c r="CB622" s="38"/>
      <c r="CC622" s="38"/>
      <c r="CD622" s="38"/>
      <c r="CE622" s="38"/>
      <c r="CF622" s="38"/>
      <c r="CG622" s="65">
        <f t="shared" si="383"/>
        <v>0</v>
      </c>
      <c r="CH622" s="71">
        <f t="shared" si="384"/>
        <v>0</v>
      </c>
      <c r="CI622" s="1">
        <f t="shared" si="19"/>
        <v>0</v>
      </c>
      <c r="CJ622" s="1"/>
      <c r="CK622" s="79"/>
      <c r="CL622" s="79"/>
      <c r="CM622" s="2"/>
      <c r="CN622" s="2"/>
      <c r="CO622" s="73">
        <f t="shared" si="20"/>
        <v>0</v>
      </c>
      <c r="CP622" s="5">
        <f t="shared" si="21"/>
        <v>0</v>
      </c>
      <c r="CQ622" s="1"/>
      <c r="CR622" s="1">
        <f t="shared" si="22"/>
        <v>0</v>
      </c>
      <c r="CS622" s="1"/>
      <c r="CT622" s="1" t="e">
        <f>INDEX([2]マスタ!$A:$A,MATCH(D622,[2]マスタ!$C:$C,0))</f>
        <v>#N/A</v>
      </c>
      <c r="CU622" s="1" t="str">
        <f t="shared" ca="1" si="23"/>
        <v>20260620_0-0</v>
      </c>
    </row>
    <row r="623" spans="1:99" x14ac:dyDescent="0.4">
      <c r="A623" s="61"/>
      <c r="B623" s="62"/>
      <c r="C623" s="62"/>
      <c r="D623" s="62"/>
      <c r="E623" s="77"/>
      <c r="F623" s="62"/>
      <c r="G623" s="62">
        <v>1</v>
      </c>
      <c r="H623" s="64">
        <f t="shared" si="4"/>
        <v>0</v>
      </c>
      <c r="I623" s="64"/>
      <c r="J623" s="64"/>
      <c r="K623" s="65">
        <f t="shared" si="49"/>
        <v>0</v>
      </c>
      <c r="L623" s="65">
        <f t="shared" si="6"/>
        <v>0</v>
      </c>
      <c r="M623" s="65">
        <f t="shared" si="7"/>
        <v>0</v>
      </c>
      <c r="N623" s="65">
        <f t="shared" si="8"/>
        <v>0</v>
      </c>
      <c r="O623" s="66" t="str">
        <f t="shared" si="9"/>
        <v>✕</v>
      </c>
      <c r="P623" s="67" t="str">
        <f t="shared" si="10"/>
        <v>○</v>
      </c>
      <c r="Q623" s="67" t="str">
        <f t="shared" si="50"/>
        <v>✕</v>
      </c>
      <c r="R623" s="67" t="str">
        <f t="shared" si="12"/>
        <v>✕</v>
      </c>
      <c r="S623" s="68">
        <v>0</v>
      </c>
      <c r="T623" s="69" t="s">
        <v>85</v>
      </c>
      <c r="U623" s="69" t="s">
        <v>85</v>
      </c>
      <c r="V623" s="69" t="s">
        <v>85</v>
      </c>
      <c r="W623" s="69" t="s">
        <v>85</v>
      </c>
      <c r="X623" s="69" t="s">
        <v>84</v>
      </c>
      <c r="Y623" s="69" t="s">
        <v>85</v>
      </c>
      <c r="Z623" s="69" t="s">
        <v>85</v>
      </c>
      <c r="AA623" s="69" t="s">
        <v>85</v>
      </c>
      <c r="AB623" s="69" t="s">
        <v>85</v>
      </c>
      <c r="AC623" s="69" t="s">
        <v>85</v>
      </c>
      <c r="AD623" s="38" t="str">
        <f>+IF(ISERROR(VLOOKUP($B623,AD$10:AD622,1,0)),IF(AND($N623&gt;=1000,$A623&gt;=AO$8,$A623&lt;=AO$9),$B623,""),"")</f>
        <v/>
      </c>
      <c r="AE623" s="38" t="str">
        <f>+IF(ISERROR(VLOOKUP($B623,AE$10:AE622,1,0)),IF(AND($N623&gt;=1000,$A623&gt;=AP$8,$A623&lt;=AP$9),$B623,""),"")</f>
        <v/>
      </c>
      <c r="AF623" s="38" t="str">
        <f>+IF(ISERROR(VLOOKUP($B623,AF$10:AF622,1,0)),IF(AND($N623&gt;=1000,$A623&gt;=AQ$8,$A623&lt;=AQ$9),$B623,""),"")</f>
        <v/>
      </c>
      <c r="AG623" s="38" t="str">
        <f>+IF(ISERROR(VLOOKUP($B623,AG$10:AG622,1,0)),IF(AND($N623&gt;=1000,$A623&gt;=AR$8,$A623&lt;=AR$9),$B623,""),"")</f>
        <v/>
      </c>
      <c r="AH623" s="38"/>
      <c r="AI623" s="70">
        <v>0</v>
      </c>
      <c r="AJ623" s="38">
        <f>IF(AND(AJ$7="○",$A623&gt;=AJ$8,$A623&lt;=AJ$9),IF(SUM(AJ$10:AJ622)-ROUNDDOWN($K623*AJ$5/100,0)&lt;-AJ$6,-AJ$6-SUM(AJ$10:AJ622),-ROUNDDOWN($K623*AJ$5/100,0)),0)</f>
        <v>0</v>
      </c>
      <c r="AK623" s="38">
        <f>IF(AND(AK$7="○",$A623&gt;=AK$8,$A623&lt;=AK$9),IF(SUM(AK$10:AK622)-ROUNDDOWN($L623*AK$5/100,0)&lt;-AK$6,-AK$6-SUM(AK$10:AK622),-ROUNDDOWN($L623*AK$5/100,0)),0)</f>
        <v>0</v>
      </c>
      <c r="AL623" s="38">
        <f>IF(AND(AL$7="○",$A623&gt;=AL$8,$A623&lt;=AL$9),IF(SUM(AL$10:AL622)-ROUNDDOWN($N623*AL$5/100,0)&lt;-AL$6,-AL$6-SUM(AL$10:AL622),-ROUNDDOWN($N623*AL$5/100,0)),0)</f>
        <v>0</v>
      </c>
      <c r="AM623" s="38">
        <f>IF(AND(AM$7="○",$A623&gt;=AM$8,$A623&lt;=AM$9),IF(SUM(AM$10:AM622)-ROUNDDOWN($L623*AM$5/100,0)&lt;-AM$6,-AM$6-SUM(AM$10:AM622),-ROUNDDOWN($L623*AM$5/100,0)),0)</f>
        <v>0</v>
      </c>
      <c r="AN623" s="38">
        <f>IF(AND(AN$7="○",$A623&gt;=AN$8,$A623&lt;=AN$9),IF(SUM(AN$10:AN622)-ROUNDDOWN($M623*AN$5/100,0)&lt;-AN$6,-AN$6-SUM(AN$10:AN622),-ROUNDDOWN($M623*AN$5/100,0)),0)</f>
        <v>0</v>
      </c>
      <c r="AO623" s="38">
        <f>IF(AND($A623&gt;=AO$8,$A623&lt;=AO$9),IF(SUM(AO$10:AO622)-ROUNDDOWN($K623*AO$5/100,0)&lt;-AO$6,-AO$6-SUM(AO$10:AO622),-ROUNDDOWN($K623*AO$5/100,0)),0)</f>
        <v>0</v>
      </c>
      <c r="AP623" s="38">
        <f>IF(AND($A623&gt;=AP$8,$A623&lt;=AP$9),IF(SUM(AP$10:AP622)-ROUNDDOWN($K623*AP$5/100,0)&lt;-AP$6,-AP$6-SUM(AP$10:AP622),-ROUNDDOWN($K623*AP$5/100,0)),0)</f>
        <v>0</v>
      </c>
      <c r="AQ623" s="38">
        <f>IF(AND($A623&gt;=AQ$8,$A623&lt;=AQ$9),IF(SUM(AQ$10:AQ622)-ROUNDDOWN($K623*AQ$5/100,0)&lt;-AQ$6,-AQ$6-SUM(AQ$10:AQ622),-ROUNDDOWN($K623*AQ$5/100,0)),0)</f>
        <v>0</v>
      </c>
      <c r="AR623" s="38">
        <f>IF(AND($A623&gt;=AR$8,$A623&lt;=AR$9),IF(SUM(AR$10:AR622)-ROUNDDOWN($K623*AR$5/100,0)&lt;-AR$6,-AR$6-SUM(AR$10:AR622),-ROUNDDOWN($K623*AR$5/100,0)),0)</f>
        <v>0</v>
      </c>
      <c r="AS623" s="38">
        <f>IF(SUMIFS(AS$10:AS622,$A$10:$A622,$A623)-ROUNDDOWN($K623*$S623/100,0)&lt;-$S623*1000,-$S623*1000-SUMIFS(AS$10:AS622,$A$10:$A622,$A623),-ROUNDDOWN($K623*$S623/100,0))</f>
        <v>0</v>
      </c>
      <c r="AT623" s="38">
        <f>IF(AND(X623="○",$A623&gt;=AT$8,$A623&lt;=AT$9,K623&gt;=3980),IF(SUM(AT$10:AT622)-ROUNDDOWN($K623*AT$5/100,0)&lt;-AT$6,-AT$6-SUM(AT$10:AT622),-ROUNDDOWN($K623*AT$5/100,0)),0)</f>
        <v>0</v>
      </c>
      <c r="AU623" s="38">
        <f>IF(O623="○",IF(SUM(AU$10:AU622)-ROUNDDOWN($K623*AU$5/100,0)&lt;-AU$6,-AU$6-SUM(AU$10:AU622),-ROUNDDOWN($K623*AU$5/100,0)),0)</f>
        <v>0</v>
      </c>
      <c r="AV623" s="38">
        <f>IF(P623="○",IF(SUM(AV$10:AV622)-ROUNDDOWN($K623*AV$5/100,0)&lt;-AV$6,-AV$6-SUM(AV$10:AV622),-ROUNDDOWN($K623*AV$5/100,0)),0)</f>
        <v>0</v>
      </c>
      <c r="AW623" s="38">
        <f>IF(Q623="○",IF(SUM(AW$10:AW622)-ROUNDDOWN($K623*AW$5/100,0)&lt;-AW$6,-AW$6-SUM(AW$10:AW622),-ROUNDDOWN($K623*AW$5/100,0)),0)</f>
        <v>0</v>
      </c>
      <c r="AX623" s="38">
        <f>IF(R623="○",IF(SUM(AX$10:AX622)-ROUNDDOWN($K623*AX$5/100,0)&lt;-AX$6,-AX$6-SUM(AX$10:AX622),-ROUNDDOWN($K623*AX$5/100,0)),0)</f>
        <v>0</v>
      </c>
      <c r="AY623" s="70">
        <v>0</v>
      </c>
      <c r="AZ623" s="65">
        <f t="shared" si="377"/>
        <v>0</v>
      </c>
      <c r="BA623" s="65">
        <f t="shared" si="378"/>
        <v>0</v>
      </c>
      <c r="BB623" s="70"/>
      <c r="BC623" s="65">
        <f t="shared" si="379"/>
        <v>0</v>
      </c>
      <c r="BD623" s="70">
        <v>0</v>
      </c>
      <c r="BE623" s="65">
        <f t="shared" si="380"/>
        <v>0</v>
      </c>
      <c r="BF623" s="70">
        <v>0</v>
      </c>
      <c r="BG623" s="65">
        <f t="shared" si="381"/>
        <v>0</v>
      </c>
      <c r="BH623" s="70">
        <v>0</v>
      </c>
      <c r="BI623" s="65">
        <f t="shared" si="382"/>
        <v>0</v>
      </c>
      <c r="BJ623" s="38">
        <f>IF(AND(BJ$7="○",$A623&gt;=BJ$8,$A623&lt;=BJ$9),IF(SUM(BJ$10:BJ622)-ROUNDDOWN($M623*BJ$5/100,0)&lt;-BJ$6,-BJ$6-SUM(BJ$10:BJ622),-ROUNDDOWN($M623*BJ$5/100,0)),0)</f>
        <v>0</v>
      </c>
      <c r="BK623" s="38">
        <f>IF(AND(BK$7="○",$A623&gt;=BK$8,$A623&lt;=BK$9),IF(SUM(BK$10:BK622)-ROUNDDOWN($L623*BK$5/100,0)&lt;-BK$6,-BK$6-SUM(BK$10:BK622),-ROUNDDOWN($L623*BK$5/100,0)),0)</f>
        <v>0</v>
      </c>
      <c r="BL623" s="38">
        <f>IF(AND(BL$7="○",$A623&gt;=BL$8,$A623&lt;=BL$9),IF(SUM(BL$10:BL622)-ROUNDDOWN($L623*BL$5/100,0)&lt;-BL$6,-BL$6-SUM(BL$10:BL622),-ROUNDDOWN($L623*BL$5/100,0)),0)</f>
        <v>0</v>
      </c>
      <c r="BM623" s="38">
        <f>IF(AND(BM$7="○",$A623&gt;=BM$8,$A623&lt;=BM$9),IF(SUM(BM$10:BM622)-ROUNDDOWN($M623*BM$5/100,0)&lt;-BM$6,-BM$6-SUM(BM$10:BM622),-ROUNDDOWN($M623*BM$5/100,0)),0)</f>
        <v>0</v>
      </c>
      <c r="BN623" s="38">
        <f>IF(AND(BN$7="○",$A623&gt;=BN$8,$A623&lt;=BN$9),IF(SUM(BN$10:BN622)-ROUNDDOWN($M623*BN$5/100,0)&lt;-BN$6,-BN$6-SUM(BN$10:BN622),-ROUNDDOWN($M623*BN$5/100,0)),0)</f>
        <v>0</v>
      </c>
      <c r="BO623" s="38">
        <f>IF(AND(BO$7="○",$A623&gt;=BO$8,$A623&lt;=BO$9),IF(SUM(BO$10:BO622)-ROUNDDOWN($M623*BO$5/100,0)&lt;-BO$6,-BO$6-SUM(BO$10:BO622),-ROUNDDOWN($M623*BO$5/100,0)),0)</f>
        <v>0</v>
      </c>
      <c r="BP623" s="38">
        <f>IF(AND(BP$7="○",$A623&gt;=BP$8,$A623&lt;=BP$9),IF(SUM(BP$10:BP622)-ROUNDDOWN($M623*BP$5/100,0)&lt;-BP$6,-BP$6-SUM(BP$10:BP622),-ROUNDDOWN($M623*BP$5/100,0)),0)</f>
        <v>0</v>
      </c>
      <c r="BQ623" s="38">
        <f>IF(AND(BQ$7="○",$A623&gt;=BQ$8,$A623&lt;=BQ$9),IF(SUM(BQ$10:BQ622)-ROUNDDOWN($L623*BQ$5/100,0)&lt;-BQ$6,-BQ$6-SUM(BQ$10:BQ622),-ROUNDDOWN($L623*BQ$5/100,0)),0)</f>
        <v>0</v>
      </c>
      <c r="BR623" s="38">
        <f>IF(AND(BR$7="○",$A623&gt;=BR$8,$A623&lt;=BR$9),IF(SUM(BR$10:BR622)-ROUNDDOWN($M623*BR$5/100,0)&lt;-BR$6,-BR$6-SUM(BR$10:BR622),-ROUNDDOWN($M623*BR$5/100,0)),0)</f>
        <v>0</v>
      </c>
      <c r="BS623" s="38">
        <f>IF(AND(BS$7="○",$A623&gt;=BS$8,$A623&lt;=BS$9),IF(SUM(BS$10:BS622)-ROUNDDOWN($M623*BS$5/100,0)&lt;-BS$6,-BS$6-SUM(BS$10:BS622),-ROUNDDOWN($M623*BS$5/100,0)),0)</f>
        <v>0</v>
      </c>
      <c r="BT623" s="38">
        <f>IF(AND(BT$7="○",$A623&gt;=BT$8,$A623&lt;=BT$9),IF(SUM(BT$10:BT622)-ROUNDDOWN($M623*BT$5/100,0)&lt;-BT$6,-BT$6-SUM(BT$10:BT622),-ROUNDDOWN($M623*BT$5/100,0)),0)</f>
        <v>0</v>
      </c>
      <c r="BU623" s="38">
        <f>IF(AND(BU$7="○",$A623&gt;=BU$8,$A623&lt;=BU$9),IF(SUM(BU$10:BU622)-ROUNDDOWN($M623*BU$5/100,0)&lt;-BU$6,-BU$6-SUM(BU$10:BU622),-ROUNDDOWN($M623*BU$5/100,0)),0)</f>
        <v>0</v>
      </c>
      <c r="BV623" s="38">
        <f>IF(AND(BV$7="○",$A623&gt;=BV$8,$A623&lt;=BV$9),IF(SUM(BV$10:BV622)-ROUNDDOWN($M623*BV$5/100,0)&lt;-BV$6,-BV$6-SUM(BV$10:BV622),-ROUNDDOWN($M623*BV$5/100,0)),0)</f>
        <v>0</v>
      </c>
      <c r="BW623" s="38">
        <f>IF(AND(BW$7="○",$A623&gt;=BW$8,$A623&lt;=BW$9),IF(SUM(BW$10:BW622)-ROUNDDOWN($M623*BW$5/100,0)&lt;-BW$6,-BW$6-SUM(BW$10:BW622),-ROUNDDOWN($M623*BW$5/100,0)),0)</f>
        <v>0</v>
      </c>
      <c r="BX623" s="38">
        <f>IF(AND(T623="○",$A623&gt;=BX$8,$A623&lt;=BX$9),IF(SUM(BX$10:BX622)-ROUNDDOWN($K623*BX$5/100,0)&lt;-BX$6,-BX$6-SUM(BX$10:BX622),-ROUNDDOWN($K623*BX$5/100,0)),0)</f>
        <v>0</v>
      </c>
      <c r="BY623" s="38">
        <f>IF(AND(U623="○",$A623&gt;=BY$8,$A623&lt;=BY$9),IF(SUM(BY$10:BY622)-ROUNDDOWN($K623*BY$5/100,0)&lt;-BY$6,-BY$6-SUM(BY$10:BY622),-ROUNDDOWN($K623*BY$5/100,0)),0)</f>
        <v>0</v>
      </c>
      <c r="BZ623" s="38">
        <f>IF(AND(V623="○",$A623&gt;=BZ$8,$A623&lt;=BZ$9),IF(SUM(BZ$10:BZ622)-ROUNDDOWN($K623*BZ$5/100,0)&lt;-BZ$6,-BZ$6-SUM(BZ$10:BZ622),-ROUNDDOWN($K623*BZ$5/100,0)),0)</f>
        <v>0</v>
      </c>
      <c r="CA623" s="38">
        <f>IF(AND(W623="○",$A623&gt;=CA$8,$A623&lt;=CA$9),IF(SUM(CA$10:CA622)-ROUNDDOWN($K623*CA$5/100,0)&lt;-CA$6,-CA$6-SUM(CA$10:CA622),-ROUNDDOWN($K623*CA$5/100,0)),0)</f>
        <v>0</v>
      </c>
      <c r="CB623" s="38"/>
      <c r="CC623" s="38"/>
      <c r="CD623" s="38"/>
      <c r="CE623" s="38"/>
      <c r="CF623" s="38"/>
      <c r="CG623" s="65">
        <f t="shared" si="383"/>
        <v>0</v>
      </c>
      <c r="CH623" s="71">
        <f t="shared" si="384"/>
        <v>0</v>
      </c>
      <c r="CI623" s="1">
        <f t="shared" si="19"/>
        <v>0</v>
      </c>
      <c r="CJ623" s="1"/>
      <c r="CK623" s="79"/>
      <c r="CL623" s="79"/>
      <c r="CM623" s="2"/>
      <c r="CN623" s="2"/>
      <c r="CO623" s="73">
        <f t="shared" si="20"/>
        <v>0</v>
      </c>
      <c r="CP623" s="5">
        <f t="shared" si="21"/>
        <v>0</v>
      </c>
      <c r="CQ623" s="1"/>
      <c r="CR623" s="1">
        <f t="shared" si="22"/>
        <v>0</v>
      </c>
      <c r="CS623" s="1"/>
      <c r="CT623" s="1" t="e">
        <f>INDEX([2]マスタ!$A:$A,MATCH(D623,[2]マスタ!$C:$C,0))</f>
        <v>#N/A</v>
      </c>
      <c r="CU623" s="1" t="str">
        <f t="shared" ca="1" si="23"/>
        <v>20260620_0-0</v>
      </c>
    </row>
    <row r="624" spans="1:99" ht="19.5" thickBot="1" x14ac:dyDescent="0.45">
      <c r="A624" s="80"/>
      <c r="B624" s="81"/>
      <c r="C624" s="81"/>
      <c r="D624" s="81"/>
      <c r="E624" s="81"/>
      <c r="F624" s="81"/>
      <c r="G624" s="81"/>
      <c r="H624" s="64">
        <f t="shared" si="4"/>
        <v>0</v>
      </c>
      <c r="I624" s="64">
        <v>0</v>
      </c>
      <c r="J624" s="82"/>
      <c r="K624" s="83">
        <f t="shared" si="49"/>
        <v>0</v>
      </c>
      <c r="L624" s="83">
        <f t="shared" si="6"/>
        <v>0</v>
      </c>
      <c r="M624" s="83">
        <f t="shared" si="7"/>
        <v>0</v>
      </c>
      <c r="N624" s="83">
        <f t="shared" si="8"/>
        <v>0</v>
      </c>
      <c r="O624" s="66" t="str">
        <f t="shared" si="9"/>
        <v>✕</v>
      </c>
      <c r="P624" s="84" t="str">
        <f t="shared" si="10"/>
        <v>○</v>
      </c>
      <c r="Q624" s="84" t="str">
        <f t="shared" si="50"/>
        <v>✕</v>
      </c>
      <c r="R624" s="84" t="str">
        <f t="shared" si="12"/>
        <v>✕</v>
      </c>
      <c r="S624" s="85">
        <v>0</v>
      </c>
      <c r="T624" s="86" t="s">
        <v>85</v>
      </c>
      <c r="U624" s="86" t="s">
        <v>85</v>
      </c>
      <c r="V624" s="86" t="s">
        <v>85</v>
      </c>
      <c r="W624" s="86" t="s">
        <v>85</v>
      </c>
      <c r="X624" s="86" t="s">
        <v>84</v>
      </c>
      <c r="Y624" s="86" t="s">
        <v>85</v>
      </c>
      <c r="Z624" s="86" t="s">
        <v>85</v>
      </c>
      <c r="AA624" s="86" t="s">
        <v>85</v>
      </c>
      <c r="AB624" s="86" t="s">
        <v>85</v>
      </c>
      <c r="AC624" s="86" t="s">
        <v>85</v>
      </c>
      <c r="AD624" s="87" t="str">
        <f>+IF(ISERROR(VLOOKUP($B624,AD$10:AD622,1,0)),IF(AND($N624&gt;=1000,$A624&gt;=AO$8,$A624&lt;=AO$9),$B624,""),"")</f>
        <v/>
      </c>
      <c r="AE624" s="87" t="str">
        <f>+IF(ISERROR(VLOOKUP($B624,AE$10:AE622,1,0)),IF(AND($N624&gt;=1000,$A624&gt;=AP$8,$A624&lt;=AP$9),$B624,""),"")</f>
        <v/>
      </c>
      <c r="AF624" s="87" t="str">
        <f>+IF(ISERROR(VLOOKUP($B624,AF$10:AF622,1,0)),IF(AND($N624&gt;=1000,$A624&gt;=AQ$8,$A624&lt;=AQ$9),$B624,""),"")</f>
        <v/>
      </c>
      <c r="AG624" s="87" t="str">
        <f>+IF(ISERROR(VLOOKUP($B624,AG$10:AG622,1,0)),IF(AND($N624&gt;=1000,$A624&gt;=AR$8,$A624&lt;=AR$9),$B624,""),"")</f>
        <v/>
      </c>
      <c r="AH624" s="87"/>
      <c r="AI624" s="88">
        <v>0</v>
      </c>
      <c r="AJ624" s="38">
        <f>IF(AND(AJ$7="○",$A624&gt;=AJ$8,$A624&lt;=AJ$9),IF(SUM(AJ$10:AJ623)-ROUNDDOWN($K624*AJ$5/100,0)&lt;-AJ$6,-AJ$6-SUM(AJ$10:AJ623),-ROUNDDOWN($K624*AJ$5/100,0)),0)</f>
        <v>0</v>
      </c>
      <c r="AK624" s="38">
        <f>IF(AND(AK$7="○",$A624&gt;=AK$8,$A624&lt;=AK$9),IF(SUM(AK$10:AK623)-ROUNDDOWN($L624*AK$5/100,0)&lt;-AK$6,-AK$6-SUM(AK$10:AK623),-ROUNDDOWN($L624*AK$5/100,0)),0)</f>
        <v>0</v>
      </c>
      <c r="AL624" s="38">
        <f>IF(AND(AL$7="○",$A624&gt;=AL$8,$A624&lt;=AL$9),IF(SUM(AL$10:AL623)-ROUNDDOWN($N624*AL$5/100,0)&lt;-AL$6,-AL$6-SUM(AL$10:AL623),-ROUNDDOWN($N624*AL$5/100,0)),0)</f>
        <v>0</v>
      </c>
      <c r="AM624" s="38">
        <f>IF(AND(AM$7="○",$A624&gt;=AM$8,$A624&lt;=AM$9),IF(SUM(AM$10:AM623)-ROUNDDOWN($L624*AM$5/100,0)&lt;-AM$6,-AM$6-SUM(AM$10:AM623),-ROUNDDOWN($L624*AM$5/100,0)),0)</f>
        <v>0</v>
      </c>
      <c r="AN624" s="38">
        <f>IF(AND(AN$7="○",$A624&gt;=AN$8,$A624&lt;=AN$9),IF(SUM(AN$10:AN623)-ROUNDDOWN($M624*AN$5/100,0)&lt;-AN$6,-AN$6-SUM(AN$10:AN623),-ROUNDDOWN($M624*AN$5/100,0)),0)</f>
        <v>0</v>
      </c>
      <c r="AO624" s="38">
        <f>IF(AND($A624&gt;=AO$8,$A624&lt;=AO$9),IF(SUM(AO$10:AO623)-ROUNDDOWN($K624*AO$5/100,0)&lt;-AO$6,-AO$6-SUM(AO$10:AO623),-ROUNDDOWN($K624*AO$5/100,0)),0)</f>
        <v>0</v>
      </c>
      <c r="AP624" s="38">
        <f>IF(AND($A624&gt;=AP$8,$A624&lt;=AP$9),IF(SUM(AP$10:AP623)-ROUNDDOWN($K624*AP$5/100,0)&lt;-AP$6,-AP$6-SUM(AP$10:AP623),-ROUNDDOWN($K624*AP$5/100,0)),0)</f>
        <v>0</v>
      </c>
      <c r="AQ624" s="38">
        <f>IF(AND($A624&gt;=AQ$8,$A624&lt;=AQ$9),IF(SUM(AQ$10:AQ623)-ROUNDDOWN($K624*AQ$5/100,0)&lt;-AQ$6,-AQ$6-SUM(AQ$10:AQ623),-ROUNDDOWN($K624*AQ$5/100,0)),0)</f>
        <v>0</v>
      </c>
      <c r="AR624" s="38">
        <f>IF(AND($A624&gt;=AR$8,$A624&lt;=AR$9),IF(SUM(AR$10:AR623)-ROUNDDOWN($K624*AR$5/100,0)&lt;-AR$6,-AR$6-SUM(AR$10:AR623),-ROUNDDOWN($K624*AR$5/100,0)),0)</f>
        <v>0</v>
      </c>
      <c r="AS624" s="38">
        <f>IF(SUMIFS(AS$10:AS623,$A$10:$A623,$A624)-ROUNDDOWN($K624*$S624/100,0)&lt;-$S624*1000,-$S624*1000-SUMIFS(AS$10:AS623,$A$10:$A623,$A624),-ROUNDDOWN($K624*$S624/100,0))</f>
        <v>0</v>
      </c>
      <c r="AT624" s="38">
        <f>IF(AND(X624="○",$A624&gt;=AT$8,$A624&lt;=AT$9,K624&gt;=3980),IF(SUM(AT$10:AT623)-ROUNDDOWN($K624*AT$5/100,0)&lt;-AT$6,-AT$6-SUM(AT$10:AT623),-ROUNDDOWN($K624*AT$5/100,0)),0)</f>
        <v>0</v>
      </c>
      <c r="AU624" s="38">
        <f>IF(O624="○",IF(SUM(AU$10:AU623)-ROUNDDOWN($K624*AU$5/100,0)&lt;-AU$6,-AU$6-SUM(AU$10:AU623),-ROUNDDOWN($K624*AU$5/100,0)),0)</f>
        <v>0</v>
      </c>
      <c r="AV624" s="38">
        <f>IF(P624="○",IF(SUM(AV$10:AV623)-ROUNDDOWN($K624*AV$5/100,0)&lt;-AV$6,-AV$6-SUM(AV$10:AV623),-ROUNDDOWN($K624*AV$5/100,0)),0)</f>
        <v>0</v>
      </c>
      <c r="AW624" s="38">
        <f>IF(Q624="○",IF(SUM(AW$10:AW623)-ROUNDDOWN($K624*AW$5/100,0)&lt;-AW$6,-AW$6-SUM(AW$10:AW623),-ROUNDDOWN($K624*AW$5/100,0)),0)</f>
        <v>0</v>
      </c>
      <c r="AX624" s="38">
        <f>IF(R624="○",IF(SUM(AX$10:AX623)-ROUNDDOWN($K624*AX$5/100,0)&lt;-AX$6,-AX$6-SUM(AX$10:AX623),-ROUNDDOWN($K624*AX$5/100,0)),0)</f>
        <v>0</v>
      </c>
      <c r="AY624" s="70">
        <v>0</v>
      </c>
      <c r="AZ624" s="65">
        <f t="shared" ref="AZ43:BE624" si="398">-ROUNDDOWN($K624*AY624/100,0)</f>
        <v>0</v>
      </c>
      <c r="BA624" s="65">
        <f t="shared" si="14"/>
        <v>0</v>
      </c>
      <c r="BB624" s="70"/>
      <c r="BC624" s="65">
        <f t="shared" si="398"/>
        <v>0</v>
      </c>
      <c r="BD624" s="70">
        <v>0</v>
      </c>
      <c r="BE624" s="65">
        <f t="shared" si="398"/>
        <v>0</v>
      </c>
      <c r="BF624" s="70">
        <v>0</v>
      </c>
      <c r="BG624" s="65">
        <f t="shared" si="15"/>
        <v>0</v>
      </c>
      <c r="BH624" s="70">
        <v>0</v>
      </c>
      <c r="BI624" s="65">
        <f t="shared" si="16"/>
        <v>0</v>
      </c>
      <c r="BJ624" s="38">
        <f>IF(AND(BJ$7="○",$A624&gt;=BJ$8,$A624&lt;=BJ$9),IF(SUM(BJ$10:BJ623)-ROUNDDOWN($M624*BJ$5/100,0)&lt;-BJ$6,-BJ$6-SUM(BJ$10:BJ623),-ROUNDDOWN($M624*BJ$5/100,0)),0)</f>
        <v>0</v>
      </c>
      <c r="BK624" s="38">
        <f>IF(AND(BK$7="○",$A624&gt;=BK$8,$A624&lt;=BK$9),IF(SUM(BK$10:BK623)-ROUNDDOWN($L624*BK$5/100,0)&lt;-BK$6,-BK$6-SUM(BK$10:BK623),-ROUNDDOWN($L624*BK$5/100,0)),0)</f>
        <v>0</v>
      </c>
      <c r="BL624" s="38">
        <f>IF(AND(BL$7="○",$A624&gt;=BL$8,$A624&lt;=BL$9),IF(SUM(BL$10:BL623)-ROUNDDOWN($L624*BL$5/100,0)&lt;-BL$6,-BL$6-SUM(BL$10:BL623),-ROUNDDOWN($L624*BL$5/100,0)),0)</f>
        <v>0</v>
      </c>
      <c r="BM624" s="38">
        <f>IF(AND(BM$7="○",$A624&gt;=BM$8,$A624&lt;=BM$9),IF(SUM(BM$10:BM623)-ROUNDDOWN($M624*BM$5/100,0)&lt;-BM$6,-BM$6-SUM(BM$10:BM623),-ROUNDDOWN($M624*BM$5/100,0)),0)</f>
        <v>0</v>
      </c>
      <c r="BN624" s="38">
        <f>IF(AND(BN$7="○",$A624&gt;=BN$8,$A624&lt;=BN$9),IF(SUM(BN$10:BN623)-ROUNDDOWN($M624*BN$5/100,0)&lt;-BN$6,-BN$6-SUM(BN$10:BN623),-ROUNDDOWN($M624*BN$5/100,0)),0)</f>
        <v>0</v>
      </c>
      <c r="BO624" s="38">
        <f>IF(AND(BO$7="○",$A624&gt;=BO$8,$A624&lt;=BO$9),IF(SUM(BO$10:BO623)-ROUNDDOWN($M624*BO$5/100,0)&lt;-BO$6,-BO$6-SUM(BO$10:BO623),-ROUNDDOWN($M624*BO$5/100,0)),0)</f>
        <v>0</v>
      </c>
      <c r="BP624" s="38">
        <f>IF(AND(BP$7="○",$A624&gt;=BP$8,$A624&lt;=BP$9),IF(SUM(BP$10:BP623)-ROUNDDOWN($M624*BP$5/100,0)&lt;-BP$6,-BP$6-SUM(BP$10:BP623),-ROUNDDOWN($M624*BP$5/100,0)),0)</f>
        <v>0</v>
      </c>
      <c r="BQ624" s="38">
        <f>IF(AND(BQ$7="○",$A624&gt;=BQ$8,$A624&lt;=BQ$9),IF(SUM(BQ$10:BQ623)-ROUNDDOWN($L624*BQ$5/100,0)&lt;-BQ$6,-BQ$6-SUM(BQ$10:BQ623),-ROUNDDOWN($L624*BQ$5/100,0)),0)</f>
        <v>0</v>
      </c>
      <c r="BR624" s="38">
        <f>IF(AND(BR$7="○",$A624&gt;=BR$8,$A624&lt;=BR$9),IF(SUM(BR$10:BR623)-ROUNDDOWN($M624*BR$5/100,0)&lt;-BR$6,-BR$6-SUM(BR$10:BR623),-ROUNDDOWN($M624*BR$5/100,0)),0)</f>
        <v>0</v>
      </c>
      <c r="BS624" s="38">
        <f>IF(AND(BS$7="○",$A624&gt;=BS$8,$A624&lt;=BS$9),IF(SUM(BS$10:BS623)-ROUNDDOWN($M624*BS$5/100,0)&lt;-BS$6,-BS$6-SUM(BS$10:BS623),-ROUNDDOWN($M624*BS$5/100,0)),0)</f>
        <v>0</v>
      </c>
      <c r="BT624" s="38">
        <f>IF(AND(BT$7="○",$A624&gt;=BT$8,$A624&lt;=BT$9),IF(SUM(BT$10:BT623)-ROUNDDOWN($M624*BT$5/100,0)&lt;-BT$6,-BT$6-SUM(BT$10:BT623),-ROUNDDOWN($M624*BT$5/100,0)),0)</f>
        <v>0</v>
      </c>
      <c r="BU624" s="38">
        <f>IF(AND(BU$7="○",$A624&gt;=BU$8,$A624&lt;=BU$9),IF(SUM(BU$10:BU623)-ROUNDDOWN($M624*BU$5/100,0)&lt;-BU$6,-BU$6-SUM(BU$10:BU623),-ROUNDDOWN($M624*BU$5/100,0)),0)</f>
        <v>0</v>
      </c>
      <c r="BV624" s="38">
        <f>IF(AND(BV$7="○",$A624&gt;=BV$8,$A624&lt;=BV$9),IF(SUM(BV$10:BV623)-ROUNDDOWN($M624*BV$5/100,0)&lt;-BV$6,-BV$6-SUM(BV$10:BV623),-ROUNDDOWN($M624*BV$5/100,0)),0)</f>
        <v>0</v>
      </c>
      <c r="BW624" s="38">
        <f>IF(AND(BW$7="○",$A624&gt;=BW$8,$A624&lt;=BW$9),IF(SUM(BW$10:BW623)-ROUNDDOWN($M624*BW$5/100,0)&lt;-BW$6,-BW$6-SUM(BW$10:BW623),-ROUNDDOWN($M624*BW$5/100,0)),0)</f>
        <v>0</v>
      </c>
      <c r="BX624" s="38">
        <f>IF(AND(T624="○",$A624&gt;=BX$8,$A624&lt;=BX$9),IF(SUM(BX$10:BX623)-ROUNDDOWN($K624*BX$5/100,0)&lt;-BX$6,-BX$6-SUM(BX$10:BX623),-ROUNDDOWN($K624*BX$5/100,0)),0)</f>
        <v>0</v>
      </c>
      <c r="BY624" s="38">
        <f>IF(AND(U624="○",$A624&gt;=BY$8,$A624&lt;=BY$9),IF(SUM(BY$10:BY623)-ROUNDDOWN($K624*BY$5/100,0)&lt;-BY$6,-BY$6-SUM(BY$10:BY623),-ROUNDDOWN($K624*BY$5/100,0)),0)</f>
        <v>0</v>
      </c>
      <c r="BZ624" s="38">
        <f>IF(AND(V624="○",$A624&gt;=BZ$8,$A624&lt;=BZ$9),IF(SUM(BZ$10:BZ623)-ROUNDDOWN($K624*BZ$5/100,0)&lt;-BZ$6,-BZ$6-SUM(BZ$10:BZ623),-ROUNDDOWN($K624*BZ$5/100,0)),0)</f>
        <v>0</v>
      </c>
      <c r="CA624" s="38">
        <f>IF(AND(W624="○",$A624&gt;=CA$8,$A624&lt;=CA$9),IF(SUM(CA$10:CA623)-ROUNDDOWN($K624*CA$5/100,0)&lt;-CA$6,-CA$6-SUM(CA$10:CA623),-ROUNDDOWN($K624*CA$5/100,0)),0)</f>
        <v>0</v>
      </c>
      <c r="CB624" s="38"/>
      <c r="CC624" s="38"/>
      <c r="CD624" s="38"/>
      <c r="CE624" s="38"/>
      <c r="CF624" s="38"/>
      <c r="CG624" s="65">
        <f t="shared" si="17"/>
        <v>0</v>
      </c>
      <c r="CH624" s="71">
        <f t="shared" si="18"/>
        <v>0</v>
      </c>
      <c r="CI624" s="1">
        <f t="shared" si="19"/>
        <v>0</v>
      </c>
      <c r="CJ624" s="1"/>
      <c r="CK624" s="2"/>
      <c r="CL624" s="2"/>
      <c r="CM624" s="2"/>
      <c r="CN624" s="2"/>
      <c r="CO624" s="73">
        <f t="shared" si="20"/>
        <v>0</v>
      </c>
      <c r="CP624" s="5">
        <f t="shared" si="21"/>
        <v>0</v>
      </c>
      <c r="CQ624" s="1"/>
      <c r="CR624" s="1">
        <f t="shared" si="22"/>
        <v>0</v>
      </c>
      <c r="CS624" s="1"/>
      <c r="CT624" s="1" t="e">
        <f>INDEX([2]マスタ!$A:$A,MATCH(D624,[2]マスタ!$C:$C,0))</f>
        <v>#N/A</v>
      </c>
      <c r="CU624" s="1" t="str">
        <f t="shared" ca="1" si="23"/>
        <v>20260620_0-0</v>
      </c>
    </row>
    <row r="625" spans="1:99" ht="20.25" thickTop="1" thickBot="1" x14ac:dyDescent="0.45">
      <c r="A625" s="89"/>
      <c r="B625" s="90"/>
      <c r="C625" s="90"/>
      <c r="D625" s="90"/>
      <c r="E625" s="90"/>
      <c r="F625" s="90"/>
      <c r="G625" s="90"/>
      <c r="H625" s="91">
        <f>+SUM(H11:H624)</f>
        <v>0</v>
      </c>
      <c r="I625" s="91">
        <f>+SUM(I11:I624)</f>
        <v>0</v>
      </c>
      <c r="J625" s="91">
        <f>+SUM(J11:J624)</f>
        <v>0</v>
      </c>
      <c r="K625" s="92"/>
      <c r="L625" s="92"/>
      <c r="M625" s="92"/>
      <c r="N625" s="92"/>
      <c r="O625" s="93"/>
      <c r="P625" s="94"/>
      <c r="Q625" s="94"/>
      <c r="R625" s="94"/>
      <c r="S625" s="95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6"/>
      <c r="AE625" s="96"/>
      <c r="AF625" s="96"/>
      <c r="AG625" s="96"/>
      <c r="AH625" s="96"/>
      <c r="AI625" s="97"/>
      <c r="AJ625" s="96">
        <f t="shared" ref="AJ625:AX625" si="399">+SUM(AJ11:AJ624)</f>
        <v>0</v>
      </c>
      <c r="AK625" s="96">
        <f t="shared" si="399"/>
        <v>0</v>
      </c>
      <c r="AL625" s="96">
        <f t="shared" si="399"/>
        <v>0</v>
      </c>
      <c r="AM625" s="96">
        <f t="shared" si="399"/>
        <v>0</v>
      </c>
      <c r="AN625" s="96">
        <f t="shared" si="399"/>
        <v>0</v>
      </c>
      <c r="AO625" s="96">
        <f t="shared" si="399"/>
        <v>0</v>
      </c>
      <c r="AP625" s="96">
        <f t="shared" si="399"/>
        <v>0</v>
      </c>
      <c r="AQ625" s="96">
        <f t="shared" si="399"/>
        <v>0</v>
      </c>
      <c r="AR625" s="96">
        <f t="shared" si="399"/>
        <v>0</v>
      </c>
      <c r="AS625" s="96">
        <f t="shared" si="399"/>
        <v>0</v>
      </c>
      <c r="AT625" s="96">
        <f t="shared" si="399"/>
        <v>0</v>
      </c>
      <c r="AU625" s="96">
        <f t="shared" si="399"/>
        <v>0</v>
      </c>
      <c r="AV625" s="96">
        <f t="shared" si="399"/>
        <v>0</v>
      </c>
      <c r="AW625" s="96">
        <f t="shared" si="399"/>
        <v>0</v>
      </c>
      <c r="AX625" s="96">
        <f t="shared" si="399"/>
        <v>0</v>
      </c>
      <c r="AY625" s="97"/>
      <c r="AZ625" s="92">
        <f>+SUM(AZ11:AZ624)</f>
        <v>0</v>
      </c>
      <c r="BA625" s="92">
        <f>+SUM(BA11:BA624)</f>
        <v>0</v>
      </c>
      <c r="BB625" s="97"/>
      <c r="BC625" s="92">
        <f>+SUM(BC11:BC624)</f>
        <v>0</v>
      </c>
      <c r="BD625" s="97"/>
      <c r="BE625" s="92">
        <f t="shared" ref="BE625:CH625" si="400">+SUM(BE11:BE624)</f>
        <v>0</v>
      </c>
      <c r="BF625" s="97"/>
      <c r="BG625" s="92">
        <f t="shared" si="400"/>
        <v>0</v>
      </c>
      <c r="BH625" s="97"/>
      <c r="BI625" s="92">
        <f t="shared" si="400"/>
        <v>0</v>
      </c>
      <c r="BJ625" s="96">
        <f t="shared" si="400"/>
        <v>0</v>
      </c>
      <c r="BK625" s="96">
        <f t="shared" si="400"/>
        <v>0</v>
      </c>
      <c r="BL625" s="96">
        <f t="shared" si="400"/>
        <v>0</v>
      </c>
      <c r="BM625" s="96">
        <f t="shared" si="400"/>
        <v>0</v>
      </c>
      <c r="BN625" s="96">
        <f t="shared" si="400"/>
        <v>0</v>
      </c>
      <c r="BO625" s="96">
        <f t="shared" si="400"/>
        <v>0</v>
      </c>
      <c r="BP625" s="96">
        <f t="shared" si="400"/>
        <v>0</v>
      </c>
      <c r="BQ625" s="96">
        <f t="shared" si="400"/>
        <v>0</v>
      </c>
      <c r="BR625" s="96">
        <f t="shared" si="400"/>
        <v>0</v>
      </c>
      <c r="BS625" s="96">
        <f t="shared" si="400"/>
        <v>0</v>
      </c>
      <c r="BT625" s="96">
        <f t="shared" si="400"/>
        <v>0</v>
      </c>
      <c r="BU625" s="96">
        <f t="shared" si="400"/>
        <v>0</v>
      </c>
      <c r="BV625" s="96">
        <f t="shared" si="400"/>
        <v>0</v>
      </c>
      <c r="BW625" s="96">
        <f t="shared" si="400"/>
        <v>0</v>
      </c>
      <c r="BX625" s="96">
        <f t="shared" si="400"/>
        <v>0</v>
      </c>
      <c r="BY625" s="96">
        <f t="shared" si="400"/>
        <v>0</v>
      </c>
      <c r="BZ625" s="96">
        <f t="shared" si="400"/>
        <v>0</v>
      </c>
      <c r="CA625" s="96">
        <f t="shared" si="400"/>
        <v>0</v>
      </c>
      <c r="CB625" s="96">
        <f t="shared" si="400"/>
        <v>0</v>
      </c>
      <c r="CC625" s="96">
        <f t="shared" si="400"/>
        <v>0</v>
      </c>
      <c r="CD625" s="96">
        <f t="shared" si="400"/>
        <v>0</v>
      </c>
      <c r="CE625" s="96">
        <f t="shared" si="400"/>
        <v>0</v>
      </c>
      <c r="CF625" s="96">
        <f t="shared" si="400"/>
        <v>0</v>
      </c>
      <c r="CG625" s="92">
        <f t="shared" si="400"/>
        <v>0</v>
      </c>
      <c r="CH625" s="98">
        <f t="shared" si="400"/>
        <v>0</v>
      </c>
      <c r="CI625" s="1"/>
      <c r="CJ625" s="1"/>
      <c r="CK625" s="1"/>
      <c r="CL625" s="1"/>
      <c r="CM625" s="1"/>
      <c r="CN625" s="1"/>
      <c r="CO625" s="73"/>
      <c r="CP625" s="5"/>
      <c r="CQ625" s="1"/>
      <c r="CR625" s="1">
        <f>SUM(CR11:CR624)</f>
        <v>0</v>
      </c>
      <c r="CS625" s="1"/>
      <c r="CT625" s="1"/>
      <c r="CU625" s="1"/>
    </row>
    <row r="626" spans="1:99" ht="19.5" thickTop="1" x14ac:dyDescent="0.4"/>
  </sheetData>
  <autoFilter ref="A10:CU10" xr:uid="{00000000-0001-0000-0000-000000000000}"/>
  <phoneticPr fontId="5"/>
  <conditionalFormatting sqref="AO1">
    <cfRule type="cellIs" dxfId="323" priority="580" operator="greaterThan">
      <formula>7000</formula>
    </cfRule>
  </conditionalFormatting>
  <conditionalFormatting sqref="AO1:AP1">
    <cfRule type="cellIs" dxfId="322" priority="578" operator="equal">
      <formula>-6999</formula>
    </cfRule>
    <cfRule type="cellIs" dxfId="321" priority="579" operator="lessThan">
      <formula>-7000</formula>
    </cfRule>
    <cfRule type="cellIs" dxfId="320" priority="577" operator="equal">
      <formula>-7000</formula>
    </cfRule>
  </conditionalFormatting>
  <conditionalFormatting sqref="CP1:CP34 CP36:CP39 CP41:CP43 CP45:CP64 CP66:CP69 CP71:CP73 CP75:CP94 CP96:CP99 CP101:CP103 CP105:CP124 CP126:CP129 CP131:CP133 CP135:CP154 CP156:CP159 CP161:CP163 CP165:CP184 CP186:CP189 CP191:CP193 CP195:CP214 CP216:CP219 CP221:CP223 CP225:CP244 CP246:CP249 CP251:CP253 CP255:CP274 CP276:CP279 CP281:CP283 CP285:CP304 CP306:CP309 CP311:CP313 CP315:CP334 CP336:CP339 CP341:CP343 CP345:CP364 CP366:CP369 CP371:CP373 CP375:CP394 CP396:CP399 CP401:CP403 CP405:CP424 CP426:CP429 CP431:CP433 CP435:CP454 CP456:CP459 CP461:CP463 CP465:CP484 CP486:CP489 CP491:CP493 CP495:CP514 CP516:CP519 CP521:CP523 CP525:CP544 CP546:CP549 CP551:CP553 CP555:CP574 CP576:CP579 CP581:CP583 CP585:CP604 CP606:CP609 CP611:CP613 CP615:CP616 CP618:CP619 CP621:CP622 CP624:CP625">
    <cfRule type="cellIs" dxfId="319" priority="574" operator="greaterThan">
      <formula>130</formula>
    </cfRule>
    <cfRule type="cellIs" dxfId="318" priority="572" operator="greaterThan">
      <formula>1.525</formula>
    </cfRule>
    <cfRule type="cellIs" dxfId="317" priority="573" operator="between">
      <formula>110</formula>
      <formula>130</formula>
    </cfRule>
    <cfRule type="cellIs" dxfId="316" priority="576" operator="greaterThan">
      <formula>1.1</formula>
    </cfRule>
    <cfRule type="cellIs" dxfId="315" priority="575" operator="greaterThan">
      <formula>1.3</formula>
    </cfRule>
  </conditionalFormatting>
  <conditionalFormatting sqref="CP35">
    <cfRule type="cellIs" dxfId="314" priority="554" operator="greaterThan">
      <formula>1.525</formula>
    </cfRule>
    <cfRule type="colorScale" priority="55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55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55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552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313" priority="558" operator="greaterThan">
      <formula>1.1</formula>
    </cfRule>
    <cfRule type="cellIs" dxfId="312" priority="557" operator="greaterThan">
      <formula>1.3</formula>
    </cfRule>
    <cfRule type="cellIs" dxfId="311" priority="556" operator="greaterThan">
      <formula>130</formula>
    </cfRule>
    <cfRule type="cellIs" dxfId="310" priority="555" operator="between">
      <formula>110</formula>
      <formula>130</formula>
    </cfRule>
  </conditionalFormatting>
  <conditionalFormatting sqref="CP40">
    <cfRule type="colorScale" priority="517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516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15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514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309" priority="518" operator="greaterThan">
      <formula>1.525</formula>
    </cfRule>
    <cfRule type="cellIs" dxfId="308" priority="522" operator="greaterThan">
      <formula>1.1</formula>
    </cfRule>
    <cfRule type="cellIs" dxfId="307" priority="521" operator="greaterThan">
      <formula>1.3</formula>
    </cfRule>
    <cfRule type="cellIs" dxfId="306" priority="520" operator="greaterThan">
      <formula>130</formula>
    </cfRule>
    <cfRule type="cellIs" dxfId="305" priority="519" operator="between">
      <formula>110</formula>
      <formula>130</formula>
    </cfRule>
  </conditionalFormatting>
  <conditionalFormatting sqref="CP44">
    <cfRule type="cellIs" dxfId="304" priority="531" operator="greaterThan">
      <formula>1.1</formula>
    </cfRule>
    <cfRule type="cellIs" dxfId="303" priority="528" operator="between">
      <formula>110</formula>
      <formula>130</formula>
    </cfRule>
    <cfRule type="cellIs" dxfId="302" priority="530" operator="greaterThan">
      <formula>1.3</formula>
    </cfRule>
    <cfRule type="cellIs" dxfId="301" priority="527" operator="greaterThan">
      <formula>1.525</formula>
    </cfRule>
    <cfRule type="colorScale" priority="526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525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24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300" priority="529" operator="greaterThan">
      <formula>130</formula>
    </cfRule>
    <cfRule type="colorScale" priority="523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65">
    <cfRule type="colorScale" priority="2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19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299" priority="26" operator="greaterThan">
      <formula>1.3</formula>
    </cfRule>
    <cfRule type="cellIs" dxfId="298" priority="27" operator="greaterThan">
      <formula>1.1</formula>
    </cfRule>
    <cfRule type="cellIs" dxfId="297" priority="23" operator="greaterThan">
      <formula>1.525</formula>
    </cfRule>
    <cfRule type="cellIs" dxfId="296" priority="24" operator="between">
      <formula>110</formula>
      <formula>130</formula>
    </cfRule>
    <cfRule type="cellIs" dxfId="295" priority="25" operator="greaterThan">
      <formula>130</formula>
    </cfRule>
    <cfRule type="colorScale" priority="21">
      <colorScale>
        <cfvo type="num" val="0"/>
        <cfvo type="num" val="0"/>
        <cfvo type="num" val="0"/>
        <color rgb="FFFFFF00"/>
        <color rgb="FF92D050"/>
        <color rgb="FFFF0000"/>
      </colorScale>
    </cfRule>
  </conditionalFormatting>
  <conditionalFormatting sqref="CP70">
    <cfRule type="colorScale" priority="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94" priority="5" operator="greaterThan">
      <formula>1.525</formula>
    </cfRule>
    <cfRule type="cellIs" dxfId="293" priority="6" operator="between">
      <formula>110</formula>
      <formula>130</formula>
    </cfRule>
    <cfRule type="cellIs" dxfId="292" priority="7" operator="greaterThan">
      <formula>130</formula>
    </cfRule>
    <cfRule type="cellIs" dxfId="291" priority="8" operator="greaterThan">
      <formula>1.3</formula>
    </cfRule>
    <cfRule type="cellIs" dxfId="290" priority="9" operator="greaterThan">
      <formula>1.1</formula>
    </cfRule>
    <cfRule type="colorScale" priority="1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74">
    <cfRule type="colorScale" priority="1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2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89" priority="14" operator="greaterThan">
      <formula>1.525</formula>
    </cfRule>
    <cfRule type="cellIs" dxfId="288" priority="15" operator="between">
      <formula>110</formula>
      <formula>130</formula>
    </cfRule>
    <cfRule type="cellIs" dxfId="287" priority="16" operator="greaterThan">
      <formula>130</formula>
    </cfRule>
    <cfRule type="cellIs" dxfId="286" priority="17" operator="greaterThan">
      <formula>1.3</formula>
    </cfRule>
    <cfRule type="cellIs" dxfId="285" priority="18" operator="greaterThan">
      <formula>1.1</formula>
    </cfRule>
  </conditionalFormatting>
  <conditionalFormatting sqref="CP95">
    <cfRule type="colorScale" priority="47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6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48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9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84" priority="50" operator="greaterThan">
      <formula>1.525</formula>
    </cfRule>
    <cfRule type="cellIs" dxfId="283" priority="51" operator="between">
      <formula>110</formula>
      <formula>130</formula>
    </cfRule>
    <cfRule type="cellIs" dxfId="282" priority="52" operator="greaterThan">
      <formula>130</formula>
    </cfRule>
    <cfRule type="cellIs" dxfId="281" priority="53" operator="greaterThan">
      <formula>1.3</formula>
    </cfRule>
    <cfRule type="cellIs" dxfId="280" priority="54" operator="greaterThan">
      <formula>1.1</formula>
    </cfRule>
  </conditionalFormatting>
  <conditionalFormatting sqref="CP100">
    <cfRule type="colorScale" priority="28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0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79" priority="32" operator="greaterThan">
      <formula>1.525</formula>
    </cfRule>
    <cfRule type="cellIs" dxfId="278" priority="34" operator="greaterThan">
      <formula>130</formula>
    </cfRule>
    <cfRule type="cellIs" dxfId="277" priority="35" operator="greaterThan">
      <formula>1.3</formula>
    </cfRule>
    <cfRule type="cellIs" dxfId="276" priority="36" operator="greaterThan">
      <formula>1.1</formula>
    </cfRule>
    <cfRule type="cellIs" dxfId="275" priority="33" operator="between">
      <formula>110</formula>
      <formula>130</formula>
    </cfRule>
  </conditionalFormatting>
  <conditionalFormatting sqref="CP104">
    <cfRule type="colorScale" priority="40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37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38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9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274" priority="41" operator="greaterThan">
      <formula>1.525</formula>
    </cfRule>
    <cfRule type="cellIs" dxfId="273" priority="42" operator="between">
      <formula>110</formula>
      <formula>130</formula>
    </cfRule>
    <cfRule type="cellIs" dxfId="272" priority="43" operator="greaterThan">
      <formula>130</formula>
    </cfRule>
    <cfRule type="cellIs" dxfId="271" priority="44" operator="greaterThan">
      <formula>1.3</formula>
    </cfRule>
    <cfRule type="cellIs" dxfId="270" priority="45" operator="greaterThan">
      <formula>1.1</formula>
    </cfRule>
  </conditionalFormatting>
  <conditionalFormatting sqref="CP125">
    <cfRule type="cellIs" dxfId="269" priority="78" operator="between">
      <formula>110</formula>
      <formula>130</formula>
    </cfRule>
    <cfRule type="cellIs" dxfId="268" priority="79" operator="greaterThan">
      <formula>130</formula>
    </cfRule>
    <cfRule type="cellIs" dxfId="267" priority="80" operator="greaterThan">
      <formula>1.3</formula>
    </cfRule>
    <cfRule type="cellIs" dxfId="266" priority="81" operator="greaterThan">
      <formula>1.1</formula>
    </cfRule>
    <cfRule type="cellIs" dxfId="265" priority="77" operator="greaterThan">
      <formula>1.525</formula>
    </cfRule>
    <cfRule type="colorScale" priority="73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74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75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76">
      <colorScale>
        <cfvo type="num" val="110"/>
        <cfvo type="num" val="120"/>
        <cfvo type="num" val="130"/>
        <color rgb="FFF8696B"/>
        <color rgb="FFFFEB84"/>
        <color rgb="FF63BE7B"/>
      </colorScale>
    </cfRule>
  </conditionalFormatting>
  <conditionalFormatting sqref="CP130">
    <cfRule type="colorScale" priority="55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57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8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64" priority="59" operator="greaterThan">
      <formula>1.525</formula>
    </cfRule>
    <cfRule type="cellIs" dxfId="263" priority="60" operator="between">
      <formula>110</formula>
      <formula>130</formula>
    </cfRule>
    <cfRule type="cellIs" dxfId="262" priority="61" operator="greaterThan">
      <formula>130</formula>
    </cfRule>
    <cfRule type="colorScale" priority="56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261" priority="63" operator="greaterThan">
      <formula>1.1</formula>
    </cfRule>
    <cfRule type="cellIs" dxfId="260" priority="62" operator="greaterThan">
      <formula>1.3</formula>
    </cfRule>
  </conditionalFormatting>
  <conditionalFormatting sqref="CP134">
    <cfRule type="cellIs" dxfId="259" priority="68" operator="greaterThan">
      <formula>1.525</formula>
    </cfRule>
    <cfRule type="colorScale" priority="67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66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65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64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258" priority="72" operator="greaterThan">
      <formula>1.1</formula>
    </cfRule>
    <cfRule type="cellIs" dxfId="257" priority="71" operator="greaterThan">
      <formula>1.3</formula>
    </cfRule>
    <cfRule type="cellIs" dxfId="256" priority="70" operator="greaterThan">
      <formula>130</formula>
    </cfRule>
    <cfRule type="cellIs" dxfId="255" priority="69" operator="between">
      <formula>110</formula>
      <formula>130</formula>
    </cfRule>
  </conditionalFormatting>
  <conditionalFormatting sqref="CP155">
    <cfRule type="colorScale" priority="10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0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02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254" priority="106" operator="greaterThan">
      <formula>130</formula>
    </cfRule>
    <cfRule type="colorScale" priority="10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53" priority="107" operator="greaterThan">
      <formula>1.3</formula>
    </cfRule>
    <cfRule type="cellIs" dxfId="252" priority="104" operator="greaterThan">
      <formula>1.525</formula>
    </cfRule>
    <cfRule type="cellIs" dxfId="251" priority="105" operator="between">
      <formula>110</formula>
      <formula>130</formula>
    </cfRule>
    <cfRule type="cellIs" dxfId="250" priority="108" operator="greaterThan">
      <formula>1.1</formula>
    </cfRule>
  </conditionalFormatting>
  <conditionalFormatting sqref="CP160">
    <cfRule type="cellIs" dxfId="249" priority="87" operator="between">
      <formula>110</formula>
      <formula>130</formula>
    </cfRule>
    <cfRule type="cellIs" dxfId="248" priority="88" operator="greaterThan">
      <formula>130</formula>
    </cfRule>
    <cfRule type="cellIs" dxfId="247" priority="89" operator="greaterThan">
      <formula>1.3</formula>
    </cfRule>
    <cfRule type="cellIs" dxfId="246" priority="90" operator="greaterThan">
      <formula>1.1</formula>
    </cfRule>
    <cfRule type="colorScale" priority="85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45" priority="86" operator="greaterThan">
      <formula>1.525</formula>
    </cfRule>
    <cfRule type="colorScale" priority="84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83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82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164">
    <cfRule type="cellIs" dxfId="244" priority="98" operator="greaterThan">
      <formula>1.3</formula>
    </cfRule>
    <cfRule type="cellIs" dxfId="243" priority="99" operator="greaterThan">
      <formula>1.1</formula>
    </cfRule>
    <cfRule type="cellIs" dxfId="242" priority="96" operator="between">
      <formula>110</formula>
      <formula>130</formula>
    </cfRule>
    <cfRule type="cellIs" dxfId="241" priority="97" operator="greaterThan">
      <formula>130</formula>
    </cfRule>
    <cfRule type="cellIs" dxfId="240" priority="95" operator="greaterThan">
      <formula>1.525</formula>
    </cfRule>
    <cfRule type="colorScale" priority="94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93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9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91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185">
    <cfRule type="colorScale" priority="130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127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28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239" priority="131" operator="greaterThan">
      <formula>1.525</formula>
    </cfRule>
    <cfRule type="cellIs" dxfId="238" priority="132" operator="between">
      <formula>110</formula>
      <formula>130</formula>
    </cfRule>
    <cfRule type="cellIs" dxfId="237" priority="133" operator="greaterThan">
      <formula>130</formula>
    </cfRule>
    <cfRule type="cellIs" dxfId="236" priority="134" operator="greaterThan">
      <formula>1.3</formula>
    </cfRule>
    <cfRule type="cellIs" dxfId="235" priority="135" operator="greaterThan">
      <formula>1.1</formula>
    </cfRule>
    <cfRule type="colorScale" priority="129">
      <colorScale>
        <cfvo type="num" val="0"/>
        <cfvo type="num" val="0"/>
        <cfvo type="num" val="0"/>
        <color rgb="FFFFFF00"/>
        <color rgb="FF92D050"/>
        <color rgb="FFFF0000"/>
      </colorScale>
    </cfRule>
  </conditionalFormatting>
  <conditionalFormatting sqref="CP190">
    <cfRule type="colorScale" priority="109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234" priority="113" operator="greaterThan">
      <formula>1.525</formula>
    </cfRule>
    <cfRule type="colorScale" priority="11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1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33" priority="114" operator="between">
      <formula>110</formula>
      <formula>130</formula>
    </cfRule>
    <cfRule type="cellIs" dxfId="232" priority="115" operator="greaterThan">
      <formula>130</formula>
    </cfRule>
    <cfRule type="colorScale" priority="111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231" priority="116" operator="greaterThan">
      <formula>1.3</formula>
    </cfRule>
    <cfRule type="cellIs" dxfId="230" priority="117" operator="greaterThan">
      <formula>1.1</formula>
    </cfRule>
  </conditionalFormatting>
  <conditionalFormatting sqref="CP194">
    <cfRule type="colorScale" priority="11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20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2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29" priority="124" operator="greaterThan">
      <formula>130</formula>
    </cfRule>
    <cfRule type="cellIs" dxfId="228" priority="126" operator="greaterThan">
      <formula>1.1</formula>
    </cfRule>
    <cfRule type="cellIs" dxfId="227" priority="125" operator="greaterThan">
      <formula>1.3</formula>
    </cfRule>
    <cfRule type="cellIs" dxfId="226" priority="123" operator="between">
      <formula>110</formula>
      <formula>130</formula>
    </cfRule>
    <cfRule type="cellIs" dxfId="225" priority="122" operator="greaterThan">
      <formula>1.525</formula>
    </cfRule>
    <cfRule type="colorScale" priority="118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215">
    <cfRule type="colorScale" priority="154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55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56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57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24" priority="158" operator="greaterThan">
      <formula>1.525</formula>
    </cfRule>
    <cfRule type="cellIs" dxfId="223" priority="159" operator="between">
      <formula>110</formula>
      <formula>130</formula>
    </cfRule>
    <cfRule type="cellIs" dxfId="222" priority="160" operator="greaterThan">
      <formula>130</formula>
    </cfRule>
    <cfRule type="cellIs" dxfId="221" priority="161" operator="greaterThan">
      <formula>1.3</formula>
    </cfRule>
    <cfRule type="cellIs" dxfId="220" priority="162" operator="greaterThan">
      <formula>1.1</formula>
    </cfRule>
  </conditionalFormatting>
  <conditionalFormatting sqref="CP220">
    <cfRule type="colorScale" priority="137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219" priority="140" operator="greaterThan">
      <formula>1.525</formula>
    </cfRule>
    <cfRule type="cellIs" dxfId="218" priority="141" operator="between">
      <formula>110</formula>
      <formula>130</formula>
    </cfRule>
    <cfRule type="cellIs" dxfId="217" priority="142" operator="greaterThan">
      <formula>130</formula>
    </cfRule>
    <cfRule type="cellIs" dxfId="216" priority="143" operator="greaterThan">
      <formula>1.3</formula>
    </cfRule>
    <cfRule type="cellIs" dxfId="215" priority="144" operator="greaterThan">
      <formula>1.1</formula>
    </cfRule>
    <cfRule type="colorScale" priority="136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38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39">
      <colorScale>
        <cfvo type="num" val="110"/>
        <cfvo type="num" val="120"/>
        <cfvo type="num" val="130"/>
        <color rgb="FFF8696B"/>
        <color rgb="FFFFEB84"/>
        <color rgb="FF63BE7B"/>
      </colorScale>
    </cfRule>
  </conditionalFormatting>
  <conditionalFormatting sqref="CP224">
    <cfRule type="colorScale" priority="148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145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47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46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214" priority="153" operator="greaterThan">
      <formula>1.1</formula>
    </cfRule>
    <cfRule type="cellIs" dxfId="213" priority="149" operator="greaterThan">
      <formula>1.525</formula>
    </cfRule>
    <cfRule type="cellIs" dxfId="212" priority="150" operator="between">
      <formula>110</formula>
      <formula>130</formula>
    </cfRule>
    <cfRule type="cellIs" dxfId="211" priority="151" operator="greaterThan">
      <formula>130</formula>
    </cfRule>
    <cfRule type="cellIs" dxfId="210" priority="152" operator="greaterThan">
      <formula>1.3</formula>
    </cfRule>
  </conditionalFormatting>
  <conditionalFormatting sqref="CP245">
    <cfRule type="cellIs" dxfId="209" priority="187" operator="greaterThan">
      <formula>130</formula>
    </cfRule>
    <cfRule type="cellIs" dxfId="208" priority="188" operator="greaterThan">
      <formula>1.3</formula>
    </cfRule>
    <cfRule type="cellIs" dxfId="207" priority="189" operator="greaterThan">
      <formula>1.1</formula>
    </cfRule>
    <cfRule type="cellIs" dxfId="206" priority="186" operator="between">
      <formula>110</formula>
      <formula>130</formula>
    </cfRule>
    <cfRule type="colorScale" priority="181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8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83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84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05" priority="185" operator="greaterThan">
      <formula>1.525</formula>
    </cfRule>
  </conditionalFormatting>
  <conditionalFormatting sqref="CP250">
    <cfRule type="colorScale" priority="166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04" priority="171" operator="greaterThan">
      <formula>1.1</formula>
    </cfRule>
    <cfRule type="cellIs" dxfId="203" priority="170" operator="greaterThan">
      <formula>1.3</formula>
    </cfRule>
    <cfRule type="cellIs" dxfId="202" priority="169" operator="greaterThan">
      <formula>130</formula>
    </cfRule>
    <cfRule type="cellIs" dxfId="201" priority="168" operator="between">
      <formula>110</formula>
      <formula>130</formula>
    </cfRule>
    <cfRule type="cellIs" dxfId="200" priority="167" operator="greaterThan">
      <formula>1.525</formula>
    </cfRule>
    <cfRule type="colorScale" priority="165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64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63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254">
    <cfRule type="cellIs" dxfId="199" priority="178" operator="greaterThan">
      <formula>130</formula>
    </cfRule>
    <cfRule type="cellIs" dxfId="198" priority="179" operator="greaterThan">
      <formula>1.3</formula>
    </cfRule>
    <cfRule type="cellIs" dxfId="197" priority="180" operator="greaterThan">
      <formula>1.1</formula>
    </cfRule>
    <cfRule type="colorScale" priority="173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196" priority="177" operator="between">
      <formula>110</formula>
      <formula>130</formula>
    </cfRule>
    <cfRule type="cellIs" dxfId="195" priority="176" operator="greaterThan">
      <formula>1.525</formula>
    </cfRule>
    <cfRule type="colorScale" priority="175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174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72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275">
    <cfRule type="colorScale" priority="21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208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0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210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194" priority="212" operator="greaterThan">
      <formula>1.525</formula>
    </cfRule>
    <cfRule type="cellIs" dxfId="193" priority="213" operator="between">
      <formula>110</formula>
      <formula>130</formula>
    </cfRule>
    <cfRule type="cellIs" dxfId="192" priority="214" operator="greaterThan">
      <formula>130</formula>
    </cfRule>
    <cfRule type="cellIs" dxfId="191" priority="215" operator="greaterThan">
      <formula>1.3</formula>
    </cfRule>
    <cfRule type="cellIs" dxfId="190" priority="216" operator="greaterThan">
      <formula>1.1</formula>
    </cfRule>
  </conditionalFormatting>
  <conditionalFormatting sqref="CP280">
    <cfRule type="colorScale" priority="19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19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192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19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89" priority="194" operator="greaterThan">
      <formula>1.525</formula>
    </cfRule>
    <cfRule type="cellIs" dxfId="188" priority="195" operator="between">
      <formula>110</formula>
      <formula>130</formula>
    </cfRule>
    <cfRule type="cellIs" dxfId="187" priority="197" operator="greaterThan">
      <formula>1.3</formula>
    </cfRule>
    <cfRule type="cellIs" dxfId="186" priority="198" operator="greaterThan">
      <formula>1.1</formula>
    </cfRule>
    <cfRule type="cellIs" dxfId="185" priority="196" operator="greaterThan">
      <formula>130</formula>
    </cfRule>
  </conditionalFormatting>
  <conditionalFormatting sqref="CP284">
    <cfRule type="colorScale" priority="199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0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201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0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84" priority="203" operator="greaterThan">
      <formula>1.525</formula>
    </cfRule>
    <cfRule type="cellIs" dxfId="183" priority="204" operator="between">
      <formula>110</formula>
      <formula>130</formula>
    </cfRule>
    <cfRule type="cellIs" dxfId="182" priority="205" operator="greaterThan">
      <formula>130</formula>
    </cfRule>
    <cfRule type="cellIs" dxfId="181" priority="206" operator="greaterThan">
      <formula>1.3</formula>
    </cfRule>
    <cfRule type="cellIs" dxfId="180" priority="207" operator="greaterThan">
      <formula>1.1</formula>
    </cfRule>
  </conditionalFormatting>
  <conditionalFormatting sqref="CP305">
    <cfRule type="cellIs" dxfId="179" priority="243" operator="greaterThan">
      <formula>1.1</formula>
    </cfRule>
    <cfRule type="colorScale" priority="235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36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237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38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78" priority="239" operator="greaterThan">
      <formula>1.525</formula>
    </cfRule>
    <cfRule type="cellIs" dxfId="177" priority="240" operator="between">
      <formula>110</formula>
      <formula>130</formula>
    </cfRule>
    <cfRule type="cellIs" dxfId="176" priority="241" operator="greaterThan">
      <formula>130</formula>
    </cfRule>
    <cfRule type="cellIs" dxfId="175" priority="242" operator="greaterThan">
      <formula>1.3</formula>
    </cfRule>
  </conditionalFormatting>
  <conditionalFormatting sqref="CP310">
    <cfRule type="colorScale" priority="217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74" priority="225" operator="greaterThan">
      <formula>1.1</formula>
    </cfRule>
    <cfRule type="cellIs" dxfId="173" priority="224" operator="greaterThan">
      <formula>1.3</formula>
    </cfRule>
    <cfRule type="cellIs" dxfId="172" priority="223" operator="greaterThan">
      <formula>130</formula>
    </cfRule>
    <cfRule type="cellIs" dxfId="171" priority="222" operator="between">
      <formula>110</formula>
      <formula>130</formula>
    </cfRule>
    <cfRule type="cellIs" dxfId="170" priority="221" operator="greaterThan">
      <formula>1.525</formula>
    </cfRule>
    <cfRule type="colorScale" priority="220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219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18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314">
    <cfRule type="colorScale" priority="226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69" priority="233" operator="greaterThan">
      <formula>1.3</formula>
    </cfRule>
    <cfRule type="cellIs" dxfId="168" priority="232" operator="greaterThan">
      <formula>130</formula>
    </cfRule>
    <cfRule type="cellIs" dxfId="167" priority="231" operator="between">
      <formula>110</formula>
      <formula>130</formula>
    </cfRule>
    <cfRule type="colorScale" priority="229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228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27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166" priority="234" operator="greaterThan">
      <formula>1.1</formula>
    </cfRule>
    <cfRule type="cellIs" dxfId="165" priority="230" operator="greaterThan">
      <formula>1.525</formula>
    </cfRule>
  </conditionalFormatting>
  <conditionalFormatting sqref="CP335">
    <cfRule type="cellIs" dxfId="164" priority="269" operator="greaterThan">
      <formula>1.3</formula>
    </cfRule>
    <cfRule type="cellIs" dxfId="163" priority="268" operator="greaterThan">
      <formula>130</formula>
    </cfRule>
    <cfRule type="cellIs" dxfId="162" priority="267" operator="between">
      <formula>110</formula>
      <formula>130</formula>
    </cfRule>
    <cfRule type="cellIs" dxfId="161" priority="266" operator="greaterThan">
      <formula>1.525</formula>
    </cfRule>
    <cfRule type="colorScale" priority="265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264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63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262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60" priority="270" operator="greaterThan">
      <formula>1.1</formula>
    </cfRule>
  </conditionalFormatting>
  <conditionalFormatting sqref="CP340">
    <cfRule type="colorScale" priority="246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47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59" priority="248" operator="greaterThan">
      <formula>1.525</formula>
    </cfRule>
    <cfRule type="cellIs" dxfId="158" priority="249" operator="between">
      <formula>110</formula>
      <formula>130</formula>
    </cfRule>
    <cfRule type="cellIs" dxfId="157" priority="250" operator="greaterThan">
      <formula>130</formula>
    </cfRule>
    <cfRule type="cellIs" dxfId="156" priority="251" operator="greaterThan">
      <formula>1.3</formula>
    </cfRule>
    <cfRule type="colorScale" priority="244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55" priority="252" operator="greaterThan">
      <formula>1.1</formula>
    </cfRule>
    <cfRule type="colorScale" priority="245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344">
    <cfRule type="colorScale" priority="253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54" priority="261" operator="greaterThan">
      <formula>1.1</formula>
    </cfRule>
    <cfRule type="cellIs" dxfId="153" priority="260" operator="greaterThan">
      <formula>1.3</formula>
    </cfRule>
    <cfRule type="cellIs" dxfId="152" priority="259" operator="greaterThan">
      <formula>130</formula>
    </cfRule>
    <cfRule type="cellIs" dxfId="151" priority="258" operator="between">
      <formula>110</formula>
      <formula>130</formula>
    </cfRule>
    <cfRule type="cellIs" dxfId="150" priority="257" operator="greaterThan">
      <formula>1.525</formula>
    </cfRule>
    <cfRule type="colorScale" priority="256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255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54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365">
    <cfRule type="colorScale" priority="289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9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291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9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49" priority="293" operator="greaterThan">
      <formula>1.525</formula>
    </cfRule>
    <cfRule type="cellIs" dxfId="148" priority="294" operator="between">
      <formula>110</formula>
      <formula>130</formula>
    </cfRule>
    <cfRule type="cellIs" dxfId="147" priority="295" operator="greaterThan">
      <formula>130</formula>
    </cfRule>
    <cfRule type="cellIs" dxfId="146" priority="296" operator="greaterThan">
      <formula>1.3</formula>
    </cfRule>
    <cfRule type="cellIs" dxfId="145" priority="297" operator="greaterThan">
      <formula>1.1</formula>
    </cfRule>
  </conditionalFormatting>
  <conditionalFormatting sqref="CP370">
    <cfRule type="colorScale" priority="271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27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144" priority="278" operator="greaterThan">
      <formula>1.3</formula>
    </cfRule>
    <cfRule type="colorScale" priority="273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143" priority="275" operator="greaterThan">
      <formula>1.525</formula>
    </cfRule>
    <cfRule type="cellIs" dxfId="142" priority="279" operator="greaterThan">
      <formula>1.1</formula>
    </cfRule>
    <cfRule type="cellIs" dxfId="141" priority="277" operator="greaterThan">
      <formula>130</formula>
    </cfRule>
    <cfRule type="cellIs" dxfId="140" priority="276" operator="between">
      <formula>110</formula>
      <formula>130</formula>
    </cfRule>
    <cfRule type="colorScale" priority="274">
      <colorScale>
        <cfvo type="num" val="110"/>
        <cfvo type="num" val="120"/>
        <cfvo type="num" val="130"/>
        <color rgb="FFF8696B"/>
        <color rgb="FFFFEB84"/>
        <color rgb="FF63BE7B"/>
      </colorScale>
    </cfRule>
  </conditionalFormatting>
  <conditionalFormatting sqref="CP374">
    <cfRule type="cellIs" dxfId="139" priority="285" operator="between">
      <formula>110</formula>
      <formula>130</formula>
    </cfRule>
    <cfRule type="cellIs" dxfId="138" priority="284" operator="greaterThan">
      <formula>1.525</formula>
    </cfRule>
    <cfRule type="colorScale" priority="28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282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8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28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37" priority="288" operator="greaterThan">
      <formula>1.1</formula>
    </cfRule>
    <cfRule type="cellIs" dxfId="136" priority="287" operator="greaterThan">
      <formula>1.3</formula>
    </cfRule>
    <cfRule type="cellIs" dxfId="135" priority="286" operator="greaterThan">
      <formula>130</formula>
    </cfRule>
  </conditionalFormatting>
  <conditionalFormatting sqref="CP395">
    <cfRule type="colorScale" priority="316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317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18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19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34" priority="320" operator="greaterThan">
      <formula>1.525</formula>
    </cfRule>
    <cfRule type="cellIs" dxfId="133" priority="321" operator="between">
      <formula>110</formula>
      <formula>130</formula>
    </cfRule>
    <cfRule type="cellIs" dxfId="132" priority="322" operator="greaterThan">
      <formula>130</formula>
    </cfRule>
    <cfRule type="cellIs" dxfId="131" priority="324" operator="greaterThan">
      <formula>1.1</formula>
    </cfRule>
    <cfRule type="cellIs" dxfId="130" priority="323" operator="greaterThan">
      <formula>1.3</formula>
    </cfRule>
  </conditionalFormatting>
  <conditionalFormatting sqref="CP400">
    <cfRule type="colorScale" priority="30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29" priority="303" operator="between">
      <formula>110</formula>
      <formula>130</formula>
    </cfRule>
    <cfRule type="cellIs" dxfId="128" priority="304" operator="greaterThan">
      <formula>130</formula>
    </cfRule>
    <cfRule type="cellIs" dxfId="127" priority="305" operator="greaterThan">
      <formula>1.3</formula>
    </cfRule>
    <cfRule type="cellIs" dxfId="126" priority="306" operator="greaterThan">
      <formula>1.1</formula>
    </cfRule>
    <cfRule type="cellIs" dxfId="125" priority="302" operator="greaterThan">
      <formula>1.525</formula>
    </cfRule>
    <cfRule type="colorScale" priority="298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300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29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404">
    <cfRule type="colorScale" priority="309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124" priority="314" operator="greaterThan">
      <formula>1.3</formula>
    </cfRule>
    <cfRule type="cellIs" dxfId="123" priority="313" operator="greaterThan">
      <formula>130</formula>
    </cfRule>
    <cfRule type="cellIs" dxfId="122" priority="312" operator="between">
      <formula>110</formula>
      <formula>130</formula>
    </cfRule>
    <cfRule type="cellIs" dxfId="121" priority="311" operator="greaterThan">
      <formula>1.525</formula>
    </cfRule>
    <cfRule type="colorScale" priority="310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308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07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20" priority="315" operator="greaterThan">
      <formula>1.1</formula>
    </cfRule>
  </conditionalFormatting>
  <conditionalFormatting sqref="CP425">
    <cfRule type="cellIs" dxfId="119" priority="348" operator="between">
      <formula>110</formula>
      <formula>130</formula>
    </cfRule>
    <cfRule type="cellIs" dxfId="118" priority="349" operator="greaterThan">
      <formula>130</formula>
    </cfRule>
    <cfRule type="cellIs" dxfId="117" priority="350" operator="greaterThan">
      <formula>1.3</formula>
    </cfRule>
    <cfRule type="cellIs" dxfId="116" priority="351" operator="greaterThan">
      <formula>1.1</formula>
    </cfRule>
    <cfRule type="colorScale" priority="343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344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115" priority="347" operator="greaterThan">
      <formula>1.525</formula>
    </cfRule>
    <cfRule type="colorScale" priority="345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46">
      <colorScale>
        <cfvo type="num" val="110"/>
        <cfvo type="num" val="120"/>
        <cfvo type="num" val="130"/>
        <color rgb="FFF8696B"/>
        <color rgb="FFFFEB84"/>
        <color rgb="FF63BE7B"/>
      </colorScale>
    </cfRule>
  </conditionalFormatting>
  <conditionalFormatting sqref="CP430">
    <cfRule type="colorScale" priority="326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27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28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14" priority="329" operator="greaterThan">
      <formula>1.525</formula>
    </cfRule>
    <cfRule type="cellIs" dxfId="113" priority="330" operator="between">
      <formula>110</formula>
      <formula>130</formula>
    </cfRule>
    <cfRule type="cellIs" dxfId="112" priority="333" operator="greaterThan">
      <formula>1.1</formula>
    </cfRule>
    <cfRule type="cellIs" dxfId="111" priority="332" operator="greaterThan">
      <formula>1.3</formula>
    </cfRule>
    <cfRule type="cellIs" dxfId="110" priority="331" operator="greaterThan">
      <formula>130</formula>
    </cfRule>
    <cfRule type="colorScale" priority="325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434">
    <cfRule type="colorScale" priority="334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335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36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109" priority="338" operator="greaterThan">
      <formula>1.525</formula>
    </cfRule>
    <cfRule type="cellIs" dxfId="108" priority="339" operator="between">
      <formula>110</formula>
      <formula>130</formula>
    </cfRule>
    <cfRule type="cellIs" dxfId="107" priority="340" operator="greaterThan">
      <formula>130</formula>
    </cfRule>
    <cfRule type="cellIs" dxfId="106" priority="341" operator="greaterThan">
      <formula>1.3</formula>
    </cfRule>
    <cfRule type="cellIs" dxfId="105" priority="342" operator="greaterThan">
      <formula>1.1</formula>
    </cfRule>
    <cfRule type="colorScale" priority="337">
      <colorScale>
        <cfvo type="num" val="110"/>
        <cfvo type="num" val="120"/>
        <cfvo type="num" val="130"/>
        <color rgb="FFF8696B"/>
        <color rgb="FFFFEB84"/>
        <color rgb="FF63BE7B"/>
      </colorScale>
    </cfRule>
  </conditionalFormatting>
  <conditionalFormatting sqref="CP455">
    <cfRule type="colorScale" priority="37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104" priority="374" operator="greaterThan">
      <formula>1.525</formula>
    </cfRule>
    <cfRule type="colorScale" priority="37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372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7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03" priority="378" operator="greaterThan">
      <formula>1.1</formula>
    </cfRule>
    <cfRule type="cellIs" dxfId="102" priority="376" operator="greaterThan">
      <formula>130</formula>
    </cfRule>
    <cfRule type="cellIs" dxfId="101" priority="375" operator="between">
      <formula>110</formula>
      <formula>130</formula>
    </cfRule>
    <cfRule type="cellIs" dxfId="100" priority="377" operator="greaterThan">
      <formula>1.3</formula>
    </cfRule>
  </conditionalFormatting>
  <conditionalFormatting sqref="CP460">
    <cfRule type="colorScale" priority="352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353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54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55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99" priority="356" operator="greaterThan">
      <formula>1.525</formula>
    </cfRule>
    <cfRule type="cellIs" dxfId="98" priority="357" operator="between">
      <formula>110</formula>
      <formula>130</formula>
    </cfRule>
    <cfRule type="cellIs" dxfId="97" priority="358" operator="greaterThan">
      <formula>130</formula>
    </cfRule>
    <cfRule type="cellIs" dxfId="96" priority="359" operator="greaterThan">
      <formula>1.3</formula>
    </cfRule>
    <cfRule type="cellIs" dxfId="95" priority="360" operator="greaterThan">
      <formula>1.1</formula>
    </cfRule>
  </conditionalFormatting>
  <conditionalFormatting sqref="CP464">
    <cfRule type="colorScale" priority="36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63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64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94" priority="365" operator="greaterThan">
      <formula>1.525</formula>
    </cfRule>
    <cfRule type="cellIs" dxfId="93" priority="366" operator="between">
      <formula>110</formula>
      <formula>130</formula>
    </cfRule>
    <cfRule type="cellIs" dxfId="92" priority="367" operator="greaterThan">
      <formula>130</formula>
    </cfRule>
    <cfRule type="cellIs" dxfId="91" priority="368" operator="greaterThan">
      <formula>1.3</formula>
    </cfRule>
    <cfRule type="cellIs" dxfId="90" priority="369" operator="greaterThan">
      <formula>1.1</formula>
    </cfRule>
    <cfRule type="colorScale" priority="361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485">
    <cfRule type="cellIs" dxfId="89" priority="405" operator="greaterThan">
      <formula>1.1</formula>
    </cfRule>
    <cfRule type="colorScale" priority="399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98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97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88" priority="404" operator="greaterThan">
      <formula>1.3</formula>
    </cfRule>
    <cfRule type="cellIs" dxfId="87" priority="403" operator="greaterThan">
      <formula>130</formula>
    </cfRule>
    <cfRule type="cellIs" dxfId="86" priority="402" operator="between">
      <formula>110</formula>
      <formula>130</formula>
    </cfRule>
    <cfRule type="colorScale" priority="400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85" priority="401" operator="greaterThan">
      <formula>1.525</formula>
    </cfRule>
  </conditionalFormatting>
  <conditionalFormatting sqref="CP490">
    <cfRule type="colorScale" priority="381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8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84" priority="383" operator="greaterThan">
      <formula>1.525</formula>
    </cfRule>
    <cfRule type="colorScale" priority="379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83" priority="385" operator="greaterThan">
      <formula>130</formula>
    </cfRule>
    <cfRule type="colorScale" priority="38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82" priority="386" operator="greaterThan">
      <formula>1.3</formula>
    </cfRule>
    <cfRule type="cellIs" dxfId="81" priority="387" operator="greaterThan">
      <formula>1.1</formula>
    </cfRule>
    <cfRule type="cellIs" dxfId="80" priority="384" operator="between">
      <formula>110</formula>
      <formula>130</formula>
    </cfRule>
  </conditionalFormatting>
  <conditionalFormatting sqref="CP494">
    <cfRule type="cellIs" dxfId="79" priority="392" operator="greaterThan">
      <formula>1.525</formula>
    </cfRule>
    <cfRule type="colorScale" priority="39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390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38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388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78" priority="396" operator="greaterThan">
      <formula>1.1</formula>
    </cfRule>
    <cfRule type="cellIs" dxfId="77" priority="395" operator="greaterThan">
      <formula>1.3</formula>
    </cfRule>
    <cfRule type="cellIs" dxfId="76" priority="394" operator="greaterThan">
      <formula>130</formula>
    </cfRule>
    <cfRule type="cellIs" dxfId="75" priority="393" operator="between">
      <formula>110</formula>
      <formula>130</formula>
    </cfRule>
  </conditionalFormatting>
  <conditionalFormatting sqref="CP515">
    <cfRule type="cellIs" dxfId="74" priority="428" operator="greaterThan">
      <formula>1.525</formula>
    </cfRule>
    <cfRule type="colorScale" priority="425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ellIs" dxfId="73" priority="429" operator="between">
      <formula>110</formula>
      <formula>130</formula>
    </cfRule>
    <cfRule type="cellIs" dxfId="72" priority="432" operator="greaterThan">
      <formula>1.1</formula>
    </cfRule>
    <cfRule type="cellIs" dxfId="71" priority="431" operator="greaterThan">
      <formula>1.3</formula>
    </cfRule>
    <cfRule type="colorScale" priority="424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426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27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70" priority="430" operator="greaterThan">
      <formula>130</formula>
    </cfRule>
  </conditionalFormatting>
  <conditionalFormatting sqref="CP520">
    <cfRule type="colorScale" priority="406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407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08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09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69" priority="410" operator="greaterThan">
      <formula>1.525</formula>
    </cfRule>
    <cfRule type="cellIs" dxfId="68" priority="411" operator="between">
      <formula>110</formula>
      <formula>130</formula>
    </cfRule>
    <cfRule type="cellIs" dxfId="67" priority="412" operator="greaterThan">
      <formula>130</formula>
    </cfRule>
    <cfRule type="cellIs" dxfId="66" priority="413" operator="greaterThan">
      <formula>1.3</formula>
    </cfRule>
    <cfRule type="cellIs" dxfId="65" priority="414" operator="greaterThan">
      <formula>1.1</formula>
    </cfRule>
  </conditionalFormatting>
  <conditionalFormatting sqref="CP524">
    <cfRule type="colorScale" priority="418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417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16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15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64" priority="419" operator="greaterThan">
      <formula>1.525</formula>
    </cfRule>
    <cfRule type="cellIs" dxfId="63" priority="423" operator="greaterThan">
      <formula>1.1</formula>
    </cfRule>
    <cfRule type="cellIs" dxfId="62" priority="422" operator="greaterThan">
      <formula>1.3</formula>
    </cfRule>
    <cfRule type="cellIs" dxfId="61" priority="421" operator="greaterThan">
      <formula>130</formula>
    </cfRule>
    <cfRule type="cellIs" dxfId="60" priority="420" operator="between">
      <formula>110</formula>
      <formula>130</formula>
    </cfRule>
  </conditionalFormatting>
  <conditionalFormatting sqref="CP545">
    <cfRule type="cellIs" dxfId="59" priority="455" operator="greaterThan">
      <formula>1.525</formula>
    </cfRule>
    <cfRule type="cellIs" dxfId="58" priority="457" operator="greaterThan">
      <formula>130</formula>
    </cfRule>
    <cfRule type="cellIs" dxfId="57" priority="459" operator="greaterThan">
      <formula>1.1</formula>
    </cfRule>
    <cfRule type="colorScale" priority="451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56" priority="458" operator="greaterThan">
      <formula>1.3</formula>
    </cfRule>
    <cfRule type="colorScale" priority="45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54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55" priority="456" operator="between">
      <formula>110</formula>
      <formula>130</formula>
    </cfRule>
    <cfRule type="colorScale" priority="453">
      <colorScale>
        <cfvo type="num" val="0"/>
        <cfvo type="num" val="0"/>
        <cfvo type="num" val="0"/>
        <color rgb="FFFFFF00"/>
        <color rgb="FF92D050"/>
        <color rgb="FFFF0000"/>
      </colorScale>
    </cfRule>
  </conditionalFormatting>
  <conditionalFormatting sqref="CP550">
    <cfRule type="cellIs" dxfId="54" priority="437" operator="greaterThan">
      <formula>1.525</formula>
    </cfRule>
    <cfRule type="cellIs" dxfId="53" priority="441" operator="greaterThan">
      <formula>1.1</formula>
    </cfRule>
    <cfRule type="cellIs" dxfId="52" priority="439" operator="greaterThan">
      <formula>130</formula>
    </cfRule>
    <cfRule type="cellIs" dxfId="51" priority="440" operator="greaterThan">
      <formula>1.3</formula>
    </cfRule>
    <cfRule type="colorScale" priority="435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50" priority="438" operator="between">
      <formula>110</formula>
      <formula>130</formula>
    </cfRule>
    <cfRule type="colorScale" priority="433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434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36">
      <colorScale>
        <cfvo type="num" val="110"/>
        <cfvo type="num" val="120"/>
        <cfvo type="num" val="130"/>
        <color rgb="FFF8696B"/>
        <color rgb="FFFFEB84"/>
        <color rgb="FF63BE7B"/>
      </colorScale>
    </cfRule>
  </conditionalFormatting>
  <conditionalFormatting sqref="CP554">
    <cfRule type="colorScale" priority="442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443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44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45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49" priority="446" operator="greaterThan">
      <formula>1.525</formula>
    </cfRule>
    <cfRule type="cellIs" dxfId="48" priority="447" operator="between">
      <formula>110</formula>
      <formula>130</formula>
    </cfRule>
    <cfRule type="cellIs" dxfId="47" priority="448" operator="greaterThan">
      <formula>130</formula>
    </cfRule>
    <cfRule type="cellIs" dxfId="46" priority="449" operator="greaterThan">
      <formula>1.3</formula>
    </cfRule>
    <cfRule type="cellIs" dxfId="45" priority="450" operator="greaterThan">
      <formula>1.1</formula>
    </cfRule>
  </conditionalFormatting>
  <conditionalFormatting sqref="CP575">
    <cfRule type="colorScale" priority="478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44" priority="486" operator="greaterThan">
      <formula>1.1</formula>
    </cfRule>
    <cfRule type="cellIs" dxfId="43" priority="485" operator="greaterThan">
      <formula>1.3</formula>
    </cfRule>
    <cfRule type="cellIs" dxfId="42" priority="484" operator="greaterThan">
      <formula>130</formula>
    </cfRule>
    <cfRule type="cellIs" dxfId="41" priority="483" operator="between">
      <formula>110</formula>
      <formula>130</formula>
    </cfRule>
    <cfRule type="cellIs" dxfId="40" priority="482" operator="greaterThan">
      <formula>1.525</formula>
    </cfRule>
    <cfRule type="colorScale" priority="48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480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7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580">
    <cfRule type="colorScale" priority="463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461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62">
      <colorScale>
        <cfvo type="num" val="0"/>
        <cfvo type="num" val="0"/>
        <cfvo type="num" val="0"/>
        <color rgb="FFFFFF00"/>
        <color rgb="FF92D050"/>
        <color rgb="FFFF0000"/>
      </colorScale>
    </cfRule>
    <cfRule type="cellIs" dxfId="39" priority="464" operator="greaterThan">
      <formula>1.525</formula>
    </cfRule>
    <cfRule type="cellIs" dxfId="38" priority="465" operator="between">
      <formula>110</formula>
      <formula>130</formula>
    </cfRule>
    <cfRule type="colorScale" priority="460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37" priority="466" operator="greaterThan">
      <formula>130</formula>
    </cfRule>
    <cfRule type="cellIs" dxfId="36" priority="467" operator="greaterThan">
      <formula>1.3</formula>
    </cfRule>
    <cfRule type="cellIs" dxfId="35" priority="468" operator="greaterThan">
      <formula>1.1</formula>
    </cfRule>
  </conditionalFormatting>
  <conditionalFormatting sqref="CP584">
    <cfRule type="colorScale" priority="47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71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7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34" priority="473" operator="greaterThan">
      <formula>1.525</formula>
    </cfRule>
    <cfRule type="cellIs" dxfId="33" priority="474" operator="between">
      <formula>110</formula>
      <formula>130</formula>
    </cfRule>
    <cfRule type="cellIs" dxfId="32" priority="475" operator="greaterThan">
      <formula>130</formula>
    </cfRule>
    <cfRule type="cellIs" dxfId="31" priority="476" operator="greaterThan">
      <formula>1.3</formula>
    </cfRule>
    <cfRule type="cellIs" dxfId="30" priority="477" operator="greaterThan">
      <formula>1.1</formula>
    </cfRule>
    <cfRule type="colorScale" priority="469">
      <colorScale>
        <cfvo type="num" val="1.1000000000000001"/>
        <cfvo type="num" val="1.2"/>
        <cfvo type="num" val="1.3"/>
        <color theme="0"/>
        <color rgb="FFFFEB84"/>
        <color rgb="FF63BE7B"/>
      </colorScale>
    </cfRule>
  </conditionalFormatting>
  <conditionalFormatting sqref="CP605">
    <cfRule type="colorScale" priority="505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508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9" priority="513" operator="greaterThan">
      <formula>1.1</formula>
    </cfRule>
    <cfRule type="cellIs" dxfId="28" priority="512" operator="greaterThan">
      <formula>1.3</formula>
    </cfRule>
    <cfRule type="cellIs" dxfId="27" priority="511" operator="greaterThan">
      <formula>130</formula>
    </cfRule>
    <cfRule type="cellIs" dxfId="26" priority="510" operator="between">
      <formula>110</formula>
      <formula>130</formula>
    </cfRule>
    <cfRule type="cellIs" dxfId="25" priority="509" operator="greaterThan">
      <formula>1.525</formula>
    </cfRule>
    <cfRule type="colorScale" priority="507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06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610">
    <cfRule type="colorScale" priority="487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488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89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90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24" priority="491" operator="greaterThan">
      <formula>1.525</formula>
    </cfRule>
    <cfRule type="cellIs" dxfId="23" priority="492" operator="between">
      <formula>110</formula>
      <formula>130</formula>
    </cfRule>
    <cfRule type="cellIs" dxfId="22" priority="493" operator="greaterThan">
      <formula>130</formula>
    </cfRule>
    <cfRule type="cellIs" dxfId="21" priority="494" operator="greaterThan">
      <formula>1.3</formula>
    </cfRule>
    <cfRule type="cellIs" dxfId="20" priority="495" operator="greaterThan">
      <formula>1.1</formula>
    </cfRule>
  </conditionalFormatting>
  <conditionalFormatting sqref="CP614">
    <cfRule type="colorScale" priority="497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498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499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9" priority="500" operator="greaterThan">
      <formula>1.525</formula>
    </cfRule>
    <cfRule type="cellIs" dxfId="18" priority="501" operator="between">
      <formula>110</formula>
      <formula>130</formula>
    </cfRule>
    <cfRule type="cellIs" dxfId="17" priority="503" operator="greaterThan">
      <formula>1.3</formula>
    </cfRule>
    <cfRule type="cellIs" dxfId="16" priority="504" operator="greaterThan">
      <formula>1.1</formula>
    </cfRule>
    <cfRule type="colorScale" priority="496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15" priority="502" operator="greaterThan">
      <formula>130</formula>
    </cfRule>
  </conditionalFormatting>
  <conditionalFormatting sqref="CP617">
    <cfRule type="colorScale" priority="532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533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534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35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14" priority="536" operator="greaterThan">
      <formula>1.525</formula>
    </cfRule>
    <cfRule type="cellIs" dxfId="13" priority="537" operator="between">
      <formula>110</formula>
      <formula>130</formula>
    </cfRule>
    <cfRule type="cellIs" dxfId="12" priority="538" operator="greaterThan">
      <formula>130</formula>
    </cfRule>
    <cfRule type="cellIs" dxfId="11" priority="539" operator="greaterThan">
      <formula>1.3</formula>
    </cfRule>
    <cfRule type="cellIs" dxfId="10" priority="540" operator="greaterThan">
      <formula>1.1</formula>
    </cfRule>
  </conditionalFormatting>
  <conditionalFormatting sqref="CP620">
    <cfRule type="cellIs" dxfId="9" priority="547" operator="greaterThan">
      <formula>130</formula>
    </cfRule>
    <cfRule type="colorScale" priority="543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44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8" priority="545" operator="greaterThan">
      <formula>1.525</formula>
    </cfRule>
    <cfRule type="cellIs" dxfId="7" priority="546" operator="between">
      <formula>110</formula>
      <formula>130</formula>
    </cfRule>
    <cfRule type="colorScale" priority="541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ellIs" dxfId="6" priority="548" operator="greaterThan">
      <formula>1.3</formula>
    </cfRule>
    <cfRule type="cellIs" dxfId="5" priority="549" operator="greaterThan">
      <formula>1.1</formula>
    </cfRule>
    <cfRule type="colorScale" priority="542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623">
    <cfRule type="colorScale" priority="559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561">
      <colorScale>
        <cfvo type="num" val="0"/>
        <cfvo type="num" val="0"/>
        <cfvo type="num" val="0"/>
        <color rgb="FFFFFF00"/>
        <color rgb="FF92D050"/>
        <color rgb="FFFF0000"/>
      </colorScale>
    </cfRule>
    <cfRule type="colorScale" priority="562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ellIs" dxfId="4" priority="563" operator="greaterThan">
      <formula>1.525</formula>
    </cfRule>
    <cfRule type="cellIs" dxfId="3" priority="564" operator="between">
      <formula>110</formula>
      <formula>130</formula>
    </cfRule>
    <cfRule type="cellIs" dxfId="2" priority="565" operator="greaterThan">
      <formula>130</formula>
    </cfRule>
    <cfRule type="cellIs" dxfId="1" priority="566" operator="greaterThan">
      <formula>1.3</formula>
    </cfRule>
    <cfRule type="cellIs" dxfId="0" priority="567" operator="greaterThan">
      <formula>1.1</formula>
    </cfRule>
    <cfRule type="colorScale" priority="560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</conditionalFormatting>
  <conditionalFormatting sqref="CP624:CP625 CP621:CP622 CP618:CP619 CP36:CP39 CP41:CP43 CP1:CP34 CP615:CP616 CP606:CP609 CP611:CP613 CP585:CP604 CP576:CP579 CP581:CP583 CP555:CP574 CP546:CP549 CP551:CP553 CP525:CP544 CP516:CP519 CP521:CP523 CP495:CP514 CP486:CP489 CP491:CP493 CP465:CP484 CP456:CP459 CP461:CP463 CP435:CP454 CP426:CP429 CP431:CP433 CP405:CP424 CP396:CP399 CP401:CP403 CP375:CP394 CP366:CP369 CP371:CP373 CP345:CP364 CP336:CP339 CP341:CP343 CP315:CP334 CP306:CP309 CP311:CP313 CP285:CP304 CP276:CP279 CP281:CP283 CP255:CP274 CP246:CP249 CP251:CP253 CP225:CP244 CP216:CP219 CP221:CP223 CP195:CP214 CP186:CP189 CP191:CP193 CP165:CP184 CP156:CP159 CP161:CP163 CP135:CP154 CP126:CP129 CP131:CP133 CP105:CP124 CP96:CP99 CP101:CP103 CP75:CP94 CP66:CP69 CP71:CP73 CP45:CP64">
    <cfRule type="colorScale" priority="568">
      <colorScale>
        <cfvo type="num" val="1.1000000000000001"/>
        <cfvo type="num" val="1.2"/>
        <cfvo type="num" val="1.3"/>
        <color theme="0"/>
        <color rgb="FFFFEB84"/>
        <color rgb="FF63BE7B"/>
      </colorScale>
    </cfRule>
    <cfRule type="colorScale" priority="569">
      <colorScale>
        <cfvo type="num" val="1.1000000000000001"/>
        <cfvo type="num" val="1.2"/>
        <cfvo type="num" val="1.3"/>
        <color rgb="FF63BE7B"/>
        <color rgb="FFFFEB84"/>
        <color rgb="FFF8696B"/>
      </colorScale>
    </cfRule>
    <cfRule type="colorScale" priority="571">
      <colorScale>
        <cfvo type="num" val="110"/>
        <cfvo type="num" val="120"/>
        <cfvo type="num" val="130"/>
        <color rgb="FFF8696B"/>
        <color rgb="FFFFEB84"/>
        <color rgb="FF63BE7B"/>
      </colorScale>
    </cfRule>
    <cfRule type="colorScale" priority="570">
      <colorScale>
        <cfvo type="num" val="0"/>
        <cfvo type="num" val="0"/>
        <cfvo type="num" val="0"/>
        <color rgb="FFFFFF00"/>
        <color rgb="FF92D05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 S</cp:lastModifiedBy>
  <cp:revision/>
  <dcterms:created xsi:type="dcterms:W3CDTF">2026-06-02T02:55:05Z</dcterms:created>
  <dcterms:modified xsi:type="dcterms:W3CDTF">2026-06-20T07:11:28Z</dcterms:modified>
  <cp:category/>
  <cp:contentStatus/>
</cp:coreProperties>
</file>